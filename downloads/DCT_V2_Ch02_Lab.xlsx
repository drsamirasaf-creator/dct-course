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Instance" sheetId="3" state="visible" r:id="rId5"/>
    <sheet name="JointPlan" sheetId="4" state="visible" r:id="rId6"/>
    <sheet name="Schedules" sheetId="5" state="visible" r:id="rId7"/>
    <sheet name="DiagnoseClash" sheetId="6" state="visible" r:id="rId8"/>
    <sheet name="Repairs" sheetId="7" state="visible" r:id="rId9"/>
    <sheet name="Optimizer" sheetId="8" state="visible" r:id="rId10"/>
    <sheet name="StandardForm" sheetId="9" state="visible" r:id="rId11"/>
    <sheet name="Quantifiers" sheetId="10" state="visible" r:id="rId12"/>
    <sheet name="Reference_Values" sheetId="11" state="visible" r:id="rId13"/>
    <sheet name="Checks" sheetId="12" state="visible" r:id="rId14"/>
  </sheets>
  <definedNames>
    <definedName function="false" hidden="false" name="Cap_0" vbProcedure="false">Declarations!$B$10</definedName>
    <definedName function="false" hidden="false" name="Cap_min" vbProcedure="false">Declarations!$B$12</definedName>
    <definedName function="false" hidden="false" name="Cap_step" vbProcedure="false">Declarations!$B$11</definedName>
    <definedName function="false" hidden="false" name="Eff_0" vbProcedure="false">Declarations!$B$8</definedName>
    <definedName function="false" hidden="false" name="Eff_ceiling" vbProcedure="false">Declarations!$B$5</definedName>
    <definedName function="false" hidden="false" name="End_liq" vbProcedure="false">Declarations!$B$15</definedName>
    <definedName function="false" hidden="false" name="Floor_liq" vbProcedure="false">Declarations!$B$13</definedName>
    <definedName function="false" hidden="false" name="Gap_closed" vbProcedure="false">Declarations!$B$6</definedName>
    <definedName function="false" hidden="false" name="Liq_0" vbProcedure="false">Declarations!$B$9</definedName>
    <definedName function="false" hidden="false" name="Liq_start" vbProcedure="false">Declarations!$B$14</definedName>
    <definedName function="false" hidden="false" name="Pledge_share" vbProcedure="false">Declarations!$B$16</definedName>
    <definedName function="false" hidden="false" name="Round_cost" vbProcedure="false">Declarations!$B$4</definedName>
    <definedName function="false" hidden="false" name="Sav_point" vbProcedure="false">Declarations!$B$7</definedName>
    <definedName function="false" hidden="false" name="Sch_best" vbProcedure="false">Schedules!$BF$6:$BF$69</definedName>
    <definedName function="false" hidden="false" name="Sch_cap" vbProcedure="false">Schedules!$W$6:$W$69</definedName>
    <definedName function="false" hidden="false" name="Sch_early" vbProcedure="false">Schedules!$BM$6:$BM$69</definedName>
    <definedName function="false" hidden="false" name="Sch_eff6" vbProcedure="false">Schedules!$O$6:$O$69</definedName>
    <definedName function="false" hidden="false" name="Sch_end0" vbProcedure="false">Schedules!$AK$6:$AK$69</definedName>
    <definedName function="false" hidden="false" name="Sch_end5" vbProcedure="false">Schedules!$AZ$6:$AZ$69</definedName>
    <definedName function="false" hidden="false" name="Sch_floor0" vbProcedure="false">Schedules!$AJ$6:$AJ$69</definedName>
    <definedName function="false" hidden="false" name="Sch_floor5" vbProcedure="false">Schedules!$AY$6:$AY$69</definedName>
    <definedName function="false" hidden="false" name="Sch_key" vbProcedure="false">Schedules!$BC$6:$BC$69</definedName>
    <definedName function="false" hidden="false" name="Sch_net" vbProcedure="false">Schedules!$BE$6:$BE$69</definedName>
    <definedName function="false" hidden="false" name="Sch_ok0" vbProcedure="false">Schedules!$AL$6:$AL$69</definedName>
    <definedName function="false" hidden="false" name="Sch_ok5" vbProcedure="false">Schedules!$BA$6:$BA$69</definedName>
    <definedName function="false" hidden="false" name="Sch_pay5" vbProcedure="false">Schedules!$BB$6:$BB$69</definedName>
    <definedName function="false" hidden="false" name="Sch_q6half" vbProcedure="false">Schedules!$AR$6:$AR$69</definedName>
    <definedName function="false" hidden="false" name="Sch_rounds" vbProcedure="false">Schedules!$H$6:$H$69</definedName>
    <definedName function="false" hidden="false" name="Sch_s6" vbProcedure="false">Schedules!$BD$6:$BD$69</definedName>
    <definedName function="false" hidden="false" name="Sch_savings" vbProcedure="false">Schedules!$V$6:$V$69</definedName>
    <definedName function="false" hidden="false" name="Sch_t1000" vbProcedure="false">Schedules!$BN$6:$BN$69</definedName>
    <definedName function="false" hidden="false" name="Sch_tlog" vbProcedure="false">Schedules!$BP$6:$BP$69</definedName>
    <definedName function="false" hidden="false" name="Sch_tplus" vbProcedure="false">Schedules!$BO$6:$BO$69</definedName>
    <definedName function="false" hidden="false" name="Sch_v0" vbProcedure="false">Schedules!$BG$6:$BG$69</definedName>
    <definedName function="false" hidden="false" name="Sch_v10" vbProcedure="false">Schedules!$BI$6:$BI$69</definedName>
    <definedName function="false" hidden="false" name="Sch_v20" vbProcedure="false">Schedules!$BJ$6:$BJ$69</definedName>
    <definedName function="false" hidden="false" name="Sch_v40" vbProcedure="false">Schedules!$BK$6:$BK$69</definedName>
    <definedName function="false" hidden="false" name="Sch_v5" vbProcedure="false">Schedules!$BH$6:$BH$69</definedName>
    <definedName function="false" hidden="false" name="Sch_v60" vbProcedure="false">Schedules!$BL$6:$BL$69</definedName>
    <definedName function="false" hidden="false" name="Sch_years" vbProcedure="false">Schedules!$I$6:$I$69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<sst xmlns="http://schemas.openxmlformats.org/spreadsheetml/2006/main" count="922" uniqueCount="616">
  <si>
    <t xml:space="preserve">DCT Laboratory — Vol II, Ch 2: The General Enterprise Optimization Problem Revisited</t>
  </si>
  <si>
    <t xml:space="preserve">Seed 26202 · Companion to DCT_V2_Ch02_Lab.ipynb and AXIOM Lab 2.2 (module AXIOM-02). Money in $ million, undiscounted.</t>
  </si>
  <si>
    <t xml:space="preserve">Worked Example 2.1, Can Meridian Automate and Pay Out at Once?, with the book's declarations.</t>
  </si>
  <si>
    <t xml:space="preserve">Declarations: the automation program of Volume I, Worked Example 6.1, the two pledges, the board's two conditions, and the five commitments with their owners and codes.</t>
  </si>
  <si>
    <t xml:space="preserve">Instance: the instance card (Table 2.6), the decision-variable editor, which refuses savings as a decision, and the phantom lever: six-round savings carried into a three-round plan.</t>
  </si>
  <si>
    <t xml:space="preserve">JointPlan: one forward pass of the joint plan, which dies in year 3, the COO's plan with all savings kept, and the reachable sets of Theorem 2.3(iii).</t>
  </si>
  <si>
    <t xml:space="preserve">Schedules: all 64 schedules of rounds, run forward with no payout and with the half payout.</t>
  </si>
  <si>
    <t xml:space="preserve">DiagnoseClash: the deletion filter in both orders, every minimal infeasible set, and the groups of commitments whose removal restores feasibility (Theorem 2.3).</t>
  </si>
  <si>
    <t xml:space="preserve">Repairs: the largest payout share with six rounds, the most rounds with the half payout, both pledges without the board's conditions, Online Appendix 2.B.4 year by year, and Table 2.7.</t>
  </si>
  <si>
    <t xml:space="preserve">Optimizer: the plan for each credit beyond year 6, the thresholds 2.9, 10.7, 25.4 and 53.9 years, the Mayer rewrite and restatements that change nothing (Theorem 2.1).</t>
  </si>
  <si>
    <t xml:space="preserve">StandardForm: one schedule's linear program as emitted for a solver, and the price of its end condition in millions and in billions.</t>
  </si>
  <si>
    <t xml:space="preserve">Quantifiers: Table 2.4, one commitment under four quantifiers, and the price of the board's appetite. True odds come from the notebook's engine (Volume I's Chapter 8 model, 100,000 paths, seed 8).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</si>
  <si>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</si>
  <si>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</si>
  <si>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</si>
  <si>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</si>
  <si>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</si>
  <si>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</si>
  <si>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2.1, the situation). Money in $ million; amounts undiscounted.</t>
  </si>
  <si>
    <t xml:space="preserve">Quantity</t>
  </si>
  <si>
    <t xml:space="preserve">Value</t>
  </si>
  <si>
    <t xml:space="preserve">Source</t>
  </si>
  <si>
    <t xml:space="preserve">Cost of an automation round</t>
  </si>
  <si>
    <t xml:space="preserve">Volume I, Worked Example 6.1</t>
  </si>
  <si>
    <t xml:space="preserve">Efficiency ceiling</t>
  </si>
  <si>
    <t xml:space="preserve">A round closes half the gap to 85</t>
  </si>
  <si>
    <t xml:space="preserve">Share of the gap a round closes</t>
  </si>
  <si>
    <t xml:space="preserve">Savings a year per efficiency point above today's</t>
  </si>
  <si>
    <t xml:space="preserve">$10 million a year a point</t>
  </si>
  <si>
    <t xml:space="preserve">Efficiency today</t>
  </si>
  <si>
    <t xml:space="preserve">Liquidity today</t>
  </si>
  <si>
    <t xml:space="preserve">Workforce capability today</t>
  </si>
  <si>
    <t xml:space="preserve">Capability a round adds</t>
  </si>
  <si>
    <t xml:space="preserve">Each round raises capability by one point</t>
  </si>
  <si>
    <t xml:space="preserve">Capability a round needs</t>
  </si>
  <si>
    <t xml:space="preserve">The admissible-decision block (HR)</t>
  </si>
  <si>
    <t xml:space="preserve">The board's liquidity floor</t>
  </si>
  <si>
    <t xml:space="preserve">After paying for a round and at every year end</t>
  </si>
  <si>
    <t xml:space="preserve">Liquidity a round needs to start</t>
  </si>
  <si>
    <t xml:space="preserve">So that the floor holds after paying for it: $470 million</t>
  </si>
  <si>
    <t xml:space="preserve">The board's end condition: liquidity at the end of year 6</t>
  </si>
  <si>
    <t xml:space="preserve">The $470 million another round would need</t>
  </si>
  <si>
    <t xml:space="preserve">The CFO's pledge: share of each year's savings paid out</t>
  </si>
  <si>
    <t xml:space="preserve">Half of each year's savings</t>
  </si>
  <si>
    <t xml:space="preserve">Commitment</t>
  </si>
  <si>
    <t xml:space="preserve">Code</t>
  </si>
  <si>
    <t xml:space="preserve">Owner</t>
  </si>
  <si>
    <t xml:space="preserve">What it requires</t>
  </si>
  <si>
    <t xml:space="preserve">floor</t>
  </si>
  <si>
    <t xml:space="preserve">the board</t>
  </si>
  <si>
    <t xml:space="preserve">liquidity of at least $350 million after paying for a round and at every year end</t>
  </si>
  <si>
    <t xml:space="preserve">capability</t>
  </si>
  <si>
    <t xml:space="preserve">HR</t>
  </si>
  <si>
    <t xml:space="preserve">capability of at least 55 when a round starts</t>
  </si>
  <si>
    <t xml:space="preserve">six rounds</t>
  </si>
  <si>
    <t xml:space="preserve">the COO</t>
  </si>
  <si>
    <t xml:space="preserve">a round every year for six years</t>
  </si>
  <si>
    <t xml:space="preserve">half payout</t>
  </si>
  <si>
    <t xml:space="preserve">the CFO</t>
  </si>
  <si>
    <t xml:space="preserve">half of each year's savings paid out</t>
  </si>
  <si>
    <t xml:space="preserve">end condition</t>
  </si>
  <si>
    <t xml:space="preserve">at least $470 million at the end of year 6</t>
  </si>
  <si>
    <t xml:space="preserve">A set of commitments is written as the sum of its codes: {floor, six rounds, half payout} = 1 + 4 + 8 = 13. A schedule of rounds is written as the years of its rounds: years 1, 2 and 4 = 124.</t>
  </si>
  <si>
    <t xml:space="preserve">Build the instance: the card, the decision-variable editor, a phantom lever (Table 2.6; Proposition 2.2; AXIOM Lab 2.2, step 1)</t>
  </si>
  <si>
    <t xml:space="preserve">Block</t>
  </si>
  <si>
    <t xml:space="preserve">Meridian's declaration</t>
  </si>
  <si>
    <t xml:space="preserve">Decisions</t>
  </si>
  <si>
    <t xml:space="preserve">round in year k, z_k in {0, 1}; payout p_k &gt;= 0</t>
  </si>
  <si>
    <t xml:space="preserve">COO; CFO</t>
  </si>
  <si>
    <t xml:space="preserve">Dynamics</t>
  </si>
  <si>
    <t xml:space="preserve">each round closes half the efficiency gap to 85 and adds a point of capability; savings $10 million per point above 71; liquidity q_k = q_k-1 - 120 z_k + S_k - p_k</t>
  </si>
  <si>
    <t xml:space="preserve">COO; treasury</t>
  </si>
  <si>
    <t xml:space="preserve">Admissible decisions</t>
  </si>
  <si>
    <t xml:space="preserve">a round needs capability of at least 55</t>
  </si>
  <si>
    <t xml:space="preserve">Path commitments</t>
  </si>
  <si>
    <t xml:space="preserve">liquidity of at least $350 million after paying for a round and at year end; a round every year; half of each year's savings paid out</t>
  </si>
  <si>
    <t xml:space="preserve">board; COO; CFO</t>
  </si>
  <si>
    <t xml:space="preserve">Start and end</t>
  </si>
  <si>
    <t xml:space="preserve">$620 million, efficiency 71, capability 58; at least $470 million at the end of year 6</t>
  </si>
  <si>
    <t xml:space="preserve">treasury; board</t>
  </si>
  <si>
    <t xml:space="preserve">Uncertainty</t>
  </si>
  <si>
    <t xml:space="preserve">none declared (Volume I's point estimates)</t>
  </si>
  <si>
    <t xml:space="preserve">--</t>
  </si>
  <si>
    <t xml:space="preserve">Declared as (decision or induced)</t>
  </si>
  <si>
    <t xml:space="preserve">Computed by the dynamics?</t>
  </si>
  <si>
    <t xml:space="preserve">How the dynamics compute it</t>
  </si>
  <si>
    <t xml:space="preserve">The decision-variable editor</t>
  </si>
  <si>
    <t xml:space="preserve">Round in year k, z_k</t>
  </si>
  <si>
    <t xml:space="preserve">decision</t>
  </si>
  <si>
    <t xml:space="preserve">no</t>
  </si>
  <si>
    <t xml:space="preserve">Payout in year k, p_k</t>
  </si>
  <si>
    <t xml:space="preserve">Efficiency e_k</t>
  </si>
  <si>
    <t xml:space="preserve">induced</t>
  </si>
  <si>
    <t xml:space="preserve">yes</t>
  </si>
  <si>
    <t xml:space="preserve">e_k = e_k-1 + z_k (85 - e_k-1) / 2</t>
  </si>
  <si>
    <t xml:space="preserve">Capability w_k</t>
  </si>
  <si>
    <t xml:space="preserve">w_k = w_k-1 + z_k</t>
  </si>
  <si>
    <t xml:space="preserve">Savings S_k</t>
  </si>
  <si>
    <t xml:space="preserve">S_k = 10 (e_k - 71)</t>
  </si>
  <si>
    <t xml:space="preserve">Liquidity q_k</t>
  </si>
  <si>
    <t xml:space="preserve">q_k = q_k-1 - 120 z_k + S_k - p_k</t>
  </si>
  <si>
    <t xml:space="preserve">Entries the editor refuses</t>
  </si>
  <si>
    <t xml:space="preserve">AXIOM Lab 2.2, step 1: savings are entered as a decision (B16) and refused. Declare them induced and the editor accepts the card.</t>
  </si>
  <si>
    <t xml:space="preserve">A phantom lever: savings are induced by the rounds (Proposition 2.2)</t>
  </si>
  <si>
    <t xml:space="preserve">Plan</t>
  </si>
  <si>
    <t xml:space="preserve">Row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</si>
  <si>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</si>
  <si>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</si>
  <si>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</si>
  <si>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</si>
  <si>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</si>
  <si>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</si>
  <si>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Six years</t>
  </si>
  <si>
    <t xml:space="preserve">Six rounds (the CFO's spreadsheet)</t>
  </si>
  <si>
    <t xml:space="preserve">round (1 = yes)</t>
  </si>
  <si>
    <t xml:space="preserve">efficiency</t>
  </si>
  <si>
    <t xml:space="preserve">savings</t>
  </si>
  <si>
    <t xml:space="preserve">Rounds in years 1, 2 and 4</t>
  </si>
  <si>
    <t xml:space="preserve">Six-round savings over six years (the spreadsheet's)</t>
  </si>
  <si>
    <t xml:space="preserve">Savings of rounds in years 1, 2 and 4</t>
  </si>
  <si>
    <t xml:space="preserve">Carried into the three-round plan, the spreadsheet overstates its savings by</t>
  </si>
  <si>
    <t xml:space="preserve">A plan's savings must be computed from its own rounds, never carried over from another plan: a lever on savings is a lever the company does not have.</t>
  </si>
  <si>
    <t xml:space="preserve">Check the joint plan by simulation (Worked Example 2.1, Step 2; Theorem 2.3(iii); AXIOM Lab 2.2, step 2)</t>
  </si>
  <si>
    <t xml:space="preserve">One forward pass of the declared dynamics under the plan. The rounds are the COO's pledge; change them, or the share paid out, and the pass recomputes.</t>
  </si>
  <si>
    <t xml:space="preserve">The joint plan: a round every year, half of each year's savings paid out</t>
  </si>
  <si>
    <t xml:space="preserve">Year</t>
  </si>
  <si>
    <t xml:space="preserve">Round (1 = yes)</t>
  </si>
  <si>
    <t xml:space="preserve">Liquidity at the start</t>
  </si>
  <si>
    <t xml:space="preserve">After paying for the round</t>
  </si>
  <si>
    <t xml:space="preserve">Capability before the round</t>
  </si>
  <si>
    <t xml:space="preserve">Efficiency</t>
  </si>
  <si>
    <t xml:space="preserve">Savings</t>
  </si>
  <si>
    <t xml:space="preserve">Paid out</t>
  </si>
  <si>
    <t xml:space="preserve">Liquidity at year end</t>
  </si>
  <si>
    <t xml:space="preserve">Floor kept?</t>
  </si>
  <si>
    <t xml:space="preserve">Capability kept?</t>
  </si>
  <si>
    <t xml:space="preserve">Reading</t>
  </si>
  <si>
    <t xml:space="preserve">Liquidity at the end of year 1</t>
  </si>
  <si>
    <t xml:space="preserve">Liquidity at the end of year 2</t>
  </si>
  <si>
    <t xml:space="preserve">Liquidity after paying for round 3</t>
  </si>
  <si>
    <t xml:space="preserve">The joint plan dies in year (the first year the floor breaks)</t>
  </si>
  <si>
    <t xml:space="preserve">By the end of year 2 the payouts have taken</t>
  </si>
  <si>
    <t xml:space="preserve">Round 3 misses the liquidity it needs by</t>
  </si>
  <si>
    <t xml:space="preserve">Round 3 cannot start, so the joint plan dies in year 3. The later rows run both pledges on regardless: that is repair (c), which gives up the floor and the end condition.</t>
  </si>
  <si>
    <t xml:space="preserve">The COO's plan with savings kept: liquidity at the end of year 6</t>
  </si>
  <si>
    <t xml:space="preserve">... its first year breaking the floor (0 = none)</t>
  </si>
  <si>
    <t xml:space="preserve">The COO's plan with all savings kept</t>
  </si>
  <si>
    <t xml:space="preserve">... the end condition kept?</t>
  </si>
  <si>
    <t xml:space="preserve">Theorem 2.3(iii): the year-end liquidity some plan can reach under six rounds and at least half paid out, keeping every commitment so far: all five commitments in force</t>
  </si>
  <si>
    <t xml:space="preserve">Floor in force (1 = yes)</t>
  </si>
  <si>
    <t xml:space="preserve">End condition in force (1 = yes)</t>
  </si>
  <si>
    <t xml:space="preserve">Lowest level that can start the round</t>
  </si>
  <si>
    <t xml:space="preserve">Highest level at the start</t>
  </si>
  <si>
    <t xml:space="preserve">Round can start? (1 = yes)</t>
  </si>
  <si>
    <t xml:space="preserve">Lowest year-end level</t>
  </si>
  <si>
    <t xml:space="preserve">Highest year-end level</t>
  </si>
  <si>
    <t xml:space="preserve">Set not empty? (1 = yes)</t>
  </si>
  <si>
    <t xml:space="preserve">The first year whose set is empty: the plan dies (grey: no plan reaches these years keeping every commitment)</t>
  </si>
  <si>
    <t xml:space="preserve">Theorem 2.3(iii): the year-end liquidity some plan can reach under six rounds and at least half paid out, keeping every commitment so far: the floor dropped (the pledges and the end condition)</t>
  </si>
  <si>
    <t xml:space="preserve">The 64 schedules of rounds, each run forward with no payout and with the half payout</t>
  </si>
  <si>
    <t xml:space="preserve">Row by row: the rounds (z_k = 1 in a round year), efficiency, savings, liquidity, and whether the board's conditions hold. The DiagnoseClash, Repairs and Optimizer sheets read this table.</t>
  </si>
  <si>
    <t xml:space="preserve">credit (years):</t>
  </si>
  <si>
    <t xml:space="preserve">Schedule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</si>
  <si>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</si>
  <si>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</si>
  <si>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</si>
  <si>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</si>
  <si>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</si>
  <si>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</si>
  <si>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Rounds</t>
  </si>
  <si>
    <t xml:space="preserve">Years of the rounds</t>
  </si>
  <si>
    <t xml:space="preserve">Efficiency, year 1</t>
  </si>
  <si>
    <t xml:space="preserve">Efficiency, year 2</t>
  </si>
  <si>
    <t xml:space="preserve">Efficiency, year 3</t>
  </si>
  <si>
    <t xml:space="preserve">Efficiency, year 4</t>
  </si>
  <si>
    <t xml:space="preserve">Efficiency, year 5</t>
  </si>
  <si>
    <t xml:space="preserve">Efficiency, year 6</t>
  </si>
  <si>
    <t xml:space="preserve">Savings, year 1</t>
  </si>
  <si>
    <t xml:space="preserve">Savings, year 2</t>
  </si>
  <si>
    <t xml:space="preserve">Savings, year 3</t>
  </si>
  <si>
    <t xml:space="preserve">Savings, year 4</t>
  </si>
  <si>
    <t xml:space="preserve">Savings, year 5</t>
  </si>
  <si>
    <t xml:space="preserve">Savings, year 6</t>
  </si>
  <si>
    <t xml:space="preserve">Savings over six years</t>
  </si>
  <si>
    <t xml:space="preserve">Capability kept (1 = yes)</t>
  </si>
  <si>
    <t xml:space="preserve">Year-end liquidity 1, no payout</t>
  </si>
  <si>
    <t xml:space="preserve">Year-end liquidity 2, no payout</t>
  </si>
  <si>
    <t xml:space="preserve">Year-end liquidity 3, no payout</t>
  </si>
  <si>
    <t xml:space="preserve">Year-end liquidity 4, no payout</t>
  </si>
  <si>
    <t xml:space="preserve">Year-end liquidity 5, no payout</t>
  </si>
  <si>
    <t xml:space="preserve">Year-end liquidity 6, no payout</t>
  </si>
  <si>
    <t xml:space="preserve">After paying for round 1, no payout</t>
  </si>
  <si>
    <t xml:space="preserve">After paying for round 2, no payout</t>
  </si>
  <si>
    <t xml:space="preserve">After paying for round 3, no payout</t>
  </si>
  <si>
    <t xml:space="preserve">After paying for round 4, no payout</t>
  </si>
  <si>
    <t xml:space="preserve">After paying for round 5, no payout</t>
  </si>
  <si>
    <t xml:space="preserve">After paying for round 6, no payout</t>
  </si>
  <si>
    <t xml:space="preserve">Floor kept, no payout</t>
  </si>
  <si>
    <t xml:space="preserve">End condition kept, no payout</t>
  </si>
  <si>
    <t xml:space="preserve">Board's conditions kept, no payout</t>
  </si>
  <si>
    <t xml:space="preserve">Year-end liquidity 1, half paid out</t>
  </si>
  <si>
    <t xml:space="preserve">Year-end liquidity 2, half paid out</t>
  </si>
  <si>
    <t xml:space="preserve">Year-end liquidity 3, half paid out</t>
  </si>
  <si>
    <t xml:space="preserve">Year-end liquidity 4, half paid out</t>
  </si>
  <si>
    <t xml:space="preserve">Year-end liquidity 5, half paid out</t>
  </si>
  <si>
    <t xml:space="preserve">Year-end liquidity 6, half paid out</t>
  </si>
  <si>
    <t xml:space="preserve">After paying for round 1, half paid out</t>
  </si>
  <si>
    <t xml:space="preserve">After paying for round 2, half paid out</t>
  </si>
  <si>
    <t xml:space="preserve">After paying for round 3, half paid out</t>
  </si>
  <si>
    <t xml:space="preserve">After paying for round 4, half paid out</t>
  </si>
  <si>
    <t xml:space="preserve">After paying for round 5, half paid out</t>
  </si>
  <si>
    <t xml:space="preserve">After paying for round 6, half paid out</t>
  </si>
  <si>
    <t xml:space="preserve">Floor kept, half paid out</t>
  </si>
  <si>
    <t xml:space="preserve">End condition kept, half paid out</t>
  </si>
  <si>
    <t xml:space="preserve">Board's conditions kept, half paid out</t>
  </si>
  <si>
    <t xml:space="preserve">Paid out under the half payout</t>
  </si>
  <si>
    <t xml:space="preserve">Rank for repair (b): rounds, then paid out</t>
  </si>
  <si>
    <t xml:space="preserve">Year-6 savings</t>
  </si>
  <si>
    <t xml:space="preserve">Payouts + year-6 liquidity: the no-payout year-6 liquidity</t>
  </si>
  <si>
    <t xml:space="preserve">Best six-year payout, the board's conditions kept</t>
  </si>
  <si>
    <t xml:space="preserve">Value, credit 0 years</t>
  </si>
  <si>
    <t xml:space="preserve">Value, credit 5 years</t>
  </si>
  <si>
    <t xml:space="preserve">Value, credit 10 years</t>
  </si>
  <si>
    <t xml:space="preserve">Value, credit 20 years</t>
  </si>
  <si>
    <t xml:space="preserve">Value, credit 40 years</t>
  </si>
  <si>
    <t xml:space="preserve">Value, credit 60 years</t>
  </si>
  <si>
    <t xml:space="preserve">Rounds in years 1 to n? (1 = yes)</t>
  </si>
  <si>
    <t xml:space="preserve">Value in $ thousands (credit 0)</t>
  </si>
  <si>
    <t xml:space="preserve">Value + 100 (credit 0)</t>
  </si>
  <si>
    <t xml:space="preserve">ln(value) (credit 0)</t>
  </si>
  <si>
    <t xml:space="preserve">Diagnose: the deletion filter, every minimal clash, and the repairs that break them (Theorem 2.3(i)-(ii); Worked Example 2.1, Step 3; AXIOM Lab 2.2, step 3)</t>
  </si>
  <si>
    <t xml:space="preserve">A set of commitments is feasible when some schedule keeps all of them, with the least payout they allow. Flags: 1 = in the set. Codes: floor 1, capability 2, six rounds 4, half payout 8, end condition 16.</t>
  </si>
  <si>
    <t xml:space="preserve">Deletion filter: the board's conditions first (one feasibility check per commitment)</t>
  </si>
  <si>
    <t xml:space="preserve">Step</t>
  </si>
  <si>
    <t xml:space="preserve">Commitment tried</t>
  </si>
  <si>
    <t xml:space="preserve">Its code</t>
  </si>
  <si>
    <t xml:space="preserve">In the set: floor</t>
  </si>
  <si>
    <t xml:space="preserve">In the set: capability</t>
  </si>
  <si>
    <t xml:space="preserve">In the set: six rounds</t>
  </si>
  <si>
    <t xml:space="preserve">In the set: half payout</t>
  </si>
  <si>
    <t xml:space="preserve">In the set: end condition</t>
  </si>
  <si>
    <t xml:space="preserve">Without it: floor</t>
  </si>
  <si>
    <t xml:space="preserve">Without it: capability</t>
  </si>
  <si>
    <t xml:space="preserve">Without it: six rounds</t>
  </si>
  <si>
    <t xml:space="preserve">Without it: half payout</t>
  </si>
  <si>
    <t xml:space="preserve">Without it: end condition</t>
  </si>
  <si>
    <t xml:space="preserve">Schedules keeping the rest</t>
  </si>
  <si>
    <t xml:space="preserve">The rest can hold?</t>
  </si>
  <si>
    <t xml:space="preserve">Verdict</t>
  </si>
  <si>
    <t xml:space="preserve">After: floor</t>
  </si>
  <si>
    <t xml:space="preserve">After: capability</t>
  </si>
  <si>
    <t xml:space="preserve">After: six rounds</t>
  </si>
  <si>
    <t xml:space="preserve">After: half payout</t>
  </si>
  <si>
    <t xml:space="preserve">After: end condition</t>
  </si>
  <si>
    <t xml:space="preserve">The clash it names</t>
  </si>
  <si>
    <t xml:space="preserve">Deletion filter: the pledges first (one feasibility check per commitment)</t>
  </si>
  <si>
    <t xml:space="preserve">Every nonempty set of commitments: feasible? minimal infeasible?</t>
  </si>
  <si>
    <t xml:space="preserve">Members</t>
  </si>
  <si>
    <t xml:space="preserve">Schedules keeping all</t>
  </si>
  <si>
    <t xml:space="preserve">Feasible (1 = yes)</t>
  </si>
  <si>
    <t xml:space="preserve">Without floor: feasible</t>
  </si>
  <si>
    <t xml:space="preserve">Without capability: feasible</t>
  </si>
  <si>
    <t xml:space="preserve">Without six rounds: feasible</t>
  </si>
  <si>
    <t xml:space="preserve">Without half payout: feasible</t>
  </si>
  <si>
    <t xml:space="preserve">Without end condition: feasible</t>
  </si>
  <si>
    <t xml:space="preserve">Minimal infeasible (1 = yes)</t>
  </si>
  <si>
    <t xml:space="preserve">Minimal infeasible sets</t>
  </si>
  <si>
    <t xml:space="preserve">The first, by code</t>
  </si>
  <si>
    <t xml:space="preserve">The second, by code</t>
  </si>
  <si>
    <t xml:space="preserve">Theorem 2.3(ii): drop a group of commitments; the rest can hold exactly when the group meets every minimal clash</t>
  </si>
  <si>
    <t xml:space="preserve">Code dropped</t>
  </si>
  <si>
    <t xml:space="preserve">Dropped</t>
  </si>
  <si>
    <t xml:space="preserve">The rest can hold (1 = yes)</t>
  </si>
  <si>
    <t xml:space="preserve">Meets clash 1</t>
  </si>
  <si>
    <t xml:space="preserve">Meets clash 2</t>
  </si>
  <si>
    <t xml:space="preserve">Meets both</t>
  </si>
  <si>
    <t xml:space="preserve">Agrees (1 = yes)</t>
  </si>
  <si>
    <t xml:space="preserve">Without dropping floor: holds</t>
  </si>
  <si>
    <t xml:space="preserve">Without dropping capability: holds</t>
  </si>
  <si>
    <t xml:space="preserve">Without dropping six rounds: holds</t>
  </si>
  <si>
    <t xml:space="preserve">Without dropping half payout: holds</t>
  </si>
  <si>
    <t xml:space="preserve">Without dropping end condition: holds</t>
  </si>
  <si>
    <t xml:space="preserve">Smallest repair (1 = yes)</t>
  </si>
  <si>
    <t xml:space="preserve">Groups on which Theorem 2.3(ii) holds</t>
  </si>
  <si>
    <t xml:space="preserve">Smallest repairs</t>
  </si>
  <si>
    <t xml:space="preserve">Drop the floor alone: the rest can hold? (1 = yes)</t>
  </si>
  <si>
    <t xml:space="preserve">The three smallest repairs (R = 1): give up the six rounds, give up the half payout, or give up both the floor and the end condition. Dropping the floor alone leaves {six rounds, half payout, end condition}.</t>
  </si>
  <si>
    <t xml:space="preserve">Price the repairs: (a) pay out less, (b) fewer rounds, (c) both pledges, and Table 2.7 (Worked Example 2.1, Step 4; Online Appendix 2.B.4; AXIOM Lab 2.2, step 4)</t>
  </si>
  <si>
    <t xml:space="preserve">(a) Six rounds with no payout: what each commitment leaves for a constant payout share</t>
  </si>
  <si>
    <t xml:space="preserve">Savings to date</t>
  </si>
  <si>
    <t xml:space="preserve">Cap from the floor at the round start</t>
  </si>
  <si>
    <t xml:space="preserve">Cap from the floor at the year end</t>
  </si>
  <si>
    <t xml:space="preserve">The largest constant payout share</t>
  </si>
  <si>
    <t xml:space="preserve">Cap from the end condition</t>
  </si>
  <si>
    <t xml:space="preserve">Tightest cap from the floor at a round start</t>
  </si>
  <si>
    <t xml:space="preserve">Tightest cap from the floor at a year end</t>
  </si>
  <si>
    <t xml:space="preserve">Largest share the board's conditions allow</t>
  </si>
  <si>
    <t xml:space="preserve">Set by</t>
  </si>
  <si>
    <t xml:space="preserve">The round-6 start alone would allow</t>
  </si>
  <si>
    <t xml:space="preserve">(a) Six rounds, the largest share paid out</t>
  </si>
  <si>
    <t xml:space="preserve">Paid out over six years</t>
  </si>
  <si>
    <t xml:space="preserve">Efficiency in year 6</t>
  </si>
  <si>
    <t xml:space="preserve">Liquidity at the end of year 6</t>
  </si>
  <si>
    <t xml:space="preserve">Every year keeps the floor?</t>
  </si>
  <si>
    <t xml:space="preserve">(b) The half payout kept</t>
  </si>
  <si>
    <t xml:space="preserve">(b) Rounds where the half payout allows the most (read from the Schedules sheet)</t>
  </si>
  <si>
    <t xml:space="preserve">Schedules that keep the board's conditions</t>
  </si>
  <si>
    <t xml:space="preserve">The most rounds among them</t>
  </si>
  <si>
    <t xml:space="preserve">Row of the best (most rounds, then most paid out)</t>
  </si>
  <si>
    <t xml:space="preserve">Years of its rounds</t>
  </si>
  <si>
    <t xml:space="preserve">Paid out (recomputed here)</t>
  </si>
  <si>
    <t xml:space="preserve">(b) with a round added in year 3</t>
  </si>
  <si>
    <t xml:space="preserve">First year the floor breaks (0 = none)</t>
  </si>
  <si>
    <t xml:space="preserve">Liquidity after paying for the year-3 round</t>
  </si>
  <si>
    <t xml:space="preserve">End condition kept?</t>
  </si>
  <si>
    <t xml:space="preserve">(b) with a round added in year 5</t>
  </si>
  <si>
    <t xml:space="preserve">Liquidity after paying for the year-5 round</t>
  </si>
  <si>
    <t xml:space="preserve">(b) with a round added in year 6</t>
  </si>
  <si>
    <t xml:space="preserve">Liquidity after paying for the year-6 round</t>
  </si>
  <si>
    <t xml:space="preserve">(c) Both pledges kept, the floor and the end condition given up</t>
  </si>
  <si>
    <t xml:space="preserve">Lowest liquidity after paying for a round</t>
  </si>
  <si>
    <t xml:space="preserve">Online Appendix 2.B.4, year by year</t>
  </si>
  <si>
    <t xml:space="preserve">(a) efficiency</t>
  </si>
  <si>
    <t xml:space="preserve">(a) savings</t>
  </si>
  <si>
    <t xml:space="preserve">(a) paid out</t>
  </si>
  <si>
    <t xml:space="preserve">(a) liquidity</t>
  </si>
  <si>
    <t xml:space="preserve">(b) round (1 = yes)</t>
  </si>
  <si>
    <t xml:space="preserve">(b) savings</t>
  </si>
  <si>
    <t xml:space="preserve">(b) liquidity</t>
  </si>
  <si>
    <t xml:space="preserve">(c) liquidity</t>
  </si>
  <si>
    <t xml:space="preserve">Table 2.7: the joint plan, the three repairs, and the optimizer's plans when both pledges are dropped (six-year totals, undiscounted)</t>
  </si>
  <si>
    <t xml:space="preserve">Liquidity, year 6</t>
  </si>
  <si>
    <t xml:space="preserve">Gives up</t>
  </si>
  <si>
    <t xml:space="preserve">joint plan</t>
  </si>
  <si>
    <t xml:space="preserve">(a) pay out less</t>
  </si>
  <si>
    <t xml:space="preserve">(b) fewer rounds</t>
  </si>
  <si>
    <t xml:space="preserve">(c) both pledges</t>
  </si>
  <si>
    <t xml:space="preserve">optimizer, no credit</t>
  </si>
  <si>
    <t xml:space="preserve">optimizer, ten years' credit</t>
  </si>
  <si>
    <t xml:space="preserve">Reweight: let the optimizer choose, under a terminal credit (Worked Example 2.1, Step 5; Figure 2.3(b); Theorem 2.1; AXIOM Lab 2.2, step 5)</t>
  </si>
  <si>
    <t xml:space="preserve">Both pledges dropped; the floor, capability and the end condition kept. Objective: the six-year payout plus M years of year-6 savings. Each schedule's best payout is its no-payout year-6 liquidity less $470 million.</t>
  </si>
  <si>
    <t xml:space="preserve">Credit M (years)</t>
  </si>
  <si>
    <t xml:space="preserve">Best value</t>
  </si>
  <si>
    <t xml:space="preserve">Its row</t>
  </si>
  <si>
    <t xml:space="preserve">Best six-year payout</t>
  </si>
  <si>
    <t xml:space="preserve">Rounds in years 1 to n?</t>
  </si>
  <si>
    <t xml:space="preserve">Credits at which the best of all 64 schedules runs its rounds in years 1 to n</t>
  </si>
  <si>
    <t xml:space="preserve">Rounds n (years 1 to n)</t>
  </si>
  <si>
    <t xml:space="preserve">Payouts + year-6 liquidity</t>
  </si>
  <si>
    <t xml:space="preserve">Credit for one more round: fall in cash / rise in savings</t>
  </si>
  <si>
    <t xml:space="preserve">First credit on the 0.5-year grid that buys them</t>
  </si>
  <si>
    <t xml:space="preserve">Mayer form (Theorem 2.1(i))</t>
  </si>
  <si>
    <t xml:space="preserve">Credit 0</t>
  </si>
  <si>
    <t xml:space="preserve">Credit 10</t>
  </si>
  <si>
    <t xml:space="preserve">Row of the optimizer's schedule</t>
  </si>
  <si>
    <t xml:space="preserve">Rounds 3 to 6 would cost</t>
  </si>
  <si>
    <t xml:space="preserve">Payout in year 1</t>
  </si>
  <si>
    <t xml:space="preserve">and return, inside the six years, savings of</t>
  </si>
  <si>
    <t xml:space="preserve">Payout in year 2</t>
  </si>
  <si>
    <t xml:space="preserve">Payout in year 3</t>
  </si>
  <si>
    <t xml:space="preserve">Payout in year 4</t>
  </si>
  <si>
    <t xml:space="preserve">Value, 0 rounds</t>
  </si>
  <si>
    <t xml:space="preserve">Value, 1 rounds</t>
  </si>
  <si>
    <t xml:space="preserve">Value, 2 rounds</t>
  </si>
  <si>
    <t xml:space="preserve">Value, 3 rounds</t>
  </si>
  <si>
    <t xml:space="preserve">Value, 4 rounds</t>
  </si>
  <si>
    <t xml:space="preserve">Value, 5 rounds</t>
  </si>
  <si>
    <t xml:space="preserve">Value, 6 rounds</t>
  </si>
  <si>
    <t xml:space="preserve">Rounds chosen</t>
  </si>
  <si>
    <t xml:space="preserve">Payout in year 5</t>
  </si>
  <si>
    <t xml:space="preserve">Payout in year 6 (everything above $470m)</t>
  </si>
  <si>
    <t xml:space="preserve">Accumulator a_1 = a_0 + p_1</t>
  </si>
  <si>
    <t xml:space="preserve">Accumulator a_2 = a_1 + p_2</t>
  </si>
  <si>
    <t xml:space="preserve">Accumulator a_3 = a_2 + p_3</t>
  </si>
  <si>
    <t xml:space="preserve">Accumulator a_4 = a_3 + p_4</t>
  </si>
  <si>
    <t xml:space="preserve">Accumulator a_5 = a_4 + p_5</t>
  </si>
  <si>
    <t xml:space="preserve">Accumulator a_6 = a_5 + p_6</t>
  </si>
  <si>
    <t xml:space="preserve">Running (Bolza) value: payouts + M x year-6 savings</t>
  </si>
  <si>
    <t xml:space="preserve">Mayer value: a_6 + M x year-6 savings</t>
  </si>
  <si>
    <t xml:space="preserve">Difference</t>
  </si>
  <si>
    <t xml:space="preserve">Year-6 liquidity under these payouts</t>
  </si>
  <si>
    <t xml:space="preserve">Theorem 2.1(iii) at a credit of 0: the same objective restated</t>
  </si>
  <si>
    <t xml:space="preserve">Best schedule (years)</t>
  </si>
  <si>
    <t xml:space="preserve">The six-year payout in $ million</t>
  </si>
  <si>
    <t xml:space="preserve">In $ thousands</t>
  </si>
  <si>
    <t xml:space="preserve">Plus a constant of 100</t>
  </si>
  <si>
    <t xml:space="preserve">Its logarithm</t>
  </si>
  <si>
    <t xml:space="preserve">Restatements that change the plan</t>
  </si>
  <si>
    <t xml:space="preserve">Theorem 2.1(iv): a ten-year credit changes it to</t>
  </si>
  <si>
    <t xml:space="preserve">Export the instance in standard form: one schedule's linear program, and the price of its end condition (Worked Example 2.1, Step 6; Section 2.7; Online Appendix Example 2.B.1)</t>
  </si>
  <si>
    <t xml:space="preserve">With the rounds fixed, liquidity is linear in the payouts p1 ... p6 and every commitment is a linear inequality. Emitted form: minimize -(p1 + ... + p6) subject to A p &lt;= b, p &gt;= 0. Change the rounds (blue) to export another schedule.</t>
  </si>
  <si>
    <t xml:space="preserve">The schedule, run with no payout</t>
  </si>
  <si>
    <t xml:space="preserve">End condition written in units of (1 = $ million, 0.001 = $ billion):</t>
  </si>
  <si>
    <t xml:space="preserve">Constraint</t>
  </si>
  <si>
    <t xml:space="preserve">In force (1 = yes)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</si>
  <si>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</si>
  <si>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</si>
  <si>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</si>
  <si>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</si>
  <si>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</si>
  <si>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</si>
  <si>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&lt;=</t>
  </si>
  <si>
    <t xml:space="preserve">b, as written</t>
  </si>
  <si>
    <t xml:space="preserve">b if in force</t>
  </si>
  <si>
    <t xml:space="preserve">floor at the round-1 start</t>
  </si>
  <si>
    <t xml:space="preserve">floor at the round-2 start</t>
  </si>
  <si>
    <t xml:space="preserve">floor at the round-3 start</t>
  </si>
  <si>
    <t xml:space="preserve">floor at the round-4 start</t>
  </si>
  <si>
    <t xml:space="preserve">floor at the round-5 start</t>
  </si>
  <si>
    <t xml:space="preserve">floor at the round-6 start</t>
  </si>
  <si>
    <t xml:space="preserve">floor at the end of year 1</t>
  </si>
  <si>
    <t xml:space="preserve">floor at the end of year 2</t>
  </si>
  <si>
    <t xml:space="preserve">floor at the end of year 3</t>
  </si>
  <si>
    <t xml:space="preserve">floor at the end of year 4</t>
  </si>
  <si>
    <t xml:space="preserve">floor at the end of year 5</t>
  </si>
  <si>
    <t xml:space="preserve">floor at the end of year 6</t>
  </si>
  <si>
    <t xml:space="preserve">Feasible: every constraint in force has b &gt;= 0 (no payout can rescue a round-1 start)</t>
  </si>
  <si>
    <t xml:space="preserve">Best six-year payout: the smallest b among the constraints on all six payouts</t>
  </si>
  <si>
    <t xml:space="preserve">Binding constraint</t>
  </si>
  <si>
    <t xml:space="preserve">End condition written in $ million: best payout if its b rises by 0.001</t>
  </si>
  <si>
    <t xml:space="preserve">... its price: the rise in the best payout per unit of b, in $ million</t>
  </si>
  <si>
    <t xml:space="preserve">End condition written in $ billion: best payout if its b rises by 0.001</t>
  </si>
  <si>
    <t xml:space="preserve">... its price per unit of b, in $ billion: the same commitment, 1,000 times the price</t>
  </si>
  <si>
    <t xml:space="preserve">Scaling a commitment by g &gt; 0 divides its multiplier by g and changes no decision (Online Appendix Example 2.B.1): a price must be read in the units of the commitment as written.</t>
  </si>
  <si>
    <t xml:space="preserve">One commitment, four quantifiers: the board's liquidity floor during the digital program (Table 2.4; Proposition 2.3; Theorem 2.4(iii))</t>
  </si>
  <si>
    <t xml:space="preserve">Volume I's Chapter 8 model and Worked Example 15.1's levers. True odds (green) are counted by the notebook's engine on the book's 100,000 paths (seed 8); costs, the stress-set line and the price of the appetite are formulas.</t>
  </si>
  <si>
    <t xml:space="preserve">Declaration</t>
  </si>
  <si>
    <t xml:space="preserve">Plan index the program's liquidity relaxes to (today = 100)</t>
  </si>
  <si>
    <t xml:space="preserve">Volume I's digital program</t>
  </si>
  <si>
    <t xml:space="preserve">Relaxation rate a year</t>
  </si>
  <si>
    <t xml:space="preserve">Depth of the plan's trough (index points)</t>
  </si>
  <si>
    <t xml:space="preserve">Low point in quarter 7</t>
  </si>
  <si>
    <t xml:space="preserve">Years to the trough's deepest point</t>
  </si>
  <si>
    <t xml:space="preserve">Liquidity per index point</t>
  </si>
  <si>
    <t xml:space="preserve">$6.2 million</t>
  </si>
  <si>
    <t xml:space="preserve">Funding-window closure: mean size</t>
  </si>
  <si>
    <t xml:space="preserve">0.10 a year, never recovered</t>
  </si>
  <si>
    <t xml:space="preserve">Funding-window closure: standard deviation</t>
  </si>
  <si>
    <t xml:space="preserve">Gamma-distributed sizes</t>
  </si>
  <si>
    <t xml:space="preserve">Standby line fees over the program, per $ of line</t>
  </si>
  <si>
    <t xml:space="preserve">About 1 percent a year for three years</t>
  </si>
  <si>
    <t xml:space="preserve">Value of a quarter of delay</t>
  </si>
  <si>
    <t xml:space="preserve">Digital Solutions' contribution</t>
  </si>
  <si>
    <t xml:space="preserve">Depth cut by a quarter of delay (index points)</t>
  </si>
  <si>
    <t xml:space="preserve">Phasing: depth 28 - 4 phi</t>
  </si>
  <si>
    <t xml:space="preserve">Quarter</t>
  </si>
  <si>
    <t xml:space="preserve">Years</t>
  </si>
  <si>
    <t xml:space="preserve">Planned liquidity ($ million)</t>
  </si>
  <si>
    <t xml:space="preserve">The program's deepest draw on the cash above the floor</t>
  </si>
  <si>
    <t xml:space="preserve">A 90th-percentile closure</t>
  </si>
  <si>
    <t xml:space="preserve">Cash above the floor</t>
  </si>
  <si>
    <t xml:space="preserve">Stress set (Volume I's joint check): the least line, draw + (closure - line) &lt;= cash above the floor</t>
  </si>
  <si>
    <t xml:space="preserve">Its cost</t>
  </si>
  <si>
    <t xml:space="preserve">With probability at least 95%: the line (engine, Volume I's $5m grid)</t>
  </si>
  <si>
    <t xml:space="preserve">... and the least delay that meets 5 percent with it, quarters (engine)</t>
  </si>
  <si>
    <t xml:space="preserve">... in months</t>
  </si>
  <si>
    <t xml:space="preserve">... its cost</t>
  </si>
  <si>
    <t xml:space="preserve">The average path's lowest point (engine)</t>
  </si>
  <si>
    <t xml:space="preserve">Does the average path keep the floor?</t>
  </si>
  <si>
    <t xml:space="preserve">Declared as</t>
  </si>
  <si>
    <t xml:space="preserve">Cheapest package</t>
  </si>
  <si>
    <t xml:space="preserve">Cost ($ million)</t>
  </si>
  <si>
    <t xml:space="preserve">True odds (engine)</t>
  </si>
  <si>
    <t xml:space="preserve">on the average path</t>
  </si>
  <si>
    <t xml:space="preserve">in every scenario of a stress set</t>
  </si>
  <si>
    <t xml:space="preserve">with probability at least 95%</t>
  </si>
  <si>
    <t xml:space="preserve">on every path</t>
  </si>
  <si>
    <t xml:space="preserve">Lowest odds found on every path ($400m or $1bn line, six or seven quarters of delay)</t>
  </si>
  <si>
    <t xml:space="preserve">The price of the appetite (Theorem 2.4(iii))</t>
  </si>
  <si>
    <t xml:space="preserve">Line ($m, engine)</t>
  </si>
  <si>
    <t xml:space="preserve">Delay (quarters, engine)</t>
  </si>
  <si>
    <t xml:space="preserve">Cost</t>
  </si>
  <si>
    <t xml:space="preserve">Cheapest package at 4.5 percent</t>
  </si>
  <si>
    <t xml:space="preserve">Cheapest package at 5.5 percent</t>
  </si>
  <si>
    <t xml:space="preserve">Price of a percentage point of breach odds</t>
  </si>
  <si>
    <t xml:space="preserve">Implied cost of a breach: 100 points x the price</t>
  </si>
  <si>
    <t xml:space="preserve">Proposition 2.3(iv): holds with stated probability, fails on the average path</t>
  </si>
  <si>
    <t xml:space="preserve">Probability</t>
  </si>
  <si>
    <t xml:space="preserve">x1 when w = 1</t>
  </si>
  <si>
    <t xml:space="preserve">x1 when w = -30</t>
  </si>
  <si>
    <t xml:space="preserve">Probability that x1 &gt;= 0</t>
  </si>
  <si>
    <t xml:space="preserve">Holds with probability at least 95%?</t>
  </si>
  <si>
    <t xml:space="preserve">x1 on the average path, E[x1]</t>
  </si>
  <si>
    <t xml:space="preserve">Holds on the average path?</t>
  </si>
  <si>
    <t xml:space="preserve">Checkpoint</t>
  </si>
  <si>
    <t xml:space="preserve">Engine value</t>
  </si>
  <si>
    <t xml:space="preserve">Meaning (where in the book)</t>
  </si>
  <si>
    <t xml:space="preserve">Editor: entries refused (savings as a decision)</t>
  </si>
  <si>
    <t xml:space="preserve">AXIOM Lab 2.2, step 1: the editor refuses an induced quantity</t>
  </si>
  <si>
    <t xml:space="preserve">Six-round savings in the CFO's spreadsheet</t>
  </si>
  <si>
    <t xml:space="preserve">Worked Example 2.1, Step 1: $702 million</t>
  </si>
  <si>
    <t xml:space="preserve">$647.5 million</t>
  </si>
  <si>
    <t xml:space="preserve">The phantom lever overstates them by</t>
  </si>
  <si>
    <t xml:space="preserve">LOS Guidance 2.2: $55 million</t>
  </si>
  <si>
    <t xml:space="preserve">Joint plan: liquidity at the end of year 1</t>
  </si>
  <si>
    <t xml:space="preserve">Step 2: $535 million</t>
  </si>
  <si>
    <t xml:space="preserve">Joint plan: liquidity at the end of year 2</t>
  </si>
  <si>
    <t xml:space="preserve">$467.5 million</t>
  </si>
  <si>
    <t xml:space="preserve">Joint plan: liquidity after paying for round 3</t>
  </si>
  <si>
    <t xml:space="preserve">$347.5 million</t>
  </si>
  <si>
    <t xml:space="preserve">The joint plan dies in year</t>
  </si>
  <si>
    <t xml:space="preserve">COO's plan with savings kept: liquidity, year 6</t>
  </si>
  <si>
    <t xml:space="preserve">Online Appendix 2.B.4: 602.2</t>
  </si>
  <si>
    <t xml:space="preserve">Reachable sets: first empty year</t>
  </si>
  <si>
    <t xml:space="preserve">Theorem 2.3(iii): year 3</t>
  </si>
  <si>
    <t xml:space="preserve">Reachable sets, floor dropped: first empty year</t>
  </si>
  <si>
    <t xml:space="preserve">The end condition fails in year 6</t>
  </si>
  <si>
    <t xml:space="preserve">Reachable sets: the most liquidity at the end of year 2</t>
  </si>
  <si>
    <t xml:space="preserve">Deletion filter, board first: code of the clash</t>
  </si>
  <si>
    <t xml:space="preserve">Step 3: {floor, six rounds, half payout} = 13</t>
  </si>
  <si>
    <t xml:space="preserve">Deletion filter, pledges first: code of the clash</t>
  </si>
  <si>
    <t xml:space="preserve">{six rounds, half payout, end condition} = 28</t>
  </si>
  <si>
    <t xml:space="preserve">The only two minimal clashes</t>
  </si>
  <si>
    <t xml:space="preserve">Groups to drop on which Theorem 2.3(ii) holds</t>
  </si>
  <si>
    <t xml:space="preserve">All 32</t>
  </si>
  <si>
    <t xml:space="preserve">Give up a pledge, or both board conditions</t>
  </si>
  <si>
    <t xml:space="preserve">Drop the floor alone: the rest can hold (1 = yes)</t>
  </si>
  <si>
    <t xml:space="preserve">Dropping the floor alone repairs nothing</t>
  </si>
  <si>
    <t xml:space="preserve">(a) largest constant payout share</t>
  </si>
  <si>
    <t xml:space="preserve">Online Appendix 2.B.4: 18.83 percent</t>
  </si>
  <si>
    <t xml:space="preserve">(a) the round-6 start alone would allow</t>
  </si>
  <si>
    <t xml:space="preserve">20.27 percent</t>
  </si>
  <si>
    <t xml:space="preserve">(a) paid out over six years</t>
  </si>
  <si>
    <t xml:space="preserve">Table 2.7: 132.2</t>
  </si>
  <si>
    <t xml:space="preserve">(a) efficiency in year 6</t>
  </si>
  <si>
    <t xml:space="preserve">84.78</t>
  </si>
  <si>
    <t xml:space="preserve">(a) liquidity at the end of year 6</t>
  </si>
  <si>
    <t xml:space="preserve">470.0</t>
  </si>
  <si>
    <t xml:space="preserve">(a) paid out in year 1</t>
  </si>
  <si>
    <t xml:space="preserve">13.2</t>
  </si>
  <si>
    <t xml:space="preserve">(a) liquidity at the end of year 4</t>
  </si>
  <si>
    <t xml:space="preserve">488.0</t>
  </si>
  <si>
    <t xml:space="preserve">(b) schedules keeping the board's conditions</t>
  </si>
  <si>
    <t xml:space="preserve">35 of 64</t>
  </si>
  <si>
    <t xml:space="preserve">(b) years of the rounds</t>
  </si>
  <si>
    <t xml:space="preserve">Years 1, 2 and 4</t>
  </si>
  <si>
    <t xml:space="preserve">(b) paid out over six years</t>
  </si>
  <si>
    <t xml:space="preserve">Table 2.7: 323.8</t>
  </si>
  <si>
    <t xml:space="preserve">(b) efficiency in year 6</t>
  </si>
  <si>
    <t xml:space="preserve">83.25</t>
  </si>
  <si>
    <t xml:space="preserve">(b) liquidity at the end of year 6</t>
  </si>
  <si>
    <t xml:space="preserve">583.8</t>
  </si>
  <si>
    <t xml:space="preserve">(b) liquidity at the end of year 4</t>
  </si>
  <si>
    <t xml:space="preserve">461.3</t>
  </si>
  <si>
    <t xml:space="preserve">(b) + a year-3 round: after paying for it</t>
  </si>
  <si>
    <t xml:space="preserve">347.5: breaks the floor</t>
  </si>
  <si>
    <t xml:space="preserve">(b) + a year-5 round: after paying for it</t>
  </si>
  <si>
    <t xml:space="preserve">341.25: breaks the floor</t>
  </si>
  <si>
    <t xml:space="preserve">(b) + a year-6 round: liquidity, year 6</t>
  </si>
  <si>
    <t xml:space="preserve">468.1: breaks the end condition</t>
  </si>
  <si>
    <t xml:space="preserve">(c) paid out over six years</t>
  </si>
  <si>
    <t xml:space="preserve">Table 2.7: 351.1</t>
  </si>
  <si>
    <t xml:space="preserve">(c) lowest liquidity after paying for a round</t>
  </si>
  <si>
    <t xml:space="preserve">182.2</t>
  </si>
  <si>
    <t xml:space="preserve">(c) liquidity at the end of year 3</t>
  </si>
  <si>
    <t xml:space="preserve">408.8</t>
  </si>
  <si>
    <t xml:space="preserve">(c) liquidity at the end of year 6</t>
  </si>
  <si>
    <t xml:space="preserve">251.1</t>
  </si>
  <si>
    <t xml:space="preserve">Optimizer, no credit: years of the rounds</t>
  </si>
  <si>
    <t xml:space="preserve">Years 1-2</t>
  </si>
  <si>
    <t xml:space="preserve">Optimizer, no credit: paid out</t>
  </si>
  <si>
    <t xml:space="preserve">Step 5: $505 million</t>
  </si>
  <si>
    <t xml:space="preserve">Optimizer, ten years' credit: years of the rounds</t>
  </si>
  <si>
    <t xml:space="preserve">Years 1-3</t>
  </si>
  <si>
    <t xml:space="preserve">Optimizer, ten years' credit: paid out</t>
  </si>
  <si>
    <t xml:space="preserve">455.0</t>
  </si>
  <si>
    <t xml:space="preserve">Six credits: the best of 64 runs early rounds</t>
  </si>
  <si>
    <t xml:space="preserve">Rounds are best taken early (Online Appendix 2.B.4)</t>
  </si>
  <si>
    <t xml:space="preserve">Credit for a third round</t>
  </si>
  <si>
    <t xml:space="preserve">2.86 = 50/17.5</t>
  </si>
  <si>
    <t xml:space="preserve">Credit for a fourth round</t>
  </si>
  <si>
    <t xml:space="preserve">10.71 = 93.75/8.75</t>
  </si>
  <si>
    <t xml:space="preserve">Credit for a fifth round</t>
  </si>
  <si>
    <t xml:space="preserve">25.43 = 111.25/4.375</t>
  </si>
  <si>
    <t xml:space="preserve">Credit for the sixth round</t>
  </si>
  <si>
    <t xml:space="preserve">53.86 = 117.81/2.1875</t>
  </si>
  <si>
    <t xml:space="preserve">First credit on the 0.5-year grid buying 3 rounds</t>
  </si>
  <si>
    <t xml:space="preserve">Figure 2.3(b): above 2.9</t>
  </si>
  <si>
    <t xml:space="preserve">First credit on the 0.5-year grid buying 6 rounds</t>
  </si>
  <si>
    <t xml:space="preserve">Above 53.9 years</t>
  </si>
  <si>
    <t xml:space="preserve">Rounds 3 to 6: savings inside the six years</t>
  </si>
  <si>
    <t xml:space="preserve">Step 5: $107 million</t>
  </si>
  <si>
    <t xml:space="preserve">Six early rounds: payouts + year-6 liquidity</t>
  </si>
  <si>
    <t xml:space="preserve">Mayer form less running form, credit 0</t>
  </si>
  <si>
    <t xml:space="preserve">Theorem 2.1(i): no plan changes</t>
  </si>
  <si>
    <t xml:space="preserve">Mayer form less running form, credit 10</t>
  </si>
  <si>
    <t xml:space="preserve">Theorem 2.1(i)</t>
  </si>
  <si>
    <t xml:space="preserve">Theorem 2.1(iii): none</t>
  </si>
  <si>
    <t xml:space="preserve">Standard form: best six-year payout</t>
  </si>
  <si>
    <t xml:space="preserve">Rounds in years 1 and 2: $505 million</t>
  </si>
  <si>
    <t xml:space="preserve">Price of the end condition per $1 million</t>
  </si>
  <si>
    <t xml:space="preserve">Online Appendix Example 2.B.1</t>
  </si>
  <si>
    <t xml:space="preserve">Price of the end condition per $1 billion</t>
  </si>
  <si>
    <t xml:space="preserve">1,000 times its price in millions</t>
  </si>
  <si>
    <t xml:space="preserve">The program's deepest draw</t>
  </si>
  <si>
    <t xml:space="preserve">Volume I, Chapter 13</t>
  </si>
  <si>
    <t xml:space="preserve">Volume I's closure buffer</t>
  </si>
  <si>
    <t xml:space="preserve">Stress set: the least standby line</t>
  </si>
  <si>
    <t xml:space="preserve">Table 2.4: $55 million</t>
  </si>
  <si>
    <t xml:space="preserve">Stress set: its cost</t>
  </si>
  <si>
    <t xml:space="preserve">Table 2.4: 1.65</t>
  </si>
  <si>
    <t xml:space="preserve">95 percent: delay in months</t>
  </si>
  <si>
    <t xml:space="preserve">Two months' delay</t>
  </si>
  <si>
    <t xml:space="preserve">95 percent: cost</t>
  </si>
  <si>
    <t xml:space="preserve">Table 2.4: 10.44</t>
  </si>
  <si>
    <t xml:space="preserve">Price of the appetite, per percentage point</t>
  </si>
  <si>
    <t xml:space="preserve">Section 2.6: $1.8 million per point (Volume I, Worked Example 15.1)</t>
  </si>
  <si>
    <t xml:space="preserve">Implied cost of a breach</t>
  </si>
  <si>
    <t xml:space="preserve">About $180 million</t>
  </si>
  <si>
    <t xml:space="preserve">Proposition 2.3(iv): x1 on the average path</t>
  </si>
  <si>
    <t xml:space="preserve">Online Appendix 2.B: -0.24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</si>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</sst>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"/>
    <numFmt numFmtId="166" formatCode="0.00"/>
    <numFmt numFmtId="167" formatCode="0%"/>
    <numFmt numFmtId="168" formatCode="0.000"/>
    <numFmt numFmtId="169" formatCode="0.0"/>
    <numFmt numFmtId="170" formatCode="[&lt;-100000000]&quot;none&quot;;0.00"/>
    <numFmt numFmtId="171" formatCode="[&gt;100000000]&quot;no round&quot;;0.00"/>
    <numFmt numFmtId="172" formatCode="0.0000"/>
    <numFmt numFmtId="173" formatCode="0.00%"/>
    <numFmt numFmtId="174" formatCode="#,##0.000"/>
    <numFmt numFmtId="175" formatCode="0.0%"/>
    <numFmt numFmtId="176" formatCode="0.000%"/>
    <numFmt numFmtId="177" formatCode="0.000000"/>
    <numFmt numFmtId="178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AAAAA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23.85" hidden="false" customHeight="false" outlineLevel="0" collapsed="false">
      <c r="B10" s="3" t="s">
        <v>8</v>
      </c>
    </row>
    <row r="11" customFormat="false" ht="23.8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4" customFormat="false" ht="15" hidden="false" customHeight="false" outlineLevel="0" collapsed="false">
      <c r="B14" s="3" t="s">
        <v>12</v>
      </c>
    </row>
    <row r="16" customFormat="false" ht="15" hidden="false" customHeight="false" outlineLevel="0" collapsed="false">
      <c r="B16" s="4" t="s">
        <v>13</v>
      </c>
    </row>
    <row r="17" customFormat="false" ht="15" hidden="false" customHeight="false" outlineLevel="0" collapsed="false">
      <c r="B17" s="5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6" t="s">
        <v>16</v>
      </c>
    </row>
    <row r="20" customFormat="false" ht="15" hidden="false" customHeight="false" outlineLevel="0" collapsed="false">
      <c r="B20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8" t="s">
        <v>19</v>
      </c>
      <c r="B3" s="8" t="s">
        <v>20</v>
      </c>
      <c r="C3" s="8" t="s">
        <v>21</v>
      </c>
    </row>
    <row r="4" customFormat="false" ht="15" hidden="false" customHeight="false" outlineLevel="0" collapsed="false">
      <c r="A4" s="2" t="s">
        <v>22</v>
      </c>
      <c r="B4" s="9" t="n">
        <v>120</v>
      </c>
      <c r="C4" s="10" t="s">
        <v>23</v>
      </c>
    </row>
    <row r="5" customFormat="false" ht="15" hidden="false" customHeight="false" outlineLevel="0" collapsed="false">
      <c r="A5" s="2" t="s">
        <v>24</v>
      </c>
      <c r="B5" s="9" t="n">
        <v>85</v>
      </c>
      <c r="C5" s="10" t="s">
        <v>25</v>
      </c>
    </row>
    <row r="6" customFormat="false" ht="15" hidden="false" customHeight="false" outlineLevel="0" collapsed="false">
      <c r="A6" s="2" t="s">
        <v>26</v>
      </c>
      <c r="B6" s="11" t="n">
        <v>0.5</v>
      </c>
      <c r="C6" s="10"/>
    </row>
    <row r="7" customFormat="false" ht="15" hidden="false" customHeight="false" outlineLevel="0" collapsed="false">
      <c r="A7" s="2" t="s">
        <v>27</v>
      </c>
      <c r="B7" s="9" t="n">
        <v>10</v>
      </c>
      <c r="C7" s="10" t="s">
        <v>28</v>
      </c>
    </row>
    <row r="8" customFormat="false" ht="15" hidden="false" customHeight="false" outlineLevel="0" collapsed="false">
      <c r="A8" s="2" t="s">
        <v>29</v>
      </c>
      <c r="B8" s="9" t="n">
        <v>71</v>
      </c>
      <c r="C8" s="10"/>
    </row>
    <row r="9" customFormat="false" ht="15" hidden="false" customHeight="false" outlineLevel="0" collapsed="false">
      <c r="A9" s="2" t="s">
        <v>30</v>
      </c>
      <c r="B9" s="9" t="n">
        <v>620</v>
      </c>
      <c r="C9" s="10"/>
    </row>
    <row r="10" customFormat="false" ht="15" hidden="false" customHeight="false" outlineLevel="0" collapsed="false">
      <c r="A10" s="2" t="s">
        <v>31</v>
      </c>
      <c r="B10" s="9" t="n">
        <v>58</v>
      </c>
      <c r="C10" s="10"/>
    </row>
    <row r="11" customFormat="false" ht="15" hidden="false" customHeight="false" outlineLevel="0" collapsed="false">
      <c r="A11" s="2" t="s">
        <v>32</v>
      </c>
      <c r="B11" s="9" t="n">
        <v>1</v>
      </c>
      <c r="C11" s="10" t="s">
        <v>33</v>
      </c>
    </row>
    <row r="12" customFormat="false" ht="15" hidden="false" customHeight="false" outlineLevel="0" collapsed="false">
      <c r="A12" s="2" t="s">
        <v>34</v>
      </c>
      <c r="B12" s="9" t="n">
        <v>55</v>
      </c>
      <c r="C12" s="10" t="s">
        <v>35</v>
      </c>
    </row>
    <row r="13" customFormat="false" ht="15" hidden="false" customHeight="false" outlineLevel="0" collapsed="false">
      <c r="A13" s="2" t="s">
        <v>36</v>
      </c>
      <c r="B13" s="9" t="n">
        <v>350</v>
      </c>
      <c r="C13" s="10" t="s">
        <v>37</v>
      </c>
    </row>
    <row r="14" customFormat="false" ht="15" hidden="false" customHeight="false" outlineLevel="0" collapsed="false">
      <c r="A14" s="2" t="s">
        <v>38</v>
      </c>
      <c r="B14" s="12" t="n">
        <f aca="false">Floor_liq+Round_cost</f>
        <v>470</v>
      </c>
      <c r="C14" s="10" t="s">
        <v>39</v>
      </c>
    </row>
    <row r="15" customFormat="false" ht="15" hidden="false" customHeight="false" outlineLevel="0" collapsed="false">
      <c r="A15" s="2" t="s">
        <v>40</v>
      </c>
      <c r="B15" s="12" t="n">
        <f aca="false">Liq_start</f>
        <v>470</v>
      </c>
      <c r="C15" s="10" t="s">
        <v>41</v>
      </c>
    </row>
    <row r="16" customFormat="false" ht="15" hidden="false" customHeight="false" outlineLevel="0" collapsed="false">
      <c r="A16" s="2" t="s">
        <v>42</v>
      </c>
      <c r="B16" s="13" t="n">
        <v>0.5</v>
      </c>
      <c r="C16" s="10" t="s">
        <v>43</v>
      </c>
    </row>
    <row r="18" customFormat="false" ht="15" hidden="false" customHeight="false" outlineLevel="0" collapsed="false">
      <c r="A18" s="8" t="s">
        <v>44</v>
      </c>
      <c r="B18" s="8" t="s">
        <v>45</v>
      </c>
      <c r="C18" s="8" t="s">
        <v>46</v>
      </c>
      <c r="D18" s="8" t="s">
        <v>47</v>
      </c>
    </row>
    <row r="19" customFormat="false" ht="15" hidden="false" customHeight="false" outlineLevel="0" collapsed="false">
      <c r="A19" s="2" t="s">
        <v>48</v>
      </c>
      <c r="B19" s="12" t="n">
        <v>1</v>
      </c>
      <c r="C19" s="2" t="s">
        <v>49</v>
      </c>
      <c r="D19" s="2" t="s">
        <v>50</v>
      </c>
    </row>
    <row r="20" customFormat="false" ht="15" hidden="false" customHeight="false" outlineLevel="0" collapsed="false">
      <c r="A20" s="2" t="s">
        <v>51</v>
      </c>
      <c r="B20" s="12" t="n">
        <v>2</v>
      </c>
      <c r="C20" s="2" t="s">
        <v>52</v>
      </c>
      <c r="D20" s="2" t="s">
        <v>53</v>
      </c>
    </row>
    <row r="21" customFormat="false" ht="15" hidden="false" customHeight="false" outlineLevel="0" collapsed="false">
      <c r="A21" s="2" t="s">
        <v>54</v>
      </c>
      <c r="B21" s="12" t="n">
        <v>4</v>
      </c>
      <c r="C21" s="2" t="s">
        <v>55</v>
      </c>
      <c r="D21" s="2" t="s">
        <v>56</v>
      </c>
    </row>
    <row r="22" customFormat="false" ht="15" hidden="false" customHeight="false" outlineLevel="0" collapsed="false">
      <c r="A22" s="2" t="s">
        <v>57</v>
      </c>
      <c r="B22" s="12" t="n">
        <v>8</v>
      </c>
      <c r="C22" s="2" t="s">
        <v>58</v>
      </c>
      <c r="D22" s="2" t="s">
        <v>59</v>
      </c>
    </row>
    <row r="23" customFormat="false" ht="15" hidden="false" customHeight="false" outlineLevel="0" collapsed="false">
      <c r="A23" s="2" t="s">
        <v>60</v>
      </c>
      <c r="B23" s="12" t="n">
        <v>16</v>
      </c>
      <c r="C23" s="2" t="s">
        <v>49</v>
      </c>
      <c r="D23" s="2" t="s">
        <v>61</v>
      </c>
    </row>
    <row r="25" customFormat="false" ht="15" hidden="false" customHeight="false" outlineLevel="0" collapsed="false">
      <c r="A25" s="1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84"/>
    <col collapsed="false" customWidth="true" hidden="false" outlineLevel="0" max="8" min="6" style="0" width="11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63</v>
      </c>
    </row>
    <row r="3" customFormat="false" ht="15" hidden="false" customHeight="false" outlineLevel="0" collapsed="false">
      <c r="A3" s="8" t="s">
        <v>64</v>
      </c>
      <c r="B3" s="8" t="s">
        <v>65</v>
      </c>
      <c r="C3" s="8" t="s">
        <v>46</v>
      </c>
    </row>
    <row r="4" customFormat="false" ht="15" hidden="false" customHeight="false" outlineLevel="0" collapsed="false">
      <c r="A4" s="3" t="s">
        <v>66</v>
      </c>
      <c r="B4" s="3" t="s">
        <v>67</v>
      </c>
      <c r="C4" s="3" t="s">
        <v>68</v>
      </c>
    </row>
    <row r="5" customFormat="false" ht="35.05" hidden="false" customHeight="false" outlineLevel="0" collapsed="false">
      <c r="A5" s="3" t="s">
        <v>69</v>
      </c>
      <c r="B5" s="3" t="s">
        <v>70</v>
      </c>
      <c r="C5" s="3" t="s">
        <v>71</v>
      </c>
    </row>
    <row r="6" customFormat="false" ht="15" hidden="false" customHeight="false" outlineLevel="0" collapsed="false">
      <c r="A6" s="3" t="s">
        <v>72</v>
      </c>
      <c r="B6" s="3" t="s">
        <v>73</v>
      </c>
      <c r="C6" s="3" t="s">
        <v>52</v>
      </c>
    </row>
    <row r="7" customFormat="false" ht="23.85" hidden="false" customHeight="false" outlineLevel="0" collapsed="false">
      <c r="A7" s="3" t="s">
        <v>74</v>
      </c>
      <c r="B7" s="3" t="s">
        <v>75</v>
      </c>
      <c r="C7" s="3" t="s">
        <v>76</v>
      </c>
    </row>
    <row r="8" customFormat="false" ht="23.85" hidden="false" customHeight="false" outlineLevel="0" collapsed="false">
      <c r="A8" s="3" t="s">
        <v>77</v>
      </c>
      <c r="B8" s="3" t="s">
        <v>78</v>
      </c>
      <c r="C8" s="3" t="s">
        <v>79</v>
      </c>
    </row>
    <row r="9" customFormat="false" ht="15" hidden="false" customHeight="false" outlineLevel="0" collapsed="false">
      <c r="A9" s="3" t="s">
        <v>80</v>
      </c>
      <c r="B9" s="3" t="s">
        <v>81</v>
      </c>
      <c r="C9" s="3" t="s">
        <v>82</v>
      </c>
    </row>
    <row r="11" customFormat="false" ht="23.85" hidden="false" customHeight="false" outlineLevel="0" collapsed="false">
      <c r="A11" s="8" t="s">
        <v>19</v>
      </c>
      <c r="B11" s="8" t="s">
        <v>83</v>
      </c>
      <c r="C11" s="8" t="s">
        <v>84</v>
      </c>
      <c r="D11" s="8" t="s">
        <v>85</v>
      </c>
      <c r="E11" s="8" t="s">
        <v>86</v>
      </c>
    </row>
    <row r="12" customFormat="false" ht="15" hidden="false" customHeight="false" outlineLevel="0" collapsed="false">
      <c r="A12" s="2" t="s">
        <v>87</v>
      </c>
      <c r="B12" s="5" t="s">
        <v>88</v>
      </c>
      <c r="C12" s="2" t="s">
        <v>89</v>
      </c>
      <c r="D12" s="2"/>
      <c r="E12" s="2" t="str">
        <f aca="false">IF(B12="decision",IF(C12="yes","REFUSED: induced by the dynamics; a lever on it would be a phantom lever","accepted as a decision"),IF(C12="yes","induced: computed by the dynamics","REFUSED: nothing computes it, so it must be declared a decision"))</f>
        <v>accepted as a decision</v>
      </c>
    </row>
    <row r="13" customFormat="false" ht="15" hidden="false" customHeight="false" outlineLevel="0" collapsed="false">
      <c r="A13" s="2" t="s">
        <v>90</v>
      </c>
      <c r="B13" s="5" t="s">
        <v>88</v>
      </c>
      <c r="C13" s="2" t="s">
        <v>89</v>
      </c>
      <c r="D13" s="2"/>
      <c r="E13" s="2" t="str">
        <f aca="false">IF(B13="decision",IF(C13="yes","REFUSED: induced by the dynamics; a lever on it would be a phantom lever","accepted as a decision"),IF(C13="yes","induced: computed by the dynamics","REFUSED: nothing computes it, so it must be declared a decision"))</f>
        <v>accepted as a decision</v>
      </c>
    </row>
    <row r="14" customFormat="false" ht="15" hidden="false" customHeight="false" outlineLevel="0" collapsed="false">
      <c r="A14" s="2" t="s">
        <v>91</v>
      </c>
      <c r="B14" s="5" t="s">
        <v>92</v>
      </c>
      <c r="C14" s="2" t="s">
        <v>93</v>
      </c>
      <c r="D14" s="2" t="s">
        <v>94</v>
      </c>
      <c r="E14" s="2" t="str">
        <f aca="false">IF(B14="decision",IF(C14="yes","REFUSED: induced by the dynamics; a lever on it would be a phantom lever","accepted as a decision"),IF(C14="yes","induced: computed by the dynamics","REFUSED: nothing computes it, so it must be declared a decision"))</f>
        <v>induced: computed by the dynamics</v>
      </c>
    </row>
    <row r="15" customFormat="false" ht="15" hidden="false" customHeight="false" outlineLevel="0" collapsed="false">
      <c r="A15" s="2" t="s">
        <v>95</v>
      </c>
      <c r="B15" s="5" t="s">
        <v>92</v>
      </c>
      <c r="C15" s="2" t="s">
        <v>93</v>
      </c>
      <c r="D15" s="2" t="s">
        <v>96</v>
      </c>
      <c r="E15" s="2" t="str">
        <f aca="false">IF(B15="decision",IF(C15="yes","REFUSED: induced by the dynamics; a lever on it would be a phantom lever","accepted as a decision"),IF(C15="yes","induced: computed by the dynamics","REFUSED: nothing computes it, so it must be declared a decision"))</f>
        <v>induced: computed by the dynamics</v>
      </c>
    </row>
    <row r="16" customFormat="false" ht="15" hidden="false" customHeight="false" outlineLevel="0" collapsed="false">
      <c r="A16" s="2" t="s">
        <v>97</v>
      </c>
      <c r="B16" s="5" t="s">
        <v>88</v>
      </c>
      <c r="C16" s="2" t="s">
        <v>93</v>
      </c>
      <c r="D16" s="2" t="s">
        <v>98</v>
      </c>
      <c r="E16" s="2" t="str">
        <f aca="false">IF(B16="decision",IF(C16="yes","REFUSED: induced by the dynamics; a lever on it would be a phantom lever","accepted as a decision"),IF(C16="yes","induced: computed by the dynamics","REFUSED: nothing computes it, so it must be declared a decision"))</f>
        <v>REFUSED: induced by the dynamics; a lever on it would be a phantom lever</v>
      </c>
    </row>
    <row r="17" customFormat="false" ht="15" hidden="false" customHeight="false" outlineLevel="0" collapsed="false">
      <c r="A17" s="2" t="s">
        <v>99</v>
      </c>
      <c r="B17" s="5" t="s">
        <v>92</v>
      </c>
      <c r="C17" s="2" t="s">
        <v>93</v>
      </c>
      <c r="D17" s="2" t="s">
        <v>100</v>
      </c>
      <c r="E17" s="2" t="str">
        <f aca="false">IF(B17="decision",IF(C17="yes","REFUSED: induced by the dynamics; a lever on it would be a phantom lever","accepted as a decision"),IF(C17="yes","induced: computed by the dynamics","REFUSED: nothing computes it, so it must be declared a decision"))</f>
        <v>induced: computed by the dynamics</v>
      </c>
    </row>
    <row r="18" customFormat="false" ht="15" hidden="false" customHeight="false" outlineLevel="0" collapsed="false">
      <c r="A18" s="4" t="s">
        <v>101</v>
      </c>
      <c r="B18" s="12" t="n">
        <f aca="false">COUNTIF(E12:E17,"REFUSED*")</f>
        <v>1</v>
      </c>
    </row>
    <row r="19" customFormat="false" ht="15" hidden="false" customHeight="false" outlineLevel="0" collapsed="false">
      <c r="A19" s="10" t="s">
        <v>102</v>
      </c>
    </row>
    <row r="21" customFormat="false" ht="15" hidden="false" customHeight="false" outlineLevel="0" collapsed="false">
      <c r="A21" s="4" t="s">
        <v>103</v>
      </c>
    </row>
    <row r="22" customFormat="false" ht="15" hidden="false" customHeight="false" outlineLevel="0" collapsed="false">
      <c r="A22" s="8" t="s">
        <v>104</v>
      </c>
      <c r="B22" s="8" t="s">
        <v>105</v>
      </c>
      <c r="C22" s="8" t="s">
        <v>106</v>
      </c>
      <c r="D22" s="8" t="s">
        <v>107</v>
      </c>
      <c r="E22" s="8" t="s">
        <v>108</v>
      </c>
      <c r="F22" s="8" t="s">
        <v>109</v>
      </c>
      <c r="G22" s="8" t="s">
        <v>110</v>
      </c>
      <c r="H22" s="8" t="s">
        <v>111</v>
      </c>
      <c r="I22" s="8" t="s">
        <v>112</v>
      </c>
    </row>
    <row r="23" customFormat="false" ht="15" hidden="false" customHeight="false" outlineLevel="0" collapsed="false">
      <c r="A23" s="2" t="s">
        <v>113</v>
      </c>
      <c r="B23" s="2" t="s">
        <v>114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</row>
    <row r="24" customFormat="false" ht="15" hidden="false" customHeight="false" outlineLevel="0" collapsed="false">
      <c r="A24" s="2"/>
      <c r="B24" s="2" t="s">
        <v>115</v>
      </c>
      <c r="C24" s="14" t="n">
        <f aca="false">IF(C23=1,Eff_0+Gap_closed*(Eff_ceiling-Eff_0),Eff_0)</f>
        <v>78</v>
      </c>
      <c r="D24" s="14" t="n">
        <f aca="false">IF(D23=1,C24+Gap_closed*(Eff_ceiling-C24),C24)</f>
        <v>81.5</v>
      </c>
      <c r="E24" s="14" t="n">
        <f aca="false">IF(E23=1,D24+Gap_closed*(Eff_ceiling-D24),D24)</f>
        <v>83.25</v>
      </c>
      <c r="F24" s="14" t="n">
        <f aca="false">IF(F23=1,E24+Gap_closed*(Eff_ceiling-E24),E24)</f>
        <v>84.125</v>
      </c>
      <c r="G24" s="14" t="n">
        <f aca="false">IF(G23=1,F24+Gap_closed*(Eff_ceiling-F24),F24)</f>
        <v>84.5625</v>
      </c>
      <c r="H24" s="14" t="n">
        <f aca="false">IF(H23=1,G24+Gap_closed*(Eff_ceiling-G24),G24)</f>
        <v>84.78125</v>
      </c>
    </row>
    <row r="25" customFormat="false" ht="15" hidden="false" customHeight="false" outlineLevel="0" collapsed="false">
      <c r="A25" s="2"/>
      <c r="B25" s="2" t="s">
        <v>116</v>
      </c>
      <c r="C25" s="14" t="n">
        <f aca="false">Sav_point*(C24-Eff_0)</f>
        <v>70</v>
      </c>
      <c r="D25" s="14" t="n">
        <f aca="false">Sav_point*(D24-Eff_0)</f>
        <v>105</v>
      </c>
      <c r="E25" s="14" t="n">
        <f aca="false">Sav_point*(E24-Eff_0)</f>
        <v>122.5</v>
      </c>
      <c r="F25" s="14" t="n">
        <f aca="false">Sav_point*(F24-Eff_0)</f>
        <v>131.25</v>
      </c>
      <c r="G25" s="14" t="n">
        <f aca="false">Sav_point*(G24-Eff_0)</f>
        <v>135.625</v>
      </c>
      <c r="H25" s="14" t="n">
        <f aca="false">Sav_point*(H24-Eff_0)</f>
        <v>137.8125</v>
      </c>
      <c r="I25" s="14" t="n">
        <f aca="false">SUM(C25:H25)</f>
        <v>702.1875</v>
      </c>
    </row>
    <row r="27" customFormat="false" ht="15" hidden="false" customHeight="false" outlineLevel="0" collapsed="false">
      <c r="A27" s="2" t="s">
        <v>117</v>
      </c>
      <c r="B27" s="2" t="s">
        <v>114</v>
      </c>
      <c r="C27" s="9" t="n">
        <v>1</v>
      </c>
      <c r="D27" s="9" t="n">
        <v>1</v>
      </c>
      <c r="E27" s="9" t="n">
        <v>0</v>
      </c>
      <c r="F27" s="9" t="n">
        <v>1</v>
      </c>
      <c r="G27" s="9" t="n">
        <v>0</v>
      </c>
      <c r="H27" s="9" t="n">
        <v>0</v>
      </c>
    </row>
    <row r="28" customFormat="false" ht="15" hidden="false" customHeight="false" outlineLevel="0" collapsed="false">
      <c r="A28" s="2"/>
      <c r="B28" s="2" t="s">
        <v>115</v>
      </c>
      <c r="C28" s="14" t="n">
        <f aca="false">IF(C27=1,Eff_0+Gap_closed*(Eff_ceiling-Eff_0),Eff_0)</f>
        <v>78</v>
      </c>
      <c r="D28" s="14" t="n">
        <f aca="false">IF(D27=1,C28+Gap_closed*(Eff_ceiling-C28),C28)</f>
        <v>81.5</v>
      </c>
      <c r="E28" s="14" t="n">
        <f aca="false">IF(E27=1,D28+Gap_closed*(Eff_ceiling-D28),D28)</f>
        <v>81.5</v>
      </c>
      <c r="F28" s="14" t="n">
        <f aca="false">IF(F27=1,E28+Gap_closed*(Eff_ceiling-E28),E28)</f>
        <v>83.25</v>
      </c>
      <c r="G28" s="14" t="n">
        <f aca="false">IF(G27=1,F28+Gap_closed*(Eff_ceiling-F28),F28)</f>
        <v>83.25</v>
      </c>
      <c r="H28" s="14" t="n">
        <f aca="false">IF(H27=1,G28+Gap_closed*(Eff_ceiling-G28),G28)</f>
        <v>83.25</v>
      </c>
    </row>
    <row r="29" customFormat="false" ht="15" hidden="false" customHeight="false" outlineLevel="0" collapsed="false">
      <c r="A29" s="2"/>
      <c r="B29" s="2" t="s">
        <v>116</v>
      </c>
      <c r="C29" s="14" t="n">
        <f aca="false">Sav_point*(C28-Eff_0)</f>
        <v>70</v>
      </c>
      <c r="D29" s="14" t="n">
        <f aca="false">Sav_point*(D28-Eff_0)</f>
        <v>105</v>
      </c>
      <c r="E29" s="14" t="n">
        <f aca="false">Sav_point*(E28-Eff_0)</f>
        <v>105</v>
      </c>
      <c r="F29" s="14" t="n">
        <f aca="false">Sav_point*(F28-Eff_0)</f>
        <v>122.5</v>
      </c>
      <c r="G29" s="14" t="n">
        <f aca="false">Sav_point*(G28-Eff_0)</f>
        <v>122.5</v>
      </c>
      <c r="H29" s="14" t="n">
        <f aca="false">Sav_point*(H28-Eff_0)</f>
        <v>122.5</v>
      </c>
      <c r="I29" s="14" t="n">
        <f aca="false">SUM(C29:H29)</f>
        <v>647.5</v>
      </c>
    </row>
    <row r="31" customFormat="false" ht="15" hidden="false" customHeight="false" outlineLevel="0" collapsed="false">
      <c r="A31" s="2" t="s">
        <v>118</v>
      </c>
      <c r="B31" s="14" t="n">
        <f aca="false">I25</f>
        <v>702.1875</v>
      </c>
    </row>
    <row r="32" customFormat="false" ht="15" hidden="false" customHeight="false" outlineLevel="0" collapsed="false">
      <c r="A32" s="2" t="s">
        <v>119</v>
      </c>
      <c r="B32" s="14" t="n">
        <f aca="false">I29</f>
        <v>647.5</v>
      </c>
    </row>
    <row r="33" customFormat="false" ht="15" hidden="false" customHeight="false" outlineLevel="0" collapsed="false">
      <c r="A33" s="2" t="s">
        <v>120</v>
      </c>
      <c r="B33" s="14" t="n">
        <f aca="false">B31-B32</f>
        <v>54.6875</v>
      </c>
    </row>
    <row r="34" customFormat="false" ht="15" hidden="false" customHeight="false" outlineLevel="0" collapsed="false">
      <c r="A34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"/>
    <col collapsed="false" customWidth="true" hidden="false" outlineLevel="0" max="13" min="13" style="0" width="62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10" t="s">
        <v>123</v>
      </c>
    </row>
    <row r="4" customFormat="false" ht="15" hidden="false" customHeight="false" outlineLevel="0" collapsed="false">
      <c r="A4" s="4" t="s">
        <v>124</v>
      </c>
    </row>
    <row r="5" customFormat="false" ht="35.05" hidden="false" customHeight="false" outlineLevel="0" collapsed="false">
      <c r="A5" s="8" t="s">
        <v>125</v>
      </c>
      <c r="B5" s="8" t="s">
        <v>126</v>
      </c>
      <c r="C5" s="8" t="s">
        <v>127</v>
      </c>
      <c r="D5" s="8" t="s">
        <v>128</v>
      </c>
      <c r="E5" s="8" t="s">
        <v>129</v>
      </c>
      <c r="F5" s="8" t="s">
        <v>130</v>
      </c>
      <c r="G5" s="8" t="s">
        <v>131</v>
      </c>
      <c r="H5" s="8" t="s">
        <v>132</v>
      </c>
      <c r="I5" s="8" t="s">
        <v>133</v>
      </c>
      <c r="J5" s="8" t="s">
        <v>134</v>
      </c>
      <c r="K5" s="8" t="s">
        <v>135</v>
      </c>
      <c r="M5" s="8" t="s">
        <v>136</v>
      </c>
      <c r="N5" s="8" t="s">
        <v>20</v>
      </c>
    </row>
    <row r="6" customFormat="false" ht="15" hidden="false" customHeight="false" outlineLevel="0" collapsed="false">
      <c r="A6" s="12" t="n">
        <v>1</v>
      </c>
      <c r="B6" s="9" t="n">
        <v>1</v>
      </c>
      <c r="C6" s="14" t="n">
        <f aca="false">Liq_0</f>
        <v>620</v>
      </c>
      <c r="D6" s="14" t="n">
        <f aca="false">C6-Round_cost*B6</f>
        <v>500</v>
      </c>
      <c r="E6" s="12" t="n">
        <f aca="false">Cap_0</f>
        <v>58</v>
      </c>
      <c r="F6" s="14" t="n">
        <f aca="false">IF(B6=1,Eff_0+Gap_closed*(Eff_ceiling-Eff_0),Eff_0)</f>
        <v>78</v>
      </c>
      <c r="G6" s="14" t="n">
        <f aca="false">Sav_point*(F6-Eff_0)</f>
        <v>70</v>
      </c>
      <c r="H6" s="14" t="n">
        <f aca="false">Pledge_share*G6</f>
        <v>35</v>
      </c>
      <c r="I6" s="14" t="n">
        <f aca="false">D6+G6-H6</f>
        <v>535</v>
      </c>
      <c r="J6" s="2" t="str">
        <f aca="false">IF(AND(OR(B6=0,D6&gt;=Floor_liq-0.000000001),I6&gt;=Floor_liq-0.000000001),"yes","no")</f>
        <v>yes</v>
      </c>
      <c r="K6" s="2" t="str">
        <f aca="false">IF(OR(B6=0,E6&gt;=Cap_min),"yes","no")</f>
        <v>yes</v>
      </c>
      <c r="M6" s="2" t="s">
        <v>137</v>
      </c>
      <c r="N6" s="15" t="n">
        <f aca="false">I6</f>
        <v>535</v>
      </c>
    </row>
    <row r="7" customFormat="false" ht="15" hidden="false" customHeight="false" outlineLevel="0" collapsed="false">
      <c r="A7" s="12" t="n">
        <v>2</v>
      </c>
      <c r="B7" s="9" t="n">
        <v>1</v>
      </c>
      <c r="C7" s="14" t="n">
        <f aca="false">I6</f>
        <v>535</v>
      </c>
      <c r="D7" s="14" t="n">
        <f aca="false">C7-Round_cost*B7</f>
        <v>415</v>
      </c>
      <c r="E7" s="12" t="n">
        <f aca="false">E6+Cap_step*B6</f>
        <v>59</v>
      </c>
      <c r="F7" s="14" t="n">
        <f aca="false">IF(B7=1,F6+Gap_closed*(Eff_ceiling-F6),F6)</f>
        <v>81.5</v>
      </c>
      <c r="G7" s="14" t="n">
        <f aca="false">Sav_point*(F7-Eff_0)</f>
        <v>105</v>
      </c>
      <c r="H7" s="14" t="n">
        <f aca="false">Pledge_share*G7</f>
        <v>52.5</v>
      </c>
      <c r="I7" s="14" t="n">
        <f aca="false">D7+G7-H7</f>
        <v>467.5</v>
      </c>
      <c r="J7" s="2" t="str">
        <f aca="false">IF(AND(OR(B7=0,D7&gt;=Floor_liq-0.000000001),I7&gt;=Floor_liq-0.000000001),"yes","no")</f>
        <v>yes</v>
      </c>
      <c r="K7" s="2" t="str">
        <f aca="false">IF(OR(B7=0,E7&gt;=Cap_min),"yes","no")</f>
        <v>yes</v>
      </c>
      <c r="M7" s="2" t="s">
        <v>138</v>
      </c>
      <c r="N7" s="15" t="n">
        <f aca="false">I7</f>
        <v>467.5</v>
      </c>
    </row>
    <row r="8" customFormat="false" ht="15" hidden="false" customHeight="false" outlineLevel="0" collapsed="false">
      <c r="A8" s="12" t="n">
        <v>3</v>
      </c>
      <c r="B8" s="9" t="n">
        <v>1</v>
      </c>
      <c r="C8" s="14" t="n">
        <f aca="false">I7</f>
        <v>467.5</v>
      </c>
      <c r="D8" s="14" t="n">
        <f aca="false">C8-Round_cost*B8</f>
        <v>347.5</v>
      </c>
      <c r="E8" s="12" t="n">
        <f aca="false">E7+Cap_step*B7</f>
        <v>60</v>
      </c>
      <c r="F8" s="14" t="n">
        <f aca="false">IF(B8=1,F7+Gap_closed*(Eff_ceiling-F7),F7)</f>
        <v>83.25</v>
      </c>
      <c r="G8" s="14" t="n">
        <f aca="false">Sav_point*(F8-Eff_0)</f>
        <v>122.5</v>
      </c>
      <c r="H8" s="14" t="n">
        <f aca="false">Pledge_share*G8</f>
        <v>61.25</v>
      </c>
      <c r="I8" s="14" t="n">
        <f aca="false">D8+G8-H8</f>
        <v>408.75</v>
      </c>
      <c r="J8" s="2" t="str">
        <f aca="false">IF(AND(OR(B8=0,D8&gt;=Floor_liq-0.000000001),I8&gt;=Floor_liq-0.000000001),"yes","no")</f>
        <v>no</v>
      </c>
      <c r="K8" s="2" t="str">
        <f aca="false">IF(OR(B8=0,E8&gt;=Cap_min),"yes","no")</f>
        <v>yes</v>
      </c>
      <c r="M8" s="2" t="s">
        <v>139</v>
      </c>
      <c r="N8" s="15" t="n">
        <f aca="false">D8</f>
        <v>347.5</v>
      </c>
    </row>
    <row r="9" customFormat="false" ht="15" hidden="false" customHeight="false" outlineLevel="0" collapsed="false">
      <c r="A9" s="12" t="n">
        <v>4</v>
      </c>
      <c r="B9" s="9" t="n">
        <v>1</v>
      </c>
      <c r="C9" s="14" t="n">
        <f aca="false">I8</f>
        <v>408.75</v>
      </c>
      <c r="D9" s="14" t="n">
        <f aca="false">C9-Round_cost*B9</f>
        <v>288.75</v>
      </c>
      <c r="E9" s="12" t="n">
        <f aca="false">E8+Cap_step*B8</f>
        <v>61</v>
      </c>
      <c r="F9" s="14" t="n">
        <f aca="false">IF(B9=1,F8+Gap_closed*(Eff_ceiling-F8),F8)</f>
        <v>84.125</v>
      </c>
      <c r="G9" s="14" t="n">
        <f aca="false">Sav_point*(F9-Eff_0)</f>
        <v>131.25</v>
      </c>
      <c r="H9" s="14" t="n">
        <f aca="false">Pledge_share*G9</f>
        <v>65.625</v>
      </c>
      <c r="I9" s="14" t="n">
        <f aca="false">D9+G9-H9</f>
        <v>354.375</v>
      </c>
      <c r="J9" s="2" t="str">
        <f aca="false">IF(AND(OR(B9=0,D9&gt;=Floor_liq-0.000000001),I9&gt;=Floor_liq-0.000000001),"yes","no")</f>
        <v>no</v>
      </c>
      <c r="K9" s="2" t="str">
        <f aca="false">IF(OR(B9=0,E9&gt;=Cap_min),"yes","no")</f>
        <v>yes</v>
      </c>
      <c r="M9" s="2" t="s">
        <v>140</v>
      </c>
      <c r="N9" s="12" t="n">
        <f aca="false">IF(COUNTIF(J6:J11,"no")=0,0,MATCH("no",J6:J11,0))</f>
        <v>3</v>
      </c>
    </row>
    <row r="10" customFormat="false" ht="15" hidden="false" customHeight="false" outlineLevel="0" collapsed="false">
      <c r="A10" s="12" t="n">
        <v>5</v>
      </c>
      <c r="B10" s="9" t="n">
        <v>1</v>
      </c>
      <c r="C10" s="14" t="n">
        <f aca="false">I9</f>
        <v>354.375</v>
      </c>
      <c r="D10" s="14" t="n">
        <f aca="false">C10-Round_cost*B10</f>
        <v>234.375</v>
      </c>
      <c r="E10" s="12" t="n">
        <f aca="false">E9+Cap_step*B9</f>
        <v>62</v>
      </c>
      <c r="F10" s="14" t="n">
        <f aca="false">IF(B10=1,F9+Gap_closed*(Eff_ceiling-F9),F9)</f>
        <v>84.5625</v>
      </c>
      <c r="G10" s="14" t="n">
        <f aca="false">Sav_point*(F10-Eff_0)</f>
        <v>135.625</v>
      </c>
      <c r="H10" s="14" t="n">
        <f aca="false">Pledge_share*G10</f>
        <v>67.8125</v>
      </c>
      <c r="I10" s="14" t="n">
        <f aca="false">D10+G10-H10</f>
        <v>302.1875</v>
      </c>
      <c r="J10" s="2" t="str">
        <f aca="false">IF(AND(OR(B10=0,D10&gt;=Floor_liq-0.000000001),I10&gt;=Floor_liq-0.000000001),"yes","no")</f>
        <v>no</v>
      </c>
      <c r="K10" s="2" t="str">
        <f aca="false">IF(OR(B10=0,E10&gt;=Cap_min),"yes","no")</f>
        <v>yes</v>
      </c>
      <c r="M10" s="2" t="s">
        <v>141</v>
      </c>
      <c r="N10" s="15" t="n">
        <f aca="false">SUM(H6:H7)</f>
        <v>87.5</v>
      </c>
    </row>
    <row r="11" customFormat="false" ht="15" hidden="false" customHeight="false" outlineLevel="0" collapsed="false">
      <c r="A11" s="12" t="n">
        <v>6</v>
      </c>
      <c r="B11" s="9" t="n">
        <v>1</v>
      </c>
      <c r="C11" s="14" t="n">
        <f aca="false">I10</f>
        <v>302.1875</v>
      </c>
      <c r="D11" s="14" t="n">
        <f aca="false">C11-Round_cost*B11</f>
        <v>182.1875</v>
      </c>
      <c r="E11" s="12" t="n">
        <f aca="false">E10+Cap_step*B10</f>
        <v>63</v>
      </c>
      <c r="F11" s="14" t="n">
        <f aca="false">IF(B11=1,F10+Gap_closed*(Eff_ceiling-F10),F10)</f>
        <v>84.78125</v>
      </c>
      <c r="G11" s="14" t="n">
        <f aca="false">Sav_point*(F11-Eff_0)</f>
        <v>137.8125</v>
      </c>
      <c r="H11" s="14" t="n">
        <f aca="false">Pledge_share*G11</f>
        <v>68.90625</v>
      </c>
      <c r="I11" s="14" t="n">
        <f aca="false">D11+G11-H11</f>
        <v>251.09375</v>
      </c>
      <c r="J11" s="2" t="str">
        <f aca="false">IF(AND(OR(B11=0,D11&gt;=Floor_liq-0.000000001),I11&gt;=Floor_liq-0.000000001),"yes","no")</f>
        <v>no</v>
      </c>
      <c r="K11" s="2" t="str">
        <f aca="false">IF(OR(B11=0,E11&gt;=Cap_min),"yes","no")</f>
        <v>yes</v>
      </c>
      <c r="M11" s="2" t="s">
        <v>142</v>
      </c>
      <c r="N11" s="15" t="n">
        <f aca="false">Liq_start-I7</f>
        <v>2.5</v>
      </c>
    </row>
    <row r="12" customFormat="false" ht="15" hidden="false" customHeight="false" outlineLevel="0" collapsed="false">
      <c r="A12" s="10" t="s">
        <v>143</v>
      </c>
      <c r="M12" s="2" t="s">
        <v>144</v>
      </c>
      <c r="N12" s="14" t="n">
        <f aca="false">I21</f>
        <v>602.1875</v>
      </c>
    </row>
    <row r="13" customFormat="false" ht="15" hidden="false" customHeight="false" outlineLevel="0" collapsed="false">
      <c r="M13" s="2" t="s">
        <v>145</v>
      </c>
      <c r="N13" s="12" t="n">
        <f aca="false">IF(COUNTIF(J16:J21,"no")=0,0,MATCH("no",J16:J21,0))</f>
        <v>0</v>
      </c>
    </row>
    <row r="14" customFormat="false" ht="15" hidden="false" customHeight="false" outlineLevel="0" collapsed="false">
      <c r="A14" s="4" t="s">
        <v>146</v>
      </c>
      <c r="M14" s="2" t="s">
        <v>147</v>
      </c>
      <c r="N14" s="2" t="str">
        <f aca="false">IF(I21&gt;=End_liq,"yes","no")</f>
        <v>yes</v>
      </c>
    </row>
    <row r="15" customFormat="false" ht="35.05" hidden="false" customHeight="false" outlineLevel="0" collapsed="false">
      <c r="A15" s="8" t="s">
        <v>125</v>
      </c>
      <c r="B15" s="8" t="s">
        <v>126</v>
      </c>
      <c r="C15" s="8" t="s">
        <v>127</v>
      </c>
      <c r="D15" s="8" t="s">
        <v>128</v>
      </c>
      <c r="E15" s="8" t="s">
        <v>129</v>
      </c>
      <c r="F15" s="8" t="s">
        <v>130</v>
      </c>
      <c r="G15" s="8" t="s">
        <v>131</v>
      </c>
      <c r="H15" s="8" t="s">
        <v>132</v>
      </c>
      <c r="I15" s="8" t="s">
        <v>133</v>
      </c>
      <c r="J15" s="8" t="s">
        <v>134</v>
      </c>
      <c r="K15" s="8" t="s">
        <v>135</v>
      </c>
    </row>
    <row r="16" customFormat="false" ht="15" hidden="false" customHeight="false" outlineLevel="0" collapsed="false">
      <c r="A16" s="12" t="n">
        <v>1</v>
      </c>
      <c r="B16" s="9" t="n">
        <v>1</v>
      </c>
      <c r="C16" s="14" t="n">
        <f aca="false">Liq_0</f>
        <v>620</v>
      </c>
      <c r="D16" s="14" t="n">
        <f aca="false">C16-Round_cost*B16</f>
        <v>500</v>
      </c>
      <c r="E16" s="12" t="n">
        <f aca="false">Cap_0</f>
        <v>58</v>
      </c>
      <c r="F16" s="14" t="n">
        <f aca="false">IF(B16=1,Eff_0+Gap_closed*(Eff_ceiling-Eff_0),Eff_0)</f>
        <v>78</v>
      </c>
      <c r="G16" s="14" t="n">
        <f aca="false">Sav_point*(F16-Eff_0)</f>
        <v>70</v>
      </c>
      <c r="H16" s="14" t="n">
        <f aca="false">0*G16</f>
        <v>0</v>
      </c>
      <c r="I16" s="14" t="n">
        <f aca="false">D16+G16-H16</f>
        <v>570</v>
      </c>
      <c r="J16" s="2" t="str">
        <f aca="false">IF(AND(OR(B16=0,D16&gt;=Floor_liq-0.000000001),I16&gt;=Floor_liq-0.000000001),"yes","no")</f>
        <v>yes</v>
      </c>
      <c r="K16" s="2" t="str">
        <f aca="false">IF(OR(B16=0,E16&gt;=Cap_min),"yes","no")</f>
        <v>yes</v>
      </c>
    </row>
    <row r="17" customFormat="false" ht="15" hidden="false" customHeight="false" outlineLevel="0" collapsed="false">
      <c r="A17" s="12" t="n">
        <v>2</v>
      </c>
      <c r="B17" s="9" t="n">
        <v>1</v>
      </c>
      <c r="C17" s="14" t="n">
        <f aca="false">I16</f>
        <v>570</v>
      </c>
      <c r="D17" s="14" t="n">
        <f aca="false">C17-Round_cost*B17</f>
        <v>450</v>
      </c>
      <c r="E17" s="12" t="n">
        <f aca="false">E16+Cap_step*B16</f>
        <v>59</v>
      </c>
      <c r="F17" s="14" t="n">
        <f aca="false">IF(B17=1,F16+Gap_closed*(Eff_ceiling-F16),F16)</f>
        <v>81.5</v>
      </c>
      <c r="G17" s="14" t="n">
        <f aca="false">Sav_point*(F17-Eff_0)</f>
        <v>105</v>
      </c>
      <c r="H17" s="14" t="n">
        <f aca="false">0*G17</f>
        <v>0</v>
      </c>
      <c r="I17" s="14" t="n">
        <f aca="false">D17+G17-H17</f>
        <v>555</v>
      </c>
      <c r="J17" s="2" t="str">
        <f aca="false">IF(AND(OR(B17=0,D17&gt;=Floor_liq-0.000000001),I17&gt;=Floor_liq-0.000000001),"yes","no")</f>
        <v>yes</v>
      </c>
      <c r="K17" s="2" t="str">
        <f aca="false">IF(OR(B17=0,E17&gt;=Cap_min),"yes","no")</f>
        <v>yes</v>
      </c>
    </row>
    <row r="18" customFormat="false" ht="15" hidden="false" customHeight="false" outlineLevel="0" collapsed="false">
      <c r="A18" s="12" t="n">
        <v>3</v>
      </c>
      <c r="B18" s="9" t="n">
        <v>1</v>
      </c>
      <c r="C18" s="14" t="n">
        <f aca="false">I17</f>
        <v>555</v>
      </c>
      <c r="D18" s="14" t="n">
        <f aca="false">C18-Round_cost*B18</f>
        <v>435</v>
      </c>
      <c r="E18" s="12" t="n">
        <f aca="false">E17+Cap_step*B17</f>
        <v>60</v>
      </c>
      <c r="F18" s="14" t="n">
        <f aca="false">IF(B18=1,F17+Gap_closed*(Eff_ceiling-F17),F17)</f>
        <v>83.25</v>
      </c>
      <c r="G18" s="14" t="n">
        <f aca="false">Sav_point*(F18-Eff_0)</f>
        <v>122.5</v>
      </c>
      <c r="H18" s="14" t="n">
        <f aca="false">0*G18</f>
        <v>0</v>
      </c>
      <c r="I18" s="14" t="n">
        <f aca="false">D18+G18-H18</f>
        <v>557.5</v>
      </c>
      <c r="J18" s="2" t="str">
        <f aca="false">IF(AND(OR(B18=0,D18&gt;=Floor_liq-0.000000001),I18&gt;=Floor_liq-0.000000001),"yes","no")</f>
        <v>yes</v>
      </c>
      <c r="K18" s="2" t="str">
        <f aca="false">IF(OR(B18=0,E18&gt;=Cap_min),"yes","no")</f>
        <v>yes</v>
      </c>
    </row>
    <row r="19" customFormat="false" ht="15" hidden="false" customHeight="false" outlineLevel="0" collapsed="false">
      <c r="A19" s="12" t="n">
        <v>4</v>
      </c>
      <c r="B19" s="9" t="n">
        <v>1</v>
      </c>
      <c r="C19" s="14" t="n">
        <f aca="false">I18</f>
        <v>557.5</v>
      </c>
      <c r="D19" s="14" t="n">
        <f aca="false">C19-Round_cost*B19</f>
        <v>437.5</v>
      </c>
      <c r="E19" s="12" t="n">
        <f aca="false">E18+Cap_step*B18</f>
        <v>61</v>
      </c>
      <c r="F19" s="14" t="n">
        <f aca="false">IF(B19=1,F18+Gap_closed*(Eff_ceiling-F18),F18)</f>
        <v>84.125</v>
      </c>
      <c r="G19" s="14" t="n">
        <f aca="false">Sav_point*(F19-Eff_0)</f>
        <v>131.25</v>
      </c>
      <c r="H19" s="14" t="n">
        <f aca="false">0*G19</f>
        <v>0</v>
      </c>
      <c r="I19" s="14" t="n">
        <f aca="false">D19+G19-H19</f>
        <v>568.75</v>
      </c>
      <c r="J19" s="2" t="str">
        <f aca="false">IF(AND(OR(B19=0,D19&gt;=Floor_liq-0.000000001),I19&gt;=Floor_liq-0.000000001),"yes","no")</f>
        <v>yes</v>
      </c>
      <c r="K19" s="2" t="str">
        <f aca="false">IF(OR(B19=0,E19&gt;=Cap_min),"yes","no")</f>
        <v>yes</v>
      </c>
    </row>
    <row r="20" customFormat="false" ht="15" hidden="false" customHeight="false" outlineLevel="0" collapsed="false">
      <c r="A20" s="12" t="n">
        <v>5</v>
      </c>
      <c r="B20" s="9" t="n">
        <v>1</v>
      </c>
      <c r="C20" s="14" t="n">
        <f aca="false">I19</f>
        <v>568.75</v>
      </c>
      <c r="D20" s="14" t="n">
        <f aca="false">C20-Round_cost*B20</f>
        <v>448.75</v>
      </c>
      <c r="E20" s="12" t="n">
        <f aca="false">E19+Cap_step*B19</f>
        <v>62</v>
      </c>
      <c r="F20" s="14" t="n">
        <f aca="false">IF(B20=1,F19+Gap_closed*(Eff_ceiling-F19),F19)</f>
        <v>84.5625</v>
      </c>
      <c r="G20" s="14" t="n">
        <f aca="false">Sav_point*(F20-Eff_0)</f>
        <v>135.625</v>
      </c>
      <c r="H20" s="14" t="n">
        <f aca="false">0*G20</f>
        <v>0</v>
      </c>
      <c r="I20" s="14" t="n">
        <f aca="false">D20+G20-H20</f>
        <v>584.375</v>
      </c>
      <c r="J20" s="2" t="str">
        <f aca="false">IF(AND(OR(B20=0,D20&gt;=Floor_liq-0.000000001),I20&gt;=Floor_liq-0.000000001),"yes","no")</f>
        <v>yes</v>
      </c>
      <c r="K20" s="2" t="str">
        <f aca="false">IF(OR(B20=0,E20&gt;=Cap_min),"yes","no")</f>
        <v>yes</v>
      </c>
    </row>
    <row r="21" customFormat="false" ht="15" hidden="false" customHeight="false" outlineLevel="0" collapsed="false">
      <c r="A21" s="12" t="n">
        <v>6</v>
      </c>
      <c r="B21" s="9" t="n">
        <v>1</v>
      </c>
      <c r="C21" s="14" t="n">
        <f aca="false">I20</f>
        <v>584.375</v>
      </c>
      <c r="D21" s="14" t="n">
        <f aca="false">C21-Round_cost*B21</f>
        <v>464.375</v>
      </c>
      <c r="E21" s="12" t="n">
        <f aca="false">E20+Cap_step*B20</f>
        <v>63</v>
      </c>
      <c r="F21" s="14" t="n">
        <f aca="false">IF(B21=1,F20+Gap_closed*(Eff_ceiling-F20),F20)</f>
        <v>84.78125</v>
      </c>
      <c r="G21" s="14" t="n">
        <f aca="false">Sav_point*(F21-Eff_0)</f>
        <v>137.8125</v>
      </c>
      <c r="H21" s="14" t="n">
        <f aca="false">0*G21</f>
        <v>0</v>
      </c>
      <c r="I21" s="14" t="n">
        <f aca="false">D21+G21-H21</f>
        <v>602.1875</v>
      </c>
      <c r="J21" s="2" t="str">
        <f aca="false">IF(AND(OR(B21=0,D21&gt;=Floor_liq-0.000000001),I21&gt;=Floor_liq-0.000000001),"yes","no")</f>
        <v>yes</v>
      </c>
      <c r="K21" s="2" t="str">
        <f aca="false">IF(OR(B21=0,E21&gt;=Cap_min),"yes","no")</f>
        <v>yes</v>
      </c>
    </row>
    <row r="25" customFormat="false" ht="15" hidden="false" customHeight="false" outlineLevel="0" collapsed="false">
      <c r="A25" s="4" t="s">
        <v>148</v>
      </c>
    </row>
    <row r="26" customFormat="false" ht="15" hidden="false" customHeight="false" outlineLevel="0" collapsed="false">
      <c r="A26" s="2" t="s">
        <v>149</v>
      </c>
      <c r="D26" s="9" t="n">
        <v>1</v>
      </c>
      <c r="E26" s="2" t="s">
        <v>150</v>
      </c>
      <c r="H26" s="9" t="n">
        <v>1</v>
      </c>
    </row>
    <row r="27" customFormat="false" ht="35.05" hidden="false" customHeight="false" outlineLevel="0" collapsed="false">
      <c r="A27" s="8" t="s">
        <v>125</v>
      </c>
      <c r="B27" s="8" t="s">
        <v>130</v>
      </c>
      <c r="C27" s="8" t="s">
        <v>131</v>
      </c>
      <c r="D27" s="8" t="s">
        <v>151</v>
      </c>
      <c r="E27" s="8" t="s">
        <v>152</v>
      </c>
      <c r="F27" s="8" t="s">
        <v>153</v>
      </c>
      <c r="G27" s="8" t="s">
        <v>154</v>
      </c>
      <c r="H27" s="8" t="s">
        <v>155</v>
      </c>
      <c r="I27" s="8" t="s">
        <v>156</v>
      </c>
    </row>
    <row r="28" customFormat="false" ht="15" hidden="false" customHeight="false" outlineLevel="0" collapsed="false">
      <c r="A28" s="12" t="n">
        <v>0</v>
      </c>
      <c r="B28" s="14" t="n">
        <f aca="false">Eff_0</f>
        <v>71</v>
      </c>
      <c r="G28" s="16" t="n">
        <f aca="false">Liq_0</f>
        <v>620</v>
      </c>
      <c r="H28" s="16" t="n">
        <f aca="false">Liq_0</f>
        <v>620</v>
      </c>
      <c r="I28" s="12" t="n">
        <v>1</v>
      </c>
    </row>
    <row r="29" customFormat="false" ht="15" hidden="false" customHeight="false" outlineLevel="0" collapsed="false">
      <c r="A29" s="12" t="n">
        <v>1</v>
      </c>
      <c r="B29" s="14" t="n">
        <f aca="false">B28+Gap_closed*(Eff_ceiling-B28)</f>
        <v>78</v>
      </c>
      <c r="C29" s="14" t="n">
        <f aca="false">Sav_point*(B29-Eff_0)</f>
        <v>70</v>
      </c>
      <c r="D29" s="17" t="n">
        <f aca="false">IF($D$26=1,MAX(G28,Liq_start),G28)</f>
        <v>620</v>
      </c>
      <c r="E29" s="16" t="n">
        <f aca="false">H28</f>
        <v>620</v>
      </c>
      <c r="F29" s="12" t="n">
        <f aca="false">IF(AND(I28=1,D29&lt;=E29),1,0)</f>
        <v>1</v>
      </c>
      <c r="G29" s="17" t="n">
        <f aca="false">IF($D$26=1,Floor_liq,-1000000000)</f>
        <v>350</v>
      </c>
      <c r="H29" s="16" t="n">
        <f aca="false">E29-Round_cost+(1-Pledge_share)*C29</f>
        <v>535</v>
      </c>
      <c r="I29" s="12" t="n">
        <f aca="false">IF(AND(F29=1,G29&lt;=H29),1,0)</f>
        <v>1</v>
      </c>
    </row>
    <row r="30" customFormat="false" ht="15" hidden="false" customHeight="false" outlineLevel="0" collapsed="false">
      <c r="A30" s="12" t="n">
        <v>2</v>
      </c>
      <c r="B30" s="14" t="n">
        <f aca="false">B29+Gap_closed*(Eff_ceiling-B29)</f>
        <v>81.5</v>
      </c>
      <c r="C30" s="14" t="n">
        <f aca="false">Sav_point*(B30-Eff_0)</f>
        <v>105</v>
      </c>
      <c r="D30" s="17" t="n">
        <f aca="false">IF($D$26=1,MAX(G29,Liq_start),G29)</f>
        <v>470</v>
      </c>
      <c r="E30" s="16" t="n">
        <f aca="false">H29</f>
        <v>535</v>
      </c>
      <c r="F30" s="12" t="n">
        <f aca="false">IF(AND(I29=1,D30&lt;=E30),1,0)</f>
        <v>1</v>
      </c>
      <c r="G30" s="17" t="n">
        <f aca="false">IF($D$26=1,Floor_liq,-1000000000)</f>
        <v>350</v>
      </c>
      <c r="H30" s="16" t="n">
        <f aca="false">E30-Round_cost+(1-Pledge_share)*C30</f>
        <v>467.5</v>
      </c>
      <c r="I30" s="12" t="n">
        <f aca="false">IF(AND(F30=1,G30&lt;=H30),1,0)</f>
        <v>1</v>
      </c>
    </row>
    <row r="31" customFormat="false" ht="15" hidden="false" customHeight="false" outlineLevel="0" collapsed="false">
      <c r="A31" s="12" t="n">
        <v>3</v>
      </c>
      <c r="B31" s="14" t="n">
        <f aca="false">B30+Gap_closed*(Eff_ceiling-B30)</f>
        <v>83.25</v>
      </c>
      <c r="C31" s="14" t="n">
        <f aca="false">Sav_point*(B31-Eff_0)</f>
        <v>122.5</v>
      </c>
      <c r="D31" s="17" t="n">
        <f aca="false">IF($D$26=1,MAX(G30,Liq_start),G30)</f>
        <v>470</v>
      </c>
      <c r="E31" s="16" t="n">
        <f aca="false">H30</f>
        <v>467.5</v>
      </c>
      <c r="F31" s="12" t="n">
        <f aca="false">IF(AND(I30=1,D31&lt;=E31),1,0)</f>
        <v>0</v>
      </c>
      <c r="G31" s="17" t="n">
        <f aca="false">IF($D$26=1,Floor_liq,-1000000000)</f>
        <v>350</v>
      </c>
      <c r="H31" s="16" t="n">
        <f aca="false">E31-Round_cost+(1-Pledge_share)*C31</f>
        <v>408.75</v>
      </c>
      <c r="I31" s="12" t="n">
        <f aca="false">IF(AND(F31=1,G31&lt;=H31),1,0)</f>
        <v>0</v>
      </c>
    </row>
    <row r="32" customFormat="false" ht="15" hidden="false" customHeight="false" outlineLevel="0" collapsed="false">
      <c r="A32" s="12" t="n">
        <v>4</v>
      </c>
      <c r="B32" s="14" t="n">
        <f aca="false">B31+Gap_closed*(Eff_ceiling-B31)</f>
        <v>84.125</v>
      </c>
      <c r="C32" s="14" t="n">
        <f aca="false">Sav_point*(B32-Eff_0)</f>
        <v>131.25</v>
      </c>
      <c r="D32" s="17" t="n">
        <f aca="false">IF($D$26=1,MAX(G31,Liq_start),G31)</f>
        <v>470</v>
      </c>
      <c r="E32" s="16" t="n">
        <f aca="false">H31</f>
        <v>408.75</v>
      </c>
      <c r="F32" s="12" t="n">
        <f aca="false">IF(AND(I31=1,D32&lt;=E32),1,0)</f>
        <v>0</v>
      </c>
      <c r="G32" s="17" t="n">
        <f aca="false">IF($D$26=1,Floor_liq,-1000000000)</f>
        <v>350</v>
      </c>
      <c r="H32" s="16" t="n">
        <f aca="false">E32-Round_cost+(1-Pledge_share)*C32</f>
        <v>354.375</v>
      </c>
      <c r="I32" s="12" t="n">
        <f aca="false">IF(AND(F32=1,G32&lt;=H32),1,0)</f>
        <v>0</v>
      </c>
    </row>
    <row r="33" customFormat="false" ht="15" hidden="false" customHeight="false" outlineLevel="0" collapsed="false">
      <c r="A33" s="12" t="n">
        <v>5</v>
      </c>
      <c r="B33" s="14" t="n">
        <f aca="false">B32+Gap_closed*(Eff_ceiling-B32)</f>
        <v>84.5625</v>
      </c>
      <c r="C33" s="14" t="n">
        <f aca="false">Sav_point*(B33-Eff_0)</f>
        <v>135.625</v>
      </c>
      <c r="D33" s="17" t="n">
        <f aca="false">IF($D$26=1,MAX(G32,Liq_start),G32)</f>
        <v>470</v>
      </c>
      <c r="E33" s="16" t="n">
        <f aca="false">H32</f>
        <v>354.375</v>
      </c>
      <c r="F33" s="12" t="n">
        <f aca="false">IF(AND(I32=1,D33&lt;=E33),1,0)</f>
        <v>0</v>
      </c>
      <c r="G33" s="17" t="n">
        <f aca="false">IF($D$26=1,Floor_liq,-1000000000)</f>
        <v>350</v>
      </c>
      <c r="H33" s="16" t="n">
        <f aca="false">E33-Round_cost+(1-Pledge_share)*C33</f>
        <v>302.1875</v>
      </c>
      <c r="I33" s="12" t="n">
        <f aca="false">IF(AND(F33=1,G33&lt;=H33),1,0)</f>
        <v>0</v>
      </c>
    </row>
    <row r="34" customFormat="false" ht="15" hidden="false" customHeight="false" outlineLevel="0" collapsed="false">
      <c r="A34" s="12" t="n">
        <v>6</v>
      </c>
      <c r="B34" s="14" t="n">
        <f aca="false">B33+Gap_closed*(Eff_ceiling-B33)</f>
        <v>84.78125</v>
      </c>
      <c r="C34" s="14" t="n">
        <f aca="false">Sav_point*(B34-Eff_0)</f>
        <v>137.8125</v>
      </c>
      <c r="D34" s="17" t="n">
        <f aca="false">IF($D$26=1,MAX(G33,Liq_start),G33)</f>
        <v>470</v>
      </c>
      <c r="E34" s="16" t="n">
        <f aca="false">H33</f>
        <v>302.1875</v>
      </c>
      <c r="F34" s="12" t="n">
        <f aca="false">IF(AND(I33=1,D34&lt;=E34),1,0)</f>
        <v>0</v>
      </c>
      <c r="G34" s="17" t="n">
        <f aca="false">IF($H$26=1,MAX(IF($D$26=1,Floor_liq,-1000000000),End_liq),IF($D$26=1,Floor_liq,-1000000000))</f>
        <v>470</v>
      </c>
      <c r="H34" s="16" t="n">
        <f aca="false">E34-Round_cost+(1-Pledge_share)*C34</f>
        <v>251.09375</v>
      </c>
      <c r="I34" s="12" t="n">
        <f aca="false">IF(AND(F34=1,G34&lt;=H34),1,0)</f>
        <v>0</v>
      </c>
    </row>
    <row r="35" customFormat="false" ht="15" hidden="false" customHeight="false" outlineLevel="0" collapsed="false">
      <c r="A35" s="4" t="s">
        <v>157</v>
      </c>
      <c r="I35" s="18" t="n">
        <f aca="false">IF(COUNTIF(I29:I34,0)=0,0,MATCH(0,I29:I34,0))</f>
        <v>3</v>
      </c>
    </row>
    <row r="37" customFormat="false" ht="15" hidden="false" customHeight="false" outlineLevel="0" collapsed="false">
      <c r="A37" s="4" t="s">
        <v>158</v>
      </c>
    </row>
    <row r="38" customFormat="false" ht="15" hidden="false" customHeight="false" outlineLevel="0" collapsed="false">
      <c r="A38" s="2" t="s">
        <v>149</v>
      </c>
      <c r="D38" s="9" t="n">
        <v>0</v>
      </c>
      <c r="E38" s="2" t="s">
        <v>150</v>
      </c>
      <c r="H38" s="9" t="n">
        <v>1</v>
      </c>
    </row>
    <row r="39" customFormat="false" ht="35.05" hidden="false" customHeight="false" outlineLevel="0" collapsed="false">
      <c r="A39" s="8" t="s">
        <v>125</v>
      </c>
      <c r="B39" s="8" t="s">
        <v>130</v>
      </c>
      <c r="C39" s="8" t="s">
        <v>131</v>
      </c>
      <c r="D39" s="8" t="s">
        <v>151</v>
      </c>
      <c r="E39" s="8" t="s">
        <v>152</v>
      </c>
      <c r="F39" s="8" t="s">
        <v>153</v>
      </c>
      <c r="G39" s="8" t="s">
        <v>154</v>
      </c>
      <c r="H39" s="8" t="s">
        <v>155</v>
      </c>
      <c r="I39" s="8" t="s">
        <v>156</v>
      </c>
    </row>
    <row r="40" customFormat="false" ht="15" hidden="false" customHeight="false" outlineLevel="0" collapsed="false">
      <c r="A40" s="12" t="n">
        <v>0</v>
      </c>
      <c r="B40" s="14" t="n">
        <f aca="false">Eff_0</f>
        <v>71</v>
      </c>
      <c r="G40" s="16" t="n">
        <f aca="false">Liq_0</f>
        <v>620</v>
      </c>
      <c r="H40" s="16" t="n">
        <f aca="false">Liq_0</f>
        <v>620</v>
      </c>
      <c r="I40" s="12" t="n">
        <v>1</v>
      </c>
    </row>
    <row r="41" customFormat="false" ht="15" hidden="false" customHeight="false" outlineLevel="0" collapsed="false">
      <c r="A41" s="12" t="n">
        <v>1</v>
      </c>
      <c r="B41" s="14" t="n">
        <f aca="false">B40+Gap_closed*(Eff_ceiling-B40)</f>
        <v>78</v>
      </c>
      <c r="C41" s="14" t="n">
        <f aca="false">Sav_point*(B41-Eff_0)</f>
        <v>70</v>
      </c>
      <c r="D41" s="17" t="n">
        <f aca="false">IF($D$38=1,MAX(G40,Liq_start),G40)</f>
        <v>620</v>
      </c>
      <c r="E41" s="16" t="n">
        <f aca="false">H40</f>
        <v>620</v>
      </c>
      <c r="F41" s="12" t="n">
        <f aca="false">IF(AND(I40=1,D41&lt;=E41),1,0)</f>
        <v>1</v>
      </c>
      <c r="G41" s="17" t="n">
        <f aca="false">IF($D$38=1,Floor_liq,-1000000000)</f>
        <v>-1000000000</v>
      </c>
      <c r="H41" s="16" t="n">
        <f aca="false">E41-Round_cost+(1-Pledge_share)*C41</f>
        <v>535</v>
      </c>
      <c r="I41" s="12" t="n">
        <f aca="false">IF(AND(F41=1,G41&lt;=H41),1,0)</f>
        <v>1</v>
      </c>
    </row>
    <row r="42" customFormat="false" ht="15" hidden="false" customHeight="false" outlineLevel="0" collapsed="false">
      <c r="A42" s="12" t="n">
        <v>2</v>
      </c>
      <c r="B42" s="14" t="n">
        <f aca="false">B41+Gap_closed*(Eff_ceiling-B41)</f>
        <v>81.5</v>
      </c>
      <c r="C42" s="14" t="n">
        <f aca="false">Sav_point*(B42-Eff_0)</f>
        <v>105</v>
      </c>
      <c r="D42" s="17" t="n">
        <f aca="false">IF($D$38=1,MAX(G41,Liq_start),G41)</f>
        <v>-1000000000</v>
      </c>
      <c r="E42" s="16" t="n">
        <f aca="false">H41</f>
        <v>535</v>
      </c>
      <c r="F42" s="12" t="n">
        <f aca="false">IF(AND(I41=1,D42&lt;=E42),1,0)</f>
        <v>1</v>
      </c>
      <c r="G42" s="17" t="n">
        <f aca="false">IF($D$38=1,Floor_liq,-1000000000)</f>
        <v>-1000000000</v>
      </c>
      <c r="H42" s="16" t="n">
        <f aca="false">E42-Round_cost+(1-Pledge_share)*C42</f>
        <v>467.5</v>
      </c>
      <c r="I42" s="12" t="n">
        <f aca="false">IF(AND(F42=1,G42&lt;=H42),1,0)</f>
        <v>1</v>
      </c>
    </row>
    <row r="43" customFormat="false" ht="15" hidden="false" customHeight="false" outlineLevel="0" collapsed="false">
      <c r="A43" s="12" t="n">
        <v>3</v>
      </c>
      <c r="B43" s="14" t="n">
        <f aca="false">B42+Gap_closed*(Eff_ceiling-B42)</f>
        <v>83.25</v>
      </c>
      <c r="C43" s="14" t="n">
        <f aca="false">Sav_point*(B43-Eff_0)</f>
        <v>122.5</v>
      </c>
      <c r="D43" s="17" t="n">
        <f aca="false">IF($D$38=1,MAX(G42,Liq_start),G42)</f>
        <v>-1000000000</v>
      </c>
      <c r="E43" s="16" t="n">
        <f aca="false">H42</f>
        <v>467.5</v>
      </c>
      <c r="F43" s="12" t="n">
        <f aca="false">IF(AND(I42=1,D43&lt;=E43),1,0)</f>
        <v>1</v>
      </c>
      <c r="G43" s="17" t="n">
        <f aca="false">IF($D$38=1,Floor_liq,-1000000000)</f>
        <v>-1000000000</v>
      </c>
      <c r="H43" s="16" t="n">
        <f aca="false">E43-Round_cost+(1-Pledge_share)*C43</f>
        <v>408.75</v>
      </c>
      <c r="I43" s="12" t="n">
        <f aca="false">IF(AND(F43=1,G43&lt;=H43),1,0)</f>
        <v>1</v>
      </c>
    </row>
    <row r="44" customFormat="false" ht="15" hidden="false" customHeight="false" outlineLevel="0" collapsed="false">
      <c r="A44" s="12" t="n">
        <v>4</v>
      </c>
      <c r="B44" s="14" t="n">
        <f aca="false">B43+Gap_closed*(Eff_ceiling-B43)</f>
        <v>84.125</v>
      </c>
      <c r="C44" s="14" t="n">
        <f aca="false">Sav_point*(B44-Eff_0)</f>
        <v>131.25</v>
      </c>
      <c r="D44" s="17" t="n">
        <f aca="false">IF($D$38=1,MAX(G43,Liq_start),G43)</f>
        <v>-1000000000</v>
      </c>
      <c r="E44" s="16" t="n">
        <f aca="false">H43</f>
        <v>408.75</v>
      </c>
      <c r="F44" s="12" t="n">
        <f aca="false">IF(AND(I43=1,D44&lt;=E44),1,0)</f>
        <v>1</v>
      </c>
      <c r="G44" s="17" t="n">
        <f aca="false">IF($D$38=1,Floor_liq,-1000000000)</f>
        <v>-1000000000</v>
      </c>
      <c r="H44" s="16" t="n">
        <f aca="false">E44-Round_cost+(1-Pledge_share)*C44</f>
        <v>354.375</v>
      </c>
      <c r="I44" s="12" t="n">
        <f aca="false">IF(AND(F44=1,G44&lt;=H44),1,0)</f>
        <v>1</v>
      </c>
    </row>
    <row r="45" customFormat="false" ht="15" hidden="false" customHeight="false" outlineLevel="0" collapsed="false">
      <c r="A45" s="12" t="n">
        <v>5</v>
      </c>
      <c r="B45" s="14" t="n">
        <f aca="false">B44+Gap_closed*(Eff_ceiling-B44)</f>
        <v>84.5625</v>
      </c>
      <c r="C45" s="14" t="n">
        <f aca="false">Sav_point*(B45-Eff_0)</f>
        <v>135.625</v>
      </c>
      <c r="D45" s="17" t="n">
        <f aca="false">IF($D$38=1,MAX(G44,Liq_start),G44)</f>
        <v>-1000000000</v>
      </c>
      <c r="E45" s="16" t="n">
        <f aca="false">H44</f>
        <v>354.375</v>
      </c>
      <c r="F45" s="12" t="n">
        <f aca="false">IF(AND(I44=1,D45&lt;=E45),1,0)</f>
        <v>1</v>
      </c>
      <c r="G45" s="17" t="n">
        <f aca="false">IF($D$38=1,Floor_liq,-1000000000)</f>
        <v>-1000000000</v>
      </c>
      <c r="H45" s="16" t="n">
        <f aca="false">E45-Round_cost+(1-Pledge_share)*C45</f>
        <v>302.1875</v>
      </c>
      <c r="I45" s="12" t="n">
        <f aca="false">IF(AND(F45=1,G45&lt;=H45),1,0)</f>
        <v>1</v>
      </c>
    </row>
    <row r="46" customFormat="false" ht="15" hidden="false" customHeight="false" outlineLevel="0" collapsed="false">
      <c r="A46" s="12" t="n">
        <v>6</v>
      </c>
      <c r="B46" s="14" t="n">
        <f aca="false">B45+Gap_closed*(Eff_ceiling-B45)</f>
        <v>84.78125</v>
      </c>
      <c r="C46" s="14" t="n">
        <f aca="false">Sav_point*(B46-Eff_0)</f>
        <v>137.8125</v>
      </c>
      <c r="D46" s="17" t="n">
        <f aca="false">IF($D$38=1,MAX(G45,Liq_start),G45)</f>
        <v>-1000000000</v>
      </c>
      <c r="E46" s="16" t="n">
        <f aca="false">H45</f>
        <v>302.1875</v>
      </c>
      <c r="F46" s="12" t="n">
        <f aca="false">IF(AND(I45=1,D46&lt;=E46),1,0)</f>
        <v>1</v>
      </c>
      <c r="G46" s="17" t="n">
        <f aca="false">IF($H$38=1,MAX(IF($D$38=1,Floor_liq,-1000000000),End_liq),IF($D$38=1,Floor_liq,-1000000000))</f>
        <v>470</v>
      </c>
      <c r="H46" s="16" t="n">
        <f aca="false">E46-Round_cost+(1-Pledge_share)*C46</f>
        <v>251.09375</v>
      </c>
      <c r="I46" s="12" t="n">
        <f aca="false">IF(AND(F46=1,G46&lt;=H46),1,0)</f>
        <v>0</v>
      </c>
    </row>
    <row r="47" customFormat="false" ht="15" hidden="false" customHeight="false" outlineLevel="0" collapsed="false">
      <c r="A47" s="4" t="s">
        <v>157</v>
      </c>
      <c r="I47" s="18" t="n">
        <f aca="false">IF(COUNTIF(I41:I46,0)=0,0,MATCH(0,I41:I46,0))</f>
        <v>6</v>
      </c>
    </row>
  </sheetData>
  <conditionalFormatting sqref="A29:I34">
    <cfRule type="expression" priority="2" aboveAverage="0" equalAverage="0" bottom="0" percent="0" rank="0" text="" dxfId="0">
      <formula>$I29=0</formula>
    </cfRule>
  </conditionalFormatting>
  <conditionalFormatting sqref="A41:I46">
    <cfRule type="expression" priority="3" aboveAverage="0" equalAverage="0" bottom="0" percent="0" rank="0" text="" dxfId="0">
      <formula>$I41=0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5" topLeftCell="I6" activePane="bottomRight" state="frozen"/>
      <selection pane="topLeft" activeCell="A1" activeCellId="0" sqref="A1"/>
      <selection pane="topRight" activeCell="I1" activeCellId="0" sqref="I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8" min="1" style="0" width="11"/>
  </cols>
  <sheetData>
    <row r="1" customFormat="false" ht="1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10" t="s">
        <v>160</v>
      </c>
    </row>
    <row r="4" customFormat="false" ht="15" hidden="false" customHeight="false" outlineLevel="0" collapsed="false">
      <c r="A4" s="10" t="s">
        <v>161</v>
      </c>
      <c r="BG4" s="9" t="n">
        <v>0</v>
      </c>
      <c r="BH4" s="9" t="n">
        <v>5</v>
      </c>
      <c r="BI4" s="9" t="n">
        <v>10</v>
      </c>
      <c r="BJ4" s="9" t="n">
        <v>20</v>
      </c>
      <c r="BK4" s="9" t="n">
        <v>40</v>
      </c>
      <c r="BL4" s="9" t="n">
        <v>60</v>
      </c>
    </row>
    <row r="5" customFormat="false" ht="79.85" hidden="false" customHeight="false" outlineLevel="0" collapsed="false">
      <c r="A5" s="8" t="s">
        <v>162</v>
      </c>
      <c r="B5" s="8" t="s">
        <v>163</v>
      </c>
      <c r="C5" s="8" t="s">
        <v>164</v>
      </c>
      <c r="D5" s="8" t="s">
        <v>165</v>
      </c>
      <c r="E5" s="8" t="s">
        <v>166</v>
      </c>
      <c r="F5" s="8" t="s">
        <v>167</v>
      </c>
      <c r="G5" s="8" t="s">
        <v>168</v>
      </c>
      <c r="H5" s="8" t="s">
        <v>169</v>
      </c>
      <c r="I5" s="8" t="s">
        <v>170</v>
      </c>
      <c r="J5" s="8" t="s">
        <v>171</v>
      </c>
      <c r="K5" s="8" t="s">
        <v>172</v>
      </c>
      <c r="L5" s="8" t="s">
        <v>173</v>
      </c>
      <c r="M5" s="8" t="s">
        <v>174</v>
      </c>
      <c r="N5" s="8" t="s">
        <v>175</v>
      </c>
      <c r="O5" s="8" t="s">
        <v>176</v>
      </c>
      <c r="P5" s="8" t="s">
        <v>177</v>
      </c>
      <c r="Q5" s="8" t="s">
        <v>178</v>
      </c>
      <c r="R5" s="8" t="s">
        <v>179</v>
      </c>
      <c r="S5" s="8" t="s">
        <v>180</v>
      </c>
      <c r="T5" s="8" t="s">
        <v>181</v>
      </c>
      <c r="U5" s="8" t="s">
        <v>182</v>
      </c>
      <c r="V5" s="8" t="s">
        <v>183</v>
      </c>
      <c r="W5" s="8" t="s">
        <v>184</v>
      </c>
      <c r="X5" s="8" t="s">
        <v>185</v>
      </c>
      <c r="Y5" s="8" t="s">
        <v>186</v>
      </c>
      <c r="Z5" s="8" t="s">
        <v>187</v>
      </c>
      <c r="AA5" s="8" t="s">
        <v>188</v>
      </c>
      <c r="AB5" s="8" t="s">
        <v>189</v>
      </c>
      <c r="AC5" s="8" t="s">
        <v>190</v>
      </c>
      <c r="AD5" s="8" t="s">
        <v>191</v>
      </c>
      <c r="AE5" s="8" t="s">
        <v>192</v>
      </c>
      <c r="AF5" s="8" t="s">
        <v>193</v>
      </c>
      <c r="AG5" s="8" t="s">
        <v>194</v>
      </c>
      <c r="AH5" s="8" t="s">
        <v>195</v>
      </c>
      <c r="AI5" s="8" t="s">
        <v>196</v>
      </c>
      <c r="AJ5" s="8" t="s">
        <v>197</v>
      </c>
      <c r="AK5" s="8" t="s">
        <v>198</v>
      </c>
      <c r="AL5" s="8" t="s">
        <v>199</v>
      </c>
      <c r="AM5" s="8" t="s">
        <v>200</v>
      </c>
      <c r="AN5" s="8" t="s">
        <v>201</v>
      </c>
      <c r="AO5" s="8" t="s">
        <v>202</v>
      </c>
      <c r="AP5" s="8" t="s">
        <v>203</v>
      </c>
      <c r="AQ5" s="8" t="s">
        <v>204</v>
      </c>
      <c r="AR5" s="8" t="s">
        <v>205</v>
      </c>
      <c r="AS5" s="8" t="s">
        <v>206</v>
      </c>
      <c r="AT5" s="8" t="s">
        <v>207</v>
      </c>
      <c r="AU5" s="8" t="s">
        <v>208</v>
      </c>
      <c r="AV5" s="8" t="s">
        <v>209</v>
      </c>
      <c r="AW5" s="8" t="s">
        <v>210</v>
      </c>
      <c r="AX5" s="8" t="s">
        <v>211</v>
      </c>
      <c r="AY5" s="8" t="s">
        <v>212</v>
      </c>
      <c r="AZ5" s="8" t="s">
        <v>213</v>
      </c>
      <c r="BA5" s="8" t="s">
        <v>214</v>
      </c>
      <c r="BB5" s="8" t="s">
        <v>215</v>
      </c>
      <c r="BC5" s="8" t="s">
        <v>216</v>
      </c>
      <c r="BD5" s="8" t="s">
        <v>217</v>
      </c>
      <c r="BE5" s="8" t="s">
        <v>218</v>
      </c>
      <c r="BF5" s="8" t="s">
        <v>219</v>
      </c>
      <c r="BG5" s="8" t="s">
        <v>220</v>
      </c>
      <c r="BH5" s="8" t="s">
        <v>221</v>
      </c>
      <c r="BI5" s="8" t="s">
        <v>222</v>
      </c>
      <c r="BJ5" s="8" t="s">
        <v>223</v>
      </c>
      <c r="BK5" s="8" t="s">
        <v>224</v>
      </c>
      <c r="BL5" s="8" t="s">
        <v>225</v>
      </c>
      <c r="BM5" s="8" t="s">
        <v>226</v>
      </c>
      <c r="BN5" s="8" t="s">
        <v>227</v>
      </c>
      <c r="BO5" s="8" t="s">
        <v>228</v>
      </c>
      <c r="BP5" s="8" t="s">
        <v>229</v>
      </c>
    </row>
    <row r="6" customFormat="false" ht="15" hidden="false" customHeight="false" outlineLevel="0" collapsed="false">
      <c r="A6" s="12" t="n">
        <v>0</v>
      </c>
      <c r="B6" s="12" t="n">
        <f aca="false">MOD(INT($A6/32),2)</f>
        <v>0</v>
      </c>
      <c r="C6" s="12" t="n">
        <f aca="false">MOD(INT($A6/16),2)</f>
        <v>0</v>
      </c>
      <c r="D6" s="12" t="n">
        <f aca="false">MOD(INT($A6/8),2)</f>
        <v>0</v>
      </c>
      <c r="E6" s="12" t="n">
        <f aca="false">MOD(INT($A6/4),2)</f>
        <v>0</v>
      </c>
      <c r="F6" s="12" t="n">
        <f aca="false">MOD(INT($A6/2),2)</f>
        <v>0</v>
      </c>
      <c r="G6" s="12" t="n">
        <f aca="false">MOD(INT($A6/1),2)</f>
        <v>0</v>
      </c>
      <c r="H6" s="12" t="n">
        <f aca="false">SUM(B6:G6)</f>
        <v>0</v>
      </c>
      <c r="I6" s="12" t="n">
        <f aca="false">IF(H6=0,0,VALUE(IF(B6=1,"1","")&amp;IF(C6=1,"2","")&amp;IF(D6=1,"3","")&amp;IF(E6=1,"4","")&amp;IF(F6=1,"5","")&amp;IF(G6=1,"6","")))</f>
        <v>0</v>
      </c>
      <c r="J6" s="14" t="n">
        <f aca="false">IF(B6=1,Eff_0+Gap_closed*(Eff_ceiling-Eff_0),Eff_0)</f>
        <v>71</v>
      </c>
      <c r="K6" s="14" t="n">
        <f aca="false">IF(C6=1,J6+Gap_closed*(Eff_ceiling-J6),J6)</f>
        <v>71</v>
      </c>
      <c r="L6" s="14" t="n">
        <f aca="false">IF(D6=1,K6+Gap_closed*(Eff_ceiling-K6),K6)</f>
        <v>71</v>
      </c>
      <c r="M6" s="14" t="n">
        <f aca="false">IF(E6=1,L6+Gap_closed*(Eff_ceiling-L6),L6)</f>
        <v>71</v>
      </c>
      <c r="N6" s="14" t="n">
        <f aca="false">IF(F6=1,M6+Gap_closed*(Eff_ceiling-M6),M6)</f>
        <v>71</v>
      </c>
      <c r="O6" s="14" t="n">
        <f aca="false">IF(G6=1,N6+Gap_closed*(Eff_ceiling-N6),N6)</f>
        <v>71</v>
      </c>
      <c r="P6" s="14" t="n">
        <f aca="false">Sav_point*(J6-Eff_0)</f>
        <v>0</v>
      </c>
      <c r="Q6" s="14" t="n">
        <f aca="false">Sav_point*(K6-Eff_0)</f>
        <v>0</v>
      </c>
      <c r="R6" s="14" t="n">
        <f aca="false">Sav_point*(L6-Eff_0)</f>
        <v>0</v>
      </c>
      <c r="S6" s="14" t="n">
        <f aca="false">Sav_point*(M6-Eff_0)</f>
        <v>0</v>
      </c>
      <c r="T6" s="14" t="n">
        <f aca="false">Sav_point*(N6-Eff_0)</f>
        <v>0</v>
      </c>
      <c r="U6" s="14" t="n">
        <f aca="false">Sav_point*(O6-Eff_0)</f>
        <v>0</v>
      </c>
      <c r="V6" s="14" t="n">
        <f aca="false">SUM(P6:U6)</f>
        <v>0</v>
      </c>
      <c r="W6" s="12" t="n">
        <f aca="false">IF(AND(H6&gt;0,Cap_0&lt;Cap_min),0,1)</f>
        <v>1</v>
      </c>
      <c r="X6" s="16" t="n">
        <f aca="false">Liq_0-Round_cost*B6+1*P6</f>
        <v>620</v>
      </c>
      <c r="Y6" s="16" t="n">
        <f aca="false">X6-Round_cost*C6+1*Q6</f>
        <v>620</v>
      </c>
      <c r="Z6" s="16" t="n">
        <f aca="false">Y6-Round_cost*D6+1*R6</f>
        <v>620</v>
      </c>
      <c r="AA6" s="16" t="n">
        <f aca="false">Z6-Round_cost*E6+1*S6</f>
        <v>620</v>
      </c>
      <c r="AB6" s="16" t="n">
        <f aca="false">AA6-Round_cost*F6+1*T6</f>
        <v>620</v>
      </c>
      <c r="AC6" s="16" t="n">
        <f aca="false">AB6-Round_cost*G6+1*U6</f>
        <v>620</v>
      </c>
      <c r="AD6" s="19" t="n">
        <f aca="false">IF(B6=1,Liq_0-Round_cost,1000000000)</f>
        <v>1000000000</v>
      </c>
      <c r="AE6" s="19" t="n">
        <f aca="false">IF(C6=1,X6-Round_cost,1000000000)</f>
        <v>1000000000</v>
      </c>
      <c r="AF6" s="19" t="n">
        <f aca="false">IF(D6=1,Y6-Round_cost,1000000000)</f>
        <v>1000000000</v>
      </c>
      <c r="AG6" s="19" t="n">
        <f aca="false">IF(E6=1,Z6-Round_cost,1000000000)</f>
        <v>1000000000</v>
      </c>
      <c r="AH6" s="19" t="n">
        <f aca="false">IF(F6=1,AA6-Round_cost,1000000000)</f>
        <v>1000000000</v>
      </c>
      <c r="AI6" s="19" t="n">
        <f aca="false">IF(G6=1,AB6-Round_cost,1000000000)</f>
        <v>1000000000</v>
      </c>
      <c r="AJ6" s="12" t="n">
        <f aca="false">IF(AND(MIN(X6:AC6)&gt;=Floor_liq-0.000000001,MIN(AD6:AI6)&gt;=Floor_liq-0.000000001),1,0)</f>
        <v>1</v>
      </c>
      <c r="AK6" s="12" t="n">
        <f aca="false">IF(AC6&gt;=End_liq-0.000000001,1,0)</f>
        <v>1</v>
      </c>
      <c r="AL6" s="12" t="n">
        <f aca="false">AJ6*AK6*W6</f>
        <v>1</v>
      </c>
      <c r="AM6" s="16" t="n">
        <f aca="false">Liq_0-Round_cost*B6+(1-Pledge_share)*P6</f>
        <v>620</v>
      </c>
      <c r="AN6" s="16" t="n">
        <f aca="false">AM6-Round_cost*C6+(1-Pledge_share)*Q6</f>
        <v>620</v>
      </c>
      <c r="AO6" s="16" t="n">
        <f aca="false">AN6-Round_cost*D6+(1-Pledge_share)*R6</f>
        <v>620</v>
      </c>
      <c r="AP6" s="16" t="n">
        <f aca="false">AO6-Round_cost*E6+(1-Pledge_share)*S6</f>
        <v>620</v>
      </c>
      <c r="AQ6" s="16" t="n">
        <f aca="false">AP6-Round_cost*F6+(1-Pledge_share)*T6</f>
        <v>620</v>
      </c>
      <c r="AR6" s="16" t="n">
        <f aca="false">AQ6-Round_cost*G6+(1-Pledge_share)*U6</f>
        <v>620</v>
      </c>
      <c r="AS6" s="19" t="n">
        <f aca="false">IF(B6=1,Liq_0-Round_cost,1000000000)</f>
        <v>1000000000</v>
      </c>
      <c r="AT6" s="19" t="n">
        <f aca="false">IF(C6=1,AM6-Round_cost,1000000000)</f>
        <v>1000000000</v>
      </c>
      <c r="AU6" s="19" t="n">
        <f aca="false">IF(D6=1,AN6-Round_cost,1000000000)</f>
        <v>1000000000</v>
      </c>
      <c r="AV6" s="19" t="n">
        <f aca="false">IF(E6=1,AO6-Round_cost,1000000000)</f>
        <v>1000000000</v>
      </c>
      <c r="AW6" s="19" t="n">
        <f aca="false">IF(F6=1,AP6-Round_cost,1000000000)</f>
        <v>1000000000</v>
      </c>
      <c r="AX6" s="19" t="n">
        <f aca="false">IF(G6=1,AQ6-Round_cost,1000000000)</f>
        <v>1000000000</v>
      </c>
      <c r="AY6" s="12" t="n">
        <f aca="false">IF(AND(MIN(AM6:AR6)&gt;=Floor_liq-0.000000001,MIN(AS6:AX6)&gt;=Floor_liq-0.000000001),1,0)</f>
        <v>1</v>
      </c>
      <c r="AZ6" s="12" t="n">
        <f aca="false">IF(AR6&gt;=End_liq-0.000000001,1,0)</f>
        <v>1</v>
      </c>
      <c r="BA6" s="12" t="n">
        <f aca="false">AY6*AZ6*W6</f>
        <v>1</v>
      </c>
      <c r="BB6" s="16" t="n">
        <f aca="false">Pledge_share*V6</f>
        <v>0</v>
      </c>
      <c r="BC6" s="16" t="n">
        <f aca="false">IF(BA6=1,H6*10000+BB6,-1)</f>
        <v>0</v>
      </c>
      <c r="BD6" s="14" t="n">
        <f aca="false">U6</f>
        <v>0</v>
      </c>
      <c r="BE6" s="16" t="n">
        <f aca="false">AC6</f>
        <v>620</v>
      </c>
      <c r="BF6" s="16" t="n">
        <f aca="false">IF(AL6=1,AC6-End_liq,-1000000000)</f>
        <v>150</v>
      </c>
      <c r="BG6" s="16" t="n">
        <f aca="false">IF(AL6=1,BF6+BG$4*BD6,-1000000000)</f>
        <v>150</v>
      </c>
      <c r="BH6" s="16" t="n">
        <f aca="false">IF(AL6=1,BF6+BH$4*BD6,-1000000000)</f>
        <v>150</v>
      </c>
      <c r="BI6" s="16" t="n">
        <f aca="false">IF(AL6=1,BF6+BI$4*BD6,-1000000000)</f>
        <v>150</v>
      </c>
      <c r="BJ6" s="16" t="n">
        <f aca="false">IF(AL6=1,BF6+BJ$4*BD6,-1000000000)</f>
        <v>150</v>
      </c>
      <c r="BK6" s="16" t="n">
        <f aca="false">IF(AL6=1,BF6+BK$4*BD6,-1000000000)</f>
        <v>150</v>
      </c>
      <c r="BL6" s="16" t="n">
        <f aca="false">IF(AL6=1,BF6+BL$4*BD6,-1000000000)</f>
        <v>150</v>
      </c>
      <c r="BM6" s="12" t="n">
        <f aca="false">IF(H6=0,1,IF(I6=VALUE(LEFT("123456",H6)),1,0))</f>
        <v>1</v>
      </c>
      <c r="BN6" s="12" t="n">
        <f aca="false">IF(BG6&gt;0,1000*BG6,-1000000000000)</f>
        <v>150000</v>
      </c>
      <c r="BO6" s="16" t="n">
        <f aca="false">IF(BG6&gt;0,BG6+100,-1000000000)</f>
        <v>250</v>
      </c>
      <c r="BP6" s="20" t="n">
        <f aca="false">IF(BG6&gt;0,LN(BG6),-1000000000)</f>
        <v>5.01063529409626</v>
      </c>
    </row>
    <row r="7" customFormat="false" ht="15" hidden="false" customHeight="false" outlineLevel="0" collapsed="false">
      <c r="A7" s="12" t="n">
        <v>1</v>
      </c>
      <c r="B7" s="12" t="n">
        <f aca="false">MOD(INT($A7/32),2)</f>
        <v>0</v>
      </c>
      <c r="C7" s="12" t="n">
        <f aca="false">MOD(INT($A7/16),2)</f>
        <v>0</v>
      </c>
      <c r="D7" s="12" t="n">
        <f aca="false">MOD(INT($A7/8),2)</f>
        <v>0</v>
      </c>
      <c r="E7" s="12" t="n">
        <f aca="false">MOD(INT($A7/4),2)</f>
        <v>0</v>
      </c>
      <c r="F7" s="12" t="n">
        <f aca="false">MOD(INT($A7/2),2)</f>
        <v>0</v>
      </c>
      <c r="G7" s="12" t="n">
        <f aca="false">MOD(INT($A7/1),2)</f>
        <v>1</v>
      </c>
      <c r="H7" s="12" t="n">
        <f aca="false">SUM(B7:G7)</f>
        <v>1</v>
      </c>
      <c r="I7" s="12" t="n">
        <f aca="false">IF(H7=0,0,VALUE(IF(B7=1,"1","")&amp;IF(C7=1,"2","")&amp;IF(D7=1,"3","")&amp;IF(E7=1,"4","")&amp;IF(F7=1,"5","")&amp;IF(G7=1,"6","")))</f>
        <v>6</v>
      </c>
      <c r="J7" s="14" t="n">
        <f aca="false">IF(B7=1,Eff_0+Gap_closed*(Eff_ceiling-Eff_0),Eff_0)</f>
        <v>71</v>
      </c>
      <c r="K7" s="14" t="n">
        <f aca="false">IF(C7=1,J7+Gap_closed*(Eff_ceiling-J7),J7)</f>
        <v>71</v>
      </c>
      <c r="L7" s="14" t="n">
        <f aca="false">IF(D7=1,K7+Gap_closed*(Eff_ceiling-K7),K7)</f>
        <v>71</v>
      </c>
      <c r="M7" s="14" t="n">
        <f aca="false">IF(E7=1,L7+Gap_closed*(Eff_ceiling-L7),L7)</f>
        <v>71</v>
      </c>
      <c r="N7" s="14" t="n">
        <f aca="false">IF(F7=1,M7+Gap_closed*(Eff_ceiling-M7),M7)</f>
        <v>71</v>
      </c>
      <c r="O7" s="14" t="n">
        <f aca="false">IF(G7=1,N7+Gap_closed*(Eff_ceiling-N7),N7)</f>
        <v>78</v>
      </c>
      <c r="P7" s="14" t="n">
        <f aca="false">Sav_point*(J7-Eff_0)</f>
        <v>0</v>
      </c>
      <c r="Q7" s="14" t="n">
        <f aca="false">Sav_point*(K7-Eff_0)</f>
        <v>0</v>
      </c>
      <c r="R7" s="14" t="n">
        <f aca="false">Sav_point*(L7-Eff_0)</f>
        <v>0</v>
      </c>
      <c r="S7" s="14" t="n">
        <f aca="false">Sav_point*(M7-Eff_0)</f>
        <v>0</v>
      </c>
      <c r="T7" s="14" t="n">
        <f aca="false">Sav_point*(N7-Eff_0)</f>
        <v>0</v>
      </c>
      <c r="U7" s="14" t="n">
        <f aca="false">Sav_point*(O7-Eff_0)</f>
        <v>70</v>
      </c>
      <c r="V7" s="14" t="n">
        <f aca="false">SUM(P7:U7)</f>
        <v>70</v>
      </c>
      <c r="W7" s="12" t="n">
        <f aca="false">IF(AND(H7&gt;0,Cap_0&lt;Cap_min),0,1)</f>
        <v>1</v>
      </c>
      <c r="X7" s="16" t="n">
        <f aca="false">Liq_0-Round_cost*B7+1*P7</f>
        <v>620</v>
      </c>
      <c r="Y7" s="16" t="n">
        <f aca="false">X7-Round_cost*C7+1*Q7</f>
        <v>620</v>
      </c>
      <c r="Z7" s="16" t="n">
        <f aca="false">Y7-Round_cost*D7+1*R7</f>
        <v>620</v>
      </c>
      <c r="AA7" s="16" t="n">
        <f aca="false">Z7-Round_cost*E7+1*S7</f>
        <v>620</v>
      </c>
      <c r="AB7" s="16" t="n">
        <f aca="false">AA7-Round_cost*F7+1*T7</f>
        <v>620</v>
      </c>
      <c r="AC7" s="16" t="n">
        <f aca="false">AB7-Round_cost*G7+1*U7</f>
        <v>570</v>
      </c>
      <c r="AD7" s="19" t="n">
        <f aca="false">IF(B7=1,Liq_0-Round_cost,1000000000)</f>
        <v>1000000000</v>
      </c>
      <c r="AE7" s="19" t="n">
        <f aca="false">IF(C7=1,X7-Round_cost,1000000000)</f>
        <v>1000000000</v>
      </c>
      <c r="AF7" s="19" t="n">
        <f aca="false">IF(D7=1,Y7-Round_cost,1000000000)</f>
        <v>1000000000</v>
      </c>
      <c r="AG7" s="19" t="n">
        <f aca="false">IF(E7=1,Z7-Round_cost,1000000000)</f>
        <v>1000000000</v>
      </c>
      <c r="AH7" s="19" t="n">
        <f aca="false">IF(F7=1,AA7-Round_cost,1000000000)</f>
        <v>1000000000</v>
      </c>
      <c r="AI7" s="19" t="n">
        <f aca="false">IF(G7=1,AB7-Round_cost,1000000000)</f>
        <v>500</v>
      </c>
      <c r="AJ7" s="12" t="n">
        <f aca="false">IF(AND(MIN(X7:AC7)&gt;=Floor_liq-0.000000001,MIN(AD7:AI7)&gt;=Floor_liq-0.000000001),1,0)</f>
        <v>1</v>
      </c>
      <c r="AK7" s="12" t="n">
        <f aca="false">IF(AC7&gt;=End_liq-0.000000001,1,0)</f>
        <v>1</v>
      </c>
      <c r="AL7" s="12" t="n">
        <f aca="false">AJ7*AK7*W7</f>
        <v>1</v>
      </c>
      <c r="AM7" s="16" t="n">
        <f aca="false">Liq_0-Round_cost*B7+(1-Pledge_share)*P7</f>
        <v>620</v>
      </c>
      <c r="AN7" s="16" t="n">
        <f aca="false">AM7-Round_cost*C7+(1-Pledge_share)*Q7</f>
        <v>620</v>
      </c>
      <c r="AO7" s="16" t="n">
        <f aca="false">AN7-Round_cost*D7+(1-Pledge_share)*R7</f>
        <v>620</v>
      </c>
      <c r="AP7" s="16" t="n">
        <f aca="false">AO7-Round_cost*E7+(1-Pledge_share)*S7</f>
        <v>620</v>
      </c>
      <c r="AQ7" s="16" t="n">
        <f aca="false">AP7-Round_cost*F7+(1-Pledge_share)*T7</f>
        <v>620</v>
      </c>
      <c r="AR7" s="16" t="n">
        <f aca="false">AQ7-Round_cost*G7+(1-Pledge_share)*U7</f>
        <v>535</v>
      </c>
      <c r="AS7" s="19" t="n">
        <f aca="false">IF(B7=1,Liq_0-Round_cost,1000000000)</f>
        <v>1000000000</v>
      </c>
      <c r="AT7" s="19" t="n">
        <f aca="false">IF(C7=1,AM7-Round_cost,1000000000)</f>
        <v>1000000000</v>
      </c>
      <c r="AU7" s="19" t="n">
        <f aca="false">IF(D7=1,AN7-Round_cost,1000000000)</f>
        <v>1000000000</v>
      </c>
      <c r="AV7" s="19" t="n">
        <f aca="false">IF(E7=1,AO7-Round_cost,1000000000)</f>
        <v>1000000000</v>
      </c>
      <c r="AW7" s="19" t="n">
        <f aca="false">IF(F7=1,AP7-Round_cost,1000000000)</f>
        <v>1000000000</v>
      </c>
      <c r="AX7" s="19" t="n">
        <f aca="false">IF(G7=1,AQ7-Round_cost,1000000000)</f>
        <v>500</v>
      </c>
      <c r="AY7" s="12" t="n">
        <f aca="false">IF(AND(MIN(AM7:AR7)&gt;=Floor_liq-0.000000001,MIN(AS7:AX7)&gt;=Floor_liq-0.000000001),1,0)</f>
        <v>1</v>
      </c>
      <c r="AZ7" s="12" t="n">
        <f aca="false">IF(AR7&gt;=End_liq-0.000000001,1,0)</f>
        <v>1</v>
      </c>
      <c r="BA7" s="12" t="n">
        <f aca="false">AY7*AZ7*W7</f>
        <v>1</v>
      </c>
      <c r="BB7" s="16" t="n">
        <f aca="false">Pledge_share*V7</f>
        <v>35</v>
      </c>
      <c r="BC7" s="16" t="n">
        <f aca="false">IF(BA7=1,H7*10000+BB7,-1)</f>
        <v>10035</v>
      </c>
      <c r="BD7" s="14" t="n">
        <f aca="false">U7</f>
        <v>70</v>
      </c>
      <c r="BE7" s="16" t="n">
        <f aca="false">AC7</f>
        <v>570</v>
      </c>
      <c r="BF7" s="16" t="n">
        <f aca="false">IF(AL7=1,AC7-End_liq,-1000000000)</f>
        <v>100</v>
      </c>
      <c r="BG7" s="16" t="n">
        <f aca="false">IF(AL7=1,BF7+BG$4*BD7,-1000000000)</f>
        <v>100</v>
      </c>
      <c r="BH7" s="16" t="n">
        <f aca="false">IF(AL7=1,BF7+BH$4*BD7,-1000000000)</f>
        <v>450</v>
      </c>
      <c r="BI7" s="16" t="n">
        <f aca="false">IF(AL7=1,BF7+BI$4*BD7,-1000000000)</f>
        <v>800</v>
      </c>
      <c r="BJ7" s="16" t="n">
        <f aca="false">IF(AL7=1,BF7+BJ$4*BD7,-1000000000)</f>
        <v>1500</v>
      </c>
      <c r="BK7" s="16" t="n">
        <f aca="false">IF(AL7=1,BF7+BK$4*BD7,-1000000000)</f>
        <v>2900</v>
      </c>
      <c r="BL7" s="16" t="n">
        <f aca="false">IF(AL7=1,BF7+BL$4*BD7,-1000000000)</f>
        <v>4300</v>
      </c>
      <c r="BM7" s="12" t="n">
        <f aca="false">IF(H7=0,1,IF(I7=VALUE(LEFT("123456",H7)),1,0))</f>
        <v>0</v>
      </c>
      <c r="BN7" s="12" t="n">
        <f aca="false">IF(BG7&gt;0,1000*BG7,-1000000000000)</f>
        <v>100000</v>
      </c>
      <c r="BO7" s="16" t="n">
        <f aca="false">IF(BG7&gt;0,BG7+100,-1000000000)</f>
        <v>200</v>
      </c>
      <c r="BP7" s="20" t="n">
        <f aca="false">IF(BG7&gt;0,LN(BG7),-1000000000)</f>
        <v>4.60517018598809</v>
      </c>
    </row>
    <row r="8" customFormat="false" ht="15" hidden="false" customHeight="false" outlineLevel="0" collapsed="false">
      <c r="A8" s="12" t="n">
        <v>2</v>
      </c>
      <c r="B8" s="12" t="n">
        <f aca="false">MOD(INT($A8/32),2)</f>
        <v>0</v>
      </c>
      <c r="C8" s="12" t="n">
        <f aca="false">MOD(INT($A8/16),2)</f>
        <v>0</v>
      </c>
      <c r="D8" s="12" t="n">
        <f aca="false">MOD(INT($A8/8),2)</f>
        <v>0</v>
      </c>
      <c r="E8" s="12" t="n">
        <f aca="false">MOD(INT($A8/4),2)</f>
        <v>0</v>
      </c>
      <c r="F8" s="12" t="n">
        <f aca="false">MOD(INT($A8/2),2)</f>
        <v>1</v>
      </c>
      <c r="G8" s="12" t="n">
        <f aca="false">MOD(INT($A8/1),2)</f>
        <v>0</v>
      </c>
      <c r="H8" s="12" t="n">
        <f aca="false">SUM(B8:G8)</f>
        <v>1</v>
      </c>
      <c r="I8" s="12" t="n">
        <f aca="false">IF(H8=0,0,VALUE(IF(B8=1,"1","")&amp;IF(C8=1,"2","")&amp;IF(D8=1,"3","")&amp;IF(E8=1,"4","")&amp;IF(F8=1,"5","")&amp;IF(G8=1,"6","")))</f>
        <v>5</v>
      </c>
      <c r="J8" s="14" t="n">
        <f aca="false">IF(B8=1,Eff_0+Gap_closed*(Eff_ceiling-Eff_0),Eff_0)</f>
        <v>71</v>
      </c>
      <c r="K8" s="14" t="n">
        <f aca="false">IF(C8=1,J8+Gap_closed*(Eff_ceiling-J8),J8)</f>
        <v>71</v>
      </c>
      <c r="L8" s="14" t="n">
        <f aca="false">IF(D8=1,K8+Gap_closed*(Eff_ceiling-K8),K8)</f>
        <v>71</v>
      </c>
      <c r="M8" s="14" t="n">
        <f aca="false">IF(E8=1,L8+Gap_closed*(Eff_ceiling-L8),L8)</f>
        <v>71</v>
      </c>
      <c r="N8" s="14" t="n">
        <f aca="false">IF(F8=1,M8+Gap_closed*(Eff_ceiling-M8),M8)</f>
        <v>78</v>
      </c>
      <c r="O8" s="14" t="n">
        <f aca="false">IF(G8=1,N8+Gap_closed*(Eff_ceiling-N8),N8)</f>
        <v>78</v>
      </c>
      <c r="P8" s="14" t="n">
        <f aca="false">Sav_point*(J8-Eff_0)</f>
        <v>0</v>
      </c>
      <c r="Q8" s="14" t="n">
        <f aca="false">Sav_point*(K8-Eff_0)</f>
        <v>0</v>
      </c>
      <c r="R8" s="14" t="n">
        <f aca="false">Sav_point*(L8-Eff_0)</f>
        <v>0</v>
      </c>
      <c r="S8" s="14" t="n">
        <f aca="false">Sav_point*(M8-Eff_0)</f>
        <v>0</v>
      </c>
      <c r="T8" s="14" t="n">
        <f aca="false">Sav_point*(N8-Eff_0)</f>
        <v>70</v>
      </c>
      <c r="U8" s="14" t="n">
        <f aca="false">Sav_point*(O8-Eff_0)</f>
        <v>70</v>
      </c>
      <c r="V8" s="14" t="n">
        <f aca="false">SUM(P8:U8)</f>
        <v>140</v>
      </c>
      <c r="W8" s="12" t="n">
        <f aca="false">IF(AND(H8&gt;0,Cap_0&lt;Cap_min),0,1)</f>
        <v>1</v>
      </c>
      <c r="X8" s="16" t="n">
        <f aca="false">Liq_0-Round_cost*B8+1*P8</f>
        <v>620</v>
      </c>
      <c r="Y8" s="16" t="n">
        <f aca="false">X8-Round_cost*C8+1*Q8</f>
        <v>620</v>
      </c>
      <c r="Z8" s="16" t="n">
        <f aca="false">Y8-Round_cost*D8+1*R8</f>
        <v>620</v>
      </c>
      <c r="AA8" s="16" t="n">
        <f aca="false">Z8-Round_cost*E8+1*S8</f>
        <v>620</v>
      </c>
      <c r="AB8" s="16" t="n">
        <f aca="false">AA8-Round_cost*F8+1*T8</f>
        <v>570</v>
      </c>
      <c r="AC8" s="16" t="n">
        <f aca="false">AB8-Round_cost*G8+1*U8</f>
        <v>640</v>
      </c>
      <c r="AD8" s="19" t="n">
        <f aca="false">IF(B8=1,Liq_0-Round_cost,1000000000)</f>
        <v>1000000000</v>
      </c>
      <c r="AE8" s="19" t="n">
        <f aca="false">IF(C8=1,X8-Round_cost,1000000000)</f>
        <v>1000000000</v>
      </c>
      <c r="AF8" s="19" t="n">
        <f aca="false">IF(D8=1,Y8-Round_cost,1000000000)</f>
        <v>1000000000</v>
      </c>
      <c r="AG8" s="19" t="n">
        <f aca="false">IF(E8=1,Z8-Round_cost,1000000000)</f>
        <v>1000000000</v>
      </c>
      <c r="AH8" s="19" t="n">
        <f aca="false">IF(F8=1,AA8-Round_cost,1000000000)</f>
        <v>500</v>
      </c>
      <c r="AI8" s="19" t="n">
        <f aca="false">IF(G8=1,AB8-Round_cost,1000000000)</f>
        <v>1000000000</v>
      </c>
      <c r="AJ8" s="12" t="n">
        <f aca="false">IF(AND(MIN(X8:AC8)&gt;=Floor_liq-0.000000001,MIN(AD8:AI8)&gt;=Floor_liq-0.000000001),1,0)</f>
        <v>1</v>
      </c>
      <c r="AK8" s="12" t="n">
        <f aca="false">IF(AC8&gt;=End_liq-0.000000001,1,0)</f>
        <v>1</v>
      </c>
      <c r="AL8" s="12" t="n">
        <f aca="false">AJ8*AK8*W8</f>
        <v>1</v>
      </c>
      <c r="AM8" s="16" t="n">
        <f aca="false">Liq_0-Round_cost*B8+(1-Pledge_share)*P8</f>
        <v>620</v>
      </c>
      <c r="AN8" s="16" t="n">
        <f aca="false">AM8-Round_cost*C8+(1-Pledge_share)*Q8</f>
        <v>620</v>
      </c>
      <c r="AO8" s="16" t="n">
        <f aca="false">AN8-Round_cost*D8+(1-Pledge_share)*R8</f>
        <v>620</v>
      </c>
      <c r="AP8" s="16" t="n">
        <f aca="false">AO8-Round_cost*E8+(1-Pledge_share)*S8</f>
        <v>620</v>
      </c>
      <c r="AQ8" s="16" t="n">
        <f aca="false">AP8-Round_cost*F8+(1-Pledge_share)*T8</f>
        <v>535</v>
      </c>
      <c r="AR8" s="16" t="n">
        <f aca="false">AQ8-Round_cost*G8+(1-Pledge_share)*U8</f>
        <v>570</v>
      </c>
      <c r="AS8" s="19" t="n">
        <f aca="false">IF(B8=1,Liq_0-Round_cost,1000000000)</f>
        <v>1000000000</v>
      </c>
      <c r="AT8" s="19" t="n">
        <f aca="false">IF(C8=1,AM8-Round_cost,1000000000)</f>
        <v>1000000000</v>
      </c>
      <c r="AU8" s="19" t="n">
        <f aca="false">IF(D8=1,AN8-Round_cost,1000000000)</f>
        <v>1000000000</v>
      </c>
      <c r="AV8" s="19" t="n">
        <f aca="false">IF(E8=1,AO8-Round_cost,1000000000)</f>
        <v>1000000000</v>
      </c>
      <c r="AW8" s="19" t="n">
        <f aca="false">IF(F8=1,AP8-Round_cost,1000000000)</f>
        <v>500</v>
      </c>
      <c r="AX8" s="19" t="n">
        <f aca="false">IF(G8=1,AQ8-Round_cost,1000000000)</f>
        <v>1000000000</v>
      </c>
      <c r="AY8" s="12" t="n">
        <f aca="false">IF(AND(MIN(AM8:AR8)&gt;=Floor_liq-0.000000001,MIN(AS8:AX8)&gt;=Floor_liq-0.000000001),1,0)</f>
        <v>1</v>
      </c>
      <c r="AZ8" s="12" t="n">
        <f aca="false">IF(AR8&gt;=End_liq-0.000000001,1,0)</f>
        <v>1</v>
      </c>
      <c r="BA8" s="12" t="n">
        <f aca="false">AY8*AZ8*W8</f>
        <v>1</v>
      </c>
      <c r="BB8" s="16" t="n">
        <f aca="false">Pledge_share*V8</f>
        <v>70</v>
      </c>
      <c r="BC8" s="16" t="n">
        <f aca="false">IF(BA8=1,H8*10000+BB8,-1)</f>
        <v>10070</v>
      </c>
      <c r="BD8" s="14" t="n">
        <f aca="false">U8</f>
        <v>70</v>
      </c>
      <c r="BE8" s="16" t="n">
        <f aca="false">AC8</f>
        <v>640</v>
      </c>
      <c r="BF8" s="16" t="n">
        <f aca="false">IF(AL8=1,AC8-End_liq,-1000000000)</f>
        <v>170</v>
      </c>
      <c r="BG8" s="16" t="n">
        <f aca="false">IF(AL8=1,BF8+BG$4*BD8,-1000000000)</f>
        <v>170</v>
      </c>
      <c r="BH8" s="16" t="n">
        <f aca="false">IF(AL8=1,BF8+BH$4*BD8,-1000000000)</f>
        <v>520</v>
      </c>
      <c r="BI8" s="16" t="n">
        <f aca="false">IF(AL8=1,BF8+BI$4*BD8,-1000000000)</f>
        <v>870</v>
      </c>
      <c r="BJ8" s="16" t="n">
        <f aca="false">IF(AL8=1,BF8+BJ$4*BD8,-1000000000)</f>
        <v>1570</v>
      </c>
      <c r="BK8" s="16" t="n">
        <f aca="false">IF(AL8=1,BF8+BK$4*BD8,-1000000000)</f>
        <v>2970</v>
      </c>
      <c r="BL8" s="16" t="n">
        <f aca="false">IF(AL8=1,BF8+BL$4*BD8,-1000000000)</f>
        <v>4370</v>
      </c>
      <c r="BM8" s="12" t="n">
        <f aca="false">IF(H8=0,1,IF(I8=VALUE(LEFT("123456",H8)),1,0))</f>
        <v>0</v>
      </c>
      <c r="BN8" s="12" t="n">
        <f aca="false">IF(BG8&gt;0,1000*BG8,-1000000000000)</f>
        <v>170000</v>
      </c>
      <c r="BO8" s="16" t="n">
        <f aca="false">IF(BG8&gt;0,BG8+100,-1000000000)</f>
        <v>270</v>
      </c>
      <c r="BP8" s="20" t="n">
        <f aca="false">IF(BG8&gt;0,LN(BG8),-1000000000)</f>
        <v>5.13579843705026</v>
      </c>
    </row>
    <row r="9" customFormat="false" ht="15" hidden="false" customHeight="false" outlineLevel="0" collapsed="false">
      <c r="A9" s="12" t="n">
        <v>3</v>
      </c>
      <c r="B9" s="12" t="n">
        <f aca="false">MOD(INT($A9/32),2)</f>
        <v>0</v>
      </c>
      <c r="C9" s="12" t="n">
        <f aca="false">MOD(INT($A9/16),2)</f>
        <v>0</v>
      </c>
      <c r="D9" s="12" t="n">
        <f aca="false">MOD(INT($A9/8),2)</f>
        <v>0</v>
      </c>
      <c r="E9" s="12" t="n">
        <f aca="false">MOD(INT($A9/4),2)</f>
        <v>0</v>
      </c>
      <c r="F9" s="12" t="n">
        <f aca="false">MOD(INT($A9/2),2)</f>
        <v>1</v>
      </c>
      <c r="G9" s="12" t="n">
        <f aca="false">MOD(INT($A9/1),2)</f>
        <v>1</v>
      </c>
      <c r="H9" s="12" t="n">
        <f aca="false">SUM(B9:G9)</f>
        <v>2</v>
      </c>
      <c r="I9" s="12" t="n">
        <f aca="false">IF(H9=0,0,VALUE(IF(B9=1,"1","")&amp;IF(C9=1,"2","")&amp;IF(D9=1,"3","")&amp;IF(E9=1,"4","")&amp;IF(F9=1,"5","")&amp;IF(G9=1,"6","")))</f>
        <v>56</v>
      </c>
      <c r="J9" s="14" t="n">
        <f aca="false">IF(B9=1,Eff_0+Gap_closed*(Eff_ceiling-Eff_0),Eff_0)</f>
        <v>71</v>
      </c>
      <c r="K9" s="14" t="n">
        <f aca="false">IF(C9=1,J9+Gap_closed*(Eff_ceiling-J9),J9)</f>
        <v>71</v>
      </c>
      <c r="L9" s="14" t="n">
        <f aca="false">IF(D9=1,K9+Gap_closed*(Eff_ceiling-K9),K9)</f>
        <v>71</v>
      </c>
      <c r="M9" s="14" t="n">
        <f aca="false">IF(E9=1,L9+Gap_closed*(Eff_ceiling-L9),L9)</f>
        <v>71</v>
      </c>
      <c r="N9" s="14" t="n">
        <f aca="false">IF(F9=1,M9+Gap_closed*(Eff_ceiling-M9),M9)</f>
        <v>78</v>
      </c>
      <c r="O9" s="14" t="n">
        <f aca="false">IF(G9=1,N9+Gap_closed*(Eff_ceiling-N9),N9)</f>
        <v>81.5</v>
      </c>
      <c r="P9" s="14" t="n">
        <f aca="false">Sav_point*(J9-Eff_0)</f>
        <v>0</v>
      </c>
      <c r="Q9" s="14" t="n">
        <f aca="false">Sav_point*(K9-Eff_0)</f>
        <v>0</v>
      </c>
      <c r="R9" s="14" t="n">
        <f aca="false">Sav_point*(L9-Eff_0)</f>
        <v>0</v>
      </c>
      <c r="S9" s="14" t="n">
        <f aca="false">Sav_point*(M9-Eff_0)</f>
        <v>0</v>
      </c>
      <c r="T9" s="14" t="n">
        <f aca="false">Sav_point*(N9-Eff_0)</f>
        <v>70</v>
      </c>
      <c r="U9" s="14" t="n">
        <f aca="false">Sav_point*(O9-Eff_0)</f>
        <v>105</v>
      </c>
      <c r="V9" s="14" t="n">
        <f aca="false">SUM(P9:U9)</f>
        <v>175</v>
      </c>
      <c r="W9" s="12" t="n">
        <f aca="false">IF(AND(H9&gt;0,Cap_0&lt;Cap_min),0,1)</f>
        <v>1</v>
      </c>
      <c r="X9" s="16" t="n">
        <f aca="false">Liq_0-Round_cost*B9+1*P9</f>
        <v>620</v>
      </c>
      <c r="Y9" s="16" t="n">
        <f aca="false">X9-Round_cost*C9+1*Q9</f>
        <v>620</v>
      </c>
      <c r="Z9" s="16" t="n">
        <f aca="false">Y9-Round_cost*D9+1*R9</f>
        <v>620</v>
      </c>
      <c r="AA9" s="16" t="n">
        <f aca="false">Z9-Round_cost*E9+1*S9</f>
        <v>620</v>
      </c>
      <c r="AB9" s="16" t="n">
        <f aca="false">AA9-Round_cost*F9+1*T9</f>
        <v>570</v>
      </c>
      <c r="AC9" s="16" t="n">
        <f aca="false">AB9-Round_cost*G9+1*U9</f>
        <v>555</v>
      </c>
      <c r="AD9" s="19" t="n">
        <f aca="false">IF(B9=1,Liq_0-Round_cost,1000000000)</f>
        <v>1000000000</v>
      </c>
      <c r="AE9" s="19" t="n">
        <f aca="false">IF(C9=1,X9-Round_cost,1000000000)</f>
        <v>1000000000</v>
      </c>
      <c r="AF9" s="19" t="n">
        <f aca="false">IF(D9=1,Y9-Round_cost,1000000000)</f>
        <v>1000000000</v>
      </c>
      <c r="AG9" s="19" t="n">
        <f aca="false">IF(E9=1,Z9-Round_cost,1000000000)</f>
        <v>1000000000</v>
      </c>
      <c r="AH9" s="19" t="n">
        <f aca="false">IF(F9=1,AA9-Round_cost,1000000000)</f>
        <v>500</v>
      </c>
      <c r="AI9" s="19" t="n">
        <f aca="false">IF(G9=1,AB9-Round_cost,1000000000)</f>
        <v>450</v>
      </c>
      <c r="AJ9" s="12" t="n">
        <f aca="false">IF(AND(MIN(X9:AC9)&gt;=Floor_liq-0.000000001,MIN(AD9:AI9)&gt;=Floor_liq-0.000000001),1,0)</f>
        <v>1</v>
      </c>
      <c r="AK9" s="12" t="n">
        <f aca="false">IF(AC9&gt;=End_liq-0.000000001,1,0)</f>
        <v>1</v>
      </c>
      <c r="AL9" s="12" t="n">
        <f aca="false">AJ9*AK9*W9</f>
        <v>1</v>
      </c>
      <c r="AM9" s="16" t="n">
        <f aca="false">Liq_0-Round_cost*B9+(1-Pledge_share)*P9</f>
        <v>620</v>
      </c>
      <c r="AN9" s="16" t="n">
        <f aca="false">AM9-Round_cost*C9+(1-Pledge_share)*Q9</f>
        <v>620</v>
      </c>
      <c r="AO9" s="16" t="n">
        <f aca="false">AN9-Round_cost*D9+(1-Pledge_share)*R9</f>
        <v>620</v>
      </c>
      <c r="AP9" s="16" t="n">
        <f aca="false">AO9-Round_cost*E9+(1-Pledge_share)*S9</f>
        <v>620</v>
      </c>
      <c r="AQ9" s="16" t="n">
        <f aca="false">AP9-Round_cost*F9+(1-Pledge_share)*T9</f>
        <v>535</v>
      </c>
      <c r="AR9" s="16" t="n">
        <f aca="false">AQ9-Round_cost*G9+(1-Pledge_share)*U9</f>
        <v>467.5</v>
      </c>
      <c r="AS9" s="19" t="n">
        <f aca="false">IF(B9=1,Liq_0-Round_cost,1000000000)</f>
        <v>1000000000</v>
      </c>
      <c r="AT9" s="19" t="n">
        <f aca="false">IF(C9=1,AM9-Round_cost,1000000000)</f>
        <v>1000000000</v>
      </c>
      <c r="AU9" s="19" t="n">
        <f aca="false">IF(D9=1,AN9-Round_cost,1000000000)</f>
        <v>1000000000</v>
      </c>
      <c r="AV9" s="19" t="n">
        <f aca="false">IF(E9=1,AO9-Round_cost,1000000000)</f>
        <v>1000000000</v>
      </c>
      <c r="AW9" s="19" t="n">
        <f aca="false">IF(F9=1,AP9-Round_cost,1000000000)</f>
        <v>500</v>
      </c>
      <c r="AX9" s="19" t="n">
        <f aca="false">IF(G9=1,AQ9-Round_cost,1000000000)</f>
        <v>415</v>
      </c>
      <c r="AY9" s="12" t="n">
        <f aca="false">IF(AND(MIN(AM9:AR9)&gt;=Floor_liq-0.000000001,MIN(AS9:AX9)&gt;=Floor_liq-0.000000001),1,0)</f>
        <v>1</v>
      </c>
      <c r="AZ9" s="12" t="n">
        <f aca="false">IF(AR9&gt;=End_liq-0.000000001,1,0)</f>
        <v>0</v>
      </c>
      <c r="BA9" s="12" t="n">
        <f aca="false">AY9*AZ9*W9</f>
        <v>0</v>
      </c>
      <c r="BB9" s="16" t="n">
        <f aca="false">Pledge_share*V9</f>
        <v>87.5</v>
      </c>
      <c r="BC9" s="16" t="n">
        <f aca="false">IF(BA9=1,H9*10000+BB9,-1)</f>
        <v>-1</v>
      </c>
      <c r="BD9" s="14" t="n">
        <f aca="false">U9</f>
        <v>105</v>
      </c>
      <c r="BE9" s="16" t="n">
        <f aca="false">AC9</f>
        <v>555</v>
      </c>
      <c r="BF9" s="16" t="n">
        <f aca="false">IF(AL9=1,AC9-End_liq,-1000000000)</f>
        <v>85</v>
      </c>
      <c r="BG9" s="16" t="n">
        <f aca="false">IF(AL9=1,BF9+BG$4*BD9,-1000000000)</f>
        <v>85</v>
      </c>
      <c r="BH9" s="16" t="n">
        <f aca="false">IF(AL9=1,BF9+BH$4*BD9,-1000000000)</f>
        <v>610</v>
      </c>
      <c r="BI9" s="16" t="n">
        <f aca="false">IF(AL9=1,BF9+BI$4*BD9,-1000000000)</f>
        <v>1135</v>
      </c>
      <c r="BJ9" s="16" t="n">
        <f aca="false">IF(AL9=1,BF9+BJ$4*BD9,-1000000000)</f>
        <v>2185</v>
      </c>
      <c r="BK9" s="16" t="n">
        <f aca="false">IF(AL9=1,BF9+BK$4*BD9,-1000000000)</f>
        <v>4285</v>
      </c>
      <c r="BL9" s="16" t="n">
        <f aca="false">IF(AL9=1,BF9+BL$4*BD9,-1000000000)</f>
        <v>6385</v>
      </c>
      <c r="BM9" s="12" t="n">
        <f aca="false">IF(H9=0,1,IF(I9=VALUE(LEFT("123456",H9)),1,0))</f>
        <v>0</v>
      </c>
      <c r="BN9" s="12" t="n">
        <f aca="false">IF(BG9&gt;0,1000*BG9,-1000000000000)</f>
        <v>85000</v>
      </c>
      <c r="BO9" s="16" t="n">
        <f aca="false">IF(BG9&gt;0,BG9+100,-1000000000)</f>
        <v>185</v>
      </c>
      <c r="BP9" s="20" t="n">
        <f aca="false">IF(BG9&gt;0,LN(BG9),-1000000000)</f>
        <v>4.44265125649032</v>
      </c>
    </row>
    <row r="10" customFormat="false" ht="15" hidden="false" customHeight="false" outlineLevel="0" collapsed="false">
      <c r="A10" s="12" t="n">
        <v>4</v>
      </c>
      <c r="B10" s="12" t="n">
        <f aca="false">MOD(INT($A10/32),2)</f>
        <v>0</v>
      </c>
      <c r="C10" s="12" t="n">
        <f aca="false">MOD(INT($A10/16),2)</f>
        <v>0</v>
      </c>
      <c r="D10" s="12" t="n">
        <f aca="false">MOD(INT($A10/8),2)</f>
        <v>0</v>
      </c>
      <c r="E10" s="12" t="n">
        <f aca="false">MOD(INT($A10/4),2)</f>
        <v>1</v>
      </c>
      <c r="F10" s="12" t="n">
        <f aca="false">MOD(INT($A10/2),2)</f>
        <v>0</v>
      </c>
      <c r="G10" s="12" t="n">
        <f aca="false">MOD(INT($A10/1),2)</f>
        <v>0</v>
      </c>
      <c r="H10" s="12" t="n">
        <f aca="false">SUM(B10:G10)</f>
        <v>1</v>
      </c>
      <c r="I10" s="12" t="n">
        <f aca="false">IF(H10=0,0,VALUE(IF(B10=1,"1","")&amp;IF(C10=1,"2","")&amp;IF(D10=1,"3","")&amp;IF(E10=1,"4","")&amp;IF(F10=1,"5","")&amp;IF(G10=1,"6","")))</f>
        <v>4</v>
      </c>
      <c r="J10" s="14" t="n">
        <f aca="false">IF(B10=1,Eff_0+Gap_closed*(Eff_ceiling-Eff_0),Eff_0)</f>
        <v>71</v>
      </c>
      <c r="K10" s="14" t="n">
        <f aca="false">IF(C10=1,J10+Gap_closed*(Eff_ceiling-J10),J10)</f>
        <v>71</v>
      </c>
      <c r="L10" s="14" t="n">
        <f aca="false">IF(D10=1,K10+Gap_closed*(Eff_ceiling-K10),K10)</f>
        <v>71</v>
      </c>
      <c r="M10" s="14" t="n">
        <f aca="false">IF(E10=1,L10+Gap_closed*(Eff_ceiling-L10),L10)</f>
        <v>78</v>
      </c>
      <c r="N10" s="14" t="n">
        <f aca="false">IF(F10=1,M10+Gap_closed*(Eff_ceiling-M10),M10)</f>
        <v>78</v>
      </c>
      <c r="O10" s="14" t="n">
        <f aca="false">IF(G10=1,N10+Gap_closed*(Eff_ceiling-N10),N10)</f>
        <v>78</v>
      </c>
      <c r="P10" s="14" t="n">
        <f aca="false">Sav_point*(J10-Eff_0)</f>
        <v>0</v>
      </c>
      <c r="Q10" s="14" t="n">
        <f aca="false">Sav_point*(K10-Eff_0)</f>
        <v>0</v>
      </c>
      <c r="R10" s="14" t="n">
        <f aca="false">Sav_point*(L10-Eff_0)</f>
        <v>0</v>
      </c>
      <c r="S10" s="14" t="n">
        <f aca="false">Sav_point*(M10-Eff_0)</f>
        <v>70</v>
      </c>
      <c r="T10" s="14" t="n">
        <f aca="false">Sav_point*(N10-Eff_0)</f>
        <v>70</v>
      </c>
      <c r="U10" s="14" t="n">
        <f aca="false">Sav_point*(O10-Eff_0)</f>
        <v>70</v>
      </c>
      <c r="V10" s="14" t="n">
        <f aca="false">SUM(P10:U10)</f>
        <v>210</v>
      </c>
      <c r="W10" s="12" t="n">
        <f aca="false">IF(AND(H10&gt;0,Cap_0&lt;Cap_min),0,1)</f>
        <v>1</v>
      </c>
      <c r="X10" s="16" t="n">
        <f aca="false">Liq_0-Round_cost*B10+1*P10</f>
        <v>620</v>
      </c>
      <c r="Y10" s="16" t="n">
        <f aca="false">X10-Round_cost*C10+1*Q10</f>
        <v>620</v>
      </c>
      <c r="Z10" s="16" t="n">
        <f aca="false">Y10-Round_cost*D10+1*R10</f>
        <v>620</v>
      </c>
      <c r="AA10" s="16" t="n">
        <f aca="false">Z10-Round_cost*E10+1*S10</f>
        <v>570</v>
      </c>
      <c r="AB10" s="16" t="n">
        <f aca="false">AA10-Round_cost*F10+1*T10</f>
        <v>640</v>
      </c>
      <c r="AC10" s="16" t="n">
        <f aca="false">AB10-Round_cost*G10+1*U10</f>
        <v>710</v>
      </c>
      <c r="AD10" s="19" t="n">
        <f aca="false">IF(B10=1,Liq_0-Round_cost,1000000000)</f>
        <v>1000000000</v>
      </c>
      <c r="AE10" s="19" t="n">
        <f aca="false">IF(C10=1,X10-Round_cost,1000000000)</f>
        <v>1000000000</v>
      </c>
      <c r="AF10" s="19" t="n">
        <f aca="false">IF(D10=1,Y10-Round_cost,1000000000)</f>
        <v>1000000000</v>
      </c>
      <c r="AG10" s="19" t="n">
        <f aca="false">IF(E10=1,Z10-Round_cost,1000000000)</f>
        <v>500</v>
      </c>
      <c r="AH10" s="19" t="n">
        <f aca="false">IF(F10=1,AA10-Round_cost,1000000000)</f>
        <v>1000000000</v>
      </c>
      <c r="AI10" s="19" t="n">
        <f aca="false">IF(G10=1,AB10-Round_cost,1000000000)</f>
        <v>1000000000</v>
      </c>
      <c r="AJ10" s="12" t="n">
        <f aca="false">IF(AND(MIN(X10:AC10)&gt;=Floor_liq-0.000000001,MIN(AD10:AI10)&gt;=Floor_liq-0.000000001),1,0)</f>
        <v>1</v>
      </c>
      <c r="AK10" s="12" t="n">
        <f aca="false">IF(AC10&gt;=End_liq-0.000000001,1,0)</f>
        <v>1</v>
      </c>
      <c r="AL10" s="12" t="n">
        <f aca="false">AJ10*AK10*W10</f>
        <v>1</v>
      </c>
      <c r="AM10" s="16" t="n">
        <f aca="false">Liq_0-Round_cost*B10+(1-Pledge_share)*P10</f>
        <v>620</v>
      </c>
      <c r="AN10" s="16" t="n">
        <f aca="false">AM10-Round_cost*C10+(1-Pledge_share)*Q10</f>
        <v>620</v>
      </c>
      <c r="AO10" s="16" t="n">
        <f aca="false">AN10-Round_cost*D10+(1-Pledge_share)*R10</f>
        <v>620</v>
      </c>
      <c r="AP10" s="16" t="n">
        <f aca="false">AO10-Round_cost*E10+(1-Pledge_share)*S10</f>
        <v>535</v>
      </c>
      <c r="AQ10" s="16" t="n">
        <f aca="false">AP10-Round_cost*F10+(1-Pledge_share)*T10</f>
        <v>570</v>
      </c>
      <c r="AR10" s="16" t="n">
        <f aca="false">AQ10-Round_cost*G10+(1-Pledge_share)*U10</f>
        <v>605</v>
      </c>
      <c r="AS10" s="19" t="n">
        <f aca="false">IF(B10=1,Liq_0-Round_cost,1000000000)</f>
        <v>1000000000</v>
      </c>
      <c r="AT10" s="19" t="n">
        <f aca="false">IF(C10=1,AM10-Round_cost,1000000000)</f>
        <v>1000000000</v>
      </c>
      <c r="AU10" s="19" t="n">
        <f aca="false">IF(D10=1,AN10-Round_cost,1000000000)</f>
        <v>1000000000</v>
      </c>
      <c r="AV10" s="19" t="n">
        <f aca="false">IF(E10=1,AO10-Round_cost,1000000000)</f>
        <v>500</v>
      </c>
      <c r="AW10" s="19" t="n">
        <f aca="false">IF(F10=1,AP10-Round_cost,1000000000)</f>
        <v>1000000000</v>
      </c>
      <c r="AX10" s="19" t="n">
        <f aca="false">IF(G10=1,AQ10-Round_cost,1000000000)</f>
        <v>1000000000</v>
      </c>
      <c r="AY10" s="12" t="n">
        <f aca="false">IF(AND(MIN(AM10:AR10)&gt;=Floor_liq-0.000000001,MIN(AS10:AX10)&gt;=Floor_liq-0.000000001),1,0)</f>
        <v>1</v>
      </c>
      <c r="AZ10" s="12" t="n">
        <f aca="false">IF(AR10&gt;=End_liq-0.000000001,1,0)</f>
        <v>1</v>
      </c>
      <c r="BA10" s="12" t="n">
        <f aca="false">AY10*AZ10*W10</f>
        <v>1</v>
      </c>
      <c r="BB10" s="16" t="n">
        <f aca="false">Pledge_share*V10</f>
        <v>105</v>
      </c>
      <c r="BC10" s="16" t="n">
        <f aca="false">IF(BA10=1,H10*10000+BB10,-1)</f>
        <v>10105</v>
      </c>
      <c r="BD10" s="14" t="n">
        <f aca="false">U10</f>
        <v>70</v>
      </c>
      <c r="BE10" s="16" t="n">
        <f aca="false">AC10</f>
        <v>710</v>
      </c>
      <c r="BF10" s="16" t="n">
        <f aca="false">IF(AL10=1,AC10-End_liq,-1000000000)</f>
        <v>240</v>
      </c>
      <c r="BG10" s="16" t="n">
        <f aca="false">IF(AL10=1,BF10+BG$4*BD10,-1000000000)</f>
        <v>240</v>
      </c>
      <c r="BH10" s="16" t="n">
        <f aca="false">IF(AL10=1,BF10+BH$4*BD10,-1000000000)</f>
        <v>590</v>
      </c>
      <c r="BI10" s="16" t="n">
        <f aca="false">IF(AL10=1,BF10+BI$4*BD10,-1000000000)</f>
        <v>940</v>
      </c>
      <c r="BJ10" s="16" t="n">
        <f aca="false">IF(AL10=1,BF10+BJ$4*BD10,-1000000000)</f>
        <v>1640</v>
      </c>
      <c r="BK10" s="16" t="n">
        <f aca="false">IF(AL10=1,BF10+BK$4*BD10,-1000000000)</f>
        <v>3040</v>
      </c>
      <c r="BL10" s="16" t="n">
        <f aca="false">IF(AL10=1,BF10+BL$4*BD10,-1000000000)</f>
        <v>4440</v>
      </c>
      <c r="BM10" s="12" t="n">
        <f aca="false">IF(H10=0,1,IF(I10=VALUE(LEFT("123456",H10)),1,0))</f>
        <v>0</v>
      </c>
      <c r="BN10" s="12" t="n">
        <f aca="false">IF(BG10&gt;0,1000*BG10,-1000000000000)</f>
        <v>240000</v>
      </c>
      <c r="BO10" s="16" t="n">
        <f aca="false">IF(BG10&gt;0,BG10+100,-1000000000)</f>
        <v>340</v>
      </c>
      <c r="BP10" s="20" t="n">
        <f aca="false">IF(BG10&gt;0,LN(BG10),-1000000000)</f>
        <v>5.48063892334199</v>
      </c>
    </row>
    <row r="11" customFormat="false" ht="15" hidden="false" customHeight="false" outlineLevel="0" collapsed="false">
      <c r="A11" s="12" t="n">
        <v>5</v>
      </c>
      <c r="B11" s="12" t="n">
        <f aca="false">MOD(INT($A11/32),2)</f>
        <v>0</v>
      </c>
      <c r="C11" s="12" t="n">
        <f aca="false">MOD(INT($A11/16),2)</f>
        <v>0</v>
      </c>
      <c r="D11" s="12" t="n">
        <f aca="false">MOD(INT($A11/8),2)</f>
        <v>0</v>
      </c>
      <c r="E11" s="12" t="n">
        <f aca="false">MOD(INT($A11/4),2)</f>
        <v>1</v>
      </c>
      <c r="F11" s="12" t="n">
        <f aca="false">MOD(INT($A11/2),2)</f>
        <v>0</v>
      </c>
      <c r="G11" s="12" t="n">
        <f aca="false">MOD(INT($A11/1),2)</f>
        <v>1</v>
      </c>
      <c r="H11" s="12" t="n">
        <f aca="false">SUM(B11:G11)</f>
        <v>2</v>
      </c>
      <c r="I11" s="12" t="n">
        <f aca="false">IF(H11=0,0,VALUE(IF(B11=1,"1","")&amp;IF(C11=1,"2","")&amp;IF(D11=1,"3","")&amp;IF(E11=1,"4","")&amp;IF(F11=1,"5","")&amp;IF(G11=1,"6","")))</f>
        <v>46</v>
      </c>
      <c r="J11" s="14" t="n">
        <f aca="false">IF(B11=1,Eff_0+Gap_closed*(Eff_ceiling-Eff_0),Eff_0)</f>
        <v>71</v>
      </c>
      <c r="K11" s="14" t="n">
        <f aca="false">IF(C11=1,J11+Gap_closed*(Eff_ceiling-J11),J11)</f>
        <v>71</v>
      </c>
      <c r="L11" s="14" t="n">
        <f aca="false">IF(D11=1,K11+Gap_closed*(Eff_ceiling-K11),K11)</f>
        <v>71</v>
      </c>
      <c r="M11" s="14" t="n">
        <f aca="false">IF(E11=1,L11+Gap_closed*(Eff_ceiling-L11),L11)</f>
        <v>78</v>
      </c>
      <c r="N11" s="14" t="n">
        <f aca="false">IF(F11=1,M11+Gap_closed*(Eff_ceiling-M11),M11)</f>
        <v>78</v>
      </c>
      <c r="O11" s="14" t="n">
        <f aca="false">IF(G11=1,N11+Gap_closed*(Eff_ceiling-N11),N11)</f>
        <v>81.5</v>
      </c>
      <c r="P11" s="14" t="n">
        <f aca="false">Sav_point*(J11-Eff_0)</f>
        <v>0</v>
      </c>
      <c r="Q11" s="14" t="n">
        <f aca="false">Sav_point*(K11-Eff_0)</f>
        <v>0</v>
      </c>
      <c r="R11" s="14" t="n">
        <f aca="false">Sav_point*(L11-Eff_0)</f>
        <v>0</v>
      </c>
      <c r="S11" s="14" t="n">
        <f aca="false">Sav_point*(M11-Eff_0)</f>
        <v>70</v>
      </c>
      <c r="T11" s="14" t="n">
        <f aca="false">Sav_point*(N11-Eff_0)</f>
        <v>70</v>
      </c>
      <c r="U11" s="14" t="n">
        <f aca="false">Sav_point*(O11-Eff_0)</f>
        <v>105</v>
      </c>
      <c r="V11" s="14" t="n">
        <f aca="false">SUM(P11:U11)</f>
        <v>245</v>
      </c>
      <c r="W11" s="12" t="n">
        <f aca="false">IF(AND(H11&gt;0,Cap_0&lt;Cap_min),0,1)</f>
        <v>1</v>
      </c>
      <c r="X11" s="16" t="n">
        <f aca="false">Liq_0-Round_cost*B11+1*P11</f>
        <v>620</v>
      </c>
      <c r="Y11" s="16" t="n">
        <f aca="false">X11-Round_cost*C11+1*Q11</f>
        <v>620</v>
      </c>
      <c r="Z11" s="16" t="n">
        <f aca="false">Y11-Round_cost*D11+1*R11</f>
        <v>620</v>
      </c>
      <c r="AA11" s="16" t="n">
        <f aca="false">Z11-Round_cost*E11+1*S11</f>
        <v>570</v>
      </c>
      <c r="AB11" s="16" t="n">
        <f aca="false">AA11-Round_cost*F11+1*T11</f>
        <v>640</v>
      </c>
      <c r="AC11" s="16" t="n">
        <f aca="false">AB11-Round_cost*G11+1*U11</f>
        <v>625</v>
      </c>
      <c r="AD11" s="19" t="n">
        <f aca="false">IF(B11=1,Liq_0-Round_cost,1000000000)</f>
        <v>1000000000</v>
      </c>
      <c r="AE11" s="19" t="n">
        <f aca="false">IF(C11=1,X11-Round_cost,1000000000)</f>
        <v>1000000000</v>
      </c>
      <c r="AF11" s="19" t="n">
        <f aca="false">IF(D11=1,Y11-Round_cost,1000000000)</f>
        <v>1000000000</v>
      </c>
      <c r="AG11" s="19" t="n">
        <f aca="false">IF(E11=1,Z11-Round_cost,1000000000)</f>
        <v>500</v>
      </c>
      <c r="AH11" s="19" t="n">
        <f aca="false">IF(F11=1,AA11-Round_cost,1000000000)</f>
        <v>1000000000</v>
      </c>
      <c r="AI11" s="19" t="n">
        <f aca="false">IF(G11=1,AB11-Round_cost,1000000000)</f>
        <v>520</v>
      </c>
      <c r="AJ11" s="12" t="n">
        <f aca="false">IF(AND(MIN(X11:AC11)&gt;=Floor_liq-0.000000001,MIN(AD11:AI11)&gt;=Floor_liq-0.000000001),1,0)</f>
        <v>1</v>
      </c>
      <c r="AK11" s="12" t="n">
        <f aca="false">IF(AC11&gt;=End_liq-0.000000001,1,0)</f>
        <v>1</v>
      </c>
      <c r="AL11" s="12" t="n">
        <f aca="false">AJ11*AK11*W11</f>
        <v>1</v>
      </c>
      <c r="AM11" s="16" t="n">
        <f aca="false">Liq_0-Round_cost*B11+(1-Pledge_share)*P11</f>
        <v>620</v>
      </c>
      <c r="AN11" s="16" t="n">
        <f aca="false">AM11-Round_cost*C11+(1-Pledge_share)*Q11</f>
        <v>620</v>
      </c>
      <c r="AO11" s="16" t="n">
        <f aca="false">AN11-Round_cost*D11+(1-Pledge_share)*R11</f>
        <v>620</v>
      </c>
      <c r="AP11" s="16" t="n">
        <f aca="false">AO11-Round_cost*E11+(1-Pledge_share)*S11</f>
        <v>535</v>
      </c>
      <c r="AQ11" s="16" t="n">
        <f aca="false">AP11-Round_cost*F11+(1-Pledge_share)*T11</f>
        <v>570</v>
      </c>
      <c r="AR11" s="16" t="n">
        <f aca="false">AQ11-Round_cost*G11+(1-Pledge_share)*U11</f>
        <v>502.5</v>
      </c>
      <c r="AS11" s="19" t="n">
        <f aca="false">IF(B11=1,Liq_0-Round_cost,1000000000)</f>
        <v>1000000000</v>
      </c>
      <c r="AT11" s="19" t="n">
        <f aca="false">IF(C11=1,AM11-Round_cost,1000000000)</f>
        <v>1000000000</v>
      </c>
      <c r="AU11" s="19" t="n">
        <f aca="false">IF(D11=1,AN11-Round_cost,1000000000)</f>
        <v>1000000000</v>
      </c>
      <c r="AV11" s="19" t="n">
        <f aca="false">IF(E11=1,AO11-Round_cost,1000000000)</f>
        <v>500</v>
      </c>
      <c r="AW11" s="19" t="n">
        <f aca="false">IF(F11=1,AP11-Round_cost,1000000000)</f>
        <v>1000000000</v>
      </c>
      <c r="AX11" s="19" t="n">
        <f aca="false">IF(G11=1,AQ11-Round_cost,1000000000)</f>
        <v>450</v>
      </c>
      <c r="AY11" s="12" t="n">
        <f aca="false">IF(AND(MIN(AM11:AR11)&gt;=Floor_liq-0.000000001,MIN(AS11:AX11)&gt;=Floor_liq-0.000000001),1,0)</f>
        <v>1</v>
      </c>
      <c r="AZ11" s="12" t="n">
        <f aca="false">IF(AR11&gt;=End_liq-0.000000001,1,0)</f>
        <v>1</v>
      </c>
      <c r="BA11" s="12" t="n">
        <f aca="false">AY11*AZ11*W11</f>
        <v>1</v>
      </c>
      <c r="BB11" s="16" t="n">
        <f aca="false">Pledge_share*V11</f>
        <v>122.5</v>
      </c>
      <c r="BC11" s="16" t="n">
        <f aca="false">IF(BA11=1,H11*10000+BB11,-1)</f>
        <v>20122.5</v>
      </c>
      <c r="BD11" s="14" t="n">
        <f aca="false">U11</f>
        <v>105</v>
      </c>
      <c r="BE11" s="16" t="n">
        <f aca="false">AC11</f>
        <v>625</v>
      </c>
      <c r="BF11" s="16" t="n">
        <f aca="false">IF(AL11=1,AC11-End_liq,-1000000000)</f>
        <v>155</v>
      </c>
      <c r="BG11" s="16" t="n">
        <f aca="false">IF(AL11=1,BF11+BG$4*BD11,-1000000000)</f>
        <v>155</v>
      </c>
      <c r="BH11" s="16" t="n">
        <f aca="false">IF(AL11=1,BF11+BH$4*BD11,-1000000000)</f>
        <v>680</v>
      </c>
      <c r="BI11" s="16" t="n">
        <f aca="false">IF(AL11=1,BF11+BI$4*BD11,-1000000000)</f>
        <v>1205</v>
      </c>
      <c r="BJ11" s="16" t="n">
        <f aca="false">IF(AL11=1,BF11+BJ$4*BD11,-1000000000)</f>
        <v>2255</v>
      </c>
      <c r="BK11" s="16" t="n">
        <f aca="false">IF(AL11=1,BF11+BK$4*BD11,-1000000000)</f>
        <v>4355</v>
      </c>
      <c r="BL11" s="16" t="n">
        <f aca="false">IF(AL11=1,BF11+BL$4*BD11,-1000000000)</f>
        <v>6455</v>
      </c>
      <c r="BM11" s="12" t="n">
        <f aca="false">IF(H11=0,1,IF(I11=VALUE(LEFT("123456",H11)),1,0))</f>
        <v>0</v>
      </c>
      <c r="BN11" s="12" t="n">
        <f aca="false">IF(BG11&gt;0,1000*BG11,-1000000000000)</f>
        <v>155000</v>
      </c>
      <c r="BO11" s="16" t="n">
        <f aca="false">IF(BG11&gt;0,BG11+100,-1000000000)</f>
        <v>255</v>
      </c>
      <c r="BP11" s="20" t="n">
        <f aca="false">IF(BG11&gt;0,LN(BG11),-1000000000)</f>
        <v>5.04342511691925</v>
      </c>
    </row>
    <row r="12" customFormat="false" ht="15" hidden="false" customHeight="false" outlineLevel="0" collapsed="false">
      <c r="A12" s="12" t="n">
        <v>6</v>
      </c>
      <c r="B12" s="12" t="n">
        <f aca="false">MOD(INT($A12/32),2)</f>
        <v>0</v>
      </c>
      <c r="C12" s="12" t="n">
        <f aca="false">MOD(INT($A12/16),2)</f>
        <v>0</v>
      </c>
      <c r="D12" s="12" t="n">
        <f aca="false">MOD(INT($A12/8),2)</f>
        <v>0</v>
      </c>
      <c r="E12" s="12" t="n">
        <f aca="false">MOD(INT($A12/4),2)</f>
        <v>1</v>
      </c>
      <c r="F12" s="12" t="n">
        <f aca="false">MOD(INT($A12/2),2)</f>
        <v>1</v>
      </c>
      <c r="G12" s="12" t="n">
        <f aca="false">MOD(INT($A12/1),2)</f>
        <v>0</v>
      </c>
      <c r="H12" s="12" t="n">
        <f aca="false">SUM(B12:G12)</f>
        <v>2</v>
      </c>
      <c r="I12" s="12" t="n">
        <f aca="false">IF(H12=0,0,VALUE(IF(B12=1,"1","")&amp;IF(C12=1,"2","")&amp;IF(D12=1,"3","")&amp;IF(E12=1,"4","")&amp;IF(F12=1,"5","")&amp;IF(G12=1,"6","")))</f>
        <v>45</v>
      </c>
      <c r="J12" s="14" t="n">
        <f aca="false">IF(B12=1,Eff_0+Gap_closed*(Eff_ceiling-Eff_0),Eff_0)</f>
        <v>71</v>
      </c>
      <c r="K12" s="14" t="n">
        <f aca="false">IF(C12=1,J12+Gap_closed*(Eff_ceiling-J12),J12)</f>
        <v>71</v>
      </c>
      <c r="L12" s="14" t="n">
        <f aca="false">IF(D12=1,K12+Gap_closed*(Eff_ceiling-K12),K12)</f>
        <v>71</v>
      </c>
      <c r="M12" s="14" t="n">
        <f aca="false">IF(E12=1,L12+Gap_closed*(Eff_ceiling-L12),L12)</f>
        <v>78</v>
      </c>
      <c r="N12" s="14" t="n">
        <f aca="false">IF(F12=1,M12+Gap_closed*(Eff_ceiling-M12),M12)</f>
        <v>81.5</v>
      </c>
      <c r="O12" s="14" t="n">
        <f aca="false">IF(G12=1,N12+Gap_closed*(Eff_ceiling-N12),N12)</f>
        <v>81.5</v>
      </c>
      <c r="P12" s="14" t="n">
        <f aca="false">Sav_point*(J12-Eff_0)</f>
        <v>0</v>
      </c>
      <c r="Q12" s="14" t="n">
        <f aca="false">Sav_point*(K12-Eff_0)</f>
        <v>0</v>
      </c>
      <c r="R12" s="14" t="n">
        <f aca="false">Sav_point*(L12-Eff_0)</f>
        <v>0</v>
      </c>
      <c r="S12" s="14" t="n">
        <f aca="false">Sav_point*(M12-Eff_0)</f>
        <v>70</v>
      </c>
      <c r="T12" s="14" t="n">
        <f aca="false">Sav_point*(N12-Eff_0)</f>
        <v>105</v>
      </c>
      <c r="U12" s="14" t="n">
        <f aca="false">Sav_point*(O12-Eff_0)</f>
        <v>105</v>
      </c>
      <c r="V12" s="14" t="n">
        <f aca="false">SUM(P12:U12)</f>
        <v>280</v>
      </c>
      <c r="W12" s="12" t="n">
        <f aca="false">IF(AND(H12&gt;0,Cap_0&lt;Cap_min),0,1)</f>
        <v>1</v>
      </c>
      <c r="X12" s="16" t="n">
        <f aca="false">Liq_0-Round_cost*B12+1*P12</f>
        <v>620</v>
      </c>
      <c r="Y12" s="16" t="n">
        <f aca="false">X12-Round_cost*C12+1*Q12</f>
        <v>620</v>
      </c>
      <c r="Z12" s="16" t="n">
        <f aca="false">Y12-Round_cost*D12+1*R12</f>
        <v>620</v>
      </c>
      <c r="AA12" s="16" t="n">
        <f aca="false">Z12-Round_cost*E12+1*S12</f>
        <v>570</v>
      </c>
      <c r="AB12" s="16" t="n">
        <f aca="false">AA12-Round_cost*F12+1*T12</f>
        <v>555</v>
      </c>
      <c r="AC12" s="16" t="n">
        <f aca="false">AB12-Round_cost*G12+1*U12</f>
        <v>660</v>
      </c>
      <c r="AD12" s="19" t="n">
        <f aca="false">IF(B12=1,Liq_0-Round_cost,1000000000)</f>
        <v>1000000000</v>
      </c>
      <c r="AE12" s="19" t="n">
        <f aca="false">IF(C12=1,X12-Round_cost,1000000000)</f>
        <v>1000000000</v>
      </c>
      <c r="AF12" s="19" t="n">
        <f aca="false">IF(D12=1,Y12-Round_cost,1000000000)</f>
        <v>1000000000</v>
      </c>
      <c r="AG12" s="19" t="n">
        <f aca="false">IF(E12=1,Z12-Round_cost,1000000000)</f>
        <v>500</v>
      </c>
      <c r="AH12" s="19" t="n">
        <f aca="false">IF(F12=1,AA12-Round_cost,1000000000)</f>
        <v>450</v>
      </c>
      <c r="AI12" s="19" t="n">
        <f aca="false">IF(G12=1,AB12-Round_cost,1000000000)</f>
        <v>1000000000</v>
      </c>
      <c r="AJ12" s="12" t="n">
        <f aca="false">IF(AND(MIN(X12:AC12)&gt;=Floor_liq-0.000000001,MIN(AD12:AI12)&gt;=Floor_liq-0.000000001),1,0)</f>
        <v>1</v>
      </c>
      <c r="AK12" s="12" t="n">
        <f aca="false">IF(AC12&gt;=End_liq-0.000000001,1,0)</f>
        <v>1</v>
      </c>
      <c r="AL12" s="12" t="n">
        <f aca="false">AJ12*AK12*W12</f>
        <v>1</v>
      </c>
      <c r="AM12" s="16" t="n">
        <f aca="false">Liq_0-Round_cost*B12+(1-Pledge_share)*P12</f>
        <v>620</v>
      </c>
      <c r="AN12" s="16" t="n">
        <f aca="false">AM12-Round_cost*C12+(1-Pledge_share)*Q12</f>
        <v>620</v>
      </c>
      <c r="AO12" s="16" t="n">
        <f aca="false">AN12-Round_cost*D12+(1-Pledge_share)*R12</f>
        <v>620</v>
      </c>
      <c r="AP12" s="16" t="n">
        <f aca="false">AO12-Round_cost*E12+(1-Pledge_share)*S12</f>
        <v>535</v>
      </c>
      <c r="AQ12" s="16" t="n">
        <f aca="false">AP12-Round_cost*F12+(1-Pledge_share)*T12</f>
        <v>467.5</v>
      </c>
      <c r="AR12" s="16" t="n">
        <f aca="false">AQ12-Round_cost*G12+(1-Pledge_share)*U12</f>
        <v>520</v>
      </c>
      <c r="AS12" s="19" t="n">
        <f aca="false">IF(B12=1,Liq_0-Round_cost,1000000000)</f>
        <v>1000000000</v>
      </c>
      <c r="AT12" s="19" t="n">
        <f aca="false">IF(C12=1,AM12-Round_cost,1000000000)</f>
        <v>1000000000</v>
      </c>
      <c r="AU12" s="19" t="n">
        <f aca="false">IF(D12=1,AN12-Round_cost,1000000000)</f>
        <v>1000000000</v>
      </c>
      <c r="AV12" s="19" t="n">
        <f aca="false">IF(E12=1,AO12-Round_cost,1000000000)</f>
        <v>500</v>
      </c>
      <c r="AW12" s="19" t="n">
        <f aca="false">IF(F12=1,AP12-Round_cost,1000000000)</f>
        <v>415</v>
      </c>
      <c r="AX12" s="19" t="n">
        <f aca="false">IF(G12=1,AQ12-Round_cost,1000000000)</f>
        <v>1000000000</v>
      </c>
      <c r="AY12" s="12" t="n">
        <f aca="false">IF(AND(MIN(AM12:AR12)&gt;=Floor_liq-0.000000001,MIN(AS12:AX12)&gt;=Floor_liq-0.000000001),1,0)</f>
        <v>1</v>
      </c>
      <c r="AZ12" s="12" t="n">
        <f aca="false">IF(AR12&gt;=End_liq-0.000000001,1,0)</f>
        <v>1</v>
      </c>
      <c r="BA12" s="12" t="n">
        <f aca="false">AY12*AZ12*W12</f>
        <v>1</v>
      </c>
      <c r="BB12" s="16" t="n">
        <f aca="false">Pledge_share*V12</f>
        <v>140</v>
      </c>
      <c r="BC12" s="16" t="n">
        <f aca="false">IF(BA12=1,H12*10000+BB12,-1)</f>
        <v>20140</v>
      </c>
      <c r="BD12" s="14" t="n">
        <f aca="false">U12</f>
        <v>105</v>
      </c>
      <c r="BE12" s="16" t="n">
        <f aca="false">AC12</f>
        <v>660</v>
      </c>
      <c r="BF12" s="16" t="n">
        <f aca="false">IF(AL12=1,AC12-End_liq,-1000000000)</f>
        <v>190</v>
      </c>
      <c r="BG12" s="16" t="n">
        <f aca="false">IF(AL12=1,BF12+BG$4*BD12,-1000000000)</f>
        <v>190</v>
      </c>
      <c r="BH12" s="16" t="n">
        <f aca="false">IF(AL12=1,BF12+BH$4*BD12,-1000000000)</f>
        <v>715</v>
      </c>
      <c r="BI12" s="16" t="n">
        <f aca="false">IF(AL12=1,BF12+BI$4*BD12,-1000000000)</f>
        <v>1240</v>
      </c>
      <c r="BJ12" s="16" t="n">
        <f aca="false">IF(AL12=1,BF12+BJ$4*BD12,-1000000000)</f>
        <v>2290</v>
      </c>
      <c r="BK12" s="16" t="n">
        <f aca="false">IF(AL12=1,BF12+BK$4*BD12,-1000000000)</f>
        <v>4390</v>
      </c>
      <c r="BL12" s="16" t="n">
        <f aca="false">IF(AL12=1,BF12+BL$4*BD12,-1000000000)</f>
        <v>6490</v>
      </c>
      <c r="BM12" s="12" t="n">
        <f aca="false">IF(H12=0,1,IF(I12=VALUE(LEFT("123456",H12)),1,0))</f>
        <v>0</v>
      </c>
      <c r="BN12" s="12" t="n">
        <f aca="false">IF(BG12&gt;0,1000*BG12,-1000000000000)</f>
        <v>190000</v>
      </c>
      <c r="BO12" s="16" t="n">
        <f aca="false">IF(BG12&gt;0,BG12+100,-1000000000)</f>
        <v>290</v>
      </c>
      <c r="BP12" s="20" t="n">
        <f aca="false">IF(BG12&gt;0,LN(BG12),-1000000000)</f>
        <v>5.24702407216049</v>
      </c>
    </row>
    <row r="13" customFormat="false" ht="15" hidden="false" customHeight="false" outlineLevel="0" collapsed="false">
      <c r="A13" s="12" t="n">
        <v>7</v>
      </c>
      <c r="B13" s="12" t="n">
        <f aca="false">MOD(INT($A13/32),2)</f>
        <v>0</v>
      </c>
      <c r="C13" s="12" t="n">
        <f aca="false">MOD(INT($A13/16),2)</f>
        <v>0</v>
      </c>
      <c r="D13" s="12" t="n">
        <f aca="false">MOD(INT($A13/8),2)</f>
        <v>0</v>
      </c>
      <c r="E13" s="12" t="n">
        <f aca="false">MOD(INT($A13/4),2)</f>
        <v>1</v>
      </c>
      <c r="F13" s="12" t="n">
        <f aca="false">MOD(INT($A13/2),2)</f>
        <v>1</v>
      </c>
      <c r="G13" s="12" t="n">
        <f aca="false">MOD(INT($A13/1),2)</f>
        <v>1</v>
      </c>
      <c r="H13" s="12" t="n">
        <f aca="false">SUM(B13:G13)</f>
        <v>3</v>
      </c>
      <c r="I13" s="12" t="n">
        <f aca="false">IF(H13=0,0,VALUE(IF(B13=1,"1","")&amp;IF(C13=1,"2","")&amp;IF(D13=1,"3","")&amp;IF(E13=1,"4","")&amp;IF(F13=1,"5","")&amp;IF(G13=1,"6","")))</f>
        <v>456</v>
      </c>
      <c r="J13" s="14" t="n">
        <f aca="false">IF(B13=1,Eff_0+Gap_closed*(Eff_ceiling-Eff_0),Eff_0)</f>
        <v>71</v>
      </c>
      <c r="K13" s="14" t="n">
        <f aca="false">IF(C13=1,J13+Gap_closed*(Eff_ceiling-J13),J13)</f>
        <v>71</v>
      </c>
      <c r="L13" s="14" t="n">
        <f aca="false">IF(D13=1,K13+Gap_closed*(Eff_ceiling-K13),K13)</f>
        <v>71</v>
      </c>
      <c r="M13" s="14" t="n">
        <f aca="false">IF(E13=1,L13+Gap_closed*(Eff_ceiling-L13),L13)</f>
        <v>78</v>
      </c>
      <c r="N13" s="14" t="n">
        <f aca="false">IF(F13=1,M13+Gap_closed*(Eff_ceiling-M13),M13)</f>
        <v>81.5</v>
      </c>
      <c r="O13" s="14" t="n">
        <f aca="false">IF(G13=1,N13+Gap_closed*(Eff_ceiling-N13),N13)</f>
        <v>83.25</v>
      </c>
      <c r="P13" s="14" t="n">
        <f aca="false">Sav_point*(J13-Eff_0)</f>
        <v>0</v>
      </c>
      <c r="Q13" s="14" t="n">
        <f aca="false">Sav_point*(K13-Eff_0)</f>
        <v>0</v>
      </c>
      <c r="R13" s="14" t="n">
        <f aca="false">Sav_point*(L13-Eff_0)</f>
        <v>0</v>
      </c>
      <c r="S13" s="14" t="n">
        <f aca="false">Sav_point*(M13-Eff_0)</f>
        <v>70</v>
      </c>
      <c r="T13" s="14" t="n">
        <f aca="false">Sav_point*(N13-Eff_0)</f>
        <v>105</v>
      </c>
      <c r="U13" s="14" t="n">
        <f aca="false">Sav_point*(O13-Eff_0)</f>
        <v>122.5</v>
      </c>
      <c r="V13" s="14" t="n">
        <f aca="false">SUM(P13:U13)</f>
        <v>297.5</v>
      </c>
      <c r="W13" s="12" t="n">
        <f aca="false">IF(AND(H13&gt;0,Cap_0&lt;Cap_min),0,1)</f>
        <v>1</v>
      </c>
      <c r="X13" s="16" t="n">
        <f aca="false">Liq_0-Round_cost*B13+1*P13</f>
        <v>620</v>
      </c>
      <c r="Y13" s="16" t="n">
        <f aca="false">X13-Round_cost*C13+1*Q13</f>
        <v>620</v>
      </c>
      <c r="Z13" s="16" t="n">
        <f aca="false">Y13-Round_cost*D13+1*R13</f>
        <v>620</v>
      </c>
      <c r="AA13" s="16" t="n">
        <f aca="false">Z13-Round_cost*E13+1*S13</f>
        <v>570</v>
      </c>
      <c r="AB13" s="16" t="n">
        <f aca="false">AA13-Round_cost*F13+1*T13</f>
        <v>555</v>
      </c>
      <c r="AC13" s="16" t="n">
        <f aca="false">AB13-Round_cost*G13+1*U13</f>
        <v>557.5</v>
      </c>
      <c r="AD13" s="19" t="n">
        <f aca="false">IF(B13=1,Liq_0-Round_cost,1000000000)</f>
        <v>1000000000</v>
      </c>
      <c r="AE13" s="19" t="n">
        <f aca="false">IF(C13=1,X13-Round_cost,1000000000)</f>
        <v>1000000000</v>
      </c>
      <c r="AF13" s="19" t="n">
        <f aca="false">IF(D13=1,Y13-Round_cost,1000000000)</f>
        <v>1000000000</v>
      </c>
      <c r="AG13" s="19" t="n">
        <f aca="false">IF(E13=1,Z13-Round_cost,1000000000)</f>
        <v>500</v>
      </c>
      <c r="AH13" s="19" t="n">
        <f aca="false">IF(F13=1,AA13-Round_cost,1000000000)</f>
        <v>450</v>
      </c>
      <c r="AI13" s="19" t="n">
        <f aca="false">IF(G13=1,AB13-Round_cost,1000000000)</f>
        <v>435</v>
      </c>
      <c r="AJ13" s="12" t="n">
        <f aca="false">IF(AND(MIN(X13:AC13)&gt;=Floor_liq-0.000000001,MIN(AD13:AI13)&gt;=Floor_liq-0.000000001),1,0)</f>
        <v>1</v>
      </c>
      <c r="AK13" s="12" t="n">
        <f aca="false">IF(AC13&gt;=End_liq-0.000000001,1,0)</f>
        <v>1</v>
      </c>
      <c r="AL13" s="12" t="n">
        <f aca="false">AJ13*AK13*W13</f>
        <v>1</v>
      </c>
      <c r="AM13" s="16" t="n">
        <f aca="false">Liq_0-Round_cost*B13+(1-Pledge_share)*P13</f>
        <v>620</v>
      </c>
      <c r="AN13" s="16" t="n">
        <f aca="false">AM13-Round_cost*C13+(1-Pledge_share)*Q13</f>
        <v>620</v>
      </c>
      <c r="AO13" s="16" t="n">
        <f aca="false">AN13-Round_cost*D13+(1-Pledge_share)*R13</f>
        <v>620</v>
      </c>
      <c r="AP13" s="16" t="n">
        <f aca="false">AO13-Round_cost*E13+(1-Pledge_share)*S13</f>
        <v>535</v>
      </c>
      <c r="AQ13" s="16" t="n">
        <f aca="false">AP13-Round_cost*F13+(1-Pledge_share)*T13</f>
        <v>467.5</v>
      </c>
      <c r="AR13" s="16" t="n">
        <f aca="false">AQ13-Round_cost*G13+(1-Pledge_share)*U13</f>
        <v>408.75</v>
      </c>
      <c r="AS13" s="19" t="n">
        <f aca="false">IF(B13=1,Liq_0-Round_cost,1000000000)</f>
        <v>1000000000</v>
      </c>
      <c r="AT13" s="19" t="n">
        <f aca="false">IF(C13=1,AM13-Round_cost,1000000000)</f>
        <v>1000000000</v>
      </c>
      <c r="AU13" s="19" t="n">
        <f aca="false">IF(D13=1,AN13-Round_cost,1000000000)</f>
        <v>1000000000</v>
      </c>
      <c r="AV13" s="19" t="n">
        <f aca="false">IF(E13=1,AO13-Round_cost,1000000000)</f>
        <v>500</v>
      </c>
      <c r="AW13" s="19" t="n">
        <f aca="false">IF(F13=1,AP13-Round_cost,1000000000)</f>
        <v>415</v>
      </c>
      <c r="AX13" s="19" t="n">
        <f aca="false">IF(G13=1,AQ13-Round_cost,1000000000)</f>
        <v>347.5</v>
      </c>
      <c r="AY13" s="12" t="n">
        <f aca="false">IF(AND(MIN(AM13:AR13)&gt;=Floor_liq-0.000000001,MIN(AS13:AX13)&gt;=Floor_liq-0.000000001),1,0)</f>
        <v>0</v>
      </c>
      <c r="AZ13" s="12" t="n">
        <f aca="false">IF(AR13&gt;=End_liq-0.000000001,1,0)</f>
        <v>0</v>
      </c>
      <c r="BA13" s="12" t="n">
        <f aca="false">AY13*AZ13*W13</f>
        <v>0</v>
      </c>
      <c r="BB13" s="16" t="n">
        <f aca="false">Pledge_share*V13</f>
        <v>148.75</v>
      </c>
      <c r="BC13" s="16" t="n">
        <f aca="false">IF(BA13=1,H13*10000+BB13,-1)</f>
        <v>-1</v>
      </c>
      <c r="BD13" s="14" t="n">
        <f aca="false">U13</f>
        <v>122.5</v>
      </c>
      <c r="BE13" s="16" t="n">
        <f aca="false">AC13</f>
        <v>557.5</v>
      </c>
      <c r="BF13" s="16" t="n">
        <f aca="false">IF(AL13=1,AC13-End_liq,-1000000000)</f>
        <v>87.5</v>
      </c>
      <c r="BG13" s="16" t="n">
        <f aca="false">IF(AL13=1,BF13+BG$4*BD13,-1000000000)</f>
        <v>87.5</v>
      </c>
      <c r="BH13" s="16" t="n">
        <f aca="false">IF(AL13=1,BF13+BH$4*BD13,-1000000000)</f>
        <v>700</v>
      </c>
      <c r="BI13" s="16" t="n">
        <f aca="false">IF(AL13=1,BF13+BI$4*BD13,-1000000000)</f>
        <v>1312.5</v>
      </c>
      <c r="BJ13" s="16" t="n">
        <f aca="false">IF(AL13=1,BF13+BJ$4*BD13,-1000000000)</f>
        <v>2537.5</v>
      </c>
      <c r="BK13" s="16" t="n">
        <f aca="false">IF(AL13=1,BF13+BK$4*BD13,-1000000000)</f>
        <v>4987.5</v>
      </c>
      <c r="BL13" s="16" t="n">
        <f aca="false">IF(AL13=1,BF13+BL$4*BD13,-1000000000)</f>
        <v>7437.5</v>
      </c>
      <c r="BM13" s="12" t="n">
        <f aca="false">IF(H13=0,1,IF(I13=VALUE(LEFT("123456",H13)),1,0))</f>
        <v>0</v>
      </c>
      <c r="BN13" s="12" t="n">
        <f aca="false">IF(BG13&gt;0,1000*BG13,-1000000000000)</f>
        <v>87500</v>
      </c>
      <c r="BO13" s="16" t="n">
        <f aca="false">IF(BG13&gt;0,BG13+100,-1000000000)</f>
        <v>187.5</v>
      </c>
      <c r="BP13" s="20" t="n">
        <f aca="false">IF(BG13&gt;0,LN(BG13),-1000000000)</f>
        <v>4.47163879336357</v>
      </c>
    </row>
    <row r="14" customFormat="false" ht="15" hidden="false" customHeight="false" outlineLevel="0" collapsed="false">
      <c r="A14" s="12" t="n">
        <v>8</v>
      </c>
      <c r="B14" s="12" t="n">
        <f aca="false">MOD(INT($A14/32),2)</f>
        <v>0</v>
      </c>
      <c r="C14" s="12" t="n">
        <f aca="false">MOD(INT($A14/16),2)</f>
        <v>0</v>
      </c>
      <c r="D14" s="12" t="n">
        <f aca="false">MOD(INT($A14/8),2)</f>
        <v>1</v>
      </c>
      <c r="E14" s="12" t="n">
        <f aca="false">MOD(INT($A14/4),2)</f>
        <v>0</v>
      </c>
      <c r="F14" s="12" t="n">
        <f aca="false">MOD(INT($A14/2),2)</f>
        <v>0</v>
      </c>
      <c r="G14" s="12" t="n">
        <f aca="false">MOD(INT($A14/1),2)</f>
        <v>0</v>
      </c>
      <c r="H14" s="12" t="n">
        <f aca="false">SUM(B14:G14)</f>
        <v>1</v>
      </c>
      <c r="I14" s="12" t="n">
        <f aca="false">IF(H14=0,0,VALUE(IF(B14=1,"1","")&amp;IF(C14=1,"2","")&amp;IF(D14=1,"3","")&amp;IF(E14=1,"4","")&amp;IF(F14=1,"5","")&amp;IF(G14=1,"6","")))</f>
        <v>3</v>
      </c>
      <c r="J14" s="14" t="n">
        <f aca="false">IF(B14=1,Eff_0+Gap_closed*(Eff_ceiling-Eff_0),Eff_0)</f>
        <v>71</v>
      </c>
      <c r="K14" s="14" t="n">
        <f aca="false">IF(C14=1,J14+Gap_closed*(Eff_ceiling-J14),J14)</f>
        <v>71</v>
      </c>
      <c r="L14" s="14" t="n">
        <f aca="false">IF(D14=1,K14+Gap_closed*(Eff_ceiling-K14),K14)</f>
        <v>78</v>
      </c>
      <c r="M14" s="14" t="n">
        <f aca="false">IF(E14=1,L14+Gap_closed*(Eff_ceiling-L14),L14)</f>
        <v>78</v>
      </c>
      <c r="N14" s="14" t="n">
        <f aca="false">IF(F14=1,M14+Gap_closed*(Eff_ceiling-M14),M14)</f>
        <v>78</v>
      </c>
      <c r="O14" s="14" t="n">
        <f aca="false">IF(G14=1,N14+Gap_closed*(Eff_ceiling-N14),N14)</f>
        <v>78</v>
      </c>
      <c r="P14" s="14" t="n">
        <f aca="false">Sav_point*(J14-Eff_0)</f>
        <v>0</v>
      </c>
      <c r="Q14" s="14" t="n">
        <f aca="false">Sav_point*(K14-Eff_0)</f>
        <v>0</v>
      </c>
      <c r="R14" s="14" t="n">
        <f aca="false">Sav_point*(L14-Eff_0)</f>
        <v>70</v>
      </c>
      <c r="S14" s="14" t="n">
        <f aca="false">Sav_point*(M14-Eff_0)</f>
        <v>70</v>
      </c>
      <c r="T14" s="14" t="n">
        <f aca="false">Sav_point*(N14-Eff_0)</f>
        <v>70</v>
      </c>
      <c r="U14" s="14" t="n">
        <f aca="false">Sav_point*(O14-Eff_0)</f>
        <v>70</v>
      </c>
      <c r="V14" s="14" t="n">
        <f aca="false">SUM(P14:U14)</f>
        <v>280</v>
      </c>
      <c r="W14" s="12" t="n">
        <f aca="false">IF(AND(H14&gt;0,Cap_0&lt;Cap_min),0,1)</f>
        <v>1</v>
      </c>
      <c r="X14" s="16" t="n">
        <f aca="false">Liq_0-Round_cost*B14+1*P14</f>
        <v>620</v>
      </c>
      <c r="Y14" s="16" t="n">
        <f aca="false">X14-Round_cost*C14+1*Q14</f>
        <v>620</v>
      </c>
      <c r="Z14" s="16" t="n">
        <f aca="false">Y14-Round_cost*D14+1*R14</f>
        <v>570</v>
      </c>
      <c r="AA14" s="16" t="n">
        <f aca="false">Z14-Round_cost*E14+1*S14</f>
        <v>640</v>
      </c>
      <c r="AB14" s="16" t="n">
        <f aca="false">AA14-Round_cost*F14+1*T14</f>
        <v>710</v>
      </c>
      <c r="AC14" s="16" t="n">
        <f aca="false">AB14-Round_cost*G14+1*U14</f>
        <v>780</v>
      </c>
      <c r="AD14" s="19" t="n">
        <f aca="false">IF(B14=1,Liq_0-Round_cost,1000000000)</f>
        <v>1000000000</v>
      </c>
      <c r="AE14" s="19" t="n">
        <f aca="false">IF(C14=1,X14-Round_cost,1000000000)</f>
        <v>1000000000</v>
      </c>
      <c r="AF14" s="19" t="n">
        <f aca="false">IF(D14=1,Y14-Round_cost,1000000000)</f>
        <v>500</v>
      </c>
      <c r="AG14" s="19" t="n">
        <f aca="false">IF(E14=1,Z14-Round_cost,1000000000)</f>
        <v>1000000000</v>
      </c>
      <c r="AH14" s="19" t="n">
        <f aca="false">IF(F14=1,AA14-Round_cost,1000000000)</f>
        <v>1000000000</v>
      </c>
      <c r="AI14" s="19" t="n">
        <f aca="false">IF(G14=1,AB14-Round_cost,1000000000)</f>
        <v>1000000000</v>
      </c>
      <c r="AJ14" s="12" t="n">
        <f aca="false">IF(AND(MIN(X14:AC14)&gt;=Floor_liq-0.000000001,MIN(AD14:AI14)&gt;=Floor_liq-0.000000001),1,0)</f>
        <v>1</v>
      </c>
      <c r="AK14" s="12" t="n">
        <f aca="false">IF(AC14&gt;=End_liq-0.000000001,1,0)</f>
        <v>1</v>
      </c>
      <c r="AL14" s="12" t="n">
        <f aca="false">AJ14*AK14*W14</f>
        <v>1</v>
      </c>
      <c r="AM14" s="16" t="n">
        <f aca="false">Liq_0-Round_cost*B14+(1-Pledge_share)*P14</f>
        <v>620</v>
      </c>
      <c r="AN14" s="16" t="n">
        <f aca="false">AM14-Round_cost*C14+(1-Pledge_share)*Q14</f>
        <v>620</v>
      </c>
      <c r="AO14" s="16" t="n">
        <f aca="false">AN14-Round_cost*D14+(1-Pledge_share)*R14</f>
        <v>535</v>
      </c>
      <c r="AP14" s="16" t="n">
        <f aca="false">AO14-Round_cost*E14+(1-Pledge_share)*S14</f>
        <v>570</v>
      </c>
      <c r="AQ14" s="16" t="n">
        <f aca="false">AP14-Round_cost*F14+(1-Pledge_share)*T14</f>
        <v>605</v>
      </c>
      <c r="AR14" s="16" t="n">
        <f aca="false">AQ14-Round_cost*G14+(1-Pledge_share)*U14</f>
        <v>640</v>
      </c>
      <c r="AS14" s="19" t="n">
        <f aca="false">IF(B14=1,Liq_0-Round_cost,1000000000)</f>
        <v>1000000000</v>
      </c>
      <c r="AT14" s="19" t="n">
        <f aca="false">IF(C14=1,AM14-Round_cost,1000000000)</f>
        <v>1000000000</v>
      </c>
      <c r="AU14" s="19" t="n">
        <f aca="false">IF(D14=1,AN14-Round_cost,1000000000)</f>
        <v>500</v>
      </c>
      <c r="AV14" s="19" t="n">
        <f aca="false">IF(E14=1,AO14-Round_cost,1000000000)</f>
        <v>1000000000</v>
      </c>
      <c r="AW14" s="19" t="n">
        <f aca="false">IF(F14=1,AP14-Round_cost,1000000000)</f>
        <v>1000000000</v>
      </c>
      <c r="AX14" s="19" t="n">
        <f aca="false">IF(G14=1,AQ14-Round_cost,1000000000)</f>
        <v>1000000000</v>
      </c>
      <c r="AY14" s="12" t="n">
        <f aca="false">IF(AND(MIN(AM14:AR14)&gt;=Floor_liq-0.000000001,MIN(AS14:AX14)&gt;=Floor_liq-0.000000001),1,0)</f>
        <v>1</v>
      </c>
      <c r="AZ14" s="12" t="n">
        <f aca="false">IF(AR14&gt;=End_liq-0.000000001,1,0)</f>
        <v>1</v>
      </c>
      <c r="BA14" s="12" t="n">
        <f aca="false">AY14*AZ14*W14</f>
        <v>1</v>
      </c>
      <c r="BB14" s="16" t="n">
        <f aca="false">Pledge_share*V14</f>
        <v>140</v>
      </c>
      <c r="BC14" s="16" t="n">
        <f aca="false">IF(BA14=1,H14*10000+BB14,-1)</f>
        <v>10140</v>
      </c>
      <c r="BD14" s="14" t="n">
        <f aca="false">U14</f>
        <v>70</v>
      </c>
      <c r="BE14" s="16" t="n">
        <f aca="false">AC14</f>
        <v>780</v>
      </c>
      <c r="BF14" s="16" t="n">
        <f aca="false">IF(AL14=1,AC14-End_liq,-1000000000)</f>
        <v>310</v>
      </c>
      <c r="BG14" s="16" t="n">
        <f aca="false">IF(AL14=1,BF14+BG$4*BD14,-1000000000)</f>
        <v>310</v>
      </c>
      <c r="BH14" s="16" t="n">
        <f aca="false">IF(AL14=1,BF14+BH$4*BD14,-1000000000)</f>
        <v>660</v>
      </c>
      <c r="BI14" s="16" t="n">
        <f aca="false">IF(AL14=1,BF14+BI$4*BD14,-1000000000)</f>
        <v>1010</v>
      </c>
      <c r="BJ14" s="16" t="n">
        <f aca="false">IF(AL14=1,BF14+BJ$4*BD14,-1000000000)</f>
        <v>1710</v>
      </c>
      <c r="BK14" s="16" t="n">
        <f aca="false">IF(AL14=1,BF14+BK$4*BD14,-1000000000)</f>
        <v>3110</v>
      </c>
      <c r="BL14" s="16" t="n">
        <f aca="false">IF(AL14=1,BF14+BL$4*BD14,-1000000000)</f>
        <v>4510</v>
      </c>
      <c r="BM14" s="12" t="n">
        <f aca="false">IF(H14=0,1,IF(I14=VALUE(LEFT("123456",H14)),1,0))</f>
        <v>0</v>
      </c>
      <c r="BN14" s="12" t="n">
        <f aca="false">IF(BG14&gt;0,1000*BG14,-1000000000000)</f>
        <v>310000</v>
      </c>
      <c r="BO14" s="16" t="n">
        <f aca="false">IF(BG14&gt;0,BG14+100,-1000000000)</f>
        <v>410</v>
      </c>
      <c r="BP14" s="20" t="n">
        <f aca="false">IF(BG14&gt;0,LN(BG14),-1000000000)</f>
        <v>5.73657229747919</v>
      </c>
    </row>
    <row r="15" customFormat="false" ht="15" hidden="false" customHeight="false" outlineLevel="0" collapsed="false">
      <c r="A15" s="12" t="n">
        <v>9</v>
      </c>
      <c r="B15" s="12" t="n">
        <f aca="false">MOD(INT($A15/32),2)</f>
        <v>0</v>
      </c>
      <c r="C15" s="12" t="n">
        <f aca="false">MOD(INT($A15/16),2)</f>
        <v>0</v>
      </c>
      <c r="D15" s="12" t="n">
        <f aca="false">MOD(INT($A15/8),2)</f>
        <v>1</v>
      </c>
      <c r="E15" s="12" t="n">
        <f aca="false">MOD(INT($A15/4),2)</f>
        <v>0</v>
      </c>
      <c r="F15" s="12" t="n">
        <f aca="false">MOD(INT($A15/2),2)</f>
        <v>0</v>
      </c>
      <c r="G15" s="12" t="n">
        <f aca="false">MOD(INT($A15/1),2)</f>
        <v>1</v>
      </c>
      <c r="H15" s="12" t="n">
        <f aca="false">SUM(B15:G15)</f>
        <v>2</v>
      </c>
      <c r="I15" s="12" t="n">
        <f aca="false">IF(H15=0,0,VALUE(IF(B15=1,"1","")&amp;IF(C15=1,"2","")&amp;IF(D15=1,"3","")&amp;IF(E15=1,"4","")&amp;IF(F15=1,"5","")&amp;IF(G15=1,"6","")))</f>
        <v>36</v>
      </c>
      <c r="J15" s="14" t="n">
        <f aca="false">IF(B15=1,Eff_0+Gap_closed*(Eff_ceiling-Eff_0),Eff_0)</f>
        <v>71</v>
      </c>
      <c r="K15" s="14" t="n">
        <f aca="false">IF(C15=1,J15+Gap_closed*(Eff_ceiling-J15),J15)</f>
        <v>71</v>
      </c>
      <c r="L15" s="14" t="n">
        <f aca="false">IF(D15=1,K15+Gap_closed*(Eff_ceiling-K15),K15)</f>
        <v>78</v>
      </c>
      <c r="M15" s="14" t="n">
        <f aca="false">IF(E15=1,L15+Gap_closed*(Eff_ceiling-L15),L15)</f>
        <v>78</v>
      </c>
      <c r="N15" s="14" t="n">
        <f aca="false">IF(F15=1,M15+Gap_closed*(Eff_ceiling-M15),M15)</f>
        <v>78</v>
      </c>
      <c r="O15" s="14" t="n">
        <f aca="false">IF(G15=1,N15+Gap_closed*(Eff_ceiling-N15),N15)</f>
        <v>81.5</v>
      </c>
      <c r="P15" s="14" t="n">
        <f aca="false">Sav_point*(J15-Eff_0)</f>
        <v>0</v>
      </c>
      <c r="Q15" s="14" t="n">
        <f aca="false">Sav_point*(K15-Eff_0)</f>
        <v>0</v>
      </c>
      <c r="R15" s="14" t="n">
        <f aca="false">Sav_point*(L15-Eff_0)</f>
        <v>70</v>
      </c>
      <c r="S15" s="14" t="n">
        <f aca="false">Sav_point*(M15-Eff_0)</f>
        <v>70</v>
      </c>
      <c r="T15" s="14" t="n">
        <f aca="false">Sav_point*(N15-Eff_0)</f>
        <v>70</v>
      </c>
      <c r="U15" s="14" t="n">
        <f aca="false">Sav_point*(O15-Eff_0)</f>
        <v>105</v>
      </c>
      <c r="V15" s="14" t="n">
        <f aca="false">SUM(P15:U15)</f>
        <v>315</v>
      </c>
      <c r="W15" s="12" t="n">
        <f aca="false">IF(AND(H15&gt;0,Cap_0&lt;Cap_min),0,1)</f>
        <v>1</v>
      </c>
      <c r="X15" s="16" t="n">
        <f aca="false">Liq_0-Round_cost*B15+1*P15</f>
        <v>620</v>
      </c>
      <c r="Y15" s="16" t="n">
        <f aca="false">X15-Round_cost*C15+1*Q15</f>
        <v>620</v>
      </c>
      <c r="Z15" s="16" t="n">
        <f aca="false">Y15-Round_cost*D15+1*R15</f>
        <v>570</v>
      </c>
      <c r="AA15" s="16" t="n">
        <f aca="false">Z15-Round_cost*E15+1*S15</f>
        <v>640</v>
      </c>
      <c r="AB15" s="16" t="n">
        <f aca="false">AA15-Round_cost*F15+1*T15</f>
        <v>710</v>
      </c>
      <c r="AC15" s="16" t="n">
        <f aca="false">AB15-Round_cost*G15+1*U15</f>
        <v>695</v>
      </c>
      <c r="AD15" s="19" t="n">
        <f aca="false">IF(B15=1,Liq_0-Round_cost,1000000000)</f>
        <v>1000000000</v>
      </c>
      <c r="AE15" s="19" t="n">
        <f aca="false">IF(C15=1,X15-Round_cost,1000000000)</f>
        <v>1000000000</v>
      </c>
      <c r="AF15" s="19" t="n">
        <f aca="false">IF(D15=1,Y15-Round_cost,1000000000)</f>
        <v>500</v>
      </c>
      <c r="AG15" s="19" t="n">
        <f aca="false">IF(E15=1,Z15-Round_cost,1000000000)</f>
        <v>1000000000</v>
      </c>
      <c r="AH15" s="19" t="n">
        <f aca="false">IF(F15=1,AA15-Round_cost,1000000000)</f>
        <v>1000000000</v>
      </c>
      <c r="AI15" s="19" t="n">
        <f aca="false">IF(G15=1,AB15-Round_cost,1000000000)</f>
        <v>590</v>
      </c>
      <c r="AJ15" s="12" t="n">
        <f aca="false">IF(AND(MIN(X15:AC15)&gt;=Floor_liq-0.000000001,MIN(AD15:AI15)&gt;=Floor_liq-0.000000001),1,0)</f>
        <v>1</v>
      </c>
      <c r="AK15" s="12" t="n">
        <f aca="false">IF(AC15&gt;=End_liq-0.000000001,1,0)</f>
        <v>1</v>
      </c>
      <c r="AL15" s="12" t="n">
        <f aca="false">AJ15*AK15*W15</f>
        <v>1</v>
      </c>
      <c r="AM15" s="16" t="n">
        <f aca="false">Liq_0-Round_cost*B15+(1-Pledge_share)*P15</f>
        <v>620</v>
      </c>
      <c r="AN15" s="16" t="n">
        <f aca="false">AM15-Round_cost*C15+(1-Pledge_share)*Q15</f>
        <v>620</v>
      </c>
      <c r="AO15" s="16" t="n">
        <f aca="false">AN15-Round_cost*D15+(1-Pledge_share)*R15</f>
        <v>535</v>
      </c>
      <c r="AP15" s="16" t="n">
        <f aca="false">AO15-Round_cost*E15+(1-Pledge_share)*S15</f>
        <v>570</v>
      </c>
      <c r="AQ15" s="16" t="n">
        <f aca="false">AP15-Round_cost*F15+(1-Pledge_share)*T15</f>
        <v>605</v>
      </c>
      <c r="AR15" s="16" t="n">
        <f aca="false">AQ15-Round_cost*G15+(1-Pledge_share)*U15</f>
        <v>537.5</v>
      </c>
      <c r="AS15" s="19" t="n">
        <f aca="false">IF(B15=1,Liq_0-Round_cost,1000000000)</f>
        <v>1000000000</v>
      </c>
      <c r="AT15" s="19" t="n">
        <f aca="false">IF(C15=1,AM15-Round_cost,1000000000)</f>
        <v>1000000000</v>
      </c>
      <c r="AU15" s="19" t="n">
        <f aca="false">IF(D15=1,AN15-Round_cost,1000000000)</f>
        <v>500</v>
      </c>
      <c r="AV15" s="19" t="n">
        <f aca="false">IF(E15=1,AO15-Round_cost,1000000000)</f>
        <v>1000000000</v>
      </c>
      <c r="AW15" s="19" t="n">
        <f aca="false">IF(F15=1,AP15-Round_cost,1000000000)</f>
        <v>1000000000</v>
      </c>
      <c r="AX15" s="19" t="n">
        <f aca="false">IF(G15=1,AQ15-Round_cost,1000000000)</f>
        <v>485</v>
      </c>
      <c r="AY15" s="12" t="n">
        <f aca="false">IF(AND(MIN(AM15:AR15)&gt;=Floor_liq-0.000000001,MIN(AS15:AX15)&gt;=Floor_liq-0.000000001),1,0)</f>
        <v>1</v>
      </c>
      <c r="AZ15" s="12" t="n">
        <f aca="false">IF(AR15&gt;=End_liq-0.000000001,1,0)</f>
        <v>1</v>
      </c>
      <c r="BA15" s="12" t="n">
        <f aca="false">AY15*AZ15*W15</f>
        <v>1</v>
      </c>
      <c r="BB15" s="16" t="n">
        <f aca="false">Pledge_share*V15</f>
        <v>157.5</v>
      </c>
      <c r="BC15" s="16" t="n">
        <f aca="false">IF(BA15=1,H15*10000+BB15,-1)</f>
        <v>20157.5</v>
      </c>
      <c r="BD15" s="14" t="n">
        <f aca="false">U15</f>
        <v>105</v>
      </c>
      <c r="BE15" s="16" t="n">
        <f aca="false">AC15</f>
        <v>695</v>
      </c>
      <c r="BF15" s="16" t="n">
        <f aca="false">IF(AL15=1,AC15-End_liq,-1000000000)</f>
        <v>225</v>
      </c>
      <c r="BG15" s="16" t="n">
        <f aca="false">IF(AL15=1,BF15+BG$4*BD15,-1000000000)</f>
        <v>225</v>
      </c>
      <c r="BH15" s="16" t="n">
        <f aca="false">IF(AL15=1,BF15+BH$4*BD15,-1000000000)</f>
        <v>750</v>
      </c>
      <c r="BI15" s="16" t="n">
        <f aca="false">IF(AL15=1,BF15+BI$4*BD15,-1000000000)</f>
        <v>1275</v>
      </c>
      <c r="BJ15" s="16" t="n">
        <f aca="false">IF(AL15=1,BF15+BJ$4*BD15,-1000000000)</f>
        <v>2325</v>
      </c>
      <c r="BK15" s="16" t="n">
        <f aca="false">IF(AL15=1,BF15+BK$4*BD15,-1000000000)</f>
        <v>4425</v>
      </c>
      <c r="BL15" s="16" t="n">
        <f aca="false">IF(AL15=1,BF15+BL$4*BD15,-1000000000)</f>
        <v>6525</v>
      </c>
      <c r="BM15" s="12" t="n">
        <f aca="false">IF(H15=0,1,IF(I15=VALUE(LEFT("123456",H15)),1,0))</f>
        <v>0</v>
      </c>
      <c r="BN15" s="12" t="n">
        <f aca="false">IF(BG15&gt;0,1000*BG15,-1000000000000)</f>
        <v>225000</v>
      </c>
      <c r="BO15" s="16" t="n">
        <f aca="false">IF(BG15&gt;0,BG15+100,-1000000000)</f>
        <v>325</v>
      </c>
      <c r="BP15" s="20" t="n">
        <f aca="false">IF(BG15&gt;0,LN(BG15),-1000000000)</f>
        <v>5.41610040220442</v>
      </c>
    </row>
    <row r="16" customFormat="false" ht="15" hidden="false" customHeight="false" outlineLevel="0" collapsed="false">
      <c r="A16" s="12" t="n">
        <v>10</v>
      </c>
      <c r="B16" s="12" t="n">
        <f aca="false">MOD(INT($A16/32),2)</f>
        <v>0</v>
      </c>
      <c r="C16" s="12" t="n">
        <f aca="false">MOD(INT($A16/16),2)</f>
        <v>0</v>
      </c>
      <c r="D16" s="12" t="n">
        <f aca="false">MOD(INT($A16/8),2)</f>
        <v>1</v>
      </c>
      <c r="E16" s="12" t="n">
        <f aca="false">MOD(INT($A16/4),2)</f>
        <v>0</v>
      </c>
      <c r="F16" s="12" t="n">
        <f aca="false">MOD(INT($A16/2),2)</f>
        <v>1</v>
      </c>
      <c r="G16" s="12" t="n">
        <f aca="false">MOD(INT($A16/1),2)</f>
        <v>0</v>
      </c>
      <c r="H16" s="12" t="n">
        <f aca="false">SUM(B16:G16)</f>
        <v>2</v>
      </c>
      <c r="I16" s="12" t="n">
        <f aca="false">IF(H16=0,0,VALUE(IF(B16=1,"1","")&amp;IF(C16=1,"2","")&amp;IF(D16=1,"3","")&amp;IF(E16=1,"4","")&amp;IF(F16=1,"5","")&amp;IF(G16=1,"6","")))</f>
        <v>35</v>
      </c>
      <c r="J16" s="14" t="n">
        <f aca="false">IF(B16=1,Eff_0+Gap_closed*(Eff_ceiling-Eff_0),Eff_0)</f>
        <v>71</v>
      </c>
      <c r="K16" s="14" t="n">
        <f aca="false">IF(C16=1,J16+Gap_closed*(Eff_ceiling-J16),J16)</f>
        <v>71</v>
      </c>
      <c r="L16" s="14" t="n">
        <f aca="false">IF(D16=1,K16+Gap_closed*(Eff_ceiling-K16),K16)</f>
        <v>78</v>
      </c>
      <c r="M16" s="14" t="n">
        <f aca="false">IF(E16=1,L16+Gap_closed*(Eff_ceiling-L16),L16)</f>
        <v>78</v>
      </c>
      <c r="N16" s="14" t="n">
        <f aca="false">IF(F16=1,M16+Gap_closed*(Eff_ceiling-M16),M16)</f>
        <v>81.5</v>
      </c>
      <c r="O16" s="14" t="n">
        <f aca="false">IF(G16=1,N16+Gap_closed*(Eff_ceiling-N16),N16)</f>
        <v>81.5</v>
      </c>
      <c r="P16" s="14" t="n">
        <f aca="false">Sav_point*(J16-Eff_0)</f>
        <v>0</v>
      </c>
      <c r="Q16" s="14" t="n">
        <f aca="false">Sav_point*(K16-Eff_0)</f>
        <v>0</v>
      </c>
      <c r="R16" s="14" t="n">
        <f aca="false">Sav_point*(L16-Eff_0)</f>
        <v>70</v>
      </c>
      <c r="S16" s="14" t="n">
        <f aca="false">Sav_point*(M16-Eff_0)</f>
        <v>70</v>
      </c>
      <c r="T16" s="14" t="n">
        <f aca="false">Sav_point*(N16-Eff_0)</f>
        <v>105</v>
      </c>
      <c r="U16" s="14" t="n">
        <f aca="false">Sav_point*(O16-Eff_0)</f>
        <v>105</v>
      </c>
      <c r="V16" s="14" t="n">
        <f aca="false">SUM(P16:U16)</f>
        <v>350</v>
      </c>
      <c r="W16" s="12" t="n">
        <f aca="false">IF(AND(H16&gt;0,Cap_0&lt;Cap_min),0,1)</f>
        <v>1</v>
      </c>
      <c r="X16" s="16" t="n">
        <f aca="false">Liq_0-Round_cost*B16+1*P16</f>
        <v>620</v>
      </c>
      <c r="Y16" s="16" t="n">
        <f aca="false">X16-Round_cost*C16+1*Q16</f>
        <v>620</v>
      </c>
      <c r="Z16" s="16" t="n">
        <f aca="false">Y16-Round_cost*D16+1*R16</f>
        <v>570</v>
      </c>
      <c r="AA16" s="16" t="n">
        <f aca="false">Z16-Round_cost*E16+1*S16</f>
        <v>640</v>
      </c>
      <c r="AB16" s="16" t="n">
        <f aca="false">AA16-Round_cost*F16+1*T16</f>
        <v>625</v>
      </c>
      <c r="AC16" s="16" t="n">
        <f aca="false">AB16-Round_cost*G16+1*U16</f>
        <v>730</v>
      </c>
      <c r="AD16" s="19" t="n">
        <f aca="false">IF(B16=1,Liq_0-Round_cost,1000000000)</f>
        <v>1000000000</v>
      </c>
      <c r="AE16" s="19" t="n">
        <f aca="false">IF(C16=1,X16-Round_cost,1000000000)</f>
        <v>1000000000</v>
      </c>
      <c r="AF16" s="19" t="n">
        <f aca="false">IF(D16=1,Y16-Round_cost,1000000000)</f>
        <v>500</v>
      </c>
      <c r="AG16" s="19" t="n">
        <f aca="false">IF(E16=1,Z16-Round_cost,1000000000)</f>
        <v>1000000000</v>
      </c>
      <c r="AH16" s="19" t="n">
        <f aca="false">IF(F16=1,AA16-Round_cost,1000000000)</f>
        <v>520</v>
      </c>
      <c r="AI16" s="19" t="n">
        <f aca="false">IF(G16=1,AB16-Round_cost,1000000000)</f>
        <v>1000000000</v>
      </c>
      <c r="AJ16" s="12" t="n">
        <f aca="false">IF(AND(MIN(X16:AC16)&gt;=Floor_liq-0.000000001,MIN(AD16:AI16)&gt;=Floor_liq-0.000000001),1,0)</f>
        <v>1</v>
      </c>
      <c r="AK16" s="12" t="n">
        <f aca="false">IF(AC16&gt;=End_liq-0.000000001,1,0)</f>
        <v>1</v>
      </c>
      <c r="AL16" s="12" t="n">
        <f aca="false">AJ16*AK16*W16</f>
        <v>1</v>
      </c>
      <c r="AM16" s="16" t="n">
        <f aca="false">Liq_0-Round_cost*B16+(1-Pledge_share)*P16</f>
        <v>620</v>
      </c>
      <c r="AN16" s="16" t="n">
        <f aca="false">AM16-Round_cost*C16+(1-Pledge_share)*Q16</f>
        <v>620</v>
      </c>
      <c r="AO16" s="16" t="n">
        <f aca="false">AN16-Round_cost*D16+(1-Pledge_share)*R16</f>
        <v>535</v>
      </c>
      <c r="AP16" s="16" t="n">
        <f aca="false">AO16-Round_cost*E16+(1-Pledge_share)*S16</f>
        <v>570</v>
      </c>
      <c r="AQ16" s="16" t="n">
        <f aca="false">AP16-Round_cost*F16+(1-Pledge_share)*T16</f>
        <v>502.5</v>
      </c>
      <c r="AR16" s="16" t="n">
        <f aca="false">AQ16-Round_cost*G16+(1-Pledge_share)*U16</f>
        <v>555</v>
      </c>
      <c r="AS16" s="19" t="n">
        <f aca="false">IF(B16=1,Liq_0-Round_cost,1000000000)</f>
        <v>1000000000</v>
      </c>
      <c r="AT16" s="19" t="n">
        <f aca="false">IF(C16=1,AM16-Round_cost,1000000000)</f>
        <v>1000000000</v>
      </c>
      <c r="AU16" s="19" t="n">
        <f aca="false">IF(D16=1,AN16-Round_cost,1000000000)</f>
        <v>500</v>
      </c>
      <c r="AV16" s="19" t="n">
        <f aca="false">IF(E16=1,AO16-Round_cost,1000000000)</f>
        <v>1000000000</v>
      </c>
      <c r="AW16" s="19" t="n">
        <f aca="false">IF(F16=1,AP16-Round_cost,1000000000)</f>
        <v>450</v>
      </c>
      <c r="AX16" s="19" t="n">
        <f aca="false">IF(G16=1,AQ16-Round_cost,1000000000)</f>
        <v>1000000000</v>
      </c>
      <c r="AY16" s="12" t="n">
        <f aca="false">IF(AND(MIN(AM16:AR16)&gt;=Floor_liq-0.000000001,MIN(AS16:AX16)&gt;=Floor_liq-0.000000001),1,0)</f>
        <v>1</v>
      </c>
      <c r="AZ16" s="12" t="n">
        <f aca="false">IF(AR16&gt;=End_liq-0.000000001,1,0)</f>
        <v>1</v>
      </c>
      <c r="BA16" s="12" t="n">
        <f aca="false">AY16*AZ16*W16</f>
        <v>1</v>
      </c>
      <c r="BB16" s="16" t="n">
        <f aca="false">Pledge_share*V16</f>
        <v>175</v>
      </c>
      <c r="BC16" s="16" t="n">
        <f aca="false">IF(BA16=1,H16*10000+BB16,-1)</f>
        <v>20175</v>
      </c>
      <c r="BD16" s="14" t="n">
        <f aca="false">U16</f>
        <v>105</v>
      </c>
      <c r="BE16" s="16" t="n">
        <f aca="false">AC16</f>
        <v>730</v>
      </c>
      <c r="BF16" s="16" t="n">
        <f aca="false">IF(AL16=1,AC16-End_liq,-1000000000)</f>
        <v>260</v>
      </c>
      <c r="BG16" s="16" t="n">
        <f aca="false">IF(AL16=1,BF16+BG$4*BD16,-1000000000)</f>
        <v>260</v>
      </c>
      <c r="BH16" s="16" t="n">
        <f aca="false">IF(AL16=1,BF16+BH$4*BD16,-1000000000)</f>
        <v>785</v>
      </c>
      <c r="BI16" s="16" t="n">
        <f aca="false">IF(AL16=1,BF16+BI$4*BD16,-1000000000)</f>
        <v>1310</v>
      </c>
      <c r="BJ16" s="16" t="n">
        <f aca="false">IF(AL16=1,BF16+BJ$4*BD16,-1000000000)</f>
        <v>2360</v>
      </c>
      <c r="BK16" s="16" t="n">
        <f aca="false">IF(AL16=1,BF16+BK$4*BD16,-1000000000)</f>
        <v>4460</v>
      </c>
      <c r="BL16" s="16" t="n">
        <f aca="false">IF(AL16=1,BF16+BL$4*BD16,-1000000000)</f>
        <v>6560</v>
      </c>
      <c r="BM16" s="12" t="n">
        <f aca="false">IF(H16=0,1,IF(I16=VALUE(LEFT("123456",H16)),1,0))</f>
        <v>0</v>
      </c>
      <c r="BN16" s="12" t="n">
        <f aca="false">IF(BG16&gt;0,1000*BG16,-1000000000000)</f>
        <v>260000</v>
      </c>
      <c r="BO16" s="16" t="n">
        <f aca="false">IF(BG16&gt;0,BG16+100,-1000000000)</f>
        <v>360</v>
      </c>
      <c r="BP16" s="20" t="n">
        <f aca="false">IF(BG16&gt;0,LN(BG16),-1000000000)</f>
        <v>5.56068163101553</v>
      </c>
    </row>
    <row r="17" customFormat="false" ht="15" hidden="false" customHeight="false" outlineLevel="0" collapsed="false">
      <c r="A17" s="12" t="n">
        <v>11</v>
      </c>
      <c r="B17" s="12" t="n">
        <f aca="false">MOD(INT($A17/32),2)</f>
        <v>0</v>
      </c>
      <c r="C17" s="12" t="n">
        <f aca="false">MOD(INT($A17/16),2)</f>
        <v>0</v>
      </c>
      <c r="D17" s="12" t="n">
        <f aca="false">MOD(INT($A17/8),2)</f>
        <v>1</v>
      </c>
      <c r="E17" s="12" t="n">
        <f aca="false">MOD(INT($A17/4),2)</f>
        <v>0</v>
      </c>
      <c r="F17" s="12" t="n">
        <f aca="false">MOD(INT($A17/2),2)</f>
        <v>1</v>
      </c>
      <c r="G17" s="12" t="n">
        <f aca="false">MOD(INT($A17/1),2)</f>
        <v>1</v>
      </c>
      <c r="H17" s="12" t="n">
        <f aca="false">SUM(B17:G17)</f>
        <v>3</v>
      </c>
      <c r="I17" s="12" t="n">
        <f aca="false">IF(H17=0,0,VALUE(IF(B17=1,"1","")&amp;IF(C17=1,"2","")&amp;IF(D17=1,"3","")&amp;IF(E17=1,"4","")&amp;IF(F17=1,"5","")&amp;IF(G17=1,"6","")))</f>
        <v>356</v>
      </c>
      <c r="J17" s="14" t="n">
        <f aca="false">IF(B17=1,Eff_0+Gap_closed*(Eff_ceiling-Eff_0),Eff_0)</f>
        <v>71</v>
      </c>
      <c r="K17" s="14" t="n">
        <f aca="false">IF(C17=1,J17+Gap_closed*(Eff_ceiling-J17),J17)</f>
        <v>71</v>
      </c>
      <c r="L17" s="14" t="n">
        <f aca="false">IF(D17=1,K17+Gap_closed*(Eff_ceiling-K17),K17)</f>
        <v>78</v>
      </c>
      <c r="M17" s="14" t="n">
        <f aca="false">IF(E17=1,L17+Gap_closed*(Eff_ceiling-L17),L17)</f>
        <v>78</v>
      </c>
      <c r="N17" s="14" t="n">
        <f aca="false">IF(F17=1,M17+Gap_closed*(Eff_ceiling-M17),M17)</f>
        <v>81.5</v>
      </c>
      <c r="O17" s="14" t="n">
        <f aca="false">IF(G17=1,N17+Gap_closed*(Eff_ceiling-N17),N17)</f>
        <v>83.25</v>
      </c>
      <c r="P17" s="14" t="n">
        <f aca="false">Sav_point*(J17-Eff_0)</f>
        <v>0</v>
      </c>
      <c r="Q17" s="14" t="n">
        <f aca="false">Sav_point*(K17-Eff_0)</f>
        <v>0</v>
      </c>
      <c r="R17" s="14" t="n">
        <f aca="false">Sav_point*(L17-Eff_0)</f>
        <v>70</v>
      </c>
      <c r="S17" s="14" t="n">
        <f aca="false">Sav_point*(M17-Eff_0)</f>
        <v>70</v>
      </c>
      <c r="T17" s="14" t="n">
        <f aca="false">Sav_point*(N17-Eff_0)</f>
        <v>105</v>
      </c>
      <c r="U17" s="14" t="n">
        <f aca="false">Sav_point*(O17-Eff_0)</f>
        <v>122.5</v>
      </c>
      <c r="V17" s="14" t="n">
        <f aca="false">SUM(P17:U17)</f>
        <v>367.5</v>
      </c>
      <c r="W17" s="12" t="n">
        <f aca="false">IF(AND(H17&gt;0,Cap_0&lt;Cap_min),0,1)</f>
        <v>1</v>
      </c>
      <c r="X17" s="16" t="n">
        <f aca="false">Liq_0-Round_cost*B17+1*P17</f>
        <v>620</v>
      </c>
      <c r="Y17" s="16" t="n">
        <f aca="false">X17-Round_cost*C17+1*Q17</f>
        <v>620</v>
      </c>
      <c r="Z17" s="16" t="n">
        <f aca="false">Y17-Round_cost*D17+1*R17</f>
        <v>570</v>
      </c>
      <c r="AA17" s="16" t="n">
        <f aca="false">Z17-Round_cost*E17+1*S17</f>
        <v>640</v>
      </c>
      <c r="AB17" s="16" t="n">
        <f aca="false">AA17-Round_cost*F17+1*T17</f>
        <v>625</v>
      </c>
      <c r="AC17" s="16" t="n">
        <f aca="false">AB17-Round_cost*G17+1*U17</f>
        <v>627.5</v>
      </c>
      <c r="AD17" s="19" t="n">
        <f aca="false">IF(B17=1,Liq_0-Round_cost,1000000000)</f>
        <v>1000000000</v>
      </c>
      <c r="AE17" s="19" t="n">
        <f aca="false">IF(C17=1,X17-Round_cost,1000000000)</f>
        <v>1000000000</v>
      </c>
      <c r="AF17" s="19" t="n">
        <f aca="false">IF(D17=1,Y17-Round_cost,1000000000)</f>
        <v>500</v>
      </c>
      <c r="AG17" s="19" t="n">
        <f aca="false">IF(E17=1,Z17-Round_cost,1000000000)</f>
        <v>1000000000</v>
      </c>
      <c r="AH17" s="19" t="n">
        <f aca="false">IF(F17=1,AA17-Round_cost,1000000000)</f>
        <v>520</v>
      </c>
      <c r="AI17" s="19" t="n">
        <f aca="false">IF(G17=1,AB17-Round_cost,1000000000)</f>
        <v>505</v>
      </c>
      <c r="AJ17" s="12" t="n">
        <f aca="false">IF(AND(MIN(X17:AC17)&gt;=Floor_liq-0.000000001,MIN(AD17:AI17)&gt;=Floor_liq-0.000000001),1,0)</f>
        <v>1</v>
      </c>
      <c r="AK17" s="12" t="n">
        <f aca="false">IF(AC17&gt;=End_liq-0.000000001,1,0)</f>
        <v>1</v>
      </c>
      <c r="AL17" s="12" t="n">
        <f aca="false">AJ17*AK17*W17</f>
        <v>1</v>
      </c>
      <c r="AM17" s="16" t="n">
        <f aca="false">Liq_0-Round_cost*B17+(1-Pledge_share)*P17</f>
        <v>620</v>
      </c>
      <c r="AN17" s="16" t="n">
        <f aca="false">AM17-Round_cost*C17+(1-Pledge_share)*Q17</f>
        <v>620</v>
      </c>
      <c r="AO17" s="16" t="n">
        <f aca="false">AN17-Round_cost*D17+(1-Pledge_share)*R17</f>
        <v>535</v>
      </c>
      <c r="AP17" s="16" t="n">
        <f aca="false">AO17-Round_cost*E17+(1-Pledge_share)*S17</f>
        <v>570</v>
      </c>
      <c r="AQ17" s="16" t="n">
        <f aca="false">AP17-Round_cost*F17+(1-Pledge_share)*T17</f>
        <v>502.5</v>
      </c>
      <c r="AR17" s="16" t="n">
        <f aca="false">AQ17-Round_cost*G17+(1-Pledge_share)*U17</f>
        <v>443.75</v>
      </c>
      <c r="AS17" s="19" t="n">
        <f aca="false">IF(B17=1,Liq_0-Round_cost,1000000000)</f>
        <v>1000000000</v>
      </c>
      <c r="AT17" s="19" t="n">
        <f aca="false">IF(C17=1,AM17-Round_cost,1000000000)</f>
        <v>1000000000</v>
      </c>
      <c r="AU17" s="19" t="n">
        <f aca="false">IF(D17=1,AN17-Round_cost,1000000000)</f>
        <v>500</v>
      </c>
      <c r="AV17" s="19" t="n">
        <f aca="false">IF(E17=1,AO17-Round_cost,1000000000)</f>
        <v>1000000000</v>
      </c>
      <c r="AW17" s="19" t="n">
        <f aca="false">IF(F17=1,AP17-Round_cost,1000000000)</f>
        <v>450</v>
      </c>
      <c r="AX17" s="19" t="n">
        <f aca="false">IF(G17=1,AQ17-Round_cost,1000000000)</f>
        <v>382.5</v>
      </c>
      <c r="AY17" s="12" t="n">
        <f aca="false">IF(AND(MIN(AM17:AR17)&gt;=Floor_liq-0.000000001,MIN(AS17:AX17)&gt;=Floor_liq-0.000000001),1,0)</f>
        <v>1</v>
      </c>
      <c r="AZ17" s="12" t="n">
        <f aca="false">IF(AR17&gt;=End_liq-0.000000001,1,0)</f>
        <v>0</v>
      </c>
      <c r="BA17" s="12" t="n">
        <f aca="false">AY17*AZ17*W17</f>
        <v>0</v>
      </c>
      <c r="BB17" s="16" t="n">
        <f aca="false">Pledge_share*V17</f>
        <v>183.75</v>
      </c>
      <c r="BC17" s="16" t="n">
        <f aca="false">IF(BA17=1,H17*10000+BB17,-1)</f>
        <v>-1</v>
      </c>
      <c r="BD17" s="14" t="n">
        <f aca="false">U17</f>
        <v>122.5</v>
      </c>
      <c r="BE17" s="16" t="n">
        <f aca="false">AC17</f>
        <v>627.5</v>
      </c>
      <c r="BF17" s="16" t="n">
        <f aca="false">IF(AL17=1,AC17-End_liq,-1000000000)</f>
        <v>157.5</v>
      </c>
      <c r="BG17" s="16" t="n">
        <f aca="false">IF(AL17=1,BF17+BG$4*BD17,-1000000000)</f>
        <v>157.5</v>
      </c>
      <c r="BH17" s="16" t="n">
        <f aca="false">IF(AL17=1,BF17+BH$4*BD17,-1000000000)</f>
        <v>770</v>
      </c>
      <c r="BI17" s="16" t="n">
        <f aca="false">IF(AL17=1,BF17+BI$4*BD17,-1000000000)</f>
        <v>1382.5</v>
      </c>
      <c r="BJ17" s="16" t="n">
        <f aca="false">IF(AL17=1,BF17+BJ$4*BD17,-1000000000)</f>
        <v>2607.5</v>
      </c>
      <c r="BK17" s="16" t="n">
        <f aca="false">IF(AL17=1,BF17+BK$4*BD17,-1000000000)</f>
        <v>5057.5</v>
      </c>
      <c r="BL17" s="16" t="n">
        <f aca="false">IF(AL17=1,BF17+BL$4*BD17,-1000000000)</f>
        <v>7507.5</v>
      </c>
      <c r="BM17" s="12" t="n">
        <f aca="false">IF(H17=0,1,IF(I17=VALUE(LEFT("123456",H17)),1,0))</f>
        <v>0</v>
      </c>
      <c r="BN17" s="12" t="n">
        <f aca="false">IF(BG17&gt;0,1000*BG17,-1000000000000)</f>
        <v>157500</v>
      </c>
      <c r="BO17" s="16" t="n">
        <f aca="false">IF(BG17&gt;0,BG17+100,-1000000000)</f>
        <v>257.5</v>
      </c>
      <c r="BP17" s="20" t="n">
        <f aca="false">IF(BG17&gt;0,LN(BG17),-1000000000)</f>
        <v>5.05942545826569</v>
      </c>
    </row>
    <row r="18" customFormat="false" ht="15" hidden="false" customHeight="false" outlineLevel="0" collapsed="false">
      <c r="A18" s="12" t="n">
        <v>12</v>
      </c>
      <c r="B18" s="12" t="n">
        <f aca="false">MOD(INT($A18/32),2)</f>
        <v>0</v>
      </c>
      <c r="C18" s="12" t="n">
        <f aca="false">MOD(INT($A18/16),2)</f>
        <v>0</v>
      </c>
      <c r="D18" s="12" t="n">
        <f aca="false">MOD(INT($A18/8),2)</f>
        <v>1</v>
      </c>
      <c r="E18" s="12" t="n">
        <f aca="false">MOD(INT($A18/4),2)</f>
        <v>1</v>
      </c>
      <c r="F18" s="12" t="n">
        <f aca="false">MOD(INT($A18/2),2)</f>
        <v>0</v>
      </c>
      <c r="G18" s="12" t="n">
        <f aca="false">MOD(INT($A18/1),2)</f>
        <v>0</v>
      </c>
      <c r="H18" s="12" t="n">
        <f aca="false">SUM(B18:G18)</f>
        <v>2</v>
      </c>
      <c r="I18" s="12" t="n">
        <f aca="false">IF(H18=0,0,VALUE(IF(B18=1,"1","")&amp;IF(C18=1,"2","")&amp;IF(D18=1,"3","")&amp;IF(E18=1,"4","")&amp;IF(F18=1,"5","")&amp;IF(G18=1,"6","")))</f>
        <v>34</v>
      </c>
      <c r="J18" s="14" t="n">
        <f aca="false">IF(B18=1,Eff_0+Gap_closed*(Eff_ceiling-Eff_0),Eff_0)</f>
        <v>71</v>
      </c>
      <c r="K18" s="14" t="n">
        <f aca="false">IF(C18=1,J18+Gap_closed*(Eff_ceiling-J18),J18)</f>
        <v>71</v>
      </c>
      <c r="L18" s="14" t="n">
        <f aca="false">IF(D18=1,K18+Gap_closed*(Eff_ceiling-K18),K18)</f>
        <v>78</v>
      </c>
      <c r="M18" s="14" t="n">
        <f aca="false">IF(E18=1,L18+Gap_closed*(Eff_ceiling-L18),L18)</f>
        <v>81.5</v>
      </c>
      <c r="N18" s="14" t="n">
        <f aca="false">IF(F18=1,M18+Gap_closed*(Eff_ceiling-M18),M18)</f>
        <v>81.5</v>
      </c>
      <c r="O18" s="14" t="n">
        <f aca="false">IF(G18=1,N18+Gap_closed*(Eff_ceiling-N18),N18)</f>
        <v>81.5</v>
      </c>
      <c r="P18" s="14" t="n">
        <f aca="false">Sav_point*(J18-Eff_0)</f>
        <v>0</v>
      </c>
      <c r="Q18" s="14" t="n">
        <f aca="false">Sav_point*(K18-Eff_0)</f>
        <v>0</v>
      </c>
      <c r="R18" s="14" t="n">
        <f aca="false">Sav_point*(L18-Eff_0)</f>
        <v>70</v>
      </c>
      <c r="S18" s="14" t="n">
        <f aca="false">Sav_point*(M18-Eff_0)</f>
        <v>105</v>
      </c>
      <c r="T18" s="14" t="n">
        <f aca="false">Sav_point*(N18-Eff_0)</f>
        <v>105</v>
      </c>
      <c r="U18" s="14" t="n">
        <f aca="false">Sav_point*(O18-Eff_0)</f>
        <v>105</v>
      </c>
      <c r="V18" s="14" t="n">
        <f aca="false">SUM(P18:U18)</f>
        <v>385</v>
      </c>
      <c r="W18" s="12" t="n">
        <f aca="false">IF(AND(H18&gt;0,Cap_0&lt;Cap_min),0,1)</f>
        <v>1</v>
      </c>
      <c r="X18" s="16" t="n">
        <f aca="false">Liq_0-Round_cost*B18+1*P18</f>
        <v>620</v>
      </c>
      <c r="Y18" s="16" t="n">
        <f aca="false">X18-Round_cost*C18+1*Q18</f>
        <v>620</v>
      </c>
      <c r="Z18" s="16" t="n">
        <f aca="false">Y18-Round_cost*D18+1*R18</f>
        <v>570</v>
      </c>
      <c r="AA18" s="16" t="n">
        <f aca="false">Z18-Round_cost*E18+1*S18</f>
        <v>555</v>
      </c>
      <c r="AB18" s="16" t="n">
        <f aca="false">AA18-Round_cost*F18+1*T18</f>
        <v>660</v>
      </c>
      <c r="AC18" s="16" t="n">
        <f aca="false">AB18-Round_cost*G18+1*U18</f>
        <v>765</v>
      </c>
      <c r="AD18" s="19" t="n">
        <f aca="false">IF(B18=1,Liq_0-Round_cost,1000000000)</f>
        <v>1000000000</v>
      </c>
      <c r="AE18" s="19" t="n">
        <f aca="false">IF(C18=1,X18-Round_cost,1000000000)</f>
        <v>1000000000</v>
      </c>
      <c r="AF18" s="19" t="n">
        <f aca="false">IF(D18=1,Y18-Round_cost,1000000000)</f>
        <v>500</v>
      </c>
      <c r="AG18" s="19" t="n">
        <f aca="false">IF(E18=1,Z18-Round_cost,1000000000)</f>
        <v>450</v>
      </c>
      <c r="AH18" s="19" t="n">
        <f aca="false">IF(F18=1,AA18-Round_cost,1000000000)</f>
        <v>1000000000</v>
      </c>
      <c r="AI18" s="19" t="n">
        <f aca="false">IF(G18=1,AB18-Round_cost,1000000000)</f>
        <v>1000000000</v>
      </c>
      <c r="AJ18" s="12" t="n">
        <f aca="false">IF(AND(MIN(X18:AC18)&gt;=Floor_liq-0.000000001,MIN(AD18:AI18)&gt;=Floor_liq-0.000000001),1,0)</f>
        <v>1</v>
      </c>
      <c r="AK18" s="12" t="n">
        <f aca="false">IF(AC18&gt;=End_liq-0.000000001,1,0)</f>
        <v>1</v>
      </c>
      <c r="AL18" s="12" t="n">
        <f aca="false">AJ18*AK18*W18</f>
        <v>1</v>
      </c>
      <c r="AM18" s="16" t="n">
        <f aca="false">Liq_0-Round_cost*B18+(1-Pledge_share)*P18</f>
        <v>620</v>
      </c>
      <c r="AN18" s="16" t="n">
        <f aca="false">AM18-Round_cost*C18+(1-Pledge_share)*Q18</f>
        <v>620</v>
      </c>
      <c r="AO18" s="16" t="n">
        <f aca="false">AN18-Round_cost*D18+(1-Pledge_share)*R18</f>
        <v>535</v>
      </c>
      <c r="AP18" s="16" t="n">
        <f aca="false">AO18-Round_cost*E18+(1-Pledge_share)*S18</f>
        <v>467.5</v>
      </c>
      <c r="AQ18" s="16" t="n">
        <f aca="false">AP18-Round_cost*F18+(1-Pledge_share)*T18</f>
        <v>520</v>
      </c>
      <c r="AR18" s="16" t="n">
        <f aca="false">AQ18-Round_cost*G18+(1-Pledge_share)*U18</f>
        <v>572.5</v>
      </c>
      <c r="AS18" s="19" t="n">
        <f aca="false">IF(B18=1,Liq_0-Round_cost,1000000000)</f>
        <v>1000000000</v>
      </c>
      <c r="AT18" s="19" t="n">
        <f aca="false">IF(C18=1,AM18-Round_cost,1000000000)</f>
        <v>1000000000</v>
      </c>
      <c r="AU18" s="19" t="n">
        <f aca="false">IF(D18=1,AN18-Round_cost,1000000000)</f>
        <v>500</v>
      </c>
      <c r="AV18" s="19" t="n">
        <f aca="false">IF(E18=1,AO18-Round_cost,1000000000)</f>
        <v>415</v>
      </c>
      <c r="AW18" s="19" t="n">
        <f aca="false">IF(F18=1,AP18-Round_cost,1000000000)</f>
        <v>1000000000</v>
      </c>
      <c r="AX18" s="19" t="n">
        <f aca="false">IF(G18=1,AQ18-Round_cost,1000000000)</f>
        <v>1000000000</v>
      </c>
      <c r="AY18" s="12" t="n">
        <f aca="false">IF(AND(MIN(AM18:AR18)&gt;=Floor_liq-0.000000001,MIN(AS18:AX18)&gt;=Floor_liq-0.000000001),1,0)</f>
        <v>1</v>
      </c>
      <c r="AZ18" s="12" t="n">
        <f aca="false">IF(AR18&gt;=End_liq-0.000000001,1,0)</f>
        <v>1</v>
      </c>
      <c r="BA18" s="12" t="n">
        <f aca="false">AY18*AZ18*W18</f>
        <v>1</v>
      </c>
      <c r="BB18" s="16" t="n">
        <f aca="false">Pledge_share*V18</f>
        <v>192.5</v>
      </c>
      <c r="BC18" s="16" t="n">
        <f aca="false">IF(BA18=1,H18*10000+BB18,-1)</f>
        <v>20192.5</v>
      </c>
      <c r="BD18" s="14" t="n">
        <f aca="false">U18</f>
        <v>105</v>
      </c>
      <c r="BE18" s="16" t="n">
        <f aca="false">AC18</f>
        <v>765</v>
      </c>
      <c r="BF18" s="16" t="n">
        <f aca="false">IF(AL18=1,AC18-End_liq,-1000000000)</f>
        <v>295</v>
      </c>
      <c r="BG18" s="16" t="n">
        <f aca="false">IF(AL18=1,BF18+BG$4*BD18,-1000000000)</f>
        <v>295</v>
      </c>
      <c r="BH18" s="16" t="n">
        <f aca="false">IF(AL18=1,BF18+BH$4*BD18,-1000000000)</f>
        <v>820</v>
      </c>
      <c r="BI18" s="16" t="n">
        <f aca="false">IF(AL18=1,BF18+BI$4*BD18,-1000000000)</f>
        <v>1345</v>
      </c>
      <c r="BJ18" s="16" t="n">
        <f aca="false">IF(AL18=1,BF18+BJ$4*BD18,-1000000000)</f>
        <v>2395</v>
      </c>
      <c r="BK18" s="16" t="n">
        <f aca="false">IF(AL18=1,BF18+BK$4*BD18,-1000000000)</f>
        <v>4495</v>
      </c>
      <c r="BL18" s="16" t="n">
        <f aca="false">IF(AL18=1,BF18+BL$4*BD18,-1000000000)</f>
        <v>6595</v>
      </c>
      <c r="BM18" s="12" t="n">
        <f aca="false">IF(H18=0,1,IF(I18=VALUE(LEFT("123456",H18)),1,0))</f>
        <v>0</v>
      </c>
      <c r="BN18" s="12" t="n">
        <f aca="false">IF(BG18&gt;0,1000*BG18,-1000000000000)</f>
        <v>295000</v>
      </c>
      <c r="BO18" s="16" t="n">
        <f aca="false">IF(BG18&gt;0,BG18+100,-1000000000)</f>
        <v>395</v>
      </c>
      <c r="BP18" s="20" t="n">
        <f aca="false">IF(BG18&gt;0,LN(BG18),-1000000000)</f>
        <v>5.68697535633982</v>
      </c>
    </row>
    <row r="19" customFormat="false" ht="15" hidden="false" customHeight="false" outlineLevel="0" collapsed="false">
      <c r="A19" s="12" t="n">
        <v>13</v>
      </c>
      <c r="B19" s="12" t="n">
        <f aca="false">MOD(INT($A19/32),2)</f>
        <v>0</v>
      </c>
      <c r="C19" s="12" t="n">
        <f aca="false">MOD(INT($A19/16),2)</f>
        <v>0</v>
      </c>
      <c r="D19" s="12" t="n">
        <f aca="false">MOD(INT($A19/8),2)</f>
        <v>1</v>
      </c>
      <c r="E19" s="12" t="n">
        <f aca="false">MOD(INT($A19/4),2)</f>
        <v>1</v>
      </c>
      <c r="F19" s="12" t="n">
        <f aca="false">MOD(INT($A19/2),2)</f>
        <v>0</v>
      </c>
      <c r="G19" s="12" t="n">
        <f aca="false">MOD(INT($A19/1),2)</f>
        <v>1</v>
      </c>
      <c r="H19" s="12" t="n">
        <f aca="false">SUM(B19:G19)</f>
        <v>3</v>
      </c>
      <c r="I19" s="12" t="n">
        <f aca="false">IF(H19=0,0,VALUE(IF(B19=1,"1","")&amp;IF(C19=1,"2","")&amp;IF(D19=1,"3","")&amp;IF(E19=1,"4","")&amp;IF(F19=1,"5","")&amp;IF(G19=1,"6","")))</f>
        <v>346</v>
      </c>
      <c r="J19" s="14" t="n">
        <f aca="false">IF(B19=1,Eff_0+Gap_closed*(Eff_ceiling-Eff_0),Eff_0)</f>
        <v>71</v>
      </c>
      <c r="K19" s="14" t="n">
        <f aca="false">IF(C19=1,J19+Gap_closed*(Eff_ceiling-J19),J19)</f>
        <v>71</v>
      </c>
      <c r="L19" s="14" t="n">
        <f aca="false">IF(D19=1,K19+Gap_closed*(Eff_ceiling-K19),K19)</f>
        <v>78</v>
      </c>
      <c r="M19" s="14" t="n">
        <f aca="false">IF(E19=1,L19+Gap_closed*(Eff_ceiling-L19),L19)</f>
        <v>81.5</v>
      </c>
      <c r="N19" s="14" t="n">
        <f aca="false">IF(F19=1,M19+Gap_closed*(Eff_ceiling-M19),M19)</f>
        <v>81.5</v>
      </c>
      <c r="O19" s="14" t="n">
        <f aca="false">IF(G19=1,N19+Gap_closed*(Eff_ceiling-N19),N19)</f>
        <v>83.25</v>
      </c>
      <c r="P19" s="14" t="n">
        <f aca="false">Sav_point*(J19-Eff_0)</f>
        <v>0</v>
      </c>
      <c r="Q19" s="14" t="n">
        <f aca="false">Sav_point*(K19-Eff_0)</f>
        <v>0</v>
      </c>
      <c r="R19" s="14" t="n">
        <f aca="false">Sav_point*(L19-Eff_0)</f>
        <v>70</v>
      </c>
      <c r="S19" s="14" t="n">
        <f aca="false">Sav_point*(M19-Eff_0)</f>
        <v>105</v>
      </c>
      <c r="T19" s="14" t="n">
        <f aca="false">Sav_point*(N19-Eff_0)</f>
        <v>105</v>
      </c>
      <c r="U19" s="14" t="n">
        <f aca="false">Sav_point*(O19-Eff_0)</f>
        <v>122.5</v>
      </c>
      <c r="V19" s="14" t="n">
        <f aca="false">SUM(P19:U19)</f>
        <v>402.5</v>
      </c>
      <c r="W19" s="12" t="n">
        <f aca="false">IF(AND(H19&gt;0,Cap_0&lt;Cap_min),0,1)</f>
        <v>1</v>
      </c>
      <c r="X19" s="16" t="n">
        <f aca="false">Liq_0-Round_cost*B19+1*P19</f>
        <v>620</v>
      </c>
      <c r="Y19" s="16" t="n">
        <f aca="false">X19-Round_cost*C19+1*Q19</f>
        <v>620</v>
      </c>
      <c r="Z19" s="16" t="n">
        <f aca="false">Y19-Round_cost*D19+1*R19</f>
        <v>570</v>
      </c>
      <c r="AA19" s="16" t="n">
        <f aca="false">Z19-Round_cost*E19+1*S19</f>
        <v>555</v>
      </c>
      <c r="AB19" s="16" t="n">
        <f aca="false">AA19-Round_cost*F19+1*T19</f>
        <v>660</v>
      </c>
      <c r="AC19" s="16" t="n">
        <f aca="false">AB19-Round_cost*G19+1*U19</f>
        <v>662.5</v>
      </c>
      <c r="AD19" s="19" t="n">
        <f aca="false">IF(B19=1,Liq_0-Round_cost,1000000000)</f>
        <v>1000000000</v>
      </c>
      <c r="AE19" s="19" t="n">
        <f aca="false">IF(C19=1,X19-Round_cost,1000000000)</f>
        <v>1000000000</v>
      </c>
      <c r="AF19" s="19" t="n">
        <f aca="false">IF(D19=1,Y19-Round_cost,1000000000)</f>
        <v>500</v>
      </c>
      <c r="AG19" s="19" t="n">
        <f aca="false">IF(E19=1,Z19-Round_cost,1000000000)</f>
        <v>450</v>
      </c>
      <c r="AH19" s="19" t="n">
        <f aca="false">IF(F19=1,AA19-Round_cost,1000000000)</f>
        <v>1000000000</v>
      </c>
      <c r="AI19" s="19" t="n">
        <f aca="false">IF(G19=1,AB19-Round_cost,1000000000)</f>
        <v>540</v>
      </c>
      <c r="AJ19" s="12" t="n">
        <f aca="false">IF(AND(MIN(X19:AC19)&gt;=Floor_liq-0.000000001,MIN(AD19:AI19)&gt;=Floor_liq-0.000000001),1,0)</f>
        <v>1</v>
      </c>
      <c r="AK19" s="12" t="n">
        <f aca="false">IF(AC19&gt;=End_liq-0.000000001,1,0)</f>
        <v>1</v>
      </c>
      <c r="AL19" s="12" t="n">
        <f aca="false">AJ19*AK19*W19</f>
        <v>1</v>
      </c>
      <c r="AM19" s="16" t="n">
        <f aca="false">Liq_0-Round_cost*B19+(1-Pledge_share)*P19</f>
        <v>620</v>
      </c>
      <c r="AN19" s="16" t="n">
        <f aca="false">AM19-Round_cost*C19+(1-Pledge_share)*Q19</f>
        <v>620</v>
      </c>
      <c r="AO19" s="16" t="n">
        <f aca="false">AN19-Round_cost*D19+(1-Pledge_share)*R19</f>
        <v>535</v>
      </c>
      <c r="AP19" s="16" t="n">
        <f aca="false">AO19-Round_cost*E19+(1-Pledge_share)*S19</f>
        <v>467.5</v>
      </c>
      <c r="AQ19" s="16" t="n">
        <f aca="false">AP19-Round_cost*F19+(1-Pledge_share)*T19</f>
        <v>520</v>
      </c>
      <c r="AR19" s="16" t="n">
        <f aca="false">AQ19-Round_cost*G19+(1-Pledge_share)*U19</f>
        <v>461.25</v>
      </c>
      <c r="AS19" s="19" t="n">
        <f aca="false">IF(B19=1,Liq_0-Round_cost,1000000000)</f>
        <v>1000000000</v>
      </c>
      <c r="AT19" s="19" t="n">
        <f aca="false">IF(C19=1,AM19-Round_cost,1000000000)</f>
        <v>1000000000</v>
      </c>
      <c r="AU19" s="19" t="n">
        <f aca="false">IF(D19=1,AN19-Round_cost,1000000000)</f>
        <v>500</v>
      </c>
      <c r="AV19" s="19" t="n">
        <f aca="false">IF(E19=1,AO19-Round_cost,1000000000)</f>
        <v>415</v>
      </c>
      <c r="AW19" s="19" t="n">
        <f aca="false">IF(F19=1,AP19-Round_cost,1000000000)</f>
        <v>1000000000</v>
      </c>
      <c r="AX19" s="19" t="n">
        <f aca="false">IF(G19=1,AQ19-Round_cost,1000000000)</f>
        <v>400</v>
      </c>
      <c r="AY19" s="12" t="n">
        <f aca="false">IF(AND(MIN(AM19:AR19)&gt;=Floor_liq-0.000000001,MIN(AS19:AX19)&gt;=Floor_liq-0.000000001),1,0)</f>
        <v>1</v>
      </c>
      <c r="AZ19" s="12" t="n">
        <f aca="false">IF(AR19&gt;=End_liq-0.000000001,1,0)</f>
        <v>0</v>
      </c>
      <c r="BA19" s="12" t="n">
        <f aca="false">AY19*AZ19*W19</f>
        <v>0</v>
      </c>
      <c r="BB19" s="16" t="n">
        <f aca="false">Pledge_share*V19</f>
        <v>201.25</v>
      </c>
      <c r="BC19" s="16" t="n">
        <f aca="false">IF(BA19=1,H19*10000+BB19,-1)</f>
        <v>-1</v>
      </c>
      <c r="BD19" s="14" t="n">
        <f aca="false">U19</f>
        <v>122.5</v>
      </c>
      <c r="BE19" s="16" t="n">
        <f aca="false">AC19</f>
        <v>662.5</v>
      </c>
      <c r="BF19" s="16" t="n">
        <f aca="false">IF(AL19=1,AC19-End_liq,-1000000000)</f>
        <v>192.5</v>
      </c>
      <c r="BG19" s="16" t="n">
        <f aca="false">IF(AL19=1,BF19+BG$4*BD19,-1000000000)</f>
        <v>192.5</v>
      </c>
      <c r="BH19" s="16" t="n">
        <f aca="false">IF(AL19=1,BF19+BH$4*BD19,-1000000000)</f>
        <v>805</v>
      </c>
      <c r="BI19" s="16" t="n">
        <f aca="false">IF(AL19=1,BF19+BI$4*BD19,-1000000000)</f>
        <v>1417.5</v>
      </c>
      <c r="BJ19" s="16" t="n">
        <f aca="false">IF(AL19=1,BF19+BJ$4*BD19,-1000000000)</f>
        <v>2642.5</v>
      </c>
      <c r="BK19" s="16" t="n">
        <f aca="false">IF(AL19=1,BF19+BK$4*BD19,-1000000000)</f>
        <v>5092.5</v>
      </c>
      <c r="BL19" s="16" t="n">
        <f aca="false">IF(AL19=1,BF19+BL$4*BD19,-1000000000)</f>
        <v>7542.5</v>
      </c>
      <c r="BM19" s="12" t="n">
        <f aca="false">IF(H19=0,1,IF(I19=VALUE(LEFT("123456",H19)),1,0))</f>
        <v>0</v>
      </c>
      <c r="BN19" s="12" t="n">
        <f aca="false">IF(BG19&gt;0,1000*BG19,-1000000000000)</f>
        <v>192500</v>
      </c>
      <c r="BO19" s="16" t="n">
        <f aca="false">IF(BG19&gt;0,BG19+100,-1000000000)</f>
        <v>292.5</v>
      </c>
      <c r="BP19" s="20" t="n">
        <f aca="false">IF(BG19&gt;0,LN(BG19),-1000000000)</f>
        <v>5.26009615372784</v>
      </c>
    </row>
    <row r="20" customFormat="false" ht="15" hidden="false" customHeight="false" outlineLevel="0" collapsed="false">
      <c r="A20" s="12" t="n">
        <v>14</v>
      </c>
      <c r="B20" s="12" t="n">
        <f aca="false">MOD(INT($A20/32),2)</f>
        <v>0</v>
      </c>
      <c r="C20" s="12" t="n">
        <f aca="false">MOD(INT($A20/16),2)</f>
        <v>0</v>
      </c>
      <c r="D20" s="12" t="n">
        <f aca="false">MOD(INT($A20/8),2)</f>
        <v>1</v>
      </c>
      <c r="E20" s="12" t="n">
        <f aca="false">MOD(INT($A20/4),2)</f>
        <v>1</v>
      </c>
      <c r="F20" s="12" t="n">
        <f aca="false">MOD(INT($A20/2),2)</f>
        <v>1</v>
      </c>
      <c r="G20" s="12" t="n">
        <f aca="false">MOD(INT($A20/1),2)</f>
        <v>0</v>
      </c>
      <c r="H20" s="12" t="n">
        <f aca="false">SUM(B20:G20)</f>
        <v>3</v>
      </c>
      <c r="I20" s="12" t="n">
        <f aca="false">IF(H20=0,0,VALUE(IF(B20=1,"1","")&amp;IF(C20=1,"2","")&amp;IF(D20=1,"3","")&amp;IF(E20=1,"4","")&amp;IF(F20=1,"5","")&amp;IF(G20=1,"6","")))</f>
        <v>345</v>
      </c>
      <c r="J20" s="14" t="n">
        <f aca="false">IF(B20=1,Eff_0+Gap_closed*(Eff_ceiling-Eff_0),Eff_0)</f>
        <v>71</v>
      </c>
      <c r="K20" s="14" t="n">
        <f aca="false">IF(C20=1,J20+Gap_closed*(Eff_ceiling-J20),J20)</f>
        <v>71</v>
      </c>
      <c r="L20" s="14" t="n">
        <f aca="false">IF(D20=1,K20+Gap_closed*(Eff_ceiling-K20),K20)</f>
        <v>78</v>
      </c>
      <c r="M20" s="14" t="n">
        <f aca="false">IF(E20=1,L20+Gap_closed*(Eff_ceiling-L20),L20)</f>
        <v>81.5</v>
      </c>
      <c r="N20" s="14" t="n">
        <f aca="false">IF(F20=1,M20+Gap_closed*(Eff_ceiling-M20),M20)</f>
        <v>83.25</v>
      </c>
      <c r="O20" s="14" t="n">
        <f aca="false">IF(G20=1,N20+Gap_closed*(Eff_ceiling-N20),N20)</f>
        <v>83.25</v>
      </c>
      <c r="P20" s="14" t="n">
        <f aca="false">Sav_point*(J20-Eff_0)</f>
        <v>0</v>
      </c>
      <c r="Q20" s="14" t="n">
        <f aca="false">Sav_point*(K20-Eff_0)</f>
        <v>0</v>
      </c>
      <c r="R20" s="14" t="n">
        <f aca="false">Sav_point*(L20-Eff_0)</f>
        <v>70</v>
      </c>
      <c r="S20" s="14" t="n">
        <f aca="false">Sav_point*(M20-Eff_0)</f>
        <v>105</v>
      </c>
      <c r="T20" s="14" t="n">
        <f aca="false">Sav_point*(N20-Eff_0)</f>
        <v>122.5</v>
      </c>
      <c r="U20" s="14" t="n">
        <f aca="false">Sav_point*(O20-Eff_0)</f>
        <v>122.5</v>
      </c>
      <c r="V20" s="14" t="n">
        <f aca="false">SUM(P20:U20)</f>
        <v>420</v>
      </c>
      <c r="W20" s="12" t="n">
        <f aca="false">IF(AND(H20&gt;0,Cap_0&lt;Cap_min),0,1)</f>
        <v>1</v>
      </c>
      <c r="X20" s="16" t="n">
        <f aca="false">Liq_0-Round_cost*B20+1*P20</f>
        <v>620</v>
      </c>
      <c r="Y20" s="16" t="n">
        <f aca="false">X20-Round_cost*C20+1*Q20</f>
        <v>620</v>
      </c>
      <c r="Z20" s="16" t="n">
        <f aca="false">Y20-Round_cost*D20+1*R20</f>
        <v>570</v>
      </c>
      <c r="AA20" s="16" t="n">
        <f aca="false">Z20-Round_cost*E20+1*S20</f>
        <v>555</v>
      </c>
      <c r="AB20" s="16" t="n">
        <f aca="false">AA20-Round_cost*F20+1*T20</f>
        <v>557.5</v>
      </c>
      <c r="AC20" s="16" t="n">
        <f aca="false">AB20-Round_cost*G20+1*U20</f>
        <v>680</v>
      </c>
      <c r="AD20" s="19" t="n">
        <f aca="false">IF(B20=1,Liq_0-Round_cost,1000000000)</f>
        <v>1000000000</v>
      </c>
      <c r="AE20" s="19" t="n">
        <f aca="false">IF(C20=1,X20-Round_cost,1000000000)</f>
        <v>1000000000</v>
      </c>
      <c r="AF20" s="19" t="n">
        <f aca="false">IF(D20=1,Y20-Round_cost,1000000000)</f>
        <v>500</v>
      </c>
      <c r="AG20" s="19" t="n">
        <f aca="false">IF(E20=1,Z20-Round_cost,1000000000)</f>
        <v>450</v>
      </c>
      <c r="AH20" s="19" t="n">
        <f aca="false">IF(F20=1,AA20-Round_cost,1000000000)</f>
        <v>435</v>
      </c>
      <c r="AI20" s="19" t="n">
        <f aca="false">IF(G20=1,AB20-Round_cost,1000000000)</f>
        <v>1000000000</v>
      </c>
      <c r="AJ20" s="12" t="n">
        <f aca="false">IF(AND(MIN(X20:AC20)&gt;=Floor_liq-0.000000001,MIN(AD20:AI20)&gt;=Floor_liq-0.000000001),1,0)</f>
        <v>1</v>
      </c>
      <c r="AK20" s="12" t="n">
        <f aca="false">IF(AC20&gt;=End_liq-0.000000001,1,0)</f>
        <v>1</v>
      </c>
      <c r="AL20" s="12" t="n">
        <f aca="false">AJ20*AK20*W20</f>
        <v>1</v>
      </c>
      <c r="AM20" s="16" t="n">
        <f aca="false">Liq_0-Round_cost*B20+(1-Pledge_share)*P20</f>
        <v>620</v>
      </c>
      <c r="AN20" s="16" t="n">
        <f aca="false">AM20-Round_cost*C20+(1-Pledge_share)*Q20</f>
        <v>620</v>
      </c>
      <c r="AO20" s="16" t="n">
        <f aca="false">AN20-Round_cost*D20+(1-Pledge_share)*R20</f>
        <v>535</v>
      </c>
      <c r="AP20" s="16" t="n">
        <f aca="false">AO20-Round_cost*E20+(1-Pledge_share)*S20</f>
        <v>467.5</v>
      </c>
      <c r="AQ20" s="16" t="n">
        <f aca="false">AP20-Round_cost*F20+(1-Pledge_share)*T20</f>
        <v>408.75</v>
      </c>
      <c r="AR20" s="16" t="n">
        <f aca="false">AQ20-Round_cost*G20+(1-Pledge_share)*U20</f>
        <v>470</v>
      </c>
      <c r="AS20" s="19" t="n">
        <f aca="false">IF(B20=1,Liq_0-Round_cost,1000000000)</f>
        <v>1000000000</v>
      </c>
      <c r="AT20" s="19" t="n">
        <f aca="false">IF(C20=1,AM20-Round_cost,1000000000)</f>
        <v>1000000000</v>
      </c>
      <c r="AU20" s="19" t="n">
        <f aca="false">IF(D20=1,AN20-Round_cost,1000000000)</f>
        <v>500</v>
      </c>
      <c r="AV20" s="19" t="n">
        <f aca="false">IF(E20=1,AO20-Round_cost,1000000000)</f>
        <v>415</v>
      </c>
      <c r="AW20" s="19" t="n">
        <f aca="false">IF(F20=1,AP20-Round_cost,1000000000)</f>
        <v>347.5</v>
      </c>
      <c r="AX20" s="19" t="n">
        <f aca="false">IF(G20=1,AQ20-Round_cost,1000000000)</f>
        <v>1000000000</v>
      </c>
      <c r="AY20" s="12" t="n">
        <f aca="false">IF(AND(MIN(AM20:AR20)&gt;=Floor_liq-0.000000001,MIN(AS20:AX20)&gt;=Floor_liq-0.000000001),1,0)</f>
        <v>0</v>
      </c>
      <c r="AZ20" s="12" t="n">
        <f aca="false">IF(AR20&gt;=End_liq-0.000000001,1,0)</f>
        <v>1</v>
      </c>
      <c r="BA20" s="12" t="n">
        <f aca="false">AY20*AZ20*W20</f>
        <v>0</v>
      </c>
      <c r="BB20" s="16" t="n">
        <f aca="false">Pledge_share*V20</f>
        <v>210</v>
      </c>
      <c r="BC20" s="16" t="n">
        <f aca="false">IF(BA20=1,H20*10000+BB20,-1)</f>
        <v>-1</v>
      </c>
      <c r="BD20" s="14" t="n">
        <f aca="false">U20</f>
        <v>122.5</v>
      </c>
      <c r="BE20" s="16" t="n">
        <f aca="false">AC20</f>
        <v>680</v>
      </c>
      <c r="BF20" s="16" t="n">
        <f aca="false">IF(AL20=1,AC20-End_liq,-1000000000)</f>
        <v>210</v>
      </c>
      <c r="BG20" s="16" t="n">
        <f aca="false">IF(AL20=1,BF20+BG$4*BD20,-1000000000)</f>
        <v>210</v>
      </c>
      <c r="BH20" s="16" t="n">
        <f aca="false">IF(AL20=1,BF20+BH$4*BD20,-1000000000)</f>
        <v>822.5</v>
      </c>
      <c r="BI20" s="16" t="n">
        <f aca="false">IF(AL20=1,BF20+BI$4*BD20,-1000000000)</f>
        <v>1435</v>
      </c>
      <c r="BJ20" s="16" t="n">
        <f aca="false">IF(AL20=1,BF20+BJ$4*BD20,-1000000000)</f>
        <v>2660</v>
      </c>
      <c r="BK20" s="16" t="n">
        <f aca="false">IF(AL20=1,BF20+BK$4*BD20,-1000000000)</f>
        <v>5110</v>
      </c>
      <c r="BL20" s="16" t="n">
        <f aca="false">IF(AL20=1,BF20+BL$4*BD20,-1000000000)</f>
        <v>7560</v>
      </c>
      <c r="BM20" s="12" t="n">
        <f aca="false">IF(H20=0,1,IF(I20=VALUE(LEFT("123456",H20)),1,0))</f>
        <v>0</v>
      </c>
      <c r="BN20" s="12" t="n">
        <f aca="false">IF(BG20&gt;0,1000*BG20,-1000000000000)</f>
        <v>210000</v>
      </c>
      <c r="BO20" s="16" t="n">
        <f aca="false">IF(BG20&gt;0,BG20+100,-1000000000)</f>
        <v>310</v>
      </c>
      <c r="BP20" s="20" t="n">
        <f aca="false">IF(BG20&gt;0,LN(BG20),-1000000000)</f>
        <v>5.34710753071747</v>
      </c>
    </row>
    <row r="21" customFormat="false" ht="15" hidden="false" customHeight="false" outlineLevel="0" collapsed="false">
      <c r="A21" s="12" t="n">
        <v>15</v>
      </c>
      <c r="B21" s="12" t="n">
        <f aca="false">MOD(INT($A21/32),2)</f>
        <v>0</v>
      </c>
      <c r="C21" s="12" t="n">
        <f aca="false">MOD(INT($A21/16),2)</f>
        <v>0</v>
      </c>
      <c r="D21" s="12" t="n">
        <f aca="false">MOD(INT($A21/8),2)</f>
        <v>1</v>
      </c>
      <c r="E21" s="12" t="n">
        <f aca="false">MOD(INT($A21/4),2)</f>
        <v>1</v>
      </c>
      <c r="F21" s="12" t="n">
        <f aca="false">MOD(INT($A21/2),2)</f>
        <v>1</v>
      </c>
      <c r="G21" s="12" t="n">
        <f aca="false">MOD(INT($A21/1),2)</f>
        <v>1</v>
      </c>
      <c r="H21" s="12" t="n">
        <f aca="false">SUM(B21:G21)</f>
        <v>4</v>
      </c>
      <c r="I21" s="12" t="n">
        <f aca="false">IF(H21=0,0,VALUE(IF(B21=1,"1","")&amp;IF(C21=1,"2","")&amp;IF(D21=1,"3","")&amp;IF(E21=1,"4","")&amp;IF(F21=1,"5","")&amp;IF(G21=1,"6","")))</f>
        <v>3456</v>
      </c>
      <c r="J21" s="14" t="n">
        <f aca="false">IF(B21=1,Eff_0+Gap_closed*(Eff_ceiling-Eff_0),Eff_0)</f>
        <v>71</v>
      </c>
      <c r="K21" s="14" t="n">
        <f aca="false">IF(C21=1,J21+Gap_closed*(Eff_ceiling-J21),J21)</f>
        <v>71</v>
      </c>
      <c r="L21" s="14" t="n">
        <f aca="false">IF(D21=1,K21+Gap_closed*(Eff_ceiling-K21),K21)</f>
        <v>78</v>
      </c>
      <c r="M21" s="14" t="n">
        <f aca="false">IF(E21=1,L21+Gap_closed*(Eff_ceiling-L21),L21)</f>
        <v>81.5</v>
      </c>
      <c r="N21" s="14" t="n">
        <f aca="false">IF(F21=1,M21+Gap_closed*(Eff_ceiling-M21),M21)</f>
        <v>83.25</v>
      </c>
      <c r="O21" s="14" t="n">
        <f aca="false">IF(G21=1,N21+Gap_closed*(Eff_ceiling-N21),N21)</f>
        <v>84.125</v>
      </c>
      <c r="P21" s="14" t="n">
        <f aca="false">Sav_point*(J21-Eff_0)</f>
        <v>0</v>
      </c>
      <c r="Q21" s="14" t="n">
        <f aca="false">Sav_point*(K21-Eff_0)</f>
        <v>0</v>
      </c>
      <c r="R21" s="14" t="n">
        <f aca="false">Sav_point*(L21-Eff_0)</f>
        <v>70</v>
      </c>
      <c r="S21" s="14" t="n">
        <f aca="false">Sav_point*(M21-Eff_0)</f>
        <v>105</v>
      </c>
      <c r="T21" s="14" t="n">
        <f aca="false">Sav_point*(N21-Eff_0)</f>
        <v>122.5</v>
      </c>
      <c r="U21" s="14" t="n">
        <f aca="false">Sav_point*(O21-Eff_0)</f>
        <v>131.25</v>
      </c>
      <c r="V21" s="14" t="n">
        <f aca="false">SUM(P21:U21)</f>
        <v>428.75</v>
      </c>
      <c r="W21" s="12" t="n">
        <f aca="false">IF(AND(H21&gt;0,Cap_0&lt;Cap_min),0,1)</f>
        <v>1</v>
      </c>
      <c r="X21" s="16" t="n">
        <f aca="false">Liq_0-Round_cost*B21+1*P21</f>
        <v>620</v>
      </c>
      <c r="Y21" s="16" t="n">
        <f aca="false">X21-Round_cost*C21+1*Q21</f>
        <v>620</v>
      </c>
      <c r="Z21" s="16" t="n">
        <f aca="false">Y21-Round_cost*D21+1*R21</f>
        <v>570</v>
      </c>
      <c r="AA21" s="16" t="n">
        <f aca="false">Z21-Round_cost*E21+1*S21</f>
        <v>555</v>
      </c>
      <c r="AB21" s="16" t="n">
        <f aca="false">AA21-Round_cost*F21+1*T21</f>
        <v>557.5</v>
      </c>
      <c r="AC21" s="16" t="n">
        <f aca="false">AB21-Round_cost*G21+1*U21</f>
        <v>568.75</v>
      </c>
      <c r="AD21" s="19" t="n">
        <f aca="false">IF(B21=1,Liq_0-Round_cost,1000000000)</f>
        <v>1000000000</v>
      </c>
      <c r="AE21" s="19" t="n">
        <f aca="false">IF(C21=1,X21-Round_cost,1000000000)</f>
        <v>1000000000</v>
      </c>
      <c r="AF21" s="19" t="n">
        <f aca="false">IF(D21=1,Y21-Round_cost,1000000000)</f>
        <v>500</v>
      </c>
      <c r="AG21" s="19" t="n">
        <f aca="false">IF(E21=1,Z21-Round_cost,1000000000)</f>
        <v>450</v>
      </c>
      <c r="AH21" s="19" t="n">
        <f aca="false">IF(F21=1,AA21-Round_cost,1000000000)</f>
        <v>435</v>
      </c>
      <c r="AI21" s="19" t="n">
        <f aca="false">IF(G21=1,AB21-Round_cost,1000000000)</f>
        <v>437.5</v>
      </c>
      <c r="AJ21" s="12" t="n">
        <f aca="false">IF(AND(MIN(X21:AC21)&gt;=Floor_liq-0.000000001,MIN(AD21:AI21)&gt;=Floor_liq-0.000000001),1,0)</f>
        <v>1</v>
      </c>
      <c r="AK21" s="12" t="n">
        <f aca="false">IF(AC21&gt;=End_liq-0.000000001,1,0)</f>
        <v>1</v>
      </c>
      <c r="AL21" s="12" t="n">
        <f aca="false">AJ21*AK21*W21</f>
        <v>1</v>
      </c>
      <c r="AM21" s="16" t="n">
        <f aca="false">Liq_0-Round_cost*B21+(1-Pledge_share)*P21</f>
        <v>620</v>
      </c>
      <c r="AN21" s="16" t="n">
        <f aca="false">AM21-Round_cost*C21+(1-Pledge_share)*Q21</f>
        <v>620</v>
      </c>
      <c r="AO21" s="16" t="n">
        <f aca="false">AN21-Round_cost*D21+(1-Pledge_share)*R21</f>
        <v>535</v>
      </c>
      <c r="AP21" s="16" t="n">
        <f aca="false">AO21-Round_cost*E21+(1-Pledge_share)*S21</f>
        <v>467.5</v>
      </c>
      <c r="AQ21" s="16" t="n">
        <f aca="false">AP21-Round_cost*F21+(1-Pledge_share)*T21</f>
        <v>408.75</v>
      </c>
      <c r="AR21" s="16" t="n">
        <f aca="false">AQ21-Round_cost*G21+(1-Pledge_share)*U21</f>
        <v>354.375</v>
      </c>
      <c r="AS21" s="19" t="n">
        <f aca="false">IF(B21=1,Liq_0-Round_cost,1000000000)</f>
        <v>1000000000</v>
      </c>
      <c r="AT21" s="19" t="n">
        <f aca="false">IF(C21=1,AM21-Round_cost,1000000000)</f>
        <v>1000000000</v>
      </c>
      <c r="AU21" s="19" t="n">
        <f aca="false">IF(D21=1,AN21-Round_cost,1000000000)</f>
        <v>500</v>
      </c>
      <c r="AV21" s="19" t="n">
        <f aca="false">IF(E21=1,AO21-Round_cost,1000000000)</f>
        <v>415</v>
      </c>
      <c r="AW21" s="19" t="n">
        <f aca="false">IF(F21=1,AP21-Round_cost,1000000000)</f>
        <v>347.5</v>
      </c>
      <c r="AX21" s="19" t="n">
        <f aca="false">IF(G21=1,AQ21-Round_cost,1000000000)</f>
        <v>288.75</v>
      </c>
      <c r="AY21" s="12" t="n">
        <f aca="false">IF(AND(MIN(AM21:AR21)&gt;=Floor_liq-0.000000001,MIN(AS21:AX21)&gt;=Floor_liq-0.000000001),1,0)</f>
        <v>0</v>
      </c>
      <c r="AZ21" s="12" t="n">
        <f aca="false">IF(AR21&gt;=End_liq-0.000000001,1,0)</f>
        <v>0</v>
      </c>
      <c r="BA21" s="12" t="n">
        <f aca="false">AY21*AZ21*W21</f>
        <v>0</v>
      </c>
      <c r="BB21" s="16" t="n">
        <f aca="false">Pledge_share*V21</f>
        <v>214.375</v>
      </c>
      <c r="BC21" s="16" t="n">
        <f aca="false">IF(BA21=1,H21*10000+BB21,-1)</f>
        <v>-1</v>
      </c>
      <c r="BD21" s="14" t="n">
        <f aca="false">U21</f>
        <v>131.25</v>
      </c>
      <c r="BE21" s="16" t="n">
        <f aca="false">AC21</f>
        <v>568.75</v>
      </c>
      <c r="BF21" s="16" t="n">
        <f aca="false">IF(AL21=1,AC21-End_liq,-1000000000)</f>
        <v>98.75</v>
      </c>
      <c r="BG21" s="16" t="n">
        <f aca="false">IF(AL21=1,BF21+BG$4*BD21,-1000000000)</f>
        <v>98.75</v>
      </c>
      <c r="BH21" s="16" t="n">
        <f aca="false">IF(AL21=1,BF21+BH$4*BD21,-1000000000)</f>
        <v>755</v>
      </c>
      <c r="BI21" s="16" t="n">
        <f aca="false">IF(AL21=1,BF21+BI$4*BD21,-1000000000)</f>
        <v>1411.25</v>
      </c>
      <c r="BJ21" s="16" t="n">
        <f aca="false">IF(AL21=1,BF21+BJ$4*BD21,-1000000000)</f>
        <v>2723.75</v>
      </c>
      <c r="BK21" s="16" t="n">
        <f aca="false">IF(AL21=1,BF21+BK$4*BD21,-1000000000)</f>
        <v>5348.75</v>
      </c>
      <c r="BL21" s="16" t="n">
        <f aca="false">IF(AL21=1,BF21+BL$4*BD21,-1000000000)</f>
        <v>7973.75</v>
      </c>
      <c r="BM21" s="12" t="n">
        <f aca="false">IF(H21=0,1,IF(I21=VALUE(LEFT("123456",H21)),1,0))</f>
        <v>0</v>
      </c>
      <c r="BN21" s="12" t="n">
        <f aca="false">IF(BG21&gt;0,1000*BG21,-1000000000000)</f>
        <v>98750</v>
      </c>
      <c r="BO21" s="16" t="n">
        <f aca="false">IF(BG21&gt;0,BG21+100,-1000000000)</f>
        <v>198.75</v>
      </c>
      <c r="BP21" s="20" t="n">
        <f aca="false">IF(BG21&gt;0,LN(BG21),-1000000000)</f>
        <v>4.59259140378123</v>
      </c>
    </row>
    <row r="22" customFormat="false" ht="15" hidden="false" customHeight="false" outlineLevel="0" collapsed="false">
      <c r="A22" s="12" t="n">
        <v>16</v>
      </c>
      <c r="B22" s="12" t="n">
        <f aca="false">MOD(INT($A22/32),2)</f>
        <v>0</v>
      </c>
      <c r="C22" s="12" t="n">
        <f aca="false">MOD(INT($A22/16),2)</f>
        <v>1</v>
      </c>
      <c r="D22" s="12" t="n">
        <f aca="false">MOD(INT($A22/8),2)</f>
        <v>0</v>
      </c>
      <c r="E22" s="12" t="n">
        <f aca="false">MOD(INT($A22/4),2)</f>
        <v>0</v>
      </c>
      <c r="F22" s="12" t="n">
        <f aca="false">MOD(INT($A22/2),2)</f>
        <v>0</v>
      </c>
      <c r="G22" s="12" t="n">
        <f aca="false">MOD(INT($A22/1),2)</f>
        <v>0</v>
      </c>
      <c r="H22" s="12" t="n">
        <f aca="false">SUM(B22:G22)</f>
        <v>1</v>
      </c>
      <c r="I22" s="12" t="n">
        <f aca="false">IF(H22=0,0,VALUE(IF(B22=1,"1","")&amp;IF(C22=1,"2","")&amp;IF(D22=1,"3","")&amp;IF(E22=1,"4","")&amp;IF(F22=1,"5","")&amp;IF(G22=1,"6","")))</f>
        <v>2</v>
      </c>
      <c r="J22" s="14" t="n">
        <f aca="false">IF(B22=1,Eff_0+Gap_closed*(Eff_ceiling-Eff_0),Eff_0)</f>
        <v>71</v>
      </c>
      <c r="K22" s="14" t="n">
        <f aca="false">IF(C22=1,J22+Gap_closed*(Eff_ceiling-J22),J22)</f>
        <v>78</v>
      </c>
      <c r="L22" s="14" t="n">
        <f aca="false">IF(D22=1,K22+Gap_closed*(Eff_ceiling-K22),K22)</f>
        <v>78</v>
      </c>
      <c r="M22" s="14" t="n">
        <f aca="false">IF(E22=1,L22+Gap_closed*(Eff_ceiling-L22),L22)</f>
        <v>78</v>
      </c>
      <c r="N22" s="14" t="n">
        <f aca="false">IF(F22=1,M22+Gap_closed*(Eff_ceiling-M22),M22)</f>
        <v>78</v>
      </c>
      <c r="O22" s="14" t="n">
        <f aca="false">IF(G22=1,N22+Gap_closed*(Eff_ceiling-N22),N22)</f>
        <v>78</v>
      </c>
      <c r="P22" s="14" t="n">
        <f aca="false">Sav_point*(J22-Eff_0)</f>
        <v>0</v>
      </c>
      <c r="Q22" s="14" t="n">
        <f aca="false">Sav_point*(K22-Eff_0)</f>
        <v>70</v>
      </c>
      <c r="R22" s="14" t="n">
        <f aca="false">Sav_point*(L22-Eff_0)</f>
        <v>70</v>
      </c>
      <c r="S22" s="14" t="n">
        <f aca="false">Sav_point*(M22-Eff_0)</f>
        <v>70</v>
      </c>
      <c r="T22" s="14" t="n">
        <f aca="false">Sav_point*(N22-Eff_0)</f>
        <v>70</v>
      </c>
      <c r="U22" s="14" t="n">
        <f aca="false">Sav_point*(O22-Eff_0)</f>
        <v>70</v>
      </c>
      <c r="V22" s="14" t="n">
        <f aca="false">SUM(P22:U22)</f>
        <v>350</v>
      </c>
      <c r="W22" s="12" t="n">
        <f aca="false">IF(AND(H22&gt;0,Cap_0&lt;Cap_min),0,1)</f>
        <v>1</v>
      </c>
      <c r="X22" s="16" t="n">
        <f aca="false">Liq_0-Round_cost*B22+1*P22</f>
        <v>620</v>
      </c>
      <c r="Y22" s="16" t="n">
        <f aca="false">X22-Round_cost*C22+1*Q22</f>
        <v>570</v>
      </c>
      <c r="Z22" s="16" t="n">
        <f aca="false">Y22-Round_cost*D22+1*R22</f>
        <v>640</v>
      </c>
      <c r="AA22" s="16" t="n">
        <f aca="false">Z22-Round_cost*E22+1*S22</f>
        <v>710</v>
      </c>
      <c r="AB22" s="16" t="n">
        <f aca="false">AA22-Round_cost*F22+1*T22</f>
        <v>780</v>
      </c>
      <c r="AC22" s="16" t="n">
        <f aca="false">AB22-Round_cost*G22+1*U22</f>
        <v>850</v>
      </c>
      <c r="AD22" s="19" t="n">
        <f aca="false">IF(B22=1,Liq_0-Round_cost,1000000000)</f>
        <v>1000000000</v>
      </c>
      <c r="AE22" s="19" t="n">
        <f aca="false">IF(C22=1,X22-Round_cost,1000000000)</f>
        <v>500</v>
      </c>
      <c r="AF22" s="19" t="n">
        <f aca="false">IF(D22=1,Y22-Round_cost,1000000000)</f>
        <v>1000000000</v>
      </c>
      <c r="AG22" s="19" t="n">
        <f aca="false">IF(E22=1,Z22-Round_cost,1000000000)</f>
        <v>1000000000</v>
      </c>
      <c r="AH22" s="19" t="n">
        <f aca="false">IF(F22=1,AA22-Round_cost,1000000000)</f>
        <v>1000000000</v>
      </c>
      <c r="AI22" s="19" t="n">
        <f aca="false">IF(G22=1,AB22-Round_cost,1000000000)</f>
        <v>1000000000</v>
      </c>
      <c r="AJ22" s="12" t="n">
        <f aca="false">IF(AND(MIN(X22:AC22)&gt;=Floor_liq-0.000000001,MIN(AD22:AI22)&gt;=Floor_liq-0.000000001),1,0)</f>
        <v>1</v>
      </c>
      <c r="AK22" s="12" t="n">
        <f aca="false">IF(AC22&gt;=End_liq-0.000000001,1,0)</f>
        <v>1</v>
      </c>
      <c r="AL22" s="12" t="n">
        <f aca="false">AJ22*AK22*W22</f>
        <v>1</v>
      </c>
      <c r="AM22" s="16" t="n">
        <f aca="false">Liq_0-Round_cost*B22+(1-Pledge_share)*P22</f>
        <v>620</v>
      </c>
      <c r="AN22" s="16" t="n">
        <f aca="false">AM22-Round_cost*C22+(1-Pledge_share)*Q22</f>
        <v>535</v>
      </c>
      <c r="AO22" s="16" t="n">
        <f aca="false">AN22-Round_cost*D22+(1-Pledge_share)*R22</f>
        <v>570</v>
      </c>
      <c r="AP22" s="16" t="n">
        <f aca="false">AO22-Round_cost*E22+(1-Pledge_share)*S22</f>
        <v>605</v>
      </c>
      <c r="AQ22" s="16" t="n">
        <f aca="false">AP22-Round_cost*F22+(1-Pledge_share)*T22</f>
        <v>640</v>
      </c>
      <c r="AR22" s="16" t="n">
        <f aca="false">AQ22-Round_cost*G22+(1-Pledge_share)*U22</f>
        <v>675</v>
      </c>
      <c r="AS22" s="19" t="n">
        <f aca="false">IF(B22=1,Liq_0-Round_cost,1000000000)</f>
        <v>1000000000</v>
      </c>
      <c r="AT22" s="19" t="n">
        <f aca="false">IF(C22=1,AM22-Round_cost,1000000000)</f>
        <v>500</v>
      </c>
      <c r="AU22" s="19" t="n">
        <f aca="false">IF(D22=1,AN22-Round_cost,1000000000)</f>
        <v>1000000000</v>
      </c>
      <c r="AV22" s="19" t="n">
        <f aca="false">IF(E22=1,AO22-Round_cost,1000000000)</f>
        <v>1000000000</v>
      </c>
      <c r="AW22" s="19" t="n">
        <f aca="false">IF(F22=1,AP22-Round_cost,1000000000)</f>
        <v>1000000000</v>
      </c>
      <c r="AX22" s="19" t="n">
        <f aca="false">IF(G22=1,AQ22-Round_cost,1000000000)</f>
        <v>1000000000</v>
      </c>
      <c r="AY22" s="12" t="n">
        <f aca="false">IF(AND(MIN(AM22:AR22)&gt;=Floor_liq-0.000000001,MIN(AS22:AX22)&gt;=Floor_liq-0.000000001),1,0)</f>
        <v>1</v>
      </c>
      <c r="AZ22" s="12" t="n">
        <f aca="false">IF(AR22&gt;=End_liq-0.000000001,1,0)</f>
        <v>1</v>
      </c>
      <c r="BA22" s="12" t="n">
        <f aca="false">AY22*AZ22*W22</f>
        <v>1</v>
      </c>
      <c r="BB22" s="16" t="n">
        <f aca="false">Pledge_share*V22</f>
        <v>175</v>
      </c>
      <c r="BC22" s="16" t="n">
        <f aca="false">IF(BA22=1,H22*10000+BB22,-1)</f>
        <v>10175</v>
      </c>
      <c r="BD22" s="14" t="n">
        <f aca="false">U22</f>
        <v>70</v>
      </c>
      <c r="BE22" s="16" t="n">
        <f aca="false">AC22</f>
        <v>850</v>
      </c>
      <c r="BF22" s="16" t="n">
        <f aca="false">IF(AL22=1,AC22-End_liq,-1000000000)</f>
        <v>380</v>
      </c>
      <c r="BG22" s="16" t="n">
        <f aca="false">IF(AL22=1,BF22+BG$4*BD22,-1000000000)</f>
        <v>380</v>
      </c>
      <c r="BH22" s="16" t="n">
        <f aca="false">IF(AL22=1,BF22+BH$4*BD22,-1000000000)</f>
        <v>730</v>
      </c>
      <c r="BI22" s="16" t="n">
        <f aca="false">IF(AL22=1,BF22+BI$4*BD22,-1000000000)</f>
        <v>1080</v>
      </c>
      <c r="BJ22" s="16" t="n">
        <f aca="false">IF(AL22=1,BF22+BJ$4*BD22,-1000000000)</f>
        <v>1780</v>
      </c>
      <c r="BK22" s="16" t="n">
        <f aca="false">IF(AL22=1,BF22+BK$4*BD22,-1000000000)</f>
        <v>3180</v>
      </c>
      <c r="BL22" s="16" t="n">
        <f aca="false">IF(AL22=1,BF22+BL$4*BD22,-1000000000)</f>
        <v>4580</v>
      </c>
      <c r="BM22" s="12" t="n">
        <f aca="false">IF(H22=0,1,IF(I22=VALUE(LEFT("123456",H22)),1,0))</f>
        <v>0</v>
      </c>
      <c r="BN22" s="12" t="n">
        <f aca="false">IF(BG22&gt;0,1000*BG22,-1000000000000)</f>
        <v>380000</v>
      </c>
      <c r="BO22" s="16" t="n">
        <f aca="false">IF(BG22&gt;0,BG22+100,-1000000000)</f>
        <v>480</v>
      </c>
      <c r="BP22" s="20" t="n">
        <f aca="false">IF(BG22&gt;0,LN(BG22),-1000000000)</f>
        <v>5.94017125272043</v>
      </c>
    </row>
    <row r="23" customFormat="false" ht="15" hidden="false" customHeight="false" outlineLevel="0" collapsed="false">
      <c r="A23" s="12" t="n">
        <v>17</v>
      </c>
      <c r="B23" s="12" t="n">
        <f aca="false">MOD(INT($A23/32),2)</f>
        <v>0</v>
      </c>
      <c r="C23" s="12" t="n">
        <f aca="false">MOD(INT($A23/16),2)</f>
        <v>1</v>
      </c>
      <c r="D23" s="12" t="n">
        <f aca="false">MOD(INT($A23/8),2)</f>
        <v>0</v>
      </c>
      <c r="E23" s="12" t="n">
        <f aca="false">MOD(INT($A23/4),2)</f>
        <v>0</v>
      </c>
      <c r="F23" s="12" t="n">
        <f aca="false">MOD(INT($A23/2),2)</f>
        <v>0</v>
      </c>
      <c r="G23" s="12" t="n">
        <f aca="false">MOD(INT($A23/1),2)</f>
        <v>1</v>
      </c>
      <c r="H23" s="12" t="n">
        <f aca="false">SUM(B23:G23)</f>
        <v>2</v>
      </c>
      <c r="I23" s="12" t="n">
        <f aca="false">IF(H23=0,0,VALUE(IF(B23=1,"1","")&amp;IF(C23=1,"2","")&amp;IF(D23=1,"3","")&amp;IF(E23=1,"4","")&amp;IF(F23=1,"5","")&amp;IF(G23=1,"6","")))</f>
        <v>26</v>
      </c>
      <c r="J23" s="14" t="n">
        <f aca="false">IF(B23=1,Eff_0+Gap_closed*(Eff_ceiling-Eff_0),Eff_0)</f>
        <v>71</v>
      </c>
      <c r="K23" s="14" t="n">
        <f aca="false">IF(C23=1,J23+Gap_closed*(Eff_ceiling-J23),J23)</f>
        <v>78</v>
      </c>
      <c r="L23" s="14" t="n">
        <f aca="false">IF(D23=1,K23+Gap_closed*(Eff_ceiling-K23),K23)</f>
        <v>78</v>
      </c>
      <c r="M23" s="14" t="n">
        <f aca="false">IF(E23=1,L23+Gap_closed*(Eff_ceiling-L23),L23)</f>
        <v>78</v>
      </c>
      <c r="N23" s="14" t="n">
        <f aca="false">IF(F23=1,M23+Gap_closed*(Eff_ceiling-M23),M23)</f>
        <v>78</v>
      </c>
      <c r="O23" s="14" t="n">
        <f aca="false">IF(G23=1,N23+Gap_closed*(Eff_ceiling-N23),N23)</f>
        <v>81.5</v>
      </c>
      <c r="P23" s="14" t="n">
        <f aca="false">Sav_point*(J23-Eff_0)</f>
        <v>0</v>
      </c>
      <c r="Q23" s="14" t="n">
        <f aca="false">Sav_point*(K23-Eff_0)</f>
        <v>70</v>
      </c>
      <c r="R23" s="14" t="n">
        <f aca="false">Sav_point*(L23-Eff_0)</f>
        <v>70</v>
      </c>
      <c r="S23" s="14" t="n">
        <f aca="false">Sav_point*(M23-Eff_0)</f>
        <v>70</v>
      </c>
      <c r="T23" s="14" t="n">
        <f aca="false">Sav_point*(N23-Eff_0)</f>
        <v>70</v>
      </c>
      <c r="U23" s="14" t="n">
        <f aca="false">Sav_point*(O23-Eff_0)</f>
        <v>105</v>
      </c>
      <c r="V23" s="14" t="n">
        <f aca="false">SUM(P23:U23)</f>
        <v>385</v>
      </c>
      <c r="W23" s="12" t="n">
        <f aca="false">IF(AND(H23&gt;0,Cap_0&lt;Cap_min),0,1)</f>
        <v>1</v>
      </c>
      <c r="X23" s="16" t="n">
        <f aca="false">Liq_0-Round_cost*B23+1*P23</f>
        <v>620</v>
      </c>
      <c r="Y23" s="16" t="n">
        <f aca="false">X23-Round_cost*C23+1*Q23</f>
        <v>570</v>
      </c>
      <c r="Z23" s="16" t="n">
        <f aca="false">Y23-Round_cost*D23+1*R23</f>
        <v>640</v>
      </c>
      <c r="AA23" s="16" t="n">
        <f aca="false">Z23-Round_cost*E23+1*S23</f>
        <v>710</v>
      </c>
      <c r="AB23" s="16" t="n">
        <f aca="false">AA23-Round_cost*F23+1*T23</f>
        <v>780</v>
      </c>
      <c r="AC23" s="16" t="n">
        <f aca="false">AB23-Round_cost*G23+1*U23</f>
        <v>765</v>
      </c>
      <c r="AD23" s="19" t="n">
        <f aca="false">IF(B23=1,Liq_0-Round_cost,1000000000)</f>
        <v>1000000000</v>
      </c>
      <c r="AE23" s="19" t="n">
        <f aca="false">IF(C23=1,X23-Round_cost,1000000000)</f>
        <v>500</v>
      </c>
      <c r="AF23" s="19" t="n">
        <f aca="false">IF(D23=1,Y23-Round_cost,1000000000)</f>
        <v>1000000000</v>
      </c>
      <c r="AG23" s="19" t="n">
        <f aca="false">IF(E23=1,Z23-Round_cost,1000000000)</f>
        <v>1000000000</v>
      </c>
      <c r="AH23" s="19" t="n">
        <f aca="false">IF(F23=1,AA23-Round_cost,1000000000)</f>
        <v>1000000000</v>
      </c>
      <c r="AI23" s="19" t="n">
        <f aca="false">IF(G23=1,AB23-Round_cost,1000000000)</f>
        <v>660</v>
      </c>
      <c r="AJ23" s="12" t="n">
        <f aca="false">IF(AND(MIN(X23:AC23)&gt;=Floor_liq-0.000000001,MIN(AD23:AI23)&gt;=Floor_liq-0.000000001),1,0)</f>
        <v>1</v>
      </c>
      <c r="AK23" s="12" t="n">
        <f aca="false">IF(AC23&gt;=End_liq-0.000000001,1,0)</f>
        <v>1</v>
      </c>
      <c r="AL23" s="12" t="n">
        <f aca="false">AJ23*AK23*W23</f>
        <v>1</v>
      </c>
      <c r="AM23" s="16" t="n">
        <f aca="false">Liq_0-Round_cost*B23+(1-Pledge_share)*P23</f>
        <v>620</v>
      </c>
      <c r="AN23" s="16" t="n">
        <f aca="false">AM23-Round_cost*C23+(1-Pledge_share)*Q23</f>
        <v>535</v>
      </c>
      <c r="AO23" s="16" t="n">
        <f aca="false">AN23-Round_cost*D23+(1-Pledge_share)*R23</f>
        <v>570</v>
      </c>
      <c r="AP23" s="16" t="n">
        <f aca="false">AO23-Round_cost*E23+(1-Pledge_share)*S23</f>
        <v>605</v>
      </c>
      <c r="AQ23" s="16" t="n">
        <f aca="false">AP23-Round_cost*F23+(1-Pledge_share)*T23</f>
        <v>640</v>
      </c>
      <c r="AR23" s="16" t="n">
        <f aca="false">AQ23-Round_cost*G23+(1-Pledge_share)*U23</f>
        <v>572.5</v>
      </c>
      <c r="AS23" s="19" t="n">
        <f aca="false">IF(B23=1,Liq_0-Round_cost,1000000000)</f>
        <v>1000000000</v>
      </c>
      <c r="AT23" s="19" t="n">
        <f aca="false">IF(C23=1,AM23-Round_cost,1000000000)</f>
        <v>500</v>
      </c>
      <c r="AU23" s="19" t="n">
        <f aca="false">IF(D23=1,AN23-Round_cost,1000000000)</f>
        <v>1000000000</v>
      </c>
      <c r="AV23" s="19" t="n">
        <f aca="false">IF(E23=1,AO23-Round_cost,1000000000)</f>
        <v>1000000000</v>
      </c>
      <c r="AW23" s="19" t="n">
        <f aca="false">IF(F23=1,AP23-Round_cost,1000000000)</f>
        <v>1000000000</v>
      </c>
      <c r="AX23" s="19" t="n">
        <f aca="false">IF(G23=1,AQ23-Round_cost,1000000000)</f>
        <v>520</v>
      </c>
      <c r="AY23" s="12" t="n">
        <f aca="false">IF(AND(MIN(AM23:AR23)&gt;=Floor_liq-0.000000001,MIN(AS23:AX23)&gt;=Floor_liq-0.000000001),1,0)</f>
        <v>1</v>
      </c>
      <c r="AZ23" s="12" t="n">
        <f aca="false">IF(AR23&gt;=End_liq-0.000000001,1,0)</f>
        <v>1</v>
      </c>
      <c r="BA23" s="12" t="n">
        <f aca="false">AY23*AZ23*W23</f>
        <v>1</v>
      </c>
      <c r="BB23" s="16" t="n">
        <f aca="false">Pledge_share*V23</f>
        <v>192.5</v>
      </c>
      <c r="BC23" s="16" t="n">
        <f aca="false">IF(BA23=1,H23*10000+BB23,-1)</f>
        <v>20192.5</v>
      </c>
      <c r="BD23" s="14" t="n">
        <f aca="false">U23</f>
        <v>105</v>
      </c>
      <c r="BE23" s="16" t="n">
        <f aca="false">AC23</f>
        <v>765</v>
      </c>
      <c r="BF23" s="16" t="n">
        <f aca="false">IF(AL23=1,AC23-End_liq,-1000000000)</f>
        <v>295</v>
      </c>
      <c r="BG23" s="16" t="n">
        <f aca="false">IF(AL23=1,BF23+BG$4*BD23,-1000000000)</f>
        <v>295</v>
      </c>
      <c r="BH23" s="16" t="n">
        <f aca="false">IF(AL23=1,BF23+BH$4*BD23,-1000000000)</f>
        <v>820</v>
      </c>
      <c r="BI23" s="16" t="n">
        <f aca="false">IF(AL23=1,BF23+BI$4*BD23,-1000000000)</f>
        <v>1345</v>
      </c>
      <c r="BJ23" s="16" t="n">
        <f aca="false">IF(AL23=1,BF23+BJ$4*BD23,-1000000000)</f>
        <v>2395</v>
      </c>
      <c r="BK23" s="16" t="n">
        <f aca="false">IF(AL23=1,BF23+BK$4*BD23,-1000000000)</f>
        <v>4495</v>
      </c>
      <c r="BL23" s="16" t="n">
        <f aca="false">IF(AL23=1,BF23+BL$4*BD23,-1000000000)</f>
        <v>6595</v>
      </c>
      <c r="BM23" s="12" t="n">
        <f aca="false">IF(H23=0,1,IF(I23=VALUE(LEFT("123456",H23)),1,0))</f>
        <v>0</v>
      </c>
      <c r="BN23" s="12" t="n">
        <f aca="false">IF(BG23&gt;0,1000*BG23,-1000000000000)</f>
        <v>295000</v>
      </c>
      <c r="BO23" s="16" t="n">
        <f aca="false">IF(BG23&gt;0,BG23+100,-1000000000)</f>
        <v>395</v>
      </c>
      <c r="BP23" s="20" t="n">
        <f aca="false">IF(BG23&gt;0,LN(BG23),-1000000000)</f>
        <v>5.68697535633982</v>
      </c>
    </row>
    <row r="24" customFormat="false" ht="15" hidden="false" customHeight="false" outlineLevel="0" collapsed="false">
      <c r="A24" s="12" t="n">
        <v>18</v>
      </c>
      <c r="B24" s="12" t="n">
        <f aca="false">MOD(INT($A24/32),2)</f>
        <v>0</v>
      </c>
      <c r="C24" s="12" t="n">
        <f aca="false">MOD(INT($A24/16),2)</f>
        <v>1</v>
      </c>
      <c r="D24" s="12" t="n">
        <f aca="false">MOD(INT($A24/8),2)</f>
        <v>0</v>
      </c>
      <c r="E24" s="12" t="n">
        <f aca="false">MOD(INT($A24/4),2)</f>
        <v>0</v>
      </c>
      <c r="F24" s="12" t="n">
        <f aca="false">MOD(INT($A24/2),2)</f>
        <v>1</v>
      </c>
      <c r="G24" s="12" t="n">
        <f aca="false">MOD(INT($A24/1),2)</f>
        <v>0</v>
      </c>
      <c r="H24" s="12" t="n">
        <f aca="false">SUM(B24:G24)</f>
        <v>2</v>
      </c>
      <c r="I24" s="12" t="n">
        <f aca="false">IF(H24=0,0,VALUE(IF(B24=1,"1","")&amp;IF(C24=1,"2","")&amp;IF(D24=1,"3","")&amp;IF(E24=1,"4","")&amp;IF(F24=1,"5","")&amp;IF(G24=1,"6","")))</f>
        <v>25</v>
      </c>
      <c r="J24" s="14" t="n">
        <f aca="false">IF(B24=1,Eff_0+Gap_closed*(Eff_ceiling-Eff_0),Eff_0)</f>
        <v>71</v>
      </c>
      <c r="K24" s="14" t="n">
        <f aca="false">IF(C24=1,J24+Gap_closed*(Eff_ceiling-J24),J24)</f>
        <v>78</v>
      </c>
      <c r="L24" s="14" t="n">
        <f aca="false">IF(D24=1,K24+Gap_closed*(Eff_ceiling-K24),K24)</f>
        <v>78</v>
      </c>
      <c r="M24" s="14" t="n">
        <f aca="false">IF(E24=1,L24+Gap_closed*(Eff_ceiling-L24),L24)</f>
        <v>78</v>
      </c>
      <c r="N24" s="14" t="n">
        <f aca="false">IF(F24=1,M24+Gap_closed*(Eff_ceiling-M24),M24)</f>
        <v>81.5</v>
      </c>
      <c r="O24" s="14" t="n">
        <f aca="false">IF(G24=1,N24+Gap_closed*(Eff_ceiling-N24),N24)</f>
        <v>81.5</v>
      </c>
      <c r="P24" s="14" t="n">
        <f aca="false">Sav_point*(J24-Eff_0)</f>
        <v>0</v>
      </c>
      <c r="Q24" s="14" t="n">
        <f aca="false">Sav_point*(K24-Eff_0)</f>
        <v>70</v>
      </c>
      <c r="R24" s="14" t="n">
        <f aca="false">Sav_point*(L24-Eff_0)</f>
        <v>70</v>
      </c>
      <c r="S24" s="14" t="n">
        <f aca="false">Sav_point*(M24-Eff_0)</f>
        <v>70</v>
      </c>
      <c r="T24" s="14" t="n">
        <f aca="false">Sav_point*(N24-Eff_0)</f>
        <v>105</v>
      </c>
      <c r="U24" s="14" t="n">
        <f aca="false">Sav_point*(O24-Eff_0)</f>
        <v>105</v>
      </c>
      <c r="V24" s="14" t="n">
        <f aca="false">SUM(P24:U24)</f>
        <v>420</v>
      </c>
      <c r="W24" s="12" t="n">
        <f aca="false">IF(AND(H24&gt;0,Cap_0&lt;Cap_min),0,1)</f>
        <v>1</v>
      </c>
      <c r="X24" s="16" t="n">
        <f aca="false">Liq_0-Round_cost*B24+1*P24</f>
        <v>620</v>
      </c>
      <c r="Y24" s="16" t="n">
        <f aca="false">X24-Round_cost*C24+1*Q24</f>
        <v>570</v>
      </c>
      <c r="Z24" s="16" t="n">
        <f aca="false">Y24-Round_cost*D24+1*R24</f>
        <v>640</v>
      </c>
      <c r="AA24" s="16" t="n">
        <f aca="false">Z24-Round_cost*E24+1*S24</f>
        <v>710</v>
      </c>
      <c r="AB24" s="16" t="n">
        <f aca="false">AA24-Round_cost*F24+1*T24</f>
        <v>695</v>
      </c>
      <c r="AC24" s="16" t="n">
        <f aca="false">AB24-Round_cost*G24+1*U24</f>
        <v>800</v>
      </c>
      <c r="AD24" s="19" t="n">
        <f aca="false">IF(B24=1,Liq_0-Round_cost,1000000000)</f>
        <v>1000000000</v>
      </c>
      <c r="AE24" s="19" t="n">
        <f aca="false">IF(C24=1,X24-Round_cost,1000000000)</f>
        <v>500</v>
      </c>
      <c r="AF24" s="19" t="n">
        <f aca="false">IF(D24=1,Y24-Round_cost,1000000000)</f>
        <v>1000000000</v>
      </c>
      <c r="AG24" s="19" t="n">
        <f aca="false">IF(E24=1,Z24-Round_cost,1000000000)</f>
        <v>1000000000</v>
      </c>
      <c r="AH24" s="19" t="n">
        <f aca="false">IF(F24=1,AA24-Round_cost,1000000000)</f>
        <v>590</v>
      </c>
      <c r="AI24" s="19" t="n">
        <f aca="false">IF(G24=1,AB24-Round_cost,1000000000)</f>
        <v>1000000000</v>
      </c>
      <c r="AJ24" s="12" t="n">
        <f aca="false">IF(AND(MIN(X24:AC24)&gt;=Floor_liq-0.000000001,MIN(AD24:AI24)&gt;=Floor_liq-0.000000001),1,0)</f>
        <v>1</v>
      </c>
      <c r="AK24" s="12" t="n">
        <f aca="false">IF(AC24&gt;=End_liq-0.000000001,1,0)</f>
        <v>1</v>
      </c>
      <c r="AL24" s="12" t="n">
        <f aca="false">AJ24*AK24*W24</f>
        <v>1</v>
      </c>
      <c r="AM24" s="16" t="n">
        <f aca="false">Liq_0-Round_cost*B24+(1-Pledge_share)*P24</f>
        <v>620</v>
      </c>
      <c r="AN24" s="16" t="n">
        <f aca="false">AM24-Round_cost*C24+(1-Pledge_share)*Q24</f>
        <v>535</v>
      </c>
      <c r="AO24" s="16" t="n">
        <f aca="false">AN24-Round_cost*D24+(1-Pledge_share)*R24</f>
        <v>570</v>
      </c>
      <c r="AP24" s="16" t="n">
        <f aca="false">AO24-Round_cost*E24+(1-Pledge_share)*S24</f>
        <v>605</v>
      </c>
      <c r="AQ24" s="16" t="n">
        <f aca="false">AP24-Round_cost*F24+(1-Pledge_share)*T24</f>
        <v>537.5</v>
      </c>
      <c r="AR24" s="16" t="n">
        <f aca="false">AQ24-Round_cost*G24+(1-Pledge_share)*U24</f>
        <v>590</v>
      </c>
      <c r="AS24" s="19" t="n">
        <f aca="false">IF(B24=1,Liq_0-Round_cost,1000000000)</f>
        <v>1000000000</v>
      </c>
      <c r="AT24" s="19" t="n">
        <f aca="false">IF(C24=1,AM24-Round_cost,1000000000)</f>
        <v>500</v>
      </c>
      <c r="AU24" s="19" t="n">
        <f aca="false">IF(D24=1,AN24-Round_cost,1000000000)</f>
        <v>1000000000</v>
      </c>
      <c r="AV24" s="19" t="n">
        <f aca="false">IF(E24=1,AO24-Round_cost,1000000000)</f>
        <v>1000000000</v>
      </c>
      <c r="AW24" s="19" t="n">
        <f aca="false">IF(F24=1,AP24-Round_cost,1000000000)</f>
        <v>485</v>
      </c>
      <c r="AX24" s="19" t="n">
        <f aca="false">IF(G24=1,AQ24-Round_cost,1000000000)</f>
        <v>1000000000</v>
      </c>
      <c r="AY24" s="12" t="n">
        <f aca="false">IF(AND(MIN(AM24:AR24)&gt;=Floor_liq-0.000000001,MIN(AS24:AX24)&gt;=Floor_liq-0.000000001),1,0)</f>
        <v>1</v>
      </c>
      <c r="AZ24" s="12" t="n">
        <f aca="false">IF(AR24&gt;=End_liq-0.000000001,1,0)</f>
        <v>1</v>
      </c>
      <c r="BA24" s="12" t="n">
        <f aca="false">AY24*AZ24*W24</f>
        <v>1</v>
      </c>
      <c r="BB24" s="16" t="n">
        <f aca="false">Pledge_share*V24</f>
        <v>210</v>
      </c>
      <c r="BC24" s="16" t="n">
        <f aca="false">IF(BA24=1,H24*10000+BB24,-1)</f>
        <v>20210</v>
      </c>
      <c r="BD24" s="14" t="n">
        <f aca="false">U24</f>
        <v>105</v>
      </c>
      <c r="BE24" s="16" t="n">
        <f aca="false">AC24</f>
        <v>800</v>
      </c>
      <c r="BF24" s="16" t="n">
        <f aca="false">IF(AL24=1,AC24-End_liq,-1000000000)</f>
        <v>330</v>
      </c>
      <c r="BG24" s="16" t="n">
        <f aca="false">IF(AL24=1,BF24+BG$4*BD24,-1000000000)</f>
        <v>330</v>
      </c>
      <c r="BH24" s="16" t="n">
        <f aca="false">IF(AL24=1,BF24+BH$4*BD24,-1000000000)</f>
        <v>855</v>
      </c>
      <c r="BI24" s="16" t="n">
        <f aca="false">IF(AL24=1,BF24+BI$4*BD24,-1000000000)</f>
        <v>1380</v>
      </c>
      <c r="BJ24" s="16" t="n">
        <f aca="false">IF(AL24=1,BF24+BJ$4*BD24,-1000000000)</f>
        <v>2430</v>
      </c>
      <c r="BK24" s="16" t="n">
        <f aca="false">IF(AL24=1,BF24+BK$4*BD24,-1000000000)</f>
        <v>4530</v>
      </c>
      <c r="BL24" s="16" t="n">
        <f aca="false">IF(AL24=1,BF24+BL$4*BD24,-1000000000)</f>
        <v>6630</v>
      </c>
      <c r="BM24" s="12" t="n">
        <f aca="false">IF(H24=0,1,IF(I24=VALUE(LEFT("123456",H24)),1,0))</f>
        <v>0</v>
      </c>
      <c r="BN24" s="12" t="n">
        <f aca="false">IF(BG24&gt;0,1000*BG24,-1000000000000)</f>
        <v>330000</v>
      </c>
      <c r="BO24" s="16" t="n">
        <f aca="false">IF(BG24&gt;0,BG24+100,-1000000000)</f>
        <v>430</v>
      </c>
      <c r="BP24" s="20" t="n">
        <f aca="false">IF(BG24&gt;0,LN(BG24),-1000000000)</f>
        <v>5.79909265446053</v>
      </c>
    </row>
    <row r="25" customFormat="false" ht="15" hidden="false" customHeight="false" outlineLevel="0" collapsed="false">
      <c r="A25" s="12" t="n">
        <v>19</v>
      </c>
      <c r="B25" s="12" t="n">
        <f aca="false">MOD(INT($A25/32),2)</f>
        <v>0</v>
      </c>
      <c r="C25" s="12" t="n">
        <f aca="false">MOD(INT($A25/16),2)</f>
        <v>1</v>
      </c>
      <c r="D25" s="12" t="n">
        <f aca="false">MOD(INT($A25/8),2)</f>
        <v>0</v>
      </c>
      <c r="E25" s="12" t="n">
        <f aca="false">MOD(INT($A25/4),2)</f>
        <v>0</v>
      </c>
      <c r="F25" s="12" t="n">
        <f aca="false">MOD(INT($A25/2),2)</f>
        <v>1</v>
      </c>
      <c r="G25" s="12" t="n">
        <f aca="false">MOD(INT($A25/1),2)</f>
        <v>1</v>
      </c>
      <c r="H25" s="12" t="n">
        <f aca="false">SUM(B25:G25)</f>
        <v>3</v>
      </c>
      <c r="I25" s="12" t="n">
        <f aca="false">IF(H25=0,0,VALUE(IF(B25=1,"1","")&amp;IF(C25=1,"2","")&amp;IF(D25=1,"3","")&amp;IF(E25=1,"4","")&amp;IF(F25=1,"5","")&amp;IF(G25=1,"6","")))</f>
        <v>256</v>
      </c>
      <c r="J25" s="14" t="n">
        <f aca="false">IF(B25=1,Eff_0+Gap_closed*(Eff_ceiling-Eff_0),Eff_0)</f>
        <v>71</v>
      </c>
      <c r="K25" s="14" t="n">
        <f aca="false">IF(C25=1,J25+Gap_closed*(Eff_ceiling-J25),J25)</f>
        <v>78</v>
      </c>
      <c r="L25" s="14" t="n">
        <f aca="false">IF(D25=1,K25+Gap_closed*(Eff_ceiling-K25),K25)</f>
        <v>78</v>
      </c>
      <c r="M25" s="14" t="n">
        <f aca="false">IF(E25=1,L25+Gap_closed*(Eff_ceiling-L25),L25)</f>
        <v>78</v>
      </c>
      <c r="N25" s="14" t="n">
        <f aca="false">IF(F25=1,M25+Gap_closed*(Eff_ceiling-M25),M25)</f>
        <v>81.5</v>
      </c>
      <c r="O25" s="14" t="n">
        <f aca="false">IF(G25=1,N25+Gap_closed*(Eff_ceiling-N25),N25)</f>
        <v>83.25</v>
      </c>
      <c r="P25" s="14" t="n">
        <f aca="false">Sav_point*(J25-Eff_0)</f>
        <v>0</v>
      </c>
      <c r="Q25" s="14" t="n">
        <f aca="false">Sav_point*(K25-Eff_0)</f>
        <v>70</v>
      </c>
      <c r="R25" s="14" t="n">
        <f aca="false">Sav_point*(L25-Eff_0)</f>
        <v>70</v>
      </c>
      <c r="S25" s="14" t="n">
        <f aca="false">Sav_point*(M25-Eff_0)</f>
        <v>70</v>
      </c>
      <c r="T25" s="14" t="n">
        <f aca="false">Sav_point*(N25-Eff_0)</f>
        <v>105</v>
      </c>
      <c r="U25" s="14" t="n">
        <f aca="false">Sav_point*(O25-Eff_0)</f>
        <v>122.5</v>
      </c>
      <c r="V25" s="14" t="n">
        <f aca="false">SUM(P25:U25)</f>
        <v>437.5</v>
      </c>
      <c r="W25" s="12" t="n">
        <f aca="false">IF(AND(H25&gt;0,Cap_0&lt;Cap_min),0,1)</f>
        <v>1</v>
      </c>
      <c r="X25" s="16" t="n">
        <f aca="false">Liq_0-Round_cost*B25+1*P25</f>
        <v>620</v>
      </c>
      <c r="Y25" s="16" t="n">
        <f aca="false">X25-Round_cost*C25+1*Q25</f>
        <v>570</v>
      </c>
      <c r="Z25" s="16" t="n">
        <f aca="false">Y25-Round_cost*D25+1*R25</f>
        <v>640</v>
      </c>
      <c r="AA25" s="16" t="n">
        <f aca="false">Z25-Round_cost*E25+1*S25</f>
        <v>710</v>
      </c>
      <c r="AB25" s="16" t="n">
        <f aca="false">AA25-Round_cost*F25+1*T25</f>
        <v>695</v>
      </c>
      <c r="AC25" s="16" t="n">
        <f aca="false">AB25-Round_cost*G25+1*U25</f>
        <v>697.5</v>
      </c>
      <c r="AD25" s="19" t="n">
        <f aca="false">IF(B25=1,Liq_0-Round_cost,1000000000)</f>
        <v>1000000000</v>
      </c>
      <c r="AE25" s="19" t="n">
        <f aca="false">IF(C25=1,X25-Round_cost,1000000000)</f>
        <v>500</v>
      </c>
      <c r="AF25" s="19" t="n">
        <f aca="false">IF(D25=1,Y25-Round_cost,1000000000)</f>
        <v>1000000000</v>
      </c>
      <c r="AG25" s="19" t="n">
        <f aca="false">IF(E25=1,Z25-Round_cost,1000000000)</f>
        <v>1000000000</v>
      </c>
      <c r="AH25" s="19" t="n">
        <f aca="false">IF(F25=1,AA25-Round_cost,1000000000)</f>
        <v>590</v>
      </c>
      <c r="AI25" s="19" t="n">
        <f aca="false">IF(G25=1,AB25-Round_cost,1000000000)</f>
        <v>575</v>
      </c>
      <c r="AJ25" s="12" t="n">
        <f aca="false">IF(AND(MIN(X25:AC25)&gt;=Floor_liq-0.000000001,MIN(AD25:AI25)&gt;=Floor_liq-0.000000001),1,0)</f>
        <v>1</v>
      </c>
      <c r="AK25" s="12" t="n">
        <f aca="false">IF(AC25&gt;=End_liq-0.000000001,1,0)</f>
        <v>1</v>
      </c>
      <c r="AL25" s="12" t="n">
        <f aca="false">AJ25*AK25*W25</f>
        <v>1</v>
      </c>
      <c r="AM25" s="16" t="n">
        <f aca="false">Liq_0-Round_cost*B25+(1-Pledge_share)*P25</f>
        <v>620</v>
      </c>
      <c r="AN25" s="16" t="n">
        <f aca="false">AM25-Round_cost*C25+(1-Pledge_share)*Q25</f>
        <v>535</v>
      </c>
      <c r="AO25" s="16" t="n">
        <f aca="false">AN25-Round_cost*D25+(1-Pledge_share)*R25</f>
        <v>570</v>
      </c>
      <c r="AP25" s="16" t="n">
        <f aca="false">AO25-Round_cost*E25+(1-Pledge_share)*S25</f>
        <v>605</v>
      </c>
      <c r="AQ25" s="16" t="n">
        <f aca="false">AP25-Round_cost*F25+(1-Pledge_share)*T25</f>
        <v>537.5</v>
      </c>
      <c r="AR25" s="16" t="n">
        <f aca="false">AQ25-Round_cost*G25+(1-Pledge_share)*U25</f>
        <v>478.75</v>
      </c>
      <c r="AS25" s="19" t="n">
        <f aca="false">IF(B25=1,Liq_0-Round_cost,1000000000)</f>
        <v>1000000000</v>
      </c>
      <c r="AT25" s="19" t="n">
        <f aca="false">IF(C25=1,AM25-Round_cost,1000000000)</f>
        <v>500</v>
      </c>
      <c r="AU25" s="19" t="n">
        <f aca="false">IF(D25=1,AN25-Round_cost,1000000000)</f>
        <v>1000000000</v>
      </c>
      <c r="AV25" s="19" t="n">
        <f aca="false">IF(E25=1,AO25-Round_cost,1000000000)</f>
        <v>1000000000</v>
      </c>
      <c r="AW25" s="19" t="n">
        <f aca="false">IF(F25=1,AP25-Round_cost,1000000000)</f>
        <v>485</v>
      </c>
      <c r="AX25" s="19" t="n">
        <f aca="false">IF(G25=1,AQ25-Round_cost,1000000000)</f>
        <v>417.5</v>
      </c>
      <c r="AY25" s="12" t="n">
        <f aca="false">IF(AND(MIN(AM25:AR25)&gt;=Floor_liq-0.000000001,MIN(AS25:AX25)&gt;=Floor_liq-0.000000001),1,0)</f>
        <v>1</v>
      </c>
      <c r="AZ25" s="12" t="n">
        <f aca="false">IF(AR25&gt;=End_liq-0.000000001,1,0)</f>
        <v>1</v>
      </c>
      <c r="BA25" s="12" t="n">
        <f aca="false">AY25*AZ25*W25</f>
        <v>1</v>
      </c>
      <c r="BB25" s="16" t="n">
        <f aca="false">Pledge_share*V25</f>
        <v>218.75</v>
      </c>
      <c r="BC25" s="16" t="n">
        <f aca="false">IF(BA25=1,H25*10000+BB25,-1)</f>
        <v>30218.75</v>
      </c>
      <c r="BD25" s="14" t="n">
        <f aca="false">U25</f>
        <v>122.5</v>
      </c>
      <c r="BE25" s="16" t="n">
        <f aca="false">AC25</f>
        <v>697.5</v>
      </c>
      <c r="BF25" s="16" t="n">
        <f aca="false">IF(AL25=1,AC25-End_liq,-1000000000)</f>
        <v>227.5</v>
      </c>
      <c r="BG25" s="16" t="n">
        <f aca="false">IF(AL25=1,BF25+BG$4*BD25,-1000000000)</f>
        <v>227.5</v>
      </c>
      <c r="BH25" s="16" t="n">
        <f aca="false">IF(AL25=1,BF25+BH$4*BD25,-1000000000)</f>
        <v>840</v>
      </c>
      <c r="BI25" s="16" t="n">
        <f aca="false">IF(AL25=1,BF25+BI$4*BD25,-1000000000)</f>
        <v>1452.5</v>
      </c>
      <c r="BJ25" s="16" t="n">
        <f aca="false">IF(AL25=1,BF25+BJ$4*BD25,-1000000000)</f>
        <v>2677.5</v>
      </c>
      <c r="BK25" s="16" t="n">
        <f aca="false">IF(AL25=1,BF25+BK$4*BD25,-1000000000)</f>
        <v>5127.5</v>
      </c>
      <c r="BL25" s="16" t="n">
        <f aca="false">IF(AL25=1,BF25+BL$4*BD25,-1000000000)</f>
        <v>7577.5</v>
      </c>
      <c r="BM25" s="12" t="n">
        <f aca="false">IF(H25=0,1,IF(I25=VALUE(LEFT("123456",H25)),1,0))</f>
        <v>0</v>
      </c>
      <c r="BN25" s="12" t="n">
        <f aca="false">IF(BG25&gt;0,1000*BG25,-1000000000000)</f>
        <v>227500</v>
      </c>
      <c r="BO25" s="16" t="n">
        <f aca="false">IF(BG25&gt;0,BG25+100,-1000000000)</f>
        <v>327.5</v>
      </c>
      <c r="BP25" s="20" t="n">
        <f aca="false">IF(BG25&gt;0,LN(BG25),-1000000000)</f>
        <v>5.42715023839101</v>
      </c>
    </row>
    <row r="26" customFormat="false" ht="15" hidden="false" customHeight="false" outlineLevel="0" collapsed="false">
      <c r="A26" s="12" t="n">
        <v>20</v>
      </c>
      <c r="B26" s="12" t="n">
        <f aca="false">MOD(INT($A26/32),2)</f>
        <v>0</v>
      </c>
      <c r="C26" s="12" t="n">
        <f aca="false">MOD(INT($A26/16),2)</f>
        <v>1</v>
      </c>
      <c r="D26" s="12" t="n">
        <f aca="false">MOD(INT($A26/8),2)</f>
        <v>0</v>
      </c>
      <c r="E26" s="12" t="n">
        <f aca="false">MOD(INT($A26/4),2)</f>
        <v>1</v>
      </c>
      <c r="F26" s="12" t="n">
        <f aca="false">MOD(INT($A26/2),2)</f>
        <v>0</v>
      </c>
      <c r="G26" s="12" t="n">
        <f aca="false">MOD(INT($A26/1),2)</f>
        <v>0</v>
      </c>
      <c r="H26" s="12" t="n">
        <f aca="false">SUM(B26:G26)</f>
        <v>2</v>
      </c>
      <c r="I26" s="12" t="n">
        <f aca="false">IF(H26=0,0,VALUE(IF(B26=1,"1","")&amp;IF(C26=1,"2","")&amp;IF(D26=1,"3","")&amp;IF(E26=1,"4","")&amp;IF(F26=1,"5","")&amp;IF(G26=1,"6","")))</f>
        <v>24</v>
      </c>
      <c r="J26" s="14" t="n">
        <f aca="false">IF(B26=1,Eff_0+Gap_closed*(Eff_ceiling-Eff_0),Eff_0)</f>
        <v>71</v>
      </c>
      <c r="K26" s="14" t="n">
        <f aca="false">IF(C26=1,J26+Gap_closed*(Eff_ceiling-J26),J26)</f>
        <v>78</v>
      </c>
      <c r="L26" s="14" t="n">
        <f aca="false">IF(D26=1,K26+Gap_closed*(Eff_ceiling-K26),K26)</f>
        <v>78</v>
      </c>
      <c r="M26" s="14" t="n">
        <f aca="false">IF(E26=1,L26+Gap_closed*(Eff_ceiling-L26),L26)</f>
        <v>81.5</v>
      </c>
      <c r="N26" s="14" t="n">
        <f aca="false">IF(F26=1,M26+Gap_closed*(Eff_ceiling-M26),M26)</f>
        <v>81.5</v>
      </c>
      <c r="O26" s="14" t="n">
        <f aca="false">IF(G26=1,N26+Gap_closed*(Eff_ceiling-N26),N26)</f>
        <v>81.5</v>
      </c>
      <c r="P26" s="14" t="n">
        <f aca="false">Sav_point*(J26-Eff_0)</f>
        <v>0</v>
      </c>
      <c r="Q26" s="14" t="n">
        <f aca="false">Sav_point*(K26-Eff_0)</f>
        <v>70</v>
      </c>
      <c r="R26" s="14" t="n">
        <f aca="false">Sav_point*(L26-Eff_0)</f>
        <v>70</v>
      </c>
      <c r="S26" s="14" t="n">
        <f aca="false">Sav_point*(M26-Eff_0)</f>
        <v>105</v>
      </c>
      <c r="T26" s="14" t="n">
        <f aca="false">Sav_point*(N26-Eff_0)</f>
        <v>105</v>
      </c>
      <c r="U26" s="14" t="n">
        <f aca="false">Sav_point*(O26-Eff_0)</f>
        <v>105</v>
      </c>
      <c r="V26" s="14" t="n">
        <f aca="false">SUM(P26:U26)</f>
        <v>455</v>
      </c>
      <c r="W26" s="12" t="n">
        <f aca="false">IF(AND(H26&gt;0,Cap_0&lt;Cap_min),0,1)</f>
        <v>1</v>
      </c>
      <c r="X26" s="16" t="n">
        <f aca="false">Liq_0-Round_cost*B26+1*P26</f>
        <v>620</v>
      </c>
      <c r="Y26" s="16" t="n">
        <f aca="false">X26-Round_cost*C26+1*Q26</f>
        <v>570</v>
      </c>
      <c r="Z26" s="16" t="n">
        <f aca="false">Y26-Round_cost*D26+1*R26</f>
        <v>640</v>
      </c>
      <c r="AA26" s="16" t="n">
        <f aca="false">Z26-Round_cost*E26+1*S26</f>
        <v>625</v>
      </c>
      <c r="AB26" s="16" t="n">
        <f aca="false">AA26-Round_cost*F26+1*T26</f>
        <v>730</v>
      </c>
      <c r="AC26" s="16" t="n">
        <f aca="false">AB26-Round_cost*G26+1*U26</f>
        <v>835</v>
      </c>
      <c r="AD26" s="19" t="n">
        <f aca="false">IF(B26=1,Liq_0-Round_cost,1000000000)</f>
        <v>1000000000</v>
      </c>
      <c r="AE26" s="19" t="n">
        <f aca="false">IF(C26=1,X26-Round_cost,1000000000)</f>
        <v>500</v>
      </c>
      <c r="AF26" s="19" t="n">
        <f aca="false">IF(D26=1,Y26-Round_cost,1000000000)</f>
        <v>1000000000</v>
      </c>
      <c r="AG26" s="19" t="n">
        <f aca="false">IF(E26=1,Z26-Round_cost,1000000000)</f>
        <v>520</v>
      </c>
      <c r="AH26" s="19" t="n">
        <f aca="false">IF(F26=1,AA26-Round_cost,1000000000)</f>
        <v>1000000000</v>
      </c>
      <c r="AI26" s="19" t="n">
        <f aca="false">IF(G26=1,AB26-Round_cost,1000000000)</f>
        <v>1000000000</v>
      </c>
      <c r="AJ26" s="12" t="n">
        <f aca="false">IF(AND(MIN(X26:AC26)&gt;=Floor_liq-0.000000001,MIN(AD26:AI26)&gt;=Floor_liq-0.000000001),1,0)</f>
        <v>1</v>
      </c>
      <c r="AK26" s="12" t="n">
        <f aca="false">IF(AC26&gt;=End_liq-0.000000001,1,0)</f>
        <v>1</v>
      </c>
      <c r="AL26" s="12" t="n">
        <f aca="false">AJ26*AK26*W26</f>
        <v>1</v>
      </c>
      <c r="AM26" s="16" t="n">
        <f aca="false">Liq_0-Round_cost*B26+(1-Pledge_share)*P26</f>
        <v>620</v>
      </c>
      <c r="AN26" s="16" t="n">
        <f aca="false">AM26-Round_cost*C26+(1-Pledge_share)*Q26</f>
        <v>535</v>
      </c>
      <c r="AO26" s="16" t="n">
        <f aca="false">AN26-Round_cost*D26+(1-Pledge_share)*R26</f>
        <v>570</v>
      </c>
      <c r="AP26" s="16" t="n">
        <f aca="false">AO26-Round_cost*E26+(1-Pledge_share)*S26</f>
        <v>502.5</v>
      </c>
      <c r="AQ26" s="16" t="n">
        <f aca="false">AP26-Round_cost*F26+(1-Pledge_share)*T26</f>
        <v>555</v>
      </c>
      <c r="AR26" s="16" t="n">
        <f aca="false">AQ26-Round_cost*G26+(1-Pledge_share)*U26</f>
        <v>607.5</v>
      </c>
      <c r="AS26" s="19" t="n">
        <f aca="false">IF(B26=1,Liq_0-Round_cost,1000000000)</f>
        <v>1000000000</v>
      </c>
      <c r="AT26" s="19" t="n">
        <f aca="false">IF(C26=1,AM26-Round_cost,1000000000)</f>
        <v>500</v>
      </c>
      <c r="AU26" s="19" t="n">
        <f aca="false">IF(D26=1,AN26-Round_cost,1000000000)</f>
        <v>1000000000</v>
      </c>
      <c r="AV26" s="19" t="n">
        <f aca="false">IF(E26=1,AO26-Round_cost,1000000000)</f>
        <v>450</v>
      </c>
      <c r="AW26" s="19" t="n">
        <f aca="false">IF(F26=1,AP26-Round_cost,1000000000)</f>
        <v>1000000000</v>
      </c>
      <c r="AX26" s="19" t="n">
        <f aca="false">IF(G26=1,AQ26-Round_cost,1000000000)</f>
        <v>1000000000</v>
      </c>
      <c r="AY26" s="12" t="n">
        <f aca="false">IF(AND(MIN(AM26:AR26)&gt;=Floor_liq-0.000000001,MIN(AS26:AX26)&gt;=Floor_liq-0.000000001),1,0)</f>
        <v>1</v>
      </c>
      <c r="AZ26" s="12" t="n">
        <f aca="false">IF(AR26&gt;=End_liq-0.000000001,1,0)</f>
        <v>1</v>
      </c>
      <c r="BA26" s="12" t="n">
        <f aca="false">AY26*AZ26*W26</f>
        <v>1</v>
      </c>
      <c r="BB26" s="16" t="n">
        <f aca="false">Pledge_share*V26</f>
        <v>227.5</v>
      </c>
      <c r="BC26" s="16" t="n">
        <f aca="false">IF(BA26=1,H26*10000+BB26,-1)</f>
        <v>20227.5</v>
      </c>
      <c r="BD26" s="14" t="n">
        <f aca="false">U26</f>
        <v>105</v>
      </c>
      <c r="BE26" s="16" t="n">
        <f aca="false">AC26</f>
        <v>835</v>
      </c>
      <c r="BF26" s="16" t="n">
        <f aca="false">IF(AL26=1,AC26-End_liq,-1000000000)</f>
        <v>365</v>
      </c>
      <c r="BG26" s="16" t="n">
        <f aca="false">IF(AL26=1,BF26+BG$4*BD26,-1000000000)</f>
        <v>365</v>
      </c>
      <c r="BH26" s="16" t="n">
        <f aca="false">IF(AL26=1,BF26+BH$4*BD26,-1000000000)</f>
        <v>890</v>
      </c>
      <c r="BI26" s="16" t="n">
        <f aca="false">IF(AL26=1,BF26+BI$4*BD26,-1000000000)</f>
        <v>1415</v>
      </c>
      <c r="BJ26" s="16" t="n">
        <f aca="false">IF(AL26=1,BF26+BJ$4*BD26,-1000000000)</f>
        <v>2465</v>
      </c>
      <c r="BK26" s="16" t="n">
        <f aca="false">IF(AL26=1,BF26+BK$4*BD26,-1000000000)</f>
        <v>4565</v>
      </c>
      <c r="BL26" s="16" t="n">
        <f aca="false">IF(AL26=1,BF26+BL$4*BD26,-1000000000)</f>
        <v>6665</v>
      </c>
      <c r="BM26" s="12" t="n">
        <f aca="false">IF(H26=0,1,IF(I26=VALUE(LEFT("123456",H26)),1,0))</f>
        <v>0</v>
      </c>
      <c r="BN26" s="12" t="n">
        <f aca="false">IF(BG26&gt;0,1000*BG26,-1000000000000)</f>
        <v>365000</v>
      </c>
      <c r="BO26" s="16" t="n">
        <f aca="false">IF(BG26&gt;0,BG26+100,-1000000000)</f>
        <v>465</v>
      </c>
      <c r="BP26" s="20" t="n">
        <f aca="false">IF(BG26&gt;0,LN(BG26),-1000000000)</f>
        <v>5.89989735358249</v>
      </c>
    </row>
    <row r="27" customFormat="false" ht="15" hidden="false" customHeight="false" outlineLevel="0" collapsed="false">
      <c r="A27" s="12" t="n">
        <v>21</v>
      </c>
      <c r="B27" s="12" t="n">
        <f aca="false">MOD(INT($A27/32),2)</f>
        <v>0</v>
      </c>
      <c r="C27" s="12" t="n">
        <f aca="false">MOD(INT($A27/16),2)</f>
        <v>1</v>
      </c>
      <c r="D27" s="12" t="n">
        <f aca="false">MOD(INT($A27/8),2)</f>
        <v>0</v>
      </c>
      <c r="E27" s="12" t="n">
        <f aca="false">MOD(INT($A27/4),2)</f>
        <v>1</v>
      </c>
      <c r="F27" s="12" t="n">
        <f aca="false">MOD(INT($A27/2),2)</f>
        <v>0</v>
      </c>
      <c r="G27" s="12" t="n">
        <f aca="false">MOD(INT($A27/1),2)</f>
        <v>1</v>
      </c>
      <c r="H27" s="12" t="n">
        <f aca="false">SUM(B27:G27)</f>
        <v>3</v>
      </c>
      <c r="I27" s="12" t="n">
        <f aca="false">IF(H27=0,0,VALUE(IF(B27=1,"1","")&amp;IF(C27=1,"2","")&amp;IF(D27=1,"3","")&amp;IF(E27=1,"4","")&amp;IF(F27=1,"5","")&amp;IF(G27=1,"6","")))</f>
        <v>246</v>
      </c>
      <c r="J27" s="14" t="n">
        <f aca="false">IF(B27=1,Eff_0+Gap_closed*(Eff_ceiling-Eff_0),Eff_0)</f>
        <v>71</v>
      </c>
      <c r="K27" s="14" t="n">
        <f aca="false">IF(C27=1,J27+Gap_closed*(Eff_ceiling-J27),J27)</f>
        <v>78</v>
      </c>
      <c r="L27" s="14" t="n">
        <f aca="false">IF(D27=1,K27+Gap_closed*(Eff_ceiling-K27),K27)</f>
        <v>78</v>
      </c>
      <c r="M27" s="14" t="n">
        <f aca="false">IF(E27=1,L27+Gap_closed*(Eff_ceiling-L27),L27)</f>
        <v>81.5</v>
      </c>
      <c r="N27" s="14" t="n">
        <f aca="false">IF(F27=1,M27+Gap_closed*(Eff_ceiling-M27),M27)</f>
        <v>81.5</v>
      </c>
      <c r="O27" s="14" t="n">
        <f aca="false">IF(G27=1,N27+Gap_closed*(Eff_ceiling-N27),N27)</f>
        <v>83.25</v>
      </c>
      <c r="P27" s="14" t="n">
        <f aca="false">Sav_point*(J27-Eff_0)</f>
        <v>0</v>
      </c>
      <c r="Q27" s="14" t="n">
        <f aca="false">Sav_point*(K27-Eff_0)</f>
        <v>70</v>
      </c>
      <c r="R27" s="14" t="n">
        <f aca="false">Sav_point*(L27-Eff_0)</f>
        <v>70</v>
      </c>
      <c r="S27" s="14" t="n">
        <f aca="false">Sav_point*(M27-Eff_0)</f>
        <v>105</v>
      </c>
      <c r="T27" s="14" t="n">
        <f aca="false">Sav_point*(N27-Eff_0)</f>
        <v>105</v>
      </c>
      <c r="U27" s="14" t="n">
        <f aca="false">Sav_point*(O27-Eff_0)</f>
        <v>122.5</v>
      </c>
      <c r="V27" s="14" t="n">
        <f aca="false">SUM(P27:U27)</f>
        <v>472.5</v>
      </c>
      <c r="W27" s="12" t="n">
        <f aca="false">IF(AND(H27&gt;0,Cap_0&lt;Cap_min),0,1)</f>
        <v>1</v>
      </c>
      <c r="X27" s="16" t="n">
        <f aca="false">Liq_0-Round_cost*B27+1*P27</f>
        <v>620</v>
      </c>
      <c r="Y27" s="16" t="n">
        <f aca="false">X27-Round_cost*C27+1*Q27</f>
        <v>570</v>
      </c>
      <c r="Z27" s="16" t="n">
        <f aca="false">Y27-Round_cost*D27+1*R27</f>
        <v>640</v>
      </c>
      <c r="AA27" s="16" t="n">
        <f aca="false">Z27-Round_cost*E27+1*S27</f>
        <v>625</v>
      </c>
      <c r="AB27" s="16" t="n">
        <f aca="false">AA27-Round_cost*F27+1*T27</f>
        <v>730</v>
      </c>
      <c r="AC27" s="16" t="n">
        <f aca="false">AB27-Round_cost*G27+1*U27</f>
        <v>732.5</v>
      </c>
      <c r="AD27" s="19" t="n">
        <f aca="false">IF(B27=1,Liq_0-Round_cost,1000000000)</f>
        <v>1000000000</v>
      </c>
      <c r="AE27" s="19" t="n">
        <f aca="false">IF(C27=1,X27-Round_cost,1000000000)</f>
        <v>500</v>
      </c>
      <c r="AF27" s="19" t="n">
        <f aca="false">IF(D27=1,Y27-Round_cost,1000000000)</f>
        <v>1000000000</v>
      </c>
      <c r="AG27" s="19" t="n">
        <f aca="false">IF(E27=1,Z27-Round_cost,1000000000)</f>
        <v>520</v>
      </c>
      <c r="AH27" s="19" t="n">
        <f aca="false">IF(F27=1,AA27-Round_cost,1000000000)</f>
        <v>1000000000</v>
      </c>
      <c r="AI27" s="19" t="n">
        <f aca="false">IF(G27=1,AB27-Round_cost,1000000000)</f>
        <v>610</v>
      </c>
      <c r="AJ27" s="12" t="n">
        <f aca="false">IF(AND(MIN(X27:AC27)&gt;=Floor_liq-0.000000001,MIN(AD27:AI27)&gt;=Floor_liq-0.000000001),1,0)</f>
        <v>1</v>
      </c>
      <c r="AK27" s="12" t="n">
        <f aca="false">IF(AC27&gt;=End_liq-0.000000001,1,0)</f>
        <v>1</v>
      </c>
      <c r="AL27" s="12" t="n">
        <f aca="false">AJ27*AK27*W27</f>
        <v>1</v>
      </c>
      <c r="AM27" s="16" t="n">
        <f aca="false">Liq_0-Round_cost*B27+(1-Pledge_share)*P27</f>
        <v>620</v>
      </c>
      <c r="AN27" s="16" t="n">
        <f aca="false">AM27-Round_cost*C27+(1-Pledge_share)*Q27</f>
        <v>535</v>
      </c>
      <c r="AO27" s="16" t="n">
        <f aca="false">AN27-Round_cost*D27+(1-Pledge_share)*R27</f>
        <v>570</v>
      </c>
      <c r="AP27" s="16" t="n">
        <f aca="false">AO27-Round_cost*E27+(1-Pledge_share)*S27</f>
        <v>502.5</v>
      </c>
      <c r="AQ27" s="16" t="n">
        <f aca="false">AP27-Round_cost*F27+(1-Pledge_share)*T27</f>
        <v>555</v>
      </c>
      <c r="AR27" s="16" t="n">
        <f aca="false">AQ27-Round_cost*G27+(1-Pledge_share)*U27</f>
        <v>496.25</v>
      </c>
      <c r="AS27" s="19" t="n">
        <f aca="false">IF(B27=1,Liq_0-Round_cost,1000000000)</f>
        <v>1000000000</v>
      </c>
      <c r="AT27" s="19" t="n">
        <f aca="false">IF(C27=1,AM27-Round_cost,1000000000)</f>
        <v>500</v>
      </c>
      <c r="AU27" s="19" t="n">
        <f aca="false">IF(D27=1,AN27-Round_cost,1000000000)</f>
        <v>1000000000</v>
      </c>
      <c r="AV27" s="19" t="n">
        <f aca="false">IF(E27=1,AO27-Round_cost,1000000000)</f>
        <v>450</v>
      </c>
      <c r="AW27" s="19" t="n">
        <f aca="false">IF(F27=1,AP27-Round_cost,1000000000)</f>
        <v>1000000000</v>
      </c>
      <c r="AX27" s="19" t="n">
        <f aca="false">IF(G27=1,AQ27-Round_cost,1000000000)</f>
        <v>435</v>
      </c>
      <c r="AY27" s="12" t="n">
        <f aca="false">IF(AND(MIN(AM27:AR27)&gt;=Floor_liq-0.000000001,MIN(AS27:AX27)&gt;=Floor_liq-0.000000001),1,0)</f>
        <v>1</v>
      </c>
      <c r="AZ27" s="12" t="n">
        <f aca="false">IF(AR27&gt;=End_liq-0.000000001,1,0)</f>
        <v>1</v>
      </c>
      <c r="BA27" s="12" t="n">
        <f aca="false">AY27*AZ27*W27</f>
        <v>1</v>
      </c>
      <c r="BB27" s="16" t="n">
        <f aca="false">Pledge_share*V27</f>
        <v>236.25</v>
      </c>
      <c r="BC27" s="16" t="n">
        <f aca="false">IF(BA27=1,H27*10000+BB27,-1)</f>
        <v>30236.25</v>
      </c>
      <c r="BD27" s="14" t="n">
        <f aca="false">U27</f>
        <v>122.5</v>
      </c>
      <c r="BE27" s="16" t="n">
        <f aca="false">AC27</f>
        <v>732.5</v>
      </c>
      <c r="BF27" s="16" t="n">
        <f aca="false">IF(AL27=1,AC27-End_liq,-1000000000)</f>
        <v>262.5</v>
      </c>
      <c r="BG27" s="16" t="n">
        <f aca="false">IF(AL27=1,BF27+BG$4*BD27,-1000000000)</f>
        <v>262.5</v>
      </c>
      <c r="BH27" s="16" t="n">
        <f aca="false">IF(AL27=1,BF27+BH$4*BD27,-1000000000)</f>
        <v>875</v>
      </c>
      <c r="BI27" s="16" t="n">
        <f aca="false">IF(AL27=1,BF27+BI$4*BD27,-1000000000)</f>
        <v>1487.5</v>
      </c>
      <c r="BJ27" s="16" t="n">
        <f aca="false">IF(AL27=1,BF27+BJ$4*BD27,-1000000000)</f>
        <v>2712.5</v>
      </c>
      <c r="BK27" s="16" t="n">
        <f aca="false">IF(AL27=1,BF27+BK$4*BD27,-1000000000)</f>
        <v>5162.5</v>
      </c>
      <c r="BL27" s="16" t="n">
        <f aca="false">IF(AL27=1,BF27+BL$4*BD27,-1000000000)</f>
        <v>7612.5</v>
      </c>
      <c r="BM27" s="12" t="n">
        <f aca="false">IF(H27=0,1,IF(I27=VALUE(LEFT("123456",H27)),1,0))</f>
        <v>0</v>
      </c>
      <c r="BN27" s="12" t="n">
        <f aca="false">IF(BG27&gt;0,1000*BG27,-1000000000000)</f>
        <v>262500</v>
      </c>
      <c r="BO27" s="16" t="n">
        <f aca="false">IF(BG27&gt;0,BG27+100,-1000000000)</f>
        <v>362.5</v>
      </c>
      <c r="BP27" s="20" t="n">
        <f aca="false">IF(BG27&gt;0,LN(BG27),-1000000000)</f>
        <v>5.57025108203168</v>
      </c>
    </row>
    <row r="28" customFormat="false" ht="15" hidden="false" customHeight="false" outlineLevel="0" collapsed="false">
      <c r="A28" s="12" t="n">
        <v>22</v>
      </c>
      <c r="B28" s="12" t="n">
        <f aca="false">MOD(INT($A28/32),2)</f>
        <v>0</v>
      </c>
      <c r="C28" s="12" t="n">
        <f aca="false">MOD(INT($A28/16),2)</f>
        <v>1</v>
      </c>
      <c r="D28" s="12" t="n">
        <f aca="false">MOD(INT($A28/8),2)</f>
        <v>0</v>
      </c>
      <c r="E28" s="12" t="n">
        <f aca="false">MOD(INT($A28/4),2)</f>
        <v>1</v>
      </c>
      <c r="F28" s="12" t="n">
        <f aca="false">MOD(INT($A28/2),2)</f>
        <v>1</v>
      </c>
      <c r="G28" s="12" t="n">
        <f aca="false">MOD(INT($A28/1),2)</f>
        <v>0</v>
      </c>
      <c r="H28" s="12" t="n">
        <f aca="false">SUM(B28:G28)</f>
        <v>3</v>
      </c>
      <c r="I28" s="12" t="n">
        <f aca="false">IF(H28=0,0,VALUE(IF(B28=1,"1","")&amp;IF(C28=1,"2","")&amp;IF(D28=1,"3","")&amp;IF(E28=1,"4","")&amp;IF(F28=1,"5","")&amp;IF(G28=1,"6","")))</f>
        <v>245</v>
      </c>
      <c r="J28" s="14" t="n">
        <f aca="false">IF(B28=1,Eff_0+Gap_closed*(Eff_ceiling-Eff_0),Eff_0)</f>
        <v>71</v>
      </c>
      <c r="K28" s="14" t="n">
        <f aca="false">IF(C28=1,J28+Gap_closed*(Eff_ceiling-J28),J28)</f>
        <v>78</v>
      </c>
      <c r="L28" s="14" t="n">
        <f aca="false">IF(D28=1,K28+Gap_closed*(Eff_ceiling-K28),K28)</f>
        <v>78</v>
      </c>
      <c r="M28" s="14" t="n">
        <f aca="false">IF(E28=1,L28+Gap_closed*(Eff_ceiling-L28),L28)</f>
        <v>81.5</v>
      </c>
      <c r="N28" s="14" t="n">
        <f aca="false">IF(F28=1,M28+Gap_closed*(Eff_ceiling-M28),M28)</f>
        <v>83.25</v>
      </c>
      <c r="O28" s="14" t="n">
        <f aca="false">IF(G28=1,N28+Gap_closed*(Eff_ceiling-N28),N28)</f>
        <v>83.25</v>
      </c>
      <c r="P28" s="14" t="n">
        <f aca="false">Sav_point*(J28-Eff_0)</f>
        <v>0</v>
      </c>
      <c r="Q28" s="14" t="n">
        <f aca="false">Sav_point*(K28-Eff_0)</f>
        <v>70</v>
      </c>
      <c r="R28" s="14" t="n">
        <f aca="false">Sav_point*(L28-Eff_0)</f>
        <v>70</v>
      </c>
      <c r="S28" s="14" t="n">
        <f aca="false">Sav_point*(M28-Eff_0)</f>
        <v>105</v>
      </c>
      <c r="T28" s="14" t="n">
        <f aca="false">Sav_point*(N28-Eff_0)</f>
        <v>122.5</v>
      </c>
      <c r="U28" s="14" t="n">
        <f aca="false">Sav_point*(O28-Eff_0)</f>
        <v>122.5</v>
      </c>
      <c r="V28" s="14" t="n">
        <f aca="false">SUM(P28:U28)</f>
        <v>490</v>
      </c>
      <c r="W28" s="12" t="n">
        <f aca="false">IF(AND(H28&gt;0,Cap_0&lt;Cap_min),0,1)</f>
        <v>1</v>
      </c>
      <c r="X28" s="16" t="n">
        <f aca="false">Liq_0-Round_cost*B28+1*P28</f>
        <v>620</v>
      </c>
      <c r="Y28" s="16" t="n">
        <f aca="false">X28-Round_cost*C28+1*Q28</f>
        <v>570</v>
      </c>
      <c r="Z28" s="16" t="n">
        <f aca="false">Y28-Round_cost*D28+1*R28</f>
        <v>640</v>
      </c>
      <c r="AA28" s="16" t="n">
        <f aca="false">Z28-Round_cost*E28+1*S28</f>
        <v>625</v>
      </c>
      <c r="AB28" s="16" t="n">
        <f aca="false">AA28-Round_cost*F28+1*T28</f>
        <v>627.5</v>
      </c>
      <c r="AC28" s="16" t="n">
        <f aca="false">AB28-Round_cost*G28+1*U28</f>
        <v>750</v>
      </c>
      <c r="AD28" s="19" t="n">
        <f aca="false">IF(B28=1,Liq_0-Round_cost,1000000000)</f>
        <v>1000000000</v>
      </c>
      <c r="AE28" s="19" t="n">
        <f aca="false">IF(C28=1,X28-Round_cost,1000000000)</f>
        <v>500</v>
      </c>
      <c r="AF28" s="19" t="n">
        <f aca="false">IF(D28=1,Y28-Round_cost,1000000000)</f>
        <v>1000000000</v>
      </c>
      <c r="AG28" s="19" t="n">
        <f aca="false">IF(E28=1,Z28-Round_cost,1000000000)</f>
        <v>520</v>
      </c>
      <c r="AH28" s="19" t="n">
        <f aca="false">IF(F28=1,AA28-Round_cost,1000000000)</f>
        <v>505</v>
      </c>
      <c r="AI28" s="19" t="n">
        <f aca="false">IF(G28=1,AB28-Round_cost,1000000000)</f>
        <v>1000000000</v>
      </c>
      <c r="AJ28" s="12" t="n">
        <f aca="false">IF(AND(MIN(X28:AC28)&gt;=Floor_liq-0.000000001,MIN(AD28:AI28)&gt;=Floor_liq-0.000000001),1,0)</f>
        <v>1</v>
      </c>
      <c r="AK28" s="12" t="n">
        <f aca="false">IF(AC28&gt;=End_liq-0.000000001,1,0)</f>
        <v>1</v>
      </c>
      <c r="AL28" s="12" t="n">
        <f aca="false">AJ28*AK28*W28</f>
        <v>1</v>
      </c>
      <c r="AM28" s="16" t="n">
        <f aca="false">Liq_0-Round_cost*B28+(1-Pledge_share)*P28</f>
        <v>620</v>
      </c>
      <c r="AN28" s="16" t="n">
        <f aca="false">AM28-Round_cost*C28+(1-Pledge_share)*Q28</f>
        <v>535</v>
      </c>
      <c r="AO28" s="16" t="n">
        <f aca="false">AN28-Round_cost*D28+(1-Pledge_share)*R28</f>
        <v>570</v>
      </c>
      <c r="AP28" s="16" t="n">
        <f aca="false">AO28-Round_cost*E28+(1-Pledge_share)*S28</f>
        <v>502.5</v>
      </c>
      <c r="AQ28" s="16" t="n">
        <f aca="false">AP28-Round_cost*F28+(1-Pledge_share)*T28</f>
        <v>443.75</v>
      </c>
      <c r="AR28" s="16" t="n">
        <f aca="false">AQ28-Round_cost*G28+(1-Pledge_share)*U28</f>
        <v>505</v>
      </c>
      <c r="AS28" s="19" t="n">
        <f aca="false">IF(B28=1,Liq_0-Round_cost,1000000000)</f>
        <v>1000000000</v>
      </c>
      <c r="AT28" s="19" t="n">
        <f aca="false">IF(C28=1,AM28-Round_cost,1000000000)</f>
        <v>500</v>
      </c>
      <c r="AU28" s="19" t="n">
        <f aca="false">IF(D28=1,AN28-Round_cost,1000000000)</f>
        <v>1000000000</v>
      </c>
      <c r="AV28" s="19" t="n">
        <f aca="false">IF(E28=1,AO28-Round_cost,1000000000)</f>
        <v>450</v>
      </c>
      <c r="AW28" s="19" t="n">
        <f aca="false">IF(F28=1,AP28-Round_cost,1000000000)</f>
        <v>382.5</v>
      </c>
      <c r="AX28" s="19" t="n">
        <f aca="false">IF(G28=1,AQ28-Round_cost,1000000000)</f>
        <v>1000000000</v>
      </c>
      <c r="AY28" s="12" t="n">
        <f aca="false">IF(AND(MIN(AM28:AR28)&gt;=Floor_liq-0.000000001,MIN(AS28:AX28)&gt;=Floor_liq-0.000000001),1,0)</f>
        <v>1</v>
      </c>
      <c r="AZ28" s="12" t="n">
        <f aca="false">IF(AR28&gt;=End_liq-0.000000001,1,0)</f>
        <v>1</v>
      </c>
      <c r="BA28" s="12" t="n">
        <f aca="false">AY28*AZ28*W28</f>
        <v>1</v>
      </c>
      <c r="BB28" s="16" t="n">
        <f aca="false">Pledge_share*V28</f>
        <v>245</v>
      </c>
      <c r="BC28" s="16" t="n">
        <f aca="false">IF(BA28=1,H28*10000+BB28,-1)</f>
        <v>30245</v>
      </c>
      <c r="BD28" s="14" t="n">
        <f aca="false">U28</f>
        <v>122.5</v>
      </c>
      <c r="BE28" s="16" t="n">
        <f aca="false">AC28</f>
        <v>750</v>
      </c>
      <c r="BF28" s="16" t="n">
        <f aca="false">IF(AL28=1,AC28-End_liq,-1000000000)</f>
        <v>280</v>
      </c>
      <c r="BG28" s="16" t="n">
        <f aca="false">IF(AL28=1,BF28+BG$4*BD28,-1000000000)</f>
        <v>280</v>
      </c>
      <c r="BH28" s="16" t="n">
        <f aca="false">IF(AL28=1,BF28+BH$4*BD28,-1000000000)</f>
        <v>892.5</v>
      </c>
      <c r="BI28" s="16" t="n">
        <f aca="false">IF(AL28=1,BF28+BI$4*BD28,-1000000000)</f>
        <v>1505</v>
      </c>
      <c r="BJ28" s="16" t="n">
        <f aca="false">IF(AL28=1,BF28+BJ$4*BD28,-1000000000)</f>
        <v>2730</v>
      </c>
      <c r="BK28" s="16" t="n">
        <f aca="false">IF(AL28=1,BF28+BK$4*BD28,-1000000000)</f>
        <v>5180</v>
      </c>
      <c r="BL28" s="16" t="n">
        <f aca="false">IF(AL28=1,BF28+BL$4*BD28,-1000000000)</f>
        <v>7630</v>
      </c>
      <c r="BM28" s="12" t="n">
        <f aca="false">IF(H28=0,1,IF(I28=VALUE(LEFT("123456",H28)),1,0))</f>
        <v>0</v>
      </c>
      <c r="BN28" s="12" t="n">
        <f aca="false">IF(BG28&gt;0,1000*BG28,-1000000000000)</f>
        <v>280000</v>
      </c>
      <c r="BO28" s="16" t="n">
        <f aca="false">IF(BG28&gt;0,BG28+100,-1000000000)</f>
        <v>380</v>
      </c>
      <c r="BP28" s="20" t="n">
        <f aca="false">IF(BG28&gt;0,LN(BG28),-1000000000)</f>
        <v>5.63478960316925</v>
      </c>
    </row>
    <row r="29" customFormat="false" ht="15" hidden="false" customHeight="false" outlineLevel="0" collapsed="false">
      <c r="A29" s="12" t="n">
        <v>23</v>
      </c>
      <c r="B29" s="12" t="n">
        <f aca="false">MOD(INT($A29/32),2)</f>
        <v>0</v>
      </c>
      <c r="C29" s="12" t="n">
        <f aca="false">MOD(INT($A29/16),2)</f>
        <v>1</v>
      </c>
      <c r="D29" s="12" t="n">
        <f aca="false">MOD(INT($A29/8),2)</f>
        <v>0</v>
      </c>
      <c r="E29" s="12" t="n">
        <f aca="false">MOD(INT($A29/4),2)</f>
        <v>1</v>
      </c>
      <c r="F29" s="12" t="n">
        <f aca="false">MOD(INT($A29/2),2)</f>
        <v>1</v>
      </c>
      <c r="G29" s="12" t="n">
        <f aca="false">MOD(INT($A29/1),2)</f>
        <v>1</v>
      </c>
      <c r="H29" s="12" t="n">
        <f aca="false">SUM(B29:G29)</f>
        <v>4</v>
      </c>
      <c r="I29" s="12" t="n">
        <f aca="false">IF(H29=0,0,VALUE(IF(B29=1,"1","")&amp;IF(C29=1,"2","")&amp;IF(D29=1,"3","")&amp;IF(E29=1,"4","")&amp;IF(F29=1,"5","")&amp;IF(G29=1,"6","")))</f>
        <v>2456</v>
      </c>
      <c r="J29" s="14" t="n">
        <f aca="false">IF(B29=1,Eff_0+Gap_closed*(Eff_ceiling-Eff_0),Eff_0)</f>
        <v>71</v>
      </c>
      <c r="K29" s="14" t="n">
        <f aca="false">IF(C29=1,J29+Gap_closed*(Eff_ceiling-J29),J29)</f>
        <v>78</v>
      </c>
      <c r="L29" s="14" t="n">
        <f aca="false">IF(D29=1,K29+Gap_closed*(Eff_ceiling-K29),K29)</f>
        <v>78</v>
      </c>
      <c r="M29" s="14" t="n">
        <f aca="false">IF(E29=1,L29+Gap_closed*(Eff_ceiling-L29),L29)</f>
        <v>81.5</v>
      </c>
      <c r="N29" s="14" t="n">
        <f aca="false">IF(F29=1,M29+Gap_closed*(Eff_ceiling-M29),M29)</f>
        <v>83.25</v>
      </c>
      <c r="O29" s="14" t="n">
        <f aca="false">IF(G29=1,N29+Gap_closed*(Eff_ceiling-N29),N29)</f>
        <v>84.125</v>
      </c>
      <c r="P29" s="14" t="n">
        <f aca="false">Sav_point*(J29-Eff_0)</f>
        <v>0</v>
      </c>
      <c r="Q29" s="14" t="n">
        <f aca="false">Sav_point*(K29-Eff_0)</f>
        <v>70</v>
      </c>
      <c r="R29" s="14" t="n">
        <f aca="false">Sav_point*(L29-Eff_0)</f>
        <v>70</v>
      </c>
      <c r="S29" s="14" t="n">
        <f aca="false">Sav_point*(M29-Eff_0)</f>
        <v>105</v>
      </c>
      <c r="T29" s="14" t="n">
        <f aca="false">Sav_point*(N29-Eff_0)</f>
        <v>122.5</v>
      </c>
      <c r="U29" s="14" t="n">
        <f aca="false">Sav_point*(O29-Eff_0)</f>
        <v>131.25</v>
      </c>
      <c r="V29" s="14" t="n">
        <f aca="false">SUM(P29:U29)</f>
        <v>498.75</v>
      </c>
      <c r="W29" s="12" t="n">
        <f aca="false">IF(AND(H29&gt;0,Cap_0&lt;Cap_min),0,1)</f>
        <v>1</v>
      </c>
      <c r="X29" s="16" t="n">
        <f aca="false">Liq_0-Round_cost*B29+1*P29</f>
        <v>620</v>
      </c>
      <c r="Y29" s="16" t="n">
        <f aca="false">X29-Round_cost*C29+1*Q29</f>
        <v>570</v>
      </c>
      <c r="Z29" s="16" t="n">
        <f aca="false">Y29-Round_cost*D29+1*R29</f>
        <v>640</v>
      </c>
      <c r="AA29" s="16" t="n">
        <f aca="false">Z29-Round_cost*E29+1*S29</f>
        <v>625</v>
      </c>
      <c r="AB29" s="16" t="n">
        <f aca="false">AA29-Round_cost*F29+1*T29</f>
        <v>627.5</v>
      </c>
      <c r="AC29" s="16" t="n">
        <f aca="false">AB29-Round_cost*G29+1*U29</f>
        <v>638.75</v>
      </c>
      <c r="AD29" s="19" t="n">
        <f aca="false">IF(B29=1,Liq_0-Round_cost,1000000000)</f>
        <v>1000000000</v>
      </c>
      <c r="AE29" s="19" t="n">
        <f aca="false">IF(C29=1,X29-Round_cost,1000000000)</f>
        <v>500</v>
      </c>
      <c r="AF29" s="19" t="n">
        <f aca="false">IF(D29=1,Y29-Round_cost,1000000000)</f>
        <v>1000000000</v>
      </c>
      <c r="AG29" s="19" t="n">
        <f aca="false">IF(E29=1,Z29-Round_cost,1000000000)</f>
        <v>520</v>
      </c>
      <c r="AH29" s="19" t="n">
        <f aca="false">IF(F29=1,AA29-Round_cost,1000000000)</f>
        <v>505</v>
      </c>
      <c r="AI29" s="19" t="n">
        <f aca="false">IF(G29=1,AB29-Round_cost,1000000000)</f>
        <v>507.5</v>
      </c>
      <c r="AJ29" s="12" t="n">
        <f aca="false">IF(AND(MIN(X29:AC29)&gt;=Floor_liq-0.000000001,MIN(AD29:AI29)&gt;=Floor_liq-0.000000001),1,0)</f>
        <v>1</v>
      </c>
      <c r="AK29" s="12" t="n">
        <f aca="false">IF(AC29&gt;=End_liq-0.000000001,1,0)</f>
        <v>1</v>
      </c>
      <c r="AL29" s="12" t="n">
        <f aca="false">AJ29*AK29*W29</f>
        <v>1</v>
      </c>
      <c r="AM29" s="16" t="n">
        <f aca="false">Liq_0-Round_cost*B29+(1-Pledge_share)*P29</f>
        <v>620</v>
      </c>
      <c r="AN29" s="16" t="n">
        <f aca="false">AM29-Round_cost*C29+(1-Pledge_share)*Q29</f>
        <v>535</v>
      </c>
      <c r="AO29" s="16" t="n">
        <f aca="false">AN29-Round_cost*D29+(1-Pledge_share)*R29</f>
        <v>570</v>
      </c>
      <c r="AP29" s="16" t="n">
        <f aca="false">AO29-Round_cost*E29+(1-Pledge_share)*S29</f>
        <v>502.5</v>
      </c>
      <c r="AQ29" s="16" t="n">
        <f aca="false">AP29-Round_cost*F29+(1-Pledge_share)*T29</f>
        <v>443.75</v>
      </c>
      <c r="AR29" s="16" t="n">
        <f aca="false">AQ29-Round_cost*G29+(1-Pledge_share)*U29</f>
        <v>389.375</v>
      </c>
      <c r="AS29" s="19" t="n">
        <f aca="false">IF(B29=1,Liq_0-Round_cost,1000000000)</f>
        <v>1000000000</v>
      </c>
      <c r="AT29" s="19" t="n">
        <f aca="false">IF(C29=1,AM29-Round_cost,1000000000)</f>
        <v>500</v>
      </c>
      <c r="AU29" s="19" t="n">
        <f aca="false">IF(D29=1,AN29-Round_cost,1000000000)</f>
        <v>1000000000</v>
      </c>
      <c r="AV29" s="19" t="n">
        <f aca="false">IF(E29=1,AO29-Round_cost,1000000000)</f>
        <v>450</v>
      </c>
      <c r="AW29" s="19" t="n">
        <f aca="false">IF(F29=1,AP29-Round_cost,1000000000)</f>
        <v>382.5</v>
      </c>
      <c r="AX29" s="19" t="n">
        <f aca="false">IF(G29=1,AQ29-Round_cost,1000000000)</f>
        <v>323.75</v>
      </c>
      <c r="AY29" s="12" t="n">
        <f aca="false">IF(AND(MIN(AM29:AR29)&gt;=Floor_liq-0.000000001,MIN(AS29:AX29)&gt;=Floor_liq-0.000000001),1,0)</f>
        <v>0</v>
      </c>
      <c r="AZ29" s="12" t="n">
        <f aca="false">IF(AR29&gt;=End_liq-0.000000001,1,0)</f>
        <v>0</v>
      </c>
      <c r="BA29" s="12" t="n">
        <f aca="false">AY29*AZ29*W29</f>
        <v>0</v>
      </c>
      <c r="BB29" s="16" t="n">
        <f aca="false">Pledge_share*V29</f>
        <v>249.375</v>
      </c>
      <c r="BC29" s="16" t="n">
        <f aca="false">IF(BA29=1,H29*10000+BB29,-1)</f>
        <v>-1</v>
      </c>
      <c r="BD29" s="14" t="n">
        <f aca="false">U29</f>
        <v>131.25</v>
      </c>
      <c r="BE29" s="16" t="n">
        <f aca="false">AC29</f>
        <v>638.75</v>
      </c>
      <c r="BF29" s="16" t="n">
        <f aca="false">IF(AL29=1,AC29-End_liq,-1000000000)</f>
        <v>168.75</v>
      </c>
      <c r="BG29" s="16" t="n">
        <f aca="false">IF(AL29=1,BF29+BG$4*BD29,-1000000000)</f>
        <v>168.75</v>
      </c>
      <c r="BH29" s="16" t="n">
        <f aca="false">IF(AL29=1,BF29+BH$4*BD29,-1000000000)</f>
        <v>825</v>
      </c>
      <c r="BI29" s="16" t="n">
        <f aca="false">IF(AL29=1,BF29+BI$4*BD29,-1000000000)</f>
        <v>1481.25</v>
      </c>
      <c r="BJ29" s="16" t="n">
        <f aca="false">IF(AL29=1,BF29+BJ$4*BD29,-1000000000)</f>
        <v>2793.75</v>
      </c>
      <c r="BK29" s="16" t="n">
        <f aca="false">IF(AL29=1,BF29+BK$4*BD29,-1000000000)</f>
        <v>5418.75</v>
      </c>
      <c r="BL29" s="16" t="n">
        <f aca="false">IF(AL29=1,BF29+BL$4*BD29,-1000000000)</f>
        <v>8043.75</v>
      </c>
      <c r="BM29" s="12" t="n">
        <f aca="false">IF(H29=0,1,IF(I29=VALUE(LEFT("123456",H29)),1,0))</f>
        <v>0</v>
      </c>
      <c r="BN29" s="12" t="n">
        <f aca="false">IF(BG29&gt;0,1000*BG29,-1000000000000)</f>
        <v>168750</v>
      </c>
      <c r="BO29" s="16" t="n">
        <f aca="false">IF(BG29&gt;0,BG29+100,-1000000000)</f>
        <v>268.75</v>
      </c>
      <c r="BP29" s="20" t="n">
        <f aca="false">IF(BG29&gt;0,LN(BG29),-1000000000)</f>
        <v>5.12841832975264</v>
      </c>
    </row>
    <row r="30" customFormat="false" ht="15" hidden="false" customHeight="false" outlineLevel="0" collapsed="false">
      <c r="A30" s="12" t="n">
        <v>24</v>
      </c>
      <c r="B30" s="12" t="n">
        <f aca="false">MOD(INT($A30/32),2)</f>
        <v>0</v>
      </c>
      <c r="C30" s="12" t="n">
        <f aca="false">MOD(INT($A30/16),2)</f>
        <v>1</v>
      </c>
      <c r="D30" s="12" t="n">
        <f aca="false">MOD(INT($A30/8),2)</f>
        <v>1</v>
      </c>
      <c r="E30" s="12" t="n">
        <f aca="false">MOD(INT($A30/4),2)</f>
        <v>0</v>
      </c>
      <c r="F30" s="12" t="n">
        <f aca="false">MOD(INT($A30/2),2)</f>
        <v>0</v>
      </c>
      <c r="G30" s="12" t="n">
        <f aca="false">MOD(INT($A30/1),2)</f>
        <v>0</v>
      </c>
      <c r="H30" s="12" t="n">
        <f aca="false">SUM(B30:G30)</f>
        <v>2</v>
      </c>
      <c r="I30" s="12" t="n">
        <f aca="false">IF(H30=0,0,VALUE(IF(B30=1,"1","")&amp;IF(C30=1,"2","")&amp;IF(D30=1,"3","")&amp;IF(E30=1,"4","")&amp;IF(F30=1,"5","")&amp;IF(G30=1,"6","")))</f>
        <v>23</v>
      </c>
      <c r="J30" s="14" t="n">
        <f aca="false">IF(B30=1,Eff_0+Gap_closed*(Eff_ceiling-Eff_0),Eff_0)</f>
        <v>71</v>
      </c>
      <c r="K30" s="14" t="n">
        <f aca="false">IF(C30=1,J30+Gap_closed*(Eff_ceiling-J30),J30)</f>
        <v>78</v>
      </c>
      <c r="L30" s="14" t="n">
        <f aca="false">IF(D30=1,K30+Gap_closed*(Eff_ceiling-K30),K30)</f>
        <v>81.5</v>
      </c>
      <c r="M30" s="14" t="n">
        <f aca="false">IF(E30=1,L30+Gap_closed*(Eff_ceiling-L30),L30)</f>
        <v>81.5</v>
      </c>
      <c r="N30" s="14" t="n">
        <f aca="false">IF(F30=1,M30+Gap_closed*(Eff_ceiling-M30),M30)</f>
        <v>81.5</v>
      </c>
      <c r="O30" s="14" t="n">
        <f aca="false">IF(G30=1,N30+Gap_closed*(Eff_ceiling-N30),N30)</f>
        <v>81.5</v>
      </c>
      <c r="P30" s="14" t="n">
        <f aca="false">Sav_point*(J30-Eff_0)</f>
        <v>0</v>
      </c>
      <c r="Q30" s="14" t="n">
        <f aca="false">Sav_point*(K30-Eff_0)</f>
        <v>70</v>
      </c>
      <c r="R30" s="14" t="n">
        <f aca="false">Sav_point*(L30-Eff_0)</f>
        <v>105</v>
      </c>
      <c r="S30" s="14" t="n">
        <f aca="false">Sav_point*(M30-Eff_0)</f>
        <v>105</v>
      </c>
      <c r="T30" s="14" t="n">
        <f aca="false">Sav_point*(N30-Eff_0)</f>
        <v>105</v>
      </c>
      <c r="U30" s="14" t="n">
        <f aca="false">Sav_point*(O30-Eff_0)</f>
        <v>105</v>
      </c>
      <c r="V30" s="14" t="n">
        <f aca="false">SUM(P30:U30)</f>
        <v>490</v>
      </c>
      <c r="W30" s="12" t="n">
        <f aca="false">IF(AND(H30&gt;0,Cap_0&lt;Cap_min),0,1)</f>
        <v>1</v>
      </c>
      <c r="X30" s="16" t="n">
        <f aca="false">Liq_0-Round_cost*B30+1*P30</f>
        <v>620</v>
      </c>
      <c r="Y30" s="16" t="n">
        <f aca="false">X30-Round_cost*C30+1*Q30</f>
        <v>570</v>
      </c>
      <c r="Z30" s="16" t="n">
        <f aca="false">Y30-Round_cost*D30+1*R30</f>
        <v>555</v>
      </c>
      <c r="AA30" s="16" t="n">
        <f aca="false">Z30-Round_cost*E30+1*S30</f>
        <v>660</v>
      </c>
      <c r="AB30" s="16" t="n">
        <f aca="false">AA30-Round_cost*F30+1*T30</f>
        <v>765</v>
      </c>
      <c r="AC30" s="16" t="n">
        <f aca="false">AB30-Round_cost*G30+1*U30</f>
        <v>870</v>
      </c>
      <c r="AD30" s="19" t="n">
        <f aca="false">IF(B30=1,Liq_0-Round_cost,1000000000)</f>
        <v>1000000000</v>
      </c>
      <c r="AE30" s="19" t="n">
        <f aca="false">IF(C30=1,X30-Round_cost,1000000000)</f>
        <v>500</v>
      </c>
      <c r="AF30" s="19" t="n">
        <f aca="false">IF(D30=1,Y30-Round_cost,1000000000)</f>
        <v>450</v>
      </c>
      <c r="AG30" s="19" t="n">
        <f aca="false">IF(E30=1,Z30-Round_cost,1000000000)</f>
        <v>1000000000</v>
      </c>
      <c r="AH30" s="19" t="n">
        <f aca="false">IF(F30=1,AA30-Round_cost,1000000000)</f>
        <v>1000000000</v>
      </c>
      <c r="AI30" s="19" t="n">
        <f aca="false">IF(G30=1,AB30-Round_cost,1000000000)</f>
        <v>1000000000</v>
      </c>
      <c r="AJ30" s="12" t="n">
        <f aca="false">IF(AND(MIN(X30:AC30)&gt;=Floor_liq-0.000000001,MIN(AD30:AI30)&gt;=Floor_liq-0.000000001),1,0)</f>
        <v>1</v>
      </c>
      <c r="AK30" s="12" t="n">
        <f aca="false">IF(AC30&gt;=End_liq-0.000000001,1,0)</f>
        <v>1</v>
      </c>
      <c r="AL30" s="12" t="n">
        <f aca="false">AJ30*AK30*W30</f>
        <v>1</v>
      </c>
      <c r="AM30" s="16" t="n">
        <f aca="false">Liq_0-Round_cost*B30+(1-Pledge_share)*P30</f>
        <v>620</v>
      </c>
      <c r="AN30" s="16" t="n">
        <f aca="false">AM30-Round_cost*C30+(1-Pledge_share)*Q30</f>
        <v>535</v>
      </c>
      <c r="AO30" s="16" t="n">
        <f aca="false">AN30-Round_cost*D30+(1-Pledge_share)*R30</f>
        <v>467.5</v>
      </c>
      <c r="AP30" s="16" t="n">
        <f aca="false">AO30-Round_cost*E30+(1-Pledge_share)*S30</f>
        <v>520</v>
      </c>
      <c r="AQ30" s="16" t="n">
        <f aca="false">AP30-Round_cost*F30+(1-Pledge_share)*T30</f>
        <v>572.5</v>
      </c>
      <c r="AR30" s="16" t="n">
        <f aca="false">AQ30-Round_cost*G30+(1-Pledge_share)*U30</f>
        <v>625</v>
      </c>
      <c r="AS30" s="19" t="n">
        <f aca="false">IF(B30=1,Liq_0-Round_cost,1000000000)</f>
        <v>1000000000</v>
      </c>
      <c r="AT30" s="19" t="n">
        <f aca="false">IF(C30=1,AM30-Round_cost,1000000000)</f>
        <v>500</v>
      </c>
      <c r="AU30" s="19" t="n">
        <f aca="false">IF(D30=1,AN30-Round_cost,1000000000)</f>
        <v>415</v>
      </c>
      <c r="AV30" s="19" t="n">
        <f aca="false">IF(E30=1,AO30-Round_cost,1000000000)</f>
        <v>1000000000</v>
      </c>
      <c r="AW30" s="19" t="n">
        <f aca="false">IF(F30=1,AP30-Round_cost,1000000000)</f>
        <v>1000000000</v>
      </c>
      <c r="AX30" s="19" t="n">
        <f aca="false">IF(G30=1,AQ30-Round_cost,1000000000)</f>
        <v>1000000000</v>
      </c>
      <c r="AY30" s="12" t="n">
        <f aca="false">IF(AND(MIN(AM30:AR30)&gt;=Floor_liq-0.000000001,MIN(AS30:AX30)&gt;=Floor_liq-0.000000001),1,0)</f>
        <v>1</v>
      </c>
      <c r="AZ30" s="12" t="n">
        <f aca="false">IF(AR30&gt;=End_liq-0.000000001,1,0)</f>
        <v>1</v>
      </c>
      <c r="BA30" s="12" t="n">
        <f aca="false">AY30*AZ30*W30</f>
        <v>1</v>
      </c>
      <c r="BB30" s="16" t="n">
        <f aca="false">Pledge_share*V30</f>
        <v>245</v>
      </c>
      <c r="BC30" s="16" t="n">
        <f aca="false">IF(BA30=1,H30*10000+BB30,-1)</f>
        <v>20245</v>
      </c>
      <c r="BD30" s="14" t="n">
        <f aca="false">U30</f>
        <v>105</v>
      </c>
      <c r="BE30" s="16" t="n">
        <f aca="false">AC30</f>
        <v>870</v>
      </c>
      <c r="BF30" s="16" t="n">
        <f aca="false">IF(AL30=1,AC30-End_liq,-1000000000)</f>
        <v>400</v>
      </c>
      <c r="BG30" s="16" t="n">
        <f aca="false">IF(AL30=1,BF30+BG$4*BD30,-1000000000)</f>
        <v>400</v>
      </c>
      <c r="BH30" s="16" t="n">
        <f aca="false">IF(AL30=1,BF30+BH$4*BD30,-1000000000)</f>
        <v>925</v>
      </c>
      <c r="BI30" s="16" t="n">
        <f aca="false">IF(AL30=1,BF30+BI$4*BD30,-1000000000)</f>
        <v>1450</v>
      </c>
      <c r="BJ30" s="16" t="n">
        <f aca="false">IF(AL30=1,BF30+BJ$4*BD30,-1000000000)</f>
        <v>2500</v>
      </c>
      <c r="BK30" s="16" t="n">
        <f aca="false">IF(AL30=1,BF30+BK$4*BD30,-1000000000)</f>
        <v>4600</v>
      </c>
      <c r="BL30" s="16" t="n">
        <f aca="false">IF(AL30=1,BF30+BL$4*BD30,-1000000000)</f>
        <v>6700</v>
      </c>
      <c r="BM30" s="12" t="n">
        <f aca="false">IF(H30=0,1,IF(I30=VALUE(LEFT("123456",H30)),1,0))</f>
        <v>0</v>
      </c>
      <c r="BN30" s="12" t="n">
        <f aca="false">IF(BG30&gt;0,1000*BG30,-1000000000000)</f>
        <v>400000</v>
      </c>
      <c r="BO30" s="16" t="n">
        <f aca="false">IF(BG30&gt;0,BG30+100,-1000000000)</f>
        <v>500</v>
      </c>
      <c r="BP30" s="20" t="n">
        <f aca="false">IF(BG30&gt;0,LN(BG30),-1000000000)</f>
        <v>5.99146454710798</v>
      </c>
    </row>
    <row r="31" customFormat="false" ht="15" hidden="false" customHeight="false" outlineLevel="0" collapsed="false">
      <c r="A31" s="12" t="n">
        <v>25</v>
      </c>
      <c r="B31" s="12" t="n">
        <f aca="false">MOD(INT($A31/32),2)</f>
        <v>0</v>
      </c>
      <c r="C31" s="12" t="n">
        <f aca="false">MOD(INT($A31/16),2)</f>
        <v>1</v>
      </c>
      <c r="D31" s="12" t="n">
        <f aca="false">MOD(INT($A31/8),2)</f>
        <v>1</v>
      </c>
      <c r="E31" s="12" t="n">
        <f aca="false">MOD(INT($A31/4),2)</f>
        <v>0</v>
      </c>
      <c r="F31" s="12" t="n">
        <f aca="false">MOD(INT($A31/2),2)</f>
        <v>0</v>
      </c>
      <c r="G31" s="12" t="n">
        <f aca="false">MOD(INT($A31/1),2)</f>
        <v>1</v>
      </c>
      <c r="H31" s="12" t="n">
        <f aca="false">SUM(B31:G31)</f>
        <v>3</v>
      </c>
      <c r="I31" s="12" t="n">
        <f aca="false">IF(H31=0,0,VALUE(IF(B31=1,"1","")&amp;IF(C31=1,"2","")&amp;IF(D31=1,"3","")&amp;IF(E31=1,"4","")&amp;IF(F31=1,"5","")&amp;IF(G31=1,"6","")))</f>
        <v>236</v>
      </c>
      <c r="J31" s="14" t="n">
        <f aca="false">IF(B31=1,Eff_0+Gap_closed*(Eff_ceiling-Eff_0),Eff_0)</f>
        <v>71</v>
      </c>
      <c r="K31" s="14" t="n">
        <f aca="false">IF(C31=1,J31+Gap_closed*(Eff_ceiling-J31),J31)</f>
        <v>78</v>
      </c>
      <c r="L31" s="14" t="n">
        <f aca="false">IF(D31=1,K31+Gap_closed*(Eff_ceiling-K31),K31)</f>
        <v>81.5</v>
      </c>
      <c r="M31" s="14" t="n">
        <f aca="false">IF(E31=1,L31+Gap_closed*(Eff_ceiling-L31),L31)</f>
        <v>81.5</v>
      </c>
      <c r="N31" s="14" t="n">
        <f aca="false">IF(F31=1,M31+Gap_closed*(Eff_ceiling-M31),M31)</f>
        <v>81.5</v>
      </c>
      <c r="O31" s="14" t="n">
        <f aca="false">IF(G31=1,N31+Gap_closed*(Eff_ceiling-N31),N31)</f>
        <v>83.25</v>
      </c>
      <c r="P31" s="14" t="n">
        <f aca="false">Sav_point*(J31-Eff_0)</f>
        <v>0</v>
      </c>
      <c r="Q31" s="14" t="n">
        <f aca="false">Sav_point*(K31-Eff_0)</f>
        <v>70</v>
      </c>
      <c r="R31" s="14" t="n">
        <f aca="false">Sav_point*(L31-Eff_0)</f>
        <v>105</v>
      </c>
      <c r="S31" s="14" t="n">
        <f aca="false">Sav_point*(M31-Eff_0)</f>
        <v>105</v>
      </c>
      <c r="T31" s="14" t="n">
        <f aca="false">Sav_point*(N31-Eff_0)</f>
        <v>105</v>
      </c>
      <c r="U31" s="14" t="n">
        <f aca="false">Sav_point*(O31-Eff_0)</f>
        <v>122.5</v>
      </c>
      <c r="V31" s="14" t="n">
        <f aca="false">SUM(P31:U31)</f>
        <v>507.5</v>
      </c>
      <c r="W31" s="12" t="n">
        <f aca="false">IF(AND(H31&gt;0,Cap_0&lt;Cap_min),0,1)</f>
        <v>1</v>
      </c>
      <c r="X31" s="16" t="n">
        <f aca="false">Liq_0-Round_cost*B31+1*P31</f>
        <v>620</v>
      </c>
      <c r="Y31" s="16" t="n">
        <f aca="false">X31-Round_cost*C31+1*Q31</f>
        <v>570</v>
      </c>
      <c r="Z31" s="16" t="n">
        <f aca="false">Y31-Round_cost*D31+1*R31</f>
        <v>555</v>
      </c>
      <c r="AA31" s="16" t="n">
        <f aca="false">Z31-Round_cost*E31+1*S31</f>
        <v>660</v>
      </c>
      <c r="AB31" s="16" t="n">
        <f aca="false">AA31-Round_cost*F31+1*T31</f>
        <v>765</v>
      </c>
      <c r="AC31" s="16" t="n">
        <f aca="false">AB31-Round_cost*G31+1*U31</f>
        <v>767.5</v>
      </c>
      <c r="AD31" s="19" t="n">
        <f aca="false">IF(B31=1,Liq_0-Round_cost,1000000000)</f>
        <v>1000000000</v>
      </c>
      <c r="AE31" s="19" t="n">
        <f aca="false">IF(C31=1,X31-Round_cost,1000000000)</f>
        <v>500</v>
      </c>
      <c r="AF31" s="19" t="n">
        <f aca="false">IF(D31=1,Y31-Round_cost,1000000000)</f>
        <v>450</v>
      </c>
      <c r="AG31" s="19" t="n">
        <f aca="false">IF(E31=1,Z31-Round_cost,1000000000)</f>
        <v>1000000000</v>
      </c>
      <c r="AH31" s="19" t="n">
        <f aca="false">IF(F31=1,AA31-Round_cost,1000000000)</f>
        <v>1000000000</v>
      </c>
      <c r="AI31" s="19" t="n">
        <f aca="false">IF(G31=1,AB31-Round_cost,1000000000)</f>
        <v>645</v>
      </c>
      <c r="AJ31" s="12" t="n">
        <f aca="false">IF(AND(MIN(X31:AC31)&gt;=Floor_liq-0.000000001,MIN(AD31:AI31)&gt;=Floor_liq-0.000000001),1,0)</f>
        <v>1</v>
      </c>
      <c r="AK31" s="12" t="n">
        <f aca="false">IF(AC31&gt;=End_liq-0.000000001,1,0)</f>
        <v>1</v>
      </c>
      <c r="AL31" s="12" t="n">
        <f aca="false">AJ31*AK31*W31</f>
        <v>1</v>
      </c>
      <c r="AM31" s="16" t="n">
        <f aca="false">Liq_0-Round_cost*B31+(1-Pledge_share)*P31</f>
        <v>620</v>
      </c>
      <c r="AN31" s="16" t="n">
        <f aca="false">AM31-Round_cost*C31+(1-Pledge_share)*Q31</f>
        <v>535</v>
      </c>
      <c r="AO31" s="16" t="n">
        <f aca="false">AN31-Round_cost*D31+(1-Pledge_share)*R31</f>
        <v>467.5</v>
      </c>
      <c r="AP31" s="16" t="n">
        <f aca="false">AO31-Round_cost*E31+(1-Pledge_share)*S31</f>
        <v>520</v>
      </c>
      <c r="AQ31" s="16" t="n">
        <f aca="false">AP31-Round_cost*F31+(1-Pledge_share)*T31</f>
        <v>572.5</v>
      </c>
      <c r="AR31" s="16" t="n">
        <f aca="false">AQ31-Round_cost*G31+(1-Pledge_share)*U31</f>
        <v>513.75</v>
      </c>
      <c r="AS31" s="19" t="n">
        <f aca="false">IF(B31=1,Liq_0-Round_cost,1000000000)</f>
        <v>1000000000</v>
      </c>
      <c r="AT31" s="19" t="n">
        <f aca="false">IF(C31=1,AM31-Round_cost,1000000000)</f>
        <v>500</v>
      </c>
      <c r="AU31" s="19" t="n">
        <f aca="false">IF(D31=1,AN31-Round_cost,1000000000)</f>
        <v>415</v>
      </c>
      <c r="AV31" s="19" t="n">
        <f aca="false">IF(E31=1,AO31-Round_cost,1000000000)</f>
        <v>1000000000</v>
      </c>
      <c r="AW31" s="19" t="n">
        <f aca="false">IF(F31=1,AP31-Round_cost,1000000000)</f>
        <v>1000000000</v>
      </c>
      <c r="AX31" s="19" t="n">
        <f aca="false">IF(G31=1,AQ31-Round_cost,1000000000)</f>
        <v>452.5</v>
      </c>
      <c r="AY31" s="12" t="n">
        <f aca="false">IF(AND(MIN(AM31:AR31)&gt;=Floor_liq-0.000000001,MIN(AS31:AX31)&gt;=Floor_liq-0.000000001),1,0)</f>
        <v>1</v>
      </c>
      <c r="AZ31" s="12" t="n">
        <f aca="false">IF(AR31&gt;=End_liq-0.000000001,1,0)</f>
        <v>1</v>
      </c>
      <c r="BA31" s="12" t="n">
        <f aca="false">AY31*AZ31*W31</f>
        <v>1</v>
      </c>
      <c r="BB31" s="16" t="n">
        <f aca="false">Pledge_share*V31</f>
        <v>253.75</v>
      </c>
      <c r="BC31" s="16" t="n">
        <f aca="false">IF(BA31=1,H31*10000+BB31,-1)</f>
        <v>30253.75</v>
      </c>
      <c r="BD31" s="14" t="n">
        <f aca="false">U31</f>
        <v>122.5</v>
      </c>
      <c r="BE31" s="16" t="n">
        <f aca="false">AC31</f>
        <v>767.5</v>
      </c>
      <c r="BF31" s="16" t="n">
        <f aca="false">IF(AL31=1,AC31-End_liq,-1000000000)</f>
        <v>297.5</v>
      </c>
      <c r="BG31" s="16" t="n">
        <f aca="false">IF(AL31=1,BF31+BG$4*BD31,-1000000000)</f>
        <v>297.5</v>
      </c>
      <c r="BH31" s="16" t="n">
        <f aca="false">IF(AL31=1,BF31+BH$4*BD31,-1000000000)</f>
        <v>910</v>
      </c>
      <c r="BI31" s="16" t="n">
        <f aca="false">IF(AL31=1,BF31+BI$4*BD31,-1000000000)</f>
        <v>1522.5</v>
      </c>
      <c r="BJ31" s="16" t="n">
        <f aca="false">IF(AL31=1,BF31+BJ$4*BD31,-1000000000)</f>
        <v>2747.5</v>
      </c>
      <c r="BK31" s="16" t="n">
        <f aca="false">IF(AL31=1,BF31+BK$4*BD31,-1000000000)</f>
        <v>5197.5</v>
      </c>
      <c r="BL31" s="16" t="n">
        <f aca="false">IF(AL31=1,BF31+BL$4*BD31,-1000000000)</f>
        <v>7647.5</v>
      </c>
      <c r="BM31" s="12" t="n">
        <f aca="false">IF(H31=0,1,IF(I31=VALUE(LEFT("123456",H31)),1,0))</f>
        <v>0</v>
      </c>
      <c r="BN31" s="12" t="n">
        <f aca="false">IF(BG31&gt;0,1000*BG31,-1000000000000)</f>
        <v>297500</v>
      </c>
      <c r="BO31" s="16" t="n">
        <f aca="false">IF(BG31&gt;0,BG31+100,-1000000000)</f>
        <v>397.5</v>
      </c>
      <c r="BP31" s="20" t="n">
        <f aca="false">IF(BG31&gt;0,LN(BG31),-1000000000)</f>
        <v>5.69541422498569</v>
      </c>
    </row>
    <row r="32" customFormat="false" ht="15" hidden="false" customHeight="false" outlineLevel="0" collapsed="false">
      <c r="A32" s="12" t="n">
        <v>26</v>
      </c>
      <c r="B32" s="12" t="n">
        <f aca="false">MOD(INT($A32/32),2)</f>
        <v>0</v>
      </c>
      <c r="C32" s="12" t="n">
        <f aca="false">MOD(INT($A32/16),2)</f>
        <v>1</v>
      </c>
      <c r="D32" s="12" t="n">
        <f aca="false">MOD(INT($A32/8),2)</f>
        <v>1</v>
      </c>
      <c r="E32" s="12" t="n">
        <f aca="false">MOD(INT($A32/4),2)</f>
        <v>0</v>
      </c>
      <c r="F32" s="12" t="n">
        <f aca="false">MOD(INT($A32/2),2)</f>
        <v>1</v>
      </c>
      <c r="G32" s="12" t="n">
        <f aca="false">MOD(INT($A32/1),2)</f>
        <v>0</v>
      </c>
      <c r="H32" s="12" t="n">
        <f aca="false">SUM(B32:G32)</f>
        <v>3</v>
      </c>
      <c r="I32" s="12" t="n">
        <f aca="false">IF(H32=0,0,VALUE(IF(B32=1,"1","")&amp;IF(C32=1,"2","")&amp;IF(D32=1,"3","")&amp;IF(E32=1,"4","")&amp;IF(F32=1,"5","")&amp;IF(G32=1,"6","")))</f>
        <v>235</v>
      </c>
      <c r="J32" s="14" t="n">
        <f aca="false">IF(B32=1,Eff_0+Gap_closed*(Eff_ceiling-Eff_0),Eff_0)</f>
        <v>71</v>
      </c>
      <c r="K32" s="14" t="n">
        <f aca="false">IF(C32=1,J32+Gap_closed*(Eff_ceiling-J32),J32)</f>
        <v>78</v>
      </c>
      <c r="L32" s="14" t="n">
        <f aca="false">IF(D32=1,K32+Gap_closed*(Eff_ceiling-K32),K32)</f>
        <v>81.5</v>
      </c>
      <c r="M32" s="14" t="n">
        <f aca="false">IF(E32=1,L32+Gap_closed*(Eff_ceiling-L32),L32)</f>
        <v>81.5</v>
      </c>
      <c r="N32" s="14" t="n">
        <f aca="false">IF(F32=1,M32+Gap_closed*(Eff_ceiling-M32),M32)</f>
        <v>83.25</v>
      </c>
      <c r="O32" s="14" t="n">
        <f aca="false">IF(G32=1,N32+Gap_closed*(Eff_ceiling-N32),N32)</f>
        <v>83.25</v>
      </c>
      <c r="P32" s="14" t="n">
        <f aca="false">Sav_point*(J32-Eff_0)</f>
        <v>0</v>
      </c>
      <c r="Q32" s="14" t="n">
        <f aca="false">Sav_point*(K32-Eff_0)</f>
        <v>70</v>
      </c>
      <c r="R32" s="14" t="n">
        <f aca="false">Sav_point*(L32-Eff_0)</f>
        <v>105</v>
      </c>
      <c r="S32" s="14" t="n">
        <f aca="false">Sav_point*(M32-Eff_0)</f>
        <v>105</v>
      </c>
      <c r="T32" s="14" t="n">
        <f aca="false">Sav_point*(N32-Eff_0)</f>
        <v>122.5</v>
      </c>
      <c r="U32" s="14" t="n">
        <f aca="false">Sav_point*(O32-Eff_0)</f>
        <v>122.5</v>
      </c>
      <c r="V32" s="14" t="n">
        <f aca="false">SUM(P32:U32)</f>
        <v>525</v>
      </c>
      <c r="W32" s="12" t="n">
        <f aca="false">IF(AND(H32&gt;0,Cap_0&lt;Cap_min),0,1)</f>
        <v>1</v>
      </c>
      <c r="X32" s="16" t="n">
        <f aca="false">Liq_0-Round_cost*B32+1*P32</f>
        <v>620</v>
      </c>
      <c r="Y32" s="16" t="n">
        <f aca="false">X32-Round_cost*C32+1*Q32</f>
        <v>570</v>
      </c>
      <c r="Z32" s="16" t="n">
        <f aca="false">Y32-Round_cost*D32+1*R32</f>
        <v>555</v>
      </c>
      <c r="AA32" s="16" t="n">
        <f aca="false">Z32-Round_cost*E32+1*S32</f>
        <v>660</v>
      </c>
      <c r="AB32" s="16" t="n">
        <f aca="false">AA32-Round_cost*F32+1*T32</f>
        <v>662.5</v>
      </c>
      <c r="AC32" s="16" t="n">
        <f aca="false">AB32-Round_cost*G32+1*U32</f>
        <v>785</v>
      </c>
      <c r="AD32" s="19" t="n">
        <f aca="false">IF(B32=1,Liq_0-Round_cost,1000000000)</f>
        <v>1000000000</v>
      </c>
      <c r="AE32" s="19" t="n">
        <f aca="false">IF(C32=1,X32-Round_cost,1000000000)</f>
        <v>500</v>
      </c>
      <c r="AF32" s="19" t="n">
        <f aca="false">IF(D32=1,Y32-Round_cost,1000000000)</f>
        <v>450</v>
      </c>
      <c r="AG32" s="19" t="n">
        <f aca="false">IF(E32=1,Z32-Round_cost,1000000000)</f>
        <v>1000000000</v>
      </c>
      <c r="AH32" s="19" t="n">
        <f aca="false">IF(F32=1,AA32-Round_cost,1000000000)</f>
        <v>540</v>
      </c>
      <c r="AI32" s="19" t="n">
        <f aca="false">IF(G32=1,AB32-Round_cost,1000000000)</f>
        <v>1000000000</v>
      </c>
      <c r="AJ32" s="12" t="n">
        <f aca="false">IF(AND(MIN(X32:AC32)&gt;=Floor_liq-0.000000001,MIN(AD32:AI32)&gt;=Floor_liq-0.000000001),1,0)</f>
        <v>1</v>
      </c>
      <c r="AK32" s="12" t="n">
        <f aca="false">IF(AC32&gt;=End_liq-0.000000001,1,0)</f>
        <v>1</v>
      </c>
      <c r="AL32" s="12" t="n">
        <f aca="false">AJ32*AK32*W32</f>
        <v>1</v>
      </c>
      <c r="AM32" s="16" t="n">
        <f aca="false">Liq_0-Round_cost*B32+(1-Pledge_share)*P32</f>
        <v>620</v>
      </c>
      <c r="AN32" s="16" t="n">
        <f aca="false">AM32-Round_cost*C32+(1-Pledge_share)*Q32</f>
        <v>535</v>
      </c>
      <c r="AO32" s="16" t="n">
        <f aca="false">AN32-Round_cost*D32+(1-Pledge_share)*R32</f>
        <v>467.5</v>
      </c>
      <c r="AP32" s="16" t="n">
        <f aca="false">AO32-Round_cost*E32+(1-Pledge_share)*S32</f>
        <v>520</v>
      </c>
      <c r="AQ32" s="16" t="n">
        <f aca="false">AP32-Round_cost*F32+(1-Pledge_share)*T32</f>
        <v>461.25</v>
      </c>
      <c r="AR32" s="16" t="n">
        <f aca="false">AQ32-Round_cost*G32+(1-Pledge_share)*U32</f>
        <v>522.5</v>
      </c>
      <c r="AS32" s="19" t="n">
        <f aca="false">IF(B32=1,Liq_0-Round_cost,1000000000)</f>
        <v>1000000000</v>
      </c>
      <c r="AT32" s="19" t="n">
        <f aca="false">IF(C32=1,AM32-Round_cost,1000000000)</f>
        <v>500</v>
      </c>
      <c r="AU32" s="19" t="n">
        <f aca="false">IF(D32=1,AN32-Round_cost,1000000000)</f>
        <v>415</v>
      </c>
      <c r="AV32" s="19" t="n">
        <f aca="false">IF(E32=1,AO32-Round_cost,1000000000)</f>
        <v>1000000000</v>
      </c>
      <c r="AW32" s="19" t="n">
        <f aca="false">IF(F32=1,AP32-Round_cost,1000000000)</f>
        <v>400</v>
      </c>
      <c r="AX32" s="19" t="n">
        <f aca="false">IF(G32=1,AQ32-Round_cost,1000000000)</f>
        <v>1000000000</v>
      </c>
      <c r="AY32" s="12" t="n">
        <f aca="false">IF(AND(MIN(AM32:AR32)&gt;=Floor_liq-0.000000001,MIN(AS32:AX32)&gt;=Floor_liq-0.000000001),1,0)</f>
        <v>1</v>
      </c>
      <c r="AZ32" s="12" t="n">
        <f aca="false">IF(AR32&gt;=End_liq-0.000000001,1,0)</f>
        <v>1</v>
      </c>
      <c r="BA32" s="12" t="n">
        <f aca="false">AY32*AZ32*W32</f>
        <v>1</v>
      </c>
      <c r="BB32" s="16" t="n">
        <f aca="false">Pledge_share*V32</f>
        <v>262.5</v>
      </c>
      <c r="BC32" s="16" t="n">
        <f aca="false">IF(BA32=1,H32*10000+BB32,-1)</f>
        <v>30262.5</v>
      </c>
      <c r="BD32" s="14" t="n">
        <f aca="false">U32</f>
        <v>122.5</v>
      </c>
      <c r="BE32" s="16" t="n">
        <f aca="false">AC32</f>
        <v>785</v>
      </c>
      <c r="BF32" s="16" t="n">
        <f aca="false">IF(AL32=1,AC32-End_liq,-1000000000)</f>
        <v>315</v>
      </c>
      <c r="BG32" s="16" t="n">
        <f aca="false">IF(AL32=1,BF32+BG$4*BD32,-1000000000)</f>
        <v>315</v>
      </c>
      <c r="BH32" s="16" t="n">
        <f aca="false">IF(AL32=1,BF32+BH$4*BD32,-1000000000)</f>
        <v>927.5</v>
      </c>
      <c r="BI32" s="16" t="n">
        <f aca="false">IF(AL32=1,BF32+BI$4*BD32,-1000000000)</f>
        <v>1540</v>
      </c>
      <c r="BJ32" s="16" t="n">
        <f aca="false">IF(AL32=1,BF32+BJ$4*BD32,-1000000000)</f>
        <v>2765</v>
      </c>
      <c r="BK32" s="16" t="n">
        <f aca="false">IF(AL32=1,BF32+BK$4*BD32,-1000000000)</f>
        <v>5215</v>
      </c>
      <c r="BL32" s="16" t="n">
        <f aca="false">IF(AL32=1,BF32+BL$4*BD32,-1000000000)</f>
        <v>7665</v>
      </c>
      <c r="BM32" s="12" t="n">
        <f aca="false">IF(H32=0,1,IF(I32=VALUE(LEFT("123456",H32)),1,0))</f>
        <v>0</v>
      </c>
      <c r="BN32" s="12" t="n">
        <f aca="false">IF(BG32&gt;0,1000*BG32,-1000000000000)</f>
        <v>315000</v>
      </c>
      <c r="BO32" s="16" t="n">
        <f aca="false">IF(BG32&gt;0,BG32+100,-1000000000)</f>
        <v>415</v>
      </c>
      <c r="BP32" s="20" t="n">
        <f aca="false">IF(BG32&gt;0,LN(BG32),-1000000000)</f>
        <v>5.75257263882563</v>
      </c>
    </row>
    <row r="33" customFormat="false" ht="15" hidden="false" customHeight="false" outlineLevel="0" collapsed="false">
      <c r="A33" s="12" t="n">
        <v>27</v>
      </c>
      <c r="B33" s="12" t="n">
        <f aca="false">MOD(INT($A33/32),2)</f>
        <v>0</v>
      </c>
      <c r="C33" s="12" t="n">
        <f aca="false">MOD(INT($A33/16),2)</f>
        <v>1</v>
      </c>
      <c r="D33" s="12" t="n">
        <f aca="false">MOD(INT($A33/8),2)</f>
        <v>1</v>
      </c>
      <c r="E33" s="12" t="n">
        <f aca="false">MOD(INT($A33/4),2)</f>
        <v>0</v>
      </c>
      <c r="F33" s="12" t="n">
        <f aca="false">MOD(INT($A33/2),2)</f>
        <v>1</v>
      </c>
      <c r="G33" s="12" t="n">
        <f aca="false">MOD(INT($A33/1),2)</f>
        <v>1</v>
      </c>
      <c r="H33" s="12" t="n">
        <f aca="false">SUM(B33:G33)</f>
        <v>4</v>
      </c>
      <c r="I33" s="12" t="n">
        <f aca="false">IF(H33=0,0,VALUE(IF(B33=1,"1","")&amp;IF(C33=1,"2","")&amp;IF(D33=1,"3","")&amp;IF(E33=1,"4","")&amp;IF(F33=1,"5","")&amp;IF(G33=1,"6","")))</f>
        <v>2356</v>
      </c>
      <c r="J33" s="14" t="n">
        <f aca="false">IF(B33=1,Eff_0+Gap_closed*(Eff_ceiling-Eff_0),Eff_0)</f>
        <v>71</v>
      </c>
      <c r="K33" s="14" t="n">
        <f aca="false">IF(C33=1,J33+Gap_closed*(Eff_ceiling-J33),J33)</f>
        <v>78</v>
      </c>
      <c r="L33" s="14" t="n">
        <f aca="false">IF(D33=1,K33+Gap_closed*(Eff_ceiling-K33),K33)</f>
        <v>81.5</v>
      </c>
      <c r="M33" s="14" t="n">
        <f aca="false">IF(E33=1,L33+Gap_closed*(Eff_ceiling-L33),L33)</f>
        <v>81.5</v>
      </c>
      <c r="N33" s="14" t="n">
        <f aca="false">IF(F33=1,M33+Gap_closed*(Eff_ceiling-M33),M33)</f>
        <v>83.25</v>
      </c>
      <c r="O33" s="14" t="n">
        <f aca="false">IF(G33=1,N33+Gap_closed*(Eff_ceiling-N33),N33)</f>
        <v>84.125</v>
      </c>
      <c r="P33" s="14" t="n">
        <f aca="false">Sav_point*(J33-Eff_0)</f>
        <v>0</v>
      </c>
      <c r="Q33" s="14" t="n">
        <f aca="false">Sav_point*(K33-Eff_0)</f>
        <v>70</v>
      </c>
      <c r="R33" s="14" t="n">
        <f aca="false">Sav_point*(L33-Eff_0)</f>
        <v>105</v>
      </c>
      <c r="S33" s="14" t="n">
        <f aca="false">Sav_point*(M33-Eff_0)</f>
        <v>105</v>
      </c>
      <c r="T33" s="14" t="n">
        <f aca="false">Sav_point*(N33-Eff_0)</f>
        <v>122.5</v>
      </c>
      <c r="U33" s="14" t="n">
        <f aca="false">Sav_point*(O33-Eff_0)</f>
        <v>131.25</v>
      </c>
      <c r="V33" s="14" t="n">
        <f aca="false">SUM(P33:U33)</f>
        <v>533.75</v>
      </c>
      <c r="W33" s="12" t="n">
        <f aca="false">IF(AND(H33&gt;0,Cap_0&lt;Cap_min),0,1)</f>
        <v>1</v>
      </c>
      <c r="X33" s="16" t="n">
        <f aca="false">Liq_0-Round_cost*B33+1*P33</f>
        <v>620</v>
      </c>
      <c r="Y33" s="16" t="n">
        <f aca="false">X33-Round_cost*C33+1*Q33</f>
        <v>570</v>
      </c>
      <c r="Z33" s="16" t="n">
        <f aca="false">Y33-Round_cost*D33+1*R33</f>
        <v>555</v>
      </c>
      <c r="AA33" s="16" t="n">
        <f aca="false">Z33-Round_cost*E33+1*S33</f>
        <v>660</v>
      </c>
      <c r="AB33" s="16" t="n">
        <f aca="false">AA33-Round_cost*F33+1*T33</f>
        <v>662.5</v>
      </c>
      <c r="AC33" s="16" t="n">
        <f aca="false">AB33-Round_cost*G33+1*U33</f>
        <v>673.75</v>
      </c>
      <c r="AD33" s="19" t="n">
        <f aca="false">IF(B33=1,Liq_0-Round_cost,1000000000)</f>
        <v>1000000000</v>
      </c>
      <c r="AE33" s="19" t="n">
        <f aca="false">IF(C33=1,X33-Round_cost,1000000000)</f>
        <v>500</v>
      </c>
      <c r="AF33" s="19" t="n">
        <f aca="false">IF(D33=1,Y33-Round_cost,1000000000)</f>
        <v>450</v>
      </c>
      <c r="AG33" s="19" t="n">
        <f aca="false">IF(E33=1,Z33-Round_cost,1000000000)</f>
        <v>1000000000</v>
      </c>
      <c r="AH33" s="19" t="n">
        <f aca="false">IF(F33=1,AA33-Round_cost,1000000000)</f>
        <v>540</v>
      </c>
      <c r="AI33" s="19" t="n">
        <f aca="false">IF(G33=1,AB33-Round_cost,1000000000)</f>
        <v>542.5</v>
      </c>
      <c r="AJ33" s="12" t="n">
        <f aca="false">IF(AND(MIN(X33:AC33)&gt;=Floor_liq-0.000000001,MIN(AD33:AI33)&gt;=Floor_liq-0.000000001),1,0)</f>
        <v>1</v>
      </c>
      <c r="AK33" s="12" t="n">
        <f aca="false">IF(AC33&gt;=End_liq-0.000000001,1,0)</f>
        <v>1</v>
      </c>
      <c r="AL33" s="12" t="n">
        <f aca="false">AJ33*AK33*W33</f>
        <v>1</v>
      </c>
      <c r="AM33" s="16" t="n">
        <f aca="false">Liq_0-Round_cost*B33+(1-Pledge_share)*P33</f>
        <v>620</v>
      </c>
      <c r="AN33" s="16" t="n">
        <f aca="false">AM33-Round_cost*C33+(1-Pledge_share)*Q33</f>
        <v>535</v>
      </c>
      <c r="AO33" s="16" t="n">
        <f aca="false">AN33-Round_cost*D33+(1-Pledge_share)*R33</f>
        <v>467.5</v>
      </c>
      <c r="AP33" s="16" t="n">
        <f aca="false">AO33-Round_cost*E33+(1-Pledge_share)*S33</f>
        <v>520</v>
      </c>
      <c r="AQ33" s="16" t="n">
        <f aca="false">AP33-Round_cost*F33+(1-Pledge_share)*T33</f>
        <v>461.25</v>
      </c>
      <c r="AR33" s="16" t="n">
        <f aca="false">AQ33-Round_cost*G33+(1-Pledge_share)*U33</f>
        <v>406.875</v>
      </c>
      <c r="AS33" s="19" t="n">
        <f aca="false">IF(B33=1,Liq_0-Round_cost,1000000000)</f>
        <v>1000000000</v>
      </c>
      <c r="AT33" s="19" t="n">
        <f aca="false">IF(C33=1,AM33-Round_cost,1000000000)</f>
        <v>500</v>
      </c>
      <c r="AU33" s="19" t="n">
        <f aca="false">IF(D33=1,AN33-Round_cost,1000000000)</f>
        <v>415</v>
      </c>
      <c r="AV33" s="19" t="n">
        <f aca="false">IF(E33=1,AO33-Round_cost,1000000000)</f>
        <v>1000000000</v>
      </c>
      <c r="AW33" s="19" t="n">
        <f aca="false">IF(F33=1,AP33-Round_cost,1000000000)</f>
        <v>400</v>
      </c>
      <c r="AX33" s="19" t="n">
        <f aca="false">IF(G33=1,AQ33-Round_cost,1000000000)</f>
        <v>341.25</v>
      </c>
      <c r="AY33" s="12" t="n">
        <f aca="false">IF(AND(MIN(AM33:AR33)&gt;=Floor_liq-0.000000001,MIN(AS33:AX33)&gt;=Floor_liq-0.000000001),1,0)</f>
        <v>0</v>
      </c>
      <c r="AZ33" s="12" t="n">
        <f aca="false">IF(AR33&gt;=End_liq-0.000000001,1,0)</f>
        <v>0</v>
      </c>
      <c r="BA33" s="12" t="n">
        <f aca="false">AY33*AZ33*W33</f>
        <v>0</v>
      </c>
      <c r="BB33" s="16" t="n">
        <f aca="false">Pledge_share*V33</f>
        <v>266.875</v>
      </c>
      <c r="BC33" s="16" t="n">
        <f aca="false">IF(BA33=1,H33*10000+BB33,-1)</f>
        <v>-1</v>
      </c>
      <c r="BD33" s="14" t="n">
        <f aca="false">U33</f>
        <v>131.25</v>
      </c>
      <c r="BE33" s="16" t="n">
        <f aca="false">AC33</f>
        <v>673.75</v>
      </c>
      <c r="BF33" s="16" t="n">
        <f aca="false">IF(AL33=1,AC33-End_liq,-1000000000)</f>
        <v>203.75</v>
      </c>
      <c r="BG33" s="16" t="n">
        <f aca="false">IF(AL33=1,BF33+BG$4*BD33,-1000000000)</f>
        <v>203.75</v>
      </c>
      <c r="BH33" s="16" t="n">
        <f aca="false">IF(AL33=1,BF33+BH$4*BD33,-1000000000)</f>
        <v>860</v>
      </c>
      <c r="BI33" s="16" t="n">
        <f aca="false">IF(AL33=1,BF33+BI$4*BD33,-1000000000)</f>
        <v>1516.25</v>
      </c>
      <c r="BJ33" s="16" t="n">
        <f aca="false">IF(AL33=1,BF33+BJ$4*BD33,-1000000000)</f>
        <v>2828.75</v>
      </c>
      <c r="BK33" s="16" t="n">
        <f aca="false">IF(AL33=1,BF33+BK$4*BD33,-1000000000)</f>
        <v>5453.75</v>
      </c>
      <c r="BL33" s="16" t="n">
        <f aca="false">IF(AL33=1,BF33+BL$4*BD33,-1000000000)</f>
        <v>8078.75</v>
      </c>
      <c r="BM33" s="12" t="n">
        <f aca="false">IF(H33=0,1,IF(I33=VALUE(LEFT("123456",H33)),1,0))</f>
        <v>0</v>
      </c>
      <c r="BN33" s="12" t="n">
        <f aca="false">IF(BG33&gt;0,1000*BG33,-1000000000000)</f>
        <v>203750</v>
      </c>
      <c r="BO33" s="16" t="n">
        <f aca="false">IF(BG33&gt;0,BG33+100,-1000000000)</f>
        <v>303.75</v>
      </c>
      <c r="BP33" s="20" t="n">
        <f aca="false">IF(BG33&gt;0,LN(BG33),-1000000000)</f>
        <v>5.31689375212097</v>
      </c>
    </row>
    <row r="34" customFormat="false" ht="15" hidden="false" customHeight="false" outlineLevel="0" collapsed="false">
      <c r="A34" s="12" t="n">
        <v>28</v>
      </c>
      <c r="B34" s="12" t="n">
        <f aca="false">MOD(INT($A34/32),2)</f>
        <v>0</v>
      </c>
      <c r="C34" s="12" t="n">
        <f aca="false">MOD(INT($A34/16),2)</f>
        <v>1</v>
      </c>
      <c r="D34" s="12" t="n">
        <f aca="false">MOD(INT($A34/8),2)</f>
        <v>1</v>
      </c>
      <c r="E34" s="12" t="n">
        <f aca="false">MOD(INT($A34/4),2)</f>
        <v>1</v>
      </c>
      <c r="F34" s="12" t="n">
        <f aca="false">MOD(INT($A34/2),2)</f>
        <v>0</v>
      </c>
      <c r="G34" s="12" t="n">
        <f aca="false">MOD(INT($A34/1),2)</f>
        <v>0</v>
      </c>
      <c r="H34" s="12" t="n">
        <f aca="false">SUM(B34:G34)</f>
        <v>3</v>
      </c>
      <c r="I34" s="12" t="n">
        <f aca="false">IF(H34=0,0,VALUE(IF(B34=1,"1","")&amp;IF(C34=1,"2","")&amp;IF(D34=1,"3","")&amp;IF(E34=1,"4","")&amp;IF(F34=1,"5","")&amp;IF(G34=1,"6","")))</f>
        <v>234</v>
      </c>
      <c r="J34" s="14" t="n">
        <f aca="false">IF(B34=1,Eff_0+Gap_closed*(Eff_ceiling-Eff_0),Eff_0)</f>
        <v>71</v>
      </c>
      <c r="K34" s="14" t="n">
        <f aca="false">IF(C34=1,J34+Gap_closed*(Eff_ceiling-J34),J34)</f>
        <v>78</v>
      </c>
      <c r="L34" s="14" t="n">
        <f aca="false">IF(D34=1,K34+Gap_closed*(Eff_ceiling-K34),K34)</f>
        <v>81.5</v>
      </c>
      <c r="M34" s="14" t="n">
        <f aca="false">IF(E34=1,L34+Gap_closed*(Eff_ceiling-L34),L34)</f>
        <v>83.25</v>
      </c>
      <c r="N34" s="14" t="n">
        <f aca="false">IF(F34=1,M34+Gap_closed*(Eff_ceiling-M34),M34)</f>
        <v>83.25</v>
      </c>
      <c r="O34" s="14" t="n">
        <f aca="false">IF(G34=1,N34+Gap_closed*(Eff_ceiling-N34),N34)</f>
        <v>83.25</v>
      </c>
      <c r="P34" s="14" t="n">
        <f aca="false">Sav_point*(J34-Eff_0)</f>
        <v>0</v>
      </c>
      <c r="Q34" s="14" t="n">
        <f aca="false">Sav_point*(K34-Eff_0)</f>
        <v>70</v>
      </c>
      <c r="R34" s="14" t="n">
        <f aca="false">Sav_point*(L34-Eff_0)</f>
        <v>105</v>
      </c>
      <c r="S34" s="14" t="n">
        <f aca="false">Sav_point*(M34-Eff_0)</f>
        <v>122.5</v>
      </c>
      <c r="T34" s="14" t="n">
        <f aca="false">Sav_point*(N34-Eff_0)</f>
        <v>122.5</v>
      </c>
      <c r="U34" s="14" t="n">
        <f aca="false">Sav_point*(O34-Eff_0)</f>
        <v>122.5</v>
      </c>
      <c r="V34" s="14" t="n">
        <f aca="false">SUM(P34:U34)</f>
        <v>542.5</v>
      </c>
      <c r="W34" s="12" t="n">
        <f aca="false">IF(AND(H34&gt;0,Cap_0&lt;Cap_min),0,1)</f>
        <v>1</v>
      </c>
      <c r="X34" s="16" t="n">
        <f aca="false">Liq_0-Round_cost*B34+1*P34</f>
        <v>620</v>
      </c>
      <c r="Y34" s="16" t="n">
        <f aca="false">X34-Round_cost*C34+1*Q34</f>
        <v>570</v>
      </c>
      <c r="Z34" s="16" t="n">
        <f aca="false">Y34-Round_cost*D34+1*R34</f>
        <v>555</v>
      </c>
      <c r="AA34" s="16" t="n">
        <f aca="false">Z34-Round_cost*E34+1*S34</f>
        <v>557.5</v>
      </c>
      <c r="AB34" s="16" t="n">
        <f aca="false">AA34-Round_cost*F34+1*T34</f>
        <v>680</v>
      </c>
      <c r="AC34" s="16" t="n">
        <f aca="false">AB34-Round_cost*G34+1*U34</f>
        <v>802.5</v>
      </c>
      <c r="AD34" s="19" t="n">
        <f aca="false">IF(B34=1,Liq_0-Round_cost,1000000000)</f>
        <v>1000000000</v>
      </c>
      <c r="AE34" s="19" t="n">
        <f aca="false">IF(C34=1,X34-Round_cost,1000000000)</f>
        <v>500</v>
      </c>
      <c r="AF34" s="19" t="n">
        <f aca="false">IF(D34=1,Y34-Round_cost,1000000000)</f>
        <v>450</v>
      </c>
      <c r="AG34" s="19" t="n">
        <f aca="false">IF(E34=1,Z34-Round_cost,1000000000)</f>
        <v>435</v>
      </c>
      <c r="AH34" s="19" t="n">
        <f aca="false">IF(F34=1,AA34-Round_cost,1000000000)</f>
        <v>1000000000</v>
      </c>
      <c r="AI34" s="19" t="n">
        <f aca="false">IF(G34=1,AB34-Round_cost,1000000000)</f>
        <v>1000000000</v>
      </c>
      <c r="AJ34" s="12" t="n">
        <f aca="false">IF(AND(MIN(X34:AC34)&gt;=Floor_liq-0.000000001,MIN(AD34:AI34)&gt;=Floor_liq-0.000000001),1,0)</f>
        <v>1</v>
      </c>
      <c r="AK34" s="12" t="n">
        <f aca="false">IF(AC34&gt;=End_liq-0.000000001,1,0)</f>
        <v>1</v>
      </c>
      <c r="AL34" s="12" t="n">
        <f aca="false">AJ34*AK34*W34</f>
        <v>1</v>
      </c>
      <c r="AM34" s="16" t="n">
        <f aca="false">Liq_0-Round_cost*B34+(1-Pledge_share)*P34</f>
        <v>620</v>
      </c>
      <c r="AN34" s="16" t="n">
        <f aca="false">AM34-Round_cost*C34+(1-Pledge_share)*Q34</f>
        <v>535</v>
      </c>
      <c r="AO34" s="16" t="n">
        <f aca="false">AN34-Round_cost*D34+(1-Pledge_share)*R34</f>
        <v>467.5</v>
      </c>
      <c r="AP34" s="16" t="n">
        <f aca="false">AO34-Round_cost*E34+(1-Pledge_share)*S34</f>
        <v>408.75</v>
      </c>
      <c r="AQ34" s="16" t="n">
        <f aca="false">AP34-Round_cost*F34+(1-Pledge_share)*T34</f>
        <v>470</v>
      </c>
      <c r="AR34" s="16" t="n">
        <f aca="false">AQ34-Round_cost*G34+(1-Pledge_share)*U34</f>
        <v>531.25</v>
      </c>
      <c r="AS34" s="19" t="n">
        <f aca="false">IF(B34=1,Liq_0-Round_cost,1000000000)</f>
        <v>1000000000</v>
      </c>
      <c r="AT34" s="19" t="n">
        <f aca="false">IF(C34=1,AM34-Round_cost,1000000000)</f>
        <v>500</v>
      </c>
      <c r="AU34" s="19" t="n">
        <f aca="false">IF(D34=1,AN34-Round_cost,1000000000)</f>
        <v>415</v>
      </c>
      <c r="AV34" s="19" t="n">
        <f aca="false">IF(E34=1,AO34-Round_cost,1000000000)</f>
        <v>347.5</v>
      </c>
      <c r="AW34" s="19" t="n">
        <f aca="false">IF(F34=1,AP34-Round_cost,1000000000)</f>
        <v>1000000000</v>
      </c>
      <c r="AX34" s="19" t="n">
        <f aca="false">IF(G34=1,AQ34-Round_cost,1000000000)</f>
        <v>1000000000</v>
      </c>
      <c r="AY34" s="12" t="n">
        <f aca="false">IF(AND(MIN(AM34:AR34)&gt;=Floor_liq-0.000000001,MIN(AS34:AX34)&gt;=Floor_liq-0.000000001),1,0)</f>
        <v>0</v>
      </c>
      <c r="AZ34" s="12" t="n">
        <f aca="false">IF(AR34&gt;=End_liq-0.000000001,1,0)</f>
        <v>1</v>
      </c>
      <c r="BA34" s="12" t="n">
        <f aca="false">AY34*AZ34*W34</f>
        <v>0</v>
      </c>
      <c r="BB34" s="16" t="n">
        <f aca="false">Pledge_share*V34</f>
        <v>271.25</v>
      </c>
      <c r="BC34" s="16" t="n">
        <f aca="false">IF(BA34=1,H34*10000+BB34,-1)</f>
        <v>-1</v>
      </c>
      <c r="BD34" s="14" t="n">
        <f aca="false">U34</f>
        <v>122.5</v>
      </c>
      <c r="BE34" s="16" t="n">
        <f aca="false">AC34</f>
        <v>802.5</v>
      </c>
      <c r="BF34" s="16" t="n">
        <f aca="false">IF(AL34=1,AC34-End_liq,-1000000000)</f>
        <v>332.5</v>
      </c>
      <c r="BG34" s="16" t="n">
        <f aca="false">IF(AL34=1,BF34+BG$4*BD34,-1000000000)</f>
        <v>332.5</v>
      </c>
      <c r="BH34" s="16" t="n">
        <f aca="false">IF(AL34=1,BF34+BH$4*BD34,-1000000000)</f>
        <v>945</v>
      </c>
      <c r="BI34" s="16" t="n">
        <f aca="false">IF(AL34=1,BF34+BI$4*BD34,-1000000000)</f>
        <v>1557.5</v>
      </c>
      <c r="BJ34" s="16" t="n">
        <f aca="false">IF(AL34=1,BF34+BJ$4*BD34,-1000000000)</f>
        <v>2782.5</v>
      </c>
      <c r="BK34" s="16" t="n">
        <f aca="false">IF(AL34=1,BF34+BK$4*BD34,-1000000000)</f>
        <v>5232.5</v>
      </c>
      <c r="BL34" s="16" t="n">
        <f aca="false">IF(AL34=1,BF34+BL$4*BD34,-1000000000)</f>
        <v>7682.5</v>
      </c>
      <c r="BM34" s="12" t="n">
        <f aca="false">IF(H34=0,1,IF(I34=VALUE(LEFT("123456",H34)),1,0))</f>
        <v>0</v>
      </c>
      <c r="BN34" s="12" t="n">
        <f aca="false">IF(BG34&gt;0,1000*BG34,-1000000000000)</f>
        <v>332500</v>
      </c>
      <c r="BO34" s="16" t="n">
        <f aca="false">IF(BG34&gt;0,BG34+100,-1000000000)</f>
        <v>432.5</v>
      </c>
      <c r="BP34" s="20" t="n">
        <f aca="false">IF(BG34&gt;0,LN(BG34),-1000000000)</f>
        <v>5.80663986009591</v>
      </c>
    </row>
    <row r="35" customFormat="false" ht="15" hidden="false" customHeight="false" outlineLevel="0" collapsed="false">
      <c r="A35" s="12" t="n">
        <v>29</v>
      </c>
      <c r="B35" s="12" t="n">
        <f aca="false">MOD(INT($A35/32),2)</f>
        <v>0</v>
      </c>
      <c r="C35" s="12" t="n">
        <f aca="false">MOD(INT($A35/16),2)</f>
        <v>1</v>
      </c>
      <c r="D35" s="12" t="n">
        <f aca="false">MOD(INT($A35/8),2)</f>
        <v>1</v>
      </c>
      <c r="E35" s="12" t="n">
        <f aca="false">MOD(INT($A35/4),2)</f>
        <v>1</v>
      </c>
      <c r="F35" s="12" t="n">
        <f aca="false">MOD(INT($A35/2),2)</f>
        <v>0</v>
      </c>
      <c r="G35" s="12" t="n">
        <f aca="false">MOD(INT($A35/1),2)</f>
        <v>1</v>
      </c>
      <c r="H35" s="12" t="n">
        <f aca="false">SUM(B35:G35)</f>
        <v>4</v>
      </c>
      <c r="I35" s="12" t="n">
        <f aca="false">IF(H35=0,0,VALUE(IF(B35=1,"1","")&amp;IF(C35=1,"2","")&amp;IF(D35=1,"3","")&amp;IF(E35=1,"4","")&amp;IF(F35=1,"5","")&amp;IF(G35=1,"6","")))</f>
        <v>2346</v>
      </c>
      <c r="J35" s="14" t="n">
        <f aca="false">IF(B35=1,Eff_0+Gap_closed*(Eff_ceiling-Eff_0),Eff_0)</f>
        <v>71</v>
      </c>
      <c r="K35" s="14" t="n">
        <f aca="false">IF(C35=1,J35+Gap_closed*(Eff_ceiling-J35),J35)</f>
        <v>78</v>
      </c>
      <c r="L35" s="14" t="n">
        <f aca="false">IF(D35=1,K35+Gap_closed*(Eff_ceiling-K35),K35)</f>
        <v>81.5</v>
      </c>
      <c r="M35" s="14" t="n">
        <f aca="false">IF(E35=1,L35+Gap_closed*(Eff_ceiling-L35),L35)</f>
        <v>83.25</v>
      </c>
      <c r="N35" s="14" t="n">
        <f aca="false">IF(F35=1,M35+Gap_closed*(Eff_ceiling-M35),M35)</f>
        <v>83.25</v>
      </c>
      <c r="O35" s="14" t="n">
        <f aca="false">IF(G35=1,N35+Gap_closed*(Eff_ceiling-N35),N35)</f>
        <v>84.125</v>
      </c>
      <c r="P35" s="14" t="n">
        <f aca="false">Sav_point*(J35-Eff_0)</f>
        <v>0</v>
      </c>
      <c r="Q35" s="14" t="n">
        <f aca="false">Sav_point*(K35-Eff_0)</f>
        <v>70</v>
      </c>
      <c r="R35" s="14" t="n">
        <f aca="false">Sav_point*(L35-Eff_0)</f>
        <v>105</v>
      </c>
      <c r="S35" s="14" t="n">
        <f aca="false">Sav_point*(M35-Eff_0)</f>
        <v>122.5</v>
      </c>
      <c r="T35" s="14" t="n">
        <f aca="false">Sav_point*(N35-Eff_0)</f>
        <v>122.5</v>
      </c>
      <c r="U35" s="14" t="n">
        <f aca="false">Sav_point*(O35-Eff_0)</f>
        <v>131.25</v>
      </c>
      <c r="V35" s="14" t="n">
        <f aca="false">SUM(P35:U35)</f>
        <v>551.25</v>
      </c>
      <c r="W35" s="12" t="n">
        <f aca="false">IF(AND(H35&gt;0,Cap_0&lt;Cap_min),0,1)</f>
        <v>1</v>
      </c>
      <c r="X35" s="16" t="n">
        <f aca="false">Liq_0-Round_cost*B35+1*P35</f>
        <v>620</v>
      </c>
      <c r="Y35" s="16" t="n">
        <f aca="false">X35-Round_cost*C35+1*Q35</f>
        <v>570</v>
      </c>
      <c r="Z35" s="16" t="n">
        <f aca="false">Y35-Round_cost*D35+1*R35</f>
        <v>555</v>
      </c>
      <c r="AA35" s="16" t="n">
        <f aca="false">Z35-Round_cost*E35+1*S35</f>
        <v>557.5</v>
      </c>
      <c r="AB35" s="16" t="n">
        <f aca="false">AA35-Round_cost*F35+1*T35</f>
        <v>680</v>
      </c>
      <c r="AC35" s="16" t="n">
        <f aca="false">AB35-Round_cost*G35+1*U35</f>
        <v>691.25</v>
      </c>
      <c r="AD35" s="19" t="n">
        <f aca="false">IF(B35=1,Liq_0-Round_cost,1000000000)</f>
        <v>1000000000</v>
      </c>
      <c r="AE35" s="19" t="n">
        <f aca="false">IF(C35=1,X35-Round_cost,1000000000)</f>
        <v>500</v>
      </c>
      <c r="AF35" s="19" t="n">
        <f aca="false">IF(D35=1,Y35-Round_cost,1000000000)</f>
        <v>450</v>
      </c>
      <c r="AG35" s="19" t="n">
        <f aca="false">IF(E35=1,Z35-Round_cost,1000000000)</f>
        <v>435</v>
      </c>
      <c r="AH35" s="19" t="n">
        <f aca="false">IF(F35=1,AA35-Round_cost,1000000000)</f>
        <v>1000000000</v>
      </c>
      <c r="AI35" s="19" t="n">
        <f aca="false">IF(G35=1,AB35-Round_cost,1000000000)</f>
        <v>560</v>
      </c>
      <c r="AJ35" s="12" t="n">
        <f aca="false">IF(AND(MIN(X35:AC35)&gt;=Floor_liq-0.000000001,MIN(AD35:AI35)&gt;=Floor_liq-0.000000001),1,0)</f>
        <v>1</v>
      </c>
      <c r="AK35" s="12" t="n">
        <f aca="false">IF(AC35&gt;=End_liq-0.000000001,1,0)</f>
        <v>1</v>
      </c>
      <c r="AL35" s="12" t="n">
        <f aca="false">AJ35*AK35*W35</f>
        <v>1</v>
      </c>
      <c r="AM35" s="16" t="n">
        <f aca="false">Liq_0-Round_cost*B35+(1-Pledge_share)*P35</f>
        <v>620</v>
      </c>
      <c r="AN35" s="16" t="n">
        <f aca="false">AM35-Round_cost*C35+(1-Pledge_share)*Q35</f>
        <v>535</v>
      </c>
      <c r="AO35" s="16" t="n">
        <f aca="false">AN35-Round_cost*D35+(1-Pledge_share)*R35</f>
        <v>467.5</v>
      </c>
      <c r="AP35" s="16" t="n">
        <f aca="false">AO35-Round_cost*E35+(1-Pledge_share)*S35</f>
        <v>408.75</v>
      </c>
      <c r="AQ35" s="16" t="n">
        <f aca="false">AP35-Round_cost*F35+(1-Pledge_share)*T35</f>
        <v>470</v>
      </c>
      <c r="AR35" s="16" t="n">
        <f aca="false">AQ35-Round_cost*G35+(1-Pledge_share)*U35</f>
        <v>415.625</v>
      </c>
      <c r="AS35" s="19" t="n">
        <f aca="false">IF(B35=1,Liq_0-Round_cost,1000000000)</f>
        <v>1000000000</v>
      </c>
      <c r="AT35" s="19" t="n">
        <f aca="false">IF(C35=1,AM35-Round_cost,1000000000)</f>
        <v>500</v>
      </c>
      <c r="AU35" s="19" t="n">
        <f aca="false">IF(D35=1,AN35-Round_cost,1000000000)</f>
        <v>415</v>
      </c>
      <c r="AV35" s="19" t="n">
        <f aca="false">IF(E35=1,AO35-Round_cost,1000000000)</f>
        <v>347.5</v>
      </c>
      <c r="AW35" s="19" t="n">
        <f aca="false">IF(F35=1,AP35-Round_cost,1000000000)</f>
        <v>1000000000</v>
      </c>
      <c r="AX35" s="19" t="n">
        <f aca="false">IF(G35=1,AQ35-Round_cost,1000000000)</f>
        <v>350</v>
      </c>
      <c r="AY35" s="12" t="n">
        <f aca="false">IF(AND(MIN(AM35:AR35)&gt;=Floor_liq-0.000000001,MIN(AS35:AX35)&gt;=Floor_liq-0.000000001),1,0)</f>
        <v>0</v>
      </c>
      <c r="AZ35" s="12" t="n">
        <f aca="false">IF(AR35&gt;=End_liq-0.000000001,1,0)</f>
        <v>0</v>
      </c>
      <c r="BA35" s="12" t="n">
        <f aca="false">AY35*AZ35*W35</f>
        <v>0</v>
      </c>
      <c r="BB35" s="16" t="n">
        <f aca="false">Pledge_share*V35</f>
        <v>275.625</v>
      </c>
      <c r="BC35" s="16" t="n">
        <f aca="false">IF(BA35=1,H35*10000+BB35,-1)</f>
        <v>-1</v>
      </c>
      <c r="BD35" s="14" t="n">
        <f aca="false">U35</f>
        <v>131.25</v>
      </c>
      <c r="BE35" s="16" t="n">
        <f aca="false">AC35</f>
        <v>691.25</v>
      </c>
      <c r="BF35" s="16" t="n">
        <f aca="false">IF(AL35=1,AC35-End_liq,-1000000000)</f>
        <v>221.25</v>
      </c>
      <c r="BG35" s="16" t="n">
        <f aca="false">IF(AL35=1,BF35+BG$4*BD35,-1000000000)</f>
        <v>221.25</v>
      </c>
      <c r="BH35" s="16" t="n">
        <f aca="false">IF(AL35=1,BF35+BH$4*BD35,-1000000000)</f>
        <v>877.5</v>
      </c>
      <c r="BI35" s="16" t="n">
        <f aca="false">IF(AL35=1,BF35+BI$4*BD35,-1000000000)</f>
        <v>1533.75</v>
      </c>
      <c r="BJ35" s="16" t="n">
        <f aca="false">IF(AL35=1,BF35+BJ$4*BD35,-1000000000)</f>
        <v>2846.25</v>
      </c>
      <c r="BK35" s="16" t="n">
        <f aca="false">IF(AL35=1,BF35+BK$4*BD35,-1000000000)</f>
        <v>5471.25</v>
      </c>
      <c r="BL35" s="16" t="n">
        <f aca="false">IF(AL35=1,BF35+BL$4*BD35,-1000000000)</f>
        <v>8096.25</v>
      </c>
      <c r="BM35" s="12" t="n">
        <f aca="false">IF(H35=0,1,IF(I35=VALUE(LEFT("123456",H35)),1,0))</f>
        <v>0</v>
      </c>
      <c r="BN35" s="12" t="n">
        <f aca="false">IF(BG35&gt;0,1000*BG35,-1000000000000)</f>
        <v>221250</v>
      </c>
      <c r="BO35" s="16" t="n">
        <f aca="false">IF(BG35&gt;0,BG35+100,-1000000000)</f>
        <v>321.25</v>
      </c>
      <c r="BP35" s="20" t="n">
        <f aca="false">IF(BG35&gt;0,LN(BG35),-1000000000)</f>
        <v>5.39929328388804</v>
      </c>
    </row>
    <row r="36" customFormat="false" ht="15" hidden="false" customHeight="false" outlineLevel="0" collapsed="false">
      <c r="A36" s="12" t="n">
        <v>30</v>
      </c>
      <c r="B36" s="12" t="n">
        <f aca="false">MOD(INT($A36/32),2)</f>
        <v>0</v>
      </c>
      <c r="C36" s="12" t="n">
        <f aca="false">MOD(INT($A36/16),2)</f>
        <v>1</v>
      </c>
      <c r="D36" s="12" t="n">
        <f aca="false">MOD(INT($A36/8),2)</f>
        <v>1</v>
      </c>
      <c r="E36" s="12" t="n">
        <f aca="false">MOD(INT($A36/4),2)</f>
        <v>1</v>
      </c>
      <c r="F36" s="12" t="n">
        <f aca="false">MOD(INT($A36/2),2)</f>
        <v>1</v>
      </c>
      <c r="G36" s="12" t="n">
        <f aca="false">MOD(INT($A36/1),2)</f>
        <v>0</v>
      </c>
      <c r="H36" s="12" t="n">
        <f aca="false">SUM(B36:G36)</f>
        <v>4</v>
      </c>
      <c r="I36" s="12" t="n">
        <f aca="false">IF(H36=0,0,VALUE(IF(B36=1,"1","")&amp;IF(C36=1,"2","")&amp;IF(D36=1,"3","")&amp;IF(E36=1,"4","")&amp;IF(F36=1,"5","")&amp;IF(G36=1,"6","")))</f>
        <v>2345</v>
      </c>
      <c r="J36" s="14" t="n">
        <f aca="false">IF(B36=1,Eff_0+Gap_closed*(Eff_ceiling-Eff_0),Eff_0)</f>
        <v>71</v>
      </c>
      <c r="K36" s="14" t="n">
        <f aca="false">IF(C36=1,J36+Gap_closed*(Eff_ceiling-J36),J36)</f>
        <v>78</v>
      </c>
      <c r="L36" s="14" t="n">
        <f aca="false">IF(D36=1,K36+Gap_closed*(Eff_ceiling-K36),K36)</f>
        <v>81.5</v>
      </c>
      <c r="M36" s="14" t="n">
        <f aca="false">IF(E36=1,L36+Gap_closed*(Eff_ceiling-L36),L36)</f>
        <v>83.25</v>
      </c>
      <c r="N36" s="14" t="n">
        <f aca="false">IF(F36=1,M36+Gap_closed*(Eff_ceiling-M36),M36)</f>
        <v>84.125</v>
      </c>
      <c r="O36" s="14" t="n">
        <f aca="false">IF(G36=1,N36+Gap_closed*(Eff_ceiling-N36),N36)</f>
        <v>84.125</v>
      </c>
      <c r="P36" s="14" t="n">
        <f aca="false">Sav_point*(J36-Eff_0)</f>
        <v>0</v>
      </c>
      <c r="Q36" s="14" t="n">
        <f aca="false">Sav_point*(K36-Eff_0)</f>
        <v>70</v>
      </c>
      <c r="R36" s="14" t="n">
        <f aca="false">Sav_point*(L36-Eff_0)</f>
        <v>105</v>
      </c>
      <c r="S36" s="14" t="n">
        <f aca="false">Sav_point*(M36-Eff_0)</f>
        <v>122.5</v>
      </c>
      <c r="T36" s="14" t="n">
        <f aca="false">Sav_point*(N36-Eff_0)</f>
        <v>131.25</v>
      </c>
      <c r="U36" s="14" t="n">
        <f aca="false">Sav_point*(O36-Eff_0)</f>
        <v>131.25</v>
      </c>
      <c r="V36" s="14" t="n">
        <f aca="false">SUM(P36:U36)</f>
        <v>560</v>
      </c>
      <c r="W36" s="12" t="n">
        <f aca="false">IF(AND(H36&gt;0,Cap_0&lt;Cap_min),0,1)</f>
        <v>1</v>
      </c>
      <c r="X36" s="16" t="n">
        <f aca="false">Liq_0-Round_cost*B36+1*P36</f>
        <v>620</v>
      </c>
      <c r="Y36" s="16" t="n">
        <f aca="false">X36-Round_cost*C36+1*Q36</f>
        <v>570</v>
      </c>
      <c r="Z36" s="16" t="n">
        <f aca="false">Y36-Round_cost*D36+1*R36</f>
        <v>555</v>
      </c>
      <c r="AA36" s="16" t="n">
        <f aca="false">Z36-Round_cost*E36+1*S36</f>
        <v>557.5</v>
      </c>
      <c r="AB36" s="16" t="n">
        <f aca="false">AA36-Round_cost*F36+1*T36</f>
        <v>568.75</v>
      </c>
      <c r="AC36" s="16" t="n">
        <f aca="false">AB36-Round_cost*G36+1*U36</f>
        <v>700</v>
      </c>
      <c r="AD36" s="19" t="n">
        <f aca="false">IF(B36=1,Liq_0-Round_cost,1000000000)</f>
        <v>1000000000</v>
      </c>
      <c r="AE36" s="19" t="n">
        <f aca="false">IF(C36=1,X36-Round_cost,1000000000)</f>
        <v>500</v>
      </c>
      <c r="AF36" s="19" t="n">
        <f aca="false">IF(D36=1,Y36-Round_cost,1000000000)</f>
        <v>450</v>
      </c>
      <c r="AG36" s="19" t="n">
        <f aca="false">IF(E36=1,Z36-Round_cost,1000000000)</f>
        <v>435</v>
      </c>
      <c r="AH36" s="19" t="n">
        <f aca="false">IF(F36=1,AA36-Round_cost,1000000000)</f>
        <v>437.5</v>
      </c>
      <c r="AI36" s="19" t="n">
        <f aca="false">IF(G36=1,AB36-Round_cost,1000000000)</f>
        <v>1000000000</v>
      </c>
      <c r="AJ36" s="12" t="n">
        <f aca="false">IF(AND(MIN(X36:AC36)&gt;=Floor_liq-0.000000001,MIN(AD36:AI36)&gt;=Floor_liq-0.000000001),1,0)</f>
        <v>1</v>
      </c>
      <c r="AK36" s="12" t="n">
        <f aca="false">IF(AC36&gt;=End_liq-0.000000001,1,0)</f>
        <v>1</v>
      </c>
      <c r="AL36" s="12" t="n">
        <f aca="false">AJ36*AK36*W36</f>
        <v>1</v>
      </c>
      <c r="AM36" s="16" t="n">
        <f aca="false">Liq_0-Round_cost*B36+(1-Pledge_share)*P36</f>
        <v>620</v>
      </c>
      <c r="AN36" s="16" t="n">
        <f aca="false">AM36-Round_cost*C36+(1-Pledge_share)*Q36</f>
        <v>535</v>
      </c>
      <c r="AO36" s="16" t="n">
        <f aca="false">AN36-Round_cost*D36+(1-Pledge_share)*R36</f>
        <v>467.5</v>
      </c>
      <c r="AP36" s="16" t="n">
        <f aca="false">AO36-Round_cost*E36+(1-Pledge_share)*S36</f>
        <v>408.75</v>
      </c>
      <c r="AQ36" s="16" t="n">
        <f aca="false">AP36-Round_cost*F36+(1-Pledge_share)*T36</f>
        <v>354.375</v>
      </c>
      <c r="AR36" s="16" t="n">
        <f aca="false">AQ36-Round_cost*G36+(1-Pledge_share)*U36</f>
        <v>420</v>
      </c>
      <c r="AS36" s="19" t="n">
        <f aca="false">IF(B36=1,Liq_0-Round_cost,1000000000)</f>
        <v>1000000000</v>
      </c>
      <c r="AT36" s="19" t="n">
        <f aca="false">IF(C36=1,AM36-Round_cost,1000000000)</f>
        <v>500</v>
      </c>
      <c r="AU36" s="19" t="n">
        <f aca="false">IF(D36=1,AN36-Round_cost,1000000000)</f>
        <v>415</v>
      </c>
      <c r="AV36" s="19" t="n">
        <f aca="false">IF(E36=1,AO36-Round_cost,1000000000)</f>
        <v>347.5</v>
      </c>
      <c r="AW36" s="19" t="n">
        <f aca="false">IF(F36=1,AP36-Round_cost,1000000000)</f>
        <v>288.75</v>
      </c>
      <c r="AX36" s="19" t="n">
        <f aca="false">IF(G36=1,AQ36-Round_cost,1000000000)</f>
        <v>1000000000</v>
      </c>
      <c r="AY36" s="12" t="n">
        <f aca="false">IF(AND(MIN(AM36:AR36)&gt;=Floor_liq-0.000000001,MIN(AS36:AX36)&gt;=Floor_liq-0.000000001),1,0)</f>
        <v>0</v>
      </c>
      <c r="AZ36" s="12" t="n">
        <f aca="false">IF(AR36&gt;=End_liq-0.000000001,1,0)</f>
        <v>0</v>
      </c>
      <c r="BA36" s="12" t="n">
        <f aca="false">AY36*AZ36*W36</f>
        <v>0</v>
      </c>
      <c r="BB36" s="16" t="n">
        <f aca="false">Pledge_share*V36</f>
        <v>280</v>
      </c>
      <c r="BC36" s="16" t="n">
        <f aca="false">IF(BA36=1,H36*10000+BB36,-1)</f>
        <v>-1</v>
      </c>
      <c r="BD36" s="14" t="n">
        <f aca="false">U36</f>
        <v>131.25</v>
      </c>
      <c r="BE36" s="16" t="n">
        <f aca="false">AC36</f>
        <v>700</v>
      </c>
      <c r="BF36" s="16" t="n">
        <f aca="false">IF(AL36=1,AC36-End_liq,-1000000000)</f>
        <v>230</v>
      </c>
      <c r="BG36" s="16" t="n">
        <f aca="false">IF(AL36=1,BF36+BG$4*BD36,-1000000000)</f>
        <v>230</v>
      </c>
      <c r="BH36" s="16" t="n">
        <f aca="false">IF(AL36=1,BF36+BH$4*BD36,-1000000000)</f>
        <v>886.25</v>
      </c>
      <c r="BI36" s="16" t="n">
        <f aca="false">IF(AL36=1,BF36+BI$4*BD36,-1000000000)</f>
        <v>1542.5</v>
      </c>
      <c r="BJ36" s="16" t="n">
        <f aca="false">IF(AL36=1,BF36+BJ$4*BD36,-1000000000)</f>
        <v>2855</v>
      </c>
      <c r="BK36" s="16" t="n">
        <f aca="false">IF(AL36=1,BF36+BK$4*BD36,-1000000000)</f>
        <v>5480</v>
      </c>
      <c r="BL36" s="16" t="n">
        <f aca="false">IF(AL36=1,BF36+BL$4*BD36,-1000000000)</f>
        <v>8105</v>
      </c>
      <c r="BM36" s="12" t="n">
        <f aca="false">IF(H36=0,1,IF(I36=VALUE(LEFT("123456",H36)),1,0))</f>
        <v>0</v>
      </c>
      <c r="BN36" s="12" t="n">
        <f aca="false">IF(BG36&gt;0,1000*BG36,-1000000000000)</f>
        <v>230000</v>
      </c>
      <c r="BO36" s="16" t="n">
        <f aca="false">IF(BG36&gt;0,BG36+100,-1000000000)</f>
        <v>330</v>
      </c>
      <c r="BP36" s="20" t="n">
        <f aca="false">IF(BG36&gt;0,LN(BG36),-1000000000)</f>
        <v>5.4380793089232</v>
      </c>
    </row>
    <row r="37" customFormat="false" ht="15" hidden="false" customHeight="false" outlineLevel="0" collapsed="false">
      <c r="A37" s="12" t="n">
        <v>31</v>
      </c>
      <c r="B37" s="12" t="n">
        <f aca="false">MOD(INT($A37/32),2)</f>
        <v>0</v>
      </c>
      <c r="C37" s="12" t="n">
        <f aca="false">MOD(INT($A37/16),2)</f>
        <v>1</v>
      </c>
      <c r="D37" s="12" t="n">
        <f aca="false">MOD(INT($A37/8),2)</f>
        <v>1</v>
      </c>
      <c r="E37" s="12" t="n">
        <f aca="false">MOD(INT($A37/4),2)</f>
        <v>1</v>
      </c>
      <c r="F37" s="12" t="n">
        <f aca="false">MOD(INT($A37/2),2)</f>
        <v>1</v>
      </c>
      <c r="G37" s="12" t="n">
        <f aca="false">MOD(INT($A37/1),2)</f>
        <v>1</v>
      </c>
      <c r="H37" s="12" t="n">
        <f aca="false">SUM(B37:G37)</f>
        <v>5</v>
      </c>
      <c r="I37" s="12" t="n">
        <f aca="false">IF(H37=0,0,VALUE(IF(B37=1,"1","")&amp;IF(C37=1,"2","")&amp;IF(D37=1,"3","")&amp;IF(E37=1,"4","")&amp;IF(F37=1,"5","")&amp;IF(G37=1,"6","")))</f>
        <v>23456</v>
      </c>
      <c r="J37" s="14" t="n">
        <f aca="false">IF(B37=1,Eff_0+Gap_closed*(Eff_ceiling-Eff_0),Eff_0)</f>
        <v>71</v>
      </c>
      <c r="K37" s="14" t="n">
        <f aca="false">IF(C37=1,J37+Gap_closed*(Eff_ceiling-J37),J37)</f>
        <v>78</v>
      </c>
      <c r="L37" s="14" t="n">
        <f aca="false">IF(D37=1,K37+Gap_closed*(Eff_ceiling-K37),K37)</f>
        <v>81.5</v>
      </c>
      <c r="M37" s="14" t="n">
        <f aca="false">IF(E37=1,L37+Gap_closed*(Eff_ceiling-L37),L37)</f>
        <v>83.25</v>
      </c>
      <c r="N37" s="14" t="n">
        <f aca="false">IF(F37=1,M37+Gap_closed*(Eff_ceiling-M37),M37)</f>
        <v>84.125</v>
      </c>
      <c r="O37" s="14" t="n">
        <f aca="false">IF(G37=1,N37+Gap_closed*(Eff_ceiling-N37),N37)</f>
        <v>84.5625</v>
      </c>
      <c r="P37" s="14" t="n">
        <f aca="false">Sav_point*(J37-Eff_0)</f>
        <v>0</v>
      </c>
      <c r="Q37" s="14" t="n">
        <f aca="false">Sav_point*(K37-Eff_0)</f>
        <v>70</v>
      </c>
      <c r="R37" s="14" t="n">
        <f aca="false">Sav_point*(L37-Eff_0)</f>
        <v>105</v>
      </c>
      <c r="S37" s="14" t="n">
        <f aca="false">Sav_point*(M37-Eff_0)</f>
        <v>122.5</v>
      </c>
      <c r="T37" s="14" t="n">
        <f aca="false">Sav_point*(N37-Eff_0)</f>
        <v>131.25</v>
      </c>
      <c r="U37" s="14" t="n">
        <f aca="false">Sav_point*(O37-Eff_0)</f>
        <v>135.625</v>
      </c>
      <c r="V37" s="14" t="n">
        <f aca="false">SUM(P37:U37)</f>
        <v>564.375</v>
      </c>
      <c r="W37" s="12" t="n">
        <f aca="false">IF(AND(H37&gt;0,Cap_0&lt;Cap_min),0,1)</f>
        <v>1</v>
      </c>
      <c r="X37" s="16" t="n">
        <f aca="false">Liq_0-Round_cost*B37+1*P37</f>
        <v>620</v>
      </c>
      <c r="Y37" s="16" t="n">
        <f aca="false">X37-Round_cost*C37+1*Q37</f>
        <v>570</v>
      </c>
      <c r="Z37" s="16" t="n">
        <f aca="false">Y37-Round_cost*D37+1*R37</f>
        <v>555</v>
      </c>
      <c r="AA37" s="16" t="n">
        <f aca="false">Z37-Round_cost*E37+1*S37</f>
        <v>557.5</v>
      </c>
      <c r="AB37" s="16" t="n">
        <f aca="false">AA37-Round_cost*F37+1*T37</f>
        <v>568.75</v>
      </c>
      <c r="AC37" s="16" t="n">
        <f aca="false">AB37-Round_cost*G37+1*U37</f>
        <v>584.375</v>
      </c>
      <c r="AD37" s="19" t="n">
        <f aca="false">IF(B37=1,Liq_0-Round_cost,1000000000)</f>
        <v>1000000000</v>
      </c>
      <c r="AE37" s="19" t="n">
        <f aca="false">IF(C37=1,X37-Round_cost,1000000000)</f>
        <v>500</v>
      </c>
      <c r="AF37" s="19" t="n">
        <f aca="false">IF(D37=1,Y37-Round_cost,1000000000)</f>
        <v>450</v>
      </c>
      <c r="AG37" s="19" t="n">
        <f aca="false">IF(E37=1,Z37-Round_cost,1000000000)</f>
        <v>435</v>
      </c>
      <c r="AH37" s="19" t="n">
        <f aca="false">IF(F37=1,AA37-Round_cost,1000000000)</f>
        <v>437.5</v>
      </c>
      <c r="AI37" s="19" t="n">
        <f aca="false">IF(G37=1,AB37-Round_cost,1000000000)</f>
        <v>448.75</v>
      </c>
      <c r="AJ37" s="12" t="n">
        <f aca="false">IF(AND(MIN(X37:AC37)&gt;=Floor_liq-0.000000001,MIN(AD37:AI37)&gt;=Floor_liq-0.000000001),1,0)</f>
        <v>1</v>
      </c>
      <c r="AK37" s="12" t="n">
        <f aca="false">IF(AC37&gt;=End_liq-0.000000001,1,0)</f>
        <v>1</v>
      </c>
      <c r="AL37" s="12" t="n">
        <f aca="false">AJ37*AK37*W37</f>
        <v>1</v>
      </c>
      <c r="AM37" s="16" t="n">
        <f aca="false">Liq_0-Round_cost*B37+(1-Pledge_share)*P37</f>
        <v>620</v>
      </c>
      <c r="AN37" s="16" t="n">
        <f aca="false">AM37-Round_cost*C37+(1-Pledge_share)*Q37</f>
        <v>535</v>
      </c>
      <c r="AO37" s="16" t="n">
        <f aca="false">AN37-Round_cost*D37+(1-Pledge_share)*R37</f>
        <v>467.5</v>
      </c>
      <c r="AP37" s="16" t="n">
        <f aca="false">AO37-Round_cost*E37+(1-Pledge_share)*S37</f>
        <v>408.75</v>
      </c>
      <c r="AQ37" s="16" t="n">
        <f aca="false">AP37-Round_cost*F37+(1-Pledge_share)*T37</f>
        <v>354.375</v>
      </c>
      <c r="AR37" s="16" t="n">
        <f aca="false">AQ37-Round_cost*G37+(1-Pledge_share)*U37</f>
        <v>302.1875</v>
      </c>
      <c r="AS37" s="19" t="n">
        <f aca="false">IF(B37=1,Liq_0-Round_cost,1000000000)</f>
        <v>1000000000</v>
      </c>
      <c r="AT37" s="19" t="n">
        <f aca="false">IF(C37=1,AM37-Round_cost,1000000000)</f>
        <v>500</v>
      </c>
      <c r="AU37" s="19" t="n">
        <f aca="false">IF(D37=1,AN37-Round_cost,1000000000)</f>
        <v>415</v>
      </c>
      <c r="AV37" s="19" t="n">
        <f aca="false">IF(E37=1,AO37-Round_cost,1000000000)</f>
        <v>347.5</v>
      </c>
      <c r="AW37" s="19" t="n">
        <f aca="false">IF(F37=1,AP37-Round_cost,1000000000)</f>
        <v>288.75</v>
      </c>
      <c r="AX37" s="19" t="n">
        <f aca="false">IF(G37=1,AQ37-Round_cost,1000000000)</f>
        <v>234.375</v>
      </c>
      <c r="AY37" s="12" t="n">
        <f aca="false">IF(AND(MIN(AM37:AR37)&gt;=Floor_liq-0.000000001,MIN(AS37:AX37)&gt;=Floor_liq-0.000000001),1,0)</f>
        <v>0</v>
      </c>
      <c r="AZ37" s="12" t="n">
        <f aca="false">IF(AR37&gt;=End_liq-0.000000001,1,0)</f>
        <v>0</v>
      </c>
      <c r="BA37" s="12" t="n">
        <f aca="false">AY37*AZ37*W37</f>
        <v>0</v>
      </c>
      <c r="BB37" s="16" t="n">
        <f aca="false">Pledge_share*V37</f>
        <v>282.1875</v>
      </c>
      <c r="BC37" s="16" t="n">
        <f aca="false">IF(BA37=1,H37*10000+BB37,-1)</f>
        <v>-1</v>
      </c>
      <c r="BD37" s="14" t="n">
        <f aca="false">U37</f>
        <v>135.625</v>
      </c>
      <c r="BE37" s="16" t="n">
        <f aca="false">AC37</f>
        <v>584.375</v>
      </c>
      <c r="BF37" s="16" t="n">
        <f aca="false">IF(AL37=1,AC37-End_liq,-1000000000)</f>
        <v>114.375</v>
      </c>
      <c r="BG37" s="16" t="n">
        <f aca="false">IF(AL37=1,BF37+BG$4*BD37,-1000000000)</f>
        <v>114.375</v>
      </c>
      <c r="BH37" s="16" t="n">
        <f aca="false">IF(AL37=1,BF37+BH$4*BD37,-1000000000)</f>
        <v>792.5</v>
      </c>
      <c r="BI37" s="16" t="n">
        <f aca="false">IF(AL37=1,BF37+BI$4*BD37,-1000000000)</f>
        <v>1470.625</v>
      </c>
      <c r="BJ37" s="16" t="n">
        <f aca="false">IF(AL37=1,BF37+BJ$4*BD37,-1000000000)</f>
        <v>2826.875</v>
      </c>
      <c r="BK37" s="16" t="n">
        <f aca="false">IF(AL37=1,BF37+BK$4*BD37,-1000000000)</f>
        <v>5539.375</v>
      </c>
      <c r="BL37" s="16" t="n">
        <f aca="false">IF(AL37=1,BF37+BL$4*BD37,-1000000000)</f>
        <v>8251.875</v>
      </c>
      <c r="BM37" s="12" t="n">
        <f aca="false">IF(H37=0,1,IF(I37=VALUE(LEFT("123456",H37)),1,0))</f>
        <v>0</v>
      </c>
      <c r="BN37" s="12" t="n">
        <f aca="false">IF(BG37&gt;0,1000*BG37,-1000000000000)</f>
        <v>114375</v>
      </c>
      <c r="BO37" s="16" t="n">
        <f aca="false">IF(BG37&gt;0,BG37+100,-1000000000)</f>
        <v>214.375</v>
      </c>
      <c r="BP37" s="20" t="n">
        <f aca="false">IF(BG37&gt;0,LN(BG37),-1000000000)</f>
        <v>4.73948252359569</v>
      </c>
    </row>
    <row r="38" customFormat="false" ht="15" hidden="false" customHeight="false" outlineLevel="0" collapsed="false">
      <c r="A38" s="12" t="n">
        <v>32</v>
      </c>
      <c r="B38" s="12" t="n">
        <f aca="false">MOD(INT($A38/32),2)</f>
        <v>1</v>
      </c>
      <c r="C38" s="12" t="n">
        <f aca="false">MOD(INT($A38/16),2)</f>
        <v>0</v>
      </c>
      <c r="D38" s="12" t="n">
        <f aca="false">MOD(INT($A38/8),2)</f>
        <v>0</v>
      </c>
      <c r="E38" s="12" t="n">
        <f aca="false">MOD(INT($A38/4),2)</f>
        <v>0</v>
      </c>
      <c r="F38" s="12" t="n">
        <f aca="false">MOD(INT($A38/2),2)</f>
        <v>0</v>
      </c>
      <c r="G38" s="12" t="n">
        <f aca="false">MOD(INT($A38/1),2)</f>
        <v>0</v>
      </c>
      <c r="H38" s="12" t="n">
        <f aca="false">SUM(B38:G38)</f>
        <v>1</v>
      </c>
      <c r="I38" s="12" t="n">
        <f aca="false">IF(H38=0,0,VALUE(IF(B38=1,"1","")&amp;IF(C38=1,"2","")&amp;IF(D38=1,"3","")&amp;IF(E38=1,"4","")&amp;IF(F38=1,"5","")&amp;IF(G38=1,"6","")))</f>
        <v>1</v>
      </c>
      <c r="J38" s="14" t="n">
        <f aca="false">IF(B38=1,Eff_0+Gap_closed*(Eff_ceiling-Eff_0),Eff_0)</f>
        <v>78</v>
      </c>
      <c r="K38" s="14" t="n">
        <f aca="false">IF(C38=1,J38+Gap_closed*(Eff_ceiling-J38),J38)</f>
        <v>78</v>
      </c>
      <c r="L38" s="14" t="n">
        <f aca="false">IF(D38=1,K38+Gap_closed*(Eff_ceiling-K38),K38)</f>
        <v>78</v>
      </c>
      <c r="M38" s="14" t="n">
        <f aca="false">IF(E38=1,L38+Gap_closed*(Eff_ceiling-L38),L38)</f>
        <v>78</v>
      </c>
      <c r="N38" s="14" t="n">
        <f aca="false">IF(F38=1,M38+Gap_closed*(Eff_ceiling-M38),M38)</f>
        <v>78</v>
      </c>
      <c r="O38" s="14" t="n">
        <f aca="false">IF(G38=1,N38+Gap_closed*(Eff_ceiling-N38),N38)</f>
        <v>78</v>
      </c>
      <c r="P38" s="14" t="n">
        <f aca="false">Sav_point*(J38-Eff_0)</f>
        <v>70</v>
      </c>
      <c r="Q38" s="14" t="n">
        <f aca="false">Sav_point*(K38-Eff_0)</f>
        <v>70</v>
      </c>
      <c r="R38" s="14" t="n">
        <f aca="false">Sav_point*(L38-Eff_0)</f>
        <v>70</v>
      </c>
      <c r="S38" s="14" t="n">
        <f aca="false">Sav_point*(M38-Eff_0)</f>
        <v>70</v>
      </c>
      <c r="T38" s="14" t="n">
        <f aca="false">Sav_point*(N38-Eff_0)</f>
        <v>70</v>
      </c>
      <c r="U38" s="14" t="n">
        <f aca="false">Sav_point*(O38-Eff_0)</f>
        <v>70</v>
      </c>
      <c r="V38" s="14" t="n">
        <f aca="false">SUM(P38:U38)</f>
        <v>420</v>
      </c>
      <c r="W38" s="12" t="n">
        <f aca="false">IF(AND(H38&gt;0,Cap_0&lt;Cap_min),0,1)</f>
        <v>1</v>
      </c>
      <c r="X38" s="16" t="n">
        <f aca="false">Liq_0-Round_cost*B38+1*P38</f>
        <v>570</v>
      </c>
      <c r="Y38" s="16" t="n">
        <f aca="false">X38-Round_cost*C38+1*Q38</f>
        <v>640</v>
      </c>
      <c r="Z38" s="16" t="n">
        <f aca="false">Y38-Round_cost*D38+1*R38</f>
        <v>710</v>
      </c>
      <c r="AA38" s="16" t="n">
        <f aca="false">Z38-Round_cost*E38+1*S38</f>
        <v>780</v>
      </c>
      <c r="AB38" s="16" t="n">
        <f aca="false">AA38-Round_cost*F38+1*T38</f>
        <v>850</v>
      </c>
      <c r="AC38" s="16" t="n">
        <f aca="false">AB38-Round_cost*G38+1*U38</f>
        <v>920</v>
      </c>
      <c r="AD38" s="19" t="n">
        <f aca="false">IF(B38=1,Liq_0-Round_cost,1000000000)</f>
        <v>500</v>
      </c>
      <c r="AE38" s="19" t="n">
        <f aca="false">IF(C38=1,X38-Round_cost,1000000000)</f>
        <v>1000000000</v>
      </c>
      <c r="AF38" s="19" t="n">
        <f aca="false">IF(D38=1,Y38-Round_cost,1000000000)</f>
        <v>1000000000</v>
      </c>
      <c r="AG38" s="19" t="n">
        <f aca="false">IF(E38=1,Z38-Round_cost,1000000000)</f>
        <v>1000000000</v>
      </c>
      <c r="AH38" s="19" t="n">
        <f aca="false">IF(F38=1,AA38-Round_cost,1000000000)</f>
        <v>1000000000</v>
      </c>
      <c r="AI38" s="19" t="n">
        <f aca="false">IF(G38=1,AB38-Round_cost,1000000000)</f>
        <v>1000000000</v>
      </c>
      <c r="AJ38" s="12" t="n">
        <f aca="false">IF(AND(MIN(X38:AC38)&gt;=Floor_liq-0.000000001,MIN(AD38:AI38)&gt;=Floor_liq-0.000000001),1,0)</f>
        <v>1</v>
      </c>
      <c r="AK38" s="12" t="n">
        <f aca="false">IF(AC38&gt;=End_liq-0.000000001,1,0)</f>
        <v>1</v>
      </c>
      <c r="AL38" s="12" t="n">
        <f aca="false">AJ38*AK38*W38</f>
        <v>1</v>
      </c>
      <c r="AM38" s="16" t="n">
        <f aca="false">Liq_0-Round_cost*B38+(1-Pledge_share)*P38</f>
        <v>535</v>
      </c>
      <c r="AN38" s="16" t="n">
        <f aca="false">AM38-Round_cost*C38+(1-Pledge_share)*Q38</f>
        <v>570</v>
      </c>
      <c r="AO38" s="16" t="n">
        <f aca="false">AN38-Round_cost*D38+(1-Pledge_share)*R38</f>
        <v>605</v>
      </c>
      <c r="AP38" s="16" t="n">
        <f aca="false">AO38-Round_cost*E38+(1-Pledge_share)*S38</f>
        <v>640</v>
      </c>
      <c r="AQ38" s="16" t="n">
        <f aca="false">AP38-Round_cost*F38+(1-Pledge_share)*T38</f>
        <v>675</v>
      </c>
      <c r="AR38" s="16" t="n">
        <f aca="false">AQ38-Round_cost*G38+(1-Pledge_share)*U38</f>
        <v>710</v>
      </c>
      <c r="AS38" s="19" t="n">
        <f aca="false">IF(B38=1,Liq_0-Round_cost,1000000000)</f>
        <v>500</v>
      </c>
      <c r="AT38" s="19" t="n">
        <f aca="false">IF(C38=1,AM38-Round_cost,1000000000)</f>
        <v>1000000000</v>
      </c>
      <c r="AU38" s="19" t="n">
        <f aca="false">IF(D38=1,AN38-Round_cost,1000000000)</f>
        <v>1000000000</v>
      </c>
      <c r="AV38" s="19" t="n">
        <f aca="false">IF(E38=1,AO38-Round_cost,1000000000)</f>
        <v>1000000000</v>
      </c>
      <c r="AW38" s="19" t="n">
        <f aca="false">IF(F38=1,AP38-Round_cost,1000000000)</f>
        <v>1000000000</v>
      </c>
      <c r="AX38" s="19" t="n">
        <f aca="false">IF(G38=1,AQ38-Round_cost,1000000000)</f>
        <v>1000000000</v>
      </c>
      <c r="AY38" s="12" t="n">
        <f aca="false">IF(AND(MIN(AM38:AR38)&gt;=Floor_liq-0.000000001,MIN(AS38:AX38)&gt;=Floor_liq-0.000000001),1,0)</f>
        <v>1</v>
      </c>
      <c r="AZ38" s="12" t="n">
        <f aca="false">IF(AR38&gt;=End_liq-0.000000001,1,0)</f>
        <v>1</v>
      </c>
      <c r="BA38" s="12" t="n">
        <f aca="false">AY38*AZ38*W38</f>
        <v>1</v>
      </c>
      <c r="BB38" s="16" t="n">
        <f aca="false">Pledge_share*V38</f>
        <v>210</v>
      </c>
      <c r="BC38" s="16" t="n">
        <f aca="false">IF(BA38=1,H38*10000+BB38,-1)</f>
        <v>10210</v>
      </c>
      <c r="BD38" s="14" t="n">
        <f aca="false">U38</f>
        <v>70</v>
      </c>
      <c r="BE38" s="16" t="n">
        <f aca="false">AC38</f>
        <v>920</v>
      </c>
      <c r="BF38" s="16" t="n">
        <f aca="false">IF(AL38=1,AC38-End_liq,-1000000000)</f>
        <v>450</v>
      </c>
      <c r="BG38" s="16" t="n">
        <f aca="false">IF(AL38=1,BF38+BG$4*BD38,-1000000000)</f>
        <v>450</v>
      </c>
      <c r="BH38" s="16" t="n">
        <f aca="false">IF(AL38=1,BF38+BH$4*BD38,-1000000000)</f>
        <v>800</v>
      </c>
      <c r="BI38" s="16" t="n">
        <f aca="false">IF(AL38=1,BF38+BI$4*BD38,-1000000000)</f>
        <v>1150</v>
      </c>
      <c r="BJ38" s="16" t="n">
        <f aca="false">IF(AL38=1,BF38+BJ$4*BD38,-1000000000)</f>
        <v>1850</v>
      </c>
      <c r="BK38" s="16" t="n">
        <f aca="false">IF(AL38=1,BF38+BK$4*BD38,-1000000000)</f>
        <v>3250</v>
      </c>
      <c r="BL38" s="16" t="n">
        <f aca="false">IF(AL38=1,BF38+BL$4*BD38,-1000000000)</f>
        <v>4650</v>
      </c>
      <c r="BM38" s="12" t="n">
        <f aca="false">IF(H38=0,1,IF(I38=VALUE(LEFT("123456",H38)),1,0))</f>
        <v>1</v>
      </c>
      <c r="BN38" s="12" t="n">
        <f aca="false">IF(BG38&gt;0,1000*BG38,-1000000000000)</f>
        <v>450000</v>
      </c>
      <c r="BO38" s="16" t="n">
        <f aca="false">IF(BG38&gt;0,BG38+100,-1000000000)</f>
        <v>550</v>
      </c>
      <c r="BP38" s="20" t="n">
        <f aca="false">IF(BG38&gt;0,LN(BG38),-1000000000)</f>
        <v>6.10924758276437</v>
      </c>
    </row>
    <row r="39" customFormat="false" ht="15" hidden="false" customHeight="false" outlineLevel="0" collapsed="false">
      <c r="A39" s="12" t="n">
        <v>33</v>
      </c>
      <c r="B39" s="12" t="n">
        <f aca="false">MOD(INT($A39/32),2)</f>
        <v>1</v>
      </c>
      <c r="C39" s="12" t="n">
        <f aca="false">MOD(INT($A39/16),2)</f>
        <v>0</v>
      </c>
      <c r="D39" s="12" t="n">
        <f aca="false">MOD(INT($A39/8),2)</f>
        <v>0</v>
      </c>
      <c r="E39" s="12" t="n">
        <f aca="false">MOD(INT($A39/4),2)</f>
        <v>0</v>
      </c>
      <c r="F39" s="12" t="n">
        <f aca="false">MOD(INT($A39/2),2)</f>
        <v>0</v>
      </c>
      <c r="G39" s="12" t="n">
        <f aca="false">MOD(INT($A39/1),2)</f>
        <v>1</v>
      </c>
      <c r="H39" s="12" t="n">
        <f aca="false">SUM(B39:G39)</f>
        <v>2</v>
      </c>
      <c r="I39" s="12" t="n">
        <f aca="false">IF(H39=0,0,VALUE(IF(B39=1,"1","")&amp;IF(C39=1,"2","")&amp;IF(D39=1,"3","")&amp;IF(E39=1,"4","")&amp;IF(F39=1,"5","")&amp;IF(G39=1,"6","")))</f>
        <v>16</v>
      </c>
      <c r="J39" s="14" t="n">
        <f aca="false">IF(B39=1,Eff_0+Gap_closed*(Eff_ceiling-Eff_0),Eff_0)</f>
        <v>78</v>
      </c>
      <c r="K39" s="14" t="n">
        <f aca="false">IF(C39=1,J39+Gap_closed*(Eff_ceiling-J39),J39)</f>
        <v>78</v>
      </c>
      <c r="L39" s="14" t="n">
        <f aca="false">IF(D39=1,K39+Gap_closed*(Eff_ceiling-K39),K39)</f>
        <v>78</v>
      </c>
      <c r="M39" s="14" t="n">
        <f aca="false">IF(E39=1,L39+Gap_closed*(Eff_ceiling-L39),L39)</f>
        <v>78</v>
      </c>
      <c r="N39" s="14" t="n">
        <f aca="false">IF(F39=1,M39+Gap_closed*(Eff_ceiling-M39),M39)</f>
        <v>78</v>
      </c>
      <c r="O39" s="14" t="n">
        <f aca="false">IF(G39=1,N39+Gap_closed*(Eff_ceiling-N39),N39)</f>
        <v>81.5</v>
      </c>
      <c r="P39" s="14" t="n">
        <f aca="false">Sav_point*(J39-Eff_0)</f>
        <v>70</v>
      </c>
      <c r="Q39" s="14" t="n">
        <f aca="false">Sav_point*(K39-Eff_0)</f>
        <v>70</v>
      </c>
      <c r="R39" s="14" t="n">
        <f aca="false">Sav_point*(L39-Eff_0)</f>
        <v>70</v>
      </c>
      <c r="S39" s="14" t="n">
        <f aca="false">Sav_point*(M39-Eff_0)</f>
        <v>70</v>
      </c>
      <c r="T39" s="14" t="n">
        <f aca="false">Sav_point*(N39-Eff_0)</f>
        <v>70</v>
      </c>
      <c r="U39" s="14" t="n">
        <f aca="false">Sav_point*(O39-Eff_0)</f>
        <v>105</v>
      </c>
      <c r="V39" s="14" t="n">
        <f aca="false">SUM(P39:U39)</f>
        <v>455</v>
      </c>
      <c r="W39" s="12" t="n">
        <f aca="false">IF(AND(H39&gt;0,Cap_0&lt;Cap_min),0,1)</f>
        <v>1</v>
      </c>
      <c r="X39" s="16" t="n">
        <f aca="false">Liq_0-Round_cost*B39+1*P39</f>
        <v>570</v>
      </c>
      <c r="Y39" s="16" t="n">
        <f aca="false">X39-Round_cost*C39+1*Q39</f>
        <v>640</v>
      </c>
      <c r="Z39" s="16" t="n">
        <f aca="false">Y39-Round_cost*D39+1*R39</f>
        <v>710</v>
      </c>
      <c r="AA39" s="16" t="n">
        <f aca="false">Z39-Round_cost*E39+1*S39</f>
        <v>780</v>
      </c>
      <c r="AB39" s="16" t="n">
        <f aca="false">AA39-Round_cost*F39+1*T39</f>
        <v>850</v>
      </c>
      <c r="AC39" s="16" t="n">
        <f aca="false">AB39-Round_cost*G39+1*U39</f>
        <v>835</v>
      </c>
      <c r="AD39" s="19" t="n">
        <f aca="false">IF(B39=1,Liq_0-Round_cost,1000000000)</f>
        <v>500</v>
      </c>
      <c r="AE39" s="19" t="n">
        <f aca="false">IF(C39=1,X39-Round_cost,1000000000)</f>
        <v>1000000000</v>
      </c>
      <c r="AF39" s="19" t="n">
        <f aca="false">IF(D39=1,Y39-Round_cost,1000000000)</f>
        <v>1000000000</v>
      </c>
      <c r="AG39" s="19" t="n">
        <f aca="false">IF(E39=1,Z39-Round_cost,1000000000)</f>
        <v>1000000000</v>
      </c>
      <c r="AH39" s="19" t="n">
        <f aca="false">IF(F39=1,AA39-Round_cost,1000000000)</f>
        <v>1000000000</v>
      </c>
      <c r="AI39" s="19" t="n">
        <f aca="false">IF(G39=1,AB39-Round_cost,1000000000)</f>
        <v>730</v>
      </c>
      <c r="AJ39" s="12" t="n">
        <f aca="false">IF(AND(MIN(X39:AC39)&gt;=Floor_liq-0.000000001,MIN(AD39:AI39)&gt;=Floor_liq-0.000000001),1,0)</f>
        <v>1</v>
      </c>
      <c r="AK39" s="12" t="n">
        <f aca="false">IF(AC39&gt;=End_liq-0.000000001,1,0)</f>
        <v>1</v>
      </c>
      <c r="AL39" s="12" t="n">
        <f aca="false">AJ39*AK39*W39</f>
        <v>1</v>
      </c>
      <c r="AM39" s="16" t="n">
        <f aca="false">Liq_0-Round_cost*B39+(1-Pledge_share)*P39</f>
        <v>535</v>
      </c>
      <c r="AN39" s="16" t="n">
        <f aca="false">AM39-Round_cost*C39+(1-Pledge_share)*Q39</f>
        <v>570</v>
      </c>
      <c r="AO39" s="16" t="n">
        <f aca="false">AN39-Round_cost*D39+(1-Pledge_share)*R39</f>
        <v>605</v>
      </c>
      <c r="AP39" s="16" t="n">
        <f aca="false">AO39-Round_cost*E39+(1-Pledge_share)*S39</f>
        <v>640</v>
      </c>
      <c r="AQ39" s="16" t="n">
        <f aca="false">AP39-Round_cost*F39+(1-Pledge_share)*T39</f>
        <v>675</v>
      </c>
      <c r="AR39" s="16" t="n">
        <f aca="false">AQ39-Round_cost*G39+(1-Pledge_share)*U39</f>
        <v>607.5</v>
      </c>
      <c r="AS39" s="19" t="n">
        <f aca="false">IF(B39=1,Liq_0-Round_cost,1000000000)</f>
        <v>500</v>
      </c>
      <c r="AT39" s="19" t="n">
        <f aca="false">IF(C39=1,AM39-Round_cost,1000000000)</f>
        <v>1000000000</v>
      </c>
      <c r="AU39" s="19" t="n">
        <f aca="false">IF(D39=1,AN39-Round_cost,1000000000)</f>
        <v>1000000000</v>
      </c>
      <c r="AV39" s="19" t="n">
        <f aca="false">IF(E39=1,AO39-Round_cost,1000000000)</f>
        <v>1000000000</v>
      </c>
      <c r="AW39" s="19" t="n">
        <f aca="false">IF(F39=1,AP39-Round_cost,1000000000)</f>
        <v>1000000000</v>
      </c>
      <c r="AX39" s="19" t="n">
        <f aca="false">IF(G39=1,AQ39-Round_cost,1000000000)</f>
        <v>555</v>
      </c>
      <c r="AY39" s="12" t="n">
        <f aca="false">IF(AND(MIN(AM39:AR39)&gt;=Floor_liq-0.000000001,MIN(AS39:AX39)&gt;=Floor_liq-0.000000001),1,0)</f>
        <v>1</v>
      </c>
      <c r="AZ39" s="12" t="n">
        <f aca="false">IF(AR39&gt;=End_liq-0.000000001,1,0)</f>
        <v>1</v>
      </c>
      <c r="BA39" s="12" t="n">
        <f aca="false">AY39*AZ39*W39</f>
        <v>1</v>
      </c>
      <c r="BB39" s="16" t="n">
        <f aca="false">Pledge_share*V39</f>
        <v>227.5</v>
      </c>
      <c r="BC39" s="16" t="n">
        <f aca="false">IF(BA39=1,H39*10000+BB39,-1)</f>
        <v>20227.5</v>
      </c>
      <c r="BD39" s="14" t="n">
        <f aca="false">U39</f>
        <v>105</v>
      </c>
      <c r="BE39" s="16" t="n">
        <f aca="false">AC39</f>
        <v>835</v>
      </c>
      <c r="BF39" s="16" t="n">
        <f aca="false">IF(AL39=1,AC39-End_liq,-1000000000)</f>
        <v>365</v>
      </c>
      <c r="BG39" s="16" t="n">
        <f aca="false">IF(AL39=1,BF39+BG$4*BD39,-1000000000)</f>
        <v>365</v>
      </c>
      <c r="BH39" s="16" t="n">
        <f aca="false">IF(AL39=1,BF39+BH$4*BD39,-1000000000)</f>
        <v>890</v>
      </c>
      <c r="BI39" s="16" t="n">
        <f aca="false">IF(AL39=1,BF39+BI$4*BD39,-1000000000)</f>
        <v>1415</v>
      </c>
      <c r="BJ39" s="16" t="n">
        <f aca="false">IF(AL39=1,BF39+BJ$4*BD39,-1000000000)</f>
        <v>2465</v>
      </c>
      <c r="BK39" s="16" t="n">
        <f aca="false">IF(AL39=1,BF39+BK$4*BD39,-1000000000)</f>
        <v>4565</v>
      </c>
      <c r="BL39" s="16" t="n">
        <f aca="false">IF(AL39=1,BF39+BL$4*BD39,-1000000000)</f>
        <v>6665</v>
      </c>
      <c r="BM39" s="12" t="n">
        <f aca="false">IF(H39=0,1,IF(I39=VALUE(LEFT("123456",H39)),1,0))</f>
        <v>0</v>
      </c>
      <c r="BN39" s="12" t="n">
        <f aca="false">IF(BG39&gt;0,1000*BG39,-1000000000000)</f>
        <v>365000</v>
      </c>
      <c r="BO39" s="16" t="n">
        <f aca="false">IF(BG39&gt;0,BG39+100,-1000000000)</f>
        <v>465</v>
      </c>
      <c r="BP39" s="20" t="n">
        <f aca="false">IF(BG39&gt;0,LN(BG39),-1000000000)</f>
        <v>5.89989735358249</v>
      </c>
    </row>
    <row r="40" customFormat="false" ht="15" hidden="false" customHeight="false" outlineLevel="0" collapsed="false">
      <c r="A40" s="12" t="n">
        <v>34</v>
      </c>
      <c r="B40" s="12" t="n">
        <f aca="false">MOD(INT($A40/32),2)</f>
        <v>1</v>
      </c>
      <c r="C40" s="12" t="n">
        <f aca="false">MOD(INT($A40/16),2)</f>
        <v>0</v>
      </c>
      <c r="D40" s="12" t="n">
        <f aca="false">MOD(INT($A40/8),2)</f>
        <v>0</v>
      </c>
      <c r="E40" s="12" t="n">
        <f aca="false">MOD(INT($A40/4),2)</f>
        <v>0</v>
      </c>
      <c r="F40" s="12" t="n">
        <f aca="false">MOD(INT($A40/2),2)</f>
        <v>1</v>
      </c>
      <c r="G40" s="12" t="n">
        <f aca="false">MOD(INT($A40/1),2)</f>
        <v>0</v>
      </c>
      <c r="H40" s="12" t="n">
        <f aca="false">SUM(B40:G40)</f>
        <v>2</v>
      </c>
      <c r="I40" s="12" t="n">
        <f aca="false">IF(H40=0,0,VALUE(IF(B40=1,"1","")&amp;IF(C40=1,"2","")&amp;IF(D40=1,"3","")&amp;IF(E40=1,"4","")&amp;IF(F40=1,"5","")&amp;IF(G40=1,"6","")))</f>
        <v>15</v>
      </c>
      <c r="J40" s="14" t="n">
        <f aca="false">IF(B40=1,Eff_0+Gap_closed*(Eff_ceiling-Eff_0),Eff_0)</f>
        <v>78</v>
      </c>
      <c r="K40" s="14" t="n">
        <f aca="false">IF(C40=1,J40+Gap_closed*(Eff_ceiling-J40),J40)</f>
        <v>78</v>
      </c>
      <c r="L40" s="14" t="n">
        <f aca="false">IF(D40=1,K40+Gap_closed*(Eff_ceiling-K40),K40)</f>
        <v>78</v>
      </c>
      <c r="M40" s="14" t="n">
        <f aca="false">IF(E40=1,L40+Gap_closed*(Eff_ceiling-L40),L40)</f>
        <v>78</v>
      </c>
      <c r="N40" s="14" t="n">
        <f aca="false">IF(F40=1,M40+Gap_closed*(Eff_ceiling-M40),M40)</f>
        <v>81.5</v>
      </c>
      <c r="O40" s="14" t="n">
        <f aca="false">IF(G40=1,N40+Gap_closed*(Eff_ceiling-N40),N40)</f>
        <v>81.5</v>
      </c>
      <c r="P40" s="14" t="n">
        <f aca="false">Sav_point*(J40-Eff_0)</f>
        <v>70</v>
      </c>
      <c r="Q40" s="14" t="n">
        <f aca="false">Sav_point*(K40-Eff_0)</f>
        <v>70</v>
      </c>
      <c r="R40" s="14" t="n">
        <f aca="false">Sav_point*(L40-Eff_0)</f>
        <v>70</v>
      </c>
      <c r="S40" s="14" t="n">
        <f aca="false">Sav_point*(M40-Eff_0)</f>
        <v>70</v>
      </c>
      <c r="T40" s="14" t="n">
        <f aca="false">Sav_point*(N40-Eff_0)</f>
        <v>105</v>
      </c>
      <c r="U40" s="14" t="n">
        <f aca="false">Sav_point*(O40-Eff_0)</f>
        <v>105</v>
      </c>
      <c r="V40" s="14" t="n">
        <f aca="false">SUM(P40:U40)</f>
        <v>490</v>
      </c>
      <c r="W40" s="12" t="n">
        <f aca="false">IF(AND(H40&gt;0,Cap_0&lt;Cap_min),0,1)</f>
        <v>1</v>
      </c>
      <c r="X40" s="16" t="n">
        <f aca="false">Liq_0-Round_cost*B40+1*P40</f>
        <v>570</v>
      </c>
      <c r="Y40" s="16" t="n">
        <f aca="false">X40-Round_cost*C40+1*Q40</f>
        <v>640</v>
      </c>
      <c r="Z40" s="16" t="n">
        <f aca="false">Y40-Round_cost*D40+1*R40</f>
        <v>710</v>
      </c>
      <c r="AA40" s="16" t="n">
        <f aca="false">Z40-Round_cost*E40+1*S40</f>
        <v>780</v>
      </c>
      <c r="AB40" s="16" t="n">
        <f aca="false">AA40-Round_cost*F40+1*T40</f>
        <v>765</v>
      </c>
      <c r="AC40" s="16" t="n">
        <f aca="false">AB40-Round_cost*G40+1*U40</f>
        <v>870</v>
      </c>
      <c r="AD40" s="19" t="n">
        <f aca="false">IF(B40=1,Liq_0-Round_cost,1000000000)</f>
        <v>500</v>
      </c>
      <c r="AE40" s="19" t="n">
        <f aca="false">IF(C40=1,X40-Round_cost,1000000000)</f>
        <v>1000000000</v>
      </c>
      <c r="AF40" s="19" t="n">
        <f aca="false">IF(D40=1,Y40-Round_cost,1000000000)</f>
        <v>1000000000</v>
      </c>
      <c r="AG40" s="19" t="n">
        <f aca="false">IF(E40=1,Z40-Round_cost,1000000000)</f>
        <v>1000000000</v>
      </c>
      <c r="AH40" s="19" t="n">
        <f aca="false">IF(F40=1,AA40-Round_cost,1000000000)</f>
        <v>660</v>
      </c>
      <c r="AI40" s="19" t="n">
        <f aca="false">IF(G40=1,AB40-Round_cost,1000000000)</f>
        <v>1000000000</v>
      </c>
      <c r="AJ40" s="12" t="n">
        <f aca="false">IF(AND(MIN(X40:AC40)&gt;=Floor_liq-0.000000001,MIN(AD40:AI40)&gt;=Floor_liq-0.000000001),1,0)</f>
        <v>1</v>
      </c>
      <c r="AK40" s="12" t="n">
        <f aca="false">IF(AC40&gt;=End_liq-0.000000001,1,0)</f>
        <v>1</v>
      </c>
      <c r="AL40" s="12" t="n">
        <f aca="false">AJ40*AK40*W40</f>
        <v>1</v>
      </c>
      <c r="AM40" s="16" t="n">
        <f aca="false">Liq_0-Round_cost*B40+(1-Pledge_share)*P40</f>
        <v>535</v>
      </c>
      <c r="AN40" s="16" t="n">
        <f aca="false">AM40-Round_cost*C40+(1-Pledge_share)*Q40</f>
        <v>570</v>
      </c>
      <c r="AO40" s="16" t="n">
        <f aca="false">AN40-Round_cost*D40+(1-Pledge_share)*R40</f>
        <v>605</v>
      </c>
      <c r="AP40" s="16" t="n">
        <f aca="false">AO40-Round_cost*E40+(1-Pledge_share)*S40</f>
        <v>640</v>
      </c>
      <c r="AQ40" s="16" t="n">
        <f aca="false">AP40-Round_cost*F40+(1-Pledge_share)*T40</f>
        <v>572.5</v>
      </c>
      <c r="AR40" s="16" t="n">
        <f aca="false">AQ40-Round_cost*G40+(1-Pledge_share)*U40</f>
        <v>625</v>
      </c>
      <c r="AS40" s="19" t="n">
        <f aca="false">IF(B40=1,Liq_0-Round_cost,1000000000)</f>
        <v>500</v>
      </c>
      <c r="AT40" s="19" t="n">
        <f aca="false">IF(C40=1,AM40-Round_cost,1000000000)</f>
        <v>1000000000</v>
      </c>
      <c r="AU40" s="19" t="n">
        <f aca="false">IF(D40=1,AN40-Round_cost,1000000000)</f>
        <v>1000000000</v>
      </c>
      <c r="AV40" s="19" t="n">
        <f aca="false">IF(E40=1,AO40-Round_cost,1000000000)</f>
        <v>1000000000</v>
      </c>
      <c r="AW40" s="19" t="n">
        <f aca="false">IF(F40=1,AP40-Round_cost,1000000000)</f>
        <v>520</v>
      </c>
      <c r="AX40" s="19" t="n">
        <f aca="false">IF(G40=1,AQ40-Round_cost,1000000000)</f>
        <v>1000000000</v>
      </c>
      <c r="AY40" s="12" t="n">
        <f aca="false">IF(AND(MIN(AM40:AR40)&gt;=Floor_liq-0.000000001,MIN(AS40:AX40)&gt;=Floor_liq-0.000000001),1,0)</f>
        <v>1</v>
      </c>
      <c r="AZ40" s="12" t="n">
        <f aca="false">IF(AR40&gt;=End_liq-0.000000001,1,0)</f>
        <v>1</v>
      </c>
      <c r="BA40" s="12" t="n">
        <f aca="false">AY40*AZ40*W40</f>
        <v>1</v>
      </c>
      <c r="BB40" s="16" t="n">
        <f aca="false">Pledge_share*V40</f>
        <v>245</v>
      </c>
      <c r="BC40" s="16" t="n">
        <f aca="false">IF(BA40=1,H40*10000+BB40,-1)</f>
        <v>20245</v>
      </c>
      <c r="BD40" s="14" t="n">
        <f aca="false">U40</f>
        <v>105</v>
      </c>
      <c r="BE40" s="16" t="n">
        <f aca="false">AC40</f>
        <v>870</v>
      </c>
      <c r="BF40" s="16" t="n">
        <f aca="false">IF(AL40=1,AC40-End_liq,-1000000000)</f>
        <v>400</v>
      </c>
      <c r="BG40" s="16" t="n">
        <f aca="false">IF(AL40=1,BF40+BG$4*BD40,-1000000000)</f>
        <v>400</v>
      </c>
      <c r="BH40" s="16" t="n">
        <f aca="false">IF(AL40=1,BF40+BH$4*BD40,-1000000000)</f>
        <v>925</v>
      </c>
      <c r="BI40" s="16" t="n">
        <f aca="false">IF(AL40=1,BF40+BI$4*BD40,-1000000000)</f>
        <v>1450</v>
      </c>
      <c r="BJ40" s="16" t="n">
        <f aca="false">IF(AL40=1,BF40+BJ$4*BD40,-1000000000)</f>
        <v>2500</v>
      </c>
      <c r="BK40" s="16" t="n">
        <f aca="false">IF(AL40=1,BF40+BK$4*BD40,-1000000000)</f>
        <v>4600</v>
      </c>
      <c r="BL40" s="16" t="n">
        <f aca="false">IF(AL40=1,BF40+BL$4*BD40,-1000000000)</f>
        <v>6700</v>
      </c>
      <c r="BM40" s="12" t="n">
        <f aca="false">IF(H40=0,1,IF(I40=VALUE(LEFT("123456",H40)),1,0))</f>
        <v>0</v>
      </c>
      <c r="BN40" s="12" t="n">
        <f aca="false">IF(BG40&gt;0,1000*BG40,-1000000000000)</f>
        <v>400000</v>
      </c>
      <c r="BO40" s="16" t="n">
        <f aca="false">IF(BG40&gt;0,BG40+100,-1000000000)</f>
        <v>500</v>
      </c>
      <c r="BP40" s="20" t="n">
        <f aca="false">IF(BG40&gt;0,LN(BG40),-1000000000)</f>
        <v>5.99146454710798</v>
      </c>
    </row>
    <row r="41" customFormat="false" ht="15" hidden="false" customHeight="false" outlineLevel="0" collapsed="false">
      <c r="A41" s="12" t="n">
        <v>35</v>
      </c>
      <c r="B41" s="12" t="n">
        <f aca="false">MOD(INT($A41/32),2)</f>
        <v>1</v>
      </c>
      <c r="C41" s="12" t="n">
        <f aca="false">MOD(INT($A41/16),2)</f>
        <v>0</v>
      </c>
      <c r="D41" s="12" t="n">
        <f aca="false">MOD(INT($A41/8),2)</f>
        <v>0</v>
      </c>
      <c r="E41" s="12" t="n">
        <f aca="false">MOD(INT($A41/4),2)</f>
        <v>0</v>
      </c>
      <c r="F41" s="12" t="n">
        <f aca="false">MOD(INT($A41/2),2)</f>
        <v>1</v>
      </c>
      <c r="G41" s="12" t="n">
        <f aca="false">MOD(INT($A41/1),2)</f>
        <v>1</v>
      </c>
      <c r="H41" s="12" t="n">
        <f aca="false">SUM(B41:G41)</f>
        <v>3</v>
      </c>
      <c r="I41" s="12" t="n">
        <f aca="false">IF(H41=0,0,VALUE(IF(B41=1,"1","")&amp;IF(C41=1,"2","")&amp;IF(D41=1,"3","")&amp;IF(E41=1,"4","")&amp;IF(F41=1,"5","")&amp;IF(G41=1,"6","")))</f>
        <v>156</v>
      </c>
      <c r="J41" s="14" t="n">
        <f aca="false">IF(B41=1,Eff_0+Gap_closed*(Eff_ceiling-Eff_0),Eff_0)</f>
        <v>78</v>
      </c>
      <c r="K41" s="14" t="n">
        <f aca="false">IF(C41=1,J41+Gap_closed*(Eff_ceiling-J41),J41)</f>
        <v>78</v>
      </c>
      <c r="L41" s="14" t="n">
        <f aca="false">IF(D41=1,K41+Gap_closed*(Eff_ceiling-K41),K41)</f>
        <v>78</v>
      </c>
      <c r="M41" s="14" t="n">
        <f aca="false">IF(E41=1,L41+Gap_closed*(Eff_ceiling-L41),L41)</f>
        <v>78</v>
      </c>
      <c r="N41" s="14" t="n">
        <f aca="false">IF(F41=1,M41+Gap_closed*(Eff_ceiling-M41),M41)</f>
        <v>81.5</v>
      </c>
      <c r="O41" s="14" t="n">
        <f aca="false">IF(G41=1,N41+Gap_closed*(Eff_ceiling-N41),N41)</f>
        <v>83.25</v>
      </c>
      <c r="P41" s="14" t="n">
        <f aca="false">Sav_point*(J41-Eff_0)</f>
        <v>70</v>
      </c>
      <c r="Q41" s="14" t="n">
        <f aca="false">Sav_point*(K41-Eff_0)</f>
        <v>70</v>
      </c>
      <c r="R41" s="14" t="n">
        <f aca="false">Sav_point*(L41-Eff_0)</f>
        <v>70</v>
      </c>
      <c r="S41" s="14" t="n">
        <f aca="false">Sav_point*(M41-Eff_0)</f>
        <v>70</v>
      </c>
      <c r="T41" s="14" t="n">
        <f aca="false">Sav_point*(N41-Eff_0)</f>
        <v>105</v>
      </c>
      <c r="U41" s="14" t="n">
        <f aca="false">Sav_point*(O41-Eff_0)</f>
        <v>122.5</v>
      </c>
      <c r="V41" s="14" t="n">
        <f aca="false">SUM(P41:U41)</f>
        <v>507.5</v>
      </c>
      <c r="W41" s="12" t="n">
        <f aca="false">IF(AND(H41&gt;0,Cap_0&lt;Cap_min),0,1)</f>
        <v>1</v>
      </c>
      <c r="X41" s="16" t="n">
        <f aca="false">Liq_0-Round_cost*B41+1*P41</f>
        <v>570</v>
      </c>
      <c r="Y41" s="16" t="n">
        <f aca="false">X41-Round_cost*C41+1*Q41</f>
        <v>640</v>
      </c>
      <c r="Z41" s="16" t="n">
        <f aca="false">Y41-Round_cost*D41+1*R41</f>
        <v>710</v>
      </c>
      <c r="AA41" s="16" t="n">
        <f aca="false">Z41-Round_cost*E41+1*S41</f>
        <v>780</v>
      </c>
      <c r="AB41" s="16" t="n">
        <f aca="false">AA41-Round_cost*F41+1*T41</f>
        <v>765</v>
      </c>
      <c r="AC41" s="16" t="n">
        <f aca="false">AB41-Round_cost*G41+1*U41</f>
        <v>767.5</v>
      </c>
      <c r="AD41" s="19" t="n">
        <f aca="false">IF(B41=1,Liq_0-Round_cost,1000000000)</f>
        <v>500</v>
      </c>
      <c r="AE41" s="19" t="n">
        <f aca="false">IF(C41=1,X41-Round_cost,1000000000)</f>
        <v>1000000000</v>
      </c>
      <c r="AF41" s="19" t="n">
        <f aca="false">IF(D41=1,Y41-Round_cost,1000000000)</f>
        <v>1000000000</v>
      </c>
      <c r="AG41" s="19" t="n">
        <f aca="false">IF(E41=1,Z41-Round_cost,1000000000)</f>
        <v>1000000000</v>
      </c>
      <c r="AH41" s="19" t="n">
        <f aca="false">IF(F41=1,AA41-Round_cost,1000000000)</f>
        <v>660</v>
      </c>
      <c r="AI41" s="19" t="n">
        <f aca="false">IF(G41=1,AB41-Round_cost,1000000000)</f>
        <v>645</v>
      </c>
      <c r="AJ41" s="12" t="n">
        <f aca="false">IF(AND(MIN(X41:AC41)&gt;=Floor_liq-0.000000001,MIN(AD41:AI41)&gt;=Floor_liq-0.000000001),1,0)</f>
        <v>1</v>
      </c>
      <c r="AK41" s="12" t="n">
        <f aca="false">IF(AC41&gt;=End_liq-0.000000001,1,0)</f>
        <v>1</v>
      </c>
      <c r="AL41" s="12" t="n">
        <f aca="false">AJ41*AK41*W41</f>
        <v>1</v>
      </c>
      <c r="AM41" s="16" t="n">
        <f aca="false">Liq_0-Round_cost*B41+(1-Pledge_share)*P41</f>
        <v>535</v>
      </c>
      <c r="AN41" s="16" t="n">
        <f aca="false">AM41-Round_cost*C41+(1-Pledge_share)*Q41</f>
        <v>570</v>
      </c>
      <c r="AO41" s="16" t="n">
        <f aca="false">AN41-Round_cost*D41+(1-Pledge_share)*R41</f>
        <v>605</v>
      </c>
      <c r="AP41" s="16" t="n">
        <f aca="false">AO41-Round_cost*E41+(1-Pledge_share)*S41</f>
        <v>640</v>
      </c>
      <c r="AQ41" s="16" t="n">
        <f aca="false">AP41-Round_cost*F41+(1-Pledge_share)*T41</f>
        <v>572.5</v>
      </c>
      <c r="AR41" s="16" t="n">
        <f aca="false">AQ41-Round_cost*G41+(1-Pledge_share)*U41</f>
        <v>513.75</v>
      </c>
      <c r="AS41" s="19" t="n">
        <f aca="false">IF(B41=1,Liq_0-Round_cost,1000000000)</f>
        <v>500</v>
      </c>
      <c r="AT41" s="19" t="n">
        <f aca="false">IF(C41=1,AM41-Round_cost,1000000000)</f>
        <v>1000000000</v>
      </c>
      <c r="AU41" s="19" t="n">
        <f aca="false">IF(D41=1,AN41-Round_cost,1000000000)</f>
        <v>1000000000</v>
      </c>
      <c r="AV41" s="19" t="n">
        <f aca="false">IF(E41=1,AO41-Round_cost,1000000000)</f>
        <v>1000000000</v>
      </c>
      <c r="AW41" s="19" t="n">
        <f aca="false">IF(F41=1,AP41-Round_cost,1000000000)</f>
        <v>520</v>
      </c>
      <c r="AX41" s="19" t="n">
        <f aca="false">IF(G41=1,AQ41-Round_cost,1000000000)</f>
        <v>452.5</v>
      </c>
      <c r="AY41" s="12" t="n">
        <f aca="false">IF(AND(MIN(AM41:AR41)&gt;=Floor_liq-0.000000001,MIN(AS41:AX41)&gt;=Floor_liq-0.000000001),1,0)</f>
        <v>1</v>
      </c>
      <c r="AZ41" s="12" t="n">
        <f aca="false">IF(AR41&gt;=End_liq-0.000000001,1,0)</f>
        <v>1</v>
      </c>
      <c r="BA41" s="12" t="n">
        <f aca="false">AY41*AZ41*W41</f>
        <v>1</v>
      </c>
      <c r="BB41" s="16" t="n">
        <f aca="false">Pledge_share*V41</f>
        <v>253.75</v>
      </c>
      <c r="BC41" s="16" t="n">
        <f aca="false">IF(BA41=1,H41*10000+BB41,-1)</f>
        <v>30253.75</v>
      </c>
      <c r="BD41" s="14" t="n">
        <f aca="false">U41</f>
        <v>122.5</v>
      </c>
      <c r="BE41" s="16" t="n">
        <f aca="false">AC41</f>
        <v>767.5</v>
      </c>
      <c r="BF41" s="16" t="n">
        <f aca="false">IF(AL41=1,AC41-End_liq,-1000000000)</f>
        <v>297.5</v>
      </c>
      <c r="BG41" s="16" t="n">
        <f aca="false">IF(AL41=1,BF41+BG$4*BD41,-1000000000)</f>
        <v>297.5</v>
      </c>
      <c r="BH41" s="16" t="n">
        <f aca="false">IF(AL41=1,BF41+BH$4*BD41,-1000000000)</f>
        <v>910</v>
      </c>
      <c r="BI41" s="16" t="n">
        <f aca="false">IF(AL41=1,BF41+BI$4*BD41,-1000000000)</f>
        <v>1522.5</v>
      </c>
      <c r="BJ41" s="16" t="n">
        <f aca="false">IF(AL41=1,BF41+BJ$4*BD41,-1000000000)</f>
        <v>2747.5</v>
      </c>
      <c r="BK41" s="16" t="n">
        <f aca="false">IF(AL41=1,BF41+BK$4*BD41,-1000000000)</f>
        <v>5197.5</v>
      </c>
      <c r="BL41" s="16" t="n">
        <f aca="false">IF(AL41=1,BF41+BL$4*BD41,-1000000000)</f>
        <v>7647.5</v>
      </c>
      <c r="BM41" s="12" t="n">
        <f aca="false">IF(H41=0,1,IF(I41=VALUE(LEFT("123456",H41)),1,0))</f>
        <v>0</v>
      </c>
      <c r="BN41" s="12" t="n">
        <f aca="false">IF(BG41&gt;0,1000*BG41,-1000000000000)</f>
        <v>297500</v>
      </c>
      <c r="BO41" s="16" t="n">
        <f aca="false">IF(BG41&gt;0,BG41+100,-1000000000)</f>
        <v>397.5</v>
      </c>
      <c r="BP41" s="20" t="n">
        <f aca="false">IF(BG41&gt;0,LN(BG41),-1000000000)</f>
        <v>5.69541422498569</v>
      </c>
    </row>
    <row r="42" customFormat="false" ht="15" hidden="false" customHeight="false" outlineLevel="0" collapsed="false">
      <c r="A42" s="12" t="n">
        <v>36</v>
      </c>
      <c r="B42" s="12" t="n">
        <f aca="false">MOD(INT($A42/32),2)</f>
        <v>1</v>
      </c>
      <c r="C42" s="12" t="n">
        <f aca="false">MOD(INT($A42/16),2)</f>
        <v>0</v>
      </c>
      <c r="D42" s="12" t="n">
        <f aca="false">MOD(INT($A42/8),2)</f>
        <v>0</v>
      </c>
      <c r="E42" s="12" t="n">
        <f aca="false">MOD(INT($A42/4),2)</f>
        <v>1</v>
      </c>
      <c r="F42" s="12" t="n">
        <f aca="false">MOD(INT($A42/2),2)</f>
        <v>0</v>
      </c>
      <c r="G42" s="12" t="n">
        <f aca="false">MOD(INT($A42/1),2)</f>
        <v>0</v>
      </c>
      <c r="H42" s="12" t="n">
        <f aca="false">SUM(B42:G42)</f>
        <v>2</v>
      </c>
      <c r="I42" s="12" t="n">
        <f aca="false">IF(H42=0,0,VALUE(IF(B42=1,"1","")&amp;IF(C42=1,"2","")&amp;IF(D42=1,"3","")&amp;IF(E42=1,"4","")&amp;IF(F42=1,"5","")&amp;IF(G42=1,"6","")))</f>
        <v>14</v>
      </c>
      <c r="J42" s="14" t="n">
        <f aca="false">IF(B42=1,Eff_0+Gap_closed*(Eff_ceiling-Eff_0),Eff_0)</f>
        <v>78</v>
      </c>
      <c r="K42" s="14" t="n">
        <f aca="false">IF(C42=1,J42+Gap_closed*(Eff_ceiling-J42),J42)</f>
        <v>78</v>
      </c>
      <c r="L42" s="14" t="n">
        <f aca="false">IF(D42=1,K42+Gap_closed*(Eff_ceiling-K42),K42)</f>
        <v>78</v>
      </c>
      <c r="M42" s="14" t="n">
        <f aca="false">IF(E42=1,L42+Gap_closed*(Eff_ceiling-L42),L42)</f>
        <v>81.5</v>
      </c>
      <c r="N42" s="14" t="n">
        <f aca="false">IF(F42=1,M42+Gap_closed*(Eff_ceiling-M42),M42)</f>
        <v>81.5</v>
      </c>
      <c r="O42" s="14" t="n">
        <f aca="false">IF(G42=1,N42+Gap_closed*(Eff_ceiling-N42),N42)</f>
        <v>81.5</v>
      </c>
      <c r="P42" s="14" t="n">
        <f aca="false">Sav_point*(J42-Eff_0)</f>
        <v>70</v>
      </c>
      <c r="Q42" s="14" t="n">
        <f aca="false">Sav_point*(K42-Eff_0)</f>
        <v>70</v>
      </c>
      <c r="R42" s="14" t="n">
        <f aca="false">Sav_point*(L42-Eff_0)</f>
        <v>70</v>
      </c>
      <c r="S42" s="14" t="n">
        <f aca="false">Sav_point*(M42-Eff_0)</f>
        <v>105</v>
      </c>
      <c r="T42" s="14" t="n">
        <f aca="false">Sav_point*(N42-Eff_0)</f>
        <v>105</v>
      </c>
      <c r="U42" s="14" t="n">
        <f aca="false">Sav_point*(O42-Eff_0)</f>
        <v>105</v>
      </c>
      <c r="V42" s="14" t="n">
        <f aca="false">SUM(P42:U42)</f>
        <v>525</v>
      </c>
      <c r="W42" s="12" t="n">
        <f aca="false">IF(AND(H42&gt;0,Cap_0&lt;Cap_min),0,1)</f>
        <v>1</v>
      </c>
      <c r="X42" s="16" t="n">
        <f aca="false">Liq_0-Round_cost*B42+1*P42</f>
        <v>570</v>
      </c>
      <c r="Y42" s="16" t="n">
        <f aca="false">X42-Round_cost*C42+1*Q42</f>
        <v>640</v>
      </c>
      <c r="Z42" s="16" t="n">
        <f aca="false">Y42-Round_cost*D42+1*R42</f>
        <v>710</v>
      </c>
      <c r="AA42" s="16" t="n">
        <f aca="false">Z42-Round_cost*E42+1*S42</f>
        <v>695</v>
      </c>
      <c r="AB42" s="16" t="n">
        <f aca="false">AA42-Round_cost*F42+1*T42</f>
        <v>800</v>
      </c>
      <c r="AC42" s="16" t="n">
        <f aca="false">AB42-Round_cost*G42+1*U42</f>
        <v>905</v>
      </c>
      <c r="AD42" s="19" t="n">
        <f aca="false">IF(B42=1,Liq_0-Round_cost,1000000000)</f>
        <v>500</v>
      </c>
      <c r="AE42" s="19" t="n">
        <f aca="false">IF(C42=1,X42-Round_cost,1000000000)</f>
        <v>1000000000</v>
      </c>
      <c r="AF42" s="19" t="n">
        <f aca="false">IF(D42=1,Y42-Round_cost,1000000000)</f>
        <v>1000000000</v>
      </c>
      <c r="AG42" s="19" t="n">
        <f aca="false">IF(E42=1,Z42-Round_cost,1000000000)</f>
        <v>590</v>
      </c>
      <c r="AH42" s="19" t="n">
        <f aca="false">IF(F42=1,AA42-Round_cost,1000000000)</f>
        <v>1000000000</v>
      </c>
      <c r="AI42" s="19" t="n">
        <f aca="false">IF(G42=1,AB42-Round_cost,1000000000)</f>
        <v>1000000000</v>
      </c>
      <c r="AJ42" s="12" t="n">
        <f aca="false">IF(AND(MIN(X42:AC42)&gt;=Floor_liq-0.000000001,MIN(AD42:AI42)&gt;=Floor_liq-0.000000001),1,0)</f>
        <v>1</v>
      </c>
      <c r="AK42" s="12" t="n">
        <f aca="false">IF(AC42&gt;=End_liq-0.000000001,1,0)</f>
        <v>1</v>
      </c>
      <c r="AL42" s="12" t="n">
        <f aca="false">AJ42*AK42*W42</f>
        <v>1</v>
      </c>
      <c r="AM42" s="16" t="n">
        <f aca="false">Liq_0-Round_cost*B42+(1-Pledge_share)*P42</f>
        <v>535</v>
      </c>
      <c r="AN42" s="16" t="n">
        <f aca="false">AM42-Round_cost*C42+(1-Pledge_share)*Q42</f>
        <v>570</v>
      </c>
      <c r="AO42" s="16" t="n">
        <f aca="false">AN42-Round_cost*D42+(1-Pledge_share)*R42</f>
        <v>605</v>
      </c>
      <c r="AP42" s="16" t="n">
        <f aca="false">AO42-Round_cost*E42+(1-Pledge_share)*S42</f>
        <v>537.5</v>
      </c>
      <c r="AQ42" s="16" t="n">
        <f aca="false">AP42-Round_cost*F42+(1-Pledge_share)*T42</f>
        <v>590</v>
      </c>
      <c r="AR42" s="16" t="n">
        <f aca="false">AQ42-Round_cost*G42+(1-Pledge_share)*U42</f>
        <v>642.5</v>
      </c>
      <c r="AS42" s="19" t="n">
        <f aca="false">IF(B42=1,Liq_0-Round_cost,1000000000)</f>
        <v>500</v>
      </c>
      <c r="AT42" s="19" t="n">
        <f aca="false">IF(C42=1,AM42-Round_cost,1000000000)</f>
        <v>1000000000</v>
      </c>
      <c r="AU42" s="19" t="n">
        <f aca="false">IF(D42=1,AN42-Round_cost,1000000000)</f>
        <v>1000000000</v>
      </c>
      <c r="AV42" s="19" t="n">
        <f aca="false">IF(E42=1,AO42-Round_cost,1000000000)</f>
        <v>485</v>
      </c>
      <c r="AW42" s="19" t="n">
        <f aca="false">IF(F42=1,AP42-Round_cost,1000000000)</f>
        <v>1000000000</v>
      </c>
      <c r="AX42" s="19" t="n">
        <f aca="false">IF(G42=1,AQ42-Round_cost,1000000000)</f>
        <v>1000000000</v>
      </c>
      <c r="AY42" s="12" t="n">
        <f aca="false">IF(AND(MIN(AM42:AR42)&gt;=Floor_liq-0.000000001,MIN(AS42:AX42)&gt;=Floor_liq-0.000000001),1,0)</f>
        <v>1</v>
      </c>
      <c r="AZ42" s="12" t="n">
        <f aca="false">IF(AR42&gt;=End_liq-0.000000001,1,0)</f>
        <v>1</v>
      </c>
      <c r="BA42" s="12" t="n">
        <f aca="false">AY42*AZ42*W42</f>
        <v>1</v>
      </c>
      <c r="BB42" s="16" t="n">
        <f aca="false">Pledge_share*V42</f>
        <v>262.5</v>
      </c>
      <c r="BC42" s="16" t="n">
        <f aca="false">IF(BA42=1,H42*10000+BB42,-1)</f>
        <v>20262.5</v>
      </c>
      <c r="BD42" s="14" t="n">
        <f aca="false">U42</f>
        <v>105</v>
      </c>
      <c r="BE42" s="16" t="n">
        <f aca="false">AC42</f>
        <v>905</v>
      </c>
      <c r="BF42" s="16" t="n">
        <f aca="false">IF(AL42=1,AC42-End_liq,-1000000000)</f>
        <v>435</v>
      </c>
      <c r="BG42" s="16" t="n">
        <f aca="false">IF(AL42=1,BF42+BG$4*BD42,-1000000000)</f>
        <v>435</v>
      </c>
      <c r="BH42" s="16" t="n">
        <f aca="false">IF(AL42=1,BF42+BH$4*BD42,-1000000000)</f>
        <v>960</v>
      </c>
      <c r="BI42" s="16" t="n">
        <f aca="false">IF(AL42=1,BF42+BI$4*BD42,-1000000000)</f>
        <v>1485</v>
      </c>
      <c r="BJ42" s="16" t="n">
        <f aca="false">IF(AL42=1,BF42+BJ$4*BD42,-1000000000)</f>
        <v>2535</v>
      </c>
      <c r="BK42" s="16" t="n">
        <f aca="false">IF(AL42=1,BF42+BK$4*BD42,-1000000000)</f>
        <v>4635</v>
      </c>
      <c r="BL42" s="16" t="n">
        <f aca="false">IF(AL42=1,BF42+BL$4*BD42,-1000000000)</f>
        <v>6735</v>
      </c>
      <c r="BM42" s="12" t="n">
        <f aca="false">IF(H42=0,1,IF(I42=VALUE(LEFT("123456",H42)),1,0))</f>
        <v>0</v>
      </c>
      <c r="BN42" s="12" t="n">
        <f aca="false">IF(BG42&gt;0,1000*BG42,-1000000000000)</f>
        <v>435000</v>
      </c>
      <c r="BO42" s="16" t="n">
        <f aca="false">IF(BG42&gt;0,BG42+100,-1000000000)</f>
        <v>535</v>
      </c>
      <c r="BP42" s="20" t="n">
        <f aca="false">IF(BG42&gt;0,LN(BG42),-1000000000)</f>
        <v>6.07534603108868</v>
      </c>
    </row>
    <row r="43" customFormat="false" ht="15" hidden="false" customHeight="false" outlineLevel="0" collapsed="false">
      <c r="A43" s="12" t="n">
        <v>37</v>
      </c>
      <c r="B43" s="12" t="n">
        <f aca="false">MOD(INT($A43/32),2)</f>
        <v>1</v>
      </c>
      <c r="C43" s="12" t="n">
        <f aca="false">MOD(INT($A43/16),2)</f>
        <v>0</v>
      </c>
      <c r="D43" s="12" t="n">
        <f aca="false">MOD(INT($A43/8),2)</f>
        <v>0</v>
      </c>
      <c r="E43" s="12" t="n">
        <f aca="false">MOD(INT($A43/4),2)</f>
        <v>1</v>
      </c>
      <c r="F43" s="12" t="n">
        <f aca="false">MOD(INT($A43/2),2)</f>
        <v>0</v>
      </c>
      <c r="G43" s="12" t="n">
        <f aca="false">MOD(INT($A43/1),2)</f>
        <v>1</v>
      </c>
      <c r="H43" s="12" t="n">
        <f aca="false">SUM(B43:G43)</f>
        <v>3</v>
      </c>
      <c r="I43" s="12" t="n">
        <f aca="false">IF(H43=0,0,VALUE(IF(B43=1,"1","")&amp;IF(C43=1,"2","")&amp;IF(D43=1,"3","")&amp;IF(E43=1,"4","")&amp;IF(F43=1,"5","")&amp;IF(G43=1,"6","")))</f>
        <v>146</v>
      </c>
      <c r="J43" s="14" t="n">
        <f aca="false">IF(B43=1,Eff_0+Gap_closed*(Eff_ceiling-Eff_0),Eff_0)</f>
        <v>78</v>
      </c>
      <c r="K43" s="14" t="n">
        <f aca="false">IF(C43=1,J43+Gap_closed*(Eff_ceiling-J43),J43)</f>
        <v>78</v>
      </c>
      <c r="L43" s="14" t="n">
        <f aca="false">IF(D43=1,K43+Gap_closed*(Eff_ceiling-K43),K43)</f>
        <v>78</v>
      </c>
      <c r="M43" s="14" t="n">
        <f aca="false">IF(E43=1,L43+Gap_closed*(Eff_ceiling-L43),L43)</f>
        <v>81.5</v>
      </c>
      <c r="N43" s="14" t="n">
        <f aca="false">IF(F43=1,M43+Gap_closed*(Eff_ceiling-M43),M43)</f>
        <v>81.5</v>
      </c>
      <c r="O43" s="14" t="n">
        <f aca="false">IF(G43=1,N43+Gap_closed*(Eff_ceiling-N43),N43)</f>
        <v>83.25</v>
      </c>
      <c r="P43" s="14" t="n">
        <f aca="false">Sav_point*(J43-Eff_0)</f>
        <v>70</v>
      </c>
      <c r="Q43" s="14" t="n">
        <f aca="false">Sav_point*(K43-Eff_0)</f>
        <v>70</v>
      </c>
      <c r="R43" s="14" t="n">
        <f aca="false">Sav_point*(L43-Eff_0)</f>
        <v>70</v>
      </c>
      <c r="S43" s="14" t="n">
        <f aca="false">Sav_point*(M43-Eff_0)</f>
        <v>105</v>
      </c>
      <c r="T43" s="14" t="n">
        <f aca="false">Sav_point*(N43-Eff_0)</f>
        <v>105</v>
      </c>
      <c r="U43" s="14" t="n">
        <f aca="false">Sav_point*(O43-Eff_0)</f>
        <v>122.5</v>
      </c>
      <c r="V43" s="14" t="n">
        <f aca="false">SUM(P43:U43)</f>
        <v>542.5</v>
      </c>
      <c r="W43" s="12" t="n">
        <f aca="false">IF(AND(H43&gt;0,Cap_0&lt;Cap_min),0,1)</f>
        <v>1</v>
      </c>
      <c r="X43" s="16" t="n">
        <f aca="false">Liq_0-Round_cost*B43+1*P43</f>
        <v>570</v>
      </c>
      <c r="Y43" s="16" t="n">
        <f aca="false">X43-Round_cost*C43+1*Q43</f>
        <v>640</v>
      </c>
      <c r="Z43" s="16" t="n">
        <f aca="false">Y43-Round_cost*D43+1*R43</f>
        <v>710</v>
      </c>
      <c r="AA43" s="16" t="n">
        <f aca="false">Z43-Round_cost*E43+1*S43</f>
        <v>695</v>
      </c>
      <c r="AB43" s="16" t="n">
        <f aca="false">AA43-Round_cost*F43+1*T43</f>
        <v>800</v>
      </c>
      <c r="AC43" s="16" t="n">
        <f aca="false">AB43-Round_cost*G43+1*U43</f>
        <v>802.5</v>
      </c>
      <c r="AD43" s="19" t="n">
        <f aca="false">IF(B43=1,Liq_0-Round_cost,1000000000)</f>
        <v>500</v>
      </c>
      <c r="AE43" s="19" t="n">
        <f aca="false">IF(C43=1,X43-Round_cost,1000000000)</f>
        <v>1000000000</v>
      </c>
      <c r="AF43" s="19" t="n">
        <f aca="false">IF(D43=1,Y43-Round_cost,1000000000)</f>
        <v>1000000000</v>
      </c>
      <c r="AG43" s="19" t="n">
        <f aca="false">IF(E43=1,Z43-Round_cost,1000000000)</f>
        <v>590</v>
      </c>
      <c r="AH43" s="19" t="n">
        <f aca="false">IF(F43=1,AA43-Round_cost,1000000000)</f>
        <v>1000000000</v>
      </c>
      <c r="AI43" s="19" t="n">
        <f aca="false">IF(G43=1,AB43-Round_cost,1000000000)</f>
        <v>680</v>
      </c>
      <c r="AJ43" s="12" t="n">
        <f aca="false">IF(AND(MIN(X43:AC43)&gt;=Floor_liq-0.000000001,MIN(AD43:AI43)&gt;=Floor_liq-0.000000001),1,0)</f>
        <v>1</v>
      </c>
      <c r="AK43" s="12" t="n">
        <f aca="false">IF(AC43&gt;=End_liq-0.000000001,1,0)</f>
        <v>1</v>
      </c>
      <c r="AL43" s="12" t="n">
        <f aca="false">AJ43*AK43*W43</f>
        <v>1</v>
      </c>
      <c r="AM43" s="16" t="n">
        <f aca="false">Liq_0-Round_cost*B43+(1-Pledge_share)*P43</f>
        <v>535</v>
      </c>
      <c r="AN43" s="16" t="n">
        <f aca="false">AM43-Round_cost*C43+(1-Pledge_share)*Q43</f>
        <v>570</v>
      </c>
      <c r="AO43" s="16" t="n">
        <f aca="false">AN43-Round_cost*D43+(1-Pledge_share)*R43</f>
        <v>605</v>
      </c>
      <c r="AP43" s="16" t="n">
        <f aca="false">AO43-Round_cost*E43+(1-Pledge_share)*S43</f>
        <v>537.5</v>
      </c>
      <c r="AQ43" s="16" t="n">
        <f aca="false">AP43-Round_cost*F43+(1-Pledge_share)*T43</f>
        <v>590</v>
      </c>
      <c r="AR43" s="16" t="n">
        <f aca="false">AQ43-Round_cost*G43+(1-Pledge_share)*U43</f>
        <v>531.25</v>
      </c>
      <c r="AS43" s="19" t="n">
        <f aca="false">IF(B43=1,Liq_0-Round_cost,1000000000)</f>
        <v>500</v>
      </c>
      <c r="AT43" s="19" t="n">
        <f aca="false">IF(C43=1,AM43-Round_cost,1000000000)</f>
        <v>1000000000</v>
      </c>
      <c r="AU43" s="19" t="n">
        <f aca="false">IF(D43=1,AN43-Round_cost,1000000000)</f>
        <v>1000000000</v>
      </c>
      <c r="AV43" s="19" t="n">
        <f aca="false">IF(E43=1,AO43-Round_cost,1000000000)</f>
        <v>485</v>
      </c>
      <c r="AW43" s="19" t="n">
        <f aca="false">IF(F43=1,AP43-Round_cost,1000000000)</f>
        <v>1000000000</v>
      </c>
      <c r="AX43" s="19" t="n">
        <f aca="false">IF(G43=1,AQ43-Round_cost,1000000000)</f>
        <v>470</v>
      </c>
      <c r="AY43" s="12" t="n">
        <f aca="false">IF(AND(MIN(AM43:AR43)&gt;=Floor_liq-0.000000001,MIN(AS43:AX43)&gt;=Floor_liq-0.000000001),1,0)</f>
        <v>1</v>
      </c>
      <c r="AZ43" s="12" t="n">
        <f aca="false">IF(AR43&gt;=End_liq-0.000000001,1,0)</f>
        <v>1</v>
      </c>
      <c r="BA43" s="12" t="n">
        <f aca="false">AY43*AZ43*W43</f>
        <v>1</v>
      </c>
      <c r="BB43" s="16" t="n">
        <f aca="false">Pledge_share*V43</f>
        <v>271.25</v>
      </c>
      <c r="BC43" s="16" t="n">
        <f aca="false">IF(BA43=1,H43*10000+BB43,-1)</f>
        <v>30271.25</v>
      </c>
      <c r="BD43" s="14" t="n">
        <f aca="false">U43</f>
        <v>122.5</v>
      </c>
      <c r="BE43" s="16" t="n">
        <f aca="false">AC43</f>
        <v>802.5</v>
      </c>
      <c r="BF43" s="16" t="n">
        <f aca="false">IF(AL43=1,AC43-End_liq,-1000000000)</f>
        <v>332.5</v>
      </c>
      <c r="BG43" s="16" t="n">
        <f aca="false">IF(AL43=1,BF43+BG$4*BD43,-1000000000)</f>
        <v>332.5</v>
      </c>
      <c r="BH43" s="16" t="n">
        <f aca="false">IF(AL43=1,BF43+BH$4*BD43,-1000000000)</f>
        <v>945</v>
      </c>
      <c r="BI43" s="16" t="n">
        <f aca="false">IF(AL43=1,BF43+BI$4*BD43,-1000000000)</f>
        <v>1557.5</v>
      </c>
      <c r="BJ43" s="16" t="n">
        <f aca="false">IF(AL43=1,BF43+BJ$4*BD43,-1000000000)</f>
        <v>2782.5</v>
      </c>
      <c r="BK43" s="16" t="n">
        <f aca="false">IF(AL43=1,BF43+BK$4*BD43,-1000000000)</f>
        <v>5232.5</v>
      </c>
      <c r="BL43" s="16" t="n">
        <f aca="false">IF(AL43=1,BF43+BL$4*BD43,-1000000000)</f>
        <v>7682.5</v>
      </c>
      <c r="BM43" s="12" t="n">
        <f aca="false">IF(H43=0,1,IF(I43=VALUE(LEFT("123456",H43)),1,0))</f>
        <v>0</v>
      </c>
      <c r="BN43" s="12" t="n">
        <f aca="false">IF(BG43&gt;0,1000*BG43,-1000000000000)</f>
        <v>332500</v>
      </c>
      <c r="BO43" s="16" t="n">
        <f aca="false">IF(BG43&gt;0,BG43+100,-1000000000)</f>
        <v>432.5</v>
      </c>
      <c r="BP43" s="20" t="n">
        <f aca="false">IF(BG43&gt;0,LN(BG43),-1000000000)</f>
        <v>5.80663986009591</v>
      </c>
    </row>
    <row r="44" customFormat="false" ht="15" hidden="false" customHeight="false" outlineLevel="0" collapsed="false">
      <c r="A44" s="12" t="n">
        <v>38</v>
      </c>
      <c r="B44" s="12" t="n">
        <f aca="false">MOD(INT($A44/32),2)</f>
        <v>1</v>
      </c>
      <c r="C44" s="12" t="n">
        <f aca="false">MOD(INT($A44/16),2)</f>
        <v>0</v>
      </c>
      <c r="D44" s="12" t="n">
        <f aca="false">MOD(INT($A44/8),2)</f>
        <v>0</v>
      </c>
      <c r="E44" s="12" t="n">
        <f aca="false">MOD(INT($A44/4),2)</f>
        <v>1</v>
      </c>
      <c r="F44" s="12" t="n">
        <f aca="false">MOD(INT($A44/2),2)</f>
        <v>1</v>
      </c>
      <c r="G44" s="12" t="n">
        <f aca="false">MOD(INT($A44/1),2)</f>
        <v>0</v>
      </c>
      <c r="H44" s="12" t="n">
        <f aca="false">SUM(B44:G44)</f>
        <v>3</v>
      </c>
      <c r="I44" s="12" t="n">
        <f aca="false">IF(H44=0,0,VALUE(IF(B44=1,"1","")&amp;IF(C44=1,"2","")&amp;IF(D44=1,"3","")&amp;IF(E44=1,"4","")&amp;IF(F44=1,"5","")&amp;IF(G44=1,"6","")))</f>
        <v>145</v>
      </c>
      <c r="J44" s="14" t="n">
        <f aca="false">IF(B44=1,Eff_0+Gap_closed*(Eff_ceiling-Eff_0),Eff_0)</f>
        <v>78</v>
      </c>
      <c r="K44" s="14" t="n">
        <f aca="false">IF(C44=1,J44+Gap_closed*(Eff_ceiling-J44),J44)</f>
        <v>78</v>
      </c>
      <c r="L44" s="14" t="n">
        <f aca="false">IF(D44=1,K44+Gap_closed*(Eff_ceiling-K44),K44)</f>
        <v>78</v>
      </c>
      <c r="M44" s="14" t="n">
        <f aca="false">IF(E44=1,L44+Gap_closed*(Eff_ceiling-L44),L44)</f>
        <v>81.5</v>
      </c>
      <c r="N44" s="14" t="n">
        <f aca="false">IF(F44=1,M44+Gap_closed*(Eff_ceiling-M44),M44)</f>
        <v>83.25</v>
      </c>
      <c r="O44" s="14" t="n">
        <f aca="false">IF(G44=1,N44+Gap_closed*(Eff_ceiling-N44),N44)</f>
        <v>83.25</v>
      </c>
      <c r="P44" s="14" t="n">
        <f aca="false">Sav_point*(J44-Eff_0)</f>
        <v>70</v>
      </c>
      <c r="Q44" s="14" t="n">
        <f aca="false">Sav_point*(K44-Eff_0)</f>
        <v>70</v>
      </c>
      <c r="R44" s="14" t="n">
        <f aca="false">Sav_point*(L44-Eff_0)</f>
        <v>70</v>
      </c>
      <c r="S44" s="14" t="n">
        <f aca="false">Sav_point*(M44-Eff_0)</f>
        <v>105</v>
      </c>
      <c r="T44" s="14" t="n">
        <f aca="false">Sav_point*(N44-Eff_0)</f>
        <v>122.5</v>
      </c>
      <c r="U44" s="14" t="n">
        <f aca="false">Sav_point*(O44-Eff_0)</f>
        <v>122.5</v>
      </c>
      <c r="V44" s="14" t="n">
        <f aca="false">SUM(P44:U44)</f>
        <v>560</v>
      </c>
      <c r="W44" s="12" t="n">
        <f aca="false">IF(AND(H44&gt;0,Cap_0&lt;Cap_min),0,1)</f>
        <v>1</v>
      </c>
      <c r="X44" s="16" t="n">
        <f aca="false">Liq_0-Round_cost*B44+1*P44</f>
        <v>570</v>
      </c>
      <c r="Y44" s="16" t="n">
        <f aca="false">X44-Round_cost*C44+1*Q44</f>
        <v>640</v>
      </c>
      <c r="Z44" s="16" t="n">
        <f aca="false">Y44-Round_cost*D44+1*R44</f>
        <v>710</v>
      </c>
      <c r="AA44" s="16" t="n">
        <f aca="false">Z44-Round_cost*E44+1*S44</f>
        <v>695</v>
      </c>
      <c r="AB44" s="16" t="n">
        <f aca="false">AA44-Round_cost*F44+1*T44</f>
        <v>697.5</v>
      </c>
      <c r="AC44" s="16" t="n">
        <f aca="false">AB44-Round_cost*G44+1*U44</f>
        <v>820</v>
      </c>
      <c r="AD44" s="19" t="n">
        <f aca="false">IF(B44=1,Liq_0-Round_cost,1000000000)</f>
        <v>500</v>
      </c>
      <c r="AE44" s="19" t="n">
        <f aca="false">IF(C44=1,X44-Round_cost,1000000000)</f>
        <v>1000000000</v>
      </c>
      <c r="AF44" s="19" t="n">
        <f aca="false">IF(D44=1,Y44-Round_cost,1000000000)</f>
        <v>1000000000</v>
      </c>
      <c r="AG44" s="19" t="n">
        <f aca="false">IF(E44=1,Z44-Round_cost,1000000000)</f>
        <v>590</v>
      </c>
      <c r="AH44" s="19" t="n">
        <f aca="false">IF(F44=1,AA44-Round_cost,1000000000)</f>
        <v>575</v>
      </c>
      <c r="AI44" s="19" t="n">
        <f aca="false">IF(G44=1,AB44-Round_cost,1000000000)</f>
        <v>1000000000</v>
      </c>
      <c r="AJ44" s="12" t="n">
        <f aca="false">IF(AND(MIN(X44:AC44)&gt;=Floor_liq-0.000000001,MIN(AD44:AI44)&gt;=Floor_liq-0.000000001),1,0)</f>
        <v>1</v>
      </c>
      <c r="AK44" s="12" t="n">
        <f aca="false">IF(AC44&gt;=End_liq-0.000000001,1,0)</f>
        <v>1</v>
      </c>
      <c r="AL44" s="12" t="n">
        <f aca="false">AJ44*AK44*W44</f>
        <v>1</v>
      </c>
      <c r="AM44" s="16" t="n">
        <f aca="false">Liq_0-Round_cost*B44+(1-Pledge_share)*P44</f>
        <v>535</v>
      </c>
      <c r="AN44" s="16" t="n">
        <f aca="false">AM44-Round_cost*C44+(1-Pledge_share)*Q44</f>
        <v>570</v>
      </c>
      <c r="AO44" s="16" t="n">
        <f aca="false">AN44-Round_cost*D44+(1-Pledge_share)*R44</f>
        <v>605</v>
      </c>
      <c r="AP44" s="16" t="n">
        <f aca="false">AO44-Round_cost*E44+(1-Pledge_share)*S44</f>
        <v>537.5</v>
      </c>
      <c r="AQ44" s="16" t="n">
        <f aca="false">AP44-Round_cost*F44+(1-Pledge_share)*T44</f>
        <v>478.75</v>
      </c>
      <c r="AR44" s="16" t="n">
        <f aca="false">AQ44-Round_cost*G44+(1-Pledge_share)*U44</f>
        <v>540</v>
      </c>
      <c r="AS44" s="19" t="n">
        <f aca="false">IF(B44=1,Liq_0-Round_cost,1000000000)</f>
        <v>500</v>
      </c>
      <c r="AT44" s="19" t="n">
        <f aca="false">IF(C44=1,AM44-Round_cost,1000000000)</f>
        <v>1000000000</v>
      </c>
      <c r="AU44" s="19" t="n">
        <f aca="false">IF(D44=1,AN44-Round_cost,1000000000)</f>
        <v>1000000000</v>
      </c>
      <c r="AV44" s="19" t="n">
        <f aca="false">IF(E44=1,AO44-Round_cost,1000000000)</f>
        <v>485</v>
      </c>
      <c r="AW44" s="19" t="n">
        <f aca="false">IF(F44=1,AP44-Round_cost,1000000000)</f>
        <v>417.5</v>
      </c>
      <c r="AX44" s="19" t="n">
        <f aca="false">IF(G44=1,AQ44-Round_cost,1000000000)</f>
        <v>1000000000</v>
      </c>
      <c r="AY44" s="12" t="n">
        <f aca="false">IF(AND(MIN(AM44:AR44)&gt;=Floor_liq-0.000000001,MIN(AS44:AX44)&gt;=Floor_liq-0.000000001),1,0)</f>
        <v>1</v>
      </c>
      <c r="AZ44" s="12" t="n">
        <f aca="false">IF(AR44&gt;=End_liq-0.000000001,1,0)</f>
        <v>1</v>
      </c>
      <c r="BA44" s="12" t="n">
        <f aca="false">AY44*AZ44*W44</f>
        <v>1</v>
      </c>
      <c r="BB44" s="16" t="n">
        <f aca="false">Pledge_share*V44</f>
        <v>280</v>
      </c>
      <c r="BC44" s="16" t="n">
        <f aca="false">IF(BA44=1,H44*10000+BB44,-1)</f>
        <v>30280</v>
      </c>
      <c r="BD44" s="14" t="n">
        <f aca="false">U44</f>
        <v>122.5</v>
      </c>
      <c r="BE44" s="16" t="n">
        <f aca="false">AC44</f>
        <v>820</v>
      </c>
      <c r="BF44" s="16" t="n">
        <f aca="false">IF(AL44=1,AC44-End_liq,-1000000000)</f>
        <v>350</v>
      </c>
      <c r="BG44" s="16" t="n">
        <f aca="false">IF(AL44=1,BF44+BG$4*BD44,-1000000000)</f>
        <v>350</v>
      </c>
      <c r="BH44" s="16" t="n">
        <f aca="false">IF(AL44=1,BF44+BH$4*BD44,-1000000000)</f>
        <v>962.5</v>
      </c>
      <c r="BI44" s="16" t="n">
        <f aca="false">IF(AL44=1,BF44+BI$4*BD44,-1000000000)</f>
        <v>1575</v>
      </c>
      <c r="BJ44" s="16" t="n">
        <f aca="false">IF(AL44=1,BF44+BJ$4*BD44,-1000000000)</f>
        <v>2800</v>
      </c>
      <c r="BK44" s="16" t="n">
        <f aca="false">IF(AL44=1,BF44+BK$4*BD44,-1000000000)</f>
        <v>5250</v>
      </c>
      <c r="BL44" s="16" t="n">
        <f aca="false">IF(AL44=1,BF44+BL$4*BD44,-1000000000)</f>
        <v>7700</v>
      </c>
      <c r="BM44" s="12" t="n">
        <f aca="false">IF(H44=0,1,IF(I44=VALUE(LEFT("123456",H44)),1,0))</f>
        <v>0</v>
      </c>
      <c r="BN44" s="12" t="n">
        <f aca="false">IF(BG44&gt;0,1000*BG44,-1000000000000)</f>
        <v>350000</v>
      </c>
      <c r="BO44" s="16" t="n">
        <f aca="false">IF(BG44&gt;0,BG44+100,-1000000000)</f>
        <v>450</v>
      </c>
      <c r="BP44" s="20" t="n">
        <f aca="false">IF(BG44&gt;0,LN(BG44),-1000000000)</f>
        <v>5.85793315448346</v>
      </c>
    </row>
    <row r="45" customFormat="false" ht="15" hidden="false" customHeight="false" outlineLevel="0" collapsed="false">
      <c r="A45" s="12" t="n">
        <v>39</v>
      </c>
      <c r="B45" s="12" t="n">
        <f aca="false">MOD(INT($A45/32),2)</f>
        <v>1</v>
      </c>
      <c r="C45" s="12" t="n">
        <f aca="false">MOD(INT($A45/16),2)</f>
        <v>0</v>
      </c>
      <c r="D45" s="12" t="n">
        <f aca="false">MOD(INT($A45/8),2)</f>
        <v>0</v>
      </c>
      <c r="E45" s="12" t="n">
        <f aca="false">MOD(INT($A45/4),2)</f>
        <v>1</v>
      </c>
      <c r="F45" s="12" t="n">
        <f aca="false">MOD(INT($A45/2),2)</f>
        <v>1</v>
      </c>
      <c r="G45" s="12" t="n">
        <f aca="false">MOD(INT($A45/1),2)</f>
        <v>1</v>
      </c>
      <c r="H45" s="12" t="n">
        <f aca="false">SUM(B45:G45)</f>
        <v>4</v>
      </c>
      <c r="I45" s="12" t="n">
        <f aca="false">IF(H45=0,0,VALUE(IF(B45=1,"1","")&amp;IF(C45=1,"2","")&amp;IF(D45=1,"3","")&amp;IF(E45=1,"4","")&amp;IF(F45=1,"5","")&amp;IF(G45=1,"6","")))</f>
        <v>1456</v>
      </c>
      <c r="J45" s="14" t="n">
        <f aca="false">IF(B45=1,Eff_0+Gap_closed*(Eff_ceiling-Eff_0),Eff_0)</f>
        <v>78</v>
      </c>
      <c r="K45" s="14" t="n">
        <f aca="false">IF(C45=1,J45+Gap_closed*(Eff_ceiling-J45),J45)</f>
        <v>78</v>
      </c>
      <c r="L45" s="14" t="n">
        <f aca="false">IF(D45=1,K45+Gap_closed*(Eff_ceiling-K45),K45)</f>
        <v>78</v>
      </c>
      <c r="M45" s="14" t="n">
        <f aca="false">IF(E45=1,L45+Gap_closed*(Eff_ceiling-L45),L45)</f>
        <v>81.5</v>
      </c>
      <c r="N45" s="14" t="n">
        <f aca="false">IF(F45=1,M45+Gap_closed*(Eff_ceiling-M45),M45)</f>
        <v>83.25</v>
      </c>
      <c r="O45" s="14" t="n">
        <f aca="false">IF(G45=1,N45+Gap_closed*(Eff_ceiling-N45),N45)</f>
        <v>84.125</v>
      </c>
      <c r="P45" s="14" t="n">
        <f aca="false">Sav_point*(J45-Eff_0)</f>
        <v>70</v>
      </c>
      <c r="Q45" s="14" t="n">
        <f aca="false">Sav_point*(K45-Eff_0)</f>
        <v>70</v>
      </c>
      <c r="R45" s="14" t="n">
        <f aca="false">Sav_point*(L45-Eff_0)</f>
        <v>70</v>
      </c>
      <c r="S45" s="14" t="n">
        <f aca="false">Sav_point*(M45-Eff_0)</f>
        <v>105</v>
      </c>
      <c r="T45" s="14" t="n">
        <f aca="false">Sav_point*(N45-Eff_0)</f>
        <v>122.5</v>
      </c>
      <c r="U45" s="14" t="n">
        <f aca="false">Sav_point*(O45-Eff_0)</f>
        <v>131.25</v>
      </c>
      <c r="V45" s="14" t="n">
        <f aca="false">SUM(P45:U45)</f>
        <v>568.75</v>
      </c>
      <c r="W45" s="12" t="n">
        <f aca="false">IF(AND(H45&gt;0,Cap_0&lt;Cap_min),0,1)</f>
        <v>1</v>
      </c>
      <c r="X45" s="16" t="n">
        <f aca="false">Liq_0-Round_cost*B45+1*P45</f>
        <v>570</v>
      </c>
      <c r="Y45" s="16" t="n">
        <f aca="false">X45-Round_cost*C45+1*Q45</f>
        <v>640</v>
      </c>
      <c r="Z45" s="16" t="n">
        <f aca="false">Y45-Round_cost*D45+1*R45</f>
        <v>710</v>
      </c>
      <c r="AA45" s="16" t="n">
        <f aca="false">Z45-Round_cost*E45+1*S45</f>
        <v>695</v>
      </c>
      <c r="AB45" s="16" t="n">
        <f aca="false">AA45-Round_cost*F45+1*T45</f>
        <v>697.5</v>
      </c>
      <c r="AC45" s="16" t="n">
        <f aca="false">AB45-Round_cost*G45+1*U45</f>
        <v>708.75</v>
      </c>
      <c r="AD45" s="19" t="n">
        <f aca="false">IF(B45=1,Liq_0-Round_cost,1000000000)</f>
        <v>500</v>
      </c>
      <c r="AE45" s="19" t="n">
        <f aca="false">IF(C45=1,X45-Round_cost,1000000000)</f>
        <v>1000000000</v>
      </c>
      <c r="AF45" s="19" t="n">
        <f aca="false">IF(D45=1,Y45-Round_cost,1000000000)</f>
        <v>1000000000</v>
      </c>
      <c r="AG45" s="19" t="n">
        <f aca="false">IF(E45=1,Z45-Round_cost,1000000000)</f>
        <v>590</v>
      </c>
      <c r="AH45" s="19" t="n">
        <f aca="false">IF(F45=1,AA45-Round_cost,1000000000)</f>
        <v>575</v>
      </c>
      <c r="AI45" s="19" t="n">
        <f aca="false">IF(G45=1,AB45-Round_cost,1000000000)</f>
        <v>577.5</v>
      </c>
      <c r="AJ45" s="12" t="n">
        <f aca="false">IF(AND(MIN(X45:AC45)&gt;=Floor_liq-0.000000001,MIN(AD45:AI45)&gt;=Floor_liq-0.000000001),1,0)</f>
        <v>1</v>
      </c>
      <c r="AK45" s="12" t="n">
        <f aca="false">IF(AC45&gt;=End_liq-0.000000001,1,0)</f>
        <v>1</v>
      </c>
      <c r="AL45" s="12" t="n">
        <f aca="false">AJ45*AK45*W45</f>
        <v>1</v>
      </c>
      <c r="AM45" s="16" t="n">
        <f aca="false">Liq_0-Round_cost*B45+(1-Pledge_share)*P45</f>
        <v>535</v>
      </c>
      <c r="AN45" s="16" t="n">
        <f aca="false">AM45-Round_cost*C45+(1-Pledge_share)*Q45</f>
        <v>570</v>
      </c>
      <c r="AO45" s="16" t="n">
        <f aca="false">AN45-Round_cost*D45+(1-Pledge_share)*R45</f>
        <v>605</v>
      </c>
      <c r="AP45" s="16" t="n">
        <f aca="false">AO45-Round_cost*E45+(1-Pledge_share)*S45</f>
        <v>537.5</v>
      </c>
      <c r="AQ45" s="16" t="n">
        <f aca="false">AP45-Round_cost*F45+(1-Pledge_share)*T45</f>
        <v>478.75</v>
      </c>
      <c r="AR45" s="16" t="n">
        <f aca="false">AQ45-Round_cost*G45+(1-Pledge_share)*U45</f>
        <v>424.375</v>
      </c>
      <c r="AS45" s="19" t="n">
        <f aca="false">IF(B45=1,Liq_0-Round_cost,1000000000)</f>
        <v>500</v>
      </c>
      <c r="AT45" s="19" t="n">
        <f aca="false">IF(C45=1,AM45-Round_cost,1000000000)</f>
        <v>1000000000</v>
      </c>
      <c r="AU45" s="19" t="n">
        <f aca="false">IF(D45=1,AN45-Round_cost,1000000000)</f>
        <v>1000000000</v>
      </c>
      <c r="AV45" s="19" t="n">
        <f aca="false">IF(E45=1,AO45-Round_cost,1000000000)</f>
        <v>485</v>
      </c>
      <c r="AW45" s="19" t="n">
        <f aca="false">IF(F45=1,AP45-Round_cost,1000000000)</f>
        <v>417.5</v>
      </c>
      <c r="AX45" s="19" t="n">
        <f aca="false">IF(G45=1,AQ45-Round_cost,1000000000)</f>
        <v>358.75</v>
      </c>
      <c r="AY45" s="12" t="n">
        <f aca="false">IF(AND(MIN(AM45:AR45)&gt;=Floor_liq-0.000000001,MIN(AS45:AX45)&gt;=Floor_liq-0.000000001),1,0)</f>
        <v>1</v>
      </c>
      <c r="AZ45" s="12" t="n">
        <f aca="false">IF(AR45&gt;=End_liq-0.000000001,1,0)</f>
        <v>0</v>
      </c>
      <c r="BA45" s="12" t="n">
        <f aca="false">AY45*AZ45*W45</f>
        <v>0</v>
      </c>
      <c r="BB45" s="16" t="n">
        <f aca="false">Pledge_share*V45</f>
        <v>284.375</v>
      </c>
      <c r="BC45" s="16" t="n">
        <f aca="false">IF(BA45=1,H45*10000+BB45,-1)</f>
        <v>-1</v>
      </c>
      <c r="BD45" s="14" t="n">
        <f aca="false">U45</f>
        <v>131.25</v>
      </c>
      <c r="BE45" s="16" t="n">
        <f aca="false">AC45</f>
        <v>708.75</v>
      </c>
      <c r="BF45" s="16" t="n">
        <f aca="false">IF(AL45=1,AC45-End_liq,-1000000000)</f>
        <v>238.75</v>
      </c>
      <c r="BG45" s="16" t="n">
        <f aca="false">IF(AL45=1,BF45+BG$4*BD45,-1000000000)</f>
        <v>238.75</v>
      </c>
      <c r="BH45" s="16" t="n">
        <f aca="false">IF(AL45=1,BF45+BH$4*BD45,-1000000000)</f>
        <v>895</v>
      </c>
      <c r="BI45" s="16" t="n">
        <f aca="false">IF(AL45=1,BF45+BI$4*BD45,-1000000000)</f>
        <v>1551.25</v>
      </c>
      <c r="BJ45" s="16" t="n">
        <f aca="false">IF(AL45=1,BF45+BJ$4*BD45,-1000000000)</f>
        <v>2863.75</v>
      </c>
      <c r="BK45" s="16" t="n">
        <f aca="false">IF(AL45=1,BF45+BK$4*BD45,-1000000000)</f>
        <v>5488.75</v>
      </c>
      <c r="BL45" s="16" t="n">
        <f aca="false">IF(AL45=1,BF45+BL$4*BD45,-1000000000)</f>
        <v>8113.75</v>
      </c>
      <c r="BM45" s="12" t="n">
        <f aca="false">IF(H45=0,1,IF(I45=VALUE(LEFT("123456",H45)),1,0))</f>
        <v>0</v>
      </c>
      <c r="BN45" s="12" t="n">
        <f aca="false">IF(BG45&gt;0,1000*BG45,-1000000000000)</f>
        <v>238750</v>
      </c>
      <c r="BO45" s="16" t="n">
        <f aca="false">IF(BG45&gt;0,BG45+100,-1000000000)</f>
        <v>338.75</v>
      </c>
      <c r="BP45" s="20" t="n">
        <f aca="false">IF(BG45&gt;0,LN(BG45),-1000000000)</f>
        <v>5.47541697936084</v>
      </c>
    </row>
    <row r="46" customFormat="false" ht="15" hidden="false" customHeight="false" outlineLevel="0" collapsed="false">
      <c r="A46" s="12" t="n">
        <v>40</v>
      </c>
      <c r="B46" s="12" t="n">
        <f aca="false">MOD(INT($A46/32),2)</f>
        <v>1</v>
      </c>
      <c r="C46" s="12" t="n">
        <f aca="false">MOD(INT($A46/16),2)</f>
        <v>0</v>
      </c>
      <c r="D46" s="12" t="n">
        <f aca="false">MOD(INT($A46/8),2)</f>
        <v>1</v>
      </c>
      <c r="E46" s="12" t="n">
        <f aca="false">MOD(INT($A46/4),2)</f>
        <v>0</v>
      </c>
      <c r="F46" s="12" t="n">
        <f aca="false">MOD(INT($A46/2),2)</f>
        <v>0</v>
      </c>
      <c r="G46" s="12" t="n">
        <f aca="false">MOD(INT($A46/1),2)</f>
        <v>0</v>
      </c>
      <c r="H46" s="12" t="n">
        <f aca="false">SUM(B46:G46)</f>
        <v>2</v>
      </c>
      <c r="I46" s="12" t="n">
        <f aca="false">IF(H46=0,0,VALUE(IF(B46=1,"1","")&amp;IF(C46=1,"2","")&amp;IF(D46=1,"3","")&amp;IF(E46=1,"4","")&amp;IF(F46=1,"5","")&amp;IF(G46=1,"6","")))</f>
        <v>13</v>
      </c>
      <c r="J46" s="14" t="n">
        <f aca="false">IF(B46=1,Eff_0+Gap_closed*(Eff_ceiling-Eff_0),Eff_0)</f>
        <v>78</v>
      </c>
      <c r="K46" s="14" t="n">
        <f aca="false">IF(C46=1,J46+Gap_closed*(Eff_ceiling-J46),J46)</f>
        <v>78</v>
      </c>
      <c r="L46" s="14" t="n">
        <f aca="false">IF(D46=1,K46+Gap_closed*(Eff_ceiling-K46),K46)</f>
        <v>81.5</v>
      </c>
      <c r="M46" s="14" t="n">
        <f aca="false">IF(E46=1,L46+Gap_closed*(Eff_ceiling-L46),L46)</f>
        <v>81.5</v>
      </c>
      <c r="N46" s="14" t="n">
        <f aca="false">IF(F46=1,M46+Gap_closed*(Eff_ceiling-M46),M46)</f>
        <v>81.5</v>
      </c>
      <c r="O46" s="14" t="n">
        <f aca="false">IF(G46=1,N46+Gap_closed*(Eff_ceiling-N46),N46)</f>
        <v>81.5</v>
      </c>
      <c r="P46" s="14" t="n">
        <f aca="false">Sav_point*(J46-Eff_0)</f>
        <v>70</v>
      </c>
      <c r="Q46" s="14" t="n">
        <f aca="false">Sav_point*(K46-Eff_0)</f>
        <v>70</v>
      </c>
      <c r="R46" s="14" t="n">
        <f aca="false">Sav_point*(L46-Eff_0)</f>
        <v>105</v>
      </c>
      <c r="S46" s="14" t="n">
        <f aca="false">Sav_point*(M46-Eff_0)</f>
        <v>105</v>
      </c>
      <c r="T46" s="14" t="n">
        <f aca="false">Sav_point*(N46-Eff_0)</f>
        <v>105</v>
      </c>
      <c r="U46" s="14" t="n">
        <f aca="false">Sav_point*(O46-Eff_0)</f>
        <v>105</v>
      </c>
      <c r="V46" s="14" t="n">
        <f aca="false">SUM(P46:U46)</f>
        <v>560</v>
      </c>
      <c r="W46" s="12" t="n">
        <f aca="false">IF(AND(H46&gt;0,Cap_0&lt;Cap_min),0,1)</f>
        <v>1</v>
      </c>
      <c r="X46" s="16" t="n">
        <f aca="false">Liq_0-Round_cost*B46+1*P46</f>
        <v>570</v>
      </c>
      <c r="Y46" s="16" t="n">
        <f aca="false">X46-Round_cost*C46+1*Q46</f>
        <v>640</v>
      </c>
      <c r="Z46" s="16" t="n">
        <f aca="false">Y46-Round_cost*D46+1*R46</f>
        <v>625</v>
      </c>
      <c r="AA46" s="16" t="n">
        <f aca="false">Z46-Round_cost*E46+1*S46</f>
        <v>730</v>
      </c>
      <c r="AB46" s="16" t="n">
        <f aca="false">AA46-Round_cost*F46+1*T46</f>
        <v>835</v>
      </c>
      <c r="AC46" s="16" t="n">
        <f aca="false">AB46-Round_cost*G46+1*U46</f>
        <v>940</v>
      </c>
      <c r="AD46" s="19" t="n">
        <f aca="false">IF(B46=1,Liq_0-Round_cost,1000000000)</f>
        <v>500</v>
      </c>
      <c r="AE46" s="19" t="n">
        <f aca="false">IF(C46=1,X46-Round_cost,1000000000)</f>
        <v>1000000000</v>
      </c>
      <c r="AF46" s="19" t="n">
        <f aca="false">IF(D46=1,Y46-Round_cost,1000000000)</f>
        <v>520</v>
      </c>
      <c r="AG46" s="19" t="n">
        <f aca="false">IF(E46=1,Z46-Round_cost,1000000000)</f>
        <v>1000000000</v>
      </c>
      <c r="AH46" s="19" t="n">
        <f aca="false">IF(F46=1,AA46-Round_cost,1000000000)</f>
        <v>1000000000</v>
      </c>
      <c r="AI46" s="19" t="n">
        <f aca="false">IF(G46=1,AB46-Round_cost,1000000000)</f>
        <v>1000000000</v>
      </c>
      <c r="AJ46" s="12" t="n">
        <f aca="false">IF(AND(MIN(X46:AC46)&gt;=Floor_liq-0.000000001,MIN(AD46:AI46)&gt;=Floor_liq-0.000000001),1,0)</f>
        <v>1</v>
      </c>
      <c r="AK46" s="12" t="n">
        <f aca="false">IF(AC46&gt;=End_liq-0.000000001,1,0)</f>
        <v>1</v>
      </c>
      <c r="AL46" s="12" t="n">
        <f aca="false">AJ46*AK46*W46</f>
        <v>1</v>
      </c>
      <c r="AM46" s="16" t="n">
        <f aca="false">Liq_0-Round_cost*B46+(1-Pledge_share)*P46</f>
        <v>535</v>
      </c>
      <c r="AN46" s="16" t="n">
        <f aca="false">AM46-Round_cost*C46+(1-Pledge_share)*Q46</f>
        <v>570</v>
      </c>
      <c r="AO46" s="16" t="n">
        <f aca="false">AN46-Round_cost*D46+(1-Pledge_share)*R46</f>
        <v>502.5</v>
      </c>
      <c r="AP46" s="16" t="n">
        <f aca="false">AO46-Round_cost*E46+(1-Pledge_share)*S46</f>
        <v>555</v>
      </c>
      <c r="AQ46" s="16" t="n">
        <f aca="false">AP46-Round_cost*F46+(1-Pledge_share)*T46</f>
        <v>607.5</v>
      </c>
      <c r="AR46" s="16" t="n">
        <f aca="false">AQ46-Round_cost*G46+(1-Pledge_share)*U46</f>
        <v>660</v>
      </c>
      <c r="AS46" s="19" t="n">
        <f aca="false">IF(B46=1,Liq_0-Round_cost,1000000000)</f>
        <v>500</v>
      </c>
      <c r="AT46" s="19" t="n">
        <f aca="false">IF(C46=1,AM46-Round_cost,1000000000)</f>
        <v>1000000000</v>
      </c>
      <c r="AU46" s="19" t="n">
        <f aca="false">IF(D46=1,AN46-Round_cost,1000000000)</f>
        <v>450</v>
      </c>
      <c r="AV46" s="19" t="n">
        <f aca="false">IF(E46=1,AO46-Round_cost,1000000000)</f>
        <v>1000000000</v>
      </c>
      <c r="AW46" s="19" t="n">
        <f aca="false">IF(F46=1,AP46-Round_cost,1000000000)</f>
        <v>1000000000</v>
      </c>
      <c r="AX46" s="19" t="n">
        <f aca="false">IF(G46=1,AQ46-Round_cost,1000000000)</f>
        <v>1000000000</v>
      </c>
      <c r="AY46" s="12" t="n">
        <f aca="false">IF(AND(MIN(AM46:AR46)&gt;=Floor_liq-0.000000001,MIN(AS46:AX46)&gt;=Floor_liq-0.000000001),1,0)</f>
        <v>1</v>
      </c>
      <c r="AZ46" s="12" t="n">
        <f aca="false">IF(AR46&gt;=End_liq-0.000000001,1,0)</f>
        <v>1</v>
      </c>
      <c r="BA46" s="12" t="n">
        <f aca="false">AY46*AZ46*W46</f>
        <v>1</v>
      </c>
      <c r="BB46" s="16" t="n">
        <f aca="false">Pledge_share*V46</f>
        <v>280</v>
      </c>
      <c r="BC46" s="16" t="n">
        <f aca="false">IF(BA46=1,H46*10000+BB46,-1)</f>
        <v>20280</v>
      </c>
      <c r="BD46" s="14" t="n">
        <f aca="false">U46</f>
        <v>105</v>
      </c>
      <c r="BE46" s="16" t="n">
        <f aca="false">AC46</f>
        <v>940</v>
      </c>
      <c r="BF46" s="16" t="n">
        <f aca="false">IF(AL46=1,AC46-End_liq,-1000000000)</f>
        <v>470</v>
      </c>
      <c r="BG46" s="16" t="n">
        <f aca="false">IF(AL46=1,BF46+BG$4*BD46,-1000000000)</f>
        <v>470</v>
      </c>
      <c r="BH46" s="16" t="n">
        <f aca="false">IF(AL46=1,BF46+BH$4*BD46,-1000000000)</f>
        <v>995</v>
      </c>
      <c r="BI46" s="16" t="n">
        <f aca="false">IF(AL46=1,BF46+BI$4*BD46,-1000000000)</f>
        <v>1520</v>
      </c>
      <c r="BJ46" s="16" t="n">
        <f aca="false">IF(AL46=1,BF46+BJ$4*BD46,-1000000000)</f>
        <v>2570</v>
      </c>
      <c r="BK46" s="16" t="n">
        <f aca="false">IF(AL46=1,BF46+BK$4*BD46,-1000000000)</f>
        <v>4670</v>
      </c>
      <c r="BL46" s="16" t="n">
        <f aca="false">IF(AL46=1,BF46+BL$4*BD46,-1000000000)</f>
        <v>6770</v>
      </c>
      <c r="BM46" s="12" t="n">
        <f aca="false">IF(H46=0,1,IF(I46=VALUE(LEFT("123456",H46)),1,0))</f>
        <v>0</v>
      </c>
      <c r="BN46" s="12" t="n">
        <f aca="false">IF(BG46&gt;0,1000*BG46,-1000000000000)</f>
        <v>470000</v>
      </c>
      <c r="BO46" s="16" t="n">
        <f aca="false">IF(BG46&gt;0,BG46+100,-1000000000)</f>
        <v>570</v>
      </c>
      <c r="BP46" s="20" t="n">
        <f aca="false">IF(BG46&gt;0,LN(BG46),-1000000000)</f>
        <v>6.1527326947041</v>
      </c>
    </row>
    <row r="47" customFormat="false" ht="15" hidden="false" customHeight="false" outlineLevel="0" collapsed="false">
      <c r="A47" s="12" t="n">
        <v>41</v>
      </c>
      <c r="B47" s="12" t="n">
        <f aca="false">MOD(INT($A47/32),2)</f>
        <v>1</v>
      </c>
      <c r="C47" s="12" t="n">
        <f aca="false">MOD(INT($A47/16),2)</f>
        <v>0</v>
      </c>
      <c r="D47" s="12" t="n">
        <f aca="false">MOD(INT($A47/8),2)</f>
        <v>1</v>
      </c>
      <c r="E47" s="12" t="n">
        <f aca="false">MOD(INT($A47/4),2)</f>
        <v>0</v>
      </c>
      <c r="F47" s="12" t="n">
        <f aca="false">MOD(INT($A47/2),2)</f>
        <v>0</v>
      </c>
      <c r="G47" s="12" t="n">
        <f aca="false">MOD(INT($A47/1),2)</f>
        <v>1</v>
      </c>
      <c r="H47" s="12" t="n">
        <f aca="false">SUM(B47:G47)</f>
        <v>3</v>
      </c>
      <c r="I47" s="12" t="n">
        <f aca="false">IF(H47=0,0,VALUE(IF(B47=1,"1","")&amp;IF(C47=1,"2","")&amp;IF(D47=1,"3","")&amp;IF(E47=1,"4","")&amp;IF(F47=1,"5","")&amp;IF(G47=1,"6","")))</f>
        <v>136</v>
      </c>
      <c r="J47" s="14" t="n">
        <f aca="false">IF(B47=1,Eff_0+Gap_closed*(Eff_ceiling-Eff_0),Eff_0)</f>
        <v>78</v>
      </c>
      <c r="K47" s="14" t="n">
        <f aca="false">IF(C47=1,J47+Gap_closed*(Eff_ceiling-J47),J47)</f>
        <v>78</v>
      </c>
      <c r="L47" s="14" t="n">
        <f aca="false">IF(D47=1,K47+Gap_closed*(Eff_ceiling-K47),K47)</f>
        <v>81.5</v>
      </c>
      <c r="M47" s="14" t="n">
        <f aca="false">IF(E47=1,L47+Gap_closed*(Eff_ceiling-L47),L47)</f>
        <v>81.5</v>
      </c>
      <c r="N47" s="14" t="n">
        <f aca="false">IF(F47=1,M47+Gap_closed*(Eff_ceiling-M47),M47)</f>
        <v>81.5</v>
      </c>
      <c r="O47" s="14" t="n">
        <f aca="false">IF(G47=1,N47+Gap_closed*(Eff_ceiling-N47),N47)</f>
        <v>83.25</v>
      </c>
      <c r="P47" s="14" t="n">
        <f aca="false">Sav_point*(J47-Eff_0)</f>
        <v>70</v>
      </c>
      <c r="Q47" s="14" t="n">
        <f aca="false">Sav_point*(K47-Eff_0)</f>
        <v>70</v>
      </c>
      <c r="R47" s="14" t="n">
        <f aca="false">Sav_point*(L47-Eff_0)</f>
        <v>105</v>
      </c>
      <c r="S47" s="14" t="n">
        <f aca="false">Sav_point*(M47-Eff_0)</f>
        <v>105</v>
      </c>
      <c r="T47" s="14" t="n">
        <f aca="false">Sav_point*(N47-Eff_0)</f>
        <v>105</v>
      </c>
      <c r="U47" s="14" t="n">
        <f aca="false">Sav_point*(O47-Eff_0)</f>
        <v>122.5</v>
      </c>
      <c r="V47" s="14" t="n">
        <f aca="false">SUM(P47:U47)</f>
        <v>577.5</v>
      </c>
      <c r="W47" s="12" t="n">
        <f aca="false">IF(AND(H47&gt;0,Cap_0&lt;Cap_min),0,1)</f>
        <v>1</v>
      </c>
      <c r="X47" s="16" t="n">
        <f aca="false">Liq_0-Round_cost*B47+1*P47</f>
        <v>570</v>
      </c>
      <c r="Y47" s="16" t="n">
        <f aca="false">X47-Round_cost*C47+1*Q47</f>
        <v>640</v>
      </c>
      <c r="Z47" s="16" t="n">
        <f aca="false">Y47-Round_cost*D47+1*R47</f>
        <v>625</v>
      </c>
      <c r="AA47" s="16" t="n">
        <f aca="false">Z47-Round_cost*E47+1*S47</f>
        <v>730</v>
      </c>
      <c r="AB47" s="16" t="n">
        <f aca="false">AA47-Round_cost*F47+1*T47</f>
        <v>835</v>
      </c>
      <c r="AC47" s="16" t="n">
        <f aca="false">AB47-Round_cost*G47+1*U47</f>
        <v>837.5</v>
      </c>
      <c r="AD47" s="19" t="n">
        <f aca="false">IF(B47=1,Liq_0-Round_cost,1000000000)</f>
        <v>500</v>
      </c>
      <c r="AE47" s="19" t="n">
        <f aca="false">IF(C47=1,X47-Round_cost,1000000000)</f>
        <v>1000000000</v>
      </c>
      <c r="AF47" s="19" t="n">
        <f aca="false">IF(D47=1,Y47-Round_cost,1000000000)</f>
        <v>520</v>
      </c>
      <c r="AG47" s="19" t="n">
        <f aca="false">IF(E47=1,Z47-Round_cost,1000000000)</f>
        <v>1000000000</v>
      </c>
      <c r="AH47" s="19" t="n">
        <f aca="false">IF(F47=1,AA47-Round_cost,1000000000)</f>
        <v>1000000000</v>
      </c>
      <c r="AI47" s="19" t="n">
        <f aca="false">IF(G47=1,AB47-Round_cost,1000000000)</f>
        <v>715</v>
      </c>
      <c r="AJ47" s="12" t="n">
        <f aca="false">IF(AND(MIN(X47:AC47)&gt;=Floor_liq-0.000000001,MIN(AD47:AI47)&gt;=Floor_liq-0.000000001),1,0)</f>
        <v>1</v>
      </c>
      <c r="AK47" s="12" t="n">
        <f aca="false">IF(AC47&gt;=End_liq-0.000000001,1,0)</f>
        <v>1</v>
      </c>
      <c r="AL47" s="12" t="n">
        <f aca="false">AJ47*AK47*W47</f>
        <v>1</v>
      </c>
      <c r="AM47" s="16" t="n">
        <f aca="false">Liq_0-Round_cost*B47+(1-Pledge_share)*P47</f>
        <v>535</v>
      </c>
      <c r="AN47" s="16" t="n">
        <f aca="false">AM47-Round_cost*C47+(1-Pledge_share)*Q47</f>
        <v>570</v>
      </c>
      <c r="AO47" s="16" t="n">
        <f aca="false">AN47-Round_cost*D47+(1-Pledge_share)*R47</f>
        <v>502.5</v>
      </c>
      <c r="AP47" s="16" t="n">
        <f aca="false">AO47-Round_cost*E47+(1-Pledge_share)*S47</f>
        <v>555</v>
      </c>
      <c r="AQ47" s="16" t="n">
        <f aca="false">AP47-Round_cost*F47+(1-Pledge_share)*T47</f>
        <v>607.5</v>
      </c>
      <c r="AR47" s="16" t="n">
        <f aca="false">AQ47-Round_cost*G47+(1-Pledge_share)*U47</f>
        <v>548.75</v>
      </c>
      <c r="AS47" s="19" t="n">
        <f aca="false">IF(B47=1,Liq_0-Round_cost,1000000000)</f>
        <v>500</v>
      </c>
      <c r="AT47" s="19" t="n">
        <f aca="false">IF(C47=1,AM47-Round_cost,1000000000)</f>
        <v>1000000000</v>
      </c>
      <c r="AU47" s="19" t="n">
        <f aca="false">IF(D47=1,AN47-Round_cost,1000000000)</f>
        <v>450</v>
      </c>
      <c r="AV47" s="19" t="n">
        <f aca="false">IF(E47=1,AO47-Round_cost,1000000000)</f>
        <v>1000000000</v>
      </c>
      <c r="AW47" s="19" t="n">
        <f aca="false">IF(F47=1,AP47-Round_cost,1000000000)</f>
        <v>1000000000</v>
      </c>
      <c r="AX47" s="19" t="n">
        <f aca="false">IF(G47=1,AQ47-Round_cost,1000000000)</f>
        <v>487.5</v>
      </c>
      <c r="AY47" s="12" t="n">
        <f aca="false">IF(AND(MIN(AM47:AR47)&gt;=Floor_liq-0.000000001,MIN(AS47:AX47)&gt;=Floor_liq-0.000000001),1,0)</f>
        <v>1</v>
      </c>
      <c r="AZ47" s="12" t="n">
        <f aca="false">IF(AR47&gt;=End_liq-0.000000001,1,0)</f>
        <v>1</v>
      </c>
      <c r="BA47" s="12" t="n">
        <f aca="false">AY47*AZ47*W47</f>
        <v>1</v>
      </c>
      <c r="BB47" s="16" t="n">
        <f aca="false">Pledge_share*V47</f>
        <v>288.75</v>
      </c>
      <c r="BC47" s="16" t="n">
        <f aca="false">IF(BA47=1,H47*10000+BB47,-1)</f>
        <v>30288.75</v>
      </c>
      <c r="BD47" s="14" t="n">
        <f aca="false">U47</f>
        <v>122.5</v>
      </c>
      <c r="BE47" s="16" t="n">
        <f aca="false">AC47</f>
        <v>837.5</v>
      </c>
      <c r="BF47" s="16" t="n">
        <f aca="false">IF(AL47=1,AC47-End_liq,-1000000000)</f>
        <v>367.5</v>
      </c>
      <c r="BG47" s="16" t="n">
        <f aca="false">IF(AL47=1,BF47+BG$4*BD47,-1000000000)</f>
        <v>367.5</v>
      </c>
      <c r="BH47" s="16" t="n">
        <f aca="false">IF(AL47=1,BF47+BH$4*BD47,-1000000000)</f>
        <v>980</v>
      </c>
      <c r="BI47" s="16" t="n">
        <f aca="false">IF(AL47=1,BF47+BI$4*BD47,-1000000000)</f>
        <v>1592.5</v>
      </c>
      <c r="BJ47" s="16" t="n">
        <f aca="false">IF(AL47=1,BF47+BJ$4*BD47,-1000000000)</f>
        <v>2817.5</v>
      </c>
      <c r="BK47" s="16" t="n">
        <f aca="false">IF(AL47=1,BF47+BK$4*BD47,-1000000000)</f>
        <v>5267.5</v>
      </c>
      <c r="BL47" s="16" t="n">
        <f aca="false">IF(AL47=1,BF47+BL$4*BD47,-1000000000)</f>
        <v>7717.5</v>
      </c>
      <c r="BM47" s="12" t="n">
        <f aca="false">IF(H47=0,1,IF(I47=VALUE(LEFT("123456",H47)),1,0))</f>
        <v>0</v>
      </c>
      <c r="BN47" s="12" t="n">
        <f aca="false">IF(BG47&gt;0,1000*BG47,-1000000000000)</f>
        <v>367500</v>
      </c>
      <c r="BO47" s="16" t="n">
        <f aca="false">IF(BG47&gt;0,BG47+100,-1000000000)</f>
        <v>467.5</v>
      </c>
      <c r="BP47" s="20" t="n">
        <f aca="false">IF(BG47&gt;0,LN(BG47),-1000000000)</f>
        <v>5.90672331865289</v>
      </c>
    </row>
    <row r="48" customFormat="false" ht="15" hidden="false" customHeight="false" outlineLevel="0" collapsed="false">
      <c r="A48" s="12" t="n">
        <v>42</v>
      </c>
      <c r="B48" s="12" t="n">
        <f aca="false">MOD(INT($A48/32),2)</f>
        <v>1</v>
      </c>
      <c r="C48" s="12" t="n">
        <f aca="false">MOD(INT($A48/16),2)</f>
        <v>0</v>
      </c>
      <c r="D48" s="12" t="n">
        <f aca="false">MOD(INT($A48/8),2)</f>
        <v>1</v>
      </c>
      <c r="E48" s="12" t="n">
        <f aca="false">MOD(INT($A48/4),2)</f>
        <v>0</v>
      </c>
      <c r="F48" s="12" t="n">
        <f aca="false">MOD(INT($A48/2),2)</f>
        <v>1</v>
      </c>
      <c r="G48" s="12" t="n">
        <f aca="false">MOD(INT($A48/1),2)</f>
        <v>0</v>
      </c>
      <c r="H48" s="12" t="n">
        <f aca="false">SUM(B48:G48)</f>
        <v>3</v>
      </c>
      <c r="I48" s="12" t="n">
        <f aca="false">IF(H48=0,0,VALUE(IF(B48=1,"1","")&amp;IF(C48=1,"2","")&amp;IF(D48=1,"3","")&amp;IF(E48=1,"4","")&amp;IF(F48=1,"5","")&amp;IF(G48=1,"6","")))</f>
        <v>135</v>
      </c>
      <c r="J48" s="14" t="n">
        <f aca="false">IF(B48=1,Eff_0+Gap_closed*(Eff_ceiling-Eff_0),Eff_0)</f>
        <v>78</v>
      </c>
      <c r="K48" s="14" t="n">
        <f aca="false">IF(C48=1,J48+Gap_closed*(Eff_ceiling-J48),J48)</f>
        <v>78</v>
      </c>
      <c r="L48" s="14" t="n">
        <f aca="false">IF(D48=1,K48+Gap_closed*(Eff_ceiling-K48),K48)</f>
        <v>81.5</v>
      </c>
      <c r="M48" s="14" t="n">
        <f aca="false">IF(E48=1,L48+Gap_closed*(Eff_ceiling-L48),L48)</f>
        <v>81.5</v>
      </c>
      <c r="N48" s="14" t="n">
        <f aca="false">IF(F48=1,M48+Gap_closed*(Eff_ceiling-M48),M48)</f>
        <v>83.25</v>
      </c>
      <c r="O48" s="14" t="n">
        <f aca="false">IF(G48=1,N48+Gap_closed*(Eff_ceiling-N48),N48)</f>
        <v>83.25</v>
      </c>
      <c r="P48" s="14" t="n">
        <f aca="false">Sav_point*(J48-Eff_0)</f>
        <v>70</v>
      </c>
      <c r="Q48" s="14" t="n">
        <f aca="false">Sav_point*(K48-Eff_0)</f>
        <v>70</v>
      </c>
      <c r="R48" s="14" t="n">
        <f aca="false">Sav_point*(L48-Eff_0)</f>
        <v>105</v>
      </c>
      <c r="S48" s="14" t="n">
        <f aca="false">Sav_point*(M48-Eff_0)</f>
        <v>105</v>
      </c>
      <c r="T48" s="14" t="n">
        <f aca="false">Sav_point*(N48-Eff_0)</f>
        <v>122.5</v>
      </c>
      <c r="U48" s="14" t="n">
        <f aca="false">Sav_point*(O48-Eff_0)</f>
        <v>122.5</v>
      </c>
      <c r="V48" s="14" t="n">
        <f aca="false">SUM(P48:U48)</f>
        <v>595</v>
      </c>
      <c r="W48" s="12" t="n">
        <f aca="false">IF(AND(H48&gt;0,Cap_0&lt;Cap_min),0,1)</f>
        <v>1</v>
      </c>
      <c r="X48" s="16" t="n">
        <f aca="false">Liq_0-Round_cost*B48+1*P48</f>
        <v>570</v>
      </c>
      <c r="Y48" s="16" t="n">
        <f aca="false">X48-Round_cost*C48+1*Q48</f>
        <v>640</v>
      </c>
      <c r="Z48" s="16" t="n">
        <f aca="false">Y48-Round_cost*D48+1*R48</f>
        <v>625</v>
      </c>
      <c r="AA48" s="16" t="n">
        <f aca="false">Z48-Round_cost*E48+1*S48</f>
        <v>730</v>
      </c>
      <c r="AB48" s="16" t="n">
        <f aca="false">AA48-Round_cost*F48+1*T48</f>
        <v>732.5</v>
      </c>
      <c r="AC48" s="16" t="n">
        <f aca="false">AB48-Round_cost*G48+1*U48</f>
        <v>855</v>
      </c>
      <c r="AD48" s="19" t="n">
        <f aca="false">IF(B48=1,Liq_0-Round_cost,1000000000)</f>
        <v>500</v>
      </c>
      <c r="AE48" s="19" t="n">
        <f aca="false">IF(C48=1,X48-Round_cost,1000000000)</f>
        <v>1000000000</v>
      </c>
      <c r="AF48" s="19" t="n">
        <f aca="false">IF(D48=1,Y48-Round_cost,1000000000)</f>
        <v>520</v>
      </c>
      <c r="AG48" s="19" t="n">
        <f aca="false">IF(E48=1,Z48-Round_cost,1000000000)</f>
        <v>1000000000</v>
      </c>
      <c r="AH48" s="19" t="n">
        <f aca="false">IF(F48=1,AA48-Round_cost,1000000000)</f>
        <v>610</v>
      </c>
      <c r="AI48" s="19" t="n">
        <f aca="false">IF(G48=1,AB48-Round_cost,1000000000)</f>
        <v>1000000000</v>
      </c>
      <c r="AJ48" s="12" t="n">
        <f aca="false">IF(AND(MIN(X48:AC48)&gt;=Floor_liq-0.000000001,MIN(AD48:AI48)&gt;=Floor_liq-0.000000001),1,0)</f>
        <v>1</v>
      </c>
      <c r="AK48" s="12" t="n">
        <f aca="false">IF(AC48&gt;=End_liq-0.000000001,1,0)</f>
        <v>1</v>
      </c>
      <c r="AL48" s="12" t="n">
        <f aca="false">AJ48*AK48*W48</f>
        <v>1</v>
      </c>
      <c r="AM48" s="16" t="n">
        <f aca="false">Liq_0-Round_cost*B48+(1-Pledge_share)*P48</f>
        <v>535</v>
      </c>
      <c r="AN48" s="16" t="n">
        <f aca="false">AM48-Round_cost*C48+(1-Pledge_share)*Q48</f>
        <v>570</v>
      </c>
      <c r="AO48" s="16" t="n">
        <f aca="false">AN48-Round_cost*D48+(1-Pledge_share)*R48</f>
        <v>502.5</v>
      </c>
      <c r="AP48" s="16" t="n">
        <f aca="false">AO48-Round_cost*E48+(1-Pledge_share)*S48</f>
        <v>555</v>
      </c>
      <c r="AQ48" s="16" t="n">
        <f aca="false">AP48-Round_cost*F48+(1-Pledge_share)*T48</f>
        <v>496.25</v>
      </c>
      <c r="AR48" s="16" t="n">
        <f aca="false">AQ48-Round_cost*G48+(1-Pledge_share)*U48</f>
        <v>557.5</v>
      </c>
      <c r="AS48" s="19" t="n">
        <f aca="false">IF(B48=1,Liq_0-Round_cost,1000000000)</f>
        <v>500</v>
      </c>
      <c r="AT48" s="19" t="n">
        <f aca="false">IF(C48=1,AM48-Round_cost,1000000000)</f>
        <v>1000000000</v>
      </c>
      <c r="AU48" s="19" t="n">
        <f aca="false">IF(D48=1,AN48-Round_cost,1000000000)</f>
        <v>450</v>
      </c>
      <c r="AV48" s="19" t="n">
        <f aca="false">IF(E48=1,AO48-Round_cost,1000000000)</f>
        <v>1000000000</v>
      </c>
      <c r="AW48" s="19" t="n">
        <f aca="false">IF(F48=1,AP48-Round_cost,1000000000)</f>
        <v>435</v>
      </c>
      <c r="AX48" s="19" t="n">
        <f aca="false">IF(G48=1,AQ48-Round_cost,1000000000)</f>
        <v>1000000000</v>
      </c>
      <c r="AY48" s="12" t="n">
        <f aca="false">IF(AND(MIN(AM48:AR48)&gt;=Floor_liq-0.000000001,MIN(AS48:AX48)&gt;=Floor_liq-0.000000001),1,0)</f>
        <v>1</v>
      </c>
      <c r="AZ48" s="12" t="n">
        <f aca="false">IF(AR48&gt;=End_liq-0.000000001,1,0)</f>
        <v>1</v>
      </c>
      <c r="BA48" s="12" t="n">
        <f aca="false">AY48*AZ48*W48</f>
        <v>1</v>
      </c>
      <c r="BB48" s="16" t="n">
        <f aca="false">Pledge_share*V48</f>
        <v>297.5</v>
      </c>
      <c r="BC48" s="16" t="n">
        <f aca="false">IF(BA48=1,H48*10000+BB48,-1)</f>
        <v>30297.5</v>
      </c>
      <c r="BD48" s="14" t="n">
        <f aca="false">U48</f>
        <v>122.5</v>
      </c>
      <c r="BE48" s="16" t="n">
        <f aca="false">AC48</f>
        <v>855</v>
      </c>
      <c r="BF48" s="16" t="n">
        <f aca="false">IF(AL48=1,AC48-End_liq,-1000000000)</f>
        <v>385</v>
      </c>
      <c r="BG48" s="16" t="n">
        <f aca="false">IF(AL48=1,BF48+BG$4*BD48,-1000000000)</f>
        <v>385</v>
      </c>
      <c r="BH48" s="16" t="n">
        <f aca="false">IF(AL48=1,BF48+BH$4*BD48,-1000000000)</f>
        <v>997.5</v>
      </c>
      <c r="BI48" s="16" t="n">
        <f aca="false">IF(AL48=1,BF48+BI$4*BD48,-1000000000)</f>
        <v>1610</v>
      </c>
      <c r="BJ48" s="16" t="n">
        <f aca="false">IF(AL48=1,BF48+BJ$4*BD48,-1000000000)</f>
        <v>2835</v>
      </c>
      <c r="BK48" s="16" t="n">
        <f aca="false">IF(AL48=1,BF48+BK$4*BD48,-1000000000)</f>
        <v>5285</v>
      </c>
      <c r="BL48" s="16" t="n">
        <f aca="false">IF(AL48=1,BF48+BL$4*BD48,-1000000000)</f>
        <v>7735</v>
      </c>
      <c r="BM48" s="12" t="n">
        <f aca="false">IF(H48=0,1,IF(I48=VALUE(LEFT("123456",H48)),1,0))</f>
        <v>0</v>
      </c>
      <c r="BN48" s="12" t="n">
        <f aca="false">IF(BG48&gt;0,1000*BG48,-1000000000000)</f>
        <v>385000</v>
      </c>
      <c r="BO48" s="16" t="n">
        <f aca="false">IF(BG48&gt;0,BG48+100,-1000000000)</f>
        <v>485</v>
      </c>
      <c r="BP48" s="20" t="n">
        <f aca="false">IF(BG48&gt;0,LN(BG48),-1000000000)</f>
        <v>5.95324333428779</v>
      </c>
    </row>
    <row r="49" customFormat="false" ht="15" hidden="false" customHeight="false" outlineLevel="0" collapsed="false">
      <c r="A49" s="12" t="n">
        <v>43</v>
      </c>
      <c r="B49" s="12" t="n">
        <f aca="false">MOD(INT($A49/32),2)</f>
        <v>1</v>
      </c>
      <c r="C49" s="12" t="n">
        <f aca="false">MOD(INT($A49/16),2)</f>
        <v>0</v>
      </c>
      <c r="D49" s="12" t="n">
        <f aca="false">MOD(INT($A49/8),2)</f>
        <v>1</v>
      </c>
      <c r="E49" s="12" t="n">
        <f aca="false">MOD(INT($A49/4),2)</f>
        <v>0</v>
      </c>
      <c r="F49" s="12" t="n">
        <f aca="false">MOD(INT($A49/2),2)</f>
        <v>1</v>
      </c>
      <c r="G49" s="12" t="n">
        <f aca="false">MOD(INT($A49/1),2)</f>
        <v>1</v>
      </c>
      <c r="H49" s="12" t="n">
        <f aca="false">SUM(B49:G49)</f>
        <v>4</v>
      </c>
      <c r="I49" s="12" t="n">
        <f aca="false">IF(H49=0,0,VALUE(IF(B49=1,"1","")&amp;IF(C49=1,"2","")&amp;IF(D49=1,"3","")&amp;IF(E49=1,"4","")&amp;IF(F49=1,"5","")&amp;IF(G49=1,"6","")))</f>
        <v>1356</v>
      </c>
      <c r="J49" s="14" t="n">
        <f aca="false">IF(B49=1,Eff_0+Gap_closed*(Eff_ceiling-Eff_0),Eff_0)</f>
        <v>78</v>
      </c>
      <c r="K49" s="14" t="n">
        <f aca="false">IF(C49=1,J49+Gap_closed*(Eff_ceiling-J49),J49)</f>
        <v>78</v>
      </c>
      <c r="L49" s="14" t="n">
        <f aca="false">IF(D49=1,K49+Gap_closed*(Eff_ceiling-K49),K49)</f>
        <v>81.5</v>
      </c>
      <c r="M49" s="14" t="n">
        <f aca="false">IF(E49=1,L49+Gap_closed*(Eff_ceiling-L49),L49)</f>
        <v>81.5</v>
      </c>
      <c r="N49" s="14" t="n">
        <f aca="false">IF(F49=1,M49+Gap_closed*(Eff_ceiling-M49),M49)</f>
        <v>83.25</v>
      </c>
      <c r="O49" s="14" t="n">
        <f aca="false">IF(G49=1,N49+Gap_closed*(Eff_ceiling-N49),N49)</f>
        <v>84.125</v>
      </c>
      <c r="P49" s="14" t="n">
        <f aca="false">Sav_point*(J49-Eff_0)</f>
        <v>70</v>
      </c>
      <c r="Q49" s="14" t="n">
        <f aca="false">Sav_point*(K49-Eff_0)</f>
        <v>70</v>
      </c>
      <c r="R49" s="14" t="n">
        <f aca="false">Sav_point*(L49-Eff_0)</f>
        <v>105</v>
      </c>
      <c r="S49" s="14" t="n">
        <f aca="false">Sav_point*(M49-Eff_0)</f>
        <v>105</v>
      </c>
      <c r="T49" s="14" t="n">
        <f aca="false">Sav_point*(N49-Eff_0)</f>
        <v>122.5</v>
      </c>
      <c r="U49" s="14" t="n">
        <f aca="false">Sav_point*(O49-Eff_0)</f>
        <v>131.25</v>
      </c>
      <c r="V49" s="14" t="n">
        <f aca="false">SUM(P49:U49)</f>
        <v>603.75</v>
      </c>
      <c r="W49" s="12" t="n">
        <f aca="false">IF(AND(H49&gt;0,Cap_0&lt;Cap_min),0,1)</f>
        <v>1</v>
      </c>
      <c r="X49" s="16" t="n">
        <f aca="false">Liq_0-Round_cost*B49+1*P49</f>
        <v>570</v>
      </c>
      <c r="Y49" s="16" t="n">
        <f aca="false">X49-Round_cost*C49+1*Q49</f>
        <v>640</v>
      </c>
      <c r="Z49" s="16" t="n">
        <f aca="false">Y49-Round_cost*D49+1*R49</f>
        <v>625</v>
      </c>
      <c r="AA49" s="16" t="n">
        <f aca="false">Z49-Round_cost*E49+1*S49</f>
        <v>730</v>
      </c>
      <c r="AB49" s="16" t="n">
        <f aca="false">AA49-Round_cost*F49+1*T49</f>
        <v>732.5</v>
      </c>
      <c r="AC49" s="16" t="n">
        <f aca="false">AB49-Round_cost*G49+1*U49</f>
        <v>743.75</v>
      </c>
      <c r="AD49" s="19" t="n">
        <f aca="false">IF(B49=1,Liq_0-Round_cost,1000000000)</f>
        <v>500</v>
      </c>
      <c r="AE49" s="19" t="n">
        <f aca="false">IF(C49=1,X49-Round_cost,1000000000)</f>
        <v>1000000000</v>
      </c>
      <c r="AF49" s="19" t="n">
        <f aca="false">IF(D49=1,Y49-Round_cost,1000000000)</f>
        <v>520</v>
      </c>
      <c r="AG49" s="19" t="n">
        <f aca="false">IF(E49=1,Z49-Round_cost,1000000000)</f>
        <v>1000000000</v>
      </c>
      <c r="AH49" s="19" t="n">
        <f aca="false">IF(F49=1,AA49-Round_cost,1000000000)</f>
        <v>610</v>
      </c>
      <c r="AI49" s="19" t="n">
        <f aca="false">IF(G49=1,AB49-Round_cost,1000000000)</f>
        <v>612.5</v>
      </c>
      <c r="AJ49" s="12" t="n">
        <f aca="false">IF(AND(MIN(X49:AC49)&gt;=Floor_liq-0.000000001,MIN(AD49:AI49)&gt;=Floor_liq-0.000000001),1,0)</f>
        <v>1</v>
      </c>
      <c r="AK49" s="12" t="n">
        <f aca="false">IF(AC49&gt;=End_liq-0.000000001,1,0)</f>
        <v>1</v>
      </c>
      <c r="AL49" s="12" t="n">
        <f aca="false">AJ49*AK49*W49</f>
        <v>1</v>
      </c>
      <c r="AM49" s="16" t="n">
        <f aca="false">Liq_0-Round_cost*B49+(1-Pledge_share)*P49</f>
        <v>535</v>
      </c>
      <c r="AN49" s="16" t="n">
        <f aca="false">AM49-Round_cost*C49+(1-Pledge_share)*Q49</f>
        <v>570</v>
      </c>
      <c r="AO49" s="16" t="n">
        <f aca="false">AN49-Round_cost*D49+(1-Pledge_share)*R49</f>
        <v>502.5</v>
      </c>
      <c r="AP49" s="16" t="n">
        <f aca="false">AO49-Round_cost*E49+(1-Pledge_share)*S49</f>
        <v>555</v>
      </c>
      <c r="AQ49" s="16" t="n">
        <f aca="false">AP49-Round_cost*F49+(1-Pledge_share)*T49</f>
        <v>496.25</v>
      </c>
      <c r="AR49" s="16" t="n">
        <f aca="false">AQ49-Round_cost*G49+(1-Pledge_share)*U49</f>
        <v>441.875</v>
      </c>
      <c r="AS49" s="19" t="n">
        <f aca="false">IF(B49=1,Liq_0-Round_cost,1000000000)</f>
        <v>500</v>
      </c>
      <c r="AT49" s="19" t="n">
        <f aca="false">IF(C49=1,AM49-Round_cost,1000000000)</f>
        <v>1000000000</v>
      </c>
      <c r="AU49" s="19" t="n">
        <f aca="false">IF(D49=1,AN49-Round_cost,1000000000)</f>
        <v>450</v>
      </c>
      <c r="AV49" s="19" t="n">
        <f aca="false">IF(E49=1,AO49-Round_cost,1000000000)</f>
        <v>1000000000</v>
      </c>
      <c r="AW49" s="19" t="n">
        <f aca="false">IF(F49=1,AP49-Round_cost,1000000000)</f>
        <v>435</v>
      </c>
      <c r="AX49" s="19" t="n">
        <f aca="false">IF(G49=1,AQ49-Round_cost,1000000000)</f>
        <v>376.25</v>
      </c>
      <c r="AY49" s="12" t="n">
        <f aca="false">IF(AND(MIN(AM49:AR49)&gt;=Floor_liq-0.000000001,MIN(AS49:AX49)&gt;=Floor_liq-0.000000001),1,0)</f>
        <v>1</v>
      </c>
      <c r="AZ49" s="12" t="n">
        <f aca="false">IF(AR49&gt;=End_liq-0.000000001,1,0)</f>
        <v>0</v>
      </c>
      <c r="BA49" s="12" t="n">
        <f aca="false">AY49*AZ49*W49</f>
        <v>0</v>
      </c>
      <c r="BB49" s="16" t="n">
        <f aca="false">Pledge_share*V49</f>
        <v>301.875</v>
      </c>
      <c r="BC49" s="16" t="n">
        <f aca="false">IF(BA49=1,H49*10000+BB49,-1)</f>
        <v>-1</v>
      </c>
      <c r="BD49" s="14" t="n">
        <f aca="false">U49</f>
        <v>131.25</v>
      </c>
      <c r="BE49" s="16" t="n">
        <f aca="false">AC49</f>
        <v>743.75</v>
      </c>
      <c r="BF49" s="16" t="n">
        <f aca="false">IF(AL49=1,AC49-End_liq,-1000000000)</f>
        <v>273.75</v>
      </c>
      <c r="BG49" s="16" t="n">
        <f aca="false">IF(AL49=1,BF49+BG$4*BD49,-1000000000)</f>
        <v>273.75</v>
      </c>
      <c r="BH49" s="16" t="n">
        <f aca="false">IF(AL49=1,BF49+BH$4*BD49,-1000000000)</f>
        <v>930</v>
      </c>
      <c r="BI49" s="16" t="n">
        <f aca="false">IF(AL49=1,BF49+BI$4*BD49,-1000000000)</f>
        <v>1586.25</v>
      </c>
      <c r="BJ49" s="16" t="n">
        <f aca="false">IF(AL49=1,BF49+BJ$4*BD49,-1000000000)</f>
        <v>2898.75</v>
      </c>
      <c r="BK49" s="16" t="n">
        <f aca="false">IF(AL49=1,BF49+BK$4*BD49,-1000000000)</f>
        <v>5523.75</v>
      </c>
      <c r="BL49" s="16" t="n">
        <f aca="false">IF(AL49=1,BF49+BL$4*BD49,-1000000000)</f>
        <v>8148.75</v>
      </c>
      <c r="BM49" s="12" t="n">
        <f aca="false">IF(H49=0,1,IF(I49=VALUE(LEFT("123456",H49)),1,0))</f>
        <v>0</v>
      </c>
      <c r="BN49" s="12" t="n">
        <f aca="false">IF(BG49&gt;0,1000*BG49,-1000000000000)</f>
        <v>273750</v>
      </c>
      <c r="BO49" s="16" t="n">
        <f aca="false">IF(BG49&gt;0,BG49+100,-1000000000)</f>
        <v>373.75</v>
      </c>
      <c r="BP49" s="20" t="n">
        <f aca="false">IF(BG49&gt;0,LN(BG49),-1000000000)</f>
        <v>5.61221528113071</v>
      </c>
    </row>
    <row r="50" customFormat="false" ht="15" hidden="false" customHeight="false" outlineLevel="0" collapsed="false">
      <c r="A50" s="12" t="n">
        <v>44</v>
      </c>
      <c r="B50" s="12" t="n">
        <f aca="false">MOD(INT($A50/32),2)</f>
        <v>1</v>
      </c>
      <c r="C50" s="12" t="n">
        <f aca="false">MOD(INT($A50/16),2)</f>
        <v>0</v>
      </c>
      <c r="D50" s="12" t="n">
        <f aca="false">MOD(INT($A50/8),2)</f>
        <v>1</v>
      </c>
      <c r="E50" s="12" t="n">
        <f aca="false">MOD(INT($A50/4),2)</f>
        <v>1</v>
      </c>
      <c r="F50" s="12" t="n">
        <f aca="false">MOD(INT($A50/2),2)</f>
        <v>0</v>
      </c>
      <c r="G50" s="12" t="n">
        <f aca="false">MOD(INT($A50/1),2)</f>
        <v>0</v>
      </c>
      <c r="H50" s="12" t="n">
        <f aca="false">SUM(B50:G50)</f>
        <v>3</v>
      </c>
      <c r="I50" s="12" t="n">
        <f aca="false">IF(H50=0,0,VALUE(IF(B50=1,"1","")&amp;IF(C50=1,"2","")&amp;IF(D50=1,"3","")&amp;IF(E50=1,"4","")&amp;IF(F50=1,"5","")&amp;IF(G50=1,"6","")))</f>
        <v>134</v>
      </c>
      <c r="J50" s="14" t="n">
        <f aca="false">IF(B50=1,Eff_0+Gap_closed*(Eff_ceiling-Eff_0),Eff_0)</f>
        <v>78</v>
      </c>
      <c r="K50" s="14" t="n">
        <f aca="false">IF(C50=1,J50+Gap_closed*(Eff_ceiling-J50),J50)</f>
        <v>78</v>
      </c>
      <c r="L50" s="14" t="n">
        <f aca="false">IF(D50=1,K50+Gap_closed*(Eff_ceiling-K50),K50)</f>
        <v>81.5</v>
      </c>
      <c r="M50" s="14" t="n">
        <f aca="false">IF(E50=1,L50+Gap_closed*(Eff_ceiling-L50),L50)</f>
        <v>83.25</v>
      </c>
      <c r="N50" s="14" t="n">
        <f aca="false">IF(F50=1,M50+Gap_closed*(Eff_ceiling-M50),M50)</f>
        <v>83.25</v>
      </c>
      <c r="O50" s="14" t="n">
        <f aca="false">IF(G50=1,N50+Gap_closed*(Eff_ceiling-N50),N50)</f>
        <v>83.25</v>
      </c>
      <c r="P50" s="14" t="n">
        <f aca="false">Sav_point*(J50-Eff_0)</f>
        <v>70</v>
      </c>
      <c r="Q50" s="14" t="n">
        <f aca="false">Sav_point*(K50-Eff_0)</f>
        <v>70</v>
      </c>
      <c r="R50" s="14" t="n">
        <f aca="false">Sav_point*(L50-Eff_0)</f>
        <v>105</v>
      </c>
      <c r="S50" s="14" t="n">
        <f aca="false">Sav_point*(M50-Eff_0)</f>
        <v>122.5</v>
      </c>
      <c r="T50" s="14" t="n">
        <f aca="false">Sav_point*(N50-Eff_0)</f>
        <v>122.5</v>
      </c>
      <c r="U50" s="14" t="n">
        <f aca="false">Sav_point*(O50-Eff_0)</f>
        <v>122.5</v>
      </c>
      <c r="V50" s="14" t="n">
        <f aca="false">SUM(P50:U50)</f>
        <v>612.5</v>
      </c>
      <c r="W50" s="12" t="n">
        <f aca="false">IF(AND(H50&gt;0,Cap_0&lt;Cap_min),0,1)</f>
        <v>1</v>
      </c>
      <c r="X50" s="16" t="n">
        <f aca="false">Liq_0-Round_cost*B50+1*P50</f>
        <v>570</v>
      </c>
      <c r="Y50" s="16" t="n">
        <f aca="false">X50-Round_cost*C50+1*Q50</f>
        <v>640</v>
      </c>
      <c r="Z50" s="16" t="n">
        <f aca="false">Y50-Round_cost*D50+1*R50</f>
        <v>625</v>
      </c>
      <c r="AA50" s="16" t="n">
        <f aca="false">Z50-Round_cost*E50+1*S50</f>
        <v>627.5</v>
      </c>
      <c r="AB50" s="16" t="n">
        <f aca="false">AA50-Round_cost*F50+1*T50</f>
        <v>750</v>
      </c>
      <c r="AC50" s="16" t="n">
        <f aca="false">AB50-Round_cost*G50+1*U50</f>
        <v>872.5</v>
      </c>
      <c r="AD50" s="19" t="n">
        <f aca="false">IF(B50=1,Liq_0-Round_cost,1000000000)</f>
        <v>500</v>
      </c>
      <c r="AE50" s="19" t="n">
        <f aca="false">IF(C50=1,X50-Round_cost,1000000000)</f>
        <v>1000000000</v>
      </c>
      <c r="AF50" s="19" t="n">
        <f aca="false">IF(D50=1,Y50-Round_cost,1000000000)</f>
        <v>520</v>
      </c>
      <c r="AG50" s="19" t="n">
        <f aca="false">IF(E50=1,Z50-Round_cost,1000000000)</f>
        <v>505</v>
      </c>
      <c r="AH50" s="19" t="n">
        <f aca="false">IF(F50=1,AA50-Round_cost,1000000000)</f>
        <v>1000000000</v>
      </c>
      <c r="AI50" s="19" t="n">
        <f aca="false">IF(G50=1,AB50-Round_cost,1000000000)</f>
        <v>1000000000</v>
      </c>
      <c r="AJ50" s="12" t="n">
        <f aca="false">IF(AND(MIN(X50:AC50)&gt;=Floor_liq-0.000000001,MIN(AD50:AI50)&gt;=Floor_liq-0.000000001),1,0)</f>
        <v>1</v>
      </c>
      <c r="AK50" s="12" t="n">
        <f aca="false">IF(AC50&gt;=End_liq-0.000000001,1,0)</f>
        <v>1</v>
      </c>
      <c r="AL50" s="12" t="n">
        <f aca="false">AJ50*AK50*W50</f>
        <v>1</v>
      </c>
      <c r="AM50" s="16" t="n">
        <f aca="false">Liq_0-Round_cost*B50+(1-Pledge_share)*P50</f>
        <v>535</v>
      </c>
      <c r="AN50" s="16" t="n">
        <f aca="false">AM50-Round_cost*C50+(1-Pledge_share)*Q50</f>
        <v>570</v>
      </c>
      <c r="AO50" s="16" t="n">
        <f aca="false">AN50-Round_cost*D50+(1-Pledge_share)*R50</f>
        <v>502.5</v>
      </c>
      <c r="AP50" s="16" t="n">
        <f aca="false">AO50-Round_cost*E50+(1-Pledge_share)*S50</f>
        <v>443.75</v>
      </c>
      <c r="AQ50" s="16" t="n">
        <f aca="false">AP50-Round_cost*F50+(1-Pledge_share)*T50</f>
        <v>505</v>
      </c>
      <c r="AR50" s="16" t="n">
        <f aca="false">AQ50-Round_cost*G50+(1-Pledge_share)*U50</f>
        <v>566.25</v>
      </c>
      <c r="AS50" s="19" t="n">
        <f aca="false">IF(B50=1,Liq_0-Round_cost,1000000000)</f>
        <v>500</v>
      </c>
      <c r="AT50" s="19" t="n">
        <f aca="false">IF(C50=1,AM50-Round_cost,1000000000)</f>
        <v>1000000000</v>
      </c>
      <c r="AU50" s="19" t="n">
        <f aca="false">IF(D50=1,AN50-Round_cost,1000000000)</f>
        <v>450</v>
      </c>
      <c r="AV50" s="19" t="n">
        <f aca="false">IF(E50=1,AO50-Round_cost,1000000000)</f>
        <v>382.5</v>
      </c>
      <c r="AW50" s="19" t="n">
        <f aca="false">IF(F50=1,AP50-Round_cost,1000000000)</f>
        <v>1000000000</v>
      </c>
      <c r="AX50" s="19" t="n">
        <f aca="false">IF(G50=1,AQ50-Round_cost,1000000000)</f>
        <v>1000000000</v>
      </c>
      <c r="AY50" s="12" t="n">
        <f aca="false">IF(AND(MIN(AM50:AR50)&gt;=Floor_liq-0.000000001,MIN(AS50:AX50)&gt;=Floor_liq-0.000000001),1,0)</f>
        <v>1</v>
      </c>
      <c r="AZ50" s="12" t="n">
        <f aca="false">IF(AR50&gt;=End_liq-0.000000001,1,0)</f>
        <v>1</v>
      </c>
      <c r="BA50" s="12" t="n">
        <f aca="false">AY50*AZ50*W50</f>
        <v>1</v>
      </c>
      <c r="BB50" s="16" t="n">
        <f aca="false">Pledge_share*V50</f>
        <v>306.25</v>
      </c>
      <c r="BC50" s="16" t="n">
        <f aca="false">IF(BA50=1,H50*10000+BB50,-1)</f>
        <v>30306.25</v>
      </c>
      <c r="BD50" s="14" t="n">
        <f aca="false">U50</f>
        <v>122.5</v>
      </c>
      <c r="BE50" s="16" t="n">
        <f aca="false">AC50</f>
        <v>872.5</v>
      </c>
      <c r="BF50" s="16" t="n">
        <f aca="false">IF(AL50=1,AC50-End_liq,-1000000000)</f>
        <v>402.5</v>
      </c>
      <c r="BG50" s="16" t="n">
        <f aca="false">IF(AL50=1,BF50+BG$4*BD50,-1000000000)</f>
        <v>402.5</v>
      </c>
      <c r="BH50" s="16" t="n">
        <f aca="false">IF(AL50=1,BF50+BH$4*BD50,-1000000000)</f>
        <v>1015</v>
      </c>
      <c r="BI50" s="16" t="n">
        <f aca="false">IF(AL50=1,BF50+BI$4*BD50,-1000000000)</f>
        <v>1627.5</v>
      </c>
      <c r="BJ50" s="16" t="n">
        <f aca="false">IF(AL50=1,BF50+BJ$4*BD50,-1000000000)</f>
        <v>2852.5</v>
      </c>
      <c r="BK50" s="16" t="n">
        <f aca="false">IF(AL50=1,BF50+BK$4*BD50,-1000000000)</f>
        <v>5302.5</v>
      </c>
      <c r="BL50" s="16" t="n">
        <f aca="false">IF(AL50=1,BF50+BL$4*BD50,-1000000000)</f>
        <v>7752.5</v>
      </c>
      <c r="BM50" s="12" t="n">
        <f aca="false">IF(H50=0,1,IF(I50=VALUE(LEFT("123456",H50)),1,0))</f>
        <v>0</v>
      </c>
      <c r="BN50" s="12" t="n">
        <f aca="false">IF(BG50&gt;0,1000*BG50,-1000000000000)</f>
        <v>402500</v>
      </c>
      <c r="BO50" s="16" t="n">
        <f aca="false">IF(BG50&gt;0,BG50+100,-1000000000)</f>
        <v>502.5</v>
      </c>
      <c r="BP50" s="20" t="n">
        <f aca="false">IF(BG50&gt;0,LN(BG50),-1000000000)</f>
        <v>5.99769509685862</v>
      </c>
    </row>
    <row r="51" customFormat="false" ht="15" hidden="false" customHeight="false" outlineLevel="0" collapsed="false">
      <c r="A51" s="12" t="n">
        <v>45</v>
      </c>
      <c r="B51" s="12" t="n">
        <f aca="false">MOD(INT($A51/32),2)</f>
        <v>1</v>
      </c>
      <c r="C51" s="12" t="n">
        <f aca="false">MOD(INT($A51/16),2)</f>
        <v>0</v>
      </c>
      <c r="D51" s="12" t="n">
        <f aca="false">MOD(INT($A51/8),2)</f>
        <v>1</v>
      </c>
      <c r="E51" s="12" t="n">
        <f aca="false">MOD(INT($A51/4),2)</f>
        <v>1</v>
      </c>
      <c r="F51" s="12" t="n">
        <f aca="false">MOD(INT($A51/2),2)</f>
        <v>0</v>
      </c>
      <c r="G51" s="12" t="n">
        <f aca="false">MOD(INT($A51/1),2)</f>
        <v>1</v>
      </c>
      <c r="H51" s="12" t="n">
        <f aca="false">SUM(B51:G51)</f>
        <v>4</v>
      </c>
      <c r="I51" s="12" t="n">
        <f aca="false">IF(H51=0,0,VALUE(IF(B51=1,"1","")&amp;IF(C51=1,"2","")&amp;IF(D51=1,"3","")&amp;IF(E51=1,"4","")&amp;IF(F51=1,"5","")&amp;IF(G51=1,"6","")))</f>
        <v>1346</v>
      </c>
      <c r="J51" s="14" t="n">
        <f aca="false">IF(B51=1,Eff_0+Gap_closed*(Eff_ceiling-Eff_0),Eff_0)</f>
        <v>78</v>
      </c>
      <c r="K51" s="14" t="n">
        <f aca="false">IF(C51=1,J51+Gap_closed*(Eff_ceiling-J51),J51)</f>
        <v>78</v>
      </c>
      <c r="L51" s="14" t="n">
        <f aca="false">IF(D51=1,K51+Gap_closed*(Eff_ceiling-K51),K51)</f>
        <v>81.5</v>
      </c>
      <c r="M51" s="14" t="n">
        <f aca="false">IF(E51=1,L51+Gap_closed*(Eff_ceiling-L51),L51)</f>
        <v>83.25</v>
      </c>
      <c r="N51" s="14" t="n">
        <f aca="false">IF(F51=1,M51+Gap_closed*(Eff_ceiling-M51),M51)</f>
        <v>83.25</v>
      </c>
      <c r="O51" s="14" t="n">
        <f aca="false">IF(G51=1,N51+Gap_closed*(Eff_ceiling-N51),N51)</f>
        <v>84.125</v>
      </c>
      <c r="P51" s="14" t="n">
        <f aca="false">Sav_point*(J51-Eff_0)</f>
        <v>70</v>
      </c>
      <c r="Q51" s="14" t="n">
        <f aca="false">Sav_point*(K51-Eff_0)</f>
        <v>70</v>
      </c>
      <c r="R51" s="14" t="n">
        <f aca="false">Sav_point*(L51-Eff_0)</f>
        <v>105</v>
      </c>
      <c r="S51" s="14" t="n">
        <f aca="false">Sav_point*(M51-Eff_0)</f>
        <v>122.5</v>
      </c>
      <c r="T51" s="14" t="n">
        <f aca="false">Sav_point*(N51-Eff_0)</f>
        <v>122.5</v>
      </c>
      <c r="U51" s="14" t="n">
        <f aca="false">Sav_point*(O51-Eff_0)</f>
        <v>131.25</v>
      </c>
      <c r="V51" s="14" t="n">
        <f aca="false">SUM(P51:U51)</f>
        <v>621.25</v>
      </c>
      <c r="W51" s="12" t="n">
        <f aca="false">IF(AND(H51&gt;0,Cap_0&lt;Cap_min),0,1)</f>
        <v>1</v>
      </c>
      <c r="X51" s="16" t="n">
        <f aca="false">Liq_0-Round_cost*B51+1*P51</f>
        <v>570</v>
      </c>
      <c r="Y51" s="16" t="n">
        <f aca="false">X51-Round_cost*C51+1*Q51</f>
        <v>640</v>
      </c>
      <c r="Z51" s="16" t="n">
        <f aca="false">Y51-Round_cost*D51+1*R51</f>
        <v>625</v>
      </c>
      <c r="AA51" s="16" t="n">
        <f aca="false">Z51-Round_cost*E51+1*S51</f>
        <v>627.5</v>
      </c>
      <c r="AB51" s="16" t="n">
        <f aca="false">AA51-Round_cost*F51+1*T51</f>
        <v>750</v>
      </c>
      <c r="AC51" s="16" t="n">
        <f aca="false">AB51-Round_cost*G51+1*U51</f>
        <v>761.25</v>
      </c>
      <c r="AD51" s="19" t="n">
        <f aca="false">IF(B51=1,Liq_0-Round_cost,1000000000)</f>
        <v>500</v>
      </c>
      <c r="AE51" s="19" t="n">
        <f aca="false">IF(C51=1,X51-Round_cost,1000000000)</f>
        <v>1000000000</v>
      </c>
      <c r="AF51" s="19" t="n">
        <f aca="false">IF(D51=1,Y51-Round_cost,1000000000)</f>
        <v>520</v>
      </c>
      <c r="AG51" s="19" t="n">
        <f aca="false">IF(E51=1,Z51-Round_cost,1000000000)</f>
        <v>505</v>
      </c>
      <c r="AH51" s="19" t="n">
        <f aca="false">IF(F51=1,AA51-Round_cost,1000000000)</f>
        <v>1000000000</v>
      </c>
      <c r="AI51" s="19" t="n">
        <f aca="false">IF(G51=1,AB51-Round_cost,1000000000)</f>
        <v>630</v>
      </c>
      <c r="AJ51" s="12" t="n">
        <f aca="false">IF(AND(MIN(X51:AC51)&gt;=Floor_liq-0.000000001,MIN(AD51:AI51)&gt;=Floor_liq-0.000000001),1,0)</f>
        <v>1</v>
      </c>
      <c r="AK51" s="12" t="n">
        <f aca="false">IF(AC51&gt;=End_liq-0.000000001,1,0)</f>
        <v>1</v>
      </c>
      <c r="AL51" s="12" t="n">
        <f aca="false">AJ51*AK51*W51</f>
        <v>1</v>
      </c>
      <c r="AM51" s="16" t="n">
        <f aca="false">Liq_0-Round_cost*B51+(1-Pledge_share)*P51</f>
        <v>535</v>
      </c>
      <c r="AN51" s="16" t="n">
        <f aca="false">AM51-Round_cost*C51+(1-Pledge_share)*Q51</f>
        <v>570</v>
      </c>
      <c r="AO51" s="16" t="n">
        <f aca="false">AN51-Round_cost*D51+(1-Pledge_share)*R51</f>
        <v>502.5</v>
      </c>
      <c r="AP51" s="16" t="n">
        <f aca="false">AO51-Round_cost*E51+(1-Pledge_share)*S51</f>
        <v>443.75</v>
      </c>
      <c r="AQ51" s="16" t="n">
        <f aca="false">AP51-Round_cost*F51+(1-Pledge_share)*T51</f>
        <v>505</v>
      </c>
      <c r="AR51" s="16" t="n">
        <f aca="false">AQ51-Round_cost*G51+(1-Pledge_share)*U51</f>
        <v>450.625</v>
      </c>
      <c r="AS51" s="19" t="n">
        <f aca="false">IF(B51=1,Liq_0-Round_cost,1000000000)</f>
        <v>500</v>
      </c>
      <c r="AT51" s="19" t="n">
        <f aca="false">IF(C51=1,AM51-Round_cost,1000000000)</f>
        <v>1000000000</v>
      </c>
      <c r="AU51" s="19" t="n">
        <f aca="false">IF(D51=1,AN51-Round_cost,1000000000)</f>
        <v>450</v>
      </c>
      <c r="AV51" s="19" t="n">
        <f aca="false">IF(E51=1,AO51-Round_cost,1000000000)</f>
        <v>382.5</v>
      </c>
      <c r="AW51" s="19" t="n">
        <f aca="false">IF(F51=1,AP51-Round_cost,1000000000)</f>
        <v>1000000000</v>
      </c>
      <c r="AX51" s="19" t="n">
        <f aca="false">IF(G51=1,AQ51-Round_cost,1000000000)</f>
        <v>385</v>
      </c>
      <c r="AY51" s="12" t="n">
        <f aca="false">IF(AND(MIN(AM51:AR51)&gt;=Floor_liq-0.000000001,MIN(AS51:AX51)&gt;=Floor_liq-0.000000001),1,0)</f>
        <v>1</v>
      </c>
      <c r="AZ51" s="12" t="n">
        <f aca="false">IF(AR51&gt;=End_liq-0.000000001,1,0)</f>
        <v>0</v>
      </c>
      <c r="BA51" s="12" t="n">
        <f aca="false">AY51*AZ51*W51</f>
        <v>0</v>
      </c>
      <c r="BB51" s="16" t="n">
        <f aca="false">Pledge_share*V51</f>
        <v>310.625</v>
      </c>
      <c r="BC51" s="16" t="n">
        <f aca="false">IF(BA51=1,H51*10000+BB51,-1)</f>
        <v>-1</v>
      </c>
      <c r="BD51" s="14" t="n">
        <f aca="false">U51</f>
        <v>131.25</v>
      </c>
      <c r="BE51" s="16" t="n">
        <f aca="false">AC51</f>
        <v>761.25</v>
      </c>
      <c r="BF51" s="16" t="n">
        <f aca="false">IF(AL51=1,AC51-End_liq,-1000000000)</f>
        <v>291.25</v>
      </c>
      <c r="BG51" s="16" t="n">
        <f aca="false">IF(AL51=1,BF51+BG$4*BD51,-1000000000)</f>
        <v>291.25</v>
      </c>
      <c r="BH51" s="16" t="n">
        <f aca="false">IF(AL51=1,BF51+BH$4*BD51,-1000000000)</f>
        <v>947.5</v>
      </c>
      <c r="BI51" s="16" t="n">
        <f aca="false">IF(AL51=1,BF51+BI$4*BD51,-1000000000)</f>
        <v>1603.75</v>
      </c>
      <c r="BJ51" s="16" t="n">
        <f aca="false">IF(AL51=1,BF51+BJ$4*BD51,-1000000000)</f>
        <v>2916.25</v>
      </c>
      <c r="BK51" s="16" t="n">
        <f aca="false">IF(AL51=1,BF51+BK$4*BD51,-1000000000)</f>
        <v>5541.25</v>
      </c>
      <c r="BL51" s="16" t="n">
        <f aca="false">IF(AL51=1,BF51+BL$4*BD51,-1000000000)</f>
        <v>8166.25</v>
      </c>
      <c r="BM51" s="12" t="n">
        <f aca="false">IF(H51=0,1,IF(I51=VALUE(LEFT("123456",H51)),1,0))</f>
        <v>0</v>
      </c>
      <c r="BN51" s="12" t="n">
        <f aca="false">IF(BG51&gt;0,1000*BG51,-1000000000000)</f>
        <v>291250</v>
      </c>
      <c r="BO51" s="16" t="n">
        <f aca="false">IF(BG51&gt;0,BG51+100,-1000000000)</f>
        <v>391.25</v>
      </c>
      <c r="BP51" s="20" t="n">
        <f aca="false">IF(BG51&gt;0,LN(BG51),-1000000000)</f>
        <v>5.67418200487991</v>
      </c>
    </row>
    <row r="52" customFormat="false" ht="15" hidden="false" customHeight="false" outlineLevel="0" collapsed="false">
      <c r="A52" s="12" t="n">
        <v>46</v>
      </c>
      <c r="B52" s="12" t="n">
        <f aca="false">MOD(INT($A52/32),2)</f>
        <v>1</v>
      </c>
      <c r="C52" s="12" t="n">
        <f aca="false">MOD(INT($A52/16),2)</f>
        <v>0</v>
      </c>
      <c r="D52" s="12" t="n">
        <f aca="false">MOD(INT($A52/8),2)</f>
        <v>1</v>
      </c>
      <c r="E52" s="12" t="n">
        <f aca="false">MOD(INT($A52/4),2)</f>
        <v>1</v>
      </c>
      <c r="F52" s="12" t="n">
        <f aca="false">MOD(INT($A52/2),2)</f>
        <v>1</v>
      </c>
      <c r="G52" s="12" t="n">
        <f aca="false">MOD(INT($A52/1),2)</f>
        <v>0</v>
      </c>
      <c r="H52" s="12" t="n">
        <f aca="false">SUM(B52:G52)</f>
        <v>4</v>
      </c>
      <c r="I52" s="12" t="n">
        <f aca="false">IF(H52=0,0,VALUE(IF(B52=1,"1","")&amp;IF(C52=1,"2","")&amp;IF(D52=1,"3","")&amp;IF(E52=1,"4","")&amp;IF(F52=1,"5","")&amp;IF(G52=1,"6","")))</f>
        <v>1345</v>
      </c>
      <c r="J52" s="14" t="n">
        <f aca="false">IF(B52=1,Eff_0+Gap_closed*(Eff_ceiling-Eff_0),Eff_0)</f>
        <v>78</v>
      </c>
      <c r="K52" s="14" t="n">
        <f aca="false">IF(C52=1,J52+Gap_closed*(Eff_ceiling-J52),J52)</f>
        <v>78</v>
      </c>
      <c r="L52" s="14" t="n">
        <f aca="false">IF(D52=1,K52+Gap_closed*(Eff_ceiling-K52),K52)</f>
        <v>81.5</v>
      </c>
      <c r="M52" s="14" t="n">
        <f aca="false">IF(E52=1,L52+Gap_closed*(Eff_ceiling-L52),L52)</f>
        <v>83.25</v>
      </c>
      <c r="N52" s="14" t="n">
        <f aca="false">IF(F52=1,M52+Gap_closed*(Eff_ceiling-M52),M52)</f>
        <v>84.125</v>
      </c>
      <c r="O52" s="14" t="n">
        <f aca="false">IF(G52=1,N52+Gap_closed*(Eff_ceiling-N52),N52)</f>
        <v>84.125</v>
      </c>
      <c r="P52" s="14" t="n">
        <f aca="false">Sav_point*(J52-Eff_0)</f>
        <v>70</v>
      </c>
      <c r="Q52" s="14" t="n">
        <f aca="false">Sav_point*(K52-Eff_0)</f>
        <v>70</v>
      </c>
      <c r="R52" s="14" t="n">
        <f aca="false">Sav_point*(L52-Eff_0)</f>
        <v>105</v>
      </c>
      <c r="S52" s="14" t="n">
        <f aca="false">Sav_point*(M52-Eff_0)</f>
        <v>122.5</v>
      </c>
      <c r="T52" s="14" t="n">
        <f aca="false">Sav_point*(N52-Eff_0)</f>
        <v>131.25</v>
      </c>
      <c r="U52" s="14" t="n">
        <f aca="false">Sav_point*(O52-Eff_0)</f>
        <v>131.25</v>
      </c>
      <c r="V52" s="14" t="n">
        <f aca="false">SUM(P52:U52)</f>
        <v>630</v>
      </c>
      <c r="W52" s="12" t="n">
        <f aca="false">IF(AND(H52&gt;0,Cap_0&lt;Cap_min),0,1)</f>
        <v>1</v>
      </c>
      <c r="X52" s="16" t="n">
        <f aca="false">Liq_0-Round_cost*B52+1*P52</f>
        <v>570</v>
      </c>
      <c r="Y52" s="16" t="n">
        <f aca="false">X52-Round_cost*C52+1*Q52</f>
        <v>640</v>
      </c>
      <c r="Z52" s="16" t="n">
        <f aca="false">Y52-Round_cost*D52+1*R52</f>
        <v>625</v>
      </c>
      <c r="AA52" s="16" t="n">
        <f aca="false">Z52-Round_cost*E52+1*S52</f>
        <v>627.5</v>
      </c>
      <c r="AB52" s="16" t="n">
        <f aca="false">AA52-Round_cost*F52+1*T52</f>
        <v>638.75</v>
      </c>
      <c r="AC52" s="16" t="n">
        <f aca="false">AB52-Round_cost*G52+1*U52</f>
        <v>770</v>
      </c>
      <c r="AD52" s="19" t="n">
        <f aca="false">IF(B52=1,Liq_0-Round_cost,1000000000)</f>
        <v>500</v>
      </c>
      <c r="AE52" s="19" t="n">
        <f aca="false">IF(C52=1,X52-Round_cost,1000000000)</f>
        <v>1000000000</v>
      </c>
      <c r="AF52" s="19" t="n">
        <f aca="false">IF(D52=1,Y52-Round_cost,1000000000)</f>
        <v>520</v>
      </c>
      <c r="AG52" s="19" t="n">
        <f aca="false">IF(E52=1,Z52-Round_cost,1000000000)</f>
        <v>505</v>
      </c>
      <c r="AH52" s="19" t="n">
        <f aca="false">IF(F52=1,AA52-Round_cost,1000000000)</f>
        <v>507.5</v>
      </c>
      <c r="AI52" s="19" t="n">
        <f aca="false">IF(G52=1,AB52-Round_cost,1000000000)</f>
        <v>1000000000</v>
      </c>
      <c r="AJ52" s="12" t="n">
        <f aca="false">IF(AND(MIN(X52:AC52)&gt;=Floor_liq-0.000000001,MIN(AD52:AI52)&gt;=Floor_liq-0.000000001),1,0)</f>
        <v>1</v>
      </c>
      <c r="AK52" s="12" t="n">
        <f aca="false">IF(AC52&gt;=End_liq-0.000000001,1,0)</f>
        <v>1</v>
      </c>
      <c r="AL52" s="12" t="n">
        <f aca="false">AJ52*AK52*W52</f>
        <v>1</v>
      </c>
      <c r="AM52" s="16" t="n">
        <f aca="false">Liq_0-Round_cost*B52+(1-Pledge_share)*P52</f>
        <v>535</v>
      </c>
      <c r="AN52" s="16" t="n">
        <f aca="false">AM52-Round_cost*C52+(1-Pledge_share)*Q52</f>
        <v>570</v>
      </c>
      <c r="AO52" s="16" t="n">
        <f aca="false">AN52-Round_cost*D52+(1-Pledge_share)*R52</f>
        <v>502.5</v>
      </c>
      <c r="AP52" s="16" t="n">
        <f aca="false">AO52-Round_cost*E52+(1-Pledge_share)*S52</f>
        <v>443.75</v>
      </c>
      <c r="AQ52" s="16" t="n">
        <f aca="false">AP52-Round_cost*F52+(1-Pledge_share)*T52</f>
        <v>389.375</v>
      </c>
      <c r="AR52" s="16" t="n">
        <f aca="false">AQ52-Round_cost*G52+(1-Pledge_share)*U52</f>
        <v>455</v>
      </c>
      <c r="AS52" s="19" t="n">
        <f aca="false">IF(B52=1,Liq_0-Round_cost,1000000000)</f>
        <v>500</v>
      </c>
      <c r="AT52" s="19" t="n">
        <f aca="false">IF(C52=1,AM52-Round_cost,1000000000)</f>
        <v>1000000000</v>
      </c>
      <c r="AU52" s="19" t="n">
        <f aca="false">IF(D52=1,AN52-Round_cost,1000000000)</f>
        <v>450</v>
      </c>
      <c r="AV52" s="19" t="n">
        <f aca="false">IF(E52=1,AO52-Round_cost,1000000000)</f>
        <v>382.5</v>
      </c>
      <c r="AW52" s="19" t="n">
        <f aca="false">IF(F52=1,AP52-Round_cost,1000000000)</f>
        <v>323.75</v>
      </c>
      <c r="AX52" s="19" t="n">
        <f aca="false">IF(G52=1,AQ52-Round_cost,1000000000)</f>
        <v>1000000000</v>
      </c>
      <c r="AY52" s="12" t="n">
        <f aca="false">IF(AND(MIN(AM52:AR52)&gt;=Floor_liq-0.000000001,MIN(AS52:AX52)&gt;=Floor_liq-0.000000001),1,0)</f>
        <v>0</v>
      </c>
      <c r="AZ52" s="12" t="n">
        <f aca="false">IF(AR52&gt;=End_liq-0.000000001,1,0)</f>
        <v>0</v>
      </c>
      <c r="BA52" s="12" t="n">
        <f aca="false">AY52*AZ52*W52</f>
        <v>0</v>
      </c>
      <c r="BB52" s="16" t="n">
        <f aca="false">Pledge_share*V52</f>
        <v>315</v>
      </c>
      <c r="BC52" s="16" t="n">
        <f aca="false">IF(BA52=1,H52*10000+BB52,-1)</f>
        <v>-1</v>
      </c>
      <c r="BD52" s="14" t="n">
        <f aca="false">U52</f>
        <v>131.25</v>
      </c>
      <c r="BE52" s="16" t="n">
        <f aca="false">AC52</f>
        <v>770</v>
      </c>
      <c r="BF52" s="16" t="n">
        <f aca="false">IF(AL52=1,AC52-End_liq,-1000000000)</f>
        <v>300</v>
      </c>
      <c r="BG52" s="16" t="n">
        <f aca="false">IF(AL52=1,BF52+BG$4*BD52,-1000000000)</f>
        <v>300</v>
      </c>
      <c r="BH52" s="16" t="n">
        <f aca="false">IF(AL52=1,BF52+BH$4*BD52,-1000000000)</f>
        <v>956.25</v>
      </c>
      <c r="BI52" s="16" t="n">
        <f aca="false">IF(AL52=1,BF52+BI$4*BD52,-1000000000)</f>
        <v>1612.5</v>
      </c>
      <c r="BJ52" s="16" t="n">
        <f aca="false">IF(AL52=1,BF52+BJ$4*BD52,-1000000000)</f>
        <v>2925</v>
      </c>
      <c r="BK52" s="16" t="n">
        <f aca="false">IF(AL52=1,BF52+BK$4*BD52,-1000000000)</f>
        <v>5550</v>
      </c>
      <c r="BL52" s="16" t="n">
        <f aca="false">IF(AL52=1,BF52+BL$4*BD52,-1000000000)</f>
        <v>8175</v>
      </c>
      <c r="BM52" s="12" t="n">
        <f aca="false">IF(H52=0,1,IF(I52=VALUE(LEFT("123456",H52)),1,0))</f>
        <v>0</v>
      </c>
      <c r="BN52" s="12" t="n">
        <f aca="false">IF(BG52&gt;0,1000*BG52,-1000000000000)</f>
        <v>300000</v>
      </c>
      <c r="BO52" s="16" t="n">
        <f aca="false">IF(BG52&gt;0,BG52+100,-1000000000)</f>
        <v>400</v>
      </c>
      <c r="BP52" s="20" t="n">
        <f aca="false">IF(BG52&gt;0,LN(BG52),-1000000000)</f>
        <v>5.7037824746562</v>
      </c>
    </row>
    <row r="53" customFormat="false" ht="15" hidden="false" customHeight="false" outlineLevel="0" collapsed="false">
      <c r="A53" s="12" t="n">
        <v>47</v>
      </c>
      <c r="B53" s="12" t="n">
        <f aca="false">MOD(INT($A53/32),2)</f>
        <v>1</v>
      </c>
      <c r="C53" s="12" t="n">
        <f aca="false">MOD(INT($A53/16),2)</f>
        <v>0</v>
      </c>
      <c r="D53" s="12" t="n">
        <f aca="false">MOD(INT($A53/8),2)</f>
        <v>1</v>
      </c>
      <c r="E53" s="12" t="n">
        <f aca="false">MOD(INT($A53/4),2)</f>
        <v>1</v>
      </c>
      <c r="F53" s="12" t="n">
        <f aca="false">MOD(INT($A53/2),2)</f>
        <v>1</v>
      </c>
      <c r="G53" s="12" t="n">
        <f aca="false">MOD(INT($A53/1),2)</f>
        <v>1</v>
      </c>
      <c r="H53" s="12" t="n">
        <f aca="false">SUM(B53:G53)</f>
        <v>5</v>
      </c>
      <c r="I53" s="12" t="n">
        <f aca="false">IF(H53=0,0,VALUE(IF(B53=1,"1","")&amp;IF(C53=1,"2","")&amp;IF(D53=1,"3","")&amp;IF(E53=1,"4","")&amp;IF(F53=1,"5","")&amp;IF(G53=1,"6","")))</f>
        <v>13456</v>
      </c>
      <c r="J53" s="14" t="n">
        <f aca="false">IF(B53=1,Eff_0+Gap_closed*(Eff_ceiling-Eff_0),Eff_0)</f>
        <v>78</v>
      </c>
      <c r="K53" s="14" t="n">
        <f aca="false">IF(C53=1,J53+Gap_closed*(Eff_ceiling-J53),J53)</f>
        <v>78</v>
      </c>
      <c r="L53" s="14" t="n">
        <f aca="false">IF(D53=1,K53+Gap_closed*(Eff_ceiling-K53),K53)</f>
        <v>81.5</v>
      </c>
      <c r="M53" s="14" t="n">
        <f aca="false">IF(E53=1,L53+Gap_closed*(Eff_ceiling-L53),L53)</f>
        <v>83.25</v>
      </c>
      <c r="N53" s="14" t="n">
        <f aca="false">IF(F53=1,M53+Gap_closed*(Eff_ceiling-M53),M53)</f>
        <v>84.125</v>
      </c>
      <c r="O53" s="14" t="n">
        <f aca="false">IF(G53=1,N53+Gap_closed*(Eff_ceiling-N53),N53)</f>
        <v>84.5625</v>
      </c>
      <c r="P53" s="14" t="n">
        <f aca="false">Sav_point*(J53-Eff_0)</f>
        <v>70</v>
      </c>
      <c r="Q53" s="14" t="n">
        <f aca="false">Sav_point*(K53-Eff_0)</f>
        <v>70</v>
      </c>
      <c r="R53" s="14" t="n">
        <f aca="false">Sav_point*(L53-Eff_0)</f>
        <v>105</v>
      </c>
      <c r="S53" s="14" t="n">
        <f aca="false">Sav_point*(M53-Eff_0)</f>
        <v>122.5</v>
      </c>
      <c r="T53" s="14" t="n">
        <f aca="false">Sav_point*(N53-Eff_0)</f>
        <v>131.25</v>
      </c>
      <c r="U53" s="14" t="n">
        <f aca="false">Sav_point*(O53-Eff_0)</f>
        <v>135.625</v>
      </c>
      <c r="V53" s="14" t="n">
        <f aca="false">SUM(P53:U53)</f>
        <v>634.375</v>
      </c>
      <c r="W53" s="12" t="n">
        <f aca="false">IF(AND(H53&gt;0,Cap_0&lt;Cap_min),0,1)</f>
        <v>1</v>
      </c>
      <c r="X53" s="16" t="n">
        <f aca="false">Liq_0-Round_cost*B53+1*P53</f>
        <v>570</v>
      </c>
      <c r="Y53" s="16" t="n">
        <f aca="false">X53-Round_cost*C53+1*Q53</f>
        <v>640</v>
      </c>
      <c r="Z53" s="16" t="n">
        <f aca="false">Y53-Round_cost*D53+1*R53</f>
        <v>625</v>
      </c>
      <c r="AA53" s="16" t="n">
        <f aca="false">Z53-Round_cost*E53+1*S53</f>
        <v>627.5</v>
      </c>
      <c r="AB53" s="16" t="n">
        <f aca="false">AA53-Round_cost*F53+1*T53</f>
        <v>638.75</v>
      </c>
      <c r="AC53" s="16" t="n">
        <f aca="false">AB53-Round_cost*G53+1*U53</f>
        <v>654.375</v>
      </c>
      <c r="AD53" s="19" t="n">
        <f aca="false">IF(B53=1,Liq_0-Round_cost,1000000000)</f>
        <v>500</v>
      </c>
      <c r="AE53" s="19" t="n">
        <f aca="false">IF(C53=1,X53-Round_cost,1000000000)</f>
        <v>1000000000</v>
      </c>
      <c r="AF53" s="19" t="n">
        <f aca="false">IF(D53=1,Y53-Round_cost,1000000000)</f>
        <v>520</v>
      </c>
      <c r="AG53" s="19" t="n">
        <f aca="false">IF(E53=1,Z53-Round_cost,1000000000)</f>
        <v>505</v>
      </c>
      <c r="AH53" s="19" t="n">
        <f aca="false">IF(F53=1,AA53-Round_cost,1000000000)</f>
        <v>507.5</v>
      </c>
      <c r="AI53" s="19" t="n">
        <f aca="false">IF(G53=1,AB53-Round_cost,1000000000)</f>
        <v>518.75</v>
      </c>
      <c r="AJ53" s="12" t="n">
        <f aca="false">IF(AND(MIN(X53:AC53)&gt;=Floor_liq-0.000000001,MIN(AD53:AI53)&gt;=Floor_liq-0.000000001),1,0)</f>
        <v>1</v>
      </c>
      <c r="AK53" s="12" t="n">
        <f aca="false">IF(AC53&gt;=End_liq-0.000000001,1,0)</f>
        <v>1</v>
      </c>
      <c r="AL53" s="12" t="n">
        <f aca="false">AJ53*AK53*W53</f>
        <v>1</v>
      </c>
      <c r="AM53" s="16" t="n">
        <f aca="false">Liq_0-Round_cost*B53+(1-Pledge_share)*P53</f>
        <v>535</v>
      </c>
      <c r="AN53" s="16" t="n">
        <f aca="false">AM53-Round_cost*C53+(1-Pledge_share)*Q53</f>
        <v>570</v>
      </c>
      <c r="AO53" s="16" t="n">
        <f aca="false">AN53-Round_cost*D53+(1-Pledge_share)*R53</f>
        <v>502.5</v>
      </c>
      <c r="AP53" s="16" t="n">
        <f aca="false">AO53-Round_cost*E53+(1-Pledge_share)*S53</f>
        <v>443.75</v>
      </c>
      <c r="AQ53" s="16" t="n">
        <f aca="false">AP53-Round_cost*F53+(1-Pledge_share)*T53</f>
        <v>389.375</v>
      </c>
      <c r="AR53" s="16" t="n">
        <f aca="false">AQ53-Round_cost*G53+(1-Pledge_share)*U53</f>
        <v>337.1875</v>
      </c>
      <c r="AS53" s="19" t="n">
        <f aca="false">IF(B53=1,Liq_0-Round_cost,1000000000)</f>
        <v>500</v>
      </c>
      <c r="AT53" s="19" t="n">
        <f aca="false">IF(C53=1,AM53-Round_cost,1000000000)</f>
        <v>1000000000</v>
      </c>
      <c r="AU53" s="19" t="n">
        <f aca="false">IF(D53=1,AN53-Round_cost,1000000000)</f>
        <v>450</v>
      </c>
      <c r="AV53" s="19" t="n">
        <f aca="false">IF(E53=1,AO53-Round_cost,1000000000)</f>
        <v>382.5</v>
      </c>
      <c r="AW53" s="19" t="n">
        <f aca="false">IF(F53=1,AP53-Round_cost,1000000000)</f>
        <v>323.75</v>
      </c>
      <c r="AX53" s="19" t="n">
        <f aca="false">IF(G53=1,AQ53-Round_cost,1000000000)</f>
        <v>269.375</v>
      </c>
      <c r="AY53" s="12" t="n">
        <f aca="false">IF(AND(MIN(AM53:AR53)&gt;=Floor_liq-0.000000001,MIN(AS53:AX53)&gt;=Floor_liq-0.000000001),1,0)</f>
        <v>0</v>
      </c>
      <c r="AZ53" s="12" t="n">
        <f aca="false">IF(AR53&gt;=End_liq-0.000000001,1,0)</f>
        <v>0</v>
      </c>
      <c r="BA53" s="12" t="n">
        <f aca="false">AY53*AZ53*W53</f>
        <v>0</v>
      </c>
      <c r="BB53" s="16" t="n">
        <f aca="false">Pledge_share*V53</f>
        <v>317.1875</v>
      </c>
      <c r="BC53" s="16" t="n">
        <f aca="false">IF(BA53=1,H53*10000+BB53,-1)</f>
        <v>-1</v>
      </c>
      <c r="BD53" s="14" t="n">
        <f aca="false">U53</f>
        <v>135.625</v>
      </c>
      <c r="BE53" s="16" t="n">
        <f aca="false">AC53</f>
        <v>654.375</v>
      </c>
      <c r="BF53" s="16" t="n">
        <f aca="false">IF(AL53=1,AC53-End_liq,-1000000000)</f>
        <v>184.375</v>
      </c>
      <c r="BG53" s="16" t="n">
        <f aca="false">IF(AL53=1,BF53+BG$4*BD53,-1000000000)</f>
        <v>184.375</v>
      </c>
      <c r="BH53" s="16" t="n">
        <f aca="false">IF(AL53=1,BF53+BH$4*BD53,-1000000000)</f>
        <v>862.5</v>
      </c>
      <c r="BI53" s="16" t="n">
        <f aca="false">IF(AL53=1,BF53+BI$4*BD53,-1000000000)</f>
        <v>1540.625</v>
      </c>
      <c r="BJ53" s="16" t="n">
        <f aca="false">IF(AL53=1,BF53+BJ$4*BD53,-1000000000)</f>
        <v>2896.875</v>
      </c>
      <c r="BK53" s="16" t="n">
        <f aca="false">IF(AL53=1,BF53+BK$4*BD53,-1000000000)</f>
        <v>5609.375</v>
      </c>
      <c r="BL53" s="16" t="n">
        <f aca="false">IF(AL53=1,BF53+BL$4*BD53,-1000000000)</f>
        <v>8321.875</v>
      </c>
      <c r="BM53" s="12" t="n">
        <f aca="false">IF(H53=0,1,IF(I53=VALUE(LEFT("123456",H53)),1,0))</f>
        <v>0</v>
      </c>
      <c r="BN53" s="12" t="n">
        <f aca="false">IF(BG53&gt;0,1000*BG53,-1000000000000)</f>
        <v>184375</v>
      </c>
      <c r="BO53" s="16" t="n">
        <f aca="false">IF(BG53&gt;0,BG53+100,-1000000000)</f>
        <v>284.375</v>
      </c>
      <c r="BP53" s="20" t="n">
        <f aca="false">IF(BG53&gt;0,LN(BG53),-1000000000)</f>
        <v>5.21697172709408</v>
      </c>
    </row>
    <row r="54" customFormat="false" ht="15" hidden="false" customHeight="false" outlineLevel="0" collapsed="false">
      <c r="A54" s="12" t="n">
        <v>48</v>
      </c>
      <c r="B54" s="12" t="n">
        <f aca="false">MOD(INT($A54/32),2)</f>
        <v>1</v>
      </c>
      <c r="C54" s="12" t="n">
        <f aca="false">MOD(INT($A54/16),2)</f>
        <v>1</v>
      </c>
      <c r="D54" s="12" t="n">
        <f aca="false">MOD(INT($A54/8),2)</f>
        <v>0</v>
      </c>
      <c r="E54" s="12" t="n">
        <f aca="false">MOD(INT($A54/4),2)</f>
        <v>0</v>
      </c>
      <c r="F54" s="12" t="n">
        <f aca="false">MOD(INT($A54/2),2)</f>
        <v>0</v>
      </c>
      <c r="G54" s="12" t="n">
        <f aca="false">MOD(INT($A54/1),2)</f>
        <v>0</v>
      </c>
      <c r="H54" s="12" t="n">
        <f aca="false">SUM(B54:G54)</f>
        <v>2</v>
      </c>
      <c r="I54" s="12" t="n">
        <f aca="false">IF(H54=0,0,VALUE(IF(B54=1,"1","")&amp;IF(C54=1,"2","")&amp;IF(D54=1,"3","")&amp;IF(E54=1,"4","")&amp;IF(F54=1,"5","")&amp;IF(G54=1,"6","")))</f>
        <v>12</v>
      </c>
      <c r="J54" s="14" t="n">
        <f aca="false">IF(B54=1,Eff_0+Gap_closed*(Eff_ceiling-Eff_0),Eff_0)</f>
        <v>78</v>
      </c>
      <c r="K54" s="14" t="n">
        <f aca="false">IF(C54=1,J54+Gap_closed*(Eff_ceiling-J54),J54)</f>
        <v>81.5</v>
      </c>
      <c r="L54" s="14" t="n">
        <f aca="false">IF(D54=1,K54+Gap_closed*(Eff_ceiling-K54),K54)</f>
        <v>81.5</v>
      </c>
      <c r="M54" s="14" t="n">
        <f aca="false">IF(E54=1,L54+Gap_closed*(Eff_ceiling-L54),L54)</f>
        <v>81.5</v>
      </c>
      <c r="N54" s="14" t="n">
        <f aca="false">IF(F54=1,M54+Gap_closed*(Eff_ceiling-M54),M54)</f>
        <v>81.5</v>
      </c>
      <c r="O54" s="14" t="n">
        <f aca="false">IF(G54=1,N54+Gap_closed*(Eff_ceiling-N54),N54)</f>
        <v>81.5</v>
      </c>
      <c r="P54" s="14" t="n">
        <f aca="false">Sav_point*(J54-Eff_0)</f>
        <v>70</v>
      </c>
      <c r="Q54" s="14" t="n">
        <f aca="false">Sav_point*(K54-Eff_0)</f>
        <v>105</v>
      </c>
      <c r="R54" s="14" t="n">
        <f aca="false">Sav_point*(L54-Eff_0)</f>
        <v>105</v>
      </c>
      <c r="S54" s="14" t="n">
        <f aca="false">Sav_point*(M54-Eff_0)</f>
        <v>105</v>
      </c>
      <c r="T54" s="14" t="n">
        <f aca="false">Sav_point*(N54-Eff_0)</f>
        <v>105</v>
      </c>
      <c r="U54" s="14" t="n">
        <f aca="false">Sav_point*(O54-Eff_0)</f>
        <v>105</v>
      </c>
      <c r="V54" s="14" t="n">
        <f aca="false">SUM(P54:U54)</f>
        <v>595</v>
      </c>
      <c r="W54" s="12" t="n">
        <f aca="false">IF(AND(H54&gt;0,Cap_0&lt;Cap_min),0,1)</f>
        <v>1</v>
      </c>
      <c r="X54" s="16" t="n">
        <f aca="false">Liq_0-Round_cost*B54+1*P54</f>
        <v>570</v>
      </c>
      <c r="Y54" s="16" t="n">
        <f aca="false">X54-Round_cost*C54+1*Q54</f>
        <v>555</v>
      </c>
      <c r="Z54" s="16" t="n">
        <f aca="false">Y54-Round_cost*D54+1*R54</f>
        <v>660</v>
      </c>
      <c r="AA54" s="16" t="n">
        <f aca="false">Z54-Round_cost*E54+1*S54</f>
        <v>765</v>
      </c>
      <c r="AB54" s="16" t="n">
        <f aca="false">AA54-Round_cost*F54+1*T54</f>
        <v>870</v>
      </c>
      <c r="AC54" s="16" t="n">
        <f aca="false">AB54-Round_cost*G54+1*U54</f>
        <v>975</v>
      </c>
      <c r="AD54" s="19" t="n">
        <f aca="false">IF(B54=1,Liq_0-Round_cost,1000000000)</f>
        <v>500</v>
      </c>
      <c r="AE54" s="19" t="n">
        <f aca="false">IF(C54=1,X54-Round_cost,1000000000)</f>
        <v>450</v>
      </c>
      <c r="AF54" s="19" t="n">
        <f aca="false">IF(D54=1,Y54-Round_cost,1000000000)</f>
        <v>1000000000</v>
      </c>
      <c r="AG54" s="19" t="n">
        <f aca="false">IF(E54=1,Z54-Round_cost,1000000000)</f>
        <v>1000000000</v>
      </c>
      <c r="AH54" s="19" t="n">
        <f aca="false">IF(F54=1,AA54-Round_cost,1000000000)</f>
        <v>1000000000</v>
      </c>
      <c r="AI54" s="19" t="n">
        <f aca="false">IF(G54=1,AB54-Round_cost,1000000000)</f>
        <v>1000000000</v>
      </c>
      <c r="AJ54" s="12" t="n">
        <f aca="false">IF(AND(MIN(X54:AC54)&gt;=Floor_liq-0.000000001,MIN(AD54:AI54)&gt;=Floor_liq-0.000000001),1,0)</f>
        <v>1</v>
      </c>
      <c r="AK54" s="12" t="n">
        <f aca="false">IF(AC54&gt;=End_liq-0.000000001,1,0)</f>
        <v>1</v>
      </c>
      <c r="AL54" s="12" t="n">
        <f aca="false">AJ54*AK54*W54</f>
        <v>1</v>
      </c>
      <c r="AM54" s="16" t="n">
        <f aca="false">Liq_0-Round_cost*B54+(1-Pledge_share)*P54</f>
        <v>535</v>
      </c>
      <c r="AN54" s="16" t="n">
        <f aca="false">AM54-Round_cost*C54+(1-Pledge_share)*Q54</f>
        <v>467.5</v>
      </c>
      <c r="AO54" s="16" t="n">
        <f aca="false">AN54-Round_cost*D54+(1-Pledge_share)*R54</f>
        <v>520</v>
      </c>
      <c r="AP54" s="16" t="n">
        <f aca="false">AO54-Round_cost*E54+(1-Pledge_share)*S54</f>
        <v>572.5</v>
      </c>
      <c r="AQ54" s="16" t="n">
        <f aca="false">AP54-Round_cost*F54+(1-Pledge_share)*T54</f>
        <v>625</v>
      </c>
      <c r="AR54" s="16" t="n">
        <f aca="false">AQ54-Round_cost*G54+(1-Pledge_share)*U54</f>
        <v>677.5</v>
      </c>
      <c r="AS54" s="19" t="n">
        <f aca="false">IF(B54=1,Liq_0-Round_cost,1000000000)</f>
        <v>500</v>
      </c>
      <c r="AT54" s="19" t="n">
        <f aca="false">IF(C54=1,AM54-Round_cost,1000000000)</f>
        <v>415</v>
      </c>
      <c r="AU54" s="19" t="n">
        <f aca="false">IF(D54=1,AN54-Round_cost,1000000000)</f>
        <v>1000000000</v>
      </c>
      <c r="AV54" s="19" t="n">
        <f aca="false">IF(E54=1,AO54-Round_cost,1000000000)</f>
        <v>1000000000</v>
      </c>
      <c r="AW54" s="19" t="n">
        <f aca="false">IF(F54=1,AP54-Round_cost,1000000000)</f>
        <v>1000000000</v>
      </c>
      <c r="AX54" s="19" t="n">
        <f aca="false">IF(G54=1,AQ54-Round_cost,1000000000)</f>
        <v>1000000000</v>
      </c>
      <c r="AY54" s="12" t="n">
        <f aca="false">IF(AND(MIN(AM54:AR54)&gt;=Floor_liq-0.000000001,MIN(AS54:AX54)&gt;=Floor_liq-0.000000001),1,0)</f>
        <v>1</v>
      </c>
      <c r="AZ54" s="12" t="n">
        <f aca="false">IF(AR54&gt;=End_liq-0.000000001,1,0)</f>
        <v>1</v>
      </c>
      <c r="BA54" s="12" t="n">
        <f aca="false">AY54*AZ54*W54</f>
        <v>1</v>
      </c>
      <c r="BB54" s="16" t="n">
        <f aca="false">Pledge_share*V54</f>
        <v>297.5</v>
      </c>
      <c r="BC54" s="16" t="n">
        <f aca="false">IF(BA54=1,H54*10000+BB54,-1)</f>
        <v>20297.5</v>
      </c>
      <c r="BD54" s="14" t="n">
        <f aca="false">U54</f>
        <v>105</v>
      </c>
      <c r="BE54" s="16" t="n">
        <f aca="false">AC54</f>
        <v>975</v>
      </c>
      <c r="BF54" s="16" t="n">
        <f aca="false">IF(AL54=1,AC54-End_liq,-1000000000)</f>
        <v>505</v>
      </c>
      <c r="BG54" s="16" t="n">
        <f aca="false">IF(AL54=1,BF54+BG$4*BD54,-1000000000)</f>
        <v>505</v>
      </c>
      <c r="BH54" s="16" t="n">
        <f aca="false">IF(AL54=1,BF54+BH$4*BD54,-1000000000)</f>
        <v>1030</v>
      </c>
      <c r="BI54" s="16" t="n">
        <f aca="false">IF(AL54=1,BF54+BI$4*BD54,-1000000000)</f>
        <v>1555</v>
      </c>
      <c r="BJ54" s="16" t="n">
        <f aca="false">IF(AL54=1,BF54+BJ$4*BD54,-1000000000)</f>
        <v>2605</v>
      </c>
      <c r="BK54" s="16" t="n">
        <f aca="false">IF(AL54=1,BF54+BK$4*BD54,-1000000000)</f>
        <v>4705</v>
      </c>
      <c r="BL54" s="16" t="n">
        <f aca="false">IF(AL54=1,BF54+BL$4*BD54,-1000000000)</f>
        <v>6805</v>
      </c>
      <c r="BM54" s="12" t="n">
        <f aca="false">IF(H54=0,1,IF(I54=VALUE(LEFT("123456",H54)),1,0))</f>
        <v>1</v>
      </c>
      <c r="BN54" s="12" t="n">
        <f aca="false">IF(BG54&gt;0,1000*BG54,-1000000000000)</f>
        <v>505000</v>
      </c>
      <c r="BO54" s="16" t="n">
        <f aca="false">IF(BG54&gt;0,BG54+100,-1000000000)</f>
        <v>605</v>
      </c>
      <c r="BP54" s="20" t="n">
        <f aca="false">IF(BG54&gt;0,LN(BG54),-1000000000)</f>
        <v>6.22455842927536</v>
      </c>
    </row>
    <row r="55" customFormat="false" ht="15" hidden="false" customHeight="false" outlineLevel="0" collapsed="false">
      <c r="A55" s="12" t="n">
        <v>49</v>
      </c>
      <c r="B55" s="12" t="n">
        <f aca="false">MOD(INT($A55/32),2)</f>
        <v>1</v>
      </c>
      <c r="C55" s="12" t="n">
        <f aca="false">MOD(INT($A55/16),2)</f>
        <v>1</v>
      </c>
      <c r="D55" s="12" t="n">
        <f aca="false">MOD(INT($A55/8),2)</f>
        <v>0</v>
      </c>
      <c r="E55" s="12" t="n">
        <f aca="false">MOD(INT($A55/4),2)</f>
        <v>0</v>
      </c>
      <c r="F55" s="12" t="n">
        <f aca="false">MOD(INT($A55/2),2)</f>
        <v>0</v>
      </c>
      <c r="G55" s="12" t="n">
        <f aca="false">MOD(INT($A55/1),2)</f>
        <v>1</v>
      </c>
      <c r="H55" s="12" t="n">
        <f aca="false">SUM(B55:G55)</f>
        <v>3</v>
      </c>
      <c r="I55" s="12" t="n">
        <f aca="false">IF(H55=0,0,VALUE(IF(B55=1,"1","")&amp;IF(C55=1,"2","")&amp;IF(D55=1,"3","")&amp;IF(E55=1,"4","")&amp;IF(F55=1,"5","")&amp;IF(G55=1,"6","")))</f>
        <v>126</v>
      </c>
      <c r="J55" s="14" t="n">
        <f aca="false">IF(B55=1,Eff_0+Gap_closed*(Eff_ceiling-Eff_0),Eff_0)</f>
        <v>78</v>
      </c>
      <c r="K55" s="14" t="n">
        <f aca="false">IF(C55=1,J55+Gap_closed*(Eff_ceiling-J55),J55)</f>
        <v>81.5</v>
      </c>
      <c r="L55" s="14" t="n">
        <f aca="false">IF(D55=1,K55+Gap_closed*(Eff_ceiling-K55),K55)</f>
        <v>81.5</v>
      </c>
      <c r="M55" s="14" t="n">
        <f aca="false">IF(E55=1,L55+Gap_closed*(Eff_ceiling-L55),L55)</f>
        <v>81.5</v>
      </c>
      <c r="N55" s="14" t="n">
        <f aca="false">IF(F55=1,M55+Gap_closed*(Eff_ceiling-M55),M55)</f>
        <v>81.5</v>
      </c>
      <c r="O55" s="14" t="n">
        <f aca="false">IF(G55=1,N55+Gap_closed*(Eff_ceiling-N55),N55)</f>
        <v>83.25</v>
      </c>
      <c r="P55" s="14" t="n">
        <f aca="false">Sav_point*(J55-Eff_0)</f>
        <v>70</v>
      </c>
      <c r="Q55" s="14" t="n">
        <f aca="false">Sav_point*(K55-Eff_0)</f>
        <v>105</v>
      </c>
      <c r="R55" s="14" t="n">
        <f aca="false">Sav_point*(L55-Eff_0)</f>
        <v>105</v>
      </c>
      <c r="S55" s="14" t="n">
        <f aca="false">Sav_point*(M55-Eff_0)</f>
        <v>105</v>
      </c>
      <c r="T55" s="14" t="n">
        <f aca="false">Sav_point*(N55-Eff_0)</f>
        <v>105</v>
      </c>
      <c r="U55" s="14" t="n">
        <f aca="false">Sav_point*(O55-Eff_0)</f>
        <v>122.5</v>
      </c>
      <c r="V55" s="14" t="n">
        <f aca="false">SUM(P55:U55)</f>
        <v>612.5</v>
      </c>
      <c r="W55" s="12" t="n">
        <f aca="false">IF(AND(H55&gt;0,Cap_0&lt;Cap_min),0,1)</f>
        <v>1</v>
      </c>
      <c r="X55" s="16" t="n">
        <f aca="false">Liq_0-Round_cost*B55+1*P55</f>
        <v>570</v>
      </c>
      <c r="Y55" s="16" t="n">
        <f aca="false">X55-Round_cost*C55+1*Q55</f>
        <v>555</v>
      </c>
      <c r="Z55" s="16" t="n">
        <f aca="false">Y55-Round_cost*D55+1*R55</f>
        <v>660</v>
      </c>
      <c r="AA55" s="16" t="n">
        <f aca="false">Z55-Round_cost*E55+1*S55</f>
        <v>765</v>
      </c>
      <c r="AB55" s="16" t="n">
        <f aca="false">AA55-Round_cost*F55+1*T55</f>
        <v>870</v>
      </c>
      <c r="AC55" s="16" t="n">
        <f aca="false">AB55-Round_cost*G55+1*U55</f>
        <v>872.5</v>
      </c>
      <c r="AD55" s="19" t="n">
        <f aca="false">IF(B55=1,Liq_0-Round_cost,1000000000)</f>
        <v>500</v>
      </c>
      <c r="AE55" s="19" t="n">
        <f aca="false">IF(C55=1,X55-Round_cost,1000000000)</f>
        <v>450</v>
      </c>
      <c r="AF55" s="19" t="n">
        <f aca="false">IF(D55=1,Y55-Round_cost,1000000000)</f>
        <v>1000000000</v>
      </c>
      <c r="AG55" s="19" t="n">
        <f aca="false">IF(E55=1,Z55-Round_cost,1000000000)</f>
        <v>1000000000</v>
      </c>
      <c r="AH55" s="19" t="n">
        <f aca="false">IF(F55=1,AA55-Round_cost,1000000000)</f>
        <v>1000000000</v>
      </c>
      <c r="AI55" s="19" t="n">
        <f aca="false">IF(G55=1,AB55-Round_cost,1000000000)</f>
        <v>750</v>
      </c>
      <c r="AJ55" s="12" t="n">
        <f aca="false">IF(AND(MIN(X55:AC55)&gt;=Floor_liq-0.000000001,MIN(AD55:AI55)&gt;=Floor_liq-0.000000001),1,0)</f>
        <v>1</v>
      </c>
      <c r="AK55" s="12" t="n">
        <f aca="false">IF(AC55&gt;=End_liq-0.000000001,1,0)</f>
        <v>1</v>
      </c>
      <c r="AL55" s="12" t="n">
        <f aca="false">AJ55*AK55*W55</f>
        <v>1</v>
      </c>
      <c r="AM55" s="16" t="n">
        <f aca="false">Liq_0-Round_cost*B55+(1-Pledge_share)*P55</f>
        <v>535</v>
      </c>
      <c r="AN55" s="16" t="n">
        <f aca="false">AM55-Round_cost*C55+(1-Pledge_share)*Q55</f>
        <v>467.5</v>
      </c>
      <c r="AO55" s="16" t="n">
        <f aca="false">AN55-Round_cost*D55+(1-Pledge_share)*R55</f>
        <v>520</v>
      </c>
      <c r="AP55" s="16" t="n">
        <f aca="false">AO55-Round_cost*E55+(1-Pledge_share)*S55</f>
        <v>572.5</v>
      </c>
      <c r="AQ55" s="16" t="n">
        <f aca="false">AP55-Round_cost*F55+(1-Pledge_share)*T55</f>
        <v>625</v>
      </c>
      <c r="AR55" s="16" t="n">
        <f aca="false">AQ55-Round_cost*G55+(1-Pledge_share)*U55</f>
        <v>566.25</v>
      </c>
      <c r="AS55" s="19" t="n">
        <f aca="false">IF(B55=1,Liq_0-Round_cost,1000000000)</f>
        <v>500</v>
      </c>
      <c r="AT55" s="19" t="n">
        <f aca="false">IF(C55=1,AM55-Round_cost,1000000000)</f>
        <v>415</v>
      </c>
      <c r="AU55" s="19" t="n">
        <f aca="false">IF(D55=1,AN55-Round_cost,1000000000)</f>
        <v>1000000000</v>
      </c>
      <c r="AV55" s="19" t="n">
        <f aca="false">IF(E55=1,AO55-Round_cost,1000000000)</f>
        <v>1000000000</v>
      </c>
      <c r="AW55" s="19" t="n">
        <f aca="false">IF(F55=1,AP55-Round_cost,1000000000)</f>
        <v>1000000000</v>
      </c>
      <c r="AX55" s="19" t="n">
        <f aca="false">IF(G55=1,AQ55-Round_cost,1000000000)</f>
        <v>505</v>
      </c>
      <c r="AY55" s="12" t="n">
        <f aca="false">IF(AND(MIN(AM55:AR55)&gt;=Floor_liq-0.000000001,MIN(AS55:AX55)&gt;=Floor_liq-0.000000001),1,0)</f>
        <v>1</v>
      </c>
      <c r="AZ55" s="12" t="n">
        <f aca="false">IF(AR55&gt;=End_liq-0.000000001,1,0)</f>
        <v>1</v>
      </c>
      <c r="BA55" s="12" t="n">
        <f aca="false">AY55*AZ55*W55</f>
        <v>1</v>
      </c>
      <c r="BB55" s="16" t="n">
        <f aca="false">Pledge_share*V55</f>
        <v>306.25</v>
      </c>
      <c r="BC55" s="16" t="n">
        <f aca="false">IF(BA55=1,H55*10000+BB55,-1)</f>
        <v>30306.25</v>
      </c>
      <c r="BD55" s="14" t="n">
        <f aca="false">U55</f>
        <v>122.5</v>
      </c>
      <c r="BE55" s="16" t="n">
        <f aca="false">AC55</f>
        <v>872.5</v>
      </c>
      <c r="BF55" s="16" t="n">
        <f aca="false">IF(AL55=1,AC55-End_liq,-1000000000)</f>
        <v>402.5</v>
      </c>
      <c r="BG55" s="16" t="n">
        <f aca="false">IF(AL55=1,BF55+BG$4*BD55,-1000000000)</f>
        <v>402.5</v>
      </c>
      <c r="BH55" s="16" t="n">
        <f aca="false">IF(AL55=1,BF55+BH$4*BD55,-1000000000)</f>
        <v>1015</v>
      </c>
      <c r="BI55" s="16" t="n">
        <f aca="false">IF(AL55=1,BF55+BI$4*BD55,-1000000000)</f>
        <v>1627.5</v>
      </c>
      <c r="BJ55" s="16" t="n">
        <f aca="false">IF(AL55=1,BF55+BJ$4*BD55,-1000000000)</f>
        <v>2852.5</v>
      </c>
      <c r="BK55" s="16" t="n">
        <f aca="false">IF(AL55=1,BF55+BK$4*BD55,-1000000000)</f>
        <v>5302.5</v>
      </c>
      <c r="BL55" s="16" t="n">
        <f aca="false">IF(AL55=1,BF55+BL$4*BD55,-1000000000)</f>
        <v>7752.5</v>
      </c>
      <c r="BM55" s="12" t="n">
        <f aca="false">IF(H55=0,1,IF(I55=VALUE(LEFT("123456",H55)),1,0))</f>
        <v>0</v>
      </c>
      <c r="BN55" s="12" t="n">
        <f aca="false">IF(BG55&gt;0,1000*BG55,-1000000000000)</f>
        <v>402500</v>
      </c>
      <c r="BO55" s="16" t="n">
        <f aca="false">IF(BG55&gt;0,BG55+100,-1000000000)</f>
        <v>502.5</v>
      </c>
      <c r="BP55" s="20" t="n">
        <f aca="false">IF(BG55&gt;0,LN(BG55),-1000000000)</f>
        <v>5.99769509685862</v>
      </c>
    </row>
    <row r="56" customFormat="false" ht="15" hidden="false" customHeight="false" outlineLevel="0" collapsed="false">
      <c r="A56" s="12" t="n">
        <v>50</v>
      </c>
      <c r="B56" s="12" t="n">
        <f aca="false">MOD(INT($A56/32),2)</f>
        <v>1</v>
      </c>
      <c r="C56" s="12" t="n">
        <f aca="false">MOD(INT($A56/16),2)</f>
        <v>1</v>
      </c>
      <c r="D56" s="12" t="n">
        <f aca="false">MOD(INT($A56/8),2)</f>
        <v>0</v>
      </c>
      <c r="E56" s="12" t="n">
        <f aca="false">MOD(INT($A56/4),2)</f>
        <v>0</v>
      </c>
      <c r="F56" s="12" t="n">
        <f aca="false">MOD(INT($A56/2),2)</f>
        <v>1</v>
      </c>
      <c r="G56" s="12" t="n">
        <f aca="false">MOD(INT($A56/1),2)</f>
        <v>0</v>
      </c>
      <c r="H56" s="12" t="n">
        <f aca="false">SUM(B56:G56)</f>
        <v>3</v>
      </c>
      <c r="I56" s="12" t="n">
        <f aca="false">IF(H56=0,0,VALUE(IF(B56=1,"1","")&amp;IF(C56=1,"2","")&amp;IF(D56=1,"3","")&amp;IF(E56=1,"4","")&amp;IF(F56=1,"5","")&amp;IF(G56=1,"6","")))</f>
        <v>125</v>
      </c>
      <c r="J56" s="14" t="n">
        <f aca="false">IF(B56=1,Eff_0+Gap_closed*(Eff_ceiling-Eff_0),Eff_0)</f>
        <v>78</v>
      </c>
      <c r="K56" s="14" t="n">
        <f aca="false">IF(C56=1,J56+Gap_closed*(Eff_ceiling-J56),J56)</f>
        <v>81.5</v>
      </c>
      <c r="L56" s="14" t="n">
        <f aca="false">IF(D56=1,K56+Gap_closed*(Eff_ceiling-K56),K56)</f>
        <v>81.5</v>
      </c>
      <c r="M56" s="14" t="n">
        <f aca="false">IF(E56=1,L56+Gap_closed*(Eff_ceiling-L56),L56)</f>
        <v>81.5</v>
      </c>
      <c r="N56" s="14" t="n">
        <f aca="false">IF(F56=1,M56+Gap_closed*(Eff_ceiling-M56),M56)</f>
        <v>83.25</v>
      </c>
      <c r="O56" s="14" t="n">
        <f aca="false">IF(G56=1,N56+Gap_closed*(Eff_ceiling-N56),N56)</f>
        <v>83.25</v>
      </c>
      <c r="P56" s="14" t="n">
        <f aca="false">Sav_point*(J56-Eff_0)</f>
        <v>70</v>
      </c>
      <c r="Q56" s="14" t="n">
        <f aca="false">Sav_point*(K56-Eff_0)</f>
        <v>105</v>
      </c>
      <c r="R56" s="14" t="n">
        <f aca="false">Sav_point*(L56-Eff_0)</f>
        <v>105</v>
      </c>
      <c r="S56" s="14" t="n">
        <f aca="false">Sav_point*(M56-Eff_0)</f>
        <v>105</v>
      </c>
      <c r="T56" s="14" t="n">
        <f aca="false">Sav_point*(N56-Eff_0)</f>
        <v>122.5</v>
      </c>
      <c r="U56" s="14" t="n">
        <f aca="false">Sav_point*(O56-Eff_0)</f>
        <v>122.5</v>
      </c>
      <c r="V56" s="14" t="n">
        <f aca="false">SUM(P56:U56)</f>
        <v>630</v>
      </c>
      <c r="W56" s="12" t="n">
        <f aca="false">IF(AND(H56&gt;0,Cap_0&lt;Cap_min),0,1)</f>
        <v>1</v>
      </c>
      <c r="X56" s="16" t="n">
        <f aca="false">Liq_0-Round_cost*B56+1*P56</f>
        <v>570</v>
      </c>
      <c r="Y56" s="16" t="n">
        <f aca="false">X56-Round_cost*C56+1*Q56</f>
        <v>555</v>
      </c>
      <c r="Z56" s="16" t="n">
        <f aca="false">Y56-Round_cost*D56+1*R56</f>
        <v>660</v>
      </c>
      <c r="AA56" s="16" t="n">
        <f aca="false">Z56-Round_cost*E56+1*S56</f>
        <v>765</v>
      </c>
      <c r="AB56" s="16" t="n">
        <f aca="false">AA56-Round_cost*F56+1*T56</f>
        <v>767.5</v>
      </c>
      <c r="AC56" s="16" t="n">
        <f aca="false">AB56-Round_cost*G56+1*U56</f>
        <v>890</v>
      </c>
      <c r="AD56" s="19" t="n">
        <f aca="false">IF(B56=1,Liq_0-Round_cost,1000000000)</f>
        <v>500</v>
      </c>
      <c r="AE56" s="19" t="n">
        <f aca="false">IF(C56=1,X56-Round_cost,1000000000)</f>
        <v>450</v>
      </c>
      <c r="AF56" s="19" t="n">
        <f aca="false">IF(D56=1,Y56-Round_cost,1000000000)</f>
        <v>1000000000</v>
      </c>
      <c r="AG56" s="19" t="n">
        <f aca="false">IF(E56=1,Z56-Round_cost,1000000000)</f>
        <v>1000000000</v>
      </c>
      <c r="AH56" s="19" t="n">
        <f aca="false">IF(F56=1,AA56-Round_cost,1000000000)</f>
        <v>645</v>
      </c>
      <c r="AI56" s="19" t="n">
        <f aca="false">IF(G56=1,AB56-Round_cost,1000000000)</f>
        <v>1000000000</v>
      </c>
      <c r="AJ56" s="12" t="n">
        <f aca="false">IF(AND(MIN(X56:AC56)&gt;=Floor_liq-0.000000001,MIN(AD56:AI56)&gt;=Floor_liq-0.000000001),1,0)</f>
        <v>1</v>
      </c>
      <c r="AK56" s="12" t="n">
        <f aca="false">IF(AC56&gt;=End_liq-0.000000001,1,0)</f>
        <v>1</v>
      </c>
      <c r="AL56" s="12" t="n">
        <f aca="false">AJ56*AK56*W56</f>
        <v>1</v>
      </c>
      <c r="AM56" s="16" t="n">
        <f aca="false">Liq_0-Round_cost*B56+(1-Pledge_share)*P56</f>
        <v>535</v>
      </c>
      <c r="AN56" s="16" t="n">
        <f aca="false">AM56-Round_cost*C56+(1-Pledge_share)*Q56</f>
        <v>467.5</v>
      </c>
      <c r="AO56" s="16" t="n">
        <f aca="false">AN56-Round_cost*D56+(1-Pledge_share)*R56</f>
        <v>520</v>
      </c>
      <c r="AP56" s="16" t="n">
        <f aca="false">AO56-Round_cost*E56+(1-Pledge_share)*S56</f>
        <v>572.5</v>
      </c>
      <c r="AQ56" s="16" t="n">
        <f aca="false">AP56-Round_cost*F56+(1-Pledge_share)*T56</f>
        <v>513.75</v>
      </c>
      <c r="AR56" s="16" t="n">
        <f aca="false">AQ56-Round_cost*G56+(1-Pledge_share)*U56</f>
        <v>575</v>
      </c>
      <c r="AS56" s="19" t="n">
        <f aca="false">IF(B56=1,Liq_0-Round_cost,1000000000)</f>
        <v>500</v>
      </c>
      <c r="AT56" s="19" t="n">
        <f aca="false">IF(C56=1,AM56-Round_cost,1000000000)</f>
        <v>415</v>
      </c>
      <c r="AU56" s="19" t="n">
        <f aca="false">IF(D56=1,AN56-Round_cost,1000000000)</f>
        <v>1000000000</v>
      </c>
      <c r="AV56" s="19" t="n">
        <f aca="false">IF(E56=1,AO56-Round_cost,1000000000)</f>
        <v>1000000000</v>
      </c>
      <c r="AW56" s="19" t="n">
        <f aca="false">IF(F56=1,AP56-Round_cost,1000000000)</f>
        <v>452.5</v>
      </c>
      <c r="AX56" s="19" t="n">
        <f aca="false">IF(G56=1,AQ56-Round_cost,1000000000)</f>
        <v>1000000000</v>
      </c>
      <c r="AY56" s="12" t="n">
        <f aca="false">IF(AND(MIN(AM56:AR56)&gt;=Floor_liq-0.000000001,MIN(AS56:AX56)&gt;=Floor_liq-0.000000001),1,0)</f>
        <v>1</v>
      </c>
      <c r="AZ56" s="12" t="n">
        <f aca="false">IF(AR56&gt;=End_liq-0.000000001,1,0)</f>
        <v>1</v>
      </c>
      <c r="BA56" s="12" t="n">
        <f aca="false">AY56*AZ56*W56</f>
        <v>1</v>
      </c>
      <c r="BB56" s="16" t="n">
        <f aca="false">Pledge_share*V56</f>
        <v>315</v>
      </c>
      <c r="BC56" s="16" t="n">
        <f aca="false">IF(BA56=1,H56*10000+BB56,-1)</f>
        <v>30315</v>
      </c>
      <c r="BD56" s="14" t="n">
        <f aca="false">U56</f>
        <v>122.5</v>
      </c>
      <c r="BE56" s="16" t="n">
        <f aca="false">AC56</f>
        <v>890</v>
      </c>
      <c r="BF56" s="16" t="n">
        <f aca="false">IF(AL56=1,AC56-End_liq,-1000000000)</f>
        <v>420</v>
      </c>
      <c r="BG56" s="16" t="n">
        <f aca="false">IF(AL56=1,BF56+BG$4*BD56,-1000000000)</f>
        <v>420</v>
      </c>
      <c r="BH56" s="16" t="n">
        <f aca="false">IF(AL56=1,BF56+BH$4*BD56,-1000000000)</f>
        <v>1032.5</v>
      </c>
      <c r="BI56" s="16" t="n">
        <f aca="false">IF(AL56=1,BF56+BI$4*BD56,-1000000000)</f>
        <v>1645</v>
      </c>
      <c r="BJ56" s="16" t="n">
        <f aca="false">IF(AL56=1,BF56+BJ$4*BD56,-1000000000)</f>
        <v>2870</v>
      </c>
      <c r="BK56" s="16" t="n">
        <f aca="false">IF(AL56=1,BF56+BK$4*BD56,-1000000000)</f>
        <v>5320</v>
      </c>
      <c r="BL56" s="16" t="n">
        <f aca="false">IF(AL56=1,BF56+BL$4*BD56,-1000000000)</f>
        <v>7770</v>
      </c>
      <c r="BM56" s="12" t="n">
        <f aca="false">IF(H56=0,1,IF(I56=VALUE(LEFT("123456",H56)),1,0))</f>
        <v>0</v>
      </c>
      <c r="BN56" s="12" t="n">
        <f aca="false">IF(BG56&gt;0,1000*BG56,-1000000000000)</f>
        <v>420000</v>
      </c>
      <c r="BO56" s="16" t="n">
        <f aca="false">IF(BG56&gt;0,BG56+100,-1000000000)</f>
        <v>520</v>
      </c>
      <c r="BP56" s="20" t="n">
        <f aca="false">IF(BG56&gt;0,LN(BG56),-1000000000)</f>
        <v>6.04025471127741</v>
      </c>
    </row>
    <row r="57" customFormat="false" ht="15" hidden="false" customHeight="false" outlineLevel="0" collapsed="false">
      <c r="A57" s="12" t="n">
        <v>51</v>
      </c>
      <c r="B57" s="12" t="n">
        <f aca="false">MOD(INT($A57/32),2)</f>
        <v>1</v>
      </c>
      <c r="C57" s="12" t="n">
        <f aca="false">MOD(INT($A57/16),2)</f>
        <v>1</v>
      </c>
      <c r="D57" s="12" t="n">
        <f aca="false">MOD(INT($A57/8),2)</f>
        <v>0</v>
      </c>
      <c r="E57" s="12" t="n">
        <f aca="false">MOD(INT($A57/4),2)</f>
        <v>0</v>
      </c>
      <c r="F57" s="12" t="n">
        <f aca="false">MOD(INT($A57/2),2)</f>
        <v>1</v>
      </c>
      <c r="G57" s="12" t="n">
        <f aca="false">MOD(INT($A57/1),2)</f>
        <v>1</v>
      </c>
      <c r="H57" s="12" t="n">
        <f aca="false">SUM(B57:G57)</f>
        <v>4</v>
      </c>
      <c r="I57" s="12" t="n">
        <f aca="false">IF(H57=0,0,VALUE(IF(B57=1,"1","")&amp;IF(C57=1,"2","")&amp;IF(D57=1,"3","")&amp;IF(E57=1,"4","")&amp;IF(F57=1,"5","")&amp;IF(G57=1,"6","")))</f>
        <v>1256</v>
      </c>
      <c r="J57" s="14" t="n">
        <f aca="false">IF(B57=1,Eff_0+Gap_closed*(Eff_ceiling-Eff_0),Eff_0)</f>
        <v>78</v>
      </c>
      <c r="K57" s="14" t="n">
        <f aca="false">IF(C57=1,J57+Gap_closed*(Eff_ceiling-J57),J57)</f>
        <v>81.5</v>
      </c>
      <c r="L57" s="14" t="n">
        <f aca="false">IF(D57=1,K57+Gap_closed*(Eff_ceiling-K57),K57)</f>
        <v>81.5</v>
      </c>
      <c r="M57" s="14" t="n">
        <f aca="false">IF(E57=1,L57+Gap_closed*(Eff_ceiling-L57),L57)</f>
        <v>81.5</v>
      </c>
      <c r="N57" s="14" t="n">
        <f aca="false">IF(F57=1,M57+Gap_closed*(Eff_ceiling-M57),M57)</f>
        <v>83.25</v>
      </c>
      <c r="O57" s="14" t="n">
        <f aca="false">IF(G57=1,N57+Gap_closed*(Eff_ceiling-N57),N57)</f>
        <v>84.125</v>
      </c>
      <c r="P57" s="14" t="n">
        <f aca="false">Sav_point*(J57-Eff_0)</f>
        <v>70</v>
      </c>
      <c r="Q57" s="14" t="n">
        <f aca="false">Sav_point*(K57-Eff_0)</f>
        <v>105</v>
      </c>
      <c r="R57" s="14" t="n">
        <f aca="false">Sav_point*(L57-Eff_0)</f>
        <v>105</v>
      </c>
      <c r="S57" s="14" t="n">
        <f aca="false">Sav_point*(M57-Eff_0)</f>
        <v>105</v>
      </c>
      <c r="T57" s="14" t="n">
        <f aca="false">Sav_point*(N57-Eff_0)</f>
        <v>122.5</v>
      </c>
      <c r="U57" s="14" t="n">
        <f aca="false">Sav_point*(O57-Eff_0)</f>
        <v>131.25</v>
      </c>
      <c r="V57" s="14" t="n">
        <f aca="false">SUM(P57:U57)</f>
        <v>638.75</v>
      </c>
      <c r="W57" s="12" t="n">
        <f aca="false">IF(AND(H57&gt;0,Cap_0&lt;Cap_min),0,1)</f>
        <v>1</v>
      </c>
      <c r="X57" s="16" t="n">
        <f aca="false">Liq_0-Round_cost*B57+1*P57</f>
        <v>570</v>
      </c>
      <c r="Y57" s="16" t="n">
        <f aca="false">X57-Round_cost*C57+1*Q57</f>
        <v>555</v>
      </c>
      <c r="Z57" s="16" t="n">
        <f aca="false">Y57-Round_cost*D57+1*R57</f>
        <v>660</v>
      </c>
      <c r="AA57" s="16" t="n">
        <f aca="false">Z57-Round_cost*E57+1*S57</f>
        <v>765</v>
      </c>
      <c r="AB57" s="16" t="n">
        <f aca="false">AA57-Round_cost*F57+1*T57</f>
        <v>767.5</v>
      </c>
      <c r="AC57" s="16" t="n">
        <f aca="false">AB57-Round_cost*G57+1*U57</f>
        <v>778.75</v>
      </c>
      <c r="AD57" s="19" t="n">
        <f aca="false">IF(B57=1,Liq_0-Round_cost,1000000000)</f>
        <v>500</v>
      </c>
      <c r="AE57" s="19" t="n">
        <f aca="false">IF(C57=1,X57-Round_cost,1000000000)</f>
        <v>450</v>
      </c>
      <c r="AF57" s="19" t="n">
        <f aca="false">IF(D57=1,Y57-Round_cost,1000000000)</f>
        <v>1000000000</v>
      </c>
      <c r="AG57" s="19" t="n">
        <f aca="false">IF(E57=1,Z57-Round_cost,1000000000)</f>
        <v>1000000000</v>
      </c>
      <c r="AH57" s="19" t="n">
        <f aca="false">IF(F57=1,AA57-Round_cost,1000000000)</f>
        <v>645</v>
      </c>
      <c r="AI57" s="19" t="n">
        <f aca="false">IF(G57=1,AB57-Round_cost,1000000000)</f>
        <v>647.5</v>
      </c>
      <c r="AJ57" s="12" t="n">
        <f aca="false">IF(AND(MIN(X57:AC57)&gt;=Floor_liq-0.000000001,MIN(AD57:AI57)&gt;=Floor_liq-0.000000001),1,0)</f>
        <v>1</v>
      </c>
      <c r="AK57" s="12" t="n">
        <f aca="false">IF(AC57&gt;=End_liq-0.000000001,1,0)</f>
        <v>1</v>
      </c>
      <c r="AL57" s="12" t="n">
        <f aca="false">AJ57*AK57*W57</f>
        <v>1</v>
      </c>
      <c r="AM57" s="16" t="n">
        <f aca="false">Liq_0-Round_cost*B57+(1-Pledge_share)*P57</f>
        <v>535</v>
      </c>
      <c r="AN57" s="16" t="n">
        <f aca="false">AM57-Round_cost*C57+(1-Pledge_share)*Q57</f>
        <v>467.5</v>
      </c>
      <c r="AO57" s="16" t="n">
        <f aca="false">AN57-Round_cost*D57+(1-Pledge_share)*R57</f>
        <v>520</v>
      </c>
      <c r="AP57" s="16" t="n">
        <f aca="false">AO57-Round_cost*E57+(1-Pledge_share)*S57</f>
        <v>572.5</v>
      </c>
      <c r="AQ57" s="16" t="n">
        <f aca="false">AP57-Round_cost*F57+(1-Pledge_share)*T57</f>
        <v>513.75</v>
      </c>
      <c r="AR57" s="16" t="n">
        <f aca="false">AQ57-Round_cost*G57+(1-Pledge_share)*U57</f>
        <v>459.375</v>
      </c>
      <c r="AS57" s="19" t="n">
        <f aca="false">IF(B57=1,Liq_0-Round_cost,1000000000)</f>
        <v>500</v>
      </c>
      <c r="AT57" s="19" t="n">
        <f aca="false">IF(C57=1,AM57-Round_cost,1000000000)</f>
        <v>415</v>
      </c>
      <c r="AU57" s="19" t="n">
        <f aca="false">IF(D57=1,AN57-Round_cost,1000000000)</f>
        <v>1000000000</v>
      </c>
      <c r="AV57" s="19" t="n">
        <f aca="false">IF(E57=1,AO57-Round_cost,1000000000)</f>
        <v>1000000000</v>
      </c>
      <c r="AW57" s="19" t="n">
        <f aca="false">IF(F57=1,AP57-Round_cost,1000000000)</f>
        <v>452.5</v>
      </c>
      <c r="AX57" s="19" t="n">
        <f aca="false">IF(G57=1,AQ57-Round_cost,1000000000)</f>
        <v>393.75</v>
      </c>
      <c r="AY57" s="12" t="n">
        <f aca="false">IF(AND(MIN(AM57:AR57)&gt;=Floor_liq-0.000000001,MIN(AS57:AX57)&gt;=Floor_liq-0.000000001),1,0)</f>
        <v>1</v>
      </c>
      <c r="AZ57" s="12" t="n">
        <f aca="false">IF(AR57&gt;=End_liq-0.000000001,1,0)</f>
        <v>0</v>
      </c>
      <c r="BA57" s="12" t="n">
        <f aca="false">AY57*AZ57*W57</f>
        <v>0</v>
      </c>
      <c r="BB57" s="16" t="n">
        <f aca="false">Pledge_share*V57</f>
        <v>319.375</v>
      </c>
      <c r="BC57" s="16" t="n">
        <f aca="false">IF(BA57=1,H57*10000+BB57,-1)</f>
        <v>-1</v>
      </c>
      <c r="BD57" s="14" t="n">
        <f aca="false">U57</f>
        <v>131.25</v>
      </c>
      <c r="BE57" s="16" t="n">
        <f aca="false">AC57</f>
        <v>778.75</v>
      </c>
      <c r="BF57" s="16" t="n">
        <f aca="false">IF(AL57=1,AC57-End_liq,-1000000000)</f>
        <v>308.75</v>
      </c>
      <c r="BG57" s="16" t="n">
        <f aca="false">IF(AL57=1,BF57+BG$4*BD57,-1000000000)</f>
        <v>308.75</v>
      </c>
      <c r="BH57" s="16" t="n">
        <f aca="false">IF(AL57=1,BF57+BH$4*BD57,-1000000000)</f>
        <v>965</v>
      </c>
      <c r="BI57" s="16" t="n">
        <f aca="false">IF(AL57=1,BF57+BI$4*BD57,-1000000000)</f>
        <v>1621.25</v>
      </c>
      <c r="BJ57" s="16" t="n">
        <f aca="false">IF(AL57=1,BF57+BJ$4*BD57,-1000000000)</f>
        <v>2933.75</v>
      </c>
      <c r="BK57" s="16" t="n">
        <f aca="false">IF(AL57=1,BF57+BK$4*BD57,-1000000000)</f>
        <v>5558.75</v>
      </c>
      <c r="BL57" s="16" t="n">
        <f aca="false">IF(AL57=1,BF57+BL$4*BD57,-1000000000)</f>
        <v>8183.75</v>
      </c>
      <c r="BM57" s="12" t="n">
        <f aca="false">IF(H57=0,1,IF(I57=VALUE(LEFT("123456",H57)),1,0))</f>
        <v>0</v>
      </c>
      <c r="BN57" s="12" t="n">
        <f aca="false">IF(BG57&gt;0,1000*BG57,-1000000000000)</f>
        <v>308750</v>
      </c>
      <c r="BO57" s="16" t="n">
        <f aca="false">IF(BG57&gt;0,BG57+100,-1000000000)</f>
        <v>408.75</v>
      </c>
      <c r="BP57" s="20" t="n">
        <f aca="false">IF(BG57&gt;0,LN(BG57),-1000000000)</f>
        <v>5.73253188794219</v>
      </c>
    </row>
    <row r="58" customFormat="false" ht="15" hidden="false" customHeight="false" outlineLevel="0" collapsed="false">
      <c r="A58" s="12" t="n">
        <v>52</v>
      </c>
      <c r="B58" s="12" t="n">
        <f aca="false">MOD(INT($A58/32),2)</f>
        <v>1</v>
      </c>
      <c r="C58" s="12" t="n">
        <f aca="false">MOD(INT($A58/16),2)</f>
        <v>1</v>
      </c>
      <c r="D58" s="12" t="n">
        <f aca="false">MOD(INT($A58/8),2)</f>
        <v>0</v>
      </c>
      <c r="E58" s="12" t="n">
        <f aca="false">MOD(INT($A58/4),2)</f>
        <v>1</v>
      </c>
      <c r="F58" s="12" t="n">
        <f aca="false">MOD(INT($A58/2),2)</f>
        <v>0</v>
      </c>
      <c r="G58" s="12" t="n">
        <f aca="false">MOD(INT($A58/1),2)</f>
        <v>0</v>
      </c>
      <c r="H58" s="12" t="n">
        <f aca="false">SUM(B58:G58)</f>
        <v>3</v>
      </c>
      <c r="I58" s="12" t="n">
        <f aca="false">IF(H58=0,0,VALUE(IF(B58=1,"1","")&amp;IF(C58=1,"2","")&amp;IF(D58=1,"3","")&amp;IF(E58=1,"4","")&amp;IF(F58=1,"5","")&amp;IF(G58=1,"6","")))</f>
        <v>124</v>
      </c>
      <c r="J58" s="14" t="n">
        <f aca="false">IF(B58=1,Eff_0+Gap_closed*(Eff_ceiling-Eff_0),Eff_0)</f>
        <v>78</v>
      </c>
      <c r="K58" s="14" t="n">
        <f aca="false">IF(C58=1,J58+Gap_closed*(Eff_ceiling-J58),J58)</f>
        <v>81.5</v>
      </c>
      <c r="L58" s="14" t="n">
        <f aca="false">IF(D58=1,K58+Gap_closed*(Eff_ceiling-K58),K58)</f>
        <v>81.5</v>
      </c>
      <c r="M58" s="14" t="n">
        <f aca="false">IF(E58=1,L58+Gap_closed*(Eff_ceiling-L58),L58)</f>
        <v>83.25</v>
      </c>
      <c r="N58" s="14" t="n">
        <f aca="false">IF(F58=1,M58+Gap_closed*(Eff_ceiling-M58),M58)</f>
        <v>83.25</v>
      </c>
      <c r="O58" s="14" t="n">
        <f aca="false">IF(G58=1,N58+Gap_closed*(Eff_ceiling-N58),N58)</f>
        <v>83.25</v>
      </c>
      <c r="P58" s="14" t="n">
        <f aca="false">Sav_point*(J58-Eff_0)</f>
        <v>70</v>
      </c>
      <c r="Q58" s="14" t="n">
        <f aca="false">Sav_point*(K58-Eff_0)</f>
        <v>105</v>
      </c>
      <c r="R58" s="14" t="n">
        <f aca="false">Sav_point*(L58-Eff_0)</f>
        <v>105</v>
      </c>
      <c r="S58" s="14" t="n">
        <f aca="false">Sav_point*(M58-Eff_0)</f>
        <v>122.5</v>
      </c>
      <c r="T58" s="14" t="n">
        <f aca="false">Sav_point*(N58-Eff_0)</f>
        <v>122.5</v>
      </c>
      <c r="U58" s="14" t="n">
        <f aca="false">Sav_point*(O58-Eff_0)</f>
        <v>122.5</v>
      </c>
      <c r="V58" s="14" t="n">
        <f aca="false">SUM(P58:U58)</f>
        <v>647.5</v>
      </c>
      <c r="W58" s="12" t="n">
        <f aca="false">IF(AND(H58&gt;0,Cap_0&lt;Cap_min),0,1)</f>
        <v>1</v>
      </c>
      <c r="X58" s="16" t="n">
        <f aca="false">Liq_0-Round_cost*B58+1*P58</f>
        <v>570</v>
      </c>
      <c r="Y58" s="16" t="n">
        <f aca="false">X58-Round_cost*C58+1*Q58</f>
        <v>555</v>
      </c>
      <c r="Z58" s="16" t="n">
        <f aca="false">Y58-Round_cost*D58+1*R58</f>
        <v>660</v>
      </c>
      <c r="AA58" s="16" t="n">
        <f aca="false">Z58-Round_cost*E58+1*S58</f>
        <v>662.5</v>
      </c>
      <c r="AB58" s="16" t="n">
        <f aca="false">AA58-Round_cost*F58+1*T58</f>
        <v>785</v>
      </c>
      <c r="AC58" s="16" t="n">
        <f aca="false">AB58-Round_cost*G58+1*U58</f>
        <v>907.5</v>
      </c>
      <c r="AD58" s="19" t="n">
        <f aca="false">IF(B58=1,Liq_0-Round_cost,1000000000)</f>
        <v>500</v>
      </c>
      <c r="AE58" s="19" t="n">
        <f aca="false">IF(C58=1,X58-Round_cost,1000000000)</f>
        <v>450</v>
      </c>
      <c r="AF58" s="19" t="n">
        <f aca="false">IF(D58=1,Y58-Round_cost,1000000000)</f>
        <v>1000000000</v>
      </c>
      <c r="AG58" s="19" t="n">
        <f aca="false">IF(E58=1,Z58-Round_cost,1000000000)</f>
        <v>540</v>
      </c>
      <c r="AH58" s="19" t="n">
        <f aca="false">IF(F58=1,AA58-Round_cost,1000000000)</f>
        <v>1000000000</v>
      </c>
      <c r="AI58" s="19" t="n">
        <f aca="false">IF(G58=1,AB58-Round_cost,1000000000)</f>
        <v>1000000000</v>
      </c>
      <c r="AJ58" s="12" t="n">
        <f aca="false">IF(AND(MIN(X58:AC58)&gt;=Floor_liq-0.000000001,MIN(AD58:AI58)&gt;=Floor_liq-0.000000001),1,0)</f>
        <v>1</v>
      </c>
      <c r="AK58" s="12" t="n">
        <f aca="false">IF(AC58&gt;=End_liq-0.000000001,1,0)</f>
        <v>1</v>
      </c>
      <c r="AL58" s="12" t="n">
        <f aca="false">AJ58*AK58*W58</f>
        <v>1</v>
      </c>
      <c r="AM58" s="16" t="n">
        <f aca="false">Liq_0-Round_cost*B58+(1-Pledge_share)*P58</f>
        <v>535</v>
      </c>
      <c r="AN58" s="16" t="n">
        <f aca="false">AM58-Round_cost*C58+(1-Pledge_share)*Q58</f>
        <v>467.5</v>
      </c>
      <c r="AO58" s="16" t="n">
        <f aca="false">AN58-Round_cost*D58+(1-Pledge_share)*R58</f>
        <v>520</v>
      </c>
      <c r="AP58" s="16" t="n">
        <f aca="false">AO58-Round_cost*E58+(1-Pledge_share)*S58</f>
        <v>461.25</v>
      </c>
      <c r="AQ58" s="16" t="n">
        <f aca="false">AP58-Round_cost*F58+(1-Pledge_share)*T58</f>
        <v>522.5</v>
      </c>
      <c r="AR58" s="16" t="n">
        <f aca="false">AQ58-Round_cost*G58+(1-Pledge_share)*U58</f>
        <v>583.75</v>
      </c>
      <c r="AS58" s="19" t="n">
        <f aca="false">IF(B58=1,Liq_0-Round_cost,1000000000)</f>
        <v>500</v>
      </c>
      <c r="AT58" s="19" t="n">
        <f aca="false">IF(C58=1,AM58-Round_cost,1000000000)</f>
        <v>415</v>
      </c>
      <c r="AU58" s="19" t="n">
        <f aca="false">IF(D58=1,AN58-Round_cost,1000000000)</f>
        <v>1000000000</v>
      </c>
      <c r="AV58" s="19" t="n">
        <f aca="false">IF(E58=1,AO58-Round_cost,1000000000)</f>
        <v>400</v>
      </c>
      <c r="AW58" s="19" t="n">
        <f aca="false">IF(F58=1,AP58-Round_cost,1000000000)</f>
        <v>1000000000</v>
      </c>
      <c r="AX58" s="19" t="n">
        <f aca="false">IF(G58=1,AQ58-Round_cost,1000000000)</f>
        <v>1000000000</v>
      </c>
      <c r="AY58" s="12" t="n">
        <f aca="false">IF(AND(MIN(AM58:AR58)&gt;=Floor_liq-0.000000001,MIN(AS58:AX58)&gt;=Floor_liq-0.000000001),1,0)</f>
        <v>1</v>
      </c>
      <c r="AZ58" s="12" t="n">
        <f aca="false">IF(AR58&gt;=End_liq-0.000000001,1,0)</f>
        <v>1</v>
      </c>
      <c r="BA58" s="12" t="n">
        <f aca="false">AY58*AZ58*W58</f>
        <v>1</v>
      </c>
      <c r="BB58" s="16" t="n">
        <f aca="false">Pledge_share*V58</f>
        <v>323.75</v>
      </c>
      <c r="BC58" s="16" t="n">
        <f aca="false">IF(BA58=1,H58*10000+BB58,-1)</f>
        <v>30323.75</v>
      </c>
      <c r="BD58" s="14" t="n">
        <f aca="false">U58</f>
        <v>122.5</v>
      </c>
      <c r="BE58" s="16" t="n">
        <f aca="false">AC58</f>
        <v>907.5</v>
      </c>
      <c r="BF58" s="16" t="n">
        <f aca="false">IF(AL58=1,AC58-End_liq,-1000000000)</f>
        <v>437.5</v>
      </c>
      <c r="BG58" s="16" t="n">
        <f aca="false">IF(AL58=1,BF58+BG$4*BD58,-1000000000)</f>
        <v>437.5</v>
      </c>
      <c r="BH58" s="16" t="n">
        <f aca="false">IF(AL58=1,BF58+BH$4*BD58,-1000000000)</f>
        <v>1050</v>
      </c>
      <c r="BI58" s="16" t="n">
        <f aca="false">IF(AL58=1,BF58+BI$4*BD58,-1000000000)</f>
        <v>1662.5</v>
      </c>
      <c r="BJ58" s="16" t="n">
        <f aca="false">IF(AL58=1,BF58+BJ$4*BD58,-1000000000)</f>
        <v>2887.5</v>
      </c>
      <c r="BK58" s="16" t="n">
        <f aca="false">IF(AL58=1,BF58+BK$4*BD58,-1000000000)</f>
        <v>5337.5</v>
      </c>
      <c r="BL58" s="16" t="n">
        <f aca="false">IF(AL58=1,BF58+BL$4*BD58,-1000000000)</f>
        <v>7787.5</v>
      </c>
      <c r="BM58" s="12" t="n">
        <f aca="false">IF(H58=0,1,IF(I58=VALUE(LEFT("123456",H58)),1,0))</f>
        <v>0</v>
      </c>
      <c r="BN58" s="12" t="n">
        <f aca="false">IF(BG58&gt;0,1000*BG58,-1000000000000)</f>
        <v>437500</v>
      </c>
      <c r="BO58" s="16" t="n">
        <f aca="false">IF(BG58&gt;0,BG58+100,-1000000000)</f>
        <v>537.5</v>
      </c>
      <c r="BP58" s="20" t="n">
        <f aca="false">IF(BG58&gt;0,LN(BG58),-1000000000)</f>
        <v>6.08107670579767</v>
      </c>
    </row>
    <row r="59" customFormat="false" ht="15" hidden="false" customHeight="false" outlineLevel="0" collapsed="false">
      <c r="A59" s="12" t="n">
        <v>53</v>
      </c>
      <c r="B59" s="12" t="n">
        <f aca="false">MOD(INT($A59/32),2)</f>
        <v>1</v>
      </c>
      <c r="C59" s="12" t="n">
        <f aca="false">MOD(INT($A59/16),2)</f>
        <v>1</v>
      </c>
      <c r="D59" s="12" t="n">
        <f aca="false">MOD(INT($A59/8),2)</f>
        <v>0</v>
      </c>
      <c r="E59" s="12" t="n">
        <f aca="false">MOD(INT($A59/4),2)</f>
        <v>1</v>
      </c>
      <c r="F59" s="12" t="n">
        <f aca="false">MOD(INT($A59/2),2)</f>
        <v>0</v>
      </c>
      <c r="G59" s="12" t="n">
        <f aca="false">MOD(INT($A59/1),2)</f>
        <v>1</v>
      </c>
      <c r="H59" s="12" t="n">
        <f aca="false">SUM(B59:G59)</f>
        <v>4</v>
      </c>
      <c r="I59" s="12" t="n">
        <f aca="false">IF(H59=0,0,VALUE(IF(B59=1,"1","")&amp;IF(C59=1,"2","")&amp;IF(D59=1,"3","")&amp;IF(E59=1,"4","")&amp;IF(F59=1,"5","")&amp;IF(G59=1,"6","")))</f>
        <v>1246</v>
      </c>
      <c r="J59" s="14" t="n">
        <f aca="false">IF(B59=1,Eff_0+Gap_closed*(Eff_ceiling-Eff_0),Eff_0)</f>
        <v>78</v>
      </c>
      <c r="K59" s="14" t="n">
        <f aca="false">IF(C59=1,J59+Gap_closed*(Eff_ceiling-J59),J59)</f>
        <v>81.5</v>
      </c>
      <c r="L59" s="14" t="n">
        <f aca="false">IF(D59=1,K59+Gap_closed*(Eff_ceiling-K59),K59)</f>
        <v>81.5</v>
      </c>
      <c r="M59" s="14" t="n">
        <f aca="false">IF(E59=1,L59+Gap_closed*(Eff_ceiling-L59),L59)</f>
        <v>83.25</v>
      </c>
      <c r="N59" s="14" t="n">
        <f aca="false">IF(F59=1,M59+Gap_closed*(Eff_ceiling-M59),M59)</f>
        <v>83.25</v>
      </c>
      <c r="O59" s="14" t="n">
        <f aca="false">IF(G59=1,N59+Gap_closed*(Eff_ceiling-N59),N59)</f>
        <v>84.125</v>
      </c>
      <c r="P59" s="14" t="n">
        <f aca="false">Sav_point*(J59-Eff_0)</f>
        <v>70</v>
      </c>
      <c r="Q59" s="14" t="n">
        <f aca="false">Sav_point*(K59-Eff_0)</f>
        <v>105</v>
      </c>
      <c r="R59" s="14" t="n">
        <f aca="false">Sav_point*(L59-Eff_0)</f>
        <v>105</v>
      </c>
      <c r="S59" s="14" t="n">
        <f aca="false">Sav_point*(M59-Eff_0)</f>
        <v>122.5</v>
      </c>
      <c r="T59" s="14" t="n">
        <f aca="false">Sav_point*(N59-Eff_0)</f>
        <v>122.5</v>
      </c>
      <c r="U59" s="14" t="n">
        <f aca="false">Sav_point*(O59-Eff_0)</f>
        <v>131.25</v>
      </c>
      <c r="V59" s="14" t="n">
        <f aca="false">SUM(P59:U59)</f>
        <v>656.25</v>
      </c>
      <c r="W59" s="12" t="n">
        <f aca="false">IF(AND(H59&gt;0,Cap_0&lt;Cap_min),0,1)</f>
        <v>1</v>
      </c>
      <c r="X59" s="16" t="n">
        <f aca="false">Liq_0-Round_cost*B59+1*P59</f>
        <v>570</v>
      </c>
      <c r="Y59" s="16" t="n">
        <f aca="false">X59-Round_cost*C59+1*Q59</f>
        <v>555</v>
      </c>
      <c r="Z59" s="16" t="n">
        <f aca="false">Y59-Round_cost*D59+1*R59</f>
        <v>660</v>
      </c>
      <c r="AA59" s="16" t="n">
        <f aca="false">Z59-Round_cost*E59+1*S59</f>
        <v>662.5</v>
      </c>
      <c r="AB59" s="16" t="n">
        <f aca="false">AA59-Round_cost*F59+1*T59</f>
        <v>785</v>
      </c>
      <c r="AC59" s="16" t="n">
        <f aca="false">AB59-Round_cost*G59+1*U59</f>
        <v>796.25</v>
      </c>
      <c r="AD59" s="19" t="n">
        <f aca="false">IF(B59=1,Liq_0-Round_cost,1000000000)</f>
        <v>500</v>
      </c>
      <c r="AE59" s="19" t="n">
        <f aca="false">IF(C59=1,X59-Round_cost,1000000000)</f>
        <v>450</v>
      </c>
      <c r="AF59" s="19" t="n">
        <f aca="false">IF(D59=1,Y59-Round_cost,1000000000)</f>
        <v>1000000000</v>
      </c>
      <c r="AG59" s="19" t="n">
        <f aca="false">IF(E59=1,Z59-Round_cost,1000000000)</f>
        <v>540</v>
      </c>
      <c r="AH59" s="19" t="n">
        <f aca="false">IF(F59=1,AA59-Round_cost,1000000000)</f>
        <v>1000000000</v>
      </c>
      <c r="AI59" s="19" t="n">
        <f aca="false">IF(G59=1,AB59-Round_cost,1000000000)</f>
        <v>665</v>
      </c>
      <c r="AJ59" s="12" t="n">
        <f aca="false">IF(AND(MIN(X59:AC59)&gt;=Floor_liq-0.000000001,MIN(AD59:AI59)&gt;=Floor_liq-0.000000001),1,0)</f>
        <v>1</v>
      </c>
      <c r="AK59" s="12" t="n">
        <f aca="false">IF(AC59&gt;=End_liq-0.000000001,1,0)</f>
        <v>1</v>
      </c>
      <c r="AL59" s="12" t="n">
        <f aca="false">AJ59*AK59*W59</f>
        <v>1</v>
      </c>
      <c r="AM59" s="16" t="n">
        <f aca="false">Liq_0-Round_cost*B59+(1-Pledge_share)*P59</f>
        <v>535</v>
      </c>
      <c r="AN59" s="16" t="n">
        <f aca="false">AM59-Round_cost*C59+(1-Pledge_share)*Q59</f>
        <v>467.5</v>
      </c>
      <c r="AO59" s="16" t="n">
        <f aca="false">AN59-Round_cost*D59+(1-Pledge_share)*R59</f>
        <v>520</v>
      </c>
      <c r="AP59" s="16" t="n">
        <f aca="false">AO59-Round_cost*E59+(1-Pledge_share)*S59</f>
        <v>461.25</v>
      </c>
      <c r="AQ59" s="16" t="n">
        <f aca="false">AP59-Round_cost*F59+(1-Pledge_share)*T59</f>
        <v>522.5</v>
      </c>
      <c r="AR59" s="16" t="n">
        <f aca="false">AQ59-Round_cost*G59+(1-Pledge_share)*U59</f>
        <v>468.125</v>
      </c>
      <c r="AS59" s="19" t="n">
        <f aca="false">IF(B59=1,Liq_0-Round_cost,1000000000)</f>
        <v>500</v>
      </c>
      <c r="AT59" s="19" t="n">
        <f aca="false">IF(C59=1,AM59-Round_cost,1000000000)</f>
        <v>415</v>
      </c>
      <c r="AU59" s="19" t="n">
        <f aca="false">IF(D59=1,AN59-Round_cost,1000000000)</f>
        <v>1000000000</v>
      </c>
      <c r="AV59" s="19" t="n">
        <f aca="false">IF(E59=1,AO59-Round_cost,1000000000)</f>
        <v>400</v>
      </c>
      <c r="AW59" s="19" t="n">
        <f aca="false">IF(F59=1,AP59-Round_cost,1000000000)</f>
        <v>1000000000</v>
      </c>
      <c r="AX59" s="19" t="n">
        <f aca="false">IF(G59=1,AQ59-Round_cost,1000000000)</f>
        <v>402.5</v>
      </c>
      <c r="AY59" s="12" t="n">
        <f aca="false">IF(AND(MIN(AM59:AR59)&gt;=Floor_liq-0.000000001,MIN(AS59:AX59)&gt;=Floor_liq-0.000000001),1,0)</f>
        <v>1</v>
      </c>
      <c r="AZ59" s="12" t="n">
        <f aca="false">IF(AR59&gt;=End_liq-0.000000001,1,0)</f>
        <v>0</v>
      </c>
      <c r="BA59" s="12" t="n">
        <f aca="false">AY59*AZ59*W59</f>
        <v>0</v>
      </c>
      <c r="BB59" s="16" t="n">
        <f aca="false">Pledge_share*V59</f>
        <v>328.125</v>
      </c>
      <c r="BC59" s="16" t="n">
        <f aca="false">IF(BA59=1,H59*10000+BB59,-1)</f>
        <v>-1</v>
      </c>
      <c r="BD59" s="14" t="n">
        <f aca="false">U59</f>
        <v>131.25</v>
      </c>
      <c r="BE59" s="16" t="n">
        <f aca="false">AC59</f>
        <v>796.25</v>
      </c>
      <c r="BF59" s="16" t="n">
        <f aca="false">IF(AL59=1,AC59-End_liq,-1000000000)</f>
        <v>326.25</v>
      </c>
      <c r="BG59" s="16" t="n">
        <f aca="false">IF(AL59=1,BF59+BG$4*BD59,-1000000000)</f>
        <v>326.25</v>
      </c>
      <c r="BH59" s="16" t="n">
        <f aca="false">IF(AL59=1,BF59+BH$4*BD59,-1000000000)</f>
        <v>982.5</v>
      </c>
      <c r="BI59" s="16" t="n">
        <f aca="false">IF(AL59=1,BF59+BI$4*BD59,-1000000000)</f>
        <v>1638.75</v>
      </c>
      <c r="BJ59" s="16" t="n">
        <f aca="false">IF(AL59=1,BF59+BJ$4*BD59,-1000000000)</f>
        <v>2951.25</v>
      </c>
      <c r="BK59" s="16" t="n">
        <f aca="false">IF(AL59=1,BF59+BK$4*BD59,-1000000000)</f>
        <v>5576.25</v>
      </c>
      <c r="BL59" s="16" t="n">
        <f aca="false">IF(AL59=1,BF59+BL$4*BD59,-1000000000)</f>
        <v>8201.25</v>
      </c>
      <c r="BM59" s="12" t="n">
        <f aca="false">IF(H59=0,1,IF(I59=VALUE(LEFT("123456",H59)),1,0))</f>
        <v>0</v>
      </c>
      <c r="BN59" s="12" t="n">
        <f aca="false">IF(BG59&gt;0,1000*BG59,-1000000000000)</f>
        <v>326250</v>
      </c>
      <c r="BO59" s="16" t="n">
        <f aca="false">IF(BG59&gt;0,BG59+100,-1000000000)</f>
        <v>426.25</v>
      </c>
      <c r="BP59" s="20" t="n">
        <f aca="false">IF(BG59&gt;0,LN(BG59),-1000000000)</f>
        <v>5.7876639586369</v>
      </c>
    </row>
    <row r="60" customFormat="false" ht="15" hidden="false" customHeight="false" outlineLevel="0" collapsed="false">
      <c r="A60" s="12" t="n">
        <v>54</v>
      </c>
      <c r="B60" s="12" t="n">
        <f aca="false">MOD(INT($A60/32),2)</f>
        <v>1</v>
      </c>
      <c r="C60" s="12" t="n">
        <f aca="false">MOD(INT($A60/16),2)</f>
        <v>1</v>
      </c>
      <c r="D60" s="12" t="n">
        <f aca="false">MOD(INT($A60/8),2)</f>
        <v>0</v>
      </c>
      <c r="E60" s="12" t="n">
        <f aca="false">MOD(INT($A60/4),2)</f>
        <v>1</v>
      </c>
      <c r="F60" s="12" t="n">
        <f aca="false">MOD(INT($A60/2),2)</f>
        <v>1</v>
      </c>
      <c r="G60" s="12" t="n">
        <f aca="false">MOD(INT($A60/1),2)</f>
        <v>0</v>
      </c>
      <c r="H60" s="12" t="n">
        <f aca="false">SUM(B60:G60)</f>
        <v>4</v>
      </c>
      <c r="I60" s="12" t="n">
        <f aca="false">IF(H60=0,0,VALUE(IF(B60=1,"1","")&amp;IF(C60=1,"2","")&amp;IF(D60=1,"3","")&amp;IF(E60=1,"4","")&amp;IF(F60=1,"5","")&amp;IF(G60=1,"6","")))</f>
        <v>1245</v>
      </c>
      <c r="J60" s="14" t="n">
        <f aca="false">IF(B60=1,Eff_0+Gap_closed*(Eff_ceiling-Eff_0),Eff_0)</f>
        <v>78</v>
      </c>
      <c r="K60" s="14" t="n">
        <f aca="false">IF(C60=1,J60+Gap_closed*(Eff_ceiling-J60),J60)</f>
        <v>81.5</v>
      </c>
      <c r="L60" s="14" t="n">
        <f aca="false">IF(D60=1,K60+Gap_closed*(Eff_ceiling-K60),K60)</f>
        <v>81.5</v>
      </c>
      <c r="M60" s="14" t="n">
        <f aca="false">IF(E60=1,L60+Gap_closed*(Eff_ceiling-L60),L60)</f>
        <v>83.25</v>
      </c>
      <c r="N60" s="14" t="n">
        <f aca="false">IF(F60=1,M60+Gap_closed*(Eff_ceiling-M60),M60)</f>
        <v>84.125</v>
      </c>
      <c r="O60" s="14" t="n">
        <f aca="false">IF(G60=1,N60+Gap_closed*(Eff_ceiling-N60),N60)</f>
        <v>84.125</v>
      </c>
      <c r="P60" s="14" t="n">
        <f aca="false">Sav_point*(J60-Eff_0)</f>
        <v>70</v>
      </c>
      <c r="Q60" s="14" t="n">
        <f aca="false">Sav_point*(K60-Eff_0)</f>
        <v>105</v>
      </c>
      <c r="R60" s="14" t="n">
        <f aca="false">Sav_point*(L60-Eff_0)</f>
        <v>105</v>
      </c>
      <c r="S60" s="14" t="n">
        <f aca="false">Sav_point*(M60-Eff_0)</f>
        <v>122.5</v>
      </c>
      <c r="T60" s="14" t="n">
        <f aca="false">Sav_point*(N60-Eff_0)</f>
        <v>131.25</v>
      </c>
      <c r="U60" s="14" t="n">
        <f aca="false">Sav_point*(O60-Eff_0)</f>
        <v>131.25</v>
      </c>
      <c r="V60" s="14" t="n">
        <f aca="false">SUM(P60:U60)</f>
        <v>665</v>
      </c>
      <c r="W60" s="12" t="n">
        <f aca="false">IF(AND(H60&gt;0,Cap_0&lt;Cap_min),0,1)</f>
        <v>1</v>
      </c>
      <c r="X60" s="16" t="n">
        <f aca="false">Liq_0-Round_cost*B60+1*P60</f>
        <v>570</v>
      </c>
      <c r="Y60" s="16" t="n">
        <f aca="false">X60-Round_cost*C60+1*Q60</f>
        <v>555</v>
      </c>
      <c r="Z60" s="16" t="n">
        <f aca="false">Y60-Round_cost*D60+1*R60</f>
        <v>660</v>
      </c>
      <c r="AA60" s="16" t="n">
        <f aca="false">Z60-Round_cost*E60+1*S60</f>
        <v>662.5</v>
      </c>
      <c r="AB60" s="16" t="n">
        <f aca="false">AA60-Round_cost*F60+1*T60</f>
        <v>673.75</v>
      </c>
      <c r="AC60" s="16" t="n">
        <f aca="false">AB60-Round_cost*G60+1*U60</f>
        <v>805</v>
      </c>
      <c r="AD60" s="19" t="n">
        <f aca="false">IF(B60=1,Liq_0-Round_cost,1000000000)</f>
        <v>500</v>
      </c>
      <c r="AE60" s="19" t="n">
        <f aca="false">IF(C60=1,X60-Round_cost,1000000000)</f>
        <v>450</v>
      </c>
      <c r="AF60" s="19" t="n">
        <f aca="false">IF(D60=1,Y60-Round_cost,1000000000)</f>
        <v>1000000000</v>
      </c>
      <c r="AG60" s="19" t="n">
        <f aca="false">IF(E60=1,Z60-Round_cost,1000000000)</f>
        <v>540</v>
      </c>
      <c r="AH60" s="19" t="n">
        <f aca="false">IF(F60=1,AA60-Round_cost,1000000000)</f>
        <v>542.5</v>
      </c>
      <c r="AI60" s="19" t="n">
        <f aca="false">IF(G60=1,AB60-Round_cost,1000000000)</f>
        <v>1000000000</v>
      </c>
      <c r="AJ60" s="12" t="n">
        <f aca="false">IF(AND(MIN(X60:AC60)&gt;=Floor_liq-0.000000001,MIN(AD60:AI60)&gt;=Floor_liq-0.000000001),1,0)</f>
        <v>1</v>
      </c>
      <c r="AK60" s="12" t="n">
        <f aca="false">IF(AC60&gt;=End_liq-0.000000001,1,0)</f>
        <v>1</v>
      </c>
      <c r="AL60" s="12" t="n">
        <f aca="false">AJ60*AK60*W60</f>
        <v>1</v>
      </c>
      <c r="AM60" s="16" t="n">
        <f aca="false">Liq_0-Round_cost*B60+(1-Pledge_share)*P60</f>
        <v>535</v>
      </c>
      <c r="AN60" s="16" t="n">
        <f aca="false">AM60-Round_cost*C60+(1-Pledge_share)*Q60</f>
        <v>467.5</v>
      </c>
      <c r="AO60" s="16" t="n">
        <f aca="false">AN60-Round_cost*D60+(1-Pledge_share)*R60</f>
        <v>520</v>
      </c>
      <c r="AP60" s="16" t="n">
        <f aca="false">AO60-Round_cost*E60+(1-Pledge_share)*S60</f>
        <v>461.25</v>
      </c>
      <c r="AQ60" s="16" t="n">
        <f aca="false">AP60-Round_cost*F60+(1-Pledge_share)*T60</f>
        <v>406.875</v>
      </c>
      <c r="AR60" s="16" t="n">
        <f aca="false">AQ60-Round_cost*G60+(1-Pledge_share)*U60</f>
        <v>472.5</v>
      </c>
      <c r="AS60" s="19" t="n">
        <f aca="false">IF(B60=1,Liq_0-Round_cost,1000000000)</f>
        <v>500</v>
      </c>
      <c r="AT60" s="19" t="n">
        <f aca="false">IF(C60=1,AM60-Round_cost,1000000000)</f>
        <v>415</v>
      </c>
      <c r="AU60" s="19" t="n">
        <f aca="false">IF(D60=1,AN60-Round_cost,1000000000)</f>
        <v>1000000000</v>
      </c>
      <c r="AV60" s="19" t="n">
        <f aca="false">IF(E60=1,AO60-Round_cost,1000000000)</f>
        <v>400</v>
      </c>
      <c r="AW60" s="19" t="n">
        <f aca="false">IF(F60=1,AP60-Round_cost,1000000000)</f>
        <v>341.25</v>
      </c>
      <c r="AX60" s="19" t="n">
        <f aca="false">IF(G60=1,AQ60-Round_cost,1000000000)</f>
        <v>1000000000</v>
      </c>
      <c r="AY60" s="12" t="n">
        <f aca="false">IF(AND(MIN(AM60:AR60)&gt;=Floor_liq-0.000000001,MIN(AS60:AX60)&gt;=Floor_liq-0.000000001),1,0)</f>
        <v>0</v>
      </c>
      <c r="AZ60" s="12" t="n">
        <f aca="false">IF(AR60&gt;=End_liq-0.000000001,1,0)</f>
        <v>1</v>
      </c>
      <c r="BA60" s="12" t="n">
        <f aca="false">AY60*AZ60*W60</f>
        <v>0</v>
      </c>
      <c r="BB60" s="16" t="n">
        <f aca="false">Pledge_share*V60</f>
        <v>332.5</v>
      </c>
      <c r="BC60" s="16" t="n">
        <f aca="false">IF(BA60=1,H60*10000+BB60,-1)</f>
        <v>-1</v>
      </c>
      <c r="BD60" s="14" t="n">
        <f aca="false">U60</f>
        <v>131.25</v>
      </c>
      <c r="BE60" s="16" t="n">
        <f aca="false">AC60</f>
        <v>805</v>
      </c>
      <c r="BF60" s="16" t="n">
        <f aca="false">IF(AL60=1,AC60-End_liq,-1000000000)</f>
        <v>335</v>
      </c>
      <c r="BG60" s="16" t="n">
        <f aca="false">IF(AL60=1,BF60+BG$4*BD60,-1000000000)</f>
        <v>335</v>
      </c>
      <c r="BH60" s="16" t="n">
        <f aca="false">IF(AL60=1,BF60+BH$4*BD60,-1000000000)</f>
        <v>991.25</v>
      </c>
      <c r="BI60" s="16" t="n">
        <f aca="false">IF(AL60=1,BF60+BI$4*BD60,-1000000000)</f>
        <v>1647.5</v>
      </c>
      <c r="BJ60" s="16" t="n">
        <f aca="false">IF(AL60=1,BF60+BJ$4*BD60,-1000000000)</f>
        <v>2960</v>
      </c>
      <c r="BK60" s="16" t="n">
        <f aca="false">IF(AL60=1,BF60+BK$4*BD60,-1000000000)</f>
        <v>5585</v>
      </c>
      <c r="BL60" s="16" t="n">
        <f aca="false">IF(AL60=1,BF60+BL$4*BD60,-1000000000)</f>
        <v>8210</v>
      </c>
      <c r="BM60" s="12" t="n">
        <f aca="false">IF(H60=0,1,IF(I60=VALUE(LEFT("123456",H60)),1,0))</f>
        <v>0</v>
      </c>
      <c r="BN60" s="12" t="n">
        <f aca="false">IF(BG60&gt;0,1000*BG60,-1000000000000)</f>
        <v>335000</v>
      </c>
      <c r="BO60" s="16" t="n">
        <f aca="false">IF(BG60&gt;0,BG60+100,-1000000000)</f>
        <v>435</v>
      </c>
      <c r="BP60" s="20" t="n">
        <f aca="false">IF(BG60&gt;0,LN(BG60),-1000000000)</f>
        <v>5.81413053182507</v>
      </c>
    </row>
    <row r="61" customFormat="false" ht="15" hidden="false" customHeight="false" outlineLevel="0" collapsed="false">
      <c r="A61" s="12" t="n">
        <v>55</v>
      </c>
      <c r="B61" s="12" t="n">
        <f aca="false">MOD(INT($A61/32),2)</f>
        <v>1</v>
      </c>
      <c r="C61" s="12" t="n">
        <f aca="false">MOD(INT($A61/16),2)</f>
        <v>1</v>
      </c>
      <c r="D61" s="12" t="n">
        <f aca="false">MOD(INT($A61/8),2)</f>
        <v>0</v>
      </c>
      <c r="E61" s="12" t="n">
        <f aca="false">MOD(INT($A61/4),2)</f>
        <v>1</v>
      </c>
      <c r="F61" s="12" t="n">
        <f aca="false">MOD(INT($A61/2),2)</f>
        <v>1</v>
      </c>
      <c r="G61" s="12" t="n">
        <f aca="false">MOD(INT($A61/1),2)</f>
        <v>1</v>
      </c>
      <c r="H61" s="12" t="n">
        <f aca="false">SUM(B61:G61)</f>
        <v>5</v>
      </c>
      <c r="I61" s="12" t="n">
        <f aca="false">IF(H61=0,0,VALUE(IF(B61=1,"1","")&amp;IF(C61=1,"2","")&amp;IF(D61=1,"3","")&amp;IF(E61=1,"4","")&amp;IF(F61=1,"5","")&amp;IF(G61=1,"6","")))</f>
        <v>12456</v>
      </c>
      <c r="J61" s="14" t="n">
        <f aca="false">IF(B61=1,Eff_0+Gap_closed*(Eff_ceiling-Eff_0),Eff_0)</f>
        <v>78</v>
      </c>
      <c r="K61" s="14" t="n">
        <f aca="false">IF(C61=1,J61+Gap_closed*(Eff_ceiling-J61),J61)</f>
        <v>81.5</v>
      </c>
      <c r="L61" s="14" t="n">
        <f aca="false">IF(D61=1,K61+Gap_closed*(Eff_ceiling-K61),K61)</f>
        <v>81.5</v>
      </c>
      <c r="M61" s="14" t="n">
        <f aca="false">IF(E61=1,L61+Gap_closed*(Eff_ceiling-L61),L61)</f>
        <v>83.25</v>
      </c>
      <c r="N61" s="14" t="n">
        <f aca="false">IF(F61=1,M61+Gap_closed*(Eff_ceiling-M61),M61)</f>
        <v>84.125</v>
      </c>
      <c r="O61" s="14" t="n">
        <f aca="false">IF(G61=1,N61+Gap_closed*(Eff_ceiling-N61),N61)</f>
        <v>84.5625</v>
      </c>
      <c r="P61" s="14" t="n">
        <f aca="false">Sav_point*(J61-Eff_0)</f>
        <v>70</v>
      </c>
      <c r="Q61" s="14" t="n">
        <f aca="false">Sav_point*(K61-Eff_0)</f>
        <v>105</v>
      </c>
      <c r="R61" s="14" t="n">
        <f aca="false">Sav_point*(L61-Eff_0)</f>
        <v>105</v>
      </c>
      <c r="S61" s="14" t="n">
        <f aca="false">Sav_point*(M61-Eff_0)</f>
        <v>122.5</v>
      </c>
      <c r="T61" s="14" t="n">
        <f aca="false">Sav_point*(N61-Eff_0)</f>
        <v>131.25</v>
      </c>
      <c r="U61" s="14" t="n">
        <f aca="false">Sav_point*(O61-Eff_0)</f>
        <v>135.625</v>
      </c>
      <c r="V61" s="14" t="n">
        <f aca="false">SUM(P61:U61)</f>
        <v>669.375</v>
      </c>
      <c r="W61" s="12" t="n">
        <f aca="false">IF(AND(H61&gt;0,Cap_0&lt;Cap_min),0,1)</f>
        <v>1</v>
      </c>
      <c r="X61" s="16" t="n">
        <f aca="false">Liq_0-Round_cost*B61+1*P61</f>
        <v>570</v>
      </c>
      <c r="Y61" s="16" t="n">
        <f aca="false">X61-Round_cost*C61+1*Q61</f>
        <v>555</v>
      </c>
      <c r="Z61" s="16" t="n">
        <f aca="false">Y61-Round_cost*D61+1*R61</f>
        <v>660</v>
      </c>
      <c r="AA61" s="16" t="n">
        <f aca="false">Z61-Round_cost*E61+1*S61</f>
        <v>662.5</v>
      </c>
      <c r="AB61" s="16" t="n">
        <f aca="false">AA61-Round_cost*F61+1*T61</f>
        <v>673.75</v>
      </c>
      <c r="AC61" s="16" t="n">
        <f aca="false">AB61-Round_cost*G61+1*U61</f>
        <v>689.375</v>
      </c>
      <c r="AD61" s="19" t="n">
        <f aca="false">IF(B61=1,Liq_0-Round_cost,1000000000)</f>
        <v>500</v>
      </c>
      <c r="AE61" s="19" t="n">
        <f aca="false">IF(C61=1,X61-Round_cost,1000000000)</f>
        <v>450</v>
      </c>
      <c r="AF61" s="19" t="n">
        <f aca="false">IF(D61=1,Y61-Round_cost,1000000000)</f>
        <v>1000000000</v>
      </c>
      <c r="AG61" s="19" t="n">
        <f aca="false">IF(E61=1,Z61-Round_cost,1000000000)</f>
        <v>540</v>
      </c>
      <c r="AH61" s="19" t="n">
        <f aca="false">IF(F61=1,AA61-Round_cost,1000000000)</f>
        <v>542.5</v>
      </c>
      <c r="AI61" s="19" t="n">
        <f aca="false">IF(G61=1,AB61-Round_cost,1000000000)</f>
        <v>553.75</v>
      </c>
      <c r="AJ61" s="12" t="n">
        <f aca="false">IF(AND(MIN(X61:AC61)&gt;=Floor_liq-0.000000001,MIN(AD61:AI61)&gt;=Floor_liq-0.000000001),1,0)</f>
        <v>1</v>
      </c>
      <c r="AK61" s="12" t="n">
        <f aca="false">IF(AC61&gt;=End_liq-0.000000001,1,0)</f>
        <v>1</v>
      </c>
      <c r="AL61" s="12" t="n">
        <f aca="false">AJ61*AK61*W61</f>
        <v>1</v>
      </c>
      <c r="AM61" s="16" t="n">
        <f aca="false">Liq_0-Round_cost*B61+(1-Pledge_share)*P61</f>
        <v>535</v>
      </c>
      <c r="AN61" s="16" t="n">
        <f aca="false">AM61-Round_cost*C61+(1-Pledge_share)*Q61</f>
        <v>467.5</v>
      </c>
      <c r="AO61" s="16" t="n">
        <f aca="false">AN61-Round_cost*D61+(1-Pledge_share)*R61</f>
        <v>520</v>
      </c>
      <c r="AP61" s="16" t="n">
        <f aca="false">AO61-Round_cost*E61+(1-Pledge_share)*S61</f>
        <v>461.25</v>
      </c>
      <c r="AQ61" s="16" t="n">
        <f aca="false">AP61-Round_cost*F61+(1-Pledge_share)*T61</f>
        <v>406.875</v>
      </c>
      <c r="AR61" s="16" t="n">
        <f aca="false">AQ61-Round_cost*G61+(1-Pledge_share)*U61</f>
        <v>354.6875</v>
      </c>
      <c r="AS61" s="19" t="n">
        <f aca="false">IF(B61=1,Liq_0-Round_cost,1000000000)</f>
        <v>500</v>
      </c>
      <c r="AT61" s="19" t="n">
        <f aca="false">IF(C61=1,AM61-Round_cost,1000000000)</f>
        <v>415</v>
      </c>
      <c r="AU61" s="19" t="n">
        <f aca="false">IF(D61=1,AN61-Round_cost,1000000000)</f>
        <v>1000000000</v>
      </c>
      <c r="AV61" s="19" t="n">
        <f aca="false">IF(E61=1,AO61-Round_cost,1000000000)</f>
        <v>400</v>
      </c>
      <c r="AW61" s="19" t="n">
        <f aca="false">IF(F61=1,AP61-Round_cost,1000000000)</f>
        <v>341.25</v>
      </c>
      <c r="AX61" s="19" t="n">
        <f aca="false">IF(G61=1,AQ61-Round_cost,1000000000)</f>
        <v>286.875</v>
      </c>
      <c r="AY61" s="12" t="n">
        <f aca="false">IF(AND(MIN(AM61:AR61)&gt;=Floor_liq-0.000000001,MIN(AS61:AX61)&gt;=Floor_liq-0.000000001),1,0)</f>
        <v>0</v>
      </c>
      <c r="AZ61" s="12" t="n">
        <f aca="false">IF(AR61&gt;=End_liq-0.000000001,1,0)</f>
        <v>0</v>
      </c>
      <c r="BA61" s="12" t="n">
        <f aca="false">AY61*AZ61*W61</f>
        <v>0</v>
      </c>
      <c r="BB61" s="16" t="n">
        <f aca="false">Pledge_share*V61</f>
        <v>334.6875</v>
      </c>
      <c r="BC61" s="16" t="n">
        <f aca="false">IF(BA61=1,H61*10000+BB61,-1)</f>
        <v>-1</v>
      </c>
      <c r="BD61" s="14" t="n">
        <f aca="false">U61</f>
        <v>135.625</v>
      </c>
      <c r="BE61" s="16" t="n">
        <f aca="false">AC61</f>
        <v>689.375</v>
      </c>
      <c r="BF61" s="16" t="n">
        <f aca="false">IF(AL61=1,AC61-End_liq,-1000000000)</f>
        <v>219.375</v>
      </c>
      <c r="BG61" s="16" t="n">
        <f aca="false">IF(AL61=1,BF61+BG$4*BD61,-1000000000)</f>
        <v>219.375</v>
      </c>
      <c r="BH61" s="16" t="n">
        <f aca="false">IF(AL61=1,BF61+BH$4*BD61,-1000000000)</f>
        <v>897.5</v>
      </c>
      <c r="BI61" s="16" t="n">
        <f aca="false">IF(AL61=1,BF61+BI$4*BD61,-1000000000)</f>
        <v>1575.625</v>
      </c>
      <c r="BJ61" s="16" t="n">
        <f aca="false">IF(AL61=1,BF61+BJ$4*BD61,-1000000000)</f>
        <v>2931.875</v>
      </c>
      <c r="BK61" s="16" t="n">
        <f aca="false">IF(AL61=1,BF61+BK$4*BD61,-1000000000)</f>
        <v>5644.375</v>
      </c>
      <c r="BL61" s="16" t="n">
        <f aca="false">IF(AL61=1,BF61+BL$4*BD61,-1000000000)</f>
        <v>8356.875</v>
      </c>
      <c r="BM61" s="12" t="n">
        <f aca="false">IF(H61=0,1,IF(I61=VALUE(LEFT("123456",H61)),1,0))</f>
        <v>0</v>
      </c>
      <c r="BN61" s="12" t="n">
        <f aca="false">IF(BG61&gt;0,1000*BG61,-1000000000000)</f>
        <v>219375</v>
      </c>
      <c r="BO61" s="16" t="n">
        <f aca="false">IF(BG61&gt;0,BG61+100,-1000000000)</f>
        <v>319.375</v>
      </c>
      <c r="BP61" s="20" t="n">
        <f aca="false">IF(BG61&gt;0,LN(BG61),-1000000000)</f>
        <v>5.39078259422013</v>
      </c>
    </row>
    <row r="62" customFormat="false" ht="15" hidden="false" customHeight="false" outlineLevel="0" collapsed="false">
      <c r="A62" s="12" t="n">
        <v>56</v>
      </c>
      <c r="B62" s="12" t="n">
        <f aca="false">MOD(INT($A62/32),2)</f>
        <v>1</v>
      </c>
      <c r="C62" s="12" t="n">
        <f aca="false">MOD(INT($A62/16),2)</f>
        <v>1</v>
      </c>
      <c r="D62" s="12" t="n">
        <f aca="false">MOD(INT($A62/8),2)</f>
        <v>1</v>
      </c>
      <c r="E62" s="12" t="n">
        <f aca="false">MOD(INT($A62/4),2)</f>
        <v>0</v>
      </c>
      <c r="F62" s="12" t="n">
        <f aca="false">MOD(INT($A62/2),2)</f>
        <v>0</v>
      </c>
      <c r="G62" s="12" t="n">
        <f aca="false">MOD(INT($A62/1),2)</f>
        <v>0</v>
      </c>
      <c r="H62" s="12" t="n">
        <f aca="false">SUM(B62:G62)</f>
        <v>3</v>
      </c>
      <c r="I62" s="12" t="n">
        <f aca="false">IF(H62=0,0,VALUE(IF(B62=1,"1","")&amp;IF(C62=1,"2","")&amp;IF(D62=1,"3","")&amp;IF(E62=1,"4","")&amp;IF(F62=1,"5","")&amp;IF(G62=1,"6","")))</f>
        <v>123</v>
      </c>
      <c r="J62" s="14" t="n">
        <f aca="false">IF(B62=1,Eff_0+Gap_closed*(Eff_ceiling-Eff_0),Eff_0)</f>
        <v>78</v>
      </c>
      <c r="K62" s="14" t="n">
        <f aca="false">IF(C62=1,J62+Gap_closed*(Eff_ceiling-J62),J62)</f>
        <v>81.5</v>
      </c>
      <c r="L62" s="14" t="n">
        <f aca="false">IF(D62=1,K62+Gap_closed*(Eff_ceiling-K62),K62)</f>
        <v>83.25</v>
      </c>
      <c r="M62" s="14" t="n">
        <f aca="false">IF(E62=1,L62+Gap_closed*(Eff_ceiling-L62),L62)</f>
        <v>83.25</v>
      </c>
      <c r="N62" s="14" t="n">
        <f aca="false">IF(F62=1,M62+Gap_closed*(Eff_ceiling-M62),M62)</f>
        <v>83.25</v>
      </c>
      <c r="O62" s="14" t="n">
        <f aca="false">IF(G62=1,N62+Gap_closed*(Eff_ceiling-N62),N62)</f>
        <v>83.25</v>
      </c>
      <c r="P62" s="14" t="n">
        <f aca="false">Sav_point*(J62-Eff_0)</f>
        <v>70</v>
      </c>
      <c r="Q62" s="14" t="n">
        <f aca="false">Sav_point*(K62-Eff_0)</f>
        <v>105</v>
      </c>
      <c r="R62" s="14" t="n">
        <f aca="false">Sav_point*(L62-Eff_0)</f>
        <v>122.5</v>
      </c>
      <c r="S62" s="14" t="n">
        <f aca="false">Sav_point*(M62-Eff_0)</f>
        <v>122.5</v>
      </c>
      <c r="T62" s="14" t="n">
        <f aca="false">Sav_point*(N62-Eff_0)</f>
        <v>122.5</v>
      </c>
      <c r="U62" s="14" t="n">
        <f aca="false">Sav_point*(O62-Eff_0)</f>
        <v>122.5</v>
      </c>
      <c r="V62" s="14" t="n">
        <f aca="false">SUM(P62:U62)</f>
        <v>665</v>
      </c>
      <c r="W62" s="12" t="n">
        <f aca="false">IF(AND(H62&gt;0,Cap_0&lt;Cap_min),0,1)</f>
        <v>1</v>
      </c>
      <c r="X62" s="16" t="n">
        <f aca="false">Liq_0-Round_cost*B62+1*P62</f>
        <v>570</v>
      </c>
      <c r="Y62" s="16" t="n">
        <f aca="false">X62-Round_cost*C62+1*Q62</f>
        <v>555</v>
      </c>
      <c r="Z62" s="16" t="n">
        <f aca="false">Y62-Round_cost*D62+1*R62</f>
        <v>557.5</v>
      </c>
      <c r="AA62" s="16" t="n">
        <f aca="false">Z62-Round_cost*E62+1*S62</f>
        <v>680</v>
      </c>
      <c r="AB62" s="16" t="n">
        <f aca="false">AA62-Round_cost*F62+1*T62</f>
        <v>802.5</v>
      </c>
      <c r="AC62" s="16" t="n">
        <f aca="false">AB62-Round_cost*G62+1*U62</f>
        <v>925</v>
      </c>
      <c r="AD62" s="19" t="n">
        <f aca="false">IF(B62=1,Liq_0-Round_cost,1000000000)</f>
        <v>500</v>
      </c>
      <c r="AE62" s="19" t="n">
        <f aca="false">IF(C62=1,X62-Round_cost,1000000000)</f>
        <v>450</v>
      </c>
      <c r="AF62" s="19" t="n">
        <f aca="false">IF(D62=1,Y62-Round_cost,1000000000)</f>
        <v>435</v>
      </c>
      <c r="AG62" s="19" t="n">
        <f aca="false">IF(E62=1,Z62-Round_cost,1000000000)</f>
        <v>1000000000</v>
      </c>
      <c r="AH62" s="19" t="n">
        <f aca="false">IF(F62=1,AA62-Round_cost,1000000000)</f>
        <v>1000000000</v>
      </c>
      <c r="AI62" s="19" t="n">
        <f aca="false">IF(G62=1,AB62-Round_cost,1000000000)</f>
        <v>1000000000</v>
      </c>
      <c r="AJ62" s="12" t="n">
        <f aca="false">IF(AND(MIN(X62:AC62)&gt;=Floor_liq-0.000000001,MIN(AD62:AI62)&gt;=Floor_liq-0.000000001),1,0)</f>
        <v>1</v>
      </c>
      <c r="AK62" s="12" t="n">
        <f aca="false">IF(AC62&gt;=End_liq-0.000000001,1,0)</f>
        <v>1</v>
      </c>
      <c r="AL62" s="12" t="n">
        <f aca="false">AJ62*AK62*W62</f>
        <v>1</v>
      </c>
      <c r="AM62" s="16" t="n">
        <f aca="false">Liq_0-Round_cost*B62+(1-Pledge_share)*P62</f>
        <v>535</v>
      </c>
      <c r="AN62" s="16" t="n">
        <f aca="false">AM62-Round_cost*C62+(1-Pledge_share)*Q62</f>
        <v>467.5</v>
      </c>
      <c r="AO62" s="16" t="n">
        <f aca="false">AN62-Round_cost*D62+(1-Pledge_share)*R62</f>
        <v>408.75</v>
      </c>
      <c r="AP62" s="16" t="n">
        <f aca="false">AO62-Round_cost*E62+(1-Pledge_share)*S62</f>
        <v>470</v>
      </c>
      <c r="AQ62" s="16" t="n">
        <f aca="false">AP62-Round_cost*F62+(1-Pledge_share)*T62</f>
        <v>531.25</v>
      </c>
      <c r="AR62" s="16" t="n">
        <f aca="false">AQ62-Round_cost*G62+(1-Pledge_share)*U62</f>
        <v>592.5</v>
      </c>
      <c r="AS62" s="19" t="n">
        <f aca="false">IF(B62=1,Liq_0-Round_cost,1000000000)</f>
        <v>500</v>
      </c>
      <c r="AT62" s="19" t="n">
        <f aca="false">IF(C62=1,AM62-Round_cost,1000000000)</f>
        <v>415</v>
      </c>
      <c r="AU62" s="19" t="n">
        <f aca="false">IF(D62=1,AN62-Round_cost,1000000000)</f>
        <v>347.5</v>
      </c>
      <c r="AV62" s="19" t="n">
        <f aca="false">IF(E62=1,AO62-Round_cost,1000000000)</f>
        <v>1000000000</v>
      </c>
      <c r="AW62" s="19" t="n">
        <f aca="false">IF(F62=1,AP62-Round_cost,1000000000)</f>
        <v>1000000000</v>
      </c>
      <c r="AX62" s="19" t="n">
        <f aca="false">IF(G62=1,AQ62-Round_cost,1000000000)</f>
        <v>1000000000</v>
      </c>
      <c r="AY62" s="12" t="n">
        <f aca="false">IF(AND(MIN(AM62:AR62)&gt;=Floor_liq-0.000000001,MIN(AS62:AX62)&gt;=Floor_liq-0.000000001),1,0)</f>
        <v>0</v>
      </c>
      <c r="AZ62" s="12" t="n">
        <f aca="false">IF(AR62&gt;=End_liq-0.000000001,1,0)</f>
        <v>1</v>
      </c>
      <c r="BA62" s="12" t="n">
        <f aca="false">AY62*AZ62*W62</f>
        <v>0</v>
      </c>
      <c r="BB62" s="16" t="n">
        <f aca="false">Pledge_share*V62</f>
        <v>332.5</v>
      </c>
      <c r="BC62" s="16" t="n">
        <f aca="false">IF(BA62=1,H62*10000+BB62,-1)</f>
        <v>-1</v>
      </c>
      <c r="BD62" s="14" t="n">
        <f aca="false">U62</f>
        <v>122.5</v>
      </c>
      <c r="BE62" s="16" t="n">
        <f aca="false">AC62</f>
        <v>925</v>
      </c>
      <c r="BF62" s="16" t="n">
        <f aca="false">IF(AL62=1,AC62-End_liq,-1000000000)</f>
        <v>455</v>
      </c>
      <c r="BG62" s="16" t="n">
        <f aca="false">IF(AL62=1,BF62+BG$4*BD62,-1000000000)</f>
        <v>455</v>
      </c>
      <c r="BH62" s="16" t="n">
        <f aca="false">IF(AL62=1,BF62+BH$4*BD62,-1000000000)</f>
        <v>1067.5</v>
      </c>
      <c r="BI62" s="16" t="n">
        <f aca="false">IF(AL62=1,BF62+BI$4*BD62,-1000000000)</f>
        <v>1680</v>
      </c>
      <c r="BJ62" s="16" t="n">
        <f aca="false">IF(AL62=1,BF62+BJ$4*BD62,-1000000000)</f>
        <v>2905</v>
      </c>
      <c r="BK62" s="16" t="n">
        <f aca="false">IF(AL62=1,BF62+BK$4*BD62,-1000000000)</f>
        <v>5355</v>
      </c>
      <c r="BL62" s="16" t="n">
        <f aca="false">IF(AL62=1,BF62+BL$4*BD62,-1000000000)</f>
        <v>7805</v>
      </c>
      <c r="BM62" s="12" t="n">
        <f aca="false">IF(H62=0,1,IF(I62=VALUE(LEFT("123456",H62)),1,0))</f>
        <v>1</v>
      </c>
      <c r="BN62" s="12" t="n">
        <f aca="false">IF(BG62&gt;0,1000*BG62,-1000000000000)</f>
        <v>455000</v>
      </c>
      <c r="BO62" s="16" t="n">
        <f aca="false">IF(BG62&gt;0,BG62+100,-1000000000)</f>
        <v>555</v>
      </c>
      <c r="BP62" s="20" t="n">
        <f aca="false">IF(BG62&gt;0,LN(BG62),-1000000000)</f>
        <v>6.12029741895095</v>
      </c>
    </row>
    <row r="63" customFormat="false" ht="15" hidden="false" customHeight="false" outlineLevel="0" collapsed="false">
      <c r="A63" s="12" t="n">
        <v>57</v>
      </c>
      <c r="B63" s="12" t="n">
        <f aca="false">MOD(INT($A63/32),2)</f>
        <v>1</v>
      </c>
      <c r="C63" s="12" t="n">
        <f aca="false">MOD(INT($A63/16),2)</f>
        <v>1</v>
      </c>
      <c r="D63" s="12" t="n">
        <f aca="false">MOD(INT($A63/8),2)</f>
        <v>1</v>
      </c>
      <c r="E63" s="12" t="n">
        <f aca="false">MOD(INT($A63/4),2)</f>
        <v>0</v>
      </c>
      <c r="F63" s="12" t="n">
        <f aca="false">MOD(INT($A63/2),2)</f>
        <v>0</v>
      </c>
      <c r="G63" s="12" t="n">
        <f aca="false">MOD(INT($A63/1),2)</f>
        <v>1</v>
      </c>
      <c r="H63" s="12" t="n">
        <f aca="false">SUM(B63:G63)</f>
        <v>4</v>
      </c>
      <c r="I63" s="12" t="n">
        <f aca="false">IF(H63=0,0,VALUE(IF(B63=1,"1","")&amp;IF(C63=1,"2","")&amp;IF(D63=1,"3","")&amp;IF(E63=1,"4","")&amp;IF(F63=1,"5","")&amp;IF(G63=1,"6","")))</f>
        <v>1236</v>
      </c>
      <c r="J63" s="14" t="n">
        <f aca="false">IF(B63=1,Eff_0+Gap_closed*(Eff_ceiling-Eff_0),Eff_0)</f>
        <v>78</v>
      </c>
      <c r="K63" s="14" t="n">
        <f aca="false">IF(C63=1,J63+Gap_closed*(Eff_ceiling-J63),J63)</f>
        <v>81.5</v>
      </c>
      <c r="L63" s="14" t="n">
        <f aca="false">IF(D63=1,K63+Gap_closed*(Eff_ceiling-K63),K63)</f>
        <v>83.25</v>
      </c>
      <c r="M63" s="14" t="n">
        <f aca="false">IF(E63=1,L63+Gap_closed*(Eff_ceiling-L63),L63)</f>
        <v>83.25</v>
      </c>
      <c r="N63" s="14" t="n">
        <f aca="false">IF(F63=1,M63+Gap_closed*(Eff_ceiling-M63),M63)</f>
        <v>83.25</v>
      </c>
      <c r="O63" s="14" t="n">
        <f aca="false">IF(G63=1,N63+Gap_closed*(Eff_ceiling-N63),N63)</f>
        <v>84.125</v>
      </c>
      <c r="P63" s="14" t="n">
        <f aca="false">Sav_point*(J63-Eff_0)</f>
        <v>70</v>
      </c>
      <c r="Q63" s="14" t="n">
        <f aca="false">Sav_point*(K63-Eff_0)</f>
        <v>105</v>
      </c>
      <c r="R63" s="14" t="n">
        <f aca="false">Sav_point*(L63-Eff_0)</f>
        <v>122.5</v>
      </c>
      <c r="S63" s="14" t="n">
        <f aca="false">Sav_point*(M63-Eff_0)</f>
        <v>122.5</v>
      </c>
      <c r="T63" s="14" t="n">
        <f aca="false">Sav_point*(N63-Eff_0)</f>
        <v>122.5</v>
      </c>
      <c r="U63" s="14" t="n">
        <f aca="false">Sav_point*(O63-Eff_0)</f>
        <v>131.25</v>
      </c>
      <c r="V63" s="14" t="n">
        <f aca="false">SUM(P63:U63)</f>
        <v>673.75</v>
      </c>
      <c r="W63" s="12" t="n">
        <f aca="false">IF(AND(H63&gt;0,Cap_0&lt;Cap_min),0,1)</f>
        <v>1</v>
      </c>
      <c r="X63" s="16" t="n">
        <f aca="false">Liq_0-Round_cost*B63+1*P63</f>
        <v>570</v>
      </c>
      <c r="Y63" s="16" t="n">
        <f aca="false">X63-Round_cost*C63+1*Q63</f>
        <v>555</v>
      </c>
      <c r="Z63" s="16" t="n">
        <f aca="false">Y63-Round_cost*D63+1*R63</f>
        <v>557.5</v>
      </c>
      <c r="AA63" s="16" t="n">
        <f aca="false">Z63-Round_cost*E63+1*S63</f>
        <v>680</v>
      </c>
      <c r="AB63" s="16" t="n">
        <f aca="false">AA63-Round_cost*F63+1*T63</f>
        <v>802.5</v>
      </c>
      <c r="AC63" s="16" t="n">
        <f aca="false">AB63-Round_cost*G63+1*U63</f>
        <v>813.75</v>
      </c>
      <c r="AD63" s="19" t="n">
        <f aca="false">IF(B63=1,Liq_0-Round_cost,1000000000)</f>
        <v>500</v>
      </c>
      <c r="AE63" s="19" t="n">
        <f aca="false">IF(C63=1,X63-Round_cost,1000000000)</f>
        <v>450</v>
      </c>
      <c r="AF63" s="19" t="n">
        <f aca="false">IF(D63=1,Y63-Round_cost,1000000000)</f>
        <v>435</v>
      </c>
      <c r="AG63" s="19" t="n">
        <f aca="false">IF(E63=1,Z63-Round_cost,1000000000)</f>
        <v>1000000000</v>
      </c>
      <c r="AH63" s="19" t="n">
        <f aca="false">IF(F63=1,AA63-Round_cost,1000000000)</f>
        <v>1000000000</v>
      </c>
      <c r="AI63" s="19" t="n">
        <f aca="false">IF(G63=1,AB63-Round_cost,1000000000)</f>
        <v>682.5</v>
      </c>
      <c r="AJ63" s="12" t="n">
        <f aca="false">IF(AND(MIN(X63:AC63)&gt;=Floor_liq-0.000000001,MIN(AD63:AI63)&gt;=Floor_liq-0.000000001),1,0)</f>
        <v>1</v>
      </c>
      <c r="AK63" s="12" t="n">
        <f aca="false">IF(AC63&gt;=End_liq-0.000000001,1,0)</f>
        <v>1</v>
      </c>
      <c r="AL63" s="12" t="n">
        <f aca="false">AJ63*AK63*W63</f>
        <v>1</v>
      </c>
      <c r="AM63" s="16" t="n">
        <f aca="false">Liq_0-Round_cost*B63+(1-Pledge_share)*P63</f>
        <v>535</v>
      </c>
      <c r="AN63" s="16" t="n">
        <f aca="false">AM63-Round_cost*C63+(1-Pledge_share)*Q63</f>
        <v>467.5</v>
      </c>
      <c r="AO63" s="16" t="n">
        <f aca="false">AN63-Round_cost*D63+(1-Pledge_share)*R63</f>
        <v>408.75</v>
      </c>
      <c r="AP63" s="16" t="n">
        <f aca="false">AO63-Round_cost*E63+(1-Pledge_share)*S63</f>
        <v>470</v>
      </c>
      <c r="AQ63" s="16" t="n">
        <f aca="false">AP63-Round_cost*F63+(1-Pledge_share)*T63</f>
        <v>531.25</v>
      </c>
      <c r="AR63" s="16" t="n">
        <f aca="false">AQ63-Round_cost*G63+(1-Pledge_share)*U63</f>
        <v>476.875</v>
      </c>
      <c r="AS63" s="19" t="n">
        <f aca="false">IF(B63=1,Liq_0-Round_cost,1000000000)</f>
        <v>500</v>
      </c>
      <c r="AT63" s="19" t="n">
        <f aca="false">IF(C63=1,AM63-Round_cost,1000000000)</f>
        <v>415</v>
      </c>
      <c r="AU63" s="19" t="n">
        <f aca="false">IF(D63=1,AN63-Round_cost,1000000000)</f>
        <v>347.5</v>
      </c>
      <c r="AV63" s="19" t="n">
        <f aca="false">IF(E63=1,AO63-Round_cost,1000000000)</f>
        <v>1000000000</v>
      </c>
      <c r="AW63" s="19" t="n">
        <f aca="false">IF(F63=1,AP63-Round_cost,1000000000)</f>
        <v>1000000000</v>
      </c>
      <c r="AX63" s="19" t="n">
        <f aca="false">IF(G63=1,AQ63-Round_cost,1000000000)</f>
        <v>411.25</v>
      </c>
      <c r="AY63" s="12" t="n">
        <f aca="false">IF(AND(MIN(AM63:AR63)&gt;=Floor_liq-0.000000001,MIN(AS63:AX63)&gt;=Floor_liq-0.000000001),1,0)</f>
        <v>0</v>
      </c>
      <c r="AZ63" s="12" t="n">
        <f aca="false">IF(AR63&gt;=End_liq-0.000000001,1,0)</f>
        <v>1</v>
      </c>
      <c r="BA63" s="12" t="n">
        <f aca="false">AY63*AZ63*W63</f>
        <v>0</v>
      </c>
      <c r="BB63" s="16" t="n">
        <f aca="false">Pledge_share*V63</f>
        <v>336.875</v>
      </c>
      <c r="BC63" s="16" t="n">
        <f aca="false">IF(BA63=1,H63*10000+BB63,-1)</f>
        <v>-1</v>
      </c>
      <c r="BD63" s="14" t="n">
        <f aca="false">U63</f>
        <v>131.25</v>
      </c>
      <c r="BE63" s="16" t="n">
        <f aca="false">AC63</f>
        <v>813.75</v>
      </c>
      <c r="BF63" s="16" t="n">
        <f aca="false">IF(AL63=1,AC63-End_liq,-1000000000)</f>
        <v>343.75</v>
      </c>
      <c r="BG63" s="16" t="n">
        <f aca="false">IF(AL63=1,BF63+BG$4*BD63,-1000000000)</f>
        <v>343.75</v>
      </c>
      <c r="BH63" s="16" t="n">
        <f aca="false">IF(AL63=1,BF63+BH$4*BD63,-1000000000)</f>
        <v>1000</v>
      </c>
      <c r="BI63" s="16" t="n">
        <f aca="false">IF(AL63=1,BF63+BI$4*BD63,-1000000000)</f>
        <v>1656.25</v>
      </c>
      <c r="BJ63" s="16" t="n">
        <f aca="false">IF(AL63=1,BF63+BJ$4*BD63,-1000000000)</f>
        <v>2968.75</v>
      </c>
      <c r="BK63" s="16" t="n">
        <f aca="false">IF(AL63=1,BF63+BK$4*BD63,-1000000000)</f>
        <v>5593.75</v>
      </c>
      <c r="BL63" s="16" t="n">
        <f aca="false">IF(AL63=1,BF63+BL$4*BD63,-1000000000)</f>
        <v>8218.75</v>
      </c>
      <c r="BM63" s="12" t="n">
        <f aca="false">IF(H63=0,1,IF(I63=VALUE(LEFT("123456",H63)),1,0))</f>
        <v>0</v>
      </c>
      <c r="BN63" s="12" t="n">
        <f aca="false">IF(BG63&gt;0,1000*BG63,-1000000000000)</f>
        <v>343750</v>
      </c>
      <c r="BO63" s="16" t="n">
        <f aca="false">IF(BG63&gt;0,BG63+100,-1000000000)</f>
        <v>443.75</v>
      </c>
      <c r="BP63" s="20" t="n">
        <f aca="false">IF(BG63&gt;0,LN(BG63),-1000000000)</f>
        <v>5.83991464898078</v>
      </c>
    </row>
    <row r="64" customFormat="false" ht="15" hidden="false" customHeight="false" outlineLevel="0" collapsed="false">
      <c r="A64" s="12" t="n">
        <v>58</v>
      </c>
      <c r="B64" s="12" t="n">
        <f aca="false">MOD(INT($A64/32),2)</f>
        <v>1</v>
      </c>
      <c r="C64" s="12" t="n">
        <f aca="false">MOD(INT($A64/16),2)</f>
        <v>1</v>
      </c>
      <c r="D64" s="12" t="n">
        <f aca="false">MOD(INT($A64/8),2)</f>
        <v>1</v>
      </c>
      <c r="E64" s="12" t="n">
        <f aca="false">MOD(INT($A64/4),2)</f>
        <v>0</v>
      </c>
      <c r="F64" s="12" t="n">
        <f aca="false">MOD(INT($A64/2),2)</f>
        <v>1</v>
      </c>
      <c r="G64" s="12" t="n">
        <f aca="false">MOD(INT($A64/1),2)</f>
        <v>0</v>
      </c>
      <c r="H64" s="12" t="n">
        <f aca="false">SUM(B64:G64)</f>
        <v>4</v>
      </c>
      <c r="I64" s="12" t="n">
        <f aca="false">IF(H64=0,0,VALUE(IF(B64=1,"1","")&amp;IF(C64=1,"2","")&amp;IF(D64=1,"3","")&amp;IF(E64=1,"4","")&amp;IF(F64=1,"5","")&amp;IF(G64=1,"6","")))</f>
        <v>1235</v>
      </c>
      <c r="J64" s="14" t="n">
        <f aca="false">IF(B64=1,Eff_0+Gap_closed*(Eff_ceiling-Eff_0),Eff_0)</f>
        <v>78</v>
      </c>
      <c r="K64" s="14" t="n">
        <f aca="false">IF(C64=1,J64+Gap_closed*(Eff_ceiling-J64),J64)</f>
        <v>81.5</v>
      </c>
      <c r="L64" s="14" t="n">
        <f aca="false">IF(D64=1,K64+Gap_closed*(Eff_ceiling-K64),K64)</f>
        <v>83.25</v>
      </c>
      <c r="M64" s="14" t="n">
        <f aca="false">IF(E64=1,L64+Gap_closed*(Eff_ceiling-L64),L64)</f>
        <v>83.25</v>
      </c>
      <c r="N64" s="14" t="n">
        <f aca="false">IF(F64=1,M64+Gap_closed*(Eff_ceiling-M64),M64)</f>
        <v>84.125</v>
      </c>
      <c r="O64" s="14" t="n">
        <f aca="false">IF(G64=1,N64+Gap_closed*(Eff_ceiling-N64),N64)</f>
        <v>84.125</v>
      </c>
      <c r="P64" s="14" t="n">
        <f aca="false">Sav_point*(J64-Eff_0)</f>
        <v>70</v>
      </c>
      <c r="Q64" s="14" t="n">
        <f aca="false">Sav_point*(K64-Eff_0)</f>
        <v>105</v>
      </c>
      <c r="R64" s="14" t="n">
        <f aca="false">Sav_point*(L64-Eff_0)</f>
        <v>122.5</v>
      </c>
      <c r="S64" s="14" t="n">
        <f aca="false">Sav_point*(M64-Eff_0)</f>
        <v>122.5</v>
      </c>
      <c r="T64" s="14" t="n">
        <f aca="false">Sav_point*(N64-Eff_0)</f>
        <v>131.25</v>
      </c>
      <c r="U64" s="14" t="n">
        <f aca="false">Sav_point*(O64-Eff_0)</f>
        <v>131.25</v>
      </c>
      <c r="V64" s="14" t="n">
        <f aca="false">SUM(P64:U64)</f>
        <v>682.5</v>
      </c>
      <c r="W64" s="12" t="n">
        <f aca="false">IF(AND(H64&gt;0,Cap_0&lt;Cap_min),0,1)</f>
        <v>1</v>
      </c>
      <c r="X64" s="16" t="n">
        <f aca="false">Liq_0-Round_cost*B64+1*P64</f>
        <v>570</v>
      </c>
      <c r="Y64" s="16" t="n">
        <f aca="false">X64-Round_cost*C64+1*Q64</f>
        <v>555</v>
      </c>
      <c r="Z64" s="16" t="n">
        <f aca="false">Y64-Round_cost*D64+1*R64</f>
        <v>557.5</v>
      </c>
      <c r="AA64" s="16" t="n">
        <f aca="false">Z64-Round_cost*E64+1*S64</f>
        <v>680</v>
      </c>
      <c r="AB64" s="16" t="n">
        <f aca="false">AA64-Round_cost*F64+1*T64</f>
        <v>691.25</v>
      </c>
      <c r="AC64" s="16" t="n">
        <f aca="false">AB64-Round_cost*G64+1*U64</f>
        <v>822.5</v>
      </c>
      <c r="AD64" s="19" t="n">
        <f aca="false">IF(B64=1,Liq_0-Round_cost,1000000000)</f>
        <v>500</v>
      </c>
      <c r="AE64" s="19" t="n">
        <f aca="false">IF(C64=1,X64-Round_cost,1000000000)</f>
        <v>450</v>
      </c>
      <c r="AF64" s="19" t="n">
        <f aca="false">IF(D64=1,Y64-Round_cost,1000000000)</f>
        <v>435</v>
      </c>
      <c r="AG64" s="19" t="n">
        <f aca="false">IF(E64=1,Z64-Round_cost,1000000000)</f>
        <v>1000000000</v>
      </c>
      <c r="AH64" s="19" t="n">
        <f aca="false">IF(F64=1,AA64-Round_cost,1000000000)</f>
        <v>560</v>
      </c>
      <c r="AI64" s="19" t="n">
        <f aca="false">IF(G64=1,AB64-Round_cost,1000000000)</f>
        <v>1000000000</v>
      </c>
      <c r="AJ64" s="12" t="n">
        <f aca="false">IF(AND(MIN(X64:AC64)&gt;=Floor_liq-0.000000001,MIN(AD64:AI64)&gt;=Floor_liq-0.000000001),1,0)</f>
        <v>1</v>
      </c>
      <c r="AK64" s="12" t="n">
        <f aca="false">IF(AC64&gt;=End_liq-0.000000001,1,0)</f>
        <v>1</v>
      </c>
      <c r="AL64" s="12" t="n">
        <f aca="false">AJ64*AK64*W64</f>
        <v>1</v>
      </c>
      <c r="AM64" s="16" t="n">
        <f aca="false">Liq_0-Round_cost*B64+(1-Pledge_share)*P64</f>
        <v>535</v>
      </c>
      <c r="AN64" s="16" t="n">
        <f aca="false">AM64-Round_cost*C64+(1-Pledge_share)*Q64</f>
        <v>467.5</v>
      </c>
      <c r="AO64" s="16" t="n">
        <f aca="false">AN64-Round_cost*D64+(1-Pledge_share)*R64</f>
        <v>408.75</v>
      </c>
      <c r="AP64" s="16" t="n">
        <f aca="false">AO64-Round_cost*E64+(1-Pledge_share)*S64</f>
        <v>470</v>
      </c>
      <c r="AQ64" s="16" t="n">
        <f aca="false">AP64-Round_cost*F64+(1-Pledge_share)*T64</f>
        <v>415.625</v>
      </c>
      <c r="AR64" s="16" t="n">
        <f aca="false">AQ64-Round_cost*G64+(1-Pledge_share)*U64</f>
        <v>481.25</v>
      </c>
      <c r="AS64" s="19" t="n">
        <f aca="false">IF(B64=1,Liq_0-Round_cost,1000000000)</f>
        <v>500</v>
      </c>
      <c r="AT64" s="19" t="n">
        <f aca="false">IF(C64=1,AM64-Round_cost,1000000000)</f>
        <v>415</v>
      </c>
      <c r="AU64" s="19" t="n">
        <f aca="false">IF(D64=1,AN64-Round_cost,1000000000)</f>
        <v>347.5</v>
      </c>
      <c r="AV64" s="19" t="n">
        <f aca="false">IF(E64=1,AO64-Round_cost,1000000000)</f>
        <v>1000000000</v>
      </c>
      <c r="AW64" s="19" t="n">
        <f aca="false">IF(F64=1,AP64-Round_cost,1000000000)</f>
        <v>350</v>
      </c>
      <c r="AX64" s="19" t="n">
        <f aca="false">IF(G64=1,AQ64-Round_cost,1000000000)</f>
        <v>1000000000</v>
      </c>
      <c r="AY64" s="12" t="n">
        <f aca="false">IF(AND(MIN(AM64:AR64)&gt;=Floor_liq-0.000000001,MIN(AS64:AX64)&gt;=Floor_liq-0.000000001),1,0)</f>
        <v>0</v>
      </c>
      <c r="AZ64" s="12" t="n">
        <f aca="false">IF(AR64&gt;=End_liq-0.000000001,1,0)</f>
        <v>1</v>
      </c>
      <c r="BA64" s="12" t="n">
        <f aca="false">AY64*AZ64*W64</f>
        <v>0</v>
      </c>
      <c r="BB64" s="16" t="n">
        <f aca="false">Pledge_share*V64</f>
        <v>341.25</v>
      </c>
      <c r="BC64" s="16" t="n">
        <f aca="false">IF(BA64=1,H64*10000+BB64,-1)</f>
        <v>-1</v>
      </c>
      <c r="BD64" s="14" t="n">
        <f aca="false">U64</f>
        <v>131.25</v>
      </c>
      <c r="BE64" s="16" t="n">
        <f aca="false">AC64</f>
        <v>822.5</v>
      </c>
      <c r="BF64" s="16" t="n">
        <f aca="false">IF(AL64=1,AC64-End_liq,-1000000000)</f>
        <v>352.5</v>
      </c>
      <c r="BG64" s="16" t="n">
        <f aca="false">IF(AL64=1,BF64+BG$4*BD64,-1000000000)</f>
        <v>352.5</v>
      </c>
      <c r="BH64" s="16" t="n">
        <f aca="false">IF(AL64=1,BF64+BH$4*BD64,-1000000000)</f>
        <v>1008.75</v>
      </c>
      <c r="BI64" s="16" t="n">
        <f aca="false">IF(AL64=1,BF64+BI$4*BD64,-1000000000)</f>
        <v>1665</v>
      </c>
      <c r="BJ64" s="16" t="n">
        <f aca="false">IF(AL64=1,BF64+BJ$4*BD64,-1000000000)</f>
        <v>2977.5</v>
      </c>
      <c r="BK64" s="16" t="n">
        <f aca="false">IF(AL64=1,BF64+BK$4*BD64,-1000000000)</f>
        <v>5602.5</v>
      </c>
      <c r="BL64" s="16" t="n">
        <f aca="false">IF(AL64=1,BF64+BL$4*BD64,-1000000000)</f>
        <v>8227.5</v>
      </c>
      <c r="BM64" s="12" t="n">
        <f aca="false">IF(H64=0,1,IF(I64=VALUE(LEFT("123456",H64)),1,0))</f>
        <v>0</v>
      </c>
      <c r="BN64" s="12" t="n">
        <f aca="false">IF(BG64&gt;0,1000*BG64,-1000000000000)</f>
        <v>352500</v>
      </c>
      <c r="BO64" s="16" t="n">
        <f aca="false">IF(BG64&gt;0,BG64+100,-1000000000)</f>
        <v>452.5</v>
      </c>
      <c r="BP64" s="20" t="n">
        <f aca="false">IF(BG64&gt;0,LN(BG64),-1000000000)</f>
        <v>5.86505062225232</v>
      </c>
    </row>
    <row r="65" customFormat="false" ht="15" hidden="false" customHeight="false" outlineLevel="0" collapsed="false">
      <c r="A65" s="12" t="n">
        <v>59</v>
      </c>
      <c r="B65" s="12" t="n">
        <f aca="false">MOD(INT($A65/32),2)</f>
        <v>1</v>
      </c>
      <c r="C65" s="12" t="n">
        <f aca="false">MOD(INT($A65/16),2)</f>
        <v>1</v>
      </c>
      <c r="D65" s="12" t="n">
        <f aca="false">MOD(INT($A65/8),2)</f>
        <v>1</v>
      </c>
      <c r="E65" s="12" t="n">
        <f aca="false">MOD(INT($A65/4),2)</f>
        <v>0</v>
      </c>
      <c r="F65" s="12" t="n">
        <f aca="false">MOD(INT($A65/2),2)</f>
        <v>1</v>
      </c>
      <c r="G65" s="12" t="n">
        <f aca="false">MOD(INT($A65/1),2)</f>
        <v>1</v>
      </c>
      <c r="H65" s="12" t="n">
        <f aca="false">SUM(B65:G65)</f>
        <v>5</v>
      </c>
      <c r="I65" s="12" t="n">
        <f aca="false">IF(H65=0,0,VALUE(IF(B65=1,"1","")&amp;IF(C65=1,"2","")&amp;IF(D65=1,"3","")&amp;IF(E65=1,"4","")&amp;IF(F65=1,"5","")&amp;IF(G65=1,"6","")))</f>
        <v>12356</v>
      </c>
      <c r="J65" s="14" t="n">
        <f aca="false">IF(B65=1,Eff_0+Gap_closed*(Eff_ceiling-Eff_0),Eff_0)</f>
        <v>78</v>
      </c>
      <c r="K65" s="14" t="n">
        <f aca="false">IF(C65=1,J65+Gap_closed*(Eff_ceiling-J65),J65)</f>
        <v>81.5</v>
      </c>
      <c r="L65" s="14" t="n">
        <f aca="false">IF(D65=1,K65+Gap_closed*(Eff_ceiling-K65),K65)</f>
        <v>83.25</v>
      </c>
      <c r="M65" s="14" t="n">
        <f aca="false">IF(E65=1,L65+Gap_closed*(Eff_ceiling-L65),L65)</f>
        <v>83.25</v>
      </c>
      <c r="N65" s="14" t="n">
        <f aca="false">IF(F65=1,M65+Gap_closed*(Eff_ceiling-M65),M65)</f>
        <v>84.125</v>
      </c>
      <c r="O65" s="14" t="n">
        <f aca="false">IF(G65=1,N65+Gap_closed*(Eff_ceiling-N65),N65)</f>
        <v>84.5625</v>
      </c>
      <c r="P65" s="14" t="n">
        <f aca="false">Sav_point*(J65-Eff_0)</f>
        <v>70</v>
      </c>
      <c r="Q65" s="14" t="n">
        <f aca="false">Sav_point*(K65-Eff_0)</f>
        <v>105</v>
      </c>
      <c r="R65" s="14" t="n">
        <f aca="false">Sav_point*(L65-Eff_0)</f>
        <v>122.5</v>
      </c>
      <c r="S65" s="14" t="n">
        <f aca="false">Sav_point*(M65-Eff_0)</f>
        <v>122.5</v>
      </c>
      <c r="T65" s="14" t="n">
        <f aca="false">Sav_point*(N65-Eff_0)</f>
        <v>131.25</v>
      </c>
      <c r="U65" s="14" t="n">
        <f aca="false">Sav_point*(O65-Eff_0)</f>
        <v>135.625</v>
      </c>
      <c r="V65" s="14" t="n">
        <f aca="false">SUM(P65:U65)</f>
        <v>686.875</v>
      </c>
      <c r="W65" s="12" t="n">
        <f aca="false">IF(AND(H65&gt;0,Cap_0&lt;Cap_min),0,1)</f>
        <v>1</v>
      </c>
      <c r="X65" s="16" t="n">
        <f aca="false">Liq_0-Round_cost*B65+1*P65</f>
        <v>570</v>
      </c>
      <c r="Y65" s="16" t="n">
        <f aca="false">X65-Round_cost*C65+1*Q65</f>
        <v>555</v>
      </c>
      <c r="Z65" s="16" t="n">
        <f aca="false">Y65-Round_cost*D65+1*R65</f>
        <v>557.5</v>
      </c>
      <c r="AA65" s="16" t="n">
        <f aca="false">Z65-Round_cost*E65+1*S65</f>
        <v>680</v>
      </c>
      <c r="AB65" s="16" t="n">
        <f aca="false">AA65-Round_cost*F65+1*T65</f>
        <v>691.25</v>
      </c>
      <c r="AC65" s="16" t="n">
        <f aca="false">AB65-Round_cost*G65+1*U65</f>
        <v>706.875</v>
      </c>
      <c r="AD65" s="19" t="n">
        <f aca="false">IF(B65=1,Liq_0-Round_cost,1000000000)</f>
        <v>500</v>
      </c>
      <c r="AE65" s="19" t="n">
        <f aca="false">IF(C65=1,X65-Round_cost,1000000000)</f>
        <v>450</v>
      </c>
      <c r="AF65" s="19" t="n">
        <f aca="false">IF(D65=1,Y65-Round_cost,1000000000)</f>
        <v>435</v>
      </c>
      <c r="AG65" s="19" t="n">
        <f aca="false">IF(E65=1,Z65-Round_cost,1000000000)</f>
        <v>1000000000</v>
      </c>
      <c r="AH65" s="19" t="n">
        <f aca="false">IF(F65=1,AA65-Round_cost,1000000000)</f>
        <v>560</v>
      </c>
      <c r="AI65" s="19" t="n">
        <f aca="false">IF(G65=1,AB65-Round_cost,1000000000)</f>
        <v>571.25</v>
      </c>
      <c r="AJ65" s="12" t="n">
        <f aca="false">IF(AND(MIN(X65:AC65)&gt;=Floor_liq-0.000000001,MIN(AD65:AI65)&gt;=Floor_liq-0.000000001),1,0)</f>
        <v>1</v>
      </c>
      <c r="AK65" s="12" t="n">
        <f aca="false">IF(AC65&gt;=End_liq-0.000000001,1,0)</f>
        <v>1</v>
      </c>
      <c r="AL65" s="12" t="n">
        <f aca="false">AJ65*AK65*W65</f>
        <v>1</v>
      </c>
      <c r="AM65" s="16" t="n">
        <f aca="false">Liq_0-Round_cost*B65+(1-Pledge_share)*P65</f>
        <v>535</v>
      </c>
      <c r="AN65" s="16" t="n">
        <f aca="false">AM65-Round_cost*C65+(1-Pledge_share)*Q65</f>
        <v>467.5</v>
      </c>
      <c r="AO65" s="16" t="n">
        <f aca="false">AN65-Round_cost*D65+(1-Pledge_share)*R65</f>
        <v>408.75</v>
      </c>
      <c r="AP65" s="16" t="n">
        <f aca="false">AO65-Round_cost*E65+(1-Pledge_share)*S65</f>
        <v>470</v>
      </c>
      <c r="AQ65" s="16" t="n">
        <f aca="false">AP65-Round_cost*F65+(1-Pledge_share)*T65</f>
        <v>415.625</v>
      </c>
      <c r="AR65" s="16" t="n">
        <f aca="false">AQ65-Round_cost*G65+(1-Pledge_share)*U65</f>
        <v>363.4375</v>
      </c>
      <c r="AS65" s="19" t="n">
        <f aca="false">IF(B65=1,Liq_0-Round_cost,1000000000)</f>
        <v>500</v>
      </c>
      <c r="AT65" s="19" t="n">
        <f aca="false">IF(C65=1,AM65-Round_cost,1000000000)</f>
        <v>415</v>
      </c>
      <c r="AU65" s="19" t="n">
        <f aca="false">IF(D65=1,AN65-Round_cost,1000000000)</f>
        <v>347.5</v>
      </c>
      <c r="AV65" s="19" t="n">
        <f aca="false">IF(E65=1,AO65-Round_cost,1000000000)</f>
        <v>1000000000</v>
      </c>
      <c r="AW65" s="19" t="n">
        <f aca="false">IF(F65=1,AP65-Round_cost,1000000000)</f>
        <v>350</v>
      </c>
      <c r="AX65" s="19" t="n">
        <f aca="false">IF(G65=1,AQ65-Round_cost,1000000000)</f>
        <v>295.625</v>
      </c>
      <c r="AY65" s="12" t="n">
        <f aca="false">IF(AND(MIN(AM65:AR65)&gt;=Floor_liq-0.000000001,MIN(AS65:AX65)&gt;=Floor_liq-0.000000001),1,0)</f>
        <v>0</v>
      </c>
      <c r="AZ65" s="12" t="n">
        <f aca="false">IF(AR65&gt;=End_liq-0.000000001,1,0)</f>
        <v>0</v>
      </c>
      <c r="BA65" s="12" t="n">
        <f aca="false">AY65*AZ65*W65</f>
        <v>0</v>
      </c>
      <c r="BB65" s="16" t="n">
        <f aca="false">Pledge_share*V65</f>
        <v>343.4375</v>
      </c>
      <c r="BC65" s="16" t="n">
        <f aca="false">IF(BA65=1,H65*10000+BB65,-1)</f>
        <v>-1</v>
      </c>
      <c r="BD65" s="14" t="n">
        <f aca="false">U65</f>
        <v>135.625</v>
      </c>
      <c r="BE65" s="16" t="n">
        <f aca="false">AC65</f>
        <v>706.875</v>
      </c>
      <c r="BF65" s="16" t="n">
        <f aca="false">IF(AL65=1,AC65-End_liq,-1000000000)</f>
        <v>236.875</v>
      </c>
      <c r="BG65" s="16" t="n">
        <f aca="false">IF(AL65=1,BF65+BG$4*BD65,-1000000000)</f>
        <v>236.875</v>
      </c>
      <c r="BH65" s="16" t="n">
        <f aca="false">IF(AL65=1,BF65+BH$4*BD65,-1000000000)</f>
        <v>915</v>
      </c>
      <c r="BI65" s="16" t="n">
        <f aca="false">IF(AL65=1,BF65+BI$4*BD65,-1000000000)</f>
        <v>1593.125</v>
      </c>
      <c r="BJ65" s="16" t="n">
        <f aca="false">IF(AL65=1,BF65+BJ$4*BD65,-1000000000)</f>
        <v>2949.375</v>
      </c>
      <c r="BK65" s="16" t="n">
        <f aca="false">IF(AL65=1,BF65+BK$4*BD65,-1000000000)</f>
        <v>5661.875</v>
      </c>
      <c r="BL65" s="16" t="n">
        <f aca="false">IF(AL65=1,BF65+BL$4*BD65,-1000000000)</f>
        <v>8374.375</v>
      </c>
      <c r="BM65" s="12" t="n">
        <f aca="false">IF(H65=0,1,IF(I65=VALUE(LEFT("123456",H65)),1,0))</f>
        <v>0</v>
      </c>
      <c r="BN65" s="12" t="n">
        <f aca="false">IF(BG65&gt;0,1000*BG65,-1000000000000)</f>
        <v>236875</v>
      </c>
      <c r="BO65" s="16" t="n">
        <f aca="false">IF(BG65&gt;0,BG65+100,-1000000000)</f>
        <v>336.875</v>
      </c>
      <c r="BP65" s="20" t="n">
        <f aca="false">IF(BG65&gt;0,LN(BG65),-1000000000)</f>
        <v>5.46753257583669</v>
      </c>
    </row>
    <row r="66" customFormat="false" ht="15" hidden="false" customHeight="false" outlineLevel="0" collapsed="false">
      <c r="A66" s="12" t="n">
        <v>60</v>
      </c>
      <c r="B66" s="12" t="n">
        <f aca="false">MOD(INT($A66/32),2)</f>
        <v>1</v>
      </c>
      <c r="C66" s="12" t="n">
        <f aca="false">MOD(INT($A66/16),2)</f>
        <v>1</v>
      </c>
      <c r="D66" s="12" t="n">
        <f aca="false">MOD(INT($A66/8),2)</f>
        <v>1</v>
      </c>
      <c r="E66" s="12" t="n">
        <f aca="false">MOD(INT($A66/4),2)</f>
        <v>1</v>
      </c>
      <c r="F66" s="12" t="n">
        <f aca="false">MOD(INT($A66/2),2)</f>
        <v>0</v>
      </c>
      <c r="G66" s="12" t="n">
        <f aca="false">MOD(INT($A66/1),2)</f>
        <v>0</v>
      </c>
      <c r="H66" s="12" t="n">
        <f aca="false">SUM(B66:G66)</f>
        <v>4</v>
      </c>
      <c r="I66" s="12" t="n">
        <f aca="false">IF(H66=0,0,VALUE(IF(B66=1,"1","")&amp;IF(C66=1,"2","")&amp;IF(D66=1,"3","")&amp;IF(E66=1,"4","")&amp;IF(F66=1,"5","")&amp;IF(G66=1,"6","")))</f>
        <v>1234</v>
      </c>
      <c r="J66" s="14" t="n">
        <f aca="false">IF(B66=1,Eff_0+Gap_closed*(Eff_ceiling-Eff_0),Eff_0)</f>
        <v>78</v>
      </c>
      <c r="K66" s="14" t="n">
        <f aca="false">IF(C66=1,J66+Gap_closed*(Eff_ceiling-J66),J66)</f>
        <v>81.5</v>
      </c>
      <c r="L66" s="14" t="n">
        <f aca="false">IF(D66=1,K66+Gap_closed*(Eff_ceiling-K66),K66)</f>
        <v>83.25</v>
      </c>
      <c r="M66" s="14" t="n">
        <f aca="false">IF(E66=1,L66+Gap_closed*(Eff_ceiling-L66),L66)</f>
        <v>84.125</v>
      </c>
      <c r="N66" s="14" t="n">
        <f aca="false">IF(F66=1,M66+Gap_closed*(Eff_ceiling-M66),M66)</f>
        <v>84.125</v>
      </c>
      <c r="O66" s="14" t="n">
        <f aca="false">IF(G66=1,N66+Gap_closed*(Eff_ceiling-N66),N66)</f>
        <v>84.125</v>
      </c>
      <c r="P66" s="14" t="n">
        <f aca="false">Sav_point*(J66-Eff_0)</f>
        <v>70</v>
      </c>
      <c r="Q66" s="14" t="n">
        <f aca="false">Sav_point*(K66-Eff_0)</f>
        <v>105</v>
      </c>
      <c r="R66" s="14" t="n">
        <f aca="false">Sav_point*(L66-Eff_0)</f>
        <v>122.5</v>
      </c>
      <c r="S66" s="14" t="n">
        <f aca="false">Sav_point*(M66-Eff_0)</f>
        <v>131.25</v>
      </c>
      <c r="T66" s="14" t="n">
        <f aca="false">Sav_point*(N66-Eff_0)</f>
        <v>131.25</v>
      </c>
      <c r="U66" s="14" t="n">
        <f aca="false">Sav_point*(O66-Eff_0)</f>
        <v>131.25</v>
      </c>
      <c r="V66" s="14" t="n">
        <f aca="false">SUM(P66:U66)</f>
        <v>691.25</v>
      </c>
      <c r="W66" s="12" t="n">
        <f aca="false">IF(AND(H66&gt;0,Cap_0&lt;Cap_min),0,1)</f>
        <v>1</v>
      </c>
      <c r="X66" s="16" t="n">
        <f aca="false">Liq_0-Round_cost*B66+1*P66</f>
        <v>570</v>
      </c>
      <c r="Y66" s="16" t="n">
        <f aca="false">X66-Round_cost*C66+1*Q66</f>
        <v>555</v>
      </c>
      <c r="Z66" s="16" t="n">
        <f aca="false">Y66-Round_cost*D66+1*R66</f>
        <v>557.5</v>
      </c>
      <c r="AA66" s="16" t="n">
        <f aca="false">Z66-Round_cost*E66+1*S66</f>
        <v>568.75</v>
      </c>
      <c r="AB66" s="16" t="n">
        <f aca="false">AA66-Round_cost*F66+1*T66</f>
        <v>700</v>
      </c>
      <c r="AC66" s="16" t="n">
        <f aca="false">AB66-Round_cost*G66+1*U66</f>
        <v>831.25</v>
      </c>
      <c r="AD66" s="19" t="n">
        <f aca="false">IF(B66=1,Liq_0-Round_cost,1000000000)</f>
        <v>500</v>
      </c>
      <c r="AE66" s="19" t="n">
        <f aca="false">IF(C66=1,X66-Round_cost,1000000000)</f>
        <v>450</v>
      </c>
      <c r="AF66" s="19" t="n">
        <f aca="false">IF(D66=1,Y66-Round_cost,1000000000)</f>
        <v>435</v>
      </c>
      <c r="AG66" s="19" t="n">
        <f aca="false">IF(E66=1,Z66-Round_cost,1000000000)</f>
        <v>437.5</v>
      </c>
      <c r="AH66" s="19" t="n">
        <f aca="false">IF(F66=1,AA66-Round_cost,1000000000)</f>
        <v>1000000000</v>
      </c>
      <c r="AI66" s="19" t="n">
        <f aca="false">IF(G66=1,AB66-Round_cost,1000000000)</f>
        <v>1000000000</v>
      </c>
      <c r="AJ66" s="12" t="n">
        <f aca="false">IF(AND(MIN(X66:AC66)&gt;=Floor_liq-0.000000001,MIN(AD66:AI66)&gt;=Floor_liq-0.000000001),1,0)</f>
        <v>1</v>
      </c>
      <c r="AK66" s="12" t="n">
        <f aca="false">IF(AC66&gt;=End_liq-0.000000001,1,0)</f>
        <v>1</v>
      </c>
      <c r="AL66" s="12" t="n">
        <f aca="false">AJ66*AK66*W66</f>
        <v>1</v>
      </c>
      <c r="AM66" s="16" t="n">
        <f aca="false">Liq_0-Round_cost*B66+(1-Pledge_share)*P66</f>
        <v>535</v>
      </c>
      <c r="AN66" s="16" t="n">
        <f aca="false">AM66-Round_cost*C66+(1-Pledge_share)*Q66</f>
        <v>467.5</v>
      </c>
      <c r="AO66" s="16" t="n">
        <f aca="false">AN66-Round_cost*D66+(1-Pledge_share)*R66</f>
        <v>408.75</v>
      </c>
      <c r="AP66" s="16" t="n">
        <f aca="false">AO66-Round_cost*E66+(1-Pledge_share)*S66</f>
        <v>354.375</v>
      </c>
      <c r="AQ66" s="16" t="n">
        <f aca="false">AP66-Round_cost*F66+(1-Pledge_share)*T66</f>
        <v>420</v>
      </c>
      <c r="AR66" s="16" t="n">
        <f aca="false">AQ66-Round_cost*G66+(1-Pledge_share)*U66</f>
        <v>485.625</v>
      </c>
      <c r="AS66" s="19" t="n">
        <f aca="false">IF(B66=1,Liq_0-Round_cost,1000000000)</f>
        <v>500</v>
      </c>
      <c r="AT66" s="19" t="n">
        <f aca="false">IF(C66=1,AM66-Round_cost,1000000000)</f>
        <v>415</v>
      </c>
      <c r="AU66" s="19" t="n">
        <f aca="false">IF(D66=1,AN66-Round_cost,1000000000)</f>
        <v>347.5</v>
      </c>
      <c r="AV66" s="19" t="n">
        <f aca="false">IF(E66=1,AO66-Round_cost,1000000000)</f>
        <v>288.75</v>
      </c>
      <c r="AW66" s="19" t="n">
        <f aca="false">IF(F66=1,AP66-Round_cost,1000000000)</f>
        <v>1000000000</v>
      </c>
      <c r="AX66" s="19" t="n">
        <f aca="false">IF(G66=1,AQ66-Round_cost,1000000000)</f>
        <v>1000000000</v>
      </c>
      <c r="AY66" s="12" t="n">
        <f aca="false">IF(AND(MIN(AM66:AR66)&gt;=Floor_liq-0.000000001,MIN(AS66:AX66)&gt;=Floor_liq-0.000000001),1,0)</f>
        <v>0</v>
      </c>
      <c r="AZ66" s="12" t="n">
        <f aca="false">IF(AR66&gt;=End_liq-0.000000001,1,0)</f>
        <v>1</v>
      </c>
      <c r="BA66" s="12" t="n">
        <f aca="false">AY66*AZ66*W66</f>
        <v>0</v>
      </c>
      <c r="BB66" s="16" t="n">
        <f aca="false">Pledge_share*V66</f>
        <v>345.625</v>
      </c>
      <c r="BC66" s="16" t="n">
        <f aca="false">IF(BA66=1,H66*10000+BB66,-1)</f>
        <v>-1</v>
      </c>
      <c r="BD66" s="14" t="n">
        <f aca="false">U66</f>
        <v>131.25</v>
      </c>
      <c r="BE66" s="16" t="n">
        <f aca="false">AC66</f>
        <v>831.25</v>
      </c>
      <c r="BF66" s="16" t="n">
        <f aca="false">IF(AL66=1,AC66-End_liq,-1000000000)</f>
        <v>361.25</v>
      </c>
      <c r="BG66" s="16" t="n">
        <f aca="false">IF(AL66=1,BF66+BG$4*BD66,-1000000000)</f>
        <v>361.25</v>
      </c>
      <c r="BH66" s="16" t="n">
        <f aca="false">IF(AL66=1,BF66+BH$4*BD66,-1000000000)</f>
        <v>1017.5</v>
      </c>
      <c r="BI66" s="16" t="n">
        <f aca="false">IF(AL66=1,BF66+BI$4*BD66,-1000000000)</f>
        <v>1673.75</v>
      </c>
      <c r="BJ66" s="16" t="n">
        <f aca="false">IF(AL66=1,BF66+BJ$4*BD66,-1000000000)</f>
        <v>2986.25</v>
      </c>
      <c r="BK66" s="16" t="n">
        <f aca="false">IF(AL66=1,BF66+BK$4*BD66,-1000000000)</f>
        <v>5611.25</v>
      </c>
      <c r="BL66" s="16" t="n">
        <f aca="false">IF(AL66=1,BF66+BL$4*BD66,-1000000000)</f>
        <v>8236.25</v>
      </c>
      <c r="BM66" s="12" t="n">
        <f aca="false">IF(H66=0,1,IF(I66=VALUE(LEFT("123456",H66)),1,0))</f>
        <v>1</v>
      </c>
      <c r="BN66" s="12" t="n">
        <f aca="false">IF(BG66&gt;0,1000*BG66,-1000000000000)</f>
        <v>361250</v>
      </c>
      <c r="BO66" s="16" t="n">
        <f aca="false">IF(BG66&gt;0,BG66+100,-1000000000)</f>
        <v>461.25</v>
      </c>
      <c r="BP66" s="20" t="n">
        <f aca="false">IF(BG66&gt;0,LN(BG66),-1000000000)</f>
        <v>5.88957023942664</v>
      </c>
    </row>
    <row r="67" customFormat="false" ht="15" hidden="false" customHeight="false" outlineLevel="0" collapsed="false">
      <c r="A67" s="12" t="n">
        <v>61</v>
      </c>
      <c r="B67" s="12" t="n">
        <f aca="false">MOD(INT($A67/32),2)</f>
        <v>1</v>
      </c>
      <c r="C67" s="12" t="n">
        <f aca="false">MOD(INT($A67/16),2)</f>
        <v>1</v>
      </c>
      <c r="D67" s="12" t="n">
        <f aca="false">MOD(INT($A67/8),2)</f>
        <v>1</v>
      </c>
      <c r="E67" s="12" t="n">
        <f aca="false">MOD(INT($A67/4),2)</f>
        <v>1</v>
      </c>
      <c r="F67" s="12" t="n">
        <f aca="false">MOD(INT($A67/2),2)</f>
        <v>0</v>
      </c>
      <c r="G67" s="12" t="n">
        <f aca="false">MOD(INT($A67/1),2)</f>
        <v>1</v>
      </c>
      <c r="H67" s="12" t="n">
        <f aca="false">SUM(B67:G67)</f>
        <v>5</v>
      </c>
      <c r="I67" s="12" t="n">
        <f aca="false">IF(H67=0,0,VALUE(IF(B67=1,"1","")&amp;IF(C67=1,"2","")&amp;IF(D67=1,"3","")&amp;IF(E67=1,"4","")&amp;IF(F67=1,"5","")&amp;IF(G67=1,"6","")))</f>
        <v>12346</v>
      </c>
      <c r="J67" s="14" t="n">
        <f aca="false">IF(B67=1,Eff_0+Gap_closed*(Eff_ceiling-Eff_0),Eff_0)</f>
        <v>78</v>
      </c>
      <c r="K67" s="14" t="n">
        <f aca="false">IF(C67=1,J67+Gap_closed*(Eff_ceiling-J67),J67)</f>
        <v>81.5</v>
      </c>
      <c r="L67" s="14" t="n">
        <f aca="false">IF(D67=1,K67+Gap_closed*(Eff_ceiling-K67),K67)</f>
        <v>83.25</v>
      </c>
      <c r="M67" s="14" t="n">
        <f aca="false">IF(E67=1,L67+Gap_closed*(Eff_ceiling-L67),L67)</f>
        <v>84.125</v>
      </c>
      <c r="N67" s="14" t="n">
        <f aca="false">IF(F67=1,M67+Gap_closed*(Eff_ceiling-M67),M67)</f>
        <v>84.125</v>
      </c>
      <c r="O67" s="14" t="n">
        <f aca="false">IF(G67=1,N67+Gap_closed*(Eff_ceiling-N67),N67)</f>
        <v>84.5625</v>
      </c>
      <c r="P67" s="14" t="n">
        <f aca="false">Sav_point*(J67-Eff_0)</f>
        <v>70</v>
      </c>
      <c r="Q67" s="14" t="n">
        <f aca="false">Sav_point*(K67-Eff_0)</f>
        <v>105</v>
      </c>
      <c r="R67" s="14" t="n">
        <f aca="false">Sav_point*(L67-Eff_0)</f>
        <v>122.5</v>
      </c>
      <c r="S67" s="14" t="n">
        <f aca="false">Sav_point*(M67-Eff_0)</f>
        <v>131.25</v>
      </c>
      <c r="T67" s="14" t="n">
        <f aca="false">Sav_point*(N67-Eff_0)</f>
        <v>131.25</v>
      </c>
      <c r="U67" s="14" t="n">
        <f aca="false">Sav_point*(O67-Eff_0)</f>
        <v>135.625</v>
      </c>
      <c r="V67" s="14" t="n">
        <f aca="false">SUM(P67:U67)</f>
        <v>695.625</v>
      </c>
      <c r="W67" s="12" t="n">
        <f aca="false">IF(AND(H67&gt;0,Cap_0&lt;Cap_min),0,1)</f>
        <v>1</v>
      </c>
      <c r="X67" s="16" t="n">
        <f aca="false">Liq_0-Round_cost*B67+1*P67</f>
        <v>570</v>
      </c>
      <c r="Y67" s="16" t="n">
        <f aca="false">X67-Round_cost*C67+1*Q67</f>
        <v>555</v>
      </c>
      <c r="Z67" s="16" t="n">
        <f aca="false">Y67-Round_cost*D67+1*R67</f>
        <v>557.5</v>
      </c>
      <c r="AA67" s="16" t="n">
        <f aca="false">Z67-Round_cost*E67+1*S67</f>
        <v>568.75</v>
      </c>
      <c r="AB67" s="16" t="n">
        <f aca="false">AA67-Round_cost*F67+1*T67</f>
        <v>700</v>
      </c>
      <c r="AC67" s="16" t="n">
        <f aca="false">AB67-Round_cost*G67+1*U67</f>
        <v>715.625</v>
      </c>
      <c r="AD67" s="19" t="n">
        <f aca="false">IF(B67=1,Liq_0-Round_cost,1000000000)</f>
        <v>500</v>
      </c>
      <c r="AE67" s="19" t="n">
        <f aca="false">IF(C67=1,X67-Round_cost,1000000000)</f>
        <v>450</v>
      </c>
      <c r="AF67" s="19" t="n">
        <f aca="false">IF(D67=1,Y67-Round_cost,1000000000)</f>
        <v>435</v>
      </c>
      <c r="AG67" s="19" t="n">
        <f aca="false">IF(E67=1,Z67-Round_cost,1000000000)</f>
        <v>437.5</v>
      </c>
      <c r="AH67" s="19" t="n">
        <f aca="false">IF(F67=1,AA67-Round_cost,1000000000)</f>
        <v>1000000000</v>
      </c>
      <c r="AI67" s="19" t="n">
        <f aca="false">IF(G67=1,AB67-Round_cost,1000000000)</f>
        <v>580</v>
      </c>
      <c r="AJ67" s="12" t="n">
        <f aca="false">IF(AND(MIN(X67:AC67)&gt;=Floor_liq-0.000000001,MIN(AD67:AI67)&gt;=Floor_liq-0.000000001),1,0)</f>
        <v>1</v>
      </c>
      <c r="AK67" s="12" t="n">
        <f aca="false">IF(AC67&gt;=End_liq-0.000000001,1,0)</f>
        <v>1</v>
      </c>
      <c r="AL67" s="12" t="n">
        <f aca="false">AJ67*AK67*W67</f>
        <v>1</v>
      </c>
      <c r="AM67" s="16" t="n">
        <f aca="false">Liq_0-Round_cost*B67+(1-Pledge_share)*P67</f>
        <v>535</v>
      </c>
      <c r="AN67" s="16" t="n">
        <f aca="false">AM67-Round_cost*C67+(1-Pledge_share)*Q67</f>
        <v>467.5</v>
      </c>
      <c r="AO67" s="16" t="n">
        <f aca="false">AN67-Round_cost*D67+(1-Pledge_share)*R67</f>
        <v>408.75</v>
      </c>
      <c r="AP67" s="16" t="n">
        <f aca="false">AO67-Round_cost*E67+(1-Pledge_share)*S67</f>
        <v>354.375</v>
      </c>
      <c r="AQ67" s="16" t="n">
        <f aca="false">AP67-Round_cost*F67+(1-Pledge_share)*T67</f>
        <v>420</v>
      </c>
      <c r="AR67" s="16" t="n">
        <f aca="false">AQ67-Round_cost*G67+(1-Pledge_share)*U67</f>
        <v>367.8125</v>
      </c>
      <c r="AS67" s="19" t="n">
        <f aca="false">IF(B67=1,Liq_0-Round_cost,1000000000)</f>
        <v>500</v>
      </c>
      <c r="AT67" s="19" t="n">
        <f aca="false">IF(C67=1,AM67-Round_cost,1000000000)</f>
        <v>415</v>
      </c>
      <c r="AU67" s="19" t="n">
        <f aca="false">IF(D67=1,AN67-Round_cost,1000000000)</f>
        <v>347.5</v>
      </c>
      <c r="AV67" s="19" t="n">
        <f aca="false">IF(E67=1,AO67-Round_cost,1000000000)</f>
        <v>288.75</v>
      </c>
      <c r="AW67" s="19" t="n">
        <f aca="false">IF(F67=1,AP67-Round_cost,1000000000)</f>
        <v>1000000000</v>
      </c>
      <c r="AX67" s="19" t="n">
        <f aca="false">IF(G67=1,AQ67-Round_cost,1000000000)</f>
        <v>300</v>
      </c>
      <c r="AY67" s="12" t="n">
        <f aca="false">IF(AND(MIN(AM67:AR67)&gt;=Floor_liq-0.000000001,MIN(AS67:AX67)&gt;=Floor_liq-0.000000001),1,0)</f>
        <v>0</v>
      </c>
      <c r="AZ67" s="12" t="n">
        <f aca="false">IF(AR67&gt;=End_liq-0.000000001,1,0)</f>
        <v>0</v>
      </c>
      <c r="BA67" s="12" t="n">
        <f aca="false">AY67*AZ67*W67</f>
        <v>0</v>
      </c>
      <c r="BB67" s="16" t="n">
        <f aca="false">Pledge_share*V67</f>
        <v>347.8125</v>
      </c>
      <c r="BC67" s="16" t="n">
        <f aca="false">IF(BA67=1,H67*10000+BB67,-1)</f>
        <v>-1</v>
      </c>
      <c r="BD67" s="14" t="n">
        <f aca="false">U67</f>
        <v>135.625</v>
      </c>
      <c r="BE67" s="16" t="n">
        <f aca="false">AC67</f>
        <v>715.625</v>
      </c>
      <c r="BF67" s="16" t="n">
        <f aca="false">IF(AL67=1,AC67-End_liq,-1000000000)</f>
        <v>245.625</v>
      </c>
      <c r="BG67" s="16" t="n">
        <f aca="false">IF(AL67=1,BF67+BG$4*BD67,-1000000000)</f>
        <v>245.625</v>
      </c>
      <c r="BH67" s="16" t="n">
        <f aca="false">IF(AL67=1,BF67+BH$4*BD67,-1000000000)</f>
        <v>923.75</v>
      </c>
      <c r="BI67" s="16" t="n">
        <f aca="false">IF(AL67=1,BF67+BI$4*BD67,-1000000000)</f>
        <v>1601.875</v>
      </c>
      <c r="BJ67" s="16" t="n">
        <f aca="false">IF(AL67=1,BF67+BJ$4*BD67,-1000000000)</f>
        <v>2958.125</v>
      </c>
      <c r="BK67" s="16" t="n">
        <f aca="false">IF(AL67=1,BF67+BK$4*BD67,-1000000000)</f>
        <v>5670.625</v>
      </c>
      <c r="BL67" s="16" t="n">
        <f aca="false">IF(AL67=1,BF67+BL$4*BD67,-1000000000)</f>
        <v>8383.125</v>
      </c>
      <c r="BM67" s="12" t="n">
        <f aca="false">IF(H67=0,1,IF(I67=VALUE(LEFT("123456",H67)),1,0))</f>
        <v>0</v>
      </c>
      <c r="BN67" s="12" t="n">
        <f aca="false">IF(BG67&gt;0,1000*BG67,-1000000000000)</f>
        <v>245625</v>
      </c>
      <c r="BO67" s="16" t="n">
        <f aca="false">IF(BG67&gt;0,BG67+100,-1000000000)</f>
        <v>345.625</v>
      </c>
      <c r="BP67" s="20" t="n">
        <f aca="false">IF(BG67&gt;0,LN(BG67),-1000000000)</f>
        <v>5.50380598262353</v>
      </c>
    </row>
    <row r="68" customFormat="false" ht="15" hidden="false" customHeight="false" outlineLevel="0" collapsed="false">
      <c r="A68" s="12" t="n">
        <v>62</v>
      </c>
      <c r="B68" s="12" t="n">
        <f aca="false">MOD(INT($A68/32),2)</f>
        <v>1</v>
      </c>
      <c r="C68" s="12" t="n">
        <f aca="false">MOD(INT($A68/16),2)</f>
        <v>1</v>
      </c>
      <c r="D68" s="12" t="n">
        <f aca="false">MOD(INT($A68/8),2)</f>
        <v>1</v>
      </c>
      <c r="E68" s="12" t="n">
        <f aca="false">MOD(INT($A68/4),2)</f>
        <v>1</v>
      </c>
      <c r="F68" s="12" t="n">
        <f aca="false">MOD(INT($A68/2),2)</f>
        <v>1</v>
      </c>
      <c r="G68" s="12" t="n">
        <f aca="false">MOD(INT($A68/1),2)</f>
        <v>0</v>
      </c>
      <c r="H68" s="12" t="n">
        <f aca="false">SUM(B68:G68)</f>
        <v>5</v>
      </c>
      <c r="I68" s="12" t="n">
        <f aca="false">IF(H68=0,0,VALUE(IF(B68=1,"1","")&amp;IF(C68=1,"2","")&amp;IF(D68=1,"3","")&amp;IF(E68=1,"4","")&amp;IF(F68=1,"5","")&amp;IF(G68=1,"6","")))</f>
        <v>12345</v>
      </c>
      <c r="J68" s="14" t="n">
        <f aca="false">IF(B68=1,Eff_0+Gap_closed*(Eff_ceiling-Eff_0),Eff_0)</f>
        <v>78</v>
      </c>
      <c r="K68" s="14" t="n">
        <f aca="false">IF(C68=1,J68+Gap_closed*(Eff_ceiling-J68),J68)</f>
        <v>81.5</v>
      </c>
      <c r="L68" s="14" t="n">
        <f aca="false">IF(D68=1,K68+Gap_closed*(Eff_ceiling-K68),K68)</f>
        <v>83.25</v>
      </c>
      <c r="M68" s="14" t="n">
        <f aca="false">IF(E68=1,L68+Gap_closed*(Eff_ceiling-L68),L68)</f>
        <v>84.125</v>
      </c>
      <c r="N68" s="14" t="n">
        <f aca="false">IF(F68=1,M68+Gap_closed*(Eff_ceiling-M68),M68)</f>
        <v>84.5625</v>
      </c>
      <c r="O68" s="14" t="n">
        <f aca="false">IF(G68=1,N68+Gap_closed*(Eff_ceiling-N68),N68)</f>
        <v>84.5625</v>
      </c>
      <c r="P68" s="14" t="n">
        <f aca="false">Sav_point*(J68-Eff_0)</f>
        <v>70</v>
      </c>
      <c r="Q68" s="14" t="n">
        <f aca="false">Sav_point*(K68-Eff_0)</f>
        <v>105</v>
      </c>
      <c r="R68" s="14" t="n">
        <f aca="false">Sav_point*(L68-Eff_0)</f>
        <v>122.5</v>
      </c>
      <c r="S68" s="14" t="n">
        <f aca="false">Sav_point*(M68-Eff_0)</f>
        <v>131.25</v>
      </c>
      <c r="T68" s="14" t="n">
        <f aca="false">Sav_point*(N68-Eff_0)</f>
        <v>135.625</v>
      </c>
      <c r="U68" s="14" t="n">
        <f aca="false">Sav_point*(O68-Eff_0)</f>
        <v>135.625</v>
      </c>
      <c r="V68" s="14" t="n">
        <f aca="false">SUM(P68:U68)</f>
        <v>700</v>
      </c>
      <c r="W68" s="12" t="n">
        <f aca="false">IF(AND(H68&gt;0,Cap_0&lt;Cap_min),0,1)</f>
        <v>1</v>
      </c>
      <c r="X68" s="16" t="n">
        <f aca="false">Liq_0-Round_cost*B68+1*P68</f>
        <v>570</v>
      </c>
      <c r="Y68" s="16" t="n">
        <f aca="false">X68-Round_cost*C68+1*Q68</f>
        <v>555</v>
      </c>
      <c r="Z68" s="16" t="n">
        <f aca="false">Y68-Round_cost*D68+1*R68</f>
        <v>557.5</v>
      </c>
      <c r="AA68" s="16" t="n">
        <f aca="false">Z68-Round_cost*E68+1*S68</f>
        <v>568.75</v>
      </c>
      <c r="AB68" s="16" t="n">
        <f aca="false">AA68-Round_cost*F68+1*T68</f>
        <v>584.375</v>
      </c>
      <c r="AC68" s="16" t="n">
        <f aca="false">AB68-Round_cost*G68+1*U68</f>
        <v>720</v>
      </c>
      <c r="AD68" s="19" t="n">
        <f aca="false">IF(B68=1,Liq_0-Round_cost,1000000000)</f>
        <v>500</v>
      </c>
      <c r="AE68" s="19" t="n">
        <f aca="false">IF(C68=1,X68-Round_cost,1000000000)</f>
        <v>450</v>
      </c>
      <c r="AF68" s="19" t="n">
        <f aca="false">IF(D68=1,Y68-Round_cost,1000000000)</f>
        <v>435</v>
      </c>
      <c r="AG68" s="19" t="n">
        <f aca="false">IF(E68=1,Z68-Round_cost,1000000000)</f>
        <v>437.5</v>
      </c>
      <c r="AH68" s="19" t="n">
        <f aca="false">IF(F68=1,AA68-Round_cost,1000000000)</f>
        <v>448.75</v>
      </c>
      <c r="AI68" s="19" t="n">
        <f aca="false">IF(G68=1,AB68-Round_cost,1000000000)</f>
        <v>1000000000</v>
      </c>
      <c r="AJ68" s="12" t="n">
        <f aca="false">IF(AND(MIN(X68:AC68)&gt;=Floor_liq-0.000000001,MIN(AD68:AI68)&gt;=Floor_liq-0.000000001),1,0)</f>
        <v>1</v>
      </c>
      <c r="AK68" s="12" t="n">
        <f aca="false">IF(AC68&gt;=End_liq-0.000000001,1,0)</f>
        <v>1</v>
      </c>
      <c r="AL68" s="12" t="n">
        <f aca="false">AJ68*AK68*W68</f>
        <v>1</v>
      </c>
      <c r="AM68" s="16" t="n">
        <f aca="false">Liq_0-Round_cost*B68+(1-Pledge_share)*P68</f>
        <v>535</v>
      </c>
      <c r="AN68" s="16" t="n">
        <f aca="false">AM68-Round_cost*C68+(1-Pledge_share)*Q68</f>
        <v>467.5</v>
      </c>
      <c r="AO68" s="16" t="n">
        <f aca="false">AN68-Round_cost*D68+(1-Pledge_share)*R68</f>
        <v>408.75</v>
      </c>
      <c r="AP68" s="16" t="n">
        <f aca="false">AO68-Round_cost*E68+(1-Pledge_share)*S68</f>
        <v>354.375</v>
      </c>
      <c r="AQ68" s="16" t="n">
        <f aca="false">AP68-Round_cost*F68+(1-Pledge_share)*T68</f>
        <v>302.1875</v>
      </c>
      <c r="AR68" s="16" t="n">
        <f aca="false">AQ68-Round_cost*G68+(1-Pledge_share)*U68</f>
        <v>370</v>
      </c>
      <c r="AS68" s="19" t="n">
        <f aca="false">IF(B68=1,Liq_0-Round_cost,1000000000)</f>
        <v>500</v>
      </c>
      <c r="AT68" s="19" t="n">
        <f aca="false">IF(C68=1,AM68-Round_cost,1000000000)</f>
        <v>415</v>
      </c>
      <c r="AU68" s="19" t="n">
        <f aca="false">IF(D68=1,AN68-Round_cost,1000000000)</f>
        <v>347.5</v>
      </c>
      <c r="AV68" s="19" t="n">
        <f aca="false">IF(E68=1,AO68-Round_cost,1000000000)</f>
        <v>288.75</v>
      </c>
      <c r="AW68" s="19" t="n">
        <f aca="false">IF(F68=1,AP68-Round_cost,1000000000)</f>
        <v>234.375</v>
      </c>
      <c r="AX68" s="19" t="n">
        <f aca="false">IF(G68=1,AQ68-Round_cost,1000000000)</f>
        <v>1000000000</v>
      </c>
      <c r="AY68" s="12" t="n">
        <f aca="false">IF(AND(MIN(AM68:AR68)&gt;=Floor_liq-0.000000001,MIN(AS68:AX68)&gt;=Floor_liq-0.000000001),1,0)</f>
        <v>0</v>
      </c>
      <c r="AZ68" s="12" t="n">
        <f aca="false">IF(AR68&gt;=End_liq-0.000000001,1,0)</f>
        <v>0</v>
      </c>
      <c r="BA68" s="12" t="n">
        <f aca="false">AY68*AZ68*W68</f>
        <v>0</v>
      </c>
      <c r="BB68" s="16" t="n">
        <f aca="false">Pledge_share*V68</f>
        <v>350</v>
      </c>
      <c r="BC68" s="16" t="n">
        <f aca="false">IF(BA68=1,H68*10000+BB68,-1)</f>
        <v>-1</v>
      </c>
      <c r="BD68" s="14" t="n">
        <f aca="false">U68</f>
        <v>135.625</v>
      </c>
      <c r="BE68" s="16" t="n">
        <f aca="false">AC68</f>
        <v>720</v>
      </c>
      <c r="BF68" s="16" t="n">
        <f aca="false">IF(AL68=1,AC68-End_liq,-1000000000)</f>
        <v>250</v>
      </c>
      <c r="BG68" s="16" t="n">
        <f aca="false">IF(AL68=1,BF68+BG$4*BD68,-1000000000)</f>
        <v>250</v>
      </c>
      <c r="BH68" s="16" t="n">
        <f aca="false">IF(AL68=1,BF68+BH$4*BD68,-1000000000)</f>
        <v>928.125</v>
      </c>
      <c r="BI68" s="16" t="n">
        <f aca="false">IF(AL68=1,BF68+BI$4*BD68,-1000000000)</f>
        <v>1606.25</v>
      </c>
      <c r="BJ68" s="16" t="n">
        <f aca="false">IF(AL68=1,BF68+BJ$4*BD68,-1000000000)</f>
        <v>2962.5</v>
      </c>
      <c r="BK68" s="16" t="n">
        <f aca="false">IF(AL68=1,BF68+BK$4*BD68,-1000000000)</f>
        <v>5675</v>
      </c>
      <c r="BL68" s="16" t="n">
        <f aca="false">IF(AL68=1,BF68+BL$4*BD68,-1000000000)</f>
        <v>8387.5</v>
      </c>
      <c r="BM68" s="12" t="n">
        <f aca="false">IF(H68=0,1,IF(I68=VALUE(LEFT("123456",H68)),1,0))</f>
        <v>1</v>
      </c>
      <c r="BN68" s="12" t="n">
        <f aca="false">IF(BG68&gt;0,1000*BG68,-1000000000000)</f>
        <v>250000</v>
      </c>
      <c r="BO68" s="16" t="n">
        <f aca="false">IF(BG68&gt;0,BG68+100,-1000000000)</f>
        <v>350</v>
      </c>
      <c r="BP68" s="20" t="n">
        <f aca="false">IF(BG68&gt;0,LN(BG68),-1000000000)</f>
        <v>5.52146091786225</v>
      </c>
    </row>
    <row r="69" customFormat="false" ht="15" hidden="false" customHeight="false" outlineLevel="0" collapsed="false">
      <c r="A69" s="12" t="n">
        <v>63</v>
      </c>
      <c r="B69" s="12" t="n">
        <f aca="false">MOD(INT($A69/32),2)</f>
        <v>1</v>
      </c>
      <c r="C69" s="12" t="n">
        <f aca="false">MOD(INT($A69/16),2)</f>
        <v>1</v>
      </c>
      <c r="D69" s="12" t="n">
        <f aca="false">MOD(INT($A69/8),2)</f>
        <v>1</v>
      </c>
      <c r="E69" s="12" t="n">
        <f aca="false">MOD(INT($A69/4),2)</f>
        <v>1</v>
      </c>
      <c r="F69" s="12" t="n">
        <f aca="false">MOD(INT($A69/2),2)</f>
        <v>1</v>
      </c>
      <c r="G69" s="12" t="n">
        <f aca="false">MOD(INT($A69/1),2)</f>
        <v>1</v>
      </c>
      <c r="H69" s="12" t="n">
        <f aca="false">SUM(B69:G69)</f>
        <v>6</v>
      </c>
      <c r="I69" s="12" t="n">
        <f aca="false">IF(H69=0,0,VALUE(IF(B69=1,"1","")&amp;IF(C69=1,"2","")&amp;IF(D69=1,"3","")&amp;IF(E69=1,"4","")&amp;IF(F69=1,"5","")&amp;IF(G69=1,"6","")))</f>
        <v>123456</v>
      </c>
      <c r="J69" s="14" t="n">
        <f aca="false">IF(B69=1,Eff_0+Gap_closed*(Eff_ceiling-Eff_0),Eff_0)</f>
        <v>78</v>
      </c>
      <c r="K69" s="14" t="n">
        <f aca="false">IF(C69=1,J69+Gap_closed*(Eff_ceiling-J69),J69)</f>
        <v>81.5</v>
      </c>
      <c r="L69" s="14" t="n">
        <f aca="false">IF(D69=1,K69+Gap_closed*(Eff_ceiling-K69),K69)</f>
        <v>83.25</v>
      </c>
      <c r="M69" s="14" t="n">
        <f aca="false">IF(E69=1,L69+Gap_closed*(Eff_ceiling-L69),L69)</f>
        <v>84.125</v>
      </c>
      <c r="N69" s="14" t="n">
        <f aca="false">IF(F69=1,M69+Gap_closed*(Eff_ceiling-M69),M69)</f>
        <v>84.5625</v>
      </c>
      <c r="O69" s="14" t="n">
        <f aca="false">IF(G69=1,N69+Gap_closed*(Eff_ceiling-N69),N69)</f>
        <v>84.78125</v>
      </c>
      <c r="P69" s="14" t="n">
        <f aca="false">Sav_point*(J69-Eff_0)</f>
        <v>70</v>
      </c>
      <c r="Q69" s="14" t="n">
        <f aca="false">Sav_point*(K69-Eff_0)</f>
        <v>105</v>
      </c>
      <c r="R69" s="14" t="n">
        <f aca="false">Sav_point*(L69-Eff_0)</f>
        <v>122.5</v>
      </c>
      <c r="S69" s="14" t="n">
        <f aca="false">Sav_point*(M69-Eff_0)</f>
        <v>131.25</v>
      </c>
      <c r="T69" s="14" t="n">
        <f aca="false">Sav_point*(N69-Eff_0)</f>
        <v>135.625</v>
      </c>
      <c r="U69" s="14" t="n">
        <f aca="false">Sav_point*(O69-Eff_0)</f>
        <v>137.8125</v>
      </c>
      <c r="V69" s="14" t="n">
        <f aca="false">SUM(P69:U69)</f>
        <v>702.1875</v>
      </c>
      <c r="W69" s="12" t="n">
        <f aca="false">IF(AND(H69&gt;0,Cap_0&lt;Cap_min),0,1)</f>
        <v>1</v>
      </c>
      <c r="X69" s="16" t="n">
        <f aca="false">Liq_0-Round_cost*B69+1*P69</f>
        <v>570</v>
      </c>
      <c r="Y69" s="16" t="n">
        <f aca="false">X69-Round_cost*C69+1*Q69</f>
        <v>555</v>
      </c>
      <c r="Z69" s="16" t="n">
        <f aca="false">Y69-Round_cost*D69+1*R69</f>
        <v>557.5</v>
      </c>
      <c r="AA69" s="16" t="n">
        <f aca="false">Z69-Round_cost*E69+1*S69</f>
        <v>568.75</v>
      </c>
      <c r="AB69" s="16" t="n">
        <f aca="false">AA69-Round_cost*F69+1*T69</f>
        <v>584.375</v>
      </c>
      <c r="AC69" s="16" t="n">
        <f aca="false">AB69-Round_cost*G69+1*U69</f>
        <v>602.1875</v>
      </c>
      <c r="AD69" s="19" t="n">
        <f aca="false">IF(B69=1,Liq_0-Round_cost,1000000000)</f>
        <v>500</v>
      </c>
      <c r="AE69" s="19" t="n">
        <f aca="false">IF(C69=1,X69-Round_cost,1000000000)</f>
        <v>450</v>
      </c>
      <c r="AF69" s="19" t="n">
        <f aca="false">IF(D69=1,Y69-Round_cost,1000000000)</f>
        <v>435</v>
      </c>
      <c r="AG69" s="19" t="n">
        <f aca="false">IF(E69=1,Z69-Round_cost,1000000000)</f>
        <v>437.5</v>
      </c>
      <c r="AH69" s="19" t="n">
        <f aca="false">IF(F69=1,AA69-Round_cost,1000000000)</f>
        <v>448.75</v>
      </c>
      <c r="AI69" s="19" t="n">
        <f aca="false">IF(G69=1,AB69-Round_cost,1000000000)</f>
        <v>464.375</v>
      </c>
      <c r="AJ69" s="12" t="n">
        <f aca="false">IF(AND(MIN(X69:AC69)&gt;=Floor_liq-0.000000001,MIN(AD69:AI69)&gt;=Floor_liq-0.000000001),1,0)</f>
        <v>1</v>
      </c>
      <c r="AK69" s="12" t="n">
        <f aca="false">IF(AC69&gt;=End_liq-0.000000001,1,0)</f>
        <v>1</v>
      </c>
      <c r="AL69" s="12" t="n">
        <f aca="false">AJ69*AK69*W69</f>
        <v>1</v>
      </c>
      <c r="AM69" s="16" t="n">
        <f aca="false">Liq_0-Round_cost*B69+(1-Pledge_share)*P69</f>
        <v>535</v>
      </c>
      <c r="AN69" s="16" t="n">
        <f aca="false">AM69-Round_cost*C69+(1-Pledge_share)*Q69</f>
        <v>467.5</v>
      </c>
      <c r="AO69" s="16" t="n">
        <f aca="false">AN69-Round_cost*D69+(1-Pledge_share)*R69</f>
        <v>408.75</v>
      </c>
      <c r="AP69" s="16" t="n">
        <f aca="false">AO69-Round_cost*E69+(1-Pledge_share)*S69</f>
        <v>354.375</v>
      </c>
      <c r="AQ69" s="16" t="n">
        <f aca="false">AP69-Round_cost*F69+(1-Pledge_share)*T69</f>
        <v>302.1875</v>
      </c>
      <c r="AR69" s="16" t="n">
        <f aca="false">AQ69-Round_cost*G69+(1-Pledge_share)*U69</f>
        <v>251.09375</v>
      </c>
      <c r="AS69" s="19" t="n">
        <f aca="false">IF(B69=1,Liq_0-Round_cost,1000000000)</f>
        <v>500</v>
      </c>
      <c r="AT69" s="19" t="n">
        <f aca="false">IF(C69=1,AM69-Round_cost,1000000000)</f>
        <v>415</v>
      </c>
      <c r="AU69" s="19" t="n">
        <f aca="false">IF(D69=1,AN69-Round_cost,1000000000)</f>
        <v>347.5</v>
      </c>
      <c r="AV69" s="19" t="n">
        <f aca="false">IF(E69=1,AO69-Round_cost,1000000000)</f>
        <v>288.75</v>
      </c>
      <c r="AW69" s="19" t="n">
        <f aca="false">IF(F69=1,AP69-Round_cost,1000000000)</f>
        <v>234.375</v>
      </c>
      <c r="AX69" s="19" t="n">
        <f aca="false">IF(G69=1,AQ69-Round_cost,1000000000)</f>
        <v>182.1875</v>
      </c>
      <c r="AY69" s="12" t="n">
        <f aca="false">IF(AND(MIN(AM69:AR69)&gt;=Floor_liq-0.000000001,MIN(AS69:AX69)&gt;=Floor_liq-0.000000001),1,0)</f>
        <v>0</v>
      </c>
      <c r="AZ69" s="12" t="n">
        <f aca="false">IF(AR69&gt;=End_liq-0.000000001,1,0)</f>
        <v>0</v>
      </c>
      <c r="BA69" s="12" t="n">
        <f aca="false">AY69*AZ69*W69</f>
        <v>0</v>
      </c>
      <c r="BB69" s="16" t="n">
        <f aca="false">Pledge_share*V69</f>
        <v>351.09375</v>
      </c>
      <c r="BC69" s="16" t="n">
        <f aca="false">IF(BA69=1,H69*10000+BB69,-1)</f>
        <v>-1</v>
      </c>
      <c r="BD69" s="14" t="n">
        <f aca="false">U69</f>
        <v>137.8125</v>
      </c>
      <c r="BE69" s="16" t="n">
        <f aca="false">AC69</f>
        <v>602.1875</v>
      </c>
      <c r="BF69" s="16" t="n">
        <f aca="false">IF(AL69=1,AC69-End_liq,-1000000000)</f>
        <v>132.1875</v>
      </c>
      <c r="BG69" s="16" t="n">
        <f aca="false">IF(AL69=1,BF69+BG$4*BD69,-1000000000)</f>
        <v>132.1875</v>
      </c>
      <c r="BH69" s="16" t="n">
        <f aca="false">IF(AL69=1,BF69+BH$4*BD69,-1000000000)</f>
        <v>821.25</v>
      </c>
      <c r="BI69" s="16" t="n">
        <f aca="false">IF(AL69=1,BF69+BI$4*BD69,-1000000000)</f>
        <v>1510.3125</v>
      </c>
      <c r="BJ69" s="16" t="n">
        <f aca="false">IF(AL69=1,BF69+BJ$4*BD69,-1000000000)</f>
        <v>2888.4375</v>
      </c>
      <c r="BK69" s="16" t="n">
        <f aca="false">IF(AL69=1,BF69+BK$4*BD69,-1000000000)</f>
        <v>5644.6875</v>
      </c>
      <c r="BL69" s="16" t="n">
        <f aca="false">IF(AL69=1,BF69+BL$4*BD69,-1000000000)</f>
        <v>8400.9375</v>
      </c>
      <c r="BM69" s="12" t="n">
        <f aca="false">IF(H69=0,1,IF(I69=VALUE(LEFT("123456",H69)),1,0))</f>
        <v>1</v>
      </c>
      <c r="BN69" s="12" t="n">
        <f aca="false">IF(BG69&gt;0,1000*BG69,-1000000000000)</f>
        <v>132187.5</v>
      </c>
      <c r="BO69" s="16" t="n">
        <f aca="false">IF(BG69&gt;0,BG69+100,-1000000000)</f>
        <v>232.1875</v>
      </c>
      <c r="BP69" s="20" t="n">
        <f aca="false">IF(BG69&gt;0,LN(BG69),-1000000000)</f>
        <v>4.8842213692406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21" min="3" style="0" width="11"/>
  </cols>
  <sheetData>
    <row r="1" customFormat="false" ht="1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10" t="s">
        <v>231</v>
      </c>
    </row>
    <row r="4" customFormat="false" ht="15" hidden="false" customHeight="false" outlineLevel="0" collapsed="false">
      <c r="A4" s="4" t="s">
        <v>232</v>
      </c>
    </row>
    <row r="5" customFormat="false" ht="35.05" hidden="false" customHeight="false" outlineLevel="0" collapsed="false">
      <c r="A5" s="8" t="s">
        <v>233</v>
      </c>
      <c r="B5" s="8" t="s">
        <v>234</v>
      </c>
      <c r="C5" s="8" t="s">
        <v>235</v>
      </c>
      <c r="D5" s="8" t="s">
        <v>236</v>
      </c>
      <c r="E5" s="8" t="s">
        <v>237</v>
      </c>
      <c r="F5" s="8" t="s">
        <v>238</v>
      </c>
      <c r="G5" s="8" t="s">
        <v>239</v>
      </c>
      <c r="H5" s="8" t="s">
        <v>240</v>
      </c>
      <c r="I5" s="8" t="s">
        <v>241</v>
      </c>
      <c r="J5" s="8" t="s">
        <v>242</v>
      </c>
      <c r="K5" s="8" t="s">
        <v>243</v>
      </c>
      <c r="L5" s="8" t="s">
        <v>244</v>
      </c>
      <c r="M5" s="8" t="s">
        <v>245</v>
      </c>
      <c r="N5" s="8" t="s">
        <v>246</v>
      </c>
      <c r="O5" s="8" t="s">
        <v>247</v>
      </c>
      <c r="P5" s="8" t="s">
        <v>248</v>
      </c>
      <c r="Q5" s="8" t="s">
        <v>249</v>
      </c>
      <c r="R5" s="8" t="s">
        <v>250</v>
      </c>
      <c r="S5" s="8" t="s">
        <v>251</v>
      </c>
      <c r="T5" s="8" t="s">
        <v>252</v>
      </c>
      <c r="U5" s="8" t="s">
        <v>253</v>
      </c>
    </row>
    <row r="6" customFormat="false" ht="15" hidden="false" customHeight="false" outlineLevel="0" collapsed="false">
      <c r="A6" s="12" t="n">
        <v>1</v>
      </c>
      <c r="B6" s="5" t="s">
        <v>60</v>
      </c>
      <c r="C6" s="12" t="n">
        <f aca="false">INDEX(Declarations!$B$19:$B$23,MATCH(B6,Declarations!$A$19:$A$23,0))</f>
        <v>16</v>
      </c>
      <c r="D6" s="12" t="n">
        <v>1</v>
      </c>
      <c r="E6" s="12" t="n">
        <v>1</v>
      </c>
      <c r="F6" s="12" t="n">
        <v>1</v>
      </c>
      <c r="G6" s="12" t="n">
        <v>1</v>
      </c>
      <c r="H6" s="12" t="n">
        <v>1</v>
      </c>
      <c r="I6" s="12" t="n">
        <f aca="false">D6*IF($C6=1,0,1)</f>
        <v>1</v>
      </c>
      <c r="J6" s="12" t="n">
        <f aca="false">E6*IF($C6=2,0,1)</f>
        <v>1</v>
      </c>
      <c r="K6" s="12" t="n">
        <f aca="false">F6*IF($C6=4,0,1)</f>
        <v>1</v>
      </c>
      <c r="L6" s="12" t="n">
        <f aca="false">G6*IF($C6=8,0,1)</f>
        <v>1</v>
      </c>
      <c r="M6" s="12" t="n">
        <f aca="false">H6*IF($C6=16,0,1)</f>
        <v>0</v>
      </c>
      <c r="N6" s="12" t="n">
        <f aca="false">SUMPRODUCT((1-K6+K6*(Sch_rounds=6))*(1-I6*(1-(L6*Sch_floor5+(1-L6)*Sch_floor0)))*(1-J6*(1-Sch_cap))*(1-M6*(1-(L6*Sch_end5+(1-L6)*Sch_end0))))</f>
        <v>0</v>
      </c>
      <c r="O6" s="12" t="n">
        <f aca="false">IF(N6&gt;0,1,0)</f>
        <v>0</v>
      </c>
      <c r="P6" s="2" t="str">
        <f aca="false">IF(O6=1,"keep it: without it the rest can hold","drop it: the rest still clash")</f>
        <v>drop it: the rest still clash</v>
      </c>
      <c r="Q6" s="12" t="n">
        <f aca="false">IF(O6=1,D6,I6)</f>
        <v>1</v>
      </c>
      <c r="R6" s="12" t="n">
        <f aca="false">IF(O6=1,E6,J6)</f>
        <v>1</v>
      </c>
      <c r="S6" s="12" t="n">
        <f aca="false">IF(O6=1,F6,K6)</f>
        <v>1</v>
      </c>
      <c r="T6" s="12" t="n">
        <f aca="false">IF(O6=1,G6,L6)</f>
        <v>1</v>
      </c>
      <c r="U6" s="12" t="n">
        <f aca="false">IF(O6=1,H6,M6)</f>
        <v>0</v>
      </c>
    </row>
    <row r="7" customFormat="false" ht="15" hidden="false" customHeight="false" outlineLevel="0" collapsed="false">
      <c r="A7" s="12" t="n">
        <v>2</v>
      </c>
      <c r="B7" s="5" t="s">
        <v>48</v>
      </c>
      <c r="C7" s="12" t="n">
        <f aca="false">INDEX(Declarations!$B$19:$B$23,MATCH(B7,Declarations!$A$19:$A$23,0))</f>
        <v>1</v>
      </c>
      <c r="D7" s="12" t="n">
        <f aca="false">Q6</f>
        <v>1</v>
      </c>
      <c r="E7" s="12" t="n">
        <f aca="false">R6</f>
        <v>1</v>
      </c>
      <c r="F7" s="12" t="n">
        <f aca="false">S6</f>
        <v>1</v>
      </c>
      <c r="G7" s="12" t="n">
        <f aca="false">T6</f>
        <v>1</v>
      </c>
      <c r="H7" s="12" t="n">
        <f aca="false">U6</f>
        <v>0</v>
      </c>
      <c r="I7" s="12" t="n">
        <f aca="false">D7*IF($C7=1,0,1)</f>
        <v>0</v>
      </c>
      <c r="J7" s="12" t="n">
        <f aca="false">E7*IF($C7=2,0,1)</f>
        <v>1</v>
      </c>
      <c r="K7" s="12" t="n">
        <f aca="false">F7*IF($C7=4,0,1)</f>
        <v>1</v>
      </c>
      <c r="L7" s="12" t="n">
        <f aca="false">G7*IF($C7=8,0,1)</f>
        <v>1</v>
      </c>
      <c r="M7" s="12" t="n">
        <f aca="false">H7*IF($C7=16,0,1)</f>
        <v>0</v>
      </c>
      <c r="N7" s="12" t="n">
        <f aca="false">SUMPRODUCT((1-K7+K7*(Sch_rounds=6))*(1-I7*(1-(L7*Sch_floor5+(1-L7)*Sch_floor0)))*(1-J7*(1-Sch_cap))*(1-M7*(1-(L7*Sch_end5+(1-L7)*Sch_end0))))</f>
        <v>1</v>
      </c>
      <c r="O7" s="12" t="n">
        <f aca="false">IF(N7&gt;0,1,0)</f>
        <v>1</v>
      </c>
      <c r="P7" s="2" t="str">
        <f aca="false">IF(O7=1,"keep it: without it the rest can hold","drop it: the rest still clash")</f>
        <v>keep it: without it the rest can hold</v>
      </c>
      <c r="Q7" s="12" t="n">
        <f aca="false">IF(O7=1,D7,I7)</f>
        <v>1</v>
      </c>
      <c r="R7" s="12" t="n">
        <f aca="false">IF(O7=1,E7,J7)</f>
        <v>1</v>
      </c>
      <c r="S7" s="12" t="n">
        <f aca="false">IF(O7=1,F7,K7)</f>
        <v>1</v>
      </c>
      <c r="T7" s="12" t="n">
        <f aca="false">IF(O7=1,G7,L7)</f>
        <v>1</v>
      </c>
      <c r="U7" s="12" t="n">
        <f aca="false">IF(O7=1,H7,M7)</f>
        <v>0</v>
      </c>
    </row>
    <row r="8" customFormat="false" ht="15" hidden="false" customHeight="false" outlineLevel="0" collapsed="false">
      <c r="A8" s="12" t="n">
        <v>3</v>
      </c>
      <c r="B8" s="5" t="s">
        <v>51</v>
      </c>
      <c r="C8" s="12" t="n">
        <f aca="false">INDEX(Declarations!$B$19:$B$23,MATCH(B8,Declarations!$A$19:$A$23,0))</f>
        <v>2</v>
      </c>
      <c r="D8" s="12" t="n">
        <f aca="false">Q7</f>
        <v>1</v>
      </c>
      <c r="E8" s="12" t="n">
        <f aca="false">R7</f>
        <v>1</v>
      </c>
      <c r="F8" s="12" t="n">
        <f aca="false">S7</f>
        <v>1</v>
      </c>
      <c r="G8" s="12" t="n">
        <f aca="false">T7</f>
        <v>1</v>
      </c>
      <c r="H8" s="12" t="n">
        <f aca="false">U7</f>
        <v>0</v>
      </c>
      <c r="I8" s="12" t="n">
        <f aca="false">D8*IF($C8=1,0,1)</f>
        <v>1</v>
      </c>
      <c r="J8" s="12" t="n">
        <f aca="false">E8*IF($C8=2,0,1)</f>
        <v>0</v>
      </c>
      <c r="K8" s="12" t="n">
        <f aca="false">F8*IF($C8=4,0,1)</f>
        <v>1</v>
      </c>
      <c r="L8" s="12" t="n">
        <f aca="false">G8*IF($C8=8,0,1)</f>
        <v>1</v>
      </c>
      <c r="M8" s="12" t="n">
        <f aca="false">H8*IF($C8=16,0,1)</f>
        <v>0</v>
      </c>
      <c r="N8" s="12" t="n">
        <f aca="false">SUMPRODUCT((1-K8+K8*(Sch_rounds=6))*(1-I8*(1-(L8*Sch_floor5+(1-L8)*Sch_floor0)))*(1-J8*(1-Sch_cap))*(1-M8*(1-(L8*Sch_end5+(1-L8)*Sch_end0))))</f>
        <v>0</v>
      </c>
      <c r="O8" s="12" t="n">
        <f aca="false">IF(N8&gt;0,1,0)</f>
        <v>0</v>
      </c>
      <c r="P8" s="2" t="str">
        <f aca="false">IF(O8=1,"keep it: without it the rest can hold","drop it: the rest still clash")</f>
        <v>drop it: the rest still clash</v>
      </c>
      <c r="Q8" s="12" t="n">
        <f aca="false">IF(O8=1,D8,I8)</f>
        <v>1</v>
      </c>
      <c r="R8" s="12" t="n">
        <f aca="false">IF(O8=1,E8,J8)</f>
        <v>0</v>
      </c>
      <c r="S8" s="12" t="n">
        <f aca="false">IF(O8=1,F8,K8)</f>
        <v>1</v>
      </c>
      <c r="T8" s="12" t="n">
        <f aca="false">IF(O8=1,G8,L8)</f>
        <v>1</v>
      </c>
      <c r="U8" s="12" t="n">
        <f aca="false">IF(O8=1,H8,M8)</f>
        <v>0</v>
      </c>
    </row>
    <row r="9" customFormat="false" ht="15" hidden="false" customHeight="false" outlineLevel="0" collapsed="false">
      <c r="A9" s="12" t="n">
        <v>4</v>
      </c>
      <c r="B9" s="5" t="s">
        <v>54</v>
      </c>
      <c r="C9" s="12" t="n">
        <f aca="false">INDEX(Declarations!$B$19:$B$23,MATCH(B9,Declarations!$A$19:$A$23,0))</f>
        <v>4</v>
      </c>
      <c r="D9" s="12" t="n">
        <f aca="false">Q8</f>
        <v>1</v>
      </c>
      <c r="E9" s="12" t="n">
        <f aca="false">R8</f>
        <v>0</v>
      </c>
      <c r="F9" s="12" t="n">
        <f aca="false">S8</f>
        <v>1</v>
      </c>
      <c r="G9" s="12" t="n">
        <f aca="false">T8</f>
        <v>1</v>
      </c>
      <c r="H9" s="12" t="n">
        <f aca="false">U8</f>
        <v>0</v>
      </c>
      <c r="I9" s="12" t="n">
        <f aca="false">D9*IF($C9=1,0,1)</f>
        <v>1</v>
      </c>
      <c r="J9" s="12" t="n">
        <f aca="false">E9*IF($C9=2,0,1)</f>
        <v>0</v>
      </c>
      <c r="K9" s="12" t="n">
        <f aca="false">F9*IF($C9=4,0,1)</f>
        <v>0</v>
      </c>
      <c r="L9" s="12" t="n">
        <f aca="false">G9*IF($C9=8,0,1)</f>
        <v>1</v>
      </c>
      <c r="M9" s="12" t="n">
        <f aca="false">H9*IF($C9=16,0,1)</f>
        <v>0</v>
      </c>
      <c r="N9" s="12" t="n">
        <f aca="false">SUMPRODUCT((1-K9+K9*(Sch_rounds=6))*(1-I9*(1-(L9*Sch_floor5+(1-L9)*Sch_floor0)))*(1-J9*(1-Sch_cap))*(1-M9*(1-(L9*Sch_end5+(1-L9)*Sch_end0))))</f>
        <v>43</v>
      </c>
      <c r="O9" s="12" t="n">
        <f aca="false">IF(N9&gt;0,1,0)</f>
        <v>1</v>
      </c>
      <c r="P9" s="2" t="str">
        <f aca="false">IF(O9=1,"keep it: without it the rest can hold","drop it: the rest still clash")</f>
        <v>keep it: without it the rest can hold</v>
      </c>
      <c r="Q9" s="12" t="n">
        <f aca="false">IF(O9=1,D9,I9)</f>
        <v>1</v>
      </c>
      <c r="R9" s="12" t="n">
        <f aca="false">IF(O9=1,E9,J9)</f>
        <v>0</v>
      </c>
      <c r="S9" s="12" t="n">
        <f aca="false">IF(O9=1,F9,K9)</f>
        <v>1</v>
      </c>
      <c r="T9" s="12" t="n">
        <f aca="false">IF(O9=1,G9,L9)</f>
        <v>1</v>
      </c>
      <c r="U9" s="12" t="n">
        <f aca="false">IF(O9=1,H9,M9)</f>
        <v>0</v>
      </c>
    </row>
    <row r="10" customFormat="false" ht="15" hidden="false" customHeight="false" outlineLevel="0" collapsed="false">
      <c r="A10" s="12" t="n">
        <v>5</v>
      </c>
      <c r="B10" s="5" t="s">
        <v>57</v>
      </c>
      <c r="C10" s="12" t="n">
        <f aca="false">INDEX(Declarations!$B$19:$B$23,MATCH(B10,Declarations!$A$19:$A$23,0))</f>
        <v>8</v>
      </c>
      <c r="D10" s="12" t="n">
        <f aca="false">Q9</f>
        <v>1</v>
      </c>
      <c r="E10" s="12" t="n">
        <f aca="false">R9</f>
        <v>0</v>
      </c>
      <c r="F10" s="12" t="n">
        <f aca="false">S9</f>
        <v>1</v>
      </c>
      <c r="G10" s="12" t="n">
        <f aca="false">T9</f>
        <v>1</v>
      </c>
      <c r="H10" s="12" t="n">
        <f aca="false">U9</f>
        <v>0</v>
      </c>
      <c r="I10" s="12" t="n">
        <f aca="false">D10*IF($C10=1,0,1)</f>
        <v>1</v>
      </c>
      <c r="J10" s="12" t="n">
        <f aca="false">E10*IF($C10=2,0,1)</f>
        <v>0</v>
      </c>
      <c r="K10" s="12" t="n">
        <f aca="false">F10*IF($C10=4,0,1)</f>
        <v>1</v>
      </c>
      <c r="L10" s="12" t="n">
        <f aca="false">G10*IF($C10=8,0,1)</f>
        <v>0</v>
      </c>
      <c r="M10" s="12" t="n">
        <f aca="false">H10*IF($C10=16,0,1)</f>
        <v>0</v>
      </c>
      <c r="N10" s="12" t="n">
        <f aca="false">SUMPRODUCT((1-K10+K10*(Sch_rounds=6))*(1-I10*(1-(L10*Sch_floor5+(1-L10)*Sch_floor0)))*(1-J10*(1-Sch_cap))*(1-M10*(1-(L10*Sch_end5+(1-L10)*Sch_end0))))</f>
        <v>1</v>
      </c>
      <c r="O10" s="12" t="n">
        <f aca="false">IF(N10&gt;0,1,0)</f>
        <v>1</v>
      </c>
      <c r="P10" s="2" t="str">
        <f aca="false">IF(O10=1,"keep it: without it the rest can hold","drop it: the rest still clash")</f>
        <v>keep it: without it the rest can hold</v>
      </c>
      <c r="Q10" s="12" t="n">
        <f aca="false">IF(O10=1,D10,I10)</f>
        <v>1</v>
      </c>
      <c r="R10" s="12" t="n">
        <f aca="false">IF(O10=1,E10,J10)</f>
        <v>0</v>
      </c>
      <c r="S10" s="12" t="n">
        <f aca="false">IF(O10=1,F10,K10)</f>
        <v>1</v>
      </c>
      <c r="T10" s="12" t="n">
        <f aca="false">IF(O10=1,G10,L10)</f>
        <v>1</v>
      </c>
      <c r="U10" s="12" t="n">
        <f aca="false">IF(O10=1,H10,M10)</f>
        <v>0</v>
      </c>
    </row>
    <row r="11" customFormat="false" ht="15" hidden="false" customHeight="false" outlineLevel="0" collapsed="false">
      <c r="A11" s="4" t="s">
        <v>254</v>
      </c>
      <c r="D11" s="4" t="str">
        <f aca="false">MID(IF(Q10=1,", floor","")&amp;IF(R10=1,", capability","")&amp;IF(S10=1,", six rounds","")&amp;IF(T10=1,", half payout","")&amp;IF(U10=1,", end condition",""),3,200)</f>
        <v>floor, six rounds, half payout</v>
      </c>
      <c r="N11" s="4" t="s">
        <v>45</v>
      </c>
      <c r="O11" s="18" t="n">
        <f aca="false">1*Q10+2*R10+4*S10+8*T10+16*U10</f>
        <v>13</v>
      </c>
    </row>
    <row r="14" customFormat="false" ht="15" hidden="false" customHeight="false" outlineLevel="0" collapsed="false">
      <c r="A14" s="4" t="s">
        <v>255</v>
      </c>
    </row>
    <row r="15" customFormat="false" ht="35.05" hidden="false" customHeight="false" outlineLevel="0" collapsed="false">
      <c r="A15" s="8" t="s">
        <v>233</v>
      </c>
      <c r="B15" s="8" t="s">
        <v>234</v>
      </c>
      <c r="C15" s="8" t="s">
        <v>235</v>
      </c>
      <c r="D15" s="8" t="s">
        <v>236</v>
      </c>
      <c r="E15" s="8" t="s">
        <v>237</v>
      </c>
      <c r="F15" s="8" t="s">
        <v>238</v>
      </c>
      <c r="G15" s="8" t="s">
        <v>239</v>
      </c>
      <c r="H15" s="8" t="s">
        <v>240</v>
      </c>
      <c r="I15" s="8" t="s">
        <v>241</v>
      </c>
      <c r="J15" s="8" t="s">
        <v>242</v>
      </c>
      <c r="K15" s="8" t="s">
        <v>243</v>
      </c>
      <c r="L15" s="8" t="s">
        <v>244</v>
      </c>
      <c r="M15" s="8" t="s">
        <v>245</v>
      </c>
      <c r="N15" s="8" t="s">
        <v>246</v>
      </c>
      <c r="O15" s="8" t="s">
        <v>247</v>
      </c>
      <c r="P15" s="8" t="s">
        <v>248</v>
      </c>
      <c r="Q15" s="8" t="s">
        <v>249</v>
      </c>
      <c r="R15" s="8" t="s">
        <v>250</v>
      </c>
      <c r="S15" s="8" t="s">
        <v>251</v>
      </c>
      <c r="T15" s="8" t="s">
        <v>252</v>
      </c>
      <c r="U15" s="8" t="s">
        <v>253</v>
      </c>
    </row>
    <row r="16" customFormat="false" ht="15" hidden="false" customHeight="false" outlineLevel="0" collapsed="false">
      <c r="A16" s="12" t="n">
        <v>1</v>
      </c>
      <c r="B16" s="5" t="s">
        <v>54</v>
      </c>
      <c r="C16" s="12" t="n">
        <f aca="false">INDEX(Declarations!$B$19:$B$23,MATCH(B16,Declarations!$A$19:$A$23,0))</f>
        <v>4</v>
      </c>
      <c r="D16" s="12" t="n">
        <v>1</v>
      </c>
      <c r="E16" s="12" t="n">
        <v>1</v>
      </c>
      <c r="F16" s="12" t="n">
        <v>1</v>
      </c>
      <c r="G16" s="12" t="n">
        <v>1</v>
      </c>
      <c r="H16" s="12" t="n">
        <v>1</v>
      </c>
      <c r="I16" s="12" t="n">
        <f aca="false">D16*IF($C16=1,0,1)</f>
        <v>1</v>
      </c>
      <c r="J16" s="12" t="n">
        <f aca="false">E16*IF($C16=2,0,1)</f>
        <v>1</v>
      </c>
      <c r="K16" s="12" t="n">
        <f aca="false">F16*IF($C16=4,0,1)</f>
        <v>0</v>
      </c>
      <c r="L16" s="12" t="n">
        <f aca="false">G16*IF($C16=8,0,1)</f>
        <v>1</v>
      </c>
      <c r="M16" s="12" t="n">
        <f aca="false">H16*IF($C16=16,0,1)</f>
        <v>1</v>
      </c>
      <c r="N16" s="12" t="n">
        <f aca="false">SUMPRODUCT((1-K16+K16*(Sch_rounds=6))*(1-I16*(1-(L16*Sch_floor5+(1-L16)*Sch_floor0)))*(1-J16*(1-Sch_cap))*(1-M16*(1-(L16*Sch_end5+(1-L16)*Sch_end0))))</f>
        <v>35</v>
      </c>
      <c r="O16" s="12" t="n">
        <f aca="false">IF(N16&gt;0,1,0)</f>
        <v>1</v>
      </c>
      <c r="P16" s="2" t="str">
        <f aca="false">IF(O16=1,"keep it: without it the rest can hold","drop it: the rest still clash")</f>
        <v>keep it: without it the rest can hold</v>
      </c>
      <c r="Q16" s="12" t="n">
        <f aca="false">IF(O16=1,D16,I16)</f>
        <v>1</v>
      </c>
      <c r="R16" s="12" t="n">
        <f aca="false">IF(O16=1,E16,J16)</f>
        <v>1</v>
      </c>
      <c r="S16" s="12" t="n">
        <f aca="false">IF(O16=1,F16,K16)</f>
        <v>1</v>
      </c>
      <c r="T16" s="12" t="n">
        <f aca="false">IF(O16=1,G16,L16)</f>
        <v>1</v>
      </c>
      <c r="U16" s="12" t="n">
        <f aca="false">IF(O16=1,H16,M16)</f>
        <v>1</v>
      </c>
    </row>
    <row r="17" customFormat="false" ht="15" hidden="false" customHeight="false" outlineLevel="0" collapsed="false">
      <c r="A17" s="12" t="n">
        <v>2</v>
      </c>
      <c r="B17" s="5" t="s">
        <v>57</v>
      </c>
      <c r="C17" s="12" t="n">
        <f aca="false">INDEX(Declarations!$B$19:$B$23,MATCH(B17,Declarations!$A$19:$A$23,0))</f>
        <v>8</v>
      </c>
      <c r="D17" s="12" t="n">
        <f aca="false">Q16</f>
        <v>1</v>
      </c>
      <c r="E17" s="12" t="n">
        <f aca="false">R16</f>
        <v>1</v>
      </c>
      <c r="F17" s="12" t="n">
        <f aca="false">S16</f>
        <v>1</v>
      </c>
      <c r="G17" s="12" t="n">
        <f aca="false">T16</f>
        <v>1</v>
      </c>
      <c r="H17" s="12" t="n">
        <f aca="false">U16</f>
        <v>1</v>
      </c>
      <c r="I17" s="12" t="n">
        <f aca="false">D17*IF($C17=1,0,1)</f>
        <v>1</v>
      </c>
      <c r="J17" s="12" t="n">
        <f aca="false">E17*IF($C17=2,0,1)</f>
        <v>1</v>
      </c>
      <c r="K17" s="12" t="n">
        <f aca="false">F17*IF($C17=4,0,1)</f>
        <v>1</v>
      </c>
      <c r="L17" s="12" t="n">
        <f aca="false">G17*IF($C17=8,0,1)</f>
        <v>0</v>
      </c>
      <c r="M17" s="12" t="n">
        <f aca="false">H17*IF($C17=16,0,1)</f>
        <v>1</v>
      </c>
      <c r="N17" s="12" t="n">
        <f aca="false">SUMPRODUCT((1-K17+K17*(Sch_rounds=6))*(1-I17*(1-(L17*Sch_floor5+(1-L17)*Sch_floor0)))*(1-J17*(1-Sch_cap))*(1-M17*(1-(L17*Sch_end5+(1-L17)*Sch_end0))))</f>
        <v>1</v>
      </c>
      <c r="O17" s="12" t="n">
        <f aca="false">IF(N17&gt;0,1,0)</f>
        <v>1</v>
      </c>
      <c r="P17" s="2" t="str">
        <f aca="false">IF(O17=1,"keep it: without it the rest can hold","drop it: the rest still clash")</f>
        <v>keep it: without it the rest can hold</v>
      </c>
      <c r="Q17" s="12" t="n">
        <f aca="false">IF(O17=1,D17,I17)</f>
        <v>1</v>
      </c>
      <c r="R17" s="12" t="n">
        <f aca="false">IF(O17=1,E17,J17)</f>
        <v>1</v>
      </c>
      <c r="S17" s="12" t="n">
        <f aca="false">IF(O17=1,F17,K17)</f>
        <v>1</v>
      </c>
      <c r="T17" s="12" t="n">
        <f aca="false">IF(O17=1,G17,L17)</f>
        <v>1</v>
      </c>
      <c r="U17" s="12" t="n">
        <f aca="false">IF(O17=1,H17,M17)</f>
        <v>1</v>
      </c>
    </row>
    <row r="18" customFormat="false" ht="15" hidden="false" customHeight="false" outlineLevel="0" collapsed="false">
      <c r="A18" s="12" t="n">
        <v>3</v>
      </c>
      <c r="B18" s="5" t="s">
        <v>51</v>
      </c>
      <c r="C18" s="12" t="n">
        <f aca="false">INDEX(Declarations!$B$19:$B$23,MATCH(B18,Declarations!$A$19:$A$23,0))</f>
        <v>2</v>
      </c>
      <c r="D18" s="12" t="n">
        <f aca="false">Q17</f>
        <v>1</v>
      </c>
      <c r="E18" s="12" t="n">
        <f aca="false">R17</f>
        <v>1</v>
      </c>
      <c r="F18" s="12" t="n">
        <f aca="false">S17</f>
        <v>1</v>
      </c>
      <c r="G18" s="12" t="n">
        <f aca="false">T17</f>
        <v>1</v>
      </c>
      <c r="H18" s="12" t="n">
        <f aca="false">U17</f>
        <v>1</v>
      </c>
      <c r="I18" s="12" t="n">
        <f aca="false">D18*IF($C18=1,0,1)</f>
        <v>1</v>
      </c>
      <c r="J18" s="12" t="n">
        <f aca="false">E18*IF($C18=2,0,1)</f>
        <v>0</v>
      </c>
      <c r="K18" s="12" t="n">
        <f aca="false">F18*IF($C18=4,0,1)</f>
        <v>1</v>
      </c>
      <c r="L18" s="12" t="n">
        <f aca="false">G18*IF($C18=8,0,1)</f>
        <v>1</v>
      </c>
      <c r="M18" s="12" t="n">
        <f aca="false">H18*IF($C18=16,0,1)</f>
        <v>1</v>
      </c>
      <c r="N18" s="12" t="n">
        <f aca="false">SUMPRODUCT((1-K18+K18*(Sch_rounds=6))*(1-I18*(1-(L18*Sch_floor5+(1-L18)*Sch_floor0)))*(1-J18*(1-Sch_cap))*(1-M18*(1-(L18*Sch_end5+(1-L18)*Sch_end0))))</f>
        <v>0</v>
      </c>
      <c r="O18" s="12" t="n">
        <f aca="false">IF(N18&gt;0,1,0)</f>
        <v>0</v>
      </c>
      <c r="P18" s="2" t="str">
        <f aca="false">IF(O18=1,"keep it: without it the rest can hold","drop it: the rest still clash")</f>
        <v>drop it: the rest still clash</v>
      </c>
      <c r="Q18" s="12" t="n">
        <f aca="false">IF(O18=1,D18,I18)</f>
        <v>1</v>
      </c>
      <c r="R18" s="12" t="n">
        <f aca="false">IF(O18=1,E18,J18)</f>
        <v>0</v>
      </c>
      <c r="S18" s="12" t="n">
        <f aca="false">IF(O18=1,F18,K18)</f>
        <v>1</v>
      </c>
      <c r="T18" s="12" t="n">
        <f aca="false">IF(O18=1,G18,L18)</f>
        <v>1</v>
      </c>
      <c r="U18" s="12" t="n">
        <f aca="false">IF(O18=1,H18,M18)</f>
        <v>1</v>
      </c>
    </row>
    <row r="19" customFormat="false" ht="15" hidden="false" customHeight="false" outlineLevel="0" collapsed="false">
      <c r="A19" s="12" t="n">
        <v>4</v>
      </c>
      <c r="B19" s="5" t="s">
        <v>48</v>
      </c>
      <c r="C19" s="12" t="n">
        <f aca="false">INDEX(Declarations!$B$19:$B$23,MATCH(B19,Declarations!$A$19:$A$23,0))</f>
        <v>1</v>
      </c>
      <c r="D19" s="12" t="n">
        <f aca="false">Q18</f>
        <v>1</v>
      </c>
      <c r="E19" s="12" t="n">
        <f aca="false">R18</f>
        <v>0</v>
      </c>
      <c r="F19" s="12" t="n">
        <f aca="false">S18</f>
        <v>1</v>
      </c>
      <c r="G19" s="12" t="n">
        <f aca="false">T18</f>
        <v>1</v>
      </c>
      <c r="H19" s="12" t="n">
        <f aca="false">U18</f>
        <v>1</v>
      </c>
      <c r="I19" s="12" t="n">
        <f aca="false">D19*IF($C19=1,0,1)</f>
        <v>0</v>
      </c>
      <c r="J19" s="12" t="n">
        <f aca="false">E19*IF($C19=2,0,1)</f>
        <v>0</v>
      </c>
      <c r="K19" s="12" t="n">
        <f aca="false">F19*IF($C19=4,0,1)</f>
        <v>1</v>
      </c>
      <c r="L19" s="12" t="n">
        <f aca="false">G19*IF($C19=8,0,1)</f>
        <v>1</v>
      </c>
      <c r="M19" s="12" t="n">
        <f aca="false">H19*IF($C19=16,0,1)</f>
        <v>1</v>
      </c>
      <c r="N19" s="12" t="n">
        <f aca="false">SUMPRODUCT((1-K19+K19*(Sch_rounds=6))*(1-I19*(1-(L19*Sch_floor5+(1-L19)*Sch_floor0)))*(1-J19*(1-Sch_cap))*(1-M19*(1-(L19*Sch_end5+(1-L19)*Sch_end0))))</f>
        <v>0</v>
      </c>
      <c r="O19" s="12" t="n">
        <f aca="false">IF(N19&gt;0,1,0)</f>
        <v>0</v>
      </c>
      <c r="P19" s="2" t="str">
        <f aca="false">IF(O19=1,"keep it: without it the rest can hold","drop it: the rest still clash")</f>
        <v>drop it: the rest still clash</v>
      </c>
      <c r="Q19" s="12" t="n">
        <f aca="false">IF(O19=1,D19,I19)</f>
        <v>0</v>
      </c>
      <c r="R19" s="12" t="n">
        <f aca="false">IF(O19=1,E19,J19)</f>
        <v>0</v>
      </c>
      <c r="S19" s="12" t="n">
        <f aca="false">IF(O19=1,F19,K19)</f>
        <v>1</v>
      </c>
      <c r="T19" s="12" t="n">
        <f aca="false">IF(O19=1,G19,L19)</f>
        <v>1</v>
      </c>
      <c r="U19" s="12" t="n">
        <f aca="false">IF(O19=1,H19,M19)</f>
        <v>1</v>
      </c>
    </row>
    <row r="20" customFormat="false" ht="15" hidden="false" customHeight="false" outlineLevel="0" collapsed="false">
      <c r="A20" s="12" t="n">
        <v>5</v>
      </c>
      <c r="B20" s="5" t="s">
        <v>60</v>
      </c>
      <c r="C20" s="12" t="n">
        <f aca="false">INDEX(Declarations!$B$19:$B$23,MATCH(B20,Declarations!$A$19:$A$23,0))</f>
        <v>16</v>
      </c>
      <c r="D20" s="12" t="n">
        <f aca="false">Q19</f>
        <v>0</v>
      </c>
      <c r="E20" s="12" t="n">
        <f aca="false">R19</f>
        <v>0</v>
      </c>
      <c r="F20" s="12" t="n">
        <f aca="false">S19</f>
        <v>1</v>
      </c>
      <c r="G20" s="12" t="n">
        <f aca="false">T19</f>
        <v>1</v>
      </c>
      <c r="H20" s="12" t="n">
        <f aca="false">U19</f>
        <v>1</v>
      </c>
      <c r="I20" s="12" t="n">
        <f aca="false">D20*IF($C20=1,0,1)</f>
        <v>0</v>
      </c>
      <c r="J20" s="12" t="n">
        <f aca="false">E20*IF($C20=2,0,1)</f>
        <v>0</v>
      </c>
      <c r="K20" s="12" t="n">
        <f aca="false">F20*IF($C20=4,0,1)</f>
        <v>1</v>
      </c>
      <c r="L20" s="12" t="n">
        <f aca="false">G20*IF($C20=8,0,1)</f>
        <v>1</v>
      </c>
      <c r="M20" s="12" t="n">
        <f aca="false">H20*IF($C20=16,0,1)</f>
        <v>0</v>
      </c>
      <c r="N20" s="12" t="n">
        <f aca="false">SUMPRODUCT((1-K20+K20*(Sch_rounds=6))*(1-I20*(1-(L20*Sch_floor5+(1-L20)*Sch_floor0)))*(1-J20*(1-Sch_cap))*(1-M20*(1-(L20*Sch_end5+(1-L20)*Sch_end0))))</f>
        <v>1</v>
      </c>
      <c r="O20" s="12" t="n">
        <f aca="false">IF(N20&gt;0,1,0)</f>
        <v>1</v>
      </c>
      <c r="P20" s="2" t="str">
        <f aca="false">IF(O20=1,"keep it: without it the rest can hold","drop it: the rest still clash")</f>
        <v>keep it: without it the rest can hold</v>
      </c>
      <c r="Q20" s="12" t="n">
        <f aca="false">IF(O20=1,D20,I20)</f>
        <v>0</v>
      </c>
      <c r="R20" s="12" t="n">
        <f aca="false">IF(O20=1,E20,J20)</f>
        <v>0</v>
      </c>
      <c r="S20" s="12" t="n">
        <f aca="false">IF(O20=1,F20,K20)</f>
        <v>1</v>
      </c>
      <c r="T20" s="12" t="n">
        <f aca="false">IF(O20=1,G20,L20)</f>
        <v>1</v>
      </c>
      <c r="U20" s="12" t="n">
        <f aca="false">IF(O20=1,H20,M20)</f>
        <v>1</v>
      </c>
    </row>
    <row r="21" customFormat="false" ht="15" hidden="false" customHeight="false" outlineLevel="0" collapsed="false">
      <c r="A21" s="4" t="s">
        <v>254</v>
      </c>
      <c r="D21" s="4" t="str">
        <f aca="false">MID(IF(Q20=1,", floor","")&amp;IF(R20=1,", capability","")&amp;IF(S20=1,", six rounds","")&amp;IF(T20=1,", half payout","")&amp;IF(U20=1,", end condition",""),3,200)</f>
        <v>six rounds, half payout, end condition</v>
      </c>
      <c r="N21" s="4" t="s">
        <v>45</v>
      </c>
      <c r="O21" s="18" t="n">
        <f aca="false">1*Q20+2*R20+4*S20+8*T20+16*U20</f>
        <v>28</v>
      </c>
    </row>
    <row r="24" customFormat="false" ht="15" hidden="false" customHeight="false" outlineLevel="0" collapsed="false">
      <c r="A24" s="4" t="s">
        <v>256</v>
      </c>
    </row>
    <row r="25" customFormat="false" ht="35.05" hidden="false" customHeight="false" outlineLevel="0" collapsed="false">
      <c r="A25" s="8" t="s">
        <v>45</v>
      </c>
      <c r="B25" s="8" t="s">
        <v>257</v>
      </c>
      <c r="C25" s="8" t="s">
        <v>48</v>
      </c>
      <c r="D25" s="8" t="s">
        <v>51</v>
      </c>
      <c r="E25" s="8" t="s">
        <v>54</v>
      </c>
      <c r="F25" s="8" t="s">
        <v>57</v>
      </c>
      <c r="G25" s="8" t="s">
        <v>60</v>
      </c>
      <c r="H25" s="8" t="s">
        <v>258</v>
      </c>
      <c r="I25" s="8" t="s">
        <v>259</v>
      </c>
      <c r="J25" s="8" t="s">
        <v>260</v>
      </c>
      <c r="K25" s="8" t="s">
        <v>261</v>
      </c>
      <c r="L25" s="8" t="s">
        <v>262</v>
      </c>
      <c r="M25" s="8" t="s">
        <v>263</v>
      </c>
      <c r="N25" s="8" t="s">
        <v>264</v>
      </c>
      <c r="O25" s="8" t="s">
        <v>265</v>
      </c>
    </row>
    <row r="26" customFormat="false" ht="15" hidden="false" customHeight="false" outlineLevel="0" collapsed="false">
      <c r="A26" s="12" t="n">
        <v>1</v>
      </c>
      <c r="B26" s="2" t="str">
        <f aca="false">MID(IF(C26=1,", floor","")&amp;IF(D26=1,", capability","")&amp;IF(E26=1,", six rounds","")&amp;IF(F26=1,", half payout","")&amp;IF(G26=1,", end condition",""),3,200)</f>
        <v>floor</v>
      </c>
      <c r="C26" s="12" t="n">
        <f aca="false">MOD(INT($A26/1),2)</f>
        <v>1</v>
      </c>
      <c r="D26" s="12" t="n">
        <f aca="false">MOD(INT($A26/2),2)</f>
        <v>0</v>
      </c>
      <c r="E26" s="12" t="n">
        <f aca="false">MOD(INT($A26/4),2)</f>
        <v>0</v>
      </c>
      <c r="F26" s="12" t="n">
        <f aca="false">MOD(INT($A26/8),2)</f>
        <v>0</v>
      </c>
      <c r="G26" s="12" t="n">
        <f aca="false">MOD(INT($A26/16),2)</f>
        <v>0</v>
      </c>
      <c r="H26" s="12" t="n">
        <f aca="false">SUMPRODUCT((1-E26+E26*(Sch_rounds=6))*(1-C26*(1-(F26*Sch_floor5+(1-F26)*Sch_floor0)))*(1-D26*(1-Sch_cap))*(1-G26*(1-(F26*Sch_end5+(1-F26)*Sch_end0))))</f>
        <v>64</v>
      </c>
      <c r="I26" s="12" t="n">
        <f aca="false">IF(H26&gt;0,1,0)</f>
        <v>1</v>
      </c>
      <c r="J26" s="12" t="n">
        <f aca="false">IF(C26=0,1,IF($A26-1=0,1,INDEX($I$26:$I$56,$A26-1)))</f>
        <v>1</v>
      </c>
      <c r="K26" s="12" t="n">
        <f aca="false">IF(D26=0,1,IF($A26-2=0,1,INDEX($I$26:$I$56,$A26-2)))</f>
        <v>1</v>
      </c>
      <c r="L26" s="12" t="n">
        <f aca="false">IF(E26=0,1,IF($A26-4=0,1,INDEX($I$26:$I$56,$A26-4)))</f>
        <v>1</v>
      </c>
      <c r="M26" s="12" t="n">
        <f aca="false">IF(F26=0,1,IF($A26-8=0,1,INDEX($I$26:$I$56,$A26-8)))</f>
        <v>1</v>
      </c>
      <c r="N26" s="12" t="n">
        <f aca="false">IF(G26=0,1,IF($A26-16=0,1,INDEX($I$26:$I$56,$A26-16)))</f>
        <v>1</v>
      </c>
      <c r="O26" s="12" t="n">
        <f aca="false">IF(AND(I26=0,J26*K26*L26*M26*N26=1),1,0)</f>
        <v>0</v>
      </c>
    </row>
    <row r="27" customFormat="false" ht="15" hidden="false" customHeight="false" outlineLevel="0" collapsed="false">
      <c r="A27" s="12" t="n">
        <v>2</v>
      </c>
      <c r="B27" s="2" t="str">
        <f aca="false">MID(IF(C27=1,", floor","")&amp;IF(D27=1,", capability","")&amp;IF(E27=1,", six rounds","")&amp;IF(F27=1,", half payout","")&amp;IF(G27=1,", end condition",""),3,200)</f>
        <v>capability</v>
      </c>
      <c r="C27" s="12" t="n">
        <f aca="false">MOD(INT($A27/1),2)</f>
        <v>0</v>
      </c>
      <c r="D27" s="12" t="n">
        <f aca="false">MOD(INT($A27/2),2)</f>
        <v>1</v>
      </c>
      <c r="E27" s="12" t="n">
        <f aca="false">MOD(INT($A27/4),2)</f>
        <v>0</v>
      </c>
      <c r="F27" s="12" t="n">
        <f aca="false">MOD(INT($A27/8),2)</f>
        <v>0</v>
      </c>
      <c r="G27" s="12" t="n">
        <f aca="false">MOD(INT($A27/16),2)</f>
        <v>0</v>
      </c>
      <c r="H27" s="12" t="n">
        <f aca="false">SUMPRODUCT((1-E27+E27*(Sch_rounds=6))*(1-C27*(1-(F27*Sch_floor5+(1-F27)*Sch_floor0)))*(1-D27*(1-Sch_cap))*(1-G27*(1-(F27*Sch_end5+(1-F27)*Sch_end0))))</f>
        <v>64</v>
      </c>
      <c r="I27" s="12" t="n">
        <f aca="false">IF(H27&gt;0,1,0)</f>
        <v>1</v>
      </c>
      <c r="J27" s="12" t="n">
        <f aca="false">IF(C27=0,1,IF($A27-1=0,1,INDEX($I$26:$I$56,$A27-1)))</f>
        <v>1</v>
      </c>
      <c r="K27" s="12" t="n">
        <f aca="false">IF(D27=0,1,IF($A27-2=0,1,INDEX($I$26:$I$56,$A27-2)))</f>
        <v>1</v>
      </c>
      <c r="L27" s="12" t="n">
        <f aca="false">IF(E27=0,1,IF($A27-4=0,1,INDEX($I$26:$I$56,$A27-4)))</f>
        <v>1</v>
      </c>
      <c r="M27" s="12" t="n">
        <f aca="false">IF(F27=0,1,IF($A27-8=0,1,INDEX($I$26:$I$56,$A27-8)))</f>
        <v>1</v>
      </c>
      <c r="N27" s="12" t="n">
        <f aca="false">IF(G27=0,1,IF($A27-16=0,1,INDEX($I$26:$I$56,$A27-16)))</f>
        <v>1</v>
      </c>
      <c r="O27" s="12" t="n">
        <f aca="false">IF(AND(I27=0,J27*K27*L27*M27*N27=1),1,0)</f>
        <v>0</v>
      </c>
    </row>
    <row r="28" customFormat="false" ht="15" hidden="false" customHeight="false" outlineLevel="0" collapsed="false">
      <c r="A28" s="12" t="n">
        <v>3</v>
      </c>
      <c r="B28" s="2" t="str">
        <f aca="false">MID(IF(C28=1,", floor","")&amp;IF(D28=1,", capability","")&amp;IF(E28=1,", six rounds","")&amp;IF(F28=1,", half payout","")&amp;IF(G28=1,", end condition",""),3,200)</f>
        <v>floor, capability</v>
      </c>
      <c r="C28" s="12" t="n">
        <f aca="false">MOD(INT($A28/1),2)</f>
        <v>1</v>
      </c>
      <c r="D28" s="12" t="n">
        <f aca="false">MOD(INT($A28/2),2)</f>
        <v>1</v>
      </c>
      <c r="E28" s="12" t="n">
        <f aca="false">MOD(INT($A28/4),2)</f>
        <v>0</v>
      </c>
      <c r="F28" s="12" t="n">
        <f aca="false">MOD(INT($A28/8),2)</f>
        <v>0</v>
      </c>
      <c r="G28" s="12" t="n">
        <f aca="false">MOD(INT($A28/16),2)</f>
        <v>0</v>
      </c>
      <c r="H28" s="12" t="n">
        <f aca="false">SUMPRODUCT((1-E28+E28*(Sch_rounds=6))*(1-C28*(1-(F28*Sch_floor5+(1-F28)*Sch_floor0)))*(1-D28*(1-Sch_cap))*(1-G28*(1-(F28*Sch_end5+(1-F28)*Sch_end0))))</f>
        <v>64</v>
      </c>
      <c r="I28" s="12" t="n">
        <f aca="false">IF(H28&gt;0,1,0)</f>
        <v>1</v>
      </c>
      <c r="J28" s="12" t="n">
        <f aca="false">IF(C28=0,1,IF($A28-1=0,1,INDEX($I$26:$I$56,$A28-1)))</f>
        <v>1</v>
      </c>
      <c r="K28" s="12" t="n">
        <f aca="false">IF(D28=0,1,IF($A28-2=0,1,INDEX($I$26:$I$56,$A28-2)))</f>
        <v>1</v>
      </c>
      <c r="L28" s="12" t="n">
        <f aca="false">IF(E28=0,1,IF($A28-4=0,1,INDEX($I$26:$I$56,$A28-4)))</f>
        <v>1</v>
      </c>
      <c r="M28" s="12" t="n">
        <f aca="false">IF(F28=0,1,IF($A28-8=0,1,INDEX($I$26:$I$56,$A28-8)))</f>
        <v>1</v>
      </c>
      <c r="N28" s="12" t="n">
        <f aca="false">IF(G28=0,1,IF($A28-16=0,1,INDEX($I$26:$I$56,$A28-16)))</f>
        <v>1</v>
      </c>
      <c r="O28" s="12" t="n">
        <f aca="false">IF(AND(I28=0,J28*K28*L28*M28*N28=1),1,0)</f>
        <v>0</v>
      </c>
    </row>
    <row r="29" customFormat="false" ht="15" hidden="false" customHeight="false" outlineLevel="0" collapsed="false">
      <c r="A29" s="12" t="n">
        <v>4</v>
      </c>
      <c r="B29" s="2" t="str">
        <f aca="false">MID(IF(C29=1,", floor","")&amp;IF(D29=1,", capability","")&amp;IF(E29=1,", six rounds","")&amp;IF(F29=1,", half payout","")&amp;IF(G29=1,", end condition",""),3,200)</f>
        <v>six rounds</v>
      </c>
      <c r="C29" s="12" t="n">
        <f aca="false">MOD(INT($A29/1),2)</f>
        <v>0</v>
      </c>
      <c r="D29" s="12" t="n">
        <f aca="false">MOD(INT($A29/2),2)</f>
        <v>0</v>
      </c>
      <c r="E29" s="12" t="n">
        <f aca="false">MOD(INT($A29/4),2)</f>
        <v>1</v>
      </c>
      <c r="F29" s="12" t="n">
        <f aca="false">MOD(INT($A29/8),2)</f>
        <v>0</v>
      </c>
      <c r="G29" s="12" t="n">
        <f aca="false">MOD(INT($A29/16),2)</f>
        <v>0</v>
      </c>
      <c r="H29" s="12" t="n">
        <f aca="false">SUMPRODUCT((1-E29+E29*(Sch_rounds=6))*(1-C29*(1-(F29*Sch_floor5+(1-F29)*Sch_floor0)))*(1-D29*(1-Sch_cap))*(1-G29*(1-(F29*Sch_end5+(1-F29)*Sch_end0))))</f>
        <v>1</v>
      </c>
      <c r="I29" s="12" t="n">
        <f aca="false">IF(H29&gt;0,1,0)</f>
        <v>1</v>
      </c>
      <c r="J29" s="12" t="n">
        <f aca="false">IF(C29=0,1,IF($A29-1=0,1,INDEX($I$26:$I$56,$A29-1)))</f>
        <v>1</v>
      </c>
      <c r="K29" s="12" t="n">
        <f aca="false">IF(D29=0,1,IF($A29-2=0,1,INDEX($I$26:$I$56,$A29-2)))</f>
        <v>1</v>
      </c>
      <c r="L29" s="12" t="n">
        <f aca="false">IF(E29=0,1,IF($A29-4=0,1,INDEX($I$26:$I$56,$A29-4)))</f>
        <v>1</v>
      </c>
      <c r="M29" s="12" t="n">
        <f aca="false">IF(F29=0,1,IF($A29-8=0,1,INDEX($I$26:$I$56,$A29-8)))</f>
        <v>1</v>
      </c>
      <c r="N29" s="12" t="n">
        <f aca="false">IF(G29=0,1,IF($A29-16=0,1,INDEX($I$26:$I$56,$A29-16)))</f>
        <v>1</v>
      </c>
      <c r="O29" s="12" t="n">
        <f aca="false">IF(AND(I29=0,J29*K29*L29*M29*N29=1),1,0)</f>
        <v>0</v>
      </c>
    </row>
    <row r="30" customFormat="false" ht="15" hidden="false" customHeight="false" outlineLevel="0" collapsed="false">
      <c r="A30" s="12" t="n">
        <v>5</v>
      </c>
      <c r="B30" s="2" t="str">
        <f aca="false">MID(IF(C30=1,", floor","")&amp;IF(D30=1,", capability","")&amp;IF(E30=1,", six rounds","")&amp;IF(F30=1,", half payout","")&amp;IF(G30=1,", end condition",""),3,200)</f>
        <v>floor, six rounds</v>
      </c>
      <c r="C30" s="12" t="n">
        <f aca="false">MOD(INT($A30/1),2)</f>
        <v>1</v>
      </c>
      <c r="D30" s="12" t="n">
        <f aca="false">MOD(INT($A30/2),2)</f>
        <v>0</v>
      </c>
      <c r="E30" s="12" t="n">
        <f aca="false">MOD(INT($A30/4),2)</f>
        <v>1</v>
      </c>
      <c r="F30" s="12" t="n">
        <f aca="false">MOD(INT($A30/8),2)</f>
        <v>0</v>
      </c>
      <c r="G30" s="12" t="n">
        <f aca="false">MOD(INT($A30/16),2)</f>
        <v>0</v>
      </c>
      <c r="H30" s="12" t="n">
        <f aca="false">SUMPRODUCT((1-E30+E30*(Sch_rounds=6))*(1-C30*(1-(F30*Sch_floor5+(1-F30)*Sch_floor0)))*(1-D30*(1-Sch_cap))*(1-G30*(1-(F30*Sch_end5+(1-F30)*Sch_end0))))</f>
        <v>1</v>
      </c>
      <c r="I30" s="12" t="n">
        <f aca="false">IF(H30&gt;0,1,0)</f>
        <v>1</v>
      </c>
      <c r="J30" s="12" t="n">
        <f aca="false">IF(C30=0,1,IF($A30-1=0,1,INDEX($I$26:$I$56,$A30-1)))</f>
        <v>1</v>
      </c>
      <c r="K30" s="12" t="n">
        <f aca="false">IF(D30=0,1,IF($A30-2=0,1,INDEX($I$26:$I$56,$A30-2)))</f>
        <v>1</v>
      </c>
      <c r="L30" s="12" t="n">
        <f aca="false">IF(E30=0,1,IF($A30-4=0,1,INDEX($I$26:$I$56,$A30-4)))</f>
        <v>1</v>
      </c>
      <c r="M30" s="12" t="n">
        <f aca="false">IF(F30=0,1,IF($A30-8=0,1,INDEX($I$26:$I$56,$A30-8)))</f>
        <v>1</v>
      </c>
      <c r="N30" s="12" t="n">
        <f aca="false">IF(G30=0,1,IF($A30-16=0,1,INDEX($I$26:$I$56,$A30-16)))</f>
        <v>1</v>
      </c>
      <c r="O30" s="12" t="n">
        <f aca="false">IF(AND(I30=0,J30*K30*L30*M30*N30=1),1,0)</f>
        <v>0</v>
      </c>
    </row>
    <row r="31" customFormat="false" ht="15" hidden="false" customHeight="false" outlineLevel="0" collapsed="false">
      <c r="A31" s="12" t="n">
        <v>6</v>
      </c>
      <c r="B31" s="2" t="str">
        <f aca="false">MID(IF(C31=1,", floor","")&amp;IF(D31=1,", capability","")&amp;IF(E31=1,", six rounds","")&amp;IF(F31=1,", half payout","")&amp;IF(G31=1,", end condition",""),3,200)</f>
        <v>capability, six rounds</v>
      </c>
      <c r="C31" s="12" t="n">
        <f aca="false">MOD(INT($A31/1),2)</f>
        <v>0</v>
      </c>
      <c r="D31" s="12" t="n">
        <f aca="false">MOD(INT($A31/2),2)</f>
        <v>1</v>
      </c>
      <c r="E31" s="12" t="n">
        <f aca="false">MOD(INT($A31/4),2)</f>
        <v>1</v>
      </c>
      <c r="F31" s="12" t="n">
        <f aca="false">MOD(INT($A31/8),2)</f>
        <v>0</v>
      </c>
      <c r="G31" s="12" t="n">
        <f aca="false">MOD(INT($A31/16),2)</f>
        <v>0</v>
      </c>
      <c r="H31" s="12" t="n">
        <f aca="false">SUMPRODUCT((1-E31+E31*(Sch_rounds=6))*(1-C31*(1-(F31*Sch_floor5+(1-F31)*Sch_floor0)))*(1-D31*(1-Sch_cap))*(1-G31*(1-(F31*Sch_end5+(1-F31)*Sch_end0))))</f>
        <v>1</v>
      </c>
      <c r="I31" s="12" t="n">
        <f aca="false">IF(H31&gt;0,1,0)</f>
        <v>1</v>
      </c>
      <c r="J31" s="12" t="n">
        <f aca="false">IF(C31=0,1,IF($A31-1=0,1,INDEX($I$26:$I$56,$A31-1)))</f>
        <v>1</v>
      </c>
      <c r="K31" s="12" t="n">
        <f aca="false">IF(D31=0,1,IF($A31-2=0,1,INDEX($I$26:$I$56,$A31-2)))</f>
        <v>1</v>
      </c>
      <c r="L31" s="12" t="n">
        <f aca="false">IF(E31=0,1,IF($A31-4=0,1,INDEX($I$26:$I$56,$A31-4)))</f>
        <v>1</v>
      </c>
      <c r="M31" s="12" t="n">
        <f aca="false">IF(F31=0,1,IF($A31-8=0,1,INDEX($I$26:$I$56,$A31-8)))</f>
        <v>1</v>
      </c>
      <c r="N31" s="12" t="n">
        <f aca="false">IF(G31=0,1,IF($A31-16=0,1,INDEX($I$26:$I$56,$A31-16)))</f>
        <v>1</v>
      </c>
      <c r="O31" s="12" t="n">
        <f aca="false">IF(AND(I31=0,J31*K31*L31*M31*N31=1),1,0)</f>
        <v>0</v>
      </c>
    </row>
    <row r="32" customFormat="false" ht="15" hidden="false" customHeight="false" outlineLevel="0" collapsed="false">
      <c r="A32" s="12" t="n">
        <v>7</v>
      </c>
      <c r="B32" s="2" t="str">
        <f aca="false">MID(IF(C32=1,", floor","")&amp;IF(D32=1,", capability","")&amp;IF(E32=1,", six rounds","")&amp;IF(F32=1,", half payout","")&amp;IF(G32=1,", end condition",""),3,200)</f>
        <v>floor, capability, six rounds</v>
      </c>
      <c r="C32" s="12" t="n">
        <f aca="false">MOD(INT($A32/1),2)</f>
        <v>1</v>
      </c>
      <c r="D32" s="12" t="n">
        <f aca="false">MOD(INT($A32/2),2)</f>
        <v>1</v>
      </c>
      <c r="E32" s="12" t="n">
        <f aca="false">MOD(INT($A32/4),2)</f>
        <v>1</v>
      </c>
      <c r="F32" s="12" t="n">
        <f aca="false">MOD(INT($A32/8),2)</f>
        <v>0</v>
      </c>
      <c r="G32" s="12" t="n">
        <f aca="false">MOD(INT($A32/16),2)</f>
        <v>0</v>
      </c>
      <c r="H32" s="12" t="n">
        <f aca="false">SUMPRODUCT((1-E32+E32*(Sch_rounds=6))*(1-C32*(1-(F32*Sch_floor5+(1-F32)*Sch_floor0)))*(1-D32*(1-Sch_cap))*(1-G32*(1-(F32*Sch_end5+(1-F32)*Sch_end0))))</f>
        <v>1</v>
      </c>
      <c r="I32" s="12" t="n">
        <f aca="false">IF(H32&gt;0,1,0)</f>
        <v>1</v>
      </c>
      <c r="J32" s="12" t="n">
        <f aca="false">IF(C32=0,1,IF($A32-1=0,1,INDEX($I$26:$I$56,$A32-1)))</f>
        <v>1</v>
      </c>
      <c r="K32" s="12" t="n">
        <f aca="false">IF(D32=0,1,IF($A32-2=0,1,INDEX($I$26:$I$56,$A32-2)))</f>
        <v>1</v>
      </c>
      <c r="L32" s="12" t="n">
        <f aca="false">IF(E32=0,1,IF($A32-4=0,1,INDEX($I$26:$I$56,$A32-4)))</f>
        <v>1</v>
      </c>
      <c r="M32" s="12" t="n">
        <f aca="false">IF(F32=0,1,IF($A32-8=0,1,INDEX($I$26:$I$56,$A32-8)))</f>
        <v>1</v>
      </c>
      <c r="N32" s="12" t="n">
        <f aca="false">IF(G32=0,1,IF($A32-16=0,1,INDEX($I$26:$I$56,$A32-16)))</f>
        <v>1</v>
      </c>
      <c r="O32" s="12" t="n">
        <f aca="false">IF(AND(I32=0,J32*K32*L32*M32*N32=1),1,0)</f>
        <v>0</v>
      </c>
    </row>
    <row r="33" customFormat="false" ht="15" hidden="false" customHeight="false" outlineLevel="0" collapsed="false">
      <c r="A33" s="12" t="n">
        <v>8</v>
      </c>
      <c r="B33" s="2" t="str">
        <f aca="false">MID(IF(C33=1,", floor","")&amp;IF(D33=1,", capability","")&amp;IF(E33=1,", six rounds","")&amp;IF(F33=1,", half payout","")&amp;IF(G33=1,", end condition",""),3,200)</f>
        <v>half payout</v>
      </c>
      <c r="C33" s="12" t="n">
        <f aca="false">MOD(INT($A33/1),2)</f>
        <v>0</v>
      </c>
      <c r="D33" s="12" t="n">
        <f aca="false">MOD(INT($A33/2),2)</f>
        <v>0</v>
      </c>
      <c r="E33" s="12" t="n">
        <f aca="false">MOD(INT($A33/4),2)</f>
        <v>0</v>
      </c>
      <c r="F33" s="12" t="n">
        <f aca="false">MOD(INT($A33/8),2)</f>
        <v>1</v>
      </c>
      <c r="G33" s="12" t="n">
        <f aca="false">MOD(INT($A33/16),2)</f>
        <v>0</v>
      </c>
      <c r="H33" s="12" t="n">
        <f aca="false">SUMPRODUCT((1-E33+E33*(Sch_rounds=6))*(1-C33*(1-(F33*Sch_floor5+(1-F33)*Sch_floor0)))*(1-D33*(1-Sch_cap))*(1-G33*(1-(F33*Sch_end5+(1-F33)*Sch_end0))))</f>
        <v>64</v>
      </c>
      <c r="I33" s="12" t="n">
        <f aca="false">IF(H33&gt;0,1,0)</f>
        <v>1</v>
      </c>
      <c r="J33" s="12" t="n">
        <f aca="false">IF(C33=0,1,IF($A33-1=0,1,INDEX($I$26:$I$56,$A33-1)))</f>
        <v>1</v>
      </c>
      <c r="K33" s="12" t="n">
        <f aca="false">IF(D33=0,1,IF($A33-2=0,1,INDEX($I$26:$I$56,$A33-2)))</f>
        <v>1</v>
      </c>
      <c r="L33" s="12" t="n">
        <f aca="false">IF(E33=0,1,IF($A33-4=0,1,INDEX($I$26:$I$56,$A33-4)))</f>
        <v>1</v>
      </c>
      <c r="M33" s="12" t="n">
        <f aca="false">IF(F33=0,1,IF($A33-8=0,1,INDEX($I$26:$I$56,$A33-8)))</f>
        <v>1</v>
      </c>
      <c r="N33" s="12" t="n">
        <f aca="false">IF(G33=0,1,IF($A33-16=0,1,INDEX($I$26:$I$56,$A33-16)))</f>
        <v>1</v>
      </c>
      <c r="O33" s="12" t="n">
        <f aca="false">IF(AND(I33=0,J33*K33*L33*M33*N33=1),1,0)</f>
        <v>0</v>
      </c>
    </row>
    <row r="34" customFormat="false" ht="15" hidden="false" customHeight="false" outlineLevel="0" collapsed="false">
      <c r="A34" s="12" t="n">
        <v>9</v>
      </c>
      <c r="B34" s="2" t="str">
        <f aca="false">MID(IF(C34=1,", floor","")&amp;IF(D34=1,", capability","")&amp;IF(E34=1,", six rounds","")&amp;IF(F34=1,", half payout","")&amp;IF(G34=1,", end condition",""),3,200)</f>
        <v>floor, half payout</v>
      </c>
      <c r="C34" s="12" t="n">
        <f aca="false">MOD(INT($A34/1),2)</f>
        <v>1</v>
      </c>
      <c r="D34" s="12" t="n">
        <f aca="false">MOD(INT($A34/2),2)</f>
        <v>0</v>
      </c>
      <c r="E34" s="12" t="n">
        <f aca="false">MOD(INT($A34/4),2)</f>
        <v>0</v>
      </c>
      <c r="F34" s="12" t="n">
        <f aca="false">MOD(INT($A34/8),2)</f>
        <v>1</v>
      </c>
      <c r="G34" s="12" t="n">
        <f aca="false">MOD(INT($A34/16),2)</f>
        <v>0</v>
      </c>
      <c r="H34" s="12" t="n">
        <f aca="false">SUMPRODUCT((1-E34+E34*(Sch_rounds=6))*(1-C34*(1-(F34*Sch_floor5+(1-F34)*Sch_floor0)))*(1-D34*(1-Sch_cap))*(1-G34*(1-(F34*Sch_end5+(1-F34)*Sch_end0))))</f>
        <v>43</v>
      </c>
      <c r="I34" s="12" t="n">
        <f aca="false">IF(H34&gt;0,1,0)</f>
        <v>1</v>
      </c>
      <c r="J34" s="12" t="n">
        <f aca="false">IF(C34=0,1,IF($A34-1=0,1,INDEX($I$26:$I$56,$A34-1)))</f>
        <v>1</v>
      </c>
      <c r="K34" s="12" t="n">
        <f aca="false">IF(D34=0,1,IF($A34-2=0,1,INDEX($I$26:$I$56,$A34-2)))</f>
        <v>1</v>
      </c>
      <c r="L34" s="12" t="n">
        <f aca="false">IF(E34=0,1,IF($A34-4=0,1,INDEX($I$26:$I$56,$A34-4)))</f>
        <v>1</v>
      </c>
      <c r="M34" s="12" t="n">
        <f aca="false">IF(F34=0,1,IF($A34-8=0,1,INDEX($I$26:$I$56,$A34-8)))</f>
        <v>1</v>
      </c>
      <c r="N34" s="12" t="n">
        <f aca="false">IF(G34=0,1,IF($A34-16=0,1,INDEX($I$26:$I$56,$A34-16)))</f>
        <v>1</v>
      </c>
      <c r="O34" s="12" t="n">
        <f aca="false">IF(AND(I34=0,J34*K34*L34*M34*N34=1),1,0)</f>
        <v>0</v>
      </c>
    </row>
    <row r="35" customFormat="false" ht="15" hidden="false" customHeight="false" outlineLevel="0" collapsed="false">
      <c r="A35" s="12" t="n">
        <v>10</v>
      </c>
      <c r="B35" s="2" t="str">
        <f aca="false">MID(IF(C35=1,", floor","")&amp;IF(D35=1,", capability","")&amp;IF(E35=1,", six rounds","")&amp;IF(F35=1,", half payout","")&amp;IF(G35=1,", end condition",""),3,200)</f>
        <v>capability, half payout</v>
      </c>
      <c r="C35" s="12" t="n">
        <f aca="false">MOD(INT($A35/1),2)</f>
        <v>0</v>
      </c>
      <c r="D35" s="12" t="n">
        <f aca="false">MOD(INT($A35/2),2)</f>
        <v>1</v>
      </c>
      <c r="E35" s="12" t="n">
        <f aca="false">MOD(INT($A35/4),2)</f>
        <v>0</v>
      </c>
      <c r="F35" s="12" t="n">
        <f aca="false">MOD(INT($A35/8),2)</f>
        <v>1</v>
      </c>
      <c r="G35" s="12" t="n">
        <f aca="false">MOD(INT($A35/16),2)</f>
        <v>0</v>
      </c>
      <c r="H35" s="12" t="n">
        <f aca="false">SUMPRODUCT((1-E35+E35*(Sch_rounds=6))*(1-C35*(1-(F35*Sch_floor5+(1-F35)*Sch_floor0)))*(1-D35*(1-Sch_cap))*(1-G35*(1-(F35*Sch_end5+(1-F35)*Sch_end0))))</f>
        <v>64</v>
      </c>
      <c r="I35" s="12" t="n">
        <f aca="false">IF(H35&gt;0,1,0)</f>
        <v>1</v>
      </c>
      <c r="J35" s="12" t="n">
        <f aca="false">IF(C35=0,1,IF($A35-1=0,1,INDEX($I$26:$I$56,$A35-1)))</f>
        <v>1</v>
      </c>
      <c r="K35" s="12" t="n">
        <f aca="false">IF(D35=0,1,IF($A35-2=0,1,INDEX($I$26:$I$56,$A35-2)))</f>
        <v>1</v>
      </c>
      <c r="L35" s="12" t="n">
        <f aca="false">IF(E35=0,1,IF($A35-4=0,1,INDEX($I$26:$I$56,$A35-4)))</f>
        <v>1</v>
      </c>
      <c r="M35" s="12" t="n">
        <f aca="false">IF(F35=0,1,IF($A35-8=0,1,INDEX($I$26:$I$56,$A35-8)))</f>
        <v>1</v>
      </c>
      <c r="N35" s="12" t="n">
        <f aca="false">IF(G35=0,1,IF($A35-16=0,1,INDEX($I$26:$I$56,$A35-16)))</f>
        <v>1</v>
      </c>
      <c r="O35" s="12" t="n">
        <f aca="false">IF(AND(I35=0,J35*K35*L35*M35*N35=1),1,0)</f>
        <v>0</v>
      </c>
    </row>
    <row r="36" customFormat="false" ht="15" hidden="false" customHeight="false" outlineLevel="0" collapsed="false">
      <c r="A36" s="12" t="n">
        <v>11</v>
      </c>
      <c r="B36" s="2" t="str">
        <f aca="false">MID(IF(C36=1,", floor","")&amp;IF(D36=1,", capability","")&amp;IF(E36=1,", six rounds","")&amp;IF(F36=1,", half payout","")&amp;IF(G36=1,", end condition",""),3,200)</f>
        <v>floor, capability, half payout</v>
      </c>
      <c r="C36" s="12" t="n">
        <f aca="false">MOD(INT($A36/1),2)</f>
        <v>1</v>
      </c>
      <c r="D36" s="12" t="n">
        <f aca="false">MOD(INT($A36/2),2)</f>
        <v>1</v>
      </c>
      <c r="E36" s="12" t="n">
        <f aca="false">MOD(INT($A36/4),2)</f>
        <v>0</v>
      </c>
      <c r="F36" s="12" t="n">
        <f aca="false">MOD(INT($A36/8),2)</f>
        <v>1</v>
      </c>
      <c r="G36" s="12" t="n">
        <f aca="false">MOD(INT($A36/16),2)</f>
        <v>0</v>
      </c>
      <c r="H36" s="12" t="n">
        <f aca="false">SUMPRODUCT((1-E36+E36*(Sch_rounds=6))*(1-C36*(1-(F36*Sch_floor5+(1-F36)*Sch_floor0)))*(1-D36*(1-Sch_cap))*(1-G36*(1-(F36*Sch_end5+(1-F36)*Sch_end0))))</f>
        <v>43</v>
      </c>
      <c r="I36" s="12" t="n">
        <f aca="false">IF(H36&gt;0,1,0)</f>
        <v>1</v>
      </c>
      <c r="J36" s="12" t="n">
        <f aca="false">IF(C36=0,1,IF($A36-1=0,1,INDEX($I$26:$I$56,$A36-1)))</f>
        <v>1</v>
      </c>
      <c r="K36" s="12" t="n">
        <f aca="false">IF(D36=0,1,IF($A36-2=0,1,INDEX($I$26:$I$56,$A36-2)))</f>
        <v>1</v>
      </c>
      <c r="L36" s="12" t="n">
        <f aca="false">IF(E36=0,1,IF($A36-4=0,1,INDEX($I$26:$I$56,$A36-4)))</f>
        <v>1</v>
      </c>
      <c r="M36" s="12" t="n">
        <f aca="false">IF(F36=0,1,IF($A36-8=0,1,INDEX($I$26:$I$56,$A36-8)))</f>
        <v>1</v>
      </c>
      <c r="N36" s="12" t="n">
        <f aca="false">IF(G36=0,1,IF($A36-16=0,1,INDEX($I$26:$I$56,$A36-16)))</f>
        <v>1</v>
      </c>
      <c r="O36" s="12" t="n">
        <f aca="false">IF(AND(I36=0,J36*K36*L36*M36*N36=1),1,0)</f>
        <v>0</v>
      </c>
    </row>
    <row r="37" customFormat="false" ht="15" hidden="false" customHeight="false" outlineLevel="0" collapsed="false">
      <c r="A37" s="12" t="n">
        <v>12</v>
      </c>
      <c r="B37" s="2" t="str">
        <f aca="false">MID(IF(C37=1,", floor","")&amp;IF(D37=1,", capability","")&amp;IF(E37=1,", six rounds","")&amp;IF(F37=1,", half payout","")&amp;IF(G37=1,", end condition",""),3,200)</f>
        <v>six rounds, half payout</v>
      </c>
      <c r="C37" s="12" t="n">
        <f aca="false">MOD(INT($A37/1),2)</f>
        <v>0</v>
      </c>
      <c r="D37" s="12" t="n">
        <f aca="false">MOD(INT($A37/2),2)</f>
        <v>0</v>
      </c>
      <c r="E37" s="12" t="n">
        <f aca="false">MOD(INT($A37/4),2)</f>
        <v>1</v>
      </c>
      <c r="F37" s="12" t="n">
        <f aca="false">MOD(INT($A37/8),2)</f>
        <v>1</v>
      </c>
      <c r="G37" s="12" t="n">
        <f aca="false">MOD(INT($A37/16),2)</f>
        <v>0</v>
      </c>
      <c r="H37" s="12" t="n">
        <f aca="false">SUMPRODUCT((1-E37+E37*(Sch_rounds=6))*(1-C37*(1-(F37*Sch_floor5+(1-F37)*Sch_floor0)))*(1-D37*(1-Sch_cap))*(1-G37*(1-(F37*Sch_end5+(1-F37)*Sch_end0))))</f>
        <v>1</v>
      </c>
      <c r="I37" s="12" t="n">
        <f aca="false">IF(H37&gt;0,1,0)</f>
        <v>1</v>
      </c>
      <c r="J37" s="12" t="n">
        <f aca="false">IF(C37=0,1,IF($A37-1=0,1,INDEX($I$26:$I$56,$A37-1)))</f>
        <v>1</v>
      </c>
      <c r="K37" s="12" t="n">
        <f aca="false">IF(D37=0,1,IF($A37-2=0,1,INDEX($I$26:$I$56,$A37-2)))</f>
        <v>1</v>
      </c>
      <c r="L37" s="12" t="n">
        <f aca="false">IF(E37=0,1,IF($A37-4=0,1,INDEX($I$26:$I$56,$A37-4)))</f>
        <v>1</v>
      </c>
      <c r="M37" s="12" t="n">
        <f aca="false">IF(F37=0,1,IF($A37-8=0,1,INDEX($I$26:$I$56,$A37-8)))</f>
        <v>1</v>
      </c>
      <c r="N37" s="12" t="n">
        <f aca="false">IF(G37=0,1,IF($A37-16=0,1,INDEX($I$26:$I$56,$A37-16)))</f>
        <v>1</v>
      </c>
      <c r="O37" s="12" t="n">
        <f aca="false">IF(AND(I37=0,J37*K37*L37*M37*N37=1),1,0)</f>
        <v>0</v>
      </c>
    </row>
    <row r="38" customFormat="false" ht="15" hidden="false" customHeight="false" outlineLevel="0" collapsed="false">
      <c r="A38" s="12" t="n">
        <v>13</v>
      </c>
      <c r="B38" s="2" t="str">
        <f aca="false">MID(IF(C38=1,", floor","")&amp;IF(D38=1,", capability","")&amp;IF(E38=1,", six rounds","")&amp;IF(F38=1,", half payout","")&amp;IF(G38=1,", end condition",""),3,200)</f>
        <v>floor, six rounds, half payout</v>
      </c>
      <c r="C38" s="12" t="n">
        <f aca="false">MOD(INT($A38/1),2)</f>
        <v>1</v>
      </c>
      <c r="D38" s="12" t="n">
        <f aca="false">MOD(INT($A38/2),2)</f>
        <v>0</v>
      </c>
      <c r="E38" s="12" t="n">
        <f aca="false">MOD(INT($A38/4),2)</f>
        <v>1</v>
      </c>
      <c r="F38" s="12" t="n">
        <f aca="false">MOD(INT($A38/8),2)</f>
        <v>1</v>
      </c>
      <c r="G38" s="12" t="n">
        <f aca="false">MOD(INT($A38/16),2)</f>
        <v>0</v>
      </c>
      <c r="H38" s="12" t="n">
        <f aca="false">SUMPRODUCT((1-E38+E38*(Sch_rounds=6))*(1-C38*(1-(F38*Sch_floor5+(1-F38)*Sch_floor0)))*(1-D38*(1-Sch_cap))*(1-G38*(1-(F38*Sch_end5+(1-F38)*Sch_end0))))</f>
        <v>0</v>
      </c>
      <c r="I38" s="12" t="n">
        <f aca="false">IF(H38&gt;0,1,0)</f>
        <v>0</v>
      </c>
      <c r="J38" s="12" t="n">
        <f aca="false">IF(C38=0,1,IF($A38-1=0,1,INDEX($I$26:$I$56,$A38-1)))</f>
        <v>1</v>
      </c>
      <c r="K38" s="12" t="n">
        <f aca="false">IF(D38=0,1,IF($A38-2=0,1,INDEX($I$26:$I$56,$A38-2)))</f>
        <v>1</v>
      </c>
      <c r="L38" s="12" t="n">
        <f aca="false">IF(E38=0,1,IF($A38-4=0,1,INDEX($I$26:$I$56,$A38-4)))</f>
        <v>1</v>
      </c>
      <c r="M38" s="12" t="n">
        <f aca="false">IF(F38=0,1,IF($A38-8=0,1,INDEX($I$26:$I$56,$A38-8)))</f>
        <v>1</v>
      </c>
      <c r="N38" s="12" t="n">
        <f aca="false">IF(G38=0,1,IF($A38-16=0,1,INDEX($I$26:$I$56,$A38-16)))</f>
        <v>1</v>
      </c>
      <c r="O38" s="12" t="n">
        <f aca="false">IF(AND(I38=0,J38*K38*L38*M38*N38=1),1,0)</f>
        <v>1</v>
      </c>
    </row>
    <row r="39" customFormat="false" ht="15" hidden="false" customHeight="false" outlineLevel="0" collapsed="false">
      <c r="A39" s="12" t="n">
        <v>14</v>
      </c>
      <c r="B39" s="2" t="str">
        <f aca="false">MID(IF(C39=1,", floor","")&amp;IF(D39=1,", capability","")&amp;IF(E39=1,", six rounds","")&amp;IF(F39=1,", half payout","")&amp;IF(G39=1,", end condition",""),3,200)</f>
        <v>capability, six rounds, half payout</v>
      </c>
      <c r="C39" s="12" t="n">
        <f aca="false">MOD(INT($A39/1),2)</f>
        <v>0</v>
      </c>
      <c r="D39" s="12" t="n">
        <f aca="false">MOD(INT($A39/2),2)</f>
        <v>1</v>
      </c>
      <c r="E39" s="12" t="n">
        <f aca="false">MOD(INT($A39/4),2)</f>
        <v>1</v>
      </c>
      <c r="F39" s="12" t="n">
        <f aca="false">MOD(INT($A39/8),2)</f>
        <v>1</v>
      </c>
      <c r="G39" s="12" t="n">
        <f aca="false">MOD(INT($A39/16),2)</f>
        <v>0</v>
      </c>
      <c r="H39" s="12" t="n">
        <f aca="false">SUMPRODUCT((1-E39+E39*(Sch_rounds=6))*(1-C39*(1-(F39*Sch_floor5+(1-F39)*Sch_floor0)))*(1-D39*(1-Sch_cap))*(1-G39*(1-(F39*Sch_end5+(1-F39)*Sch_end0))))</f>
        <v>1</v>
      </c>
      <c r="I39" s="12" t="n">
        <f aca="false">IF(H39&gt;0,1,0)</f>
        <v>1</v>
      </c>
      <c r="J39" s="12" t="n">
        <f aca="false">IF(C39=0,1,IF($A39-1=0,1,INDEX($I$26:$I$56,$A39-1)))</f>
        <v>1</v>
      </c>
      <c r="K39" s="12" t="n">
        <f aca="false">IF(D39=0,1,IF($A39-2=0,1,INDEX($I$26:$I$56,$A39-2)))</f>
        <v>1</v>
      </c>
      <c r="L39" s="12" t="n">
        <f aca="false">IF(E39=0,1,IF($A39-4=0,1,INDEX($I$26:$I$56,$A39-4)))</f>
        <v>1</v>
      </c>
      <c r="M39" s="12" t="n">
        <f aca="false">IF(F39=0,1,IF($A39-8=0,1,INDEX($I$26:$I$56,$A39-8)))</f>
        <v>1</v>
      </c>
      <c r="N39" s="12" t="n">
        <f aca="false">IF(G39=0,1,IF($A39-16=0,1,INDEX($I$26:$I$56,$A39-16)))</f>
        <v>1</v>
      </c>
      <c r="O39" s="12" t="n">
        <f aca="false">IF(AND(I39=0,J39*K39*L39*M39*N39=1),1,0)</f>
        <v>0</v>
      </c>
    </row>
    <row r="40" customFormat="false" ht="15" hidden="false" customHeight="false" outlineLevel="0" collapsed="false">
      <c r="A40" s="12" t="n">
        <v>15</v>
      </c>
      <c r="B40" s="2" t="str">
        <f aca="false">MID(IF(C40=1,", floor","")&amp;IF(D40=1,", capability","")&amp;IF(E40=1,", six rounds","")&amp;IF(F40=1,", half payout","")&amp;IF(G40=1,", end condition",""),3,200)</f>
        <v>floor, capability, six rounds, half payout</v>
      </c>
      <c r="C40" s="12" t="n">
        <f aca="false">MOD(INT($A40/1),2)</f>
        <v>1</v>
      </c>
      <c r="D40" s="12" t="n">
        <f aca="false">MOD(INT($A40/2),2)</f>
        <v>1</v>
      </c>
      <c r="E40" s="12" t="n">
        <f aca="false">MOD(INT($A40/4),2)</f>
        <v>1</v>
      </c>
      <c r="F40" s="12" t="n">
        <f aca="false">MOD(INT($A40/8),2)</f>
        <v>1</v>
      </c>
      <c r="G40" s="12" t="n">
        <f aca="false">MOD(INT($A40/16),2)</f>
        <v>0</v>
      </c>
      <c r="H40" s="12" t="n">
        <f aca="false">SUMPRODUCT((1-E40+E40*(Sch_rounds=6))*(1-C40*(1-(F40*Sch_floor5+(1-F40)*Sch_floor0)))*(1-D40*(1-Sch_cap))*(1-G40*(1-(F40*Sch_end5+(1-F40)*Sch_end0))))</f>
        <v>0</v>
      </c>
      <c r="I40" s="12" t="n">
        <f aca="false">IF(H40&gt;0,1,0)</f>
        <v>0</v>
      </c>
      <c r="J40" s="12" t="n">
        <f aca="false">IF(C40=0,1,IF($A40-1=0,1,INDEX($I$26:$I$56,$A40-1)))</f>
        <v>1</v>
      </c>
      <c r="K40" s="12" t="n">
        <f aca="false">IF(D40=0,1,IF($A40-2=0,1,INDEX($I$26:$I$56,$A40-2)))</f>
        <v>0</v>
      </c>
      <c r="L40" s="12" t="n">
        <f aca="false">IF(E40=0,1,IF($A40-4=0,1,INDEX($I$26:$I$56,$A40-4)))</f>
        <v>1</v>
      </c>
      <c r="M40" s="12" t="n">
        <f aca="false">IF(F40=0,1,IF($A40-8=0,1,INDEX($I$26:$I$56,$A40-8)))</f>
        <v>1</v>
      </c>
      <c r="N40" s="12" t="n">
        <f aca="false">IF(G40=0,1,IF($A40-16=0,1,INDEX($I$26:$I$56,$A40-16)))</f>
        <v>1</v>
      </c>
      <c r="O40" s="12" t="n">
        <f aca="false">IF(AND(I40=0,J40*K40*L40*M40*N40=1),1,0)</f>
        <v>0</v>
      </c>
    </row>
    <row r="41" customFormat="false" ht="15" hidden="false" customHeight="false" outlineLevel="0" collapsed="false">
      <c r="A41" s="12" t="n">
        <v>16</v>
      </c>
      <c r="B41" s="2" t="str">
        <f aca="false">MID(IF(C41=1,", floor","")&amp;IF(D41=1,", capability","")&amp;IF(E41=1,", six rounds","")&amp;IF(F41=1,", half payout","")&amp;IF(G41=1,", end condition",""),3,200)</f>
        <v>end condition</v>
      </c>
      <c r="C41" s="12" t="n">
        <f aca="false">MOD(INT($A41/1),2)</f>
        <v>0</v>
      </c>
      <c r="D41" s="12" t="n">
        <f aca="false">MOD(INT($A41/2),2)</f>
        <v>0</v>
      </c>
      <c r="E41" s="12" t="n">
        <f aca="false">MOD(INT($A41/4),2)</f>
        <v>0</v>
      </c>
      <c r="F41" s="12" t="n">
        <f aca="false">MOD(INT($A41/8),2)</f>
        <v>0</v>
      </c>
      <c r="G41" s="12" t="n">
        <f aca="false">MOD(INT($A41/16),2)</f>
        <v>1</v>
      </c>
      <c r="H41" s="12" t="n">
        <f aca="false">SUMPRODUCT((1-E41+E41*(Sch_rounds=6))*(1-C41*(1-(F41*Sch_floor5+(1-F41)*Sch_floor0)))*(1-D41*(1-Sch_cap))*(1-G41*(1-(F41*Sch_end5+(1-F41)*Sch_end0))))</f>
        <v>64</v>
      </c>
      <c r="I41" s="12" t="n">
        <f aca="false">IF(H41&gt;0,1,0)</f>
        <v>1</v>
      </c>
      <c r="J41" s="12" t="n">
        <f aca="false">IF(C41=0,1,IF($A41-1=0,1,INDEX($I$26:$I$56,$A41-1)))</f>
        <v>1</v>
      </c>
      <c r="K41" s="12" t="n">
        <f aca="false">IF(D41=0,1,IF($A41-2=0,1,INDEX($I$26:$I$56,$A41-2)))</f>
        <v>1</v>
      </c>
      <c r="L41" s="12" t="n">
        <f aca="false">IF(E41=0,1,IF($A41-4=0,1,INDEX($I$26:$I$56,$A41-4)))</f>
        <v>1</v>
      </c>
      <c r="M41" s="12" t="n">
        <f aca="false">IF(F41=0,1,IF($A41-8=0,1,INDEX($I$26:$I$56,$A41-8)))</f>
        <v>1</v>
      </c>
      <c r="N41" s="12" t="n">
        <f aca="false">IF(G41=0,1,IF($A41-16=0,1,INDEX($I$26:$I$56,$A41-16)))</f>
        <v>1</v>
      </c>
      <c r="O41" s="12" t="n">
        <f aca="false">IF(AND(I41=0,J41*K41*L41*M41*N41=1),1,0)</f>
        <v>0</v>
      </c>
    </row>
    <row r="42" customFormat="false" ht="15" hidden="false" customHeight="false" outlineLevel="0" collapsed="false">
      <c r="A42" s="12" t="n">
        <v>17</v>
      </c>
      <c r="B42" s="2" t="str">
        <f aca="false">MID(IF(C42=1,", floor","")&amp;IF(D42=1,", capability","")&amp;IF(E42=1,", six rounds","")&amp;IF(F42=1,", half payout","")&amp;IF(G42=1,", end condition",""),3,200)</f>
        <v>floor, end condition</v>
      </c>
      <c r="C42" s="12" t="n">
        <f aca="false">MOD(INT($A42/1),2)</f>
        <v>1</v>
      </c>
      <c r="D42" s="12" t="n">
        <f aca="false">MOD(INT($A42/2),2)</f>
        <v>0</v>
      </c>
      <c r="E42" s="12" t="n">
        <f aca="false">MOD(INT($A42/4),2)</f>
        <v>0</v>
      </c>
      <c r="F42" s="12" t="n">
        <f aca="false">MOD(INT($A42/8),2)</f>
        <v>0</v>
      </c>
      <c r="G42" s="12" t="n">
        <f aca="false">MOD(INT($A42/16),2)</f>
        <v>1</v>
      </c>
      <c r="H42" s="12" t="n">
        <f aca="false">SUMPRODUCT((1-E42+E42*(Sch_rounds=6))*(1-C42*(1-(F42*Sch_floor5+(1-F42)*Sch_floor0)))*(1-D42*(1-Sch_cap))*(1-G42*(1-(F42*Sch_end5+(1-F42)*Sch_end0))))</f>
        <v>64</v>
      </c>
      <c r="I42" s="12" t="n">
        <f aca="false">IF(H42&gt;0,1,0)</f>
        <v>1</v>
      </c>
      <c r="J42" s="12" t="n">
        <f aca="false">IF(C42=0,1,IF($A42-1=0,1,INDEX($I$26:$I$56,$A42-1)))</f>
        <v>1</v>
      </c>
      <c r="K42" s="12" t="n">
        <f aca="false">IF(D42=0,1,IF($A42-2=0,1,INDEX($I$26:$I$56,$A42-2)))</f>
        <v>1</v>
      </c>
      <c r="L42" s="12" t="n">
        <f aca="false">IF(E42=0,1,IF($A42-4=0,1,INDEX($I$26:$I$56,$A42-4)))</f>
        <v>1</v>
      </c>
      <c r="M42" s="12" t="n">
        <f aca="false">IF(F42=0,1,IF($A42-8=0,1,INDEX($I$26:$I$56,$A42-8)))</f>
        <v>1</v>
      </c>
      <c r="N42" s="12" t="n">
        <f aca="false">IF(G42=0,1,IF($A42-16=0,1,INDEX($I$26:$I$56,$A42-16)))</f>
        <v>1</v>
      </c>
      <c r="O42" s="12" t="n">
        <f aca="false">IF(AND(I42=0,J42*K42*L42*M42*N42=1),1,0)</f>
        <v>0</v>
      </c>
    </row>
    <row r="43" customFormat="false" ht="15" hidden="false" customHeight="false" outlineLevel="0" collapsed="false">
      <c r="A43" s="12" t="n">
        <v>18</v>
      </c>
      <c r="B43" s="2" t="str">
        <f aca="false">MID(IF(C43=1,", floor","")&amp;IF(D43=1,", capability","")&amp;IF(E43=1,", six rounds","")&amp;IF(F43=1,", half payout","")&amp;IF(G43=1,", end condition",""),3,200)</f>
        <v>capability, end condition</v>
      </c>
      <c r="C43" s="12" t="n">
        <f aca="false">MOD(INT($A43/1),2)</f>
        <v>0</v>
      </c>
      <c r="D43" s="12" t="n">
        <f aca="false">MOD(INT($A43/2),2)</f>
        <v>1</v>
      </c>
      <c r="E43" s="12" t="n">
        <f aca="false">MOD(INT($A43/4),2)</f>
        <v>0</v>
      </c>
      <c r="F43" s="12" t="n">
        <f aca="false">MOD(INT($A43/8),2)</f>
        <v>0</v>
      </c>
      <c r="G43" s="12" t="n">
        <f aca="false">MOD(INT($A43/16),2)</f>
        <v>1</v>
      </c>
      <c r="H43" s="12" t="n">
        <f aca="false">SUMPRODUCT((1-E43+E43*(Sch_rounds=6))*(1-C43*(1-(F43*Sch_floor5+(1-F43)*Sch_floor0)))*(1-D43*(1-Sch_cap))*(1-G43*(1-(F43*Sch_end5+(1-F43)*Sch_end0))))</f>
        <v>64</v>
      </c>
      <c r="I43" s="12" t="n">
        <f aca="false">IF(H43&gt;0,1,0)</f>
        <v>1</v>
      </c>
      <c r="J43" s="12" t="n">
        <f aca="false">IF(C43=0,1,IF($A43-1=0,1,INDEX($I$26:$I$56,$A43-1)))</f>
        <v>1</v>
      </c>
      <c r="K43" s="12" t="n">
        <f aca="false">IF(D43=0,1,IF($A43-2=0,1,INDEX($I$26:$I$56,$A43-2)))</f>
        <v>1</v>
      </c>
      <c r="L43" s="12" t="n">
        <f aca="false">IF(E43=0,1,IF($A43-4=0,1,INDEX($I$26:$I$56,$A43-4)))</f>
        <v>1</v>
      </c>
      <c r="M43" s="12" t="n">
        <f aca="false">IF(F43=0,1,IF($A43-8=0,1,INDEX($I$26:$I$56,$A43-8)))</f>
        <v>1</v>
      </c>
      <c r="N43" s="12" t="n">
        <f aca="false">IF(G43=0,1,IF($A43-16=0,1,INDEX($I$26:$I$56,$A43-16)))</f>
        <v>1</v>
      </c>
      <c r="O43" s="12" t="n">
        <f aca="false">IF(AND(I43=0,J43*K43*L43*M43*N43=1),1,0)</f>
        <v>0</v>
      </c>
    </row>
    <row r="44" customFormat="false" ht="15" hidden="false" customHeight="false" outlineLevel="0" collapsed="false">
      <c r="A44" s="12" t="n">
        <v>19</v>
      </c>
      <c r="B44" s="2" t="str">
        <f aca="false">MID(IF(C44=1,", floor","")&amp;IF(D44=1,", capability","")&amp;IF(E44=1,", six rounds","")&amp;IF(F44=1,", half payout","")&amp;IF(G44=1,", end condition",""),3,200)</f>
        <v>floor, capability, end condition</v>
      </c>
      <c r="C44" s="12" t="n">
        <f aca="false">MOD(INT($A44/1),2)</f>
        <v>1</v>
      </c>
      <c r="D44" s="12" t="n">
        <f aca="false">MOD(INT($A44/2),2)</f>
        <v>1</v>
      </c>
      <c r="E44" s="12" t="n">
        <f aca="false">MOD(INT($A44/4),2)</f>
        <v>0</v>
      </c>
      <c r="F44" s="12" t="n">
        <f aca="false">MOD(INT($A44/8),2)</f>
        <v>0</v>
      </c>
      <c r="G44" s="12" t="n">
        <f aca="false">MOD(INT($A44/16),2)</f>
        <v>1</v>
      </c>
      <c r="H44" s="12" t="n">
        <f aca="false">SUMPRODUCT((1-E44+E44*(Sch_rounds=6))*(1-C44*(1-(F44*Sch_floor5+(1-F44)*Sch_floor0)))*(1-D44*(1-Sch_cap))*(1-G44*(1-(F44*Sch_end5+(1-F44)*Sch_end0))))</f>
        <v>64</v>
      </c>
      <c r="I44" s="12" t="n">
        <f aca="false">IF(H44&gt;0,1,0)</f>
        <v>1</v>
      </c>
      <c r="J44" s="12" t="n">
        <f aca="false">IF(C44=0,1,IF($A44-1=0,1,INDEX($I$26:$I$56,$A44-1)))</f>
        <v>1</v>
      </c>
      <c r="K44" s="12" t="n">
        <f aca="false">IF(D44=0,1,IF($A44-2=0,1,INDEX($I$26:$I$56,$A44-2)))</f>
        <v>1</v>
      </c>
      <c r="L44" s="12" t="n">
        <f aca="false">IF(E44=0,1,IF($A44-4=0,1,INDEX($I$26:$I$56,$A44-4)))</f>
        <v>1</v>
      </c>
      <c r="M44" s="12" t="n">
        <f aca="false">IF(F44=0,1,IF($A44-8=0,1,INDEX($I$26:$I$56,$A44-8)))</f>
        <v>1</v>
      </c>
      <c r="N44" s="12" t="n">
        <f aca="false">IF(G44=0,1,IF($A44-16=0,1,INDEX($I$26:$I$56,$A44-16)))</f>
        <v>1</v>
      </c>
      <c r="O44" s="12" t="n">
        <f aca="false">IF(AND(I44=0,J44*K44*L44*M44*N44=1),1,0)</f>
        <v>0</v>
      </c>
    </row>
    <row r="45" customFormat="false" ht="15" hidden="false" customHeight="false" outlineLevel="0" collapsed="false">
      <c r="A45" s="12" t="n">
        <v>20</v>
      </c>
      <c r="B45" s="2" t="str">
        <f aca="false">MID(IF(C45=1,", floor","")&amp;IF(D45=1,", capability","")&amp;IF(E45=1,", six rounds","")&amp;IF(F45=1,", half payout","")&amp;IF(G45=1,", end condition",""),3,200)</f>
        <v>six rounds, end condition</v>
      </c>
      <c r="C45" s="12" t="n">
        <f aca="false">MOD(INT($A45/1),2)</f>
        <v>0</v>
      </c>
      <c r="D45" s="12" t="n">
        <f aca="false">MOD(INT($A45/2),2)</f>
        <v>0</v>
      </c>
      <c r="E45" s="12" t="n">
        <f aca="false">MOD(INT($A45/4),2)</f>
        <v>1</v>
      </c>
      <c r="F45" s="12" t="n">
        <f aca="false">MOD(INT($A45/8),2)</f>
        <v>0</v>
      </c>
      <c r="G45" s="12" t="n">
        <f aca="false">MOD(INT($A45/16),2)</f>
        <v>1</v>
      </c>
      <c r="H45" s="12" t="n">
        <f aca="false">SUMPRODUCT((1-E45+E45*(Sch_rounds=6))*(1-C45*(1-(F45*Sch_floor5+(1-F45)*Sch_floor0)))*(1-D45*(1-Sch_cap))*(1-G45*(1-(F45*Sch_end5+(1-F45)*Sch_end0))))</f>
        <v>1</v>
      </c>
      <c r="I45" s="12" t="n">
        <f aca="false">IF(H45&gt;0,1,0)</f>
        <v>1</v>
      </c>
      <c r="J45" s="12" t="n">
        <f aca="false">IF(C45=0,1,IF($A45-1=0,1,INDEX($I$26:$I$56,$A45-1)))</f>
        <v>1</v>
      </c>
      <c r="K45" s="12" t="n">
        <f aca="false">IF(D45=0,1,IF($A45-2=0,1,INDEX($I$26:$I$56,$A45-2)))</f>
        <v>1</v>
      </c>
      <c r="L45" s="12" t="n">
        <f aca="false">IF(E45=0,1,IF($A45-4=0,1,INDEX($I$26:$I$56,$A45-4)))</f>
        <v>1</v>
      </c>
      <c r="M45" s="12" t="n">
        <f aca="false">IF(F45=0,1,IF($A45-8=0,1,INDEX($I$26:$I$56,$A45-8)))</f>
        <v>1</v>
      </c>
      <c r="N45" s="12" t="n">
        <f aca="false">IF(G45=0,1,IF($A45-16=0,1,INDEX($I$26:$I$56,$A45-16)))</f>
        <v>1</v>
      </c>
      <c r="O45" s="12" t="n">
        <f aca="false">IF(AND(I45=0,J45*K45*L45*M45*N45=1),1,0)</f>
        <v>0</v>
      </c>
    </row>
    <row r="46" customFormat="false" ht="15" hidden="false" customHeight="false" outlineLevel="0" collapsed="false">
      <c r="A46" s="12" t="n">
        <v>21</v>
      </c>
      <c r="B46" s="2" t="str">
        <f aca="false">MID(IF(C46=1,", floor","")&amp;IF(D46=1,", capability","")&amp;IF(E46=1,", six rounds","")&amp;IF(F46=1,", half payout","")&amp;IF(G46=1,", end condition",""),3,200)</f>
        <v>floor, six rounds, end condition</v>
      </c>
      <c r="C46" s="12" t="n">
        <f aca="false">MOD(INT($A46/1),2)</f>
        <v>1</v>
      </c>
      <c r="D46" s="12" t="n">
        <f aca="false">MOD(INT($A46/2),2)</f>
        <v>0</v>
      </c>
      <c r="E46" s="12" t="n">
        <f aca="false">MOD(INT($A46/4),2)</f>
        <v>1</v>
      </c>
      <c r="F46" s="12" t="n">
        <f aca="false">MOD(INT($A46/8),2)</f>
        <v>0</v>
      </c>
      <c r="G46" s="12" t="n">
        <f aca="false">MOD(INT($A46/16),2)</f>
        <v>1</v>
      </c>
      <c r="H46" s="12" t="n">
        <f aca="false">SUMPRODUCT((1-E46+E46*(Sch_rounds=6))*(1-C46*(1-(F46*Sch_floor5+(1-F46)*Sch_floor0)))*(1-D46*(1-Sch_cap))*(1-G46*(1-(F46*Sch_end5+(1-F46)*Sch_end0))))</f>
        <v>1</v>
      </c>
      <c r="I46" s="12" t="n">
        <f aca="false">IF(H46&gt;0,1,0)</f>
        <v>1</v>
      </c>
      <c r="J46" s="12" t="n">
        <f aca="false">IF(C46=0,1,IF($A46-1=0,1,INDEX($I$26:$I$56,$A46-1)))</f>
        <v>1</v>
      </c>
      <c r="K46" s="12" t="n">
        <f aca="false">IF(D46=0,1,IF($A46-2=0,1,INDEX($I$26:$I$56,$A46-2)))</f>
        <v>1</v>
      </c>
      <c r="L46" s="12" t="n">
        <f aca="false">IF(E46=0,1,IF($A46-4=0,1,INDEX($I$26:$I$56,$A46-4)))</f>
        <v>1</v>
      </c>
      <c r="M46" s="12" t="n">
        <f aca="false">IF(F46=0,1,IF($A46-8=0,1,INDEX($I$26:$I$56,$A46-8)))</f>
        <v>1</v>
      </c>
      <c r="N46" s="12" t="n">
        <f aca="false">IF(G46=0,1,IF($A46-16=0,1,INDEX($I$26:$I$56,$A46-16)))</f>
        <v>1</v>
      </c>
      <c r="O46" s="12" t="n">
        <f aca="false">IF(AND(I46=0,J46*K46*L46*M46*N46=1),1,0)</f>
        <v>0</v>
      </c>
    </row>
    <row r="47" customFormat="false" ht="15" hidden="false" customHeight="false" outlineLevel="0" collapsed="false">
      <c r="A47" s="12" t="n">
        <v>22</v>
      </c>
      <c r="B47" s="2" t="str">
        <f aca="false">MID(IF(C47=1,", floor","")&amp;IF(D47=1,", capability","")&amp;IF(E47=1,", six rounds","")&amp;IF(F47=1,", half payout","")&amp;IF(G47=1,", end condition",""),3,200)</f>
        <v>capability, six rounds, end condition</v>
      </c>
      <c r="C47" s="12" t="n">
        <f aca="false">MOD(INT($A47/1),2)</f>
        <v>0</v>
      </c>
      <c r="D47" s="12" t="n">
        <f aca="false">MOD(INT($A47/2),2)</f>
        <v>1</v>
      </c>
      <c r="E47" s="12" t="n">
        <f aca="false">MOD(INT($A47/4),2)</f>
        <v>1</v>
      </c>
      <c r="F47" s="12" t="n">
        <f aca="false">MOD(INT($A47/8),2)</f>
        <v>0</v>
      </c>
      <c r="G47" s="12" t="n">
        <f aca="false">MOD(INT($A47/16),2)</f>
        <v>1</v>
      </c>
      <c r="H47" s="12" t="n">
        <f aca="false">SUMPRODUCT((1-E47+E47*(Sch_rounds=6))*(1-C47*(1-(F47*Sch_floor5+(1-F47)*Sch_floor0)))*(1-D47*(1-Sch_cap))*(1-G47*(1-(F47*Sch_end5+(1-F47)*Sch_end0))))</f>
        <v>1</v>
      </c>
      <c r="I47" s="12" t="n">
        <f aca="false">IF(H47&gt;0,1,0)</f>
        <v>1</v>
      </c>
      <c r="J47" s="12" t="n">
        <f aca="false">IF(C47=0,1,IF($A47-1=0,1,INDEX($I$26:$I$56,$A47-1)))</f>
        <v>1</v>
      </c>
      <c r="K47" s="12" t="n">
        <f aca="false">IF(D47=0,1,IF($A47-2=0,1,INDEX($I$26:$I$56,$A47-2)))</f>
        <v>1</v>
      </c>
      <c r="L47" s="12" t="n">
        <f aca="false">IF(E47=0,1,IF($A47-4=0,1,INDEX($I$26:$I$56,$A47-4)))</f>
        <v>1</v>
      </c>
      <c r="M47" s="12" t="n">
        <f aca="false">IF(F47=0,1,IF($A47-8=0,1,INDEX($I$26:$I$56,$A47-8)))</f>
        <v>1</v>
      </c>
      <c r="N47" s="12" t="n">
        <f aca="false">IF(G47=0,1,IF($A47-16=0,1,INDEX($I$26:$I$56,$A47-16)))</f>
        <v>1</v>
      </c>
      <c r="O47" s="12" t="n">
        <f aca="false">IF(AND(I47=0,J47*K47*L47*M47*N47=1),1,0)</f>
        <v>0</v>
      </c>
    </row>
    <row r="48" customFormat="false" ht="15" hidden="false" customHeight="false" outlineLevel="0" collapsed="false">
      <c r="A48" s="12" t="n">
        <v>23</v>
      </c>
      <c r="B48" s="2" t="str">
        <f aca="false">MID(IF(C48=1,", floor","")&amp;IF(D48=1,", capability","")&amp;IF(E48=1,", six rounds","")&amp;IF(F48=1,", half payout","")&amp;IF(G48=1,", end condition",""),3,200)</f>
        <v>floor, capability, six rounds, end condition</v>
      </c>
      <c r="C48" s="12" t="n">
        <f aca="false">MOD(INT($A48/1),2)</f>
        <v>1</v>
      </c>
      <c r="D48" s="12" t="n">
        <f aca="false">MOD(INT($A48/2),2)</f>
        <v>1</v>
      </c>
      <c r="E48" s="12" t="n">
        <f aca="false">MOD(INT($A48/4),2)</f>
        <v>1</v>
      </c>
      <c r="F48" s="12" t="n">
        <f aca="false">MOD(INT($A48/8),2)</f>
        <v>0</v>
      </c>
      <c r="G48" s="12" t="n">
        <f aca="false">MOD(INT($A48/16),2)</f>
        <v>1</v>
      </c>
      <c r="H48" s="12" t="n">
        <f aca="false">SUMPRODUCT((1-E48+E48*(Sch_rounds=6))*(1-C48*(1-(F48*Sch_floor5+(1-F48)*Sch_floor0)))*(1-D48*(1-Sch_cap))*(1-G48*(1-(F48*Sch_end5+(1-F48)*Sch_end0))))</f>
        <v>1</v>
      </c>
      <c r="I48" s="12" t="n">
        <f aca="false">IF(H48&gt;0,1,0)</f>
        <v>1</v>
      </c>
      <c r="J48" s="12" t="n">
        <f aca="false">IF(C48=0,1,IF($A48-1=0,1,INDEX($I$26:$I$56,$A48-1)))</f>
        <v>1</v>
      </c>
      <c r="K48" s="12" t="n">
        <f aca="false">IF(D48=0,1,IF($A48-2=0,1,INDEX($I$26:$I$56,$A48-2)))</f>
        <v>1</v>
      </c>
      <c r="L48" s="12" t="n">
        <f aca="false">IF(E48=0,1,IF($A48-4=0,1,INDEX($I$26:$I$56,$A48-4)))</f>
        <v>1</v>
      </c>
      <c r="M48" s="12" t="n">
        <f aca="false">IF(F48=0,1,IF($A48-8=0,1,INDEX($I$26:$I$56,$A48-8)))</f>
        <v>1</v>
      </c>
      <c r="N48" s="12" t="n">
        <f aca="false">IF(G48=0,1,IF($A48-16=0,1,INDEX($I$26:$I$56,$A48-16)))</f>
        <v>1</v>
      </c>
      <c r="O48" s="12" t="n">
        <f aca="false">IF(AND(I48=0,J48*K48*L48*M48*N48=1),1,0)</f>
        <v>0</v>
      </c>
    </row>
    <row r="49" customFormat="false" ht="15" hidden="false" customHeight="false" outlineLevel="0" collapsed="false">
      <c r="A49" s="12" t="n">
        <v>24</v>
      </c>
      <c r="B49" s="2" t="str">
        <f aca="false">MID(IF(C49=1,", floor","")&amp;IF(D49=1,", capability","")&amp;IF(E49=1,", six rounds","")&amp;IF(F49=1,", half payout","")&amp;IF(G49=1,", end condition",""),3,200)</f>
        <v>half payout, end condition</v>
      </c>
      <c r="C49" s="12" t="n">
        <f aca="false">MOD(INT($A49/1),2)</f>
        <v>0</v>
      </c>
      <c r="D49" s="12" t="n">
        <f aca="false">MOD(INT($A49/2),2)</f>
        <v>0</v>
      </c>
      <c r="E49" s="12" t="n">
        <f aca="false">MOD(INT($A49/4),2)</f>
        <v>0</v>
      </c>
      <c r="F49" s="12" t="n">
        <f aca="false">MOD(INT($A49/8),2)</f>
        <v>1</v>
      </c>
      <c r="G49" s="12" t="n">
        <f aca="false">MOD(INT($A49/16),2)</f>
        <v>1</v>
      </c>
      <c r="H49" s="12" t="n">
        <f aca="false">SUMPRODUCT((1-E49+E49*(Sch_rounds=6))*(1-C49*(1-(F49*Sch_floor5+(1-F49)*Sch_floor0)))*(1-D49*(1-Sch_cap))*(1-G49*(1-(F49*Sch_end5+(1-F49)*Sch_end0))))</f>
        <v>42</v>
      </c>
      <c r="I49" s="12" t="n">
        <f aca="false">IF(H49&gt;0,1,0)</f>
        <v>1</v>
      </c>
      <c r="J49" s="12" t="n">
        <f aca="false">IF(C49=0,1,IF($A49-1=0,1,INDEX($I$26:$I$56,$A49-1)))</f>
        <v>1</v>
      </c>
      <c r="K49" s="12" t="n">
        <f aca="false">IF(D49=0,1,IF($A49-2=0,1,INDEX($I$26:$I$56,$A49-2)))</f>
        <v>1</v>
      </c>
      <c r="L49" s="12" t="n">
        <f aca="false">IF(E49=0,1,IF($A49-4=0,1,INDEX($I$26:$I$56,$A49-4)))</f>
        <v>1</v>
      </c>
      <c r="M49" s="12" t="n">
        <f aca="false">IF(F49=0,1,IF($A49-8=0,1,INDEX($I$26:$I$56,$A49-8)))</f>
        <v>1</v>
      </c>
      <c r="N49" s="12" t="n">
        <f aca="false">IF(G49=0,1,IF($A49-16=0,1,INDEX($I$26:$I$56,$A49-16)))</f>
        <v>1</v>
      </c>
      <c r="O49" s="12" t="n">
        <f aca="false">IF(AND(I49=0,J49*K49*L49*M49*N49=1),1,0)</f>
        <v>0</v>
      </c>
    </row>
    <row r="50" customFormat="false" ht="15" hidden="false" customHeight="false" outlineLevel="0" collapsed="false">
      <c r="A50" s="12" t="n">
        <v>25</v>
      </c>
      <c r="B50" s="2" t="str">
        <f aca="false">MID(IF(C50=1,", floor","")&amp;IF(D50=1,", capability","")&amp;IF(E50=1,", six rounds","")&amp;IF(F50=1,", half payout","")&amp;IF(G50=1,", end condition",""),3,200)</f>
        <v>floor, half payout, end condition</v>
      </c>
      <c r="C50" s="12" t="n">
        <f aca="false">MOD(INT($A50/1),2)</f>
        <v>1</v>
      </c>
      <c r="D50" s="12" t="n">
        <f aca="false">MOD(INT($A50/2),2)</f>
        <v>0</v>
      </c>
      <c r="E50" s="12" t="n">
        <f aca="false">MOD(INT($A50/4),2)</f>
        <v>0</v>
      </c>
      <c r="F50" s="12" t="n">
        <f aca="false">MOD(INT($A50/8),2)</f>
        <v>1</v>
      </c>
      <c r="G50" s="12" t="n">
        <f aca="false">MOD(INT($A50/16),2)</f>
        <v>1</v>
      </c>
      <c r="H50" s="12" t="n">
        <f aca="false">SUMPRODUCT((1-E50+E50*(Sch_rounds=6))*(1-C50*(1-(F50*Sch_floor5+(1-F50)*Sch_floor0)))*(1-D50*(1-Sch_cap))*(1-G50*(1-(F50*Sch_end5+(1-F50)*Sch_end0))))</f>
        <v>35</v>
      </c>
      <c r="I50" s="12" t="n">
        <f aca="false">IF(H50&gt;0,1,0)</f>
        <v>1</v>
      </c>
      <c r="J50" s="12" t="n">
        <f aca="false">IF(C50=0,1,IF($A50-1=0,1,INDEX($I$26:$I$56,$A50-1)))</f>
        <v>1</v>
      </c>
      <c r="K50" s="12" t="n">
        <f aca="false">IF(D50=0,1,IF($A50-2=0,1,INDEX($I$26:$I$56,$A50-2)))</f>
        <v>1</v>
      </c>
      <c r="L50" s="12" t="n">
        <f aca="false">IF(E50=0,1,IF($A50-4=0,1,INDEX($I$26:$I$56,$A50-4)))</f>
        <v>1</v>
      </c>
      <c r="M50" s="12" t="n">
        <f aca="false">IF(F50=0,1,IF($A50-8=0,1,INDEX($I$26:$I$56,$A50-8)))</f>
        <v>1</v>
      </c>
      <c r="N50" s="12" t="n">
        <f aca="false">IF(G50=0,1,IF($A50-16=0,1,INDEX($I$26:$I$56,$A50-16)))</f>
        <v>1</v>
      </c>
      <c r="O50" s="12" t="n">
        <f aca="false">IF(AND(I50=0,J50*K50*L50*M50*N50=1),1,0)</f>
        <v>0</v>
      </c>
    </row>
    <row r="51" customFormat="false" ht="15" hidden="false" customHeight="false" outlineLevel="0" collapsed="false">
      <c r="A51" s="12" t="n">
        <v>26</v>
      </c>
      <c r="B51" s="2" t="str">
        <f aca="false">MID(IF(C51=1,", floor","")&amp;IF(D51=1,", capability","")&amp;IF(E51=1,", six rounds","")&amp;IF(F51=1,", half payout","")&amp;IF(G51=1,", end condition",""),3,200)</f>
        <v>capability, half payout, end condition</v>
      </c>
      <c r="C51" s="12" t="n">
        <f aca="false">MOD(INT($A51/1),2)</f>
        <v>0</v>
      </c>
      <c r="D51" s="12" t="n">
        <f aca="false">MOD(INT($A51/2),2)</f>
        <v>1</v>
      </c>
      <c r="E51" s="12" t="n">
        <f aca="false">MOD(INT($A51/4),2)</f>
        <v>0</v>
      </c>
      <c r="F51" s="12" t="n">
        <f aca="false">MOD(INT($A51/8),2)</f>
        <v>1</v>
      </c>
      <c r="G51" s="12" t="n">
        <f aca="false">MOD(INT($A51/16),2)</f>
        <v>1</v>
      </c>
      <c r="H51" s="12" t="n">
        <f aca="false">SUMPRODUCT((1-E51+E51*(Sch_rounds=6))*(1-C51*(1-(F51*Sch_floor5+(1-F51)*Sch_floor0)))*(1-D51*(1-Sch_cap))*(1-G51*(1-(F51*Sch_end5+(1-F51)*Sch_end0))))</f>
        <v>42</v>
      </c>
      <c r="I51" s="12" t="n">
        <f aca="false">IF(H51&gt;0,1,0)</f>
        <v>1</v>
      </c>
      <c r="J51" s="12" t="n">
        <f aca="false">IF(C51=0,1,IF($A51-1=0,1,INDEX($I$26:$I$56,$A51-1)))</f>
        <v>1</v>
      </c>
      <c r="K51" s="12" t="n">
        <f aca="false">IF(D51=0,1,IF($A51-2=0,1,INDEX($I$26:$I$56,$A51-2)))</f>
        <v>1</v>
      </c>
      <c r="L51" s="12" t="n">
        <f aca="false">IF(E51=0,1,IF($A51-4=0,1,INDEX($I$26:$I$56,$A51-4)))</f>
        <v>1</v>
      </c>
      <c r="M51" s="12" t="n">
        <f aca="false">IF(F51=0,1,IF($A51-8=0,1,INDEX($I$26:$I$56,$A51-8)))</f>
        <v>1</v>
      </c>
      <c r="N51" s="12" t="n">
        <f aca="false">IF(G51=0,1,IF($A51-16=0,1,INDEX($I$26:$I$56,$A51-16)))</f>
        <v>1</v>
      </c>
      <c r="O51" s="12" t="n">
        <f aca="false">IF(AND(I51=0,J51*K51*L51*M51*N51=1),1,0)</f>
        <v>0</v>
      </c>
    </row>
    <row r="52" customFormat="false" ht="15" hidden="false" customHeight="false" outlineLevel="0" collapsed="false">
      <c r="A52" s="12" t="n">
        <v>27</v>
      </c>
      <c r="B52" s="2" t="str">
        <f aca="false">MID(IF(C52=1,", floor","")&amp;IF(D52=1,", capability","")&amp;IF(E52=1,", six rounds","")&amp;IF(F52=1,", half payout","")&amp;IF(G52=1,", end condition",""),3,200)</f>
        <v>floor, capability, half payout, end condition</v>
      </c>
      <c r="C52" s="12" t="n">
        <f aca="false">MOD(INT($A52/1),2)</f>
        <v>1</v>
      </c>
      <c r="D52" s="12" t="n">
        <f aca="false">MOD(INT($A52/2),2)</f>
        <v>1</v>
      </c>
      <c r="E52" s="12" t="n">
        <f aca="false">MOD(INT($A52/4),2)</f>
        <v>0</v>
      </c>
      <c r="F52" s="12" t="n">
        <f aca="false">MOD(INT($A52/8),2)</f>
        <v>1</v>
      </c>
      <c r="G52" s="12" t="n">
        <f aca="false">MOD(INT($A52/16),2)</f>
        <v>1</v>
      </c>
      <c r="H52" s="12" t="n">
        <f aca="false">SUMPRODUCT((1-E52+E52*(Sch_rounds=6))*(1-C52*(1-(F52*Sch_floor5+(1-F52)*Sch_floor0)))*(1-D52*(1-Sch_cap))*(1-G52*(1-(F52*Sch_end5+(1-F52)*Sch_end0))))</f>
        <v>35</v>
      </c>
      <c r="I52" s="12" t="n">
        <f aca="false">IF(H52&gt;0,1,0)</f>
        <v>1</v>
      </c>
      <c r="J52" s="12" t="n">
        <f aca="false">IF(C52=0,1,IF($A52-1=0,1,INDEX($I$26:$I$56,$A52-1)))</f>
        <v>1</v>
      </c>
      <c r="K52" s="12" t="n">
        <f aca="false">IF(D52=0,1,IF($A52-2=0,1,INDEX($I$26:$I$56,$A52-2)))</f>
        <v>1</v>
      </c>
      <c r="L52" s="12" t="n">
        <f aca="false">IF(E52=0,1,IF($A52-4=0,1,INDEX($I$26:$I$56,$A52-4)))</f>
        <v>1</v>
      </c>
      <c r="M52" s="12" t="n">
        <f aca="false">IF(F52=0,1,IF($A52-8=0,1,INDEX($I$26:$I$56,$A52-8)))</f>
        <v>1</v>
      </c>
      <c r="N52" s="12" t="n">
        <f aca="false">IF(G52=0,1,IF($A52-16=0,1,INDEX($I$26:$I$56,$A52-16)))</f>
        <v>1</v>
      </c>
      <c r="O52" s="12" t="n">
        <f aca="false">IF(AND(I52=0,J52*K52*L52*M52*N52=1),1,0)</f>
        <v>0</v>
      </c>
    </row>
    <row r="53" customFormat="false" ht="15" hidden="false" customHeight="false" outlineLevel="0" collapsed="false">
      <c r="A53" s="12" t="n">
        <v>28</v>
      </c>
      <c r="B53" s="2" t="str">
        <f aca="false">MID(IF(C53=1,", floor","")&amp;IF(D53=1,", capability","")&amp;IF(E53=1,", six rounds","")&amp;IF(F53=1,", half payout","")&amp;IF(G53=1,", end condition",""),3,200)</f>
        <v>six rounds, half payout, end condition</v>
      </c>
      <c r="C53" s="12" t="n">
        <f aca="false">MOD(INT($A53/1),2)</f>
        <v>0</v>
      </c>
      <c r="D53" s="12" t="n">
        <f aca="false">MOD(INT($A53/2),2)</f>
        <v>0</v>
      </c>
      <c r="E53" s="12" t="n">
        <f aca="false">MOD(INT($A53/4),2)</f>
        <v>1</v>
      </c>
      <c r="F53" s="12" t="n">
        <f aca="false">MOD(INT($A53/8),2)</f>
        <v>1</v>
      </c>
      <c r="G53" s="12" t="n">
        <f aca="false">MOD(INT($A53/16),2)</f>
        <v>1</v>
      </c>
      <c r="H53" s="12" t="n">
        <f aca="false">SUMPRODUCT((1-E53+E53*(Sch_rounds=6))*(1-C53*(1-(F53*Sch_floor5+(1-F53)*Sch_floor0)))*(1-D53*(1-Sch_cap))*(1-G53*(1-(F53*Sch_end5+(1-F53)*Sch_end0))))</f>
        <v>0</v>
      </c>
      <c r="I53" s="12" t="n">
        <f aca="false">IF(H53&gt;0,1,0)</f>
        <v>0</v>
      </c>
      <c r="J53" s="12" t="n">
        <f aca="false">IF(C53=0,1,IF($A53-1=0,1,INDEX($I$26:$I$56,$A53-1)))</f>
        <v>1</v>
      </c>
      <c r="K53" s="12" t="n">
        <f aca="false">IF(D53=0,1,IF($A53-2=0,1,INDEX($I$26:$I$56,$A53-2)))</f>
        <v>1</v>
      </c>
      <c r="L53" s="12" t="n">
        <f aca="false">IF(E53=0,1,IF($A53-4=0,1,INDEX($I$26:$I$56,$A53-4)))</f>
        <v>1</v>
      </c>
      <c r="M53" s="12" t="n">
        <f aca="false">IF(F53=0,1,IF($A53-8=0,1,INDEX($I$26:$I$56,$A53-8)))</f>
        <v>1</v>
      </c>
      <c r="N53" s="12" t="n">
        <f aca="false">IF(G53=0,1,IF($A53-16=0,1,INDEX($I$26:$I$56,$A53-16)))</f>
        <v>1</v>
      </c>
      <c r="O53" s="12" t="n">
        <f aca="false">IF(AND(I53=0,J53*K53*L53*M53*N53=1),1,0)</f>
        <v>1</v>
      </c>
    </row>
    <row r="54" customFormat="false" ht="15" hidden="false" customHeight="false" outlineLevel="0" collapsed="false">
      <c r="A54" s="12" t="n">
        <v>29</v>
      </c>
      <c r="B54" s="2" t="str">
        <f aca="false">MID(IF(C54=1,", floor","")&amp;IF(D54=1,", capability","")&amp;IF(E54=1,", six rounds","")&amp;IF(F54=1,", half payout","")&amp;IF(G54=1,", end condition",""),3,200)</f>
        <v>floor, six rounds, half payout, end condition</v>
      </c>
      <c r="C54" s="12" t="n">
        <f aca="false">MOD(INT($A54/1),2)</f>
        <v>1</v>
      </c>
      <c r="D54" s="12" t="n">
        <f aca="false">MOD(INT($A54/2),2)</f>
        <v>0</v>
      </c>
      <c r="E54" s="12" t="n">
        <f aca="false">MOD(INT($A54/4),2)</f>
        <v>1</v>
      </c>
      <c r="F54" s="12" t="n">
        <f aca="false">MOD(INT($A54/8),2)</f>
        <v>1</v>
      </c>
      <c r="G54" s="12" t="n">
        <f aca="false">MOD(INT($A54/16),2)</f>
        <v>1</v>
      </c>
      <c r="H54" s="12" t="n">
        <f aca="false">SUMPRODUCT((1-E54+E54*(Sch_rounds=6))*(1-C54*(1-(F54*Sch_floor5+(1-F54)*Sch_floor0)))*(1-D54*(1-Sch_cap))*(1-G54*(1-(F54*Sch_end5+(1-F54)*Sch_end0))))</f>
        <v>0</v>
      </c>
      <c r="I54" s="12" t="n">
        <f aca="false">IF(H54&gt;0,1,0)</f>
        <v>0</v>
      </c>
      <c r="J54" s="12" t="n">
        <f aca="false">IF(C54=0,1,IF($A54-1=0,1,INDEX($I$26:$I$56,$A54-1)))</f>
        <v>0</v>
      </c>
      <c r="K54" s="12" t="n">
        <f aca="false">IF(D54=0,1,IF($A54-2=0,1,INDEX($I$26:$I$56,$A54-2)))</f>
        <v>1</v>
      </c>
      <c r="L54" s="12" t="n">
        <f aca="false">IF(E54=0,1,IF($A54-4=0,1,INDEX($I$26:$I$56,$A54-4)))</f>
        <v>1</v>
      </c>
      <c r="M54" s="12" t="n">
        <f aca="false">IF(F54=0,1,IF($A54-8=0,1,INDEX($I$26:$I$56,$A54-8)))</f>
        <v>1</v>
      </c>
      <c r="N54" s="12" t="n">
        <f aca="false">IF(G54=0,1,IF($A54-16=0,1,INDEX($I$26:$I$56,$A54-16)))</f>
        <v>0</v>
      </c>
      <c r="O54" s="12" t="n">
        <f aca="false">IF(AND(I54=0,J54*K54*L54*M54*N54=1),1,0)</f>
        <v>0</v>
      </c>
    </row>
    <row r="55" customFormat="false" ht="15" hidden="false" customHeight="false" outlineLevel="0" collapsed="false">
      <c r="A55" s="12" t="n">
        <v>30</v>
      </c>
      <c r="B55" s="2" t="str">
        <f aca="false">MID(IF(C55=1,", floor","")&amp;IF(D55=1,", capability","")&amp;IF(E55=1,", six rounds","")&amp;IF(F55=1,", half payout","")&amp;IF(G55=1,", end condition",""),3,200)</f>
        <v>capability, six rounds, half payout, end condition</v>
      </c>
      <c r="C55" s="12" t="n">
        <f aca="false">MOD(INT($A55/1),2)</f>
        <v>0</v>
      </c>
      <c r="D55" s="12" t="n">
        <f aca="false">MOD(INT($A55/2),2)</f>
        <v>1</v>
      </c>
      <c r="E55" s="12" t="n">
        <f aca="false">MOD(INT($A55/4),2)</f>
        <v>1</v>
      </c>
      <c r="F55" s="12" t="n">
        <f aca="false">MOD(INT($A55/8),2)</f>
        <v>1</v>
      </c>
      <c r="G55" s="12" t="n">
        <f aca="false">MOD(INT($A55/16),2)</f>
        <v>1</v>
      </c>
      <c r="H55" s="12" t="n">
        <f aca="false">SUMPRODUCT((1-E55+E55*(Sch_rounds=6))*(1-C55*(1-(F55*Sch_floor5+(1-F55)*Sch_floor0)))*(1-D55*(1-Sch_cap))*(1-G55*(1-(F55*Sch_end5+(1-F55)*Sch_end0))))</f>
        <v>0</v>
      </c>
      <c r="I55" s="12" t="n">
        <f aca="false">IF(H55&gt;0,1,0)</f>
        <v>0</v>
      </c>
      <c r="J55" s="12" t="n">
        <f aca="false">IF(C55=0,1,IF($A55-1=0,1,INDEX($I$26:$I$56,$A55-1)))</f>
        <v>1</v>
      </c>
      <c r="K55" s="12" t="n">
        <f aca="false">IF(D55=0,1,IF($A55-2=0,1,INDEX($I$26:$I$56,$A55-2)))</f>
        <v>0</v>
      </c>
      <c r="L55" s="12" t="n">
        <f aca="false">IF(E55=0,1,IF($A55-4=0,1,INDEX($I$26:$I$56,$A55-4)))</f>
        <v>1</v>
      </c>
      <c r="M55" s="12" t="n">
        <f aca="false">IF(F55=0,1,IF($A55-8=0,1,INDEX($I$26:$I$56,$A55-8)))</f>
        <v>1</v>
      </c>
      <c r="N55" s="12" t="n">
        <f aca="false">IF(G55=0,1,IF($A55-16=0,1,INDEX($I$26:$I$56,$A55-16)))</f>
        <v>1</v>
      </c>
      <c r="O55" s="12" t="n">
        <f aca="false">IF(AND(I55=0,J55*K55*L55*M55*N55=1),1,0)</f>
        <v>0</v>
      </c>
    </row>
    <row r="56" customFormat="false" ht="15" hidden="false" customHeight="false" outlineLevel="0" collapsed="false">
      <c r="A56" s="12" t="n">
        <v>31</v>
      </c>
      <c r="B56" s="2" t="str">
        <f aca="false">MID(IF(C56=1,", floor","")&amp;IF(D56=1,", capability","")&amp;IF(E56=1,", six rounds","")&amp;IF(F56=1,", half payout","")&amp;IF(G56=1,", end condition",""),3,200)</f>
        <v>floor, capability, six rounds, half payout, end condition</v>
      </c>
      <c r="C56" s="12" t="n">
        <f aca="false">MOD(INT($A56/1),2)</f>
        <v>1</v>
      </c>
      <c r="D56" s="12" t="n">
        <f aca="false">MOD(INT($A56/2),2)</f>
        <v>1</v>
      </c>
      <c r="E56" s="12" t="n">
        <f aca="false">MOD(INT($A56/4),2)</f>
        <v>1</v>
      </c>
      <c r="F56" s="12" t="n">
        <f aca="false">MOD(INT($A56/8),2)</f>
        <v>1</v>
      </c>
      <c r="G56" s="12" t="n">
        <f aca="false">MOD(INT($A56/16),2)</f>
        <v>1</v>
      </c>
      <c r="H56" s="12" t="n">
        <f aca="false">SUMPRODUCT((1-E56+E56*(Sch_rounds=6))*(1-C56*(1-(F56*Sch_floor5+(1-F56)*Sch_floor0)))*(1-D56*(1-Sch_cap))*(1-G56*(1-(F56*Sch_end5+(1-F56)*Sch_end0))))</f>
        <v>0</v>
      </c>
      <c r="I56" s="12" t="n">
        <f aca="false">IF(H56&gt;0,1,0)</f>
        <v>0</v>
      </c>
      <c r="J56" s="12" t="n">
        <f aca="false">IF(C56=0,1,IF($A56-1=0,1,INDEX($I$26:$I$56,$A56-1)))</f>
        <v>0</v>
      </c>
      <c r="K56" s="12" t="n">
        <f aca="false">IF(D56=0,1,IF($A56-2=0,1,INDEX($I$26:$I$56,$A56-2)))</f>
        <v>0</v>
      </c>
      <c r="L56" s="12" t="n">
        <f aca="false">IF(E56=0,1,IF($A56-4=0,1,INDEX($I$26:$I$56,$A56-4)))</f>
        <v>1</v>
      </c>
      <c r="M56" s="12" t="n">
        <f aca="false">IF(F56=0,1,IF($A56-8=0,1,INDEX($I$26:$I$56,$A56-8)))</f>
        <v>1</v>
      </c>
      <c r="N56" s="12" t="n">
        <f aca="false">IF(G56=0,1,IF($A56-16=0,1,INDEX($I$26:$I$56,$A56-16)))</f>
        <v>0</v>
      </c>
      <c r="O56" s="12" t="n">
        <f aca="false">IF(AND(I56=0,J56*K56*L56*M56*N56=1),1,0)</f>
        <v>0</v>
      </c>
    </row>
    <row r="58" customFormat="false" ht="15" hidden="false" customHeight="false" outlineLevel="0" collapsed="false">
      <c r="A58" s="4" t="s">
        <v>266</v>
      </c>
      <c r="I58" s="18" t="n">
        <f aca="false">SUM(O26:O56)</f>
        <v>2</v>
      </c>
    </row>
    <row r="59" customFormat="false" ht="15" hidden="false" customHeight="false" outlineLevel="0" collapsed="false">
      <c r="A59" s="4" t="s">
        <v>267</v>
      </c>
      <c r="B59" s="2" t="str">
        <f aca="false">INDEX(B26:B56,I59)</f>
        <v>floor, six rounds, half payout</v>
      </c>
      <c r="I59" s="18" t="n">
        <f aca="false">_xlfn.MINIFS(A26:A56,O26:O56,1)</f>
        <v>13</v>
      </c>
      <c r="J59" s="12" t="n">
        <f aca="false">MOD(INT($I59/1),2)</f>
        <v>1</v>
      </c>
      <c r="K59" s="12" t="n">
        <f aca="false">MOD(INT($I59/2),2)</f>
        <v>0</v>
      </c>
      <c r="L59" s="12" t="n">
        <f aca="false">MOD(INT($I59/4),2)</f>
        <v>1</v>
      </c>
      <c r="M59" s="12" t="n">
        <f aca="false">MOD(INT($I59/8),2)</f>
        <v>1</v>
      </c>
      <c r="N59" s="12" t="n">
        <f aca="false">MOD(INT($I59/16),2)</f>
        <v>0</v>
      </c>
    </row>
    <row r="60" customFormat="false" ht="15" hidden="false" customHeight="false" outlineLevel="0" collapsed="false">
      <c r="A60" s="4" t="s">
        <v>268</v>
      </c>
      <c r="B60" s="2" t="str">
        <f aca="false">INDEX(B26:B56,I60)</f>
        <v>six rounds, half payout, end condition</v>
      </c>
      <c r="I60" s="18" t="n">
        <f aca="false">_xlfn.MAXIFS(A26:A56,O26:O56,1)</f>
        <v>28</v>
      </c>
      <c r="J60" s="12" t="n">
        <f aca="false">MOD(INT($I60/1),2)</f>
        <v>0</v>
      </c>
      <c r="K60" s="12" t="n">
        <f aca="false">MOD(INT($I60/2),2)</f>
        <v>0</v>
      </c>
      <c r="L60" s="12" t="n">
        <f aca="false">MOD(INT($I60/4),2)</f>
        <v>1</v>
      </c>
      <c r="M60" s="12" t="n">
        <f aca="false">MOD(INT($I60/8),2)</f>
        <v>1</v>
      </c>
      <c r="N60" s="12" t="n">
        <f aca="false">MOD(INT($I60/16),2)</f>
        <v>1</v>
      </c>
    </row>
    <row r="62" customFormat="false" ht="15" hidden="false" customHeight="false" outlineLevel="0" collapsed="false">
      <c r="A62" s="4" t="s">
        <v>269</v>
      </c>
    </row>
    <row r="63" customFormat="false" ht="57.45" hidden="false" customHeight="false" outlineLevel="0" collapsed="false">
      <c r="A63" s="8" t="s">
        <v>270</v>
      </c>
      <c r="B63" s="8" t="s">
        <v>271</v>
      </c>
      <c r="C63" s="8" t="s">
        <v>48</v>
      </c>
      <c r="D63" s="8" t="s">
        <v>51</v>
      </c>
      <c r="E63" s="8" t="s">
        <v>54</v>
      </c>
      <c r="F63" s="8" t="s">
        <v>57</v>
      </c>
      <c r="G63" s="8" t="s">
        <v>60</v>
      </c>
      <c r="H63" s="8" t="s">
        <v>272</v>
      </c>
      <c r="I63" s="8" t="s">
        <v>273</v>
      </c>
      <c r="J63" s="8" t="s">
        <v>274</v>
      </c>
      <c r="K63" s="8" t="s">
        <v>275</v>
      </c>
      <c r="L63" s="8" t="s">
        <v>276</v>
      </c>
      <c r="M63" s="8" t="s">
        <v>277</v>
      </c>
      <c r="N63" s="8" t="s">
        <v>278</v>
      </c>
      <c r="O63" s="8" t="s">
        <v>279</v>
      </c>
      <c r="P63" s="8" t="s">
        <v>280</v>
      </c>
      <c r="Q63" s="8" t="s">
        <v>281</v>
      </c>
      <c r="R63" s="8" t="s">
        <v>282</v>
      </c>
    </row>
    <row r="64" customFormat="false" ht="15" hidden="false" customHeight="false" outlineLevel="0" collapsed="false">
      <c r="A64" s="12" t="n">
        <v>0</v>
      </c>
      <c r="B64" s="2" t="str">
        <f aca="false">IF(A64=0,"nothing",MID(IF(C64=1,", floor","")&amp;IF(D64=1,", capability","")&amp;IF(E64=1,", six rounds","")&amp;IF(F64=1,", half payout","")&amp;IF(G64=1,", end condition",""),3,200))</f>
        <v>nothing</v>
      </c>
      <c r="C64" s="12" t="n">
        <f aca="false">MOD(INT($A64/1),2)</f>
        <v>0</v>
      </c>
      <c r="D64" s="12" t="n">
        <f aca="false">MOD(INT($A64/2),2)</f>
        <v>0</v>
      </c>
      <c r="E64" s="12" t="n">
        <f aca="false">MOD(INT($A64/4),2)</f>
        <v>0</v>
      </c>
      <c r="F64" s="12" t="n">
        <f aca="false">MOD(INT($A64/8),2)</f>
        <v>0</v>
      </c>
      <c r="G64" s="12" t="n">
        <f aca="false">MOD(INT($A64/16),2)</f>
        <v>0</v>
      </c>
      <c r="H64" s="12" t="n">
        <f aca="false">IF(31-A64=0,1,INDEX($I$26:$I$56,31-A64))</f>
        <v>0</v>
      </c>
      <c r="I64" s="12" t="n">
        <f aca="false">IF(SUMPRODUCT(C64:G64,$J$59:$N$59)&gt;0,1,0)</f>
        <v>0</v>
      </c>
      <c r="J64" s="12" t="n">
        <f aca="false">IF(SUMPRODUCT(C64:G64,$J$60:$N$60)&gt;0,1,0)</f>
        <v>0</v>
      </c>
      <c r="K64" s="12" t="n">
        <f aca="false">I64*J64</f>
        <v>0</v>
      </c>
      <c r="L64" s="12" t="n">
        <f aca="false">IF(H64=K64,1,0)</f>
        <v>1</v>
      </c>
      <c r="M64" s="12" t="n">
        <f aca="false">IF(C64=0,0,INDEX($H$64:$H$95,$A64-1+1))</f>
        <v>0</v>
      </c>
      <c r="N64" s="12" t="n">
        <f aca="false">IF(D64=0,0,INDEX($H$64:$H$95,$A64-2+1))</f>
        <v>0</v>
      </c>
      <c r="O64" s="12" t="n">
        <f aca="false">IF(E64=0,0,INDEX($H$64:$H$95,$A64-4+1))</f>
        <v>0</v>
      </c>
      <c r="P64" s="12" t="n">
        <f aca="false">IF(F64=0,0,INDEX($H$64:$H$95,$A64-8+1))</f>
        <v>0</v>
      </c>
      <c r="Q64" s="12" t="n">
        <f aca="false">IF(G64=0,0,INDEX($H$64:$H$95,$A64-16+1))</f>
        <v>0</v>
      </c>
      <c r="R64" s="12" t="n">
        <f aca="false">IF(AND(H64=1,SUM(M64:Q64)=0),1,0)</f>
        <v>0</v>
      </c>
    </row>
    <row r="65" customFormat="false" ht="15" hidden="false" customHeight="false" outlineLevel="0" collapsed="false">
      <c r="A65" s="12" t="n">
        <v>1</v>
      </c>
      <c r="B65" s="2" t="str">
        <f aca="false">IF(A65=0,"nothing",MID(IF(C65=1,", floor","")&amp;IF(D65=1,", capability","")&amp;IF(E65=1,", six rounds","")&amp;IF(F65=1,", half payout","")&amp;IF(G65=1,", end condition",""),3,200))</f>
        <v>floor</v>
      </c>
      <c r="C65" s="12" t="n">
        <f aca="false">MOD(INT($A65/1),2)</f>
        <v>1</v>
      </c>
      <c r="D65" s="12" t="n">
        <f aca="false">MOD(INT($A65/2),2)</f>
        <v>0</v>
      </c>
      <c r="E65" s="12" t="n">
        <f aca="false">MOD(INT($A65/4),2)</f>
        <v>0</v>
      </c>
      <c r="F65" s="12" t="n">
        <f aca="false">MOD(INT($A65/8),2)</f>
        <v>0</v>
      </c>
      <c r="G65" s="12" t="n">
        <f aca="false">MOD(INT($A65/16),2)</f>
        <v>0</v>
      </c>
      <c r="H65" s="12" t="n">
        <f aca="false">IF(31-A65=0,1,INDEX($I$26:$I$56,31-A65))</f>
        <v>0</v>
      </c>
      <c r="I65" s="12" t="n">
        <f aca="false">IF(SUMPRODUCT(C65:G65,$J$59:$N$59)&gt;0,1,0)</f>
        <v>1</v>
      </c>
      <c r="J65" s="12" t="n">
        <f aca="false">IF(SUMPRODUCT(C65:G65,$J$60:$N$60)&gt;0,1,0)</f>
        <v>0</v>
      </c>
      <c r="K65" s="12" t="n">
        <f aca="false">I65*J65</f>
        <v>0</v>
      </c>
      <c r="L65" s="12" t="n">
        <f aca="false">IF(H65=K65,1,0)</f>
        <v>1</v>
      </c>
      <c r="M65" s="12" t="n">
        <f aca="false">IF(C65=0,0,INDEX($H$64:$H$95,$A65-1+1))</f>
        <v>0</v>
      </c>
      <c r="N65" s="12" t="n">
        <f aca="false">IF(D65=0,0,INDEX($H$64:$H$95,$A65-2+1))</f>
        <v>0</v>
      </c>
      <c r="O65" s="12" t="n">
        <f aca="false">IF(E65=0,0,INDEX($H$64:$H$95,$A65-4+1))</f>
        <v>0</v>
      </c>
      <c r="P65" s="12" t="n">
        <f aca="false">IF(F65=0,0,INDEX($H$64:$H$95,$A65-8+1))</f>
        <v>0</v>
      </c>
      <c r="Q65" s="12" t="n">
        <f aca="false">IF(G65=0,0,INDEX($H$64:$H$95,$A65-16+1))</f>
        <v>0</v>
      </c>
      <c r="R65" s="12" t="n">
        <f aca="false">IF(AND(H65=1,SUM(M65:Q65)=0),1,0)</f>
        <v>0</v>
      </c>
    </row>
    <row r="66" customFormat="false" ht="15" hidden="false" customHeight="false" outlineLevel="0" collapsed="false">
      <c r="A66" s="12" t="n">
        <v>2</v>
      </c>
      <c r="B66" s="2" t="str">
        <f aca="false">IF(A66=0,"nothing",MID(IF(C66=1,", floor","")&amp;IF(D66=1,", capability","")&amp;IF(E66=1,", six rounds","")&amp;IF(F66=1,", half payout","")&amp;IF(G66=1,", end condition",""),3,200))</f>
        <v>capability</v>
      </c>
      <c r="C66" s="12" t="n">
        <f aca="false">MOD(INT($A66/1),2)</f>
        <v>0</v>
      </c>
      <c r="D66" s="12" t="n">
        <f aca="false">MOD(INT($A66/2),2)</f>
        <v>1</v>
      </c>
      <c r="E66" s="12" t="n">
        <f aca="false">MOD(INT($A66/4),2)</f>
        <v>0</v>
      </c>
      <c r="F66" s="12" t="n">
        <f aca="false">MOD(INT($A66/8),2)</f>
        <v>0</v>
      </c>
      <c r="G66" s="12" t="n">
        <f aca="false">MOD(INT($A66/16),2)</f>
        <v>0</v>
      </c>
      <c r="H66" s="12" t="n">
        <f aca="false">IF(31-A66=0,1,INDEX($I$26:$I$56,31-A66))</f>
        <v>0</v>
      </c>
      <c r="I66" s="12" t="n">
        <f aca="false">IF(SUMPRODUCT(C66:G66,$J$59:$N$59)&gt;0,1,0)</f>
        <v>0</v>
      </c>
      <c r="J66" s="12" t="n">
        <f aca="false">IF(SUMPRODUCT(C66:G66,$J$60:$N$60)&gt;0,1,0)</f>
        <v>0</v>
      </c>
      <c r="K66" s="12" t="n">
        <f aca="false">I66*J66</f>
        <v>0</v>
      </c>
      <c r="L66" s="12" t="n">
        <f aca="false">IF(H66=K66,1,0)</f>
        <v>1</v>
      </c>
      <c r="M66" s="12" t="n">
        <f aca="false">IF(C66=0,0,INDEX($H$64:$H$95,$A66-1+1))</f>
        <v>0</v>
      </c>
      <c r="N66" s="12" t="n">
        <f aca="false">IF(D66=0,0,INDEX($H$64:$H$95,$A66-2+1))</f>
        <v>0</v>
      </c>
      <c r="O66" s="12" t="n">
        <f aca="false">IF(E66=0,0,INDEX($H$64:$H$95,$A66-4+1))</f>
        <v>0</v>
      </c>
      <c r="P66" s="12" t="n">
        <f aca="false">IF(F66=0,0,INDEX($H$64:$H$95,$A66-8+1))</f>
        <v>0</v>
      </c>
      <c r="Q66" s="12" t="n">
        <f aca="false">IF(G66=0,0,INDEX($H$64:$H$95,$A66-16+1))</f>
        <v>0</v>
      </c>
      <c r="R66" s="12" t="n">
        <f aca="false">IF(AND(H66=1,SUM(M66:Q66)=0),1,0)</f>
        <v>0</v>
      </c>
    </row>
    <row r="67" customFormat="false" ht="15" hidden="false" customHeight="false" outlineLevel="0" collapsed="false">
      <c r="A67" s="12" t="n">
        <v>3</v>
      </c>
      <c r="B67" s="2" t="str">
        <f aca="false">IF(A67=0,"nothing",MID(IF(C67=1,", floor","")&amp;IF(D67=1,", capability","")&amp;IF(E67=1,", six rounds","")&amp;IF(F67=1,", half payout","")&amp;IF(G67=1,", end condition",""),3,200))</f>
        <v>floor, capability</v>
      </c>
      <c r="C67" s="12" t="n">
        <f aca="false">MOD(INT($A67/1),2)</f>
        <v>1</v>
      </c>
      <c r="D67" s="12" t="n">
        <f aca="false">MOD(INT($A67/2),2)</f>
        <v>1</v>
      </c>
      <c r="E67" s="12" t="n">
        <f aca="false">MOD(INT($A67/4),2)</f>
        <v>0</v>
      </c>
      <c r="F67" s="12" t="n">
        <f aca="false">MOD(INT($A67/8),2)</f>
        <v>0</v>
      </c>
      <c r="G67" s="12" t="n">
        <f aca="false">MOD(INT($A67/16),2)</f>
        <v>0</v>
      </c>
      <c r="H67" s="12" t="n">
        <f aca="false">IF(31-A67=0,1,INDEX($I$26:$I$56,31-A67))</f>
        <v>0</v>
      </c>
      <c r="I67" s="12" t="n">
        <f aca="false">IF(SUMPRODUCT(C67:G67,$J$59:$N$59)&gt;0,1,0)</f>
        <v>1</v>
      </c>
      <c r="J67" s="12" t="n">
        <f aca="false">IF(SUMPRODUCT(C67:G67,$J$60:$N$60)&gt;0,1,0)</f>
        <v>0</v>
      </c>
      <c r="K67" s="12" t="n">
        <f aca="false">I67*J67</f>
        <v>0</v>
      </c>
      <c r="L67" s="12" t="n">
        <f aca="false">IF(H67=K67,1,0)</f>
        <v>1</v>
      </c>
      <c r="M67" s="12" t="n">
        <f aca="false">IF(C67=0,0,INDEX($H$64:$H$95,$A67-1+1))</f>
        <v>0</v>
      </c>
      <c r="N67" s="12" t="n">
        <f aca="false">IF(D67=0,0,INDEX($H$64:$H$95,$A67-2+1))</f>
        <v>0</v>
      </c>
      <c r="O67" s="12" t="n">
        <f aca="false">IF(E67=0,0,INDEX($H$64:$H$95,$A67-4+1))</f>
        <v>0</v>
      </c>
      <c r="P67" s="12" t="n">
        <f aca="false">IF(F67=0,0,INDEX($H$64:$H$95,$A67-8+1))</f>
        <v>0</v>
      </c>
      <c r="Q67" s="12" t="n">
        <f aca="false">IF(G67=0,0,INDEX($H$64:$H$95,$A67-16+1))</f>
        <v>0</v>
      </c>
      <c r="R67" s="12" t="n">
        <f aca="false">IF(AND(H67=1,SUM(M67:Q67)=0),1,0)</f>
        <v>0</v>
      </c>
    </row>
    <row r="68" customFormat="false" ht="15" hidden="false" customHeight="false" outlineLevel="0" collapsed="false">
      <c r="A68" s="12" t="n">
        <v>4</v>
      </c>
      <c r="B68" s="2" t="str">
        <f aca="false">IF(A68=0,"nothing",MID(IF(C68=1,", floor","")&amp;IF(D68=1,", capability","")&amp;IF(E68=1,", six rounds","")&amp;IF(F68=1,", half payout","")&amp;IF(G68=1,", end condition",""),3,200))</f>
        <v>six rounds</v>
      </c>
      <c r="C68" s="12" t="n">
        <f aca="false">MOD(INT($A68/1),2)</f>
        <v>0</v>
      </c>
      <c r="D68" s="12" t="n">
        <f aca="false">MOD(INT($A68/2),2)</f>
        <v>0</v>
      </c>
      <c r="E68" s="12" t="n">
        <f aca="false">MOD(INT($A68/4),2)</f>
        <v>1</v>
      </c>
      <c r="F68" s="12" t="n">
        <f aca="false">MOD(INT($A68/8),2)</f>
        <v>0</v>
      </c>
      <c r="G68" s="12" t="n">
        <f aca="false">MOD(INT($A68/16),2)</f>
        <v>0</v>
      </c>
      <c r="H68" s="12" t="n">
        <f aca="false">IF(31-A68=0,1,INDEX($I$26:$I$56,31-A68))</f>
        <v>1</v>
      </c>
      <c r="I68" s="12" t="n">
        <f aca="false">IF(SUMPRODUCT(C68:G68,$J$59:$N$59)&gt;0,1,0)</f>
        <v>1</v>
      </c>
      <c r="J68" s="12" t="n">
        <f aca="false">IF(SUMPRODUCT(C68:G68,$J$60:$N$60)&gt;0,1,0)</f>
        <v>1</v>
      </c>
      <c r="K68" s="12" t="n">
        <f aca="false">I68*J68</f>
        <v>1</v>
      </c>
      <c r="L68" s="12" t="n">
        <f aca="false">IF(H68=K68,1,0)</f>
        <v>1</v>
      </c>
      <c r="M68" s="12" t="n">
        <f aca="false">IF(C68=0,0,INDEX($H$64:$H$95,$A68-1+1))</f>
        <v>0</v>
      </c>
      <c r="N68" s="12" t="n">
        <f aca="false">IF(D68=0,0,INDEX($H$64:$H$95,$A68-2+1))</f>
        <v>0</v>
      </c>
      <c r="O68" s="12" t="n">
        <f aca="false">IF(E68=0,0,INDEX($H$64:$H$95,$A68-4+1))</f>
        <v>0</v>
      </c>
      <c r="P68" s="12" t="n">
        <f aca="false">IF(F68=0,0,INDEX($H$64:$H$95,$A68-8+1))</f>
        <v>0</v>
      </c>
      <c r="Q68" s="12" t="n">
        <f aca="false">IF(G68=0,0,INDEX($H$64:$H$95,$A68-16+1))</f>
        <v>0</v>
      </c>
      <c r="R68" s="12" t="n">
        <f aca="false">IF(AND(H68=1,SUM(M68:Q68)=0),1,0)</f>
        <v>1</v>
      </c>
    </row>
    <row r="69" customFormat="false" ht="15" hidden="false" customHeight="false" outlineLevel="0" collapsed="false">
      <c r="A69" s="12" t="n">
        <v>5</v>
      </c>
      <c r="B69" s="2" t="str">
        <f aca="false">IF(A69=0,"nothing",MID(IF(C69=1,", floor","")&amp;IF(D69=1,", capability","")&amp;IF(E69=1,", six rounds","")&amp;IF(F69=1,", half payout","")&amp;IF(G69=1,", end condition",""),3,200))</f>
        <v>floor, six rounds</v>
      </c>
      <c r="C69" s="12" t="n">
        <f aca="false">MOD(INT($A69/1),2)</f>
        <v>1</v>
      </c>
      <c r="D69" s="12" t="n">
        <f aca="false">MOD(INT($A69/2),2)</f>
        <v>0</v>
      </c>
      <c r="E69" s="12" t="n">
        <f aca="false">MOD(INT($A69/4),2)</f>
        <v>1</v>
      </c>
      <c r="F69" s="12" t="n">
        <f aca="false">MOD(INT($A69/8),2)</f>
        <v>0</v>
      </c>
      <c r="G69" s="12" t="n">
        <f aca="false">MOD(INT($A69/16),2)</f>
        <v>0</v>
      </c>
      <c r="H69" s="12" t="n">
        <f aca="false">IF(31-A69=0,1,INDEX($I$26:$I$56,31-A69))</f>
        <v>1</v>
      </c>
      <c r="I69" s="12" t="n">
        <f aca="false">IF(SUMPRODUCT(C69:G69,$J$59:$N$59)&gt;0,1,0)</f>
        <v>1</v>
      </c>
      <c r="J69" s="12" t="n">
        <f aca="false">IF(SUMPRODUCT(C69:G69,$J$60:$N$60)&gt;0,1,0)</f>
        <v>1</v>
      </c>
      <c r="K69" s="12" t="n">
        <f aca="false">I69*J69</f>
        <v>1</v>
      </c>
      <c r="L69" s="12" t="n">
        <f aca="false">IF(H69=K69,1,0)</f>
        <v>1</v>
      </c>
      <c r="M69" s="12" t="n">
        <f aca="false">IF(C69=0,0,INDEX($H$64:$H$95,$A69-1+1))</f>
        <v>1</v>
      </c>
      <c r="N69" s="12" t="n">
        <f aca="false">IF(D69=0,0,INDEX($H$64:$H$95,$A69-2+1))</f>
        <v>0</v>
      </c>
      <c r="O69" s="12" t="n">
        <f aca="false">IF(E69=0,0,INDEX($H$64:$H$95,$A69-4+1))</f>
        <v>0</v>
      </c>
      <c r="P69" s="12" t="n">
        <f aca="false">IF(F69=0,0,INDEX($H$64:$H$95,$A69-8+1))</f>
        <v>0</v>
      </c>
      <c r="Q69" s="12" t="n">
        <f aca="false">IF(G69=0,0,INDEX($H$64:$H$95,$A69-16+1))</f>
        <v>0</v>
      </c>
      <c r="R69" s="12" t="n">
        <f aca="false">IF(AND(H69=1,SUM(M69:Q69)=0),1,0)</f>
        <v>0</v>
      </c>
    </row>
    <row r="70" customFormat="false" ht="15" hidden="false" customHeight="false" outlineLevel="0" collapsed="false">
      <c r="A70" s="12" t="n">
        <v>6</v>
      </c>
      <c r="B70" s="2" t="str">
        <f aca="false">IF(A70=0,"nothing",MID(IF(C70=1,", floor","")&amp;IF(D70=1,", capability","")&amp;IF(E70=1,", six rounds","")&amp;IF(F70=1,", half payout","")&amp;IF(G70=1,", end condition",""),3,200))</f>
        <v>capability, six rounds</v>
      </c>
      <c r="C70" s="12" t="n">
        <f aca="false">MOD(INT($A70/1),2)</f>
        <v>0</v>
      </c>
      <c r="D70" s="12" t="n">
        <f aca="false">MOD(INT($A70/2),2)</f>
        <v>1</v>
      </c>
      <c r="E70" s="12" t="n">
        <f aca="false">MOD(INT($A70/4),2)</f>
        <v>1</v>
      </c>
      <c r="F70" s="12" t="n">
        <f aca="false">MOD(INT($A70/8),2)</f>
        <v>0</v>
      </c>
      <c r="G70" s="12" t="n">
        <f aca="false">MOD(INT($A70/16),2)</f>
        <v>0</v>
      </c>
      <c r="H70" s="12" t="n">
        <f aca="false">IF(31-A70=0,1,INDEX($I$26:$I$56,31-A70))</f>
        <v>1</v>
      </c>
      <c r="I70" s="12" t="n">
        <f aca="false">IF(SUMPRODUCT(C70:G70,$J$59:$N$59)&gt;0,1,0)</f>
        <v>1</v>
      </c>
      <c r="J70" s="12" t="n">
        <f aca="false">IF(SUMPRODUCT(C70:G70,$J$60:$N$60)&gt;0,1,0)</f>
        <v>1</v>
      </c>
      <c r="K70" s="12" t="n">
        <f aca="false">I70*J70</f>
        <v>1</v>
      </c>
      <c r="L70" s="12" t="n">
        <f aca="false">IF(H70=K70,1,0)</f>
        <v>1</v>
      </c>
      <c r="M70" s="12" t="n">
        <f aca="false">IF(C70=0,0,INDEX($H$64:$H$95,$A70-1+1))</f>
        <v>0</v>
      </c>
      <c r="N70" s="12" t="n">
        <f aca="false">IF(D70=0,0,INDEX($H$64:$H$95,$A70-2+1))</f>
        <v>1</v>
      </c>
      <c r="O70" s="12" t="n">
        <f aca="false">IF(E70=0,0,INDEX($H$64:$H$95,$A70-4+1))</f>
        <v>0</v>
      </c>
      <c r="P70" s="12" t="n">
        <f aca="false">IF(F70=0,0,INDEX($H$64:$H$95,$A70-8+1))</f>
        <v>0</v>
      </c>
      <c r="Q70" s="12" t="n">
        <f aca="false">IF(G70=0,0,INDEX($H$64:$H$95,$A70-16+1))</f>
        <v>0</v>
      </c>
      <c r="R70" s="12" t="n">
        <f aca="false">IF(AND(H70=1,SUM(M70:Q70)=0),1,0)</f>
        <v>0</v>
      </c>
    </row>
    <row r="71" customFormat="false" ht="15" hidden="false" customHeight="false" outlineLevel="0" collapsed="false">
      <c r="A71" s="12" t="n">
        <v>7</v>
      </c>
      <c r="B71" s="2" t="str">
        <f aca="false">IF(A71=0,"nothing",MID(IF(C71=1,", floor","")&amp;IF(D71=1,", capability","")&amp;IF(E71=1,", six rounds","")&amp;IF(F71=1,", half payout","")&amp;IF(G71=1,", end condition",""),3,200))</f>
        <v>floor, capability, six rounds</v>
      </c>
      <c r="C71" s="12" t="n">
        <f aca="false">MOD(INT($A71/1),2)</f>
        <v>1</v>
      </c>
      <c r="D71" s="12" t="n">
        <f aca="false">MOD(INT($A71/2),2)</f>
        <v>1</v>
      </c>
      <c r="E71" s="12" t="n">
        <f aca="false">MOD(INT($A71/4),2)</f>
        <v>1</v>
      </c>
      <c r="F71" s="12" t="n">
        <f aca="false">MOD(INT($A71/8),2)</f>
        <v>0</v>
      </c>
      <c r="G71" s="12" t="n">
        <f aca="false">MOD(INT($A71/16),2)</f>
        <v>0</v>
      </c>
      <c r="H71" s="12" t="n">
        <f aca="false">IF(31-A71=0,1,INDEX($I$26:$I$56,31-A71))</f>
        <v>1</v>
      </c>
      <c r="I71" s="12" t="n">
        <f aca="false">IF(SUMPRODUCT(C71:G71,$J$59:$N$59)&gt;0,1,0)</f>
        <v>1</v>
      </c>
      <c r="J71" s="12" t="n">
        <f aca="false">IF(SUMPRODUCT(C71:G71,$J$60:$N$60)&gt;0,1,0)</f>
        <v>1</v>
      </c>
      <c r="K71" s="12" t="n">
        <f aca="false">I71*J71</f>
        <v>1</v>
      </c>
      <c r="L71" s="12" t="n">
        <f aca="false">IF(H71=K71,1,0)</f>
        <v>1</v>
      </c>
      <c r="M71" s="12" t="n">
        <f aca="false">IF(C71=0,0,INDEX($H$64:$H$95,$A71-1+1))</f>
        <v>1</v>
      </c>
      <c r="N71" s="12" t="n">
        <f aca="false">IF(D71=0,0,INDEX($H$64:$H$95,$A71-2+1))</f>
        <v>1</v>
      </c>
      <c r="O71" s="12" t="n">
        <f aca="false">IF(E71=0,0,INDEX($H$64:$H$95,$A71-4+1))</f>
        <v>0</v>
      </c>
      <c r="P71" s="12" t="n">
        <f aca="false">IF(F71=0,0,INDEX($H$64:$H$95,$A71-8+1))</f>
        <v>0</v>
      </c>
      <c r="Q71" s="12" t="n">
        <f aca="false">IF(G71=0,0,INDEX($H$64:$H$95,$A71-16+1))</f>
        <v>0</v>
      </c>
      <c r="R71" s="12" t="n">
        <f aca="false">IF(AND(H71=1,SUM(M71:Q71)=0),1,0)</f>
        <v>0</v>
      </c>
    </row>
    <row r="72" customFormat="false" ht="15" hidden="false" customHeight="false" outlineLevel="0" collapsed="false">
      <c r="A72" s="12" t="n">
        <v>8</v>
      </c>
      <c r="B72" s="2" t="str">
        <f aca="false">IF(A72=0,"nothing",MID(IF(C72=1,", floor","")&amp;IF(D72=1,", capability","")&amp;IF(E72=1,", six rounds","")&amp;IF(F72=1,", half payout","")&amp;IF(G72=1,", end condition",""),3,200))</f>
        <v>half payout</v>
      </c>
      <c r="C72" s="12" t="n">
        <f aca="false">MOD(INT($A72/1),2)</f>
        <v>0</v>
      </c>
      <c r="D72" s="12" t="n">
        <f aca="false">MOD(INT($A72/2),2)</f>
        <v>0</v>
      </c>
      <c r="E72" s="12" t="n">
        <f aca="false">MOD(INT($A72/4),2)</f>
        <v>0</v>
      </c>
      <c r="F72" s="12" t="n">
        <f aca="false">MOD(INT($A72/8),2)</f>
        <v>1</v>
      </c>
      <c r="G72" s="12" t="n">
        <f aca="false">MOD(INT($A72/16),2)</f>
        <v>0</v>
      </c>
      <c r="H72" s="12" t="n">
        <f aca="false">IF(31-A72=0,1,INDEX($I$26:$I$56,31-A72))</f>
        <v>1</v>
      </c>
      <c r="I72" s="12" t="n">
        <f aca="false">IF(SUMPRODUCT(C72:G72,$J$59:$N$59)&gt;0,1,0)</f>
        <v>1</v>
      </c>
      <c r="J72" s="12" t="n">
        <f aca="false">IF(SUMPRODUCT(C72:G72,$J$60:$N$60)&gt;0,1,0)</f>
        <v>1</v>
      </c>
      <c r="K72" s="12" t="n">
        <f aca="false">I72*J72</f>
        <v>1</v>
      </c>
      <c r="L72" s="12" t="n">
        <f aca="false">IF(H72=K72,1,0)</f>
        <v>1</v>
      </c>
      <c r="M72" s="12" t="n">
        <f aca="false">IF(C72=0,0,INDEX($H$64:$H$95,$A72-1+1))</f>
        <v>0</v>
      </c>
      <c r="N72" s="12" t="n">
        <f aca="false">IF(D72=0,0,INDEX($H$64:$H$95,$A72-2+1))</f>
        <v>0</v>
      </c>
      <c r="O72" s="12" t="n">
        <f aca="false">IF(E72=0,0,INDEX($H$64:$H$95,$A72-4+1))</f>
        <v>0</v>
      </c>
      <c r="P72" s="12" t="n">
        <f aca="false">IF(F72=0,0,INDEX($H$64:$H$95,$A72-8+1))</f>
        <v>0</v>
      </c>
      <c r="Q72" s="12" t="n">
        <f aca="false">IF(G72=0,0,INDEX($H$64:$H$95,$A72-16+1))</f>
        <v>0</v>
      </c>
      <c r="R72" s="12" t="n">
        <f aca="false">IF(AND(H72=1,SUM(M72:Q72)=0),1,0)</f>
        <v>1</v>
      </c>
    </row>
    <row r="73" customFormat="false" ht="15" hidden="false" customHeight="false" outlineLevel="0" collapsed="false">
      <c r="A73" s="12" t="n">
        <v>9</v>
      </c>
      <c r="B73" s="2" t="str">
        <f aca="false">IF(A73=0,"nothing",MID(IF(C73=1,", floor","")&amp;IF(D73=1,", capability","")&amp;IF(E73=1,", six rounds","")&amp;IF(F73=1,", half payout","")&amp;IF(G73=1,", end condition",""),3,200))</f>
        <v>floor, half payout</v>
      </c>
      <c r="C73" s="12" t="n">
        <f aca="false">MOD(INT($A73/1),2)</f>
        <v>1</v>
      </c>
      <c r="D73" s="12" t="n">
        <f aca="false">MOD(INT($A73/2),2)</f>
        <v>0</v>
      </c>
      <c r="E73" s="12" t="n">
        <f aca="false">MOD(INT($A73/4),2)</f>
        <v>0</v>
      </c>
      <c r="F73" s="12" t="n">
        <f aca="false">MOD(INT($A73/8),2)</f>
        <v>1</v>
      </c>
      <c r="G73" s="12" t="n">
        <f aca="false">MOD(INT($A73/16),2)</f>
        <v>0</v>
      </c>
      <c r="H73" s="12" t="n">
        <f aca="false">IF(31-A73=0,1,INDEX($I$26:$I$56,31-A73))</f>
        <v>1</v>
      </c>
      <c r="I73" s="12" t="n">
        <f aca="false">IF(SUMPRODUCT(C73:G73,$J$59:$N$59)&gt;0,1,0)</f>
        <v>1</v>
      </c>
      <c r="J73" s="12" t="n">
        <f aca="false">IF(SUMPRODUCT(C73:G73,$J$60:$N$60)&gt;0,1,0)</f>
        <v>1</v>
      </c>
      <c r="K73" s="12" t="n">
        <f aca="false">I73*J73</f>
        <v>1</v>
      </c>
      <c r="L73" s="12" t="n">
        <f aca="false">IF(H73=K73,1,0)</f>
        <v>1</v>
      </c>
      <c r="M73" s="12" t="n">
        <f aca="false">IF(C73=0,0,INDEX($H$64:$H$95,$A73-1+1))</f>
        <v>1</v>
      </c>
      <c r="N73" s="12" t="n">
        <f aca="false">IF(D73=0,0,INDEX($H$64:$H$95,$A73-2+1))</f>
        <v>0</v>
      </c>
      <c r="O73" s="12" t="n">
        <f aca="false">IF(E73=0,0,INDEX($H$64:$H$95,$A73-4+1))</f>
        <v>0</v>
      </c>
      <c r="P73" s="12" t="n">
        <f aca="false">IF(F73=0,0,INDEX($H$64:$H$95,$A73-8+1))</f>
        <v>0</v>
      </c>
      <c r="Q73" s="12" t="n">
        <f aca="false">IF(G73=0,0,INDEX($H$64:$H$95,$A73-16+1))</f>
        <v>0</v>
      </c>
      <c r="R73" s="12" t="n">
        <f aca="false">IF(AND(H73=1,SUM(M73:Q73)=0),1,0)</f>
        <v>0</v>
      </c>
    </row>
    <row r="74" customFormat="false" ht="15" hidden="false" customHeight="false" outlineLevel="0" collapsed="false">
      <c r="A74" s="12" t="n">
        <v>10</v>
      </c>
      <c r="B74" s="2" t="str">
        <f aca="false">IF(A74=0,"nothing",MID(IF(C74=1,", floor","")&amp;IF(D74=1,", capability","")&amp;IF(E74=1,", six rounds","")&amp;IF(F74=1,", half payout","")&amp;IF(G74=1,", end condition",""),3,200))</f>
        <v>capability, half payout</v>
      </c>
      <c r="C74" s="12" t="n">
        <f aca="false">MOD(INT($A74/1),2)</f>
        <v>0</v>
      </c>
      <c r="D74" s="12" t="n">
        <f aca="false">MOD(INT($A74/2),2)</f>
        <v>1</v>
      </c>
      <c r="E74" s="12" t="n">
        <f aca="false">MOD(INT($A74/4),2)</f>
        <v>0</v>
      </c>
      <c r="F74" s="12" t="n">
        <f aca="false">MOD(INT($A74/8),2)</f>
        <v>1</v>
      </c>
      <c r="G74" s="12" t="n">
        <f aca="false">MOD(INT($A74/16),2)</f>
        <v>0</v>
      </c>
      <c r="H74" s="12" t="n">
        <f aca="false">IF(31-A74=0,1,INDEX($I$26:$I$56,31-A74))</f>
        <v>1</v>
      </c>
      <c r="I74" s="12" t="n">
        <f aca="false">IF(SUMPRODUCT(C74:G74,$J$59:$N$59)&gt;0,1,0)</f>
        <v>1</v>
      </c>
      <c r="J74" s="12" t="n">
        <f aca="false">IF(SUMPRODUCT(C74:G74,$J$60:$N$60)&gt;0,1,0)</f>
        <v>1</v>
      </c>
      <c r="K74" s="12" t="n">
        <f aca="false">I74*J74</f>
        <v>1</v>
      </c>
      <c r="L74" s="12" t="n">
        <f aca="false">IF(H74=K74,1,0)</f>
        <v>1</v>
      </c>
      <c r="M74" s="12" t="n">
        <f aca="false">IF(C74=0,0,INDEX($H$64:$H$95,$A74-1+1))</f>
        <v>0</v>
      </c>
      <c r="N74" s="12" t="n">
        <f aca="false">IF(D74=0,0,INDEX($H$64:$H$95,$A74-2+1))</f>
        <v>1</v>
      </c>
      <c r="O74" s="12" t="n">
        <f aca="false">IF(E74=0,0,INDEX($H$64:$H$95,$A74-4+1))</f>
        <v>0</v>
      </c>
      <c r="P74" s="12" t="n">
        <f aca="false">IF(F74=0,0,INDEX($H$64:$H$95,$A74-8+1))</f>
        <v>0</v>
      </c>
      <c r="Q74" s="12" t="n">
        <f aca="false">IF(G74=0,0,INDEX($H$64:$H$95,$A74-16+1))</f>
        <v>0</v>
      </c>
      <c r="R74" s="12" t="n">
        <f aca="false">IF(AND(H74=1,SUM(M74:Q74)=0),1,0)</f>
        <v>0</v>
      </c>
    </row>
    <row r="75" customFormat="false" ht="15" hidden="false" customHeight="false" outlineLevel="0" collapsed="false">
      <c r="A75" s="12" t="n">
        <v>11</v>
      </c>
      <c r="B75" s="2" t="str">
        <f aca="false">IF(A75=0,"nothing",MID(IF(C75=1,", floor","")&amp;IF(D75=1,", capability","")&amp;IF(E75=1,", six rounds","")&amp;IF(F75=1,", half payout","")&amp;IF(G75=1,", end condition",""),3,200))</f>
        <v>floor, capability, half payout</v>
      </c>
      <c r="C75" s="12" t="n">
        <f aca="false">MOD(INT($A75/1),2)</f>
        <v>1</v>
      </c>
      <c r="D75" s="12" t="n">
        <f aca="false">MOD(INT($A75/2),2)</f>
        <v>1</v>
      </c>
      <c r="E75" s="12" t="n">
        <f aca="false">MOD(INT($A75/4),2)</f>
        <v>0</v>
      </c>
      <c r="F75" s="12" t="n">
        <f aca="false">MOD(INT($A75/8),2)</f>
        <v>1</v>
      </c>
      <c r="G75" s="12" t="n">
        <f aca="false">MOD(INT($A75/16),2)</f>
        <v>0</v>
      </c>
      <c r="H75" s="12" t="n">
        <f aca="false">IF(31-A75=0,1,INDEX($I$26:$I$56,31-A75))</f>
        <v>1</v>
      </c>
      <c r="I75" s="12" t="n">
        <f aca="false">IF(SUMPRODUCT(C75:G75,$J$59:$N$59)&gt;0,1,0)</f>
        <v>1</v>
      </c>
      <c r="J75" s="12" t="n">
        <f aca="false">IF(SUMPRODUCT(C75:G75,$J$60:$N$60)&gt;0,1,0)</f>
        <v>1</v>
      </c>
      <c r="K75" s="12" t="n">
        <f aca="false">I75*J75</f>
        <v>1</v>
      </c>
      <c r="L75" s="12" t="n">
        <f aca="false">IF(H75=K75,1,0)</f>
        <v>1</v>
      </c>
      <c r="M75" s="12" t="n">
        <f aca="false">IF(C75=0,0,INDEX($H$64:$H$95,$A75-1+1))</f>
        <v>1</v>
      </c>
      <c r="N75" s="12" t="n">
        <f aca="false">IF(D75=0,0,INDEX($H$64:$H$95,$A75-2+1))</f>
        <v>1</v>
      </c>
      <c r="O75" s="12" t="n">
        <f aca="false">IF(E75=0,0,INDEX($H$64:$H$95,$A75-4+1))</f>
        <v>0</v>
      </c>
      <c r="P75" s="12" t="n">
        <f aca="false">IF(F75=0,0,INDEX($H$64:$H$95,$A75-8+1))</f>
        <v>0</v>
      </c>
      <c r="Q75" s="12" t="n">
        <f aca="false">IF(G75=0,0,INDEX($H$64:$H$95,$A75-16+1))</f>
        <v>0</v>
      </c>
      <c r="R75" s="12" t="n">
        <f aca="false">IF(AND(H75=1,SUM(M75:Q75)=0),1,0)</f>
        <v>0</v>
      </c>
    </row>
    <row r="76" customFormat="false" ht="15" hidden="false" customHeight="false" outlineLevel="0" collapsed="false">
      <c r="A76" s="12" t="n">
        <v>12</v>
      </c>
      <c r="B76" s="2" t="str">
        <f aca="false">IF(A76=0,"nothing",MID(IF(C76=1,", floor","")&amp;IF(D76=1,", capability","")&amp;IF(E76=1,", six rounds","")&amp;IF(F76=1,", half payout","")&amp;IF(G76=1,", end condition",""),3,200))</f>
        <v>six rounds, half payout</v>
      </c>
      <c r="C76" s="12" t="n">
        <f aca="false">MOD(INT($A76/1),2)</f>
        <v>0</v>
      </c>
      <c r="D76" s="12" t="n">
        <f aca="false">MOD(INT($A76/2),2)</f>
        <v>0</v>
      </c>
      <c r="E76" s="12" t="n">
        <f aca="false">MOD(INT($A76/4),2)</f>
        <v>1</v>
      </c>
      <c r="F76" s="12" t="n">
        <f aca="false">MOD(INT($A76/8),2)</f>
        <v>1</v>
      </c>
      <c r="G76" s="12" t="n">
        <f aca="false">MOD(INT($A76/16),2)</f>
        <v>0</v>
      </c>
      <c r="H76" s="12" t="n">
        <f aca="false">IF(31-A76=0,1,INDEX($I$26:$I$56,31-A76))</f>
        <v>1</v>
      </c>
      <c r="I76" s="12" t="n">
        <f aca="false">IF(SUMPRODUCT(C76:G76,$J$59:$N$59)&gt;0,1,0)</f>
        <v>1</v>
      </c>
      <c r="J76" s="12" t="n">
        <f aca="false">IF(SUMPRODUCT(C76:G76,$J$60:$N$60)&gt;0,1,0)</f>
        <v>1</v>
      </c>
      <c r="K76" s="12" t="n">
        <f aca="false">I76*J76</f>
        <v>1</v>
      </c>
      <c r="L76" s="12" t="n">
        <f aca="false">IF(H76=K76,1,0)</f>
        <v>1</v>
      </c>
      <c r="M76" s="12" t="n">
        <f aca="false">IF(C76=0,0,INDEX($H$64:$H$95,$A76-1+1))</f>
        <v>0</v>
      </c>
      <c r="N76" s="12" t="n">
        <f aca="false">IF(D76=0,0,INDEX($H$64:$H$95,$A76-2+1))</f>
        <v>0</v>
      </c>
      <c r="O76" s="12" t="n">
        <f aca="false">IF(E76=0,0,INDEX($H$64:$H$95,$A76-4+1))</f>
        <v>1</v>
      </c>
      <c r="P76" s="12" t="n">
        <f aca="false">IF(F76=0,0,INDEX($H$64:$H$95,$A76-8+1))</f>
        <v>1</v>
      </c>
      <c r="Q76" s="12" t="n">
        <f aca="false">IF(G76=0,0,INDEX($H$64:$H$95,$A76-16+1))</f>
        <v>0</v>
      </c>
      <c r="R76" s="12" t="n">
        <f aca="false">IF(AND(H76=1,SUM(M76:Q76)=0),1,0)</f>
        <v>0</v>
      </c>
    </row>
    <row r="77" customFormat="false" ht="15" hidden="false" customHeight="false" outlineLevel="0" collapsed="false">
      <c r="A77" s="12" t="n">
        <v>13</v>
      </c>
      <c r="B77" s="2" t="str">
        <f aca="false">IF(A77=0,"nothing",MID(IF(C77=1,", floor","")&amp;IF(D77=1,", capability","")&amp;IF(E77=1,", six rounds","")&amp;IF(F77=1,", half payout","")&amp;IF(G77=1,", end condition",""),3,200))</f>
        <v>floor, six rounds, half payout</v>
      </c>
      <c r="C77" s="12" t="n">
        <f aca="false">MOD(INT($A77/1),2)</f>
        <v>1</v>
      </c>
      <c r="D77" s="12" t="n">
        <f aca="false">MOD(INT($A77/2),2)</f>
        <v>0</v>
      </c>
      <c r="E77" s="12" t="n">
        <f aca="false">MOD(INT($A77/4),2)</f>
        <v>1</v>
      </c>
      <c r="F77" s="12" t="n">
        <f aca="false">MOD(INT($A77/8),2)</f>
        <v>1</v>
      </c>
      <c r="G77" s="12" t="n">
        <f aca="false">MOD(INT($A77/16),2)</f>
        <v>0</v>
      </c>
      <c r="H77" s="12" t="n">
        <f aca="false">IF(31-A77=0,1,INDEX($I$26:$I$56,31-A77))</f>
        <v>1</v>
      </c>
      <c r="I77" s="12" t="n">
        <f aca="false">IF(SUMPRODUCT(C77:G77,$J$59:$N$59)&gt;0,1,0)</f>
        <v>1</v>
      </c>
      <c r="J77" s="12" t="n">
        <f aca="false">IF(SUMPRODUCT(C77:G77,$J$60:$N$60)&gt;0,1,0)</f>
        <v>1</v>
      </c>
      <c r="K77" s="12" t="n">
        <f aca="false">I77*J77</f>
        <v>1</v>
      </c>
      <c r="L77" s="12" t="n">
        <f aca="false">IF(H77=K77,1,0)</f>
        <v>1</v>
      </c>
      <c r="M77" s="12" t="n">
        <f aca="false">IF(C77=0,0,INDEX($H$64:$H$95,$A77-1+1))</f>
        <v>1</v>
      </c>
      <c r="N77" s="12" t="n">
        <f aca="false">IF(D77=0,0,INDEX($H$64:$H$95,$A77-2+1))</f>
        <v>0</v>
      </c>
      <c r="O77" s="12" t="n">
        <f aca="false">IF(E77=0,0,INDEX($H$64:$H$95,$A77-4+1))</f>
        <v>1</v>
      </c>
      <c r="P77" s="12" t="n">
        <f aca="false">IF(F77=0,0,INDEX($H$64:$H$95,$A77-8+1))</f>
        <v>1</v>
      </c>
      <c r="Q77" s="12" t="n">
        <f aca="false">IF(G77=0,0,INDEX($H$64:$H$95,$A77-16+1))</f>
        <v>0</v>
      </c>
      <c r="R77" s="12" t="n">
        <f aca="false">IF(AND(H77=1,SUM(M77:Q77)=0),1,0)</f>
        <v>0</v>
      </c>
    </row>
    <row r="78" customFormat="false" ht="15" hidden="false" customHeight="false" outlineLevel="0" collapsed="false">
      <c r="A78" s="12" t="n">
        <v>14</v>
      </c>
      <c r="B78" s="2" t="str">
        <f aca="false">IF(A78=0,"nothing",MID(IF(C78=1,", floor","")&amp;IF(D78=1,", capability","")&amp;IF(E78=1,", six rounds","")&amp;IF(F78=1,", half payout","")&amp;IF(G78=1,", end condition",""),3,200))</f>
        <v>capability, six rounds, half payout</v>
      </c>
      <c r="C78" s="12" t="n">
        <f aca="false">MOD(INT($A78/1),2)</f>
        <v>0</v>
      </c>
      <c r="D78" s="12" t="n">
        <f aca="false">MOD(INT($A78/2),2)</f>
        <v>1</v>
      </c>
      <c r="E78" s="12" t="n">
        <f aca="false">MOD(INT($A78/4),2)</f>
        <v>1</v>
      </c>
      <c r="F78" s="12" t="n">
        <f aca="false">MOD(INT($A78/8),2)</f>
        <v>1</v>
      </c>
      <c r="G78" s="12" t="n">
        <f aca="false">MOD(INT($A78/16),2)</f>
        <v>0</v>
      </c>
      <c r="H78" s="12" t="n">
        <f aca="false">IF(31-A78=0,1,INDEX($I$26:$I$56,31-A78))</f>
        <v>1</v>
      </c>
      <c r="I78" s="12" t="n">
        <f aca="false">IF(SUMPRODUCT(C78:G78,$J$59:$N$59)&gt;0,1,0)</f>
        <v>1</v>
      </c>
      <c r="J78" s="12" t="n">
        <f aca="false">IF(SUMPRODUCT(C78:G78,$J$60:$N$60)&gt;0,1,0)</f>
        <v>1</v>
      </c>
      <c r="K78" s="12" t="n">
        <f aca="false">I78*J78</f>
        <v>1</v>
      </c>
      <c r="L78" s="12" t="n">
        <f aca="false">IF(H78=K78,1,0)</f>
        <v>1</v>
      </c>
      <c r="M78" s="12" t="n">
        <f aca="false">IF(C78=0,0,INDEX($H$64:$H$95,$A78-1+1))</f>
        <v>0</v>
      </c>
      <c r="N78" s="12" t="n">
        <f aca="false">IF(D78=0,0,INDEX($H$64:$H$95,$A78-2+1))</f>
        <v>1</v>
      </c>
      <c r="O78" s="12" t="n">
        <f aca="false">IF(E78=0,0,INDEX($H$64:$H$95,$A78-4+1))</f>
        <v>1</v>
      </c>
      <c r="P78" s="12" t="n">
        <f aca="false">IF(F78=0,0,INDEX($H$64:$H$95,$A78-8+1))</f>
        <v>1</v>
      </c>
      <c r="Q78" s="12" t="n">
        <f aca="false">IF(G78=0,0,INDEX($H$64:$H$95,$A78-16+1))</f>
        <v>0</v>
      </c>
      <c r="R78" s="12" t="n">
        <f aca="false">IF(AND(H78=1,SUM(M78:Q78)=0),1,0)</f>
        <v>0</v>
      </c>
    </row>
    <row r="79" customFormat="false" ht="15" hidden="false" customHeight="false" outlineLevel="0" collapsed="false">
      <c r="A79" s="12" t="n">
        <v>15</v>
      </c>
      <c r="B79" s="2" t="str">
        <f aca="false">IF(A79=0,"nothing",MID(IF(C79=1,", floor","")&amp;IF(D79=1,", capability","")&amp;IF(E79=1,", six rounds","")&amp;IF(F79=1,", half payout","")&amp;IF(G79=1,", end condition",""),3,200))</f>
        <v>floor, capability, six rounds, half payout</v>
      </c>
      <c r="C79" s="12" t="n">
        <f aca="false">MOD(INT($A79/1),2)</f>
        <v>1</v>
      </c>
      <c r="D79" s="12" t="n">
        <f aca="false">MOD(INT($A79/2),2)</f>
        <v>1</v>
      </c>
      <c r="E79" s="12" t="n">
        <f aca="false">MOD(INT($A79/4),2)</f>
        <v>1</v>
      </c>
      <c r="F79" s="12" t="n">
        <f aca="false">MOD(INT($A79/8),2)</f>
        <v>1</v>
      </c>
      <c r="G79" s="12" t="n">
        <f aca="false">MOD(INT($A79/16),2)</f>
        <v>0</v>
      </c>
      <c r="H79" s="12" t="n">
        <f aca="false">IF(31-A79=0,1,INDEX($I$26:$I$56,31-A79))</f>
        <v>1</v>
      </c>
      <c r="I79" s="12" t="n">
        <f aca="false">IF(SUMPRODUCT(C79:G79,$J$59:$N$59)&gt;0,1,0)</f>
        <v>1</v>
      </c>
      <c r="J79" s="12" t="n">
        <f aca="false">IF(SUMPRODUCT(C79:G79,$J$60:$N$60)&gt;0,1,0)</f>
        <v>1</v>
      </c>
      <c r="K79" s="12" t="n">
        <f aca="false">I79*J79</f>
        <v>1</v>
      </c>
      <c r="L79" s="12" t="n">
        <f aca="false">IF(H79=K79,1,0)</f>
        <v>1</v>
      </c>
      <c r="M79" s="12" t="n">
        <f aca="false">IF(C79=0,0,INDEX($H$64:$H$95,$A79-1+1))</f>
        <v>1</v>
      </c>
      <c r="N79" s="12" t="n">
        <f aca="false">IF(D79=0,0,INDEX($H$64:$H$95,$A79-2+1))</f>
        <v>1</v>
      </c>
      <c r="O79" s="12" t="n">
        <f aca="false">IF(E79=0,0,INDEX($H$64:$H$95,$A79-4+1))</f>
        <v>1</v>
      </c>
      <c r="P79" s="12" t="n">
        <f aca="false">IF(F79=0,0,INDEX($H$64:$H$95,$A79-8+1))</f>
        <v>1</v>
      </c>
      <c r="Q79" s="12" t="n">
        <f aca="false">IF(G79=0,0,INDEX($H$64:$H$95,$A79-16+1))</f>
        <v>0</v>
      </c>
      <c r="R79" s="12" t="n">
        <f aca="false">IF(AND(H79=1,SUM(M79:Q79)=0),1,0)</f>
        <v>0</v>
      </c>
    </row>
    <row r="80" customFormat="false" ht="15" hidden="false" customHeight="false" outlineLevel="0" collapsed="false">
      <c r="A80" s="12" t="n">
        <v>16</v>
      </c>
      <c r="B80" s="2" t="str">
        <f aca="false">IF(A80=0,"nothing",MID(IF(C80=1,", floor","")&amp;IF(D80=1,", capability","")&amp;IF(E80=1,", six rounds","")&amp;IF(F80=1,", half payout","")&amp;IF(G80=1,", end condition",""),3,200))</f>
        <v>end condition</v>
      </c>
      <c r="C80" s="12" t="n">
        <f aca="false">MOD(INT($A80/1),2)</f>
        <v>0</v>
      </c>
      <c r="D80" s="12" t="n">
        <f aca="false">MOD(INT($A80/2),2)</f>
        <v>0</v>
      </c>
      <c r="E80" s="12" t="n">
        <f aca="false">MOD(INT($A80/4),2)</f>
        <v>0</v>
      </c>
      <c r="F80" s="12" t="n">
        <f aca="false">MOD(INT($A80/8),2)</f>
        <v>0</v>
      </c>
      <c r="G80" s="12" t="n">
        <f aca="false">MOD(INT($A80/16),2)</f>
        <v>1</v>
      </c>
      <c r="H80" s="12" t="n">
        <f aca="false">IF(31-A80=0,1,INDEX($I$26:$I$56,31-A80))</f>
        <v>0</v>
      </c>
      <c r="I80" s="12" t="n">
        <f aca="false">IF(SUMPRODUCT(C80:G80,$J$59:$N$59)&gt;0,1,0)</f>
        <v>0</v>
      </c>
      <c r="J80" s="12" t="n">
        <f aca="false">IF(SUMPRODUCT(C80:G80,$J$60:$N$60)&gt;0,1,0)</f>
        <v>1</v>
      </c>
      <c r="K80" s="12" t="n">
        <f aca="false">I80*J80</f>
        <v>0</v>
      </c>
      <c r="L80" s="12" t="n">
        <f aca="false">IF(H80=K80,1,0)</f>
        <v>1</v>
      </c>
      <c r="M80" s="12" t="n">
        <f aca="false">IF(C80=0,0,INDEX($H$64:$H$95,$A80-1+1))</f>
        <v>0</v>
      </c>
      <c r="N80" s="12" t="n">
        <f aca="false">IF(D80=0,0,INDEX($H$64:$H$95,$A80-2+1))</f>
        <v>0</v>
      </c>
      <c r="O80" s="12" t="n">
        <f aca="false">IF(E80=0,0,INDEX($H$64:$H$95,$A80-4+1))</f>
        <v>0</v>
      </c>
      <c r="P80" s="12" t="n">
        <f aca="false">IF(F80=0,0,INDEX($H$64:$H$95,$A80-8+1))</f>
        <v>0</v>
      </c>
      <c r="Q80" s="12" t="n">
        <f aca="false">IF(G80=0,0,INDEX($H$64:$H$95,$A80-16+1))</f>
        <v>0</v>
      </c>
      <c r="R80" s="12" t="n">
        <f aca="false">IF(AND(H80=1,SUM(M80:Q80)=0),1,0)</f>
        <v>0</v>
      </c>
    </row>
    <row r="81" customFormat="false" ht="15" hidden="false" customHeight="false" outlineLevel="0" collapsed="false">
      <c r="A81" s="12" t="n">
        <v>17</v>
      </c>
      <c r="B81" s="2" t="str">
        <f aca="false">IF(A81=0,"nothing",MID(IF(C81=1,", floor","")&amp;IF(D81=1,", capability","")&amp;IF(E81=1,", six rounds","")&amp;IF(F81=1,", half payout","")&amp;IF(G81=1,", end condition",""),3,200))</f>
        <v>floor, end condition</v>
      </c>
      <c r="C81" s="12" t="n">
        <f aca="false">MOD(INT($A81/1),2)</f>
        <v>1</v>
      </c>
      <c r="D81" s="12" t="n">
        <f aca="false">MOD(INT($A81/2),2)</f>
        <v>0</v>
      </c>
      <c r="E81" s="12" t="n">
        <f aca="false">MOD(INT($A81/4),2)</f>
        <v>0</v>
      </c>
      <c r="F81" s="12" t="n">
        <f aca="false">MOD(INT($A81/8),2)</f>
        <v>0</v>
      </c>
      <c r="G81" s="12" t="n">
        <f aca="false">MOD(INT($A81/16),2)</f>
        <v>1</v>
      </c>
      <c r="H81" s="12" t="n">
        <f aca="false">IF(31-A81=0,1,INDEX($I$26:$I$56,31-A81))</f>
        <v>1</v>
      </c>
      <c r="I81" s="12" t="n">
        <f aca="false">IF(SUMPRODUCT(C81:G81,$J$59:$N$59)&gt;0,1,0)</f>
        <v>1</v>
      </c>
      <c r="J81" s="12" t="n">
        <f aca="false">IF(SUMPRODUCT(C81:G81,$J$60:$N$60)&gt;0,1,0)</f>
        <v>1</v>
      </c>
      <c r="K81" s="12" t="n">
        <f aca="false">I81*J81</f>
        <v>1</v>
      </c>
      <c r="L81" s="12" t="n">
        <f aca="false">IF(H81=K81,1,0)</f>
        <v>1</v>
      </c>
      <c r="M81" s="12" t="n">
        <f aca="false">IF(C81=0,0,INDEX($H$64:$H$95,$A81-1+1))</f>
        <v>0</v>
      </c>
      <c r="N81" s="12" t="n">
        <f aca="false">IF(D81=0,0,INDEX($H$64:$H$95,$A81-2+1))</f>
        <v>0</v>
      </c>
      <c r="O81" s="12" t="n">
        <f aca="false">IF(E81=0,0,INDEX($H$64:$H$95,$A81-4+1))</f>
        <v>0</v>
      </c>
      <c r="P81" s="12" t="n">
        <f aca="false">IF(F81=0,0,INDEX($H$64:$H$95,$A81-8+1))</f>
        <v>0</v>
      </c>
      <c r="Q81" s="12" t="n">
        <f aca="false">IF(G81=0,0,INDEX($H$64:$H$95,$A81-16+1))</f>
        <v>0</v>
      </c>
      <c r="R81" s="12" t="n">
        <f aca="false">IF(AND(H81=1,SUM(M81:Q81)=0),1,0)</f>
        <v>1</v>
      </c>
    </row>
    <row r="82" customFormat="false" ht="15" hidden="false" customHeight="false" outlineLevel="0" collapsed="false">
      <c r="A82" s="12" t="n">
        <v>18</v>
      </c>
      <c r="B82" s="2" t="str">
        <f aca="false">IF(A82=0,"nothing",MID(IF(C82=1,", floor","")&amp;IF(D82=1,", capability","")&amp;IF(E82=1,", six rounds","")&amp;IF(F82=1,", half payout","")&amp;IF(G82=1,", end condition",""),3,200))</f>
        <v>capability, end condition</v>
      </c>
      <c r="C82" s="12" t="n">
        <f aca="false">MOD(INT($A82/1),2)</f>
        <v>0</v>
      </c>
      <c r="D82" s="12" t="n">
        <f aca="false">MOD(INT($A82/2),2)</f>
        <v>1</v>
      </c>
      <c r="E82" s="12" t="n">
        <f aca="false">MOD(INT($A82/4),2)</f>
        <v>0</v>
      </c>
      <c r="F82" s="12" t="n">
        <f aca="false">MOD(INT($A82/8),2)</f>
        <v>0</v>
      </c>
      <c r="G82" s="12" t="n">
        <f aca="false">MOD(INT($A82/16),2)</f>
        <v>1</v>
      </c>
      <c r="H82" s="12" t="n">
        <f aca="false">IF(31-A82=0,1,INDEX($I$26:$I$56,31-A82))</f>
        <v>0</v>
      </c>
      <c r="I82" s="12" t="n">
        <f aca="false">IF(SUMPRODUCT(C82:G82,$J$59:$N$59)&gt;0,1,0)</f>
        <v>0</v>
      </c>
      <c r="J82" s="12" t="n">
        <f aca="false">IF(SUMPRODUCT(C82:G82,$J$60:$N$60)&gt;0,1,0)</f>
        <v>1</v>
      </c>
      <c r="K82" s="12" t="n">
        <f aca="false">I82*J82</f>
        <v>0</v>
      </c>
      <c r="L82" s="12" t="n">
        <f aca="false">IF(H82=K82,1,0)</f>
        <v>1</v>
      </c>
      <c r="M82" s="12" t="n">
        <f aca="false">IF(C82=0,0,INDEX($H$64:$H$95,$A82-1+1))</f>
        <v>0</v>
      </c>
      <c r="N82" s="12" t="n">
        <f aca="false">IF(D82=0,0,INDEX($H$64:$H$95,$A82-2+1))</f>
        <v>0</v>
      </c>
      <c r="O82" s="12" t="n">
        <f aca="false">IF(E82=0,0,INDEX($H$64:$H$95,$A82-4+1))</f>
        <v>0</v>
      </c>
      <c r="P82" s="12" t="n">
        <f aca="false">IF(F82=0,0,INDEX($H$64:$H$95,$A82-8+1))</f>
        <v>0</v>
      </c>
      <c r="Q82" s="12" t="n">
        <f aca="false">IF(G82=0,0,INDEX($H$64:$H$95,$A82-16+1))</f>
        <v>0</v>
      </c>
      <c r="R82" s="12" t="n">
        <f aca="false">IF(AND(H82=1,SUM(M82:Q82)=0),1,0)</f>
        <v>0</v>
      </c>
    </row>
    <row r="83" customFormat="false" ht="15" hidden="false" customHeight="false" outlineLevel="0" collapsed="false">
      <c r="A83" s="12" t="n">
        <v>19</v>
      </c>
      <c r="B83" s="2" t="str">
        <f aca="false">IF(A83=0,"nothing",MID(IF(C83=1,", floor","")&amp;IF(D83=1,", capability","")&amp;IF(E83=1,", six rounds","")&amp;IF(F83=1,", half payout","")&amp;IF(G83=1,", end condition",""),3,200))</f>
        <v>floor, capability, end condition</v>
      </c>
      <c r="C83" s="12" t="n">
        <f aca="false">MOD(INT($A83/1),2)</f>
        <v>1</v>
      </c>
      <c r="D83" s="12" t="n">
        <f aca="false">MOD(INT($A83/2),2)</f>
        <v>1</v>
      </c>
      <c r="E83" s="12" t="n">
        <f aca="false">MOD(INT($A83/4),2)</f>
        <v>0</v>
      </c>
      <c r="F83" s="12" t="n">
        <f aca="false">MOD(INT($A83/8),2)</f>
        <v>0</v>
      </c>
      <c r="G83" s="12" t="n">
        <f aca="false">MOD(INT($A83/16),2)</f>
        <v>1</v>
      </c>
      <c r="H83" s="12" t="n">
        <f aca="false">IF(31-A83=0,1,INDEX($I$26:$I$56,31-A83))</f>
        <v>1</v>
      </c>
      <c r="I83" s="12" t="n">
        <f aca="false">IF(SUMPRODUCT(C83:G83,$J$59:$N$59)&gt;0,1,0)</f>
        <v>1</v>
      </c>
      <c r="J83" s="12" t="n">
        <f aca="false">IF(SUMPRODUCT(C83:G83,$J$60:$N$60)&gt;0,1,0)</f>
        <v>1</v>
      </c>
      <c r="K83" s="12" t="n">
        <f aca="false">I83*J83</f>
        <v>1</v>
      </c>
      <c r="L83" s="12" t="n">
        <f aca="false">IF(H83=K83,1,0)</f>
        <v>1</v>
      </c>
      <c r="M83" s="12" t="n">
        <f aca="false">IF(C83=0,0,INDEX($H$64:$H$95,$A83-1+1))</f>
        <v>0</v>
      </c>
      <c r="N83" s="12" t="n">
        <f aca="false">IF(D83=0,0,INDEX($H$64:$H$95,$A83-2+1))</f>
        <v>1</v>
      </c>
      <c r="O83" s="12" t="n">
        <f aca="false">IF(E83=0,0,INDEX($H$64:$H$95,$A83-4+1))</f>
        <v>0</v>
      </c>
      <c r="P83" s="12" t="n">
        <f aca="false">IF(F83=0,0,INDEX($H$64:$H$95,$A83-8+1))</f>
        <v>0</v>
      </c>
      <c r="Q83" s="12" t="n">
        <f aca="false">IF(G83=0,0,INDEX($H$64:$H$95,$A83-16+1))</f>
        <v>0</v>
      </c>
      <c r="R83" s="12" t="n">
        <f aca="false">IF(AND(H83=1,SUM(M83:Q83)=0),1,0)</f>
        <v>0</v>
      </c>
    </row>
    <row r="84" customFormat="false" ht="15" hidden="false" customHeight="false" outlineLevel="0" collapsed="false">
      <c r="A84" s="12" t="n">
        <v>20</v>
      </c>
      <c r="B84" s="2" t="str">
        <f aca="false">IF(A84=0,"nothing",MID(IF(C84=1,", floor","")&amp;IF(D84=1,", capability","")&amp;IF(E84=1,", six rounds","")&amp;IF(F84=1,", half payout","")&amp;IF(G84=1,", end condition",""),3,200))</f>
        <v>six rounds, end condition</v>
      </c>
      <c r="C84" s="12" t="n">
        <f aca="false">MOD(INT($A84/1),2)</f>
        <v>0</v>
      </c>
      <c r="D84" s="12" t="n">
        <f aca="false">MOD(INT($A84/2),2)</f>
        <v>0</v>
      </c>
      <c r="E84" s="12" t="n">
        <f aca="false">MOD(INT($A84/4),2)</f>
        <v>1</v>
      </c>
      <c r="F84" s="12" t="n">
        <f aca="false">MOD(INT($A84/8),2)</f>
        <v>0</v>
      </c>
      <c r="G84" s="12" t="n">
        <f aca="false">MOD(INT($A84/16),2)</f>
        <v>1</v>
      </c>
      <c r="H84" s="12" t="n">
        <f aca="false">IF(31-A84=0,1,INDEX($I$26:$I$56,31-A84))</f>
        <v>1</v>
      </c>
      <c r="I84" s="12" t="n">
        <f aca="false">IF(SUMPRODUCT(C84:G84,$J$59:$N$59)&gt;0,1,0)</f>
        <v>1</v>
      </c>
      <c r="J84" s="12" t="n">
        <f aca="false">IF(SUMPRODUCT(C84:G84,$J$60:$N$60)&gt;0,1,0)</f>
        <v>1</v>
      </c>
      <c r="K84" s="12" t="n">
        <f aca="false">I84*J84</f>
        <v>1</v>
      </c>
      <c r="L84" s="12" t="n">
        <f aca="false">IF(H84=K84,1,0)</f>
        <v>1</v>
      </c>
      <c r="M84" s="12" t="n">
        <f aca="false">IF(C84=0,0,INDEX($H$64:$H$95,$A84-1+1))</f>
        <v>0</v>
      </c>
      <c r="N84" s="12" t="n">
        <f aca="false">IF(D84=0,0,INDEX($H$64:$H$95,$A84-2+1))</f>
        <v>0</v>
      </c>
      <c r="O84" s="12" t="n">
        <f aca="false">IF(E84=0,0,INDEX($H$64:$H$95,$A84-4+1))</f>
        <v>0</v>
      </c>
      <c r="P84" s="12" t="n">
        <f aca="false">IF(F84=0,0,INDEX($H$64:$H$95,$A84-8+1))</f>
        <v>0</v>
      </c>
      <c r="Q84" s="12" t="n">
        <f aca="false">IF(G84=0,0,INDEX($H$64:$H$95,$A84-16+1))</f>
        <v>1</v>
      </c>
      <c r="R84" s="12" t="n">
        <f aca="false">IF(AND(H84=1,SUM(M84:Q84)=0),1,0)</f>
        <v>0</v>
      </c>
    </row>
    <row r="85" customFormat="false" ht="15" hidden="false" customHeight="false" outlineLevel="0" collapsed="false">
      <c r="A85" s="12" t="n">
        <v>21</v>
      </c>
      <c r="B85" s="2" t="str">
        <f aca="false">IF(A85=0,"nothing",MID(IF(C85=1,", floor","")&amp;IF(D85=1,", capability","")&amp;IF(E85=1,", six rounds","")&amp;IF(F85=1,", half payout","")&amp;IF(G85=1,", end condition",""),3,200))</f>
        <v>floor, six rounds, end condition</v>
      </c>
      <c r="C85" s="12" t="n">
        <f aca="false">MOD(INT($A85/1),2)</f>
        <v>1</v>
      </c>
      <c r="D85" s="12" t="n">
        <f aca="false">MOD(INT($A85/2),2)</f>
        <v>0</v>
      </c>
      <c r="E85" s="12" t="n">
        <f aca="false">MOD(INT($A85/4),2)</f>
        <v>1</v>
      </c>
      <c r="F85" s="12" t="n">
        <f aca="false">MOD(INT($A85/8),2)</f>
        <v>0</v>
      </c>
      <c r="G85" s="12" t="n">
        <f aca="false">MOD(INT($A85/16),2)</f>
        <v>1</v>
      </c>
      <c r="H85" s="12" t="n">
        <f aca="false">IF(31-A85=0,1,INDEX($I$26:$I$56,31-A85))</f>
        <v>1</v>
      </c>
      <c r="I85" s="12" t="n">
        <f aca="false">IF(SUMPRODUCT(C85:G85,$J$59:$N$59)&gt;0,1,0)</f>
        <v>1</v>
      </c>
      <c r="J85" s="12" t="n">
        <f aca="false">IF(SUMPRODUCT(C85:G85,$J$60:$N$60)&gt;0,1,0)</f>
        <v>1</v>
      </c>
      <c r="K85" s="12" t="n">
        <f aca="false">I85*J85</f>
        <v>1</v>
      </c>
      <c r="L85" s="12" t="n">
        <f aca="false">IF(H85=K85,1,0)</f>
        <v>1</v>
      </c>
      <c r="M85" s="12" t="n">
        <f aca="false">IF(C85=0,0,INDEX($H$64:$H$95,$A85-1+1))</f>
        <v>1</v>
      </c>
      <c r="N85" s="12" t="n">
        <f aca="false">IF(D85=0,0,INDEX($H$64:$H$95,$A85-2+1))</f>
        <v>0</v>
      </c>
      <c r="O85" s="12" t="n">
        <f aca="false">IF(E85=0,0,INDEX($H$64:$H$95,$A85-4+1))</f>
        <v>1</v>
      </c>
      <c r="P85" s="12" t="n">
        <f aca="false">IF(F85=0,0,INDEX($H$64:$H$95,$A85-8+1))</f>
        <v>0</v>
      </c>
      <c r="Q85" s="12" t="n">
        <f aca="false">IF(G85=0,0,INDEX($H$64:$H$95,$A85-16+1))</f>
        <v>1</v>
      </c>
      <c r="R85" s="12" t="n">
        <f aca="false">IF(AND(H85=1,SUM(M85:Q85)=0),1,0)</f>
        <v>0</v>
      </c>
    </row>
    <row r="86" customFormat="false" ht="15" hidden="false" customHeight="false" outlineLevel="0" collapsed="false">
      <c r="A86" s="12" t="n">
        <v>22</v>
      </c>
      <c r="B86" s="2" t="str">
        <f aca="false">IF(A86=0,"nothing",MID(IF(C86=1,", floor","")&amp;IF(D86=1,", capability","")&amp;IF(E86=1,", six rounds","")&amp;IF(F86=1,", half payout","")&amp;IF(G86=1,", end condition",""),3,200))</f>
        <v>capability, six rounds, end condition</v>
      </c>
      <c r="C86" s="12" t="n">
        <f aca="false">MOD(INT($A86/1),2)</f>
        <v>0</v>
      </c>
      <c r="D86" s="12" t="n">
        <f aca="false">MOD(INT($A86/2),2)</f>
        <v>1</v>
      </c>
      <c r="E86" s="12" t="n">
        <f aca="false">MOD(INT($A86/4),2)</f>
        <v>1</v>
      </c>
      <c r="F86" s="12" t="n">
        <f aca="false">MOD(INT($A86/8),2)</f>
        <v>0</v>
      </c>
      <c r="G86" s="12" t="n">
        <f aca="false">MOD(INT($A86/16),2)</f>
        <v>1</v>
      </c>
      <c r="H86" s="12" t="n">
        <f aca="false">IF(31-A86=0,1,INDEX($I$26:$I$56,31-A86))</f>
        <v>1</v>
      </c>
      <c r="I86" s="12" t="n">
        <f aca="false">IF(SUMPRODUCT(C86:G86,$J$59:$N$59)&gt;0,1,0)</f>
        <v>1</v>
      </c>
      <c r="J86" s="12" t="n">
        <f aca="false">IF(SUMPRODUCT(C86:G86,$J$60:$N$60)&gt;0,1,0)</f>
        <v>1</v>
      </c>
      <c r="K86" s="12" t="n">
        <f aca="false">I86*J86</f>
        <v>1</v>
      </c>
      <c r="L86" s="12" t="n">
        <f aca="false">IF(H86=K86,1,0)</f>
        <v>1</v>
      </c>
      <c r="M86" s="12" t="n">
        <f aca="false">IF(C86=0,0,INDEX($H$64:$H$95,$A86-1+1))</f>
        <v>0</v>
      </c>
      <c r="N86" s="12" t="n">
        <f aca="false">IF(D86=0,0,INDEX($H$64:$H$95,$A86-2+1))</f>
        <v>1</v>
      </c>
      <c r="O86" s="12" t="n">
        <f aca="false">IF(E86=0,0,INDEX($H$64:$H$95,$A86-4+1))</f>
        <v>0</v>
      </c>
      <c r="P86" s="12" t="n">
        <f aca="false">IF(F86=0,0,INDEX($H$64:$H$95,$A86-8+1))</f>
        <v>0</v>
      </c>
      <c r="Q86" s="12" t="n">
        <f aca="false">IF(G86=0,0,INDEX($H$64:$H$95,$A86-16+1))</f>
        <v>1</v>
      </c>
      <c r="R86" s="12" t="n">
        <f aca="false">IF(AND(H86=1,SUM(M86:Q86)=0),1,0)</f>
        <v>0</v>
      </c>
    </row>
    <row r="87" customFormat="false" ht="15" hidden="false" customHeight="false" outlineLevel="0" collapsed="false">
      <c r="A87" s="12" t="n">
        <v>23</v>
      </c>
      <c r="B87" s="2" t="str">
        <f aca="false">IF(A87=0,"nothing",MID(IF(C87=1,", floor","")&amp;IF(D87=1,", capability","")&amp;IF(E87=1,", six rounds","")&amp;IF(F87=1,", half payout","")&amp;IF(G87=1,", end condition",""),3,200))</f>
        <v>floor, capability, six rounds, end condition</v>
      </c>
      <c r="C87" s="12" t="n">
        <f aca="false">MOD(INT($A87/1),2)</f>
        <v>1</v>
      </c>
      <c r="D87" s="12" t="n">
        <f aca="false">MOD(INT($A87/2),2)</f>
        <v>1</v>
      </c>
      <c r="E87" s="12" t="n">
        <f aca="false">MOD(INT($A87/4),2)</f>
        <v>1</v>
      </c>
      <c r="F87" s="12" t="n">
        <f aca="false">MOD(INT($A87/8),2)</f>
        <v>0</v>
      </c>
      <c r="G87" s="12" t="n">
        <f aca="false">MOD(INT($A87/16),2)</f>
        <v>1</v>
      </c>
      <c r="H87" s="12" t="n">
        <f aca="false">IF(31-A87=0,1,INDEX($I$26:$I$56,31-A87))</f>
        <v>1</v>
      </c>
      <c r="I87" s="12" t="n">
        <f aca="false">IF(SUMPRODUCT(C87:G87,$J$59:$N$59)&gt;0,1,0)</f>
        <v>1</v>
      </c>
      <c r="J87" s="12" t="n">
        <f aca="false">IF(SUMPRODUCT(C87:G87,$J$60:$N$60)&gt;0,1,0)</f>
        <v>1</v>
      </c>
      <c r="K87" s="12" t="n">
        <f aca="false">I87*J87</f>
        <v>1</v>
      </c>
      <c r="L87" s="12" t="n">
        <f aca="false">IF(H87=K87,1,0)</f>
        <v>1</v>
      </c>
      <c r="M87" s="12" t="n">
        <f aca="false">IF(C87=0,0,INDEX($H$64:$H$95,$A87-1+1))</f>
        <v>1</v>
      </c>
      <c r="N87" s="12" t="n">
        <f aca="false">IF(D87=0,0,INDEX($H$64:$H$95,$A87-2+1))</f>
        <v>1</v>
      </c>
      <c r="O87" s="12" t="n">
        <f aca="false">IF(E87=0,0,INDEX($H$64:$H$95,$A87-4+1))</f>
        <v>1</v>
      </c>
      <c r="P87" s="12" t="n">
        <f aca="false">IF(F87=0,0,INDEX($H$64:$H$95,$A87-8+1))</f>
        <v>0</v>
      </c>
      <c r="Q87" s="12" t="n">
        <f aca="false">IF(G87=0,0,INDEX($H$64:$H$95,$A87-16+1))</f>
        <v>1</v>
      </c>
      <c r="R87" s="12" t="n">
        <f aca="false">IF(AND(H87=1,SUM(M87:Q87)=0),1,0)</f>
        <v>0</v>
      </c>
    </row>
    <row r="88" customFormat="false" ht="15" hidden="false" customHeight="false" outlineLevel="0" collapsed="false">
      <c r="A88" s="12" t="n">
        <v>24</v>
      </c>
      <c r="B88" s="2" t="str">
        <f aca="false">IF(A88=0,"nothing",MID(IF(C88=1,", floor","")&amp;IF(D88=1,", capability","")&amp;IF(E88=1,", six rounds","")&amp;IF(F88=1,", half payout","")&amp;IF(G88=1,", end condition",""),3,200))</f>
        <v>half payout, end condition</v>
      </c>
      <c r="C88" s="12" t="n">
        <f aca="false">MOD(INT($A88/1),2)</f>
        <v>0</v>
      </c>
      <c r="D88" s="12" t="n">
        <f aca="false">MOD(INT($A88/2),2)</f>
        <v>0</v>
      </c>
      <c r="E88" s="12" t="n">
        <f aca="false">MOD(INT($A88/4),2)</f>
        <v>0</v>
      </c>
      <c r="F88" s="12" t="n">
        <f aca="false">MOD(INT($A88/8),2)</f>
        <v>1</v>
      </c>
      <c r="G88" s="12" t="n">
        <f aca="false">MOD(INT($A88/16),2)</f>
        <v>1</v>
      </c>
      <c r="H88" s="12" t="n">
        <f aca="false">IF(31-A88=0,1,INDEX($I$26:$I$56,31-A88))</f>
        <v>1</v>
      </c>
      <c r="I88" s="12" t="n">
        <f aca="false">IF(SUMPRODUCT(C88:G88,$J$59:$N$59)&gt;0,1,0)</f>
        <v>1</v>
      </c>
      <c r="J88" s="12" t="n">
        <f aca="false">IF(SUMPRODUCT(C88:G88,$J$60:$N$60)&gt;0,1,0)</f>
        <v>1</v>
      </c>
      <c r="K88" s="12" t="n">
        <f aca="false">I88*J88</f>
        <v>1</v>
      </c>
      <c r="L88" s="12" t="n">
        <f aca="false">IF(H88=K88,1,0)</f>
        <v>1</v>
      </c>
      <c r="M88" s="12" t="n">
        <f aca="false">IF(C88=0,0,INDEX($H$64:$H$95,$A88-1+1))</f>
        <v>0</v>
      </c>
      <c r="N88" s="12" t="n">
        <f aca="false">IF(D88=0,0,INDEX($H$64:$H$95,$A88-2+1))</f>
        <v>0</v>
      </c>
      <c r="O88" s="12" t="n">
        <f aca="false">IF(E88=0,0,INDEX($H$64:$H$95,$A88-4+1))</f>
        <v>0</v>
      </c>
      <c r="P88" s="12" t="n">
        <f aca="false">IF(F88=0,0,INDEX($H$64:$H$95,$A88-8+1))</f>
        <v>0</v>
      </c>
      <c r="Q88" s="12" t="n">
        <f aca="false">IF(G88=0,0,INDEX($H$64:$H$95,$A88-16+1))</f>
        <v>1</v>
      </c>
      <c r="R88" s="12" t="n">
        <f aca="false">IF(AND(H88=1,SUM(M88:Q88)=0),1,0)</f>
        <v>0</v>
      </c>
    </row>
    <row r="89" customFormat="false" ht="15" hidden="false" customHeight="false" outlineLevel="0" collapsed="false">
      <c r="A89" s="12" t="n">
        <v>25</v>
      </c>
      <c r="B89" s="2" t="str">
        <f aca="false">IF(A89=0,"nothing",MID(IF(C89=1,", floor","")&amp;IF(D89=1,", capability","")&amp;IF(E89=1,", six rounds","")&amp;IF(F89=1,", half payout","")&amp;IF(G89=1,", end condition",""),3,200))</f>
        <v>floor, half payout, end condition</v>
      </c>
      <c r="C89" s="12" t="n">
        <f aca="false">MOD(INT($A89/1),2)</f>
        <v>1</v>
      </c>
      <c r="D89" s="12" t="n">
        <f aca="false">MOD(INT($A89/2),2)</f>
        <v>0</v>
      </c>
      <c r="E89" s="12" t="n">
        <f aca="false">MOD(INT($A89/4),2)</f>
        <v>0</v>
      </c>
      <c r="F89" s="12" t="n">
        <f aca="false">MOD(INT($A89/8),2)</f>
        <v>1</v>
      </c>
      <c r="G89" s="12" t="n">
        <f aca="false">MOD(INT($A89/16),2)</f>
        <v>1</v>
      </c>
      <c r="H89" s="12" t="n">
        <f aca="false">IF(31-A89=0,1,INDEX($I$26:$I$56,31-A89))</f>
        <v>1</v>
      </c>
      <c r="I89" s="12" t="n">
        <f aca="false">IF(SUMPRODUCT(C89:G89,$J$59:$N$59)&gt;0,1,0)</f>
        <v>1</v>
      </c>
      <c r="J89" s="12" t="n">
        <f aca="false">IF(SUMPRODUCT(C89:G89,$J$60:$N$60)&gt;0,1,0)</f>
        <v>1</v>
      </c>
      <c r="K89" s="12" t="n">
        <f aca="false">I89*J89</f>
        <v>1</v>
      </c>
      <c r="L89" s="12" t="n">
        <f aca="false">IF(H89=K89,1,0)</f>
        <v>1</v>
      </c>
      <c r="M89" s="12" t="n">
        <f aca="false">IF(C89=0,0,INDEX($H$64:$H$95,$A89-1+1))</f>
        <v>1</v>
      </c>
      <c r="N89" s="12" t="n">
        <f aca="false">IF(D89=0,0,INDEX($H$64:$H$95,$A89-2+1))</f>
        <v>0</v>
      </c>
      <c r="O89" s="12" t="n">
        <f aca="false">IF(E89=0,0,INDEX($H$64:$H$95,$A89-4+1))</f>
        <v>0</v>
      </c>
      <c r="P89" s="12" t="n">
        <f aca="false">IF(F89=0,0,INDEX($H$64:$H$95,$A89-8+1))</f>
        <v>1</v>
      </c>
      <c r="Q89" s="12" t="n">
        <f aca="false">IF(G89=0,0,INDEX($H$64:$H$95,$A89-16+1))</f>
        <v>1</v>
      </c>
      <c r="R89" s="12" t="n">
        <f aca="false">IF(AND(H89=1,SUM(M89:Q89)=0),1,0)</f>
        <v>0</v>
      </c>
    </row>
    <row r="90" customFormat="false" ht="15" hidden="false" customHeight="false" outlineLevel="0" collapsed="false">
      <c r="A90" s="12" t="n">
        <v>26</v>
      </c>
      <c r="B90" s="2" t="str">
        <f aca="false">IF(A90=0,"nothing",MID(IF(C90=1,", floor","")&amp;IF(D90=1,", capability","")&amp;IF(E90=1,", six rounds","")&amp;IF(F90=1,", half payout","")&amp;IF(G90=1,", end condition",""),3,200))</f>
        <v>capability, half payout, end condition</v>
      </c>
      <c r="C90" s="12" t="n">
        <f aca="false">MOD(INT($A90/1),2)</f>
        <v>0</v>
      </c>
      <c r="D90" s="12" t="n">
        <f aca="false">MOD(INT($A90/2),2)</f>
        <v>1</v>
      </c>
      <c r="E90" s="12" t="n">
        <f aca="false">MOD(INT($A90/4),2)</f>
        <v>0</v>
      </c>
      <c r="F90" s="12" t="n">
        <f aca="false">MOD(INT($A90/8),2)</f>
        <v>1</v>
      </c>
      <c r="G90" s="12" t="n">
        <f aca="false">MOD(INT($A90/16),2)</f>
        <v>1</v>
      </c>
      <c r="H90" s="12" t="n">
        <f aca="false">IF(31-A90=0,1,INDEX($I$26:$I$56,31-A90))</f>
        <v>1</v>
      </c>
      <c r="I90" s="12" t="n">
        <f aca="false">IF(SUMPRODUCT(C90:G90,$J$59:$N$59)&gt;0,1,0)</f>
        <v>1</v>
      </c>
      <c r="J90" s="12" t="n">
        <f aca="false">IF(SUMPRODUCT(C90:G90,$J$60:$N$60)&gt;0,1,0)</f>
        <v>1</v>
      </c>
      <c r="K90" s="12" t="n">
        <f aca="false">I90*J90</f>
        <v>1</v>
      </c>
      <c r="L90" s="12" t="n">
        <f aca="false">IF(H90=K90,1,0)</f>
        <v>1</v>
      </c>
      <c r="M90" s="12" t="n">
        <f aca="false">IF(C90=0,0,INDEX($H$64:$H$95,$A90-1+1))</f>
        <v>0</v>
      </c>
      <c r="N90" s="12" t="n">
        <f aca="false">IF(D90=0,0,INDEX($H$64:$H$95,$A90-2+1))</f>
        <v>1</v>
      </c>
      <c r="O90" s="12" t="n">
        <f aca="false">IF(E90=0,0,INDEX($H$64:$H$95,$A90-4+1))</f>
        <v>0</v>
      </c>
      <c r="P90" s="12" t="n">
        <f aca="false">IF(F90=0,0,INDEX($H$64:$H$95,$A90-8+1))</f>
        <v>0</v>
      </c>
      <c r="Q90" s="12" t="n">
        <f aca="false">IF(G90=0,0,INDEX($H$64:$H$95,$A90-16+1))</f>
        <v>1</v>
      </c>
      <c r="R90" s="12" t="n">
        <f aca="false">IF(AND(H90=1,SUM(M90:Q90)=0),1,0)</f>
        <v>0</v>
      </c>
    </row>
    <row r="91" customFormat="false" ht="15" hidden="false" customHeight="false" outlineLevel="0" collapsed="false">
      <c r="A91" s="12" t="n">
        <v>27</v>
      </c>
      <c r="B91" s="2" t="str">
        <f aca="false">IF(A91=0,"nothing",MID(IF(C91=1,", floor","")&amp;IF(D91=1,", capability","")&amp;IF(E91=1,", six rounds","")&amp;IF(F91=1,", half payout","")&amp;IF(G91=1,", end condition",""),3,200))</f>
        <v>floor, capability, half payout, end condition</v>
      </c>
      <c r="C91" s="12" t="n">
        <f aca="false">MOD(INT($A91/1),2)</f>
        <v>1</v>
      </c>
      <c r="D91" s="12" t="n">
        <f aca="false">MOD(INT($A91/2),2)</f>
        <v>1</v>
      </c>
      <c r="E91" s="12" t="n">
        <f aca="false">MOD(INT($A91/4),2)</f>
        <v>0</v>
      </c>
      <c r="F91" s="12" t="n">
        <f aca="false">MOD(INT($A91/8),2)</f>
        <v>1</v>
      </c>
      <c r="G91" s="12" t="n">
        <f aca="false">MOD(INT($A91/16),2)</f>
        <v>1</v>
      </c>
      <c r="H91" s="12" t="n">
        <f aca="false">IF(31-A91=0,1,INDEX($I$26:$I$56,31-A91))</f>
        <v>1</v>
      </c>
      <c r="I91" s="12" t="n">
        <f aca="false">IF(SUMPRODUCT(C91:G91,$J$59:$N$59)&gt;0,1,0)</f>
        <v>1</v>
      </c>
      <c r="J91" s="12" t="n">
        <f aca="false">IF(SUMPRODUCT(C91:G91,$J$60:$N$60)&gt;0,1,0)</f>
        <v>1</v>
      </c>
      <c r="K91" s="12" t="n">
        <f aca="false">I91*J91</f>
        <v>1</v>
      </c>
      <c r="L91" s="12" t="n">
        <f aca="false">IF(H91=K91,1,0)</f>
        <v>1</v>
      </c>
      <c r="M91" s="12" t="n">
        <f aca="false">IF(C91=0,0,INDEX($H$64:$H$95,$A91-1+1))</f>
        <v>1</v>
      </c>
      <c r="N91" s="12" t="n">
        <f aca="false">IF(D91=0,0,INDEX($H$64:$H$95,$A91-2+1))</f>
        <v>1</v>
      </c>
      <c r="O91" s="12" t="n">
        <f aca="false">IF(E91=0,0,INDEX($H$64:$H$95,$A91-4+1))</f>
        <v>0</v>
      </c>
      <c r="P91" s="12" t="n">
        <f aca="false">IF(F91=0,0,INDEX($H$64:$H$95,$A91-8+1))</f>
        <v>1</v>
      </c>
      <c r="Q91" s="12" t="n">
        <f aca="false">IF(G91=0,0,INDEX($H$64:$H$95,$A91-16+1))</f>
        <v>1</v>
      </c>
      <c r="R91" s="12" t="n">
        <f aca="false">IF(AND(H91=1,SUM(M91:Q91)=0),1,0)</f>
        <v>0</v>
      </c>
    </row>
    <row r="92" customFormat="false" ht="15" hidden="false" customHeight="false" outlineLevel="0" collapsed="false">
      <c r="A92" s="12" t="n">
        <v>28</v>
      </c>
      <c r="B92" s="2" t="str">
        <f aca="false">IF(A92=0,"nothing",MID(IF(C92=1,", floor","")&amp;IF(D92=1,", capability","")&amp;IF(E92=1,", six rounds","")&amp;IF(F92=1,", half payout","")&amp;IF(G92=1,", end condition",""),3,200))</f>
        <v>six rounds, half payout, end condition</v>
      </c>
      <c r="C92" s="12" t="n">
        <f aca="false">MOD(INT($A92/1),2)</f>
        <v>0</v>
      </c>
      <c r="D92" s="12" t="n">
        <f aca="false">MOD(INT($A92/2),2)</f>
        <v>0</v>
      </c>
      <c r="E92" s="12" t="n">
        <f aca="false">MOD(INT($A92/4),2)</f>
        <v>1</v>
      </c>
      <c r="F92" s="12" t="n">
        <f aca="false">MOD(INT($A92/8),2)</f>
        <v>1</v>
      </c>
      <c r="G92" s="12" t="n">
        <f aca="false">MOD(INT($A92/16),2)</f>
        <v>1</v>
      </c>
      <c r="H92" s="12" t="n">
        <f aca="false">IF(31-A92=0,1,INDEX($I$26:$I$56,31-A92))</f>
        <v>1</v>
      </c>
      <c r="I92" s="12" t="n">
        <f aca="false">IF(SUMPRODUCT(C92:G92,$J$59:$N$59)&gt;0,1,0)</f>
        <v>1</v>
      </c>
      <c r="J92" s="12" t="n">
        <f aca="false">IF(SUMPRODUCT(C92:G92,$J$60:$N$60)&gt;0,1,0)</f>
        <v>1</v>
      </c>
      <c r="K92" s="12" t="n">
        <f aca="false">I92*J92</f>
        <v>1</v>
      </c>
      <c r="L92" s="12" t="n">
        <f aca="false">IF(H92=K92,1,0)</f>
        <v>1</v>
      </c>
      <c r="M92" s="12" t="n">
        <f aca="false">IF(C92=0,0,INDEX($H$64:$H$95,$A92-1+1))</f>
        <v>0</v>
      </c>
      <c r="N92" s="12" t="n">
        <f aca="false">IF(D92=0,0,INDEX($H$64:$H$95,$A92-2+1))</f>
        <v>0</v>
      </c>
      <c r="O92" s="12" t="n">
        <f aca="false">IF(E92=0,0,INDEX($H$64:$H$95,$A92-4+1))</f>
        <v>1</v>
      </c>
      <c r="P92" s="12" t="n">
        <f aca="false">IF(F92=0,0,INDEX($H$64:$H$95,$A92-8+1))</f>
        <v>1</v>
      </c>
      <c r="Q92" s="12" t="n">
        <f aca="false">IF(G92=0,0,INDEX($H$64:$H$95,$A92-16+1))</f>
        <v>1</v>
      </c>
      <c r="R92" s="12" t="n">
        <f aca="false">IF(AND(H92=1,SUM(M92:Q92)=0),1,0)</f>
        <v>0</v>
      </c>
    </row>
    <row r="93" customFormat="false" ht="15" hidden="false" customHeight="false" outlineLevel="0" collapsed="false">
      <c r="A93" s="12" t="n">
        <v>29</v>
      </c>
      <c r="B93" s="2" t="str">
        <f aca="false">IF(A93=0,"nothing",MID(IF(C93=1,", floor","")&amp;IF(D93=1,", capability","")&amp;IF(E93=1,", six rounds","")&amp;IF(F93=1,", half payout","")&amp;IF(G93=1,", end condition",""),3,200))</f>
        <v>floor, six rounds, half payout, end condition</v>
      </c>
      <c r="C93" s="12" t="n">
        <f aca="false">MOD(INT($A93/1),2)</f>
        <v>1</v>
      </c>
      <c r="D93" s="12" t="n">
        <f aca="false">MOD(INT($A93/2),2)</f>
        <v>0</v>
      </c>
      <c r="E93" s="12" t="n">
        <f aca="false">MOD(INT($A93/4),2)</f>
        <v>1</v>
      </c>
      <c r="F93" s="12" t="n">
        <f aca="false">MOD(INT($A93/8),2)</f>
        <v>1</v>
      </c>
      <c r="G93" s="12" t="n">
        <f aca="false">MOD(INT($A93/16),2)</f>
        <v>1</v>
      </c>
      <c r="H93" s="12" t="n">
        <f aca="false">IF(31-A93=0,1,INDEX($I$26:$I$56,31-A93))</f>
        <v>1</v>
      </c>
      <c r="I93" s="12" t="n">
        <f aca="false">IF(SUMPRODUCT(C93:G93,$J$59:$N$59)&gt;0,1,0)</f>
        <v>1</v>
      </c>
      <c r="J93" s="12" t="n">
        <f aca="false">IF(SUMPRODUCT(C93:G93,$J$60:$N$60)&gt;0,1,0)</f>
        <v>1</v>
      </c>
      <c r="K93" s="12" t="n">
        <f aca="false">I93*J93</f>
        <v>1</v>
      </c>
      <c r="L93" s="12" t="n">
        <f aca="false">IF(H93=K93,1,0)</f>
        <v>1</v>
      </c>
      <c r="M93" s="12" t="n">
        <f aca="false">IF(C93=0,0,INDEX($H$64:$H$95,$A93-1+1))</f>
        <v>1</v>
      </c>
      <c r="N93" s="12" t="n">
        <f aca="false">IF(D93=0,0,INDEX($H$64:$H$95,$A93-2+1))</f>
        <v>0</v>
      </c>
      <c r="O93" s="12" t="n">
        <f aca="false">IF(E93=0,0,INDEX($H$64:$H$95,$A93-4+1))</f>
        <v>1</v>
      </c>
      <c r="P93" s="12" t="n">
        <f aca="false">IF(F93=0,0,INDEX($H$64:$H$95,$A93-8+1))</f>
        <v>1</v>
      </c>
      <c r="Q93" s="12" t="n">
        <f aca="false">IF(G93=0,0,INDEX($H$64:$H$95,$A93-16+1))</f>
        <v>1</v>
      </c>
      <c r="R93" s="12" t="n">
        <f aca="false">IF(AND(H93=1,SUM(M93:Q93)=0),1,0)</f>
        <v>0</v>
      </c>
    </row>
    <row r="94" customFormat="false" ht="15" hidden="false" customHeight="false" outlineLevel="0" collapsed="false">
      <c r="A94" s="12" t="n">
        <v>30</v>
      </c>
      <c r="B94" s="2" t="str">
        <f aca="false">IF(A94=0,"nothing",MID(IF(C94=1,", floor","")&amp;IF(D94=1,", capability","")&amp;IF(E94=1,", six rounds","")&amp;IF(F94=1,", half payout","")&amp;IF(G94=1,", end condition",""),3,200))</f>
        <v>capability, six rounds, half payout, end condition</v>
      </c>
      <c r="C94" s="12" t="n">
        <f aca="false">MOD(INT($A94/1),2)</f>
        <v>0</v>
      </c>
      <c r="D94" s="12" t="n">
        <f aca="false">MOD(INT($A94/2),2)</f>
        <v>1</v>
      </c>
      <c r="E94" s="12" t="n">
        <f aca="false">MOD(INT($A94/4),2)</f>
        <v>1</v>
      </c>
      <c r="F94" s="12" t="n">
        <f aca="false">MOD(INT($A94/8),2)</f>
        <v>1</v>
      </c>
      <c r="G94" s="12" t="n">
        <f aca="false">MOD(INT($A94/16),2)</f>
        <v>1</v>
      </c>
      <c r="H94" s="12" t="n">
        <f aca="false">IF(31-A94=0,1,INDEX($I$26:$I$56,31-A94))</f>
        <v>1</v>
      </c>
      <c r="I94" s="12" t="n">
        <f aca="false">IF(SUMPRODUCT(C94:G94,$J$59:$N$59)&gt;0,1,0)</f>
        <v>1</v>
      </c>
      <c r="J94" s="12" t="n">
        <f aca="false">IF(SUMPRODUCT(C94:G94,$J$60:$N$60)&gt;0,1,0)</f>
        <v>1</v>
      </c>
      <c r="K94" s="12" t="n">
        <f aca="false">I94*J94</f>
        <v>1</v>
      </c>
      <c r="L94" s="12" t="n">
        <f aca="false">IF(H94=K94,1,0)</f>
        <v>1</v>
      </c>
      <c r="M94" s="12" t="n">
        <f aca="false">IF(C94=0,0,INDEX($H$64:$H$95,$A94-1+1))</f>
        <v>0</v>
      </c>
      <c r="N94" s="12" t="n">
        <f aca="false">IF(D94=0,0,INDEX($H$64:$H$95,$A94-2+1))</f>
        <v>1</v>
      </c>
      <c r="O94" s="12" t="n">
        <f aca="false">IF(E94=0,0,INDEX($H$64:$H$95,$A94-4+1))</f>
        <v>1</v>
      </c>
      <c r="P94" s="12" t="n">
        <f aca="false">IF(F94=0,0,INDEX($H$64:$H$95,$A94-8+1))</f>
        <v>1</v>
      </c>
      <c r="Q94" s="12" t="n">
        <f aca="false">IF(G94=0,0,INDEX($H$64:$H$95,$A94-16+1))</f>
        <v>1</v>
      </c>
      <c r="R94" s="12" t="n">
        <f aca="false">IF(AND(H94=1,SUM(M94:Q94)=0),1,0)</f>
        <v>0</v>
      </c>
    </row>
    <row r="95" customFormat="false" ht="15" hidden="false" customHeight="false" outlineLevel="0" collapsed="false">
      <c r="A95" s="12" t="n">
        <v>31</v>
      </c>
      <c r="B95" s="2" t="str">
        <f aca="false">IF(A95=0,"nothing",MID(IF(C95=1,", floor","")&amp;IF(D95=1,", capability","")&amp;IF(E95=1,", six rounds","")&amp;IF(F95=1,", half payout","")&amp;IF(G95=1,", end condition",""),3,200))</f>
        <v>floor, capability, six rounds, half payout, end condition</v>
      </c>
      <c r="C95" s="12" t="n">
        <f aca="false">MOD(INT($A95/1),2)</f>
        <v>1</v>
      </c>
      <c r="D95" s="12" t="n">
        <f aca="false">MOD(INT($A95/2),2)</f>
        <v>1</v>
      </c>
      <c r="E95" s="12" t="n">
        <f aca="false">MOD(INT($A95/4),2)</f>
        <v>1</v>
      </c>
      <c r="F95" s="12" t="n">
        <f aca="false">MOD(INT($A95/8),2)</f>
        <v>1</v>
      </c>
      <c r="G95" s="12" t="n">
        <f aca="false">MOD(INT($A95/16),2)</f>
        <v>1</v>
      </c>
      <c r="H95" s="12" t="n">
        <f aca="false">IF(31-A95=0,1,INDEX($I$26:$I$56,31-A95))</f>
        <v>1</v>
      </c>
      <c r="I95" s="12" t="n">
        <f aca="false">IF(SUMPRODUCT(C95:G95,$J$59:$N$59)&gt;0,1,0)</f>
        <v>1</v>
      </c>
      <c r="J95" s="12" t="n">
        <f aca="false">IF(SUMPRODUCT(C95:G95,$J$60:$N$60)&gt;0,1,0)</f>
        <v>1</v>
      </c>
      <c r="K95" s="12" t="n">
        <f aca="false">I95*J95</f>
        <v>1</v>
      </c>
      <c r="L95" s="12" t="n">
        <f aca="false">IF(H95=K95,1,0)</f>
        <v>1</v>
      </c>
      <c r="M95" s="12" t="n">
        <f aca="false">IF(C95=0,0,INDEX($H$64:$H$95,$A95-1+1))</f>
        <v>1</v>
      </c>
      <c r="N95" s="12" t="n">
        <f aca="false">IF(D95=0,0,INDEX($H$64:$H$95,$A95-2+1))</f>
        <v>1</v>
      </c>
      <c r="O95" s="12" t="n">
        <f aca="false">IF(E95=0,0,INDEX($H$64:$H$95,$A95-4+1))</f>
        <v>1</v>
      </c>
      <c r="P95" s="12" t="n">
        <f aca="false">IF(F95=0,0,INDEX($H$64:$H$95,$A95-8+1))</f>
        <v>1</v>
      </c>
      <c r="Q95" s="12" t="n">
        <f aca="false">IF(G95=0,0,INDEX($H$64:$H$95,$A95-16+1))</f>
        <v>1</v>
      </c>
      <c r="R95" s="12" t="n">
        <f aca="false">IF(AND(H95=1,SUM(M95:Q95)=0),1,0)</f>
        <v>0</v>
      </c>
    </row>
    <row r="97" customFormat="false" ht="15" hidden="false" customHeight="false" outlineLevel="0" collapsed="false">
      <c r="A97" s="4" t="s">
        <v>283</v>
      </c>
      <c r="H97" s="18" t="n">
        <f aca="false">SUM(L64:L95)</f>
        <v>32</v>
      </c>
    </row>
    <row r="98" customFormat="false" ht="15" hidden="false" customHeight="false" outlineLevel="0" collapsed="false">
      <c r="A98" s="4" t="s">
        <v>284</v>
      </c>
      <c r="H98" s="18" t="n">
        <f aca="false">SUM(R64:R95)</f>
        <v>3</v>
      </c>
    </row>
    <row r="99" customFormat="false" ht="15" hidden="false" customHeight="false" outlineLevel="0" collapsed="false">
      <c r="A99" s="4" t="s">
        <v>285</v>
      </c>
      <c r="H99" s="18" t="n">
        <f aca="false">H65</f>
        <v>0</v>
      </c>
    </row>
    <row r="100" customFormat="false" ht="15" hidden="false" customHeight="false" outlineLevel="0" collapsed="false">
      <c r="A100" s="10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4" min="13" style="0" width="15"/>
    <col collapsed="false" customWidth="true" hidden="false" outlineLevel="0" max="15" min="15" style="0" width="3"/>
    <col collapsed="false" customWidth="true" hidden="false" outlineLevel="0" max="16" min="16" style="0" width="52"/>
    <col collapsed="false" customWidth="true" hidden="false" outlineLevel="0" max="17" min="17" style="0" width="16"/>
  </cols>
  <sheetData>
    <row r="1" customFormat="false" ht="15" hidden="false" customHeight="false" outlineLevel="0" collapsed="false">
      <c r="A1" s="1" t="s">
        <v>287</v>
      </c>
    </row>
    <row r="4" customFormat="false" ht="15" hidden="false" customHeight="false" outlineLevel="0" collapsed="false">
      <c r="A4" s="4" t="s">
        <v>288</v>
      </c>
    </row>
    <row r="5" customFormat="false" ht="35.05" hidden="false" customHeight="false" outlineLevel="0" collapsed="false">
      <c r="A5" s="8" t="s">
        <v>125</v>
      </c>
      <c r="B5" s="8" t="s">
        <v>126</v>
      </c>
      <c r="C5" s="8" t="s">
        <v>127</v>
      </c>
      <c r="D5" s="8" t="s">
        <v>128</v>
      </c>
      <c r="E5" s="8" t="s">
        <v>129</v>
      </c>
      <c r="F5" s="8" t="s">
        <v>130</v>
      </c>
      <c r="G5" s="8" t="s">
        <v>131</v>
      </c>
      <c r="H5" s="8" t="s">
        <v>132</v>
      </c>
      <c r="I5" s="8" t="s">
        <v>133</v>
      </c>
      <c r="J5" s="8" t="s">
        <v>134</v>
      </c>
      <c r="K5" s="8" t="s">
        <v>135</v>
      </c>
      <c r="L5" s="8" t="s">
        <v>289</v>
      </c>
      <c r="M5" s="8" t="s">
        <v>290</v>
      </c>
      <c r="N5" s="8" t="s">
        <v>291</v>
      </c>
      <c r="P5" s="8" t="s">
        <v>292</v>
      </c>
      <c r="Q5" s="8" t="s">
        <v>20</v>
      </c>
    </row>
    <row r="6" customFormat="false" ht="15" hidden="false" customHeight="false" outlineLevel="0" collapsed="false">
      <c r="A6" s="12" t="n">
        <v>1</v>
      </c>
      <c r="B6" s="9" t="n">
        <v>1</v>
      </c>
      <c r="C6" s="14" t="n">
        <f aca="false">Liq_0</f>
        <v>620</v>
      </c>
      <c r="D6" s="14" t="n">
        <f aca="false">C6-Round_cost*B6</f>
        <v>500</v>
      </c>
      <c r="E6" s="12" t="n">
        <f aca="false">Cap_0</f>
        <v>58</v>
      </c>
      <c r="F6" s="14" t="n">
        <f aca="false">IF(B6=1,Eff_0+Gap_closed*(Eff_ceiling-Eff_0),Eff_0)</f>
        <v>78</v>
      </c>
      <c r="G6" s="14" t="n">
        <f aca="false">Sav_point*(F6-Eff_0)</f>
        <v>70</v>
      </c>
      <c r="H6" s="14" t="n">
        <f aca="false">0*G6</f>
        <v>0</v>
      </c>
      <c r="I6" s="14" t="n">
        <f aca="false">D6+G6-H6</f>
        <v>570</v>
      </c>
      <c r="J6" s="2" t="str">
        <f aca="false">IF(AND(OR(B6=0,D6&gt;=Floor_liq-0.000000001),I6&gt;=Floor_liq-0.000000001),"yes","no")</f>
        <v>yes</v>
      </c>
      <c r="K6" s="2" t="str">
        <f aca="false">IF(OR(B6=0,E6&gt;=Cap_min),"yes","no")</f>
        <v>yes</v>
      </c>
      <c r="L6" s="14" t="n">
        <f aca="false">SUM(G$6:G6)</f>
        <v>70</v>
      </c>
      <c r="M6" s="20" t="str">
        <f aca="false">IF(AND(B6=1,A6&gt;1),(D6-Floor_liq)/L5,"")</f>
        <v/>
      </c>
      <c r="N6" s="20" t="n">
        <f aca="false">(I6-Floor_liq)/L6</f>
        <v>3.14285714285714</v>
      </c>
      <c r="P6" s="2" t="s">
        <v>293</v>
      </c>
      <c r="Q6" s="20" t="n">
        <f aca="false">(I11-End_liq)/L11</f>
        <v>0.188251001335114</v>
      </c>
    </row>
    <row r="7" customFormat="false" ht="15" hidden="false" customHeight="false" outlineLevel="0" collapsed="false">
      <c r="A7" s="12" t="n">
        <v>2</v>
      </c>
      <c r="B7" s="9" t="n">
        <v>1</v>
      </c>
      <c r="C7" s="14" t="n">
        <f aca="false">I6</f>
        <v>570</v>
      </c>
      <c r="D7" s="14" t="n">
        <f aca="false">C7-Round_cost*B7</f>
        <v>450</v>
      </c>
      <c r="E7" s="12" t="n">
        <f aca="false">E6+Cap_step*B6</f>
        <v>59</v>
      </c>
      <c r="F7" s="14" t="n">
        <f aca="false">IF(B7=1,F6+Gap_closed*(Eff_ceiling-F6),F6)</f>
        <v>81.5</v>
      </c>
      <c r="G7" s="14" t="n">
        <f aca="false">Sav_point*(F7-Eff_0)</f>
        <v>105</v>
      </c>
      <c r="H7" s="14" t="n">
        <f aca="false">0*G7</f>
        <v>0</v>
      </c>
      <c r="I7" s="14" t="n">
        <f aca="false">D7+G7-H7</f>
        <v>555</v>
      </c>
      <c r="J7" s="2" t="str">
        <f aca="false">IF(AND(OR(B7=0,D7&gt;=Floor_liq-0.000000001),I7&gt;=Floor_liq-0.000000001),"yes","no")</f>
        <v>yes</v>
      </c>
      <c r="K7" s="2" t="str">
        <f aca="false">IF(OR(B7=0,E7&gt;=Cap_min),"yes","no")</f>
        <v>yes</v>
      </c>
      <c r="L7" s="14" t="n">
        <f aca="false">SUM(G$6:G7)</f>
        <v>175</v>
      </c>
      <c r="M7" s="20" t="n">
        <f aca="false">IF(AND(B7=1,A7&gt;1),(D7-Floor_liq)/L6,"")</f>
        <v>1.42857142857143</v>
      </c>
      <c r="N7" s="20" t="n">
        <f aca="false">(I7-Floor_liq)/L7</f>
        <v>1.17142857142857</v>
      </c>
      <c r="P7" s="2" t="s">
        <v>294</v>
      </c>
      <c r="Q7" s="20" t="n">
        <f aca="false">MIN(M6:M11)</f>
        <v>0.20265780730897</v>
      </c>
    </row>
    <row r="8" customFormat="false" ht="15" hidden="false" customHeight="false" outlineLevel="0" collapsed="false">
      <c r="A8" s="12" t="n">
        <v>3</v>
      </c>
      <c r="B8" s="9" t="n">
        <v>1</v>
      </c>
      <c r="C8" s="14" t="n">
        <f aca="false">I7</f>
        <v>555</v>
      </c>
      <c r="D8" s="14" t="n">
        <f aca="false">C8-Round_cost*B8</f>
        <v>435</v>
      </c>
      <c r="E8" s="12" t="n">
        <f aca="false">E7+Cap_step*B7</f>
        <v>60</v>
      </c>
      <c r="F8" s="14" t="n">
        <f aca="false">IF(B8=1,F7+Gap_closed*(Eff_ceiling-F7),F7)</f>
        <v>83.25</v>
      </c>
      <c r="G8" s="14" t="n">
        <f aca="false">Sav_point*(F8-Eff_0)</f>
        <v>122.5</v>
      </c>
      <c r="H8" s="14" t="n">
        <f aca="false">0*G8</f>
        <v>0</v>
      </c>
      <c r="I8" s="14" t="n">
        <f aca="false">D8+G8-H8</f>
        <v>557.5</v>
      </c>
      <c r="J8" s="2" t="str">
        <f aca="false">IF(AND(OR(B8=0,D8&gt;=Floor_liq-0.000000001),I8&gt;=Floor_liq-0.000000001),"yes","no")</f>
        <v>yes</v>
      </c>
      <c r="K8" s="2" t="str">
        <f aca="false">IF(OR(B8=0,E8&gt;=Cap_min),"yes","no")</f>
        <v>yes</v>
      </c>
      <c r="L8" s="14" t="n">
        <f aca="false">SUM(G$6:G8)</f>
        <v>297.5</v>
      </c>
      <c r="M8" s="20" t="n">
        <f aca="false">IF(AND(B8=1,A8&gt;1),(D8-Floor_liq)/L7,"")</f>
        <v>0.485714285714286</v>
      </c>
      <c r="N8" s="20" t="n">
        <f aca="false">(I8-Floor_liq)/L8</f>
        <v>0.697478991596639</v>
      </c>
      <c r="P8" s="2" t="s">
        <v>295</v>
      </c>
      <c r="Q8" s="20" t="n">
        <f aca="false">MIN(N6:N11)</f>
        <v>0.359145527369826</v>
      </c>
    </row>
    <row r="9" customFormat="false" ht="15" hidden="false" customHeight="false" outlineLevel="0" collapsed="false">
      <c r="A9" s="12" t="n">
        <v>4</v>
      </c>
      <c r="B9" s="9" t="n">
        <v>1</v>
      </c>
      <c r="C9" s="14" t="n">
        <f aca="false">I8</f>
        <v>557.5</v>
      </c>
      <c r="D9" s="14" t="n">
        <f aca="false">C9-Round_cost*B9</f>
        <v>437.5</v>
      </c>
      <c r="E9" s="12" t="n">
        <f aca="false">E8+Cap_step*B8</f>
        <v>61</v>
      </c>
      <c r="F9" s="14" t="n">
        <f aca="false">IF(B9=1,F8+Gap_closed*(Eff_ceiling-F8),F8)</f>
        <v>84.125</v>
      </c>
      <c r="G9" s="14" t="n">
        <f aca="false">Sav_point*(F9-Eff_0)</f>
        <v>131.25</v>
      </c>
      <c r="H9" s="14" t="n">
        <f aca="false">0*G9</f>
        <v>0</v>
      </c>
      <c r="I9" s="14" t="n">
        <f aca="false">D9+G9-H9</f>
        <v>568.75</v>
      </c>
      <c r="J9" s="2" t="str">
        <f aca="false">IF(AND(OR(B9=0,D9&gt;=Floor_liq-0.000000001),I9&gt;=Floor_liq-0.000000001),"yes","no")</f>
        <v>yes</v>
      </c>
      <c r="K9" s="2" t="str">
        <f aca="false">IF(OR(B9=0,E9&gt;=Cap_min),"yes","no")</f>
        <v>yes</v>
      </c>
      <c r="L9" s="14" t="n">
        <f aca="false">SUM(G$6:G9)</f>
        <v>428.75</v>
      </c>
      <c r="M9" s="20" t="n">
        <f aca="false">IF(AND(B9=1,A9&gt;1),(D9-Floor_liq)/L8,"")</f>
        <v>0.294117647058824</v>
      </c>
      <c r="N9" s="20" t="n">
        <f aca="false">(I9-Floor_liq)/L9</f>
        <v>0.510204081632653</v>
      </c>
      <c r="P9" s="2" t="s">
        <v>296</v>
      </c>
      <c r="Q9" s="21" t="n">
        <f aca="false">MIN(Q6:Q8)</f>
        <v>0.188251001335114</v>
      </c>
    </row>
    <row r="10" customFormat="false" ht="15" hidden="false" customHeight="false" outlineLevel="0" collapsed="false">
      <c r="A10" s="12" t="n">
        <v>5</v>
      </c>
      <c r="B10" s="9" t="n">
        <v>1</v>
      </c>
      <c r="C10" s="14" t="n">
        <f aca="false">I9</f>
        <v>568.75</v>
      </c>
      <c r="D10" s="14" t="n">
        <f aca="false">C10-Round_cost*B10</f>
        <v>448.75</v>
      </c>
      <c r="E10" s="12" t="n">
        <f aca="false">E9+Cap_step*B9</f>
        <v>62</v>
      </c>
      <c r="F10" s="14" t="n">
        <f aca="false">IF(B10=1,F9+Gap_closed*(Eff_ceiling-F9),F9)</f>
        <v>84.5625</v>
      </c>
      <c r="G10" s="14" t="n">
        <f aca="false">Sav_point*(F10-Eff_0)</f>
        <v>135.625</v>
      </c>
      <c r="H10" s="14" t="n">
        <f aca="false">0*G10</f>
        <v>0</v>
      </c>
      <c r="I10" s="14" t="n">
        <f aca="false">D10+G10-H10</f>
        <v>584.375</v>
      </c>
      <c r="J10" s="2" t="str">
        <f aca="false">IF(AND(OR(B10=0,D10&gt;=Floor_liq-0.000000001),I10&gt;=Floor_liq-0.000000001),"yes","no")</f>
        <v>yes</v>
      </c>
      <c r="K10" s="2" t="str">
        <f aca="false">IF(OR(B10=0,E10&gt;=Cap_min),"yes","no")</f>
        <v>yes</v>
      </c>
      <c r="L10" s="14" t="n">
        <f aca="false">SUM(G$6:G10)</f>
        <v>564.375</v>
      </c>
      <c r="M10" s="20" t="n">
        <f aca="false">IF(AND(B10=1,A10&gt;1),(D10-Floor_liq)/L9,"")</f>
        <v>0.230320699708455</v>
      </c>
      <c r="N10" s="20" t="n">
        <f aca="false">(I10-Floor_liq)/L10</f>
        <v>0.415282392026578</v>
      </c>
      <c r="P10" s="2" t="s">
        <v>297</v>
      </c>
      <c r="Q10" s="2" t="str">
        <f aca="false">IF(Q9=Q6,"the end condition",IF(Q9=Q7,"the floor at a round start","the floor at a year end"))</f>
        <v>the end condition</v>
      </c>
    </row>
    <row r="11" customFormat="false" ht="15" hidden="false" customHeight="false" outlineLevel="0" collapsed="false">
      <c r="A11" s="12" t="n">
        <v>6</v>
      </c>
      <c r="B11" s="9" t="n">
        <v>1</v>
      </c>
      <c r="C11" s="14" t="n">
        <f aca="false">I10</f>
        <v>584.375</v>
      </c>
      <c r="D11" s="14" t="n">
        <f aca="false">C11-Round_cost*B11</f>
        <v>464.375</v>
      </c>
      <c r="E11" s="12" t="n">
        <f aca="false">E10+Cap_step*B10</f>
        <v>63</v>
      </c>
      <c r="F11" s="14" t="n">
        <f aca="false">IF(B11=1,F10+Gap_closed*(Eff_ceiling-F10),F10)</f>
        <v>84.78125</v>
      </c>
      <c r="G11" s="14" t="n">
        <f aca="false">Sav_point*(F11-Eff_0)</f>
        <v>137.8125</v>
      </c>
      <c r="H11" s="14" t="n">
        <f aca="false">0*G11</f>
        <v>0</v>
      </c>
      <c r="I11" s="14" t="n">
        <f aca="false">D11+G11-H11</f>
        <v>602.1875</v>
      </c>
      <c r="J11" s="2" t="str">
        <f aca="false">IF(AND(OR(B11=0,D11&gt;=Floor_liq-0.000000001),I11&gt;=Floor_liq-0.000000001),"yes","no")</f>
        <v>yes</v>
      </c>
      <c r="K11" s="2" t="str">
        <f aca="false">IF(OR(B11=0,E11&gt;=Cap_min),"yes","no")</f>
        <v>yes</v>
      </c>
      <c r="L11" s="14" t="n">
        <f aca="false">SUM(G$6:G11)</f>
        <v>702.1875</v>
      </c>
      <c r="M11" s="20" t="n">
        <f aca="false">IF(AND(B11=1,A11&gt;1),(D11-Floor_liq)/L10,"")</f>
        <v>0.20265780730897</v>
      </c>
      <c r="N11" s="20" t="n">
        <f aca="false">(I11-Floor_liq)/L11</f>
        <v>0.359145527369826</v>
      </c>
      <c r="P11" s="2" t="s">
        <v>298</v>
      </c>
      <c r="Q11" s="21" t="n">
        <f aca="false">M11</f>
        <v>0.20265780730897</v>
      </c>
    </row>
    <row r="14" customFormat="false" ht="15" hidden="false" customHeight="false" outlineLevel="0" collapsed="false">
      <c r="A14" s="4" t="s">
        <v>299</v>
      </c>
    </row>
    <row r="15" customFormat="false" ht="35.05" hidden="false" customHeight="false" outlineLevel="0" collapsed="false">
      <c r="A15" s="8" t="s">
        <v>125</v>
      </c>
      <c r="B15" s="8" t="s">
        <v>126</v>
      </c>
      <c r="C15" s="8" t="s">
        <v>127</v>
      </c>
      <c r="D15" s="8" t="s">
        <v>128</v>
      </c>
      <c r="E15" s="8" t="s">
        <v>129</v>
      </c>
      <c r="F15" s="8" t="s">
        <v>130</v>
      </c>
      <c r="G15" s="8" t="s">
        <v>131</v>
      </c>
      <c r="H15" s="8" t="s">
        <v>132</v>
      </c>
      <c r="I15" s="8" t="s">
        <v>133</v>
      </c>
      <c r="J15" s="8" t="s">
        <v>134</v>
      </c>
      <c r="K15" s="8" t="s">
        <v>135</v>
      </c>
    </row>
    <row r="16" customFormat="false" ht="15" hidden="false" customHeight="false" outlineLevel="0" collapsed="false">
      <c r="A16" s="12" t="n">
        <v>1</v>
      </c>
      <c r="B16" s="9" t="n">
        <v>1</v>
      </c>
      <c r="C16" s="14" t="n">
        <f aca="false">Liq_0</f>
        <v>620</v>
      </c>
      <c r="D16" s="14" t="n">
        <f aca="false">C16-Round_cost*B16</f>
        <v>500</v>
      </c>
      <c r="E16" s="12" t="n">
        <f aca="false">Cap_0</f>
        <v>58</v>
      </c>
      <c r="F16" s="14" t="n">
        <f aca="false">IF(B16=1,Eff_0+Gap_closed*(Eff_ceiling-Eff_0),Eff_0)</f>
        <v>78</v>
      </c>
      <c r="G16" s="14" t="n">
        <f aca="false">Sav_point*(F16-Eff_0)</f>
        <v>70</v>
      </c>
      <c r="H16" s="14" t="n">
        <f aca="false">$Q$9*G16</f>
        <v>13.1775700934579</v>
      </c>
      <c r="I16" s="14" t="n">
        <f aca="false">D16+G16-H16</f>
        <v>556.822429906542</v>
      </c>
      <c r="J16" s="2" t="str">
        <f aca="false">IF(AND(OR(B16=0,D16&gt;=Floor_liq-0.000000001),I16&gt;=Floor_liq-0.000000001),"yes","no")</f>
        <v>yes</v>
      </c>
      <c r="K16" s="2" t="str">
        <f aca="false">IF(OR(B16=0,E16&gt;=Cap_min),"yes","no")</f>
        <v>yes</v>
      </c>
      <c r="P16" s="2" t="s">
        <v>300</v>
      </c>
      <c r="Q16" s="14" t="n">
        <f aca="false">SUM(H16:H21)</f>
        <v>132.1875</v>
      </c>
    </row>
    <row r="17" customFormat="false" ht="15" hidden="false" customHeight="false" outlineLevel="0" collapsed="false">
      <c r="A17" s="12" t="n">
        <v>2</v>
      </c>
      <c r="B17" s="9" t="n">
        <v>1</v>
      </c>
      <c r="C17" s="14" t="n">
        <f aca="false">I16</f>
        <v>556.822429906542</v>
      </c>
      <c r="D17" s="14" t="n">
        <f aca="false">C17-Round_cost*B17</f>
        <v>436.822429906542</v>
      </c>
      <c r="E17" s="12" t="n">
        <f aca="false">E16+Cap_step*B16</f>
        <v>59</v>
      </c>
      <c r="F17" s="14" t="n">
        <f aca="false">IF(B17=1,F16+Gap_closed*(Eff_ceiling-F16),F16)</f>
        <v>81.5</v>
      </c>
      <c r="G17" s="14" t="n">
        <f aca="false">Sav_point*(F17-Eff_0)</f>
        <v>105</v>
      </c>
      <c r="H17" s="14" t="n">
        <f aca="false">$Q$9*G17</f>
        <v>19.7663551401869</v>
      </c>
      <c r="I17" s="14" t="n">
        <f aca="false">D17+G17-H17</f>
        <v>522.056074766355</v>
      </c>
      <c r="J17" s="2" t="str">
        <f aca="false">IF(AND(OR(B17=0,D17&gt;=Floor_liq-0.000000001),I17&gt;=Floor_liq-0.000000001),"yes","no")</f>
        <v>yes</v>
      </c>
      <c r="K17" s="2" t="str">
        <f aca="false">IF(OR(B17=0,E17&gt;=Cap_min),"yes","no")</f>
        <v>yes</v>
      </c>
      <c r="P17" s="2" t="s">
        <v>301</v>
      </c>
      <c r="Q17" s="14" t="n">
        <f aca="false">F21</f>
        <v>84.78125</v>
      </c>
    </row>
    <row r="18" customFormat="false" ht="15" hidden="false" customHeight="false" outlineLevel="0" collapsed="false">
      <c r="A18" s="12" t="n">
        <v>3</v>
      </c>
      <c r="B18" s="9" t="n">
        <v>1</v>
      </c>
      <c r="C18" s="14" t="n">
        <f aca="false">I17</f>
        <v>522.056074766355</v>
      </c>
      <c r="D18" s="14" t="n">
        <f aca="false">C18-Round_cost*B18</f>
        <v>402.056074766355</v>
      </c>
      <c r="E18" s="12" t="n">
        <f aca="false">E17+Cap_step*B17</f>
        <v>60</v>
      </c>
      <c r="F18" s="14" t="n">
        <f aca="false">IF(B18=1,F17+Gap_closed*(Eff_ceiling-F17),F17)</f>
        <v>83.25</v>
      </c>
      <c r="G18" s="14" t="n">
        <f aca="false">Sav_point*(F18-Eff_0)</f>
        <v>122.5</v>
      </c>
      <c r="H18" s="14" t="n">
        <f aca="false">$Q$9*G18</f>
        <v>23.0607476635514</v>
      </c>
      <c r="I18" s="14" t="n">
        <f aca="false">D18+G18-H18</f>
        <v>501.495327102804</v>
      </c>
      <c r="J18" s="2" t="str">
        <f aca="false">IF(AND(OR(B18=0,D18&gt;=Floor_liq-0.000000001),I18&gt;=Floor_liq-0.000000001),"yes","no")</f>
        <v>yes</v>
      </c>
      <c r="K18" s="2" t="str">
        <f aca="false">IF(OR(B18=0,E18&gt;=Cap_min),"yes","no")</f>
        <v>yes</v>
      </c>
      <c r="P18" s="2" t="s">
        <v>302</v>
      </c>
      <c r="Q18" s="14" t="n">
        <f aca="false">I21</f>
        <v>470</v>
      </c>
    </row>
    <row r="19" customFormat="false" ht="15" hidden="false" customHeight="false" outlineLevel="0" collapsed="false">
      <c r="A19" s="12" t="n">
        <v>4</v>
      </c>
      <c r="B19" s="9" t="n">
        <v>1</v>
      </c>
      <c r="C19" s="14" t="n">
        <f aca="false">I18</f>
        <v>501.495327102804</v>
      </c>
      <c r="D19" s="14" t="n">
        <f aca="false">C19-Round_cost*B19</f>
        <v>381.495327102804</v>
      </c>
      <c r="E19" s="12" t="n">
        <f aca="false">E18+Cap_step*B18</f>
        <v>61</v>
      </c>
      <c r="F19" s="14" t="n">
        <f aca="false">IF(B19=1,F18+Gap_closed*(Eff_ceiling-F18),F18)</f>
        <v>84.125</v>
      </c>
      <c r="G19" s="14" t="n">
        <f aca="false">Sav_point*(F19-Eff_0)</f>
        <v>131.25</v>
      </c>
      <c r="H19" s="14" t="n">
        <f aca="false">$Q$9*G19</f>
        <v>24.7079439252336</v>
      </c>
      <c r="I19" s="14" t="n">
        <f aca="false">D19+G19-H19</f>
        <v>488.03738317757</v>
      </c>
      <c r="J19" s="2" t="str">
        <f aca="false">IF(AND(OR(B19=0,D19&gt;=Floor_liq-0.000000001),I19&gt;=Floor_liq-0.000000001),"yes","no")</f>
        <v>yes</v>
      </c>
      <c r="K19" s="2" t="str">
        <f aca="false">IF(OR(B19=0,E19&gt;=Cap_min),"yes","no")</f>
        <v>yes</v>
      </c>
      <c r="P19" s="2" t="s">
        <v>303</v>
      </c>
      <c r="Q19" s="2" t="str">
        <f aca="false">IF(COUNTIF(J16:J21,"no")=0,"yes","no")</f>
        <v>yes</v>
      </c>
    </row>
    <row r="20" customFormat="false" ht="15" hidden="false" customHeight="false" outlineLevel="0" collapsed="false">
      <c r="A20" s="12" t="n">
        <v>5</v>
      </c>
      <c r="B20" s="9" t="n">
        <v>1</v>
      </c>
      <c r="C20" s="14" t="n">
        <f aca="false">I19</f>
        <v>488.03738317757</v>
      </c>
      <c r="D20" s="14" t="n">
        <f aca="false">C20-Round_cost*B20</f>
        <v>368.03738317757</v>
      </c>
      <c r="E20" s="12" t="n">
        <f aca="false">E19+Cap_step*B19</f>
        <v>62</v>
      </c>
      <c r="F20" s="14" t="n">
        <f aca="false">IF(B20=1,F19+Gap_closed*(Eff_ceiling-F19),F19)</f>
        <v>84.5625</v>
      </c>
      <c r="G20" s="14" t="n">
        <f aca="false">Sav_point*(F20-Eff_0)</f>
        <v>135.625</v>
      </c>
      <c r="H20" s="14" t="n">
        <f aca="false">$Q$9*G20</f>
        <v>25.5315420560748</v>
      </c>
      <c r="I20" s="14" t="n">
        <f aca="false">D20+G20-H20</f>
        <v>478.130841121495</v>
      </c>
      <c r="J20" s="2" t="str">
        <f aca="false">IF(AND(OR(B20=0,D20&gt;=Floor_liq-0.000000001),I20&gt;=Floor_liq-0.000000001),"yes","no")</f>
        <v>yes</v>
      </c>
      <c r="K20" s="2" t="str">
        <f aca="false">IF(OR(B20=0,E20&gt;=Cap_min),"yes","no")</f>
        <v>yes</v>
      </c>
    </row>
    <row r="21" customFormat="false" ht="15" hidden="false" customHeight="false" outlineLevel="0" collapsed="false">
      <c r="A21" s="12" t="n">
        <v>6</v>
      </c>
      <c r="B21" s="9" t="n">
        <v>1</v>
      </c>
      <c r="C21" s="14" t="n">
        <f aca="false">I20</f>
        <v>478.130841121495</v>
      </c>
      <c r="D21" s="14" t="n">
        <f aca="false">C21-Round_cost*B21</f>
        <v>358.130841121495</v>
      </c>
      <c r="E21" s="12" t="n">
        <f aca="false">E20+Cap_step*B20</f>
        <v>63</v>
      </c>
      <c r="F21" s="14" t="n">
        <f aca="false">IF(B21=1,F20+Gap_closed*(Eff_ceiling-F20),F20)</f>
        <v>84.78125</v>
      </c>
      <c r="G21" s="14" t="n">
        <f aca="false">Sav_point*(F21-Eff_0)</f>
        <v>137.8125</v>
      </c>
      <c r="H21" s="14" t="n">
        <f aca="false">$Q$9*G21</f>
        <v>25.9433411214953</v>
      </c>
      <c r="I21" s="14" t="n">
        <f aca="false">D21+G21-H21</f>
        <v>470</v>
      </c>
      <c r="J21" s="2" t="str">
        <f aca="false">IF(AND(OR(B21=0,D21&gt;=Floor_liq-0.000000001),I21&gt;=Floor_liq-0.000000001),"yes","no")</f>
        <v>yes</v>
      </c>
      <c r="K21" s="2" t="str">
        <f aca="false">IF(OR(B21=0,E21&gt;=Cap_min),"yes","no")</f>
        <v>yes</v>
      </c>
    </row>
    <row r="23" customFormat="false" ht="15" hidden="false" customHeight="false" outlineLevel="0" collapsed="false">
      <c r="P23" s="4" t="s">
        <v>304</v>
      </c>
    </row>
    <row r="24" customFormat="false" ht="15" hidden="false" customHeight="false" outlineLevel="0" collapsed="false">
      <c r="A24" s="4" t="s">
        <v>305</v>
      </c>
      <c r="P24" s="2" t="s">
        <v>306</v>
      </c>
      <c r="Q24" s="12" t="n">
        <f aca="false">SUM(Sch_ok5)</f>
        <v>35</v>
      </c>
    </row>
    <row r="25" customFormat="false" ht="35.05" hidden="false" customHeight="false" outlineLevel="0" collapsed="false">
      <c r="A25" s="8" t="s">
        <v>125</v>
      </c>
      <c r="B25" s="8" t="s">
        <v>126</v>
      </c>
      <c r="C25" s="8" t="s">
        <v>127</v>
      </c>
      <c r="D25" s="8" t="s">
        <v>128</v>
      </c>
      <c r="E25" s="8" t="s">
        <v>129</v>
      </c>
      <c r="F25" s="8" t="s">
        <v>130</v>
      </c>
      <c r="G25" s="8" t="s">
        <v>131</v>
      </c>
      <c r="H25" s="8" t="s">
        <v>132</v>
      </c>
      <c r="I25" s="8" t="s">
        <v>133</v>
      </c>
      <c r="J25" s="8" t="s">
        <v>134</v>
      </c>
      <c r="K25" s="8" t="s">
        <v>135</v>
      </c>
      <c r="P25" s="2" t="s">
        <v>307</v>
      </c>
      <c r="Q25" s="12" t="n">
        <f aca="false">_xlfn.MAXIFS(Sch_rounds,Sch_ok5,1)</f>
        <v>3</v>
      </c>
    </row>
    <row r="26" customFormat="false" ht="15" hidden="false" customHeight="false" outlineLevel="0" collapsed="false">
      <c r="A26" s="12" t="n">
        <v>1</v>
      </c>
      <c r="B26" s="22" t="n">
        <f aca="false">INDEX(Schedules!$B$6:$B$69,$Q$26)</f>
        <v>1</v>
      </c>
      <c r="C26" s="14" t="n">
        <f aca="false">Liq_0</f>
        <v>620</v>
      </c>
      <c r="D26" s="14" t="n">
        <f aca="false">C26-Round_cost*B26</f>
        <v>500</v>
      </c>
      <c r="E26" s="12" t="n">
        <f aca="false">Cap_0</f>
        <v>58</v>
      </c>
      <c r="F26" s="14" t="n">
        <f aca="false">IF(B26=1,Eff_0+Gap_closed*(Eff_ceiling-Eff_0),Eff_0)</f>
        <v>78</v>
      </c>
      <c r="G26" s="14" t="n">
        <f aca="false">Sav_point*(F26-Eff_0)</f>
        <v>70</v>
      </c>
      <c r="H26" s="14" t="n">
        <f aca="false">Pledge_share*G26</f>
        <v>35</v>
      </c>
      <c r="I26" s="14" t="n">
        <f aca="false">D26+G26-H26</f>
        <v>535</v>
      </c>
      <c r="J26" s="2" t="str">
        <f aca="false">IF(AND(OR(B26=0,D26&gt;=Floor_liq-0.000000001),I26&gt;=Floor_liq-0.000000001),"yes","no")</f>
        <v>yes</v>
      </c>
      <c r="K26" s="2" t="str">
        <f aca="false">IF(OR(B26=0,E26&gt;=Cap_min),"yes","no")</f>
        <v>yes</v>
      </c>
      <c r="P26" s="2" t="s">
        <v>308</v>
      </c>
      <c r="Q26" s="12" t="n">
        <f aca="false">MATCH(MAX(Sch_key),Sch_key,0)</f>
        <v>53</v>
      </c>
    </row>
    <row r="27" customFormat="false" ht="15" hidden="false" customHeight="false" outlineLevel="0" collapsed="false">
      <c r="A27" s="12" t="n">
        <v>2</v>
      </c>
      <c r="B27" s="22" t="n">
        <f aca="false">INDEX(Schedules!$C$6:$C$69,$Q$26)</f>
        <v>1</v>
      </c>
      <c r="C27" s="14" t="n">
        <f aca="false">I26</f>
        <v>535</v>
      </c>
      <c r="D27" s="14" t="n">
        <f aca="false">C27-Round_cost*B27</f>
        <v>415</v>
      </c>
      <c r="E27" s="12" t="n">
        <f aca="false">E26+Cap_step*B26</f>
        <v>59</v>
      </c>
      <c r="F27" s="14" t="n">
        <f aca="false">IF(B27=1,F26+Gap_closed*(Eff_ceiling-F26),F26)</f>
        <v>81.5</v>
      </c>
      <c r="G27" s="14" t="n">
        <f aca="false">Sav_point*(F27-Eff_0)</f>
        <v>105</v>
      </c>
      <c r="H27" s="14" t="n">
        <f aca="false">Pledge_share*G27</f>
        <v>52.5</v>
      </c>
      <c r="I27" s="14" t="n">
        <f aca="false">D27+G27-H27</f>
        <v>467.5</v>
      </c>
      <c r="J27" s="2" t="str">
        <f aca="false">IF(AND(OR(B27=0,D27&gt;=Floor_liq-0.000000001),I27&gt;=Floor_liq-0.000000001),"yes","no")</f>
        <v>yes</v>
      </c>
      <c r="K27" s="2" t="str">
        <f aca="false">IF(OR(B27=0,E27&gt;=Cap_min),"yes","no")</f>
        <v>yes</v>
      </c>
      <c r="P27" s="2" t="s">
        <v>309</v>
      </c>
      <c r="Q27" s="12" t="n">
        <f aca="false">INDEX(Sch_years,Q26)</f>
        <v>124</v>
      </c>
    </row>
    <row r="28" customFormat="false" ht="15" hidden="false" customHeight="false" outlineLevel="0" collapsed="false">
      <c r="A28" s="12" t="n">
        <v>3</v>
      </c>
      <c r="B28" s="22" t="n">
        <f aca="false">INDEX(Schedules!$D$6:$D$69,$Q$26)</f>
        <v>0</v>
      </c>
      <c r="C28" s="14" t="n">
        <f aca="false">I27</f>
        <v>467.5</v>
      </c>
      <c r="D28" s="14" t="n">
        <f aca="false">C28-Round_cost*B28</f>
        <v>467.5</v>
      </c>
      <c r="E28" s="12" t="n">
        <f aca="false">E27+Cap_step*B27</f>
        <v>60</v>
      </c>
      <c r="F28" s="14" t="n">
        <f aca="false">IF(B28=1,F27+Gap_closed*(Eff_ceiling-F27),F27)</f>
        <v>81.5</v>
      </c>
      <c r="G28" s="14" t="n">
        <f aca="false">Sav_point*(F28-Eff_0)</f>
        <v>105</v>
      </c>
      <c r="H28" s="14" t="n">
        <f aca="false">Pledge_share*G28</f>
        <v>52.5</v>
      </c>
      <c r="I28" s="14" t="n">
        <f aca="false">D28+G28-H28</f>
        <v>520</v>
      </c>
      <c r="J28" s="2" t="str">
        <f aca="false">IF(AND(OR(B28=0,D28&gt;=Floor_liq-0.000000001),I28&gt;=Floor_liq-0.000000001),"yes","no")</f>
        <v>yes</v>
      </c>
      <c r="K28" s="2" t="str">
        <f aca="false">IF(OR(B28=0,E28&gt;=Cap_min),"yes","no")</f>
        <v>yes</v>
      </c>
      <c r="P28" s="2" t="s">
        <v>300</v>
      </c>
      <c r="Q28" s="14" t="n">
        <f aca="false">INDEX(Sch_pay5,Q26)</f>
        <v>323.75</v>
      </c>
    </row>
    <row r="29" customFormat="false" ht="15" hidden="false" customHeight="false" outlineLevel="0" collapsed="false">
      <c r="A29" s="12" t="n">
        <v>4</v>
      </c>
      <c r="B29" s="22" t="n">
        <f aca="false">INDEX(Schedules!$E$6:$E$69,$Q$26)</f>
        <v>1</v>
      </c>
      <c r="C29" s="14" t="n">
        <f aca="false">I28</f>
        <v>520</v>
      </c>
      <c r="D29" s="14" t="n">
        <f aca="false">C29-Round_cost*B29</f>
        <v>400</v>
      </c>
      <c r="E29" s="12" t="n">
        <f aca="false">E28+Cap_step*B28</f>
        <v>60</v>
      </c>
      <c r="F29" s="14" t="n">
        <f aca="false">IF(B29=1,F28+Gap_closed*(Eff_ceiling-F28),F28)</f>
        <v>83.25</v>
      </c>
      <c r="G29" s="14" t="n">
        <f aca="false">Sav_point*(F29-Eff_0)</f>
        <v>122.5</v>
      </c>
      <c r="H29" s="14" t="n">
        <f aca="false">Pledge_share*G29</f>
        <v>61.25</v>
      </c>
      <c r="I29" s="14" t="n">
        <f aca="false">D29+G29-H29</f>
        <v>461.25</v>
      </c>
      <c r="J29" s="2" t="str">
        <f aca="false">IF(AND(OR(B29=0,D29&gt;=Floor_liq-0.000000001),I29&gt;=Floor_liq-0.000000001),"yes","no")</f>
        <v>yes</v>
      </c>
      <c r="K29" s="2" t="str">
        <f aca="false">IF(OR(B29=0,E29&gt;=Cap_min),"yes","no")</f>
        <v>yes</v>
      </c>
    </row>
    <row r="30" customFormat="false" ht="15" hidden="false" customHeight="false" outlineLevel="0" collapsed="false">
      <c r="A30" s="12" t="n">
        <v>5</v>
      </c>
      <c r="B30" s="22" t="n">
        <f aca="false">INDEX(Schedules!$F$6:$F$69,$Q$26)</f>
        <v>0</v>
      </c>
      <c r="C30" s="14" t="n">
        <f aca="false">I29</f>
        <v>461.25</v>
      </c>
      <c r="D30" s="14" t="n">
        <f aca="false">C30-Round_cost*B30</f>
        <v>461.25</v>
      </c>
      <c r="E30" s="12" t="n">
        <f aca="false">E29+Cap_step*B29</f>
        <v>61</v>
      </c>
      <c r="F30" s="14" t="n">
        <f aca="false">IF(B30=1,F29+Gap_closed*(Eff_ceiling-F29),F29)</f>
        <v>83.25</v>
      </c>
      <c r="G30" s="14" t="n">
        <f aca="false">Sav_point*(F30-Eff_0)</f>
        <v>122.5</v>
      </c>
      <c r="H30" s="14" t="n">
        <f aca="false">Pledge_share*G30</f>
        <v>61.25</v>
      </c>
      <c r="I30" s="14" t="n">
        <f aca="false">D30+G30-H30</f>
        <v>522.5</v>
      </c>
      <c r="J30" s="2" t="str">
        <f aca="false">IF(AND(OR(B30=0,D30&gt;=Floor_liq-0.000000001),I30&gt;=Floor_liq-0.000000001),"yes","no")</f>
        <v>yes</v>
      </c>
      <c r="K30" s="2" t="str">
        <f aca="false">IF(OR(B30=0,E30&gt;=Cap_min),"yes","no")</f>
        <v>yes</v>
      </c>
      <c r="P30" s="2" t="s">
        <v>301</v>
      </c>
      <c r="Q30" s="14" t="n">
        <f aca="false">F31</f>
        <v>83.25</v>
      </c>
    </row>
    <row r="31" customFormat="false" ht="15" hidden="false" customHeight="false" outlineLevel="0" collapsed="false">
      <c r="A31" s="12" t="n">
        <v>6</v>
      </c>
      <c r="B31" s="22" t="n">
        <f aca="false">INDEX(Schedules!$G$6:$G$69,$Q$26)</f>
        <v>0</v>
      </c>
      <c r="C31" s="14" t="n">
        <f aca="false">I30</f>
        <v>522.5</v>
      </c>
      <c r="D31" s="14" t="n">
        <f aca="false">C31-Round_cost*B31</f>
        <v>522.5</v>
      </c>
      <c r="E31" s="12" t="n">
        <f aca="false">E30+Cap_step*B30</f>
        <v>61</v>
      </c>
      <c r="F31" s="14" t="n">
        <f aca="false">IF(B31=1,F30+Gap_closed*(Eff_ceiling-F30),F30)</f>
        <v>83.25</v>
      </c>
      <c r="G31" s="14" t="n">
        <f aca="false">Sav_point*(F31-Eff_0)</f>
        <v>122.5</v>
      </c>
      <c r="H31" s="14" t="n">
        <f aca="false">Pledge_share*G31</f>
        <v>61.25</v>
      </c>
      <c r="I31" s="14" t="n">
        <f aca="false">D31+G31-H31</f>
        <v>583.75</v>
      </c>
      <c r="J31" s="2" t="str">
        <f aca="false">IF(AND(OR(B31=0,D31&gt;=Floor_liq-0.000000001),I31&gt;=Floor_liq-0.000000001),"yes","no")</f>
        <v>yes</v>
      </c>
      <c r="K31" s="2" t="str">
        <f aca="false">IF(OR(B31=0,E31&gt;=Cap_min),"yes","no")</f>
        <v>yes</v>
      </c>
      <c r="P31" s="2" t="s">
        <v>302</v>
      </c>
      <c r="Q31" s="14" t="n">
        <f aca="false">I31</f>
        <v>583.75</v>
      </c>
    </row>
    <row r="32" customFormat="false" ht="15" hidden="false" customHeight="false" outlineLevel="0" collapsed="false">
      <c r="P32" s="2" t="s">
        <v>310</v>
      </c>
      <c r="Q32" s="14" t="n">
        <f aca="false">SUM(H26:H31)</f>
        <v>323.75</v>
      </c>
    </row>
    <row r="34" customFormat="false" ht="15" hidden="false" customHeight="false" outlineLevel="0" collapsed="false">
      <c r="A34" s="4" t="s">
        <v>311</v>
      </c>
    </row>
    <row r="35" customFormat="false" ht="35.05" hidden="false" customHeight="false" outlineLevel="0" collapsed="false">
      <c r="A35" s="8" t="s">
        <v>125</v>
      </c>
      <c r="B35" s="8" t="s">
        <v>126</v>
      </c>
      <c r="C35" s="8" t="s">
        <v>127</v>
      </c>
      <c r="D35" s="8" t="s">
        <v>128</v>
      </c>
      <c r="E35" s="8" t="s">
        <v>129</v>
      </c>
      <c r="F35" s="8" t="s">
        <v>130</v>
      </c>
      <c r="G35" s="8" t="s">
        <v>131</v>
      </c>
      <c r="H35" s="8" t="s">
        <v>132</v>
      </c>
      <c r="I35" s="8" t="s">
        <v>133</v>
      </c>
      <c r="J35" s="8" t="s">
        <v>134</v>
      </c>
      <c r="K35" s="8" t="s">
        <v>135</v>
      </c>
    </row>
    <row r="36" customFormat="false" ht="15" hidden="false" customHeight="false" outlineLevel="0" collapsed="false">
      <c r="A36" s="12" t="n">
        <v>1</v>
      </c>
      <c r="B36" s="12" t="n">
        <f aca="false">B26</f>
        <v>1</v>
      </c>
      <c r="C36" s="14" t="n">
        <f aca="false">Liq_0</f>
        <v>620</v>
      </c>
      <c r="D36" s="14" t="n">
        <f aca="false">C36-Round_cost*B36</f>
        <v>500</v>
      </c>
      <c r="E36" s="12" t="n">
        <f aca="false">Cap_0</f>
        <v>58</v>
      </c>
      <c r="F36" s="14" t="n">
        <f aca="false">IF(B36=1,Eff_0+Gap_closed*(Eff_ceiling-Eff_0),Eff_0)</f>
        <v>78</v>
      </c>
      <c r="G36" s="14" t="n">
        <f aca="false">Sav_point*(F36-Eff_0)</f>
        <v>70</v>
      </c>
      <c r="H36" s="14" t="n">
        <f aca="false">Pledge_share*G36</f>
        <v>35</v>
      </c>
      <c r="I36" s="14" t="n">
        <f aca="false">D36+G36-H36</f>
        <v>535</v>
      </c>
      <c r="J36" s="2" t="str">
        <f aca="false">IF(AND(OR(B36=0,D36&gt;=Floor_liq-0.000000001),I36&gt;=Floor_liq-0.000000001),"yes","no")</f>
        <v>yes</v>
      </c>
      <c r="K36" s="2" t="str">
        <f aca="false">IF(OR(B36=0,E36&gt;=Cap_min),"yes","no")</f>
        <v>yes</v>
      </c>
      <c r="P36" s="2" t="s">
        <v>312</v>
      </c>
      <c r="Q36" s="12" t="n">
        <f aca="false">IF(COUNTIF(J36:J41,"no")=0,0,MATCH("no",J36:J41,0))</f>
        <v>3</v>
      </c>
    </row>
    <row r="37" customFormat="false" ht="15" hidden="false" customHeight="false" outlineLevel="0" collapsed="false">
      <c r="A37" s="12" t="n">
        <v>2</v>
      </c>
      <c r="B37" s="12" t="n">
        <f aca="false">B27</f>
        <v>1</v>
      </c>
      <c r="C37" s="14" t="n">
        <f aca="false">I36</f>
        <v>535</v>
      </c>
      <c r="D37" s="14" t="n">
        <f aca="false">C37-Round_cost*B37</f>
        <v>415</v>
      </c>
      <c r="E37" s="12" t="n">
        <f aca="false">E36+Cap_step*B36</f>
        <v>59</v>
      </c>
      <c r="F37" s="14" t="n">
        <f aca="false">IF(B37=1,F36+Gap_closed*(Eff_ceiling-F36),F36)</f>
        <v>81.5</v>
      </c>
      <c r="G37" s="14" t="n">
        <f aca="false">Sav_point*(F37-Eff_0)</f>
        <v>105</v>
      </c>
      <c r="H37" s="14" t="n">
        <f aca="false">Pledge_share*G37</f>
        <v>52.5</v>
      </c>
      <c r="I37" s="14" t="n">
        <f aca="false">D37+G37-H37</f>
        <v>467.5</v>
      </c>
      <c r="J37" s="2" t="str">
        <f aca="false">IF(AND(OR(B37=0,D37&gt;=Floor_liq-0.000000001),I37&gt;=Floor_liq-0.000000001),"yes","no")</f>
        <v>yes</v>
      </c>
      <c r="K37" s="2" t="str">
        <f aca="false">IF(OR(B37=0,E37&gt;=Cap_min),"yes","no")</f>
        <v>yes</v>
      </c>
      <c r="P37" s="2" t="s">
        <v>313</v>
      </c>
      <c r="Q37" s="14" t="n">
        <f aca="false">D38</f>
        <v>347.5</v>
      </c>
    </row>
    <row r="38" customFormat="false" ht="15" hidden="false" customHeight="false" outlineLevel="0" collapsed="false">
      <c r="A38" s="12" t="n">
        <v>3</v>
      </c>
      <c r="B38" s="12" t="n">
        <f aca="false">1</f>
        <v>1</v>
      </c>
      <c r="C38" s="14" t="n">
        <f aca="false">I37</f>
        <v>467.5</v>
      </c>
      <c r="D38" s="14" t="n">
        <f aca="false">C38-Round_cost*B38</f>
        <v>347.5</v>
      </c>
      <c r="E38" s="12" t="n">
        <f aca="false">E37+Cap_step*B37</f>
        <v>60</v>
      </c>
      <c r="F38" s="14" t="n">
        <f aca="false">IF(B38=1,F37+Gap_closed*(Eff_ceiling-F37),F37)</f>
        <v>83.25</v>
      </c>
      <c r="G38" s="14" t="n">
        <f aca="false">Sav_point*(F38-Eff_0)</f>
        <v>122.5</v>
      </c>
      <c r="H38" s="14" t="n">
        <f aca="false">Pledge_share*G38</f>
        <v>61.25</v>
      </c>
      <c r="I38" s="14" t="n">
        <f aca="false">D38+G38-H38</f>
        <v>408.75</v>
      </c>
      <c r="J38" s="2" t="str">
        <f aca="false">IF(AND(OR(B38=0,D38&gt;=Floor_liq-0.000000001),I38&gt;=Floor_liq-0.000000001),"yes","no")</f>
        <v>no</v>
      </c>
      <c r="K38" s="2" t="str">
        <f aca="false">IF(OR(B38=0,E38&gt;=Cap_min),"yes","no")</f>
        <v>yes</v>
      </c>
      <c r="P38" s="2" t="s">
        <v>302</v>
      </c>
      <c r="Q38" s="14" t="n">
        <f aca="false">I41</f>
        <v>485.625</v>
      </c>
    </row>
    <row r="39" customFormat="false" ht="15" hidden="false" customHeight="false" outlineLevel="0" collapsed="false">
      <c r="A39" s="12" t="n">
        <v>4</v>
      </c>
      <c r="B39" s="12" t="n">
        <f aca="false">B29</f>
        <v>1</v>
      </c>
      <c r="C39" s="14" t="n">
        <f aca="false">I38</f>
        <v>408.75</v>
      </c>
      <c r="D39" s="14" t="n">
        <f aca="false">C39-Round_cost*B39</f>
        <v>288.75</v>
      </c>
      <c r="E39" s="12" t="n">
        <f aca="false">E38+Cap_step*B38</f>
        <v>61</v>
      </c>
      <c r="F39" s="14" t="n">
        <f aca="false">IF(B39=1,F38+Gap_closed*(Eff_ceiling-F38),F38)</f>
        <v>84.125</v>
      </c>
      <c r="G39" s="14" t="n">
        <f aca="false">Sav_point*(F39-Eff_0)</f>
        <v>131.25</v>
      </c>
      <c r="H39" s="14" t="n">
        <f aca="false">Pledge_share*G39</f>
        <v>65.625</v>
      </c>
      <c r="I39" s="14" t="n">
        <f aca="false">D39+G39-H39</f>
        <v>354.375</v>
      </c>
      <c r="J39" s="2" t="str">
        <f aca="false">IF(AND(OR(B39=0,D39&gt;=Floor_liq-0.000000001),I39&gt;=Floor_liq-0.000000001),"yes","no")</f>
        <v>no</v>
      </c>
      <c r="K39" s="2" t="str">
        <f aca="false">IF(OR(B39=0,E39&gt;=Cap_min),"yes","no")</f>
        <v>yes</v>
      </c>
      <c r="P39" s="2" t="s">
        <v>314</v>
      </c>
      <c r="Q39" s="2" t="str">
        <f aca="false">IF(I41&gt;=End_liq-0.000000001,"yes","no")</f>
        <v>yes</v>
      </c>
    </row>
    <row r="40" customFormat="false" ht="15" hidden="false" customHeight="false" outlineLevel="0" collapsed="false">
      <c r="A40" s="12" t="n">
        <v>5</v>
      </c>
      <c r="B40" s="12" t="n">
        <f aca="false">B30</f>
        <v>0</v>
      </c>
      <c r="C40" s="14" t="n">
        <f aca="false">I39</f>
        <v>354.375</v>
      </c>
      <c r="D40" s="14" t="n">
        <f aca="false">C40-Round_cost*B40</f>
        <v>354.375</v>
      </c>
      <c r="E40" s="12" t="n">
        <f aca="false">E39+Cap_step*B39</f>
        <v>62</v>
      </c>
      <c r="F40" s="14" t="n">
        <f aca="false">IF(B40=1,F39+Gap_closed*(Eff_ceiling-F39),F39)</f>
        <v>84.125</v>
      </c>
      <c r="G40" s="14" t="n">
        <f aca="false">Sav_point*(F40-Eff_0)</f>
        <v>131.25</v>
      </c>
      <c r="H40" s="14" t="n">
        <f aca="false">Pledge_share*G40</f>
        <v>65.625</v>
      </c>
      <c r="I40" s="14" t="n">
        <f aca="false">D40+G40-H40</f>
        <v>420</v>
      </c>
      <c r="J40" s="2" t="str">
        <f aca="false">IF(AND(OR(B40=0,D40&gt;=Floor_liq-0.000000001),I40&gt;=Floor_liq-0.000000001),"yes","no")</f>
        <v>yes</v>
      </c>
      <c r="K40" s="2" t="str">
        <f aca="false">IF(OR(B40=0,E40&gt;=Cap_min),"yes","no")</f>
        <v>yes</v>
      </c>
    </row>
    <row r="41" customFormat="false" ht="15" hidden="false" customHeight="false" outlineLevel="0" collapsed="false">
      <c r="A41" s="12" t="n">
        <v>6</v>
      </c>
      <c r="B41" s="12" t="n">
        <f aca="false">B31</f>
        <v>0</v>
      </c>
      <c r="C41" s="14" t="n">
        <f aca="false">I40</f>
        <v>420</v>
      </c>
      <c r="D41" s="14" t="n">
        <f aca="false">C41-Round_cost*B41</f>
        <v>420</v>
      </c>
      <c r="E41" s="12" t="n">
        <f aca="false">E40+Cap_step*B40</f>
        <v>62</v>
      </c>
      <c r="F41" s="14" t="n">
        <f aca="false">IF(B41=1,F40+Gap_closed*(Eff_ceiling-F40),F40)</f>
        <v>84.125</v>
      </c>
      <c r="G41" s="14" t="n">
        <f aca="false">Sav_point*(F41-Eff_0)</f>
        <v>131.25</v>
      </c>
      <c r="H41" s="14" t="n">
        <f aca="false">Pledge_share*G41</f>
        <v>65.625</v>
      </c>
      <c r="I41" s="14" t="n">
        <f aca="false">D41+G41-H41</f>
        <v>485.625</v>
      </c>
      <c r="J41" s="2" t="str">
        <f aca="false">IF(AND(OR(B41=0,D41&gt;=Floor_liq-0.000000001),I41&gt;=Floor_liq-0.000000001),"yes","no")</f>
        <v>yes</v>
      </c>
      <c r="K41" s="2" t="str">
        <f aca="false">IF(OR(B41=0,E41&gt;=Cap_min),"yes","no")</f>
        <v>yes</v>
      </c>
    </row>
    <row r="44" customFormat="false" ht="15" hidden="false" customHeight="false" outlineLevel="0" collapsed="false">
      <c r="A44" s="4" t="s">
        <v>315</v>
      </c>
    </row>
    <row r="45" customFormat="false" ht="35.05" hidden="false" customHeight="false" outlineLevel="0" collapsed="false">
      <c r="A45" s="8" t="s">
        <v>125</v>
      </c>
      <c r="B45" s="8" t="s">
        <v>126</v>
      </c>
      <c r="C45" s="8" t="s">
        <v>127</v>
      </c>
      <c r="D45" s="8" t="s">
        <v>128</v>
      </c>
      <c r="E45" s="8" t="s">
        <v>129</v>
      </c>
      <c r="F45" s="8" t="s">
        <v>130</v>
      </c>
      <c r="G45" s="8" t="s">
        <v>131</v>
      </c>
      <c r="H45" s="8" t="s">
        <v>132</v>
      </c>
      <c r="I45" s="8" t="s">
        <v>133</v>
      </c>
      <c r="J45" s="8" t="s">
        <v>134</v>
      </c>
      <c r="K45" s="8" t="s">
        <v>135</v>
      </c>
    </row>
    <row r="46" customFormat="false" ht="15" hidden="false" customHeight="false" outlineLevel="0" collapsed="false">
      <c r="A46" s="12" t="n">
        <v>1</v>
      </c>
      <c r="B46" s="12" t="n">
        <f aca="false">B26</f>
        <v>1</v>
      </c>
      <c r="C46" s="14" t="n">
        <f aca="false">Liq_0</f>
        <v>620</v>
      </c>
      <c r="D46" s="14" t="n">
        <f aca="false">C46-Round_cost*B46</f>
        <v>500</v>
      </c>
      <c r="E46" s="12" t="n">
        <f aca="false">Cap_0</f>
        <v>58</v>
      </c>
      <c r="F46" s="14" t="n">
        <f aca="false">IF(B46=1,Eff_0+Gap_closed*(Eff_ceiling-Eff_0),Eff_0)</f>
        <v>78</v>
      </c>
      <c r="G46" s="14" t="n">
        <f aca="false">Sav_point*(F46-Eff_0)</f>
        <v>70</v>
      </c>
      <c r="H46" s="14" t="n">
        <f aca="false">Pledge_share*G46</f>
        <v>35</v>
      </c>
      <c r="I46" s="14" t="n">
        <f aca="false">D46+G46-H46</f>
        <v>535</v>
      </c>
      <c r="J46" s="2" t="str">
        <f aca="false">IF(AND(OR(B46=0,D46&gt;=Floor_liq-0.000000001),I46&gt;=Floor_liq-0.000000001),"yes","no")</f>
        <v>yes</v>
      </c>
      <c r="K46" s="2" t="str">
        <f aca="false">IF(OR(B46=0,E46&gt;=Cap_min),"yes","no")</f>
        <v>yes</v>
      </c>
      <c r="P46" s="2" t="s">
        <v>312</v>
      </c>
      <c r="Q46" s="12" t="n">
        <f aca="false">IF(COUNTIF(J46:J51,"no")=0,0,MATCH("no",J46:J51,0))</f>
        <v>5</v>
      </c>
    </row>
    <row r="47" customFormat="false" ht="15" hidden="false" customHeight="false" outlineLevel="0" collapsed="false">
      <c r="A47" s="12" t="n">
        <v>2</v>
      </c>
      <c r="B47" s="12" t="n">
        <f aca="false">B27</f>
        <v>1</v>
      </c>
      <c r="C47" s="14" t="n">
        <f aca="false">I46</f>
        <v>535</v>
      </c>
      <c r="D47" s="14" t="n">
        <f aca="false">C47-Round_cost*B47</f>
        <v>415</v>
      </c>
      <c r="E47" s="12" t="n">
        <f aca="false">E46+Cap_step*B46</f>
        <v>59</v>
      </c>
      <c r="F47" s="14" t="n">
        <f aca="false">IF(B47=1,F46+Gap_closed*(Eff_ceiling-F46),F46)</f>
        <v>81.5</v>
      </c>
      <c r="G47" s="14" t="n">
        <f aca="false">Sav_point*(F47-Eff_0)</f>
        <v>105</v>
      </c>
      <c r="H47" s="14" t="n">
        <f aca="false">Pledge_share*G47</f>
        <v>52.5</v>
      </c>
      <c r="I47" s="14" t="n">
        <f aca="false">D47+G47-H47</f>
        <v>467.5</v>
      </c>
      <c r="J47" s="2" t="str">
        <f aca="false">IF(AND(OR(B47=0,D47&gt;=Floor_liq-0.000000001),I47&gt;=Floor_liq-0.000000001),"yes","no")</f>
        <v>yes</v>
      </c>
      <c r="K47" s="2" t="str">
        <f aca="false">IF(OR(B47=0,E47&gt;=Cap_min),"yes","no")</f>
        <v>yes</v>
      </c>
      <c r="P47" s="2" t="s">
        <v>316</v>
      </c>
      <c r="Q47" s="14" t="n">
        <f aca="false">D50</f>
        <v>341.25</v>
      </c>
    </row>
    <row r="48" customFormat="false" ht="15" hidden="false" customHeight="false" outlineLevel="0" collapsed="false">
      <c r="A48" s="12" t="n">
        <v>3</v>
      </c>
      <c r="B48" s="12" t="n">
        <f aca="false">B28</f>
        <v>0</v>
      </c>
      <c r="C48" s="14" t="n">
        <f aca="false">I47</f>
        <v>467.5</v>
      </c>
      <c r="D48" s="14" t="n">
        <f aca="false">C48-Round_cost*B48</f>
        <v>467.5</v>
      </c>
      <c r="E48" s="12" t="n">
        <f aca="false">E47+Cap_step*B47</f>
        <v>60</v>
      </c>
      <c r="F48" s="14" t="n">
        <f aca="false">IF(B48=1,F47+Gap_closed*(Eff_ceiling-F47),F47)</f>
        <v>81.5</v>
      </c>
      <c r="G48" s="14" t="n">
        <f aca="false">Sav_point*(F48-Eff_0)</f>
        <v>105</v>
      </c>
      <c r="H48" s="14" t="n">
        <f aca="false">Pledge_share*G48</f>
        <v>52.5</v>
      </c>
      <c r="I48" s="14" t="n">
        <f aca="false">D48+G48-H48</f>
        <v>520</v>
      </c>
      <c r="J48" s="2" t="str">
        <f aca="false">IF(AND(OR(B48=0,D48&gt;=Floor_liq-0.000000001),I48&gt;=Floor_liq-0.000000001),"yes","no")</f>
        <v>yes</v>
      </c>
      <c r="K48" s="2" t="str">
        <f aca="false">IF(OR(B48=0,E48&gt;=Cap_min),"yes","no")</f>
        <v>yes</v>
      </c>
      <c r="P48" s="2" t="s">
        <v>302</v>
      </c>
      <c r="Q48" s="14" t="n">
        <f aca="false">I51</f>
        <v>472.5</v>
      </c>
    </row>
    <row r="49" customFormat="false" ht="15" hidden="false" customHeight="false" outlineLevel="0" collapsed="false">
      <c r="A49" s="12" t="n">
        <v>4</v>
      </c>
      <c r="B49" s="12" t="n">
        <f aca="false">B29</f>
        <v>1</v>
      </c>
      <c r="C49" s="14" t="n">
        <f aca="false">I48</f>
        <v>520</v>
      </c>
      <c r="D49" s="14" t="n">
        <f aca="false">C49-Round_cost*B49</f>
        <v>400</v>
      </c>
      <c r="E49" s="12" t="n">
        <f aca="false">E48+Cap_step*B48</f>
        <v>60</v>
      </c>
      <c r="F49" s="14" t="n">
        <f aca="false">IF(B49=1,F48+Gap_closed*(Eff_ceiling-F48),F48)</f>
        <v>83.25</v>
      </c>
      <c r="G49" s="14" t="n">
        <f aca="false">Sav_point*(F49-Eff_0)</f>
        <v>122.5</v>
      </c>
      <c r="H49" s="14" t="n">
        <f aca="false">Pledge_share*G49</f>
        <v>61.25</v>
      </c>
      <c r="I49" s="14" t="n">
        <f aca="false">D49+G49-H49</f>
        <v>461.25</v>
      </c>
      <c r="J49" s="2" t="str">
        <f aca="false">IF(AND(OR(B49=0,D49&gt;=Floor_liq-0.000000001),I49&gt;=Floor_liq-0.000000001),"yes","no")</f>
        <v>yes</v>
      </c>
      <c r="K49" s="2" t="str">
        <f aca="false">IF(OR(B49=0,E49&gt;=Cap_min),"yes","no")</f>
        <v>yes</v>
      </c>
      <c r="P49" s="2" t="s">
        <v>314</v>
      </c>
      <c r="Q49" s="2" t="str">
        <f aca="false">IF(I51&gt;=End_liq-0.000000001,"yes","no")</f>
        <v>yes</v>
      </c>
    </row>
    <row r="50" customFormat="false" ht="15" hidden="false" customHeight="false" outlineLevel="0" collapsed="false">
      <c r="A50" s="12" t="n">
        <v>5</v>
      </c>
      <c r="B50" s="12" t="n">
        <f aca="false">1</f>
        <v>1</v>
      </c>
      <c r="C50" s="14" t="n">
        <f aca="false">I49</f>
        <v>461.25</v>
      </c>
      <c r="D50" s="14" t="n">
        <f aca="false">C50-Round_cost*B50</f>
        <v>341.25</v>
      </c>
      <c r="E50" s="12" t="n">
        <f aca="false">E49+Cap_step*B49</f>
        <v>61</v>
      </c>
      <c r="F50" s="14" t="n">
        <f aca="false">IF(B50=1,F49+Gap_closed*(Eff_ceiling-F49),F49)</f>
        <v>84.125</v>
      </c>
      <c r="G50" s="14" t="n">
        <f aca="false">Sav_point*(F50-Eff_0)</f>
        <v>131.25</v>
      </c>
      <c r="H50" s="14" t="n">
        <f aca="false">Pledge_share*G50</f>
        <v>65.625</v>
      </c>
      <c r="I50" s="14" t="n">
        <f aca="false">D50+G50-H50</f>
        <v>406.875</v>
      </c>
      <c r="J50" s="2" t="str">
        <f aca="false">IF(AND(OR(B50=0,D50&gt;=Floor_liq-0.000000001),I50&gt;=Floor_liq-0.000000001),"yes","no")</f>
        <v>no</v>
      </c>
      <c r="K50" s="2" t="str">
        <f aca="false">IF(OR(B50=0,E50&gt;=Cap_min),"yes","no")</f>
        <v>yes</v>
      </c>
    </row>
    <row r="51" customFormat="false" ht="15" hidden="false" customHeight="false" outlineLevel="0" collapsed="false">
      <c r="A51" s="12" t="n">
        <v>6</v>
      </c>
      <c r="B51" s="12" t="n">
        <f aca="false">B31</f>
        <v>0</v>
      </c>
      <c r="C51" s="14" t="n">
        <f aca="false">I50</f>
        <v>406.875</v>
      </c>
      <c r="D51" s="14" t="n">
        <f aca="false">C51-Round_cost*B51</f>
        <v>406.875</v>
      </c>
      <c r="E51" s="12" t="n">
        <f aca="false">E50+Cap_step*B50</f>
        <v>62</v>
      </c>
      <c r="F51" s="14" t="n">
        <f aca="false">IF(B51=1,F50+Gap_closed*(Eff_ceiling-F50),F50)</f>
        <v>84.125</v>
      </c>
      <c r="G51" s="14" t="n">
        <f aca="false">Sav_point*(F51-Eff_0)</f>
        <v>131.25</v>
      </c>
      <c r="H51" s="14" t="n">
        <f aca="false">Pledge_share*G51</f>
        <v>65.625</v>
      </c>
      <c r="I51" s="14" t="n">
        <f aca="false">D51+G51-H51</f>
        <v>472.5</v>
      </c>
      <c r="J51" s="2" t="str">
        <f aca="false">IF(AND(OR(B51=0,D51&gt;=Floor_liq-0.000000001),I51&gt;=Floor_liq-0.000000001),"yes","no")</f>
        <v>yes</v>
      </c>
      <c r="K51" s="2" t="str">
        <f aca="false">IF(OR(B51=0,E51&gt;=Cap_min),"yes","no")</f>
        <v>yes</v>
      </c>
    </row>
    <row r="54" customFormat="false" ht="15" hidden="false" customHeight="false" outlineLevel="0" collapsed="false">
      <c r="A54" s="4" t="s">
        <v>317</v>
      </c>
    </row>
    <row r="55" customFormat="false" ht="35.05" hidden="false" customHeight="false" outlineLevel="0" collapsed="false">
      <c r="A55" s="8" t="s">
        <v>125</v>
      </c>
      <c r="B55" s="8" t="s">
        <v>126</v>
      </c>
      <c r="C55" s="8" t="s">
        <v>127</v>
      </c>
      <c r="D55" s="8" t="s">
        <v>128</v>
      </c>
      <c r="E55" s="8" t="s">
        <v>129</v>
      </c>
      <c r="F55" s="8" t="s">
        <v>130</v>
      </c>
      <c r="G55" s="8" t="s">
        <v>131</v>
      </c>
      <c r="H55" s="8" t="s">
        <v>132</v>
      </c>
      <c r="I55" s="8" t="s">
        <v>133</v>
      </c>
      <c r="J55" s="8" t="s">
        <v>134</v>
      </c>
      <c r="K55" s="8" t="s">
        <v>135</v>
      </c>
    </row>
    <row r="56" customFormat="false" ht="15" hidden="false" customHeight="false" outlineLevel="0" collapsed="false">
      <c r="A56" s="12" t="n">
        <v>1</v>
      </c>
      <c r="B56" s="12" t="n">
        <f aca="false">B26</f>
        <v>1</v>
      </c>
      <c r="C56" s="14" t="n">
        <f aca="false">Liq_0</f>
        <v>620</v>
      </c>
      <c r="D56" s="14" t="n">
        <f aca="false">C56-Round_cost*B56</f>
        <v>500</v>
      </c>
      <c r="E56" s="12" t="n">
        <f aca="false">Cap_0</f>
        <v>58</v>
      </c>
      <c r="F56" s="14" t="n">
        <f aca="false">IF(B56=1,Eff_0+Gap_closed*(Eff_ceiling-Eff_0),Eff_0)</f>
        <v>78</v>
      </c>
      <c r="G56" s="14" t="n">
        <f aca="false">Sav_point*(F56-Eff_0)</f>
        <v>70</v>
      </c>
      <c r="H56" s="14" t="n">
        <f aca="false">Pledge_share*G56</f>
        <v>35</v>
      </c>
      <c r="I56" s="14" t="n">
        <f aca="false">D56+G56-H56</f>
        <v>535</v>
      </c>
      <c r="J56" s="2" t="str">
        <f aca="false">IF(AND(OR(B56=0,D56&gt;=Floor_liq-0.000000001),I56&gt;=Floor_liq-0.000000001),"yes","no")</f>
        <v>yes</v>
      </c>
      <c r="K56" s="2" t="str">
        <f aca="false">IF(OR(B56=0,E56&gt;=Cap_min),"yes","no")</f>
        <v>yes</v>
      </c>
      <c r="P56" s="2" t="s">
        <v>312</v>
      </c>
      <c r="Q56" s="12" t="n">
        <f aca="false">IF(COUNTIF(J56:J61,"no")=0,0,MATCH("no",J56:J61,0))</f>
        <v>0</v>
      </c>
    </row>
    <row r="57" customFormat="false" ht="15" hidden="false" customHeight="false" outlineLevel="0" collapsed="false">
      <c r="A57" s="12" t="n">
        <v>2</v>
      </c>
      <c r="B57" s="12" t="n">
        <f aca="false">B27</f>
        <v>1</v>
      </c>
      <c r="C57" s="14" t="n">
        <f aca="false">I56</f>
        <v>535</v>
      </c>
      <c r="D57" s="14" t="n">
        <f aca="false">C57-Round_cost*B57</f>
        <v>415</v>
      </c>
      <c r="E57" s="12" t="n">
        <f aca="false">E56+Cap_step*B56</f>
        <v>59</v>
      </c>
      <c r="F57" s="14" t="n">
        <f aca="false">IF(B57=1,F56+Gap_closed*(Eff_ceiling-F56),F56)</f>
        <v>81.5</v>
      </c>
      <c r="G57" s="14" t="n">
        <f aca="false">Sav_point*(F57-Eff_0)</f>
        <v>105</v>
      </c>
      <c r="H57" s="14" t="n">
        <f aca="false">Pledge_share*G57</f>
        <v>52.5</v>
      </c>
      <c r="I57" s="14" t="n">
        <f aca="false">D57+G57-H57</f>
        <v>467.5</v>
      </c>
      <c r="J57" s="2" t="str">
        <f aca="false">IF(AND(OR(B57=0,D57&gt;=Floor_liq-0.000000001),I57&gt;=Floor_liq-0.000000001),"yes","no")</f>
        <v>yes</v>
      </c>
      <c r="K57" s="2" t="str">
        <f aca="false">IF(OR(B57=0,E57&gt;=Cap_min),"yes","no")</f>
        <v>yes</v>
      </c>
      <c r="P57" s="2" t="s">
        <v>318</v>
      </c>
      <c r="Q57" s="14" t="n">
        <f aca="false">D61</f>
        <v>402.5</v>
      </c>
    </row>
    <row r="58" customFormat="false" ht="15" hidden="false" customHeight="false" outlineLevel="0" collapsed="false">
      <c r="A58" s="12" t="n">
        <v>3</v>
      </c>
      <c r="B58" s="12" t="n">
        <f aca="false">B28</f>
        <v>0</v>
      </c>
      <c r="C58" s="14" t="n">
        <f aca="false">I57</f>
        <v>467.5</v>
      </c>
      <c r="D58" s="14" t="n">
        <f aca="false">C58-Round_cost*B58</f>
        <v>467.5</v>
      </c>
      <c r="E58" s="12" t="n">
        <f aca="false">E57+Cap_step*B57</f>
        <v>60</v>
      </c>
      <c r="F58" s="14" t="n">
        <f aca="false">IF(B58=1,F57+Gap_closed*(Eff_ceiling-F57),F57)</f>
        <v>81.5</v>
      </c>
      <c r="G58" s="14" t="n">
        <f aca="false">Sav_point*(F58-Eff_0)</f>
        <v>105</v>
      </c>
      <c r="H58" s="14" t="n">
        <f aca="false">Pledge_share*G58</f>
        <v>52.5</v>
      </c>
      <c r="I58" s="14" t="n">
        <f aca="false">D58+G58-H58</f>
        <v>520</v>
      </c>
      <c r="J58" s="2" t="str">
        <f aca="false">IF(AND(OR(B58=0,D58&gt;=Floor_liq-0.000000001),I58&gt;=Floor_liq-0.000000001),"yes","no")</f>
        <v>yes</v>
      </c>
      <c r="K58" s="2" t="str">
        <f aca="false">IF(OR(B58=0,E58&gt;=Cap_min),"yes","no")</f>
        <v>yes</v>
      </c>
      <c r="P58" s="2" t="s">
        <v>302</v>
      </c>
      <c r="Q58" s="14" t="n">
        <f aca="false">I61</f>
        <v>468.125</v>
      </c>
    </row>
    <row r="59" customFormat="false" ht="15" hidden="false" customHeight="false" outlineLevel="0" collapsed="false">
      <c r="A59" s="12" t="n">
        <v>4</v>
      </c>
      <c r="B59" s="12" t="n">
        <f aca="false">B29</f>
        <v>1</v>
      </c>
      <c r="C59" s="14" t="n">
        <f aca="false">I58</f>
        <v>520</v>
      </c>
      <c r="D59" s="14" t="n">
        <f aca="false">C59-Round_cost*B59</f>
        <v>400</v>
      </c>
      <c r="E59" s="12" t="n">
        <f aca="false">E58+Cap_step*B58</f>
        <v>60</v>
      </c>
      <c r="F59" s="14" t="n">
        <f aca="false">IF(B59=1,F58+Gap_closed*(Eff_ceiling-F58),F58)</f>
        <v>83.25</v>
      </c>
      <c r="G59" s="14" t="n">
        <f aca="false">Sav_point*(F59-Eff_0)</f>
        <v>122.5</v>
      </c>
      <c r="H59" s="14" t="n">
        <f aca="false">Pledge_share*G59</f>
        <v>61.25</v>
      </c>
      <c r="I59" s="14" t="n">
        <f aca="false">D59+G59-H59</f>
        <v>461.25</v>
      </c>
      <c r="J59" s="2" t="str">
        <f aca="false">IF(AND(OR(B59=0,D59&gt;=Floor_liq-0.000000001),I59&gt;=Floor_liq-0.000000001),"yes","no")</f>
        <v>yes</v>
      </c>
      <c r="K59" s="2" t="str">
        <f aca="false">IF(OR(B59=0,E59&gt;=Cap_min),"yes","no")</f>
        <v>yes</v>
      </c>
      <c r="P59" s="2" t="s">
        <v>314</v>
      </c>
      <c r="Q59" s="2" t="str">
        <f aca="false">IF(I61&gt;=End_liq-0.000000001,"yes","no")</f>
        <v>no</v>
      </c>
    </row>
    <row r="60" customFormat="false" ht="15" hidden="false" customHeight="false" outlineLevel="0" collapsed="false">
      <c r="A60" s="12" t="n">
        <v>5</v>
      </c>
      <c r="B60" s="12" t="n">
        <f aca="false">B30</f>
        <v>0</v>
      </c>
      <c r="C60" s="14" t="n">
        <f aca="false">I59</f>
        <v>461.25</v>
      </c>
      <c r="D60" s="14" t="n">
        <f aca="false">C60-Round_cost*B60</f>
        <v>461.25</v>
      </c>
      <c r="E60" s="12" t="n">
        <f aca="false">E59+Cap_step*B59</f>
        <v>61</v>
      </c>
      <c r="F60" s="14" t="n">
        <f aca="false">IF(B60=1,F59+Gap_closed*(Eff_ceiling-F59),F59)</f>
        <v>83.25</v>
      </c>
      <c r="G60" s="14" t="n">
        <f aca="false">Sav_point*(F60-Eff_0)</f>
        <v>122.5</v>
      </c>
      <c r="H60" s="14" t="n">
        <f aca="false">Pledge_share*G60</f>
        <v>61.25</v>
      </c>
      <c r="I60" s="14" t="n">
        <f aca="false">D60+G60-H60</f>
        <v>522.5</v>
      </c>
      <c r="J60" s="2" t="str">
        <f aca="false">IF(AND(OR(B60=0,D60&gt;=Floor_liq-0.000000001),I60&gt;=Floor_liq-0.000000001),"yes","no")</f>
        <v>yes</v>
      </c>
      <c r="K60" s="2" t="str">
        <f aca="false">IF(OR(B60=0,E60&gt;=Cap_min),"yes","no")</f>
        <v>yes</v>
      </c>
    </row>
    <row r="61" customFormat="false" ht="15" hidden="false" customHeight="false" outlineLevel="0" collapsed="false">
      <c r="A61" s="12" t="n">
        <v>6</v>
      </c>
      <c r="B61" s="12" t="n">
        <f aca="false">1</f>
        <v>1</v>
      </c>
      <c r="C61" s="14" t="n">
        <f aca="false">I60</f>
        <v>522.5</v>
      </c>
      <c r="D61" s="14" t="n">
        <f aca="false">C61-Round_cost*B61</f>
        <v>402.5</v>
      </c>
      <c r="E61" s="12" t="n">
        <f aca="false">E60+Cap_step*B60</f>
        <v>61</v>
      </c>
      <c r="F61" s="14" t="n">
        <f aca="false">IF(B61=1,F60+Gap_closed*(Eff_ceiling-F60),F60)</f>
        <v>84.125</v>
      </c>
      <c r="G61" s="14" t="n">
        <f aca="false">Sav_point*(F61-Eff_0)</f>
        <v>131.25</v>
      </c>
      <c r="H61" s="14" t="n">
        <f aca="false">Pledge_share*G61</f>
        <v>65.625</v>
      </c>
      <c r="I61" s="14" t="n">
        <f aca="false">D61+G61-H61</f>
        <v>468.125</v>
      </c>
      <c r="J61" s="2" t="str">
        <f aca="false">IF(AND(OR(B61=0,D61&gt;=Floor_liq-0.000000001),I61&gt;=Floor_liq-0.000000001),"yes","no")</f>
        <v>yes</v>
      </c>
      <c r="K61" s="2" t="str">
        <f aca="false">IF(OR(B61=0,E61&gt;=Cap_min),"yes","no")</f>
        <v>yes</v>
      </c>
    </row>
    <row r="64" customFormat="false" ht="15" hidden="false" customHeight="false" outlineLevel="0" collapsed="false">
      <c r="A64" s="4" t="s">
        <v>319</v>
      </c>
    </row>
    <row r="65" customFormat="false" ht="35.05" hidden="false" customHeight="false" outlineLevel="0" collapsed="false">
      <c r="A65" s="8" t="s">
        <v>125</v>
      </c>
      <c r="B65" s="8" t="s">
        <v>126</v>
      </c>
      <c r="C65" s="8" t="s">
        <v>127</v>
      </c>
      <c r="D65" s="8" t="s">
        <v>128</v>
      </c>
      <c r="E65" s="8" t="s">
        <v>129</v>
      </c>
      <c r="F65" s="8" t="s">
        <v>130</v>
      </c>
      <c r="G65" s="8" t="s">
        <v>131</v>
      </c>
      <c r="H65" s="8" t="s">
        <v>132</v>
      </c>
      <c r="I65" s="8" t="s">
        <v>133</v>
      </c>
      <c r="J65" s="8" t="s">
        <v>134</v>
      </c>
      <c r="K65" s="8" t="s">
        <v>135</v>
      </c>
    </row>
    <row r="66" customFormat="false" ht="15" hidden="false" customHeight="false" outlineLevel="0" collapsed="false">
      <c r="A66" s="12" t="n">
        <v>1</v>
      </c>
      <c r="B66" s="9" t="n">
        <v>1</v>
      </c>
      <c r="C66" s="14" t="n">
        <f aca="false">Liq_0</f>
        <v>620</v>
      </c>
      <c r="D66" s="14" t="n">
        <f aca="false">C66-Round_cost*B66</f>
        <v>500</v>
      </c>
      <c r="E66" s="12" t="n">
        <f aca="false">Cap_0</f>
        <v>58</v>
      </c>
      <c r="F66" s="14" t="n">
        <f aca="false">IF(B66=1,Eff_0+Gap_closed*(Eff_ceiling-Eff_0),Eff_0)</f>
        <v>78</v>
      </c>
      <c r="G66" s="14" t="n">
        <f aca="false">Sav_point*(F66-Eff_0)</f>
        <v>70</v>
      </c>
      <c r="H66" s="14" t="n">
        <f aca="false">Pledge_share*G66</f>
        <v>35</v>
      </c>
      <c r="I66" s="14" t="n">
        <f aca="false">D66+G66-H66</f>
        <v>535</v>
      </c>
      <c r="J66" s="2" t="str">
        <f aca="false">IF(AND(OR(B66=0,D66&gt;=Floor_liq-0.000000001),I66&gt;=Floor_liq-0.000000001),"yes","no")</f>
        <v>yes</v>
      </c>
      <c r="K66" s="2" t="str">
        <f aca="false">IF(OR(B66=0,E66&gt;=Cap_min),"yes","no")</f>
        <v>yes</v>
      </c>
      <c r="P66" s="2" t="s">
        <v>320</v>
      </c>
      <c r="Q66" s="14" t="n">
        <f aca="false">MIN(D66:D71)</f>
        <v>182.1875</v>
      </c>
    </row>
    <row r="67" customFormat="false" ht="15" hidden="false" customHeight="false" outlineLevel="0" collapsed="false">
      <c r="A67" s="12" t="n">
        <v>2</v>
      </c>
      <c r="B67" s="9" t="n">
        <v>1</v>
      </c>
      <c r="C67" s="14" t="n">
        <f aca="false">I66</f>
        <v>535</v>
      </c>
      <c r="D67" s="14" t="n">
        <f aca="false">C67-Round_cost*B67</f>
        <v>415</v>
      </c>
      <c r="E67" s="12" t="n">
        <f aca="false">E66+Cap_step*B66</f>
        <v>59</v>
      </c>
      <c r="F67" s="14" t="n">
        <f aca="false">IF(B67=1,F66+Gap_closed*(Eff_ceiling-F66),F66)</f>
        <v>81.5</v>
      </c>
      <c r="G67" s="14" t="n">
        <f aca="false">Sav_point*(F67-Eff_0)</f>
        <v>105</v>
      </c>
      <c r="H67" s="14" t="n">
        <f aca="false">Pledge_share*G67</f>
        <v>52.5</v>
      </c>
      <c r="I67" s="14" t="n">
        <f aca="false">D67+G67-H67</f>
        <v>467.5</v>
      </c>
      <c r="J67" s="2" t="str">
        <f aca="false">IF(AND(OR(B67=0,D67&gt;=Floor_liq-0.000000001),I67&gt;=Floor_liq-0.000000001),"yes","no")</f>
        <v>yes</v>
      </c>
      <c r="K67" s="2" t="str">
        <f aca="false">IF(OR(B67=0,E67&gt;=Cap_min),"yes","no")</f>
        <v>yes</v>
      </c>
      <c r="P67" s="2" t="s">
        <v>300</v>
      </c>
      <c r="Q67" s="14" t="n">
        <f aca="false">SUM(H66:H71)</f>
        <v>351.09375</v>
      </c>
    </row>
    <row r="68" customFormat="false" ht="15" hidden="false" customHeight="false" outlineLevel="0" collapsed="false">
      <c r="A68" s="12" t="n">
        <v>3</v>
      </c>
      <c r="B68" s="9" t="n">
        <v>1</v>
      </c>
      <c r="C68" s="14" t="n">
        <f aca="false">I67</f>
        <v>467.5</v>
      </c>
      <c r="D68" s="14" t="n">
        <f aca="false">C68-Round_cost*B68</f>
        <v>347.5</v>
      </c>
      <c r="E68" s="12" t="n">
        <f aca="false">E67+Cap_step*B67</f>
        <v>60</v>
      </c>
      <c r="F68" s="14" t="n">
        <f aca="false">IF(B68=1,F67+Gap_closed*(Eff_ceiling-F67),F67)</f>
        <v>83.25</v>
      </c>
      <c r="G68" s="14" t="n">
        <f aca="false">Sav_point*(F68-Eff_0)</f>
        <v>122.5</v>
      </c>
      <c r="H68" s="14" t="n">
        <f aca="false">Pledge_share*G68</f>
        <v>61.25</v>
      </c>
      <c r="I68" s="14" t="n">
        <f aca="false">D68+G68-H68</f>
        <v>408.75</v>
      </c>
      <c r="J68" s="2" t="str">
        <f aca="false">IF(AND(OR(B68=0,D68&gt;=Floor_liq-0.000000001),I68&gt;=Floor_liq-0.000000001),"yes","no")</f>
        <v>no</v>
      </c>
      <c r="K68" s="2" t="str">
        <f aca="false">IF(OR(B68=0,E68&gt;=Cap_min),"yes","no")</f>
        <v>yes</v>
      </c>
      <c r="P68" s="2" t="s">
        <v>302</v>
      </c>
      <c r="Q68" s="14" t="n">
        <f aca="false">I71</f>
        <v>251.09375</v>
      </c>
    </row>
    <row r="69" customFormat="false" ht="15" hidden="false" customHeight="false" outlineLevel="0" collapsed="false">
      <c r="A69" s="12" t="n">
        <v>4</v>
      </c>
      <c r="B69" s="9" t="n">
        <v>1</v>
      </c>
      <c r="C69" s="14" t="n">
        <f aca="false">I68</f>
        <v>408.75</v>
      </c>
      <c r="D69" s="14" t="n">
        <f aca="false">C69-Round_cost*B69</f>
        <v>288.75</v>
      </c>
      <c r="E69" s="12" t="n">
        <f aca="false">E68+Cap_step*B68</f>
        <v>61</v>
      </c>
      <c r="F69" s="14" t="n">
        <f aca="false">IF(B69=1,F68+Gap_closed*(Eff_ceiling-F68),F68)</f>
        <v>84.125</v>
      </c>
      <c r="G69" s="14" t="n">
        <f aca="false">Sav_point*(F69-Eff_0)</f>
        <v>131.25</v>
      </c>
      <c r="H69" s="14" t="n">
        <f aca="false">Pledge_share*G69</f>
        <v>65.625</v>
      </c>
      <c r="I69" s="14" t="n">
        <f aca="false">D69+G69-H69</f>
        <v>354.375</v>
      </c>
      <c r="J69" s="2" t="str">
        <f aca="false">IF(AND(OR(B69=0,D69&gt;=Floor_liq-0.000000001),I69&gt;=Floor_liq-0.000000001),"yes","no")</f>
        <v>no</v>
      </c>
      <c r="K69" s="2" t="str">
        <f aca="false">IF(OR(B69=0,E69&gt;=Cap_min),"yes","no")</f>
        <v>yes</v>
      </c>
    </row>
    <row r="70" customFormat="false" ht="15" hidden="false" customHeight="false" outlineLevel="0" collapsed="false">
      <c r="A70" s="12" t="n">
        <v>5</v>
      </c>
      <c r="B70" s="9" t="n">
        <v>1</v>
      </c>
      <c r="C70" s="14" t="n">
        <f aca="false">I69</f>
        <v>354.375</v>
      </c>
      <c r="D70" s="14" t="n">
        <f aca="false">C70-Round_cost*B70</f>
        <v>234.375</v>
      </c>
      <c r="E70" s="12" t="n">
        <f aca="false">E69+Cap_step*B69</f>
        <v>62</v>
      </c>
      <c r="F70" s="14" t="n">
        <f aca="false">IF(B70=1,F69+Gap_closed*(Eff_ceiling-F69),F69)</f>
        <v>84.5625</v>
      </c>
      <c r="G70" s="14" t="n">
        <f aca="false">Sav_point*(F70-Eff_0)</f>
        <v>135.625</v>
      </c>
      <c r="H70" s="14" t="n">
        <f aca="false">Pledge_share*G70</f>
        <v>67.8125</v>
      </c>
      <c r="I70" s="14" t="n">
        <f aca="false">D70+G70-H70</f>
        <v>302.1875</v>
      </c>
      <c r="J70" s="2" t="str">
        <f aca="false">IF(AND(OR(B70=0,D70&gt;=Floor_liq-0.000000001),I70&gt;=Floor_liq-0.000000001),"yes","no")</f>
        <v>no</v>
      </c>
      <c r="K70" s="2" t="str">
        <f aca="false">IF(OR(B70=0,E70&gt;=Cap_min),"yes","no")</f>
        <v>yes</v>
      </c>
    </row>
    <row r="71" customFormat="false" ht="15" hidden="false" customHeight="false" outlineLevel="0" collapsed="false">
      <c r="A71" s="12" t="n">
        <v>6</v>
      </c>
      <c r="B71" s="9" t="n">
        <v>1</v>
      </c>
      <c r="C71" s="14" t="n">
        <f aca="false">I70</f>
        <v>302.1875</v>
      </c>
      <c r="D71" s="14" t="n">
        <f aca="false">C71-Round_cost*B71</f>
        <v>182.1875</v>
      </c>
      <c r="E71" s="12" t="n">
        <f aca="false">E70+Cap_step*B70</f>
        <v>63</v>
      </c>
      <c r="F71" s="14" t="n">
        <f aca="false">IF(B71=1,F70+Gap_closed*(Eff_ceiling-F70),F70)</f>
        <v>84.78125</v>
      </c>
      <c r="G71" s="14" t="n">
        <f aca="false">Sav_point*(F71-Eff_0)</f>
        <v>137.8125</v>
      </c>
      <c r="H71" s="14" t="n">
        <f aca="false">Pledge_share*G71</f>
        <v>68.90625</v>
      </c>
      <c r="I71" s="14" t="n">
        <f aca="false">D71+G71-H71</f>
        <v>251.09375</v>
      </c>
      <c r="J71" s="2" t="str">
        <f aca="false">IF(AND(OR(B71=0,D71&gt;=Floor_liq-0.000000001),I71&gt;=Floor_liq-0.000000001),"yes","no")</f>
        <v>no</v>
      </c>
      <c r="K71" s="2" t="str">
        <f aca="false">IF(OR(B71=0,E71&gt;=Cap_min),"yes","no")</f>
        <v>yes</v>
      </c>
    </row>
    <row r="74" customFormat="false" ht="15" hidden="false" customHeight="false" outlineLevel="0" collapsed="false">
      <c r="A74" s="4" t="s">
        <v>321</v>
      </c>
    </row>
    <row r="75" customFormat="false" ht="15" hidden="false" customHeight="false" outlineLevel="0" collapsed="false">
      <c r="A75" s="8" t="s">
        <v>105</v>
      </c>
      <c r="B75" s="8"/>
      <c r="C75" s="8" t="s">
        <v>106</v>
      </c>
      <c r="D75" s="8" t="s">
        <v>107</v>
      </c>
      <c r="E75" s="8" t="s">
        <v>108</v>
      </c>
      <c r="F75" s="8" t="s">
        <v>109</v>
      </c>
      <c r="G75" s="8" t="s">
        <v>110</v>
      </c>
      <c r="H75" s="8" t="s">
        <v>111</v>
      </c>
    </row>
    <row r="76" customFormat="false" ht="15" hidden="false" customHeight="false" outlineLevel="0" collapsed="false">
      <c r="A76" s="2" t="s">
        <v>322</v>
      </c>
      <c r="C76" s="16" t="n">
        <f aca="false">F16</f>
        <v>78</v>
      </c>
      <c r="D76" s="16" t="n">
        <f aca="false">F17</f>
        <v>81.5</v>
      </c>
      <c r="E76" s="16" t="n">
        <f aca="false">F18</f>
        <v>83.25</v>
      </c>
      <c r="F76" s="16" t="n">
        <f aca="false">F19</f>
        <v>84.125</v>
      </c>
      <c r="G76" s="16" t="n">
        <f aca="false">F20</f>
        <v>84.5625</v>
      </c>
      <c r="H76" s="16" t="n">
        <f aca="false">F21</f>
        <v>84.78125</v>
      </c>
    </row>
    <row r="77" customFormat="false" ht="15" hidden="false" customHeight="false" outlineLevel="0" collapsed="false">
      <c r="A77" s="2" t="s">
        <v>323</v>
      </c>
      <c r="C77" s="15" t="n">
        <f aca="false">G16</f>
        <v>70</v>
      </c>
      <c r="D77" s="15" t="n">
        <f aca="false">G17</f>
        <v>105</v>
      </c>
      <c r="E77" s="15" t="n">
        <f aca="false">G18</f>
        <v>122.5</v>
      </c>
      <c r="F77" s="15" t="n">
        <f aca="false">G19</f>
        <v>131.25</v>
      </c>
      <c r="G77" s="15" t="n">
        <f aca="false">G20</f>
        <v>135.625</v>
      </c>
      <c r="H77" s="15" t="n">
        <f aca="false">G21</f>
        <v>137.8125</v>
      </c>
    </row>
    <row r="78" customFormat="false" ht="15" hidden="false" customHeight="false" outlineLevel="0" collapsed="false">
      <c r="A78" s="2" t="s">
        <v>324</v>
      </c>
      <c r="C78" s="15" t="n">
        <f aca="false">H16</f>
        <v>13.1775700934579</v>
      </c>
      <c r="D78" s="15" t="n">
        <f aca="false">H17</f>
        <v>19.7663551401869</v>
      </c>
      <c r="E78" s="15" t="n">
        <f aca="false">H18</f>
        <v>23.0607476635514</v>
      </c>
      <c r="F78" s="15" t="n">
        <f aca="false">H19</f>
        <v>24.7079439252336</v>
      </c>
      <c r="G78" s="15" t="n">
        <f aca="false">H20</f>
        <v>25.5315420560748</v>
      </c>
      <c r="H78" s="15" t="n">
        <f aca="false">H21</f>
        <v>25.9433411214953</v>
      </c>
    </row>
    <row r="79" customFormat="false" ht="15" hidden="false" customHeight="false" outlineLevel="0" collapsed="false">
      <c r="A79" s="2" t="s">
        <v>325</v>
      </c>
      <c r="C79" s="15" t="n">
        <f aca="false">I16</f>
        <v>556.822429906542</v>
      </c>
      <c r="D79" s="15" t="n">
        <f aca="false">I17</f>
        <v>522.056074766355</v>
      </c>
      <c r="E79" s="15" t="n">
        <f aca="false">I18</f>
        <v>501.495327102804</v>
      </c>
      <c r="F79" s="15" t="n">
        <f aca="false">I19</f>
        <v>488.03738317757</v>
      </c>
      <c r="G79" s="15" t="n">
        <f aca="false">I20</f>
        <v>478.130841121495</v>
      </c>
      <c r="H79" s="15" t="n">
        <f aca="false">I21</f>
        <v>470</v>
      </c>
    </row>
    <row r="80" customFormat="false" ht="15" hidden="false" customHeight="false" outlineLevel="0" collapsed="false">
      <c r="A80" s="2" t="s">
        <v>326</v>
      </c>
      <c r="C80" s="12" t="n">
        <f aca="false">B26</f>
        <v>1</v>
      </c>
      <c r="D80" s="12" t="n">
        <f aca="false">B27</f>
        <v>1</v>
      </c>
      <c r="E80" s="12" t="n">
        <f aca="false">B28</f>
        <v>0</v>
      </c>
      <c r="F80" s="12" t="n">
        <f aca="false">B29</f>
        <v>1</v>
      </c>
      <c r="G80" s="12" t="n">
        <f aca="false">B30</f>
        <v>0</v>
      </c>
      <c r="H80" s="12" t="n">
        <f aca="false">B31</f>
        <v>0</v>
      </c>
    </row>
    <row r="81" customFormat="false" ht="15" hidden="false" customHeight="false" outlineLevel="0" collapsed="false">
      <c r="A81" s="2" t="s">
        <v>327</v>
      </c>
      <c r="C81" s="15" t="n">
        <f aca="false">G26</f>
        <v>70</v>
      </c>
      <c r="D81" s="15" t="n">
        <f aca="false">G27</f>
        <v>105</v>
      </c>
      <c r="E81" s="15" t="n">
        <f aca="false">G28</f>
        <v>105</v>
      </c>
      <c r="F81" s="15" t="n">
        <f aca="false">G29</f>
        <v>122.5</v>
      </c>
      <c r="G81" s="15" t="n">
        <f aca="false">G30</f>
        <v>122.5</v>
      </c>
      <c r="H81" s="15" t="n">
        <f aca="false">G31</f>
        <v>122.5</v>
      </c>
    </row>
    <row r="82" customFormat="false" ht="15" hidden="false" customHeight="false" outlineLevel="0" collapsed="false">
      <c r="A82" s="2" t="s">
        <v>328</v>
      </c>
      <c r="C82" s="15" t="n">
        <f aca="false">I26</f>
        <v>535</v>
      </c>
      <c r="D82" s="15" t="n">
        <f aca="false">I27</f>
        <v>467.5</v>
      </c>
      <c r="E82" s="15" t="n">
        <f aca="false">I28</f>
        <v>520</v>
      </c>
      <c r="F82" s="15" t="n">
        <f aca="false">I29</f>
        <v>461.25</v>
      </c>
      <c r="G82" s="15" t="n">
        <f aca="false">I30</f>
        <v>522.5</v>
      </c>
      <c r="H82" s="15" t="n">
        <f aca="false">I31</f>
        <v>583.75</v>
      </c>
    </row>
    <row r="83" customFormat="false" ht="15" hidden="false" customHeight="false" outlineLevel="0" collapsed="false">
      <c r="A83" s="2" t="s">
        <v>329</v>
      </c>
      <c r="C83" s="15" t="n">
        <f aca="false">I66</f>
        <v>535</v>
      </c>
      <c r="D83" s="15" t="n">
        <f aca="false">I67</f>
        <v>467.5</v>
      </c>
      <c r="E83" s="15" t="n">
        <f aca="false">I68</f>
        <v>408.75</v>
      </c>
      <c r="F83" s="15" t="n">
        <f aca="false">I69</f>
        <v>354.375</v>
      </c>
      <c r="G83" s="15" t="n">
        <f aca="false">I70</f>
        <v>302.1875</v>
      </c>
      <c r="H83" s="15" t="n">
        <f aca="false">I71</f>
        <v>251.09375</v>
      </c>
    </row>
    <row r="86" customFormat="false" ht="15" hidden="false" customHeight="false" outlineLevel="0" collapsed="false">
      <c r="A86" s="4" t="s">
        <v>330</v>
      </c>
    </row>
    <row r="87" customFormat="false" ht="23.85" hidden="false" customHeight="false" outlineLevel="0" collapsed="false">
      <c r="A87" s="8" t="s">
        <v>104</v>
      </c>
      <c r="B87" s="8"/>
      <c r="C87" s="8" t="s">
        <v>169</v>
      </c>
      <c r="D87" s="8" t="s">
        <v>132</v>
      </c>
      <c r="E87" s="8" t="s">
        <v>176</v>
      </c>
      <c r="F87" s="8" t="s">
        <v>331</v>
      </c>
      <c r="G87" s="8" t="s">
        <v>332</v>
      </c>
    </row>
    <row r="88" customFormat="false" ht="15" hidden="false" customHeight="false" outlineLevel="0" collapsed="false">
      <c r="A88" s="2" t="s">
        <v>333</v>
      </c>
      <c r="C88" s="2" t="str">
        <f aca="false">"two, then blocked"</f>
        <v>two, then blocked</v>
      </c>
      <c r="D88" s="2" t="s">
        <v>82</v>
      </c>
      <c r="E88" s="2" t="s">
        <v>82</v>
      </c>
      <c r="F88" s="2" t="s">
        <v>82</v>
      </c>
      <c r="G88" s="2" t="str">
        <f aca="false">"dies in year "&amp;JointPlan!N9</f>
        <v>dies in year 3</v>
      </c>
    </row>
    <row r="89" customFormat="false" ht="15" hidden="false" customHeight="false" outlineLevel="0" collapsed="false">
      <c r="A89" s="2" t="s">
        <v>334</v>
      </c>
      <c r="C89" s="2" t="str">
        <f aca="false">"six"</f>
        <v>six</v>
      </c>
      <c r="D89" s="15" t="n">
        <f aca="false">Q16</f>
        <v>132.1875</v>
      </c>
      <c r="E89" s="16" t="n">
        <f aca="false">Q17</f>
        <v>84.78125</v>
      </c>
      <c r="F89" s="15" t="n">
        <f aca="false">Q18</f>
        <v>470</v>
      </c>
      <c r="G89" s="2" t="str">
        <f aca="false">"half payout"</f>
        <v>half payout</v>
      </c>
    </row>
    <row r="90" customFormat="false" ht="15" hidden="false" customHeight="false" outlineLevel="0" collapsed="false">
      <c r="A90" s="2" t="s">
        <v>335</v>
      </c>
      <c r="C90" s="2" t="str">
        <f aca="false">"years "&amp;MID(IF(B26=1,", 1","")&amp;IF(B27=1,", 2","")&amp;IF(B28=1,", 3","")&amp;IF(B29=1,", 4","")&amp;IF(B30=1,", 5","")&amp;IF(B31=1,", 6",""),3,50)</f>
        <v>years 1, 2, 4</v>
      </c>
      <c r="D90" s="15" t="n">
        <f aca="false">Q28</f>
        <v>323.75</v>
      </c>
      <c r="E90" s="16" t="n">
        <f aca="false">Q30</f>
        <v>83.25</v>
      </c>
      <c r="F90" s="15" t="n">
        <f aca="false">Q31</f>
        <v>583.75</v>
      </c>
      <c r="G90" s="2" t="str">
        <f aca="false">"six rounds"</f>
        <v>six rounds</v>
      </c>
    </row>
    <row r="91" customFormat="false" ht="15" hidden="false" customHeight="false" outlineLevel="0" collapsed="false">
      <c r="A91" s="2" t="s">
        <v>336</v>
      </c>
      <c r="C91" s="2" t="str">
        <f aca="false">"six"</f>
        <v>six</v>
      </c>
      <c r="D91" s="15" t="n">
        <f aca="false">Q67</f>
        <v>351.09375</v>
      </c>
      <c r="E91" s="16" t="n">
        <f aca="false">F71</f>
        <v>84.78125</v>
      </c>
      <c r="F91" s="15" t="n">
        <f aca="false">Q68</f>
        <v>251.09375</v>
      </c>
      <c r="G91" s="2" t="str">
        <f aca="false">"floor and end"</f>
        <v>floor and end</v>
      </c>
    </row>
    <row r="92" customFormat="false" ht="15" hidden="false" customHeight="false" outlineLevel="0" collapsed="false">
      <c r="A92" s="2" t="s">
        <v>337</v>
      </c>
      <c r="C92" s="2" t="str">
        <f aca="false">IF(Optimizer!I5=1,"years 1–"&amp;Optimizer!G5,Optimizer!D5)</f>
        <v>years 1–2</v>
      </c>
      <c r="D92" s="15" t="n">
        <f aca="false">Optimizer!E5</f>
        <v>505</v>
      </c>
      <c r="E92" s="16" t="n">
        <f aca="false">Optimizer!H5</f>
        <v>81.5</v>
      </c>
      <c r="F92" s="15" t="n">
        <f aca="false">End_liq</f>
        <v>470</v>
      </c>
      <c r="G92" s="2" t="str">
        <f aca="false">"both pledges"</f>
        <v>both pledges</v>
      </c>
    </row>
    <row r="93" customFormat="false" ht="15" hidden="false" customHeight="false" outlineLevel="0" collapsed="false">
      <c r="A93" s="2" t="s">
        <v>338</v>
      </c>
      <c r="C93" s="2" t="str">
        <f aca="false">IF(Optimizer!I7=1,"years 1–"&amp;Optimizer!G7,Optimizer!D7)</f>
        <v>years 1–3</v>
      </c>
      <c r="D93" s="15" t="n">
        <f aca="false">Optimizer!E7</f>
        <v>455</v>
      </c>
      <c r="E93" s="16" t="n">
        <f aca="false">Optimizer!H7</f>
        <v>83.25</v>
      </c>
      <c r="F93" s="15" t="n">
        <f aca="false">End_liq</f>
        <v>470</v>
      </c>
      <c r="G93" s="2" t="str">
        <f aca="false">"both pledges"</f>
        <v>both pledges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1" min="11" style="0" width="58"/>
    <col collapsed="false" customWidth="true" hidden="false" outlineLevel="0" max="13" min="12" style="0" width="16"/>
  </cols>
  <sheetData>
    <row r="1" customFormat="false" ht="15" hidden="false" customHeight="false" outlineLevel="0" collapsed="false">
      <c r="A1" s="1" t="s">
        <v>339</v>
      </c>
    </row>
    <row r="2" customFormat="false" ht="15" hidden="false" customHeight="false" outlineLevel="0" collapsed="false">
      <c r="A2" s="10" t="s">
        <v>340</v>
      </c>
    </row>
    <row r="4" customFormat="false" ht="23.85" hidden="false" customHeight="false" outlineLevel="0" collapsed="false">
      <c r="A4" s="8" t="s">
        <v>341</v>
      </c>
      <c r="B4" s="8" t="s">
        <v>342</v>
      </c>
      <c r="C4" s="8" t="s">
        <v>343</v>
      </c>
      <c r="D4" s="8" t="s">
        <v>170</v>
      </c>
      <c r="E4" s="8" t="s">
        <v>344</v>
      </c>
      <c r="F4" s="8" t="s">
        <v>217</v>
      </c>
      <c r="G4" s="8" t="s">
        <v>169</v>
      </c>
      <c r="H4" s="8" t="s">
        <v>176</v>
      </c>
      <c r="I4" s="8" t="s">
        <v>345</v>
      </c>
    </row>
    <row r="5" customFormat="false" ht="15" hidden="false" customHeight="false" outlineLevel="0" collapsed="false">
      <c r="A5" s="22" t="n">
        <f aca="false">Schedules!BG4</f>
        <v>0</v>
      </c>
      <c r="B5" s="16" t="n">
        <f aca="false">MAX(Sch_v0)</f>
        <v>505</v>
      </c>
      <c r="C5" s="12" t="n">
        <f aca="false">MATCH(B5,Sch_v0,0)</f>
        <v>49</v>
      </c>
      <c r="D5" s="12" t="n">
        <f aca="false">INDEX(Sch_years,C5)</f>
        <v>12</v>
      </c>
      <c r="E5" s="16" t="n">
        <f aca="false">INDEX(Sch_best,C5)</f>
        <v>505</v>
      </c>
      <c r="F5" s="14" t="n">
        <f aca="false">INDEX(Sch_s6,C5)</f>
        <v>105</v>
      </c>
      <c r="G5" s="12" t="n">
        <f aca="false">INDEX(Sch_rounds,C5)</f>
        <v>2</v>
      </c>
      <c r="H5" s="16" t="n">
        <f aca="false">INDEX(Sch_eff6,C5)</f>
        <v>81.5</v>
      </c>
      <c r="I5" s="12" t="n">
        <f aca="false">INDEX(Sch_early,C5)</f>
        <v>1</v>
      </c>
    </row>
    <row r="6" customFormat="false" ht="15" hidden="false" customHeight="false" outlineLevel="0" collapsed="false">
      <c r="A6" s="22" t="n">
        <f aca="false">Schedules!BH4</f>
        <v>5</v>
      </c>
      <c r="B6" s="16" t="n">
        <f aca="false">MAX(Sch_v5)</f>
        <v>1067.5</v>
      </c>
      <c r="C6" s="12" t="n">
        <f aca="false">MATCH(B6,Sch_v5,0)</f>
        <v>57</v>
      </c>
      <c r="D6" s="12" t="n">
        <f aca="false">INDEX(Sch_years,C6)</f>
        <v>123</v>
      </c>
      <c r="E6" s="16" t="n">
        <f aca="false">INDEX(Sch_best,C6)</f>
        <v>455</v>
      </c>
      <c r="F6" s="14" t="n">
        <f aca="false">INDEX(Sch_s6,C6)</f>
        <v>122.5</v>
      </c>
      <c r="G6" s="12" t="n">
        <f aca="false">INDEX(Sch_rounds,C6)</f>
        <v>3</v>
      </c>
      <c r="H6" s="16" t="n">
        <f aca="false">INDEX(Sch_eff6,C6)</f>
        <v>83.25</v>
      </c>
      <c r="I6" s="12" t="n">
        <f aca="false">INDEX(Sch_early,C6)</f>
        <v>1</v>
      </c>
    </row>
    <row r="7" customFormat="false" ht="15" hidden="false" customHeight="false" outlineLevel="0" collapsed="false">
      <c r="A7" s="22" t="n">
        <f aca="false">Schedules!BI4</f>
        <v>10</v>
      </c>
      <c r="B7" s="16" t="n">
        <f aca="false">MAX(Sch_v10)</f>
        <v>1680</v>
      </c>
      <c r="C7" s="12" t="n">
        <f aca="false">MATCH(B7,Sch_v10,0)</f>
        <v>57</v>
      </c>
      <c r="D7" s="12" t="n">
        <f aca="false">INDEX(Sch_years,C7)</f>
        <v>123</v>
      </c>
      <c r="E7" s="16" t="n">
        <f aca="false">INDEX(Sch_best,C7)</f>
        <v>455</v>
      </c>
      <c r="F7" s="14" t="n">
        <f aca="false">INDEX(Sch_s6,C7)</f>
        <v>122.5</v>
      </c>
      <c r="G7" s="12" t="n">
        <f aca="false">INDEX(Sch_rounds,C7)</f>
        <v>3</v>
      </c>
      <c r="H7" s="16" t="n">
        <f aca="false">INDEX(Sch_eff6,C7)</f>
        <v>83.25</v>
      </c>
      <c r="I7" s="12" t="n">
        <f aca="false">INDEX(Sch_early,C7)</f>
        <v>1</v>
      </c>
    </row>
    <row r="8" customFormat="false" ht="15" hidden="false" customHeight="false" outlineLevel="0" collapsed="false">
      <c r="A8" s="22" t="n">
        <f aca="false">Schedules!BJ4</f>
        <v>20</v>
      </c>
      <c r="B8" s="16" t="n">
        <f aca="false">MAX(Sch_v20)</f>
        <v>2986.25</v>
      </c>
      <c r="C8" s="12" t="n">
        <f aca="false">MATCH(B8,Sch_v20,0)</f>
        <v>61</v>
      </c>
      <c r="D8" s="12" t="n">
        <f aca="false">INDEX(Sch_years,C8)</f>
        <v>1234</v>
      </c>
      <c r="E8" s="16" t="n">
        <f aca="false">INDEX(Sch_best,C8)</f>
        <v>361.25</v>
      </c>
      <c r="F8" s="14" t="n">
        <f aca="false">INDEX(Sch_s6,C8)</f>
        <v>131.25</v>
      </c>
      <c r="G8" s="12" t="n">
        <f aca="false">INDEX(Sch_rounds,C8)</f>
        <v>4</v>
      </c>
      <c r="H8" s="16" t="n">
        <f aca="false">INDEX(Sch_eff6,C8)</f>
        <v>84.125</v>
      </c>
      <c r="I8" s="12" t="n">
        <f aca="false">INDEX(Sch_early,C8)</f>
        <v>1</v>
      </c>
    </row>
    <row r="9" customFormat="false" ht="15" hidden="false" customHeight="false" outlineLevel="0" collapsed="false">
      <c r="A9" s="22" t="n">
        <f aca="false">Schedules!BK4</f>
        <v>40</v>
      </c>
      <c r="B9" s="16" t="n">
        <f aca="false">MAX(Sch_v40)</f>
        <v>5675</v>
      </c>
      <c r="C9" s="12" t="n">
        <f aca="false">MATCH(B9,Sch_v40,0)</f>
        <v>63</v>
      </c>
      <c r="D9" s="12" t="n">
        <f aca="false">INDEX(Sch_years,C9)</f>
        <v>12345</v>
      </c>
      <c r="E9" s="16" t="n">
        <f aca="false">INDEX(Sch_best,C9)</f>
        <v>250</v>
      </c>
      <c r="F9" s="14" t="n">
        <f aca="false">INDEX(Sch_s6,C9)</f>
        <v>135.625</v>
      </c>
      <c r="G9" s="12" t="n">
        <f aca="false">INDEX(Sch_rounds,C9)</f>
        <v>5</v>
      </c>
      <c r="H9" s="16" t="n">
        <f aca="false">INDEX(Sch_eff6,C9)</f>
        <v>84.5625</v>
      </c>
      <c r="I9" s="12" t="n">
        <f aca="false">INDEX(Sch_early,C9)</f>
        <v>1</v>
      </c>
    </row>
    <row r="10" customFormat="false" ht="15" hidden="false" customHeight="false" outlineLevel="0" collapsed="false">
      <c r="A10" s="22" t="n">
        <f aca="false">Schedules!BL4</f>
        <v>60</v>
      </c>
      <c r="B10" s="16" t="n">
        <f aca="false">MAX(Sch_v60)</f>
        <v>8400.9375</v>
      </c>
      <c r="C10" s="12" t="n">
        <f aca="false">MATCH(B10,Sch_v60,0)</f>
        <v>64</v>
      </c>
      <c r="D10" s="12" t="n">
        <f aca="false">INDEX(Sch_years,C10)</f>
        <v>123456</v>
      </c>
      <c r="E10" s="16" t="n">
        <f aca="false">INDEX(Sch_best,C10)</f>
        <v>132.1875</v>
      </c>
      <c r="F10" s="14" t="n">
        <f aca="false">INDEX(Sch_s6,C10)</f>
        <v>137.8125</v>
      </c>
      <c r="G10" s="12" t="n">
        <f aca="false">INDEX(Sch_rounds,C10)</f>
        <v>6</v>
      </c>
      <c r="H10" s="16" t="n">
        <f aca="false">INDEX(Sch_eff6,C10)</f>
        <v>84.78125</v>
      </c>
      <c r="I10" s="12" t="n">
        <f aca="false">INDEX(Sch_early,C10)</f>
        <v>1</v>
      </c>
    </row>
    <row r="12" customFormat="false" ht="15" hidden="false" customHeight="false" outlineLevel="0" collapsed="false">
      <c r="A12" s="2" t="s">
        <v>346</v>
      </c>
      <c r="I12" s="12" t="n">
        <f aca="false">SUM(I5:I10)</f>
        <v>6</v>
      </c>
    </row>
    <row r="14" customFormat="false" ht="46.25" hidden="false" customHeight="false" outlineLevel="0" collapsed="false">
      <c r="A14" s="8" t="s">
        <v>347</v>
      </c>
      <c r="B14" s="8" t="s">
        <v>343</v>
      </c>
      <c r="C14" s="8" t="s">
        <v>348</v>
      </c>
      <c r="D14" s="8" t="s">
        <v>217</v>
      </c>
      <c r="E14" s="8" t="s">
        <v>344</v>
      </c>
      <c r="F14" s="8" t="s">
        <v>349</v>
      </c>
      <c r="K14" s="8" t="s">
        <v>169</v>
      </c>
      <c r="L14" s="8" t="s">
        <v>350</v>
      </c>
    </row>
    <row r="15" customFormat="false" ht="15" hidden="false" customHeight="false" outlineLevel="0" collapsed="false">
      <c r="A15" s="12" t="n">
        <v>0</v>
      </c>
      <c r="B15" s="12" t="n">
        <f aca="false">64-2^(6-A15)+1</f>
        <v>1</v>
      </c>
      <c r="C15" s="20" t="n">
        <f aca="false">INDEX(Sch_net,B15)</f>
        <v>620</v>
      </c>
      <c r="D15" s="20" t="n">
        <f aca="false">INDEX(Sch_s6,B15)</f>
        <v>0</v>
      </c>
      <c r="E15" s="16" t="n">
        <f aca="false">C15-End_liq</f>
        <v>150</v>
      </c>
      <c r="F15" s="20" t="n">
        <f aca="false">(C15-C16)/(D16-D15)</f>
        <v>-4.28571428571429</v>
      </c>
      <c r="K15" s="12" t="n">
        <v>3</v>
      </c>
      <c r="L15" s="15" t="n">
        <f aca="false">_xlfn.MINIFS($A$28:$A$148,$I$28:$I$148,K15)</f>
        <v>3</v>
      </c>
    </row>
    <row r="16" customFormat="false" ht="15" hidden="false" customHeight="false" outlineLevel="0" collapsed="false">
      <c r="A16" s="12" t="n">
        <v>1</v>
      </c>
      <c r="B16" s="12" t="n">
        <f aca="false">64-2^(6-A16)+1</f>
        <v>33</v>
      </c>
      <c r="C16" s="20" t="n">
        <f aca="false">INDEX(Sch_net,B16)</f>
        <v>920</v>
      </c>
      <c r="D16" s="20" t="n">
        <f aca="false">INDEX(Sch_s6,B16)</f>
        <v>70</v>
      </c>
      <c r="E16" s="16" t="n">
        <f aca="false">C16-End_liq</f>
        <v>450</v>
      </c>
      <c r="F16" s="20" t="n">
        <f aca="false">(C16-C17)/(D17-D16)</f>
        <v>-1.57142857142857</v>
      </c>
      <c r="K16" s="12" t="n">
        <v>4</v>
      </c>
      <c r="L16" s="15" t="n">
        <f aca="false">_xlfn.MINIFS($A$28:$A$148,$I$28:$I$148,K16)</f>
        <v>11</v>
      </c>
    </row>
    <row r="17" customFormat="false" ht="15" hidden="false" customHeight="false" outlineLevel="0" collapsed="false">
      <c r="A17" s="12" t="n">
        <v>2</v>
      </c>
      <c r="B17" s="12" t="n">
        <f aca="false">64-2^(6-A17)+1</f>
        <v>49</v>
      </c>
      <c r="C17" s="20" t="n">
        <f aca="false">INDEX(Sch_net,B17)</f>
        <v>975</v>
      </c>
      <c r="D17" s="20" t="n">
        <f aca="false">INDEX(Sch_s6,B17)</f>
        <v>105</v>
      </c>
      <c r="E17" s="16" t="n">
        <f aca="false">C17-End_liq</f>
        <v>505</v>
      </c>
      <c r="F17" s="20" t="n">
        <f aca="false">(C17-C18)/(D18-D17)</f>
        <v>2.85714285714286</v>
      </c>
      <c r="K17" s="12" t="n">
        <v>5</v>
      </c>
      <c r="L17" s="15" t="n">
        <f aca="false">_xlfn.MINIFS($A$28:$A$148,$I$28:$I$148,K17)</f>
        <v>25.5</v>
      </c>
    </row>
    <row r="18" customFormat="false" ht="15" hidden="false" customHeight="false" outlineLevel="0" collapsed="false">
      <c r="A18" s="12" t="n">
        <v>3</v>
      </c>
      <c r="B18" s="12" t="n">
        <f aca="false">64-2^(6-A18)+1</f>
        <v>57</v>
      </c>
      <c r="C18" s="20" t="n">
        <f aca="false">INDEX(Sch_net,B18)</f>
        <v>925</v>
      </c>
      <c r="D18" s="20" t="n">
        <f aca="false">INDEX(Sch_s6,B18)</f>
        <v>122.5</v>
      </c>
      <c r="E18" s="16" t="n">
        <f aca="false">C18-End_liq</f>
        <v>455</v>
      </c>
      <c r="F18" s="20" t="n">
        <f aca="false">(C18-C19)/(D19-D18)</f>
        <v>10.7142857142857</v>
      </c>
      <c r="K18" s="12" t="n">
        <v>6</v>
      </c>
      <c r="L18" s="15" t="n">
        <f aca="false">_xlfn.MINIFS($A$28:$A$148,$I$28:$I$148,K18)</f>
        <v>54</v>
      </c>
    </row>
    <row r="19" customFormat="false" ht="15" hidden="false" customHeight="false" outlineLevel="0" collapsed="false">
      <c r="A19" s="12" t="n">
        <v>4</v>
      </c>
      <c r="B19" s="12" t="n">
        <f aca="false">64-2^(6-A19)+1</f>
        <v>61</v>
      </c>
      <c r="C19" s="20" t="n">
        <f aca="false">INDEX(Sch_net,B19)</f>
        <v>831.25</v>
      </c>
      <c r="D19" s="20" t="n">
        <f aca="false">INDEX(Sch_s6,B19)</f>
        <v>131.25</v>
      </c>
      <c r="E19" s="16" t="n">
        <f aca="false">C19-End_liq</f>
        <v>361.25</v>
      </c>
      <c r="F19" s="20" t="n">
        <f aca="false">(C19-C20)/(D20-D19)</f>
        <v>25.4285714285714</v>
      </c>
    </row>
    <row r="20" customFormat="false" ht="15" hidden="false" customHeight="false" outlineLevel="0" collapsed="false">
      <c r="A20" s="12" t="n">
        <v>5</v>
      </c>
      <c r="B20" s="12" t="n">
        <f aca="false">64-2^(6-A20)+1</f>
        <v>63</v>
      </c>
      <c r="C20" s="20" t="n">
        <f aca="false">INDEX(Sch_net,B20)</f>
        <v>720</v>
      </c>
      <c r="D20" s="20" t="n">
        <f aca="false">INDEX(Sch_s6,B20)</f>
        <v>135.625</v>
      </c>
      <c r="E20" s="16" t="n">
        <f aca="false">C20-End_liq</f>
        <v>250</v>
      </c>
      <c r="F20" s="20" t="n">
        <f aca="false">(C20-C21)/(D21-D20)</f>
        <v>53.8571428571429</v>
      </c>
    </row>
    <row r="21" customFormat="false" ht="15" hidden="false" customHeight="false" outlineLevel="0" collapsed="false">
      <c r="A21" s="12" t="n">
        <v>6</v>
      </c>
      <c r="B21" s="12" t="n">
        <f aca="false">64-2^(6-A21)+1</f>
        <v>64</v>
      </c>
      <c r="C21" s="20" t="n">
        <f aca="false">INDEX(Sch_net,B21)</f>
        <v>602.1875</v>
      </c>
      <c r="D21" s="20" t="n">
        <f aca="false">INDEX(Sch_s6,B21)</f>
        <v>137.8125</v>
      </c>
      <c r="E21" s="16" t="n">
        <f aca="false">C21-End_liq</f>
        <v>132.1875</v>
      </c>
      <c r="K21" s="8" t="s">
        <v>351</v>
      </c>
      <c r="L21" s="8" t="s">
        <v>352</v>
      </c>
      <c r="M21" s="8" t="s">
        <v>353</v>
      </c>
    </row>
    <row r="22" customFormat="false" ht="15" hidden="false" customHeight="false" outlineLevel="0" collapsed="false">
      <c r="K22" s="2" t="s">
        <v>354</v>
      </c>
      <c r="L22" s="12" t="n">
        <f aca="false">C5</f>
        <v>49</v>
      </c>
      <c r="M22" s="12" t="n">
        <f aca="false">C7</f>
        <v>57</v>
      </c>
    </row>
    <row r="23" customFormat="false" ht="15" hidden="false" customHeight="false" outlineLevel="0" collapsed="false">
      <c r="A23" s="2" t="s">
        <v>355</v>
      </c>
      <c r="E23" s="15" t="n">
        <f aca="false">4*Round_cost</f>
        <v>480</v>
      </c>
      <c r="K23" s="2" t="s">
        <v>356</v>
      </c>
      <c r="L23" s="16" t="n">
        <v>0</v>
      </c>
      <c r="M23" s="16" t="n">
        <v>0</v>
      </c>
    </row>
    <row r="24" customFormat="false" ht="15" hidden="false" customHeight="false" outlineLevel="0" collapsed="false">
      <c r="A24" s="2" t="s">
        <v>357</v>
      </c>
      <c r="E24" s="20" t="n">
        <f aca="false">INDEX(Sch_savings,64)-INDEX(Sch_savings,49)</f>
        <v>107.1875</v>
      </c>
      <c r="K24" s="2" t="s">
        <v>358</v>
      </c>
      <c r="L24" s="16" t="n">
        <v>0</v>
      </c>
      <c r="M24" s="16" t="n">
        <v>0</v>
      </c>
    </row>
    <row r="25" customFormat="false" ht="15" hidden="false" customHeight="false" outlineLevel="0" collapsed="false">
      <c r="K25" s="2" t="s">
        <v>359</v>
      </c>
      <c r="L25" s="16" t="n">
        <v>0</v>
      </c>
      <c r="M25" s="16" t="n">
        <v>0</v>
      </c>
    </row>
    <row r="26" customFormat="false" ht="15" hidden="false" customHeight="false" outlineLevel="0" collapsed="false">
      <c r="K26" s="2" t="s">
        <v>360</v>
      </c>
      <c r="L26" s="16" t="n">
        <v>0</v>
      </c>
      <c r="M26" s="16" t="n">
        <v>0</v>
      </c>
    </row>
    <row r="27" customFormat="false" ht="23.85" hidden="false" customHeight="false" outlineLevel="0" collapsed="false">
      <c r="A27" s="8" t="s">
        <v>341</v>
      </c>
      <c r="B27" s="8" t="s">
        <v>361</v>
      </c>
      <c r="C27" s="8" t="s">
        <v>362</v>
      </c>
      <c r="D27" s="8" t="s">
        <v>363</v>
      </c>
      <c r="E27" s="8" t="s">
        <v>364</v>
      </c>
      <c r="F27" s="8" t="s">
        <v>365</v>
      </c>
      <c r="G27" s="8" t="s">
        <v>366</v>
      </c>
      <c r="H27" s="8" t="s">
        <v>367</v>
      </c>
      <c r="I27" s="8" t="s">
        <v>368</v>
      </c>
      <c r="K27" s="2" t="s">
        <v>369</v>
      </c>
      <c r="L27" s="16" t="n">
        <v>0</v>
      </c>
      <c r="M27" s="16" t="n">
        <v>0</v>
      </c>
    </row>
    <row r="28" customFormat="false" ht="15" hidden="false" customHeight="false" outlineLevel="0" collapsed="false">
      <c r="A28" s="15" t="n">
        <v>0</v>
      </c>
      <c r="B28" s="16" t="n">
        <f aca="false">$E$15+$A28*$D$15</f>
        <v>150</v>
      </c>
      <c r="C28" s="16" t="n">
        <f aca="false">$E$16+$A28*$D$16</f>
        <v>450</v>
      </c>
      <c r="D28" s="16" t="n">
        <f aca="false">$E$17+$A28*$D$17</f>
        <v>505</v>
      </c>
      <c r="E28" s="16" t="n">
        <f aca="false">$E$18+$A28*$D$18</f>
        <v>455</v>
      </c>
      <c r="F28" s="16" t="n">
        <f aca="false">$E$19+$A28*$D$19</f>
        <v>361.25</v>
      </c>
      <c r="G28" s="16" t="n">
        <f aca="false">$E$20+$A28*$D$20</f>
        <v>250</v>
      </c>
      <c r="H28" s="16" t="n">
        <f aca="false">$E$21+$A28*$D$21</f>
        <v>132.1875</v>
      </c>
      <c r="I28" s="12" t="n">
        <f aca="false">MATCH(MAX(B28:H28),B28:H28,0)-1</f>
        <v>2</v>
      </c>
      <c r="K28" s="2" t="s">
        <v>370</v>
      </c>
      <c r="L28" s="16" t="n">
        <f aca="false">E5</f>
        <v>505</v>
      </c>
      <c r="M28" s="16" t="n">
        <f aca="false">E7</f>
        <v>455</v>
      </c>
    </row>
    <row r="29" customFormat="false" ht="15" hidden="false" customHeight="false" outlineLevel="0" collapsed="false">
      <c r="A29" s="15" t="n">
        <f aca="false">A28+0.5</f>
        <v>0.5</v>
      </c>
      <c r="B29" s="16" t="n">
        <f aca="false">$E$15+$A29*$D$15</f>
        <v>150</v>
      </c>
      <c r="C29" s="16" t="n">
        <f aca="false">$E$16+$A29*$D$16</f>
        <v>485</v>
      </c>
      <c r="D29" s="16" t="n">
        <f aca="false">$E$17+$A29*$D$17</f>
        <v>557.5</v>
      </c>
      <c r="E29" s="16" t="n">
        <f aca="false">$E$18+$A29*$D$18</f>
        <v>516.25</v>
      </c>
      <c r="F29" s="16" t="n">
        <f aca="false">$E$19+$A29*$D$19</f>
        <v>426.875</v>
      </c>
      <c r="G29" s="16" t="n">
        <f aca="false">$E$20+$A29*$D$20</f>
        <v>317.8125</v>
      </c>
      <c r="H29" s="16" t="n">
        <f aca="false">$E$21+$A29*$D$21</f>
        <v>201.09375</v>
      </c>
      <c r="I29" s="12" t="n">
        <f aca="false">MATCH(MAX(B29:H29),B29:H29,0)-1</f>
        <v>2</v>
      </c>
      <c r="K29" s="2" t="s">
        <v>371</v>
      </c>
      <c r="L29" s="16" t="n">
        <f aca="false">0+L23</f>
        <v>0</v>
      </c>
      <c r="M29" s="16" t="n">
        <f aca="false">0+M23</f>
        <v>0</v>
      </c>
    </row>
    <row r="30" customFormat="false" ht="15" hidden="false" customHeight="false" outlineLevel="0" collapsed="false">
      <c r="A30" s="15" t="n">
        <f aca="false">A29+0.5</f>
        <v>1</v>
      </c>
      <c r="B30" s="16" t="n">
        <f aca="false">$E$15+$A30*$D$15</f>
        <v>150</v>
      </c>
      <c r="C30" s="16" t="n">
        <f aca="false">$E$16+$A30*$D$16</f>
        <v>520</v>
      </c>
      <c r="D30" s="16" t="n">
        <f aca="false">$E$17+$A30*$D$17</f>
        <v>610</v>
      </c>
      <c r="E30" s="16" t="n">
        <f aca="false">$E$18+$A30*$D$18</f>
        <v>577.5</v>
      </c>
      <c r="F30" s="16" t="n">
        <f aca="false">$E$19+$A30*$D$19</f>
        <v>492.5</v>
      </c>
      <c r="G30" s="16" t="n">
        <f aca="false">$E$20+$A30*$D$20</f>
        <v>385.625</v>
      </c>
      <c r="H30" s="16" t="n">
        <f aca="false">$E$21+$A30*$D$21</f>
        <v>270</v>
      </c>
      <c r="I30" s="12" t="n">
        <f aca="false">MATCH(MAX(B30:H30),B30:H30,0)-1</f>
        <v>2</v>
      </c>
      <c r="K30" s="2" t="s">
        <v>372</v>
      </c>
      <c r="L30" s="16" t="n">
        <f aca="false">L29+L24</f>
        <v>0</v>
      </c>
      <c r="M30" s="16" t="n">
        <f aca="false">M29+M24</f>
        <v>0</v>
      </c>
    </row>
    <row r="31" customFormat="false" ht="15" hidden="false" customHeight="false" outlineLevel="0" collapsed="false">
      <c r="A31" s="15" t="n">
        <f aca="false">A30+0.5</f>
        <v>1.5</v>
      </c>
      <c r="B31" s="16" t="n">
        <f aca="false">$E$15+$A31*$D$15</f>
        <v>150</v>
      </c>
      <c r="C31" s="16" t="n">
        <f aca="false">$E$16+$A31*$D$16</f>
        <v>555</v>
      </c>
      <c r="D31" s="16" t="n">
        <f aca="false">$E$17+$A31*$D$17</f>
        <v>662.5</v>
      </c>
      <c r="E31" s="16" t="n">
        <f aca="false">$E$18+$A31*$D$18</f>
        <v>638.75</v>
      </c>
      <c r="F31" s="16" t="n">
        <f aca="false">$E$19+$A31*$D$19</f>
        <v>558.125</v>
      </c>
      <c r="G31" s="16" t="n">
        <f aca="false">$E$20+$A31*$D$20</f>
        <v>453.4375</v>
      </c>
      <c r="H31" s="16" t="n">
        <f aca="false">$E$21+$A31*$D$21</f>
        <v>338.90625</v>
      </c>
      <c r="I31" s="12" t="n">
        <f aca="false">MATCH(MAX(B31:H31),B31:H31,0)-1</f>
        <v>2</v>
      </c>
      <c r="K31" s="2" t="s">
        <v>373</v>
      </c>
      <c r="L31" s="16" t="n">
        <f aca="false">L30+L25</f>
        <v>0</v>
      </c>
      <c r="M31" s="16" t="n">
        <f aca="false">M30+M25</f>
        <v>0</v>
      </c>
    </row>
    <row r="32" customFormat="false" ht="15" hidden="false" customHeight="false" outlineLevel="0" collapsed="false">
      <c r="A32" s="15" t="n">
        <f aca="false">A31+0.5</f>
        <v>2</v>
      </c>
      <c r="B32" s="16" t="n">
        <f aca="false">$E$15+$A32*$D$15</f>
        <v>150</v>
      </c>
      <c r="C32" s="16" t="n">
        <f aca="false">$E$16+$A32*$D$16</f>
        <v>590</v>
      </c>
      <c r="D32" s="16" t="n">
        <f aca="false">$E$17+$A32*$D$17</f>
        <v>715</v>
      </c>
      <c r="E32" s="16" t="n">
        <f aca="false">$E$18+$A32*$D$18</f>
        <v>700</v>
      </c>
      <c r="F32" s="16" t="n">
        <f aca="false">$E$19+$A32*$D$19</f>
        <v>623.75</v>
      </c>
      <c r="G32" s="16" t="n">
        <f aca="false">$E$20+$A32*$D$20</f>
        <v>521.25</v>
      </c>
      <c r="H32" s="16" t="n">
        <f aca="false">$E$21+$A32*$D$21</f>
        <v>407.8125</v>
      </c>
      <c r="I32" s="12" t="n">
        <f aca="false">MATCH(MAX(B32:H32),B32:H32,0)-1</f>
        <v>2</v>
      </c>
      <c r="K32" s="2" t="s">
        <v>374</v>
      </c>
      <c r="L32" s="16" t="n">
        <f aca="false">L31+L26</f>
        <v>0</v>
      </c>
      <c r="M32" s="16" t="n">
        <f aca="false">M31+M26</f>
        <v>0</v>
      </c>
    </row>
    <row r="33" customFormat="false" ht="15" hidden="false" customHeight="false" outlineLevel="0" collapsed="false">
      <c r="A33" s="15" t="n">
        <f aca="false">A32+0.5</f>
        <v>2.5</v>
      </c>
      <c r="B33" s="16" t="n">
        <f aca="false">$E$15+$A33*$D$15</f>
        <v>150</v>
      </c>
      <c r="C33" s="16" t="n">
        <f aca="false">$E$16+$A33*$D$16</f>
        <v>625</v>
      </c>
      <c r="D33" s="16" t="n">
        <f aca="false">$E$17+$A33*$D$17</f>
        <v>767.5</v>
      </c>
      <c r="E33" s="16" t="n">
        <f aca="false">$E$18+$A33*$D$18</f>
        <v>761.25</v>
      </c>
      <c r="F33" s="16" t="n">
        <f aca="false">$E$19+$A33*$D$19</f>
        <v>689.375</v>
      </c>
      <c r="G33" s="16" t="n">
        <f aca="false">$E$20+$A33*$D$20</f>
        <v>589.0625</v>
      </c>
      <c r="H33" s="16" t="n">
        <f aca="false">$E$21+$A33*$D$21</f>
        <v>476.71875</v>
      </c>
      <c r="I33" s="12" t="n">
        <f aca="false">MATCH(MAX(B33:H33),B33:H33,0)-1</f>
        <v>2</v>
      </c>
      <c r="K33" s="2" t="s">
        <v>375</v>
      </c>
      <c r="L33" s="16" t="n">
        <f aca="false">L32+L27</f>
        <v>0</v>
      </c>
      <c r="M33" s="16" t="n">
        <f aca="false">M32+M27</f>
        <v>0</v>
      </c>
    </row>
    <row r="34" customFormat="false" ht="15" hidden="false" customHeight="false" outlineLevel="0" collapsed="false">
      <c r="A34" s="15" t="n">
        <f aca="false">A33+0.5</f>
        <v>3</v>
      </c>
      <c r="B34" s="16" t="n">
        <f aca="false">$E$15+$A34*$D$15</f>
        <v>150</v>
      </c>
      <c r="C34" s="16" t="n">
        <f aca="false">$E$16+$A34*$D$16</f>
        <v>660</v>
      </c>
      <c r="D34" s="16" t="n">
        <f aca="false">$E$17+$A34*$D$17</f>
        <v>820</v>
      </c>
      <c r="E34" s="16" t="n">
        <f aca="false">$E$18+$A34*$D$18</f>
        <v>822.5</v>
      </c>
      <c r="F34" s="16" t="n">
        <f aca="false">$E$19+$A34*$D$19</f>
        <v>755</v>
      </c>
      <c r="G34" s="16" t="n">
        <f aca="false">$E$20+$A34*$D$20</f>
        <v>656.875</v>
      </c>
      <c r="H34" s="16" t="n">
        <f aca="false">$E$21+$A34*$D$21</f>
        <v>545.625</v>
      </c>
      <c r="I34" s="12" t="n">
        <f aca="false">MATCH(MAX(B34:H34),B34:H34,0)-1</f>
        <v>3</v>
      </c>
      <c r="K34" s="2" t="s">
        <v>376</v>
      </c>
      <c r="L34" s="16" t="n">
        <f aca="false">L33+L28</f>
        <v>505</v>
      </c>
      <c r="M34" s="16" t="n">
        <f aca="false">M33+M28</f>
        <v>455</v>
      </c>
    </row>
    <row r="35" customFormat="false" ht="15" hidden="false" customHeight="false" outlineLevel="0" collapsed="false">
      <c r="A35" s="15" t="n">
        <f aca="false">A34+0.5</f>
        <v>3.5</v>
      </c>
      <c r="B35" s="16" t="n">
        <f aca="false">$E$15+$A35*$D$15</f>
        <v>150</v>
      </c>
      <c r="C35" s="16" t="n">
        <f aca="false">$E$16+$A35*$D$16</f>
        <v>695</v>
      </c>
      <c r="D35" s="16" t="n">
        <f aca="false">$E$17+$A35*$D$17</f>
        <v>872.5</v>
      </c>
      <c r="E35" s="16" t="n">
        <f aca="false">$E$18+$A35*$D$18</f>
        <v>883.75</v>
      </c>
      <c r="F35" s="16" t="n">
        <f aca="false">$E$19+$A35*$D$19</f>
        <v>820.625</v>
      </c>
      <c r="G35" s="16" t="n">
        <f aca="false">$E$20+$A35*$D$20</f>
        <v>724.6875</v>
      </c>
      <c r="H35" s="16" t="n">
        <f aca="false">$E$21+$A35*$D$21</f>
        <v>614.53125</v>
      </c>
      <c r="I35" s="12" t="n">
        <f aca="false">MATCH(MAX(B35:H35),B35:H35,0)-1</f>
        <v>3</v>
      </c>
      <c r="K35" s="2" t="s">
        <v>377</v>
      </c>
      <c r="L35" s="16" t="n">
        <f aca="false">SUM(L23:L28)+A5*F5</f>
        <v>505</v>
      </c>
      <c r="M35" s="16" t="n">
        <f aca="false">SUM(M23:M28)+A7*F7</f>
        <v>1680</v>
      </c>
    </row>
    <row r="36" customFormat="false" ht="15" hidden="false" customHeight="false" outlineLevel="0" collapsed="false">
      <c r="A36" s="15" t="n">
        <f aca="false">A35+0.5</f>
        <v>4</v>
      </c>
      <c r="B36" s="16" t="n">
        <f aca="false">$E$15+$A36*$D$15</f>
        <v>150</v>
      </c>
      <c r="C36" s="16" t="n">
        <f aca="false">$E$16+$A36*$D$16</f>
        <v>730</v>
      </c>
      <c r="D36" s="16" t="n">
        <f aca="false">$E$17+$A36*$D$17</f>
        <v>925</v>
      </c>
      <c r="E36" s="16" t="n">
        <f aca="false">$E$18+$A36*$D$18</f>
        <v>945</v>
      </c>
      <c r="F36" s="16" t="n">
        <f aca="false">$E$19+$A36*$D$19</f>
        <v>886.25</v>
      </c>
      <c r="G36" s="16" t="n">
        <f aca="false">$E$20+$A36*$D$20</f>
        <v>792.5</v>
      </c>
      <c r="H36" s="16" t="n">
        <f aca="false">$E$21+$A36*$D$21</f>
        <v>683.4375</v>
      </c>
      <c r="I36" s="12" t="n">
        <f aca="false">MATCH(MAX(B36:H36),B36:H36,0)-1</f>
        <v>3</v>
      </c>
      <c r="K36" s="2" t="s">
        <v>378</v>
      </c>
      <c r="L36" s="16" t="n">
        <f aca="false">L34+A5*F5</f>
        <v>505</v>
      </c>
      <c r="M36" s="16" t="n">
        <f aca="false">M34+A7*F7</f>
        <v>1680</v>
      </c>
    </row>
    <row r="37" customFormat="false" ht="15" hidden="false" customHeight="false" outlineLevel="0" collapsed="false">
      <c r="A37" s="15" t="n">
        <f aca="false">A36+0.5</f>
        <v>4.5</v>
      </c>
      <c r="B37" s="16" t="n">
        <f aca="false">$E$15+$A37*$D$15</f>
        <v>150</v>
      </c>
      <c r="C37" s="16" t="n">
        <f aca="false">$E$16+$A37*$D$16</f>
        <v>765</v>
      </c>
      <c r="D37" s="16" t="n">
        <f aca="false">$E$17+$A37*$D$17</f>
        <v>977.5</v>
      </c>
      <c r="E37" s="16" t="n">
        <f aca="false">$E$18+$A37*$D$18</f>
        <v>1006.25</v>
      </c>
      <c r="F37" s="16" t="n">
        <f aca="false">$E$19+$A37*$D$19</f>
        <v>951.875</v>
      </c>
      <c r="G37" s="16" t="n">
        <f aca="false">$E$20+$A37*$D$20</f>
        <v>860.3125</v>
      </c>
      <c r="H37" s="16" t="n">
        <f aca="false">$E$21+$A37*$D$21</f>
        <v>752.34375</v>
      </c>
      <c r="I37" s="12" t="n">
        <f aca="false">MATCH(MAX(B37:H37),B37:H37,0)-1</f>
        <v>3</v>
      </c>
      <c r="K37" s="2" t="s">
        <v>379</v>
      </c>
      <c r="L37" s="16" t="n">
        <f aca="false">L35-L36</f>
        <v>0</v>
      </c>
      <c r="M37" s="16" t="n">
        <f aca="false">M35-M36</f>
        <v>0</v>
      </c>
    </row>
    <row r="38" customFormat="false" ht="15" hidden="false" customHeight="false" outlineLevel="0" collapsed="false">
      <c r="A38" s="15" t="n">
        <f aca="false">A37+0.5</f>
        <v>5</v>
      </c>
      <c r="B38" s="16" t="n">
        <f aca="false">$E$15+$A38*$D$15</f>
        <v>150</v>
      </c>
      <c r="C38" s="16" t="n">
        <f aca="false">$E$16+$A38*$D$16</f>
        <v>800</v>
      </c>
      <c r="D38" s="16" t="n">
        <f aca="false">$E$17+$A38*$D$17</f>
        <v>1030</v>
      </c>
      <c r="E38" s="16" t="n">
        <f aca="false">$E$18+$A38*$D$18</f>
        <v>1067.5</v>
      </c>
      <c r="F38" s="16" t="n">
        <f aca="false">$E$19+$A38*$D$19</f>
        <v>1017.5</v>
      </c>
      <c r="G38" s="16" t="n">
        <f aca="false">$E$20+$A38*$D$20</f>
        <v>928.125</v>
      </c>
      <c r="H38" s="16" t="n">
        <f aca="false">$E$21+$A38*$D$21</f>
        <v>821.25</v>
      </c>
      <c r="I38" s="12" t="n">
        <f aca="false">MATCH(MAX(B38:H38),B38:H38,0)-1</f>
        <v>3</v>
      </c>
      <c r="K38" s="2" t="s">
        <v>380</v>
      </c>
      <c r="L38" s="16" t="n">
        <f aca="false">INDEX(Schedules!$AC$6:$AC$69,L22)-L34</f>
        <v>470</v>
      </c>
      <c r="M38" s="16" t="n">
        <f aca="false">INDEX(Schedules!$AC$6:$AC$69,M22)-M34</f>
        <v>470</v>
      </c>
    </row>
    <row r="39" customFormat="false" ht="15" hidden="false" customHeight="false" outlineLevel="0" collapsed="false">
      <c r="A39" s="15" t="n">
        <f aca="false">A38+0.5</f>
        <v>5.5</v>
      </c>
      <c r="B39" s="16" t="n">
        <f aca="false">$E$15+$A39*$D$15</f>
        <v>150</v>
      </c>
      <c r="C39" s="16" t="n">
        <f aca="false">$E$16+$A39*$D$16</f>
        <v>835</v>
      </c>
      <c r="D39" s="16" t="n">
        <f aca="false">$E$17+$A39*$D$17</f>
        <v>1082.5</v>
      </c>
      <c r="E39" s="16" t="n">
        <f aca="false">$E$18+$A39*$D$18</f>
        <v>1128.75</v>
      </c>
      <c r="F39" s="16" t="n">
        <f aca="false">$E$19+$A39*$D$19</f>
        <v>1083.125</v>
      </c>
      <c r="G39" s="16" t="n">
        <f aca="false">$E$20+$A39*$D$20</f>
        <v>995.9375</v>
      </c>
      <c r="H39" s="16" t="n">
        <f aca="false">$E$21+$A39*$D$21</f>
        <v>890.15625</v>
      </c>
      <c r="I39" s="12" t="n">
        <f aca="false">MATCH(MAX(B39:H39),B39:H39,0)-1</f>
        <v>3</v>
      </c>
    </row>
    <row r="40" customFormat="false" ht="23.85" hidden="false" customHeight="false" outlineLevel="0" collapsed="false">
      <c r="A40" s="15" t="n">
        <f aca="false">A39+0.5</f>
        <v>6</v>
      </c>
      <c r="B40" s="16" t="n">
        <f aca="false">$E$15+$A40*$D$15</f>
        <v>150</v>
      </c>
      <c r="C40" s="16" t="n">
        <f aca="false">$E$16+$A40*$D$16</f>
        <v>870</v>
      </c>
      <c r="D40" s="16" t="n">
        <f aca="false">$E$17+$A40*$D$17</f>
        <v>1135</v>
      </c>
      <c r="E40" s="16" t="n">
        <f aca="false">$E$18+$A40*$D$18</f>
        <v>1190</v>
      </c>
      <c r="F40" s="16" t="n">
        <f aca="false">$E$19+$A40*$D$19</f>
        <v>1148.75</v>
      </c>
      <c r="G40" s="16" t="n">
        <f aca="false">$E$20+$A40*$D$20</f>
        <v>1063.75</v>
      </c>
      <c r="H40" s="16" t="n">
        <f aca="false">$E$21+$A40*$D$21</f>
        <v>959.0625</v>
      </c>
      <c r="I40" s="12" t="n">
        <f aca="false">MATCH(MAX(B40:H40),B40:H40,0)-1</f>
        <v>3</v>
      </c>
      <c r="K40" s="8" t="s">
        <v>381</v>
      </c>
      <c r="L40" s="8" t="s">
        <v>382</v>
      </c>
    </row>
    <row r="41" customFormat="false" ht="15" hidden="false" customHeight="false" outlineLevel="0" collapsed="false">
      <c r="A41" s="15" t="n">
        <f aca="false">A40+0.5</f>
        <v>6.5</v>
      </c>
      <c r="B41" s="16" t="n">
        <f aca="false">$E$15+$A41*$D$15</f>
        <v>150</v>
      </c>
      <c r="C41" s="16" t="n">
        <f aca="false">$E$16+$A41*$D$16</f>
        <v>905</v>
      </c>
      <c r="D41" s="16" t="n">
        <f aca="false">$E$17+$A41*$D$17</f>
        <v>1187.5</v>
      </c>
      <c r="E41" s="16" t="n">
        <f aca="false">$E$18+$A41*$D$18</f>
        <v>1251.25</v>
      </c>
      <c r="F41" s="16" t="n">
        <f aca="false">$E$19+$A41*$D$19</f>
        <v>1214.375</v>
      </c>
      <c r="G41" s="16" t="n">
        <f aca="false">$E$20+$A41*$D$20</f>
        <v>1131.5625</v>
      </c>
      <c r="H41" s="16" t="n">
        <f aca="false">$E$21+$A41*$D$21</f>
        <v>1027.96875</v>
      </c>
      <c r="I41" s="12" t="n">
        <f aca="false">MATCH(MAX(B41:H41),B41:H41,0)-1</f>
        <v>3</v>
      </c>
      <c r="K41" s="2" t="s">
        <v>383</v>
      </c>
      <c r="L41" s="12" t="n">
        <f aca="false">INDEX(Sch_years,MATCH(MAX(Sch_v0),Sch_v0,0))</f>
        <v>12</v>
      </c>
    </row>
    <row r="42" customFormat="false" ht="15" hidden="false" customHeight="false" outlineLevel="0" collapsed="false">
      <c r="A42" s="15" t="n">
        <f aca="false">A41+0.5</f>
        <v>7</v>
      </c>
      <c r="B42" s="16" t="n">
        <f aca="false">$E$15+$A42*$D$15</f>
        <v>150</v>
      </c>
      <c r="C42" s="16" t="n">
        <f aca="false">$E$16+$A42*$D$16</f>
        <v>940</v>
      </c>
      <c r="D42" s="16" t="n">
        <f aca="false">$E$17+$A42*$D$17</f>
        <v>1240</v>
      </c>
      <c r="E42" s="16" t="n">
        <f aca="false">$E$18+$A42*$D$18</f>
        <v>1312.5</v>
      </c>
      <c r="F42" s="16" t="n">
        <f aca="false">$E$19+$A42*$D$19</f>
        <v>1280</v>
      </c>
      <c r="G42" s="16" t="n">
        <f aca="false">$E$20+$A42*$D$20</f>
        <v>1199.375</v>
      </c>
      <c r="H42" s="16" t="n">
        <f aca="false">$E$21+$A42*$D$21</f>
        <v>1096.875</v>
      </c>
      <c r="I42" s="12" t="n">
        <f aca="false">MATCH(MAX(B42:H42),B42:H42,0)-1</f>
        <v>3</v>
      </c>
      <c r="K42" s="2" t="s">
        <v>384</v>
      </c>
      <c r="L42" s="12" t="n">
        <f aca="false">INDEX(Sch_years,MATCH(MAX(Sch_t1000),Sch_t1000,0))</f>
        <v>12</v>
      </c>
    </row>
    <row r="43" customFormat="false" ht="15" hidden="false" customHeight="false" outlineLevel="0" collapsed="false">
      <c r="A43" s="15" t="n">
        <f aca="false">A42+0.5</f>
        <v>7.5</v>
      </c>
      <c r="B43" s="16" t="n">
        <f aca="false">$E$15+$A43*$D$15</f>
        <v>150</v>
      </c>
      <c r="C43" s="16" t="n">
        <f aca="false">$E$16+$A43*$D$16</f>
        <v>975</v>
      </c>
      <c r="D43" s="16" t="n">
        <f aca="false">$E$17+$A43*$D$17</f>
        <v>1292.5</v>
      </c>
      <c r="E43" s="16" t="n">
        <f aca="false">$E$18+$A43*$D$18</f>
        <v>1373.75</v>
      </c>
      <c r="F43" s="16" t="n">
        <f aca="false">$E$19+$A43*$D$19</f>
        <v>1345.625</v>
      </c>
      <c r="G43" s="16" t="n">
        <f aca="false">$E$20+$A43*$D$20</f>
        <v>1267.1875</v>
      </c>
      <c r="H43" s="16" t="n">
        <f aca="false">$E$21+$A43*$D$21</f>
        <v>1165.78125</v>
      </c>
      <c r="I43" s="12" t="n">
        <f aca="false">MATCH(MAX(B43:H43),B43:H43,0)-1</f>
        <v>3</v>
      </c>
      <c r="K43" s="2" t="s">
        <v>385</v>
      </c>
      <c r="L43" s="12" t="n">
        <f aca="false">INDEX(Sch_years,MATCH(MAX(Sch_tplus),Sch_tplus,0))</f>
        <v>12</v>
      </c>
    </row>
    <row r="44" customFormat="false" ht="15" hidden="false" customHeight="false" outlineLevel="0" collapsed="false">
      <c r="A44" s="15" t="n">
        <f aca="false">A43+0.5</f>
        <v>8</v>
      </c>
      <c r="B44" s="16" t="n">
        <f aca="false">$E$15+$A44*$D$15</f>
        <v>150</v>
      </c>
      <c r="C44" s="16" t="n">
        <f aca="false">$E$16+$A44*$D$16</f>
        <v>1010</v>
      </c>
      <c r="D44" s="16" t="n">
        <f aca="false">$E$17+$A44*$D$17</f>
        <v>1345</v>
      </c>
      <c r="E44" s="16" t="n">
        <f aca="false">$E$18+$A44*$D$18</f>
        <v>1435</v>
      </c>
      <c r="F44" s="16" t="n">
        <f aca="false">$E$19+$A44*$D$19</f>
        <v>1411.25</v>
      </c>
      <c r="G44" s="16" t="n">
        <f aca="false">$E$20+$A44*$D$20</f>
        <v>1335</v>
      </c>
      <c r="H44" s="16" t="n">
        <f aca="false">$E$21+$A44*$D$21</f>
        <v>1234.6875</v>
      </c>
      <c r="I44" s="12" t="n">
        <f aca="false">MATCH(MAX(B44:H44),B44:H44,0)-1</f>
        <v>3</v>
      </c>
      <c r="K44" s="2" t="s">
        <v>386</v>
      </c>
      <c r="L44" s="12" t="n">
        <f aca="false">INDEX(Sch_years,MATCH(MAX(Sch_tlog),Sch_tlog,0))</f>
        <v>12</v>
      </c>
    </row>
    <row r="45" customFormat="false" ht="15" hidden="false" customHeight="false" outlineLevel="0" collapsed="false">
      <c r="A45" s="15" t="n">
        <f aca="false">A44+0.5</f>
        <v>8.5</v>
      </c>
      <c r="B45" s="16" t="n">
        <f aca="false">$E$15+$A45*$D$15</f>
        <v>150</v>
      </c>
      <c r="C45" s="16" t="n">
        <f aca="false">$E$16+$A45*$D$16</f>
        <v>1045</v>
      </c>
      <c r="D45" s="16" t="n">
        <f aca="false">$E$17+$A45*$D$17</f>
        <v>1397.5</v>
      </c>
      <c r="E45" s="16" t="n">
        <f aca="false">$E$18+$A45*$D$18</f>
        <v>1496.25</v>
      </c>
      <c r="F45" s="16" t="n">
        <f aca="false">$E$19+$A45*$D$19</f>
        <v>1476.875</v>
      </c>
      <c r="G45" s="16" t="n">
        <f aca="false">$E$20+$A45*$D$20</f>
        <v>1402.8125</v>
      </c>
      <c r="H45" s="16" t="n">
        <f aca="false">$E$21+$A45*$D$21</f>
        <v>1303.59375</v>
      </c>
      <c r="I45" s="12" t="n">
        <f aca="false">MATCH(MAX(B45:H45),B45:H45,0)-1</f>
        <v>3</v>
      </c>
      <c r="K45" s="4" t="s">
        <v>387</v>
      </c>
      <c r="L45" s="18" t="n">
        <f aca="false">SUMPRODUCT(--(L41:L44&lt;&gt;L41))</f>
        <v>0</v>
      </c>
    </row>
    <row r="46" customFormat="false" ht="15" hidden="false" customHeight="false" outlineLevel="0" collapsed="false">
      <c r="A46" s="15" t="n">
        <f aca="false">A45+0.5</f>
        <v>9</v>
      </c>
      <c r="B46" s="16" t="n">
        <f aca="false">$E$15+$A46*$D$15</f>
        <v>150</v>
      </c>
      <c r="C46" s="16" t="n">
        <f aca="false">$E$16+$A46*$D$16</f>
        <v>1080</v>
      </c>
      <c r="D46" s="16" t="n">
        <f aca="false">$E$17+$A46*$D$17</f>
        <v>1450</v>
      </c>
      <c r="E46" s="16" t="n">
        <f aca="false">$E$18+$A46*$D$18</f>
        <v>1557.5</v>
      </c>
      <c r="F46" s="16" t="n">
        <f aca="false">$E$19+$A46*$D$19</f>
        <v>1542.5</v>
      </c>
      <c r="G46" s="16" t="n">
        <f aca="false">$E$20+$A46*$D$20</f>
        <v>1470.625</v>
      </c>
      <c r="H46" s="16" t="n">
        <f aca="false">$E$21+$A46*$D$21</f>
        <v>1372.5</v>
      </c>
      <c r="I46" s="12" t="n">
        <f aca="false">MATCH(MAX(B46:H46),B46:H46,0)-1</f>
        <v>3</v>
      </c>
      <c r="K46" s="4" t="s">
        <v>388</v>
      </c>
      <c r="L46" s="18" t="n">
        <f aca="false">D7</f>
        <v>123</v>
      </c>
    </row>
    <row r="47" customFormat="false" ht="15" hidden="false" customHeight="false" outlineLevel="0" collapsed="false">
      <c r="A47" s="15" t="n">
        <f aca="false">A46+0.5</f>
        <v>9.5</v>
      </c>
      <c r="B47" s="16" t="n">
        <f aca="false">$E$15+$A47*$D$15</f>
        <v>150</v>
      </c>
      <c r="C47" s="16" t="n">
        <f aca="false">$E$16+$A47*$D$16</f>
        <v>1115</v>
      </c>
      <c r="D47" s="16" t="n">
        <f aca="false">$E$17+$A47*$D$17</f>
        <v>1502.5</v>
      </c>
      <c r="E47" s="16" t="n">
        <f aca="false">$E$18+$A47*$D$18</f>
        <v>1618.75</v>
      </c>
      <c r="F47" s="16" t="n">
        <f aca="false">$E$19+$A47*$D$19</f>
        <v>1608.125</v>
      </c>
      <c r="G47" s="16" t="n">
        <f aca="false">$E$20+$A47*$D$20</f>
        <v>1538.4375</v>
      </c>
      <c r="H47" s="16" t="n">
        <f aca="false">$E$21+$A47*$D$21</f>
        <v>1441.40625</v>
      </c>
      <c r="I47" s="12" t="n">
        <f aca="false">MATCH(MAX(B47:H47),B47:H47,0)-1</f>
        <v>3</v>
      </c>
    </row>
    <row r="48" customFormat="false" ht="15" hidden="false" customHeight="false" outlineLevel="0" collapsed="false">
      <c r="A48" s="15" t="n">
        <f aca="false">A47+0.5</f>
        <v>10</v>
      </c>
      <c r="B48" s="16" t="n">
        <f aca="false">$E$15+$A48*$D$15</f>
        <v>150</v>
      </c>
      <c r="C48" s="16" t="n">
        <f aca="false">$E$16+$A48*$D$16</f>
        <v>1150</v>
      </c>
      <c r="D48" s="16" t="n">
        <f aca="false">$E$17+$A48*$D$17</f>
        <v>1555</v>
      </c>
      <c r="E48" s="16" t="n">
        <f aca="false">$E$18+$A48*$D$18</f>
        <v>1680</v>
      </c>
      <c r="F48" s="16" t="n">
        <f aca="false">$E$19+$A48*$D$19</f>
        <v>1673.75</v>
      </c>
      <c r="G48" s="16" t="n">
        <f aca="false">$E$20+$A48*$D$20</f>
        <v>1606.25</v>
      </c>
      <c r="H48" s="16" t="n">
        <f aca="false">$E$21+$A48*$D$21</f>
        <v>1510.3125</v>
      </c>
      <c r="I48" s="12" t="n">
        <f aca="false">MATCH(MAX(B48:H48),B48:H48,0)-1</f>
        <v>3</v>
      </c>
    </row>
    <row r="49" customFormat="false" ht="15" hidden="false" customHeight="false" outlineLevel="0" collapsed="false">
      <c r="A49" s="15" t="n">
        <f aca="false">A48+0.5</f>
        <v>10.5</v>
      </c>
      <c r="B49" s="16" t="n">
        <f aca="false">$E$15+$A49*$D$15</f>
        <v>150</v>
      </c>
      <c r="C49" s="16" t="n">
        <f aca="false">$E$16+$A49*$D$16</f>
        <v>1185</v>
      </c>
      <c r="D49" s="16" t="n">
        <f aca="false">$E$17+$A49*$D$17</f>
        <v>1607.5</v>
      </c>
      <c r="E49" s="16" t="n">
        <f aca="false">$E$18+$A49*$D$18</f>
        <v>1741.25</v>
      </c>
      <c r="F49" s="16" t="n">
        <f aca="false">$E$19+$A49*$D$19</f>
        <v>1739.375</v>
      </c>
      <c r="G49" s="16" t="n">
        <f aca="false">$E$20+$A49*$D$20</f>
        <v>1674.0625</v>
      </c>
      <c r="H49" s="16" t="n">
        <f aca="false">$E$21+$A49*$D$21</f>
        <v>1579.21875</v>
      </c>
      <c r="I49" s="12" t="n">
        <f aca="false">MATCH(MAX(B49:H49),B49:H49,0)-1</f>
        <v>3</v>
      </c>
    </row>
    <row r="50" customFormat="false" ht="15" hidden="false" customHeight="false" outlineLevel="0" collapsed="false">
      <c r="A50" s="15" t="n">
        <f aca="false">A49+0.5</f>
        <v>11</v>
      </c>
      <c r="B50" s="16" t="n">
        <f aca="false">$E$15+$A50*$D$15</f>
        <v>150</v>
      </c>
      <c r="C50" s="16" t="n">
        <f aca="false">$E$16+$A50*$D$16</f>
        <v>1220</v>
      </c>
      <c r="D50" s="16" t="n">
        <f aca="false">$E$17+$A50*$D$17</f>
        <v>1660</v>
      </c>
      <c r="E50" s="16" t="n">
        <f aca="false">$E$18+$A50*$D$18</f>
        <v>1802.5</v>
      </c>
      <c r="F50" s="16" t="n">
        <f aca="false">$E$19+$A50*$D$19</f>
        <v>1805</v>
      </c>
      <c r="G50" s="16" t="n">
        <f aca="false">$E$20+$A50*$D$20</f>
        <v>1741.875</v>
      </c>
      <c r="H50" s="16" t="n">
        <f aca="false">$E$21+$A50*$D$21</f>
        <v>1648.125</v>
      </c>
      <c r="I50" s="12" t="n">
        <f aca="false">MATCH(MAX(B50:H50),B50:H50,0)-1</f>
        <v>4</v>
      </c>
    </row>
    <row r="51" customFormat="false" ht="15" hidden="false" customHeight="false" outlineLevel="0" collapsed="false">
      <c r="A51" s="15" t="n">
        <f aca="false">A50+0.5</f>
        <v>11.5</v>
      </c>
      <c r="B51" s="16" t="n">
        <f aca="false">$E$15+$A51*$D$15</f>
        <v>150</v>
      </c>
      <c r="C51" s="16" t="n">
        <f aca="false">$E$16+$A51*$D$16</f>
        <v>1255</v>
      </c>
      <c r="D51" s="16" t="n">
        <f aca="false">$E$17+$A51*$D$17</f>
        <v>1712.5</v>
      </c>
      <c r="E51" s="16" t="n">
        <f aca="false">$E$18+$A51*$D$18</f>
        <v>1863.75</v>
      </c>
      <c r="F51" s="16" t="n">
        <f aca="false">$E$19+$A51*$D$19</f>
        <v>1870.625</v>
      </c>
      <c r="G51" s="16" t="n">
        <f aca="false">$E$20+$A51*$D$20</f>
        <v>1809.6875</v>
      </c>
      <c r="H51" s="16" t="n">
        <f aca="false">$E$21+$A51*$D$21</f>
        <v>1717.03125</v>
      </c>
      <c r="I51" s="12" t="n">
        <f aca="false">MATCH(MAX(B51:H51),B51:H51,0)-1</f>
        <v>4</v>
      </c>
    </row>
    <row r="52" customFormat="false" ht="15" hidden="false" customHeight="false" outlineLevel="0" collapsed="false">
      <c r="A52" s="15" t="n">
        <f aca="false">A51+0.5</f>
        <v>12</v>
      </c>
      <c r="B52" s="16" t="n">
        <f aca="false">$E$15+$A52*$D$15</f>
        <v>150</v>
      </c>
      <c r="C52" s="16" t="n">
        <f aca="false">$E$16+$A52*$D$16</f>
        <v>1290</v>
      </c>
      <c r="D52" s="16" t="n">
        <f aca="false">$E$17+$A52*$D$17</f>
        <v>1765</v>
      </c>
      <c r="E52" s="16" t="n">
        <f aca="false">$E$18+$A52*$D$18</f>
        <v>1925</v>
      </c>
      <c r="F52" s="16" t="n">
        <f aca="false">$E$19+$A52*$D$19</f>
        <v>1936.25</v>
      </c>
      <c r="G52" s="16" t="n">
        <f aca="false">$E$20+$A52*$D$20</f>
        <v>1877.5</v>
      </c>
      <c r="H52" s="16" t="n">
        <f aca="false">$E$21+$A52*$D$21</f>
        <v>1785.9375</v>
      </c>
      <c r="I52" s="12" t="n">
        <f aca="false">MATCH(MAX(B52:H52),B52:H52,0)-1</f>
        <v>4</v>
      </c>
    </row>
    <row r="53" customFormat="false" ht="15" hidden="false" customHeight="false" outlineLevel="0" collapsed="false">
      <c r="A53" s="15" t="n">
        <f aca="false">A52+0.5</f>
        <v>12.5</v>
      </c>
      <c r="B53" s="16" t="n">
        <f aca="false">$E$15+$A53*$D$15</f>
        <v>150</v>
      </c>
      <c r="C53" s="16" t="n">
        <f aca="false">$E$16+$A53*$D$16</f>
        <v>1325</v>
      </c>
      <c r="D53" s="16" t="n">
        <f aca="false">$E$17+$A53*$D$17</f>
        <v>1817.5</v>
      </c>
      <c r="E53" s="16" t="n">
        <f aca="false">$E$18+$A53*$D$18</f>
        <v>1986.25</v>
      </c>
      <c r="F53" s="16" t="n">
        <f aca="false">$E$19+$A53*$D$19</f>
        <v>2001.875</v>
      </c>
      <c r="G53" s="16" t="n">
        <f aca="false">$E$20+$A53*$D$20</f>
        <v>1945.3125</v>
      </c>
      <c r="H53" s="16" t="n">
        <f aca="false">$E$21+$A53*$D$21</f>
        <v>1854.84375</v>
      </c>
      <c r="I53" s="12" t="n">
        <f aca="false">MATCH(MAX(B53:H53),B53:H53,0)-1</f>
        <v>4</v>
      </c>
    </row>
    <row r="54" customFormat="false" ht="15" hidden="false" customHeight="false" outlineLevel="0" collapsed="false">
      <c r="A54" s="15" t="n">
        <f aca="false">A53+0.5</f>
        <v>13</v>
      </c>
      <c r="B54" s="16" t="n">
        <f aca="false">$E$15+$A54*$D$15</f>
        <v>150</v>
      </c>
      <c r="C54" s="16" t="n">
        <f aca="false">$E$16+$A54*$D$16</f>
        <v>1360</v>
      </c>
      <c r="D54" s="16" t="n">
        <f aca="false">$E$17+$A54*$D$17</f>
        <v>1870</v>
      </c>
      <c r="E54" s="16" t="n">
        <f aca="false">$E$18+$A54*$D$18</f>
        <v>2047.5</v>
      </c>
      <c r="F54" s="16" t="n">
        <f aca="false">$E$19+$A54*$D$19</f>
        <v>2067.5</v>
      </c>
      <c r="G54" s="16" t="n">
        <f aca="false">$E$20+$A54*$D$20</f>
        <v>2013.125</v>
      </c>
      <c r="H54" s="16" t="n">
        <f aca="false">$E$21+$A54*$D$21</f>
        <v>1923.75</v>
      </c>
      <c r="I54" s="12" t="n">
        <f aca="false">MATCH(MAX(B54:H54),B54:H54,0)-1</f>
        <v>4</v>
      </c>
    </row>
    <row r="55" customFormat="false" ht="15" hidden="false" customHeight="false" outlineLevel="0" collapsed="false">
      <c r="A55" s="15" t="n">
        <f aca="false">A54+0.5</f>
        <v>13.5</v>
      </c>
      <c r="B55" s="16" t="n">
        <f aca="false">$E$15+$A55*$D$15</f>
        <v>150</v>
      </c>
      <c r="C55" s="16" t="n">
        <f aca="false">$E$16+$A55*$D$16</f>
        <v>1395</v>
      </c>
      <c r="D55" s="16" t="n">
        <f aca="false">$E$17+$A55*$D$17</f>
        <v>1922.5</v>
      </c>
      <c r="E55" s="16" t="n">
        <f aca="false">$E$18+$A55*$D$18</f>
        <v>2108.75</v>
      </c>
      <c r="F55" s="16" t="n">
        <f aca="false">$E$19+$A55*$D$19</f>
        <v>2133.125</v>
      </c>
      <c r="G55" s="16" t="n">
        <f aca="false">$E$20+$A55*$D$20</f>
        <v>2080.9375</v>
      </c>
      <c r="H55" s="16" t="n">
        <f aca="false">$E$21+$A55*$D$21</f>
        <v>1992.65625</v>
      </c>
      <c r="I55" s="12" t="n">
        <f aca="false">MATCH(MAX(B55:H55),B55:H55,0)-1</f>
        <v>4</v>
      </c>
    </row>
    <row r="56" customFormat="false" ht="15" hidden="false" customHeight="false" outlineLevel="0" collapsed="false">
      <c r="A56" s="15" t="n">
        <f aca="false">A55+0.5</f>
        <v>14</v>
      </c>
      <c r="B56" s="16" t="n">
        <f aca="false">$E$15+$A56*$D$15</f>
        <v>150</v>
      </c>
      <c r="C56" s="16" t="n">
        <f aca="false">$E$16+$A56*$D$16</f>
        <v>1430</v>
      </c>
      <c r="D56" s="16" t="n">
        <f aca="false">$E$17+$A56*$D$17</f>
        <v>1975</v>
      </c>
      <c r="E56" s="16" t="n">
        <f aca="false">$E$18+$A56*$D$18</f>
        <v>2170</v>
      </c>
      <c r="F56" s="16" t="n">
        <f aca="false">$E$19+$A56*$D$19</f>
        <v>2198.75</v>
      </c>
      <c r="G56" s="16" t="n">
        <f aca="false">$E$20+$A56*$D$20</f>
        <v>2148.75</v>
      </c>
      <c r="H56" s="16" t="n">
        <f aca="false">$E$21+$A56*$D$21</f>
        <v>2061.5625</v>
      </c>
      <c r="I56" s="12" t="n">
        <f aca="false">MATCH(MAX(B56:H56),B56:H56,0)-1</f>
        <v>4</v>
      </c>
    </row>
    <row r="57" customFormat="false" ht="15" hidden="false" customHeight="false" outlineLevel="0" collapsed="false">
      <c r="A57" s="15" t="n">
        <f aca="false">A56+0.5</f>
        <v>14.5</v>
      </c>
      <c r="B57" s="16" t="n">
        <f aca="false">$E$15+$A57*$D$15</f>
        <v>150</v>
      </c>
      <c r="C57" s="16" t="n">
        <f aca="false">$E$16+$A57*$D$16</f>
        <v>1465</v>
      </c>
      <c r="D57" s="16" t="n">
        <f aca="false">$E$17+$A57*$D$17</f>
        <v>2027.5</v>
      </c>
      <c r="E57" s="16" t="n">
        <f aca="false">$E$18+$A57*$D$18</f>
        <v>2231.25</v>
      </c>
      <c r="F57" s="16" t="n">
        <f aca="false">$E$19+$A57*$D$19</f>
        <v>2264.375</v>
      </c>
      <c r="G57" s="16" t="n">
        <f aca="false">$E$20+$A57*$D$20</f>
        <v>2216.5625</v>
      </c>
      <c r="H57" s="16" t="n">
        <f aca="false">$E$21+$A57*$D$21</f>
        <v>2130.46875</v>
      </c>
      <c r="I57" s="12" t="n">
        <f aca="false">MATCH(MAX(B57:H57),B57:H57,0)-1</f>
        <v>4</v>
      </c>
    </row>
    <row r="58" customFormat="false" ht="15" hidden="false" customHeight="false" outlineLevel="0" collapsed="false">
      <c r="A58" s="15" t="n">
        <f aca="false">A57+0.5</f>
        <v>15</v>
      </c>
      <c r="B58" s="16" t="n">
        <f aca="false">$E$15+$A58*$D$15</f>
        <v>150</v>
      </c>
      <c r="C58" s="16" t="n">
        <f aca="false">$E$16+$A58*$D$16</f>
        <v>1500</v>
      </c>
      <c r="D58" s="16" t="n">
        <f aca="false">$E$17+$A58*$D$17</f>
        <v>2080</v>
      </c>
      <c r="E58" s="16" t="n">
        <f aca="false">$E$18+$A58*$D$18</f>
        <v>2292.5</v>
      </c>
      <c r="F58" s="16" t="n">
        <f aca="false">$E$19+$A58*$D$19</f>
        <v>2330</v>
      </c>
      <c r="G58" s="16" t="n">
        <f aca="false">$E$20+$A58*$D$20</f>
        <v>2284.375</v>
      </c>
      <c r="H58" s="16" t="n">
        <f aca="false">$E$21+$A58*$D$21</f>
        <v>2199.375</v>
      </c>
      <c r="I58" s="12" t="n">
        <f aca="false">MATCH(MAX(B58:H58),B58:H58,0)-1</f>
        <v>4</v>
      </c>
    </row>
    <row r="59" customFormat="false" ht="15" hidden="false" customHeight="false" outlineLevel="0" collapsed="false">
      <c r="A59" s="15" t="n">
        <f aca="false">A58+0.5</f>
        <v>15.5</v>
      </c>
      <c r="B59" s="16" t="n">
        <f aca="false">$E$15+$A59*$D$15</f>
        <v>150</v>
      </c>
      <c r="C59" s="16" t="n">
        <f aca="false">$E$16+$A59*$D$16</f>
        <v>1535</v>
      </c>
      <c r="D59" s="16" t="n">
        <f aca="false">$E$17+$A59*$D$17</f>
        <v>2132.5</v>
      </c>
      <c r="E59" s="16" t="n">
        <f aca="false">$E$18+$A59*$D$18</f>
        <v>2353.75</v>
      </c>
      <c r="F59" s="16" t="n">
        <f aca="false">$E$19+$A59*$D$19</f>
        <v>2395.625</v>
      </c>
      <c r="G59" s="16" t="n">
        <f aca="false">$E$20+$A59*$D$20</f>
        <v>2352.1875</v>
      </c>
      <c r="H59" s="16" t="n">
        <f aca="false">$E$21+$A59*$D$21</f>
        <v>2268.28125</v>
      </c>
      <c r="I59" s="12" t="n">
        <f aca="false">MATCH(MAX(B59:H59),B59:H59,0)-1</f>
        <v>4</v>
      </c>
    </row>
    <row r="60" customFormat="false" ht="15" hidden="false" customHeight="false" outlineLevel="0" collapsed="false">
      <c r="A60" s="15" t="n">
        <f aca="false">A59+0.5</f>
        <v>16</v>
      </c>
      <c r="B60" s="16" t="n">
        <f aca="false">$E$15+$A60*$D$15</f>
        <v>150</v>
      </c>
      <c r="C60" s="16" t="n">
        <f aca="false">$E$16+$A60*$D$16</f>
        <v>1570</v>
      </c>
      <c r="D60" s="16" t="n">
        <f aca="false">$E$17+$A60*$D$17</f>
        <v>2185</v>
      </c>
      <c r="E60" s="16" t="n">
        <f aca="false">$E$18+$A60*$D$18</f>
        <v>2415</v>
      </c>
      <c r="F60" s="16" t="n">
        <f aca="false">$E$19+$A60*$D$19</f>
        <v>2461.25</v>
      </c>
      <c r="G60" s="16" t="n">
        <f aca="false">$E$20+$A60*$D$20</f>
        <v>2420</v>
      </c>
      <c r="H60" s="16" t="n">
        <f aca="false">$E$21+$A60*$D$21</f>
        <v>2337.1875</v>
      </c>
      <c r="I60" s="12" t="n">
        <f aca="false">MATCH(MAX(B60:H60),B60:H60,0)-1</f>
        <v>4</v>
      </c>
    </row>
    <row r="61" customFormat="false" ht="15" hidden="false" customHeight="false" outlineLevel="0" collapsed="false">
      <c r="A61" s="15" t="n">
        <f aca="false">A60+0.5</f>
        <v>16.5</v>
      </c>
      <c r="B61" s="16" t="n">
        <f aca="false">$E$15+$A61*$D$15</f>
        <v>150</v>
      </c>
      <c r="C61" s="16" t="n">
        <f aca="false">$E$16+$A61*$D$16</f>
        <v>1605</v>
      </c>
      <c r="D61" s="16" t="n">
        <f aca="false">$E$17+$A61*$D$17</f>
        <v>2237.5</v>
      </c>
      <c r="E61" s="16" t="n">
        <f aca="false">$E$18+$A61*$D$18</f>
        <v>2476.25</v>
      </c>
      <c r="F61" s="16" t="n">
        <f aca="false">$E$19+$A61*$D$19</f>
        <v>2526.875</v>
      </c>
      <c r="G61" s="16" t="n">
        <f aca="false">$E$20+$A61*$D$20</f>
        <v>2487.8125</v>
      </c>
      <c r="H61" s="16" t="n">
        <f aca="false">$E$21+$A61*$D$21</f>
        <v>2406.09375</v>
      </c>
      <c r="I61" s="12" t="n">
        <f aca="false">MATCH(MAX(B61:H61),B61:H61,0)-1</f>
        <v>4</v>
      </c>
    </row>
    <row r="62" customFormat="false" ht="15" hidden="false" customHeight="false" outlineLevel="0" collapsed="false">
      <c r="A62" s="15" t="n">
        <f aca="false">A61+0.5</f>
        <v>17</v>
      </c>
      <c r="B62" s="16" t="n">
        <f aca="false">$E$15+$A62*$D$15</f>
        <v>150</v>
      </c>
      <c r="C62" s="16" t="n">
        <f aca="false">$E$16+$A62*$D$16</f>
        <v>1640</v>
      </c>
      <c r="D62" s="16" t="n">
        <f aca="false">$E$17+$A62*$D$17</f>
        <v>2290</v>
      </c>
      <c r="E62" s="16" t="n">
        <f aca="false">$E$18+$A62*$D$18</f>
        <v>2537.5</v>
      </c>
      <c r="F62" s="16" t="n">
        <f aca="false">$E$19+$A62*$D$19</f>
        <v>2592.5</v>
      </c>
      <c r="G62" s="16" t="n">
        <f aca="false">$E$20+$A62*$D$20</f>
        <v>2555.625</v>
      </c>
      <c r="H62" s="16" t="n">
        <f aca="false">$E$21+$A62*$D$21</f>
        <v>2475</v>
      </c>
      <c r="I62" s="12" t="n">
        <f aca="false">MATCH(MAX(B62:H62),B62:H62,0)-1</f>
        <v>4</v>
      </c>
    </row>
    <row r="63" customFormat="false" ht="15" hidden="false" customHeight="false" outlineLevel="0" collapsed="false">
      <c r="A63" s="15" t="n">
        <f aca="false">A62+0.5</f>
        <v>17.5</v>
      </c>
      <c r="B63" s="16" t="n">
        <f aca="false">$E$15+$A63*$D$15</f>
        <v>150</v>
      </c>
      <c r="C63" s="16" t="n">
        <f aca="false">$E$16+$A63*$D$16</f>
        <v>1675</v>
      </c>
      <c r="D63" s="16" t="n">
        <f aca="false">$E$17+$A63*$D$17</f>
        <v>2342.5</v>
      </c>
      <c r="E63" s="16" t="n">
        <f aca="false">$E$18+$A63*$D$18</f>
        <v>2598.75</v>
      </c>
      <c r="F63" s="16" t="n">
        <f aca="false">$E$19+$A63*$D$19</f>
        <v>2658.125</v>
      </c>
      <c r="G63" s="16" t="n">
        <f aca="false">$E$20+$A63*$D$20</f>
        <v>2623.4375</v>
      </c>
      <c r="H63" s="16" t="n">
        <f aca="false">$E$21+$A63*$D$21</f>
        <v>2543.90625</v>
      </c>
      <c r="I63" s="12" t="n">
        <f aca="false">MATCH(MAX(B63:H63),B63:H63,0)-1</f>
        <v>4</v>
      </c>
    </row>
    <row r="64" customFormat="false" ht="15" hidden="false" customHeight="false" outlineLevel="0" collapsed="false">
      <c r="A64" s="15" t="n">
        <f aca="false">A63+0.5</f>
        <v>18</v>
      </c>
      <c r="B64" s="16" t="n">
        <f aca="false">$E$15+$A64*$D$15</f>
        <v>150</v>
      </c>
      <c r="C64" s="16" t="n">
        <f aca="false">$E$16+$A64*$D$16</f>
        <v>1710</v>
      </c>
      <c r="D64" s="16" t="n">
        <f aca="false">$E$17+$A64*$D$17</f>
        <v>2395</v>
      </c>
      <c r="E64" s="16" t="n">
        <f aca="false">$E$18+$A64*$D$18</f>
        <v>2660</v>
      </c>
      <c r="F64" s="16" t="n">
        <f aca="false">$E$19+$A64*$D$19</f>
        <v>2723.75</v>
      </c>
      <c r="G64" s="16" t="n">
        <f aca="false">$E$20+$A64*$D$20</f>
        <v>2691.25</v>
      </c>
      <c r="H64" s="16" t="n">
        <f aca="false">$E$21+$A64*$D$21</f>
        <v>2612.8125</v>
      </c>
      <c r="I64" s="12" t="n">
        <f aca="false">MATCH(MAX(B64:H64),B64:H64,0)-1</f>
        <v>4</v>
      </c>
    </row>
    <row r="65" customFormat="false" ht="15" hidden="false" customHeight="false" outlineLevel="0" collapsed="false">
      <c r="A65" s="15" t="n">
        <f aca="false">A64+0.5</f>
        <v>18.5</v>
      </c>
      <c r="B65" s="16" t="n">
        <f aca="false">$E$15+$A65*$D$15</f>
        <v>150</v>
      </c>
      <c r="C65" s="16" t="n">
        <f aca="false">$E$16+$A65*$D$16</f>
        <v>1745</v>
      </c>
      <c r="D65" s="16" t="n">
        <f aca="false">$E$17+$A65*$D$17</f>
        <v>2447.5</v>
      </c>
      <c r="E65" s="16" t="n">
        <f aca="false">$E$18+$A65*$D$18</f>
        <v>2721.25</v>
      </c>
      <c r="F65" s="16" t="n">
        <f aca="false">$E$19+$A65*$D$19</f>
        <v>2789.375</v>
      </c>
      <c r="G65" s="16" t="n">
        <f aca="false">$E$20+$A65*$D$20</f>
        <v>2759.0625</v>
      </c>
      <c r="H65" s="16" t="n">
        <f aca="false">$E$21+$A65*$D$21</f>
        <v>2681.71875</v>
      </c>
      <c r="I65" s="12" t="n">
        <f aca="false">MATCH(MAX(B65:H65),B65:H65,0)-1</f>
        <v>4</v>
      </c>
    </row>
    <row r="66" customFormat="false" ht="15" hidden="false" customHeight="false" outlineLevel="0" collapsed="false">
      <c r="A66" s="15" t="n">
        <f aca="false">A65+0.5</f>
        <v>19</v>
      </c>
      <c r="B66" s="16" t="n">
        <f aca="false">$E$15+$A66*$D$15</f>
        <v>150</v>
      </c>
      <c r="C66" s="16" t="n">
        <f aca="false">$E$16+$A66*$D$16</f>
        <v>1780</v>
      </c>
      <c r="D66" s="16" t="n">
        <f aca="false">$E$17+$A66*$D$17</f>
        <v>2500</v>
      </c>
      <c r="E66" s="16" t="n">
        <f aca="false">$E$18+$A66*$D$18</f>
        <v>2782.5</v>
      </c>
      <c r="F66" s="16" t="n">
        <f aca="false">$E$19+$A66*$D$19</f>
        <v>2855</v>
      </c>
      <c r="G66" s="16" t="n">
        <f aca="false">$E$20+$A66*$D$20</f>
        <v>2826.875</v>
      </c>
      <c r="H66" s="16" t="n">
        <f aca="false">$E$21+$A66*$D$21</f>
        <v>2750.625</v>
      </c>
      <c r="I66" s="12" t="n">
        <f aca="false">MATCH(MAX(B66:H66),B66:H66,0)-1</f>
        <v>4</v>
      </c>
    </row>
    <row r="67" customFormat="false" ht="15" hidden="false" customHeight="false" outlineLevel="0" collapsed="false">
      <c r="A67" s="15" t="n">
        <f aca="false">A66+0.5</f>
        <v>19.5</v>
      </c>
      <c r="B67" s="16" t="n">
        <f aca="false">$E$15+$A67*$D$15</f>
        <v>150</v>
      </c>
      <c r="C67" s="16" t="n">
        <f aca="false">$E$16+$A67*$D$16</f>
        <v>1815</v>
      </c>
      <c r="D67" s="16" t="n">
        <f aca="false">$E$17+$A67*$D$17</f>
        <v>2552.5</v>
      </c>
      <c r="E67" s="16" t="n">
        <f aca="false">$E$18+$A67*$D$18</f>
        <v>2843.75</v>
      </c>
      <c r="F67" s="16" t="n">
        <f aca="false">$E$19+$A67*$D$19</f>
        <v>2920.625</v>
      </c>
      <c r="G67" s="16" t="n">
        <f aca="false">$E$20+$A67*$D$20</f>
        <v>2894.6875</v>
      </c>
      <c r="H67" s="16" t="n">
        <f aca="false">$E$21+$A67*$D$21</f>
        <v>2819.53125</v>
      </c>
      <c r="I67" s="12" t="n">
        <f aca="false">MATCH(MAX(B67:H67),B67:H67,0)-1</f>
        <v>4</v>
      </c>
    </row>
    <row r="68" customFormat="false" ht="15" hidden="false" customHeight="false" outlineLevel="0" collapsed="false">
      <c r="A68" s="15" t="n">
        <f aca="false">A67+0.5</f>
        <v>20</v>
      </c>
      <c r="B68" s="16" t="n">
        <f aca="false">$E$15+$A68*$D$15</f>
        <v>150</v>
      </c>
      <c r="C68" s="16" t="n">
        <f aca="false">$E$16+$A68*$D$16</f>
        <v>1850</v>
      </c>
      <c r="D68" s="16" t="n">
        <f aca="false">$E$17+$A68*$D$17</f>
        <v>2605</v>
      </c>
      <c r="E68" s="16" t="n">
        <f aca="false">$E$18+$A68*$D$18</f>
        <v>2905</v>
      </c>
      <c r="F68" s="16" t="n">
        <f aca="false">$E$19+$A68*$D$19</f>
        <v>2986.25</v>
      </c>
      <c r="G68" s="16" t="n">
        <f aca="false">$E$20+$A68*$D$20</f>
        <v>2962.5</v>
      </c>
      <c r="H68" s="16" t="n">
        <f aca="false">$E$21+$A68*$D$21</f>
        <v>2888.4375</v>
      </c>
      <c r="I68" s="12" t="n">
        <f aca="false">MATCH(MAX(B68:H68),B68:H68,0)-1</f>
        <v>4</v>
      </c>
    </row>
    <row r="69" customFormat="false" ht="15" hidden="false" customHeight="false" outlineLevel="0" collapsed="false">
      <c r="A69" s="15" t="n">
        <f aca="false">A68+0.5</f>
        <v>20.5</v>
      </c>
      <c r="B69" s="16" t="n">
        <f aca="false">$E$15+$A69*$D$15</f>
        <v>150</v>
      </c>
      <c r="C69" s="16" t="n">
        <f aca="false">$E$16+$A69*$D$16</f>
        <v>1885</v>
      </c>
      <c r="D69" s="16" t="n">
        <f aca="false">$E$17+$A69*$D$17</f>
        <v>2657.5</v>
      </c>
      <c r="E69" s="16" t="n">
        <f aca="false">$E$18+$A69*$D$18</f>
        <v>2966.25</v>
      </c>
      <c r="F69" s="16" t="n">
        <f aca="false">$E$19+$A69*$D$19</f>
        <v>3051.875</v>
      </c>
      <c r="G69" s="16" t="n">
        <f aca="false">$E$20+$A69*$D$20</f>
        <v>3030.3125</v>
      </c>
      <c r="H69" s="16" t="n">
        <f aca="false">$E$21+$A69*$D$21</f>
        <v>2957.34375</v>
      </c>
      <c r="I69" s="12" t="n">
        <f aca="false">MATCH(MAX(B69:H69),B69:H69,0)-1</f>
        <v>4</v>
      </c>
    </row>
    <row r="70" customFormat="false" ht="15" hidden="false" customHeight="false" outlineLevel="0" collapsed="false">
      <c r="A70" s="15" t="n">
        <f aca="false">A69+0.5</f>
        <v>21</v>
      </c>
      <c r="B70" s="16" t="n">
        <f aca="false">$E$15+$A70*$D$15</f>
        <v>150</v>
      </c>
      <c r="C70" s="16" t="n">
        <f aca="false">$E$16+$A70*$D$16</f>
        <v>1920</v>
      </c>
      <c r="D70" s="16" t="n">
        <f aca="false">$E$17+$A70*$D$17</f>
        <v>2710</v>
      </c>
      <c r="E70" s="16" t="n">
        <f aca="false">$E$18+$A70*$D$18</f>
        <v>3027.5</v>
      </c>
      <c r="F70" s="16" t="n">
        <f aca="false">$E$19+$A70*$D$19</f>
        <v>3117.5</v>
      </c>
      <c r="G70" s="16" t="n">
        <f aca="false">$E$20+$A70*$D$20</f>
        <v>3098.125</v>
      </c>
      <c r="H70" s="16" t="n">
        <f aca="false">$E$21+$A70*$D$21</f>
        <v>3026.25</v>
      </c>
      <c r="I70" s="12" t="n">
        <f aca="false">MATCH(MAX(B70:H70),B70:H70,0)-1</f>
        <v>4</v>
      </c>
    </row>
    <row r="71" customFormat="false" ht="15" hidden="false" customHeight="false" outlineLevel="0" collapsed="false">
      <c r="A71" s="15" t="n">
        <f aca="false">A70+0.5</f>
        <v>21.5</v>
      </c>
      <c r="B71" s="16" t="n">
        <f aca="false">$E$15+$A71*$D$15</f>
        <v>150</v>
      </c>
      <c r="C71" s="16" t="n">
        <f aca="false">$E$16+$A71*$D$16</f>
        <v>1955</v>
      </c>
      <c r="D71" s="16" t="n">
        <f aca="false">$E$17+$A71*$D$17</f>
        <v>2762.5</v>
      </c>
      <c r="E71" s="16" t="n">
        <f aca="false">$E$18+$A71*$D$18</f>
        <v>3088.75</v>
      </c>
      <c r="F71" s="16" t="n">
        <f aca="false">$E$19+$A71*$D$19</f>
        <v>3183.125</v>
      </c>
      <c r="G71" s="16" t="n">
        <f aca="false">$E$20+$A71*$D$20</f>
        <v>3165.9375</v>
      </c>
      <c r="H71" s="16" t="n">
        <f aca="false">$E$21+$A71*$D$21</f>
        <v>3095.15625</v>
      </c>
      <c r="I71" s="12" t="n">
        <f aca="false">MATCH(MAX(B71:H71),B71:H71,0)-1</f>
        <v>4</v>
      </c>
    </row>
    <row r="72" customFormat="false" ht="15" hidden="false" customHeight="false" outlineLevel="0" collapsed="false">
      <c r="A72" s="15" t="n">
        <f aca="false">A71+0.5</f>
        <v>22</v>
      </c>
      <c r="B72" s="16" t="n">
        <f aca="false">$E$15+$A72*$D$15</f>
        <v>150</v>
      </c>
      <c r="C72" s="16" t="n">
        <f aca="false">$E$16+$A72*$D$16</f>
        <v>1990</v>
      </c>
      <c r="D72" s="16" t="n">
        <f aca="false">$E$17+$A72*$D$17</f>
        <v>2815</v>
      </c>
      <c r="E72" s="16" t="n">
        <f aca="false">$E$18+$A72*$D$18</f>
        <v>3150</v>
      </c>
      <c r="F72" s="16" t="n">
        <f aca="false">$E$19+$A72*$D$19</f>
        <v>3248.75</v>
      </c>
      <c r="G72" s="16" t="n">
        <f aca="false">$E$20+$A72*$D$20</f>
        <v>3233.75</v>
      </c>
      <c r="H72" s="16" t="n">
        <f aca="false">$E$21+$A72*$D$21</f>
        <v>3164.0625</v>
      </c>
      <c r="I72" s="12" t="n">
        <f aca="false">MATCH(MAX(B72:H72),B72:H72,0)-1</f>
        <v>4</v>
      </c>
    </row>
    <row r="73" customFormat="false" ht="15" hidden="false" customHeight="false" outlineLevel="0" collapsed="false">
      <c r="A73" s="15" t="n">
        <f aca="false">A72+0.5</f>
        <v>22.5</v>
      </c>
      <c r="B73" s="16" t="n">
        <f aca="false">$E$15+$A73*$D$15</f>
        <v>150</v>
      </c>
      <c r="C73" s="16" t="n">
        <f aca="false">$E$16+$A73*$D$16</f>
        <v>2025</v>
      </c>
      <c r="D73" s="16" t="n">
        <f aca="false">$E$17+$A73*$D$17</f>
        <v>2867.5</v>
      </c>
      <c r="E73" s="16" t="n">
        <f aca="false">$E$18+$A73*$D$18</f>
        <v>3211.25</v>
      </c>
      <c r="F73" s="16" t="n">
        <f aca="false">$E$19+$A73*$D$19</f>
        <v>3314.375</v>
      </c>
      <c r="G73" s="16" t="n">
        <f aca="false">$E$20+$A73*$D$20</f>
        <v>3301.5625</v>
      </c>
      <c r="H73" s="16" t="n">
        <f aca="false">$E$21+$A73*$D$21</f>
        <v>3232.96875</v>
      </c>
      <c r="I73" s="12" t="n">
        <f aca="false">MATCH(MAX(B73:H73),B73:H73,0)-1</f>
        <v>4</v>
      </c>
    </row>
    <row r="74" customFormat="false" ht="15" hidden="false" customHeight="false" outlineLevel="0" collapsed="false">
      <c r="A74" s="15" t="n">
        <f aca="false">A73+0.5</f>
        <v>23</v>
      </c>
      <c r="B74" s="16" t="n">
        <f aca="false">$E$15+$A74*$D$15</f>
        <v>150</v>
      </c>
      <c r="C74" s="16" t="n">
        <f aca="false">$E$16+$A74*$D$16</f>
        <v>2060</v>
      </c>
      <c r="D74" s="16" t="n">
        <f aca="false">$E$17+$A74*$D$17</f>
        <v>2920</v>
      </c>
      <c r="E74" s="16" t="n">
        <f aca="false">$E$18+$A74*$D$18</f>
        <v>3272.5</v>
      </c>
      <c r="F74" s="16" t="n">
        <f aca="false">$E$19+$A74*$D$19</f>
        <v>3380</v>
      </c>
      <c r="G74" s="16" t="n">
        <f aca="false">$E$20+$A74*$D$20</f>
        <v>3369.375</v>
      </c>
      <c r="H74" s="16" t="n">
        <f aca="false">$E$21+$A74*$D$21</f>
        <v>3301.875</v>
      </c>
      <c r="I74" s="12" t="n">
        <f aca="false">MATCH(MAX(B74:H74),B74:H74,0)-1</f>
        <v>4</v>
      </c>
    </row>
    <row r="75" customFormat="false" ht="15" hidden="false" customHeight="false" outlineLevel="0" collapsed="false">
      <c r="A75" s="15" t="n">
        <f aca="false">A74+0.5</f>
        <v>23.5</v>
      </c>
      <c r="B75" s="16" t="n">
        <f aca="false">$E$15+$A75*$D$15</f>
        <v>150</v>
      </c>
      <c r="C75" s="16" t="n">
        <f aca="false">$E$16+$A75*$D$16</f>
        <v>2095</v>
      </c>
      <c r="D75" s="16" t="n">
        <f aca="false">$E$17+$A75*$D$17</f>
        <v>2972.5</v>
      </c>
      <c r="E75" s="16" t="n">
        <f aca="false">$E$18+$A75*$D$18</f>
        <v>3333.75</v>
      </c>
      <c r="F75" s="16" t="n">
        <f aca="false">$E$19+$A75*$D$19</f>
        <v>3445.625</v>
      </c>
      <c r="G75" s="16" t="n">
        <f aca="false">$E$20+$A75*$D$20</f>
        <v>3437.1875</v>
      </c>
      <c r="H75" s="16" t="n">
        <f aca="false">$E$21+$A75*$D$21</f>
        <v>3370.78125</v>
      </c>
      <c r="I75" s="12" t="n">
        <f aca="false">MATCH(MAX(B75:H75),B75:H75,0)-1</f>
        <v>4</v>
      </c>
    </row>
    <row r="76" customFormat="false" ht="15" hidden="false" customHeight="false" outlineLevel="0" collapsed="false">
      <c r="A76" s="15" t="n">
        <f aca="false">A75+0.5</f>
        <v>24</v>
      </c>
      <c r="B76" s="16" t="n">
        <f aca="false">$E$15+$A76*$D$15</f>
        <v>150</v>
      </c>
      <c r="C76" s="16" t="n">
        <f aca="false">$E$16+$A76*$D$16</f>
        <v>2130</v>
      </c>
      <c r="D76" s="16" t="n">
        <f aca="false">$E$17+$A76*$D$17</f>
        <v>3025</v>
      </c>
      <c r="E76" s="16" t="n">
        <f aca="false">$E$18+$A76*$D$18</f>
        <v>3395</v>
      </c>
      <c r="F76" s="16" t="n">
        <f aca="false">$E$19+$A76*$D$19</f>
        <v>3511.25</v>
      </c>
      <c r="G76" s="16" t="n">
        <f aca="false">$E$20+$A76*$D$20</f>
        <v>3505</v>
      </c>
      <c r="H76" s="16" t="n">
        <f aca="false">$E$21+$A76*$D$21</f>
        <v>3439.6875</v>
      </c>
      <c r="I76" s="12" t="n">
        <f aca="false">MATCH(MAX(B76:H76),B76:H76,0)-1</f>
        <v>4</v>
      </c>
    </row>
    <row r="77" customFormat="false" ht="15" hidden="false" customHeight="false" outlineLevel="0" collapsed="false">
      <c r="A77" s="15" t="n">
        <f aca="false">A76+0.5</f>
        <v>24.5</v>
      </c>
      <c r="B77" s="16" t="n">
        <f aca="false">$E$15+$A77*$D$15</f>
        <v>150</v>
      </c>
      <c r="C77" s="16" t="n">
        <f aca="false">$E$16+$A77*$D$16</f>
        <v>2165</v>
      </c>
      <c r="D77" s="16" t="n">
        <f aca="false">$E$17+$A77*$D$17</f>
        <v>3077.5</v>
      </c>
      <c r="E77" s="16" t="n">
        <f aca="false">$E$18+$A77*$D$18</f>
        <v>3456.25</v>
      </c>
      <c r="F77" s="16" t="n">
        <f aca="false">$E$19+$A77*$D$19</f>
        <v>3576.875</v>
      </c>
      <c r="G77" s="16" t="n">
        <f aca="false">$E$20+$A77*$D$20</f>
        <v>3572.8125</v>
      </c>
      <c r="H77" s="16" t="n">
        <f aca="false">$E$21+$A77*$D$21</f>
        <v>3508.59375</v>
      </c>
      <c r="I77" s="12" t="n">
        <f aca="false">MATCH(MAX(B77:H77),B77:H77,0)-1</f>
        <v>4</v>
      </c>
    </row>
    <row r="78" customFormat="false" ht="15" hidden="false" customHeight="false" outlineLevel="0" collapsed="false">
      <c r="A78" s="15" t="n">
        <f aca="false">A77+0.5</f>
        <v>25</v>
      </c>
      <c r="B78" s="16" t="n">
        <f aca="false">$E$15+$A78*$D$15</f>
        <v>150</v>
      </c>
      <c r="C78" s="16" t="n">
        <f aca="false">$E$16+$A78*$D$16</f>
        <v>2200</v>
      </c>
      <c r="D78" s="16" t="n">
        <f aca="false">$E$17+$A78*$D$17</f>
        <v>3130</v>
      </c>
      <c r="E78" s="16" t="n">
        <f aca="false">$E$18+$A78*$D$18</f>
        <v>3517.5</v>
      </c>
      <c r="F78" s="16" t="n">
        <f aca="false">$E$19+$A78*$D$19</f>
        <v>3642.5</v>
      </c>
      <c r="G78" s="16" t="n">
        <f aca="false">$E$20+$A78*$D$20</f>
        <v>3640.625</v>
      </c>
      <c r="H78" s="16" t="n">
        <f aca="false">$E$21+$A78*$D$21</f>
        <v>3577.5</v>
      </c>
      <c r="I78" s="12" t="n">
        <f aca="false">MATCH(MAX(B78:H78),B78:H78,0)-1</f>
        <v>4</v>
      </c>
    </row>
    <row r="79" customFormat="false" ht="15" hidden="false" customHeight="false" outlineLevel="0" collapsed="false">
      <c r="A79" s="15" t="n">
        <f aca="false">A78+0.5</f>
        <v>25.5</v>
      </c>
      <c r="B79" s="16" t="n">
        <f aca="false">$E$15+$A79*$D$15</f>
        <v>150</v>
      </c>
      <c r="C79" s="16" t="n">
        <f aca="false">$E$16+$A79*$D$16</f>
        <v>2235</v>
      </c>
      <c r="D79" s="16" t="n">
        <f aca="false">$E$17+$A79*$D$17</f>
        <v>3182.5</v>
      </c>
      <c r="E79" s="16" t="n">
        <f aca="false">$E$18+$A79*$D$18</f>
        <v>3578.75</v>
      </c>
      <c r="F79" s="16" t="n">
        <f aca="false">$E$19+$A79*$D$19</f>
        <v>3708.125</v>
      </c>
      <c r="G79" s="16" t="n">
        <f aca="false">$E$20+$A79*$D$20</f>
        <v>3708.4375</v>
      </c>
      <c r="H79" s="16" t="n">
        <f aca="false">$E$21+$A79*$D$21</f>
        <v>3646.40625</v>
      </c>
      <c r="I79" s="12" t="n">
        <f aca="false">MATCH(MAX(B79:H79),B79:H79,0)-1</f>
        <v>5</v>
      </c>
    </row>
    <row r="80" customFormat="false" ht="15" hidden="false" customHeight="false" outlineLevel="0" collapsed="false">
      <c r="A80" s="15" t="n">
        <f aca="false">A79+0.5</f>
        <v>26</v>
      </c>
      <c r="B80" s="16" t="n">
        <f aca="false">$E$15+$A80*$D$15</f>
        <v>150</v>
      </c>
      <c r="C80" s="16" t="n">
        <f aca="false">$E$16+$A80*$D$16</f>
        <v>2270</v>
      </c>
      <c r="D80" s="16" t="n">
        <f aca="false">$E$17+$A80*$D$17</f>
        <v>3235</v>
      </c>
      <c r="E80" s="16" t="n">
        <f aca="false">$E$18+$A80*$D$18</f>
        <v>3640</v>
      </c>
      <c r="F80" s="16" t="n">
        <f aca="false">$E$19+$A80*$D$19</f>
        <v>3773.75</v>
      </c>
      <c r="G80" s="16" t="n">
        <f aca="false">$E$20+$A80*$D$20</f>
        <v>3776.25</v>
      </c>
      <c r="H80" s="16" t="n">
        <f aca="false">$E$21+$A80*$D$21</f>
        <v>3715.3125</v>
      </c>
      <c r="I80" s="12" t="n">
        <f aca="false">MATCH(MAX(B80:H80),B80:H80,0)-1</f>
        <v>5</v>
      </c>
    </row>
    <row r="81" customFormat="false" ht="15" hidden="false" customHeight="false" outlineLevel="0" collapsed="false">
      <c r="A81" s="15" t="n">
        <f aca="false">A80+0.5</f>
        <v>26.5</v>
      </c>
      <c r="B81" s="16" t="n">
        <f aca="false">$E$15+$A81*$D$15</f>
        <v>150</v>
      </c>
      <c r="C81" s="16" t="n">
        <f aca="false">$E$16+$A81*$D$16</f>
        <v>2305</v>
      </c>
      <c r="D81" s="16" t="n">
        <f aca="false">$E$17+$A81*$D$17</f>
        <v>3287.5</v>
      </c>
      <c r="E81" s="16" t="n">
        <f aca="false">$E$18+$A81*$D$18</f>
        <v>3701.25</v>
      </c>
      <c r="F81" s="16" t="n">
        <f aca="false">$E$19+$A81*$D$19</f>
        <v>3839.375</v>
      </c>
      <c r="G81" s="16" t="n">
        <f aca="false">$E$20+$A81*$D$20</f>
        <v>3844.0625</v>
      </c>
      <c r="H81" s="16" t="n">
        <f aca="false">$E$21+$A81*$D$21</f>
        <v>3784.21875</v>
      </c>
      <c r="I81" s="12" t="n">
        <f aca="false">MATCH(MAX(B81:H81),B81:H81,0)-1</f>
        <v>5</v>
      </c>
    </row>
    <row r="82" customFormat="false" ht="15" hidden="false" customHeight="false" outlineLevel="0" collapsed="false">
      <c r="A82" s="15" t="n">
        <f aca="false">A81+0.5</f>
        <v>27</v>
      </c>
      <c r="B82" s="16" t="n">
        <f aca="false">$E$15+$A82*$D$15</f>
        <v>150</v>
      </c>
      <c r="C82" s="16" t="n">
        <f aca="false">$E$16+$A82*$D$16</f>
        <v>2340</v>
      </c>
      <c r="D82" s="16" t="n">
        <f aca="false">$E$17+$A82*$D$17</f>
        <v>3340</v>
      </c>
      <c r="E82" s="16" t="n">
        <f aca="false">$E$18+$A82*$D$18</f>
        <v>3762.5</v>
      </c>
      <c r="F82" s="16" t="n">
        <f aca="false">$E$19+$A82*$D$19</f>
        <v>3905</v>
      </c>
      <c r="G82" s="16" t="n">
        <f aca="false">$E$20+$A82*$D$20</f>
        <v>3911.875</v>
      </c>
      <c r="H82" s="16" t="n">
        <f aca="false">$E$21+$A82*$D$21</f>
        <v>3853.125</v>
      </c>
      <c r="I82" s="12" t="n">
        <f aca="false">MATCH(MAX(B82:H82),B82:H82,0)-1</f>
        <v>5</v>
      </c>
    </row>
    <row r="83" customFormat="false" ht="15" hidden="false" customHeight="false" outlineLevel="0" collapsed="false">
      <c r="A83" s="15" t="n">
        <f aca="false">A82+0.5</f>
        <v>27.5</v>
      </c>
      <c r="B83" s="16" t="n">
        <f aca="false">$E$15+$A83*$D$15</f>
        <v>150</v>
      </c>
      <c r="C83" s="16" t="n">
        <f aca="false">$E$16+$A83*$D$16</f>
        <v>2375</v>
      </c>
      <c r="D83" s="16" t="n">
        <f aca="false">$E$17+$A83*$D$17</f>
        <v>3392.5</v>
      </c>
      <c r="E83" s="16" t="n">
        <f aca="false">$E$18+$A83*$D$18</f>
        <v>3823.75</v>
      </c>
      <c r="F83" s="16" t="n">
        <f aca="false">$E$19+$A83*$D$19</f>
        <v>3970.625</v>
      </c>
      <c r="G83" s="16" t="n">
        <f aca="false">$E$20+$A83*$D$20</f>
        <v>3979.6875</v>
      </c>
      <c r="H83" s="16" t="n">
        <f aca="false">$E$21+$A83*$D$21</f>
        <v>3922.03125</v>
      </c>
      <c r="I83" s="12" t="n">
        <f aca="false">MATCH(MAX(B83:H83),B83:H83,0)-1</f>
        <v>5</v>
      </c>
    </row>
    <row r="84" customFormat="false" ht="15" hidden="false" customHeight="false" outlineLevel="0" collapsed="false">
      <c r="A84" s="15" t="n">
        <f aca="false">A83+0.5</f>
        <v>28</v>
      </c>
      <c r="B84" s="16" t="n">
        <f aca="false">$E$15+$A84*$D$15</f>
        <v>150</v>
      </c>
      <c r="C84" s="16" t="n">
        <f aca="false">$E$16+$A84*$D$16</f>
        <v>2410</v>
      </c>
      <c r="D84" s="16" t="n">
        <f aca="false">$E$17+$A84*$D$17</f>
        <v>3445</v>
      </c>
      <c r="E84" s="16" t="n">
        <f aca="false">$E$18+$A84*$D$18</f>
        <v>3885</v>
      </c>
      <c r="F84" s="16" t="n">
        <f aca="false">$E$19+$A84*$D$19</f>
        <v>4036.25</v>
      </c>
      <c r="G84" s="16" t="n">
        <f aca="false">$E$20+$A84*$D$20</f>
        <v>4047.5</v>
      </c>
      <c r="H84" s="16" t="n">
        <f aca="false">$E$21+$A84*$D$21</f>
        <v>3990.9375</v>
      </c>
      <c r="I84" s="12" t="n">
        <f aca="false">MATCH(MAX(B84:H84),B84:H84,0)-1</f>
        <v>5</v>
      </c>
    </row>
    <row r="85" customFormat="false" ht="15" hidden="false" customHeight="false" outlineLevel="0" collapsed="false">
      <c r="A85" s="15" t="n">
        <f aca="false">A84+0.5</f>
        <v>28.5</v>
      </c>
      <c r="B85" s="16" t="n">
        <f aca="false">$E$15+$A85*$D$15</f>
        <v>150</v>
      </c>
      <c r="C85" s="16" t="n">
        <f aca="false">$E$16+$A85*$D$16</f>
        <v>2445</v>
      </c>
      <c r="D85" s="16" t="n">
        <f aca="false">$E$17+$A85*$D$17</f>
        <v>3497.5</v>
      </c>
      <c r="E85" s="16" t="n">
        <f aca="false">$E$18+$A85*$D$18</f>
        <v>3946.25</v>
      </c>
      <c r="F85" s="16" t="n">
        <f aca="false">$E$19+$A85*$D$19</f>
        <v>4101.875</v>
      </c>
      <c r="G85" s="16" t="n">
        <f aca="false">$E$20+$A85*$D$20</f>
        <v>4115.3125</v>
      </c>
      <c r="H85" s="16" t="n">
        <f aca="false">$E$21+$A85*$D$21</f>
        <v>4059.84375</v>
      </c>
      <c r="I85" s="12" t="n">
        <f aca="false">MATCH(MAX(B85:H85),B85:H85,0)-1</f>
        <v>5</v>
      </c>
    </row>
    <row r="86" customFormat="false" ht="15" hidden="false" customHeight="false" outlineLevel="0" collapsed="false">
      <c r="A86" s="15" t="n">
        <f aca="false">A85+0.5</f>
        <v>29</v>
      </c>
      <c r="B86" s="16" t="n">
        <f aca="false">$E$15+$A86*$D$15</f>
        <v>150</v>
      </c>
      <c r="C86" s="16" t="n">
        <f aca="false">$E$16+$A86*$D$16</f>
        <v>2480</v>
      </c>
      <c r="D86" s="16" t="n">
        <f aca="false">$E$17+$A86*$D$17</f>
        <v>3550</v>
      </c>
      <c r="E86" s="16" t="n">
        <f aca="false">$E$18+$A86*$D$18</f>
        <v>4007.5</v>
      </c>
      <c r="F86" s="16" t="n">
        <f aca="false">$E$19+$A86*$D$19</f>
        <v>4167.5</v>
      </c>
      <c r="G86" s="16" t="n">
        <f aca="false">$E$20+$A86*$D$20</f>
        <v>4183.125</v>
      </c>
      <c r="H86" s="16" t="n">
        <f aca="false">$E$21+$A86*$D$21</f>
        <v>4128.75</v>
      </c>
      <c r="I86" s="12" t="n">
        <f aca="false">MATCH(MAX(B86:H86),B86:H86,0)-1</f>
        <v>5</v>
      </c>
    </row>
    <row r="87" customFormat="false" ht="15" hidden="false" customHeight="false" outlineLevel="0" collapsed="false">
      <c r="A87" s="15" t="n">
        <f aca="false">A86+0.5</f>
        <v>29.5</v>
      </c>
      <c r="B87" s="16" t="n">
        <f aca="false">$E$15+$A87*$D$15</f>
        <v>150</v>
      </c>
      <c r="C87" s="16" t="n">
        <f aca="false">$E$16+$A87*$D$16</f>
        <v>2515</v>
      </c>
      <c r="D87" s="16" t="n">
        <f aca="false">$E$17+$A87*$D$17</f>
        <v>3602.5</v>
      </c>
      <c r="E87" s="16" t="n">
        <f aca="false">$E$18+$A87*$D$18</f>
        <v>4068.75</v>
      </c>
      <c r="F87" s="16" t="n">
        <f aca="false">$E$19+$A87*$D$19</f>
        <v>4233.125</v>
      </c>
      <c r="G87" s="16" t="n">
        <f aca="false">$E$20+$A87*$D$20</f>
        <v>4250.9375</v>
      </c>
      <c r="H87" s="16" t="n">
        <f aca="false">$E$21+$A87*$D$21</f>
        <v>4197.65625</v>
      </c>
      <c r="I87" s="12" t="n">
        <f aca="false">MATCH(MAX(B87:H87),B87:H87,0)-1</f>
        <v>5</v>
      </c>
    </row>
    <row r="88" customFormat="false" ht="15" hidden="false" customHeight="false" outlineLevel="0" collapsed="false">
      <c r="A88" s="15" t="n">
        <f aca="false">A87+0.5</f>
        <v>30</v>
      </c>
      <c r="B88" s="16" t="n">
        <f aca="false">$E$15+$A88*$D$15</f>
        <v>150</v>
      </c>
      <c r="C88" s="16" t="n">
        <f aca="false">$E$16+$A88*$D$16</f>
        <v>2550</v>
      </c>
      <c r="D88" s="16" t="n">
        <f aca="false">$E$17+$A88*$D$17</f>
        <v>3655</v>
      </c>
      <c r="E88" s="16" t="n">
        <f aca="false">$E$18+$A88*$D$18</f>
        <v>4130</v>
      </c>
      <c r="F88" s="16" t="n">
        <f aca="false">$E$19+$A88*$D$19</f>
        <v>4298.75</v>
      </c>
      <c r="G88" s="16" t="n">
        <f aca="false">$E$20+$A88*$D$20</f>
        <v>4318.75</v>
      </c>
      <c r="H88" s="16" t="n">
        <f aca="false">$E$21+$A88*$D$21</f>
        <v>4266.5625</v>
      </c>
      <c r="I88" s="12" t="n">
        <f aca="false">MATCH(MAX(B88:H88),B88:H88,0)-1</f>
        <v>5</v>
      </c>
    </row>
    <row r="89" customFormat="false" ht="15" hidden="false" customHeight="false" outlineLevel="0" collapsed="false">
      <c r="A89" s="15" t="n">
        <f aca="false">A88+0.5</f>
        <v>30.5</v>
      </c>
      <c r="B89" s="16" t="n">
        <f aca="false">$E$15+$A89*$D$15</f>
        <v>150</v>
      </c>
      <c r="C89" s="16" t="n">
        <f aca="false">$E$16+$A89*$D$16</f>
        <v>2585</v>
      </c>
      <c r="D89" s="16" t="n">
        <f aca="false">$E$17+$A89*$D$17</f>
        <v>3707.5</v>
      </c>
      <c r="E89" s="16" t="n">
        <f aca="false">$E$18+$A89*$D$18</f>
        <v>4191.25</v>
      </c>
      <c r="F89" s="16" t="n">
        <f aca="false">$E$19+$A89*$D$19</f>
        <v>4364.375</v>
      </c>
      <c r="G89" s="16" t="n">
        <f aca="false">$E$20+$A89*$D$20</f>
        <v>4386.5625</v>
      </c>
      <c r="H89" s="16" t="n">
        <f aca="false">$E$21+$A89*$D$21</f>
        <v>4335.46875</v>
      </c>
      <c r="I89" s="12" t="n">
        <f aca="false">MATCH(MAX(B89:H89),B89:H89,0)-1</f>
        <v>5</v>
      </c>
    </row>
    <row r="90" customFormat="false" ht="15" hidden="false" customHeight="false" outlineLevel="0" collapsed="false">
      <c r="A90" s="15" t="n">
        <f aca="false">A89+0.5</f>
        <v>31</v>
      </c>
      <c r="B90" s="16" t="n">
        <f aca="false">$E$15+$A90*$D$15</f>
        <v>150</v>
      </c>
      <c r="C90" s="16" t="n">
        <f aca="false">$E$16+$A90*$D$16</f>
        <v>2620</v>
      </c>
      <c r="D90" s="16" t="n">
        <f aca="false">$E$17+$A90*$D$17</f>
        <v>3760</v>
      </c>
      <c r="E90" s="16" t="n">
        <f aca="false">$E$18+$A90*$D$18</f>
        <v>4252.5</v>
      </c>
      <c r="F90" s="16" t="n">
        <f aca="false">$E$19+$A90*$D$19</f>
        <v>4430</v>
      </c>
      <c r="G90" s="16" t="n">
        <f aca="false">$E$20+$A90*$D$20</f>
        <v>4454.375</v>
      </c>
      <c r="H90" s="16" t="n">
        <f aca="false">$E$21+$A90*$D$21</f>
        <v>4404.375</v>
      </c>
      <c r="I90" s="12" t="n">
        <f aca="false">MATCH(MAX(B90:H90),B90:H90,0)-1</f>
        <v>5</v>
      </c>
    </row>
    <row r="91" customFormat="false" ht="15" hidden="false" customHeight="false" outlineLevel="0" collapsed="false">
      <c r="A91" s="15" t="n">
        <f aca="false">A90+0.5</f>
        <v>31.5</v>
      </c>
      <c r="B91" s="16" t="n">
        <f aca="false">$E$15+$A91*$D$15</f>
        <v>150</v>
      </c>
      <c r="C91" s="16" t="n">
        <f aca="false">$E$16+$A91*$D$16</f>
        <v>2655</v>
      </c>
      <c r="D91" s="16" t="n">
        <f aca="false">$E$17+$A91*$D$17</f>
        <v>3812.5</v>
      </c>
      <c r="E91" s="16" t="n">
        <f aca="false">$E$18+$A91*$D$18</f>
        <v>4313.75</v>
      </c>
      <c r="F91" s="16" t="n">
        <f aca="false">$E$19+$A91*$D$19</f>
        <v>4495.625</v>
      </c>
      <c r="G91" s="16" t="n">
        <f aca="false">$E$20+$A91*$D$20</f>
        <v>4522.1875</v>
      </c>
      <c r="H91" s="16" t="n">
        <f aca="false">$E$21+$A91*$D$21</f>
        <v>4473.28125</v>
      </c>
      <c r="I91" s="12" t="n">
        <f aca="false">MATCH(MAX(B91:H91),B91:H91,0)-1</f>
        <v>5</v>
      </c>
    </row>
    <row r="92" customFormat="false" ht="15" hidden="false" customHeight="false" outlineLevel="0" collapsed="false">
      <c r="A92" s="15" t="n">
        <f aca="false">A91+0.5</f>
        <v>32</v>
      </c>
      <c r="B92" s="16" t="n">
        <f aca="false">$E$15+$A92*$D$15</f>
        <v>150</v>
      </c>
      <c r="C92" s="16" t="n">
        <f aca="false">$E$16+$A92*$D$16</f>
        <v>2690</v>
      </c>
      <c r="D92" s="16" t="n">
        <f aca="false">$E$17+$A92*$D$17</f>
        <v>3865</v>
      </c>
      <c r="E92" s="16" t="n">
        <f aca="false">$E$18+$A92*$D$18</f>
        <v>4375</v>
      </c>
      <c r="F92" s="16" t="n">
        <f aca="false">$E$19+$A92*$D$19</f>
        <v>4561.25</v>
      </c>
      <c r="G92" s="16" t="n">
        <f aca="false">$E$20+$A92*$D$20</f>
        <v>4590</v>
      </c>
      <c r="H92" s="16" t="n">
        <f aca="false">$E$21+$A92*$D$21</f>
        <v>4542.1875</v>
      </c>
      <c r="I92" s="12" t="n">
        <f aca="false">MATCH(MAX(B92:H92),B92:H92,0)-1</f>
        <v>5</v>
      </c>
    </row>
    <row r="93" customFormat="false" ht="15" hidden="false" customHeight="false" outlineLevel="0" collapsed="false">
      <c r="A93" s="15" t="n">
        <f aca="false">A92+0.5</f>
        <v>32.5</v>
      </c>
      <c r="B93" s="16" t="n">
        <f aca="false">$E$15+$A93*$D$15</f>
        <v>150</v>
      </c>
      <c r="C93" s="16" t="n">
        <f aca="false">$E$16+$A93*$D$16</f>
        <v>2725</v>
      </c>
      <c r="D93" s="16" t="n">
        <f aca="false">$E$17+$A93*$D$17</f>
        <v>3917.5</v>
      </c>
      <c r="E93" s="16" t="n">
        <f aca="false">$E$18+$A93*$D$18</f>
        <v>4436.25</v>
      </c>
      <c r="F93" s="16" t="n">
        <f aca="false">$E$19+$A93*$D$19</f>
        <v>4626.875</v>
      </c>
      <c r="G93" s="16" t="n">
        <f aca="false">$E$20+$A93*$D$20</f>
        <v>4657.8125</v>
      </c>
      <c r="H93" s="16" t="n">
        <f aca="false">$E$21+$A93*$D$21</f>
        <v>4611.09375</v>
      </c>
      <c r="I93" s="12" t="n">
        <f aca="false">MATCH(MAX(B93:H93),B93:H93,0)-1</f>
        <v>5</v>
      </c>
    </row>
    <row r="94" customFormat="false" ht="15" hidden="false" customHeight="false" outlineLevel="0" collapsed="false">
      <c r="A94" s="15" t="n">
        <f aca="false">A93+0.5</f>
        <v>33</v>
      </c>
      <c r="B94" s="16" t="n">
        <f aca="false">$E$15+$A94*$D$15</f>
        <v>150</v>
      </c>
      <c r="C94" s="16" t="n">
        <f aca="false">$E$16+$A94*$D$16</f>
        <v>2760</v>
      </c>
      <c r="D94" s="16" t="n">
        <f aca="false">$E$17+$A94*$D$17</f>
        <v>3970</v>
      </c>
      <c r="E94" s="16" t="n">
        <f aca="false">$E$18+$A94*$D$18</f>
        <v>4497.5</v>
      </c>
      <c r="F94" s="16" t="n">
        <f aca="false">$E$19+$A94*$D$19</f>
        <v>4692.5</v>
      </c>
      <c r="G94" s="16" t="n">
        <f aca="false">$E$20+$A94*$D$20</f>
        <v>4725.625</v>
      </c>
      <c r="H94" s="16" t="n">
        <f aca="false">$E$21+$A94*$D$21</f>
        <v>4680</v>
      </c>
      <c r="I94" s="12" t="n">
        <f aca="false">MATCH(MAX(B94:H94),B94:H94,0)-1</f>
        <v>5</v>
      </c>
    </row>
    <row r="95" customFormat="false" ht="15" hidden="false" customHeight="false" outlineLevel="0" collapsed="false">
      <c r="A95" s="15" t="n">
        <f aca="false">A94+0.5</f>
        <v>33.5</v>
      </c>
      <c r="B95" s="16" t="n">
        <f aca="false">$E$15+$A95*$D$15</f>
        <v>150</v>
      </c>
      <c r="C95" s="16" t="n">
        <f aca="false">$E$16+$A95*$D$16</f>
        <v>2795</v>
      </c>
      <c r="D95" s="16" t="n">
        <f aca="false">$E$17+$A95*$D$17</f>
        <v>4022.5</v>
      </c>
      <c r="E95" s="16" t="n">
        <f aca="false">$E$18+$A95*$D$18</f>
        <v>4558.75</v>
      </c>
      <c r="F95" s="16" t="n">
        <f aca="false">$E$19+$A95*$D$19</f>
        <v>4758.125</v>
      </c>
      <c r="G95" s="16" t="n">
        <f aca="false">$E$20+$A95*$D$20</f>
        <v>4793.4375</v>
      </c>
      <c r="H95" s="16" t="n">
        <f aca="false">$E$21+$A95*$D$21</f>
        <v>4748.90625</v>
      </c>
      <c r="I95" s="12" t="n">
        <f aca="false">MATCH(MAX(B95:H95),B95:H95,0)-1</f>
        <v>5</v>
      </c>
    </row>
    <row r="96" customFormat="false" ht="15" hidden="false" customHeight="false" outlineLevel="0" collapsed="false">
      <c r="A96" s="15" t="n">
        <f aca="false">A95+0.5</f>
        <v>34</v>
      </c>
      <c r="B96" s="16" t="n">
        <f aca="false">$E$15+$A96*$D$15</f>
        <v>150</v>
      </c>
      <c r="C96" s="16" t="n">
        <f aca="false">$E$16+$A96*$D$16</f>
        <v>2830</v>
      </c>
      <c r="D96" s="16" t="n">
        <f aca="false">$E$17+$A96*$D$17</f>
        <v>4075</v>
      </c>
      <c r="E96" s="16" t="n">
        <f aca="false">$E$18+$A96*$D$18</f>
        <v>4620</v>
      </c>
      <c r="F96" s="16" t="n">
        <f aca="false">$E$19+$A96*$D$19</f>
        <v>4823.75</v>
      </c>
      <c r="G96" s="16" t="n">
        <f aca="false">$E$20+$A96*$D$20</f>
        <v>4861.25</v>
      </c>
      <c r="H96" s="16" t="n">
        <f aca="false">$E$21+$A96*$D$21</f>
        <v>4817.8125</v>
      </c>
      <c r="I96" s="12" t="n">
        <f aca="false">MATCH(MAX(B96:H96),B96:H96,0)-1</f>
        <v>5</v>
      </c>
    </row>
    <row r="97" customFormat="false" ht="15" hidden="false" customHeight="false" outlineLevel="0" collapsed="false">
      <c r="A97" s="15" t="n">
        <f aca="false">A96+0.5</f>
        <v>34.5</v>
      </c>
      <c r="B97" s="16" t="n">
        <f aca="false">$E$15+$A97*$D$15</f>
        <v>150</v>
      </c>
      <c r="C97" s="16" t="n">
        <f aca="false">$E$16+$A97*$D$16</f>
        <v>2865</v>
      </c>
      <c r="D97" s="16" t="n">
        <f aca="false">$E$17+$A97*$D$17</f>
        <v>4127.5</v>
      </c>
      <c r="E97" s="16" t="n">
        <f aca="false">$E$18+$A97*$D$18</f>
        <v>4681.25</v>
      </c>
      <c r="F97" s="16" t="n">
        <f aca="false">$E$19+$A97*$D$19</f>
        <v>4889.375</v>
      </c>
      <c r="G97" s="16" t="n">
        <f aca="false">$E$20+$A97*$D$20</f>
        <v>4929.0625</v>
      </c>
      <c r="H97" s="16" t="n">
        <f aca="false">$E$21+$A97*$D$21</f>
        <v>4886.71875</v>
      </c>
      <c r="I97" s="12" t="n">
        <f aca="false">MATCH(MAX(B97:H97),B97:H97,0)-1</f>
        <v>5</v>
      </c>
    </row>
    <row r="98" customFormat="false" ht="15" hidden="false" customHeight="false" outlineLevel="0" collapsed="false">
      <c r="A98" s="15" t="n">
        <f aca="false">A97+0.5</f>
        <v>35</v>
      </c>
      <c r="B98" s="16" t="n">
        <f aca="false">$E$15+$A98*$D$15</f>
        <v>150</v>
      </c>
      <c r="C98" s="16" t="n">
        <f aca="false">$E$16+$A98*$D$16</f>
        <v>2900</v>
      </c>
      <c r="D98" s="16" t="n">
        <f aca="false">$E$17+$A98*$D$17</f>
        <v>4180</v>
      </c>
      <c r="E98" s="16" t="n">
        <f aca="false">$E$18+$A98*$D$18</f>
        <v>4742.5</v>
      </c>
      <c r="F98" s="16" t="n">
        <f aca="false">$E$19+$A98*$D$19</f>
        <v>4955</v>
      </c>
      <c r="G98" s="16" t="n">
        <f aca="false">$E$20+$A98*$D$20</f>
        <v>4996.875</v>
      </c>
      <c r="H98" s="16" t="n">
        <f aca="false">$E$21+$A98*$D$21</f>
        <v>4955.625</v>
      </c>
      <c r="I98" s="12" t="n">
        <f aca="false">MATCH(MAX(B98:H98),B98:H98,0)-1</f>
        <v>5</v>
      </c>
    </row>
    <row r="99" customFormat="false" ht="15" hidden="false" customHeight="false" outlineLevel="0" collapsed="false">
      <c r="A99" s="15" t="n">
        <f aca="false">A98+0.5</f>
        <v>35.5</v>
      </c>
      <c r="B99" s="16" t="n">
        <f aca="false">$E$15+$A99*$D$15</f>
        <v>150</v>
      </c>
      <c r="C99" s="16" t="n">
        <f aca="false">$E$16+$A99*$D$16</f>
        <v>2935</v>
      </c>
      <c r="D99" s="16" t="n">
        <f aca="false">$E$17+$A99*$D$17</f>
        <v>4232.5</v>
      </c>
      <c r="E99" s="16" t="n">
        <f aca="false">$E$18+$A99*$D$18</f>
        <v>4803.75</v>
      </c>
      <c r="F99" s="16" t="n">
        <f aca="false">$E$19+$A99*$D$19</f>
        <v>5020.625</v>
      </c>
      <c r="G99" s="16" t="n">
        <f aca="false">$E$20+$A99*$D$20</f>
        <v>5064.6875</v>
      </c>
      <c r="H99" s="16" t="n">
        <f aca="false">$E$21+$A99*$D$21</f>
        <v>5024.53125</v>
      </c>
      <c r="I99" s="12" t="n">
        <f aca="false">MATCH(MAX(B99:H99),B99:H99,0)-1</f>
        <v>5</v>
      </c>
    </row>
    <row r="100" customFormat="false" ht="15" hidden="false" customHeight="false" outlineLevel="0" collapsed="false">
      <c r="A100" s="15" t="n">
        <f aca="false">A99+0.5</f>
        <v>36</v>
      </c>
      <c r="B100" s="16" t="n">
        <f aca="false">$E$15+$A100*$D$15</f>
        <v>150</v>
      </c>
      <c r="C100" s="16" t="n">
        <f aca="false">$E$16+$A100*$D$16</f>
        <v>2970</v>
      </c>
      <c r="D100" s="16" t="n">
        <f aca="false">$E$17+$A100*$D$17</f>
        <v>4285</v>
      </c>
      <c r="E100" s="16" t="n">
        <f aca="false">$E$18+$A100*$D$18</f>
        <v>4865</v>
      </c>
      <c r="F100" s="16" t="n">
        <f aca="false">$E$19+$A100*$D$19</f>
        <v>5086.25</v>
      </c>
      <c r="G100" s="16" t="n">
        <f aca="false">$E$20+$A100*$D$20</f>
        <v>5132.5</v>
      </c>
      <c r="H100" s="16" t="n">
        <f aca="false">$E$21+$A100*$D$21</f>
        <v>5093.4375</v>
      </c>
      <c r="I100" s="12" t="n">
        <f aca="false">MATCH(MAX(B100:H100),B100:H100,0)-1</f>
        <v>5</v>
      </c>
    </row>
    <row r="101" customFormat="false" ht="15" hidden="false" customHeight="false" outlineLevel="0" collapsed="false">
      <c r="A101" s="15" t="n">
        <f aca="false">A100+0.5</f>
        <v>36.5</v>
      </c>
      <c r="B101" s="16" t="n">
        <f aca="false">$E$15+$A101*$D$15</f>
        <v>150</v>
      </c>
      <c r="C101" s="16" t="n">
        <f aca="false">$E$16+$A101*$D$16</f>
        <v>3005</v>
      </c>
      <c r="D101" s="16" t="n">
        <f aca="false">$E$17+$A101*$D$17</f>
        <v>4337.5</v>
      </c>
      <c r="E101" s="16" t="n">
        <f aca="false">$E$18+$A101*$D$18</f>
        <v>4926.25</v>
      </c>
      <c r="F101" s="16" t="n">
        <f aca="false">$E$19+$A101*$D$19</f>
        <v>5151.875</v>
      </c>
      <c r="G101" s="16" t="n">
        <f aca="false">$E$20+$A101*$D$20</f>
        <v>5200.3125</v>
      </c>
      <c r="H101" s="16" t="n">
        <f aca="false">$E$21+$A101*$D$21</f>
        <v>5162.34375</v>
      </c>
      <c r="I101" s="12" t="n">
        <f aca="false">MATCH(MAX(B101:H101),B101:H101,0)-1</f>
        <v>5</v>
      </c>
    </row>
    <row r="102" customFormat="false" ht="15" hidden="false" customHeight="false" outlineLevel="0" collapsed="false">
      <c r="A102" s="15" t="n">
        <f aca="false">A101+0.5</f>
        <v>37</v>
      </c>
      <c r="B102" s="16" t="n">
        <f aca="false">$E$15+$A102*$D$15</f>
        <v>150</v>
      </c>
      <c r="C102" s="16" t="n">
        <f aca="false">$E$16+$A102*$D$16</f>
        <v>3040</v>
      </c>
      <c r="D102" s="16" t="n">
        <f aca="false">$E$17+$A102*$D$17</f>
        <v>4390</v>
      </c>
      <c r="E102" s="16" t="n">
        <f aca="false">$E$18+$A102*$D$18</f>
        <v>4987.5</v>
      </c>
      <c r="F102" s="16" t="n">
        <f aca="false">$E$19+$A102*$D$19</f>
        <v>5217.5</v>
      </c>
      <c r="G102" s="16" t="n">
        <f aca="false">$E$20+$A102*$D$20</f>
        <v>5268.125</v>
      </c>
      <c r="H102" s="16" t="n">
        <f aca="false">$E$21+$A102*$D$21</f>
        <v>5231.25</v>
      </c>
      <c r="I102" s="12" t="n">
        <f aca="false">MATCH(MAX(B102:H102),B102:H102,0)-1</f>
        <v>5</v>
      </c>
    </row>
    <row r="103" customFormat="false" ht="15" hidden="false" customHeight="false" outlineLevel="0" collapsed="false">
      <c r="A103" s="15" t="n">
        <f aca="false">A102+0.5</f>
        <v>37.5</v>
      </c>
      <c r="B103" s="16" t="n">
        <f aca="false">$E$15+$A103*$D$15</f>
        <v>150</v>
      </c>
      <c r="C103" s="16" t="n">
        <f aca="false">$E$16+$A103*$D$16</f>
        <v>3075</v>
      </c>
      <c r="D103" s="16" t="n">
        <f aca="false">$E$17+$A103*$D$17</f>
        <v>4442.5</v>
      </c>
      <c r="E103" s="16" t="n">
        <f aca="false">$E$18+$A103*$D$18</f>
        <v>5048.75</v>
      </c>
      <c r="F103" s="16" t="n">
        <f aca="false">$E$19+$A103*$D$19</f>
        <v>5283.125</v>
      </c>
      <c r="G103" s="16" t="n">
        <f aca="false">$E$20+$A103*$D$20</f>
        <v>5335.9375</v>
      </c>
      <c r="H103" s="16" t="n">
        <f aca="false">$E$21+$A103*$D$21</f>
        <v>5300.15625</v>
      </c>
      <c r="I103" s="12" t="n">
        <f aca="false">MATCH(MAX(B103:H103),B103:H103,0)-1</f>
        <v>5</v>
      </c>
    </row>
    <row r="104" customFormat="false" ht="15" hidden="false" customHeight="false" outlineLevel="0" collapsed="false">
      <c r="A104" s="15" t="n">
        <f aca="false">A103+0.5</f>
        <v>38</v>
      </c>
      <c r="B104" s="16" t="n">
        <f aca="false">$E$15+$A104*$D$15</f>
        <v>150</v>
      </c>
      <c r="C104" s="16" t="n">
        <f aca="false">$E$16+$A104*$D$16</f>
        <v>3110</v>
      </c>
      <c r="D104" s="16" t="n">
        <f aca="false">$E$17+$A104*$D$17</f>
        <v>4495</v>
      </c>
      <c r="E104" s="16" t="n">
        <f aca="false">$E$18+$A104*$D$18</f>
        <v>5110</v>
      </c>
      <c r="F104" s="16" t="n">
        <f aca="false">$E$19+$A104*$D$19</f>
        <v>5348.75</v>
      </c>
      <c r="G104" s="16" t="n">
        <f aca="false">$E$20+$A104*$D$20</f>
        <v>5403.75</v>
      </c>
      <c r="H104" s="16" t="n">
        <f aca="false">$E$21+$A104*$D$21</f>
        <v>5369.0625</v>
      </c>
      <c r="I104" s="12" t="n">
        <f aca="false">MATCH(MAX(B104:H104),B104:H104,0)-1</f>
        <v>5</v>
      </c>
    </row>
    <row r="105" customFormat="false" ht="15" hidden="false" customHeight="false" outlineLevel="0" collapsed="false">
      <c r="A105" s="15" t="n">
        <f aca="false">A104+0.5</f>
        <v>38.5</v>
      </c>
      <c r="B105" s="16" t="n">
        <f aca="false">$E$15+$A105*$D$15</f>
        <v>150</v>
      </c>
      <c r="C105" s="16" t="n">
        <f aca="false">$E$16+$A105*$D$16</f>
        <v>3145</v>
      </c>
      <c r="D105" s="16" t="n">
        <f aca="false">$E$17+$A105*$D$17</f>
        <v>4547.5</v>
      </c>
      <c r="E105" s="16" t="n">
        <f aca="false">$E$18+$A105*$D$18</f>
        <v>5171.25</v>
      </c>
      <c r="F105" s="16" t="n">
        <f aca="false">$E$19+$A105*$D$19</f>
        <v>5414.375</v>
      </c>
      <c r="G105" s="16" t="n">
        <f aca="false">$E$20+$A105*$D$20</f>
        <v>5471.5625</v>
      </c>
      <c r="H105" s="16" t="n">
        <f aca="false">$E$21+$A105*$D$21</f>
        <v>5437.96875</v>
      </c>
      <c r="I105" s="12" t="n">
        <f aca="false">MATCH(MAX(B105:H105),B105:H105,0)-1</f>
        <v>5</v>
      </c>
    </row>
    <row r="106" customFormat="false" ht="15" hidden="false" customHeight="false" outlineLevel="0" collapsed="false">
      <c r="A106" s="15" t="n">
        <f aca="false">A105+0.5</f>
        <v>39</v>
      </c>
      <c r="B106" s="16" t="n">
        <f aca="false">$E$15+$A106*$D$15</f>
        <v>150</v>
      </c>
      <c r="C106" s="16" t="n">
        <f aca="false">$E$16+$A106*$D$16</f>
        <v>3180</v>
      </c>
      <c r="D106" s="16" t="n">
        <f aca="false">$E$17+$A106*$D$17</f>
        <v>4600</v>
      </c>
      <c r="E106" s="16" t="n">
        <f aca="false">$E$18+$A106*$D$18</f>
        <v>5232.5</v>
      </c>
      <c r="F106" s="16" t="n">
        <f aca="false">$E$19+$A106*$D$19</f>
        <v>5480</v>
      </c>
      <c r="G106" s="16" t="n">
        <f aca="false">$E$20+$A106*$D$20</f>
        <v>5539.375</v>
      </c>
      <c r="H106" s="16" t="n">
        <f aca="false">$E$21+$A106*$D$21</f>
        <v>5506.875</v>
      </c>
      <c r="I106" s="12" t="n">
        <f aca="false">MATCH(MAX(B106:H106),B106:H106,0)-1</f>
        <v>5</v>
      </c>
    </row>
    <row r="107" customFormat="false" ht="15" hidden="false" customHeight="false" outlineLevel="0" collapsed="false">
      <c r="A107" s="15" t="n">
        <f aca="false">A106+0.5</f>
        <v>39.5</v>
      </c>
      <c r="B107" s="16" t="n">
        <f aca="false">$E$15+$A107*$D$15</f>
        <v>150</v>
      </c>
      <c r="C107" s="16" t="n">
        <f aca="false">$E$16+$A107*$D$16</f>
        <v>3215</v>
      </c>
      <c r="D107" s="16" t="n">
        <f aca="false">$E$17+$A107*$D$17</f>
        <v>4652.5</v>
      </c>
      <c r="E107" s="16" t="n">
        <f aca="false">$E$18+$A107*$D$18</f>
        <v>5293.75</v>
      </c>
      <c r="F107" s="16" t="n">
        <f aca="false">$E$19+$A107*$D$19</f>
        <v>5545.625</v>
      </c>
      <c r="G107" s="16" t="n">
        <f aca="false">$E$20+$A107*$D$20</f>
        <v>5607.1875</v>
      </c>
      <c r="H107" s="16" t="n">
        <f aca="false">$E$21+$A107*$D$21</f>
        <v>5575.78125</v>
      </c>
      <c r="I107" s="12" t="n">
        <f aca="false">MATCH(MAX(B107:H107),B107:H107,0)-1</f>
        <v>5</v>
      </c>
    </row>
    <row r="108" customFormat="false" ht="15" hidden="false" customHeight="false" outlineLevel="0" collapsed="false">
      <c r="A108" s="15" t="n">
        <f aca="false">A107+0.5</f>
        <v>40</v>
      </c>
      <c r="B108" s="16" t="n">
        <f aca="false">$E$15+$A108*$D$15</f>
        <v>150</v>
      </c>
      <c r="C108" s="16" t="n">
        <f aca="false">$E$16+$A108*$D$16</f>
        <v>3250</v>
      </c>
      <c r="D108" s="16" t="n">
        <f aca="false">$E$17+$A108*$D$17</f>
        <v>4705</v>
      </c>
      <c r="E108" s="16" t="n">
        <f aca="false">$E$18+$A108*$D$18</f>
        <v>5355</v>
      </c>
      <c r="F108" s="16" t="n">
        <f aca="false">$E$19+$A108*$D$19</f>
        <v>5611.25</v>
      </c>
      <c r="G108" s="16" t="n">
        <f aca="false">$E$20+$A108*$D$20</f>
        <v>5675</v>
      </c>
      <c r="H108" s="16" t="n">
        <f aca="false">$E$21+$A108*$D$21</f>
        <v>5644.6875</v>
      </c>
      <c r="I108" s="12" t="n">
        <f aca="false">MATCH(MAX(B108:H108),B108:H108,0)-1</f>
        <v>5</v>
      </c>
    </row>
    <row r="109" customFormat="false" ht="15" hidden="false" customHeight="false" outlineLevel="0" collapsed="false">
      <c r="A109" s="15" t="n">
        <f aca="false">A108+0.5</f>
        <v>40.5</v>
      </c>
      <c r="B109" s="16" t="n">
        <f aca="false">$E$15+$A109*$D$15</f>
        <v>150</v>
      </c>
      <c r="C109" s="16" t="n">
        <f aca="false">$E$16+$A109*$D$16</f>
        <v>3285</v>
      </c>
      <c r="D109" s="16" t="n">
        <f aca="false">$E$17+$A109*$D$17</f>
        <v>4757.5</v>
      </c>
      <c r="E109" s="16" t="n">
        <f aca="false">$E$18+$A109*$D$18</f>
        <v>5416.25</v>
      </c>
      <c r="F109" s="16" t="n">
        <f aca="false">$E$19+$A109*$D$19</f>
        <v>5676.875</v>
      </c>
      <c r="G109" s="16" t="n">
        <f aca="false">$E$20+$A109*$D$20</f>
        <v>5742.8125</v>
      </c>
      <c r="H109" s="16" t="n">
        <f aca="false">$E$21+$A109*$D$21</f>
        <v>5713.59375</v>
      </c>
      <c r="I109" s="12" t="n">
        <f aca="false">MATCH(MAX(B109:H109),B109:H109,0)-1</f>
        <v>5</v>
      </c>
    </row>
    <row r="110" customFormat="false" ht="15" hidden="false" customHeight="false" outlineLevel="0" collapsed="false">
      <c r="A110" s="15" t="n">
        <f aca="false">A109+0.5</f>
        <v>41</v>
      </c>
      <c r="B110" s="16" t="n">
        <f aca="false">$E$15+$A110*$D$15</f>
        <v>150</v>
      </c>
      <c r="C110" s="16" t="n">
        <f aca="false">$E$16+$A110*$D$16</f>
        <v>3320</v>
      </c>
      <c r="D110" s="16" t="n">
        <f aca="false">$E$17+$A110*$D$17</f>
        <v>4810</v>
      </c>
      <c r="E110" s="16" t="n">
        <f aca="false">$E$18+$A110*$D$18</f>
        <v>5477.5</v>
      </c>
      <c r="F110" s="16" t="n">
        <f aca="false">$E$19+$A110*$D$19</f>
        <v>5742.5</v>
      </c>
      <c r="G110" s="16" t="n">
        <f aca="false">$E$20+$A110*$D$20</f>
        <v>5810.625</v>
      </c>
      <c r="H110" s="16" t="n">
        <f aca="false">$E$21+$A110*$D$21</f>
        <v>5782.5</v>
      </c>
      <c r="I110" s="12" t="n">
        <f aca="false">MATCH(MAX(B110:H110),B110:H110,0)-1</f>
        <v>5</v>
      </c>
    </row>
    <row r="111" customFormat="false" ht="15" hidden="false" customHeight="false" outlineLevel="0" collapsed="false">
      <c r="A111" s="15" t="n">
        <f aca="false">A110+0.5</f>
        <v>41.5</v>
      </c>
      <c r="B111" s="16" t="n">
        <f aca="false">$E$15+$A111*$D$15</f>
        <v>150</v>
      </c>
      <c r="C111" s="16" t="n">
        <f aca="false">$E$16+$A111*$D$16</f>
        <v>3355</v>
      </c>
      <c r="D111" s="16" t="n">
        <f aca="false">$E$17+$A111*$D$17</f>
        <v>4862.5</v>
      </c>
      <c r="E111" s="16" t="n">
        <f aca="false">$E$18+$A111*$D$18</f>
        <v>5538.75</v>
      </c>
      <c r="F111" s="16" t="n">
        <f aca="false">$E$19+$A111*$D$19</f>
        <v>5808.125</v>
      </c>
      <c r="G111" s="16" t="n">
        <f aca="false">$E$20+$A111*$D$20</f>
        <v>5878.4375</v>
      </c>
      <c r="H111" s="16" t="n">
        <f aca="false">$E$21+$A111*$D$21</f>
        <v>5851.40625</v>
      </c>
      <c r="I111" s="12" t="n">
        <f aca="false">MATCH(MAX(B111:H111),B111:H111,0)-1</f>
        <v>5</v>
      </c>
    </row>
    <row r="112" customFormat="false" ht="15" hidden="false" customHeight="false" outlineLevel="0" collapsed="false">
      <c r="A112" s="15" t="n">
        <f aca="false">A111+0.5</f>
        <v>42</v>
      </c>
      <c r="B112" s="16" t="n">
        <f aca="false">$E$15+$A112*$D$15</f>
        <v>150</v>
      </c>
      <c r="C112" s="16" t="n">
        <f aca="false">$E$16+$A112*$D$16</f>
        <v>3390</v>
      </c>
      <c r="D112" s="16" t="n">
        <f aca="false">$E$17+$A112*$D$17</f>
        <v>4915</v>
      </c>
      <c r="E112" s="16" t="n">
        <f aca="false">$E$18+$A112*$D$18</f>
        <v>5600</v>
      </c>
      <c r="F112" s="16" t="n">
        <f aca="false">$E$19+$A112*$D$19</f>
        <v>5873.75</v>
      </c>
      <c r="G112" s="16" t="n">
        <f aca="false">$E$20+$A112*$D$20</f>
        <v>5946.25</v>
      </c>
      <c r="H112" s="16" t="n">
        <f aca="false">$E$21+$A112*$D$21</f>
        <v>5920.3125</v>
      </c>
      <c r="I112" s="12" t="n">
        <f aca="false">MATCH(MAX(B112:H112),B112:H112,0)-1</f>
        <v>5</v>
      </c>
    </row>
    <row r="113" customFormat="false" ht="15" hidden="false" customHeight="false" outlineLevel="0" collapsed="false">
      <c r="A113" s="15" t="n">
        <f aca="false">A112+0.5</f>
        <v>42.5</v>
      </c>
      <c r="B113" s="16" t="n">
        <f aca="false">$E$15+$A113*$D$15</f>
        <v>150</v>
      </c>
      <c r="C113" s="16" t="n">
        <f aca="false">$E$16+$A113*$D$16</f>
        <v>3425</v>
      </c>
      <c r="D113" s="16" t="n">
        <f aca="false">$E$17+$A113*$D$17</f>
        <v>4967.5</v>
      </c>
      <c r="E113" s="16" t="n">
        <f aca="false">$E$18+$A113*$D$18</f>
        <v>5661.25</v>
      </c>
      <c r="F113" s="16" t="n">
        <f aca="false">$E$19+$A113*$D$19</f>
        <v>5939.375</v>
      </c>
      <c r="G113" s="16" t="n">
        <f aca="false">$E$20+$A113*$D$20</f>
        <v>6014.0625</v>
      </c>
      <c r="H113" s="16" t="n">
        <f aca="false">$E$21+$A113*$D$21</f>
        <v>5989.21875</v>
      </c>
      <c r="I113" s="12" t="n">
        <f aca="false">MATCH(MAX(B113:H113),B113:H113,0)-1</f>
        <v>5</v>
      </c>
    </row>
    <row r="114" customFormat="false" ht="15" hidden="false" customHeight="false" outlineLevel="0" collapsed="false">
      <c r="A114" s="15" t="n">
        <f aca="false">A113+0.5</f>
        <v>43</v>
      </c>
      <c r="B114" s="16" t="n">
        <f aca="false">$E$15+$A114*$D$15</f>
        <v>150</v>
      </c>
      <c r="C114" s="16" t="n">
        <f aca="false">$E$16+$A114*$D$16</f>
        <v>3460</v>
      </c>
      <c r="D114" s="16" t="n">
        <f aca="false">$E$17+$A114*$D$17</f>
        <v>5020</v>
      </c>
      <c r="E114" s="16" t="n">
        <f aca="false">$E$18+$A114*$D$18</f>
        <v>5722.5</v>
      </c>
      <c r="F114" s="16" t="n">
        <f aca="false">$E$19+$A114*$D$19</f>
        <v>6005</v>
      </c>
      <c r="G114" s="16" t="n">
        <f aca="false">$E$20+$A114*$D$20</f>
        <v>6081.875</v>
      </c>
      <c r="H114" s="16" t="n">
        <f aca="false">$E$21+$A114*$D$21</f>
        <v>6058.125</v>
      </c>
      <c r="I114" s="12" t="n">
        <f aca="false">MATCH(MAX(B114:H114),B114:H114,0)-1</f>
        <v>5</v>
      </c>
    </row>
    <row r="115" customFormat="false" ht="15" hidden="false" customHeight="false" outlineLevel="0" collapsed="false">
      <c r="A115" s="15" t="n">
        <f aca="false">A114+0.5</f>
        <v>43.5</v>
      </c>
      <c r="B115" s="16" t="n">
        <f aca="false">$E$15+$A115*$D$15</f>
        <v>150</v>
      </c>
      <c r="C115" s="16" t="n">
        <f aca="false">$E$16+$A115*$D$16</f>
        <v>3495</v>
      </c>
      <c r="D115" s="16" t="n">
        <f aca="false">$E$17+$A115*$D$17</f>
        <v>5072.5</v>
      </c>
      <c r="E115" s="16" t="n">
        <f aca="false">$E$18+$A115*$D$18</f>
        <v>5783.75</v>
      </c>
      <c r="F115" s="16" t="n">
        <f aca="false">$E$19+$A115*$D$19</f>
        <v>6070.625</v>
      </c>
      <c r="G115" s="16" t="n">
        <f aca="false">$E$20+$A115*$D$20</f>
        <v>6149.6875</v>
      </c>
      <c r="H115" s="16" t="n">
        <f aca="false">$E$21+$A115*$D$21</f>
        <v>6127.03125</v>
      </c>
      <c r="I115" s="12" t="n">
        <f aca="false">MATCH(MAX(B115:H115),B115:H115,0)-1</f>
        <v>5</v>
      </c>
    </row>
    <row r="116" customFormat="false" ht="15" hidden="false" customHeight="false" outlineLevel="0" collapsed="false">
      <c r="A116" s="15" t="n">
        <f aca="false">A115+0.5</f>
        <v>44</v>
      </c>
      <c r="B116" s="16" t="n">
        <f aca="false">$E$15+$A116*$D$15</f>
        <v>150</v>
      </c>
      <c r="C116" s="16" t="n">
        <f aca="false">$E$16+$A116*$D$16</f>
        <v>3530</v>
      </c>
      <c r="D116" s="16" t="n">
        <f aca="false">$E$17+$A116*$D$17</f>
        <v>5125</v>
      </c>
      <c r="E116" s="16" t="n">
        <f aca="false">$E$18+$A116*$D$18</f>
        <v>5845</v>
      </c>
      <c r="F116" s="16" t="n">
        <f aca="false">$E$19+$A116*$D$19</f>
        <v>6136.25</v>
      </c>
      <c r="G116" s="16" t="n">
        <f aca="false">$E$20+$A116*$D$20</f>
        <v>6217.5</v>
      </c>
      <c r="H116" s="16" t="n">
        <f aca="false">$E$21+$A116*$D$21</f>
        <v>6195.9375</v>
      </c>
      <c r="I116" s="12" t="n">
        <f aca="false">MATCH(MAX(B116:H116),B116:H116,0)-1</f>
        <v>5</v>
      </c>
    </row>
    <row r="117" customFormat="false" ht="15" hidden="false" customHeight="false" outlineLevel="0" collapsed="false">
      <c r="A117" s="15" t="n">
        <f aca="false">A116+0.5</f>
        <v>44.5</v>
      </c>
      <c r="B117" s="16" t="n">
        <f aca="false">$E$15+$A117*$D$15</f>
        <v>150</v>
      </c>
      <c r="C117" s="16" t="n">
        <f aca="false">$E$16+$A117*$D$16</f>
        <v>3565</v>
      </c>
      <c r="D117" s="16" t="n">
        <f aca="false">$E$17+$A117*$D$17</f>
        <v>5177.5</v>
      </c>
      <c r="E117" s="16" t="n">
        <f aca="false">$E$18+$A117*$D$18</f>
        <v>5906.25</v>
      </c>
      <c r="F117" s="16" t="n">
        <f aca="false">$E$19+$A117*$D$19</f>
        <v>6201.875</v>
      </c>
      <c r="G117" s="16" t="n">
        <f aca="false">$E$20+$A117*$D$20</f>
        <v>6285.3125</v>
      </c>
      <c r="H117" s="16" t="n">
        <f aca="false">$E$21+$A117*$D$21</f>
        <v>6264.84375</v>
      </c>
      <c r="I117" s="12" t="n">
        <f aca="false">MATCH(MAX(B117:H117),B117:H117,0)-1</f>
        <v>5</v>
      </c>
    </row>
    <row r="118" customFormat="false" ht="15" hidden="false" customHeight="false" outlineLevel="0" collapsed="false">
      <c r="A118" s="15" t="n">
        <f aca="false">A117+0.5</f>
        <v>45</v>
      </c>
      <c r="B118" s="16" t="n">
        <f aca="false">$E$15+$A118*$D$15</f>
        <v>150</v>
      </c>
      <c r="C118" s="16" t="n">
        <f aca="false">$E$16+$A118*$D$16</f>
        <v>3600</v>
      </c>
      <c r="D118" s="16" t="n">
        <f aca="false">$E$17+$A118*$D$17</f>
        <v>5230</v>
      </c>
      <c r="E118" s="16" t="n">
        <f aca="false">$E$18+$A118*$D$18</f>
        <v>5967.5</v>
      </c>
      <c r="F118" s="16" t="n">
        <f aca="false">$E$19+$A118*$D$19</f>
        <v>6267.5</v>
      </c>
      <c r="G118" s="16" t="n">
        <f aca="false">$E$20+$A118*$D$20</f>
        <v>6353.125</v>
      </c>
      <c r="H118" s="16" t="n">
        <f aca="false">$E$21+$A118*$D$21</f>
        <v>6333.75</v>
      </c>
      <c r="I118" s="12" t="n">
        <f aca="false">MATCH(MAX(B118:H118),B118:H118,0)-1</f>
        <v>5</v>
      </c>
    </row>
    <row r="119" customFormat="false" ht="15" hidden="false" customHeight="false" outlineLevel="0" collapsed="false">
      <c r="A119" s="15" t="n">
        <f aca="false">A118+0.5</f>
        <v>45.5</v>
      </c>
      <c r="B119" s="16" t="n">
        <f aca="false">$E$15+$A119*$D$15</f>
        <v>150</v>
      </c>
      <c r="C119" s="16" t="n">
        <f aca="false">$E$16+$A119*$D$16</f>
        <v>3635</v>
      </c>
      <c r="D119" s="16" t="n">
        <f aca="false">$E$17+$A119*$D$17</f>
        <v>5282.5</v>
      </c>
      <c r="E119" s="16" t="n">
        <f aca="false">$E$18+$A119*$D$18</f>
        <v>6028.75</v>
      </c>
      <c r="F119" s="16" t="n">
        <f aca="false">$E$19+$A119*$D$19</f>
        <v>6333.125</v>
      </c>
      <c r="G119" s="16" t="n">
        <f aca="false">$E$20+$A119*$D$20</f>
        <v>6420.9375</v>
      </c>
      <c r="H119" s="16" t="n">
        <f aca="false">$E$21+$A119*$D$21</f>
        <v>6402.65625</v>
      </c>
      <c r="I119" s="12" t="n">
        <f aca="false">MATCH(MAX(B119:H119),B119:H119,0)-1</f>
        <v>5</v>
      </c>
    </row>
    <row r="120" customFormat="false" ht="15" hidden="false" customHeight="false" outlineLevel="0" collapsed="false">
      <c r="A120" s="15" t="n">
        <f aca="false">A119+0.5</f>
        <v>46</v>
      </c>
      <c r="B120" s="16" t="n">
        <f aca="false">$E$15+$A120*$D$15</f>
        <v>150</v>
      </c>
      <c r="C120" s="16" t="n">
        <f aca="false">$E$16+$A120*$D$16</f>
        <v>3670</v>
      </c>
      <c r="D120" s="16" t="n">
        <f aca="false">$E$17+$A120*$D$17</f>
        <v>5335</v>
      </c>
      <c r="E120" s="16" t="n">
        <f aca="false">$E$18+$A120*$D$18</f>
        <v>6090</v>
      </c>
      <c r="F120" s="16" t="n">
        <f aca="false">$E$19+$A120*$D$19</f>
        <v>6398.75</v>
      </c>
      <c r="G120" s="16" t="n">
        <f aca="false">$E$20+$A120*$D$20</f>
        <v>6488.75</v>
      </c>
      <c r="H120" s="16" t="n">
        <f aca="false">$E$21+$A120*$D$21</f>
        <v>6471.5625</v>
      </c>
      <c r="I120" s="12" t="n">
        <f aca="false">MATCH(MAX(B120:H120),B120:H120,0)-1</f>
        <v>5</v>
      </c>
    </row>
    <row r="121" customFormat="false" ht="15" hidden="false" customHeight="false" outlineLevel="0" collapsed="false">
      <c r="A121" s="15" t="n">
        <f aca="false">A120+0.5</f>
        <v>46.5</v>
      </c>
      <c r="B121" s="16" t="n">
        <f aca="false">$E$15+$A121*$D$15</f>
        <v>150</v>
      </c>
      <c r="C121" s="16" t="n">
        <f aca="false">$E$16+$A121*$D$16</f>
        <v>3705</v>
      </c>
      <c r="D121" s="16" t="n">
        <f aca="false">$E$17+$A121*$D$17</f>
        <v>5387.5</v>
      </c>
      <c r="E121" s="16" t="n">
        <f aca="false">$E$18+$A121*$D$18</f>
        <v>6151.25</v>
      </c>
      <c r="F121" s="16" t="n">
        <f aca="false">$E$19+$A121*$D$19</f>
        <v>6464.375</v>
      </c>
      <c r="G121" s="16" t="n">
        <f aca="false">$E$20+$A121*$D$20</f>
        <v>6556.5625</v>
      </c>
      <c r="H121" s="16" t="n">
        <f aca="false">$E$21+$A121*$D$21</f>
        <v>6540.46875</v>
      </c>
      <c r="I121" s="12" t="n">
        <f aca="false">MATCH(MAX(B121:H121),B121:H121,0)-1</f>
        <v>5</v>
      </c>
    </row>
    <row r="122" customFormat="false" ht="15" hidden="false" customHeight="false" outlineLevel="0" collapsed="false">
      <c r="A122" s="15" t="n">
        <f aca="false">A121+0.5</f>
        <v>47</v>
      </c>
      <c r="B122" s="16" t="n">
        <f aca="false">$E$15+$A122*$D$15</f>
        <v>150</v>
      </c>
      <c r="C122" s="16" t="n">
        <f aca="false">$E$16+$A122*$D$16</f>
        <v>3740</v>
      </c>
      <c r="D122" s="16" t="n">
        <f aca="false">$E$17+$A122*$D$17</f>
        <v>5440</v>
      </c>
      <c r="E122" s="16" t="n">
        <f aca="false">$E$18+$A122*$D$18</f>
        <v>6212.5</v>
      </c>
      <c r="F122" s="16" t="n">
        <f aca="false">$E$19+$A122*$D$19</f>
        <v>6530</v>
      </c>
      <c r="G122" s="16" t="n">
        <f aca="false">$E$20+$A122*$D$20</f>
        <v>6624.375</v>
      </c>
      <c r="H122" s="16" t="n">
        <f aca="false">$E$21+$A122*$D$21</f>
        <v>6609.375</v>
      </c>
      <c r="I122" s="12" t="n">
        <f aca="false">MATCH(MAX(B122:H122),B122:H122,0)-1</f>
        <v>5</v>
      </c>
    </row>
    <row r="123" customFormat="false" ht="15" hidden="false" customHeight="false" outlineLevel="0" collapsed="false">
      <c r="A123" s="15" t="n">
        <f aca="false">A122+0.5</f>
        <v>47.5</v>
      </c>
      <c r="B123" s="16" t="n">
        <f aca="false">$E$15+$A123*$D$15</f>
        <v>150</v>
      </c>
      <c r="C123" s="16" t="n">
        <f aca="false">$E$16+$A123*$D$16</f>
        <v>3775</v>
      </c>
      <c r="D123" s="16" t="n">
        <f aca="false">$E$17+$A123*$D$17</f>
        <v>5492.5</v>
      </c>
      <c r="E123" s="16" t="n">
        <f aca="false">$E$18+$A123*$D$18</f>
        <v>6273.75</v>
      </c>
      <c r="F123" s="16" t="n">
        <f aca="false">$E$19+$A123*$D$19</f>
        <v>6595.625</v>
      </c>
      <c r="G123" s="16" t="n">
        <f aca="false">$E$20+$A123*$D$20</f>
        <v>6692.1875</v>
      </c>
      <c r="H123" s="16" t="n">
        <f aca="false">$E$21+$A123*$D$21</f>
        <v>6678.28125</v>
      </c>
      <c r="I123" s="12" t="n">
        <f aca="false">MATCH(MAX(B123:H123),B123:H123,0)-1</f>
        <v>5</v>
      </c>
    </row>
    <row r="124" customFormat="false" ht="15" hidden="false" customHeight="false" outlineLevel="0" collapsed="false">
      <c r="A124" s="15" t="n">
        <f aca="false">A123+0.5</f>
        <v>48</v>
      </c>
      <c r="B124" s="16" t="n">
        <f aca="false">$E$15+$A124*$D$15</f>
        <v>150</v>
      </c>
      <c r="C124" s="16" t="n">
        <f aca="false">$E$16+$A124*$D$16</f>
        <v>3810</v>
      </c>
      <c r="D124" s="16" t="n">
        <f aca="false">$E$17+$A124*$D$17</f>
        <v>5545</v>
      </c>
      <c r="E124" s="16" t="n">
        <f aca="false">$E$18+$A124*$D$18</f>
        <v>6335</v>
      </c>
      <c r="F124" s="16" t="n">
        <f aca="false">$E$19+$A124*$D$19</f>
        <v>6661.25</v>
      </c>
      <c r="G124" s="16" t="n">
        <f aca="false">$E$20+$A124*$D$20</f>
        <v>6760</v>
      </c>
      <c r="H124" s="16" t="n">
        <f aca="false">$E$21+$A124*$D$21</f>
        <v>6747.1875</v>
      </c>
      <c r="I124" s="12" t="n">
        <f aca="false">MATCH(MAX(B124:H124),B124:H124,0)-1</f>
        <v>5</v>
      </c>
    </row>
    <row r="125" customFormat="false" ht="15" hidden="false" customHeight="false" outlineLevel="0" collapsed="false">
      <c r="A125" s="15" t="n">
        <f aca="false">A124+0.5</f>
        <v>48.5</v>
      </c>
      <c r="B125" s="16" t="n">
        <f aca="false">$E$15+$A125*$D$15</f>
        <v>150</v>
      </c>
      <c r="C125" s="16" t="n">
        <f aca="false">$E$16+$A125*$D$16</f>
        <v>3845</v>
      </c>
      <c r="D125" s="16" t="n">
        <f aca="false">$E$17+$A125*$D$17</f>
        <v>5597.5</v>
      </c>
      <c r="E125" s="16" t="n">
        <f aca="false">$E$18+$A125*$D$18</f>
        <v>6396.25</v>
      </c>
      <c r="F125" s="16" t="n">
        <f aca="false">$E$19+$A125*$D$19</f>
        <v>6726.875</v>
      </c>
      <c r="G125" s="16" t="n">
        <f aca="false">$E$20+$A125*$D$20</f>
        <v>6827.8125</v>
      </c>
      <c r="H125" s="16" t="n">
        <f aca="false">$E$21+$A125*$D$21</f>
        <v>6816.09375</v>
      </c>
      <c r="I125" s="12" t="n">
        <f aca="false">MATCH(MAX(B125:H125),B125:H125,0)-1</f>
        <v>5</v>
      </c>
    </row>
    <row r="126" customFormat="false" ht="15" hidden="false" customHeight="false" outlineLevel="0" collapsed="false">
      <c r="A126" s="15" t="n">
        <f aca="false">A125+0.5</f>
        <v>49</v>
      </c>
      <c r="B126" s="16" t="n">
        <f aca="false">$E$15+$A126*$D$15</f>
        <v>150</v>
      </c>
      <c r="C126" s="16" t="n">
        <f aca="false">$E$16+$A126*$D$16</f>
        <v>3880</v>
      </c>
      <c r="D126" s="16" t="n">
        <f aca="false">$E$17+$A126*$D$17</f>
        <v>5650</v>
      </c>
      <c r="E126" s="16" t="n">
        <f aca="false">$E$18+$A126*$D$18</f>
        <v>6457.5</v>
      </c>
      <c r="F126" s="16" t="n">
        <f aca="false">$E$19+$A126*$D$19</f>
        <v>6792.5</v>
      </c>
      <c r="G126" s="16" t="n">
        <f aca="false">$E$20+$A126*$D$20</f>
        <v>6895.625</v>
      </c>
      <c r="H126" s="16" t="n">
        <f aca="false">$E$21+$A126*$D$21</f>
        <v>6885</v>
      </c>
      <c r="I126" s="12" t="n">
        <f aca="false">MATCH(MAX(B126:H126),B126:H126,0)-1</f>
        <v>5</v>
      </c>
    </row>
    <row r="127" customFormat="false" ht="15" hidden="false" customHeight="false" outlineLevel="0" collapsed="false">
      <c r="A127" s="15" t="n">
        <f aca="false">A126+0.5</f>
        <v>49.5</v>
      </c>
      <c r="B127" s="16" t="n">
        <f aca="false">$E$15+$A127*$D$15</f>
        <v>150</v>
      </c>
      <c r="C127" s="16" t="n">
        <f aca="false">$E$16+$A127*$D$16</f>
        <v>3915</v>
      </c>
      <c r="D127" s="16" t="n">
        <f aca="false">$E$17+$A127*$D$17</f>
        <v>5702.5</v>
      </c>
      <c r="E127" s="16" t="n">
        <f aca="false">$E$18+$A127*$D$18</f>
        <v>6518.75</v>
      </c>
      <c r="F127" s="16" t="n">
        <f aca="false">$E$19+$A127*$D$19</f>
        <v>6858.125</v>
      </c>
      <c r="G127" s="16" t="n">
        <f aca="false">$E$20+$A127*$D$20</f>
        <v>6963.4375</v>
      </c>
      <c r="H127" s="16" t="n">
        <f aca="false">$E$21+$A127*$D$21</f>
        <v>6953.90625</v>
      </c>
      <c r="I127" s="12" t="n">
        <f aca="false">MATCH(MAX(B127:H127),B127:H127,0)-1</f>
        <v>5</v>
      </c>
    </row>
    <row r="128" customFormat="false" ht="15" hidden="false" customHeight="false" outlineLevel="0" collapsed="false">
      <c r="A128" s="15" t="n">
        <f aca="false">A127+0.5</f>
        <v>50</v>
      </c>
      <c r="B128" s="16" t="n">
        <f aca="false">$E$15+$A128*$D$15</f>
        <v>150</v>
      </c>
      <c r="C128" s="16" t="n">
        <f aca="false">$E$16+$A128*$D$16</f>
        <v>3950</v>
      </c>
      <c r="D128" s="16" t="n">
        <f aca="false">$E$17+$A128*$D$17</f>
        <v>5755</v>
      </c>
      <c r="E128" s="16" t="n">
        <f aca="false">$E$18+$A128*$D$18</f>
        <v>6580</v>
      </c>
      <c r="F128" s="16" t="n">
        <f aca="false">$E$19+$A128*$D$19</f>
        <v>6923.75</v>
      </c>
      <c r="G128" s="16" t="n">
        <f aca="false">$E$20+$A128*$D$20</f>
        <v>7031.25</v>
      </c>
      <c r="H128" s="16" t="n">
        <f aca="false">$E$21+$A128*$D$21</f>
        <v>7022.8125</v>
      </c>
      <c r="I128" s="12" t="n">
        <f aca="false">MATCH(MAX(B128:H128),B128:H128,0)-1</f>
        <v>5</v>
      </c>
    </row>
    <row r="129" customFormat="false" ht="15" hidden="false" customHeight="false" outlineLevel="0" collapsed="false">
      <c r="A129" s="15" t="n">
        <f aca="false">A128+0.5</f>
        <v>50.5</v>
      </c>
      <c r="B129" s="16" t="n">
        <f aca="false">$E$15+$A129*$D$15</f>
        <v>150</v>
      </c>
      <c r="C129" s="16" t="n">
        <f aca="false">$E$16+$A129*$D$16</f>
        <v>3985</v>
      </c>
      <c r="D129" s="16" t="n">
        <f aca="false">$E$17+$A129*$D$17</f>
        <v>5807.5</v>
      </c>
      <c r="E129" s="16" t="n">
        <f aca="false">$E$18+$A129*$D$18</f>
        <v>6641.25</v>
      </c>
      <c r="F129" s="16" t="n">
        <f aca="false">$E$19+$A129*$D$19</f>
        <v>6989.375</v>
      </c>
      <c r="G129" s="16" t="n">
        <f aca="false">$E$20+$A129*$D$20</f>
        <v>7099.0625</v>
      </c>
      <c r="H129" s="16" t="n">
        <f aca="false">$E$21+$A129*$D$21</f>
        <v>7091.71875</v>
      </c>
      <c r="I129" s="12" t="n">
        <f aca="false">MATCH(MAX(B129:H129),B129:H129,0)-1</f>
        <v>5</v>
      </c>
    </row>
    <row r="130" customFormat="false" ht="15" hidden="false" customHeight="false" outlineLevel="0" collapsed="false">
      <c r="A130" s="15" t="n">
        <f aca="false">A129+0.5</f>
        <v>51</v>
      </c>
      <c r="B130" s="16" t="n">
        <f aca="false">$E$15+$A130*$D$15</f>
        <v>150</v>
      </c>
      <c r="C130" s="16" t="n">
        <f aca="false">$E$16+$A130*$D$16</f>
        <v>4020</v>
      </c>
      <c r="D130" s="16" t="n">
        <f aca="false">$E$17+$A130*$D$17</f>
        <v>5860</v>
      </c>
      <c r="E130" s="16" t="n">
        <f aca="false">$E$18+$A130*$D$18</f>
        <v>6702.5</v>
      </c>
      <c r="F130" s="16" t="n">
        <f aca="false">$E$19+$A130*$D$19</f>
        <v>7055</v>
      </c>
      <c r="G130" s="16" t="n">
        <f aca="false">$E$20+$A130*$D$20</f>
        <v>7166.875</v>
      </c>
      <c r="H130" s="16" t="n">
        <f aca="false">$E$21+$A130*$D$21</f>
        <v>7160.625</v>
      </c>
      <c r="I130" s="12" t="n">
        <f aca="false">MATCH(MAX(B130:H130),B130:H130,0)-1</f>
        <v>5</v>
      </c>
    </row>
    <row r="131" customFormat="false" ht="15" hidden="false" customHeight="false" outlineLevel="0" collapsed="false">
      <c r="A131" s="15" t="n">
        <f aca="false">A130+0.5</f>
        <v>51.5</v>
      </c>
      <c r="B131" s="16" t="n">
        <f aca="false">$E$15+$A131*$D$15</f>
        <v>150</v>
      </c>
      <c r="C131" s="16" t="n">
        <f aca="false">$E$16+$A131*$D$16</f>
        <v>4055</v>
      </c>
      <c r="D131" s="16" t="n">
        <f aca="false">$E$17+$A131*$D$17</f>
        <v>5912.5</v>
      </c>
      <c r="E131" s="16" t="n">
        <f aca="false">$E$18+$A131*$D$18</f>
        <v>6763.75</v>
      </c>
      <c r="F131" s="16" t="n">
        <f aca="false">$E$19+$A131*$D$19</f>
        <v>7120.625</v>
      </c>
      <c r="G131" s="16" t="n">
        <f aca="false">$E$20+$A131*$D$20</f>
        <v>7234.6875</v>
      </c>
      <c r="H131" s="16" t="n">
        <f aca="false">$E$21+$A131*$D$21</f>
        <v>7229.53125</v>
      </c>
      <c r="I131" s="12" t="n">
        <f aca="false">MATCH(MAX(B131:H131),B131:H131,0)-1</f>
        <v>5</v>
      </c>
    </row>
    <row r="132" customFormat="false" ht="15" hidden="false" customHeight="false" outlineLevel="0" collapsed="false">
      <c r="A132" s="15" t="n">
        <f aca="false">A131+0.5</f>
        <v>52</v>
      </c>
      <c r="B132" s="16" t="n">
        <f aca="false">$E$15+$A132*$D$15</f>
        <v>150</v>
      </c>
      <c r="C132" s="16" t="n">
        <f aca="false">$E$16+$A132*$D$16</f>
        <v>4090</v>
      </c>
      <c r="D132" s="16" t="n">
        <f aca="false">$E$17+$A132*$D$17</f>
        <v>5965</v>
      </c>
      <c r="E132" s="16" t="n">
        <f aca="false">$E$18+$A132*$D$18</f>
        <v>6825</v>
      </c>
      <c r="F132" s="16" t="n">
        <f aca="false">$E$19+$A132*$D$19</f>
        <v>7186.25</v>
      </c>
      <c r="G132" s="16" t="n">
        <f aca="false">$E$20+$A132*$D$20</f>
        <v>7302.5</v>
      </c>
      <c r="H132" s="16" t="n">
        <f aca="false">$E$21+$A132*$D$21</f>
        <v>7298.4375</v>
      </c>
      <c r="I132" s="12" t="n">
        <f aca="false">MATCH(MAX(B132:H132),B132:H132,0)-1</f>
        <v>5</v>
      </c>
    </row>
    <row r="133" customFormat="false" ht="15" hidden="false" customHeight="false" outlineLevel="0" collapsed="false">
      <c r="A133" s="15" t="n">
        <f aca="false">A132+0.5</f>
        <v>52.5</v>
      </c>
      <c r="B133" s="16" t="n">
        <f aca="false">$E$15+$A133*$D$15</f>
        <v>150</v>
      </c>
      <c r="C133" s="16" t="n">
        <f aca="false">$E$16+$A133*$D$16</f>
        <v>4125</v>
      </c>
      <c r="D133" s="16" t="n">
        <f aca="false">$E$17+$A133*$D$17</f>
        <v>6017.5</v>
      </c>
      <c r="E133" s="16" t="n">
        <f aca="false">$E$18+$A133*$D$18</f>
        <v>6886.25</v>
      </c>
      <c r="F133" s="16" t="n">
        <f aca="false">$E$19+$A133*$D$19</f>
        <v>7251.875</v>
      </c>
      <c r="G133" s="16" t="n">
        <f aca="false">$E$20+$A133*$D$20</f>
        <v>7370.3125</v>
      </c>
      <c r="H133" s="16" t="n">
        <f aca="false">$E$21+$A133*$D$21</f>
        <v>7367.34375</v>
      </c>
      <c r="I133" s="12" t="n">
        <f aca="false">MATCH(MAX(B133:H133),B133:H133,0)-1</f>
        <v>5</v>
      </c>
    </row>
    <row r="134" customFormat="false" ht="15" hidden="false" customHeight="false" outlineLevel="0" collapsed="false">
      <c r="A134" s="15" t="n">
        <f aca="false">A133+0.5</f>
        <v>53</v>
      </c>
      <c r="B134" s="16" t="n">
        <f aca="false">$E$15+$A134*$D$15</f>
        <v>150</v>
      </c>
      <c r="C134" s="16" t="n">
        <f aca="false">$E$16+$A134*$D$16</f>
        <v>4160</v>
      </c>
      <c r="D134" s="16" t="n">
        <f aca="false">$E$17+$A134*$D$17</f>
        <v>6070</v>
      </c>
      <c r="E134" s="16" t="n">
        <f aca="false">$E$18+$A134*$D$18</f>
        <v>6947.5</v>
      </c>
      <c r="F134" s="16" t="n">
        <f aca="false">$E$19+$A134*$D$19</f>
        <v>7317.5</v>
      </c>
      <c r="G134" s="16" t="n">
        <f aca="false">$E$20+$A134*$D$20</f>
        <v>7438.125</v>
      </c>
      <c r="H134" s="16" t="n">
        <f aca="false">$E$21+$A134*$D$21</f>
        <v>7436.25</v>
      </c>
      <c r="I134" s="12" t="n">
        <f aca="false">MATCH(MAX(B134:H134),B134:H134,0)-1</f>
        <v>5</v>
      </c>
    </row>
    <row r="135" customFormat="false" ht="15" hidden="false" customHeight="false" outlineLevel="0" collapsed="false">
      <c r="A135" s="15" t="n">
        <f aca="false">A134+0.5</f>
        <v>53.5</v>
      </c>
      <c r="B135" s="16" t="n">
        <f aca="false">$E$15+$A135*$D$15</f>
        <v>150</v>
      </c>
      <c r="C135" s="16" t="n">
        <f aca="false">$E$16+$A135*$D$16</f>
        <v>4195</v>
      </c>
      <c r="D135" s="16" t="n">
        <f aca="false">$E$17+$A135*$D$17</f>
        <v>6122.5</v>
      </c>
      <c r="E135" s="16" t="n">
        <f aca="false">$E$18+$A135*$D$18</f>
        <v>7008.75</v>
      </c>
      <c r="F135" s="16" t="n">
        <f aca="false">$E$19+$A135*$D$19</f>
        <v>7383.125</v>
      </c>
      <c r="G135" s="16" t="n">
        <f aca="false">$E$20+$A135*$D$20</f>
        <v>7505.9375</v>
      </c>
      <c r="H135" s="16" t="n">
        <f aca="false">$E$21+$A135*$D$21</f>
        <v>7505.15625</v>
      </c>
      <c r="I135" s="12" t="n">
        <f aca="false">MATCH(MAX(B135:H135),B135:H135,0)-1</f>
        <v>5</v>
      </c>
    </row>
    <row r="136" customFormat="false" ht="15" hidden="false" customHeight="false" outlineLevel="0" collapsed="false">
      <c r="A136" s="15" t="n">
        <f aca="false">A135+0.5</f>
        <v>54</v>
      </c>
      <c r="B136" s="16" t="n">
        <f aca="false">$E$15+$A136*$D$15</f>
        <v>150</v>
      </c>
      <c r="C136" s="16" t="n">
        <f aca="false">$E$16+$A136*$D$16</f>
        <v>4230</v>
      </c>
      <c r="D136" s="16" t="n">
        <f aca="false">$E$17+$A136*$D$17</f>
        <v>6175</v>
      </c>
      <c r="E136" s="16" t="n">
        <f aca="false">$E$18+$A136*$D$18</f>
        <v>7070</v>
      </c>
      <c r="F136" s="16" t="n">
        <f aca="false">$E$19+$A136*$D$19</f>
        <v>7448.75</v>
      </c>
      <c r="G136" s="16" t="n">
        <f aca="false">$E$20+$A136*$D$20</f>
        <v>7573.75</v>
      </c>
      <c r="H136" s="16" t="n">
        <f aca="false">$E$21+$A136*$D$21</f>
        <v>7574.0625</v>
      </c>
      <c r="I136" s="12" t="n">
        <f aca="false">MATCH(MAX(B136:H136),B136:H136,0)-1</f>
        <v>6</v>
      </c>
    </row>
    <row r="137" customFormat="false" ht="15" hidden="false" customHeight="false" outlineLevel="0" collapsed="false">
      <c r="A137" s="15" t="n">
        <f aca="false">A136+0.5</f>
        <v>54.5</v>
      </c>
      <c r="B137" s="16" t="n">
        <f aca="false">$E$15+$A137*$D$15</f>
        <v>150</v>
      </c>
      <c r="C137" s="16" t="n">
        <f aca="false">$E$16+$A137*$D$16</f>
        <v>4265</v>
      </c>
      <c r="D137" s="16" t="n">
        <f aca="false">$E$17+$A137*$D$17</f>
        <v>6227.5</v>
      </c>
      <c r="E137" s="16" t="n">
        <f aca="false">$E$18+$A137*$D$18</f>
        <v>7131.25</v>
      </c>
      <c r="F137" s="16" t="n">
        <f aca="false">$E$19+$A137*$D$19</f>
        <v>7514.375</v>
      </c>
      <c r="G137" s="16" t="n">
        <f aca="false">$E$20+$A137*$D$20</f>
        <v>7641.5625</v>
      </c>
      <c r="H137" s="16" t="n">
        <f aca="false">$E$21+$A137*$D$21</f>
        <v>7642.96875</v>
      </c>
      <c r="I137" s="12" t="n">
        <f aca="false">MATCH(MAX(B137:H137),B137:H137,0)-1</f>
        <v>6</v>
      </c>
    </row>
    <row r="138" customFormat="false" ht="15" hidden="false" customHeight="false" outlineLevel="0" collapsed="false">
      <c r="A138" s="15" t="n">
        <f aca="false">A137+0.5</f>
        <v>55</v>
      </c>
      <c r="B138" s="16" t="n">
        <f aca="false">$E$15+$A138*$D$15</f>
        <v>150</v>
      </c>
      <c r="C138" s="16" t="n">
        <f aca="false">$E$16+$A138*$D$16</f>
        <v>4300</v>
      </c>
      <c r="D138" s="16" t="n">
        <f aca="false">$E$17+$A138*$D$17</f>
        <v>6280</v>
      </c>
      <c r="E138" s="16" t="n">
        <f aca="false">$E$18+$A138*$D$18</f>
        <v>7192.5</v>
      </c>
      <c r="F138" s="16" t="n">
        <f aca="false">$E$19+$A138*$D$19</f>
        <v>7580</v>
      </c>
      <c r="G138" s="16" t="n">
        <f aca="false">$E$20+$A138*$D$20</f>
        <v>7709.375</v>
      </c>
      <c r="H138" s="16" t="n">
        <f aca="false">$E$21+$A138*$D$21</f>
        <v>7711.875</v>
      </c>
      <c r="I138" s="12" t="n">
        <f aca="false">MATCH(MAX(B138:H138),B138:H138,0)-1</f>
        <v>6</v>
      </c>
    </row>
    <row r="139" customFormat="false" ht="15" hidden="false" customHeight="false" outlineLevel="0" collapsed="false">
      <c r="A139" s="15" t="n">
        <f aca="false">A138+0.5</f>
        <v>55.5</v>
      </c>
      <c r="B139" s="16" t="n">
        <f aca="false">$E$15+$A139*$D$15</f>
        <v>150</v>
      </c>
      <c r="C139" s="16" t="n">
        <f aca="false">$E$16+$A139*$D$16</f>
        <v>4335</v>
      </c>
      <c r="D139" s="16" t="n">
        <f aca="false">$E$17+$A139*$D$17</f>
        <v>6332.5</v>
      </c>
      <c r="E139" s="16" t="n">
        <f aca="false">$E$18+$A139*$D$18</f>
        <v>7253.75</v>
      </c>
      <c r="F139" s="16" t="n">
        <f aca="false">$E$19+$A139*$D$19</f>
        <v>7645.625</v>
      </c>
      <c r="G139" s="16" t="n">
        <f aca="false">$E$20+$A139*$D$20</f>
        <v>7777.1875</v>
      </c>
      <c r="H139" s="16" t="n">
        <f aca="false">$E$21+$A139*$D$21</f>
        <v>7780.78125</v>
      </c>
      <c r="I139" s="12" t="n">
        <f aca="false">MATCH(MAX(B139:H139),B139:H139,0)-1</f>
        <v>6</v>
      </c>
    </row>
    <row r="140" customFormat="false" ht="15" hidden="false" customHeight="false" outlineLevel="0" collapsed="false">
      <c r="A140" s="15" t="n">
        <f aca="false">A139+0.5</f>
        <v>56</v>
      </c>
      <c r="B140" s="16" t="n">
        <f aca="false">$E$15+$A140*$D$15</f>
        <v>150</v>
      </c>
      <c r="C140" s="16" t="n">
        <f aca="false">$E$16+$A140*$D$16</f>
        <v>4370</v>
      </c>
      <c r="D140" s="16" t="n">
        <f aca="false">$E$17+$A140*$D$17</f>
        <v>6385</v>
      </c>
      <c r="E140" s="16" t="n">
        <f aca="false">$E$18+$A140*$D$18</f>
        <v>7315</v>
      </c>
      <c r="F140" s="16" t="n">
        <f aca="false">$E$19+$A140*$D$19</f>
        <v>7711.25</v>
      </c>
      <c r="G140" s="16" t="n">
        <f aca="false">$E$20+$A140*$D$20</f>
        <v>7845</v>
      </c>
      <c r="H140" s="16" t="n">
        <f aca="false">$E$21+$A140*$D$21</f>
        <v>7849.6875</v>
      </c>
      <c r="I140" s="12" t="n">
        <f aca="false">MATCH(MAX(B140:H140),B140:H140,0)-1</f>
        <v>6</v>
      </c>
    </row>
    <row r="141" customFormat="false" ht="15" hidden="false" customHeight="false" outlineLevel="0" collapsed="false">
      <c r="A141" s="15" t="n">
        <f aca="false">A140+0.5</f>
        <v>56.5</v>
      </c>
      <c r="B141" s="16" t="n">
        <f aca="false">$E$15+$A141*$D$15</f>
        <v>150</v>
      </c>
      <c r="C141" s="16" t="n">
        <f aca="false">$E$16+$A141*$D$16</f>
        <v>4405</v>
      </c>
      <c r="D141" s="16" t="n">
        <f aca="false">$E$17+$A141*$D$17</f>
        <v>6437.5</v>
      </c>
      <c r="E141" s="16" t="n">
        <f aca="false">$E$18+$A141*$D$18</f>
        <v>7376.25</v>
      </c>
      <c r="F141" s="16" t="n">
        <f aca="false">$E$19+$A141*$D$19</f>
        <v>7776.875</v>
      </c>
      <c r="G141" s="16" t="n">
        <f aca="false">$E$20+$A141*$D$20</f>
        <v>7912.8125</v>
      </c>
      <c r="H141" s="16" t="n">
        <f aca="false">$E$21+$A141*$D$21</f>
        <v>7918.59375</v>
      </c>
      <c r="I141" s="12" t="n">
        <f aca="false">MATCH(MAX(B141:H141),B141:H141,0)-1</f>
        <v>6</v>
      </c>
    </row>
    <row r="142" customFormat="false" ht="15" hidden="false" customHeight="false" outlineLevel="0" collapsed="false">
      <c r="A142" s="15" t="n">
        <f aca="false">A141+0.5</f>
        <v>57</v>
      </c>
      <c r="B142" s="16" t="n">
        <f aca="false">$E$15+$A142*$D$15</f>
        <v>150</v>
      </c>
      <c r="C142" s="16" t="n">
        <f aca="false">$E$16+$A142*$D$16</f>
        <v>4440</v>
      </c>
      <c r="D142" s="16" t="n">
        <f aca="false">$E$17+$A142*$D$17</f>
        <v>6490</v>
      </c>
      <c r="E142" s="16" t="n">
        <f aca="false">$E$18+$A142*$D$18</f>
        <v>7437.5</v>
      </c>
      <c r="F142" s="16" t="n">
        <f aca="false">$E$19+$A142*$D$19</f>
        <v>7842.5</v>
      </c>
      <c r="G142" s="16" t="n">
        <f aca="false">$E$20+$A142*$D$20</f>
        <v>7980.625</v>
      </c>
      <c r="H142" s="16" t="n">
        <f aca="false">$E$21+$A142*$D$21</f>
        <v>7987.5</v>
      </c>
      <c r="I142" s="12" t="n">
        <f aca="false">MATCH(MAX(B142:H142),B142:H142,0)-1</f>
        <v>6</v>
      </c>
    </row>
    <row r="143" customFormat="false" ht="15" hidden="false" customHeight="false" outlineLevel="0" collapsed="false">
      <c r="A143" s="15" t="n">
        <f aca="false">A142+0.5</f>
        <v>57.5</v>
      </c>
      <c r="B143" s="16" t="n">
        <f aca="false">$E$15+$A143*$D$15</f>
        <v>150</v>
      </c>
      <c r="C143" s="16" t="n">
        <f aca="false">$E$16+$A143*$D$16</f>
        <v>4475</v>
      </c>
      <c r="D143" s="16" t="n">
        <f aca="false">$E$17+$A143*$D$17</f>
        <v>6542.5</v>
      </c>
      <c r="E143" s="16" t="n">
        <f aca="false">$E$18+$A143*$D$18</f>
        <v>7498.75</v>
      </c>
      <c r="F143" s="16" t="n">
        <f aca="false">$E$19+$A143*$D$19</f>
        <v>7908.125</v>
      </c>
      <c r="G143" s="16" t="n">
        <f aca="false">$E$20+$A143*$D$20</f>
        <v>8048.4375</v>
      </c>
      <c r="H143" s="16" t="n">
        <f aca="false">$E$21+$A143*$D$21</f>
        <v>8056.40625</v>
      </c>
      <c r="I143" s="12" t="n">
        <f aca="false">MATCH(MAX(B143:H143),B143:H143,0)-1</f>
        <v>6</v>
      </c>
    </row>
    <row r="144" customFormat="false" ht="15" hidden="false" customHeight="false" outlineLevel="0" collapsed="false">
      <c r="A144" s="15" t="n">
        <f aca="false">A143+0.5</f>
        <v>58</v>
      </c>
      <c r="B144" s="16" t="n">
        <f aca="false">$E$15+$A144*$D$15</f>
        <v>150</v>
      </c>
      <c r="C144" s="16" t="n">
        <f aca="false">$E$16+$A144*$D$16</f>
        <v>4510</v>
      </c>
      <c r="D144" s="16" t="n">
        <f aca="false">$E$17+$A144*$D$17</f>
        <v>6595</v>
      </c>
      <c r="E144" s="16" t="n">
        <f aca="false">$E$18+$A144*$D$18</f>
        <v>7560</v>
      </c>
      <c r="F144" s="16" t="n">
        <f aca="false">$E$19+$A144*$D$19</f>
        <v>7973.75</v>
      </c>
      <c r="G144" s="16" t="n">
        <f aca="false">$E$20+$A144*$D$20</f>
        <v>8116.25</v>
      </c>
      <c r="H144" s="16" t="n">
        <f aca="false">$E$21+$A144*$D$21</f>
        <v>8125.3125</v>
      </c>
      <c r="I144" s="12" t="n">
        <f aca="false">MATCH(MAX(B144:H144),B144:H144,0)-1</f>
        <v>6</v>
      </c>
    </row>
    <row r="145" customFormat="false" ht="15" hidden="false" customHeight="false" outlineLevel="0" collapsed="false">
      <c r="A145" s="15" t="n">
        <f aca="false">A144+0.5</f>
        <v>58.5</v>
      </c>
      <c r="B145" s="16" t="n">
        <f aca="false">$E$15+$A145*$D$15</f>
        <v>150</v>
      </c>
      <c r="C145" s="16" t="n">
        <f aca="false">$E$16+$A145*$D$16</f>
        <v>4545</v>
      </c>
      <c r="D145" s="16" t="n">
        <f aca="false">$E$17+$A145*$D$17</f>
        <v>6647.5</v>
      </c>
      <c r="E145" s="16" t="n">
        <f aca="false">$E$18+$A145*$D$18</f>
        <v>7621.25</v>
      </c>
      <c r="F145" s="16" t="n">
        <f aca="false">$E$19+$A145*$D$19</f>
        <v>8039.375</v>
      </c>
      <c r="G145" s="16" t="n">
        <f aca="false">$E$20+$A145*$D$20</f>
        <v>8184.0625</v>
      </c>
      <c r="H145" s="16" t="n">
        <f aca="false">$E$21+$A145*$D$21</f>
        <v>8194.21875</v>
      </c>
      <c r="I145" s="12" t="n">
        <f aca="false">MATCH(MAX(B145:H145),B145:H145,0)-1</f>
        <v>6</v>
      </c>
    </row>
    <row r="146" customFormat="false" ht="15" hidden="false" customHeight="false" outlineLevel="0" collapsed="false">
      <c r="A146" s="15" t="n">
        <f aca="false">A145+0.5</f>
        <v>59</v>
      </c>
      <c r="B146" s="16" t="n">
        <f aca="false">$E$15+$A146*$D$15</f>
        <v>150</v>
      </c>
      <c r="C146" s="16" t="n">
        <f aca="false">$E$16+$A146*$D$16</f>
        <v>4580</v>
      </c>
      <c r="D146" s="16" t="n">
        <f aca="false">$E$17+$A146*$D$17</f>
        <v>6700</v>
      </c>
      <c r="E146" s="16" t="n">
        <f aca="false">$E$18+$A146*$D$18</f>
        <v>7682.5</v>
      </c>
      <c r="F146" s="16" t="n">
        <f aca="false">$E$19+$A146*$D$19</f>
        <v>8105</v>
      </c>
      <c r="G146" s="16" t="n">
        <f aca="false">$E$20+$A146*$D$20</f>
        <v>8251.875</v>
      </c>
      <c r="H146" s="16" t="n">
        <f aca="false">$E$21+$A146*$D$21</f>
        <v>8263.125</v>
      </c>
      <c r="I146" s="12" t="n">
        <f aca="false">MATCH(MAX(B146:H146),B146:H146,0)-1</f>
        <v>6</v>
      </c>
    </row>
    <row r="147" customFormat="false" ht="15" hidden="false" customHeight="false" outlineLevel="0" collapsed="false">
      <c r="A147" s="15" t="n">
        <f aca="false">A146+0.5</f>
        <v>59.5</v>
      </c>
      <c r="B147" s="16" t="n">
        <f aca="false">$E$15+$A147*$D$15</f>
        <v>150</v>
      </c>
      <c r="C147" s="16" t="n">
        <f aca="false">$E$16+$A147*$D$16</f>
        <v>4615</v>
      </c>
      <c r="D147" s="16" t="n">
        <f aca="false">$E$17+$A147*$D$17</f>
        <v>6752.5</v>
      </c>
      <c r="E147" s="16" t="n">
        <f aca="false">$E$18+$A147*$D$18</f>
        <v>7743.75</v>
      </c>
      <c r="F147" s="16" t="n">
        <f aca="false">$E$19+$A147*$D$19</f>
        <v>8170.625</v>
      </c>
      <c r="G147" s="16" t="n">
        <f aca="false">$E$20+$A147*$D$20</f>
        <v>8319.6875</v>
      </c>
      <c r="H147" s="16" t="n">
        <f aca="false">$E$21+$A147*$D$21</f>
        <v>8332.03125</v>
      </c>
      <c r="I147" s="12" t="n">
        <f aca="false">MATCH(MAX(B147:H147),B147:H147,0)-1</f>
        <v>6</v>
      </c>
    </row>
    <row r="148" customFormat="false" ht="15" hidden="false" customHeight="false" outlineLevel="0" collapsed="false">
      <c r="A148" s="15" t="n">
        <f aca="false">A147+0.5</f>
        <v>60</v>
      </c>
      <c r="B148" s="16" t="n">
        <f aca="false">$E$15+$A148*$D$15</f>
        <v>150</v>
      </c>
      <c r="C148" s="16" t="n">
        <f aca="false">$E$16+$A148*$D$16</f>
        <v>4650</v>
      </c>
      <c r="D148" s="16" t="n">
        <f aca="false">$E$17+$A148*$D$17</f>
        <v>6805</v>
      </c>
      <c r="E148" s="16" t="n">
        <f aca="false">$E$18+$A148*$D$18</f>
        <v>7805</v>
      </c>
      <c r="F148" s="16" t="n">
        <f aca="false">$E$19+$A148*$D$19</f>
        <v>8236.25</v>
      </c>
      <c r="G148" s="16" t="n">
        <f aca="false">$E$20+$A148*$D$20</f>
        <v>8387.5</v>
      </c>
      <c r="H148" s="16" t="n">
        <f aca="false">$E$21+$A148*$D$21</f>
        <v>8400.9375</v>
      </c>
      <c r="I148" s="12" t="n">
        <f aca="false">MATCH(MAX(B148:H148),B148:H148,0)-1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1" t="s">
        <v>389</v>
      </c>
    </row>
    <row r="2" customFormat="false" ht="15" hidden="false" customHeight="false" outlineLevel="0" collapsed="false">
      <c r="A2" s="10" t="s">
        <v>390</v>
      </c>
    </row>
    <row r="4" customFormat="false" ht="15" hidden="false" customHeight="false" outlineLevel="0" collapsed="false">
      <c r="A4" s="4" t="s">
        <v>391</v>
      </c>
    </row>
    <row r="5" customFormat="false" ht="35.05" hidden="false" customHeight="false" outlineLevel="0" collapsed="false">
      <c r="A5" s="8" t="s">
        <v>125</v>
      </c>
      <c r="B5" s="8" t="s">
        <v>126</v>
      </c>
      <c r="C5" s="8" t="s">
        <v>127</v>
      </c>
      <c r="D5" s="8" t="s">
        <v>128</v>
      </c>
      <c r="E5" s="8" t="s">
        <v>129</v>
      </c>
      <c r="F5" s="8" t="s">
        <v>130</v>
      </c>
      <c r="G5" s="8" t="s">
        <v>131</v>
      </c>
      <c r="H5" s="8" t="s">
        <v>132</v>
      </c>
      <c r="I5" s="8" t="s">
        <v>133</v>
      </c>
      <c r="J5" s="8" t="s">
        <v>134</v>
      </c>
      <c r="K5" s="8" t="s">
        <v>135</v>
      </c>
    </row>
    <row r="6" customFormat="false" ht="15" hidden="false" customHeight="false" outlineLevel="0" collapsed="false">
      <c r="A6" s="12" t="n">
        <v>1</v>
      </c>
      <c r="B6" s="9" t="n">
        <v>1</v>
      </c>
      <c r="C6" s="14" t="n">
        <f aca="false">Liq_0</f>
        <v>620</v>
      </c>
      <c r="D6" s="14" t="n">
        <f aca="false">C6-Round_cost*B6</f>
        <v>500</v>
      </c>
      <c r="E6" s="12" t="n">
        <f aca="false">Cap_0</f>
        <v>58</v>
      </c>
      <c r="F6" s="14" t="n">
        <f aca="false">IF(B6=1,Eff_0+Gap_closed*(Eff_ceiling-Eff_0),Eff_0)</f>
        <v>78</v>
      </c>
      <c r="G6" s="14" t="n">
        <f aca="false">Sav_point*(F6-Eff_0)</f>
        <v>70</v>
      </c>
      <c r="H6" s="14" t="n">
        <f aca="false">0*G6</f>
        <v>0</v>
      </c>
      <c r="I6" s="14" t="n">
        <f aca="false">D6+G6-H6</f>
        <v>570</v>
      </c>
      <c r="J6" s="2" t="str">
        <f aca="false">IF(AND(OR(B6=0,D6&gt;=Floor_liq-0.000000001),I6&gt;=Floor_liq-0.000000001),"yes","no")</f>
        <v>yes</v>
      </c>
      <c r="K6" s="2" t="str">
        <f aca="false">IF(OR(B6=0,E6&gt;=Cap_min),"yes","no")</f>
        <v>yes</v>
      </c>
    </row>
    <row r="7" customFormat="false" ht="15" hidden="false" customHeight="false" outlineLevel="0" collapsed="false">
      <c r="A7" s="12" t="n">
        <v>2</v>
      </c>
      <c r="B7" s="9" t="n">
        <v>1</v>
      </c>
      <c r="C7" s="14" t="n">
        <f aca="false">I6</f>
        <v>570</v>
      </c>
      <c r="D7" s="14" t="n">
        <f aca="false">C7-Round_cost*B7</f>
        <v>450</v>
      </c>
      <c r="E7" s="12" t="n">
        <f aca="false">E6+Cap_step*B6</f>
        <v>59</v>
      </c>
      <c r="F7" s="14" t="n">
        <f aca="false">IF(B7=1,F6+Gap_closed*(Eff_ceiling-F6),F6)</f>
        <v>81.5</v>
      </c>
      <c r="G7" s="14" t="n">
        <f aca="false">Sav_point*(F7-Eff_0)</f>
        <v>105</v>
      </c>
      <c r="H7" s="14" t="n">
        <f aca="false">0*G7</f>
        <v>0</v>
      </c>
      <c r="I7" s="14" t="n">
        <f aca="false">D7+G7-H7</f>
        <v>555</v>
      </c>
      <c r="J7" s="2" t="str">
        <f aca="false">IF(AND(OR(B7=0,D7&gt;=Floor_liq-0.000000001),I7&gt;=Floor_liq-0.000000001),"yes","no")</f>
        <v>yes</v>
      </c>
      <c r="K7" s="2" t="str">
        <f aca="false">IF(OR(B7=0,E7&gt;=Cap_min),"yes","no")</f>
        <v>yes</v>
      </c>
    </row>
    <row r="8" customFormat="false" ht="15" hidden="false" customHeight="false" outlineLevel="0" collapsed="false">
      <c r="A8" s="12" t="n">
        <v>3</v>
      </c>
      <c r="B8" s="9" t="n">
        <v>0</v>
      </c>
      <c r="C8" s="14" t="n">
        <f aca="false">I7</f>
        <v>555</v>
      </c>
      <c r="D8" s="14" t="n">
        <f aca="false">C8-Round_cost*B8</f>
        <v>555</v>
      </c>
      <c r="E8" s="12" t="n">
        <f aca="false">E7+Cap_step*B7</f>
        <v>60</v>
      </c>
      <c r="F8" s="14" t="n">
        <f aca="false">IF(B8=1,F7+Gap_closed*(Eff_ceiling-F7),F7)</f>
        <v>81.5</v>
      </c>
      <c r="G8" s="14" t="n">
        <f aca="false">Sav_point*(F8-Eff_0)</f>
        <v>105</v>
      </c>
      <c r="H8" s="14" t="n">
        <f aca="false">0*G8</f>
        <v>0</v>
      </c>
      <c r="I8" s="14" t="n">
        <f aca="false">D8+G8-H8</f>
        <v>660</v>
      </c>
      <c r="J8" s="2" t="str">
        <f aca="false">IF(AND(OR(B8=0,D8&gt;=Floor_liq-0.000000001),I8&gt;=Floor_liq-0.000000001),"yes","no")</f>
        <v>yes</v>
      </c>
      <c r="K8" s="2" t="str">
        <f aca="false">IF(OR(B8=0,E8&gt;=Cap_min),"yes","no")</f>
        <v>yes</v>
      </c>
    </row>
    <row r="9" customFormat="false" ht="15" hidden="false" customHeight="false" outlineLevel="0" collapsed="false">
      <c r="A9" s="12" t="n">
        <v>4</v>
      </c>
      <c r="B9" s="9" t="n">
        <v>0</v>
      </c>
      <c r="C9" s="14" t="n">
        <f aca="false">I8</f>
        <v>660</v>
      </c>
      <c r="D9" s="14" t="n">
        <f aca="false">C9-Round_cost*B9</f>
        <v>660</v>
      </c>
      <c r="E9" s="12" t="n">
        <f aca="false">E8+Cap_step*B8</f>
        <v>60</v>
      </c>
      <c r="F9" s="14" t="n">
        <f aca="false">IF(B9=1,F8+Gap_closed*(Eff_ceiling-F8),F8)</f>
        <v>81.5</v>
      </c>
      <c r="G9" s="14" t="n">
        <f aca="false">Sav_point*(F9-Eff_0)</f>
        <v>105</v>
      </c>
      <c r="H9" s="14" t="n">
        <f aca="false">0*G9</f>
        <v>0</v>
      </c>
      <c r="I9" s="14" t="n">
        <f aca="false">D9+G9-H9</f>
        <v>765</v>
      </c>
      <c r="J9" s="2" t="str">
        <f aca="false">IF(AND(OR(B9=0,D9&gt;=Floor_liq-0.000000001),I9&gt;=Floor_liq-0.000000001),"yes","no")</f>
        <v>yes</v>
      </c>
      <c r="K9" s="2" t="str">
        <f aca="false">IF(OR(B9=0,E9&gt;=Cap_min),"yes","no")</f>
        <v>yes</v>
      </c>
    </row>
    <row r="10" customFormat="false" ht="15" hidden="false" customHeight="false" outlineLevel="0" collapsed="false">
      <c r="A10" s="12" t="n">
        <v>5</v>
      </c>
      <c r="B10" s="9" t="n">
        <v>0</v>
      </c>
      <c r="C10" s="14" t="n">
        <f aca="false">I9</f>
        <v>765</v>
      </c>
      <c r="D10" s="14" t="n">
        <f aca="false">C10-Round_cost*B10</f>
        <v>765</v>
      </c>
      <c r="E10" s="12" t="n">
        <f aca="false">E9+Cap_step*B9</f>
        <v>60</v>
      </c>
      <c r="F10" s="14" t="n">
        <f aca="false">IF(B10=1,F9+Gap_closed*(Eff_ceiling-F9),F9)</f>
        <v>81.5</v>
      </c>
      <c r="G10" s="14" t="n">
        <f aca="false">Sav_point*(F10-Eff_0)</f>
        <v>105</v>
      </c>
      <c r="H10" s="14" t="n">
        <f aca="false">0*G10</f>
        <v>0</v>
      </c>
      <c r="I10" s="14" t="n">
        <f aca="false">D10+G10-H10</f>
        <v>870</v>
      </c>
      <c r="J10" s="2" t="str">
        <f aca="false">IF(AND(OR(B10=0,D10&gt;=Floor_liq-0.000000001),I10&gt;=Floor_liq-0.000000001),"yes","no")</f>
        <v>yes</v>
      </c>
      <c r="K10" s="2" t="str">
        <f aca="false">IF(OR(B10=0,E10&gt;=Cap_min),"yes","no")</f>
        <v>yes</v>
      </c>
    </row>
    <row r="11" customFormat="false" ht="15" hidden="false" customHeight="false" outlineLevel="0" collapsed="false">
      <c r="A11" s="12" t="n">
        <v>6</v>
      </c>
      <c r="B11" s="9" t="n">
        <v>0</v>
      </c>
      <c r="C11" s="14" t="n">
        <f aca="false">I10</f>
        <v>870</v>
      </c>
      <c r="D11" s="14" t="n">
        <f aca="false">C11-Round_cost*B11</f>
        <v>870</v>
      </c>
      <c r="E11" s="12" t="n">
        <f aca="false">E10+Cap_step*B10</f>
        <v>60</v>
      </c>
      <c r="F11" s="14" t="n">
        <f aca="false">IF(B11=1,F10+Gap_closed*(Eff_ceiling-F10),F10)</f>
        <v>81.5</v>
      </c>
      <c r="G11" s="14" t="n">
        <f aca="false">Sav_point*(F11-Eff_0)</f>
        <v>105</v>
      </c>
      <c r="H11" s="14" t="n">
        <f aca="false">0*G11</f>
        <v>0</v>
      </c>
      <c r="I11" s="14" t="n">
        <f aca="false">D11+G11-H11</f>
        <v>975</v>
      </c>
      <c r="J11" s="2" t="str">
        <f aca="false">IF(AND(OR(B11=0,D11&gt;=Floor_liq-0.000000001),I11&gt;=Floor_liq-0.000000001),"yes","no")</f>
        <v>yes</v>
      </c>
      <c r="K11" s="2" t="str">
        <f aca="false">IF(OR(B11=0,E11&gt;=Cap_min),"yes","no")</f>
        <v>yes</v>
      </c>
    </row>
    <row r="13" customFormat="false" ht="15" hidden="false" customHeight="false" outlineLevel="0" collapsed="false">
      <c r="M13" s="10" t="s">
        <v>392</v>
      </c>
      <c r="Q13" s="23" t="n">
        <v>1</v>
      </c>
    </row>
    <row r="14" customFormat="false" ht="23.85" hidden="false" customHeight="false" outlineLevel="0" collapsed="false">
      <c r="A14" s="8" t="s">
        <v>393</v>
      </c>
      <c r="B14" s="8" t="s">
        <v>394</v>
      </c>
      <c r="C14" s="8" t="s">
        <v>395</v>
      </c>
      <c r="D14" s="8" t="s">
        <v>396</v>
      </c>
      <c r="E14" s="8" t="s">
        <v>397</v>
      </c>
      <c r="F14" s="8" t="s">
        <v>398</v>
      </c>
      <c r="G14" s="8" t="s">
        <v>399</v>
      </c>
      <c r="H14" s="8" t="s">
        <v>400</v>
      </c>
      <c r="I14" s="8" t="s">
        <v>401</v>
      </c>
      <c r="J14" s="8" t="s">
        <v>402</v>
      </c>
      <c r="K14" s="8" t="s">
        <v>403</v>
      </c>
    </row>
    <row r="15" customFormat="false" ht="15" hidden="false" customHeight="false" outlineLevel="0" collapsed="false">
      <c r="A15" s="2" t="s">
        <v>404</v>
      </c>
      <c r="B15" s="12" t="n">
        <f aca="false">B6</f>
        <v>1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2" t="s">
        <v>401</v>
      </c>
      <c r="J15" s="14" t="n">
        <f aca="false">D6-Floor_liq</f>
        <v>150</v>
      </c>
      <c r="K15" s="14" t="n">
        <f aca="false">IF(B15=1,J15/IF(A15="end condition",$Q$13,1),1000000000)</f>
        <v>150</v>
      </c>
    </row>
    <row r="16" customFormat="false" ht="15" hidden="false" customHeight="false" outlineLevel="0" collapsed="false">
      <c r="A16" s="2" t="s">
        <v>405</v>
      </c>
      <c r="B16" s="12" t="n">
        <f aca="false">B7</f>
        <v>1</v>
      </c>
      <c r="C16" s="14" t="n">
        <v>1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2" t="s">
        <v>401</v>
      </c>
      <c r="J16" s="14" t="n">
        <f aca="false">D7-Floor_liq</f>
        <v>100</v>
      </c>
      <c r="K16" s="14" t="n">
        <f aca="false">IF(B16=1,J16/IF(A16="end condition",$Q$13,1),1000000000)</f>
        <v>100</v>
      </c>
    </row>
    <row r="17" customFormat="false" ht="15" hidden="false" customHeight="false" outlineLevel="0" collapsed="false">
      <c r="A17" s="2" t="s">
        <v>406</v>
      </c>
      <c r="B17" s="12" t="n">
        <f aca="false">B8</f>
        <v>0</v>
      </c>
      <c r="C17" s="14" t="n">
        <v>1</v>
      </c>
      <c r="D17" s="14" t="n">
        <v>1</v>
      </c>
      <c r="E17" s="14" t="n">
        <v>0</v>
      </c>
      <c r="F17" s="14" t="n">
        <v>0</v>
      </c>
      <c r="G17" s="14" t="n">
        <v>0</v>
      </c>
      <c r="H17" s="14" t="n">
        <v>0</v>
      </c>
      <c r="I17" s="2" t="s">
        <v>401</v>
      </c>
      <c r="J17" s="14" t="n">
        <f aca="false">D8-Floor_liq</f>
        <v>205</v>
      </c>
      <c r="K17" s="14" t="n">
        <f aca="false">IF(B17=1,J17/IF(A17="end condition",$Q$13,1),1000000000)</f>
        <v>1000000000</v>
      </c>
    </row>
    <row r="18" customFormat="false" ht="15" hidden="false" customHeight="false" outlineLevel="0" collapsed="false">
      <c r="A18" s="2" t="s">
        <v>407</v>
      </c>
      <c r="B18" s="12" t="n">
        <f aca="false">B9</f>
        <v>0</v>
      </c>
      <c r="C18" s="14" t="n">
        <v>1</v>
      </c>
      <c r="D18" s="14" t="n">
        <v>1</v>
      </c>
      <c r="E18" s="14" t="n">
        <v>1</v>
      </c>
      <c r="F18" s="14" t="n">
        <v>0</v>
      </c>
      <c r="G18" s="14" t="n">
        <v>0</v>
      </c>
      <c r="H18" s="14" t="n">
        <v>0</v>
      </c>
      <c r="I18" s="2" t="s">
        <v>401</v>
      </c>
      <c r="J18" s="14" t="n">
        <f aca="false">D9-Floor_liq</f>
        <v>310</v>
      </c>
      <c r="K18" s="14" t="n">
        <f aca="false">IF(B18=1,J18/IF(A18="end condition",$Q$13,1),1000000000)</f>
        <v>1000000000</v>
      </c>
    </row>
    <row r="19" customFormat="false" ht="15" hidden="false" customHeight="false" outlineLevel="0" collapsed="false">
      <c r="A19" s="2" t="s">
        <v>408</v>
      </c>
      <c r="B19" s="12" t="n">
        <f aca="false">B10</f>
        <v>0</v>
      </c>
      <c r="C19" s="14" t="n">
        <v>1</v>
      </c>
      <c r="D19" s="14" t="n">
        <v>1</v>
      </c>
      <c r="E19" s="14" t="n">
        <v>1</v>
      </c>
      <c r="F19" s="14" t="n">
        <v>1</v>
      </c>
      <c r="G19" s="14" t="n">
        <v>0</v>
      </c>
      <c r="H19" s="14" t="n">
        <v>0</v>
      </c>
      <c r="I19" s="2" t="s">
        <v>401</v>
      </c>
      <c r="J19" s="14" t="n">
        <f aca="false">D10-Floor_liq</f>
        <v>415</v>
      </c>
      <c r="K19" s="14" t="n">
        <f aca="false">IF(B19=1,J19/IF(A19="end condition",$Q$13,1),1000000000)</f>
        <v>1000000000</v>
      </c>
    </row>
    <row r="20" customFormat="false" ht="15" hidden="false" customHeight="false" outlineLevel="0" collapsed="false">
      <c r="A20" s="2" t="s">
        <v>409</v>
      </c>
      <c r="B20" s="12" t="n">
        <f aca="false">B11</f>
        <v>0</v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1</v>
      </c>
      <c r="H20" s="14" t="n">
        <v>0</v>
      </c>
      <c r="I20" s="2" t="s">
        <v>401</v>
      </c>
      <c r="J20" s="14" t="n">
        <f aca="false">D11-Floor_liq</f>
        <v>520</v>
      </c>
      <c r="K20" s="14" t="n">
        <f aca="false">IF(B20=1,J20/IF(A20="end condition",$Q$13,1),1000000000)</f>
        <v>1000000000</v>
      </c>
    </row>
    <row r="21" customFormat="false" ht="15" hidden="false" customHeight="false" outlineLevel="0" collapsed="false">
      <c r="A21" s="2" t="s">
        <v>410</v>
      </c>
      <c r="B21" s="12" t="n">
        <f aca="false">1</f>
        <v>1</v>
      </c>
      <c r="C21" s="14" t="n">
        <v>1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2" t="s">
        <v>401</v>
      </c>
      <c r="J21" s="14" t="n">
        <f aca="false">I6-Floor_liq</f>
        <v>220</v>
      </c>
      <c r="K21" s="14" t="n">
        <f aca="false">IF(B21=1,J21/IF(A21="end condition",$Q$13,1),1000000000)</f>
        <v>220</v>
      </c>
    </row>
    <row r="22" customFormat="false" ht="15" hidden="false" customHeight="false" outlineLevel="0" collapsed="false">
      <c r="A22" s="2" t="s">
        <v>411</v>
      </c>
      <c r="B22" s="12" t="n">
        <f aca="false">1</f>
        <v>1</v>
      </c>
      <c r="C22" s="14" t="n">
        <v>1</v>
      </c>
      <c r="D22" s="14" t="n">
        <v>1</v>
      </c>
      <c r="E22" s="14" t="n">
        <v>0</v>
      </c>
      <c r="F22" s="14" t="n">
        <v>0</v>
      </c>
      <c r="G22" s="14" t="n">
        <v>0</v>
      </c>
      <c r="H22" s="14" t="n">
        <v>0</v>
      </c>
      <c r="I22" s="2" t="s">
        <v>401</v>
      </c>
      <c r="J22" s="14" t="n">
        <f aca="false">I7-Floor_liq</f>
        <v>205</v>
      </c>
      <c r="K22" s="14" t="n">
        <f aca="false">IF(B22=1,J22/IF(A22="end condition",$Q$13,1),1000000000)</f>
        <v>205</v>
      </c>
    </row>
    <row r="23" customFormat="false" ht="15" hidden="false" customHeight="false" outlineLevel="0" collapsed="false">
      <c r="A23" s="2" t="s">
        <v>412</v>
      </c>
      <c r="B23" s="12" t="n">
        <f aca="false">1</f>
        <v>1</v>
      </c>
      <c r="C23" s="14" t="n">
        <v>1</v>
      </c>
      <c r="D23" s="14" t="n">
        <v>1</v>
      </c>
      <c r="E23" s="14" t="n">
        <v>1</v>
      </c>
      <c r="F23" s="14" t="n">
        <v>0</v>
      </c>
      <c r="G23" s="14" t="n">
        <v>0</v>
      </c>
      <c r="H23" s="14" t="n">
        <v>0</v>
      </c>
      <c r="I23" s="2" t="s">
        <v>401</v>
      </c>
      <c r="J23" s="14" t="n">
        <f aca="false">I8-Floor_liq</f>
        <v>310</v>
      </c>
      <c r="K23" s="14" t="n">
        <f aca="false">IF(B23=1,J23/IF(A23="end condition",$Q$13,1),1000000000)</f>
        <v>310</v>
      </c>
    </row>
    <row r="24" customFormat="false" ht="15" hidden="false" customHeight="false" outlineLevel="0" collapsed="false">
      <c r="A24" s="2" t="s">
        <v>413</v>
      </c>
      <c r="B24" s="12" t="n">
        <f aca="false">1</f>
        <v>1</v>
      </c>
      <c r="C24" s="14" t="n">
        <v>1</v>
      </c>
      <c r="D24" s="14" t="n">
        <v>1</v>
      </c>
      <c r="E24" s="14" t="n">
        <v>1</v>
      </c>
      <c r="F24" s="14" t="n">
        <v>1</v>
      </c>
      <c r="G24" s="14" t="n">
        <v>0</v>
      </c>
      <c r="H24" s="14" t="n">
        <v>0</v>
      </c>
      <c r="I24" s="2" t="s">
        <v>401</v>
      </c>
      <c r="J24" s="14" t="n">
        <f aca="false">I9-Floor_liq</f>
        <v>415</v>
      </c>
      <c r="K24" s="14" t="n">
        <f aca="false">IF(B24=1,J24/IF(A24="end condition",$Q$13,1),1000000000)</f>
        <v>415</v>
      </c>
    </row>
    <row r="25" customFormat="false" ht="15" hidden="false" customHeight="false" outlineLevel="0" collapsed="false">
      <c r="A25" s="2" t="s">
        <v>414</v>
      </c>
      <c r="B25" s="12" t="n">
        <f aca="false">1</f>
        <v>1</v>
      </c>
      <c r="C25" s="14" t="n">
        <v>1</v>
      </c>
      <c r="D25" s="14" t="n">
        <v>1</v>
      </c>
      <c r="E25" s="14" t="n">
        <v>1</v>
      </c>
      <c r="F25" s="14" t="n">
        <v>1</v>
      </c>
      <c r="G25" s="14" t="n">
        <v>1</v>
      </c>
      <c r="H25" s="14" t="n">
        <v>0</v>
      </c>
      <c r="I25" s="2" t="s">
        <v>401</v>
      </c>
      <c r="J25" s="14" t="n">
        <f aca="false">I10-Floor_liq</f>
        <v>520</v>
      </c>
      <c r="K25" s="14" t="n">
        <f aca="false">IF(B25=1,J25/IF(A25="end condition",$Q$13,1),1000000000)</f>
        <v>520</v>
      </c>
    </row>
    <row r="26" customFormat="false" ht="15" hidden="false" customHeight="false" outlineLevel="0" collapsed="false">
      <c r="A26" s="2" t="s">
        <v>415</v>
      </c>
      <c r="B26" s="12" t="n">
        <f aca="false">1</f>
        <v>1</v>
      </c>
      <c r="C26" s="14" t="n">
        <v>1</v>
      </c>
      <c r="D26" s="14" t="n">
        <v>1</v>
      </c>
      <c r="E26" s="14" t="n">
        <v>1</v>
      </c>
      <c r="F26" s="14" t="n">
        <v>1</v>
      </c>
      <c r="G26" s="14" t="n">
        <v>1</v>
      </c>
      <c r="H26" s="14" t="n">
        <v>1</v>
      </c>
      <c r="I26" s="2" t="s">
        <v>401</v>
      </c>
      <c r="J26" s="14" t="n">
        <f aca="false">I11-Floor_liq</f>
        <v>625</v>
      </c>
      <c r="K26" s="14" t="n">
        <f aca="false">IF(B26=1,J26/IF(A26="end condition",$Q$13,1),1000000000)</f>
        <v>625</v>
      </c>
    </row>
    <row r="27" customFormat="false" ht="15" hidden="false" customHeight="false" outlineLevel="0" collapsed="false">
      <c r="A27" s="2" t="s">
        <v>60</v>
      </c>
      <c r="B27" s="12" t="n">
        <f aca="false">1</f>
        <v>1</v>
      </c>
      <c r="C27" s="14" t="n">
        <f aca="false">$Q$13</f>
        <v>1</v>
      </c>
      <c r="D27" s="14" t="n">
        <f aca="false">$Q$13</f>
        <v>1</v>
      </c>
      <c r="E27" s="14" t="n">
        <f aca="false">$Q$13</f>
        <v>1</v>
      </c>
      <c r="F27" s="14" t="n">
        <f aca="false">$Q$13</f>
        <v>1</v>
      </c>
      <c r="G27" s="14" t="n">
        <f aca="false">$Q$13</f>
        <v>1</v>
      </c>
      <c r="H27" s="14" t="n">
        <f aca="false">$Q$13</f>
        <v>1</v>
      </c>
      <c r="I27" s="2" t="s">
        <v>401</v>
      </c>
      <c r="J27" s="14" t="n">
        <f aca="false">$Q$13*(I11-End_liq)</f>
        <v>505</v>
      </c>
      <c r="K27" s="14" t="n">
        <f aca="false">IF(B27=1,J27/IF(A27="end condition",$Q$13,1),1000000000)</f>
        <v>505</v>
      </c>
    </row>
    <row r="30" customFormat="false" ht="15" hidden="false" customHeight="false" outlineLevel="0" collapsed="false">
      <c r="A30" s="2" t="s">
        <v>416</v>
      </c>
      <c r="B30" s="2" t="str">
        <f aca="false">IF(MIN(K15:K27)&gt;=0,"yes","no")</f>
        <v>yes</v>
      </c>
    </row>
    <row r="31" customFormat="false" ht="15" hidden="false" customHeight="false" outlineLevel="0" collapsed="false">
      <c r="A31" s="2" t="s">
        <v>417</v>
      </c>
      <c r="B31" s="14" t="n">
        <f aca="false">IF(B30="yes",MIN(K26,K27),"infeasible")</f>
        <v>505</v>
      </c>
    </row>
    <row r="32" customFormat="false" ht="15" hidden="false" customHeight="false" outlineLevel="0" collapsed="false">
      <c r="A32" s="2" t="s">
        <v>418</v>
      </c>
      <c r="B32" s="2" t="str">
        <f aca="false">IF(B30="yes",IF(K27&lt;=K26,"end condition","floor at the end of year 6"),"")</f>
        <v>end condition</v>
      </c>
    </row>
    <row r="33" customFormat="false" ht="15" hidden="false" customHeight="false" outlineLevel="0" collapsed="false">
      <c r="A33" s="2" t="s">
        <v>419</v>
      </c>
      <c r="B33" s="14" t="n">
        <f aca="false">MIN(K26,(I11-End_liq)+0.001)</f>
        <v>505.001</v>
      </c>
    </row>
    <row r="34" customFormat="false" ht="15" hidden="false" customHeight="false" outlineLevel="0" collapsed="false">
      <c r="A34" s="2" t="s">
        <v>420</v>
      </c>
      <c r="B34" s="24" t="n">
        <f aca="false">(B33-B31)/0.001</f>
        <v>0.999999999976353</v>
      </c>
    </row>
    <row r="35" customFormat="false" ht="15" hidden="false" customHeight="false" outlineLevel="0" collapsed="false">
      <c r="A35" s="2" t="s">
        <v>421</v>
      </c>
      <c r="B35" s="14" t="n">
        <f aca="false">MIN(K26,1000*((I11-End_liq)/1000+0.001))</f>
        <v>506</v>
      </c>
    </row>
    <row r="36" customFormat="false" ht="15" hidden="false" customHeight="false" outlineLevel="0" collapsed="false">
      <c r="A36" s="2" t="s">
        <v>422</v>
      </c>
      <c r="B36" s="24" t="n">
        <f aca="false">(B35-B31)/0.001</f>
        <v>1000</v>
      </c>
    </row>
    <row r="37" customFormat="false" ht="15" hidden="false" customHeight="false" outlineLevel="0" collapsed="false">
      <c r="A37" s="10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424</v>
      </c>
    </row>
    <row r="2" customFormat="false" ht="15" hidden="false" customHeight="false" outlineLevel="0" collapsed="false">
      <c r="A2" s="10" t="s">
        <v>425</v>
      </c>
    </row>
    <row r="3" customFormat="false" ht="15" hidden="false" customHeight="false" outlineLevel="0" collapsed="false">
      <c r="A3" s="8" t="s">
        <v>426</v>
      </c>
      <c r="B3" s="8" t="s">
        <v>20</v>
      </c>
      <c r="C3" s="8" t="s">
        <v>21</v>
      </c>
    </row>
    <row r="4" customFormat="false" ht="15" hidden="false" customHeight="false" outlineLevel="0" collapsed="false">
      <c r="A4" s="2" t="s">
        <v>427</v>
      </c>
      <c r="B4" s="9" t="n">
        <v>112</v>
      </c>
      <c r="C4" s="10" t="s">
        <v>428</v>
      </c>
    </row>
    <row r="5" customFormat="false" ht="15" hidden="false" customHeight="false" outlineLevel="0" collapsed="false">
      <c r="A5" s="2" t="s">
        <v>429</v>
      </c>
      <c r="B5" s="11" t="n">
        <v>0.35</v>
      </c>
      <c r="C5" s="10"/>
    </row>
    <row r="6" customFormat="false" ht="15" hidden="false" customHeight="false" outlineLevel="0" collapsed="false">
      <c r="A6" s="2" t="s">
        <v>430</v>
      </c>
      <c r="B6" s="9" t="n">
        <v>28</v>
      </c>
      <c r="C6" s="10" t="s">
        <v>431</v>
      </c>
    </row>
    <row r="7" customFormat="false" ht="15" hidden="false" customHeight="false" outlineLevel="0" collapsed="false">
      <c r="A7" s="2" t="s">
        <v>432</v>
      </c>
      <c r="B7" s="25" t="n">
        <v>2</v>
      </c>
      <c r="C7" s="10"/>
    </row>
    <row r="8" customFormat="false" ht="15" hidden="false" customHeight="false" outlineLevel="0" collapsed="false">
      <c r="A8" s="2" t="s">
        <v>433</v>
      </c>
      <c r="B8" s="16" t="n">
        <f aca="false">Liq_0/100</f>
        <v>6.2</v>
      </c>
      <c r="C8" s="10" t="s">
        <v>434</v>
      </c>
    </row>
    <row r="9" customFormat="false" ht="15" hidden="false" customHeight="false" outlineLevel="0" collapsed="false">
      <c r="A9" s="2" t="s">
        <v>435</v>
      </c>
      <c r="B9" s="9" t="n">
        <v>120</v>
      </c>
      <c r="C9" s="10" t="s">
        <v>436</v>
      </c>
    </row>
    <row r="10" customFormat="false" ht="15" hidden="false" customHeight="false" outlineLevel="0" collapsed="false">
      <c r="A10" s="2" t="s">
        <v>437</v>
      </c>
      <c r="B10" s="9" t="n">
        <v>50</v>
      </c>
      <c r="C10" s="10" t="s">
        <v>438</v>
      </c>
    </row>
    <row r="11" customFormat="false" ht="15" hidden="false" customHeight="false" outlineLevel="0" collapsed="false">
      <c r="A11" s="2" t="s">
        <v>439</v>
      </c>
      <c r="B11" s="11" t="n">
        <v>0.03</v>
      </c>
      <c r="C11" s="10" t="s">
        <v>440</v>
      </c>
    </row>
    <row r="12" customFormat="false" ht="15" hidden="false" customHeight="false" outlineLevel="0" collapsed="false">
      <c r="A12" s="2" t="s">
        <v>441</v>
      </c>
      <c r="B12" s="9" t="n">
        <v>8</v>
      </c>
      <c r="C12" s="10" t="s">
        <v>442</v>
      </c>
    </row>
    <row r="13" customFormat="false" ht="15" hidden="false" customHeight="false" outlineLevel="0" collapsed="false">
      <c r="A13" s="2" t="s">
        <v>443</v>
      </c>
      <c r="B13" s="9" t="n">
        <v>4</v>
      </c>
      <c r="C13" s="10" t="s">
        <v>444</v>
      </c>
    </row>
    <row r="15" customFormat="false" ht="23.85" hidden="false" customHeight="false" outlineLevel="0" collapsed="false">
      <c r="A15" s="8" t="s">
        <v>445</v>
      </c>
      <c r="B15" s="8" t="s">
        <v>446</v>
      </c>
      <c r="C15" s="8" t="s">
        <v>447</v>
      </c>
    </row>
    <row r="16" customFormat="false" ht="15" hidden="false" customHeight="false" outlineLevel="0" collapsed="false">
      <c r="A16" s="12" t="n">
        <v>0</v>
      </c>
      <c r="B16" s="16" t="n">
        <f aca="false">A16/4</f>
        <v>0</v>
      </c>
      <c r="C16" s="15" t="n">
        <f aca="false">$B$8*($B$4-($B$4-100)*EXP(-$B$5*B16)-$B$6*(B16/$B$7)*EXP(1-B16/$B$7))</f>
        <v>620</v>
      </c>
    </row>
    <row r="17" customFormat="false" ht="15" hidden="false" customHeight="false" outlineLevel="0" collapsed="false">
      <c r="A17" s="12" t="n">
        <v>1</v>
      </c>
      <c r="B17" s="16" t="n">
        <f aca="false">A17/4</f>
        <v>0.25</v>
      </c>
      <c r="C17" s="15" t="n">
        <f aca="false">$B$8*($B$4-($B$4-100)*EXP(-$B$5*B17)-$B$6*(B17/$B$7)*EXP(1-B17/$B$7))</f>
        <v>574.177722070089</v>
      </c>
    </row>
    <row r="18" customFormat="false" ht="15" hidden="false" customHeight="false" outlineLevel="0" collapsed="false">
      <c r="A18" s="12" t="n">
        <v>2</v>
      </c>
      <c r="B18" s="16" t="n">
        <f aca="false">A18/4</f>
        <v>0.5</v>
      </c>
      <c r="C18" s="15" t="n">
        <f aca="false">$B$8*($B$4-($B$4-100)*EXP(-$B$5*B18)-$B$6*(B18/$B$7)*EXP(1-B18/$B$7))</f>
        <v>540.066596933781</v>
      </c>
    </row>
    <row r="19" customFormat="false" ht="15" hidden="false" customHeight="false" outlineLevel="0" collapsed="false">
      <c r="A19" s="12" t="n">
        <v>3</v>
      </c>
      <c r="B19" s="16" t="n">
        <f aca="false">A19/4</f>
        <v>0.75</v>
      </c>
      <c r="C19" s="15" t="n">
        <f aca="false">$B$8*($B$4-($B$4-100)*EXP(-$B$5*B19)-$B$6*(B19/$B$7)*EXP(1-B19/$B$7))</f>
        <v>515.554186662141</v>
      </c>
    </row>
    <row r="20" customFormat="false" ht="15" hidden="false" customHeight="false" outlineLevel="0" collapsed="false">
      <c r="A20" s="12" t="n">
        <v>4</v>
      </c>
      <c r="B20" s="16" t="n">
        <f aca="false">A20/4</f>
        <v>1</v>
      </c>
      <c r="C20" s="15" t="n">
        <f aca="false">$B$8*($B$4-($B$4-100)*EXP(-$B$5*B20)-$B$6*(B20/$B$7)*EXP(1-B20/$B$7))</f>
        <v>498.862199828157</v>
      </c>
    </row>
    <row r="21" customFormat="false" ht="15" hidden="false" customHeight="false" outlineLevel="0" collapsed="false">
      <c r="A21" s="12" t="n">
        <v>5</v>
      </c>
      <c r="B21" s="16" t="n">
        <f aca="false">A21/4</f>
        <v>1.25</v>
      </c>
      <c r="C21" s="15" t="n">
        <f aca="false">$B$8*($B$4-($B$4-100)*EXP(-$B$5*B21)-$B$6*(B21/$B$7)*EXP(1-B21/$B$7))</f>
        <v>488.49718114769</v>
      </c>
    </row>
    <row r="22" customFormat="false" ht="15" hidden="false" customHeight="false" outlineLevel="0" collapsed="false">
      <c r="A22" s="12" t="n">
        <v>6</v>
      </c>
      <c r="B22" s="16" t="n">
        <f aca="false">A22/4</f>
        <v>1.5</v>
      </c>
      <c r="C22" s="15" t="n">
        <f aca="false">$B$8*($B$4-($B$4-100)*EXP(-$B$5*B22)-$B$6*(B22/$B$7)*EXP(1-B22/$B$7))</f>
        <v>483.208171638365</v>
      </c>
    </row>
    <row r="23" customFormat="false" ht="15" hidden="false" customHeight="false" outlineLevel="0" collapsed="false">
      <c r="A23" s="12" t="n">
        <v>7</v>
      </c>
      <c r="B23" s="16" t="n">
        <f aca="false">A23/4</f>
        <v>1.75</v>
      </c>
      <c r="C23" s="15" t="n">
        <f aca="false">$B$8*($B$4-($B$4-100)*EXP(-$B$5*B23)-$B$6*(B23/$B$7)*EXP(1-B23/$B$7))</f>
        <v>481.950382357786</v>
      </c>
    </row>
    <row r="24" customFormat="false" ht="15" hidden="false" customHeight="false" outlineLevel="0" collapsed="false">
      <c r="A24" s="12" t="n">
        <v>8</v>
      </c>
      <c r="B24" s="16" t="n">
        <f aca="false">A24/4</f>
        <v>2</v>
      </c>
      <c r="C24" s="15" t="n">
        <f aca="false">$B$8*($B$4-($B$4-100)*EXP(-$B$5*B24)-$B$6*(B24/$B$7)*EXP(1-B24/$B$7))</f>
        <v>483.854053397919</v>
      </c>
    </row>
    <row r="25" customFormat="false" ht="15" hidden="false" customHeight="false" outlineLevel="0" collapsed="false">
      <c r="A25" s="12" t="n">
        <v>9</v>
      </c>
      <c r="B25" s="16" t="n">
        <f aca="false">A25/4</f>
        <v>2.25</v>
      </c>
      <c r="C25" s="15" t="n">
        <f aca="false">$B$8*($B$4-($B$4-100)*EXP(-$B$5*B25)-$B$6*(B25/$B$7)*EXP(1-B25/$B$7))</f>
        <v>488.197781417396</v>
      </c>
    </row>
    <row r="26" customFormat="false" ht="15" hidden="false" customHeight="false" outlineLevel="0" collapsed="false">
      <c r="A26" s="12" t="n">
        <v>10</v>
      </c>
      <c r="B26" s="16" t="n">
        <f aca="false">A26/4</f>
        <v>2.5</v>
      </c>
      <c r="C26" s="15" t="n">
        <f aca="false">$B$8*($B$4-($B$4-100)*EXP(-$B$5*B26)-$B$6*(B26/$B$7)*EXP(1-B26/$B$7))</f>
        <v>494.385695809424</v>
      </c>
    </row>
    <row r="27" customFormat="false" ht="15" hidden="false" customHeight="false" outlineLevel="0" collapsed="false">
      <c r="A27" s="12" t="n">
        <v>11</v>
      </c>
      <c r="B27" s="16" t="n">
        <f aca="false">A27/4</f>
        <v>2.75</v>
      </c>
      <c r="C27" s="15" t="n">
        <f aca="false">$B$8*($B$4-($B$4-100)*EXP(-$B$5*B27)-$B$6*(B27/$B$7)*EXP(1-B27/$B$7))</f>
        <v>501.927947564381</v>
      </c>
    </row>
    <row r="28" customFormat="false" ht="15" hidden="false" customHeight="false" outlineLevel="0" collapsed="false">
      <c r="A28" s="12" t="n">
        <v>12</v>
      </c>
      <c r="B28" s="16" t="n">
        <f aca="false">A28/4</f>
        <v>3</v>
      </c>
      <c r="C28" s="15" t="n">
        <f aca="false">$B$8*($B$4-($B$4-100)*EXP(-$B$5*B28)-$B$6*(B28/$B$7)*EXP(1-B28/$B$7))</f>
        <v>510.42404767696</v>
      </c>
    </row>
    <row r="30" customFormat="false" ht="15" hidden="false" customHeight="false" outlineLevel="0" collapsed="false">
      <c r="A30" s="2" t="s">
        <v>448</v>
      </c>
      <c r="B30" s="16" t="n">
        <f aca="false">Liq_0-MIN(C16:C28)</f>
        <v>138.049617642214</v>
      </c>
    </row>
    <row r="31" customFormat="false" ht="15" hidden="false" customHeight="false" outlineLevel="0" collapsed="false">
      <c r="A31" s="2" t="s">
        <v>449</v>
      </c>
      <c r="B31" s="16" t="n">
        <f aca="false">GAMMAINV(0.9,(B9/B10)^2,B10^2/B9)</f>
        <v>186.866976370664</v>
      </c>
    </row>
    <row r="32" customFormat="false" ht="15" hidden="false" customHeight="false" outlineLevel="0" collapsed="false">
      <c r="A32" s="2" t="s">
        <v>450</v>
      </c>
      <c r="B32" s="12" t="n">
        <f aca="false">Liq_0-Floor_liq</f>
        <v>270</v>
      </c>
    </row>
    <row r="33" customFormat="false" ht="15" hidden="false" customHeight="false" outlineLevel="0" collapsed="false">
      <c r="A33" s="2" t="s">
        <v>451</v>
      </c>
      <c r="B33" s="16" t="n">
        <f aca="false">MAX(B31-(B32-B30),0)</f>
        <v>54.9165940128788</v>
      </c>
    </row>
    <row r="34" customFormat="false" ht="15" hidden="false" customHeight="false" outlineLevel="0" collapsed="false">
      <c r="A34" s="2" t="s">
        <v>452</v>
      </c>
      <c r="B34" s="20" t="n">
        <f aca="false">B11*B33</f>
        <v>1.64749782038636</v>
      </c>
    </row>
    <row r="35" customFormat="false" ht="15" hidden="false" customHeight="false" outlineLevel="0" collapsed="false">
      <c r="A35" s="2" t="s">
        <v>453</v>
      </c>
      <c r="B35" s="26" t="n">
        <v>170</v>
      </c>
    </row>
    <row r="36" customFormat="false" ht="15" hidden="false" customHeight="false" outlineLevel="0" collapsed="false">
      <c r="A36" s="2" t="s">
        <v>454</v>
      </c>
      <c r="B36" s="27" t="n">
        <v>0.667576361426626</v>
      </c>
    </row>
    <row r="37" customFormat="false" ht="15" hidden="false" customHeight="false" outlineLevel="0" collapsed="false">
      <c r="A37" s="2" t="s">
        <v>455</v>
      </c>
      <c r="B37" s="16" t="n">
        <f aca="false">3*B36</f>
        <v>2.00272908427988</v>
      </c>
    </row>
    <row r="38" customFormat="false" ht="15" hidden="false" customHeight="false" outlineLevel="0" collapsed="false">
      <c r="A38" s="2" t="s">
        <v>456</v>
      </c>
      <c r="B38" s="20" t="n">
        <f aca="false">B11*B35+B12*B36</f>
        <v>10.440610891413</v>
      </c>
    </row>
    <row r="39" customFormat="false" ht="15" hidden="false" customHeight="false" outlineLevel="0" collapsed="false">
      <c r="A39" s="2" t="s">
        <v>457</v>
      </c>
      <c r="B39" s="28" t="n">
        <v>459.941506840717</v>
      </c>
    </row>
    <row r="40" customFormat="false" ht="15" hidden="false" customHeight="false" outlineLevel="0" collapsed="false">
      <c r="A40" s="2" t="s">
        <v>458</v>
      </c>
      <c r="B40" s="2" t="str">
        <f aca="false">IF(B39&gt;=Floor_liq,"yes: no lever is needed","no")</f>
        <v>yes: no lever is needed</v>
      </c>
    </row>
    <row r="42" customFormat="false" ht="15" hidden="false" customHeight="false" outlineLevel="0" collapsed="false">
      <c r="A42" s="8" t="s">
        <v>459</v>
      </c>
      <c r="B42" s="8" t="s">
        <v>460</v>
      </c>
      <c r="C42" s="8" t="s">
        <v>461</v>
      </c>
      <c r="D42" s="8" t="s">
        <v>462</v>
      </c>
    </row>
    <row r="43" customFormat="false" ht="15" hidden="false" customHeight="false" outlineLevel="0" collapsed="false">
      <c r="A43" s="2" t="s">
        <v>463</v>
      </c>
      <c r="B43" s="2" t="str">
        <f aca="false">"no lever"</f>
        <v>no lever</v>
      </c>
      <c r="C43" s="16" t="n">
        <f aca="false">0</f>
        <v>0</v>
      </c>
      <c r="D43" s="29" t="n">
        <v>0.24622</v>
      </c>
    </row>
    <row r="44" customFormat="false" ht="15" hidden="false" customHeight="false" outlineLevel="0" collapsed="false">
      <c r="A44" s="2" t="s">
        <v>464</v>
      </c>
      <c r="B44" s="2" t="str">
        <f aca="false">"a $"&amp;TEXT(B33,"0")&amp;" million standby line"</f>
        <v>a $55 million standby line</v>
      </c>
      <c r="C44" s="16" t="n">
        <f aca="false">B34</f>
        <v>1.64749782038636</v>
      </c>
      <c r="D44" s="29" t="n">
        <v>0.17403</v>
      </c>
    </row>
    <row r="45" customFormat="false" ht="15" hidden="false" customHeight="false" outlineLevel="0" collapsed="false">
      <c r="A45" s="2" t="s">
        <v>465</v>
      </c>
      <c r="B45" s="2" t="str">
        <f aca="false">"a $"&amp;TEXT(B35,"0")&amp;" million line and "&amp;TEXT(B37,"0")&amp;" months' delay"</f>
        <v>a $170 million line and 2 months' delay</v>
      </c>
      <c r="C45" s="16" t="n">
        <f aca="false">B38</f>
        <v>10.440610891413</v>
      </c>
      <c r="D45" s="29" t="n">
        <v>0.05</v>
      </c>
    </row>
    <row r="46" customFormat="false" ht="15" hidden="false" customHeight="false" outlineLevel="0" collapsed="false">
      <c r="A46" s="2" t="s">
        <v>466</v>
      </c>
      <c r="B46" s="2" t="str">
        <f aca="false">"none: the odds never fall below "&amp;TEXT(D47,"0.000%")</f>
        <v>none: the odds never fall below 0.001%</v>
      </c>
      <c r="C46" s="16" t="s">
        <v>82</v>
      </c>
      <c r="D46" s="2" t="s">
        <v>82</v>
      </c>
    </row>
    <row r="47" customFormat="false" ht="15" hidden="false" customHeight="false" outlineLevel="0" collapsed="false">
      <c r="A47" s="2" t="s">
        <v>467</v>
      </c>
      <c r="D47" s="30" t="n">
        <v>1E-005</v>
      </c>
    </row>
    <row r="49" customFormat="false" ht="15" hidden="false" customHeight="false" outlineLevel="0" collapsed="false">
      <c r="A49" s="8" t="s">
        <v>468</v>
      </c>
      <c r="B49" s="8" t="s">
        <v>469</v>
      </c>
      <c r="C49" s="8" t="s">
        <v>470</v>
      </c>
      <c r="D49" s="8" t="s">
        <v>471</v>
      </c>
    </row>
    <row r="50" customFormat="false" ht="15" hidden="false" customHeight="false" outlineLevel="0" collapsed="false">
      <c r="A50" s="2" t="s">
        <v>472</v>
      </c>
      <c r="B50" s="26" t="n">
        <v>165</v>
      </c>
      <c r="C50" s="27" t="n">
        <v>0.80481304152793</v>
      </c>
      <c r="D50" s="20" t="n">
        <f aca="false">$B$11*B50+$B$12*C50</f>
        <v>11.3885043322234</v>
      </c>
    </row>
    <row r="51" customFormat="false" ht="15" hidden="false" customHeight="false" outlineLevel="0" collapsed="false">
      <c r="A51" s="2" t="s">
        <v>473</v>
      </c>
      <c r="B51" s="26" t="n">
        <v>165</v>
      </c>
      <c r="C51" s="27" t="n">
        <v>0.578936193444824</v>
      </c>
      <c r="D51" s="20" t="n">
        <f aca="false">$B$11*B51+$B$12*C51</f>
        <v>9.58148954755859</v>
      </c>
    </row>
    <row r="52" customFormat="false" ht="15" hidden="false" customHeight="false" outlineLevel="0" collapsed="false">
      <c r="A52" s="2" t="s">
        <v>474</v>
      </c>
      <c r="D52" s="20" t="n">
        <f aca="false">(D50-D51)/(5.5-4.5)</f>
        <v>1.80701478466484</v>
      </c>
    </row>
    <row r="53" customFormat="false" ht="15" hidden="false" customHeight="false" outlineLevel="0" collapsed="false">
      <c r="A53" s="2" t="s">
        <v>475</v>
      </c>
      <c r="D53" s="16" t="n">
        <f aca="false">100*D52</f>
        <v>180.701478466484</v>
      </c>
    </row>
    <row r="55" customFormat="false" ht="15" hidden="false" customHeight="false" outlineLevel="0" collapsed="false">
      <c r="A55" s="8" t="s">
        <v>476</v>
      </c>
      <c r="B55" s="8" t="s">
        <v>20</v>
      </c>
      <c r="C55" s="8" t="s">
        <v>477</v>
      </c>
    </row>
    <row r="56" customFormat="false" ht="15" hidden="false" customHeight="false" outlineLevel="0" collapsed="false">
      <c r="A56" s="2" t="s">
        <v>478</v>
      </c>
      <c r="B56" s="9" t="n">
        <v>1</v>
      </c>
      <c r="C56" s="11" t="n">
        <v>0.96</v>
      </c>
    </row>
    <row r="57" customFormat="false" ht="15" hidden="false" customHeight="false" outlineLevel="0" collapsed="false">
      <c r="A57" s="2" t="s">
        <v>479</v>
      </c>
      <c r="B57" s="9" t="n">
        <v>-30</v>
      </c>
      <c r="C57" s="11" t="n">
        <v>0.04</v>
      </c>
    </row>
    <row r="58" customFormat="false" ht="15" hidden="false" customHeight="false" outlineLevel="0" collapsed="false">
      <c r="A58" s="2" t="s">
        <v>480</v>
      </c>
      <c r="B58" s="16" t="n">
        <f aca="false">SUMIF(B56:B57,"&gt;=0",C56:C57)</f>
        <v>0.96</v>
      </c>
    </row>
    <row r="59" customFormat="false" ht="15" hidden="false" customHeight="false" outlineLevel="0" collapsed="false">
      <c r="A59" s="2" t="s">
        <v>481</v>
      </c>
      <c r="B59" s="2" t="str">
        <f aca="false">IF(B58&gt;=0.95,"yes","no")</f>
        <v>yes</v>
      </c>
    </row>
    <row r="60" customFormat="false" ht="15" hidden="false" customHeight="false" outlineLevel="0" collapsed="false">
      <c r="A60" s="2" t="s">
        <v>482</v>
      </c>
      <c r="B60" s="16" t="n">
        <f aca="false">SUMPRODUCT(B56:B57,C56:C57)</f>
        <v>-0.24</v>
      </c>
    </row>
    <row r="61" customFormat="false" ht="15" hidden="false" customHeight="false" outlineLevel="0" collapsed="false">
      <c r="A61" s="2" t="s">
        <v>483</v>
      </c>
      <c r="B61" s="2" t="str">
        <f aca="false">IF(B60&gt;=0,"yes","no")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484</v>
      </c>
      <c r="B1" s="8" t="s">
        <v>485</v>
      </c>
      <c r="C1" s="8" t="s">
        <v>486</v>
      </c>
    </row>
    <row r="2" customFormat="false" ht="15" hidden="false" customHeight="false" outlineLevel="0" collapsed="false">
      <c r="A2" s="2" t="s">
        <v>487</v>
      </c>
      <c r="B2" s="31" t="n">
        <v>1</v>
      </c>
      <c r="C2" s="2" t="s">
        <v>488</v>
      </c>
    </row>
    <row r="3" customFormat="false" ht="15" hidden="false" customHeight="false" outlineLevel="0" collapsed="false">
      <c r="A3" s="2" t="s">
        <v>489</v>
      </c>
      <c r="B3" s="31" t="n">
        <v>702.1875</v>
      </c>
      <c r="C3" s="2" t="s">
        <v>490</v>
      </c>
    </row>
    <row r="4" customFormat="false" ht="15" hidden="false" customHeight="false" outlineLevel="0" collapsed="false">
      <c r="A4" s="2" t="s">
        <v>119</v>
      </c>
      <c r="B4" s="31" t="n">
        <v>647.5</v>
      </c>
      <c r="C4" s="2" t="s">
        <v>491</v>
      </c>
    </row>
    <row r="5" customFormat="false" ht="15" hidden="false" customHeight="false" outlineLevel="0" collapsed="false">
      <c r="A5" s="2" t="s">
        <v>492</v>
      </c>
      <c r="B5" s="31" t="n">
        <v>54.6875</v>
      </c>
      <c r="C5" s="2" t="s">
        <v>493</v>
      </c>
    </row>
    <row r="6" customFormat="false" ht="15" hidden="false" customHeight="false" outlineLevel="0" collapsed="false">
      <c r="A6" s="2" t="s">
        <v>494</v>
      </c>
      <c r="B6" s="31" t="n">
        <v>535</v>
      </c>
      <c r="C6" s="2" t="s">
        <v>495</v>
      </c>
    </row>
    <row r="7" customFormat="false" ht="15" hidden="false" customHeight="false" outlineLevel="0" collapsed="false">
      <c r="A7" s="2" t="s">
        <v>496</v>
      </c>
      <c r="B7" s="31" t="n">
        <v>467.5</v>
      </c>
      <c r="C7" s="2" t="s">
        <v>497</v>
      </c>
    </row>
    <row r="8" customFormat="false" ht="15" hidden="false" customHeight="false" outlineLevel="0" collapsed="false">
      <c r="A8" s="2" t="s">
        <v>498</v>
      </c>
      <c r="B8" s="31" t="n">
        <v>347.5</v>
      </c>
      <c r="C8" s="2" t="s">
        <v>499</v>
      </c>
    </row>
    <row r="9" customFormat="false" ht="15" hidden="false" customHeight="false" outlineLevel="0" collapsed="false">
      <c r="A9" s="2" t="s">
        <v>500</v>
      </c>
      <c r="B9" s="31" t="n">
        <v>3</v>
      </c>
      <c r="C9" s="2" t="s">
        <v>108</v>
      </c>
    </row>
    <row r="10" customFormat="false" ht="15" hidden="false" customHeight="false" outlineLevel="0" collapsed="false">
      <c r="A10" s="2" t="s">
        <v>501</v>
      </c>
      <c r="B10" s="31" t="n">
        <v>602.1875</v>
      </c>
      <c r="C10" s="2" t="s">
        <v>502</v>
      </c>
    </row>
    <row r="11" customFormat="false" ht="15" hidden="false" customHeight="false" outlineLevel="0" collapsed="false">
      <c r="A11" s="2" t="s">
        <v>503</v>
      </c>
      <c r="B11" s="31" t="n">
        <v>3</v>
      </c>
      <c r="C11" s="2" t="s">
        <v>504</v>
      </c>
    </row>
    <row r="12" customFormat="false" ht="15" hidden="false" customHeight="false" outlineLevel="0" collapsed="false">
      <c r="A12" s="2" t="s">
        <v>505</v>
      </c>
      <c r="B12" s="31" t="n">
        <v>6</v>
      </c>
      <c r="C12" s="2" t="s">
        <v>506</v>
      </c>
    </row>
    <row r="13" customFormat="false" ht="15" hidden="false" customHeight="false" outlineLevel="0" collapsed="false">
      <c r="A13" s="2" t="s">
        <v>507</v>
      </c>
      <c r="B13" s="31" t="n">
        <v>467.5</v>
      </c>
      <c r="C13" s="2" t="s">
        <v>497</v>
      </c>
    </row>
    <row r="14" customFormat="false" ht="15" hidden="false" customHeight="false" outlineLevel="0" collapsed="false">
      <c r="A14" s="2" t="s">
        <v>508</v>
      </c>
      <c r="B14" s="31" t="n">
        <v>13</v>
      </c>
      <c r="C14" s="2" t="s">
        <v>509</v>
      </c>
    </row>
    <row r="15" customFormat="false" ht="15" hidden="false" customHeight="false" outlineLevel="0" collapsed="false">
      <c r="A15" s="2" t="s">
        <v>510</v>
      </c>
      <c r="B15" s="31" t="n">
        <v>28</v>
      </c>
      <c r="C15" s="2" t="s">
        <v>511</v>
      </c>
    </row>
    <row r="16" customFormat="false" ht="15" hidden="false" customHeight="false" outlineLevel="0" collapsed="false">
      <c r="A16" s="2" t="s">
        <v>266</v>
      </c>
      <c r="B16" s="31" t="n">
        <v>2</v>
      </c>
      <c r="C16" s="2" t="s">
        <v>512</v>
      </c>
    </row>
    <row r="17" customFormat="false" ht="15" hidden="false" customHeight="false" outlineLevel="0" collapsed="false">
      <c r="A17" s="2" t="s">
        <v>513</v>
      </c>
      <c r="B17" s="31" t="n">
        <v>32</v>
      </c>
      <c r="C17" s="2" t="s">
        <v>514</v>
      </c>
    </row>
    <row r="18" customFormat="false" ht="15" hidden="false" customHeight="false" outlineLevel="0" collapsed="false">
      <c r="A18" s="2" t="s">
        <v>284</v>
      </c>
      <c r="B18" s="31" t="n">
        <v>3</v>
      </c>
      <c r="C18" s="2" t="s">
        <v>515</v>
      </c>
    </row>
    <row r="19" customFormat="false" ht="15" hidden="false" customHeight="false" outlineLevel="0" collapsed="false">
      <c r="A19" s="2" t="s">
        <v>516</v>
      </c>
      <c r="B19" s="31" t="n">
        <v>0</v>
      </c>
      <c r="C19" s="2" t="s">
        <v>517</v>
      </c>
    </row>
    <row r="20" customFormat="false" ht="15" hidden="false" customHeight="false" outlineLevel="0" collapsed="false">
      <c r="A20" s="2" t="s">
        <v>518</v>
      </c>
      <c r="B20" s="31" t="n">
        <v>0.188251001335114</v>
      </c>
      <c r="C20" s="2" t="s">
        <v>519</v>
      </c>
    </row>
    <row r="21" customFormat="false" ht="15" hidden="false" customHeight="false" outlineLevel="0" collapsed="false">
      <c r="A21" s="2" t="s">
        <v>520</v>
      </c>
      <c r="B21" s="31" t="n">
        <v>0.20265780730897</v>
      </c>
      <c r="C21" s="2" t="s">
        <v>521</v>
      </c>
    </row>
    <row r="22" customFormat="false" ht="15" hidden="false" customHeight="false" outlineLevel="0" collapsed="false">
      <c r="A22" s="2" t="s">
        <v>522</v>
      </c>
      <c r="B22" s="31" t="n">
        <v>132.1875</v>
      </c>
      <c r="C22" s="2" t="s">
        <v>523</v>
      </c>
    </row>
    <row r="23" customFormat="false" ht="15" hidden="false" customHeight="false" outlineLevel="0" collapsed="false">
      <c r="A23" s="2" t="s">
        <v>524</v>
      </c>
      <c r="B23" s="31" t="n">
        <v>84.78125</v>
      </c>
      <c r="C23" s="2" t="s">
        <v>525</v>
      </c>
    </row>
    <row r="24" customFormat="false" ht="15" hidden="false" customHeight="false" outlineLevel="0" collapsed="false">
      <c r="A24" s="2" t="s">
        <v>526</v>
      </c>
      <c r="B24" s="31" t="n">
        <v>470</v>
      </c>
      <c r="C24" s="2" t="s">
        <v>527</v>
      </c>
    </row>
    <row r="25" customFormat="false" ht="15" hidden="false" customHeight="false" outlineLevel="0" collapsed="false">
      <c r="A25" s="2" t="s">
        <v>528</v>
      </c>
      <c r="B25" s="31" t="n">
        <v>13.1775700934579</v>
      </c>
      <c r="C25" s="2" t="s">
        <v>529</v>
      </c>
    </row>
    <row r="26" customFormat="false" ht="15" hidden="false" customHeight="false" outlineLevel="0" collapsed="false">
      <c r="A26" s="2" t="s">
        <v>530</v>
      </c>
      <c r="B26" s="31" t="n">
        <v>488.03738317757</v>
      </c>
      <c r="C26" s="2" t="s">
        <v>531</v>
      </c>
    </row>
    <row r="27" customFormat="false" ht="15" hidden="false" customHeight="false" outlineLevel="0" collapsed="false">
      <c r="A27" s="2" t="s">
        <v>532</v>
      </c>
      <c r="B27" s="31" t="n">
        <v>35</v>
      </c>
      <c r="C27" s="2" t="s">
        <v>533</v>
      </c>
    </row>
    <row r="28" customFormat="false" ht="15" hidden="false" customHeight="false" outlineLevel="0" collapsed="false">
      <c r="A28" s="2" t="s">
        <v>534</v>
      </c>
      <c r="B28" s="31" t="n">
        <v>124</v>
      </c>
      <c r="C28" s="2" t="s">
        <v>535</v>
      </c>
    </row>
    <row r="29" customFormat="false" ht="15" hidden="false" customHeight="false" outlineLevel="0" collapsed="false">
      <c r="A29" s="2" t="s">
        <v>536</v>
      </c>
      <c r="B29" s="31" t="n">
        <v>323.75</v>
      </c>
      <c r="C29" s="2" t="s">
        <v>537</v>
      </c>
    </row>
    <row r="30" customFormat="false" ht="15" hidden="false" customHeight="false" outlineLevel="0" collapsed="false">
      <c r="A30" s="2" t="s">
        <v>538</v>
      </c>
      <c r="B30" s="31" t="n">
        <v>83.25</v>
      </c>
      <c r="C30" s="2" t="s">
        <v>539</v>
      </c>
    </row>
    <row r="31" customFormat="false" ht="15" hidden="false" customHeight="false" outlineLevel="0" collapsed="false">
      <c r="A31" s="2" t="s">
        <v>540</v>
      </c>
      <c r="B31" s="31" t="n">
        <v>583.75</v>
      </c>
      <c r="C31" s="2" t="s">
        <v>541</v>
      </c>
    </row>
    <row r="32" customFormat="false" ht="15" hidden="false" customHeight="false" outlineLevel="0" collapsed="false">
      <c r="A32" s="2" t="s">
        <v>542</v>
      </c>
      <c r="B32" s="31" t="n">
        <v>461.25</v>
      </c>
      <c r="C32" s="2" t="s">
        <v>543</v>
      </c>
    </row>
    <row r="33" customFormat="false" ht="15" hidden="false" customHeight="false" outlineLevel="0" collapsed="false">
      <c r="A33" s="2" t="s">
        <v>544</v>
      </c>
      <c r="B33" s="31" t="n">
        <v>347.5</v>
      </c>
      <c r="C33" s="2" t="s">
        <v>545</v>
      </c>
    </row>
    <row r="34" customFormat="false" ht="15" hidden="false" customHeight="false" outlineLevel="0" collapsed="false">
      <c r="A34" s="2" t="s">
        <v>546</v>
      </c>
      <c r="B34" s="31" t="n">
        <v>341.25</v>
      </c>
      <c r="C34" s="2" t="s">
        <v>547</v>
      </c>
    </row>
    <row r="35" customFormat="false" ht="15" hidden="false" customHeight="false" outlineLevel="0" collapsed="false">
      <c r="A35" s="2" t="s">
        <v>548</v>
      </c>
      <c r="B35" s="31" t="n">
        <v>468.125</v>
      </c>
      <c r="C35" s="2" t="s">
        <v>549</v>
      </c>
    </row>
    <row r="36" customFormat="false" ht="15" hidden="false" customHeight="false" outlineLevel="0" collapsed="false">
      <c r="A36" s="2" t="s">
        <v>550</v>
      </c>
      <c r="B36" s="31" t="n">
        <v>351.09375</v>
      </c>
      <c r="C36" s="2" t="s">
        <v>551</v>
      </c>
    </row>
    <row r="37" customFormat="false" ht="15" hidden="false" customHeight="false" outlineLevel="0" collapsed="false">
      <c r="A37" s="2" t="s">
        <v>552</v>
      </c>
      <c r="B37" s="31" t="n">
        <v>182.1875</v>
      </c>
      <c r="C37" s="2" t="s">
        <v>553</v>
      </c>
    </row>
    <row r="38" customFormat="false" ht="15" hidden="false" customHeight="false" outlineLevel="0" collapsed="false">
      <c r="A38" s="2" t="s">
        <v>554</v>
      </c>
      <c r="B38" s="31" t="n">
        <v>408.75</v>
      </c>
      <c r="C38" s="2" t="s">
        <v>555</v>
      </c>
    </row>
    <row r="39" customFormat="false" ht="15" hidden="false" customHeight="false" outlineLevel="0" collapsed="false">
      <c r="A39" s="2" t="s">
        <v>556</v>
      </c>
      <c r="B39" s="31" t="n">
        <v>251.09375</v>
      </c>
      <c r="C39" s="2" t="s">
        <v>557</v>
      </c>
    </row>
    <row r="40" customFormat="false" ht="15" hidden="false" customHeight="false" outlineLevel="0" collapsed="false">
      <c r="A40" s="2" t="s">
        <v>558</v>
      </c>
      <c r="B40" s="31" t="n">
        <v>12</v>
      </c>
      <c r="C40" s="2" t="s">
        <v>559</v>
      </c>
    </row>
    <row r="41" customFormat="false" ht="15" hidden="false" customHeight="false" outlineLevel="0" collapsed="false">
      <c r="A41" s="2" t="s">
        <v>560</v>
      </c>
      <c r="B41" s="31" t="n">
        <v>505</v>
      </c>
      <c r="C41" s="2" t="s">
        <v>561</v>
      </c>
    </row>
    <row r="42" customFormat="false" ht="15" hidden="false" customHeight="false" outlineLevel="0" collapsed="false">
      <c r="A42" s="2" t="s">
        <v>562</v>
      </c>
      <c r="B42" s="31" t="n">
        <v>123</v>
      </c>
      <c r="C42" s="2" t="s">
        <v>563</v>
      </c>
    </row>
    <row r="43" customFormat="false" ht="15" hidden="false" customHeight="false" outlineLevel="0" collapsed="false">
      <c r="A43" s="2" t="s">
        <v>564</v>
      </c>
      <c r="B43" s="31" t="n">
        <v>455</v>
      </c>
      <c r="C43" s="2" t="s">
        <v>565</v>
      </c>
    </row>
    <row r="44" customFormat="false" ht="15" hidden="false" customHeight="false" outlineLevel="0" collapsed="false">
      <c r="A44" s="2" t="s">
        <v>566</v>
      </c>
      <c r="B44" s="31" t="n">
        <v>6</v>
      </c>
      <c r="C44" s="2" t="s">
        <v>567</v>
      </c>
    </row>
    <row r="45" customFormat="false" ht="15" hidden="false" customHeight="false" outlineLevel="0" collapsed="false">
      <c r="A45" s="2" t="s">
        <v>568</v>
      </c>
      <c r="B45" s="31" t="n">
        <v>2.85714285714286</v>
      </c>
      <c r="C45" s="2" t="s">
        <v>569</v>
      </c>
    </row>
    <row r="46" customFormat="false" ht="15" hidden="false" customHeight="false" outlineLevel="0" collapsed="false">
      <c r="A46" s="2" t="s">
        <v>570</v>
      </c>
      <c r="B46" s="31" t="n">
        <v>10.7142857142857</v>
      </c>
      <c r="C46" s="2" t="s">
        <v>571</v>
      </c>
    </row>
    <row r="47" customFormat="false" ht="15" hidden="false" customHeight="false" outlineLevel="0" collapsed="false">
      <c r="A47" s="2" t="s">
        <v>572</v>
      </c>
      <c r="B47" s="31" t="n">
        <v>25.4285714285714</v>
      </c>
      <c r="C47" s="2" t="s">
        <v>573</v>
      </c>
    </row>
    <row r="48" customFormat="false" ht="15" hidden="false" customHeight="false" outlineLevel="0" collapsed="false">
      <c r="A48" s="2" t="s">
        <v>574</v>
      </c>
      <c r="B48" s="31" t="n">
        <v>53.8571428571429</v>
      </c>
      <c r="C48" s="2" t="s">
        <v>575</v>
      </c>
    </row>
    <row r="49" customFormat="false" ht="15" hidden="false" customHeight="false" outlineLevel="0" collapsed="false">
      <c r="A49" s="2" t="s">
        <v>576</v>
      </c>
      <c r="B49" s="31" t="n">
        <v>3</v>
      </c>
      <c r="C49" s="2" t="s">
        <v>577</v>
      </c>
    </row>
    <row r="50" customFormat="false" ht="15" hidden="false" customHeight="false" outlineLevel="0" collapsed="false">
      <c r="A50" s="2" t="s">
        <v>578</v>
      </c>
      <c r="B50" s="31" t="n">
        <v>54</v>
      </c>
      <c r="C50" s="2" t="s">
        <v>579</v>
      </c>
    </row>
    <row r="51" customFormat="false" ht="15" hidden="false" customHeight="false" outlineLevel="0" collapsed="false">
      <c r="A51" s="2" t="s">
        <v>580</v>
      </c>
      <c r="B51" s="31" t="n">
        <v>107.1875</v>
      </c>
      <c r="C51" s="2" t="s">
        <v>581</v>
      </c>
    </row>
    <row r="52" customFormat="false" ht="15" hidden="false" customHeight="false" outlineLevel="0" collapsed="false">
      <c r="A52" s="2" t="s">
        <v>582</v>
      </c>
      <c r="B52" s="31" t="n">
        <v>602.1875</v>
      </c>
      <c r="C52" s="2" t="s">
        <v>502</v>
      </c>
    </row>
    <row r="53" customFormat="false" ht="15" hidden="false" customHeight="false" outlineLevel="0" collapsed="false">
      <c r="A53" s="2" t="s">
        <v>583</v>
      </c>
      <c r="B53" s="31" t="n">
        <v>0</v>
      </c>
      <c r="C53" s="2" t="s">
        <v>584</v>
      </c>
    </row>
    <row r="54" customFormat="false" ht="15" hidden="false" customHeight="false" outlineLevel="0" collapsed="false">
      <c r="A54" s="2" t="s">
        <v>585</v>
      </c>
      <c r="B54" s="31" t="n">
        <v>0</v>
      </c>
      <c r="C54" s="2" t="s">
        <v>586</v>
      </c>
    </row>
    <row r="55" customFormat="false" ht="15" hidden="false" customHeight="false" outlineLevel="0" collapsed="false">
      <c r="A55" s="2" t="s">
        <v>387</v>
      </c>
      <c r="B55" s="31" t="n">
        <v>0</v>
      </c>
      <c r="C55" s="2" t="s">
        <v>587</v>
      </c>
    </row>
    <row r="56" customFormat="false" ht="15" hidden="false" customHeight="false" outlineLevel="0" collapsed="false">
      <c r="A56" s="2" t="s">
        <v>588</v>
      </c>
      <c r="B56" s="31" t="n">
        <v>505</v>
      </c>
      <c r="C56" s="2" t="s">
        <v>589</v>
      </c>
    </row>
    <row r="57" customFormat="false" ht="15" hidden="false" customHeight="false" outlineLevel="0" collapsed="false">
      <c r="A57" s="2" t="s">
        <v>590</v>
      </c>
      <c r="B57" s="31" t="n">
        <v>1</v>
      </c>
      <c r="C57" s="2" t="s">
        <v>591</v>
      </c>
    </row>
    <row r="58" customFormat="false" ht="15" hidden="false" customHeight="false" outlineLevel="0" collapsed="false">
      <c r="A58" s="2" t="s">
        <v>592</v>
      </c>
      <c r="B58" s="31" t="n">
        <v>1000</v>
      </c>
      <c r="C58" s="2" t="s">
        <v>593</v>
      </c>
    </row>
    <row r="59" customFormat="false" ht="15" hidden="false" customHeight="false" outlineLevel="0" collapsed="false">
      <c r="A59" s="2" t="s">
        <v>594</v>
      </c>
      <c r="B59" s="31" t="n">
        <v>138.049617642214</v>
      </c>
      <c r="C59" s="2" t="s">
        <v>595</v>
      </c>
    </row>
    <row r="60" customFormat="false" ht="15" hidden="false" customHeight="false" outlineLevel="0" collapsed="false">
      <c r="A60" s="2" t="s">
        <v>449</v>
      </c>
      <c r="B60" s="31" t="n">
        <v>186.866976370664</v>
      </c>
      <c r="C60" s="2" t="s">
        <v>596</v>
      </c>
    </row>
    <row r="61" customFormat="false" ht="15" hidden="false" customHeight="false" outlineLevel="0" collapsed="false">
      <c r="A61" s="2" t="s">
        <v>597</v>
      </c>
      <c r="B61" s="31" t="n">
        <v>54.9165940128787</v>
      </c>
      <c r="C61" s="2" t="s">
        <v>598</v>
      </c>
    </row>
    <row r="62" customFormat="false" ht="15" hidden="false" customHeight="false" outlineLevel="0" collapsed="false">
      <c r="A62" s="2" t="s">
        <v>599</v>
      </c>
      <c r="B62" s="31" t="n">
        <v>1.64749782038636</v>
      </c>
      <c r="C62" s="2" t="s">
        <v>600</v>
      </c>
    </row>
    <row r="63" customFormat="false" ht="15" hidden="false" customHeight="false" outlineLevel="0" collapsed="false">
      <c r="A63" s="2" t="s">
        <v>601</v>
      </c>
      <c r="B63" s="31" t="n">
        <v>2.00272908427988</v>
      </c>
      <c r="C63" s="2" t="s">
        <v>602</v>
      </c>
    </row>
    <row r="64" customFormat="false" ht="15" hidden="false" customHeight="false" outlineLevel="0" collapsed="false">
      <c r="A64" s="2" t="s">
        <v>603</v>
      </c>
      <c r="B64" s="31" t="n">
        <v>10.440610891413</v>
      </c>
      <c r="C64" s="2" t="s">
        <v>604</v>
      </c>
    </row>
    <row r="65" customFormat="false" ht="15" hidden="false" customHeight="false" outlineLevel="0" collapsed="false">
      <c r="A65" s="2" t="s">
        <v>605</v>
      </c>
      <c r="B65" s="31" t="n">
        <v>1.80701478466484</v>
      </c>
      <c r="C65" s="2" t="s">
        <v>606</v>
      </c>
    </row>
    <row r="66" customFormat="false" ht="15" hidden="false" customHeight="false" outlineLevel="0" collapsed="false">
      <c r="A66" s="2" t="s">
        <v>607</v>
      </c>
      <c r="B66" s="31" t="n">
        <v>180.701478466484</v>
      </c>
      <c r="C66" s="2" t="s">
        <v>608</v>
      </c>
    </row>
    <row r="67" customFormat="false" ht="15" hidden="false" customHeight="false" outlineLevel="0" collapsed="false">
      <c r="A67" s="2" t="s">
        <v>609</v>
      </c>
      <c r="B67" s="31" t="n">
        <v>-0.24</v>
      </c>
      <c r="C67" s="2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484</v>
      </c>
      <c r="B1" s="8" t="s">
        <v>611</v>
      </c>
      <c r="C1" s="8" t="s">
        <v>485</v>
      </c>
      <c r="D1" s="8" t="s">
        <v>612</v>
      </c>
      <c r="E1" s="8" t="s">
        <v>613</v>
      </c>
      <c r="F1" s="8" t="s">
        <v>614</v>
      </c>
    </row>
    <row r="2" customFormat="false" ht="15" hidden="false" customHeight="false" outlineLevel="0" collapsed="false">
      <c r="A2" s="2" t="s">
        <v>487</v>
      </c>
      <c r="B2" s="32" t="n">
        <f aca="false">Instance!B18</f>
        <v>1</v>
      </c>
      <c r="C2" s="33" t="n">
        <f aca="false">Reference_Values!B2</f>
        <v>1</v>
      </c>
      <c r="D2" s="34" t="n">
        <f aca="false">ABS(B2-C2)</f>
        <v>0</v>
      </c>
      <c r="E2" s="35" t="n">
        <v>0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489</v>
      </c>
      <c r="B3" s="32" t="n">
        <f aca="false">Instance!B31</f>
        <v>702.1875</v>
      </c>
      <c r="C3" s="33" t="n">
        <f aca="false">Reference_Values!B3</f>
        <v>702.1875</v>
      </c>
      <c r="D3" s="34" t="n">
        <f aca="false">ABS(B3-C3)</f>
        <v>0</v>
      </c>
      <c r="E3" s="35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119</v>
      </c>
      <c r="B4" s="32" t="n">
        <f aca="false">Instance!B32</f>
        <v>647.5</v>
      </c>
      <c r="C4" s="33" t="n">
        <f aca="false">Reference_Values!B4</f>
        <v>647.5</v>
      </c>
      <c r="D4" s="34" t="n">
        <f aca="false">ABS(B4-C4)</f>
        <v>0</v>
      </c>
      <c r="E4" s="35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492</v>
      </c>
      <c r="B5" s="32" t="n">
        <f aca="false">Instance!B33</f>
        <v>54.6875</v>
      </c>
      <c r="C5" s="33" t="n">
        <f aca="false">Reference_Values!B5</f>
        <v>54.6875</v>
      </c>
      <c r="D5" s="34" t="n">
        <f aca="false">ABS(B5-C5)</f>
        <v>0</v>
      </c>
      <c r="E5" s="35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494</v>
      </c>
      <c r="B6" s="32" t="n">
        <f aca="false">JointPlan!N6</f>
        <v>535</v>
      </c>
      <c r="C6" s="33" t="n">
        <f aca="false">Reference_Values!B6</f>
        <v>535</v>
      </c>
      <c r="D6" s="34" t="n">
        <f aca="false">ABS(B6-C6)</f>
        <v>0</v>
      </c>
      <c r="E6" s="35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496</v>
      </c>
      <c r="B7" s="32" t="n">
        <f aca="false">JointPlan!N7</f>
        <v>467.5</v>
      </c>
      <c r="C7" s="33" t="n">
        <f aca="false">Reference_Values!B7</f>
        <v>467.5</v>
      </c>
      <c r="D7" s="34" t="n">
        <f aca="false">ABS(B7-C7)</f>
        <v>0</v>
      </c>
      <c r="E7" s="35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498</v>
      </c>
      <c r="B8" s="32" t="n">
        <f aca="false">JointPlan!N8</f>
        <v>347.5</v>
      </c>
      <c r="C8" s="33" t="n">
        <f aca="false">Reference_Values!B8</f>
        <v>347.5</v>
      </c>
      <c r="D8" s="34" t="n">
        <f aca="false">ABS(B8-C8)</f>
        <v>0</v>
      </c>
      <c r="E8" s="35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500</v>
      </c>
      <c r="B9" s="32" t="n">
        <f aca="false">JointPlan!N9</f>
        <v>3</v>
      </c>
      <c r="C9" s="33" t="n">
        <f aca="false">Reference_Values!B9</f>
        <v>3</v>
      </c>
      <c r="D9" s="34" t="n">
        <f aca="false">ABS(B9-C9)</f>
        <v>0</v>
      </c>
      <c r="E9" s="35" t="n">
        <v>0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501</v>
      </c>
      <c r="B10" s="32" t="n">
        <f aca="false">JointPlan!N12</f>
        <v>602.1875</v>
      </c>
      <c r="C10" s="33" t="n">
        <f aca="false">Reference_Values!B10</f>
        <v>602.1875</v>
      </c>
      <c r="D10" s="34" t="n">
        <f aca="false">ABS(B10-C10)</f>
        <v>0</v>
      </c>
      <c r="E10" s="35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503</v>
      </c>
      <c r="B11" s="32" t="n">
        <f aca="false">JointPlan!I35</f>
        <v>3</v>
      </c>
      <c r="C11" s="33" t="n">
        <f aca="false">Reference_Values!B11</f>
        <v>3</v>
      </c>
      <c r="D11" s="34" t="n">
        <f aca="false">ABS(B11-C11)</f>
        <v>0</v>
      </c>
      <c r="E11" s="35" t="n">
        <v>0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505</v>
      </c>
      <c r="B12" s="32" t="n">
        <f aca="false">JointPlan!I47</f>
        <v>6</v>
      </c>
      <c r="C12" s="33" t="n">
        <f aca="false">Reference_Values!B12</f>
        <v>6</v>
      </c>
      <c r="D12" s="34" t="n">
        <f aca="false">ABS(B12-C12)</f>
        <v>0</v>
      </c>
      <c r="E12" s="35" t="n">
        <v>0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507</v>
      </c>
      <c r="B13" s="32" t="n">
        <f aca="false">JointPlan!H30</f>
        <v>467.5</v>
      </c>
      <c r="C13" s="33" t="n">
        <f aca="false">Reference_Values!B13</f>
        <v>467.5</v>
      </c>
      <c r="D13" s="34" t="n">
        <f aca="false">ABS(B13-C13)</f>
        <v>0</v>
      </c>
      <c r="E13" s="35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508</v>
      </c>
      <c r="B14" s="32" t="n">
        <f aca="false">DiagnoseClash!O11</f>
        <v>13</v>
      </c>
      <c r="C14" s="33" t="n">
        <f aca="false">Reference_Values!B14</f>
        <v>13</v>
      </c>
      <c r="D14" s="34" t="n">
        <f aca="false">ABS(B14-C14)</f>
        <v>0</v>
      </c>
      <c r="E14" s="35" t="n">
        <v>0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510</v>
      </c>
      <c r="B15" s="32" t="n">
        <f aca="false">DiagnoseClash!O21</f>
        <v>28</v>
      </c>
      <c r="C15" s="33" t="n">
        <f aca="false">Reference_Values!B15</f>
        <v>28</v>
      </c>
      <c r="D15" s="34" t="n">
        <f aca="false">ABS(B15-C15)</f>
        <v>0</v>
      </c>
      <c r="E15" s="35" t="n">
        <v>0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266</v>
      </c>
      <c r="B16" s="32" t="n">
        <f aca="false">DiagnoseClash!I58</f>
        <v>2</v>
      </c>
      <c r="C16" s="33" t="n">
        <f aca="false">Reference_Values!B16</f>
        <v>2</v>
      </c>
      <c r="D16" s="34" t="n">
        <f aca="false">ABS(B16-C16)</f>
        <v>0</v>
      </c>
      <c r="E16" s="35" t="n">
        <v>0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513</v>
      </c>
      <c r="B17" s="32" t="n">
        <f aca="false">DiagnoseClash!H97</f>
        <v>32</v>
      </c>
      <c r="C17" s="33" t="n">
        <f aca="false">Reference_Values!B17</f>
        <v>32</v>
      </c>
      <c r="D17" s="34" t="n">
        <f aca="false">ABS(B17-C17)</f>
        <v>0</v>
      </c>
      <c r="E17" s="35" t="n">
        <v>0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284</v>
      </c>
      <c r="B18" s="32" t="n">
        <f aca="false">DiagnoseClash!H98</f>
        <v>3</v>
      </c>
      <c r="C18" s="33" t="n">
        <f aca="false">Reference_Values!B18</f>
        <v>3</v>
      </c>
      <c r="D18" s="34" t="n">
        <f aca="false">ABS(B18-C18)</f>
        <v>0</v>
      </c>
      <c r="E18" s="35" t="n">
        <v>0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516</v>
      </c>
      <c r="B19" s="32" t="n">
        <f aca="false">DiagnoseClash!H99</f>
        <v>0</v>
      </c>
      <c r="C19" s="33" t="n">
        <f aca="false">Reference_Values!B19</f>
        <v>0</v>
      </c>
      <c r="D19" s="34" t="n">
        <f aca="false">ABS(B19-C19)</f>
        <v>0</v>
      </c>
      <c r="E19" s="35" t="n">
        <v>0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518</v>
      </c>
      <c r="B20" s="32" t="n">
        <f aca="false">Repairs!Q9</f>
        <v>0.188251001335114</v>
      </c>
      <c r="C20" s="33" t="n">
        <f aca="false">Reference_Values!B20</f>
        <v>0.188251001335114</v>
      </c>
      <c r="D20" s="34" t="n">
        <f aca="false">ABS(B20-C20)</f>
        <v>0</v>
      </c>
      <c r="E20" s="35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520</v>
      </c>
      <c r="B21" s="32" t="n">
        <f aca="false">Repairs!Q11</f>
        <v>0.20265780730897</v>
      </c>
      <c r="C21" s="33" t="n">
        <f aca="false">Reference_Values!B21</f>
        <v>0.20265780730897</v>
      </c>
      <c r="D21" s="34" t="n">
        <f aca="false">ABS(B21-C21)</f>
        <v>0</v>
      </c>
      <c r="E21" s="35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522</v>
      </c>
      <c r="B22" s="32" t="n">
        <f aca="false">Repairs!Q16</f>
        <v>132.1875</v>
      </c>
      <c r="C22" s="33" t="n">
        <f aca="false">Reference_Values!B22</f>
        <v>132.1875</v>
      </c>
      <c r="D22" s="34" t="n">
        <f aca="false">ABS(B22-C22)</f>
        <v>0</v>
      </c>
      <c r="E22" s="35" t="n">
        <v>1E-006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524</v>
      </c>
      <c r="B23" s="32" t="n">
        <f aca="false">Repairs!Q17</f>
        <v>84.78125</v>
      </c>
      <c r="C23" s="33" t="n">
        <f aca="false">Reference_Values!B23</f>
        <v>84.78125</v>
      </c>
      <c r="D23" s="34" t="n">
        <f aca="false">ABS(B23-C23)</f>
        <v>0</v>
      </c>
      <c r="E23" s="35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526</v>
      </c>
      <c r="B24" s="32" t="n">
        <f aca="false">Repairs!Q18</f>
        <v>470</v>
      </c>
      <c r="C24" s="33" t="n">
        <f aca="false">Reference_Values!B24</f>
        <v>470</v>
      </c>
      <c r="D24" s="34" t="n">
        <f aca="false">ABS(B24-C24)</f>
        <v>0</v>
      </c>
      <c r="E24" s="35" t="n">
        <v>1E-006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528</v>
      </c>
      <c r="B25" s="32" t="n">
        <f aca="false">Repairs!H16</f>
        <v>13.1775700934579</v>
      </c>
      <c r="C25" s="33" t="n">
        <f aca="false">Reference_Values!B25</f>
        <v>13.1775700934579</v>
      </c>
      <c r="D25" s="34" t="n">
        <f aca="false">ABS(B25-C25)</f>
        <v>0</v>
      </c>
      <c r="E25" s="35" t="n">
        <v>1E-006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530</v>
      </c>
      <c r="B26" s="32" t="n">
        <f aca="false">Repairs!I19</f>
        <v>488.03738317757</v>
      </c>
      <c r="C26" s="33" t="n">
        <f aca="false">Reference_Values!B26</f>
        <v>488.03738317757</v>
      </c>
      <c r="D26" s="34" t="n">
        <f aca="false">ABS(B26-C26)</f>
        <v>0</v>
      </c>
      <c r="E26" s="35" t="n">
        <v>1E-006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532</v>
      </c>
      <c r="B27" s="32" t="n">
        <f aca="false">Repairs!Q24</f>
        <v>35</v>
      </c>
      <c r="C27" s="33" t="n">
        <f aca="false">Reference_Values!B27</f>
        <v>35</v>
      </c>
      <c r="D27" s="34" t="n">
        <f aca="false">ABS(B27-C27)</f>
        <v>0</v>
      </c>
      <c r="E27" s="35" t="n">
        <v>0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534</v>
      </c>
      <c r="B28" s="32" t="n">
        <f aca="false">Repairs!Q27</f>
        <v>124</v>
      </c>
      <c r="C28" s="33" t="n">
        <f aca="false">Reference_Values!B28</f>
        <v>124</v>
      </c>
      <c r="D28" s="34" t="n">
        <f aca="false">ABS(B28-C28)</f>
        <v>0</v>
      </c>
      <c r="E28" s="35" t="n">
        <v>0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536</v>
      </c>
      <c r="B29" s="32" t="n">
        <f aca="false">Repairs!Q28</f>
        <v>323.75</v>
      </c>
      <c r="C29" s="33" t="n">
        <f aca="false">Reference_Values!B29</f>
        <v>323.75</v>
      </c>
      <c r="D29" s="34" t="n">
        <f aca="false">ABS(B29-C29)</f>
        <v>0</v>
      </c>
      <c r="E29" s="35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538</v>
      </c>
      <c r="B30" s="32" t="n">
        <f aca="false">Repairs!Q30</f>
        <v>83.25</v>
      </c>
      <c r="C30" s="33" t="n">
        <f aca="false">Reference_Values!B30</f>
        <v>83.25</v>
      </c>
      <c r="D30" s="34" t="n">
        <f aca="false">ABS(B30-C30)</f>
        <v>0</v>
      </c>
      <c r="E30" s="35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540</v>
      </c>
      <c r="B31" s="32" t="n">
        <f aca="false">Repairs!Q31</f>
        <v>583.75</v>
      </c>
      <c r="C31" s="33" t="n">
        <f aca="false">Reference_Values!B31</f>
        <v>583.75</v>
      </c>
      <c r="D31" s="34" t="n">
        <f aca="false">ABS(B31-C31)</f>
        <v>0</v>
      </c>
      <c r="E31" s="35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542</v>
      </c>
      <c r="B32" s="32" t="n">
        <f aca="false">Repairs!I29</f>
        <v>461.25</v>
      </c>
      <c r="C32" s="33" t="n">
        <f aca="false">Reference_Values!B32</f>
        <v>461.25</v>
      </c>
      <c r="D32" s="34" t="n">
        <f aca="false">ABS(B32-C32)</f>
        <v>0</v>
      </c>
      <c r="E32" s="35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544</v>
      </c>
      <c r="B33" s="32" t="n">
        <f aca="false">Repairs!Q37</f>
        <v>347.5</v>
      </c>
      <c r="C33" s="33" t="n">
        <f aca="false">Reference_Values!B33</f>
        <v>347.5</v>
      </c>
      <c r="D33" s="34" t="n">
        <f aca="false">ABS(B33-C33)</f>
        <v>0</v>
      </c>
      <c r="E33" s="35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546</v>
      </c>
      <c r="B34" s="32" t="n">
        <f aca="false">Repairs!Q47</f>
        <v>341.25</v>
      </c>
      <c r="C34" s="33" t="n">
        <f aca="false">Reference_Values!B34</f>
        <v>341.25</v>
      </c>
      <c r="D34" s="34" t="n">
        <f aca="false">ABS(B34-C34)</f>
        <v>0</v>
      </c>
      <c r="E34" s="35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548</v>
      </c>
      <c r="B35" s="32" t="n">
        <f aca="false">Repairs!Q58</f>
        <v>468.125</v>
      </c>
      <c r="C35" s="33" t="n">
        <f aca="false">Reference_Values!B35</f>
        <v>468.125</v>
      </c>
      <c r="D35" s="34" t="n">
        <f aca="false">ABS(B35-C35)</f>
        <v>0</v>
      </c>
      <c r="E35" s="35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550</v>
      </c>
      <c r="B36" s="32" t="n">
        <f aca="false">Repairs!Q67</f>
        <v>351.09375</v>
      </c>
      <c r="C36" s="33" t="n">
        <f aca="false">Reference_Values!B36</f>
        <v>351.09375</v>
      </c>
      <c r="D36" s="34" t="n">
        <f aca="false">ABS(B36-C36)</f>
        <v>0</v>
      </c>
      <c r="E36" s="35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552</v>
      </c>
      <c r="B37" s="32" t="n">
        <f aca="false">Repairs!Q66</f>
        <v>182.1875</v>
      </c>
      <c r="C37" s="33" t="n">
        <f aca="false">Reference_Values!B37</f>
        <v>182.1875</v>
      </c>
      <c r="D37" s="34" t="n">
        <f aca="false">ABS(B37-C37)</f>
        <v>0</v>
      </c>
      <c r="E37" s="35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554</v>
      </c>
      <c r="B38" s="32" t="n">
        <f aca="false">Repairs!I68</f>
        <v>408.75</v>
      </c>
      <c r="C38" s="33" t="n">
        <f aca="false">Reference_Values!B38</f>
        <v>408.75</v>
      </c>
      <c r="D38" s="34" t="n">
        <f aca="false">ABS(B38-C38)</f>
        <v>0</v>
      </c>
      <c r="E38" s="35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556</v>
      </c>
      <c r="B39" s="32" t="n">
        <f aca="false">Repairs!Q68</f>
        <v>251.09375</v>
      </c>
      <c r="C39" s="33" t="n">
        <f aca="false">Reference_Values!B39</f>
        <v>251.09375</v>
      </c>
      <c r="D39" s="34" t="n">
        <f aca="false">ABS(B39-C39)</f>
        <v>0</v>
      </c>
      <c r="E39" s="35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558</v>
      </c>
      <c r="B40" s="32" t="n">
        <f aca="false">Optimizer!D5</f>
        <v>12</v>
      </c>
      <c r="C40" s="33" t="n">
        <f aca="false">Reference_Values!B40</f>
        <v>12</v>
      </c>
      <c r="D40" s="34" t="n">
        <f aca="false">ABS(B40-C40)</f>
        <v>0</v>
      </c>
      <c r="E40" s="35" t="n">
        <v>0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560</v>
      </c>
      <c r="B41" s="32" t="n">
        <f aca="false">Optimizer!E5</f>
        <v>505</v>
      </c>
      <c r="C41" s="33" t="n">
        <f aca="false">Reference_Values!B41</f>
        <v>505</v>
      </c>
      <c r="D41" s="34" t="n">
        <f aca="false">ABS(B41-C41)</f>
        <v>0</v>
      </c>
      <c r="E41" s="35" t="n">
        <v>1E-006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562</v>
      </c>
      <c r="B42" s="32" t="n">
        <f aca="false">Optimizer!D7</f>
        <v>123</v>
      </c>
      <c r="C42" s="33" t="n">
        <f aca="false">Reference_Values!B42</f>
        <v>123</v>
      </c>
      <c r="D42" s="34" t="n">
        <f aca="false">ABS(B42-C42)</f>
        <v>0</v>
      </c>
      <c r="E42" s="35" t="n">
        <v>0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564</v>
      </c>
      <c r="B43" s="32" t="n">
        <f aca="false">Optimizer!E7</f>
        <v>455</v>
      </c>
      <c r="C43" s="33" t="n">
        <f aca="false">Reference_Values!B43</f>
        <v>455</v>
      </c>
      <c r="D43" s="34" t="n">
        <f aca="false">ABS(B43-C43)</f>
        <v>0</v>
      </c>
      <c r="E43" s="35" t="n">
        <v>1E-006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566</v>
      </c>
      <c r="B44" s="32" t="n">
        <f aca="false">Optimizer!I12</f>
        <v>6</v>
      </c>
      <c r="C44" s="33" t="n">
        <f aca="false">Reference_Values!B44</f>
        <v>6</v>
      </c>
      <c r="D44" s="34" t="n">
        <f aca="false">ABS(B44-C44)</f>
        <v>0</v>
      </c>
      <c r="E44" s="35" t="n">
        <v>0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568</v>
      </c>
      <c r="B45" s="32" t="n">
        <f aca="false">Optimizer!F17</f>
        <v>2.85714285714286</v>
      </c>
      <c r="C45" s="33" t="n">
        <f aca="false">Reference_Values!B45</f>
        <v>2.85714285714286</v>
      </c>
      <c r="D45" s="34" t="n">
        <f aca="false">ABS(B45-C45)</f>
        <v>0</v>
      </c>
      <c r="E45" s="35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570</v>
      </c>
      <c r="B46" s="32" t="n">
        <f aca="false">Optimizer!F18</f>
        <v>10.7142857142857</v>
      </c>
      <c r="C46" s="33" t="n">
        <f aca="false">Reference_Values!B46</f>
        <v>10.7142857142857</v>
      </c>
      <c r="D46" s="34" t="n">
        <f aca="false">ABS(B46-C46)</f>
        <v>0</v>
      </c>
      <c r="E46" s="35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572</v>
      </c>
      <c r="B47" s="32" t="n">
        <f aca="false">Optimizer!F19</f>
        <v>25.4285714285714</v>
      </c>
      <c r="C47" s="33" t="n">
        <f aca="false">Reference_Values!B47</f>
        <v>25.4285714285714</v>
      </c>
      <c r="D47" s="34" t="n">
        <f aca="false">ABS(B47-C47)</f>
        <v>0</v>
      </c>
      <c r="E47" s="35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574</v>
      </c>
      <c r="B48" s="32" t="n">
        <f aca="false">Optimizer!F20</f>
        <v>53.8571428571429</v>
      </c>
      <c r="C48" s="33" t="n">
        <f aca="false">Reference_Values!B48</f>
        <v>53.8571428571429</v>
      </c>
      <c r="D48" s="34" t="n">
        <f aca="false">ABS(B48-C48)</f>
        <v>0</v>
      </c>
      <c r="E48" s="35" t="n">
        <v>1E-009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576</v>
      </c>
      <c r="B49" s="32" t="n">
        <f aca="false">Optimizer!L15</f>
        <v>3</v>
      </c>
      <c r="C49" s="33" t="n">
        <f aca="false">Reference_Values!B49</f>
        <v>3</v>
      </c>
      <c r="D49" s="34" t="n">
        <f aca="false">ABS(B49-C49)</f>
        <v>0</v>
      </c>
      <c r="E49" s="35" t="n">
        <v>0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578</v>
      </c>
      <c r="B50" s="32" t="n">
        <f aca="false">Optimizer!L18</f>
        <v>54</v>
      </c>
      <c r="C50" s="33" t="n">
        <f aca="false">Reference_Values!B50</f>
        <v>54</v>
      </c>
      <c r="D50" s="34" t="n">
        <f aca="false">ABS(B50-C50)</f>
        <v>0</v>
      </c>
      <c r="E50" s="35" t="n">
        <v>0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580</v>
      </c>
      <c r="B51" s="32" t="n">
        <f aca="false">Optimizer!E24</f>
        <v>107.1875</v>
      </c>
      <c r="C51" s="33" t="n">
        <f aca="false">Reference_Values!B51</f>
        <v>107.1875</v>
      </c>
      <c r="D51" s="34" t="n">
        <f aca="false">ABS(B51-C51)</f>
        <v>0</v>
      </c>
      <c r="E51" s="35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582</v>
      </c>
      <c r="B52" s="32" t="n">
        <f aca="false">Optimizer!C21</f>
        <v>602.1875</v>
      </c>
      <c r="C52" s="33" t="n">
        <f aca="false">Reference_Values!B52</f>
        <v>602.1875</v>
      </c>
      <c r="D52" s="34" t="n">
        <f aca="false">ABS(B52-C52)</f>
        <v>0</v>
      </c>
      <c r="E52" s="35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583</v>
      </c>
      <c r="B53" s="32" t="n">
        <f aca="false">Optimizer!L37</f>
        <v>0</v>
      </c>
      <c r="C53" s="33" t="n">
        <f aca="false">Reference_Values!B53</f>
        <v>0</v>
      </c>
      <c r="D53" s="34" t="n">
        <f aca="false">ABS(B53-C53)</f>
        <v>0</v>
      </c>
      <c r="E53" s="35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585</v>
      </c>
      <c r="B54" s="32" t="n">
        <f aca="false">Optimizer!M37</f>
        <v>0</v>
      </c>
      <c r="C54" s="33" t="n">
        <f aca="false">Reference_Values!B54</f>
        <v>0</v>
      </c>
      <c r="D54" s="34" t="n">
        <f aca="false">ABS(B54-C54)</f>
        <v>0</v>
      </c>
      <c r="E54" s="35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387</v>
      </c>
      <c r="B55" s="32" t="n">
        <f aca="false">Optimizer!L45</f>
        <v>0</v>
      </c>
      <c r="C55" s="33" t="n">
        <f aca="false">Reference_Values!B55</f>
        <v>0</v>
      </c>
      <c r="D55" s="34" t="n">
        <f aca="false">ABS(B55-C55)</f>
        <v>0</v>
      </c>
      <c r="E55" s="35" t="n">
        <v>0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588</v>
      </c>
      <c r="B56" s="32" t="n">
        <f aca="false">StandardForm!B31</f>
        <v>505</v>
      </c>
      <c r="C56" s="33" t="n">
        <f aca="false">Reference_Values!B56</f>
        <v>505</v>
      </c>
      <c r="D56" s="34" t="n">
        <f aca="false">ABS(B56-C56)</f>
        <v>0</v>
      </c>
      <c r="E56" s="35" t="n">
        <v>1E-006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590</v>
      </c>
      <c r="B57" s="32" t="n">
        <f aca="false">StandardForm!B34</f>
        <v>0.999999999976353</v>
      </c>
      <c r="C57" s="33" t="n">
        <f aca="false">Reference_Values!B57</f>
        <v>1</v>
      </c>
      <c r="D57" s="34" t="n">
        <f aca="false">ABS(B57-C57)</f>
        <v>2.36468622460961E-011</v>
      </c>
      <c r="E57" s="35" t="n">
        <v>1E-006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592</v>
      </c>
      <c r="B58" s="32" t="n">
        <f aca="false">StandardForm!B36</f>
        <v>1000</v>
      </c>
      <c r="C58" s="33" t="n">
        <f aca="false">Reference_Values!B58</f>
        <v>1000</v>
      </c>
      <c r="D58" s="34" t="n">
        <f aca="false">ABS(B58-C58)</f>
        <v>0</v>
      </c>
      <c r="E58" s="35" t="n">
        <v>0.001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594</v>
      </c>
      <c r="B59" s="32" t="n">
        <f aca="false">Quantifiers!B30</f>
        <v>138.049617642214</v>
      </c>
      <c r="C59" s="33" t="n">
        <f aca="false">Reference_Values!B59</f>
        <v>138.049617642214</v>
      </c>
      <c r="D59" s="34" t="n">
        <f aca="false">ABS(B59-C59)</f>
        <v>0</v>
      </c>
      <c r="E59" s="35" t="n">
        <v>1E-006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449</v>
      </c>
      <c r="B60" s="32" t="n">
        <f aca="false">Quantifiers!B31</f>
        <v>186.866976370664</v>
      </c>
      <c r="C60" s="33" t="n">
        <f aca="false">Reference_Values!B60</f>
        <v>186.866976370664</v>
      </c>
      <c r="D60" s="34" t="n">
        <f aca="false">ABS(B60-C60)</f>
        <v>0</v>
      </c>
      <c r="E60" s="35" t="n">
        <v>1E-006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597</v>
      </c>
      <c r="B61" s="32" t="n">
        <f aca="false">Quantifiers!B33</f>
        <v>54.9165940128788</v>
      </c>
      <c r="C61" s="33" t="n">
        <f aca="false">Reference_Values!B61</f>
        <v>54.9165940128787</v>
      </c>
      <c r="D61" s="34" t="n">
        <f aca="false">ABS(B61-C61)</f>
        <v>0</v>
      </c>
      <c r="E61" s="35" t="n">
        <v>1E-006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599</v>
      </c>
      <c r="B62" s="32" t="n">
        <f aca="false">Quantifiers!B34</f>
        <v>1.64749782038636</v>
      </c>
      <c r="C62" s="33" t="n">
        <f aca="false">Reference_Values!B62</f>
        <v>1.64749782038636</v>
      </c>
      <c r="D62" s="34" t="n">
        <f aca="false">ABS(B62-C62)</f>
        <v>0</v>
      </c>
      <c r="E62" s="35" t="n">
        <v>1E-006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601</v>
      </c>
      <c r="B63" s="32" t="n">
        <f aca="false">Quantifiers!B37</f>
        <v>2.00272908427988</v>
      </c>
      <c r="C63" s="33" t="n">
        <f aca="false">Reference_Values!B63</f>
        <v>2.00272908427988</v>
      </c>
      <c r="D63" s="34" t="n">
        <f aca="false">ABS(B63-C63)</f>
        <v>0</v>
      </c>
      <c r="E63" s="35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603</v>
      </c>
      <c r="B64" s="32" t="n">
        <f aca="false">Quantifiers!B38</f>
        <v>10.440610891413</v>
      </c>
      <c r="C64" s="33" t="n">
        <f aca="false">Reference_Values!B64</f>
        <v>10.440610891413</v>
      </c>
      <c r="D64" s="34" t="n">
        <f aca="false">ABS(B64-C64)</f>
        <v>0</v>
      </c>
      <c r="E64" s="35" t="n">
        <v>1E-006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605</v>
      </c>
      <c r="B65" s="32" t="n">
        <f aca="false">Quantifiers!D52</f>
        <v>1.80701478466484</v>
      </c>
      <c r="C65" s="33" t="n">
        <f aca="false">Reference_Values!B65</f>
        <v>1.80701478466484</v>
      </c>
      <c r="D65" s="34" t="n">
        <f aca="false">ABS(B65-C65)</f>
        <v>0</v>
      </c>
      <c r="E65" s="35" t="n">
        <v>1E-006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607</v>
      </c>
      <c r="B66" s="32" t="n">
        <f aca="false">Quantifiers!D53</f>
        <v>180.701478466484</v>
      </c>
      <c r="C66" s="33" t="n">
        <f aca="false">Reference_Values!B66</f>
        <v>180.701478466484</v>
      </c>
      <c r="D66" s="34" t="n">
        <f aca="false">ABS(B66-C66)</f>
        <v>0</v>
      </c>
      <c r="E66" s="35" t="n">
        <v>0.0001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609</v>
      </c>
      <c r="B67" s="32" t="n">
        <f aca="false">Quantifiers!B60</f>
        <v>-0.24</v>
      </c>
      <c r="C67" s="33" t="n">
        <f aca="false">Reference_Values!B67</f>
        <v>-0.24</v>
      </c>
      <c r="D67" s="34" t="n">
        <f aca="false">ABS(B67-C67)</f>
        <v>0</v>
      </c>
      <c r="E67" s="35" t="n">
        <v>1E-009</v>
      </c>
      <c r="F67" s="4" t="str">
        <f aca="false">IF(D67&lt;=E67,"PASS","FAIL")</f>
        <v>PASS</v>
      </c>
    </row>
    <row r="69" customFormat="false" ht="15" hidden="false" customHeight="false" outlineLevel="0" collapsed="false">
      <c r="A69" s="4" t="s">
        <v>615</v>
      </c>
      <c r="F69" s="4" t="str">
        <f aca="false">IF(COUNTIF(F2:F67,"PASS")=66,"ALL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2026-10-05T08:39:45Z</dcterms:created>
  <dc:creator>openpyxl</dc:creator>
  <dc:description/>
  <dc:language>en-US</dc:language>
  <cp:lastModifiedBy/>
  <dcterms:modified xsi:type="dcterms:W3CDTF">2026-10-05T08:39:45Z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