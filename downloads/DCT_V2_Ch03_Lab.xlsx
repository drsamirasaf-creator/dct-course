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Recognize" sheetId="3" state="visible" r:id="rId5"/>
    <sheet name="LumpyPlans" sheetId="4" state="visible" r:id="rId6"/>
    <sheet name="Relaxation" sheetId="5" state="visible" r:id="rId7"/>
    <sheet name="Credit" sheetId="6" state="visible" r:id="rId8"/>
    <sheet name="CapitalCap" sheetId="7" state="visible" r:id="rId9"/>
    <sheet name="OA_Cases" sheetId="8" state="visible" r:id="rId10"/>
    <sheet name="Reference_Values" sheetId="9" state="visible" r:id="rId11"/>
    <sheet name="Checks" sheetId="10" state="visible" r:id="rId12"/>
  </sheets>
  <definedNames>
    <definedName function="false" hidden="false" name="Cap_B" vbProcedure="false">Declarations!$B$16</definedName>
    <definedName function="false" hidden="false" name="Cap_min" vbProcedure="false">Declarations!$B$13</definedName>
    <definedName function="false" hidden="false" name="Cap_now" vbProcedure="false">Declarations!$B$12</definedName>
    <definedName function="false" hidden="false" name="Ceil_e" vbProcedure="false">Declarations!$B$5</definedName>
    <definedName function="false" hidden="false" name="Const_c" vbProcedure="false">Declarations!$B$20</definedName>
    <definedName function="false" hidden="false" name="Cost_r" vbProcedure="false">Declarations!$B$4</definedName>
    <definedName function="false" hidden="false" name="Credit_M" vbProcedure="false">Declarations!$B$15</definedName>
    <definedName function="false" hidden="false" name="Eff_now" vbProcedure="false">Declarations!$B$6</definedName>
    <definedName function="false" hidden="false" name="First_s" vbProcedure="false">Declarations!$B$21</definedName>
    <definedName function="false" hidden="false" name="Floor_q" vbProcedure="false">Declarations!$B$10</definedName>
    <definedName function="false" hidden="false" name="Gap_now" vbProcedure="false">Declarations!$B$17</definedName>
    <definedName function="false" hidden="false" name="Half_g" vbProcedure="false">Declarations!$B$7</definedName>
    <definedName function="false" hidden="false" name="Liq_now" vbProcedure="false">Declarations!$B$9</definedName>
    <definedName function="false" hidden="false" name="Q_end" vbProcedure="false">Declarations!$B$11</definedName>
    <definedName function="false" hidden="false" name="Slope_s" vbProcedure="false">Declarations!$B$19</definedName>
    <definedName function="false" hidden="false" name="S_max" vbProcedure="false">Declarations!$B$18</definedName>
    <definedName function="false" hidden="false" name="Val_pt" vbProcedure="false">Declarations!$B$8</definedName>
    <definedName function="false" hidden="false" name="Years_n" vbProcedure="false">Declarations!$B$14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<sst xmlns="http://schemas.openxmlformats.org/spreadsheetml/2006/main" count="644" uniqueCount="478">
  <si>
    <t xml:space="preserve">DCT Laboratory — Vol II, Ch 3: Convex Enterprise Optimization</t>
  </si>
  <si>
    <t xml:space="preserve">Seed 26203 · Companion to DCT_V2_Ch03_Lab.ipynb and AXIOM Lab 2.3 (module AXIOM-03). Money in $ million, undiscounted.</t>
  </si>
  <si>
    <t xml:space="preserve">Worked Example 3.1, How Good Is the Three-Round Plan?, with the book's declarations (Worked Example 2.1's instance, built on Volume I's automation program).</t>
  </si>
  <si>
    <t xml:space="preserve">Declarations: the inputs. Recognize: Volume I's form against the exponential form on the chord witnesses, and the CFO's pledge (Step 1).</t>
  </si>
  <si>
    <t xml:space="preserve">LumpyPlans: the 64 schedules of rounds by Volume I's recursion and in exponential form, their values at seven credits, and their Lagrangian at Step 3's prices.</t>
  </si>
  <si>
    <t xml:space="preserve">Relaxation: the closed form of Online Appendix 3.B.4, the marginal values and prices of Figure 3.3(a), the KKT residuals and the ceiling (Steps 2-3).</t>
  </si>
  <si>
    <t xml:space="preserve">Credit: Table 3.5, the bands where the relaxation proves the lumpy plan best, the thresholds, and where rounding fails (Step 5).</t>
  </si>
  <si>
    <t xml:space="preserve">CapitalCap: the $360 million cap, its range of prices, and Theorem 3.5(iii)'s bound against re-solves (Step 6).</t>
  </si>
  <si>
    <t xml:space="preserve">OA_Cases: the two-channel budget's dual function and a tiered penalty at its kink (Online Appendix 3.B.1-3.B.2; not Meridian).</t>
  </si>
  <si>
    <t xml:space="preserve">The barrier method, the random chords and starting plans (seed 26203) and the fine scans of the credit run in the notebook; their results are engine values here.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</si>
  <si>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</si>
  <si>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</si>
  <si>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</si>
  <si>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</si>
  <si>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</si>
  <si>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</si>
  <si>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3.1: Worked Example 2.1's instance, Volume I's automation program). Money in $ million, undiscounted.</t>
  </si>
  <si>
    <t xml:space="preserve">Quantity</t>
  </si>
  <si>
    <t xml:space="preserve">Value</t>
  </si>
  <si>
    <t xml:space="preserve">Source</t>
  </si>
  <si>
    <t xml:space="preserve">Cost of a round</t>
  </si>
  <si>
    <t xml:space="preserve">Volume I, Worked Example 6.1</t>
  </si>
  <si>
    <t xml:space="preserve">Efficiency ceiling</t>
  </si>
  <si>
    <t xml:space="preserve">A round closes half the gap to it</t>
  </si>
  <si>
    <t xml:space="preserve">Operational efficiency today</t>
  </si>
  <si>
    <t xml:space="preserve">Meridian's state</t>
  </si>
  <si>
    <t xml:space="preserve">Share of the remaining gap a round closes</t>
  </si>
  <si>
    <t xml:space="preserve">Savings per efficiency point above today's, a year</t>
  </si>
  <si>
    <t xml:space="preserve">From the year of the round</t>
  </si>
  <si>
    <t xml:space="preserve">Liquidity today</t>
  </si>
  <si>
    <t xml:space="preserve">The board's floor, after a round and at every year end</t>
  </si>
  <si>
    <t xml:space="preserve">End condition: liquidity at the end of year 6, at least</t>
  </si>
  <si>
    <t xml:space="preserve">Another round stays possible</t>
  </si>
  <si>
    <t xml:space="preserve">Workforce capability today</t>
  </si>
  <si>
    <t xml:space="preserve">A round raises it by a point</t>
  </si>
  <si>
    <t xml:space="preserve">Capability a round needs</t>
  </si>
  <si>
    <t xml:space="preserve">Never binds: capability only rises</t>
  </si>
  <si>
    <t xml:space="preserve">Years</t>
  </si>
  <si>
    <t xml:space="preserve">Years of year-6 savings credited, M</t>
  </si>
  <si>
    <t xml:space="preserve">Ten years (Worked Example 2.1)</t>
  </si>
  <si>
    <t xml:space="preserve">Capital cap (Step 6)</t>
  </si>
  <si>
    <t xml:space="preserve">Three rounds' worth</t>
  </si>
  <si>
    <t xml:space="preserve">Efficiency gap today</t>
  </si>
  <si>
    <t xml:space="preserve">14 points</t>
  </si>
  <si>
    <t xml:space="preserve">Savings once efficiency reaches the ceiling, a year</t>
  </si>
  <si>
    <t xml:space="preserve">140</t>
  </si>
  <si>
    <t xml:space="preserve">Slope coefficient, 140 ln 2</t>
  </si>
  <si>
    <t xml:space="preserve">S'(Z) = 97.04 x 2^-Z</t>
  </si>
  <si>
    <t xml:space="preserve">Cash paid out with no round, 620 - 470</t>
  </si>
  <si>
    <t xml:space="preserve">A first round's savings, a year</t>
  </si>
  <si>
    <t xml:space="preserve">70</t>
  </si>
  <si>
    <t xml:space="preserve">The relaxation lets rounds be fractions, 0 &lt;= z_k &lt;= 1, and writes the gap after Z rounds to date as 14 x 2^-Z: savings S(Z) = 140 (1 - 2^-Z), identical to Volume I's at every lumpy plan (Step 1).</t>
  </si>
  <si>
    <t xml:space="preserve">Liquidity q_k = 620 + sum over j &lt;= k of (S_j - 120 z_j - p_j); the objective is the six-year payout plus M years of the year-6 savings.</t>
  </si>
  <si>
    <t xml:space="preserve">Recognize: Volume I's form and the exponential form on the chord witnesses (Worked Example 3.1, Step 1; AXIOM Lab 2.3, step 1)</t>
  </si>
  <si>
    <t xml:space="preserve">Volume I's form for fractional rounds multiplies them: year-2 savings 140 (1 - (1 - z1/2)(1 - z2/2)). The exponential form: 140 (1 - 2^-(z1 + z2)).</t>
  </si>
  <si>
    <t xml:space="preserve">Plan</t>
  </si>
  <si>
    <t xml:space="preserve">z1</t>
  </si>
  <si>
    <t xml:space="preserve">z2</t>
  </si>
  <si>
    <t xml:space="preserve">Year-2 savings, Volume I's form</t>
  </si>
  <si>
    <t xml:space="preserve">Year-2 savings, exponential form</t>
  </si>
  <si>
    <t xml:space="preserve">a whole round in year 1</t>
  </si>
  <si>
    <t xml:space="preserve">a whole round in year 2</t>
  </si>
  <si>
    <t xml:space="preserve">two half rounds: their blend</t>
  </si>
  <si>
    <t xml:space="preserve">no round</t>
  </si>
  <si>
    <t xml:space="preserve">both rounds</t>
  </si>
  <si>
    <t xml:space="preserve">The blend of the two whole-round plans is worth (Volume I's form)</t>
  </si>
  <si>
    <t xml:space="preserve">The blend of their values</t>
  </si>
  <si>
    <t xml:space="preserve">Chord test for concavity, Volume I's form</t>
  </si>
  <si>
    <t xml:space="preserve">No round and both rounds average</t>
  </si>
  <si>
    <t xml:space="preserve">Chord test for convexity, Volume I's form</t>
  </si>
  <si>
    <t xml:space="preserve">Chord test for concavity, exponential form</t>
  </si>
  <si>
    <t xml:space="preserve">Curvature of Volume I's year-2 savings: the cross term</t>
  </si>
  <si>
    <t xml:space="preserve">Its eigenvalues: plus and minus the cross term (indefinite)</t>
  </si>
  <si>
    <t xml:space="preserve">The CFO's pledge, p &gt;= S/2</t>
  </si>
  <si>
    <t xml:space="preserve">Rounds to date Z</t>
  </si>
  <si>
    <t xml:space="preserve">Payout p</t>
  </si>
  <si>
    <t xml:space="preserve">Savings S(Z)</t>
  </si>
  <si>
    <t xml:space="preserve">S/2</t>
  </si>
  <si>
    <t xml:space="preserve">Keeps the pledge?</t>
  </si>
  <si>
    <t xml:space="preserve">a plan with no round, nothing paid</t>
  </si>
  <si>
    <t xml:space="preserve">two rounds, half the savings paid</t>
  </si>
  <si>
    <t xml:space="preserve">their midpoint</t>
  </si>
  <si>
    <t xml:space="preserve">Payout the midpoint needs</t>
  </si>
  <si>
    <t xml:space="preserve">A concave quantity held below the payout: not convex, and the board dropped the pledge. A cap, p &lt;= S/2, would be convex.</t>
  </si>
  <si>
    <t xml:space="preserve">Block of the relaxation</t>
  </si>
  <si>
    <t xml:space="preserve">Shape or rule (Table 3.2)</t>
  </si>
  <si>
    <t xml:space="preserve">Certificate</t>
  </si>
  <si>
    <t xml:space="preserve">rounds 0 &lt;= z_k &lt;= 1</t>
  </si>
  <si>
    <t xml:space="preserve">a box</t>
  </si>
  <si>
    <t xml:space="preserve">convex region</t>
  </si>
  <si>
    <t xml:space="preserve">gap 14 x 2^-Z_k</t>
  </si>
  <si>
    <t xml:space="preserve">an exponential of a sum of decisions</t>
  </si>
  <si>
    <t xml:space="preserve">convex</t>
  </si>
  <si>
    <t xml:space="preserve">savings S_k = 140 - 10 x gap</t>
  </si>
  <si>
    <t xml:space="preserve">a constant less a convex function</t>
  </si>
  <si>
    <t xml:space="preserve">concave</t>
  </si>
  <si>
    <t xml:space="preserve">liquidity q_k = 620 + sum(S_j - 120 z_j - p_j)</t>
  </si>
  <si>
    <t xml:space="preserve">a sum of concave and affine terms</t>
  </si>
  <si>
    <t xml:space="preserve">floors q &gt;= 350, after a round and at year end</t>
  </si>
  <si>
    <t xml:space="preserve">a concave quantity above a floor</t>
  </si>
  <si>
    <t xml:space="preserve">convex commitment</t>
  </si>
  <si>
    <t xml:space="preserve">end condition q_6 &gt;= 470</t>
  </si>
  <si>
    <t xml:space="preserve">objective: payouts + M S_6</t>
  </si>
  <si>
    <t xml:space="preserve">affine plus concave</t>
  </si>
  <si>
    <t xml:space="preserve">CFO's pledge p_k &gt;= S_k / 2 (dropped)</t>
  </si>
  <si>
    <t xml:space="preserve">a concave quantity below the payout</t>
  </si>
  <si>
    <t xml:space="preserve">not convex</t>
  </si>
  <si>
    <t xml:space="preserve">The 64 lumpy plans: Volume I's recursion against the exponential form, their values, and their Lagrangian at Step 3's prices (Steps 1 and 4; AXIOM Lab 2.3, steps 1 and 4)</t>
  </si>
  <si>
    <t xml:space="preserve">Each plan pays out everything above $470 million; its value is that payout plus M years of the year-6 savings. Every lumpy plan is a relaxed plan with the same value, so none can exceed the relaxation's ceiling.</t>
  </si>
  <si>
    <t xml:space="preserve">Plans that keep the floors, the capability precondition and the end condition</t>
  </si>
  <si>
    <t xml:space="preserve">Largest difference between Volume I's savings and the exponential form's</t>
  </si>
  <si>
    <t xml:space="preserve">Best value at the declared credit</t>
  </si>
  <si>
    <t xml:space="preserve">Its plan number</t>
  </si>
  <si>
    <t xml:space="preserve">Its rounds</t>
  </si>
  <si>
    <t xml:space="preserve">Its payout</t>
  </si>
  <si>
    <t xml:space="preserve">Its year-6 savings</t>
  </si>
  <si>
    <t xml:space="preserve">Rounded down: three rounds, years 1-3 (plan 56)</t>
  </si>
  <si>
    <t xml:space="preserve">Rounded up: four rounds, years 1-4 (plan 60)</t>
  </si>
  <si>
    <t xml:space="preserve">Largest Lagrangian at Step 3's prices: no lumpy plan beats the ceiling</t>
  </si>
  <si>
    <t xml:space="preserve">credits:</t>
  </si>
  <si>
    <t xml:space="preserve">z3</t>
  </si>
  <si>
    <t xml:space="preserve">z4</t>
  </si>
  <si>
    <t xml:space="preserve">z5</t>
  </si>
  <si>
    <t xml:space="preserve">z6</t>
  </si>
  <si>
    <t xml:space="preserve">Efficiency, year 1</t>
  </si>
  <si>
    <t xml:space="preserve">Efficiency, year 2</t>
  </si>
  <si>
    <t xml:space="preserve">Efficiency, year 3</t>
  </si>
  <si>
    <t xml:space="preserve">Efficiency, year 4</t>
  </si>
  <si>
    <t xml:space="preserve">Efficiency, year 5</t>
  </si>
  <si>
    <t xml:space="preserve">Efficiency, year 6</t>
  </si>
  <si>
    <t xml:space="preserve">Savings, year 1 (Volume I)</t>
  </si>
  <si>
    <t xml:space="preserve">Savings, year 2 (Volume I)</t>
  </si>
  <si>
    <t xml:space="preserve">Savings, year 3 (Volume I)</t>
  </si>
  <si>
    <t xml:space="preserve">Savings, year 4 (Volume I)</t>
  </si>
  <si>
    <t xml:space="preserve">Savings, year 5 (Volume I)</t>
  </si>
  <si>
    <t xml:space="preserve">Savings, year 6 (Volume I)</t>
  </si>
  <si>
    <t xml:space="preserve">Savings, year 1 (exponential)</t>
  </si>
  <si>
    <t xml:space="preserve">Savings, year 2 (exponential)</t>
  </si>
  <si>
    <t xml:space="preserve">Savings, year 3 (exponential)</t>
  </si>
  <si>
    <t xml:space="preserve">Savings, year 4 (exponential)</t>
  </si>
  <si>
    <t xml:space="preserve">Savings, year 5 (exponential)</t>
  </si>
  <si>
    <t xml:space="preserve">Savings, year 6 (exponential)</t>
  </si>
  <si>
    <t xml:space="preserve">Largest difference</t>
  </si>
  <si>
    <t xml:space="preserve">Liquidity after the round, year 1</t>
  </si>
  <si>
    <t xml:space="preserve">Liquidity after the round, year 2</t>
  </si>
  <si>
    <t xml:space="preserve">Liquidity after the round, year 3</t>
  </si>
  <si>
    <t xml:space="preserve">Liquidity after the round, year 4</t>
  </si>
  <si>
    <t xml:space="preserve">Liquidity after the round, year 5</t>
  </si>
  <si>
    <t xml:space="preserve">Liquidity after the round, year 6</t>
  </si>
  <si>
    <t xml:space="preserve">Year-end liquidity, year 1</t>
  </si>
  <si>
    <t xml:space="preserve">Year-end liquidity, year 2</t>
  </si>
  <si>
    <t xml:space="preserve">Year-end liquidity, year 3</t>
  </si>
  <si>
    <t xml:space="preserve">Year-end liquidity, year 4</t>
  </si>
  <si>
    <t xml:space="preserve">Year-end liquidity, year 5</t>
  </si>
  <si>
    <t xml:space="preserve">Year-end liquidity, year 6</t>
  </si>
  <si>
    <t xml:space="preserve">Rounds</t>
  </si>
  <si>
    <t xml:space="preserve">Keeps every commitment</t>
  </si>
  <si>
    <t xml:space="preserve">Payout (all above 470)</t>
  </si>
  <si>
    <t xml:space="preserve">Value at the declared credit</t>
  </si>
  <si>
    <t xml:space="preserve">Lagrangian at Step 3's prices</t>
  </si>
  <si>
    <t xml:space="preserve">Value at credit 0</t>
  </si>
  <si>
    <t xml:space="preserve">Value at credit 5</t>
  </si>
  <si>
    <t xml:space="preserve">Value at credit 10</t>
  </si>
  <si>
    <t xml:space="preserve">Value at credit 20</t>
  </si>
  <si>
    <t xml:space="preserve">Value at credit 40</t>
  </si>
  <si>
    <t xml:space="preserve">Value at credit 60</t>
  </si>
  <si>
    <t xml:space="preserve">Value at credit 54</t>
  </si>
  <si>
    <t xml:space="preserve">Best value</t>
  </si>
  <si>
    <t xml:space="preserve">Solve and audit: the relaxation's closed form, its marginal values and prices, the KKT residuals and the ceiling (Steps 2-3; Figure 3.3(a); Online Appendix 3.B.4)</t>
  </si>
  <si>
    <t xml:space="preserve">Payouts can wait, so the floors never bind and the end condition prices cash at $1: the relaxation runs n whole rounds early, then a fraction where (6 - n + M) S'(Z) = 120. Each n is a candidate; the best wins.</t>
  </si>
  <si>
    <t xml:space="preserve">Whole rounds n</t>
  </si>
  <si>
    <t xml:space="preserve">Coefficient 6 - n + M</t>
  </si>
  <si>
    <t xml:space="preserve">Stationary Z = log2(97.04 c / 120)</t>
  </si>
  <si>
    <t xml:space="preserve">Z, kept in [n, n + 1]</t>
  </si>
  <si>
    <t xml:space="preserve">The relaxation's value: the ceiling</t>
  </si>
  <si>
    <t xml:space="preserve">Its rounds to date by year 6, Z*</t>
  </si>
  <si>
    <t xml:space="preserve">Check: 97.04 x 13/120, whose log2 is Z*</t>
  </si>
  <si>
    <t xml:space="preserve">Online Appendix 3.B.4's table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</si>
  <si>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</si>
  <si>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</si>
  <si>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</si>
  <si>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</si>
  <si>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</si>
  <si>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</si>
  <si>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</t>
  </si>
  <si>
    <t xml:space="preserve">Round z_k</t>
  </si>
  <si>
    <t xml:space="preserve">Rounds to date Z_k</t>
  </si>
  <si>
    <t xml:space="preserve">Savings S(Z_k)</t>
  </si>
  <si>
    <t xml:space="preserve">Slope S'(Z_k)</t>
  </si>
  <si>
    <t xml:space="preserve">Marginal value of a round: sum of S' from the year on, plus M x S'(Z_6)</t>
  </si>
  <si>
    <t xml:space="preserve">Price of the year's limit (margin less cost, where the round is whole)</t>
  </si>
  <si>
    <t xml:space="preserve">Price of forcing a round (cost less margin, where there is none)</t>
  </si>
  <si>
    <t xml:space="preserve">Stationarity: margin - cost - limit price + forcing price</t>
  </si>
  <si>
    <t xml:space="preserve">Complementarity: limit price x (1 - z) + forcing price x z</t>
  </si>
  <si>
    <t xml:space="preserve">Liquidity after the round (payouts deferred to year 6)</t>
  </si>
  <si>
    <t xml:space="preserve">Year-end liquidity before any payout</t>
  </si>
  <si>
    <t xml:space="preserve">Payout: everything above $470 million, at year 6</t>
  </si>
  <si>
    <t xml:space="preserve">Year-end liquidity</t>
  </si>
  <si>
    <t xml:space="preserve">Total payout</t>
  </si>
  <si>
    <t xml:space="preserve">Value: payout + M x year-6 savings (equals the ceiling)</t>
  </si>
  <si>
    <t xml:space="preserve">Commitments: the smallest slack of a floor (positive: the floors carry no price)</t>
  </si>
  <si>
    <t xml:space="preserve">Commitments: the end condition's slack (it binds, at a price of 1)</t>
  </si>
  <si>
    <t xml:space="preserve">Signs: the smallest price</t>
  </si>
  <si>
    <t xml:space="preserve">Complementarity: the largest product</t>
  </si>
  <si>
    <t xml:space="preserve">Stationarity: the largest residual</t>
  </si>
  <si>
    <t xml:space="preserve">Lagrangian at the plan with these prices (stationary and concave, so its maximum: the ceiling)</t>
  </si>
  <si>
    <t xml:space="preserve">Pricing only the end condition: rounds to date maximizing 11 S(Z) - 120 Z</t>
  </si>
  <si>
    <t xml:space="preserve">That price list's ceiling: 150 + 5 x 140 + 11 S(Z) - 120 Z (valid, but loose)</t>
  </si>
  <si>
    <t xml:space="preserve">The notebook's barrier method (engine)</t>
  </si>
  <si>
    <t xml:space="preserve">Price of the year's limit</t>
  </si>
  <si>
    <t xml:space="preserve">Price of forcing a round</t>
  </si>
  <si>
    <t xml:space="preserve">|Difference|, price of the limit</t>
  </si>
  <si>
    <t xml:space="preserve">|Difference|, price of forcing</t>
  </si>
  <si>
    <t xml:space="preserve">Largest difference from the closed form's prices</t>
  </si>
  <si>
    <t xml:space="preserve">Value (engine)</t>
  </si>
  <si>
    <t xml:space="preserve">Price of the end condition (engine)</t>
  </si>
  <si>
    <t xml:space="preserve">Largest price of a floor (engine)</t>
  </si>
  <si>
    <t xml:space="preserve">The barrier method's prices leave a duality gap of m/t = 31/t; the closed form's are exact. Both agree with Step 3: limits 84.9, 36.4, 12.1; forcing 9.2, 18.5; floors 0; end condition 1.</t>
  </si>
  <si>
    <t xml:space="preserve">Move the credit: Table 3.5, where the relaxation proves the lumpy plan best, and where rounding fails (Worked Example 3.1, Step 5; AXIOM Lab 2.3, step 5)</t>
  </si>
  <si>
    <t xml:space="preserve">For each credit M, the closed form's seven candidates (Z_n and its value V_n) give the ceiling; the best lumpy value is the best of the 64 plans on LumpyPlans.</t>
  </si>
  <si>
    <t xml:space="preserve">Credit M</t>
  </si>
  <si>
    <t xml:space="preserve">Z_0</t>
  </si>
  <si>
    <t xml:space="preserve">Z_1</t>
  </si>
  <si>
    <t xml:space="preserve">Z_2</t>
  </si>
  <si>
    <t xml:space="preserve">Z_3</t>
  </si>
  <si>
    <t xml:space="preserve">Z_4</t>
  </si>
  <si>
    <t xml:space="preserve">Z_5</t>
  </si>
  <si>
    <t xml:space="preserve">Z_6</t>
  </si>
  <si>
    <t xml:space="preserve">V_0</t>
  </si>
  <si>
    <t xml:space="preserve">V_1</t>
  </si>
  <si>
    <t xml:space="preserve">V_2</t>
  </si>
  <si>
    <t xml:space="preserve">V_3</t>
  </si>
  <si>
    <t xml:space="preserve">V_4</t>
  </si>
  <si>
    <t xml:space="preserve">V_5</t>
  </si>
  <si>
    <t xml:space="preserve">V_6</t>
  </si>
  <si>
    <t xml:space="preserve">Ceiling</t>
  </si>
  <si>
    <t xml:space="preserve">Relaxation's rounds</t>
  </si>
  <si>
    <t xml:space="preserve">Best lumpy value</t>
  </si>
  <si>
    <t xml:space="preserve">Gap</t>
  </si>
  <si>
    <t xml:space="preserve">Rounded relaxation</t>
  </si>
  <si>
    <t xml:space="preserve">Rounding</t>
  </si>
  <si>
    <t xml:space="preserve">Rows 5-10 are Table 3.5; row 11 is 54 years (Step 5): 5.47 rounds round to five, the best plan has six.</t>
  </si>
  <si>
    <t xml:space="preserve">Whole early rounds n</t>
  </si>
  <si>
    <t xml:space="preserve">Year-6 savings S(n)</t>
  </si>
  <si>
    <t xml:space="preserve">Net cash: 620 + savings - rounds</t>
  </si>
  <si>
    <t xml:space="preserve">Credit where n + 1 rounds tie n</t>
  </si>
  <si>
    <t xml:space="preserve">Lumpy answers from</t>
  </si>
  <si>
    <t xml:space="preserve">to</t>
  </si>
  <si>
    <t xml:space="preserve">Rounding fails until</t>
  </si>
  <si>
    <t xml:space="preserve">Credit where n + 1 rounds tie n: the thresholds of Chapter 2 (negative: one more round always pays). Lumpy answers: the relaxation's own answer is n whole rounds, (7 - n + M) S'(n) &gt;= 120 &gt;= (6 - n + M) S'(n). Rounding fails from the threshold until the relaxation reaches n + 1/2 rounds.</t>
  </si>
  <si>
    <t xml:space="preserve">At a threshold the relaxation's fraction is log2(97.04/70)</t>
  </si>
  <si>
    <t xml:space="preserve">and the gap is 240 (1 - 2^-f) - 120 f</t>
  </si>
  <si>
    <t xml:space="preserve">Largest gap on credits 0 to 60, steps of 0.01 (engine scan)</t>
  </si>
  <si>
    <t xml:space="preserve">Its credit (engine scan)</t>
  </si>
  <si>
    <t xml:space="preserve">Price the capital: a cap of $360 million, its range of prices, and Theorem 3.5(iii)'s bound against re-solves (Worked Example 3.1, Step 6)</t>
  </si>
  <si>
    <t xml:space="preserve">Under a cap B the relaxation runs rounds early until the capital runs out: Z = min(B/120, Z*). The value is concave in the cap, with a kink wherever the cap buys a whole number of rounds.</t>
  </si>
  <si>
    <t xml:space="preserve">Capital cap</t>
  </si>
  <si>
    <t xml:space="preserve">Rounds it buys, n = cap/120</t>
  </si>
  <si>
    <t xml:space="preserve">Rounds the relaxation runs: min(n, Z*)</t>
  </si>
  <si>
    <t xml:space="preserve">Value under the cap</t>
  </si>
  <si>
    <t xml:space="preserve">An increase gains, a dollar: ((6 - n + M) S'(n) - 120)/120 (part of a year-4 round)</t>
  </si>
  <si>
    <t xml:space="preserve">A cut loses, a dollar: ((7 - n + M) S'(n) - 120)/120 (part of the year-3 round)</t>
  </si>
  <si>
    <t xml:space="preserve">The barrier method's price of the cap (engine)</t>
  </si>
  <si>
    <t xml:space="preserve">Clarabel's price of the cap (reported in the book)</t>
  </si>
  <si>
    <t xml:space="preserve">Is the barrier method's price inside the range? (1 = yes)</t>
  </si>
  <si>
    <t xml:space="preserve">The value under the cap from the barrier method (engine)</t>
  </si>
  <si>
    <t xml:space="preserve">Prices to test, beyond those above:</t>
  </si>
  <si>
    <t xml:space="preserve">Shift s</t>
  </si>
  <si>
    <t xml:space="preserve">Cap 360 + s</t>
  </si>
  <si>
    <t xml:space="preserve">Value (closed form)</t>
  </si>
  <si>
    <t xml:space="preserve">Change a dollar</t>
  </si>
  <si>
    <t xml:space="preserve">Re-solve (engine)</t>
  </si>
  <si>
    <t xml:space="preserve">Excess over 1,680 + price x s: what an increase gains</t>
  </si>
  <si>
    <t xml:space="preserve">Excess over 1,680 + price x s: Clarabel's</t>
  </si>
  <si>
    <t xml:space="preserve">Excess over 1,680 + price x s: the barrier's</t>
  </si>
  <si>
    <t xml:space="preserve">Excess over 1,680 + price x s: what a cut loses</t>
  </si>
  <si>
    <t xml:space="preserve">Excess over 1,680 + price x s: below the range</t>
  </si>
  <si>
    <t xml:space="preserve">Excess over 1,680 + price x s: above the range</t>
  </si>
  <si>
    <t xml:space="preserve">|Closed form - re-solve|</t>
  </si>
  <si>
    <t xml:space="preserve">Largest excess (a price of the cap if not above zero)</t>
  </si>
  <si>
    <t xml:space="preserve">Verdict</t>
  </si>
  <si>
    <t xml:space="preserve">Largest difference: closed form against the engine's re-solves</t>
  </si>
  <si>
    <t xml:space="preserve">Two generic cases, not Meridian (Online Appendix Examples 3.B.1 and 3.B.2; Figure 3.2)</t>
  </si>
  <si>
    <t xml:space="preserve">The two-channel budget: 3 sqrt(x1) + 4 sqrt(x2), x1 + x2 &lt;= B</t>
  </si>
  <si>
    <t xml:space="preserve">a1</t>
  </si>
  <si>
    <t xml:space="preserve">a2</t>
  </si>
  <si>
    <t xml:space="preserve">Budget B</t>
  </si>
  <si>
    <t xml:space="preserve">Best price of the budget, 5/(2 sqrt B)</t>
  </si>
  <si>
    <t xml:space="preserve">x1 = a1^2/(4 price^2)</t>
  </si>
  <si>
    <t xml:space="preserve">x2 = a2^2/(4 price^2)</t>
  </si>
  <si>
    <t xml:space="preserve">Dual function at the best price, 25/(4 price) + price B</t>
  </si>
  <si>
    <t xml:space="preserve">Dual function at a price of 0.5: a ceiling</t>
  </si>
  <si>
    <t xml:space="preserve">The plan (50, 50): a value the best must exceed</t>
  </si>
  <si>
    <t xml:space="preserve">Equal margins: 3/(2 sqrt x1)</t>
  </si>
  <si>
    <t xml:space="preserve">and 4/(2 sqrt x2)</t>
  </si>
  <si>
    <t xml:space="preserve">Price of the budget</t>
  </si>
  <si>
    <t xml:space="preserve">Ceiling q(price)</t>
  </si>
  <si>
    <t xml:space="preserve">Least ceiling on this grid (at the best price, exactly the best value)</t>
  </si>
  <si>
    <t xml:space="preserve">A tiered penalty: max{0, x - 40, 3(x - 40) - 10}, with (x - 50)^2/4</t>
  </si>
  <si>
    <t xml:space="preserve">Middle tier, rate 1: stationarity (x - 50)/2 + 1 = 0 gives x</t>
  </si>
  <si>
    <t xml:space="preserve">Top tier, rate 3: stationarity (x - 50)/2 + 3 = 0 gives x</t>
  </si>
  <si>
    <t xml:space="preserve">So the best plan sits at the kink between the tiers, x*</t>
  </si>
  <si>
    <t xml:space="preserve">Penalty there, t*</t>
  </si>
  <si>
    <t xml:space="preserve">Cost (x - 50)^2/4 + t*</t>
  </si>
  <si>
    <t xml:space="preserve">Price of the top tier: sigma_2 + sigma_3 = 1 and (x* - 50)/2 + sigma_2 + 3 sigma_3 = 0</t>
  </si>
  <si>
    <t xml:space="preserve">Price of the middle tier</t>
  </si>
  <si>
    <t xml:space="preserve">Slope the plan faces, sigma_2 + 3 sigma_3 (inside [1, 3])</t>
  </si>
  <si>
    <t xml:space="preserve">x</t>
  </si>
  <si>
    <t xml:space="preserve">Cost</t>
  </si>
  <si>
    <t xml:space="preserve">Least cost on this grid, and its x</t>
  </si>
  <si>
    <t xml:space="preserve">Checkpoint</t>
  </si>
  <si>
    <t xml:space="preserve">Engine value</t>
  </si>
  <si>
    <t xml:space="preserve">Meaning (where in the book)</t>
  </si>
  <si>
    <t xml:space="preserve">Plans that keep every commitment</t>
  </si>
  <si>
    <t xml:space="preserve">Worked Example 2.1: all 64 schedules</t>
  </si>
  <si>
    <t xml:space="preserve">Forms agree at the 64 lumpy plans</t>
  </si>
  <si>
    <t xml:space="preserve">Online Appendix 3.B.4: worst error 0</t>
  </si>
  <si>
    <t xml:space="preserve">Two half rounds, year-2 savings</t>
  </si>
  <si>
    <t xml:space="preserve">Step 1: 61.25</t>
  </si>
  <si>
    <t xml:space="preserve">A whole round, year-2 savings</t>
  </si>
  <si>
    <t xml:space="preserve">Step 1: 70 each</t>
  </si>
  <si>
    <t xml:space="preserve">Online Appendix 3.B.4: 52.5</t>
  </si>
  <si>
    <t xml:space="preserve">Pledge: payout the midpoint needs</t>
  </si>
  <si>
    <t xml:space="preserve">Online Appendix 3.B.4: 35</t>
  </si>
  <si>
    <t xml:space="preserve">Relaxation's value (closed form)</t>
  </si>
  <si>
    <t xml:space="preserve">Step 2: 1,687.1; OA: 1,687.09</t>
  </si>
  <si>
    <t xml:space="preserve">Relaxation's value against the barrier method</t>
  </si>
  <si>
    <t xml:space="preserve">The notebook's solver, to its duality gap</t>
  </si>
  <si>
    <t xml:space="preserve">Rounds to date by year 6, Z*</t>
  </si>
  <si>
    <t xml:space="preserve">Online Appendix 3.B.4: 3.394</t>
  </si>
  <si>
    <t xml:space="preserve">Slope coefficient 140 ln 2</t>
  </si>
  <si>
    <t xml:space="preserve">Online Appendix 3.B.4: 97.04</t>
  </si>
  <si>
    <t xml:space="preserve">97.04 x 13/120</t>
  </si>
  <si>
    <t xml:space="preserve">Online Appendix 3.B.4: 10.513</t>
  </si>
  <si>
    <t xml:space="preserve">Year-4 round</t>
  </si>
  <si>
    <t xml:space="preserve">Step 2: 0.39</t>
  </si>
  <si>
    <t xml:space="preserve">Slope S' in year 1</t>
  </si>
  <si>
    <t xml:space="preserve">Online Appendix 3.B.4: 48.52</t>
  </si>
  <si>
    <t xml:space="preserve">Slope S' in year 4</t>
  </si>
  <si>
    <t xml:space="preserve">Online Appendix 3.B.4: 9.23</t>
  </si>
  <si>
    <t xml:space="preserve">Marginal value of a round, year 1</t>
  </si>
  <si>
    <t xml:space="preserve">Step 3: 204.9</t>
  </si>
  <si>
    <t xml:space="preserve">Marginal value of a round, year 2</t>
  </si>
  <si>
    <t xml:space="preserve">Step 3: 156.4</t>
  </si>
  <si>
    <t xml:space="preserve">Marginal value of a round, year 3</t>
  </si>
  <si>
    <t xml:space="preserve">Step 3: 132.1</t>
  </si>
  <si>
    <t xml:space="preserve">Marginal value of a round, year 4</t>
  </si>
  <si>
    <t xml:space="preserve">Step 3: 120.0</t>
  </si>
  <si>
    <t xml:space="preserve">Marginal value of a round, year 5</t>
  </si>
  <si>
    <t xml:space="preserve">Step 3: 110.8</t>
  </si>
  <si>
    <t xml:space="preserve">Marginal value of a round, year 6</t>
  </si>
  <si>
    <t xml:space="preserve">Step 3: 101.5</t>
  </si>
  <si>
    <t xml:space="preserve">Price of the year-1 limit</t>
  </si>
  <si>
    <t xml:space="preserve">Step 3: 84.9</t>
  </si>
  <si>
    <t xml:space="preserve">Price of the year-2 limit</t>
  </si>
  <si>
    <t xml:space="preserve">Step 3: 36.4</t>
  </si>
  <si>
    <t xml:space="preserve">Price of the year-3 limit</t>
  </si>
  <si>
    <t xml:space="preserve">Step 3: 12.1</t>
  </si>
  <si>
    <t xml:space="preserve">Price of forcing a round, year 5</t>
  </si>
  <si>
    <t xml:space="preserve">Step 3: 9.2</t>
  </si>
  <si>
    <t xml:space="preserve">Price of forcing a round, year 6</t>
  </si>
  <si>
    <t xml:space="preserve">Step 3: 18.5</t>
  </si>
  <si>
    <t xml:space="preserve">Barrier prices against the closed form's</t>
  </si>
  <si>
    <t xml:space="preserve">The solver's prices, to its gap</t>
  </si>
  <si>
    <t xml:space="preserve">Floors: smallest slack is positive</t>
  </si>
  <si>
    <t xml:space="preserve">Step 3: the floors carry no price</t>
  </si>
  <si>
    <t xml:space="preserve">Stationarity residual</t>
  </si>
  <si>
    <t xml:space="preserve">Theorem 3.5(i)</t>
  </si>
  <si>
    <t xml:space="preserve">Lagrangian at the KKT prices: the ceiling</t>
  </si>
  <si>
    <t xml:space="preserve">Online Appendix 3.B.4: 1,687.09</t>
  </si>
  <si>
    <t xml:space="preserve">Ceiling pricing only the end condition</t>
  </si>
  <si>
    <t xml:space="preserve">Online Appendix 3.B.4: 1,838.5, a supremum; the notebook's numerical maximum approaches it from below</t>
  </si>
  <si>
    <t xml:space="preserve">Best lumpy plan at ten years</t>
  </si>
  <si>
    <t xml:space="preserve">Worked Example 3.1: 1,680.00</t>
  </si>
  <si>
    <t xml:space="preserve">Years 1 to 3</t>
  </si>
  <si>
    <t xml:space="preserve">455</t>
  </si>
  <si>
    <t xml:space="preserve">122.5</t>
  </si>
  <si>
    <t xml:space="preserve">Gap to the ceiling</t>
  </si>
  <si>
    <t xml:space="preserve">Step 4: 7.1; Table 3.5: 7.09</t>
  </si>
  <si>
    <t xml:space="preserve">Gap, percent</t>
  </si>
  <si>
    <t xml:space="preserve">Step 4: 0.42 percent</t>
  </si>
  <si>
    <t xml:space="preserve">Rounded down: three rounds</t>
  </si>
  <si>
    <t xml:space="preserve">1,680.00</t>
  </si>
  <si>
    <t xml:space="preserve">Rounded up: four rounds</t>
  </si>
  <si>
    <t xml:space="preserve">Step 4: 1,673.75</t>
  </si>
  <si>
    <t xml:space="preserve">Largest Lagrangian of a lumpy plan at Step 3's prices</t>
  </si>
  <si>
    <t xml:space="preserve">No lumpy plan exceeds the ceiling</t>
  </si>
  <si>
    <t xml:space="preserve">Table 3.5, credit 0: relaxation's rounds</t>
  </si>
  <si>
    <t xml:space="preserve">Table 3.5</t>
  </si>
  <si>
    <t xml:space="preserve">Table 3.5, credit 0: ceiling</t>
  </si>
  <si>
    <t xml:space="preserve">Table 3.5, credit 0: best lumpy value</t>
  </si>
  <si>
    <t xml:space="preserve">Table 3.5, credit 0: gap</t>
  </si>
  <si>
    <t xml:space="preserve">Table 3.5, credit 5: relaxation's rounds</t>
  </si>
  <si>
    <t xml:space="preserve">Table 3.5, credit 5: ceiling</t>
  </si>
  <si>
    <t xml:space="preserve">Table 3.5, credit 5: best lumpy value</t>
  </si>
  <si>
    <t xml:space="preserve">Table 3.5, credit 5: gap</t>
  </si>
  <si>
    <t xml:space="preserve">Table 3.5, credit 10: relaxation's rounds</t>
  </si>
  <si>
    <t xml:space="preserve">Table 3.5, credit 10: ceiling</t>
  </si>
  <si>
    <t xml:space="preserve">Table 3.5, credit 10: best lumpy value</t>
  </si>
  <si>
    <t xml:space="preserve">Table 3.5, credit 10: gap</t>
  </si>
  <si>
    <t xml:space="preserve">Table 3.5, credit 20: relaxation's rounds</t>
  </si>
  <si>
    <t xml:space="preserve">Table 3.5, credit 20: ceiling</t>
  </si>
  <si>
    <t xml:space="preserve">Table 3.5, credit 20: best lumpy value</t>
  </si>
  <si>
    <t xml:space="preserve">Table 3.5, credit 20: gap</t>
  </si>
  <si>
    <t xml:space="preserve">Table 3.5, credit 40: relaxation's rounds</t>
  </si>
  <si>
    <t xml:space="preserve">Table 3.5, credit 40: ceiling</t>
  </si>
  <si>
    <t xml:space="preserve">Table 3.5, credit 40: best lumpy value</t>
  </si>
  <si>
    <t xml:space="preserve">Table 3.5, credit 40: gap</t>
  </si>
  <si>
    <t xml:space="preserve">Table 3.5, credit 60: relaxation's rounds</t>
  </si>
  <si>
    <t xml:space="preserve">Table 3.5, credit 60: ceiling</t>
  </si>
  <si>
    <t xml:space="preserve">Table 3.5, credit 60: best lumpy value</t>
  </si>
  <si>
    <t xml:space="preserve">Table 3.5, credit 60: gap</t>
  </si>
  <si>
    <t xml:space="preserve">Lumpy answers, 3 rounds: from</t>
  </si>
  <si>
    <t xml:space="preserve">Online Appendix 3.B.4</t>
  </si>
  <si>
    <t xml:space="preserve">Lumpy answers, 4 rounds: from</t>
  </si>
  <si>
    <t xml:space="preserve">Lumpy answers, 5 rounds: from</t>
  </si>
  <si>
    <t xml:space="preserve">Lumpy answers, 6 rounds: from</t>
  </si>
  <si>
    <t xml:space="preserve">Lumpy answers, 2 rounds: to</t>
  </si>
  <si>
    <t xml:space="preserve">Lumpy answers, 3 rounds: to</t>
  </si>
  <si>
    <t xml:space="preserve">Lumpy answers, 4 rounds: to</t>
  </si>
  <si>
    <t xml:space="preserve">Lumpy answers, 5 rounds: to</t>
  </si>
  <si>
    <t xml:space="preserve">Threshold, 2 to 3 rounds</t>
  </si>
  <si>
    <t xml:space="preserve">Chapter 2; Step 5</t>
  </si>
  <si>
    <t xml:space="preserve">Threshold, 3 to 4 rounds</t>
  </si>
  <si>
    <t xml:space="preserve">Threshold, 4 to 5 rounds</t>
  </si>
  <si>
    <t xml:space="preserve">Threshold, 5 to 6 rounds</t>
  </si>
  <si>
    <t xml:space="preserve">Rounding fails until, 2 rounds</t>
  </si>
  <si>
    <t xml:space="preserve">Rounding fails until, 3 rounds</t>
  </si>
  <si>
    <t xml:space="preserve">Rounding fails until, 4 rounds</t>
  </si>
  <si>
    <t xml:space="preserve">Rounding fails until, 5 rounds</t>
  </si>
  <si>
    <t xml:space="preserve">Relaxation's fraction at a threshold</t>
  </si>
  <si>
    <t xml:space="preserve">Online Appendix 3.B.4: 0.471</t>
  </si>
  <si>
    <t xml:space="preserve">Gap at a threshold</t>
  </si>
  <si>
    <t xml:space="preserve">Step 5: $10.3 million</t>
  </si>
  <si>
    <t xml:space="preserve">Relaxation's rounds at 54 years</t>
  </si>
  <si>
    <t xml:space="preserve">Step 5: 5.47</t>
  </si>
  <si>
    <t xml:space="preserve">Best lumpy rounds at 54 years</t>
  </si>
  <si>
    <t xml:space="preserve">Step 5: six</t>
  </si>
  <si>
    <t xml:space="preserve">Capital cap: value</t>
  </si>
  <si>
    <t xml:space="preserve">Step 6: three rounds, 1,680.00</t>
  </si>
  <si>
    <t xml:space="preserve">Capital cap: an increase gains, a dollar</t>
  </si>
  <si>
    <t xml:space="preserve">Step 6: $0.31</t>
  </si>
  <si>
    <t xml:space="preserve">Capital cap: a cut loses, a dollar</t>
  </si>
  <si>
    <t xml:space="preserve">Step 6: $0.42</t>
  </si>
  <si>
    <t xml:space="preserve">Capital cap: the barrier's price is inside the range</t>
  </si>
  <si>
    <t xml:space="preserve">Step 6: one point of a range</t>
  </si>
  <si>
    <t xml:space="preserve">Capital cap: closed form against the re-solves</t>
  </si>
  <si>
    <t xml:space="preserve">The notebook's re-solves</t>
  </si>
  <si>
    <t xml:space="preserve">Theorem 3.5(iii): 0.314 bounds every re-solve</t>
  </si>
  <si>
    <t xml:space="preserve">An increase gains at most</t>
  </si>
  <si>
    <t xml:space="preserve">Theorem 3.5(iii): 0.415 bounds every re-solve</t>
  </si>
  <si>
    <t xml:space="preserve">A cut loses at least</t>
  </si>
  <si>
    <t xml:space="preserve">Theorem 3.5(iii): 0.30 fails, below the range</t>
  </si>
  <si>
    <t xml:space="preserve">Not a price of the cap</t>
  </si>
  <si>
    <t xml:space="preserve">Theorem 3.5(iii): 0.43 fails, above the range</t>
  </si>
  <si>
    <t xml:space="preserve">Two-channel budget: best price</t>
  </si>
  <si>
    <t xml:space="preserve">Online Appendix 3.B.1: 0.25</t>
  </si>
  <si>
    <t xml:space="preserve">Two-channel budget: value</t>
  </si>
  <si>
    <t xml:space="preserve">50</t>
  </si>
  <si>
    <t xml:space="preserve">Two-channel budget: ceiling at a price of 0.5</t>
  </si>
  <si>
    <t xml:space="preserve">62.5</t>
  </si>
  <si>
    <t xml:space="preserve">Two-channel budget: the plan (50, 50)</t>
  </si>
  <si>
    <t xml:space="preserve">49.50</t>
  </si>
  <si>
    <t xml:space="preserve">Tiered penalty: best plan</t>
  </si>
  <si>
    <t xml:space="preserve">Online Appendix 3.B.2: 45</t>
  </si>
  <si>
    <t xml:space="preserve">Tiered penalty: best plan on a grid</t>
  </si>
  <si>
    <t xml:space="preserve">45</t>
  </si>
  <si>
    <t xml:space="preserve">Tiered penalty: cost</t>
  </si>
  <si>
    <t xml:space="preserve">11.25</t>
  </si>
  <si>
    <t xml:space="preserve">Tiered penalty: price of the middle tier</t>
  </si>
  <si>
    <t xml:space="preserve">0.25</t>
  </si>
  <si>
    <t xml:space="preserve">Tiered penalty: price of the top tier</t>
  </si>
  <si>
    <t xml:space="preserve">0.75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</si>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</sst>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"/>
    <numFmt numFmtId="167" formatCode="0.0"/>
    <numFmt numFmtId="168" formatCode="0.0E+00"/>
    <numFmt numFmtId="169" formatCode="#,##0.00"/>
    <numFmt numFmtId="170" formatCode="0.000"/>
    <numFmt numFmtId="171" formatCode="0.0000"/>
    <numFmt numFmtId="172" formatCode="#,##0.000"/>
    <numFmt numFmtId="173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s">
        <v>19</v>
      </c>
    </row>
    <row r="4" customFormat="false" ht="15" hidden="false" customHeight="false" outlineLevel="0" collapsed="false">
      <c r="A4" s="2" t="s">
        <v>20</v>
      </c>
      <c r="B4" s="9" t="n">
        <v>120</v>
      </c>
      <c r="C4" s="10" t="s">
        <v>21</v>
      </c>
    </row>
    <row r="5" customFormat="false" ht="15" hidden="false" customHeight="false" outlineLevel="0" collapsed="false">
      <c r="A5" s="2" t="s">
        <v>22</v>
      </c>
      <c r="B5" s="9" t="n">
        <v>85</v>
      </c>
      <c r="C5" s="10" t="s">
        <v>23</v>
      </c>
    </row>
    <row r="6" customFormat="false" ht="15" hidden="false" customHeight="false" outlineLevel="0" collapsed="false">
      <c r="A6" s="2" t="s">
        <v>24</v>
      </c>
      <c r="B6" s="9" t="n">
        <v>71</v>
      </c>
      <c r="C6" s="10" t="s">
        <v>25</v>
      </c>
    </row>
    <row r="7" customFormat="false" ht="15" hidden="false" customHeight="false" outlineLevel="0" collapsed="false">
      <c r="A7" s="2" t="s">
        <v>26</v>
      </c>
      <c r="B7" s="11" t="n">
        <v>0.5</v>
      </c>
      <c r="C7" s="10"/>
    </row>
    <row r="8" customFormat="false" ht="15" hidden="false" customHeight="false" outlineLevel="0" collapsed="false">
      <c r="A8" s="2" t="s">
        <v>27</v>
      </c>
      <c r="B8" s="9" t="n">
        <v>10</v>
      </c>
      <c r="C8" s="10" t="s">
        <v>28</v>
      </c>
    </row>
    <row r="9" customFormat="false" ht="15" hidden="false" customHeight="false" outlineLevel="0" collapsed="false">
      <c r="A9" s="2" t="s">
        <v>29</v>
      </c>
      <c r="B9" s="9" t="n">
        <v>620</v>
      </c>
      <c r="C9" s="10"/>
    </row>
    <row r="10" customFormat="false" ht="15" hidden="false" customHeight="false" outlineLevel="0" collapsed="false">
      <c r="A10" s="2" t="s">
        <v>30</v>
      </c>
      <c r="B10" s="9" t="n">
        <v>350</v>
      </c>
      <c r="C10" s="10"/>
    </row>
    <row r="11" customFormat="false" ht="15" hidden="false" customHeight="false" outlineLevel="0" collapsed="false">
      <c r="A11" s="2" t="s">
        <v>31</v>
      </c>
      <c r="B11" s="9" t="n">
        <v>470</v>
      </c>
      <c r="C11" s="10" t="s">
        <v>32</v>
      </c>
    </row>
    <row r="12" customFormat="false" ht="15" hidden="false" customHeight="false" outlineLevel="0" collapsed="false">
      <c r="A12" s="2" t="s">
        <v>33</v>
      </c>
      <c r="B12" s="9" t="n">
        <v>58</v>
      </c>
      <c r="C12" s="10" t="s">
        <v>34</v>
      </c>
    </row>
    <row r="13" customFormat="false" ht="15" hidden="false" customHeight="false" outlineLevel="0" collapsed="false">
      <c r="A13" s="2" t="s">
        <v>35</v>
      </c>
      <c r="B13" s="9" t="n">
        <v>55</v>
      </c>
      <c r="C13" s="10" t="s">
        <v>36</v>
      </c>
    </row>
    <row r="14" customFormat="false" ht="15" hidden="false" customHeight="false" outlineLevel="0" collapsed="false">
      <c r="A14" s="2" t="s">
        <v>37</v>
      </c>
      <c r="B14" s="9" t="n">
        <v>6</v>
      </c>
      <c r="C14" s="10"/>
    </row>
    <row r="15" customFormat="false" ht="15" hidden="false" customHeight="false" outlineLevel="0" collapsed="false">
      <c r="A15" s="2" t="s">
        <v>38</v>
      </c>
      <c r="B15" s="9" t="n">
        <v>10</v>
      </c>
      <c r="C15" s="10" t="s">
        <v>39</v>
      </c>
    </row>
    <row r="16" customFormat="false" ht="15" hidden="false" customHeight="false" outlineLevel="0" collapsed="false">
      <c r="A16" s="2" t="s">
        <v>40</v>
      </c>
      <c r="B16" s="9" t="n">
        <v>360</v>
      </c>
      <c r="C16" s="10" t="s">
        <v>41</v>
      </c>
    </row>
    <row r="17" customFormat="false" ht="15" hidden="false" customHeight="false" outlineLevel="0" collapsed="false">
      <c r="A17" s="2" t="s">
        <v>42</v>
      </c>
      <c r="B17" s="12" t="n">
        <f aca="false">Ceil_e-Eff_now</f>
        <v>14</v>
      </c>
      <c r="C17" s="10" t="s">
        <v>43</v>
      </c>
    </row>
    <row r="18" customFormat="false" ht="15" hidden="false" customHeight="false" outlineLevel="0" collapsed="false">
      <c r="A18" s="2" t="s">
        <v>44</v>
      </c>
      <c r="B18" s="12" t="n">
        <f aca="false">Val_pt*B17</f>
        <v>140</v>
      </c>
      <c r="C18" s="10" t="s">
        <v>45</v>
      </c>
    </row>
    <row r="19" customFormat="false" ht="15" hidden="false" customHeight="false" outlineLevel="0" collapsed="false">
      <c r="A19" s="2" t="s">
        <v>46</v>
      </c>
      <c r="B19" s="13" t="n">
        <f aca="false">B18*LN(2)</f>
        <v>97.0406052783923</v>
      </c>
      <c r="C19" s="10" t="s">
        <v>47</v>
      </c>
    </row>
    <row r="20" customFormat="false" ht="15" hidden="false" customHeight="false" outlineLevel="0" collapsed="false">
      <c r="A20" s="2" t="s">
        <v>48</v>
      </c>
      <c r="B20" s="12" t="n">
        <f aca="false">Liq_now-Q_end</f>
        <v>150</v>
      </c>
      <c r="C20" s="10"/>
    </row>
    <row r="21" customFormat="false" ht="15" hidden="false" customHeight="false" outlineLevel="0" collapsed="false">
      <c r="A21" s="2" t="s">
        <v>49</v>
      </c>
      <c r="B21" s="12" t="n">
        <f aca="false">Val_pt*Half_g*B17</f>
        <v>70</v>
      </c>
      <c r="C21" s="10" t="s">
        <v>50</v>
      </c>
    </row>
    <row r="23" customFormat="false" ht="15" hidden="false" customHeight="false" outlineLevel="0" collapsed="false">
      <c r="A23" s="10" t="s">
        <v>51</v>
      </c>
    </row>
    <row r="24" customFormat="false" ht="15" hidden="false" customHeight="false" outlineLevel="0" collapsed="false">
      <c r="A24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3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10" t="s">
        <v>54</v>
      </c>
    </row>
    <row r="4" customFormat="false" ht="15" hidden="false" customHeight="false" outlineLevel="0" collapsed="false">
      <c r="A4" s="8" t="s">
        <v>55</v>
      </c>
      <c r="B4" s="8" t="s">
        <v>56</v>
      </c>
      <c r="C4" s="8" t="s">
        <v>57</v>
      </c>
      <c r="D4" s="8" t="s">
        <v>58</v>
      </c>
      <c r="E4" s="8" t="s">
        <v>59</v>
      </c>
    </row>
    <row r="5" customFormat="false" ht="15" hidden="false" customHeight="false" outlineLevel="0" collapsed="false">
      <c r="A5" s="2" t="s">
        <v>60</v>
      </c>
      <c r="B5" s="14" t="n">
        <v>1</v>
      </c>
      <c r="C5" s="14" t="n">
        <v>0</v>
      </c>
      <c r="D5" s="13" t="n">
        <f aca="false">S_max*(1-(1-Half_g*B5)*(1-Half_g*C5))</f>
        <v>70</v>
      </c>
      <c r="E5" s="13" t="n">
        <f aca="false">S_max*(1-2^(-(B5+C5)))</f>
        <v>70</v>
      </c>
    </row>
    <row r="6" customFormat="false" ht="15" hidden="false" customHeight="false" outlineLevel="0" collapsed="false">
      <c r="A6" s="2" t="s">
        <v>61</v>
      </c>
      <c r="B6" s="14" t="n">
        <v>0</v>
      </c>
      <c r="C6" s="14" t="n">
        <v>1</v>
      </c>
      <c r="D6" s="13" t="n">
        <f aca="false">S_max*(1-(1-Half_g*B6)*(1-Half_g*C6))</f>
        <v>70</v>
      </c>
      <c r="E6" s="13" t="n">
        <f aca="false">S_max*(1-2^(-(B6+C6)))</f>
        <v>70</v>
      </c>
    </row>
    <row r="7" customFormat="false" ht="15" hidden="false" customHeight="false" outlineLevel="0" collapsed="false">
      <c r="A7" s="2" t="s">
        <v>62</v>
      </c>
      <c r="B7" s="14" t="n">
        <v>0.5</v>
      </c>
      <c r="C7" s="14" t="n">
        <v>0.5</v>
      </c>
      <c r="D7" s="13" t="n">
        <f aca="false">S_max*(1-(1-Half_g*B7)*(1-Half_g*C7))</f>
        <v>61.25</v>
      </c>
      <c r="E7" s="13" t="n">
        <f aca="false">S_max*(1-2^(-(B7+C7)))</f>
        <v>70</v>
      </c>
    </row>
    <row r="8" customFormat="false" ht="15" hidden="false" customHeight="false" outlineLevel="0" collapsed="false">
      <c r="A8" s="2" t="s">
        <v>63</v>
      </c>
      <c r="B8" s="14" t="n">
        <v>0</v>
      </c>
      <c r="C8" s="14" t="n">
        <v>0</v>
      </c>
      <c r="D8" s="13" t="n">
        <f aca="false">S_max*(1-(1-Half_g*B8)*(1-Half_g*C8))</f>
        <v>0</v>
      </c>
      <c r="E8" s="13" t="n">
        <f aca="false">S_max*(1-2^(-(B8+C8)))</f>
        <v>0</v>
      </c>
    </row>
    <row r="9" customFormat="false" ht="15" hidden="false" customHeight="false" outlineLevel="0" collapsed="false">
      <c r="A9" s="2" t="s">
        <v>64</v>
      </c>
      <c r="B9" s="14" t="n">
        <v>1</v>
      </c>
      <c r="C9" s="14" t="n">
        <v>1</v>
      </c>
      <c r="D9" s="13" t="n">
        <f aca="false">S_max*(1-(1-Half_g*B9)*(1-Half_g*C9))</f>
        <v>105</v>
      </c>
      <c r="E9" s="13" t="n">
        <f aca="false">S_max*(1-2^(-(B9+C9)))</f>
        <v>105</v>
      </c>
    </row>
    <row r="11" customFormat="false" ht="15" hidden="false" customHeight="false" outlineLevel="0" collapsed="false">
      <c r="A11" s="2" t="s">
        <v>65</v>
      </c>
      <c r="B11" s="13" t="n">
        <f aca="false">D7</f>
        <v>61.25</v>
      </c>
    </row>
    <row r="12" customFormat="false" ht="15" hidden="false" customHeight="false" outlineLevel="0" collapsed="false">
      <c r="A12" s="2" t="s">
        <v>66</v>
      </c>
      <c r="B12" s="13" t="n">
        <f aca="false">(D5+D6)/2</f>
        <v>70</v>
      </c>
    </row>
    <row r="13" customFormat="false" ht="15" hidden="false" customHeight="false" outlineLevel="0" collapsed="false">
      <c r="A13" s="2" t="s">
        <v>67</v>
      </c>
      <c r="B13" s="4" t="str">
        <f aca="false">IF(B11&gt;=B12-0.000000001,"passes","fails")</f>
        <v>fails</v>
      </c>
    </row>
    <row r="14" customFormat="false" ht="15" hidden="false" customHeight="false" outlineLevel="0" collapsed="false">
      <c r="A14" s="2" t="s">
        <v>68</v>
      </c>
      <c r="B14" s="13" t="n">
        <f aca="false">(D8+D9)/2</f>
        <v>52.5</v>
      </c>
    </row>
    <row r="15" customFormat="false" ht="15" hidden="false" customHeight="false" outlineLevel="0" collapsed="false">
      <c r="A15" s="2" t="s">
        <v>69</v>
      </c>
      <c r="B15" s="4" t="str">
        <f aca="false">IF(B11&lt;=B14+0.000000001,"passes","fails")</f>
        <v>fails</v>
      </c>
    </row>
    <row r="16" customFormat="false" ht="15" hidden="false" customHeight="false" outlineLevel="0" collapsed="false">
      <c r="A16" s="2" t="s">
        <v>70</v>
      </c>
      <c r="B16" s="4" t="str">
        <f aca="false">IF(E7&gt;=(E5+E6)/2-0.000000001,"passes","fails")</f>
        <v>passes</v>
      </c>
    </row>
    <row r="17" customFormat="false" ht="15" hidden="false" customHeight="false" outlineLevel="0" collapsed="false">
      <c r="A17" s="2" t="s">
        <v>71</v>
      </c>
      <c r="B17" s="12" t="n">
        <f aca="false">-S_max*Half_g^2</f>
        <v>-35</v>
      </c>
    </row>
    <row r="18" customFormat="false" ht="15" hidden="false" customHeight="false" outlineLevel="0" collapsed="false">
      <c r="A18" s="2" t="s">
        <v>72</v>
      </c>
      <c r="B18" s="12" t="n">
        <f aca="false">ABS(B17)</f>
        <v>35</v>
      </c>
    </row>
    <row r="21" customFormat="false" ht="15" hidden="false" customHeight="false" outlineLevel="0" collapsed="false">
      <c r="A21" s="8" t="s">
        <v>73</v>
      </c>
      <c r="B21" s="8" t="s">
        <v>74</v>
      </c>
      <c r="C21" s="8" t="s">
        <v>75</v>
      </c>
      <c r="D21" s="8" t="s">
        <v>76</v>
      </c>
      <c r="E21" s="8" t="s">
        <v>77</v>
      </c>
      <c r="F21" s="8" t="s">
        <v>78</v>
      </c>
    </row>
    <row r="22" customFormat="false" ht="15" hidden="false" customHeight="false" outlineLevel="0" collapsed="false">
      <c r="A22" s="2" t="s">
        <v>79</v>
      </c>
      <c r="B22" s="14" t="n">
        <v>0</v>
      </c>
      <c r="C22" s="11" t="n">
        <v>0</v>
      </c>
      <c r="D22" s="13" t="n">
        <f aca="false">S_max*(1-2^(-(B22)))</f>
        <v>0</v>
      </c>
      <c r="E22" s="13" t="n">
        <f aca="false">D22/2</f>
        <v>0</v>
      </c>
      <c r="F22" s="4" t="str">
        <f aca="false">IF(C22&gt;=E22-0.000000001,"yes","no")</f>
        <v>yes</v>
      </c>
    </row>
    <row r="23" customFormat="false" ht="15" hidden="false" customHeight="false" outlineLevel="0" collapsed="false">
      <c r="A23" s="2" t="s">
        <v>80</v>
      </c>
      <c r="B23" s="14" t="n">
        <v>2</v>
      </c>
      <c r="C23" s="13" t="n">
        <f aca="false">E23</f>
        <v>52.5</v>
      </c>
      <c r="D23" s="13" t="n">
        <f aca="false">S_max*(1-2^(-(B23)))</f>
        <v>105</v>
      </c>
      <c r="E23" s="13" t="n">
        <f aca="false">D23/2</f>
        <v>52.5</v>
      </c>
      <c r="F23" s="4" t="str">
        <f aca="false">IF(C23&gt;=E23-0.000000001,"yes","no")</f>
        <v>yes</v>
      </c>
    </row>
    <row r="24" customFormat="false" ht="15" hidden="false" customHeight="false" outlineLevel="0" collapsed="false">
      <c r="A24" s="2" t="s">
        <v>81</v>
      </c>
      <c r="B24" s="15" t="n">
        <f aca="false">(B22+B23)/2</f>
        <v>1</v>
      </c>
      <c r="C24" s="13" t="n">
        <f aca="false">(C22+C23)/2</f>
        <v>26.25</v>
      </c>
      <c r="D24" s="13" t="n">
        <f aca="false">S_max*(1-2^(-(B24)))</f>
        <v>70</v>
      </c>
      <c r="E24" s="13" t="n">
        <f aca="false">D24/2</f>
        <v>35</v>
      </c>
      <c r="F24" s="4" t="str">
        <f aca="false">IF(C24&gt;=E24-0.000000001,"yes","no")</f>
        <v>no</v>
      </c>
    </row>
    <row r="25" customFormat="false" ht="15" hidden="false" customHeight="false" outlineLevel="0" collapsed="false">
      <c r="A25" s="2" t="s">
        <v>82</v>
      </c>
      <c r="B25" s="13" t="n">
        <f aca="false">E24</f>
        <v>35</v>
      </c>
    </row>
    <row r="26" customFormat="false" ht="15" hidden="false" customHeight="false" outlineLevel="0" collapsed="false">
      <c r="A26" s="10" t="s">
        <v>83</v>
      </c>
    </row>
    <row r="28" customFormat="false" ht="15" hidden="false" customHeight="false" outlineLevel="0" collapsed="false">
      <c r="A28" s="8" t="s">
        <v>84</v>
      </c>
      <c r="B28" s="8" t="s">
        <v>85</v>
      </c>
      <c r="C28" s="8" t="s">
        <v>86</v>
      </c>
    </row>
    <row r="29" customFormat="false" ht="15" hidden="false" customHeight="false" outlineLevel="0" collapsed="false">
      <c r="A29" s="2" t="s">
        <v>87</v>
      </c>
      <c r="B29" s="2" t="s">
        <v>88</v>
      </c>
      <c r="C29" s="2" t="s">
        <v>89</v>
      </c>
    </row>
    <row r="30" customFormat="false" ht="15" hidden="false" customHeight="false" outlineLevel="0" collapsed="false">
      <c r="A30" s="2" t="s">
        <v>90</v>
      </c>
      <c r="B30" s="2" t="s">
        <v>91</v>
      </c>
      <c r="C30" s="2" t="s">
        <v>92</v>
      </c>
    </row>
    <row r="31" customFormat="false" ht="15" hidden="false" customHeight="false" outlineLevel="0" collapsed="false">
      <c r="A31" s="2" t="s">
        <v>93</v>
      </c>
      <c r="B31" s="2" t="s">
        <v>94</v>
      </c>
      <c r="C31" s="2" t="s">
        <v>95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95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2" t="s">
        <v>100</v>
      </c>
    </row>
    <row r="34" customFormat="false" ht="15" hidden="false" customHeight="false" outlineLevel="0" collapsed="false">
      <c r="A34" s="2" t="s">
        <v>101</v>
      </c>
      <c r="B34" s="2" t="s">
        <v>99</v>
      </c>
      <c r="C34" s="2" t="s">
        <v>100</v>
      </c>
    </row>
    <row r="35" customFormat="false" ht="15" hidden="false" customHeight="false" outlineLevel="0" collapsed="false">
      <c r="A35" s="2" t="s">
        <v>102</v>
      </c>
      <c r="B35" s="2" t="s">
        <v>103</v>
      </c>
      <c r="C35" s="2" t="s">
        <v>95</v>
      </c>
    </row>
    <row r="36" customFormat="false" ht="15" hidden="false" customHeight="false" outlineLevel="0" collapsed="false">
      <c r="A36" s="2" t="s">
        <v>104</v>
      </c>
      <c r="B36" s="2" t="s">
        <v>105</v>
      </c>
      <c r="C36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7" min="2" style="0" width="7"/>
    <col collapsed="false" customWidth="true" hidden="false" outlineLevel="0" max="51" min="8" style="0" width="10"/>
  </cols>
  <sheetData>
    <row r="1" customFormat="false" ht="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10" t="s">
        <v>108</v>
      </c>
    </row>
    <row r="4" customFormat="false" ht="15" hidden="false" customHeight="false" outlineLevel="0" collapsed="false">
      <c r="A4" s="2" t="s">
        <v>109</v>
      </c>
      <c r="L4" s="12" t="n">
        <f aca="false">SUM($AN$17:$AN$80)</f>
        <v>64</v>
      </c>
    </row>
    <row r="5" customFormat="false" ht="15" hidden="false" customHeight="false" outlineLevel="0" collapsed="false">
      <c r="A5" s="2" t="s">
        <v>110</v>
      </c>
      <c r="L5" s="16" t="n">
        <f aca="false">MAX($Z$17:$Z$80)</f>
        <v>0</v>
      </c>
    </row>
    <row r="6" customFormat="false" ht="15" hidden="false" customHeight="false" outlineLevel="0" collapsed="false">
      <c r="A6" s="2" t="s">
        <v>111</v>
      </c>
      <c r="L6" s="17" t="n">
        <f aca="false">MAX($AP$17:$AP$80)</f>
        <v>1680</v>
      </c>
    </row>
    <row r="7" customFormat="false" ht="15" hidden="false" customHeight="false" outlineLevel="0" collapsed="false">
      <c r="A7" s="2" t="s">
        <v>112</v>
      </c>
      <c r="L7" s="12" t="n">
        <f aca="false">INDEX($A$17:$A$80,MATCH(L6,$AP$17:$AP$80,0))</f>
        <v>56</v>
      </c>
    </row>
    <row r="8" customFormat="false" ht="15" hidden="false" customHeight="false" outlineLevel="0" collapsed="false">
      <c r="A8" s="2" t="s">
        <v>113</v>
      </c>
      <c r="L8" s="12" t="n">
        <f aca="false">INDEX($AM$17:$AM$80,MATCH(L6,$AP$17:$AP$80,0))</f>
        <v>3</v>
      </c>
    </row>
    <row r="9" customFormat="false" ht="15" hidden="false" customHeight="false" outlineLevel="0" collapsed="false">
      <c r="A9" s="2" t="s">
        <v>114</v>
      </c>
      <c r="L9" s="13" t="n">
        <f aca="false">INDEX($AO$17:$AO$80,MATCH(L6,$AP$17:$AP$80,0))</f>
        <v>455</v>
      </c>
    </row>
    <row r="10" customFormat="false" ht="15" hidden="false" customHeight="false" outlineLevel="0" collapsed="false">
      <c r="A10" s="2" t="s">
        <v>115</v>
      </c>
      <c r="L10" s="13" t="n">
        <f aca="false">INDEX($S$17:$S$80,MATCH(L6,$AP$17:$AP$80,0))</f>
        <v>122.5</v>
      </c>
    </row>
    <row r="11" customFormat="false" ht="15" hidden="false" customHeight="false" outlineLevel="0" collapsed="false">
      <c r="A11" s="2" t="s">
        <v>116</v>
      </c>
      <c r="L11" s="17" t="n">
        <f aca="false">INDEX($AP$17:$AP$80,MATCH(56,$A$17:$A$80,0))</f>
        <v>1680</v>
      </c>
    </row>
    <row r="12" customFormat="false" ht="15" hidden="false" customHeight="false" outlineLevel="0" collapsed="false">
      <c r="A12" s="2" t="s">
        <v>117</v>
      </c>
      <c r="L12" s="17" t="n">
        <f aca="false">INDEX($AP$17:$AP$80,MATCH(60,$A$17:$A$80,0))</f>
        <v>1673.75</v>
      </c>
    </row>
    <row r="13" customFormat="false" ht="15" hidden="false" customHeight="false" outlineLevel="0" collapsed="false">
      <c r="A13" s="2" t="s">
        <v>118</v>
      </c>
      <c r="L13" s="17" t="n">
        <f aca="false">MAX($AQ$17:$AQ$80)</f>
        <v>1680</v>
      </c>
    </row>
    <row r="15" customFormat="false" ht="15" hidden="false" customHeight="false" outlineLevel="0" collapsed="false">
      <c r="AQ15" s="10" t="s">
        <v>119</v>
      </c>
      <c r="AR15" s="9" t="n">
        <v>0</v>
      </c>
      <c r="AS15" s="9" t="n">
        <v>5</v>
      </c>
      <c r="AT15" s="9" t="n">
        <v>10</v>
      </c>
      <c r="AU15" s="9" t="n">
        <v>20</v>
      </c>
      <c r="AV15" s="9" t="n">
        <v>40</v>
      </c>
      <c r="AW15" s="9" t="n">
        <v>60</v>
      </c>
      <c r="AX15" s="9" t="n">
        <v>54</v>
      </c>
    </row>
    <row r="16" customFormat="false" ht="46.25" hidden="false" customHeight="false" outlineLevel="0" collapsed="false">
      <c r="A16" s="8" t="s">
        <v>55</v>
      </c>
      <c r="B16" s="8" t="s">
        <v>56</v>
      </c>
      <c r="C16" s="8" t="s">
        <v>57</v>
      </c>
      <c r="D16" s="8" t="s">
        <v>120</v>
      </c>
      <c r="E16" s="8" t="s">
        <v>121</v>
      </c>
      <c r="F16" s="8" t="s">
        <v>122</v>
      </c>
      <c r="G16" s="8" t="s">
        <v>123</v>
      </c>
      <c r="H16" s="8" t="s">
        <v>124</v>
      </c>
      <c r="I16" s="8" t="s">
        <v>125</v>
      </c>
      <c r="J16" s="8" t="s">
        <v>126</v>
      </c>
      <c r="K16" s="8" t="s">
        <v>127</v>
      </c>
      <c r="L16" s="8" t="s">
        <v>128</v>
      </c>
      <c r="M16" s="8" t="s">
        <v>129</v>
      </c>
      <c r="N16" s="8" t="s">
        <v>130</v>
      </c>
      <c r="O16" s="8" t="s">
        <v>131</v>
      </c>
      <c r="P16" s="8" t="s">
        <v>132</v>
      </c>
      <c r="Q16" s="8" t="s">
        <v>133</v>
      </c>
      <c r="R16" s="8" t="s">
        <v>134</v>
      </c>
      <c r="S16" s="8" t="s">
        <v>135</v>
      </c>
      <c r="T16" s="8" t="s">
        <v>136</v>
      </c>
      <c r="U16" s="8" t="s">
        <v>137</v>
      </c>
      <c r="V16" s="8" t="s">
        <v>138</v>
      </c>
      <c r="W16" s="8" t="s">
        <v>139</v>
      </c>
      <c r="X16" s="8" t="s">
        <v>140</v>
      </c>
      <c r="Y16" s="8" t="s">
        <v>141</v>
      </c>
      <c r="Z16" s="8" t="s">
        <v>142</v>
      </c>
      <c r="AA16" s="8" t="s">
        <v>143</v>
      </c>
      <c r="AB16" s="8" t="s">
        <v>144</v>
      </c>
      <c r="AC16" s="8" t="s">
        <v>145</v>
      </c>
      <c r="AD16" s="8" t="s">
        <v>146</v>
      </c>
      <c r="AE16" s="8" t="s">
        <v>147</v>
      </c>
      <c r="AF16" s="8" t="s">
        <v>148</v>
      </c>
      <c r="AG16" s="8" t="s">
        <v>149</v>
      </c>
      <c r="AH16" s="8" t="s">
        <v>150</v>
      </c>
      <c r="AI16" s="8" t="s">
        <v>151</v>
      </c>
      <c r="AJ16" s="8" t="s">
        <v>152</v>
      </c>
      <c r="AK16" s="8" t="s">
        <v>153</v>
      </c>
      <c r="AL16" s="8" t="s">
        <v>154</v>
      </c>
      <c r="AM16" s="8" t="s">
        <v>155</v>
      </c>
      <c r="AN16" s="8" t="s">
        <v>156</v>
      </c>
      <c r="AO16" s="8" t="s">
        <v>157</v>
      </c>
      <c r="AP16" s="8" t="s">
        <v>158</v>
      </c>
      <c r="AQ16" s="8" t="s">
        <v>159</v>
      </c>
      <c r="AR16" s="8" t="s">
        <v>160</v>
      </c>
      <c r="AS16" s="8" t="s">
        <v>161</v>
      </c>
      <c r="AT16" s="8" t="s">
        <v>162</v>
      </c>
      <c r="AU16" s="8" t="s">
        <v>163</v>
      </c>
      <c r="AV16" s="8" t="s">
        <v>164</v>
      </c>
      <c r="AW16" s="8" t="s">
        <v>165</v>
      </c>
      <c r="AX16" s="8" t="s">
        <v>166</v>
      </c>
    </row>
    <row r="17" customFormat="false" ht="15" hidden="false" customHeight="false" outlineLevel="0" collapsed="false">
      <c r="A17" s="12" t="n">
        <v>0</v>
      </c>
      <c r="B17" s="12" t="n">
        <f aca="false">MOD(INT($A17/2^5),2)</f>
        <v>0</v>
      </c>
      <c r="C17" s="12" t="n">
        <f aca="false">MOD(INT($A17/2^4),2)</f>
        <v>0</v>
      </c>
      <c r="D17" s="12" t="n">
        <f aca="false">MOD(INT($A17/2^3),2)</f>
        <v>0</v>
      </c>
      <c r="E17" s="12" t="n">
        <f aca="false">MOD(INT($A17/2^2),2)</f>
        <v>0</v>
      </c>
      <c r="F17" s="12" t="n">
        <f aca="false">MOD(INT($A17/2^1),2)</f>
        <v>0</v>
      </c>
      <c r="G17" s="12" t="n">
        <f aca="false">MOD(INT($A17/2^0),2)</f>
        <v>0</v>
      </c>
      <c r="H17" s="18" t="n">
        <f aca="false">Eff_now+B17*Half_g*(Ceil_e-Eff_now)</f>
        <v>71</v>
      </c>
      <c r="I17" s="18" t="n">
        <f aca="false">H17+C17*Half_g*(Ceil_e-H17)</f>
        <v>71</v>
      </c>
      <c r="J17" s="18" t="n">
        <f aca="false">I17+D17*Half_g*(Ceil_e-I17)</f>
        <v>71</v>
      </c>
      <c r="K17" s="18" t="n">
        <f aca="false">J17+E17*Half_g*(Ceil_e-J17)</f>
        <v>71</v>
      </c>
      <c r="L17" s="18" t="n">
        <f aca="false">K17+F17*Half_g*(Ceil_e-K17)</f>
        <v>71</v>
      </c>
      <c r="M17" s="18" t="n">
        <f aca="false">L17+G17*Half_g*(Ceil_e-L17)</f>
        <v>71</v>
      </c>
      <c r="N17" s="13" t="n">
        <f aca="false">Val_pt*(H17-Eff_now)</f>
        <v>0</v>
      </c>
      <c r="O17" s="13" t="n">
        <f aca="false">Val_pt*(I17-Eff_now)</f>
        <v>0</v>
      </c>
      <c r="P17" s="13" t="n">
        <f aca="false">Val_pt*(J17-Eff_now)</f>
        <v>0</v>
      </c>
      <c r="Q17" s="13" t="n">
        <f aca="false">Val_pt*(K17-Eff_now)</f>
        <v>0</v>
      </c>
      <c r="R17" s="13" t="n">
        <f aca="false">Val_pt*(L17-Eff_now)</f>
        <v>0</v>
      </c>
      <c r="S17" s="13" t="n">
        <f aca="false">Val_pt*(M17-Eff_now)</f>
        <v>0</v>
      </c>
      <c r="T17" s="13" t="n">
        <f aca="false">S_max*(1-2^(-(SUM($B17:B17))))</f>
        <v>0</v>
      </c>
      <c r="U17" s="13" t="n">
        <f aca="false">S_max*(1-2^(-(SUM($B17:C17))))</f>
        <v>0</v>
      </c>
      <c r="V17" s="13" t="n">
        <f aca="false">S_max*(1-2^(-(SUM($B17:D17))))</f>
        <v>0</v>
      </c>
      <c r="W17" s="13" t="n">
        <f aca="false">S_max*(1-2^(-(SUM($B17:E17))))</f>
        <v>0</v>
      </c>
      <c r="X17" s="13" t="n">
        <f aca="false">S_max*(1-2^(-(SUM($B17:F17))))</f>
        <v>0</v>
      </c>
      <c r="Y17" s="13" t="n">
        <f aca="false">S_max*(1-2^(-(SUM($B17:G17))))</f>
        <v>0</v>
      </c>
      <c r="Z17" s="16" t="n">
        <f aca="false">MAX(ABS(N17-T17),ABS(O17-U17),ABS(P17-V17),ABS(Q17-W17),ABS(R17-X17),ABS(S17-Y17))</f>
        <v>0</v>
      </c>
      <c r="AA17" s="13" t="n">
        <f aca="false">Liq_now-Cost_r*B17</f>
        <v>620</v>
      </c>
      <c r="AB17" s="13" t="n">
        <f aca="false">AG17-Cost_r*C17</f>
        <v>620</v>
      </c>
      <c r="AC17" s="13" t="n">
        <f aca="false">AH17-Cost_r*D17</f>
        <v>620</v>
      </c>
      <c r="AD17" s="13" t="n">
        <f aca="false">AI17-Cost_r*E17</f>
        <v>620</v>
      </c>
      <c r="AE17" s="13" t="n">
        <f aca="false">AJ17-Cost_r*F17</f>
        <v>620</v>
      </c>
      <c r="AF17" s="13" t="n">
        <f aca="false">AK17-Cost_r*G17</f>
        <v>620</v>
      </c>
      <c r="AG17" s="13" t="n">
        <f aca="false">AA17+N17</f>
        <v>620</v>
      </c>
      <c r="AH17" s="13" t="n">
        <f aca="false">AB17+O17</f>
        <v>620</v>
      </c>
      <c r="AI17" s="13" t="n">
        <f aca="false">AC17+P17</f>
        <v>620</v>
      </c>
      <c r="AJ17" s="13" t="n">
        <f aca="false">AD17+Q17</f>
        <v>620</v>
      </c>
      <c r="AK17" s="13" t="n">
        <f aca="false">AE17+R17</f>
        <v>620</v>
      </c>
      <c r="AL17" s="13" t="n">
        <f aca="false">AF17+S17</f>
        <v>620</v>
      </c>
      <c r="AM17" s="12" t="n">
        <f aca="false">SUM(B17:G17)</f>
        <v>0</v>
      </c>
      <c r="AN17" s="12" t="n">
        <f aca="false">IF(AND(MIN(AA17:AF17)&gt;=Floor_q,MIN(AG17:AL17)&gt;=Floor_q,AL17&gt;=Q_end,Cap_now&gt;=Cap_min),1,0)</f>
        <v>1</v>
      </c>
      <c r="AO17" s="13" t="n">
        <f aca="false">AL17-Q_end</f>
        <v>150</v>
      </c>
      <c r="AP17" s="17" t="n">
        <f aca="false">IF(AN17=1,AO17+Credit_M*S17,-1000000000)</f>
        <v>150</v>
      </c>
      <c r="AQ17" s="17" t="n">
        <f aca="false">AP17+SUMPRODUCT(Relaxation!$C$23:$H$23,1-B17:G17)+SUMPRODUCT(Relaxation!$C$24:$H$24,B17:G17)</f>
        <v>283.430832257789</v>
      </c>
      <c r="AR17" s="17" t="n">
        <f aca="false">IF($AN17=1,$AO17+AR$15*$S17,-1000000000)</f>
        <v>150</v>
      </c>
      <c r="AS17" s="17" t="n">
        <f aca="false">IF($AN17=1,$AO17+AS$15*$S17,-1000000000)</f>
        <v>150</v>
      </c>
      <c r="AT17" s="17" t="n">
        <f aca="false">IF($AN17=1,$AO17+AT$15*$S17,-1000000000)</f>
        <v>150</v>
      </c>
      <c r="AU17" s="17" t="n">
        <f aca="false">IF($AN17=1,$AO17+AU$15*$S17,-1000000000)</f>
        <v>150</v>
      </c>
      <c r="AV17" s="17" t="n">
        <f aca="false">IF($AN17=1,$AO17+AV$15*$S17,-1000000000)</f>
        <v>150</v>
      </c>
      <c r="AW17" s="17" t="n">
        <f aca="false">IF($AN17=1,$AO17+AW$15*$S17,-1000000000)</f>
        <v>150</v>
      </c>
      <c r="AX17" s="17" t="n">
        <f aca="false">IF($AN17=1,$AO17+AX$15*$S17,-1000000000)</f>
        <v>150</v>
      </c>
    </row>
    <row r="18" customFormat="false" ht="15" hidden="false" customHeight="false" outlineLevel="0" collapsed="false">
      <c r="A18" s="12" t="n">
        <v>1</v>
      </c>
      <c r="B18" s="12" t="n">
        <f aca="false">MOD(INT($A18/2^5),2)</f>
        <v>0</v>
      </c>
      <c r="C18" s="12" t="n">
        <f aca="false">MOD(INT($A18/2^4),2)</f>
        <v>0</v>
      </c>
      <c r="D18" s="12" t="n">
        <f aca="false">MOD(INT($A18/2^3),2)</f>
        <v>0</v>
      </c>
      <c r="E18" s="12" t="n">
        <f aca="false">MOD(INT($A18/2^2),2)</f>
        <v>0</v>
      </c>
      <c r="F18" s="12" t="n">
        <f aca="false">MOD(INT($A18/2^1),2)</f>
        <v>0</v>
      </c>
      <c r="G18" s="12" t="n">
        <f aca="false">MOD(INT($A18/2^0),2)</f>
        <v>1</v>
      </c>
      <c r="H18" s="18" t="n">
        <f aca="false">Eff_now+B18*Half_g*(Ceil_e-Eff_now)</f>
        <v>71</v>
      </c>
      <c r="I18" s="18" t="n">
        <f aca="false">H18+C18*Half_g*(Ceil_e-H18)</f>
        <v>71</v>
      </c>
      <c r="J18" s="18" t="n">
        <f aca="false">I18+D18*Half_g*(Ceil_e-I18)</f>
        <v>71</v>
      </c>
      <c r="K18" s="18" t="n">
        <f aca="false">J18+E18*Half_g*(Ceil_e-J18)</f>
        <v>71</v>
      </c>
      <c r="L18" s="18" t="n">
        <f aca="false">K18+F18*Half_g*(Ceil_e-K18)</f>
        <v>71</v>
      </c>
      <c r="M18" s="18" t="n">
        <f aca="false">L18+G18*Half_g*(Ceil_e-L18)</f>
        <v>78</v>
      </c>
      <c r="N18" s="13" t="n">
        <f aca="false">Val_pt*(H18-Eff_now)</f>
        <v>0</v>
      </c>
      <c r="O18" s="13" t="n">
        <f aca="false">Val_pt*(I18-Eff_now)</f>
        <v>0</v>
      </c>
      <c r="P18" s="13" t="n">
        <f aca="false">Val_pt*(J18-Eff_now)</f>
        <v>0</v>
      </c>
      <c r="Q18" s="13" t="n">
        <f aca="false">Val_pt*(K18-Eff_now)</f>
        <v>0</v>
      </c>
      <c r="R18" s="13" t="n">
        <f aca="false">Val_pt*(L18-Eff_now)</f>
        <v>0</v>
      </c>
      <c r="S18" s="13" t="n">
        <f aca="false">Val_pt*(M18-Eff_now)</f>
        <v>70</v>
      </c>
      <c r="T18" s="13" t="n">
        <f aca="false">S_max*(1-2^(-(SUM($B18:B18))))</f>
        <v>0</v>
      </c>
      <c r="U18" s="13" t="n">
        <f aca="false">S_max*(1-2^(-(SUM($B18:C18))))</f>
        <v>0</v>
      </c>
      <c r="V18" s="13" t="n">
        <f aca="false">S_max*(1-2^(-(SUM($B18:D18))))</f>
        <v>0</v>
      </c>
      <c r="W18" s="13" t="n">
        <f aca="false">S_max*(1-2^(-(SUM($B18:E18))))</f>
        <v>0</v>
      </c>
      <c r="X18" s="13" t="n">
        <f aca="false">S_max*(1-2^(-(SUM($B18:F18))))</f>
        <v>0</v>
      </c>
      <c r="Y18" s="13" t="n">
        <f aca="false">S_max*(1-2^(-(SUM($B18:G18))))</f>
        <v>70</v>
      </c>
      <c r="Z18" s="16" t="n">
        <f aca="false">MAX(ABS(N18-T18),ABS(O18-U18),ABS(P18-V18),ABS(Q18-W18),ABS(R18-X18),ABS(S18-Y18))</f>
        <v>0</v>
      </c>
      <c r="AA18" s="13" t="n">
        <f aca="false">Liq_now-Cost_r*B18</f>
        <v>620</v>
      </c>
      <c r="AB18" s="13" t="n">
        <f aca="false">AG18-Cost_r*C18</f>
        <v>620</v>
      </c>
      <c r="AC18" s="13" t="n">
        <f aca="false">AH18-Cost_r*D18</f>
        <v>620</v>
      </c>
      <c r="AD18" s="13" t="n">
        <f aca="false">AI18-Cost_r*E18</f>
        <v>620</v>
      </c>
      <c r="AE18" s="13" t="n">
        <f aca="false">AJ18-Cost_r*F18</f>
        <v>620</v>
      </c>
      <c r="AF18" s="13" t="n">
        <f aca="false">AK18-Cost_r*G18</f>
        <v>500</v>
      </c>
      <c r="AG18" s="13" t="n">
        <f aca="false">AA18+N18</f>
        <v>620</v>
      </c>
      <c r="AH18" s="13" t="n">
        <f aca="false">AB18+O18</f>
        <v>620</v>
      </c>
      <c r="AI18" s="13" t="n">
        <f aca="false">AC18+P18</f>
        <v>620</v>
      </c>
      <c r="AJ18" s="13" t="n">
        <f aca="false">AD18+Q18</f>
        <v>620</v>
      </c>
      <c r="AK18" s="13" t="n">
        <f aca="false">AE18+R18</f>
        <v>620</v>
      </c>
      <c r="AL18" s="13" t="n">
        <f aca="false">AF18+S18</f>
        <v>570</v>
      </c>
      <c r="AM18" s="12" t="n">
        <f aca="false">SUM(B18:G18)</f>
        <v>1</v>
      </c>
      <c r="AN18" s="12" t="n">
        <f aca="false">IF(AND(MIN(AA18:AF18)&gt;=Floor_q,MIN(AG18:AL18)&gt;=Floor_q,AL18&gt;=Q_end,Cap_now&gt;=Cap_min),1,0)</f>
        <v>1</v>
      </c>
      <c r="AO18" s="13" t="n">
        <f aca="false">AL18-Q_end</f>
        <v>100</v>
      </c>
      <c r="AP18" s="17" t="n">
        <f aca="false">IF(AN18=1,AO18+Credit_M*S18,-1000000000)</f>
        <v>800</v>
      </c>
      <c r="AQ18" s="17" t="n">
        <f aca="false">AP18+SUMPRODUCT(Relaxation!$C$23:$H$23,1-B18:G18)+SUMPRODUCT(Relaxation!$C$24:$H$24,B18:G18)</f>
        <v>951.892370719328</v>
      </c>
      <c r="AR18" s="17" t="n">
        <f aca="false">IF($AN18=1,$AO18+AR$15*$S18,-1000000000)</f>
        <v>100</v>
      </c>
      <c r="AS18" s="17" t="n">
        <f aca="false">IF($AN18=1,$AO18+AS$15*$S18,-1000000000)</f>
        <v>450</v>
      </c>
      <c r="AT18" s="17" t="n">
        <f aca="false">IF($AN18=1,$AO18+AT$15*$S18,-1000000000)</f>
        <v>800</v>
      </c>
      <c r="AU18" s="17" t="n">
        <f aca="false">IF($AN18=1,$AO18+AU$15*$S18,-1000000000)</f>
        <v>1500</v>
      </c>
      <c r="AV18" s="17" t="n">
        <f aca="false">IF($AN18=1,$AO18+AV$15*$S18,-1000000000)</f>
        <v>2900</v>
      </c>
      <c r="AW18" s="17" t="n">
        <f aca="false">IF($AN18=1,$AO18+AW$15*$S18,-1000000000)</f>
        <v>4300</v>
      </c>
      <c r="AX18" s="17" t="n">
        <f aca="false">IF($AN18=1,$AO18+AX$15*$S18,-1000000000)</f>
        <v>3880</v>
      </c>
    </row>
    <row r="19" customFormat="false" ht="15" hidden="false" customHeight="false" outlineLevel="0" collapsed="false">
      <c r="A19" s="12" t="n">
        <v>2</v>
      </c>
      <c r="B19" s="12" t="n">
        <f aca="false">MOD(INT($A19/2^5),2)</f>
        <v>0</v>
      </c>
      <c r="C19" s="12" t="n">
        <f aca="false">MOD(INT($A19/2^4),2)</f>
        <v>0</v>
      </c>
      <c r="D19" s="12" t="n">
        <f aca="false">MOD(INT($A19/2^3),2)</f>
        <v>0</v>
      </c>
      <c r="E19" s="12" t="n">
        <f aca="false">MOD(INT($A19/2^2),2)</f>
        <v>0</v>
      </c>
      <c r="F19" s="12" t="n">
        <f aca="false">MOD(INT($A19/2^1),2)</f>
        <v>1</v>
      </c>
      <c r="G19" s="12" t="n">
        <f aca="false">MOD(INT($A19/2^0),2)</f>
        <v>0</v>
      </c>
      <c r="H19" s="18" t="n">
        <f aca="false">Eff_now+B19*Half_g*(Ceil_e-Eff_now)</f>
        <v>71</v>
      </c>
      <c r="I19" s="18" t="n">
        <f aca="false">H19+C19*Half_g*(Ceil_e-H19)</f>
        <v>71</v>
      </c>
      <c r="J19" s="18" t="n">
        <f aca="false">I19+D19*Half_g*(Ceil_e-I19)</f>
        <v>71</v>
      </c>
      <c r="K19" s="18" t="n">
        <f aca="false">J19+E19*Half_g*(Ceil_e-J19)</f>
        <v>71</v>
      </c>
      <c r="L19" s="18" t="n">
        <f aca="false">K19+F19*Half_g*(Ceil_e-K19)</f>
        <v>78</v>
      </c>
      <c r="M19" s="18" t="n">
        <f aca="false">L19+G19*Half_g*(Ceil_e-L19)</f>
        <v>78</v>
      </c>
      <c r="N19" s="13" t="n">
        <f aca="false">Val_pt*(H19-Eff_now)</f>
        <v>0</v>
      </c>
      <c r="O19" s="13" t="n">
        <f aca="false">Val_pt*(I19-Eff_now)</f>
        <v>0</v>
      </c>
      <c r="P19" s="13" t="n">
        <f aca="false">Val_pt*(J19-Eff_now)</f>
        <v>0</v>
      </c>
      <c r="Q19" s="13" t="n">
        <f aca="false">Val_pt*(K19-Eff_now)</f>
        <v>0</v>
      </c>
      <c r="R19" s="13" t="n">
        <f aca="false">Val_pt*(L19-Eff_now)</f>
        <v>70</v>
      </c>
      <c r="S19" s="13" t="n">
        <f aca="false">Val_pt*(M19-Eff_now)</f>
        <v>70</v>
      </c>
      <c r="T19" s="13" t="n">
        <f aca="false">S_max*(1-2^(-(SUM($B19:B19))))</f>
        <v>0</v>
      </c>
      <c r="U19" s="13" t="n">
        <f aca="false">S_max*(1-2^(-(SUM($B19:C19))))</f>
        <v>0</v>
      </c>
      <c r="V19" s="13" t="n">
        <f aca="false">S_max*(1-2^(-(SUM($B19:D19))))</f>
        <v>0</v>
      </c>
      <c r="W19" s="13" t="n">
        <f aca="false">S_max*(1-2^(-(SUM($B19:E19))))</f>
        <v>0</v>
      </c>
      <c r="X19" s="13" t="n">
        <f aca="false">S_max*(1-2^(-(SUM($B19:F19))))</f>
        <v>70</v>
      </c>
      <c r="Y19" s="13" t="n">
        <f aca="false">S_max*(1-2^(-(SUM($B19:G19))))</f>
        <v>70</v>
      </c>
      <c r="Z19" s="16" t="n">
        <f aca="false">MAX(ABS(N19-T19),ABS(O19-U19),ABS(P19-V19),ABS(Q19-W19),ABS(R19-X19),ABS(S19-Y19))</f>
        <v>0</v>
      </c>
      <c r="AA19" s="13" t="n">
        <f aca="false">Liq_now-Cost_r*B19</f>
        <v>620</v>
      </c>
      <c r="AB19" s="13" t="n">
        <f aca="false">AG19-Cost_r*C19</f>
        <v>620</v>
      </c>
      <c r="AC19" s="13" t="n">
        <f aca="false">AH19-Cost_r*D19</f>
        <v>620</v>
      </c>
      <c r="AD19" s="13" t="n">
        <f aca="false">AI19-Cost_r*E19</f>
        <v>620</v>
      </c>
      <c r="AE19" s="13" t="n">
        <f aca="false">AJ19-Cost_r*F19</f>
        <v>500</v>
      </c>
      <c r="AF19" s="13" t="n">
        <f aca="false">AK19-Cost_r*G19</f>
        <v>570</v>
      </c>
      <c r="AG19" s="13" t="n">
        <f aca="false">AA19+N19</f>
        <v>620</v>
      </c>
      <c r="AH19" s="13" t="n">
        <f aca="false">AB19+O19</f>
        <v>620</v>
      </c>
      <c r="AI19" s="13" t="n">
        <f aca="false">AC19+P19</f>
        <v>620</v>
      </c>
      <c r="AJ19" s="13" t="n">
        <f aca="false">AD19+Q19</f>
        <v>620</v>
      </c>
      <c r="AK19" s="13" t="n">
        <f aca="false">AE19+R19</f>
        <v>570</v>
      </c>
      <c r="AL19" s="13" t="n">
        <f aca="false">AF19+S19</f>
        <v>640</v>
      </c>
      <c r="AM19" s="12" t="n">
        <f aca="false">SUM(B19:G19)</f>
        <v>1</v>
      </c>
      <c r="AN19" s="12" t="n">
        <f aca="false">IF(AND(MIN(AA19:AF19)&gt;=Floor_q,MIN(AG19:AL19)&gt;=Floor_q,AL19&gt;=Q_end,Cap_now&gt;=Cap_min),1,0)</f>
        <v>1</v>
      </c>
      <c r="AO19" s="13" t="n">
        <f aca="false">AL19-Q_end</f>
        <v>170</v>
      </c>
      <c r="AP19" s="17" t="n">
        <f aca="false">IF(AN19=1,AO19+Credit_M*S19,-1000000000)</f>
        <v>870</v>
      </c>
      <c r="AQ19" s="17" t="n">
        <f aca="false">AP19+SUMPRODUCT(Relaxation!$C$23:$H$23,1-B19:G19)+SUMPRODUCT(Relaxation!$C$24:$H$24,B19:G19)</f>
        <v>1012.66160148856</v>
      </c>
      <c r="AR19" s="17" t="n">
        <f aca="false">IF($AN19=1,$AO19+AR$15*$S19,-1000000000)</f>
        <v>170</v>
      </c>
      <c r="AS19" s="17" t="n">
        <f aca="false">IF($AN19=1,$AO19+AS$15*$S19,-1000000000)</f>
        <v>520</v>
      </c>
      <c r="AT19" s="17" t="n">
        <f aca="false">IF($AN19=1,$AO19+AT$15*$S19,-1000000000)</f>
        <v>870</v>
      </c>
      <c r="AU19" s="17" t="n">
        <f aca="false">IF($AN19=1,$AO19+AU$15*$S19,-1000000000)</f>
        <v>1570</v>
      </c>
      <c r="AV19" s="17" t="n">
        <f aca="false">IF($AN19=1,$AO19+AV$15*$S19,-1000000000)</f>
        <v>2970</v>
      </c>
      <c r="AW19" s="17" t="n">
        <f aca="false">IF($AN19=1,$AO19+AW$15*$S19,-1000000000)</f>
        <v>4370</v>
      </c>
      <c r="AX19" s="17" t="n">
        <f aca="false">IF($AN19=1,$AO19+AX$15*$S19,-1000000000)</f>
        <v>3950</v>
      </c>
    </row>
    <row r="20" customFormat="false" ht="15" hidden="false" customHeight="false" outlineLevel="0" collapsed="false">
      <c r="A20" s="12" t="n">
        <v>3</v>
      </c>
      <c r="B20" s="12" t="n">
        <f aca="false">MOD(INT($A20/2^5),2)</f>
        <v>0</v>
      </c>
      <c r="C20" s="12" t="n">
        <f aca="false">MOD(INT($A20/2^4),2)</f>
        <v>0</v>
      </c>
      <c r="D20" s="12" t="n">
        <f aca="false">MOD(INT($A20/2^3),2)</f>
        <v>0</v>
      </c>
      <c r="E20" s="12" t="n">
        <f aca="false">MOD(INT($A20/2^2),2)</f>
        <v>0</v>
      </c>
      <c r="F20" s="12" t="n">
        <f aca="false">MOD(INT($A20/2^1),2)</f>
        <v>1</v>
      </c>
      <c r="G20" s="12" t="n">
        <f aca="false">MOD(INT($A20/2^0),2)</f>
        <v>1</v>
      </c>
      <c r="H20" s="18" t="n">
        <f aca="false">Eff_now+B20*Half_g*(Ceil_e-Eff_now)</f>
        <v>71</v>
      </c>
      <c r="I20" s="18" t="n">
        <f aca="false">H20+C20*Half_g*(Ceil_e-H20)</f>
        <v>71</v>
      </c>
      <c r="J20" s="18" t="n">
        <f aca="false">I20+D20*Half_g*(Ceil_e-I20)</f>
        <v>71</v>
      </c>
      <c r="K20" s="18" t="n">
        <f aca="false">J20+E20*Half_g*(Ceil_e-J20)</f>
        <v>71</v>
      </c>
      <c r="L20" s="18" t="n">
        <f aca="false">K20+F20*Half_g*(Ceil_e-K20)</f>
        <v>78</v>
      </c>
      <c r="M20" s="18" t="n">
        <f aca="false">L20+G20*Half_g*(Ceil_e-L20)</f>
        <v>81.5</v>
      </c>
      <c r="N20" s="13" t="n">
        <f aca="false">Val_pt*(H20-Eff_now)</f>
        <v>0</v>
      </c>
      <c r="O20" s="13" t="n">
        <f aca="false">Val_pt*(I20-Eff_now)</f>
        <v>0</v>
      </c>
      <c r="P20" s="13" t="n">
        <f aca="false">Val_pt*(J20-Eff_now)</f>
        <v>0</v>
      </c>
      <c r="Q20" s="13" t="n">
        <f aca="false">Val_pt*(K20-Eff_now)</f>
        <v>0</v>
      </c>
      <c r="R20" s="13" t="n">
        <f aca="false">Val_pt*(L20-Eff_now)</f>
        <v>70</v>
      </c>
      <c r="S20" s="13" t="n">
        <f aca="false">Val_pt*(M20-Eff_now)</f>
        <v>105</v>
      </c>
      <c r="T20" s="13" t="n">
        <f aca="false">S_max*(1-2^(-(SUM($B20:B20))))</f>
        <v>0</v>
      </c>
      <c r="U20" s="13" t="n">
        <f aca="false">S_max*(1-2^(-(SUM($B20:C20))))</f>
        <v>0</v>
      </c>
      <c r="V20" s="13" t="n">
        <f aca="false">S_max*(1-2^(-(SUM($B20:D20))))</f>
        <v>0</v>
      </c>
      <c r="W20" s="13" t="n">
        <f aca="false">S_max*(1-2^(-(SUM($B20:E20))))</f>
        <v>0</v>
      </c>
      <c r="X20" s="13" t="n">
        <f aca="false">S_max*(1-2^(-(SUM($B20:F20))))</f>
        <v>70</v>
      </c>
      <c r="Y20" s="13" t="n">
        <f aca="false">S_max*(1-2^(-(SUM($B20:G20))))</f>
        <v>105</v>
      </c>
      <c r="Z20" s="16" t="n">
        <f aca="false">MAX(ABS(N20-T20),ABS(O20-U20),ABS(P20-V20),ABS(Q20-W20),ABS(R20-X20),ABS(S20-Y20))</f>
        <v>0</v>
      </c>
      <c r="AA20" s="13" t="n">
        <f aca="false">Liq_now-Cost_r*B20</f>
        <v>620</v>
      </c>
      <c r="AB20" s="13" t="n">
        <f aca="false">AG20-Cost_r*C20</f>
        <v>620</v>
      </c>
      <c r="AC20" s="13" t="n">
        <f aca="false">AH20-Cost_r*D20</f>
        <v>620</v>
      </c>
      <c r="AD20" s="13" t="n">
        <f aca="false">AI20-Cost_r*E20</f>
        <v>620</v>
      </c>
      <c r="AE20" s="13" t="n">
        <f aca="false">AJ20-Cost_r*F20</f>
        <v>500</v>
      </c>
      <c r="AF20" s="13" t="n">
        <f aca="false">AK20-Cost_r*G20</f>
        <v>450</v>
      </c>
      <c r="AG20" s="13" t="n">
        <f aca="false">AA20+N20</f>
        <v>620</v>
      </c>
      <c r="AH20" s="13" t="n">
        <f aca="false">AB20+O20</f>
        <v>620</v>
      </c>
      <c r="AI20" s="13" t="n">
        <f aca="false">AC20+P20</f>
        <v>620</v>
      </c>
      <c r="AJ20" s="13" t="n">
        <f aca="false">AD20+Q20</f>
        <v>620</v>
      </c>
      <c r="AK20" s="13" t="n">
        <f aca="false">AE20+R20</f>
        <v>570</v>
      </c>
      <c r="AL20" s="13" t="n">
        <f aca="false">AF20+S20</f>
        <v>555</v>
      </c>
      <c r="AM20" s="12" t="n">
        <f aca="false">SUM(B20:G20)</f>
        <v>2</v>
      </c>
      <c r="AN20" s="12" t="n">
        <f aca="false">IF(AND(MIN(AA20:AF20)&gt;=Floor_q,MIN(AG20:AL20)&gt;=Floor_q,AL20&gt;=Q_end,Cap_now&gt;=Cap_min),1,0)</f>
        <v>1</v>
      </c>
      <c r="AO20" s="13" t="n">
        <f aca="false">AL20-Q_end</f>
        <v>85</v>
      </c>
      <c r="AP20" s="17" t="n">
        <f aca="false">IF(AN20=1,AO20+Credit_M*S20,-1000000000)</f>
        <v>1135</v>
      </c>
      <c r="AQ20" s="17" t="n">
        <f aca="false">AP20+SUMPRODUCT(Relaxation!$C$23:$H$23,1-B20:G20)+SUMPRODUCT(Relaxation!$C$24:$H$24,B20:G20)</f>
        <v>1296.1231399501</v>
      </c>
      <c r="AR20" s="17" t="n">
        <f aca="false">IF($AN20=1,$AO20+AR$15*$S20,-1000000000)</f>
        <v>85</v>
      </c>
      <c r="AS20" s="17" t="n">
        <f aca="false">IF($AN20=1,$AO20+AS$15*$S20,-1000000000)</f>
        <v>610</v>
      </c>
      <c r="AT20" s="17" t="n">
        <f aca="false">IF($AN20=1,$AO20+AT$15*$S20,-1000000000)</f>
        <v>1135</v>
      </c>
      <c r="AU20" s="17" t="n">
        <f aca="false">IF($AN20=1,$AO20+AU$15*$S20,-1000000000)</f>
        <v>2185</v>
      </c>
      <c r="AV20" s="17" t="n">
        <f aca="false">IF($AN20=1,$AO20+AV$15*$S20,-1000000000)</f>
        <v>4285</v>
      </c>
      <c r="AW20" s="17" t="n">
        <f aca="false">IF($AN20=1,$AO20+AW$15*$S20,-1000000000)</f>
        <v>6385</v>
      </c>
      <c r="AX20" s="17" t="n">
        <f aca="false">IF($AN20=1,$AO20+AX$15*$S20,-1000000000)</f>
        <v>5755</v>
      </c>
    </row>
    <row r="21" customFormat="false" ht="15" hidden="false" customHeight="false" outlineLevel="0" collapsed="false">
      <c r="A21" s="12" t="n">
        <v>4</v>
      </c>
      <c r="B21" s="12" t="n">
        <f aca="false">MOD(INT($A21/2^5),2)</f>
        <v>0</v>
      </c>
      <c r="C21" s="12" t="n">
        <f aca="false">MOD(INT($A21/2^4),2)</f>
        <v>0</v>
      </c>
      <c r="D21" s="12" t="n">
        <f aca="false">MOD(INT($A21/2^3),2)</f>
        <v>0</v>
      </c>
      <c r="E21" s="12" t="n">
        <f aca="false">MOD(INT($A21/2^2),2)</f>
        <v>1</v>
      </c>
      <c r="F21" s="12" t="n">
        <f aca="false">MOD(INT($A21/2^1),2)</f>
        <v>0</v>
      </c>
      <c r="G21" s="12" t="n">
        <f aca="false">MOD(INT($A21/2^0),2)</f>
        <v>0</v>
      </c>
      <c r="H21" s="18" t="n">
        <f aca="false">Eff_now+B21*Half_g*(Ceil_e-Eff_now)</f>
        <v>71</v>
      </c>
      <c r="I21" s="18" t="n">
        <f aca="false">H21+C21*Half_g*(Ceil_e-H21)</f>
        <v>71</v>
      </c>
      <c r="J21" s="18" t="n">
        <f aca="false">I21+D21*Half_g*(Ceil_e-I21)</f>
        <v>71</v>
      </c>
      <c r="K21" s="18" t="n">
        <f aca="false">J21+E21*Half_g*(Ceil_e-J21)</f>
        <v>78</v>
      </c>
      <c r="L21" s="18" t="n">
        <f aca="false">K21+F21*Half_g*(Ceil_e-K21)</f>
        <v>78</v>
      </c>
      <c r="M21" s="18" t="n">
        <f aca="false">L21+G21*Half_g*(Ceil_e-L21)</f>
        <v>78</v>
      </c>
      <c r="N21" s="13" t="n">
        <f aca="false">Val_pt*(H21-Eff_now)</f>
        <v>0</v>
      </c>
      <c r="O21" s="13" t="n">
        <f aca="false">Val_pt*(I21-Eff_now)</f>
        <v>0</v>
      </c>
      <c r="P21" s="13" t="n">
        <f aca="false">Val_pt*(J21-Eff_now)</f>
        <v>0</v>
      </c>
      <c r="Q21" s="13" t="n">
        <f aca="false">Val_pt*(K21-Eff_now)</f>
        <v>70</v>
      </c>
      <c r="R21" s="13" t="n">
        <f aca="false">Val_pt*(L21-Eff_now)</f>
        <v>70</v>
      </c>
      <c r="S21" s="13" t="n">
        <f aca="false">Val_pt*(M21-Eff_now)</f>
        <v>70</v>
      </c>
      <c r="T21" s="13" t="n">
        <f aca="false">S_max*(1-2^(-(SUM($B21:B21))))</f>
        <v>0</v>
      </c>
      <c r="U21" s="13" t="n">
        <f aca="false">S_max*(1-2^(-(SUM($B21:C21))))</f>
        <v>0</v>
      </c>
      <c r="V21" s="13" t="n">
        <f aca="false">S_max*(1-2^(-(SUM($B21:D21))))</f>
        <v>0</v>
      </c>
      <c r="W21" s="13" t="n">
        <f aca="false">S_max*(1-2^(-(SUM($B21:E21))))</f>
        <v>70</v>
      </c>
      <c r="X21" s="13" t="n">
        <f aca="false">S_max*(1-2^(-(SUM($B21:F21))))</f>
        <v>70</v>
      </c>
      <c r="Y21" s="13" t="n">
        <f aca="false">S_max*(1-2^(-(SUM($B21:G21))))</f>
        <v>70</v>
      </c>
      <c r="Z21" s="16" t="n">
        <f aca="false">MAX(ABS(N21-T21),ABS(O21-U21),ABS(P21-V21),ABS(Q21-W21),ABS(R21-X21),ABS(S21-Y21))</f>
        <v>0</v>
      </c>
      <c r="AA21" s="13" t="n">
        <f aca="false">Liq_now-Cost_r*B21</f>
        <v>620</v>
      </c>
      <c r="AB21" s="13" t="n">
        <f aca="false">AG21-Cost_r*C21</f>
        <v>620</v>
      </c>
      <c r="AC21" s="13" t="n">
        <f aca="false">AH21-Cost_r*D21</f>
        <v>620</v>
      </c>
      <c r="AD21" s="13" t="n">
        <f aca="false">AI21-Cost_r*E21</f>
        <v>500</v>
      </c>
      <c r="AE21" s="13" t="n">
        <f aca="false">AJ21-Cost_r*F21</f>
        <v>570</v>
      </c>
      <c r="AF21" s="13" t="n">
        <f aca="false">AK21-Cost_r*G21</f>
        <v>640</v>
      </c>
      <c r="AG21" s="13" t="n">
        <f aca="false">AA21+N21</f>
        <v>620</v>
      </c>
      <c r="AH21" s="13" t="n">
        <f aca="false">AB21+O21</f>
        <v>620</v>
      </c>
      <c r="AI21" s="13" t="n">
        <f aca="false">AC21+P21</f>
        <v>620</v>
      </c>
      <c r="AJ21" s="13" t="n">
        <f aca="false">AD21+Q21</f>
        <v>570</v>
      </c>
      <c r="AK21" s="13" t="n">
        <f aca="false">AE21+R21</f>
        <v>640</v>
      </c>
      <c r="AL21" s="13" t="n">
        <f aca="false">AF21+S21</f>
        <v>710</v>
      </c>
      <c r="AM21" s="12" t="n">
        <f aca="false">SUM(B21:G21)</f>
        <v>1</v>
      </c>
      <c r="AN21" s="12" t="n">
        <f aca="false">IF(AND(MIN(AA21:AF21)&gt;=Floor_q,MIN(AG21:AL21)&gt;=Floor_q,AL21&gt;=Q_end,Cap_now&gt;=Cap_min),1,0)</f>
        <v>1</v>
      </c>
      <c r="AO21" s="13" t="n">
        <f aca="false">AL21-Q_end</f>
        <v>240</v>
      </c>
      <c r="AP21" s="17" t="n">
        <f aca="false">IF(AN21=1,AO21+Credit_M*S21,-1000000000)</f>
        <v>940</v>
      </c>
      <c r="AQ21" s="17" t="n">
        <f aca="false">AP21+SUMPRODUCT(Relaxation!$C$23:$H$23,1-B21:G21)+SUMPRODUCT(Relaxation!$C$24:$H$24,B21:G21)</f>
        <v>1073.43083225779</v>
      </c>
      <c r="AR21" s="17" t="n">
        <f aca="false">IF($AN21=1,$AO21+AR$15*$S21,-1000000000)</f>
        <v>240</v>
      </c>
      <c r="AS21" s="17" t="n">
        <f aca="false">IF($AN21=1,$AO21+AS$15*$S21,-1000000000)</f>
        <v>590</v>
      </c>
      <c r="AT21" s="17" t="n">
        <f aca="false">IF($AN21=1,$AO21+AT$15*$S21,-1000000000)</f>
        <v>940</v>
      </c>
      <c r="AU21" s="17" t="n">
        <f aca="false">IF($AN21=1,$AO21+AU$15*$S21,-1000000000)</f>
        <v>1640</v>
      </c>
      <c r="AV21" s="17" t="n">
        <f aca="false">IF($AN21=1,$AO21+AV$15*$S21,-1000000000)</f>
        <v>3040</v>
      </c>
      <c r="AW21" s="17" t="n">
        <f aca="false">IF($AN21=1,$AO21+AW$15*$S21,-1000000000)</f>
        <v>4440</v>
      </c>
      <c r="AX21" s="17" t="n">
        <f aca="false">IF($AN21=1,$AO21+AX$15*$S21,-1000000000)</f>
        <v>4020</v>
      </c>
    </row>
    <row r="22" customFormat="false" ht="15" hidden="false" customHeight="false" outlineLevel="0" collapsed="false">
      <c r="A22" s="12" t="n">
        <v>5</v>
      </c>
      <c r="B22" s="12" t="n">
        <f aca="false">MOD(INT($A22/2^5),2)</f>
        <v>0</v>
      </c>
      <c r="C22" s="12" t="n">
        <f aca="false">MOD(INT($A22/2^4),2)</f>
        <v>0</v>
      </c>
      <c r="D22" s="12" t="n">
        <f aca="false">MOD(INT($A22/2^3),2)</f>
        <v>0</v>
      </c>
      <c r="E22" s="12" t="n">
        <f aca="false">MOD(INT($A22/2^2),2)</f>
        <v>1</v>
      </c>
      <c r="F22" s="12" t="n">
        <f aca="false">MOD(INT($A22/2^1),2)</f>
        <v>0</v>
      </c>
      <c r="G22" s="12" t="n">
        <f aca="false">MOD(INT($A22/2^0),2)</f>
        <v>1</v>
      </c>
      <c r="H22" s="18" t="n">
        <f aca="false">Eff_now+B22*Half_g*(Ceil_e-Eff_now)</f>
        <v>71</v>
      </c>
      <c r="I22" s="18" t="n">
        <f aca="false">H22+C22*Half_g*(Ceil_e-H22)</f>
        <v>71</v>
      </c>
      <c r="J22" s="18" t="n">
        <f aca="false">I22+D22*Half_g*(Ceil_e-I22)</f>
        <v>71</v>
      </c>
      <c r="K22" s="18" t="n">
        <f aca="false">J22+E22*Half_g*(Ceil_e-J22)</f>
        <v>78</v>
      </c>
      <c r="L22" s="18" t="n">
        <f aca="false">K22+F22*Half_g*(Ceil_e-K22)</f>
        <v>78</v>
      </c>
      <c r="M22" s="18" t="n">
        <f aca="false">L22+G22*Half_g*(Ceil_e-L22)</f>
        <v>81.5</v>
      </c>
      <c r="N22" s="13" t="n">
        <f aca="false">Val_pt*(H22-Eff_now)</f>
        <v>0</v>
      </c>
      <c r="O22" s="13" t="n">
        <f aca="false">Val_pt*(I22-Eff_now)</f>
        <v>0</v>
      </c>
      <c r="P22" s="13" t="n">
        <f aca="false">Val_pt*(J22-Eff_now)</f>
        <v>0</v>
      </c>
      <c r="Q22" s="13" t="n">
        <f aca="false">Val_pt*(K22-Eff_now)</f>
        <v>70</v>
      </c>
      <c r="R22" s="13" t="n">
        <f aca="false">Val_pt*(L22-Eff_now)</f>
        <v>70</v>
      </c>
      <c r="S22" s="13" t="n">
        <f aca="false">Val_pt*(M22-Eff_now)</f>
        <v>105</v>
      </c>
      <c r="T22" s="13" t="n">
        <f aca="false">S_max*(1-2^(-(SUM($B22:B22))))</f>
        <v>0</v>
      </c>
      <c r="U22" s="13" t="n">
        <f aca="false">S_max*(1-2^(-(SUM($B22:C22))))</f>
        <v>0</v>
      </c>
      <c r="V22" s="13" t="n">
        <f aca="false">S_max*(1-2^(-(SUM($B22:D22))))</f>
        <v>0</v>
      </c>
      <c r="W22" s="13" t="n">
        <f aca="false">S_max*(1-2^(-(SUM($B22:E22))))</f>
        <v>70</v>
      </c>
      <c r="X22" s="13" t="n">
        <f aca="false">S_max*(1-2^(-(SUM($B22:F22))))</f>
        <v>70</v>
      </c>
      <c r="Y22" s="13" t="n">
        <f aca="false">S_max*(1-2^(-(SUM($B22:G22))))</f>
        <v>105</v>
      </c>
      <c r="Z22" s="16" t="n">
        <f aca="false">MAX(ABS(N22-T22),ABS(O22-U22),ABS(P22-V22),ABS(Q22-W22),ABS(R22-X22),ABS(S22-Y22))</f>
        <v>0</v>
      </c>
      <c r="AA22" s="13" t="n">
        <f aca="false">Liq_now-Cost_r*B22</f>
        <v>620</v>
      </c>
      <c r="AB22" s="13" t="n">
        <f aca="false">AG22-Cost_r*C22</f>
        <v>620</v>
      </c>
      <c r="AC22" s="13" t="n">
        <f aca="false">AH22-Cost_r*D22</f>
        <v>620</v>
      </c>
      <c r="AD22" s="13" t="n">
        <f aca="false">AI22-Cost_r*E22</f>
        <v>500</v>
      </c>
      <c r="AE22" s="13" t="n">
        <f aca="false">AJ22-Cost_r*F22</f>
        <v>570</v>
      </c>
      <c r="AF22" s="13" t="n">
        <f aca="false">AK22-Cost_r*G22</f>
        <v>520</v>
      </c>
      <c r="AG22" s="13" t="n">
        <f aca="false">AA22+N22</f>
        <v>620</v>
      </c>
      <c r="AH22" s="13" t="n">
        <f aca="false">AB22+O22</f>
        <v>620</v>
      </c>
      <c r="AI22" s="13" t="n">
        <f aca="false">AC22+P22</f>
        <v>620</v>
      </c>
      <c r="AJ22" s="13" t="n">
        <f aca="false">AD22+Q22</f>
        <v>570</v>
      </c>
      <c r="AK22" s="13" t="n">
        <f aca="false">AE22+R22</f>
        <v>640</v>
      </c>
      <c r="AL22" s="13" t="n">
        <f aca="false">AF22+S22</f>
        <v>625</v>
      </c>
      <c r="AM22" s="12" t="n">
        <f aca="false">SUM(B22:G22)</f>
        <v>2</v>
      </c>
      <c r="AN22" s="12" t="n">
        <f aca="false">IF(AND(MIN(AA22:AF22)&gt;=Floor_q,MIN(AG22:AL22)&gt;=Floor_q,AL22&gt;=Q_end,Cap_now&gt;=Cap_min),1,0)</f>
        <v>1</v>
      </c>
      <c r="AO22" s="13" t="n">
        <f aca="false">AL22-Q_end</f>
        <v>155</v>
      </c>
      <c r="AP22" s="17" t="n">
        <f aca="false">IF(AN22=1,AO22+Credit_M*S22,-1000000000)</f>
        <v>1205</v>
      </c>
      <c r="AQ22" s="17" t="n">
        <f aca="false">AP22+SUMPRODUCT(Relaxation!$C$23:$H$23,1-B22:G22)+SUMPRODUCT(Relaxation!$C$24:$H$24,B22:G22)</f>
        <v>1356.89237071933</v>
      </c>
      <c r="AR22" s="17" t="n">
        <f aca="false">IF($AN22=1,$AO22+AR$15*$S22,-1000000000)</f>
        <v>155</v>
      </c>
      <c r="AS22" s="17" t="n">
        <f aca="false">IF($AN22=1,$AO22+AS$15*$S22,-1000000000)</f>
        <v>680</v>
      </c>
      <c r="AT22" s="17" t="n">
        <f aca="false">IF($AN22=1,$AO22+AT$15*$S22,-1000000000)</f>
        <v>1205</v>
      </c>
      <c r="AU22" s="17" t="n">
        <f aca="false">IF($AN22=1,$AO22+AU$15*$S22,-1000000000)</f>
        <v>2255</v>
      </c>
      <c r="AV22" s="17" t="n">
        <f aca="false">IF($AN22=1,$AO22+AV$15*$S22,-1000000000)</f>
        <v>4355</v>
      </c>
      <c r="AW22" s="17" t="n">
        <f aca="false">IF($AN22=1,$AO22+AW$15*$S22,-1000000000)</f>
        <v>6455</v>
      </c>
      <c r="AX22" s="17" t="n">
        <f aca="false">IF($AN22=1,$AO22+AX$15*$S22,-1000000000)</f>
        <v>5825</v>
      </c>
    </row>
    <row r="23" customFormat="false" ht="15" hidden="false" customHeight="false" outlineLevel="0" collapsed="false">
      <c r="A23" s="12" t="n">
        <v>6</v>
      </c>
      <c r="B23" s="12" t="n">
        <f aca="false">MOD(INT($A23/2^5),2)</f>
        <v>0</v>
      </c>
      <c r="C23" s="12" t="n">
        <f aca="false">MOD(INT($A23/2^4),2)</f>
        <v>0</v>
      </c>
      <c r="D23" s="12" t="n">
        <f aca="false">MOD(INT($A23/2^3),2)</f>
        <v>0</v>
      </c>
      <c r="E23" s="12" t="n">
        <f aca="false">MOD(INT($A23/2^2),2)</f>
        <v>1</v>
      </c>
      <c r="F23" s="12" t="n">
        <f aca="false">MOD(INT($A23/2^1),2)</f>
        <v>1</v>
      </c>
      <c r="G23" s="12" t="n">
        <f aca="false">MOD(INT($A23/2^0),2)</f>
        <v>0</v>
      </c>
      <c r="H23" s="18" t="n">
        <f aca="false">Eff_now+B23*Half_g*(Ceil_e-Eff_now)</f>
        <v>71</v>
      </c>
      <c r="I23" s="18" t="n">
        <f aca="false">H23+C23*Half_g*(Ceil_e-H23)</f>
        <v>71</v>
      </c>
      <c r="J23" s="18" t="n">
        <f aca="false">I23+D23*Half_g*(Ceil_e-I23)</f>
        <v>71</v>
      </c>
      <c r="K23" s="18" t="n">
        <f aca="false">J23+E23*Half_g*(Ceil_e-J23)</f>
        <v>78</v>
      </c>
      <c r="L23" s="18" t="n">
        <f aca="false">K23+F23*Half_g*(Ceil_e-K23)</f>
        <v>81.5</v>
      </c>
      <c r="M23" s="18" t="n">
        <f aca="false">L23+G23*Half_g*(Ceil_e-L23)</f>
        <v>81.5</v>
      </c>
      <c r="N23" s="13" t="n">
        <f aca="false">Val_pt*(H23-Eff_now)</f>
        <v>0</v>
      </c>
      <c r="O23" s="13" t="n">
        <f aca="false">Val_pt*(I23-Eff_now)</f>
        <v>0</v>
      </c>
      <c r="P23" s="13" t="n">
        <f aca="false">Val_pt*(J23-Eff_now)</f>
        <v>0</v>
      </c>
      <c r="Q23" s="13" t="n">
        <f aca="false">Val_pt*(K23-Eff_now)</f>
        <v>70</v>
      </c>
      <c r="R23" s="13" t="n">
        <f aca="false">Val_pt*(L23-Eff_now)</f>
        <v>105</v>
      </c>
      <c r="S23" s="13" t="n">
        <f aca="false">Val_pt*(M23-Eff_now)</f>
        <v>105</v>
      </c>
      <c r="T23" s="13" t="n">
        <f aca="false">S_max*(1-2^(-(SUM($B23:B23))))</f>
        <v>0</v>
      </c>
      <c r="U23" s="13" t="n">
        <f aca="false">S_max*(1-2^(-(SUM($B23:C23))))</f>
        <v>0</v>
      </c>
      <c r="V23" s="13" t="n">
        <f aca="false">S_max*(1-2^(-(SUM($B23:D23))))</f>
        <v>0</v>
      </c>
      <c r="W23" s="13" t="n">
        <f aca="false">S_max*(1-2^(-(SUM($B23:E23))))</f>
        <v>70</v>
      </c>
      <c r="X23" s="13" t="n">
        <f aca="false">S_max*(1-2^(-(SUM($B23:F23))))</f>
        <v>105</v>
      </c>
      <c r="Y23" s="13" t="n">
        <f aca="false">S_max*(1-2^(-(SUM($B23:G23))))</f>
        <v>105</v>
      </c>
      <c r="Z23" s="16" t="n">
        <f aca="false">MAX(ABS(N23-T23),ABS(O23-U23),ABS(P23-V23),ABS(Q23-W23),ABS(R23-X23),ABS(S23-Y23))</f>
        <v>0</v>
      </c>
      <c r="AA23" s="13" t="n">
        <f aca="false">Liq_now-Cost_r*B23</f>
        <v>620</v>
      </c>
      <c r="AB23" s="13" t="n">
        <f aca="false">AG23-Cost_r*C23</f>
        <v>620</v>
      </c>
      <c r="AC23" s="13" t="n">
        <f aca="false">AH23-Cost_r*D23</f>
        <v>620</v>
      </c>
      <c r="AD23" s="13" t="n">
        <f aca="false">AI23-Cost_r*E23</f>
        <v>500</v>
      </c>
      <c r="AE23" s="13" t="n">
        <f aca="false">AJ23-Cost_r*F23</f>
        <v>450</v>
      </c>
      <c r="AF23" s="13" t="n">
        <f aca="false">AK23-Cost_r*G23</f>
        <v>555</v>
      </c>
      <c r="AG23" s="13" t="n">
        <f aca="false">AA23+N23</f>
        <v>620</v>
      </c>
      <c r="AH23" s="13" t="n">
        <f aca="false">AB23+O23</f>
        <v>620</v>
      </c>
      <c r="AI23" s="13" t="n">
        <f aca="false">AC23+P23</f>
        <v>620</v>
      </c>
      <c r="AJ23" s="13" t="n">
        <f aca="false">AD23+Q23</f>
        <v>570</v>
      </c>
      <c r="AK23" s="13" t="n">
        <f aca="false">AE23+R23</f>
        <v>555</v>
      </c>
      <c r="AL23" s="13" t="n">
        <f aca="false">AF23+S23</f>
        <v>660</v>
      </c>
      <c r="AM23" s="12" t="n">
        <f aca="false">SUM(B23:G23)</f>
        <v>2</v>
      </c>
      <c r="AN23" s="12" t="n">
        <f aca="false">IF(AND(MIN(AA23:AF23)&gt;=Floor_q,MIN(AG23:AL23)&gt;=Floor_q,AL23&gt;=Q_end,Cap_now&gt;=Cap_min),1,0)</f>
        <v>1</v>
      </c>
      <c r="AO23" s="13" t="n">
        <f aca="false">AL23-Q_end</f>
        <v>190</v>
      </c>
      <c r="AP23" s="17" t="n">
        <f aca="false">IF(AN23=1,AO23+Credit_M*S23,-1000000000)</f>
        <v>1240</v>
      </c>
      <c r="AQ23" s="17" t="n">
        <f aca="false">AP23+SUMPRODUCT(Relaxation!$C$23:$H$23,1-B23:G23)+SUMPRODUCT(Relaxation!$C$24:$H$24,B23:G23)</f>
        <v>1382.66160148856</v>
      </c>
      <c r="AR23" s="17" t="n">
        <f aca="false">IF($AN23=1,$AO23+AR$15*$S23,-1000000000)</f>
        <v>190</v>
      </c>
      <c r="AS23" s="17" t="n">
        <f aca="false">IF($AN23=1,$AO23+AS$15*$S23,-1000000000)</f>
        <v>715</v>
      </c>
      <c r="AT23" s="17" t="n">
        <f aca="false">IF($AN23=1,$AO23+AT$15*$S23,-1000000000)</f>
        <v>1240</v>
      </c>
      <c r="AU23" s="17" t="n">
        <f aca="false">IF($AN23=1,$AO23+AU$15*$S23,-1000000000)</f>
        <v>2290</v>
      </c>
      <c r="AV23" s="17" t="n">
        <f aca="false">IF($AN23=1,$AO23+AV$15*$S23,-1000000000)</f>
        <v>4390</v>
      </c>
      <c r="AW23" s="17" t="n">
        <f aca="false">IF($AN23=1,$AO23+AW$15*$S23,-1000000000)</f>
        <v>6490</v>
      </c>
      <c r="AX23" s="17" t="n">
        <f aca="false">IF($AN23=1,$AO23+AX$15*$S23,-1000000000)</f>
        <v>5860</v>
      </c>
    </row>
    <row r="24" customFormat="false" ht="15" hidden="false" customHeight="false" outlineLevel="0" collapsed="false">
      <c r="A24" s="12" t="n">
        <v>7</v>
      </c>
      <c r="B24" s="12" t="n">
        <f aca="false">MOD(INT($A24/2^5),2)</f>
        <v>0</v>
      </c>
      <c r="C24" s="12" t="n">
        <f aca="false">MOD(INT($A24/2^4),2)</f>
        <v>0</v>
      </c>
      <c r="D24" s="12" t="n">
        <f aca="false">MOD(INT($A24/2^3),2)</f>
        <v>0</v>
      </c>
      <c r="E24" s="12" t="n">
        <f aca="false">MOD(INT($A24/2^2),2)</f>
        <v>1</v>
      </c>
      <c r="F24" s="12" t="n">
        <f aca="false">MOD(INT($A24/2^1),2)</f>
        <v>1</v>
      </c>
      <c r="G24" s="12" t="n">
        <f aca="false">MOD(INT($A24/2^0),2)</f>
        <v>1</v>
      </c>
      <c r="H24" s="18" t="n">
        <f aca="false">Eff_now+B24*Half_g*(Ceil_e-Eff_now)</f>
        <v>71</v>
      </c>
      <c r="I24" s="18" t="n">
        <f aca="false">H24+C24*Half_g*(Ceil_e-H24)</f>
        <v>71</v>
      </c>
      <c r="J24" s="18" t="n">
        <f aca="false">I24+D24*Half_g*(Ceil_e-I24)</f>
        <v>71</v>
      </c>
      <c r="K24" s="18" t="n">
        <f aca="false">J24+E24*Half_g*(Ceil_e-J24)</f>
        <v>78</v>
      </c>
      <c r="L24" s="18" t="n">
        <f aca="false">K24+F24*Half_g*(Ceil_e-K24)</f>
        <v>81.5</v>
      </c>
      <c r="M24" s="18" t="n">
        <f aca="false">L24+G24*Half_g*(Ceil_e-L24)</f>
        <v>83.25</v>
      </c>
      <c r="N24" s="13" t="n">
        <f aca="false">Val_pt*(H24-Eff_now)</f>
        <v>0</v>
      </c>
      <c r="O24" s="13" t="n">
        <f aca="false">Val_pt*(I24-Eff_now)</f>
        <v>0</v>
      </c>
      <c r="P24" s="13" t="n">
        <f aca="false">Val_pt*(J24-Eff_now)</f>
        <v>0</v>
      </c>
      <c r="Q24" s="13" t="n">
        <f aca="false">Val_pt*(K24-Eff_now)</f>
        <v>70</v>
      </c>
      <c r="R24" s="13" t="n">
        <f aca="false">Val_pt*(L24-Eff_now)</f>
        <v>105</v>
      </c>
      <c r="S24" s="13" t="n">
        <f aca="false">Val_pt*(M24-Eff_now)</f>
        <v>122.5</v>
      </c>
      <c r="T24" s="13" t="n">
        <f aca="false">S_max*(1-2^(-(SUM($B24:B24))))</f>
        <v>0</v>
      </c>
      <c r="U24" s="13" t="n">
        <f aca="false">S_max*(1-2^(-(SUM($B24:C24))))</f>
        <v>0</v>
      </c>
      <c r="V24" s="13" t="n">
        <f aca="false">S_max*(1-2^(-(SUM($B24:D24))))</f>
        <v>0</v>
      </c>
      <c r="W24" s="13" t="n">
        <f aca="false">S_max*(1-2^(-(SUM($B24:E24))))</f>
        <v>70</v>
      </c>
      <c r="X24" s="13" t="n">
        <f aca="false">S_max*(1-2^(-(SUM($B24:F24))))</f>
        <v>105</v>
      </c>
      <c r="Y24" s="13" t="n">
        <f aca="false">S_max*(1-2^(-(SUM($B24:G24))))</f>
        <v>122.5</v>
      </c>
      <c r="Z24" s="16" t="n">
        <f aca="false">MAX(ABS(N24-T24),ABS(O24-U24),ABS(P24-V24),ABS(Q24-W24),ABS(R24-X24),ABS(S24-Y24))</f>
        <v>0</v>
      </c>
      <c r="AA24" s="13" t="n">
        <f aca="false">Liq_now-Cost_r*B24</f>
        <v>620</v>
      </c>
      <c r="AB24" s="13" t="n">
        <f aca="false">AG24-Cost_r*C24</f>
        <v>620</v>
      </c>
      <c r="AC24" s="13" t="n">
        <f aca="false">AH24-Cost_r*D24</f>
        <v>620</v>
      </c>
      <c r="AD24" s="13" t="n">
        <f aca="false">AI24-Cost_r*E24</f>
        <v>500</v>
      </c>
      <c r="AE24" s="13" t="n">
        <f aca="false">AJ24-Cost_r*F24</f>
        <v>450</v>
      </c>
      <c r="AF24" s="13" t="n">
        <f aca="false">AK24-Cost_r*G24</f>
        <v>435</v>
      </c>
      <c r="AG24" s="13" t="n">
        <f aca="false">AA24+N24</f>
        <v>620</v>
      </c>
      <c r="AH24" s="13" t="n">
        <f aca="false">AB24+O24</f>
        <v>620</v>
      </c>
      <c r="AI24" s="13" t="n">
        <f aca="false">AC24+P24</f>
        <v>620</v>
      </c>
      <c r="AJ24" s="13" t="n">
        <f aca="false">AD24+Q24</f>
        <v>570</v>
      </c>
      <c r="AK24" s="13" t="n">
        <f aca="false">AE24+R24</f>
        <v>555</v>
      </c>
      <c r="AL24" s="13" t="n">
        <f aca="false">AF24+S24</f>
        <v>557.5</v>
      </c>
      <c r="AM24" s="12" t="n">
        <f aca="false">SUM(B24:G24)</f>
        <v>3</v>
      </c>
      <c r="AN24" s="12" t="n">
        <f aca="false">IF(AND(MIN(AA24:AF24)&gt;=Floor_q,MIN(AG24:AL24)&gt;=Floor_q,AL24&gt;=Q_end,Cap_now&gt;=Cap_min),1,0)</f>
        <v>1</v>
      </c>
      <c r="AO24" s="13" t="n">
        <f aca="false">AL24-Q_end</f>
        <v>87.5</v>
      </c>
      <c r="AP24" s="17" t="n">
        <f aca="false">IF(AN24=1,AO24+Credit_M*S24,-1000000000)</f>
        <v>1312.5</v>
      </c>
      <c r="AQ24" s="17" t="n">
        <f aca="false">AP24+SUMPRODUCT(Relaxation!$C$23:$H$23,1-B24:G24)+SUMPRODUCT(Relaxation!$C$24:$H$24,B24:G24)</f>
        <v>1473.6231399501</v>
      </c>
      <c r="AR24" s="17" t="n">
        <f aca="false">IF($AN24=1,$AO24+AR$15*$S24,-1000000000)</f>
        <v>87.5</v>
      </c>
      <c r="AS24" s="17" t="n">
        <f aca="false">IF($AN24=1,$AO24+AS$15*$S24,-1000000000)</f>
        <v>700</v>
      </c>
      <c r="AT24" s="17" t="n">
        <f aca="false">IF($AN24=1,$AO24+AT$15*$S24,-1000000000)</f>
        <v>1312.5</v>
      </c>
      <c r="AU24" s="17" t="n">
        <f aca="false">IF($AN24=1,$AO24+AU$15*$S24,-1000000000)</f>
        <v>2537.5</v>
      </c>
      <c r="AV24" s="17" t="n">
        <f aca="false">IF($AN24=1,$AO24+AV$15*$S24,-1000000000)</f>
        <v>4987.5</v>
      </c>
      <c r="AW24" s="17" t="n">
        <f aca="false">IF($AN24=1,$AO24+AW$15*$S24,-1000000000)</f>
        <v>7437.5</v>
      </c>
      <c r="AX24" s="17" t="n">
        <f aca="false">IF($AN24=1,$AO24+AX$15*$S24,-1000000000)</f>
        <v>6702.5</v>
      </c>
    </row>
    <row r="25" customFormat="false" ht="15" hidden="false" customHeight="false" outlineLevel="0" collapsed="false">
      <c r="A25" s="12" t="n">
        <v>8</v>
      </c>
      <c r="B25" s="12" t="n">
        <f aca="false">MOD(INT($A25/2^5),2)</f>
        <v>0</v>
      </c>
      <c r="C25" s="12" t="n">
        <f aca="false">MOD(INT($A25/2^4),2)</f>
        <v>0</v>
      </c>
      <c r="D25" s="12" t="n">
        <f aca="false">MOD(INT($A25/2^3),2)</f>
        <v>1</v>
      </c>
      <c r="E25" s="12" t="n">
        <f aca="false">MOD(INT($A25/2^2),2)</f>
        <v>0</v>
      </c>
      <c r="F25" s="12" t="n">
        <f aca="false">MOD(INT($A25/2^1),2)</f>
        <v>0</v>
      </c>
      <c r="G25" s="12" t="n">
        <f aca="false">MOD(INT($A25/2^0),2)</f>
        <v>0</v>
      </c>
      <c r="H25" s="18" t="n">
        <f aca="false">Eff_now+B25*Half_g*(Ceil_e-Eff_now)</f>
        <v>71</v>
      </c>
      <c r="I25" s="18" t="n">
        <f aca="false">H25+C25*Half_g*(Ceil_e-H25)</f>
        <v>71</v>
      </c>
      <c r="J25" s="18" t="n">
        <f aca="false">I25+D25*Half_g*(Ceil_e-I25)</f>
        <v>78</v>
      </c>
      <c r="K25" s="18" t="n">
        <f aca="false">J25+E25*Half_g*(Ceil_e-J25)</f>
        <v>78</v>
      </c>
      <c r="L25" s="18" t="n">
        <f aca="false">K25+F25*Half_g*(Ceil_e-K25)</f>
        <v>78</v>
      </c>
      <c r="M25" s="18" t="n">
        <f aca="false">L25+G25*Half_g*(Ceil_e-L25)</f>
        <v>78</v>
      </c>
      <c r="N25" s="13" t="n">
        <f aca="false">Val_pt*(H25-Eff_now)</f>
        <v>0</v>
      </c>
      <c r="O25" s="13" t="n">
        <f aca="false">Val_pt*(I25-Eff_now)</f>
        <v>0</v>
      </c>
      <c r="P25" s="13" t="n">
        <f aca="false">Val_pt*(J25-Eff_now)</f>
        <v>70</v>
      </c>
      <c r="Q25" s="13" t="n">
        <f aca="false">Val_pt*(K25-Eff_now)</f>
        <v>70</v>
      </c>
      <c r="R25" s="13" t="n">
        <f aca="false">Val_pt*(L25-Eff_now)</f>
        <v>70</v>
      </c>
      <c r="S25" s="13" t="n">
        <f aca="false">Val_pt*(M25-Eff_now)</f>
        <v>70</v>
      </c>
      <c r="T25" s="13" t="n">
        <f aca="false">S_max*(1-2^(-(SUM($B25:B25))))</f>
        <v>0</v>
      </c>
      <c r="U25" s="13" t="n">
        <f aca="false">S_max*(1-2^(-(SUM($B25:C25))))</f>
        <v>0</v>
      </c>
      <c r="V25" s="13" t="n">
        <f aca="false">S_max*(1-2^(-(SUM($B25:D25))))</f>
        <v>70</v>
      </c>
      <c r="W25" s="13" t="n">
        <f aca="false">S_max*(1-2^(-(SUM($B25:E25))))</f>
        <v>70</v>
      </c>
      <c r="X25" s="13" t="n">
        <f aca="false">S_max*(1-2^(-(SUM($B25:F25))))</f>
        <v>70</v>
      </c>
      <c r="Y25" s="13" t="n">
        <f aca="false">S_max*(1-2^(-(SUM($B25:G25))))</f>
        <v>70</v>
      </c>
      <c r="Z25" s="16" t="n">
        <f aca="false">MAX(ABS(N25-T25),ABS(O25-U25),ABS(P25-V25),ABS(Q25-W25),ABS(R25-X25),ABS(S25-Y25))</f>
        <v>0</v>
      </c>
      <c r="AA25" s="13" t="n">
        <f aca="false">Liq_now-Cost_r*B25</f>
        <v>620</v>
      </c>
      <c r="AB25" s="13" t="n">
        <f aca="false">AG25-Cost_r*C25</f>
        <v>620</v>
      </c>
      <c r="AC25" s="13" t="n">
        <f aca="false">AH25-Cost_r*D25</f>
        <v>500</v>
      </c>
      <c r="AD25" s="13" t="n">
        <f aca="false">AI25-Cost_r*E25</f>
        <v>570</v>
      </c>
      <c r="AE25" s="13" t="n">
        <f aca="false">AJ25-Cost_r*F25</f>
        <v>640</v>
      </c>
      <c r="AF25" s="13" t="n">
        <f aca="false">AK25-Cost_r*G25</f>
        <v>710</v>
      </c>
      <c r="AG25" s="13" t="n">
        <f aca="false">AA25+N25</f>
        <v>620</v>
      </c>
      <c r="AH25" s="13" t="n">
        <f aca="false">AB25+O25</f>
        <v>620</v>
      </c>
      <c r="AI25" s="13" t="n">
        <f aca="false">AC25+P25</f>
        <v>570</v>
      </c>
      <c r="AJ25" s="13" t="n">
        <f aca="false">AD25+Q25</f>
        <v>640</v>
      </c>
      <c r="AK25" s="13" t="n">
        <f aca="false">AE25+R25</f>
        <v>710</v>
      </c>
      <c r="AL25" s="13" t="n">
        <f aca="false">AF25+S25</f>
        <v>780</v>
      </c>
      <c r="AM25" s="12" t="n">
        <f aca="false">SUM(B25:G25)</f>
        <v>1</v>
      </c>
      <c r="AN25" s="12" t="n">
        <f aca="false">IF(AND(MIN(AA25:AF25)&gt;=Floor_q,MIN(AG25:AL25)&gt;=Floor_q,AL25&gt;=Q_end,Cap_now&gt;=Cap_min),1,0)</f>
        <v>1</v>
      </c>
      <c r="AO25" s="13" t="n">
        <f aca="false">AL25-Q_end</f>
        <v>310</v>
      </c>
      <c r="AP25" s="17" t="n">
        <f aca="false">IF(AN25=1,AO25+Credit_M*S25,-1000000000)</f>
        <v>1010</v>
      </c>
      <c r="AQ25" s="17" t="n">
        <f aca="false">AP25+SUMPRODUCT(Relaxation!$C$23:$H$23,1-B25:G25)+SUMPRODUCT(Relaxation!$C$24:$H$24,B25:G25)</f>
        <v>1131.30075659799</v>
      </c>
      <c r="AR25" s="17" t="n">
        <f aca="false">IF($AN25=1,$AO25+AR$15*$S25,-1000000000)</f>
        <v>310</v>
      </c>
      <c r="AS25" s="17" t="n">
        <f aca="false">IF($AN25=1,$AO25+AS$15*$S25,-1000000000)</f>
        <v>660</v>
      </c>
      <c r="AT25" s="17" t="n">
        <f aca="false">IF($AN25=1,$AO25+AT$15*$S25,-1000000000)</f>
        <v>1010</v>
      </c>
      <c r="AU25" s="17" t="n">
        <f aca="false">IF($AN25=1,$AO25+AU$15*$S25,-1000000000)</f>
        <v>1710</v>
      </c>
      <c r="AV25" s="17" t="n">
        <f aca="false">IF($AN25=1,$AO25+AV$15*$S25,-1000000000)</f>
        <v>3110</v>
      </c>
      <c r="AW25" s="17" t="n">
        <f aca="false">IF($AN25=1,$AO25+AW$15*$S25,-1000000000)</f>
        <v>4510</v>
      </c>
      <c r="AX25" s="17" t="n">
        <f aca="false">IF($AN25=1,$AO25+AX$15*$S25,-1000000000)</f>
        <v>4090</v>
      </c>
    </row>
    <row r="26" customFormat="false" ht="15" hidden="false" customHeight="false" outlineLevel="0" collapsed="false">
      <c r="A26" s="12" t="n">
        <v>9</v>
      </c>
      <c r="B26" s="12" t="n">
        <f aca="false">MOD(INT($A26/2^5),2)</f>
        <v>0</v>
      </c>
      <c r="C26" s="12" t="n">
        <f aca="false">MOD(INT($A26/2^4),2)</f>
        <v>0</v>
      </c>
      <c r="D26" s="12" t="n">
        <f aca="false">MOD(INT($A26/2^3),2)</f>
        <v>1</v>
      </c>
      <c r="E26" s="12" t="n">
        <f aca="false">MOD(INT($A26/2^2),2)</f>
        <v>0</v>
      </c>
      <c r="F26" s="12" t="n">
        <f aca="false">MOD(INT($A26/2^1),2)</f>
        <v>0</v>
      </c>
      <c r="G26" s="12" t="n">
        <f aca="false">MOD(INT($A26/2^0),2)</f>
        <v>1</v>
      </c>
      <c r="H26" s="18" t="n">
        <f aca="false">Eff_now+B26*Half_g*(Ceil_e-Eff_now)</f>
        <v>71</v>
      </c>
      <c r="I26" s="18" t="n">
        <f aca="false">H26+C26*Half_g*(Ceil_e-H26)</f>
        <v>71</v>
      </c>
      <c r="J26" s="18" t="n">
        <f aca="false">I26+D26*Half_g*(Ceil_e-I26)</f>
        <v>78</v>
      </c>
      <c r="K26" s="18" t="n">
        <f aca="false">J26+E26*Half_g*(Ceil_e-J26)</f>
        <v>78</v>
      </c>
      <c r="L26" s="18" t="n">
        <f aca="false">K26+F26*Half_g*(Ceil_e-K26)</f>
        <v>78</v>
      </c>
      <c r="M26" s="18" t="n">
        <f aca="false">L26+G26*Half_g*(Ceil_e-L26)</f>
        <v>81.5</v>
      </c>
      <c r="N26" s="13" t="n">
        <f aca="false">Val_pt*(H26-Eff_now)</f>
        <v>0</v>
      </c>
      <c r="O26" s="13" t="n">
        <f aca="false">Val_pt*(I26-Eff_now)</f>
        <v>0</v>
      </c>
      <c r="P26" s="13" t="n">
        <f aca="false">Val_pt*(J26-Eff_now)</f>
        <v>70</v>
      </c>
      <c r="Q26" s="13" t="n">
        <f aca="false">Val_pt*(K26-Eff_now)</f>
        <v>70</v>
      </c>
      <c r="R26" s="13" t="n">
        <f aca="false">Val_pt*(L26-Eff_now)</f>
        <v>70</v>
      </c>
      <c r="S26" s="13" t="n">
        <f aca="false">Val_pt*(M26-Eff_now)</f>
        <v>105</v>
      </c>
      <c r="T26" s="13" t="n">
        <f aca="false">S_max*(1-2^(-(SUM($B26:B26))))</f>
        <v>0</v>
      </c>
      <c r="U26" s="13" t="n">
        <f aca="false">S_max*(1-2^(-(SUM($B26:C26))))</f>
        <v>0</v>
      </c>
      <c r="V26" s="13" t="n">
        <f aca="false">S_max*(1-2^(-(SUM($B26:D26))))</f>
        <v>70</v>
      </c>
      <c r="W26" s="13" t="n">
        <f aca="false">S_max*(1-2^(-(SUM($B26:E26))))</f>
        <v>70</v>
      </c>
      <c r="X26" s="13" t="n">
        <f aca="false">S_max*(1-2^(-(SUM($B26:F26))))</f>
        <v>70</v>
      </c>
      <c r="Y26" s="13" t="n">
        <f aca="false">S_max*(1-2^(-(SUM($B26:G26))))</f>
        <v>105</v>
      </c>
      <c r="Z26" s="16" t="n">
        <f aca="false">MAX(ABS(N26-T26),ABS(O26-U26),ABS(P26-V26),ABS(Q26-W26),ABS(R26-X26),ABS(S26-Y26))</f>
        <v>0</v>
      </c>
      <c r="AA26" s="13" t="n">
        <f aca="false">Liq_now-Cost_r*B26</f>
        <v>620</v>
      </c>
      <c r="AB26" s="13" t="n">
        <f aca="false">AG26-Cost_r*C26</f>
        <v>620</v>
      </c>
      <c r="AC26" s="13" t="n">
        <f aca="false">AH26-Cost_r*D26</f>
        <v>500</v>
      </c>
      <c r="AD26" s="13" t="n">
        <f aca="false">AI26-Cost_r*E26</f>
        <v>570</v>
      </c>
      <c r="AE26" s="13" t="n">
        <f aca="false">AJ26-Cost_r*F26</f>
        <v>640</v>
      </c>
      <c r="AF26" s="13" t="n">
        <f aca="false">AK26-Cost_r*G26</f>
        <v>590</v>
      </c>
      <c r="AG26" s="13" t="n">
        <f aca="false">AA26+N26</f>
        <v>620</v>
      </c>
      <c r="AH26" s="13" t="n">
        <f aca="false">AB26+O26</f>
        <v>620</v>
      </c>
      <c r="AI26" s="13" t="n">
        <f aca="false">AC26+P26</f>
        <v>570</v>
      </c>
      <c r="AJ26" s="13" t="n">
        <f aca="false">AD26+Q26</f>
        <v>640</v>
      </c>
      <c r="AK26" s="13" t="n">
        <f aca="false">AE26+R26</f>
        <v>710</v>
      </c>
      <c r="AL26" s="13" t="n">
        <f aca="false">AF26+S26</f>
        <v>695</v>
      </c>
      <c r="AM26" s="12" t="n">
        <f aca="false">SUM(B26:G26)</f>
        <v>2</v>
      </c>
      <c r="AN26" s="12" t="n">
        <f aca="false">IF(AND(MIN(AA26:AF26)&gt;=Floor_q,MIN(AG26:AL26)&gt;=Floor_q,AL26&gt;=Q_end,Cap_now&gt;=Cap_min),1,0)</f>
        <v>1</v>
      </c>
      <c r="AO26" s="13" t="n">
        <f aca="false">AL26-Q_end</f>
        <v>225</v>
      </c>
      <c r="AP26" s="17" t="n">
        <f aca="false">IF(AN26=1,AO26+Credit_M*S26,-1000000000)</f>
        <v>1275</v>
      </c>
      <c r="AQ26" s="17" t="n">
        <f aca="false">AP26+SUMPRODUCT(Relaxation!$C$23:$H$23,1-B26:G26)+SUMPRODUCT(Relaxation!$C$24:$H$24,B26:G26)</f>
        <v>1414.76229505953</v>
      </c>
      <c r="AR26" s="17" t="n">
        <f aca="false">IF($AN26=1,$AO26+AR$15*$S26,-1000000000)</f>
        <v>225</v>
      </c>
      <c r="AS26" s="17" t="n">
        <f aca="false">IF($AN26=1,$AO26+AS$15*$S26,-1000000000)</f>
        <v>750</v>
      </c>
      <c r="AT26" s="17" t="n">
        <f aca="false">IF($AN26=1,$AO26+AT$15*$S26,-1000000000)</f>
        <v>1275</v>
      </c>
      <c r="AU26" s="17" t="n">
        <f aca="false">IF($AN26=1,$AO26+AU$15*$S26,-1000000000)</f>
        <v>2325</v>
      </c>
      <c r="AV26" s="17" t="n">
        <f aca="false">IF($AN26=1,$AO26+AV$15*$S26,-1000000000)</f>
        <v>4425</v>
      </c>
      <c r="AW26" s="17" t="n">
        <f aca="false">IF($AN26=1,$AO26+AW$15*$S26,-1000000000)</f>
        <v>6525</v>
      </c>
      <c r="AX26" s="17" t="n">
        <f aca="false">IF($AN26=1,$AO26+AX$15*$S26,-1000000000)</f>
        <v>5895</v>
      </c>
    </row>
    <row r="27" customFormat="false" ht="15" hidden="false" customHeight="false" outlineLevel="0" collapsed="false">
      <c r="A27" s="12" t="n">
        <v>10</v>
      </c>
      <c r="B27" s="12" t="n">
        <f aca="false">MOD(INT($A27/2^5),2)</f>
        <v>0</v>
      </c>
      <c r="C27" s="12" t="n">
        <f aca="false">MOD(INT($A27/2^4),2)</f>
        <v>0</v>
      </c>
      <c r="D27" s="12" t="n">
        <f aca="false">MOD(INT($A27/2^3),2)</f>
        <v>1</v>
      </c>
      <c r="E27" s="12" t="n">
        <f aca="false">MOD(INT($A27/2^2),2)</f>
        <v>0</v>
      </c>
      <c r="F27" s="12" t="n">
        <f aca="false">MOD(INT($A27/2^1),2)</f>
        <v>1</v>
      </c>
      <c r="G27" s="12" t="n">
        <f aca="false">MOD(INT($A27/2^0),2)</f>
        <v>0</v>
      </c>
      <c r="H27" s="18" t="n">
        <f aca="false">Eff_now+B27*Half_g*(Ceil_e-Eff_now)</f>
        <v>71</v>
      </c>
      <c r="I27" s="18" t="n">
        <f aca="false">H27+C27*Half_g*(Ceil_e-H27)</f>
        <v>71</v>
      </c>
      <c r="J27" s="18" t="n">
        <f aca="false">I27+D27*Half_g*(Ceil_e-I27)</f>
        <v>78</v>
      </c>
      <c r="K27" s="18" t="n">
        <f aca="false">J27+E27*Half_g*(Ceil_e-J27)</f>
        <v>78</v>
      </c>
      <c r="L27" s="18" t="n">
        <f aca="false">K27+F27*Half_g*(Ceil_e-K27)</f>
        <v>81.5</v>
      </c>
      <c r="M27" s="18" t="n">
        <f aca="false">L27+G27*Half_g*(Ceil_e-L27)</f>
        <v>81.5</v>
      </c>
      <c r="N27" s="13" t="n">
        <f aca="false">Val_pt*(H27-Eff_now)</f>
        <v>0</v>
      </c>
      <c r="O27" s="13" t="n">
        <f aca="false">Val_pt*(I27-Eff_now)</f>
        <v>0</v>
      </c>
      <c r="P27" s="13" t="n">
        <f aca="false">Val_pt*(J27-Eff_now)</f>
        <v>70</v>
      </c>
      <c r="Q27" s="13" t="n">
        <f aca="false">Val_pt*(K27-Eff_now)</f>
        <v>70</v>
      </c>
      <c r="R27" s="13" t="n">
        <f aca="false">Val_pt*(L27-Eff_now)</f>
        <v>105</v>
      </c>
      <c r="S27" s="13" t="n">
        <f aca="false">Val_pt*(M27-Eff_now)</f>
        <v>105</v>
      </c>
      <c r="T27" s="13" t="n">
        <f aca="false">S_max*(1-2^(-(SUM($B27:B27))))</f>
        <v>0</v>
      </c>
      <c r="U27" s="13" t="n">
        <f aca="false">S_max*(1-2^(-(SUM($B27:C27))))</f>
        <v>0</v>
      </c>
      <c r="V27" s="13" t="n">
        <f aca="false">S_max*(1-2^(-(SUM($B27:D27))))</f>
        <v>70</v>
      </c>
      <c r="W27" s="13" t="n">
        <f aca="false">S_max*(1-2^(-(SUM($B27:E27))))</f>
        <v>70</v>
      </c>
      <c r="X27" s="13" t="n">
        <f aca="false">S_max*(1-2^(-(SUM($B27:F27))))</f>
        <v>105</v>
      </c>
      <c r="Y27" s="13" t="n">
        <f aca="false">S_max*(1-2^(-(SUM($B27:G27))))</f>
        <v>105</v>
      </c>
      <c r="Z27" s="16" t="n">
        <f aca="false">MAX(ABS(N27-T27),ABS(O27-U27),ABS(P27-V27),ABS(Q27-W27),ABS(R27-X27),ABS(S27-Y27))</f>
        <v>0</v>
      </c>
      <c r="AA27" s="13" t="n">
        <f aca="false">Liq_now-Cost_r*B27</f>
        <v>620</v>
      </c>
      <c r="AB27" s="13" t="n">
        <f aca="false">AG27-Cost_r*C27</f>
        <v>620</v>
      </c>
      <c r="AC27" s="13" t="n">
        <f aca="false">AH27-Cost_r*D27</f>
        <v>500</v>
      </c>
      <c r="AD27" s="13" t="n">
        <f aca="false">AI27-Cost_r*E27</f>
        <v>570</v>
      </c>
      <c r="AE27" s="13" t="n">
        <f aca="false">AJ27-Cost_r*F27</f>
        <v>520</v>
      </c>
      <c r="AF27" s="13" t="n">
        <f aca="false">AK27-Cost_r*G27</f>
        <v>625</v>
      </c>
      <c r="AG27" s="13" t="n">
        <f aca="false">AA27+N27</f>
        <v>620</v>
      </c>
      <c r="AH27" s="13" t="n">
        <f aca="false">AB27+O27</f>
        <v>620</v>
      </c>
      <c r="AI27" s="13" t="n">
        <f aca="false">AC27+P27</f>
        <v>570</v>
      </c>
      <c r="AJ27" s="13" t="n">
        <f aca="false">AD27+Q27</f>
        <v>640</v>
      </c>
      <c r="AK27" s="13" t="n">
        <f aca="false">AE27+R27</f>
        <v>625</v>
      </c>
      <c r="AL27" s="13" t="n">
        <f aca="false">AF27+S27</f>
        <v>730</v>
      </c>
      <c r="AM27" s="12" t="n">
        <f aca="false">SUM(B27:G27)</f>
        <v>2</v>
      </c>
      <c r="AN27" s="12" t="n">
        <f aca="false">IF(AND(MIN(AA27:AF27)&gt;=Floor_q,MIN(AG27:AL27)&gt;=Floor_q,AL27&gt;=Q_end,Cap_now&gt;=Cap_min),1,0)</f>
        <v>1</v>
      </c>
      <c r="AO27" s="13" t="n">
        <f aca="false">AL27-Q_end</f>
        <v>260</v>
      </c>
      <c r="AP27" s="17" t="n">
        <f aca="false">IF(AN27=1,AO27+Credit_M*S27,-1000000000)</f>
        <v>1310</v>
      </c>
      <c r="AQ27" s="17" t="n">
        <f aca="false">AP27+SUMPRODUCT(Relaxation!$C$23:$H$23,1-B27:G27)+SUMPRODUCT(Relaxation!$C$24:$H$24,B27:G27)</f>
        <v>1440.53152582876</v>
      </c>
      <c r="AR27" s="17" t="n">
        <f aca="false">IF($AN27=1,$AO27+AR$15*$S27,-1000000000)</f>
        <v>260</v>
      </c>
      <c r="AS27" s="17" t="n">
        <f aca="false">IF($AN27=1,$AO27+AS$15*$S27,-1000000000)</f>
        <v>785</v>
      </c>
      <c r="AT27" s="17" t="n">
        <f aca="false">IF($AN27=1,$AO27+AT$15*$S27,-1000000000)</f>
        <v>1310</v>
      </c>
      <c r="AU27" s="17" t="n">
        <f aca="false">IF($AN27=1,$AO27+AU$15*$S27,-1000000000)</f>
        <v>2360</v>
      </c>
      <c r="AV27" s="17" t="n">
        <f aca="false">IF($AN27=1,$AO27+AV$15*$S27,-1000000000)</f>
        <v>4460</v>
      </c>
      <c r="AW27" s="17" t="n">
        <f aca="false">IF($AN27=1,$AO27+AW$15*$S27,-1000000000)</f>
        <v>6560</v>
      </c>
      <c r="AX27" s="17" t="n">
        <f aca="false">IF($AN27=1,$AO27+AX$15*$S27,-1000000000)</f>
        <v>5930</v>
      </c>
    </row>
    <row r="28" customFormat="false" ht="15" hidden="false" customHeight="false" outlineLevel="0" collapsed="false">
      <c r="A28" s="12" t="n">
        <v>11</v>
      </c>
      <c r="B28" s="12" t="n">
        <f aca="false">MOD(INT($A28/2^5),2)</f>
        <v>0</v>
      </c>
      <c r="C28" s="12" t="n">
        <f aca="false">MOD(INT($A28/2^4),2)</f>
        <v>0</v>
      </c>
      <c r="D28" s="12" t="n">
        <f aca="false">MOD(INT($A28/2^3),2)</f>
        <v>1</v>
      </c>
      <c r="E28" s="12" t="n">
        <f aca="false">MOD(INT($A28/2^2),2)</f>
        <v>0</v>
      </c>
      <c r="F28" s="12" t="n">
        <f aca="false">MOD(INT($A28/2^1),2)</f>
        <v>1</v>
      </c>
      <c r="G28" s="12" t="n">
        <f aca="false">MOD(INT($A28/2^0),2)</f>
        <v>1</v>
      </c>
      <c r="H28" s="18" t="n">
        <f aca="false">Eff_now+B28*Half_g*(Ceil_e-Eff_now)</f>
        <v>71</v>
      </c>
      <c r="I28" s="18" t="n">
        <f aca="false">H28+C28*Half_g*(Ceil_e-H28)</f>
        <v>71</v>
      </c>
      <c r="J28" s="18" t="n">
        <f aca="false">I28+D28*Half_g*(Ceil_e-I28)</f>
        <v>78</v>
      </c>
      <c r="K28" s="18" t="n">
        <f aca="false">J28+E28*Half_g*(Ceil_e-J28)</f>
        <v>78</v>
      </c>
      <c r="L28" s="18" t="n">
        <f aca="false">K28+F28*Half_g*(Ceil_e-K28)</f>
        <v>81.5</v>
      </c>
      <c r="M28" s="18" t="n">
        <f aca="false">L28+G28*Half_g*(Ceil_e-L28)</f>
        <v>83.25</v>
      </c>
      <c r="N28" s="13" t="n">
        <f aca="false">Val_pt*(H28-Eff_now)</f>
        <v>0</v>
      </c>
      <c r="O28" s="13" t="n">
        <f aca="false">Val_pt*(I28-Eff_now)</f>
        <v>0</v>
      </c>
      <c r="P28" s="13" t="n">
        <f aca="false">Val_pt*(J28-Eff_now)</f>
        <v>70</v>
      </c>
      <c r="Q28" s="13" t="n">
        <f aca="false">Val_pt*(K28-Eff_now)</f>
        <v>70</v>
      </c>
      <c r="R28" s="13" t="n">
        <f aca="false">Val_pt*(L28-Eff_now)</f>
        <v>105</v>
      </c>
      <c r="S28" s="13" t="n">
        <f aca="false">Val_pt*(M28-Eff_now)</f>
        <v>122.5</v>
      </c>
      <c r="T28" s="13" t="n">
        <f aca="false">S_max*(1-2^(-(SUM($B28:B28))))</f>
        <v>0</v>
      </c>
      <c r="U28" s="13" t="n">
        <f aca="false">S_max*(1-2^(-(SUM($B28:C28))))</f>
        <v>0</v>
      </c>
      <c r="V28" s="13" t="n">
        <f aca="false">S_max*(1-2^(-(SUM($B28:D28))))</f>
        <v>70</v>
      </c>
      <c r="W28" s="13" t="n">
        <f aca="false">S_max*(1-2^(-(SUM($B28:E28))))</f>
        <v>70</v>
      </c>
      <c r="X28" s="13" t="n">
        <f aca="false">S_max*(1-2^(-(SUM($B28:F28))))</f>
        <v>105</v>
      </c>
      <c r="Y28" s="13" t="n">
        <f aca="false">S_max*(1-2^(-(SUM($B28:G28))))</f>
        <v>122.5</v>
      </c>
      <c r="Z28" s="16" t="n">
        <f aca="false">MAX(ABS(N28-T28),ABS(O28-U28),ABS(P28-V28),ABS(Q28-W28),ABS(R28-X28),ABS(S28-Y28))</f>
        <v>0</v>
      </c>
      <c r="AA28" s="13" t="n">
        <f aca="false">Liq_now-Cost_r*B28</f>
        <v>620</v>
      </c>
      <c r="AB28" s="13" t="n">
        <f aca="false">AG28-Cost_r*C28</f>
        <v>620</v>
      </c>
      <c r="AC28" s="13" t="n">
        <f aca="false">AH28-Cost_r*D28</f>
        <v>500</v>
      </c>
      <c r="AD28" s="13" t="n">
        <f aca="false">AI28-Cost_r*E28</f>
        <v>570</v>
      </c>
      <c r="AE28" s="13" t="n">
        <f aca="false">AJ28-Cost_r*F28</f>
        <v>520</v>
      </c>
      <c r="AF28" s="13" t="n">
        <f aca="false">AK28-Cost_r*G28</f>
        <v>505</v>
      </c>
      <c r="AG28" s="13" t="n">
        <f aca="false">AA28+N28</f>
        <v>620</v>
      </c>
      <c r="AH28" s="13" t="n">
        <f aca="false">AB28+O28</f>
        <v>620</v>
      </c>
      <c r="AI28" s="13" t="n">
        <f aca="false">AC28+P28</f>
        <v>570</v>
      </c>
      <c r="AJ28" s="13" t="n">
        <f aca="false">AD28+Q28</f>
        <v>640</v>
      </c>
      <c r="AK28" s="13" t="n">
        <f aca="false">AE28+R28</f>
        <v>625</v>
      </c>
      <c r="AL28" s="13" t="n">
        <f aca="false">AF28+S28</f>
        <v>627.5</v>
      </c>
      <c r="AM28" s="12" t="n">
        <f aca="false">SUM(B28:G28)</f>
        <v>3</v>
      </c>
      <c r="AN28" s="12" t="n">
        <f aca="false">IF(AND(MIN(AA28:AF28)&gt;=Floor_q,MIN(AG28:AL28)&gt;=Floor_q,AL28&gt;=Q_end,Cap_now&gt;=Cap_min),1,0)</f>
        <v>1</v>
      </c>
      <c r="AO28" s="13" t="n">
        <f aca="false">AL28-Q_end</f>
        <v>157.5</v>
      </c>
      <c r="AP28" s="17" t="n">
        <f aca="false">IF(AN28=1,AO28+Credit_M*S28,-1000000000)</f>
        <v>1382.5</v>
      </c>
      <c r="AQ28" s="17" t="n">
        <f aca="false">AP28+SUMPRODUCT(Relaxation!$C$23:$H$23,1-B28:G28)+SUMPRODUCT(Relaxation!$C$24:$H$24,B28:G28)</f>
        <v>1531.4930642903</v>
      </c>
      <c r="AR28" s="17" t="n">
        <f aca="false">IF($AN28=1,$AO28+AR$15*$S28,-1000000000)</f>
        <v>157.5</v>
      </c>
      <c r="AS28" s="17" t="n">
        <f aca="false">IF($AN28=1,$AO28+AS$15*$S28,-1000000000)</f>
        <v>770</v>
      </c>
      <c r="AT28" s="17" t="n">
        <f aca="false">IF($AN28=1,$AO28+AT$15*$S28,-1000000000)</f>
        <v>1382.5</v>
      </c>
      <c r="AU28" s="17" t="n">
        <f aca="false">IF($AN28=1,$AO28+AU$15*$S28,-1000000000)</f>
        <v>2607.5</v>
      </c>
      <c r="AV28" s="17" t="n">
        <f aca="false">IF($AN28=1,$AO28+AV$15*$S28,-1000000000)</f>
        <v>5057.5</v>
      </c>
      <c r="AW28" s="17" t="n">
        <f aca="false">IF($AN28=1,$AO28+AW$15*$S28,-1000000000)</f>
        <v>7507.5</v>
      </c>
      <c r="AX28" s="17" t="n">
        <f aca="false">IF($AN28=1,$AO28+AX$15*$S28,-1000000000)</f>
        <v>6772.5</v>
      </c>
    </row>
    <row r="29" customFormat="false" ht="15" hidden="false" customHeight="false" outlineLevel="0" collapsed="false">
      <c r="A29" s="12" t="n">
        <v>12</v>
      </c>
      <c r="B29" s="12" t="n">
        <f aca="false">MOD(INT($A29/2^5),2)</f>
        <v>0</v>
      </c>
      <c r="C29" s="12" t="n">
        <f aca="false">MOD(INT($A29/2^4),2)</f>
        <v>0</v>
      </c>
      <c r="D29" s="12" t="n">
        <f aca="false">MOD(INT($A29/2^3),2)</f>
        <v>1</v>
      </c>
      <c r="E29" s="12" t="n">
        <f aca="false">MOD(INT($A29/2^2),2)</f>
        <v>1</v>
      </c>
      <c r="F29" s="12" t="n">
        <f aca="false">MOD(INT($A29/2^1),2)</f>
        <v>0</v>
      </c>
      <c r="G29" s="12" t="n">
        <f aca="false">MOD(INT($A29/2^0),2)</f>
        <v>0</v>
      </c>
      <c r="H29" s="18" t="n">
        <f aca="false">Eff_now+B29*Half_g*(Ceil_e-Eff_now)</f>
        <v>71</v>
      </c>
      <c r="I29" s="18" t="n">
        <f aca="false">H29+C29*Half_g*(Ceil_e-H29)</f>
        <v>71</v>
      </c>
      <c r="J29" s="18" t="n">
        <f aca="false">I29+D29*Half_g*(Ceil_e-I29)</f>
        <v>78</v>
      </c>
      <c r="K29" s="18" t="n">
        <f aca="false">J29+E29*Half_g*(Ceil_e-J29)</f>
        <v>81.5</v>
      </c>
      <c r="L29" s="18" t="n">
        <f aca="false">K29+F29*Half_g*(Ceil_e-K29)</f>
        <v>81.5</v>
      </c>
      <c r="M29" s="18" t="n">
        <f aca="false">L29+G29*Half_g*(Ceil_e-L29)</f>
        <v>81.5</v>
      </c>
      <c r="N29" s="13" t="n">
        <f aca="false">Val_pt*(H29-Eff_now)</f>
        <v>0</v>
      </c>
      <c r="O29" s="13" t="n">
        <f aca="false">Val_pt*(I29-Eff_now)</f>
        <v>0</v>
      </c>
      <c r="P29" s="13" t="n">
        <f aca="false">Val_pt*(J29-Eff_now)</f>
        <v>70</v>
      </c>
      <c r="Q29" s="13" t="n">
        <f aca="false">Val_pt*(K29-Eff_now)</f>
        <v>105</v>
      </c>
      <c r="R29" s="13" t="n">
        <f aca="false">Val_pt*(L29-Eff_now)</f>
        <v>105</v>
      </c>
      <c r="S29" s="13" t="n">
        <f aca="false">Val_pt*(M29-Eff_now)</f>
        <v>105</v>
      </c>
      <c r="T29" s="13" t="n">
        <f aca="false">S_max*(1-2^(-(SUM($B29:B29))))</f>
        <v>0</v>
      </c>
      <c r="U29" s="13" t="n">
        <f aca="false">S_max*(1-2^(-(SUM($B29:C29))))</f>
        <v>0</v>
      </c>
      <c r="V29" s="13" t="n">
        <f aca="false">S_max*(1-2^(-(SUM($B29:D29))))</f>
        <v>70</v>
      </c>
      <c r="W29" s="13" t="n">
        <f aca="false">S_max*(1-2^(-(SUM($B29:E29))))</f>
        <v>105</v>
      </c>
      <c r="X29" s="13" t="n">
        <f aca="false">S_max*(1-2^(-(SUM($B29:F29))))</f>
        <v>105</v>
      </c>
      <c r="Y29" s="13" t="n">
        <f aca="false">S_max*(1-2^(-(SUM($B29:G29))))</f>
        <v>105</v>
      </c>
      <c r="Z29" s="16" t="n">
        <f aca="false">MAX(ABS(N29-T29),ABS(O29-U29),ABS(P29-V29),ABS(Q29-W29),ABS(R29-X29),ABS(S29-Y29))</f>
        <v>0</v>
      </c>
      <c r="AA29" s="13" t="n">
        <f aca="false">Liq_now-Cost_r*B29</f>
        <v>620</v>
      </c>
      <c r="AB29" s="13" t="n">
        <f aca="false">AG29-Cost_r*C29</f>
        <v>620</v>
      </c>
      <c r="AC29" s="13" t="n">
        <f aca="false">AH29-Cost_r*D29</f>
        <v>500</v>
      </c>
      <c r="AD29" s="13" t="n">
        <f aca="false">AI29-Cost_r*E29</f>
        <v>450</v>
      </c>
      <c r="AE29" s="13" t="n">
        <f aca="false">AJ29-Cost_r*F29</f>
        <v>555</v>
      </c>
      <c r="AF29" s="13" t="n">
        <f aca="false">AK29-Cost_r*G29</f>
        <v>660</v>
      </c>
      <c r="AG29" s="13" t="n">
        <f aca="false">AA29+N29</f>
        <v>620</v>
      </c>
      <c r="AH29" s="13" t="n">
        <f aca="false">AB29+O29</f>
        <v>620</v>
      </c>
      <c r="AI29" s="13" t="n">
        <f aca="false">AC29+P29</f>
        <v>570</v>
      </c>
      <c r="AJ29" s="13" t="n">
        <f aca="false">AD29+Q29</f>
        <v>555</v>
      </c>
      <c r="AK29" s="13" t="n">
        <f aca="false">AE29+R29</f>
        <v>660</v>
      </c>
      <c r="AL29" s="13" t="n">
        <f aca="false">AF29+S29</f>
        <v>765</v>
      </c>
      <c r="AM29" s="12" t="n">
        <f aca="false">SUM(B29:G29)</f>
        <v>2</v>
      </c>
      <c r="AN29" s="12" t="n">
        <f aca="false">IF(AND(MIN(AA29:AF29)&gt;=Floor_q,MIN(AG29:AL29)&gt;=Floor_q,AL29&gt;=Q_end,Cap_now&gt;=Cap_min),1,0)</f>
        <v>1</v>
      </c>
      <c r="AO29" s="13" t="n">
        <f aca="false">AL29-Q_end</f>
        <v>295</v>
      </c>
      <c r="AP29" s="17" t="n">
        <f aca="false">IF(AN29=1,AO29+Credit_M*S29,-1000000000)</f>
        <v>1345</v>
      </c>
      <c r="AQ29" s="17" t="n">
        <f aca="false">AP29+SUMPRODUCT(Relaxation!$C$23:$H$23,1-B29:G29)+SUMPRODUCT(Relaxation!$C$24:$H$24,B29:G29)</f>
        <v>1466.30075659799</v>
      </c>
      <c r="AR29" s="17" t="n">
        <f aca="false">IF($AN29=1,$AO29+AR$15*$S29,-1000000000)</f>
        <v>295</v>
      </c>
      <c r="AS29" s="17" t="n">
        <f aca="false">IF($AN29=1,$AO29+AS$15*$S29,-1000000000)</f>
        <v>820</v>
      </c>
      <c r="AT29" s="17" t="n">
        <f aca="false">IF($AN29=1,$AO29+AT$15*$S29,-1000000000)</f>
        <v>1345</v>
      </c>
      <c r="AU29" s="17" t="n">
        <f aca="false">IF($AN29=1,$AO29+AU$15*$S29,-1000000000)</f>
        <v>2395</v>
      </c>
      <c r="AV29" s="17" t="n">
        <f aca="false">IF($AN29=1,$AO29+AV$15*$S29,-1000000000)</f>
        <v>4495</v>
      </c>
      <c r="AW29" s="17" t="n">
        <f aca="false">IF($AN29=1,$AO29+AW$15*$S29,-1000000000)</f>
        <v>6595</v>
      </c>
      <c r="AX29" s="17" t="n">
        <f aca="false">IF($AN29=1,$AO29+AX$15*$S29,-1000000000)</f>
        <v>5965</v>
      </c>
    </row>
    <row r="30" customFormat="false" ht="15" hidden="false" customHeight="false" outlineLevel="0" collapsed="false">
      <c r="A30" s="12" t="n">
        <v>13</v>
      </c>
      <c r="B30" s="12" t="n">
        <f aca="false">MOD(INT($A30/2^5),2)</f>
        <v>0</v>
      </c>
      <c r="C30" s="12" t="n">
        <f aca="false">MOD(INT($A30/2^4),2)</f>
        <v>0</v>
      </c>
      <c r="D30" s="12" t="n">
        <f aca="false">MOD(INT($A30/2^3),2)</f>
        <v>1</v>
      </c>
      <c r="E30" s="12" t="n">
        <f aca="false">MOD(INT($A30/2^2),2)</f>
        <v>1</v>
      </c>
      <c r="F30" s="12" t="n">
        <f aca="false">MOD(INT($A30/2^1),2)</f>
        <v>0</v>
      </c>
      <c r="G30" s="12" t="n">
        <f aca="false">MOD(INT($A30/2^0),2)</f>
        <v>1</v>
      </c>
      <c r="H30" s="18" t="n">
        <f aca="false">Eff_now+B30*Half_g*(Ceil_e-Eff_now)</f>
        <v>71</v>
      </c>
      <c r="I30" s="18" t="n">
        <f aca="false">H30+C30*Half_g*(Ceil_e-H30)</f>
        <v>71</v>
      </c>
      <c r="J30" s="18" t="n">
        <f aca="false">I30+D30*Half_g*(Ceil_e-I30)</f>
        <v>78</v>
      </c>
      <c r="K30" s="18" t="n">
        <f aca="false">J30+E30*Half_g*(Ceil_e-J30)</f>
        <v>81.5</v>
      </c>
      <c r="L30" s="18" t="n">
        <f aca="false">K30+F30*Half_g*(Ceil_e-K30)</f>
        <v>81.5</v>
      </c>
      <c r="M30" s="18" t="n">
        <f aca="false">L30+G30*Half_g*(Ceil_e-L30)</f>
        <v>83.25</v>
      </c>
      <c r="N30" s="13" t="n">
        <f aca="false">Val_pt*(H30-Eff_now)</f>
        <v>0</v>
      </c>
      <c r="O30" s="13" t="n">
        <f aca="false">Val_pt*(I30-Eff_now)</f>
        <v>0</v>
      </c>
      <c r="P30" s="13" t="n">
        <f aca="false">Val_pt*(J30-Eff_now)</f>
        <v>70</v>
      </c>
      <c r="Q30" s="13" t="n">
        <f aca="false">Val_pt*(K30-Eff_now)</f>
        <v>105</v>
      </c>
      <c r="R30" s="13" t="n">
        <f aca="false">Val_pt*(L30-Eff_now)</f>
        <v>105</v>
      </c>
      <c r="S30" s="13" t="n">
        <f aca="false">Val_pt*(M30-Eff_now)</f>
        <v>122.5</v>
      </c>
      <c r="T30" s="13" t="n">
        <f aca="false">S_max*(1-2^(-(SUM($B30:B30))))</f>
        <v>0</v>
      </c>
      <c r="U30" s="13" t="n">
        <f aca="false">S_max*(1-2^(-(SUM($B30:C30))))</f>
        <v>0</v>
      </c>
      <c r="V30" s="13" t="n">
        <f aca="false">S_max*(1-2^(-(SUM($B30:D30))))</f>
        <v>70</v>
      </c>
      <c r="W30" s="13" t="n">
        <f aca="false">S_max*(1-2^(-(SUM($B30:E30))))</f>
        <v>105</v>
      </c>
      <c r="X30" s="13" t="n">
        <f aca="false">S_max*(1-2^(-(SUM($B30:F30))))</f>
        <v>105</v>
      </c>
      <c r="Y30" s="13" t="n">
        <f aca="false">S_max*(1-2^(-(SUM($B30:G30))))</f>
        <v>122.5</v>
      </c>
      <c r="Z30" s="16" t="n">
        <f aca="false">MAX(ABS(N30-T30),ABS(O30-U30),ABS(P30-V30),ABS(Q30-W30),ABS(R30-X30),ABS(S30-Y30))</f>
        <v>0</v>
      </c>
      <c r="AA30" s="13" t="n">
        <f aca="false">Liq_now-Cost_r*B30</f>
        <v>620</v>
      </c>
      <c r="AB30" s="13" t="n">
        <f aca="false">AG30-Cost_r*C30</f>
        <v>620</v>
      </c>
      <c r="AC30" s="13" t="n">
        <f aca="false">AH30-Cost_r*D30</f>
        <v>500</v>
      </c>
      <c r="AD30" s="13" t="n">
        <f aca="false">AI30-Cost_r*E30</f>
        <v>450</v>
      </c>
      <c r="AE30" s="13" t="n">
        <f aca="false">AJ30-Cost_r*F30</f>
        <v>555</v>
      </c>
      <c r="AF30" s="13" t="n">
        <f aca="false">AK30-Cost_r*G30</f>
        <v>540</v>
      </c>
      <c r="AG30" s="13" t="n">
        <f aca="false">AA30+N30</f>
        <v>620</v>
      </c>
      <c r="AH30" s="13" t="n">
        <f aca="false">AB30+O30</f>
        <v>620</v>
      </c>
      <c r="AI30" s="13" t="n">
        <f aca="false">AC30+P30</f>
        <v>570</v>
      </c>
      <c r="AJ30" s="13" t="n">
        <f aca="false">AD30+Q30</f>
        <v>555</v>
      </c>
      <c r="AK30" s="13" t="n">
        <f aca="false">AE30+R30</f>
        <v>660</v>
      </c>
      <c r="AL30" s="13" t="n">
        <f aca="false">AF30+S30</f>
        <v>662.5</v>
      </c>
      <c r="AM30" s="12" t="n">
        <f aca="false">SUM(B30:G30)</f>
        <v>3</v>
      </c>
      <c r="AN30" s="12" t="n">
        <f aca="false">IF(AND(MIN(AA30:AF30)&gt;=Floor_q,MIN(AG30:AL30)&gt;=Floor_q,AL30&gt;=Q_end,Cap_now&gt;=Cap_min),1,0)</f>
        <v>1</v>
      </c>
      <c r="AO30" s="13" t="n">
        <f aca="false">AL30-Q_end</f>
        <v>192.5</v>
      </c>
      <c r="AP30" s="17" t="n">
        <f aca="false">IF(AN30=1,AO30+Credit_M*S30,-1000000000)</f>
        <v>1417.5</v>
      </c>
      <c r="AQ30" s="17" t="n">
        <f aca="false">AP30+SUMPRODUCT(Relaxation!$C$23:$H$23,1-B30:G30)+SUMPRODUCT(Relaxation!$C$24:$H$24,B30:G30)</f>
        <v>1557.26229505953</v>
      </c>
      <c r="AR30" s="17" t="n">
        <f aca="false">IF($AN30=1,$AO30+AR$15*$S30,-1000000000)</f>
        <v>192.5</v>
      </c>
      <c r="AS30" s="17" t="n">
        <f aca="false">IF($AN30=1,$AO30+AS$15*$S30,-1000000000)</f>
        <v>805</v>
      </c>
      <c r="AT30" s="17" t="n">
        <f aca="false">IF($AN30=1,$AO30+AT$15*$S30,-1000000000)</f>
        <v>1417.5</v>
      </c>
      <c r="AU30" s="17" t="n">
        <f aca="false">IF($AN30=1,$AO30+AU$15*$S30,-1000000000)</f>
        <v>2642.5</v>
      </c>
      <c r="AV30" s="17" t="n">
        <f aca="false">IF($AN30=1,$AO30+AV$15*$S30,-1000000000)</f>
        <v>5092.5</v>
      </c>
      <c r="AW30" s="17" t="n">
        <f aca="false">IF($AN30=1,$AO30+AW$15*$S30,-1000000000)</f>
        <v>7542.5</v>
      </c>
      <c r="AX30" s="17" t="n">
        <f aca="false">IF($AN30=1,$AO30+AX$15*$S30,-1000000000)</f>
        <v>6807.5</v>
      </c>
    </row>
    <row r="31" customFormat="false" ht="15" hidden="false" customHeight="false" outlineLevel="0" collapsed="false">
      <c r="A31" s="12" t="n">
        <v>14</v>
      </c>
      <c r="B31" s="12" t="n">
        <f aca="false">MOD(INT($A31/2^5),2)</f>
        <v>0</v>
      </c>
      <c r="C31" s="12" t="n">
        <f aca="false">MOD(INT($A31/2^4),2)</f>
        <v>0</v>
      </c>
      <c r="D31" s="12" t="n">
        <f aca="false">MOD(INT($A31/2^3),2)</f>
        <v>1</v>
      </c>
      <c r="E31" s="12" t="n">
        <f aca="false">MOD(INT($A31/2^2),2)</f>
        <v>1</v>
      </c>
      <c r="F31" s="12" t="n">
        <f aca="false">MOD(INT($A31/2^1),2)</f>
        <v>1</v>
      </c>
      <c r="G31" s="12" t="n">
        <f aca="false">MOD(INT($A31/2^0),2)</f>
        <v>0</v>
      </c>
      <c r="H31" s="18" t="n">
        <f aca="false">Eff_now+B31*Half_g*(Ceil_e-Eff_now)</f>
        <v>71</v>
      </c>
      <c r="I31" s="18" t="n">
        <f aca="false">H31+C31*Half_g*(Ceil_e-H31)</f>
        <v>71</v>
      </c>
      <c r="J31" s="18" t="n">
        <f aca="false">I31+D31*Half_g*(Ceil_e-I31)</f>
        <v>78</v>
      </c>
      <c r="K31" s="18" t="n">
        <f aca="false">J31+E31*Half_g*(Ceil_e-J31)</f>
        <v>81.5</v>
      </c>
      <c r="L31" s="18" t="n">
        <f aca="false">K31+F31*Half_g*(Ceil_e-K31)</f>
        <v>83.25</v>
      </c>
      <c r="M31" s="18" t="n">
        <f aca="false">L31+G31*Half_g*(Ceil_e-L31)</f>
        <v>83.25</v>
      </c>
      <c r="N31" s="13" t="n">
        <f aca="false">Val_pt*(H31-Eff_now)</f>
        <v>0</v>
      </c>
      <c r="O31" s="13" t="n">
        <f aca="false">Val_pt*(I31-Eff_now)</f>
        <v>0</v>
      </c>
      <c r="P31" s="13" t="n">
        <f aca="false">Val_pt*(J31-Eff_now)</f>
        <v>70</v>
      </c>
      <c r="Q31" s="13" t="n">
        <f aca="false">Val_pt*(K31-Eff_now)</f>
        <v>105</v>
      </c>
      <c r="R31" s="13" t="n">
        <f aca="false">Val_pt*(L31-Eff_now)</f>
        <v>122.5</v>
      </c>
      <c r="S31" s="13" t="n">
        <f aca="false">Val_pt*(M31-Eff_now)</f>
        <v>122.5</v>
      </c>
      <c r="T31" s="13" t="n">
        <f aca="false">S_max*(1-2^(-(SUM($B31:B31))))</f>
        <v>0</v>
      </c>
      <c r="U31" s="13" t="n">
        <f aca="false">S_max*(1-2^(-(SUM($B31:C31))))</f>
        <v>0</v>
      </c>
      <c r="V31" s="13" t="n">
        <f aca="false">S_max*(1-2^(-(SUM($B31:D31))))</f>
        <v>70</v>
      </c>
      <c r="W31" s="13" t="n">
        <f aca="false">S_max*(1-2^(-(SUM($B31:E31))))</f>
        <v>105</v>
      </c>
      <c r="X31" s="13" t="n">
        <f aca="false">S_max*(1-2^(-(SUM($B31:F31))))</f>
        <v>122.5</v>
      </c>
      <c r="Y31" s="13" t="n">
        <f aca="false">S_max*(1-2^(-(SUM($B31:G31))))</f>
        <v>122.5</v>
      </c>
      <c r="Z31" s="16" t="n">
        <f aca="false">MAX(ABS(N31-T31),ABS(O31-U31),ABS(P31-V31),ABS(Q31-W31),ABS(R31-X31),ABS(S31-Y31))</f>
        <v>0</v>
      </c>
      <c r="AA31" s="13" t="n">
        <f aca="false">Liq_now-Cost_r*B31</f>
        <v>620</v>
      </c>
      <c r="AB31" s="13" t="n">
        <f aca="false">AG31-Cost_r*C31</f>
        <v>620</v>
      </c>
      <c r="AC31" s="13" t="n">
        <f aca="false">AH31-Cost_r*D31</f>
        <v>500</v>
      </c>
      <c r="AD31" s="13" t="n">
        <f aca="false">AI31-Cost_r*E31</f>
        <v>450</v>
      </c>
      <c r="AE31" s="13" t="n">
        <f aca="false">AJ31-Cost_r*F31</f>
        <v>435</v>
      </c>
      <c r="AF31" s="13" t="n">
        <f aca="false">AK31-Cost_r*G31</f>
        <v>557.5</v>
      </c>
      <c r="AG31" s="13" t="n">
        <f aca="false">AA31+N31</f>
        <v>620</v>
      </c>
      <c r="AH31" s="13" t="n">
        <f aca="false">AB31+O31</f>
        <v>620</v>
      </c>
      <c r="AI31" s="13" t="n">
        <f aca="false">AC31+P31</f>
        <v>570</v>
      </c>
      <c r="AJ31" s="13" t="n">
        <f aca="false">AD31+Q31</f>
        <v>555</v>
      </c>
      <c r="AK31" s="13" t="n">
        <f aca="false">AE31+R31</f>
        <v>557.5</v>
      </c>
      <c r="AL31" s="13" t="n">
        <f aca="false">AF31+S31</f>
        <v>680</v>
      </c>
      <c r="AM31" s="12" t="n">
        <f aca="false">SUM(B31:G31)</f>
        <v>3</v>
      </c>
      <c r="AN31" s="12" t="n">
        <f aca="false">IF(AND(MIN(AA31:AF31)&gt;=Floor_q,MIN(AG31:AL31)&gt;=Floor_q,AL31&gt;=Q_end,Cap_now&gt;=Cap_min),1,0)</f>
        <v>1</v>
      </c>
      <c r="AO31" s="13" t="n">
        <f aca="false">AL31-Q_end</f>
        <v>210</v>
      </c>
      <c r="AP31" s="17" t="n">
        <f aca="false">IF(AN31=1,AO31+Credit_M*S31,-1000000000)</f>
        <v>1435</v>
      </c>
      <c r="AQ31" s="17" t="n">
        <f aca="false">AP31+SUMPRODUCT(Relaxation!$C$23:$H$23,1-B31:G31)+SUMPRODUCT(Relaxation!$C$24:$H$24,B31:G31)</f>
        <v>1565.53152582876</v>
      </c>
      <c r="AR31" s="17" t="n">
        <f aca="false">IF($AN31=1,$AO31+AR$15*$S31,-1000000000)</f>
        <v>210</v>
      </c>
      <c r="AS31" s="17" t="n">
        <f aca="false">IF($AN31=1,$AO31+AS$15*$S31,-1000000000)</f>
        <v>822.5</v>
      </c>
      <c r="AT31" s="17" t="n">
        <f aca="false">IF($AN31=1,$AO31+AT$15*$S31,-1000000000)</f>
        <v>1435</v>
      </c>
      <c r="AU31" s="17" t="n">
        <f aca="false">IF($AN31=1,$AO31+AU$15*$S31,-1000000000)</f>
        <v>2660</v>
      </c>
      <c r="AV31" s="17" t="n">
        <f aca="false">IF($AN31=1,$AO31+AV$15*$S31,-1000000000)</f>
        <v>5110</v>
      </c>
      <c r="AW31" s="17" t="n">
        <f aca="false">IF($AN31=1,$AO31+AW$15*$S31,-1000000000)</f>
        <v>7560</v>
      </c>
      <c r="AX31" s="17" t="n">
        <f aca="false">IF($AN31=1,$AO31+AX$15*$S31,-1000000000)</f>
        <v>6825</v>
      </c>
    </row>
    <row r="32" customFormat="false" ht="15" hidden="false" customHeight="false" outlineLevel="0" collapsed="false">
      <c r="A32" s="12" t="n">
        <v>15</v>
      </c>
      <c r="B32" s="12" t="n">
        <f aca="false">MOD(INT($A32/2^5),2)</f>
        <v>0</v>
      </c>
      <c r="C32" s="12" t="n">
        <f aca="false">MOD(INT($A32/2^4),2)</f>
        <v>0</v>
      </c>
      <c r="D32" s="12" t="n">
        <f aca="false">MOD(INT($A32/2^3),2)</f>
        <v>1</v>
      </c>
      <c r="E32" s="12" t="n">
        <f aca="false">MOD(INT($A32/2^2),2)</f>
        <v>1</v>
      </c>
      <c r="F32" s="12" t="n">
        <f aca="false">MOD(INT($A32/2^1),2)</f>
        <v>1</v>
      </c>
      <c r="G32" s="12" t="n">
        <f aca="false">MOD(INT($A32/2^0),2)</f>
        <v>1</v>
      </c>
      <c r="H32" s="18" t="n">
        <f aca="false">Eff_now+B32*Half_g*(Ceil_e-Eff_now)</f>
        <v>71</v>
      </c>
      <c r="I32" s="18" t="n">
        <f aca="false">H32+C32*Half_g*(Ceil_e-H32)</f>
        <v>71</v>
      </c>
      <c r="J32" s="18" t="n">
        <f aca="false">I32+D32*Half_g*(Ceil_e-I32)</f>
        <v>78</v>
      </c>
      <c r="K32" s="18" t="n">
        <f aca="false">J32+E32*Half_g*(Ceil_e-J32)</f>
        <v>81.5</v>
      </c>
      <c r="L32" s="18" t="n">
        <f aca="false">K32+F32*Half_g*(Ceil_e-K32)</f>
        <v>83.25</v>
      </c>
      <c r="M32" s="18" t="n">
        <f aca="false">L32+G32*Half_g*(Ceil_e-L32)</f>
        <v>84.125</v>
      </c>
      <c r="N32" s="13" t="n">
        <f aca="false">Val_pt*(H32-Eff_now)</f>
        <v>0</v>
      </c>
      <c r="O32" s="13" t="n">
        <f aca="false">Val_pt*(I32-Eff_now)</f>
        <v>0</v>
      </c>
      <c r="P32" s="13" t="n">
        <f aca="false">Val_pt*(J32-Eff_now)</f>
        <v>70</v>
      </c>
      <c r="Q32" s="13" t="n">
        <f aca="false">Val_pt*(K32-Eff_now)</f>
        <v>105</v>
      </c>
      <c r="R32" s="13" t="n">
        <f aca="false">Val_pt*(L32-Eff_now)</f>
        <v>122.5</v>
      </c>
      <c r="S32" s="13" t="n">
        <f aca="false">Val_pt*(M32-Eff_now)</f>
        <v>131.25</v>
      </c>
      <c r="T32" s="13" t="n">
        <f aca="false">S_max*(1-2^(-(SUM($B32:B32))))</f>
        <v>0</v>
      </c>
      <c r="U32" s="13" t="n">
        <f aca="false">S_max*(1-2^(-(SUM($B32:C32))))</f>
        <v>0</v>
      </c>
      <c r="V32" s="13" t="n">
        <f aca="false">S_max*(1-2^(-(SUM($B32:D32))))</f>
        <v>70</v>
      </c>
      <c r="W32" s="13" t="n">
        <f aca="false">S_max*(1-2^(-(SUM($B32:E32))))</f>
        <v>105</v>
      </c>
      <c r="X32" s="13" t="n">
        <f aca="false">S_max*(1-2^(-(SUM($B32:F32))))</f>
        <v>122.5</v>
      </c>
      <c r="Y32" s="13" t="n">
        <f aca="false">S_max*(1-2^(-(SUM($B32:G32))))</f>
        <v>131.25</v>
      </c>
      <c r="Z32" s="16" t="n">
        <f aca="false">MAX(ABS(N32-T32),ABS(O32-U32),ABS(P32-V32),ABS(Q32-W32),ABS(R32-X32),ABS(S32-Y32))</f>
        <v>0</v>
      </c>
      <c r="AA32" s="13" t="n">
        <f aca="false">Liq_now-Cost_r*B32</f>
        <v>620</v>
      </c>
      <c r="AB32" s="13" t="n">
        <f aca="false">AG32-Cost_r*C32</f>
        <v>620</v>
      </c>
      <c r="AC32" s="13" t="n">
        <f aca="false">AH32-Cost_r*D32</f>
        <v>500</v>
      </c>
      <c r="AD32" s="13" t="n">
        <f aca="false">AI32-Cost_r*E32</f>
        <v>450</v>
      </c>
      <c r="AE32" s="13" t="n">
        <f aca="false">AJ32-Cost_r*F32</f>
        <v>435</v>
      </c>
      <c r="AF32" s="13" t="n">
        <f aca="false">AK32-Cost_r*G32</f>
        <v>437.5</v>
      </c>
      <c r="AG32" s="13" t="n">
        <f aca="false">AA32+N32</f>
        <v>620</v>
      </c>
      <c r="AH32" s="13" t="n">
        <f aca="false">AB32+O32</f>
        <v>620</v>
      </c>
      <c r="AI32" s="13" t="n">
        <f aca="false">AC32+P32</f>
        <v>570</v>
      </c>
      <c r="AJ32" s="13" t="n">
        <f aca="false">AD32+Q32</f>
        <v>555</v>
      </c>
      <c r="AK32" s="13" t="n">
        <f aca="false">AE32+R32</f>
        <v>557.5</v>
      </c>
      <c r="AL32" s="13" t="n">
        <f aca="false">AF32+S32</f>
        <v>568.75</v>
      </c>
      <c r="AM32" s="12" t="n">
        <f aca="false">SUM(B32:G32)</f>
        <v>4</v>
      </c>
      <c r="AN32" s="12" t="n">
        <f aca="false">IF(AND(MIN(AA32:AF32)&gt;=Floor_q,MIN(AG32:AL32)&gt;=Floor_q,AL32&gt;=Q_end,Cap_now&gt;=Cap_min),1,0)</f>
        <v>1</v>
      </c>
      <c r="AO32" s="13" t="n">
        <f aca="false">AL32-Q_end</f>
        <v>98.75</v>
      </c>
      <c r="AP32" s="17" t="n">
        <f aca="false">IF(AN32=1,AO32+Credit_M*S32,-1000000000)</f>
        <v>1411.25</v>
      </c>
      <c r="AQ32" s="17" t="n">
        <f aca="false">AP32+SUMPRODUCT(Relaxation!$C$23:$H$23,1-B32:G32)+SUMPRODUCT(Relaxation!$C$24:$H$24,B32:G32)</f>
        <v>1560.2430642903</v>
      </c>
      <c r="AR32" s="17" t="n">
        <f aca="false">IF($AN32=1,$AO32+AR$15*$S32,-1000000000)</f>
        <v>98.75</v>
      </c>
      <c r="AS32" s="17" t="n">
        <f aca="false">IF($AN32=1,$AO32+AS$15*$S32,-1000000000)</f>
        <v>755</v>
      </c>
      <c r="AT32" s="17" t="n">
        <f aca="false">IF($AN32=1,$AO32+AT$15*$S32,-1000000000)</f>
        <v>1411.25</v>
      </c>
      <c r="AU32" s="17" t="n">
        <f aca="false">IF($AN32=1,$AO32+AU$15*$S32,-1000000000)</f>
        <v>2723.75</v>
      </c>
      <c r="AV32" s="17" t="n">
        <f aca="false">IF($AN32=1,$AO32+AV$15*$S32,-1000000000)</f>
        <v>5348.75</v>
      </c>
      <c r="AW32" s="17" t="n">
        <f aca="false">IF($AN32=1,$AO32+AW$15*$S32,-1000000000)</f>
        <v>7973.75</v>
      </c>
      <c r="AX32" s="17" t="n">
        <f aca="false">IF($AN32=1,$AO32+AX$15*$S32,-1000000000)</f>
        <v>7186.25</v>
      </c>
    </row>
    <row r="33" customFormat="false" ht="15" hidden="false" customHeight="false" outlineLevel="0" collapsed="false">
      <c r="A33" s="12" t="n">
        <v>16</v>
      </c>
      <c r="B33" s="12" t="n">
        <f aca="false">MOD(INT($A33/2^5),2)</f>
        <v>0</v>
      </c>
      <c r="C33" s="12" t="n">
        <f aca="false">MOD(INT($A33/2^4),2)</f>
        <v>1</v>
      </c>
      <c r="D33" s="12" t="n">
        <f aca="false">MOD(INT($A33/2^3),2)</f>
        <v>0</v>
      </c>
      <c r="E33" s="12" t="n">
        <f aca="false">MOD(INT($A33/2^2),2)</f>
        <v>0</v>
      </c>
      <c r="F33" s="12" t="n">
        <f aca="false">MOD(INT($A33/2^1),2)</f>
        <v>0</v>
      </c>
      <c r="G33" s="12" t="n">
        <f aca="false">MOD(INT($A33/2^0),2)</f>
        <v>0</v>
      </c>
      <c r="H33" s="18" t="n">
        <f aca="false">Eff_now+B33*Half_g*(Ceil_e-Eff_now)</f>
        <v>71</v>
      </c>
      <c r="I33" s="18" t="n">
        <f aca="false">H33+C33*Half_g*(Ceil_e-H33)</f>
        <v>78</v>
      </c>
      <c r="J33" s="18" t="n">
        <f aca="false">I33+D33*Half_g*(Ceil_e-I33)</f>
        <v>78</v>
      </c>
      <c r="K33" s="18" t="n">
        <f aca="false">J33+E33*Half_g*(Ceil_e-J33)</f>
        <v>78</v>
      </c>
      <c r="L33" s="18" t="n">
        <f aca="false">K33+F33*Half_g*(Ceil_e-K33)</f>
        <v>78</v>
      </c>
      <c r="M33" s="18" t="n">
        <f aca="false">L33+G33*Half_g*(Ceil_e-L33)</f>
        <v>78</v>
      </c>
      <c r="N33" s="13" t="n">
        <f aca="false">Val_pt*(H33-Eff_now)</f>
        <v>0</v>
      </c>
      <c r="O33" s="13" t="n">
        <f aca="false">Val_pt*(I33-Eff_now)</f>
        <v>70</v>
      </c>
      <c r="P33" s="13" t="n">
        <f aca="false">Val_pt*(J33-Eff_now)</f>
        <v>70</v>
      </c>
      <c r="Q33" s="13" t="n">
        <f aca="false">Val_pt*(K33-Eff_now)</f>
        <v>70</v>
      </c>
      <c r="R33" s="13" t="n">
        <f aca="false">Val_pt*(L33-Eff_now)</f>
        <v>70</v>
      </c>
      <c r="S33" s="13" t="n">
        <f aca="false">Val_pt*(M33-Eff_now)</f>
        <v>70</v>
      </c>
      <c r="T33" s="13" t="n">
        <f aca="false">S_max*(1-2^(-(SUM($B33:B33))))</f>
        <v>0</v>
      </c>
      <c r="U33" s="13" t="n">
        <f aca="false">S_max*(1-2^(-(SUM($B33:C33))))</f>
        <v>70</v>
      </c>
      <c r="V33" s="13" t="n">
        <f aca="false">S_max*(1-2^(-(SUM($B33:D33))))</f>
        <v>70</v>
      </c>
      <c r="W33" s="13" t="n">
        <f aca="false">S_max*(1-2^(-(SUM($B33:E33))))</f>
        <v>70</v>
      </c>
      <c r="X33" s="13" t="n">
        <f aca="false">S_max*(1-2^(-(SUM($B33:F33))))</f>
        <v>70</v>
      </c>
      <c r="Y33" s="13" t="n">
        <f aca="false">S_max*(1-2^(-(SUM($B33:G33))))</f>
        <v>70</v>
      </c>
      <c r="Z33" s="16" t="n">
        <f aca="false">MAX(ABS(N33-T33),ABS(O33-U33),ABS(P33-V33),ABS(Q33-W33),ABS(R33-X33),ABS(S33-Y33))</f>
        <v>0</v>
      </c>
      <c r="AA33" s="13" t="n">
        <f aca="false">Liq_now-Cost_r*B33</f>
        <v>620</v>
      </c>
      <c r="AB33" s="13" t="n">
        <f aca="false">AG33-Cost_r*C33</f>
        <v>500</v>
      </c>
      <c r="AC33" s="13" t="n">
        <f aca="false">AH33-Cost_r*D33</f>
        <v>570</v>
      </c>
      <c r="AD33" s="13" t="n">
        <f aca="false">AI33-Cost_r*E33</f>
        <v>640</v>
      </c>
      <c r="AE33" s="13" t="n">
        <f aca="false">AJ33-Cost_r*F33</f>
        <v>710</v>
      </c>
      <c r="AF33" s="13" t="n">
        <f aca="false">AK33-Cost_r*G33</f>
        <v>780</v>
      </c>
      <c r="AG33" s="13" t="n">
        <f aca="false">AA33+N33</f>
        <v>620</v>
      </c>
      <c r="AH33" s="13" t="n">
        <f aca="false">AB33+O33</f>
        <v>570</v>
      </c>
      <c r="AI33" s="13" t="n">
        <f aca="false">AC33+P33</f>
        <v>640</v>
      </c>
      <c r="AJ33" s="13" t="n">
        <f aca="false">AD33+Q33</f>
        <v>710</v>
      </c>
      <c r="AK33" s="13" t="n">
        <f aca="false">AE33+R33</f>
        <v>780</v>
      </c>
      <c r="AL33" s="13" t="n">
        <f aca="false">AF33+S33</f>
        <v>850</v>
      </c>
      <c r="AM33" s="12" t="n">
        <f aca="false">SUM(B33:G33)</f>
        <v>1</v>
      </c>
      <c r="AN33" s="12" t="n">
        <f aca="false">IF(AND(MIN(AA33:AF33)&gt;=Floor_q,MIN(AG33:AL33)&gt;=Floor_q,AL33&gt;=Q_end,Cap_now&gt;=Cap_min),1,0)</f>
        <v>1</v>
      </c>
      <c r="AO33" s="13" t="n">
        <f aca="false">AL33-Q_end</f>
        <v>380</v>
      </c>
      <c r="AP33" s="17" t="n">
        <f aca="false">IF(AN33=1,AO33+Credit_M*S33,-1000000000)</f>
        <v>1080</v>
      </c>
      <c r="AQ33" s="17" t="n">
        <f aca="false">AP33+SUMPRODUCT(Relaxation!$C$23:$H$23,1-B33:G33)+SUMPRODUCT(Relaxation!$C$24:$H$24,B33:G33)</f>
        <v>1177.04060527839</v>
      </c>
      <c r="AR33" s="17" t="n">
        <f aca="false">IF($AN33=1,$AO33+AR$15*$S33,-1000000000)</f>
        <v>380</v>
      </c>
      <c r="AS33" s="17" t="n">
        <f aca="false">IF($AN33=1,$AO33+AS$15*$S33,-1000000000)</f>
        <v>730</v>
      </c>
      <c r="AT33" s="17" t="n">
        <f aca="false">IF($AN33=1,$AO33+AT$15*$S33,-1000000000)</f>
        <v>1080</v>
      </c>
      <c r="AU33" s="17" t="n">
        <f aca="false">IF($AN33=1,$AO33+AU$15*$S33,-1000000000)</f>
        <v>1780</v>
      </c>
      <c r="AV33" s="17" t="n">
        <f aca="false">IF($AN33=1,$AO33+AV$15*$S33,-1000000000)</f>
        <v>3180</v>
      </c>
      <c r="AW33" s="17" t="n">
        <f aca="false">IF($AN33=1,$AO33+AW$15*$S33,-1000000000)</f>
        <v>4580</v>
      </c>
      <c r="AX33" s="17" t="n">
        <f aca="false">IF($AN33=1,$AO33+AX$15*$S33,-1000000000)</f>
        <v>4160</v>
      </c>
    </row>
    <row r="34" customFormat="false" ht="15" hidden="false" customHeight="false" outlineLevel="0" collapsed="false">
      <c r="A34" s="12" t="n">
        <v>17</v>
      </c>
      <c r="B34" s="12" t="n">
        <f aca="false">MOD(INT($A34/2^5),2)</f>
        <v>0</v>
      </c>
      <c r="C34" s="12" t="n">
        <f aca="false">MOD(INT($A34/2^4),2)</f>
        <v>1</v>
      </c>
      <c r="D34" s="12" t="n">
        <f aca="false">MOD(INT($A34/2^3),2)</f>
        <v>0</v>
      </c>
      <c r="E34" s="12" t="n">
        <f aca="false">MOD(INT($A34/2^2),2)</f>
        <v>0</v>
      </c>
      <c r="F34" s="12" t="n">
        <f aca="false">MOD(INT($A34/2^1),2)</f>
        <v>0</v>
      </c>
      <c r="G34" s="12" t="n">
        <f aca="false">MOD(INT($A34/2^0),2)</f>
        <v>1</v>
      </c>
      <c r="H34" s="18" t="n">
        <f aca="false">Eff_now+B34*Half_g*(Ceil_e-Eff_now)</f>
        <v>71</v>
      </c>
      <c r="I34" s="18" t="n">
        <f aca="false">H34+C34*Half_g*(Ceil_e-H34)</f>
        <v>78</v>
      </c>
      <c r="J34" s="18" t="n">
        <f aca="false">I34+D34*Half_g*(Ceil_e-I34)</f>
        <v>78</v>
      </c>
      <c r="K34" s="18" t="n">
        <f aca="false">J34+E34*Half_g*(Ceil_e-J34)</f>
        <v>78</v>
      </c>
      <c r="L34" s="18" t="n">
        <f aca="false">K34+F34*Half_g*(Ceil_e-K34)</f>
        <v>78</v>
      </c>
      <c r="M34" s="18" t="n">
        <f aca="false">L34+G34*Half_g*(Ceil_e-L34)</f>
        <v>81.5</v>
      </c>
      <c r="N34" s="13" t="n">
        <f aca="false">Val_pt*(H34-Eff_now)</f>
        <v>0</v>
      </c>
      <c r="O34" s="13" t="n">
        <f aca="false">Val_pt*(I34-Eff_now)</f>
        <v>70</v>
      </c>
      <c r="P34" s="13" t="n">
        <f aca="false">Val_pt*(J34-Eff_now)</f>
        <v>70</v>
      </c>
      <c r="Q34" s="13" t="n">
        <f aca="false">Val_pt*(K34-Eff_now)</f>
        <v>70</v>
      </c>
      <c r="R34" s="13" t="n">
        <f aca="false">Val_pt*(L34-Eff_now)</f>
        <v>70</v>
      </c>
      <c r="S34" s="13" t="n">
        <f aca="false">Val_pt*(M34-Eff_now)</f>
        <v>105</v>
      </c>
      <c r="T34" s="13" t="n">
        <f aca="false">S_max*(1-2^(-(SUM($B34:B34))))</f>
        <v>0</v>
      </c>
      <c r="U34" s="13" t="n">
        <f aca="false">S_max*(1-2^(-(SUM($B34:C34))))</f>
        <v>70</v>
      </c>
      <c r="V34" s="13" t="n">
        <f aca="false">S_max*(1-2^(-(SUM($B34:D34))))</f>
        <v>70</v>
      </c>
      <c r="W34" s="13" t="n">
        <f aca="false">S_max*(1-2^(-(SUM($B34:E34))))</f>
        <v>70</v>
      </c>
      <c r="X34" s="13" t="n">
        <f aca="false">S_max*(1-2^(-(SUM($B34:F34))))</f>
        <v>70</v>
      </c>
      <c r="Y34" s="13" t="n">
        <f aca="false">S_max*(1-2^(-(SUM($B34:G34))))</f>
        <v>105</v>
      </c>
      <c r="Z34" s="16" t="n">
        <f aca="false">MAX(ABS(N34-T34),ABS(O34-U34),ABS(P34-V34),ABS(Q34-W34),ABS(R34-X34),ABS(S34-Y34))</f>
        <v>0</v>
      </c>
      <c r="AA34" s="13" t="n">
        <f aca="false">Liq_now-Cost_r*B34</f>
        <v>620</v>
      </c>
      <c r="AB34" s="13" t="n">
        <f aca="false">AG34-Cost_r*C34</f>
        <v>500</v>
      </c>
      <c r="AC34" s="13" t="n">
        <f aca="false">AH34-Cost_r*D34</f>
        <v>570</v>
      </c>
      <c r="AD34" s="13" t="n">
        <f aca="false">AI34-Cost_r*E34</f>
        <v>640</v>
      </c>
      <c r="AE34" s="13" t="n">
        <f aca="false">AJ34-Cost_r*F34</f>
        <v>710</v>
      </c>
      <c r="AF34" s="13" t="n">
        <f aca="false">AK34-Cost_r*G34</f>
        <v>660</v>
      </c>
      <c r="AG34" s="13" t="n">
        <f aca="false">AA34+N34</f>
        <v>620</v>
      </c>
      <c r="AH34" s="13" t="n">
        <f aca="false">AB34+O34</f>
        <v>570</v>
      </c>
      <c r="AI34" s="13" t="n">
        <f aca="false">AC34+P34</f>
        <v>640</v>
      </c>
      <c r="AJ34" s="13" t="n">
        <f aca="false">AD34+Q34</f>
        <v>710</v>
      </c>
      <c r="AK34" s="13" t="n">
        <f aca="false">AE34+R34</f>
        <v>780</v>
      </c>
      <c r="AL34" s="13" t="n">
        <f aca="false">AF34+S34</f>
        <v>765</v>
      </c>
      <c r="AM34" s="12" t="n">
        <f aca="false">SUM(B34:G34)</f>
        <v>2</v>
      </c>
      <c r="AN34" s="12" t="n">
        <f aca="false">IF(AND(MIN(AA34:AF34)&gt;=Floor_q,MIN(AG34:AL34)&gt;=Floor_q,AL34&gt;=Q_end,Cap_now&gt;=Cap_min),1,0)</f>
        <v>1</v>
      </c>
      <c r="AO34" s="13" t="n">
        <f aca="false">AL34-Q_end</f>
        <v>295</v>
      </c>
      <c r="AP34" s="17" t="n">
        <f aca="false">IF(AN34=1,AO34+Credit_M*S34,-1000000000)</f>
        <v>1345</v>
      </c>
      <c r="AQ34" s="17" t="n">
        <f aca="false">AP34+SUMPRODUCT(Relaxation!$C$23:$H$23,1-B34:G34)+SUMPRODUCT(Relaxation!$C$24:$H$24,B34:G34)</f>
        <v>1460.50214373993</v>
      </c>
      <c r="AR34" s="17" t="n">
        <f aca="false">IF($AN34=1,$AO34+AR$15*$S34,-1000000000)</f>
        <v>295</v>
      </c>
      <c r="AS34" s="17" t="n">
        <f aca="false">IF($AN34=1,$AO34+AS$15*$S34,-1000000000)</f>
        <v>820</v>
      </c>
      <c r="AT34" s="17" t="n">
        <f aca="false">IF($AN34=1,$AO34+AT$15*$S34,-1000000000)</f>
        <v>1345</v>
      </c>
      <c r="AU34" s="17" t="n">
        <f aca="false">IF($AN34=1,$AO34+AU$15*$S34,-1000000000)</f>
        <v>2395</v>
      </c>
      <c r="AV34" s="17" t="n">
        <f aca="false">IF($AN34=1,$AO34+AV$15*$S34,-1000000000)</f>
        <v>4495</v>
      </c>
      <c r="AW34" s="17" t="n">
        <f aca="false">IF($AN34=1,$AO34+AW$15*$S34,-1000000000)</f>
        <v>6595</v>
      </c>
      <c r="AX34" s="17" t="n">
        <f aca="false">IF($AN34=1,$AO34+AX$15*$S34,-1000000000)</f>
        <v>5965</v>
      </c>
    </row>
    <row r="35" customFormat="false" ht="15" hidden="false" customHeight="false" outlineLevel="0" collapsed="false">
      <c r="A35" s="12" t="n">
        <v>18</v>
      </c>
      <c r="B35" s="12" t="n">
        <f aca="false">MOD(INT($A35/2^5),2)</f>
        <v>0</v>
      </c>
      <c r="C35" s="12" t="n">
        <f aca="false">MOD(INT($A35/2^4),2)</f>
        <v>1</v>
      </c>
      <c r="D35" s="12" t="n">
        <f aca="false">MOD(INT($A35/2^3),2)</f>
        <v>0</v>
      </c>
      <c r="E35" s="12" t="n">
        <f aca="false">MOD(INT($A35/2^2),2)</f>
        <v>0</v>
      </c>
      <c r="F35" s="12" t="n">
        <f aca="false">MOD(INT($A35/2^1),2)</f>
        <v>1</v>
      </c>
      <c r="G35" s="12" t="n">
        <f aca="false">MOD(INT($A35/2^0),2)</f>
        <v>0</v>
      </c>
      <c r="H35" s="18" t="n">
        <f aca="false">Eff_now+B35*Half_g*(Ceil_e-Eff_now)</f>
        <v>71</v>
      </c>
      <c r="I35" s="18" t="n">
        <f aca="false">H35+C35*Half_g*(Ceil_e-H35)</f>
        <v>78</v>
      </c>
      <c r="J35" s="18" t="n">
        <f aca="false">I35+D35*Half_g*(Ceil_e-I35)</f>
        <v>78</v>
      </c>
      <c r="K35" s="18" t="n">
        <f aca="false">J35+E35*Half_g*(Ceil_e-J35)</f>
        <v>78</v>
      </c>
      <c r="L35" s="18" t="n">
        <f aca="false">K35+F35*Half_g*(Ceil_e-K35)</f>
        <v>81.5</v>
      </c>
      <c r="M35" s="18" t="n">
        <f aca="false">L35+G35*Half_g*(Ceil_e-L35)</f>
        <v>81.5</v>
      </c>
      <c r="N35" s="13" t="n">
        <f aca="false">Val_pt*(H35-Eff_now)</f>
        <v>0</v>
      </c>
      <c r="O35" s="13" t="n">
        <f aca="false">Val_pt*(I35-Eff_now)</f>
        <v>70</v>
      </c>
      <c r="P35" s="13" t="n">
        <f aca="false">Val_pt*(J35-Eff_now)</f>
        <v>70</v>
      </c>
      <c r="Q35" s="13" t="n">
        <f aca="false">Val_pt*(K35-Eff_now)</f>
        <v>70</v>
      </c>
      <c r="R35" s="13" t="n">
        <f aca="false">Val_pt*(L35-Eff_now)</f>
        <v>105</v>
      </c>
      <c r="S35" s="13" t="n">
        <f aca="false">Val_pt*(M35-Eff_now)</f>
        <v>105</v>
      </c>
      <c r="T35" s="13" t="n">
        <f aca="false">S_max*(1-2^(-(SUM($B35:B35))))</f>
        <v>0</v>
      </c>
      <c r="U35" s="13" t="n">
        <f aca="false">S_max*(1-2^(-(SUM($B35:C35))))</f>
        <v>70</v>
      </c>
      <c r="V35" s="13" t="n">
        <f aca="false">S_max*(1-2^(-(SUM($B35:D35))))</f>
        <v>70</v>
      </c>
      <c r="W35" s="13" t="n">
        <f aca="false">S_max*(1-2^(-(SUM($B35:E35))))</f>
        <v>70</v>
      </c>
      <c r="X35" s="13" t="n">
        <f aca="false">S_max*(1-2^(-(SUM($B35:F35))))</f>
        <v>105</v>
      </c>
      <c r="Y35" s="13" t="n">
        <f aca="false">S_max*(1-2^(-(SUM($B35:G35))))</f>
        <v>105</v>
      </c>
      <c r="Z35" s="16" t="n">
        <f aca="false">MAX(ABS(N35-T35),ABS(O35-U35),ABS(P35-V35),ABS(Q35-W35),ABS(R35-X35),ABS(S35-Y35))</f>
        <v>0</v>
      </c>
      <c r="AA35" s="13" t="n">
        <f aca="false">Liq_now-Cost_r*B35</f>
        <v>620</v>
      </c>
      <c r="AB35" s="13" t="n">
        <f aca="false">AG35-Cost_r*C35</f>
        <v>500</v>
      </c>
      <c r="AC35" s="13" t="n">
        <f aca="false">AH35-Cost_r*D35</f>
        <v>570</v>
      </c>
      <c r="AD35" s="13" t="n">
        <f aca="false">AI35-Cost_r*E35</f>
        <v>640</v>
      </c>
      <c r="AE35" s="13" t="n">
        <f aca="false">AJ35-Cost_r*F35</f>
        <v>590</v>
      </c>
      <c r="AF35" s="13" t="n">
        <f aca="false">AK35-Cost_r*G35</f>
        <v>695</v>
      </c>
      <c r="AG35" s="13" t="n">
        <f aca="false">AA35+N35</f>
        <v>620</v>
      </c>
      <c r="AH35" s="13" t="n">
        <f aca="false">AB35+O35</f>
        <v>570</v>
      </c>
      <c r="AI35" s="13" t="n">
        <f aca="false">AC35+P35</f>
        <v>640</v>
      </c>
      <c r="AJ35" s="13" t="n">
        <f aca="false">AD35+Q35</f>
        <v>710</v>
      </c>
      <c r="AK35" s="13" t="n">
        <f aca="false">AE35+R35</f>
        <v>695</v>
      </c>
      <c r="AL35" s="13" t="n">
        <f aca="false">AF35+S35</f>
        <v>800</v>
      </c>
      <c r="AM35" s="12" t="n">
        <f aca="false">SUM(B35:G35)</f>
        <v>2</v>
      </c>
      <c r="AN35" s="12" t="n">
        <f aca="false">IF(AND(MIN(AA35:AF35)&gt;=Floor_q,MIN(AG35:AL35)&gt;=Floor_q,AL35&gt;=Q_end,Cap_now&gt;=Cap_min),1,0)</f>
        <v>1</v>
      </c>
      <c r="AO35" s="13" t="n">
        <f aca="false">AL35-Q_end</f>
        <v>330</v>
      </c>
      <c r="AP35" s="17" t="n">
        <f aca="false">IF(AN35=1,AO35+Credit_M*S35,-1000000000)</f>
        <v>1380</v>
      </c>
      <c r="AQ35" s="17" t="n">
        <f aca="false">AP35+SUMPRODUCT(Relaxation!$C$23:$H$23,1-B35:G35)+SUMPRODUCT(Relaxation!$C$24:$H$24,B35:G35)</f>
        <v>1486.27137450916</v>
      </c>
      <c r="AR35" s="17" t="n">
        <f aca="false">IF($AN35=1,$AO35+AR$15*$S35,-1000000000)</f>
        <v>330</v>
      </c>
      <c r="AS35" s="17" t="n">
        <f aca="false">IF($AN35=1,$AO35+AS$15*$S35,-1000000000)</f>
        <v>855</v>
      </c>
      <c r="AT35" s="17" t="n">
        <f aca="false">IF($AN35=1,$AO35+AT$15*$S35,-1000000000)</f>
        <v>1380</v>
      </c>
      <c r="AU35" s="17" t="n">
        <f aca="false">IF($AN35=1,$AO35+AU$15*$S35,-1000000000)</f>
        <v>2430</v>
      </c>
      <c r="AV35" s="17" t="n">
        <f aca="false">IF($AN35=1,$AO35+AV$15*$S35,-1000000000)</f>
        <v>4530</v>
      </c>
      <c r="AW35" s="17" t="n">
        <f aca="false">IF($AN35=1,$AO35+AW$15*$S35,-1000000000)</f>
        <v>6630</v>
      </c>
      <c r="AX35" s="17" t="n">
        <f aca="false">IF($AN35=1,$AO35+AX$15*$S35,-1000000000)</f>
        <v>6000</v>
      </c>
    </row>
    <row r="36" customFormat="false" ht="15" hidden="false" customHeight="false" outlineLevel="0" collapsed="false">
      <c r="A36" s="12" t="n">
        <v>19</v>
      </c>
      <c r="B36" s="12" t="n">
        <f aca="false">MOD(INT($A36/2^5),2)</f>
        <v>0</v>
      </c>
      <c r="C36" s="12" t="n">
        <f aca="false">MOD(INT($A36/2^4),2)</f>
        <v>1</v>
      </c>
      <c r="D36" s="12" t="n">
        <f aca="false">MOD(INT($A36/2^3),2)</f>
        <v>0</v>
      </c>
      <c r="E36" s="12" t="n">
        <f aca="false">MOD(INT($A36/2^2),2)</f>
        <v>0</v>
      </c>
      <c r="F36" s="12" t="n">
        <f aca="false">MOD(INT($A36/2^1),2)</f>
        <v>1</v>
      </c>
      <c r="G36" s="12" t="n">
        <f aca="false">MOD(INT($A36/2^0),2)</f>
        <v>1</v>
      </c>
      <c r="H36" s="18" t="n">
        <f aca="false">Eff_now+B36*Half_g*(Ceil_e-Eff_now)</f>
        <v>71</v>
      </c>
      <c r="I36" s="18" t="n">
        <f aca="false">H36+C36*Half_g*(Ceil_e-H36)</f>
        <v>78</v>
      </c>
      <c r="J36" s="18" t="n">
        <f aca="false">I36+D36*Half_g*(Ceil_e-I36)</f>
        <v>78</v>
      </c>
      <c r="K36" s="18" t="n">
        <f aca="false">J36+E36*Half_g*(Ceil_e-J36)</f>
        <v>78</v>
      </c>
      <c r="L36" s="18" t="n">
        <f aca="false">K36+F36*Half_g*(Ceil_e-K36)</f>
        <v>81.5</v>
      </c>
      <c r="M36" s="18" t="n">
        <f aca="false">L36+G36*Half_g*(Ceil_e-L36)</f>
        <v>83.25</v>
      </c>
      <c r="N36" s="13" t="n">
        <f aca="false">Val_pt*(H36-Eff_now)</f>
        <v>0</v>
      </c>
      <c r="O36" s="13" t="n">
        <f aca="false">Val_pt*(I36-Eff_now)</f>
        <v>70</v>
      </c>
      <c r="P36" s="13" t="n">
        <f aca="false">Val_pt*(J36-Eff_now)</f>
        <v>70</v>
      </c>
      <c r="Q36" s="13" t="n">
        <f aca="false">Val_pt*(K36-Eff_now)</f>
        <v>70</v>
      </c>
      <c r="R36" s="13" t="n">
        <f aca="false">Val_pt*(L36-Eff_now)</f>
        <v>105</v>
      </c>
      <c r="S36" s="13" t="n">
        <f aca="false">Val_pt*(M36-Eff_now)</f>
        <v>122.5</v>
      </c>
      <c r="T36" s="13" t="n">
        <f aca="false">S_max*(1-2^(-(SUM($B36:B36))))</f>
        <v>0</v>
      </c>
      <c r="U36" s="13" t="n">
        <f aca="false">S_max*(1-2^(-(SUM($B36:C36))))</f>
        <v>70</v>
      </c>
      <c r="V36" s="13" t="n">
        <f aca="false">S_max*(1-2^(-(SUM($B36:D36))))</f>
        <v>70</v>
      </c>
      <c r="W36" s="13" t="n">
        <f aca="false">S_max*(1-2^(-(SUM($B36:E36))))</f>
        <v>70</v>
      </c>
      <c r="X36" s="13" t="n">
        <f aca="false">S_max*(1-2^(-(SUM($B36:F36))))</f>
        <v>105</v>
      </c>
      <c r="Y36" s="13" t="n">
        <f aca="false">S_max*(1-2^(-(SUM($B36:G36))))</f>
        <v>122.5</v>
      </c>
      <c r="Z36" s="16" t="n">
        <f aca="false">MAX(ABS(N36-T36),ABS(O36-U36),ABS(P36-V36),ABS(Q36-W36),ABS(R36-X36),ABS(S36-Y36))</f>
        <v>0</v>
      </c>
      <c r="AA36" s="13" t="n">
        <f aca="false">Liq_now-Cost_r*B36</f>
        <v>620</v>
      </c>
      <c r="AB36" s="13" t="n">
        <f aca="false">AG36-Cost_r*C36</f>
        <v>500</v>
      </c>
      <c r="AC36" s="13" t="n">
        <f aca="false">AH36-Cost_r*D36</f>
        <v>570</v>
      </c>
      <c r="AD36" s="13" t="n">
        <f aca="false">AI36-Cost_r*E36</f>
        <v>640</v>
      </c>
      <c r="AE36" s="13" t="n">
        <f aca="false">AJ36-Cost_r*F36</f>
        <v>590</v>
      </c>
      <c r="AF36" s="13" t="n">
        <f aca="false">AK36-Cost_r*G36</f>
        <v>575</v>
      </c>
      <c r="AG36" s="13" t="n">
        <f aca="false">AA36+N36</f>
        <v>620</v>
      </c>
      <c r="AH36" s="13" t="n">
        <f aca="false">AB36+O36</f>
        <v>570</v>
      </c>
      <c r="AI36" s="13" t="n">
        <f aca="false">AC36+P36</f>
        <v>640</v>
      </c>
      <c r="AJ36" s="13" t="n">
        <f aca="false">AD36+Q36</f>
        <v>710</v>
      </c>
      <c r="AK36" s="13" t="n">
        <f aca="false">AE36+R36</f>
        <v>695</v>
      </c>
      <c r="AL36" s="13" t="n">
        <f aca="false">AF36+S36</f>
        <v>697.5</v>
      </c>
      <c r="AM36" s="12" t="n">
        <f aca="false">SUM(B36:G36)</f>
        <v>3</v>
      </c>
      <c r="AN36" s="12" t="n">
        <f aca="false">IF(AND(MIN(AA36:AF36)&gt;=Floor_q,MIN(AG36:AL36)&gt;=Floor_q,AL36&gt;=Q_end,Cap_now&gt;=Cap_min),1,0)</f>
        <v>1</v>
      </c>
      <c r="AO36" s="13" t="n">
        <f aca="false">AL36-Q_end</f>
        <v>227.5</v>
      </c>
      <c r="AP36" s="17" t="n">
        <f aca="false">IF(AN36=1,AO36+Credit_M*S36,-1000000000)</f>
        <v>1452.5</v>
      </c>
      <c r="AQ36" s="17" t="n">
        <f aca="false">AP36+SUMPRODUCT(Relaxation!$C$23:$H$23,1-B36:G36)+SUMPRODUCT(Relaxation!$C$24:$H$24,B36:G36)</f>
        <v>1577.2329129707</v>
      </c>
      <c r="AR36" s="17" t="n">
        <f aca="false">IF($AN36=1,$AO36+AR$15*$S36,-1000000000)</f>
        <v>227.5</v>
      </c>
      <c r="AS36" s="17" t="n">
        <f aca="false">IF($AN36=1,$AO36+AS$15*$S36,-1000000000)</f>
        <v>840</v>
      </c>
      <c r="AT36" s="17" t="n">
        <f aca="false">IF($AN36=1,$AO36+AT$15*$S36,-1000000000)</f>
        <v>1452.5</v>
      </c>
      <c r="AU36" s="17" t="n">
        <f aca="false">IF($AN36=1,$AO36+AU$15*$S36,-1000000000)</f>
        <v>2677.5</v>
      </c>
      <c r="AV36" s="17" t="n">
        <f aca="false">IF($AN36=1,$AO36+AV$15*$S36,-1000000000)</f>
        <v>5127.5</v>
      </c>
      <c r="AW36" s="17" t="n">
        <f aca="false">IF($AN36=1,$AO36+AW$15*$S36,-1000000000)</f>
        <v>7577.5</v>
      </c>
      <c r="AX36" s="17" t="n">
        <f aca="false">IF($AN36=1,$AO36+AX$15*$S36,-1000000000)</f>
        <v>6842.5</v>
      </c>
    </row>
    <row r="37" customFormat="false" ht="15" hidden="false" customHeight="false" outlineLevel="0" collapsed="false">
      <c r="A37" s="12" t="n">
        <v>20</v>
      </c>
      <c r="B37" s="12" t="n">
        <f aca="false">MOD(INT($A37/2^5),2)</f>
        <v>0</v>
      </c>
      <c r="C37" s="12" t="n">
        <f aca="false">MOD(INT($A37/2^4),2)</f>
        <v>1</v>
      </c>
      <c r="D37" s="12" t="n">
        <f aca="false">MOD(INT($A37/2^3),2)</f>
        <v>0</v>
      </c>
      <c r="E37" s="12" t="n">
        <f aca="false">MOD(INT($A37/2^2),2)</f>
        <v>1</v>
      </c>
      <c r="F37" s="12" t="n">
        <f aca="false">MOD(INT($A37/2^1),2)</f>
        <v>0</v>
      </c>
      <c r="G37" s="12" t="n">
        <f aca="false">MOD(INT($A37/2^0),2)</f>
        <v>0</v>
      </c>
      <c r="H37" s="18" t="n">
        <f aca="false">Eff_now+B37*Half_g*(Ceil_e-Eff_now)</f>
        <v>71</v>
      </c>
      <c r="I37" s="18" t="n">
        <f aca="false">H37+C37*Half_g*(Ceil_e-H37)</f>
        <v>78</v>
      </c>
      <c r="J37" s="18" t="n">
        <f aca="false">I37+D37*Half_g*(Ceil_e-I37)</f>
        <v>78</v>
      </c>
      <c r="K37" s="18" t="n">
        <f aca="false">J37+E37*Half_g*(Ceil_e-J37)</f>
        <v>81.5</v>
      </c>
      <c r="L37" s="18" t="n">
        <f aca="false">K37+F37*Half_g*(Ceil_e-K37)</f>
        <v>81.5</v>
      </c>
      <c r="M37" s="18" t="n">
        <f aca="false">L37+G37*Half_g*(Ceil_e-L37)</f>
        <v>81.5</v>
      </c>
      <c r="N37" s="13" t="n">
        <f aca="false">Val_pt*(H37-Eff_now)</f>
        <v>0</v>
      </c>
      <c r="O37" s="13" t="n">
        <f aca="false">Val_pt*(I37-Eff_now)</f>
        <v>70</v>
      </c>
      <c r="P37" s="13" t="n">
        <f aca="false">Val_pt*(J37-Eff_now)</f>
        <v>70</v>
      </c>
      <c r="Q37" s="13" t="n">
        <f aca="false">Val_pt*(K37-Eff_now)</f>
        <v>105</v>
      </c>
      <c r="R37" s="13" t="n">
        <f aca="false">Val_pt*(L37-Eff_now)</f>
        <v>105</v>
      </c>
      <c r="S37" s="13" t="n">
        <f aca="false">Val_pt*(M37-Eff_now)</f>
        <v>105</v>
      </c>
      <c r="T37" s="13" t="n">
        <f aca="false">S_max*(1-2^(-(SUM($B37:B37))))</f>
        <v>0</v>
      </c>
      <c r="U37" s="13" t="n">
        <f aca="false">S_max*(1-2^(-(SUM($B37:C37))))</f>
        <v>70</v>
      </c>
      <c r="V37" s="13" t="n">
        <f aca="false">S_max*(1-2^(-(SUM($B37:D37))))</f>
        <v>70</v>
      </c>
      <c r="W37" s="13" t="n">
        <f aca="false">S_max*(1-2^(-(SUM($B37:E37))))</f>
        <v>105</v>
      </c>
      <c r="X37" s="13" t="n">
        <f aca="false">S_max*(1-2^(-(SUM($B37:F37))))</f>
        <v>105</v>
      </c>
      <c r="Y37" s="13" t="n">
        <f aca="false">S_max*(1-2^(-(SUM($B37:G37))))</f>
        <v>105</v>
      </c>
      <c r="Z37" s="16" t="n">
        <f aca="false">MAX(ABS(N37-T37),ABS(O37-U37),ABS(P37-V37),ABS(Q37-W37),ABS(R37-X37),ABS(S37-Y37))</f>
        <v>0</v>
      </c>
      <c r="AA37" s="13" t="n">
        <f aca="false">Liq_now-Cost_r*B37</f>
        <v>620</v>
      </c>
      <c r="AB37" s="13" t="n">
        <f aca="false">AG37-Cost_r*C37</f>
        <v>500</v>
      </c>
      <c r="AC37" s="13" t="n">
        <f aca="false">AH37-Cost_r*D37</f>
        <v>570</v>
      </c>
      <c r="AD37" s="13" t="n">
        <f aca="false">AI37-Cost_r*E37</f>
        <v>520</v>
      </c>
      <c r="AE37" s="13" t="n">
        <f aca="false">AJ37-Cost_r*F37</f>
        <v>625</v>
      </c>
      <c r="AF37" s="13" t="n">
        <f aca="false">AK37-Cost_r*G37</f>
        <v>730</v>
      </c>
      <c r="AG37" s="13" t="n">
        <f aca="false">AA37+N37</f>
        <v>620</v>
      </c>
      <c r="AH37" s="13" t="n">
        <f aca="false">AB37+O37</f>
        <v>570</v>
      </c>
      <c r="AI37" s="13" t="n">
        <f aca="false">AC37+P37</f>
        <v>640</v>
      </c>
      <c r="AJ37" s="13" t="n">
        <f aca="false">AD37+Q37</f>
        <v>625</v>
      </c>
      <c r="AK37" s="13" t="n">
        <f aca="false">AE37+R37</f>
        <v>730</v>
      </c>
      <c r="AL37" s="13" t="n">
        <f aca="false">AF37+S37</f>
        <v>835</v>
      </c>
      <c r="AM37" s="12" t="n">
        <f aca="false">SUM(B37:G37)</f>
        <v>2</v>
      </c>
      <c r="AN37" s="12" t="n">
        <f aca="false">IF(AND(MIN(AA37:AF37)&gt;=Floor_q,MIN(AG37:AL37)&gt;=Floor_q,AL37&gt;=Q_end,Cap_now&gt;=Cap_min),1,0)</f>
        <v>1</v>
      </c>
      <c r="AO37" s="13" t="n">
        <f aca="false">AL37-Q_end</f>
        <v>365</v>
      </c>
      <c r="AP37" s="17" t="n">
        <f aca="false">IF(AN37=1,AO37+Credit_M*S37,-1000000000)</f>
        <v>1415</v>
      </c>
      <c r="AQ37" s="17" t="n">
        <f aca="false">AP37+SUMPRODUCT(Relaxation!$C$23:$H$23,1-B37:G37)+SUMPRODUCT(Relaxation!$C$24:$H$24,B37:G37)</f>
        <v>1512.04060527839</v>
      </c>
      <c r="AR37" s="17" t="n">
        <f aca="false">IF($AN37=1,$AO37+AR$15*$S37,-1000000000)</f>
        <v>365</v>
      </c>
      <c r="AS37" s="17" t="n">
        <f aca="false">IF($AN37=1,$AO37+AS$15*$S37,-1000000000)</f>
        <v>890</v>
      </c>
      <c r="AT37" s="17" t="n">
        <f aca="false">IF($AN37=1,$AO37+AT$15*$S37,-1000000000)</f>
        <v>1415</v>
      </c>
      <c r="AU37" s="17" t="n">
        <f aca="false">IF($AN37=1,$AO37+AU$15*$S37,-1000000000)</f>
        <v>2465</v>
      </c>
      <c r="AV37" s="17" t="n">
        <f aca="false">IF($AN37=1,$AO37+AV$15*$S37,-1000000000)</f>
        <v>4565</v>
      </c>
      <c r="AW37" s="17" t="n">
        <f aca="false">IF($AN37=1,$AO37+AW$15*$S37,-1000000000)</f>
        <v>6665</v>
      </c>
      <c r="AX37" s="17" t="n">
        <f aca="false">IF($AN37=1,$AO37+AX$15*$S37,-1000000000)</f>
        <v>6035</v>
      </c>
    </row>
    <row r="38" customFormat="false" ht="15" hidden="false" customHeight="false" outlineLevel="0" collapsed="false">
      <c r="A38" s="12" t="n">
        <v>21</v>
      </c>
      <c r="B38" s="12" t="n">
        <f aca="false">MOD(INT($A38/2^5),2)</f>
        <v>0</v>
      </c>
      <c r="C38" s="12" t="n">
        <f aca="false">MOD(INT($A38/2^4),2)</f>
        <v>1</v>
      </c>
      <c r="D38" s="12" t="n">
        <f aca="false">MOD(INT($A38/2^3),2)</f>
        <v>0</v>
      </c>
      <c r="E38" s="12" t="n">
        <f aca="false">MOD(INT($A38/2^2),2)</f>
        <v>1</v>
      </c>
      <c r="F38" s="12" t="n">
        <f aca="false">MOD(INT($A38/2^1),2)</f>
        <v>0</v>
      </c>
      <c r="G38" s="12" t="n">
        <f aca="false">MOD(INT($A38/2^0),2)</f>
        <v>1</v>
      </c>
      <c r="H38" s="18" t="n">
        <f aca="false">Eff_now+B38*Half_g*(Ceil_e-Eff_now)</f>
        <v>71</v>
      </c>
      <c r="I38" s="18" t="n">
        <f aca="false">H38+C38*Half_g*(Ceil_e-H38)</f>
        <v>78</v>
      </c>
      <c r="J38" s="18" t="n">
        <f aca="false">I38+D38*Half_g*(Ceil_e-I38)</f>
        <v>78</v>
      </c>
      <c r="K38" s="18" t="n">
        <f aca="false">J38+E38*Half_g*(Ceil_e-J38)</f>
        <v>81.5</v>
      </c>
      <c r="L38" s="18" t="n">
        <f aca="false">K38+F38*Half_g*(Ceil_e-K38)</f>
        <v>81.5</v>
      </c>
      <c r="M38" s="18" t="n">
        <f aca="false">L38+G38*Half_g*(Ceil_e-L38)</f>
        <v>83.25</v>
      </c>
      <c r="N38" s="13" t="n">
        <f aca="false">Val_pt*(H38-Eff_now)</f>
        <v>0</v>
      </c>
      <c r="O38" s="13" t="n">
        <f aca="false">Val_pt*(I38-Eff_now)</f>
        <v>70</v>
      </c>
      <c r="P38" s="13" t="n">
        <f aca="false">Val_pt*(J38-Eff_now)</f>
        <v>70</v>
      </c>
      <c r="Q38" s="13" t="n">
        <f aca="false">Val_pt*(K38-Eff_now)</f>
        <v>105</v>
      </c>
      <c r="R38" s="13" t="n">
        <f aca="false">Val_pt*(L38-Eff_now)</f>
        <v>105</v>
      </c>
      <c r="S38" s="13" t="n">
        <f aca="false">Val_pt*(M38-Eff_now)</f>
        <v>122.5</v>
      </c>
      <c r="T38" s="13" t="n">
        <f aca="false">S_max*(1-2^(-(SUM($B38:B38))))</f>
        <v>0</v>
      </c>
      <c r="U38" s="13" t="n">
        <f aca="false">S_max*(1-2^(-(SUM($B38:C38))))</f>
        <v>70</v>
      </c>
      <c r="V38" s="13" t="n">
        <f aca="false">S_max*(1-2^(-(SUM($B38:D38))))</f>
        <v>70</v>
      </c>
      <c r="W38" s="13" t="n">
        <f aca="false">S_max*(1-2^(-(SUM($B38:E38))))</f>
        <v>105</v>
      </c>
      <c r="X38" s="13" t="n">
        <f aca="false">S_max*(1-2^(-(SUM($B38:F38))))</f>
        <v>105</v>
      </c>
      <c r="Y38" s="13" t="n">
        <f aca="false">S_max*(1-2^(-(SUM($B38:G38))))</f>
        <v>122.5</v>
      </c>
      <c r="Z38" s="16" t="n">
        <f aca="false">MAX(ABS(N38-T38),ABS(O38-U38),ABS(P38-V38),ABS(Q38-W38),ABS(R38-X38),ABS(S38-Y38))</f>
        <v>0</v>
      </c>
      <c r="AA38" s="13" t="n">
        <f aca="false">Liq_now-Cost_r*B38</f>
        <v>620</v>
      </c>
      <c r="AB38" s="13" t="n">
        <f aca="false">AG38-Cost_r*C38</f>
        <v>500</v>
      </c>
      <c r="AC38" s="13" t="n">
        <f aca="false">AH38-Cost_r*D38</f>
        <v>570</v>
      </c>
      <c r="AD38" s="13" t="n">
        <f aca="false">AI38-Cost_r*E38</f>
        <v>520</v>
      </c>
      <c r="AE38" s="13" t="n">
        <f aca="false">AJ38-Cost_r*F38</f>
        <v>625</v>
      </c>
      <c r="AF38" s="13" t="n">
        <f aca="false">AK38-Cost_r*G38</f>
        <v>610</v>
      </c>
      <c r="AG38" s="13" t="n">
        <f aca="false">AA38+N38</f>
        <v>620</v>
      </c>
      <c r="AH38" s="13" t="n">
        <f aca="false">AB38+O38</f>
        <v>570</v>
      </c>
      <c r="AI38" s="13" t="n">
        <f aca="false">AC38+P38</f>
        <v>640</v>
      </c>
      <c r="AJ38" s="13" t="n">
        <f aca="false">AD38+Q38</f>
        <v>625</v>
      </c>
      <c r="AK38" s="13" t="n">
        <f aca="false">AE38+R38</f>
        <v>730</v>
      </c>
      <c r="AL38" s="13" t="n">
        <f aca="false">AF38+S38</f>
        <v>732.5</v>
      </c>
      <c r="AM38" s="12" t="n">
        <f aca="false">SUM(B38:G38)</f>
        <v>3</v>
      </c>
      <c r="AN38" s="12" t="n">
        <f aca="false">IF(AND(MIN(AA38:AF38)&gt;=Floor_q,MIN(AG38:AL38)&gt;=Floor_q,AL38&gt;=Q_end,Cap_now&gt;=Cap_min),1,0)</f>
        <v>1</v>
      </c>
      <c r="AO38" s="13" t="n">
        <f aca="false">AL38-Q_end</f>
        <v>262.5</v>
      </c>
      <c r="AP38" s="17" t="n">
        <f aca="false">IF(AN38=1,AO38+Credit_M*S38,-1000000000)</f>
        <v>1487.5</v>
      </c>
      <c r="AQ38" s="17" t="n">
        <f aca="false">AP38+SUMPRODUCT(Relaxation!$C$23:$H$23,1-B38:G38)+SUMPRODUCT(Relaxation!$C$24:$H$24,B38:G38)</f>
        <v>1603.00214373993</v>
      </c>
      <c r="AR38" s="17" t="n">
        <f aca="false">IF($AN38=1,$AO38+AR$15*$S38,-1000000000)</f>
        <v>262.5</v>
      </c>
      <c r="AS38" s="17" t="n">
        <f aca="false">IF($AN38=1,$AO38+AS$15*$S38,-1000000000)</f>
        <v>875</v>
      </c>
      <c r="AT38" s="17" t="n">
        <f aca="false">IF($AN38=1,$AO38+AT$15*$S38,-1000000000)</f>
        <v>1487.5</v>
      </c>
      <c r="AU38" s="17" t="n">
        <f aca="false">IF($AN38=1,$AO38+AU$15*$S38,-1000000000)</f>
        <v>2712.5</v>
      </c>
      <c r="AV38" s="17" t="n">
        <f aca="false">IF($AN38=1,$AO38+AV$15*$S38,-1000000000)</f>
        <v>5162.5</v>
      </c>
      <c r="AW38" s="17" t="n">
        <f aca="false">IF($AN38=1,$AO38+AW$15*$S38,-1000000000)</f>
        <v>7612.5</v>
      </c>
      <c r="AX38" s="17" t="n">
        <f aca="false">IF($AN38=1,$AO38+AX$15*$S38,-1000000000)</f>
        <v>6877.5</v>
      </c>
    </row>
    <row r="39" customFormat="false" ht="15" hidden="false" customHeight="false" outlineLevel="0" collapsed="false">
      <c r="A39" s="12" t="n">
        <v>22</v>
      </c>
      <c r="B39" s="12" t="n">
        <f aca="false">MOD(INT($A39/2^5),2)</f>
        <v>0</v>
      </c>
      <c r="C39" s="12" t="n">
        <f aca="false">MOD(INT($A39/2^4),2)</f>
        <v>1</v>
      </c>
      <c r="D39" s="12" t="n">
        <f aca="false">MOD(INT($A39/2^3),2)</f>
        <v>0</v>
      </c>
      <c r="E39" s="12" t="n">
        <f aca="false">MOD(INT($A39/2^2),2)</f>
        <v>1</v>
      </c>
      <c r="F39" s="12" t="n">
        <f aca="false">MOD(INT($A39/2^1),2)</f>
        <v>1</v>
      </c>
      <c r="G39" s="12" t="n">
        <f aca="false">MOD(INT($A39/2^0),2)</f>
        <v>0</v>
      </c>
      <c r="H39" s="18" t="n">
        <f aca="false">Eff_now+B39*Half_g*(Ceil_e-Eff_now)</f>
        <v>71</v>
      </c>
      <c r="I39" s="18" t="n">
        <f aca="false">H39+C39*Half_g*(Ceil_e-H39)</f>
        <v>78</v>
      </c>
      <c r="J39" s="18" t="n">
        <f aca="false">I39+D39*Half_g*(Ceil_e-I39)</f>
        <v>78</v>
      </c>
      <c r="K39" s="18" t="n">
        <f aca="false">J39+E39*Half_g*(Ceil_e-J39)</f>
        <v>81.5</v>
      </c>
      <c r="L39" s="18" t="n">
        <f aca="false">K39+F39*Half_g*(Ceil_e-K39)</f>
        <v>83.25</v>
      </c>
      <c r="M39" s="18" t="n">
        <f aca="false">L39+G39*Half_g*(Ceil_e-L39)</f>
        <v>83.25</v>
      </c>
      <c r="N39" s="13" t="n">
        <f aca="false">Val_pt*(H39-Eff_now)</f>
        <v>0</v>
      </c>
      <c r="O39" s="13" t="n">
        <f aca="false">Val_pt*(I39-Eff_now)</f>
        <v>70</v>
      </c>
      <c r="P39" s="13" t="n">
        <f aca="false">Val_pt*(J39-Eff_now)</f>
        <v>70</v>
      </c>
      <c r="Q39" s="13" t="n">
        <f aca="false">Val_pt*(K39-Eff_now)</f>
        <v>105</v>
      </c>
      <c r="R39" s="13" t="n">
        <f aca="false">Val_pt*(L39-Eff_now)</f>
        <v>122.5</v>
      </c>
      <c r="S39" s="13" t="n">
        <f aca="false">Val_pt*(M39-Eff_now)</f>
        <v>122.5</v>
      </c>
      <c r="T39" s="13" t="n">
        <f aca="false">S_max*(1-2^(-(SUM($B39:B39))))</f>
        <v>0</v>
      </c>
      <c r="U39" s="13" t="n">
        <f aca="false">S_max*(1-2^(-(SUM($B39:C39))))</f>
        <v>70</v>
      </c>
      <c r="V39" s="13" t="n">
        <f aca="false">S_max*(1-2^(-(SUM($B39:D39))))</f>
        <v>70</v>
      </c>
      <c r="W39" s="13" t="n">
        <f aca="false">S_max*(1-2^(-(SUM($B39:E39))))</f>
        <v>105</v>
      </c>
      <c r="X39" s="13" t="n">
        <f aca="false">S_max*(1-2^(-(SUM($B39:F39))))</f>
        <v>122.5</v>
      </c>
      <c r="Y39" s="13" t="n">
        <f aca="false">S_max*(1-2^(-(SUM($B39:G39))))</f>
        <v>122.5</v>
      </c>
      <c r="Z39" s="16" t="n">
        <f aca="false">MAX(ABS(N39-T39),ABS(O39-U39),ABS(P39-V39),ABS(Q39-W39),ABS(R39-X39),ABS(S39-Y39))</f>
        <v>0</v>
      </c>
      <c r="AA39" s="13" t="n">
        <f aca="false">Liq_now-Cost_r*B39</f>
        <v>620</v>
      </c>
      <c r="AB39" s="13" t="n">
        <f aca="false">AG39-Cost_r*C39</f>
        <v>500</v>
      </c>
      <c r="AC39" s="13" t="n">
        <f aca="false">AH39-Cost_r*D39</f>
        <v>570</v>
      </c>
      <c r="AD39" s="13" t="n">
        <f aca="false">AI39-Cost_r*E39</f>
        <v>520</v>
      </c>
      <c r="AE39" s="13" t="n">
        <f aca="false">AJ39-Cost_r*F39</f>
        <v>505</v>
      </c>
      <c r="AF39" s="13" t="n">
        <f aca="false">AK39-Cost_r*G39</f>
        <v>627.5</v>
      </c>
      <c r="AG39" s="13" t="n">
        <f aca="false">AA39+N39</f>
        <v>620</v>
      </c>
      <c r="AH39" s="13" t="n">
        <f aca="false">AB39+O39</f>
        <v>570</v>
      </c>
      <c r="AI39" s="13" t="n">
        <f aca="false">AC39+P39</f>
        <v>640</v>
      </c>
      <c r="AJ39" s="13" t="n">
        <f aca="false">AD39+Q39</f>
        <v>625</v>
      </c>
      <c r="AK39" s="13" t="n">
        <f aca="false">AE39+R39</f>
        <v>627.5</v>
      </c>
      <c r="AL39" s="13" t="n">
        <f aca="false">AF39+S39</f>
        <v>750</v>
      </c>
      <c r="AM39" s="12" t="n">
        <f aca="false">SUM(B39:G39)</f>
        <v>3</v>
      </c>
      <c r="AN39" s="12" t="n">
        <f aca="false">IF(AND(MIN(AA39:AF39)&gt;=Floor_q,MIN(AG39:AL39)&gt;=Floor_q,AL39&gt;=Q_end,Cap_now&gt;=Cap_min),1,0)</f>
        <v>1</v>
      </c>
      <c r="AO39" s="13" t="n">
        <f aca="false">AL39-Q_end</f>
        <v>280</v>
      </c>
      <c r="AP39" s="17" t="n">
        <f aca="false">IF(AN39=1,AO39+Credit_M*S39,-1000000000)</f>
        <v>1505</v>
      </c>
      <c r="AQ39" s="17" t="n">
        <f aca="false">AP39+SUMPRODUCT(Relaxation!$C$23:$H$23,1-B39:G39)+SUMPRODUCT(Relaxation!$C$24:$H$24,B39:G39)</f>
        <v>1611.27137450916</v>
      </c>
      <c r="AR39" s="17" t="n">
        <f aca="false">IF($AN39=1,$AO39+AR$15*$S39,-1000000000)</f>
        <v>280</v>
      </c>
      <c r="AS39" s="17" t="n">
        <f aca="false">IF($AN39=1,$AO39+AS$15*$S39,-1000000000)</f>
        <v>892.5</v>
      </c>
      <c r="AT39" s="17" t="n">
        <f aca="false">IF($AN39=1,$AO39+AT$15*$S39,-1000000000)</f>
        <v>1505</v>
      </c>
      <c r="AU39" s="17" t="n">
        <f aca="false">IF($AN39=1,$AO39+AU$15*$S39,-1000000000)</f>
        <v>2730</v>
      </c>
      <c r="AV39" s="17" t="n">
        <f aca="false">IF($AN39=1,$AO39+AV$15*$S39,-1000000000)</f>
        <v>5180</v>
      </c>
      <c r="AW39" s="17" t="n">
        <f aca="false">IF($AN39=1,$AO39+AW$15*$S39,-1000000000)</f>
        <v>7630</v>
      </c>
      <c r="AX39" s="17" t="n">
        <f aca="false">IF($AN39=1,$AO39+AX$15*$S39,-1000000000)</f>
        <v>6895</v>
      </c>
    </row>
    <row r="40" customFormat="false" ht="15" hidden="false" customHeight="false" outlineLevel="0" collapsed="false">
      <c r="A40" s="12" t="n">
        <v>23</v>
      </c>
      <c r="B40" s="12" t="n">
        <f aca="false">MOD(INT($A40/2^5),2)</f>
        <v>0</v>
      </c>
      <c r="C40" s="12" t="n">
        <f aca="false">MOD(INT($A40/2^4),2)</f>
        <v>1</v>
      </c>
      <c r="D40" s="12" t="n">
        <f aca="false">MOD(INT($A40/2^3),2)</f>
        <v>0</v>
      </c>
      <c r="E40" s="12" t="n">
        <f aca="false">MOD(INT($A40/2^2),2)</f>
        <v>1</v>
      </c>
      <c r="F40" s="12" t="n">
        <f aca="false">MOD(INT($A40/2^1),2)</f>
        <v>1</v>
      </c>
      <c r="G40" s="12" t="n">
        <f aca="false">MOD(INT($A40/2^0),2)</f>
        <v>1</v>
      </c>
      <c r="H40" s="18" t="n">
        <f aca="false">Eff_now+B40*Half_g*(Ceil_e-Eff_now)</f>
        <v>71</v>
      </c>
      <c r="I40" s="18" t="n">
        <f aca="false">H40+C40*Half_g*(Ceil_e-H40)</f>
        <v>78</v>
      </c>
      <c r="J40" s="18" t="n">
        <f aca="false">I40+D40*Half_g*(Ceil_e-I40)</f>
        <v>78</v>
      </c>
      <c r="K40" s="18" t="n">
        <f aca="false">J40+E40*Half_g*(Ceil_e-J40)</f>
        <v>81.5</v>
      </c>
      <c r="L40" s="18" t="n">
        <f aca="false">K40+F40*Half_g*(Ceil_e-K40)</f>
        <v>83.25</v>
      </c>
      <c r="M40" s="18" t="n">
        <f aca="false">L40+G40*Half_g*(Ceil_e-L40)</f>
        <v>84.125</v>
      </c>
      <c r="N40" s="13" t="n">
        <f aca="false">Val_pt*(H40-Eff_now)</f>
        <v>0</v>
      </c>
      <c r="O40" s="13" t="n">
        <f aca="false">Val_pt*(I40-Eff_now)</f>
        <v>70</v>
      </c>
      <c r="P40" s="13" t="n">
        <f aca="false">Val_pt*(J40-Eff_now)</f>
        <v>70</v>
      </c>
      <c r="Q40" s="13" t="n">
        <f aca="false">Val_pt*(K40-Eff_now)</f>
        <v>105</v>
      </c>
      <c r="R40" s="13" t="n">
        <f aca="false">Val_pt*(L40-Eff_now)</f>
        <v>122.5</v>
      </c>
      <c r="S40" s="13" t="n">
        <f aca="false">Val_pt*(M40-Eff_now)</f>
        <v>131.25</v>
      </c>
      <c r="T40" s="13" t="n">
        <f aca="false">S_max*(1-2^(-(SUM($B40:B40))))</f>
        <v>0</v>
      </c>
      <c r="U40" s="13" t="n">
        <f aca="false">S_max*(1-2^(-(SUM($B40:C40))))</f>
        <v>70</v>
      </c>
      <c r="V40" s="13" t="n">
        <f aca="false">S_max*(1-2^(-(SUM($B40:D40))))</f>
        <v>70</v>
      </c>
      <c r="W40" s="13" t="n">
        <f aca="false">S_max*(1-2^(-(SUM($B40:E40))))</f>
        <v>105</v>
      </c>
      <c r="X40" s="13" t="n">
        <f aca="false">S_max*(1-2^(-(SUM($B40:F40))))</f>
        <v>122.5</v>
      </c>
      <c r="Y40" s="13" t="n">
        <f aca="false">S_max*(1-2^(-(SUM($B40:G40))))</f>
        <v>131.25</v>
      </c>
      <c r="Z40" s="16" t="n">
        <f aca="false">MAX(ABS(N40-T40),ABS(O40-U40),ABS(P40-V40),ABS(Q40-W40),ABS(R40-X40),ABS(S40-Y40))</f>
        <v>0</v>
      </c>
      <c r="AA40" s="13" t="n">
        <f aca="false">Liq_now-Cost_r*B40</f>
        <v>620</v>
      </c>
      <c r="AB40" s="13" t="n">
        <f aca="false">AG40-Cost_r*C40</f>
        <v>500</v>
      </c>
      <c r="AC40" s="13" t="n">
        <f aca="false">AH40-Cost_r*D40</f>
        <v>570</v>
      </c>
      <c r="AD40" s="13" t="n">
        <f aca="false">AI40-Cost_r*E40</f>
        <v>520</v>
      </c>
      <c r="AE40" s="13" t="n">
        <f aca="false">AJ40-Cost_r*F40</f>
        <v>505</v>
      </c>
      <c r="AF40" s="13" t="n">
        <f aca="false">AK40-Cost_r*G40</f>
        <v>507.5</v>
      </c>
      <c r="AG40" s="13" t="n">
        <f aca="false">AA40+N40</f>
        <v>620</v>
      </c>
      <c r="AH40" s="13" t="n">
        <f aca="false">AB40+O40</f>
        <v>570</v>
      </c>
      <c r="AI40" s="13" t="n">
        <f aca="false">AC40+P40</f>
        <v>640</v>
      </c>
      <c r="AJ40" s="13" t="n">
        <f aca="false">AD40+Q40</f>
        <v>625</v>
      </c>
      <c r="AK40" s="13" t="n">
        <f aca="false">AE40+R40</f>
        <v>627.5</v>
      </c>
      <c r="AL40" s="13" t="n">
        <f aca="false">AF40+S40</f>
        <v>638.75</v>
      </c>
      <c r="AM40" s="12" t="n">
        <f aca="false">SUM(B40:G40)</f>
        <v>4</v>
      </c>
      <c r="AN40" s="12" t="n">
        <f aca="false">IF(AND(MIN(AA40:AF40)&gt;=Floor_q,MIN(AG40:AL40)&gt;=Floor_q,AL40&gt;=Q_end,Cap_now&gt;=Cap_min),1,0)</f>
        <v>1</v>
      </c>
      <c r="AO40" s="13" t="n">
        <f aca="false">AL40-Q_end</f>
        <v>168.75</v>
      </c>
      <c r="AP40" s="17" t="n">
        <f aca="false">IF(AN40=1,AO40+Credit_M*S40,-1000000000)</f>
        <v>1481.25</v>
      </c>
      <c r="AQ40" s="17" t="n">
        <f aca="false">AP40+SUMPRODUCT(Relaxation!$C$23:$H$23,1-B40:G40)+SUMPRODUCT(Relaxation!$C$24:$H$24,B40:G40)</f>
        <v>1605.9829129707</v>
      </c>
      <c r="AR40" s="17" t="n">
        <f aca="false">IF($AN40=1,$AO40+AR$15*$S40,-1000000000)</f>
        <v>168.75</v>
      </c>
      <c r="AS40" s="17" t="n">
        <f aca="false">IF($AN40=1,$AO40+AS$15*$S40,-1000000000)</f>
        <v>825</v>
      </c>
      <c r="AT40" s="17" t="n">
        <f aca="false">IF($AN40=1,$AO40+AT$15*$S40,-1000000000)</f>
        <v>1481.25</v>
      </c>
      <c r="AU40" s="17" t="n">
        <f aca="false">IF($AN40=1,$AO40+AU$15*$S40,-1000000000)</f>
        <v>2793.75</v>
      </c>
      <c r="AV40" s="17" t="n">
        <f aca="false">IF($AN40=1,$AO40+AV$15*$S40,-1000000000)</f>
        <v>5418.75</v>
      </c>
      <c r="AW40" s="17" t="n">
        <f aca="false">IF($AN40=1,$AO40+AW$15*$S40,-1000000000)</f>
        <v>8043.75</v>
      </c>
      <c r="AX40" s="17" t="n">
        <f aca="false">IF($AN40=1,$AO40+AX$15*$S40,-1000000000)</f>
        <v>7256.25</v>
      </c>
    </row>
    <row r="41" customFormat="false" ht="15" hidden="false" customHeight="false" outlineLevel="0" collapsed="false">
      <c r="A41" s="12" t="n">
        <v>24</v>
      </c>
      <c r="B41" s="12" t="n">
        <f aca="false">MOD(INT($A41/2^5),2)</f>
        <v>0</v>
      </c>
      <c r="C41" s="12" t="n">
        <f aca="false">MOD(INT($A41/2^4),2)</f>
        <v>1</v>
      </c>
      <c r="D41" s="12" t="n">
        <f aca="false">MOD(INT($A41/2^3),2)</f>
        <v>1</v>
      </c>
      <c r="E41" s="12" t="n">
        <f aca="false">MOD(INT($A41/2^2),2)</f>
        <v>0</v>
      </c>
      <c r="F41" s="12" t="n">
        <f aca="false">MOD(INT($A41/2^1),2)</f>
        <v>0</v>
      </c>
      <c r="G41" s="12" t="n">
        <f aca="false">MOD(INT($A41/2^0),2)</f>
        <v>0</v>
      </c>
      <c r="H41" s="18" t="n">
        <f aca="false">Eff_now+B41*Half_g*(Ceil_e-Eff_now)</f>
        <v>71</v>
      </c>
      <c r="I41" s="18" t="n">
        <f aca="false">H41+C41*Half_g*(Ceil_e-H41)</f>
        <v>78</v>
      </c>
      <c r="J41" s="18" t="n">
        <f aca="false">I41+D41*Half_g*(Ceil_e-I41)</f>
        <v>81.5</v>
      </c>
      <c r="K41" s="18" t="n">
        <f aca="false">J41+E41*Half_g*(Ceil_e-J41)</f>
        <v>81.5</v>
      </c>
      <c r="L41" s="18" t="n">
        <f aca="false">K41+F41*Half_g*(Ceil_e-K41)</f>
        <v>81.5</v>
      </c>
      <c r="M41" s="18" t="n">
        <f aca="false">L41+G41*Half_g*(Ceil_e-L41)</f>
        <v>81.5</v>
      </c>
      <c r="N41" s="13" t="n">
        <f aca="false">Val_pt*(H41-Eff_now)</f>
        <v>0</v>
      </c>
      <c r="O41" s="13" t="n">
        <f aca="false">Val_pt*(I41-Eff_now)</f>
        <v>70</v>
      </c>
      <c r="P41" s="13" t="n">
        <f aca="false">Val_pt*(J41-Eff_now)</f>
        <v>105</v>
      </c>
      <c r="Q41" s="13" t="n">
        <f aca="false">Val_pt*(K41-Eff_now)</f>
        <v>105</v>
      </c>
      <c r="R41" s="13" t="n">
        <f aca="false">Val_pt*(L41-Eff_now)</f>
        <v>105</v>
      </c>
      <c r="S41" s="13" t="n">
        <f aca="false">Val_pt*(M41-Eff_now)</f>
        <v>105</v>
      </c>
      <c r="T41" s="13" t="n">
        <f aca="false">S_max*(1-2^(-(SUM($B41:B41))))</f>
        <v>0</v>
      </c>
      <c r="U41" s="13" t="n">
        <f aca="false">S_max*(1-2^(-(SUM($B41:C41))))</f>
        <v>70</v>
      </c>
      <c r="V41" s="13" t="n">
        <f aca="false">S_max*(1-2^(-(SUM($B41:D41))))</f>
        <v>105</v>
      </c>
      <c r="W41" s="13" t="n">
        <f aca="false">S_max*(1-2^(-(SUM($B41:E41))))</f>
        <v>105</v>
      </c>
      <c r="X41" s="13" t="n">
        <f aca="false">S_max*(1-2^(-(SUM($B41:F41))))</f>
        <v>105</v>
      </c>
      <c r="Y41" s="13" t="n">
        <f aca="false">S_max*(1-2^(-(SUM($B41:G41))))</f>
        <v>105</v>
      </c>
      <c r="Z41" s="16" t="n">
        <f aca="false">MAX(ABS(N41-T41),ABS(O41-U41),ABS(P41-V41),ABS(Q41-W41),ABS(R41-X41),ABS(S41-Y41))</f>
        <v>0</v>
      </c>
      <c r="AA41" s="13" t="n">
        <f aca="false">Liq_now-Cost_r*B41</f>
        <v>620</v>
      </c>
      <c r="AB41" s="13" t="n">
        <f aca="false">AG41-Cost_r*C41</f>
        <v>500</v>
      </c>
      <c r="AC41" s="13" t="n">
        <f aca="false">AH41-Cost_r*D41</f>
        <v>450</v>
      </c>
      <c r="AD41" s="13" t="n">
        <f aca="false">AI41-Cost_r*E41</f>
        <v>555</v>
      </c>
      <c r="AE41" s="13" t="n">
        <f aca="false">AJ41-Cost_r*F41</f>
        <v>660</v>
      </c>
      <c r="AF41" s="13" t="n">
        <f aca="false">AK41-Cost_r*G41</f>
        <v>765</v>
      </c>
      <c r="AG41" s="13" t="n">
        <f aca="false">AA41+N41</f>
        <v>620</v>
      </c>
      <c r="AH41" s="13" t="n">
        <f aca="false">AB41+O41</f>
        <v>570</v>
      </c>
      <c r="AI41" s="13" t="n">
        <f aca="false">AC41+P41</f>
        <v>555</v>
      </c>
      <c r="AJ41" s="13" t="n">
        <f aca="false">AD41+Q41</f>
        <v>660</v>
      </c>
      <c r="AK41" s="13" t="n">
        <f aca="false">AE41+R41</f>
        <v>765</v>
      </c>
      <c r="AL41" s="13" t="n">
        <f aca="false">AF41+S41</f>
        <v>870</v>
      </c>
      <c r="AM41" s="12" t="n">
        <f aca="false">SUM(B41:G41)</f>
        <v>2</v>
      </c>
      <c r="AN41" s="12" t="n">
        <f aca="false">IF(AND(MIN(AA41:AF41)&gt;=Floor_q,MIN(AG41:AL41)&gt;=Floor_q,AL41&gt;=Q_end,Cap_now&gt;=Cap_min),1,0)</f>
        <v>1</v>
      </c>
      <c r="AO41" s="13" t="n">
        <f aca="false">AL41-Q_end</f>
        <v>400</v>
      </c>
      <c r="AP41" s="17" t="n">
        <f aca="false">IF(AN41=1,AO41+Credit_M*S41,-1000000000)</f>
        <v>1450</v>
      </c>
      <c r="AQ41" s="17" t="n">
        <f aca="false">AP41+SUMPRODUCT(Relaxation!$C$23:$H$23,1-B41:G41)+SUMPRODUCT(Relaxation!$C$24:$H$24,B41:G41)</f>
        <v>1534.91052961859</v>
      </c>
      <c r="AR41" s="17" t="n">
        <f aca="false">IF($AN41=1,$AO41+AR$15*$S41,-1000000000)</f>
        <v>400</v>
      </c>
      <c r="AS41" s="17" t="n">
        <f aca="false">IF($AN41=1,$AO41+AS$15*$S41,-1000000000)</f>
        <v>925</v>
      </c>
      <c r="AT41" s="17" t="n">
        <f aca="false">IF($AN41=1,$AO41+AT$15*$S41,-1000000000)</f>
        <v>1450</v>
      </c>
      <c r="AU41" s="17" t="n">
        <f aca="false">IF($AN41=1,$AO41+AU$15*$S41,-1000000000)</f>
        <v>2500</v>
      </c>
      <c r="AV41" s="17" t="n">
        <f aca="false">IF($AN41=1,$AO41+AV$15*$S41,-1000000000)</f>
        <v>4600</v>
      </c>
      <c r="AW41" s="17" t="n">
        <f aca="false">IF($AN41=1,$AO41+AW$15*$S41,-1000000000)</f>
        <v>6700</v>
      </c>
      <c r="AX41" s="17" t="n">
        <f aca="false">IF($AN41=1,$AO41+AX$15*$S41,-1000000000)</f>
        <v>6070</v>
      </c>
    </row>
    <row r="42" customFormat="false" ht="15" hidden="false" customHeight="false" outlineLevel="0" collapsed="false">
      <c r="A42" s="12" t="n">
        <v>25</v>
      </c>
      <c r="B42" s="12" t="n">
        <f aca="false">MOD(INT($A42/2^5),2)</f>
        <v>0</v>
      </c>
      <c r="C42" s="12" t="n">
        <f aca="false">MOD(INT($A42/2^4),2)</f>
        <v>1</v>
      </c>
      <c r="D42" s="12" t="n">
        <f aca="false">MOD(INT($A42/2^3),2)</f>
        <v>1</v>
      </c>
      <c r="E42" s="12" t="n">
        <f aca="false">MOD(INT($A42/2^2),2)</f>
        <v>0</v>
      </c>
      <c r="F42" s="12" t="n">
        <f aca="false">MOD(INT($A42/2^1),2)</f>
        <v>0</v>
      </c>
      <c r="G42" s="12" t="n">
        <f aca="false">MOD(INT($A42/2^0),2)</f>
        <v>1</v>
      </c>
      <c r="H42" s="18" t="n">
        <f aca="false">Eff_now+B42*Half_g*(Ceil_e-Eff_now)</f>
        <v>71</v>
      </c>
      <c r="I42" s="18" t="n">
        <f aca="false">H42+C42*Half_g*(Ceil_e-H42)</f>
        <v>78</v>
      </c>
      <c r="J42" s="18" t="n">
        <f aca="false">I42+D42*Half_g*(Ceil_e-I42)</f>
        <v>81.5</v>
      </c>
      <c r="K42" s="18" t="n">
        <f aca="false">J42+E42*Half_g*(Ceil_e-J42)</f>
        <v>81.5</v>
      </c>
      <c r="L42" s="18" t="n">
        <f aca="false">K42+F42*Half_g*(Ceil_e-K42)</f>
        <v>81.5</v>
      </c>
      <c r="M42" s="18" t="n">
        <f aca="false">L42+G42*Half_g*(Ceil_e-L42)</f>
        <v>83.25</v>
      </c>
      <c r="N42" s="13" t="n">
        <f aca="false">Val_pt*(H42-Eff_now)</f>
        <v>0</v>
      </c>
      <c r="O42" s="13" t="n">
        <f aca="false">Val_pt*(I42-Eff_now)</f>
        <v>70</v>
      </c>
      <c r="P42" s="13" t="n">
        <f aca="false">Val_pt*(J42-Eff_now)</f>
        <v>105</v>
      </c>
      <c r="Q42" s="13" t="n">
        <f aca="false">Val_pt*(K42-Eff_now)</f>
        <v>105</v>
      </c>
      <c r="R42" s="13" t="n">
        <f aca="false">Val_pt*(L42-Eff_now)</f>
        <v>105</v>
      </c>
      <c r="S42" s="13" t="n">
        <f aca="false">Val_pt*(M42-Eff_now)</f>
        <v>122.5</v>
      </c>
      <c r="T42" s="13" t="n">
        <f aca="false">S_max*(1-2^(-(SUM($B42:B42))))</f>
        <v>0</v>
      </c>
      <c r="U42" s="13" t="n">
        <f aca="false">S_max*(1-2^(-(SUM($B42:C42))))</f>
        <v>70</v>
      </c>
      <c r="V42" s="13" t="n">
        <f aca="false">S_max*(1-2^(-(SUM($B42:D42))))</f>
        <v>105</v>
      </c>
      <c r="W42" s="13" t="n">
        <f aca="false">S_max*(1-2^(-(SUM($B42:E42))))</f>
        <v>105</v>
      </c>
      <c r="X42" s="13" t="n">
        <f aca="false">S_max*(1-2^(-(SUM($B42:F42))))</f>
        <v>105</v>
      </c>
      <c r="Y42" s="13" t="n">
        <f aca="false">S_max*(1-2^(-(SUM($B42:G42))))</f>
        <v>122.5</v>
      </c>
      <c r="Z42" s="16" t="n">
        <f aca="false">MAX(ABS(N42-T42),ABS(O42-U42),ABS(P42-V42),ABS(Q42-W42),ABS(R42-X42),ABS(S42-Y42))</f>
        <v>0</v>
      </c>
      <c r="AA42" s="13" t="n">
        <f aca="false">Liq_now-Cost_r*B42</f>
        <v>620</v>
      </c>
      <c r="AB42" s="13" t="n">
        <f aca="false">AG42-Cost_r*C42</f>
        <v>500</v>
      </c>
      <c r="AC42" s="13" t="n">
        <f aca="false">AH42-Cost_r*D42</f>
        <v>450</v>
      </c>
      <c r="AD42" s="13" t="n">
        <f aca="false">AI42-Cost_r*E42</f>
        <v>555</v>
      </c>
      <c r="AE42" s="13" t="n">
        <f aca="false">AJ42-Cost_r*F42</f>
        <v>660</v>
      </c>
      <c r="AF42" s="13" t="n">
        <f aca="false">AK42-Cost_r*G42</f>
        <v>645</v>
      </c>
      <c r="AG42" s="13" t="n">
        <f aca="false">AA42+N42</f>
        <v>620</v>
      </c>
      <c r="AH42" s="13" t="n">
        <f aca="false">AB42+O42</f>
        <v>570</v>
      </c>
      <c r="AI42" s="13" t="n">
        <f aca="false">AC42+P42</f>
        <v>555</v>
      </c>
      <c r="AJ42" s="13" t="n">
        <f aca="false">AD42+Q42</f>
        <v>660</v>
      </c>
      <c r="AK42" s="13" t="n">
        <f aca="false">AE42+R42</f>
        <v>765</v>
      </c>
      <c r="AL42" s="13" t="n">
        <f aca="false">AF42+S42</f>
        <v>767.5</v>
      </c>
      <c r="AM42" s="12" t="n">
        <f aca="false">SUM(B42:G42)</f>
        <v>3</v>
      </c>
      <c r="AN42" s="12" t="n">
        <f aca="false">IF(AND(MIN(AA42:AF42)&gt;=Floor_q,MIN(AG42:AL42)&gt;=Floor_q,AL42&gt;=Q_end,Cap_now&gt;=Cap_min),1,0)</f>
        <v>1</v>
      </c>
      <c r="AO42" s="13" t="n">
        <f aca="false">AL42-Q_end</f>
        <v>297.5</v>
      </c>
      <c r="AP42" s="17" t="n">
        <f aca="false">IF(AN42=1,AO42+Credit_M*S42,-1000000000)</f>
        <v>1522.5</v>
      </c>
      <c r="AQ42" s="17" t="n">
        <f aca="false">AP42+SUMPRODUCT(Relaxation!$C$23:$H$23,1-B42:G42)+SUMPRODUCT(Relaxation!$C$24:$H$24,B42:G42)</f>
        <v>1625.87206808013</v>
      </c>
      <c r="AR42" s="17" t="n">
        <f aca="false">IF($AN42=1,$AO42+AR$15*$S42,-1000000000)</f>
        <v>297.5</v>
      </c>
      <c r="AS42" s="17" t="n">
        <f aca="false">IF($AN42=1,$AO42+AS$15*$S42,-1000000000)</f>
        <v>910</v>
      </c>
      <c r="AT42" s="17" t="n">
        <f aca="false">IF($AN42=1,$AO42+AT$15*$S42,-1000000000)</f>
        <v>1522.5</v>
      </c>
      <c r="AU42" s="17" t="n">
        <f aca="false">IF($AN42=1,$AO42+AU$15*$S42,-1000000000)</f>
        <v>2747.5</v>
      </c>
      <c r="AV42" s="17" t="n">
        <f aca="false">IF($AN42=1,$AO42+AV$15*$S42,-1000000000)</f>
        <v>5197.5</v>
      </c>
      <c r="AW42" s="17" t="n">
        <f aca="false">IF($AN42=1,$AO42+AW$15*$S42,-1000000000)</f>
        <v>7647.5</v>
      </c>
      <c r="AX42" s="17" t="n">
        <f aca="false">IF($AN42=1,$AO42+AX$15*$S42,-1000000000)</f>
        <v>6912.5</v>
      </c>
    </row>
    <row r="43" customFormat="false" ht="15" hidden="false" customHeight="false" outlineLevel="0" collapsed="false">
      <c r="A43" s="12" t="n">
        <v>26</v>
      </c>
      <c r="B43" s="12" t="n">
        <f aca="false">MOD(INT($A43/2^5),2)</f>
        <v>0</v>
      </c>
      <c r="C43" s="12" t="n">
        <f aca="false">MOD(INT($A43/2^4),2)</f>
        <v>1</v>
      </c>
      <c r="D43" s="12" t="n">
        <f aca="false">MOD(INT($A43/2^3),2)</f>
        <v>1</v>
      </c>
      <c r="E43" s="12" t="n">
        <f aca="false">MOD(INT($A43/2^2),2)</f>
        <v>0</v>
      </c>
      <c r="F43" s="12" t="n">
        <f aca="false">MOD(INT($A43/2^1),2)</f>
        <v>1</v>
      </c>
      <c r="G43" s="12" t="n">
        <f aca="false">MOD(INT($A43/2^0),2)</f>
        <v>0</v>
      </c>
      <c r="H43" s="18" t="n">
        <f aca="false">Eff_now+B43*Half_g*(Ceil_e-Eff_now)</f>
        <v>71</v>
      </c>
      <c r="I43" s="18" t="n">
        <f aca="false">H43+C43*Half_g*(Ceil_e-H43)</f>
        <v>78</v>
      </c>
      <c r="J43" s="18" t="n">
        <f aca="false">I43+D43*Half_g*(Ceil_e-I43)</f>
        <v>81.5</v>
      </c>
      <c r="K43" s="18" t="n">
        <f aca="false">J43+E43*Half_g*(Ceil_e-J43)</f>
        <v>81.5</v>
      </c>
      <c r="L43" s="18" t="n">
        <f aca="false">K43+F43*Half_g*(Ceil_e-K43)</f>
        <v>83.25</v>
      </c>
      <c r="M43" s="18" t="n">
        <f aca="false">L43+G43*Half_g*(Ceil_e-L43)</f>
        <v>83.25</v>
      </c>
      <c r="N43" s="13" t="n">
        <f aca="false">Val_pt*(H43-Eff_now)</f>
        <v>0</v>
      </c>
      <c r="O43" s="13" t="n">
        <f aca="false">Val_pt*(I43-Eff_now)</f>
        <v>70</v>
      </c>
      <c r="P43" s="13" t="n">
        <f aca="false">Val_pt*(J43-Eff_now)</f>
        <v>105</v>
      </c>
      <c r="Q43" s="13" t="n">
        <f aca="false">Val_pt*(K43-Eff_now)</f>
        <v>105</v>
      </c>
      <c r="R43" s="13" t="n">
        <f aca="false">Val_pt*(L43-Eff_now)</f>
        <v>122.5</v>
      </c>
      <c r="S43" s="13" t="n">
        <f aca="false">Val_pt*(M43-Eff_now)</f>
        <v>122.5</v>
      </c>
      <c r="T43" s="13" t="n">
        <f aca="false">S_max*(1-2^(-(SUM($B43:B43))))</f>
        <v>0</v>
      </c>
      <c r="U43" s="13" t="n">
        <f aca="false">S_max*(1-2^(-(SUM($B43:C43))))</f>
        <v>70</v>
      </c>
      <c r="V43" s="13" t="n">
        <f aca="false">S_max*(1-2^(-(SUM($B43:D43))))</f>
        <v>105</v>
      </c>
      <c r="W43" s="13" t="n">
        <f aca="false">S_max*(1-2^(-(SUM($B43:E43))))</f>
        <v>105</v>
      </c>
      <c r="X43" s="13" t="n">
        <f aca="false">S_max*(1-2^(-(SUM($B43:F43))))</f>
        <v>122.5</v>
      </c>
      <c r="Y43" s="13" t="n">
        <f aca="false">S_max*(1-2^(-(SUM($B43:G43))))</f>
        <v>122.5</v>
      </c>
      <c r="Z43" s="16" t="n">
        <f aca="false">MAX(ABS(N43-T43),ABS(O43-U43),ABS(P43-V43),ABS(Q43-W43),ABS(R43-X43),ABS(S43-Y43))</f>
        <v>0</v>
      </c>
      <c r="AA43" s="13" t="n">
        <f aca="false">Liq_now-Cost_r*B43</f>
        <v>620</v>
      </c>
      <c r="AB43" s="13" t="n">
        <f aca="false">AG43-Cost_r*C43</f>
        <v>500</v>
      </c>
      <c r="AC43" s="13" t="n">
        <f aca="false">AH43-Cost_r*D43</f>
        <v>450</v>
      </c>
      <c r="AD43" s="13" t="n">
        <f aca="false">AI43-Cost_r*E43</f>
        <v>555</v>
      </c>
      <c r="AE43" s="13" t="n">
        <f aca="false">AJ43-Cost_r*F43</f>
        <v>540</v>
      </c>
      <c r="AF43" s="13" t="n">
        <f aca="false">AK43-Cost_r*G43</f>
        <v>662.5</v>
      </c>
      <c r="AG43" s="13" t="n">
        <f aca="false">AA43+N43</f>
        <v>620</v>
      </c>
      <c r="AH43" s="13" t="n">
        <f aca="false">AB43+O43</f>
        <v>570</v>
      </c>
      <c r="AI43" s="13" t="n">
        <f aca="false">AC43+P43</f>
        <v>555</v>
      </c>
      <c r="AJ43" s="13" t="n">
        <f aca="false">AD43+Q43</f>
        <v>660</v>
      </c>
      <c r="AK43" s="13" t="n">
        <f aca="false">AE43+R43</f>
        <v>662.5</v>
      </c>
      <c r="AL43" s="13" t="n">
        <f aca="false">AF43+S43</f>
        <v>785</v>
      </c>
      <c r="AM43" s="12" t="n">
        <f aca="false">SUM(B43:G43)</f>
        <v>3</v>
      </c>
      <c r="AN43" s="12" t="n">
        <f aca="false">IF(AND(MIN(AA43:AF43)&gt;=Floor_q,MIN(AG43:AL43)&gt;=Floor_q,AL43&gt;=Q_end,Cap_now&gt;=Cap_min),1,0)</f>
        <v>1</v>
      </c>
      <c r="AO43" s="13" t="n">
        <f aca="false">AL43-Q_end</f>
        <v>315</v>
      </c>
      <c r="AP43" s="17" t="n">
        <f aca="false">IF(AN43=1,AO43+Credit_M*S43,-1000000000)</f>
        <v>1540</v>
      </c>
      <c r="AQ43" s="17" t="n">
        <f aca="false">AP43+SUMPRODUCT(Relaxation!$C$23:$H$23,1-B43:G43)+SUMPRODUCT(Relaxation!$C$24:$H$24,B43:G43)</f>
        <v>1634.14129884936</v>
      </c>
      <c r="AR43" s="17" t="n">
        <f aca="false">IF($AN43=1,$AO43+AR$15*$S43,-1000000000)</f>
        <v>315</v>
      </c>
      <c r="AS43" s="17" t="n">
        <f aca="false">IF($AN43=1,$AO43+AS$15*$S43,-1000000000)</f>
        <v>927.5</v>
      </c>
      <c r="AT43" s="17" t="n">
        <f aca="false">IF($AN43=1,$AO43+AT$15*$S43,-1000000000)</f>
        <v>1540</v>
      </c>
      <c r="AU43" s="17" t="n">
        <f aca="false">IF($AN43=1,$AO43+AU$15*$S43,-1000000000)</f>
        <v>2765</v>
      </c>
      <c r="AV43" s="17" t="n">
        <f aca="false">IF($AN43=1,$AO43+AV$15*$S43,-1000000000)</f>
        <v>5215</v>
      </c>
      <c r="AW43" s="17" t="n">
        <f aca="false">IF($AN43=1,$AO43+AW$15*$S43,-1000000000)</f>
        <v>7665</v>
      </c>
      <c r="AX43" s="17" t="n">
        <f aca="false">IF($AN43=1,$AO43+AX$15*$S43,-1000000000)</f>
        <v>6930</v>
      </c>
    </row>
    <row r="44" customFormat="false" ht="15" hidden="false" customHeight="false" outlineLevel="0" collapsed="false">
      <c r="A44" s="12" t="n">
        <v>27</v>
      </c>
      <c r="B44" s="12" t="n">
        <f aca="false">MOD(INT($A44/2^5),2)</f>
        <v>0</v>
      </c>
      <c r="C44" s="12" t="n">
        <f aca="false">MOD(INT($A44/2^4),2)</f>
        <v>1</v>
      </c>
      <c r="D44" s="12" t="n">
        <f aca="false">MOD(INT($A44/2^3),2)</f>
        <v>1</v>
      </c>
      <c r="E44" s="12" t="n">
        <f aca="false">MOD(INT($A44/2^2),2)</f>
        <v>0</v>
      </c>
      <c r="F44" s="12" t="n">
        <f aca="false">MOD(INT($A44/2^1),2)</f>
        <v>1</v>
      </c>
      <c r="G44" s="12" t="n">
        <f aca="false">MOD(INT($A44/2^0),2)</f>
        <v>1</v>
      </c>
      <c r="H44" s="18" t="n">
        <f aca="false">Eff_now+B44*Half_g*(Ceil_e-Eff_now)</f>
        <v>71</v>
      </c>
      <c r="I44" s="18" t="n">
        <f aca="false">H44+C44*Half_g*(Ceil_e-H44)</f>
        <v>78</v>
      </c>
      <c r="J44" s="18" t="n">
        <f aca="false">I44+D44*Half_g*(Ceil_e-I44)</f>
        <v>81.5</v>
      </c>
      <c r="K44" s="18" t="n">
        <f aca="false">J44+E44*Half_g*(Ceil_e-J44)</f>
        <v>81.5</v>
      </c>
      <c r="L44" s="18" t="n">
        <f aca="false">K44+F44*Half_g*(Ceil_e-K44)</f>
        <v>83.25</v>
      </c>
      <c r="M44" s="18" t="n">
        <f aca="false">L44+G44*Half_g*(Ceil_e-L44)</f>
        <v>84.125</v>
      </c>
      <c r="N44" s="13" t="n">
        <f aca="false">Val_pt*(H44-Eff_now)</f>
        <v>0</v>
      </c>
      <c r="O44" s="13" t="n">
        <f aca="false">Val_pt*(I44-Eff_now)</f>
        <v>70</v>
      </c>
      <c r="P44" s="13" t="n">
        <f aca="false">Val_pt*(J44-Eff_now)</f>
        <v>105</v>
      </c>
      <c r="Q44" s="13" t="n">
        <f aca="false">Val_pt*(K44-Eff_now)</f>
        <v>105</v>
      </c>
      <c r="R44" s="13" t="n">
        <f aca="false">Val_pt*(L44-Eff_now)</f>
        <v>122.5</v>
      </c>
      <c r="S44" s="13" t="n">
        <f aca="false">Val_pt*(M44-Eff_now)</f>
        <v>131.25</v>
      </c>
      <c r="T44" s="13" t="n">
        <f aca="false">S_max*(1-2^(-(SUM($B44:B44))))</f>
        <v>0</v>
      </c>
      <c r="U44" s="13" t="n">
        <f aca="false">S_max*(1-2^(-(SUM($B44:C44))))</f>
        <v>70</v>
      </c>
      <c r="V44" s="13" t="n">
        <f aca="false">S_max*(1-2^(-(SUM($B44:D44))))</f>
        <v>105</v>
      </c>
      <c r="W44" s="13" t="n">
        <f aca="false">S_max*(1-2^(-(SUM($B44:E44))))</f>
        <v>105</v>
      </c>
      <c r="X44" s="13" t="n">
        <f aca="false">S_max*(1-2^(-(SUM($B44:F44))))</f>
        <v>122.5</v>
      </c>
      <c r="Y44" s="13" t="n">
        <f aca="false">S_max*(1-2^(-(SUM($B44:G44))))</f>
        <v>131.25</v>
      </c>
      <c r="Z44" s="16" t="n">
        <f aca="false">MAX(ABS(N44-T44),ABS(O44-U44),ABS(P44-V44),ABS(Q44-W44),ABS(R44-X44),ABS(S44-Y44))</f>
        <v>0</v>
      </c>
      <c r="AA44" s="13" t="n">
        <f aca="false">Liq_now-Cost_r*B44</f>
        <v>620</v>
      </c>
      <c r="AB44" s="13" t="n">
        <f aca="false">AG44-Cost_r*C44</f>
        <v>500</v>
      </c>
      <c r="AC44" s="13" t="n">
        <f aca="false">AH44-Cost_r*D44</f>
        <v>450</v>
      </c>
      <c r="AD44" s="13" t="n">
        <f aca="false">AI44-Cost_r*E44</f>
        <v>555</v>
      </c>
      <c r="AE44" s="13" t="n">
        <f aca="false">AJ44-Cost_r*F44</f>
        <v>540</v>
      </c>
      <c r="AF44" s="13" t="n">
        <f aca="false">AK44-Cost_r*G44</f>
        <v>542.5</v>
      </c>
      <c r="AG44" s="13" t="n">
        <f aca="false">AA44+N44</f>
        <v>620</v>
      </c>
      <c r="AH44" s="13" t="n">
        <f aca="false">AB44+O44</f>
        <v>570</v>
      </c>
      <c r="AI44" s="13" t="n">
        <f aca="false">AC44+P44</f>
        <v>555</v>
      </c>
      <c r="AJ44" s="13" t="n">
        <f aca="false">AD44+Q44</f>
        <v>660</v>
      </c>
      <c r="AK44" s="13" t="n">
        <f aca="false">AE44+R44</f>
        <v>662.5</v>
      </c>
      <c r="AL44" s="13" t="n">
        <f aca="false">AF44+S44</f>
        <v>673.75</v>
      </c>
      <c r="AM44" s="12" t="n">
        <f aca="false">SUM(B44:G44)</f>
        <v>4</v>
      </c>
      <c r="AN44" s="12" t="n">
        <f aca="false">IF(AND(MIN(AA44:AF44)&gt;=Floor_q,MIN(AG44:AL44)&gt;=Floor_q,AL44&gt;=Q_end,Cap_now&gt;=Cap_min),1,0)</f>
        <v>1</v>
      </c>
      <c r="AO44" s="13" t="n">
        <f aca="false">AL44-Q_end</f>
        <v>203.75</v>
      </c>
      <c r="AP44" s="17" t="n">
        <f aca="false">IF(AN44=1,AO44+Credit_M*S44,-1000000000)</f>
        <v>1516.25</v>
      </c>
      <c r="AQ44" s="17" t="n">
        <f aca="false">AP44+SUMPRODUCT(Relaxation!$C$23:$H$23,1-B44:G44)+SUMPRODUCT(Relaxation!$C$24:$H$24,B44:G44)</f>
        <v>1628.8528373109</v>
      </c>
      <c r="AR44" s="17" t="n">
        <f aca="false">IF($AN44=1,$AO44+AR$15*$S44,-1000000000)</f>
        <v>203.75</v>
      </c>
      <c r="AS44" s="17" t="n">
        <f aca="false">IF($AN44=1,$AO44+AS$15*$S44,-1000000000)</f>
        <v>860</v>
      </c>
      <c r="AT44" s="17" t="n">
        <f aca="false">IF($AN44=1,$AO44+AT$15*$S44,-1000000000)</f>
        <v>1516.25</v>
      </c>
      <c r="AU44" s="17" t="n">
        <f aca="false">IF($AN44=1,$AO44+AU$15*$S44,-1000000000)</f>
        <v>2828.75</v>
      </c>
      <c r="AV44" s="17" t="n">
        <f aca="false">IF($AN44=1,$AO44+AV$15*$S44,-1000000000)</f>
        <v>5453.75</v>
      </c>
      <c r="AW44" s="17" t="n">
        <f aca="false">IF($AN44=1,$AO44+AW$15*$S44,-1000000000)</f>
        <v>8078.75</v>
      </c>
      <c r="AX44" s="17" t="n">
        <f aca="false">IF($AN44=1,$AO44+AX$15*$S44,-1000000000)</f>
        <v>7291.25</v>
      </c>
    </row>
    <row r="45" customFormat="false" ht="15" hidden="false" customHeight="false" outlineLevel="0" collapsed="false">
      <c r="A45" s="12" t="n">
        <v>28</v>
      </c>
      <c r="B45" s="12" t="n">
        <f aca="false">MOD(INT($A45/2^5),2)</f>
        <v>0</v>
      </c>
      <c r="C45" s="12" t="n">
        <f aca="false">MOD(INT($A45/2^4),2)</f>
        <v>1</v>
      </c>
      <c r="D45" s="12" t="n">
        <f aca="false">MOD(INT($A45/2^3),2)</f>
        <v>1</v>
      </c>
      <c r="E45" s="12" t="n">
        <f aca="false">MOD(INT($A45/2^2),2)</f>
        <v>1</v>
      </c>
      <c r="F45" s="12" t="n">
        <f aca="false">MOD(INT($A45/2^1),2)</f>
        <v>0</v>
      </c>
      <c r="G45" s="12" t="n">
        <f aca="false">MOD(INT($A45/2^0),2)</f>
        <v>0</v>
      </c>
      <c r="H45" s="18" t="n">
        <f aca="false">Eff_now+B45*Half_g*(Ceil_e-Eff_now)</f>
        <v>71</v>
      </c>
      <c r="I45" s="18" t="n">
        <f aca="false">H45+C45*Half_g*(Ceil_e-H45)</f>
        <v>78</v>
      </c>
      <c r="J45" s="18" t="n">
        <f aca="false">I45+D45*Half_g*(Ceil_e-I45)</f>
        <v>81.5</v>
      </c>
      <c r="K45" s="18" t="n">
        <f aca="false">J45+E45*Half_g*(Ceil_e-J45)</f>
        <v>83.25</v>
      </c>
      <c r="L45" s="18" t="n">
        <f aca="false">K45+F45*Half_g*(Ceil_e-K45)</f>
        <v>83.25</v>
      </c>
      <c r="M45" s="18" t="n">
        <f aca="false">L45+G45*Half_g*(Ceil_e-L45)</f>
        <v>83.25</v>
      </c>
      <c r="N45" s="13" t="n">
        <f aca="false">Val_pt*(H45-Eff_now)</f>
        <v>0</v>
      </c>
      <c r="O45" s="13" t="n">
        <f aca="false">Val_pt*(I45-Eff_now)</f>
        <v>70</v>
      </c>
      <c r="P45" s="13" t="n">
        <f aca="false">Val_pt*(J45-Eff_now)</f>
        <v>105</v>
      </c>
      <c r="Q45" s="13" t="n">
        <f aca="false">Val_pt*(K45-Eff_now)</f>
        <v>122.5</v>
      </c>
      <c r="R45" s="13" t="n">
        <f aca="false">Val_pt*(L45-Eff_now)</f>
        <v>122.5</v>
      </c>
      <c r="S45" s="13" t="n">
        <f aca="false">Val_pt*(M45-Eff_now)</f>
        <v>122.5</v>
      </c>
      <c r="T45" s="13" t="n">
        <f aca="false">S_max*(1-2^(-(SUM($B45:B45))))</f>
        <v>0</v>
      </c>
      <c r="U45" s="13" t="n">
        <f aca="false">S_max*(1-2^(-(SUM($B45:C45))))</f>
        <v>70</v>
      </c>
      <c r="V45" s="13" t="n">
        <f aca="false">S_max*(1-2^(-(SUM($B45:D45))))</f>
        <v>105</v>
      </c>
      <c r="W45" s="13" t="n">
        <f aca="false">S_max*(1-2^(-(SUM($B45:E45))))</f>
        <v>122.5</v>
      </c>
      <c r="X45" s="13" t="n">
        <f aca="false">S_max*(1-2^(-(SUM($B45:F45))))</f>
        <v>122.5</v>
      </c>
      <c r="Y45" s="13" t="n">
        <f aca="false">S_max*(1-2^(-(SUM($B45:G45))))</f>
        <v>122.5</v>
      </c>
      <c r="Z45" s="16" t="n">
        <f aca="false">MAX(ABS(N45-T45),ABS(O45-U45),ABS(P45-V45),ABS(Q45-W45),ABS(R45-X45),ABS(S45-Y45))</f>
        <v>0</v>
      </c>
      <c r="AA45" s="13" t="n">
        <f aca="false">Liq_now-Cost_r*B45</f>
        <v>620</v>
      </c>
      <c r="AB45" s="13" t="n">
        <f aca="false">AG45-Cost_r*C45</f>
        <v>500</v>
      </c>
      <c r="AC45" s="13" t="n">
        <f aca="false">AH45-Cost_r*D45</f>
        <v>450</v>
      </c>
      <c r="AD45" s="13" t="n">
        <f aca="false">AI45-Cost_r*E45</f>
        <v>435</v>
      </c>
      <c r="AE45" s="13" t="n">
        <f aca="false">AJ45-Cost_r*F45</f>
        <v>557.5</v>
      </c>
      <c r="AF45" s="13" t="n">
        <f aca="false">AK45-Cost_r*G45</f>
        <v>680</v>
      </c>
      <c r="AG45" s="13" t="n">
        <f aca="false">AA45+N45</f>
        <v>620</v>
      </c>
      <c r="AH45" s="13" t="n">
        <f aca="false">AB45+O45</f>
        <v>570</v>
      </c>
      <c r="AI45" s="13" t="n">
        <f aca="false">AC45+P45</f>
        <v>555</v>
      </c>
      <c r="AJ45" s="13" t="n">
        <f aca="false">AD45+Q45</f>
        <v>557.5</v>
      </c>
      <c r="AK45" s="13" t="n">
        <f aca="false">AE45+R45</f>
        <v>680</v>
      </c>
      <c r="AL45" s="13" t="n">
        <f aca="false">AF45+S45</f>
        <v>802.5</v>
      </c>
      <c r="AM45" s="12" t="n">
        <f aca="false">SUM(B45:G45)</f>
        <v>3</v>
      </c>
      <c r="AN45" s="12" t="n">
        <f aca="false">IF(AND(MIN(AA45:AF45)&gt;=Floor_q,MIN(AG45:AL45)&gt;=Floor_q,AL45&gt;=Q_end,Cap_now&gt;=Cap_min),1,0)</f>
        <v>1</v>
      </c>
      <c r="AO45" s="13" t="n">
        <f aca="false">AL45-Q_end</f>
        <v>332.5</v>
      </c>
      <c r="AP45" s="17" t="n">
        <f aca="false">IF(AN45=1,AO45+Credit_M*S45,-1000000000)</f>
        <v>1557.5</v>
      </c>
      <c r="AQ45" s="17" t="n">
        <f aca="false">AP45+SUMPRODUCT(Relaxation!$C$23:$H$23,1-B45:G45)+SUMPRODUCT(Relaxation!$C$24:$H$24,B45:G45)</f>
        <v>1642.41052961859</v>
      </c>
      <c r="AR45" s="17" t="n">
        <f aca="false">IF($AN45=1,$AO45+AR$15*$S45,-1000000000)</f>
        <v>332.5</v>
      </c>
      <c r="AS45" s="17" t="n">
        <f aca="false">IF($AN45=1,$AO45+AS$15*$S45,-1000000000)</f>
        <v>945</v>
      </c>
      <c r="AT45" s="17" t="n">
        <f aca="false">IF($AN45=1,$AO45+AT$15*$S45,-1000000000)</f>
        <v>1557.5</v>
      </c>
      <c r="AU45" s="17" t="n">
        <f aca="false">IF($AN45=1,$AO45+AU$15*$S45,-1000000000)</f>
        <v>2782.5</v>
      </c>
      <c r="AV45" s="17" t="n">
        <f aca="false">IF($AN45=1,$AO45+AV$15*$S45,-1000000000)</f>
        <v>5232.5</v>
      </c>
      <c r="AW45" s="17" t="n">
        <f aca="false">IF($AN45=1,$AO45+AW$15*$S45,-1000000000)</f>
        <v>7682.5</v>
      </c>
      <c r="AX45" s="17" t="n">
        <f aca="false">IF($AN45=1,$AO45+AX$15*$S45,-1000000000)</f>
        <v>6947.5</v>
      </c>
    </row>
    <row r="46" customFormat="false" ht="15" hidden="false" customHeight="false" outlineLevel="0" collapsed="false">
      <c r="A46" s="12" t="n">
        <v>29</v>
      </c>
      <c r="B46" s="12" t="n">
        <f aca="false">MOD(INT($A46/2^5),2)</f>
        <v>0</v>
      </c>
      <c r="C46" s="12" t="n">
        <f aca="false">MOD(INT($A46/2^4),2)</f>
        <v>1</v>
      </c>
      <c r="D46" s="12" t="n">
        <f aca="false">MOD(INT($A46/2^3),2)</f>
        <v>1</v>
      </c>
      <c r="E46" s="12" t="n">
        <f aca="false">MOD(INT($A46/2^2),2)</f>
        <v>1</v>
      </c>
      <c r="F46" s="12" t="n">
        <f aca="false">MOD(INT($A46/2^1),2)</f>
        <v>0</v>
      </c>
      <c r="G46" s="12" t="n">
        <f aca="false">MOD(INT($A46/2^0),2)</f>
        <v>1</v>
      </c>
      <c r="H46" s="18" t="n">
        <f aca="false">Eff_now+B46*Half_g*(Ceil_e-Eff_now)</f>
        <v>71</v>
      </c>
      <c r="I46" s="18" t="n">
        <f aca="false">H46+C46*Half_g*(Ceil_e-H46)</f>
        <v>78</v>
      </c>
      <c r="J46" s="18" t="n">
        <f aca="false">I46+D46*Half_g*(Ceil_e-I46)</f>
        <v>81.5</v>
      </c>
      <c r="K46" s="18" t="n">
        <f aca="false">J46+E46*Half_g*(Ceil_e-J46)</f>
        <v>83.25</v>
      </c>
      <c r="L46" s="18" t="n">
        <f aca="false">K46+F46*Half_g*(Ceil_e-K46)</f>
        <v>83.25</v>
      </c>
      <c r="M46" s="18" t="n">
        <f aca="false">L46+G46*Half_g*(Ceil_e-L46)</f>
        <v>84.125</v>
      </c>
      <c r="N46" s="13" t="n">
        <f aca="false">Val_pt*(H46-Eff_now)</f>
        <v>0</v>
      </c>
      <c r="O46" s="13" t="n">
        <f aca="false">Val_pt*(I46-Eff_now)</f>
        <v>70</v>
      </c>
      <c r="P46" s="13" t="n">
        <f aca="false">Val_pt*(J46-Eff_now)</f>
        <v>105</v>
      </c>
      <c r="Q46" s="13" t="n">
        <f aca="false">Val_pt*(K46-Eff_now)</f>
        <v>122.5</v>
      </c>
      <c r="R46" s="13" t="n">
        <f aca="false">Val_pt*(L46-Eff_now)</f>
        <v>122.5</v>
      </c>
      <c r="S46" s="13" t="n">
        <f aca="false">Val_pt*(M46-Eff_now)</f>
        <v>131.25</v>
      </c>
      <c r="T46" s="13" t="n">
        <f aca="false">S_max*(1-2^(-(SUM($B46:B46))))</f>
        <v>0</v>
      </c>
      <c r="U46" s="13" t="n">
        <f aca="false">S_max*(1-2^(-(SUM($B46:C46))))</f>
        <v>70</v>
      </c>
      <c r="V46" s="13" t="n">
        <f aca="false">S_max*(1-2^(-(SUM($B46:D46))))</f>
        <v>105</v>
      </c>
      <c r="W46" s="13" t="n">
        <f aca="false">S_max*(1-2^(-(SUM($B46:E46))))</f>
        <v>122.5</v>
      </c>
      <c r="X46" s="13" t="n">
        <f aca="false">S_max*(1-2^(-(SUM($B46:F46))))</f>
        <v>122.5</v>
      </c>
      <c r="Y46" s="13" t="n">
        <f aca="false">S_max*(1-2^(-(SUM($B46:G46))))</f>
        <v>131.25</v>
      </c>
      <c r="Z46" s="16" t="n">
        <f aca="false">MAX(ABS(N46-T46),ABS(O46-U46),ABS(P46-V46),ABS(Q46-W46),ABS(R46-X46),ABS(S46-Y46))</f>
        <v>0</v>
      </c>
      <c r="AA46" s="13" t="n">
        <f aca="false">Liq_now-Cost_r*B46</f>
        <v>620</v>
      </c>
      <c r="AB46" s="13" t="n">
        <f aca="false">AG46-Cost_r*C46</f>
        <v>500</v>
      </c>
      <c r="AC46" s="13" t="n">
        <f aca="false">AH46-Cost_r*D46</f>
        <v>450</v>
      </c>
      <c r="AD46" s="13" t="n">
        <f aca="false">AI46-Cost_r*E46</f>
        <v>435</v>
      </c>
      <c r="AE46" s="13" t="n">
        <f aca="false">AJ46-Cost_r*F46</f>
        <v>557.5</v>
      </c>
      <c r="AF46" s="13" t="n">
        <f aca="false">AK46-Cost_r*G46</f>
        <v>560</v>
      </c>
      <c r="AG46" s="13" t="n">
        <f aca="false">AA46+N46</f>
        <v>620</v>
      </c>
      <c r="AH46" s="13" t="n">
        <f aca="false">AB46+O46</f>
        <v>570</v>
      </c>
      <c r="AI46" s="13" t="n">
        <f aca="false">AC46+P46</f>
        <v>555</v>
      </c>
      <c r="AJ46" s="13" t="n">
        <f aca="false">AD46+Q46</f>
        <v>557.5</v>
      </c>
      <c r="AK46" s="13" t="n">
        <f aca="false">AE46+R46</f>
        <v>680</v>
      </c>
      <c r="AL46" s="13" t="n">
        <f aca="false">AF46+S46</f>
        <v>691.25</v>
      </c>
      <c r="AM46" s="12" t="n">
        <f aca="false">SUM(B46:G46)</f>
        <v>4</v>
      </c>
      <c r="AN46" s="12" t="n">
        <f aca="false">IF(AND(MIN(AA46:AF46)&gt;=Floor_q,MIN(AG46:AL46)&gt;=Floor_q,AL46&gt;=Q_end,Cap_now&gt;=Cap_min),1,0)</f>
        <v>1</v>
      </c>
      <c r="AO46" s="13" t="n">
        <f aca="false">AL46-Q_end</f>
        <v>221.25</v>
      </c>
      <c r="AP46" s="17" t="n">
        <f aca="false">IF(AN46=1,AO46+Credit_M*S46,-1000000000)</f>
        <v>1533.75</v>
      </c>
      <c r="AQ46" s="17" t="n">
        <f aca="false">AP46+SUMPRODUCT(Relaxation!$C$23:$H$23,1-B46:G46)+SUMPRODUCT(Relaxation!$C$24:$H$24,B46:G46)</f>
        <v>1637.12206808013</v>
      </c>
      <c r="AR46" s="17" t="n">
        <f aca="false">IF($AN46=1,$AO46+AR$15*$S46,-1000000000)</f>
        <v>221.25</v>
      </c>
      <c r="AS46" s="17" t="n">
        <f aca="false">IF($AN46=1,$AO46+AS$15*$S46,-1000000000)</f>
        <v>877.5</v>
      </c>
      <c r="AT46" s="17" t="n">
        <f aca="false">IF($AN46=1,$AO46+AT$15*$S46,-1000000000)</f>
        <v>1533.75</v>
      </c>
      <c r="AU46" s="17" t="n">
        <f aca="false">IF($AN46=1,$AO46+AU$15*$S46,-1000000000)</f>
        <v>2846.25</v>
      </c>
      <c r="AV46" s="17" t="n">
        <f aca="false">IF($AN46=1,$AO46+AV$15*$S46,-1000000000)</f>
        <v>5471.25</v>
      </c>
      <c r="AW46" s="17" t="n">
        <f aca="false">IF($AN46=1,$AO46+AW$15*$S46,-1000000000)</f>
        <v>8096.25</v>
      </c>
      <c r="AX46" s="17" t="n">
        <f aca="false">IF($AN46=1,$AO46+AX$15*$S46,-1000000000)</f>
        <v>7308.75</v>
      </c>
    </row>
    <row r="47" customFormat="false" ht="15" hidden="false" customHeight="false" outlineLevel="0" collapsed="false">
      <c r="A47" s="12" t="n">
        <v>30</v>
      </c>
      <c r="B47" s="12" t="n">
        <f aca="false">MOD(INT($A47/2^5),2)</f>
        <v>0</v>
      </c>
      <c r="C47" s="12" t="n">
        <f aca="false">MOD(INT($A47/2^4),2)</f>
        <v>1</v>
      </c>
      <c r="D47" s="12" t="n">
        <f aca="false">MOD(INT($A47/2^3),2)</f>
        <v>1</v>
      </c>
      <c r="E47" s="12" t="n">
        <f aca="false">MOD(INT($A47/2^2),2)</f>
        <v>1</v>
      </c>
      <c r="F47" s="12" t="n">
        <f aca="false">MOD(INT($A47/2^1),2)</f>
        <v>1</v>
      </c>
      <c r="G47" s="12" t="n">
        <f aca="false">MOD(INT($A47/2^0),2)</f>
        <v>0</v>
      </c>
      <c r="H47" s="18" t="n">
        <f aca="false">Eff_now+B47*Half_g*(Ceil_e-Eff_now)</f>
        <v>71</v>
      </c>
      <c r="I47" s="18" t="n">
        <f aca="false">H47+C47*Half_g*(Ceil_e-H47)</f>
        <v>78</v>
      </c>
      <c r="J47" s="18" t="n">
        <f aca="false">I47+D47*Half_g*(Ceil_e-I47)</f>
        <v>81.5</v>
      </c>
      <c r="K47" s="18" t="n">
        <f aca="false">J47+E47*Half_g*(Ceil_e-J47)</f>
        <v>83.25</v>
      </c>
      <c r="L47" s="18" t="n">
        <f aca="false">K47+F47*Half_g*(Ceil_e-K47)</f>
        <v>84.125</v>
      </c>
      <c r="M47" s="18" t="n">
        <f aca="false">L47+G47*Half_g*(Ceil_e-L47)</f>
        <v>84.125</v>
      </c>
      <c r="N47" s="13" t="n">
        <f aca="false">Val_pt*(H47-Eff_now)</f>
        <v>0</v>
      </c>
      <c r="O47" s="13" t="n">
        <f aca="false">Val_pt*(I47-Eff_now)</f>
        <v>70</v>
      </c>
      <c r="P47" s="13" t="n">
        <f aca="false">Val_pt*(J47-Eff_now)</f>
        <v>105</v>
      </c>
      <c r="Q47" s="13" t="n">
        <f aca="false">Val_pt*(K47-Eff_now)</f>
        <v>122.5</v>
      </c>
      <c r="R47" s="13" t="n">
        <f aca="false">Val_pt*(L47-Eff_now)</f>
        <v>131.25</v>
      </c>
      <c r="S47" s="13" t="n">
        <f aca="false">Val_pt*(M47-Eff_now)</f>
        <v>131.25</v>
      </c>
      <c r="T47" s="13" t="n">
        <f aca="false">S_max*(1-2^(-(SUM($B47:B47))))</f>
        <v>0</v>
      </c>
      <c r="U47" s="13" t="n">
        <f aca="false">S_max*(1-2^(-(SUM($B47:C47))))</f>
        <v>70</v>
      </c>
      <c r="V47" s="13" t="n">
        <f aca="false">S_max*(1-2^(-(SUM($B47:D47))))</f>
        <v>105</v>
      </c>
      <c r="W47" s="13" t="n">
        <f aca="false">S_max*(1-2^(-(SUM($B47:E47))))</f>
        <v>122.5</v>
      </c>
      <c r="X47" s="13" t="n">
        <f aca="false">S_max*(1-2^(-(SUM($B47:F47))))</f>
        <v>131.25</v>
      </c>
      <c r="Y47" s="13" t="n">
        <f aca="false">S_max*(1-2^(-(SUM($B47:G47))))</f>
        <v>131.25</v>
      </c>
      <c r="Z47" s="16" t="n">
        <f aca="false">MAX(ABS(N47-T47),ABS(O47-U47),ABS(P47-V47),ABS(Q47-W47),ABS(R47-X47),ABS(S47-Y47))</f>
        <v>0</v>
      </c>
      <c r="AA47" s="13" t="n">
        <f aca="false">Liq_now-Cost_r*B47</f>
        <v>620</v>
      </c>
      <c r="AB47" s="13" t="n">
        <f aca="false">AG47-Cost_r*C47</f>
        <v>500</v>
      </c>
      <c r="AC47" s="13" t="n">
        <f aca="false">AH47-Cost_r*D47</f>
        <v>450</v>
      </c>
      <c r="AD47" s="13" t="n">
        <f aca="false">AI47-Cost_r*E47</f>
        <v>435</v>
      </c>
      <c r="AE47" s="13" t="n">
        <f aca="false">AJ47-Cost_r*F47</f>
        <v>437.5</v>
      </c>
      <c r="AF47" s="13" t="n">
        <f aca="false">AK47-Cost_r*G47</f>
        <v>568.75</v>
      </c>
      <c r="AG47" s="13" t="n">
        <f aca="false">AA47+N47</f>
        <v>620</v>
      </c>
      <c r="AH47" s="13" t="n">
        <f aca="false">AB47+O47</f>
        <v>570</v>
      </c>
      <c r="AI47" s="13" t="n">
        <f aca="false">AC47+P47</f>
        <v>555</v>
      </c>
      <c r="AJ47" s="13" t="n">
        <f aca="false">AD47+Q47</f>
        <v>557.5</v>
      </c>
      <c r="AK47" s="13" t="n">
        <f aca="false">AE47+R47</f>
        <v>568.75</v>
      </c>
      <c r="AL47" s="13" t="n">
        <f aca="false">AF47+S47</f>
        <v>700</v>
      </c>
      <c r="AM47" s="12" t="n">
        <f aca="false">SUM(B47:G47)</f>
        <v>4</v>
      </c>
      <c r="AN47" s="12" t="n">
        <f aca="false">IF(AND(MIN(AA47:AF47)&gt;=Floor_q,MIN(AG47:AL47)&gt;=Floor_q,AL47&gt;=Q_end,Cap_now&gt;=Cap_min),1,0)</f>
        <v>1</v>
      </c>
      <c r="AO47" s="13" t="n">
        <f aca="false">AL47-Q_end</f>
        <v>230</v>
      </c>
      <c r="AP47" s="17" t="n">
        <f aca="false">IF(AN47=1,AO47+Credit_M*S47,-1000000000)</f>
        <v>1542.5</v>
      </c>
      <c r="AQ47" s="17" t="n">
        <f aca="false">AP47+SUMPRODUCT(Relaxation!$C$23:$H$23,1-B47:G47)+SUMPRODUCT(Relaxation!$C$24:$H$24,B47:G47)</f>
        <v>1636.64129884936</v>
      </c>
      <c r="AR47" s="17" t="n">
        <f aca="false">IF($AN47=1,$AO47+AR$15*$S47,-1000000000)</f>
        <v>230</v>
      </c>
      <c r="AS47" s="17" t="n">
        <f aca="false">IF($AN47=1,$AO47+AS$15*$S47,-1000000000)</f>
        <v>886.25</v>
      </c>
      <c r="AT47" s="17" t="n">
        <f aca="false">IF($AN47=1,$AO47+AT$15*$S47,-1000000000)</f>
        <v>1542.5</v>
      </c>
      <c r="AU47" s="17" t="n">
        <f aca="false">IF($AN47=1,$AO47+AU$15*$S47,-1000000000)</f>
        <v>2855</v>
      </c>
      <c r="AV47" s="17" t="n">
        <f aca="false">IF($AN47=1,$AO47+AV$15*$S47,-1000000000)</f>
        <v>5480</v>
      </c>
      <c r="AW47" s="17" t="n">
        <f aca="false">IF($AN47=1,$AO47+AW$15*$S47,-1000000000)</f>
        <v>8105</v>
      </c>
      <c r="AX47" s="17" t="n">
        <f aca="false">IF($AN47=1,$AO47+AX$15*$S47,-1000000000)</f>
        <v>7317.5</v>
      </c>
    </row>
    <row r="48" customFormat="false" ht="15" hidden="false" customHeight="false" outlineLevel="0" collapsed="false">
      <c r="A48" s="12" t="n">
        <v>31</v>
      </c>
      <c r="B48" s="12" t="n">
        <f aca="false">MOD(INT($A48/2^5),2)</f>
        <v>0</v>
      </c>
      <c r="C48" s="12" t="n">
        <f aca="false">MOD(INT($A48/2^4),2)</f>
        <v>1</v>
      </c>
      <c r="D48" s="12" t="n">
        <f aca="false">MOD(INT($A48/2^3),2)</f>
        <v>1</v>
      </c>
      <c r="E48" s="12" t="n">
        <f aca="false">MOD(INT($A48/2^2),2)</f>
        <v>1</v>
      </c>
      <c r="F48" s="12" t="n">
        <f aca="false">MOD(INT($A48/2^1),2)</f>
        <v>1</v>
      </c>
      <c r="G48" s="12" t="n">
        <f aca="false">MOD(INT($A48/2^0),2)</f>
        <v>1</v>
      </c>
      <c r="H48" s="18" t="n">
        <f aca="false">Eff_now+B48*Half_g*(Ceil_e-Eff_now)</f>
        <v>71</v>
      </c>
      <c r="I48" s="18" t="n">
        <f aca="false">H48+C48*Half_g*(Ceil_e-H48)</f>
        <v>78</v>
      </c>
      <c r="J48" s="18" t="n">
        <f aca="false">I48+D48*Half_g*(Ceil_e-I48)</f>
        <v>81.5</v>
      </c>
      <c r="K48" s="18" t="n">
        <f aca="false">J48+E48*Half_g*(Ceil_e-J48)</f>
        <v>83.25</v>
      </c>
      <c r="L48" s="18" t="n">
        <f aca="false">K48+F48*Half_g*(Ceil_e-K48)</f>
        <v>84.125</v>
      </c>
      <c r="M48" s="18" t="n">
        <f aca="false">L48+G48*Half_g*(Ceil_e-L48)</f>
        <v>84.5625</v>
      </c>
      <c r="N48" s="13" t="n">
        <f aca="false">Val_pt*(H48-Eff_now)</f>
        <v>0</v>
      </c>
      <c r="O48" s="13" t="n">
        <f aca="false">Val_pt*(I48-Eff_now)</f>
        <v>70</v>
      </c>
      <c r="P48" s="13" t="n">
        <f aca="false">Val_pt*(J48-Eff_now)</f>
        <v>105</v>
      </c>
      <c r="Q48" s="13" t="n">
        <f aca="false">Val_pt*(K48-Eff_now)</f>
        <v>122.5</v>
      </c>
      <c r="R48" s="13" t="n">
        <f aca="false">Val_pt*(L48-Eff_now)</f>
        <v>131.25</v>
      </c>
      <c r="S48" s="13" t="n">
        <f aca="false">Val_pt*(M48-Eff_now)</f>
        <v>135.625</v>
      </c>
      <c r="T48" s="13" t="n">
        <f aca="false">S_max*(1-2^(-(SUM($B48:B48))))</f>
        <v>0</v>
      </c>
      <c r="U48" s="13" t="n">
        <f aca="false">S_max*(1-2^(-(SUM($B48:C48))))</f>
        <v>70</v>
      </c>
      <c r="V48" s="13" t="n">
        <f aca="false">S_max*(1-2^(-(SUM($B48:D48))))</f>
        <v>105</v>
      </c>
      <c r="W48" s="13" t="n">
        <f aca="false">S_max*(1-2^(-(SUM($B48:E48))))</f>
        <v>122.5</v>
      </c>
      <c r="X48" s="13" t="n">
        <f aca="false">S_max*(1-2^(-(SUM($B48:F48))))</f>
        <v>131.25</v>
      </c>
      <c r="Y48" s="13" t="n">
        <f aca="false">S_max*(1-2^(-(SUM($B48:G48))))</f>
        <v>135.625</v>
      </c>
      <c r="Z48" s="16" t="n">
        <f aca="false">MAX(ABS(N48-T48),ABS(O48-U48),ABS(P48-V48),ABS(Q48-W48),ABS(R48-X48),ABS(S48-Y48))</f>
        <v>0</v>
      </c>
      <c r="AA48" s="13" t="n">
        <f aca="false">Liq_now-Cost_r*B48</f>
        <v>620</v>
      </c>
      <c r="AB48" s="13" t="n">
        <f aca="false">AG48-Cost_r*C48</f>
        <v>500</v>
      </c>
      <c r="AC48" s="13" t="n">
        <f aca="false">AH48-Cost_r*D48</f>
        <v>450</v>
      </c>
      <c r="AD48" s="13" t="n">
        <f aca="false">AI48-Cost_r*E48</f>
        <v>435</v>
      </c>
      <c r="AE48" s="13" t="n">
        <f aca="false">AJ48-Cost_r*F48</f>
        <v>437.5</v>
      </c>
      <c r="AF48" s="13" t="n">
        <f aca="false">AK48-Cost_r*G48</f>
        <v>448.75</v>
      </c>
      <c r="AG48" s="13" t="n">
        <f aca="false">AA48+N48</f>
        <v>620</v>
      </c>
      <c r="AH48" s="13" t="n">
        <f aca="false">AB48+O48</f>
        <v>570</v>
      </c>
      <c r="AI48" s="13" t="n">
        <f aca="false">AC48+P48</f>
        <v>555</v>
      </c>
      <c r="AJ48" s="13" t="n">
        <f aca="false">AD48+Q48</f>
        <v>557.5</v>
      </c>
      <c r="AK48" s="13" t="n">
        <f aca="false">AE48+R48</f>
        <v>568.75</v>
      </c>
      <c r="AL48" s="13" t="n">
        <f aca="false">AF48+S48</f>
        <v>584.375</v>
      </c>
      <c r="AM48" s="12" t="n">
        <f aca="false">SUM(B48:G48)</f>
        <v>5</v>
      </c>
      <c r="AN48" s="12" t="n">
        <f aca="false">IF(AND(MIN(AA48:AF48)&gt;=Floor_q,MIN(AG48:AL48)&gt;=Floor_q,AL48&gt;=Q_end,Cap_now&gt;=Cap_min),1,0)</f>
        <v>1</v>
      </c>
      <c r="AO48" s="13" t="n">
        <f aca="false">AL48-Q_end</f>
        <v>114.375</v>
      </c>
      <c r="AP48" s="17" t="n">
        <f aca="false">IF(AN48=1,AO48+Credit_M*S48,-1000000000)</f>
        <v>1470.625</v>
      </c>
      <c r="AQ48" s="17" t="n">
        <f aca="false">AP48+SUMPRODUCT(Relaxation!$C$23:$H$23,1-B48:G48)+SUMPRODUCT(Relaxation!$C$24:$H$24,B48:G48)</f>
        <v>1583.2278373109</v>
      </c>
      <c r="AR48" s="17" t="n">
        <f aca="false">IF($AN48=1,$AO48+AR$15*$S48,-1000000000)</f>
        <v>114.375</v>
      </c>
      <c r="AS48" s="17" t="n">
        <f aca="false">IF($AN48=1,$AO48+AS$15*$S48,-1000000000)</f>
        <v>792.5</v>
      </c>
      <c r="AT48" s="17" t="n">
        <f aca="false">IF($AN48=1,$AO48+AT$15*$S48,-1000000000)</f>
        <v>1470.625</v>
      </c>
      <c r="AU48" s="17" t="n">
        <f aca="false">IF($AN48=1,$AO48+AU$15*$S48,-1000000000)</f>
        <v>2826.875</v>
      </c>
      <c r="AV48" s="17" t="n">
        <f aca="false">IF($AN48=1,$AO48+AV$15*$S48,-1000000000)</f>
        <v>5539.375</v>
      </c>
      <c r="AW48" s="17" t="n">
        <f aca="false">IF($AN48=1,$AO48+AW$15*$S48,-1000000000)</f>
        <v>8251.875</v>
      </c>
      <c r="AX48" s="17" t="n">
        <f aca="false">IF($AN48=1,$AO48+AX$15*$S48,-1000000000)</f>
        <v>7438.125</v>
      </c>
    </row>
    <row r="49" customFormat="false" ht="15" hidden="false" customHeight="false" outlineLevel="0" collapsed="false">
      <c r="A49" s="12" t="n">
        <v>32</v>
      </c>
      <c r="B49" s="12" t="n">
        <f aca="false">MOD(INT($A49/2^5),2)</f>
        <v>1</v>
      </c>
      <c r="C49" s="12" t="n">
        <f aca="false">MOD(INT($A49/2^4),2)</f>
        <v>0</v>
      </c>
      <c r="D49" s="12" t="n">
        <f aca="false">MOD(INT($A49/2^3),2)</f>
        <v>0</v>
      </c>
      <c r="E49" s="12" t="n">
        <f aca="false">MOD(INT($A49/2^2),2)</f>
        <v>0</v>
      </c>
      <c r="F49" s="12" t="n">
        <f aca="false">MOD(INT($A49/2^1),2)</f>
        <v>0</v>
      </c>
      <c r="G49" s="12" t="n">
        <f aca="false">MOD(INT($A49/2^0),2)</f>
        <v>0</v>
      </c>
      <c r="H49" s="18" t="n">
        <f aca="false">Eff_now+B49*Half_g*(Ceil_e-Eff_now)</f>
        <v>78</v>
      </c>
      <c r="I49" s="18" t="n">
        <f aca="false">H49+C49*Half_g*(Ceil_e-H49)</f>
        <v>78</v>
      </c>
      <c r="J49" s="18" t="n">
        <f aca="false">I49+D49*Half_g*(Ceil_e-I49)</f>
        <v>78</v>
      </c>
      <c r="K49" s="18" t="n">
        <f aca="false">J49+E49*Half_g*(Ceil_e-J49)</f>
        <v>78</v>
      </c>
      <c r="L49" s="18" t="n">
        <f aca="false">K49+F49*Half_g*(Ceil_e-K49)</f>
        <v>78</v>
      </c>
      <c r="M49" s="18" t="n">
        <f aca="false">L49+G49*Half_g*(Ceil_e-L49)</f>
        <v>78</v>
      </c>
      <c r="N49" s="13" t="n">
        <f aca="false">Val_pt*(H49-Eff_now)</f>
        <v>70</v>
      </c>
      <c r="O49" s="13" t="n">
        <f aca="false">Val_pt*(I49-Eff_now)</f>
        <v>70</v>
      </c>
      <c r="P49" s="13" t="n">
        <f aca="false">Val_pt*(J49-Eff_now)</f>
        <v>70</v>
      </c>
      <c r="Q49" s="13" t="n">
        <f aca="false">Val_pt*(K49-Eff_now)</f>
        <v>70</v>
      </c>
      <c r="R49" s="13" t="n">
        <f aca="false">Val_pt*(L49-Eff_now)</f>
        <v>70</v>
      </c>
      <c r="S49" s="13" t="n">
        <f aca="false">Val_pt*(M49-Eff_now)</f>
        <v>70</v>
      </c>
      <c r="T49" s="13" t="n">
        <f aca="false">S_max*(1-2^(-(SUM($B49:B49))))</f>
        <v>70</v>
      </c>
      <c r="U49" s="13" t="n">
        <f aca="false">S_max*(1-2^(-(SUM($B49:C49))))</f>
        <v>70</v>
      </c>
      <c r="V49" s="13" t="n">
        <f aca="false">S_max*(1-2^(-(SUM($B49:D49))))</f>
        <v>70</v>
      </c>
      <c r="W49" s="13" t="n">
        <f aca="false">S_max*(1-2^(-(SUM($B49:E49))))</f>
        <v>70</v>
      </c>
      <c r="X49" s="13" t="n">
        <f aca="false">S_max*(1-2^(-(SUM($B49:F49))))</f>
        <v>70</v>
      </c>
      <c r="Y49" s="13" t="n">
        <f aca="false">S_max*(1-2^(-(SUM($B49:G49))))</f>
        <v>70</v>
      </c>
      <c r="Z49" s="16" t="n">
        <f aca="false">MAX(ABS(N49-T49),ABS(O49-U49),ABS(P49-V49),ABS(Q49-W49),ABS(R49-X49),ABS(S49-Y49))</f>
        <v>0</v>
      </c>
      <c r="AA49" s="13" t="n">
        <f aca="false">Liq_now-Cost_r*B49</f>
        <v>500</v>
      </c>
      <c r="AB49" s="13" t="n">
        <f aca="false">AG49-Cost_r*C49</f>
        <v>570</v>
      </c>
      <c r="AC49" s="13" t="n">
        <f aca="false">AH49-Cost_r*D49</f>
        <v>640</v>
      </c>
      <c r="AD49" s="13" t="n">
        <f aca="false">AI49-Cost_r*E49</f>
        <v>710</v>
      </c>
      <c r="AE49" s="13" t="n">
        <f aca="false">AJ49-Cost_r*F49</f>
        <v>780</v>
      </c>
      <c r="AF49" s="13" t="n">
        <f aca="false">AK49-Cost_r*G49</f>
        <v>850</v>
      </c>
      <c r="AG49" s="13" t="n">
        <f aca="false">AA49+N49</f>
        <v>570</v>
      </c>
      <c r="AH49" s="13" t="n">
        <f aca="false">AB49+O49</f>
        <v>640</v>
      </c>
      <c r="AI49" s="13" t="n">
        <f aca="false">AC49+P49</f>
        <v>710</v>
      </c>
      <c r="AJ49" s="13" t="n">
        <f aca="false">AD49+Q49</f>
        <v>780</v>
      </c>
      <c r="AK49" s="13" t="n">
        <f aca="false">AE49+R49</f>
        <v>850</v>
      </c>
      <c r="AL49" s="13" t="n">
        <f aca="false">AF49+S49</f>
        <v>920</v>
      </c>
      <c r="AM49" s="12" t="n">
        <f aca="false">SUM(B49:G49)</f>
        <v>1</v>
      </c>
      <c r="AN49" s="12" t="n">
        <f aca="false">IF(AND(MIN(AA49:AF49)&gt;=Floor_q,MIN(AG49:AL49)&gt;=Floor_q,AL49&gt;=Q_end,Cap_now&gt;=Cap_min),1,0)</f>
        <v>1</v>
      </c>
      <c r="AO49" s="13" t="n">
        <f aca="false">AL49-Q_end</f>
        <v>450</v>
      </c>
      <c r="AP49" s="17" t="n">
        <f aca="false">IF(AN49=1,AO49+Credit_M*S49,-1000000000)</f>
        <v>1150</v>
      </c>
      <c r="AQ49" s="17" t="n">
        <f aca="false">AP49+SUMPRODUCT(Relaxation!$C$23:$H$23,1-B49:G49)+SUMPRODUCT(Relaxation!$C$24:$H$24,B49:G49)</f>
        <v>1198.5203026392</v>
      </c>
      <c r="AR49" s="17" t="n">
        <f aca="false">IF($AN49=1,$AO49+AR$15*$S49,-1000000000)</f>
        <v>450</v>
      </c>
      <c r="AS49" s="17" t="n">
        <f aca="false">IF($AN49=1,$AO49+AS$15*$S49,-1000000000)</f>
        <v>800</v>
      </c>
      <c r="AT49" s="17" t="n">
        <f aca="false">IF($AN49=1,$AO49+AT$15*$S49,-1000000000)</f>
        <v>1150</v>
      </c>
      <c r="AU49" s="17" t="n">
        <f aca="false">IF($AN49=1,$AO49+AU$15*$S49,-1000000000)</f>
        <v>1850</v>
      </c>
      <c r="AV49" s="17" t="n">
        <f aca="false">IF($AN49=1,$AO49+AV$15*$S49,-1000000000)</f>
        <v>3250</v>
      </c>
      <c r="AW49" s="17" t="n">
        <f aca="false">IF($AN49=1,$AO49+AW$15*$S49,-1000000000)</f>
        <v>4650</v>
      </c>
      <c r="AX49" s="17" t="n">
        <f aca="false">IF($AN49=1,$AO49+AX$15*$S49,-1000000000)</f>
        <v>4230</v>
      </c>
    </row>
    <row r="50" customFormat="false" ht="15" hidden="false" customHeight="false" outlineLevel="0" collapsed="false">
      <c r="A50" s="12" t="n">
        <v>33</v>
      </c>
      <c r="B50" s="12" t="n">
        <f aca="false">MOD(INT($A50/2^5),2)</f>
        <v>1</v>
      </c>
      <c r="C50" s="12" t="n">
        <f aca="false">MOD(INT($A50/2^4),2)</f>
        <v>0</v>
      </c>
      <c r="D50" s="12" t="n">
        <f aca="false">MOD(INT($A50/2^3),2)</f>
        <v>0</v>
      </c>
      <c r="E50" s="12" t="n">
        <f aca="false">MOD(INT($A50/2^2),2)</f>
        <v>0</v>
      </c>
      <c r="F50" s="12" t="n">
        <f aca="false">MOD(INT($A50/2^1),2)</f>
        <v>0</v>
      </c>
      <c r="G50" s="12" t="n">
        <f aca="false">MOD(INT($A50/2^0),2)</f>
        <v>1</v>
      </c>
      <c r="H50" s="18" t="n">
        <f aca="false">Eff_now+B50*Half_g*(Ceil_e-Eff_now)</f>
        <v>78</v>
      </c>
      <c r="I50" s="18" t="n">
        <f aca="false">H50+C50*Half_g*(Ceil_e-H50)</f>
        <v>78</v>
      </c>
      <c r="J50" s="18" t="n">
        <f aca="false">I50+D50*Half_g*(Ceil_e-I50)</f>
        <v>78</v>
      </c>
      <c r="K50" s="18" t="n">
        <f aca="false">J50+E50*Half_g*(Ceil_e-J50)</f>
        <v>78</v>
      </c>
      <c r="L50" s="18" t="n">
        <f aca="false">K50+F50*Half_g*(Ceil_e-K50)</f>
        <v>78</v>
      </c>
      <c r="M50" s="18" t="n">
        <f aca="false">L50+G50*Half_g*(Ceil_e-L50)</f>
        <v>81.5</v>
      </c>
      <c r="N50" s="13" t="n">
        <f aca="false">Val_pt*(H50-Eff_now)</f>
        <v>70</v>
      </c>
      <c r="O50" s="13" t="n">
        <f aca="false">Val_pt*(I50-Eff_now)</f>
        <v>70</v>
      </c>
      <c r="P50" s="13" t="n">
        <f aca="false">Val_pt*(J50-Eff_now)</f>
        <v>70</v>
      </c>
      <c r="Q50" s="13" t="n">
        <f aca="false">Val_pt*(K50-Eff_now)</f>
        <v>70</v>
      </c>
      <c r="R50" s="13" t="n">
        <f aca="false">Val_pt*(L50-Eff_now)</f>
        <v>70</v>
      </c>
      <c r="S50" s="13" t="n">
        <f aca="false">Val_pt*(M50-Eff_now)</f>
        <v>105</v>
      </c>
      <c r="T50" s="13" t="n">
        <f aca="false">S_max*(1-2^(-(SUM($B50:B50))))</f>
        <v>70</v>
      </c>
      <c r="U50" s="13" t="n">
        <f aca="false">S_max*(1-2^(-(SUM($B50:C50))))</f>
        <v>70</v>
      </c>
      <c r="V50" s="13" t="n">
        <f aca="false">S_max*(1-2^(-(SUM($B50:D50))))</f>
        <v>70</v>
      </c>
      <c r="W50" s="13" t="n">
        <f aca="false">S_max*(1-2^(-(SUM($B50:E50))))</f>
        <v>70</v>
      </c>
      <c r="X50" s="13" t="n">
        <f aca="false">S_max*(1-2^(-(SUM($B50:F50))))</f>
        <v>70</v>
      </c>
      <c r="Y50" s="13" t="n">
        <f aca="false">S_max*(1-2^(-(SUM($B50:G50))))</f>
        <v>105</v>
      </c>
      <c r="Z50" s="16" t="n">
        <f aca="false">MAX(ABS(N50-T50),ABS(O50-U50),ABS(P50-V50),ABS(Q50-W50),ABS(R50-X50),ABS(S50-Y50))</f>
        <v>0</v>
      </c>
      <c r="AA50" s="13" t="n">
        <f aca="false">Liq_now-Cost_r*B50</f>
        <v>500</v>
      </c>
      <c r="AB50" s="13" t="n">
        <f aca="false">AG50-Cost_r*C50</f>
        <v>570</v>
      </c>
      <c r="AC50" s="13" t="n">
        <f aca="false">AH50-Cost_r*D50</f>
        <v>640</v>
      </c>
      <c r="AD50" s="13" t="n">
        <f aca="false">AI50-Cost_r*E50</f>
        <v>710</v>
      </c>
      <c r="AE50" s="13" t="n">
        <f aca="false">AJ50-Cost_r*F50</f>
        <v>780</v>
      </c>
      <c r="AF50" s="13" t="n">
        <f aca="false">AK50-Cost_r*G50</f>
        <v>730</v>
      </c>
      <c r="AG50" s="13" t="n">
        <f aca="false">AA50+N50</f>
        <v>570</v>
      </c>
      <c r="AH50" s="13" t="n">
        <f aca="false">AB50+O50</f>
        <v>640</v>
      </c>
      <c r="AI50" s="13" t="n">
        <f aca="false">AC50+P50</f>
        <v>710</v>
      </c>
      <c r="AJ50" s="13" t="n">
        <f aca="false">AD50+Q50</f>
        <v>780</v>
      </c>
      <c r="AK50" s="13" t="n">
        <f aca="false">AE50+R50</f>
        <v>850</v>
      </c>
      <c r="AL50" s="13" t="n">
        <f aca="false">AF50+S50</f>
        <v>835</v>
      </c>
      <c r="AM50" s="12" t="n">
        <f aca="false">SUM(B50:G50)</f>
        <v>2</v>
      </c>
      <c r="AN50" s="12" t="n">
        <f aca="false">IF(AND(MIN(AA50:AF50)&gt;=Floor_q,MIN(AG50:AL50)&gt;=Floor_q,AL50&gt;=Q_end,Cap_now&gt;=Cap_min),1,0)</f>
        <v>1</v>
      </c>
      <c r="AO50" s="13" t="n">
        <f aca="false">AL50-Q_end</f>
        <v>365</v>
      </c>
      <c r="AP50" s="17" t="n">
        <f aca="false">IF(AN50=1,AO50+Credit_M*S50,-1000000000)</f>
        <v>1415</v>
      </c>
      <c r="AQ50" s="17" t="n">
        <f aca="false">AP50+SUMPRODUCT(Relaxation!$C$23:$H$23,1-B50:G50)+SUMPRODUCT(Relaxation!$C$24:$H$24,B50:G50)</f>
        <v>1481.98184110073</v>
      </c>
      <c r="AR50" s="17" t="n">
        <f aca="false">IF($AN50=1,$AO50+AR$15*$S50,-1000000000)</f>
        <v>365</v>
      </c>
      <c r="AS50" s="17" t="n">
        <f aca="false">IF($AN50=1,$AO50+AS$15*$S50,-1000000000)</f>
        <v>890</v>
      </c>
      <c r="AT50" s="17" t="n">
        <f aca="false">IF($AN50=1,$AO50+AT$15*$S50,-1000000000)</f>
        <v>1415</v>
      </c>
      <c r="AU50" s="17" t="n">
        <f aca="false">IF($AN50=1,$AO50+AU$15*$S50,-1000000000)</f>
        <v>2465</v>
      </c>
      <c r="AV50" s="17" t="n">
        <f aca="false">IF($AN50=1,$AO50+AV$15*$S50,-1000000000)</f>
        <v>4565</v>
      </c>
      <c r="AW50" s="17" t="n">
        <f aca="false">IF($AN50=1,$AO50+AW$15*$S50,-1000000000)</f>
        <v>6665</v>
      </c>
      <c r="AX50" s="17" t="n">
        <f aca="false">IF($AN50=1,$AO50+AX$15*$S50,-1000000000)</f>
        <v>6035</v>
      </c>
    </row>
    <row r="51" customFormat="false" ht="15" hidden="false" customHeight="false" outlineLevel="0" collapsed="false">
      <c r="A51" s="12" t="n">
        <v>34</v>
      </c>
      <c r="B51" s="12" t="n">
        <f aca="false">MOD(INT($A51/2^5),2)</f>
        <v>1</v>
      </c>
      <c r="C51" s="12" t="n">
        <f aca="false">MOD(INT($A51/2^4),2)</f>
        <v>0</v>
      </c>
      <c r="D51" s="12" t="n">
        <f aca="false">MOD(INT($A51/2^3),2)</f>
        <v>0</v>
      </c>
      <c r="E51" s="12" t="n">
        <f aca="false">MOD(INT($A51/2^2),2)</f>
        <v>0</v>
      </c>
      <c r="F51" s="12" t="n">
        <f aca="false">MOD(INT($A51/2^1),2)</f>
        <v>1</v>
      </c>
      <c r="G51" s="12" t="n">
        <f aca="false">MOD(INT($A51/2^0),2)</f>
        <v>0</v>
      </c>
      <c r="H51" s="18" t="n">
        <f aca="false">Eff_now+B51*Half_g*(Ceil_e-Eff_now)</f>
        <v>78</v>
      </c>
      <c r="I51" s="18" t="n">
        <f aca="false">H51+C51*Half_g*(Ceil_e-H51)</f>
        <v>78</v>
      </c>
      <c r="J51" s="18" t="n">
        <f aca="false">I51+D51*Half_g*(Ceil_e-I51)</f>
        <v>78</v>
      </c>
      <c r="K51" s="18" t="n">
        <f aca="false">J51+E51*Half_g*(Ceil_e-J51)</f>
        <v>78</v>
      </c>
      <c r="L51" s="18" t="n">
        <f aca="false">K51+F51*Half_g*(Ceil_e-K51)</f>
        <v>81.5</v>
      </c>
      <c r="M51" s="18" t="n">
        <f aca="false">L51+G51*Half_g*(Ceil_e-L51)</f>
        <v>81.5</v>
      </c>
      <c r="N51" s="13" t="n">
        <f aca="false">Val_pt*(H51-Eff_now)</f>
        <v>70</v>
      </c>
      <c r="O51" s="13" t="n">
        <f aca="false">Val_pt*(I51-Eff_now)</f>
        <v>70</v>
      </c>
      <c r="P51" s="13" t="n">
        <f aca="false">Val_pt*(J51-Eff_now)</f>
        <v>70</v>
      </c>
      <c r="Q51" s="13" t="n">
        <f aca="false">Val_pt*(K51-Eff_now)</f>
        <v>70</v>
      </c>
      <c r="R51" s="13" t="n">
        <f aca="false">Val_pt*(L51-Eff_now)</f>
        <v>105</v>
      </c>
      <c r="S51" s="13" t="n">
        <f aca="false">Val_pt*(M51-Eff_now)</f>
        <v>105</v>
      </c>
      <c r="T51" s="13" t="n">
        <f aca="false">S_max*(1-2^(-(SUM($B51:B51))))</f>
        <v>70</v>
      </c>
      <c r="U51" s="13" t="n">
        <f aca="false">S_max*(1-2^(-(SUM($B51:C51))))</f>
        <v>70</v>
      </c>
      <c r="V51" s="13" t="n">
        <f aca="false">S_max*(1-2^(-(SUM($B51:D51))))</f>
        <v>70</v>
      </c>
      <c r="W51" s="13" t="n">
        <f aca="false">S_max*(1-2^(-(SUM($B51:E51))))</f>
        <v>70</v>
      </c>
      <c r="X51" s="13" t="n">
        <f aca="false">S_max*(1-2^(-(SUM($B51:F51))))</f>
        <v>105</v>
      </c>
      <c r="Y51" s="13" t="n">
        <f aca="false">S_max*(1-2^(-(SUM($B51:G51))))</f>
        <v>105</v>
      </c>
      <c r="Z51" s="16" t="n">
        <f aca="false">MAX(ABS(N51-T51),ABS(O51-U51),ABS(P51-V51),ABS(Q51-W51),ABS(R51-X51),ABS(S51-Y51))</f>
        <v>0</v>
      </c>
      <c r="AA51" s="13" t="n">
        <f aca="false">Liq_now-Cost_r*B51</f>
        <v>500</v>
      </c>
      <c r="AB51" s="13" t="n">
        <f aca="false">AG51-Cost_r*C51</f>
        <v>570</v>
      </c>
      <c r="AC51" s="13" t="n">
        <f aca="false">AH51-Cost_r*D51</f>
        <v>640</v>
      </c>
      <c r="AD51" s="13" t="n">
        <f aca="false">AI51-Cost_r*E51</f>
        <v>710</v>
      </c>
      <c r="AE51" s="13" t="n">
        <f aca="false">AJ51-Cost_r*F51</f>
        <v>660</v>
      </c>
      <c r="AF51" s="13" t="n">
        <f aca="false">AK51-Cost_r*G51</f>
        <v>765</v>
      </c>
      <c r="AG51" s="13" t="n">
        <f aca="false">AA51+N51</f>
        <v>570</v>
      </c>
      <c r="AH51" s="13" t="n">
        <f aca="false">AB51+O51</f>
        <v>640</v>
      </c>
      <c r="AI51" s="13" t="n">
        <f aca="false">AC51+P51</f>
        <v>710</v>
      </c>
      <c r="AJ51" s="13" t="n">
        <f aca="false">AD51+Q51</f>
        <v>780</v>
      </c>
      <c r="AK51" s="13" t="n">
        <f aca="false">AE51+R51</f>
        <v>765</v>
      </c>
      <c r="AL51" s="13" t="n">
        <f aca="false">AF51+S51</f>
        <v>870</v>
      </c>
      <c r="AM51" s="12" t="n">
        <f aca="false">SUM(B51:G51)</f>
        <v>2</v>
      </c>
      <c r="AN51" s="12" t="n">
        <f aca="false">IF(AND(MIN(AA51:AF51)&gt;=Floor_q,MIN(AG51:AL51)&gt;=Floor_q,AL51&gt;=Q_end,Cap_now&gt;=Cap_min),1,0)</f>
        <v>1</v>
      </c>
      <c r="AO51" s="13" t="n">
        <f aca="false">AL51-Q_end</f>
        <v>400</v>
      </c>
      <c r="AP51" s="17" t="n">
        <f aca="false">IF(AN51=1,AO51+Credit_M*S51,-1000000000)</f>
        <v>1450</v>
      </c>
      <c r="AQ51" s="17" t="n">
        <f aca="false">AP51+SUMPRODUCT(Relaxation!$C$23:$H$23,1-B51:G51)+SUMPRODUCT(Relaxation!$C$24:$H$24,B51:G51)</f>
        <v>1507.75107186997</v>
      </c>
      <c r="AR51" s="17" t="n">
        <f aca="false">IF($AN51=1,$AO51+AR$15*$S51,-1000000000)</f>
        <v>400</v>
      </c>
      <c r="AS51" s="17" t="n">
        <f aca="false">IF($AN51=1,$AO51+AS$15*$S51,-1000000000)</f>
        <v>925</v>
      </c>
      <c r="AT51" s="17" t="n">
        <f aca="false">IF($AN51=1,$AO51+AT$15*$S51,-1000000000)</f>
        <v>1450</v>
      </c>
      <c r="AU51" s="17" t="n">
        <f aca="false">IF($AN51=1,$AO51+AU$15*$S51,-1000000000)</f>
        <v>2500</v>
      </c>
      <c r="AV51" s="17" t="n">
        <f aca="false">IF($AN51=1,$AO51+AV$15*$S51,-1000000000)</f>
        <v>4600</v>
      </c>
      <c r="AW51" s="17" t="n">
        <f aca="false">IF($AN51=1,$AO51+AW$15*$S51,-1000000000)</f>
        <v>6700</v>
      </c>
      <c r="AX51" s="17" t="n">
        <f aca="false">IF($AN51=1,$AO51+AX$15*$S51,-1000000000)</f>
        <v>6070</v>
      </c>
    </row>
    <row r="52" customFormat="false" ht="15" hidden="false" customHeight="false" outlineLevel="0" collapsed="false">
      <c r="A52" s="12" t="n">
        <v>35</v>
      </c>
      <c r="B52" s="12" t="n">
        <f aca="false">MOD(INT($A52/2^5),2)</f>
        <v>1</v>
      </c>
      <c r="C52" s="12" t="n">
        <f aca="false">MOD(INT($A52/2^4),2)</f>
        <v>0</v>
      </c>
      <c r="D52" s="12" t="n">
        <f aca="false">MOD(INT($A52/2^3),2)</f>
        <v>0</v>
      </c>
      <c r="E52" s="12" t="n">
        <f aca="false">MOD(INT($A52/2^2),2)</f>
        <v>0</v>
      </c>
      <c r="F52" s="12" t="n">
        <f aca="false">MOD(INT($A52/2^1),2)</f>
        <v>1</v>
      </c>
      <c r="G52" s="12" t="n">
        <f aca="false">MOD(INT($A52/2^0),2)</f>
        <v>1</v>
      </c>
      <c r="H52" s="18" t="n">
        <f aca="false">Eff_now+B52*Half_g*(Ceil_e-Eff_now)</f>
        <v>78</v>
      </c>
      <c r="I52" s="18" t="n">
        <f aca="false">H52+C52*Half_g*(Ceil_e-H52)</f>
        <v>78</v>
      </c>
      <c r="J52" s="18" t="n">
        <f aca="false">I52+D52*Half_g*(Ceil_e-I52)</f>
        <v>78</v>
      </c>
      <c r="K52" s="18" t="n">
        <f aca="false">J52+E52*Half_g*(Ceil_e-J52)</f>
        <v>78</v>
      </c>
      <c r="L52" s="18" t="n">
        <f aca="false">K52+F52*Half_g*(Ceil_e-K52)</f>
        <v>81.5</v>
      </c>
      <c r="M52" s="18" t="n">
        <f aca="false">L52+G52*Half_g*(Ceil_e-L52)</f>
        <v>83.25</v>
      </c>
      <c r="N52" s="13" t="n">
        <f aca="false">Val_pt*(H52-Eff_now)</f>
        <v>70</v>
      </c>
      <c r="O52" s="13" t="n">
        <f aca="false">Val_pt*(I52-Eff_now)</f>
        <v>70</v>
      </c>
      <c r="P52" s="13" t="n">
        <f aca="false">Val_pt*(J52-Eff_now)</f>
        <v>70</v>
      </c>
      <c r="Q52" s="13" t="n">
        <f aca="false">Val_pt*(K52-Eff_now)</f>
        <v>70</v>
      </c>
      <c r="R52" s="13" t="n">
        <f aca="false">Val_pt*(L52-Eff_now)</f>
        <v>105</v>
      </c>
      <c r="S52" s="13" t="n">
        <f aca="false">Val_pt*(M52-Eff_now)</f>
        <v>122.5</v>
      </c>
      <c r="T52" s="13" t="n">
        <f aca="false">S_max*(1-2^(-(SUM($B52:B52))))</f>
        <v>70</v>
      </c>
      <c r="U52" s="13" t="n">
        <f aca="false">S_max*(1-2^(-(SUM($B52:C52))))</f>
        <v>70</v>
      </c>
      <c r="V52" s="13" t="n">
        <f aca="false">S_max*(1-2^(-(SUM($B52:D52))))</f>
        <v>70</v>
      </c>
      <c r="W52" s="13" t="n">
        <f aca="false">S_max*(1-2^(-(SUM($B52:E52))))</f>
        <v>70</v>
      </c>
      <c r="X52" s="13" t="n">
        <f aca="false">S_max*(1-2^(-(SUM($B52:F52))))</f>
        <v>105</v>
      </c>
      <c r="Y52" s="13" t="n">
        <f aca="false">S_max*(1-2^(-(SUM($B52:G52))))</f>
        <v>122.5</v>
      </c>
      <c r="Z52" s="16" t="n">
        <f aca="false">MAX(ABS(N52-T52),ABS(O52-U52),ABS(P52-V52),ABS(Q52-W52),ABS(R52-X52),ABS(S52-Y52))</f>
        <v>0</v>
      </c>
      <c r="AA52" s="13" t="n">
        <f aca="false">Liq_now-Cost_r*B52</f>
        <v>500</v>
      </c>
      <c r="AB52" s="13" t="n">
        <f aca="false">AG52-Cost_r*C52</f>
        <v>570</v>
      </c>
      <c r="AC52" s="13" t="n">
        <f aca="false">AH52-Cost_r*D52</f>
        <v>640</v>
      </c>
      <c r="AD52" s="13" t="n">
        <f aca="false">AI52-Cost_r*E52</f>
        <v>710</v>
      </c>
      <c r="AE52" s="13" t="n">
        <f aca="false">AJ52-Cost_r*F52</f>
        <v>660</v>
      </c>
      <c r="AF52" s="13" t="n">
        <f aca="false">AK52-Cost_r*G52</f>
        <v>645</v>
      </c>
      <c r="AG52" s="13" t="n">
        <f aca="false">AA52+N52</f>
        <v>570</v>
      </c>
      <c r="AH52" s="13" t="n">
        <f aca="false">AB52+O52</f>
        <v>640</v>
      </c>
      <c r="AI52" s="13" t="n">
        <f aca="false">AC52+P52</f>
        <v>710</v>
      </c>
      <c r="AJ52" s="13" t="n">
        <f aca="false">AD52+Q52</f>
        <v>780</v>
      </c>
      <c r="AK52" s="13" t="n">
        <f aca="false">AE52+R52</f>
        <v>765</v>
      </c>
      <c r="AL52" s="13" t="n">
        <f aca="false">AF52+S52</f>
        <v>767.5</v>
      </c>
      <c r="AM52" s="12" t="n">
        <f aca="false">SUM(B52:G52)</f>
        <v>3</v>
      </c>
      <c r="AN52" s="12" t="n">
        <f aca="false">IF(AND(MIN(AA52:AF52)&gt;=Floor_q,MIN(AG52:AL52)&gt;=Floor_q,AL52&gt;=Q_end,Cap_now&gt;=Cap_min),1,0)</f>
        <v>1</v>
      </c>
      <c r="AO52" s="13" t="n">
        <f aca="false">AL52-Q_end</f>
        <v>297.5</v>
      </c>
      <c r="AP52" s="17" t="n">
        <f aca="false">IF(AN52=1,AO52+Credit_M*S52,-1000000000)</f>
        <v>1522.5</v>
      </c>
      <c r="AQ52" s="17" t="n">
        <f aca="false">AP52+SUMPRODUCT(Relaxation!$C$23:$H$23,1-B52:G52)+SUMPRODUCT(Relaxation!$C$24:$H$24,B52:G52)</f>
        <v>1598.7126103315</v>
      </c>
      <c r="AR52" s="17" t="n">
        <f aca="false">IF($AN52=1,$AO52+AR$15*$S52,-1000000000)</f>
        <v>297.5</v>
      </c>
      <c r="AS52" s="17" t="n">
        <f aca="false">IF($AN52=1,$AO52+AS$15*$S52,-1000000000)</f>
        <v>910</v>
      </c>
      <c r="AT52" s="17" t="n">
        <f aca="false">IF($AN52=1,$AO52+AT$15*$S52,-1000000000)</f>
        <v>1522.5</v>
      </c>
      <c r="AU52" s="17" t="n">
        <f aca="false">IF($AN52=1,$AO52+AU$15*$S52,-1000000000)</f>
        <v>2747.5</v>
      </c>
      <c r="AV52" s="17" t="n">
        <f aca="false">IF($AN52=1,$AO52+AV$15*$S52,-1000000000)</f>
        <v>5197.5</v>
      </c>
      <c r="AW52" s="17" t="n">
        <f aca="false">IF($AN52=1,$AO52+AW$15*$S52,-1000000000)</f>
        <v>7647.5</v>
      </c>
      <c r="AX52" s="17" t="n">
        <f aca="false">IF($AN52=1,$AO52+AX$15*$S52,-1000000000)</f>
        <v>6912.5</v>
      </c>
    </row>
    <row r="53" customFormat="false" ht="15" hidden="false" customHeight="false" outlineLevel="0" collapsed="false">
      <c r="A53" s="12" t="n">
        <v>36</v>
      </c>
      <c r="B53" s="12" t="n">
        <f aca="false">MOD(INT($A53/2^5),2)</f>
        <v>1</v>
      </c>
      <c r="C53" s="12" t="n">
        <f aca="false">MOD(INT($A53/2^4),2)</f>
        <v>0</v>
      </c>
      <c r="D53" s="12" t="n">
        <f aca="false">MOD(INT($A53/2^3),2)</f>
        <v>0</v>
      </c>
      <c r="E53" s="12" t="n">
        <f aca="false">MOD(INT($A53/2^2),2)</f>
        <v>1</v>
      </c>
      <c r="F53" s="12" t="n">
        <f aca="false">MOD(INT($A53/2^1),2)</f>
        <v>0</v>
      </c>
      <c r="G53" s="12" t="n">
        <f aca="false">MOD(INT($A53/2^0),2)</f>
        <v>0</v>
      </c>
      <c r="H53" s="18" t="n">
        <f aca="false">Eff_now+B53*Half_g*(Ceil_e-Eff_now)</f>
        <v>78</v>
      </c>
      <c r="I53" s="18" t="n">
        <f aca="false">H53+C53*Half_g*(Ceil_e-H53)</f>
        <v>78</v>
      </c>
      <c r="J53" s="18" t="n">
        <f aca="false">I53+D53*Half_g*(Ceil_e-I53)</f>
        <v>78</v>
      </c>
      <c r="K53" s="18" t="n">
        <f aca="false">J53+E53*Half_g*(Ceil_e-J53)</f>
        <v>81.5</v>
      </c>
      <c r="L53" s="18" t="n">
        <f aca="false">K53+F53*Half_g*(Ceil_e-K53)</f>
        <v>81.5</v>
      </c>
      <c r="M53" s="18" t="n">
        <f aca="false">L53+G53*Half_g*(Ceil_e-L53)</f>
        <v>81.5</v>
      </c>
      <c r="N53" s="13" t="n">
        <f aca="false">Val_pt*(H53-Eff_now)</f>
        <v>70</v>
      </c>
      <c r="O53" s="13" t="n">
        <f aca="false">Val_pt*(I53-Eff_now)</f>
        <v>70</v>
      </c>
      <c r="P53" s="13" t="n">
        <f aca="false">Val_pt*(J53-Eff_now)</f>
        <v>70</v>
      </c>
      <c r="Q53" s="13" t="n">
        <f aca="false">Val_pt*(K53-Eff_now)</f>
        <v>105</v>
      </c>
      <c r="R53" s="13" t="n">
        <f aca="false">Val_pt*(L53-Eff_now)</f>
        <v>105</v>
      </c>
      <c r="S53" s="13" t="n">
        <f aca="false">Val_pt*(M53-Eff_now)</f>
        <v>105</v>
      </c>
      <c r="T53" s="13" t="n">
        <f aca="false">S_max*(1-2^(-(SUM($B53:B53))))</f>
        <v>70</v>
      </c>
      <c r="U53" s="13" t="n">
        <f aca="false">S_max*(1-2^(-(SUM($B53:C53))))</f>
        <v>70</v>
      </c>
      <c r="V53" s="13" t="n">
        <f aca="false">S_max*(1-2^(-(SUM($B53:D53))))</f>
        <v>70</v>
      </c>
      <c r="W53" s="13" t="n">
        <f aca="false">S_max*(1-2^(-(SUM($B53:E53))))</f>
        <v>105</v>
      </c>
      <c r="X53" s="13" t="n">
        <f aca="false">S_max*(1-2^(-(SUM($B53:F53))))</f>
        <v>105</v>
      </c>
      <c r="Y53" s="13" t="n">
        <f aca="false">S_max*(1-2^(-(SUM($B53:G53))))</f>
        <v>105</v>
      </c>
      <c r="Z53" s="16" t="n">
        <f aca="false">MAX(ABS(N53-T53),ABS(O53-U53),ABS(P53-V53),ABS(Q53-W53),ABS(R53-X53),ABS(S53-Y53))</f>
        <v>0</v>
      </c>
      <c r="AA53" s="13" t="n">
        <f aca="false">Liq_now-Cost_r*B53</f>
        <v>500</v>
      </c>
      <c r="AB53" s="13" t="n">
        <f aca="false">AG53-Cost_r*C53</f>
        <v>570</v>
      </c>
      <c r="AC53" s="13" t="n">
        <f aca="false">AH53-Cost_r*D53</f>
        <v>640</v>
      </c>
      <c r="AD53" s="13" t="n">
        <f aca="false">AI53-Cost_r*E53</f>
        <v>590</v>
      </c>
      <c r="AE53" s="13" t="n">
        <f aca="false">AJ53-Cost_r*F53</f>
        <v>695</v>
      </c>
      <c r="AF53" s="13" t="n">
        <f aca="false">AK53-Cost_r*G53</f>
        <v>800</v>
      </c>
      <c r="AG53" s="13" t="n">
        <f aca="false">AA53+N53</f>
        <v>570</v>
      </c>
      <c r="AH53" s="13" t="n">
        <f aca="false">AB53+O53</f>
        <v>640</v>
      </c>
      <c r="AI53" s="13" t="n">
        <f aca="false">AC53+P53</f>
        <v>710</v>
      </c>
      <c r="AJ53" s="13" t="n">
        <f aca="false">AD53+Q53</f>
        <v>695</v>
      </c>
      <c r="AK53" s="13" t="n">
        <f aca="false">AE53+R53</f>
        <v>800</v>
      </c>
      <c r="AL53" s="13" t="n">
        <f aca="false">AF53+S53</f>
        <v>905</v>
      </c>
      <c r="AM53" s="12" t="n">
        <f aca="false">SUM(B53:G53)</f>
        <v>2</v>
      </c>
      <c r="AN53" s="12" t="n">
        <f aca="false">IF(AND(MIN(AA53:AF53)&gt;=Floor_q,MIN(AG53:AL53)&gt;=Floor_q,AL53&gt;=Q_end,Cap_now&gt;=Cap_min),1,0)</f>
        <v>1</v>
      </c>
      <c r="AO53" s="13" t="n">
        <f aca="false">AL53-Q_end</f>
        <v>435</v>
      </c>
      <c r="AP53" s="17" t="n">
        <f aca="false">IF(AN53=1,AO53+Credit_M*S53,-1000000000)</f>
        <v>1485</v>
      </c>
      <c r="AQ53" s="17" t="n">
        <f aca="false">AP53+SUMPRODUCT(Relaxation!$C$23:$H$23,1-B53:G53)+SUMPRODUCT(Relaxation!$C$24:$H$24,B53:G53)</f>
        <v>1533.5203026392</v>
      </c>
      <c r="AR53" s="17" t="n">
        <f aca="false">IF($AN53=1,$AO53+AR$15*$S53,-1000000000)</f>
        <v>435</v>
      </c>
      <c r="AS53" s="17" t="n">
        <f aca="false">IF($AN53=1,$AO53+AS$15*$S53,-1000000000)</f>
        <v>960</v>
      </c>
      <c r="AT53" s="17" t="n">
        <f aca="false">IF($AN53=1,$AO53+AT$15*$S53,-1000000000)</f>
        <v>1485</v>
      </c>
      <c r="AU53" s="17" t="n">
        <f aca="false">IF($AN53=1,$AO53+AU$15*$S53,-1000000000)</f>
        <v>2535</v>
      </c>
      <c r="AV53" s="17" t="n">
        <f aca="false">IF($AN53=1,$AO53+AV$15*$S53,-1000000000)</f>
        <v>4635</v>
      </c>
      <c r="AW53" s="17" t="n">
        <f aca="false">IF($AN53=1,$AO53+AW$15*$S53,-1000000000)</f>
        <v>6735</v>
      </c>
      <c r="AX53" s="17" t="n">
        <f aca="false">IF($AN53=1,$AO53+AX$15*$S53,-1000000000)</f>
        <v>6105</v>
      </c>
    </row>
    <row r="54" customFormat="false" ht="15" hidden="false" customHeight="false" outlineLevel="0" collapsed="false">
      <c r="A54" s="12" t="n">
        <v>37</v>
      </c>
      <c r="B54" s="12" t="n">
        <f aca="false">MOD(INT($A54/2^5),2)</f>
        <v>1</v>
      </c>
      <c r="C54" s="12" t="n">
        <f aca="false">MOD(INT($A54/2^4),2)</f>
        <v>0</v>
      </c>
      <c r="D54" s="12" t="n">
        <f aca="false">MOD(INT($A54/2^3),2)</f>
        <v>0</v>
      </c>
      <c r="E54" s="12" t="n">
        <f aca="false">MOD(INT($A54/2^2),2)</f>
        <v>1</v>
      </c>
      <c r="F54" s="12" t="n">
        <f aca="false">MOD(INT($A54/2^1),2)</f>
        <v>0</v>
      </c>
      <c r="G54" s="12" t="n">
        <f aca="false">MOD(INT($A54/2^0),2)</f>
        <v>1</v>
      </c>
      <c r="H54" s="18" t="n">
        <f aca="false">Eff_now+B54*Half_g*(Ceil_e-Eff_now)</f>
        <v>78</v>
      </c>
      <c r="I54" s="18" t="n">
        <f aca="false">H54+C54*Half_g*(Ceil_e-H54)</f>
        <v>78</v>
      </c>
      <c r="J54" s="18" t="n">
        <f aca="false">I54+D54*Half_g*(Ceil_e-I54)</f>
        <v>78</v>
      </c>
      <c r="K54" s="18" t="n">
        <f aca="false">J54+E54*Half_g*(Ceil_e-J54)</f>
        <v>81.5</v>
      </c>
      <c r="L54" s="18" t="n">
        <f aca="false">K54+F54*Half_g*(Ceil_e-K54)</f>
        <v>81.5</v>
      </c>
      <c r="M54" s="18" t="n">
        <f aca="false">L54+G54*Half_g*(Ceil_e-L54)</f>
        <v>83.25</v>
      </c>
      <c r="N54" s="13" t="n">
        <f aca="false">Val_pt*(H54-Eff_now)</f>
        <v>70</v>
      </c>
      <c r="O54" s="13" t="n">
        <f aca="false">Val_pt*(I54-Eff_now)</f>
        <v>70</v>
      </c>
      <c r="P54" s="13" t="n">
        <f aca="false">Val_pt*(J54-Eff_now)</f>
        <v>70</v>
      </c>
      <c r="Q54" s="13" t="n">
        <f aca="false">Val_pt*(K54-Eff_now)</f>
        <v>105</v>
      </c>
      <c r="R54" s="13" t="n">
        <f aca="false">Val_pt*(L54-Eff_now)</f>
        <v>105</v>
      </c>
      <c r="S54" s="13" t="n">
        <f aca="false">Val_pt*(M54-Eff_now)</f>
        <v>122.5</v>
      </c>
      <c r="T54" s="13" t="n">
        <f aca="false">S_max*(1-2^(-(SUM($B54:B54))))</f>
        <v>70</v>
      </c>
      <c r="U54" s="13" t="n">
        <f aca="false">S_max*(1-2^(-(SUM($B54:C54))))</f>
        <v>70</v>
      </c>
      <c r="V54" s="13" t="n">
        <f aca="false">S_max*(1-2^(-(SUM($B54:D54))))</f>
        <v>70</v>
      </c>
      <c r="W54" s="13" t="n">
        <f aca="false">S_max*(1-2^(-(SUM($B54:E54))))</f>
        <v>105</v>
      </c>
      <c r="X54" s="13" t="n">
        <f aca="false">S_max*(1-2^(-(SUM($B54:F54))))</f>
        <v>105</v>
      </c>
      <c r="Y54" s="13" t="n">
        <f aca="false">S_max*(1-2^(-(SUM($B54:G54))))</f>
        <v>122.5</v>
      </c>
      <c r="Z54" s="16" t="n">
        <f aca="false">MAX(ABS(N54-T54),ABS(O54-U54),ABS(P54-V54),ABS(Q54-W54),ABS(R54-X54),ABS(S54-Y54))</f>
        <v>0</v>
      </c>
      <c r="AA54" s="13" t="n">
        <f aca="false">Liq_now-Cost_r*B54</f>
        <v>500</v>
      </c>
      <c r="AB54" s="13" t="n">
        <f aca="false">AG54-Cost_r*C54</f>
        <v>570</v>
      </c>
      <c r="AC54" s="13" t="n">
        <f aca="false">AH54-Cost_r*D54</f>
        <v>640</v>
      </c>
      <c r="AD54" s="13" t="n">
        <f aca="false">AI54-Cost_r*E54</f>
        <v>590</v>
      </c>
      <c r="AE54" s="13" t="n">
        <f aca="false">AJ54-Cost_r*F54</f>
        <v>695</v>
      </c>
      <c r="AF54" s="13" t="n">
        <f aca="false">AK54-Cost_r*G54</f>
        <v>680</v>
      </c>
      <c r="AG54" s="13" t="n">
        <f aca="false">AA54+N54</f>
        <v>570</v>
      </c>
      <c r="AH54" s="13" t="n">
        <f aca="false">AB54+O54</f>
        <v>640</v>
      </c>
      <c r="AI54" s="13" t="n">
        <f aca="false">AC54+P54</f>
        <v>710</v>
      </c>
      <c r="AJ54" s="13" t="n">
        <f aca="false">AD54+Q54</f>
        <v>695</v>
      </c>
      <c r="AK54" s="13" t="n">
        <f aca="false">AE54+R54</f>
        <v>800</v>
      </c>
      <c r="AL54" s="13" t="n">
        <f aca="false">AF54+S54</f>
        <v>802.5</v>
      </c>
      <c r="AM54" s="12" t="n">
        <f aca="false">SUM(B54:G54)</f>
        <v>3</v>
      </c>
      <c r="AN54" s="12" t="n">
        <f aca="false">IF(AND(MIN(AA54:AF54)&gt;=Floor_q,MIN(AG54:AL54)&gt;=Floor_q,AL54&gt;=Q_end,Cap_now&gt;=Cap_min),1,0)</f>
        <v>1</v>
      </c>
      <c r="AO54" s="13" t="n">
        <f aca="false">AL54-Q_end</f>
        <v>332.5</v>
      </c>
      <c r="AP54" s="17" t="n">
        <f aca="false">IF(AN54=1,AO54+Credit_M*S54,-1000000000)</f>
        <v>1557.5</v>
      </c>
      <c r="AQ54" s="17" t="n">
        <f aca="false">AP54+SUMPRODUCT(Relaxation!$C$23:$H$23,1-B54:G54)+SUMPRODUCT(Relaxation!$C$24:$H$24,B54:G54)</f>
        <v>1624.48184110073</v>
      </c>
      <c r="AR54" s="17" t="n">
        <f aca="false">IF($AN54=1,$AO54+AR$15*$S54,-1000000000)</f>
        <v>332.5</v>
      </c>
      <c r="AS54" s="17" t="n">
        <f aca="false">IF($AN54=1,$AO54+AS$15*$S54,-1000000000)</f>
        <v>945</v>
      </c>
      <c r="AT54" s="17" t="n">
        <f aca="false">IF($AN54=1,$AO54+AT$15*$S54,-1000000000)</f>
        <v>1557.5</v>
      </c>
      <c r="AU54" s="17" t="n">
        <f aca="false">IF($AN54=1,$AO54+AU$15*$S54,-1000000000)</f>
        <v>2782.5</v>
      </c>
      <c r="AV54" s="17" t="n">
        <f aca="false">IF($AN54=1,$AO54+AV$15*$S54,-1000000000)</f>
        <v>5232.5</v>
      </c>
      <c r="AW54" s="17" t="n">
        <f aca="false">IF($AN54=1,$AO54+AW$15*$S54,-1000000000)</f>
        <v>7682.5</v>
      </c>
      <c r="AX54" s="17" t="n">
        <f aca="false">IF($AN54=1,$AO54+AX$15*$S54,-1000000000)</f>
        <v>6947.5</v>
      </c>
    </row>
    <row r="55" customFormat="false" ht="15" hidden="false" customHeight="false" outlineLevel="0" collapsed="false">
      <c r="A55" s="12" t="n">
        <v>38</v>
      </c>
      <c r="B55" s="12" t="n">
        <f aca="false">MOD(INT($A55/2^5),2)</f>
        <v>1</v>
      </c>
      <c r="C55" s="12" t="n">
        <f aca="false">MOD(INT($A55/2^4),2)</f>
        <v>0</v>
      </c>
      <c r="D55" s="12" t="n">
        <f aca="false">MOD(INT($A55/2^3),2)</f>
        <v>0</v>
      </c>
      <c r="E55" s="12" t="n">
        <f aca="false">MOD(INT($A55/2^2),2)</f>
        <v>1</v>
      </c>
      <c r="F55" s="12" t="n">
        <f aca="false">MOD(INT($A55/2^1),2)</f>
        <v>1</v>
      </c>
      <c r="G55" s="12" t="n">
        <f aca="false">MOD(INT($A55/2^0),2)</f>
        <v>0</v>
      </c>
      <c r="H55" s="18" t="n">
        <f aca="false">Eff_now+B55*Half_g*(Ceil_e-Eff_now)</f>
        <v>78</v>
      </c>
      <c r="I55" s="18" t="n">
        <f aca="false">H55+C55*Half_g*(Ceil_e-H55)</f>
        <v>78</v>
      </c>
      <c r="J55" s="18" t="n">
        <f aca="false">I55+D55*Half_g*(Ceil_e-I55)</f>
        <v>78</v>
      </c>
      <c r="K55" s="18" t="n">
        <f aca="false">J55+E55*Half_g*(Ceil_e-J55)</f>
        <v>81.5</v>
      </c>
      <c r="L55" s="18" t="n">
        <f aca="false">K55+F55*Half_g*(Ceil_e-K55)</f>
        <v>83.25</v>
      </c>
      <c r="M55" s="18" t="n">
        <f aca="false">L55+G55*Half_g*(Ceil_e-L55)</f>
        <v>83.25</v>
      </c>
      <c r="N55" s="13" t="n">
        <f aca="false">Val_pt*(H55-Eff_now)</f>
        <v>70</v>
      </c>
      <c r="O55" s="13" t="n">
        <f aca="false">Val_pt*(I55-Eff_now)</f>
        <v>70</v>
      </c>
      <c r="P55" s="13" t="n">
        <f aca="false">Val_pt*(J55-Eff_now)</f>
        <v>70</v>
      </c>
      <c r="Q55" s="13" t="n">
        <f aca="false">Val_pt*(K55-Eff_now)</f>
        <v>105</v>
      </c>
      <c r="R55" s="13" t="n">
        <f aca="false">Val_pt*(L55-Eff_now)</f>
        <v>122.5</v>
      </c>
      <c r="S55" s="13" t="n">
        <f aca="false">Val_pt*(M55-Eff_now)</f>
        <v>122.5</v>
      </c>
      <c r="T55" s="13" t="n">
        <f aca="false">S_max*(1-2^(-(SUM($B55:B55))))</f>
        <v>70</v>
      </c>
      <c r="U55" s="13" t="n">
        <f aca="false">S_max*(1-2^(-(SUM($B55:C55))))</f>
        <v>70</v>
      </c>
      <c r="V55" s="13" t="n">
        <f aca="false">S_max*(1-2^(-(SUM($B55:D55))))</f>
        <v>70</v>
      </c>
      <c r="W55" s="13" t="n">
        <f aca="false">S_max*(1-2^(-(SUM($B55:E55))))</f>
        <v>105</v>
      </c>
      <c r="X55" s="13" t="n">
        <f aca="false">S_max*(1-2^(-(SUM($B55:F55))))</f>
        <v>122.5</v>
      </c>
      <c r="Y55" s="13" t="n">
        <f aca="false">S_max*(1-2^(-(SUM($B55:G55))))</f>
        <v>122.5</v>
      </c>
      <c r="Z55" s="16" t="n">
        <f aca="false">MAX(ABS(N55-T55),ABS(O55-U55),ABS(P55-V55),ABS(Q55-W55),ABS(R55-X55),ABS(S55-Y55))</f>
        <v>0</v>
      </c>
      <c r="AA55" s="13" t="n">
        <f aca="false">Liq_now-Cost_r*B55</f>
        <v>500</v>
      </c>
      <c r="AB55" s="13" t="n">
        <f aca="false">AG55-Cost_r*C55</f>
        <v>570</v>
      </c>
      <c r="AC55" s="13" t="n">
        <f aca="false">AH55-Cost_r*D55</f>
        <v>640</v>
      </c>
      <c r="AD55" s="13" t="n">
        <f aca="false">AI55-Cost_r*E55</f>
        <v>590</v>
      </c>
      <c r="AE55" s="13" t="n">
        <f aca="false">AJ55-Cost_r*F55</f>
        <v>575</v>
      </c>
      <c r="AF55" s="13" t="n">
        <f aca="false">AK55-Cost_r*G55</f>
        <v>697.5</v>
      </c>
      <c r="AG55" s="13" t="n">
        <f aca="false">AA55+N55</f>
        <v>570</v>
      </c>
      <c r="AH55" s="13" t="n">
        <f aca="false">AB55+O55</f>
        <v>640</v>
      </c>
      <c r="AI55" s="13" t="n">
        <f aca="false">AC55+P55</f>
        <v>710</v>
      </c>
      <c r="AJ55" s="13" t="n">
        <f aca="false">AD55+Q55</f>
        <v>695</v>
      </c>
      <c r="AK55" s="13" t="n">
        <f aca="false">AE55+R55</f>
        <v>697.5</v>
      </c>
      <c r="AL55" s="13" t="n">
        <f aca="false">AF55+S55</f>
        <v>820</v>
      </c>
      <c r="AM55" s="12" t="n">
        <f aca="false">SUM(B55:G55)</f>
        <v>3</v>
      </c>
      <c r="AN55" s="12" t="n">
        <f aca="false">IF(AND(MIN(AA55:AF55)&gt;=Floor_q,MIN(AG55:AL55)&gt;=Floor_q,AL55&gt;=Q_end,Cap_now&gt;=Cap_min),1,0)</f>
        <v>1</v>
      </c>
      <c r="AO55" s="13" t="n">
        <f aca="false">AL55-Q_end</f>
        <v>350</v>
      </c>
      <c r="AP55" s="17" t="n">
        <f aca="false">IF(AN55=1,AO55+Credit_M*S55,-1000000000)</f>
        <v>1575</v>
      </c>
      <c r="AQ55" s="17" t="n">
        <f aca="false">AP55+SUMPRODUCT(Relaxation!$C$23:$H$23,1-B55:G55)+SUMPRODUCT(Relaxation!$C$24:$H$24,B55:G55)</f>
        <v>1632.75107186997</v>
      </c>
      <c r="AR55" s="17" t="n">
        <f aca="false">IF($AN55=1,$AO55+AR$15*$S55,-1000000000)</f>
        <v>350</v>
      </c>
      <c r="AS55" s="17" t="n">
        <f aca="false">IF($AN55=1,$AO55+AS$15*$S55,-1000000000)</f>
        <v>962.5</v>
      </c>
      <c r="AT55" s="17" t="n">
        <f aca="false">IF($AN55=1,$AO55+AT$15*$S55,-1000000000)</f>
        <v>1575</v>
      </c>
      <c r="AU55" s="17" t="n">
        <f aca="false">IF($AN55=1,$AO55+AU$15*$S55,-1000000000)</f>
        <v>2800</v>
      </c>
      <c r="AV55" s="17" t="n">
        <f aca="false">IF($AN55=1,$AO55+AV$15*$S55,-1000000000)</f>
        <v>5250</v>
      </c>
      <c r="AW55" s="17" t="n">
        <f aca="false">IF($AN55=1,$AO55+AW$15*$S55,-1000000000)</f>
        <v>7700</v>
      </c>
      <c r="AX55" s="17" t="n">
        <f aca="false">IF($AN55=1,$AO55+AX$15*$S55,-1000000000)</f>
        <v>6965</v>
      </c>
    </row>
    <row r="56" customFormat="false" ht="15" hidden="false" customHeight="false" outlineLevel="0" collapsed="false">
      <c r="A56" s="12" t="n">
        <v>39</v>
      </c>
      <c r="B56" s="12" t="n">
        <f aca="false">MOD(INT($A56/2^5),2)</f>
        <v>1</v>
      </c>
      <c r="C56" s="12" t="n">
        <f aca="false">MOD(INT($A56/2^4),2)</f>
        <v>0</v>
      </c>
      <c r="D56" s="12" t="n">
        <f aca="false">MOD(INT($A56/2^3),2)</f>
        <v>0</v>
      </c>
      <c r="E56" s="12" t="n">
        <f aca="false">MOD(INT($A56/2^2),2)</f>
        <v>1</v>
      </c>
      <c r="F56" s="12" t="n">
        <f aca="false">MOD(INT($A56/2^1),2)</f>
        <v>1</v>
      </c>
      <c r="G56" s="12" t="n">
        <f aca="false">MOD(INT($A56/2^0),2)</f>
        <v>1</v>
      </c>
      <c r="H56" s="18" t="n">
        <f aca="false">Eff_now+B56*Half_g*(Ceil_e-Eff_now)</f>
        <v>78</v>
      </c>
      <c r="I56" s="18" t="n">
        <f aca="false">H56+C56*Half_g*(Ceil_e-H56)</f>
        <v>78</v>
      </c>
      <c r="J56" s="18" t="n">
        <f aca="false">I56+D56*Half_g*(Ceil_e-I56)</f>
        <v>78</v>
      </c>
      <c r="K56" s="18" t="n">
        <f aca="false">J56+E56*Half_g*(Ceil_e-J56)</f>
        <v>81.5</v>
      </c>
      <c r="L56" s="18" t="n">
        <f aca="false">K56+F56*Half_g*(Ceil_e-K56)</f>
        <v>83.25</v>
      </c>
      <c r="M56" s="18" t="n">
        <f aca="false">L56+G56*Half_g*(Ceil_e-L56)</f>
        <v>84.125</v>
      </c>
      <c r="N56" s="13" t="n">
        <f aca="false">Val_pt*(H56-Eff_now)</f>
        <v>70</v>
      </c>
      <c r="O56" s="13" t="n">
        <f aca="false">Val_pt*(I56-Eff_now)</f>
        <v>70</v>
      </c>
      <c r="P56" s="13" t="n">
        <f aca="false">Val_pt*(J56-Eff_now)</f>
        <v>70</v>
      </c>
      <c r="Q56" s="13" t="n">
        <f aca="false">Val_pt*(K56-Eff_now)</f>
        <v>105</v>
      </c>
      <c r="R56" s="13" t="n">
        <f aca="false">Val_pt*(L56-Eff_now)</f>
        <v>122.5</v>
      </c>
      <c r="S56" s="13" t="n">
        <f aca="false">Val_pt*(M56-Eff_now)</f>
        <v>131.25</v>
      </c>
      <c r="T56" s="13" t="n">
        <f aca="false">S_max*(1-2^(-(SUM($B56:B56))))</f>
        <v>70</v>
      </c>
      <c r="U56" s="13" t="n">
        <f aca="false">S_max*(1-2^(-(SUM($B56:C56))))</f>
        <v>70</v>
      </c>
      <c r="V56" s="13" t="n">
        <f aca="false">S_max*(1-2^(-(SUM($B56:D56))))</f>
        <v>70</v>
      </c>
      <c r="W56" s="13" t="n">
        <f aca="false">S_max*(1-2^(-(SUM($B56:E56))))</f>
        <v>105</v>
      </c>
      <c r="X56" s="13" t="n">
        <f aca="false">S_max*(1-2^(-(SUM($B56:F56))))</f>
        <v>122.5</v>
      </c>
      <c r="Y56" s="13" t="n">
        <f aca="false">S_max*(1-2^(-(SUM($B56:G56))))</f>
        <v>131.25</v>
      </c>
      <c r="Z56" s="16" t="n">
        <f aca="false">MAX(ABS(N56-T56),ABS(O56-U56),ABS(P56-V56),ABS(Q56-W56),ABS(R56-X56),ABS(S56-Y56))</f>
        <v>0</v>
      </c>
      <c r="AA56" s="13" t="n">
        <f aca="false">Liq_now-Cost_r*B56</f>
        <v>500</v>
      </c>
      <c r="AB56" s="13" t="n">
        <f aca="false">AG56-Cost_r*C56</f>
        <v>570</v>
      </c>
      <c r="AC56" s="13" t="n">
        <f aca="false">AH56-Cost_r*D56</f>
        <v>640</v>
      </c>
      <c r="AD56" s="13" t="n">
        <f aca="false">AI56-Cost_r*E56</f>
        <v>590</v>
      </c>
      <c r="AE56" s="13" t="n">
        <f aca="false">AJ56-Cost_r*F56</f>
        <v>575</v>
      </c>
      <c r="AF56" s="13" t="n">
        <f aca="false">AK56-Cost_r*G56</f>
        <v>577.5</v>
      </c>
      <c r="AG56" s="13" t="n">
        <f aca="false">AA56+N56</f>
        <v>570</v>
      </c>
      <c r="AH56" s="13" t="n">
        <f aca="false">AB56+O56</f>
        <v>640</v>
      </c>
      <c r="AI56" s="13" t="n">
        <f aca="false">AC56+P56</f>
        <v>710</v>
      </c>
      <c r="AJ56" s="13" t="n">
        <f aca="false">AD56+Q56</f>
        <v>695</v>
      </c>
      <c r="AK56" s="13" t="n">
        <f aca="false">AE56+R56</f>
        <v>697.5</v>
      </c>
      <c r="AL56" s="13" t="n">
        <f aca="false">AF56+S56</f>
        <v>708.75</v>
      </c>
      <c r="AM56" s="12" t="n">
        <f aca="false">SUM(B56:G56)</f>
        <v>4</v>
      </c>
      <c r="AN56" s="12" t="n">
        <f aca="false">IF(AND(MIN(AA56:AF56)&gt;=Floor_q,MIN(AG56:AL56)&gt;=Floor_q,AL56&gt;=Q_end,Cap_now&gt;=Cap_min),1,0)</f>
        <v>1</v>
      </c>
      <c r="AO56" s="13" t="n">
        <f aca="false">AL56-Q_end</f>
        <v>238.75</v>
      </c>
      <c r="AP56" s="17" t="n">
        <f aca="false">IF(AN56=1,AO56+Credit_M*S56,-1000000000)</f>
        <v>1551.25</v>
      </c>
      <c r="AQ56" s="17" t="n">
        <f aca="false">AP56+SUMPRODUCT(Relaxation!$C$23:$H$23,1-B56:G56)+SUMPRODUCT(Relaxation!$C$24:$H$24,B56:G56)</f>
        <v>1627.4626103315</v>
      </c>
      <c r="AR56" s="17" t="n">
        <f aca="false">IF($AN56=1,$AO56+AR$15*$S56,-1000000000)</f>
        <v>238.75</v>
      </c>
      <c r="AS56" s="17" t="n">
        <f aca="false">IF($AN56=1,$AO56+AS$15*$S56,-1000000000)</f>
        <v>895</v>
      </c>
      <c r="AT56" s="17" t="n">
        <f aca="false">IF($AN56=1,$AO56+AT$15*$S56,-1000000000)</f>
        <v>1551.25</v>
      </c>
      <c r="AU56" s="17" t="n">
        <f aca="false">IF($AN56=1,$AO56+AU$15*$S56,-1000000000)</f>
        <v>2863.75</v>
      </c>
      <c r="AV56" s="17" t="n">
        <f aca="false">IF($AN56=1,$AO56+AV$15*$S56,-1000000000)</f>
        <v>5488.75</v>
      </c>
      <c r="AW56" s="17" t="n">
        <f aca="false">IF($AN56=1,$AO56+AW$15*$S56,-1000000000)</f>
        <v>8113.75</v>
      </c>
      <c r="AX56" s="17" t="n">
        <f aca="false">IF($AN56=1,$AO56+AX$15*$S56,-1000000000)</f>
        <v>7326.25</v>
      </c>
    </row>
    <row r="57" customFormat="false" ht="15" hidden="false" customHeight="false" outlineLevel="0" collapsed="false">
      <c r="A57" s="12" t="n">
        <v>40</v>
      </c>
      <c r="B57" s="12" t="n">
        <f aca="false">MOD(INT($A57/2^5),2)</f>
        <v>1</v>
      </c>
      <c r="C57" s="12" t="n">
        <f aca="false">MOD(INT($A57/2^4),2)</f>
        <v>0</v>
      </c>
      <c r="D57" s="12" t="n">
        <f aca="false">MOD(INT($A57/2^3),2)</f>
        <v>1</v>
      </c>
      <c r="E57" s="12" t="n">
        <f aca="false">MOD(INT($A57/2^2),2)</f>
        <v>0</v>
      </c>
      <c r="F57" s="12" t="n">
        <f aca="false">MOD(INT($A57/2^1),2)</f>
        <v>0</v>
      </c>
      <c r="G57" s="12" t="n">
        <f aca="false">MOD(INT($A57/2^0),2)</f>
        <v>0</v>
      </c>
      <c r="H57" s="18" t="n">
        <f aca="false">Eff_now+B57*Half_g*(Ceil_e-Eff_now)</f>
        <v>78</v>
      </c>
      <c r="I57" s="18" t="n">
        <f aca="false">H57+C57*Half_g*(Ceil_e-H57)</f>
        <v>78</v>
      </c>
      <c r="J57" s="18" t="n">
        <f aca="false">I57+D57*Half_g*(Ceil_e-I57)</f>
        <v>81.5</v>
      </c>
      <c r="K57" s="18" t="n">
        <f aca="false">J57+E57*Half_g*(Ceil_e-J57)</f>
        <v>81.5</v>
      </c>
      <c r="L57" s="18" t="n">
        <f aca="false">K57+F57*Half_g*(Ceil_e-K57)</f>
        <v>81.5</v>
      </c>
      <c r="M57" s="18" t="n">
        <f aca="false">L57+G57*Half_g*(Ceil_e-L57)</f>
        <v>81.5</v>
      </c>
      <c r="N57" s="13" t="n">
        <f aca="false">Val_pt*(H57-Eff_now)</f>
        <v>70</v>
      </c>
      <c r="O57" s="13" t="n">
        <f aca="false">Val_pt*(I57-Eff_now)</f>
        <v>70</v>
      </c>
      <c r="P57" s="13" t="n">
        <f aca="false">Val_pt*(J57-Eff_now)</f>
        <v>105</v>
      </c>
      <c r="Q57" s="13" t="n">
        <f aca="false">Val_pt*(K57-Eff_now)</f>
        <v>105</v>
      </c>
      <c r="R57" s="13" t="n">
        <f aca="false">Val_pt*(L57-Eff_now)</f>
        <v>105</v>
      </c>
      <c r="S57" s="13" t="n">
        <f aca="false">Val_pt*(M57-Eff_now)</f>
        <v>105</v>
      </c>
      <c r="T57" s="13" t="n">
        <f aca="false">S_max*(1-2^(-(SUM($B57:B57))))</f>
        <v>70</v>
      </c>
      <c r="U57" s="13" t="n">
        <f aca="false">S_max*(1-2^(-(SUM($B57:C57))))</f>
        <v>70</v>
      </c>
      <c r="V57" s="13" t="n">
        <f aca="false">S_max*(1-2^(-(SUM($B57:D57))))</f>
        <v>105</v>
      </c>
      <c r="W57" s="13" t="n">
        <f aca="false">S_max*(1-2^(-(SUM($B57:E57))))</f>
        <v>105</v>
      </c>
      <c r="X57" s="13" t="n">
        <f aca="false">S_max*(1-2^(-(SUM($B57:F57))))</f>
        <v>105</v>
      </c>
      <c r="Y57" s="13" t="n">
        <f aca="false">S_max*(1-2^(-(SUM($B57:G57))))</f>
        <v>105</v>
      </c>
      <c r="Z57" s="16" t="n">
        <f aca="false">MAX(ABS(N57-T57),ABS(O57-U57),ABS(P57-V57),ABS(Q57-W57),ABS(R57-X57),ABS(S57-Y57))</f>
        <v>0</v>
      </c>
      <c r="AA57" s="13" t="n">
        <f aca="false">Liq_now-Cost_r*B57</f>
        <v>500</v>
      </c>
      <c r="AB57" s="13" t="n">
        <f aca="false">AG57-Cost_r*C57</f>
        <v>570</v>
      </c>
      <c r="AC57" s="13" t="n">
        <f aca="false">AH57-Cost_r*D57</f>
        <v>520</v>
      </c>
      <c r="AD57" s="13" t="n">
        <f aca="false">AI57-Cost_r*E57</f>
        <v>625</v>
      </c>
      <c r="AE57" s="13" t="n">
        <f aca="false">AJ57-Cost_r*F57</f>
        <v>730</v>
      </c>
      <c r="AF57" s="13" t="n">
        <f aca="false">AK57-Cost_r*G57</f>
        <v>835</v>
      </c>
      <c r="AG57" s="13" t="n">
        <f aca="false">AA57+N57</f>
        <v>570</v>
      </c>
      <c r="AH57" s="13" t="n">
        <f aca="false">AB57+O57</f>
        <v>640</v>
      </c>
      <c r="AI57" s="13" t="n">
        <f aca="false">AC57+P57</f>
        <v>625</v>
      </c>
      <c r="AJ57" s="13" t="n">
        <f aca="false">AD57+Q57</f>
        <v>730</v>
      </c>
      <c r="AK57" s="13" t="n">
        <f aca="false">AE57+R57</f>
        <v>835</v>
      </c>
      <c r="AL57" s="13" t="n">
        <f aca="false">AF57+S57</f>
        <v>940</v>
      </c>
      <c r="AM57" s="12" t="n">
        <f aca="false">SUM(B57:G57)</f>
        <v>2</v>
      </c>
      <c r="AN57" s="12" t="n">
        <f aca="false">IF(AND(MIN(AA57:AF57)&gt;=Floor_q,MIN(AG57:AL57)&gt;=Floor_q,AL57&gt;=Q_end,Cap_now&gt;=Cap_min),1,0)</f>
        <v>1</v>
      </c>
      <c r="AO57" s="13" t="n">
        <f aca="false">AL57-Q_end</f>
        <v>470</v>
      </c>
      <c r="AP57" s="17" t="n">
        <f aca="false">IF(AN57=1,AO57+Credit_M*S57,-1000000000)</f>
        <v>1520</v>
      </c>
      <c r="AQ57" s="17" t="n">
        <f aca="false">AP57+SUMPRODUCT(Relaxation!$C$23:$H$23,1-B57:G57)+SUMPRODUCT(Relaxation!$C$24:$H$24,B57:G57)</f>
        <v>1556.3902269794</v>
      </c>
      <c r="AR57" s="17" t="n">
        <f aca="false">IF($AN57=1,$AO57+AR$15*$S57,-1000000000)</f>
        <v>470</v>
      </c>
      <c r="AS57" s="17" t="n">
        <f aca="false">IF($AN57=1,$AO57+AS$15*$S57,-1000000000)</f>
        <v>995</v>
      </c>
      <c r="AT57" s="17" t="n">
        <f aca="false">IF($AN57=1,$AO57+AT$15*$S57,-1000000000)</f>
        <v>1520</v>
      </c>
      <c r="AU57" s="17" t="n">
        <f aca="false">IF($AN57=1,$AO57+AU$15*$S57,-1000000000)</f>
        <v>2570</v>
      </c>
      <c r="AV57" s="17" t="n">
        <f aca="false">IF($AN57=1,$AO57+AV$15*$S57,-1000000000)</f>
        <v>4670</v>
      </c>
      <c r="AW57" s="17" t="n">
        <f aca="false">IF($AN57=1,$AO57+AW$15*$S57,-1000000000)</f>
        <v>6770</v>
      </c>
      <c r="AX57" s="17" t="n">
        <f aca="false">IF($AN57=1,$AO57+AX$15*$S57,-1000000000)</f>
        <v>6140</v>
      </c>
    </row>
    <row r="58" customFormat="false" ht="15" hidden="false" customHeight="false" outlineLevel="0" collapsed="false">
      <c r="A58" s="12" t="n">
        <v>41</v>
      </c>
      <c r="B58" s="12" t="n">
        <f aca="false">MOD(INT($A58/2^5),2)</f>
        <v>1</v>
      </c>
      <c r="C58" s="12" t="n">
        <f aca="false">MOD(INT($A58/2^4),2)</f>
        <v>0</v>
      </c>
      <c r="D58" s="12" t="n">
        <f aca="false">MOD(INT($A58/2^3),2)</f>
        <v>1</v>
      </c>
      <c r="E58" s="12" t="n">
        <f aca="false">MOD(INT($A58/2^2),2)</f>
        <v>0</v>
      </c>
      <c r="F58" s="12" t="n">
        <f aca="false">MOD(INT($A58/2^1),2)</f>
        <v>0</v>
      </c>
      <c r="G58" s="12" t="n">
        <f aca="false">MOD(INT($A58/2^0),2)</f>
        <v>1</v>
      </c>
      <c r="H58" s="18" t="n">
        <f aca="false">Eff_now+B58*Half_g*(Ceil_e-Eff_now)</f>
        <v>78</v>
      </c>
      <c r="I58" s="18" t="n">
        <f aca="false">H58+C58*Half_g*(Ceil_e-H58)</f>
        <v>78</v>
      </c>
      <c r="J58" s="18" t="n">
        <f aca="false">I58+D58*Half_g*(Ceil_e-I58)</f>
        <v>81.5</v>
      </c>
      <c r="K58" s="18" t="n">
        <f aca="false">J58+E58*Half_g*(Ceil_e-J58)</f>
        <v>81.5</v>
      </c>
      <c r="L58" s="18" t="n">
        <f aca="false">K58+F58*Half_g*(Ceil_e-K58)</f>
        <v>81.5</v>
      </c>
      <c r="M58" s="18" t="n">
        <f aca="false">L58+G58*Half_g*(Ceil_e-L58)</f>
        <v>83.25</v>
      </c>
      <c r="N58" s="13" t="n">
        <f aca="false">Val_pt*(H58-Eff_now)</f>
        <v>70</v>
      </c>
      <c r="O58" s="13" t="n">
        <f aca="false">Val_pt*(I58-Eff_now)</f>
        <v>70</v>
      </c>
      <c r="P58" s="13" t="n">
        <f aca="false">Val_pt*(J58-Eff_now)</f>
        <v>105</v>
      </c>
      <c r="Q58" s="13" t="n">
        <f aca="false">Val_pt*(K58-Eff_now)</f>
        <v>105</v>
      </c>
      <c r="R58" s="13" t="n">
        <f aca="false">Val_pt*(L58-Eff_now)</f>
        <v>105</v>
      </c>
      <c r="S58" s="13" t="n">
        <f aca="false">Val_pt*(M58-Eff_now)</f>
        <v>122.5</v>
      </c>
      <c r="T58" s="13" t="n">
        <f aca="false">S_max*(1-2^(-(SUM($B58:B58))))</f>
        <v>70</v>
      </c>
      <c r="U58" s="13" t="n">
        <f aca="false">S_max*(1-2^(-(SUM($B58:C58))))</f>
        <v>70</v>
      </c>
      <c r="V58" s="13" t="n">
        <f aca="false">S_max*(1-2^(-(SUM($B58:D58))))</f>
        <v>105</v>
      </c>
      <c r="W58" s="13" t="n">
        <f aca="false">S_max*(1-2^(-(SUM($B58:E58))))</f>
        <v>105</v>
      </c>
      <c r="X58" s="13" t="n">
        <f aca="false">S_max*(1-2^(-(SUM($B58:F58))))</f>
        <v>105</v>
      </c>
      <c r="Y58" s="13" t="n">
        <f aca="false">S_max*(1-2^(-(SUM($B58:G58))))</f>
        <v>122.5</v>
      </c>
      <c r="Z58" s="16" t="n">
        <f aca="false">MAX(ABS(N58-T58),ABS(O58-U58),ABS(P58-V58),ABS(Q58-W58),ABS(R58-X58),ABS(S58-Y58))</f>
        <v>0</v>
      </c>
      <c r="AA58" s="13" t="n">
        <f aca="false">Liq_now-Cost_r*B58</f>
        <v>500</v>
      </c>
      <c r="AB58" s="13" t="n">
        <f aca="false">AG58-Cost_r*C58</f>
        <v>570</v>
      </c>
      <c r="AC58" s="13" t="n">
        <f aca="false">AH58-Cost_r*D58</f>
        <v>520</v>
      </c>
      <c r="AD58" s="13" t="n">
        <f aca="false">AI58-Cost_r*E58</f>
        <v>625</v>
      </c>
      <c r="AE58" s="13" t="n">
        <f aca="false">AJ58-Cost_r*F58</f>
        <v>730</v>
      </c>
      <c r="AF58" s="13" t="n">
        <f aca="false">AK58-Cost_r*G58</f>
        <v>715</v>
      </c>
      <c r="AG58" s="13" t="n">
        <f aca="false">AA58+N58</f>
        <v>570</v>
      </c>
      <c r="AH58" s="13" t="n">
        <f aca="false">AB58+O58</f>
        <v>640</v>
      </c>
      <c r="AI58" s="13" t="n">
        <f aca="false">AC58+P58</f>
        <v>625</v>
      </c>
      <c r="AJ58" s="13" t="n">
        <f aca="false">AD58+Q58</f>
        <v>730</v>
      </c>
      <c r="AK58" s="13" t="n">
        <f aca="false">AE58+R58</f>
        <v>835</v>
      </c>
      <c r="AL58" s="13" t="n">
        <f aca="false">AF58+S58</f>
        <v>837.5</v>
      </c>
      <c r="AM58" s="12" t="n">
        <f aca="false">SUM(B58:G58)</f>
        <v>3</v>
      </c>
      <c r="AN58" s="12" t="n">
        <f aca="false">IF(AND(MIN(AA58:AF58)&gt;=Floor_q,MIN(AG58:AL58)&gt;=Floor_q,AL58&gt;=Q_end,Cap_now&gt;=Cap_min),1,0)</f>
        <v>1</v>
      </c>
      <c r="AO58" s="13" t="n">
        <f aca="false">AL58-Q_end</f>
        <v>367.5</v>
      </c>
      <c r="AP58" s="17" t="n">
        <f aca="false">IF(AN58=1,AO58+Credit_M*S58,-1000000000)</f>
        <v>1592.5</v>
      </c>
      <c r="AQ58" s="17" t="n">
        <f aca="false">AP58+SUMPRODUCT(Relaxation!$C$23:$H$23,1-B58:G58)+SUMPRODUCT(Relaxation!$C$24:$H$24,B58:G58)</f>
        <v>1647.35176544094</v>
      </c>
      <c r="AR58" s="17" t="n">
        <f aca="false">IF($AN58=1,$AO58+AR$15*$S58,-1000000000)</f>
        <v>367.5</v>
      </c>
      <c r="AS58" s="17" t="n">
        <f aca="false">IF($AN58=1,$AO58+AS$15*$S58,-1000000000)</f>
        <v>980</v>
      </c>
      <c r="AT58" s="17" t="n">
        <f aca="false">IF($AN58=1,$AO58+AT$15*$S58,-1000000000)</f>
        <v>1592.5</v>
      </c>
      <c r="AU58" s="17" t="n">
        <f aca="false">IF($AN58=1,$AO58+AU$15*$S58,-1000000000)</f>
        <v>2817.5</v>
      </c>
      <c r="AV58" s="17" t="n">
        <f aca="false">IF($AN58=1,$AO58+AV$15*$S58,-1000000000)</f>
        <v>5267.5</v>
      </c>
      <c r="AW58" s="17" t="n">
        <f aca="false">IF($AN58=1,$AO58+AW$15*$S58,-1000000000)</f>
        <v>7717.5</v>
      </c>
      <c r="AX58" s="17" t="n">
        <f aca="false">IF($AN58=1,$AO58+AX$15*$S58,-1000000000)</f>
        <v>6982.5</v>
      </c>
    </row>
    <row r="59" customFormat="false" ht="15" hidden="false" customHeight="false" outlineLevel="0" collapsed="false">
      <c r="A59" s="12" t="n">
        <v>42</v>
      </c>
      <c r="B59" s="12" t="n">
        <f aca="false">MOD(INT($A59/2^5),2)</f>
        <v>1</v>
      </c>
      <c r="C59" s="12" t="n">
        <f aca="false">MOD(INT($A59/2^4),2)</f>
        <v>0</v>
      </c>
      <c r="D59" s="12" t="n">
        <f aca="false">MOD(INT($A59/2^3),2)</f>
        <v>1</v>
      </c>
      <c r="E59" s="12" t="n">
        <f aca="false">MOD(INT($A59/2^2),2)</f>
        <v>0</v>
      </c>
      <c r="F59" s="12" t="n">
        <f aca="false">MOD(INT($A59/2^1),2)</f>
        <v>1</v>
      </c>
      <c r="G59" s="12" t="n">
        <f aca="false">MOD(INT($A59/2^0),2)</f>
        <v>0</v>
      </c>
      <c r="H59" s="18" t="n">
        <f aca="false">Eff_now+B59*Half_g*(Ceil_e-Eff_now)</f>
        <v>78</v>
      </c>
      <c r="I59" s="18" t="n">
        <f aca="false">H59+C59*Half_g*(Ceil_e-H59)</f>
        <v>78</v>
      </c>
      <c r="J59" s="18" t="n">
        <f aca="false">I59+D59*Half_g*(Ceil_e-I59)</f>
        <v>81.5</v>
      </c>
      <c r="K59" s="18" t="n">
        <f aca="false">J59+E59*Half_g*(Ceil_e-J59)</f>
        <v>81.5</v>
      </c>
      <c r="L59" s="18" t="n">
        <f aca="false">K59+F59*Half_g*(Ceil_e-K59)</f>
        <v>83.25</v>
      </c>
      <c r="M59" s="18" t="n">
        <f aca="false">L59+G59*Half_g*(Ceil_e-L59)</f>
        <v>83.25</v>
      </c>
      <c r="N59" s="13" t="n">
        <f aca="false">Val_pt*(H59-Eff_now)</f>
        <v>70</v>
      </c>
      <c r="O59" s="13" t="n">
        <f aca="false">Val_pt*(I59-Eff_now)</f>
        <v>70</v>
      </c>
      <c r="P59" s="13" t="n">
        <f aca="false">Val_pt*(J59-Eff_now)</f>
        <v>105</v>
      </c>
      <c r="Q59" s="13" t="n">
        <f aca="false">Val_pt*(K59-Eff_now)</f>
        <v>105</v>
      </c>
      <c r="R59" s="13" t="n">
        <f aca="false">Val_pt*(L59-Eff_now)</f>
        <v>122.5</v>
      </c>
      <c r="S59" s="13" t="n">
        <f aca="false">Val_pt*(M59-Eff_now)</f>
        <v>122.5</v>
      </c>
      <c r="T59" s="13" t="n">
        <f aca="false">S_max*(1-2^(-(SUM($B59:B59))))</f>
        <v>70</v>
      </c>
      <c r="U59" s="13" t="n">
        <f aca="false">S_max*(1-2^(-(SUM($B59:C59))))</f>
        <v>70</v>
      </c>
      <c r="V59" s="13" t="n">
        <f aca="false">S_max*(1-2^(-(SUM($B59:D59))))</f>
        <v>105</v>
      </c>
      <c r="W59" s="13" t="n">
        <f aca="false">S_max*(1-2^(-(SUM($B59:E59))))</f>
        <v>105</v>
      </c>
      <c r="X59" s="13" t="n">
        <f aca="false">S_max*(1-2^(-(SUM($B59:F59))))</f>
        <v>122.5</v>
      </c>
      <c r="Y59" s="13" t="n">
        <f aca="false">S_max*(1-2^(-(SUM($B59:G59))))</f>
        <v>122.5</v>
      </c>
      <c r="Z59" s="16" t="n">
        <f aca="false">MAX(ABS(N59-T59),ABS(O59-U59),ABS(P59-V59),ABS(Q59-W59),ABS(R59-X59),ABS(S59-Y59))</f>
        <v>0</v>
      </c>
      <c r="AA59" s="13" t="n">
        <f aca="false">Liq_now-Cost_r*B59</f>
        <v>500</v>
      </c>
      <c r="AB59" s="13" t="n">
        <f aca="false">AG59-Cost_r*C59</f>
        <v>570</v>
      </c>
      <c r="AC59" s="13" t="n">
        <f aca="false">AH59-Cost_r*D59</f>
        <v>520</v>
      </c>
      <c r="AD59" s="13" t="n">
        <f aca="false">AI59-Cost_r*E59</f>
        <v>625</v>
      </c>
      <c r="AE59" s="13" t="n">
        <f aca="false">AJ59-Cost_r*F59</f>
        <v>610</v>
      </c>
      <c r="AF59" s="13" t="n">
        <f aca="false">AK59-Cost_r*G59</f>
        <v>732.5</v>
      </c>
      <c r="AG59" s="13" t="n">
        <f aca="false">AA59+N59</f>
        <v>570</v>
      </c>
      <c r="AH59" s="13" t="n">
        <f aca="false">AB59+O59</f>
        <v>640</v>
      </c>
      <c r="AI59" s="13" t="n">
        <f aca="false">AC59+P59</f>
        <v>625</v>
      </c>
      <c r="AJ59" s="13" t="n">
        <f aca="false">AD59+Q59</f>
        <v>730</v>
      </c>
      <c r="AK59" s="13" t="n">
        <f aca="false">AE59+R59</f>
        <v>732.5</v>
      </c>
      <c r="AL59" s="13" t="n">
        <f aca="false">AF59+S59</f>
        <v>855</v>
      </c>
      <c r="AM59" s="12" t="n">
        <f aca="false">SUM(B59:G59)</f>
        <v>3</v>
      </c>
      <c r="AN59" s="12" t="n">
        <f aca="false">IF(AND(MIN(AA59:AF59)&gt;=Floor_q,MIN(AG59:AL59)&gt;=Floor_q,AL59&gt;=Q_end,Cap_now&gt;=Cap_min),1,0)</f>
        <v>1</v>
      </c>
      <c r="AO59" s="13" t="n">
        <f aca="false">AL59-Q_end</f>
        <v>385</v>
      </c>
      <c r="AP59" s="17" t="n">
        <f aca="false">IF(AN59=1,AO59+Credit_M*S59,-1000000000)</f>
        <v>1610</v>
      </c>
      <c r="AQ59" s="17" t="n">
        <f aca="false">AP59+SUMPRODUCT(Relaxation!$C$23:$H$23,1-B59:G59)+SUMPRODUCT(Relaxation!$C$24:$H$24,B59:G59)</f>
        <v>1655.62099621017</v>
      </c>
      <c r="AR59" s="17" t="n">
        <f aca="false">IF($AN59=1,$AO59+AR$15*$S59,-1000000000)</f>
        <v>385</v>
      </c>
      <c r="AS59" s="17" t="n">
        <f aca="false">IF($AN59=1,$AO59+AS$15*$S59,-1000000000)</f>
        <v>997.5</v>
      </c>
      <c r="AT59" s="17" t="n">
        <f aca="false">IF($AN59=1,$AO59+AT$15*$S59,-1000000000)</f>
        <v>1610</v>
      </c>
      <c r="AU59" s="17" t="n">
        <f aca="false">IF($AN59=1,$AO59+AU$15*$S59,-1000000000)</f>
        <v>2835</v>
      </c>
      <c r="AV59" s="17" t="n">
        <f aca="false">IF($AN59=1,$AO59+AV$15*$S59,-1000000000)</f>
        <v>5285</v>
      </c>
      <c r="AW59" s="17" t="n">
        <f aca="false">IF($AN59=1,$AO59+AW$15*$S59,-1000000000)</f>
        <v>7735</v>
      </c>
      <c r="AX59" s="17" t="n">
        <f aca="false">IF($AN59=1,$AO59+AX$15*$S59,-1000000000)</f>
        <v>7000</v>
      </c>
    </row>
    <row r="60" customFormat="false" ht="15" hidden="false" customHeight="false" outlineLevel="0" collapsed="false">
      <c r="A60" s="12" t="n">
        <v>43</v>
      </c>
      <c r="B60" s="12" t="n">
        <f aca="false">MOD(INT($A60/2^5),2)</f>
        <v>1</v>
      </c>
      <c r="C60" s="12" t="n">
        <f aca="false">MOD(INT($A60/2^4),2)</f>
        <v>0</v>
      </c>
      <c r="D60" s="12" t="n">
        <f aca="false">MOD(INT($A60/2^3),2)</f>
        <v>1</v>
      </c>
      <c r="E60" s="12" t="n">
        <f aca="false">MOD(INT($A60/2^2),2)</f>
        <v>0</v>
      </c>
      <c r="F60" s="12" t="n">
        <f aca="false">MOD(INT($A60/2^1),2)</f>
        <v>1</v>
      </c>
      <c r="G60" s="12" t="n">
        <f aca="false">MOD(INT($A60/2^0),2)</f>
        <v>1</v>
      </c>
      <c r="H60" s="18" t="n">
        <f aca="false">Eff_now+B60*Half_g*(Ceil_e-Eff_now)</f>
        <v>78</v>
      </c>
      <c r="I60" s="18" t="n">
        <f aca="false">H60+C60*Half_g*(Ceil_e-H60)</f>
        <v>78</v>
      </c>
      <c r="J60" s="18" t="n">
        <f aca="false">I60+D60*Half_g*(Ceil_e-I60)</f>
        <v>81.5</v>
      </c>
      <c r="K60" s="18" t="n">
        <f aca="false">J60+E60*Half_g*(Ceil_e-J60)</f>
        <v>81.5</v>
      </c>
      <c r="L60" s="18" t="n">
        <f aca="false">K60+F60*Half_g*(Ceil_e-K60)</f>
        <v>83.25</v>
      </c>
      <c r="M60" s="18" t="n">
        <f aca="false">L60+G60*Half_g*(Ceil_e-L60)</f>
        <v>84.125</v>
      </c>
      <c r="N60" s="13" t="n">
        <f aca="false">Val_pt*(H60-Eff_now)</f>
        <v>70</v>
      </c>
      <c r="O60" s="13" t="n">
        <f aca="false">Val_pt*(I60-Eff_now)</f>
        <v>70</v>
      </c>
      <c r="P60" s="13" t="n">
        <f aca="false">Val_pt*(J60-Eff_now)</f>
        <v>105</v>
      </c>
      <c r="Q60" s="13" t="n">
        <f aca="false">Val_pt*(K60-Eff_now)</f>
        <v>105</v>
      </c>
      <c r="R60" s="13" t="n">
        <f aca="false">Val_pt*(L60-Eff_now)</f>
        <v>122.5</v>
      </c>
      <c r="S60" s="13" t="n">
        <f aca="false">Val_pt*(M60-Eff_now)</f>
        <v>131.25</v>
      </c>
      <c r="T60" s="13" t="n">
        <f aca="false">S_max*(1-2^(-(SUM($B60:B60))))</f>
        <v>70</v>
      </c>
      <c r="U60" s="13" t="n">
        <f aca="false">S_max*(1-2^(-(SUM($B60:C60))))</f>
        <v>70</v>
      </c>
      <c r="V60" s="13" t="n">
        <f aca="false">S_max*(1-2^(-(SUM($B60:D60))))</f>
        <v>105</v>
      </c>
      <c r="W60" s="13" t="n">
        <f aca="false">S_max*(1-2^(-(SUM($B60:E60))))</f>
        <v>105</v>
      </c>
      <c r="X60" s="13" t="n">
        <f aca="false">S_max*(1-2^(-(SUM($B60:F60))))</f>
        <v>122.5</v>
      </c>
      <c r="Y60" s="13" t="n">
        <f aca="false">S_max*(1-2^(-(SUM($B60:G60))))</f>
        <v>131.25</v>
      </c>
      <c r="Z60" s="16" t="n">
        <f aca="false">MAX(ABS(N60-T60),ABS(O60-U60),ABS(P60-V60),ABS(Q60-W60),ABS(R60-X60),ABS(S60-Y60))</f>
        <v>0</v>
      </c>
      <c r="AA60" s="13" t="n">
        <f aca="false">Liq_now-Cost_r*B60</f>
        <v>500</v>
      </c>
      <c r="AB60" s="13" t="n">
        <f aca="false">AG60-Cost_r*C60</f>
        <v>570</v>
      </c>
      <c r="AC60" s="13" t="n">
        <f aca="false">AH60-Cost_r*D60</f>
        <v>520</v>
      </c>
      <c r="AD60" s="13" t="n">
        <f aca="false">AI60-Cost_r*E60</f>
        <v>625</v>
      </c>
      <c r="AE60" s="13" t="n">
        <f aca="false">AJ60-Cost_r*F60</f>
        <v>610</v>
      </c>
      <c r="AF60" s="13" t="n">
        <f aca="false">AK60-Cost_r*G60</f>
        <v>612.5</v>
      </c>
      <c r="AG60" s="13" t="n">
        <f aca="false">AA60+N60</f>
        <v>570</v>
      </c>
      <c r="AH60" s="13" t="n">
        <f aca="false">AB60+O60</f>
        <v>640</v>
      </c>
      <c r="AI60" s="13" t="n">
        <f aca="false">AC60+P60</f>
        <v>625</v>
      </c>
      <c r="AJ60" s="13" t="n">
        <f aca="false">AD60+Q60</f>
        <v>730</v>
      </c>
      <c r="AK60" s="13" t="n">
        <f aca="false">AE60+R60</f>
        <v>732.5</v>
      </c>
      <c r="AL60" s="13" t="n">
        <f aca="false">AF60+S60</f>
        <v>743.75</v>
      </c>
      <c r="AM60" s="12" t="n">
        <f aca="false">SUM(B60:G60)</f>
        <v>4</v>
      </c>
      <c r="AN60" s="12" t="n">
        <f aca="false">IF(AND(MIN(AA60:AF60)&gt;=Floor_q,MIN(AG60:AL60)&gt;=Floor_q,AL60&gt;=Q_end,Cap_now&gt;=Cap_min),1,0)</f>
        <v>1</v>
      </c>
      <c r="AO60" s="13" t="n">
        <f aca="false">AL60-Q_end</f>
        <v>273.75</v>
      </c>
      <c r="AP60" s="17" t="n">
        <f aca="false">IF(AN60=1,AO60+Credit_M*S60,-1000000000)</f>
        <v>1586.25</v>
      </c>
      <c r="AQ60" s="17" t="n">
        <f aca="false">AP60+SUMPRODUCT(Relaxation!$C$23:$H$23,1-B60:G60)+SUMPRODUCT(Relaxation!$C$24:$H$24,B60:G60)</f>
        <v>1650.3325346717</v>
      </c>
      <c r="AR60" s="17" t="n">
        <f aca="false">IF($AN60=1,$AO60+AR$15*$S60,-1000000000)</f>
        <v>273.75</v>
      </c>
      <c r="AS60" s="17" t="n">
        <f aca="false">IF($AN60=1,$AO60+AS$15*$S60,-1000000000)</f>
        <v>930</v>
      </c>
      <c r="AT60" s="17" t="n">
        <f aca="false">IF($AN60=1,$AO60+AT$15*$S60,-1000000000)</f>
        <v>1586.25</v>
      </c>
      <c r="AU60" s="17" t="n">
        <f aca="false">IF($AN60=1,$AO60+AU$15*$S60,-1000000000)</f>
        <v>2898.75</v>
      </c>
      <c r="AV60" s="17" t="n">
        <f aca="false">IF($AN60=1,$AO60+AV$15*$S60,-1000000000)</f>
        <v>5523.75</v>
      </c>
      <c r="AW60" s="17" t="n">
        <f aca="false">IF($AN60=1,$AO60+AW$15*$S60,-1000000000)</f>
        <v>8148.75</v>
      </c>
      <c r="AX60" s="17" t="n">
        <f aca="false">IF($AN60=1,$AO60+AX$15*$S60,-1000000000)</f>
        <v>7361.25</v>
      </c>
    </row>
    <row r="61" customFormat="false" ht="15" hidden="false" customHeight="false" outlineLevel="0" collapsed="false">
      <c r="A61" s="12" t="n">
        <v>44</v>
      </c>
      <c r="B61" s="12" t="n">
        <f aca="false">MOD(INT($A61/2^5),2)</f>
        <v>1</v>
      </c>
      <c r="C61" s="12" t="n">
        <f aca="false">MOD(INT($A61/2^4),2)</f>
        <v>0</v>
      </c>
      <c r="D61" s="12" t="n">
        <f aca="false">MOD(INT($A61/2^3),2)</f>
        <v>1</v>
      </c>
      <c r="E61" s="12" t="n">
        <f aca="false">MOD(INT($A61/2^2),2)</f>
        <v>1</v>
      </c>
      <c r="F61" s="12" t="n">
        <f aca="false">MOD(INT($A61/2^1),2)</f>
        <v>0</v>
      </c>
      <c r="G61" s="12" t="n">
        <f aca="false">MOD(INT($A61/2^0),2)</f>
        <v>0</v>
      </c>
      <c r="H61" s="18" t="n">
        <f aca="false">Eff_now+B61*Half_g*(Ceil_e-Eff_now)</f>
        <v>78</v>
      </c>
      <c r="I61" s="18" t="n">
        <f aca="false">H61+C61*Half_g*(Ceil_e-H61)</f>
        <v>78</v>
      </c>
      <c r="J61" s="18" t="n">
        <f aca="false">I61+D61*Half_g*(Ceil_e-I61)</f>
        <v>81.5</v>
      </c>
      <c r="K61" s="18" t="n">
        <f aca="false">J61+E61*Half_g*(Ceil_e-J61)</f>
        <v>83.25</v>
      </c>
      <c r="L61" s="18" t="n">
        <f aca="false">K61+F61*Half_g*(Ceil_e-K61)</f>
        <v>83.25</v>
      </c>
      <c r="M61" s="18" t="n">
        <f aca="false">L61+G61*Half_g*(Ceil_e-L61)</f>
        <v>83.25</v>
      </c>
      <c r="N61" s="13" t="n">
        <f aca="false">Val_pt*(H61-Eff_now)</f>
        <v>70</v>
      </c>
      <c r="O61" s="13" t="n">
        <f aca="false">Val_pt*(I61-Eff_now)</f>
        <v>70</v>
      </c>
      <c r="P61" s="13" t="n">
        <f aca="false">Val_pt*(J61-Eff_now)</f>
        <v>105</v>
      </c>
      <c r="Q61" s="13" t="n">
        <f aca="false">Val_pt*(K61-Eff_now)</f>
        <v>122.5</v>
      </c>
      <c r="R61" s="13" t="n">
        <f aca="false">Val_pt*(L61-Eff_now)</f>
        <v>122.5</v>
      </c>
      <c r="S61" s="13" t="n">
        <f aca="false">Val_pt*(M61-Eff_now)</f>
        <v>122.5</v>
      </c>
      <c r="T61" s="13" t="n">
        <f aca="false">S_max*(1-2^(-(SUM($B61:B61))))</f>
        <v>70</v>
      </c>
      <c r="U61" s="13" t="n">
        <f aca="false">S_max*(1-2^(-(SUM($B61:C61))))</f>
        <v>70</v>
      </c>
      <c r="V61" s="13" t="n">
        <f aca="false">S_max*(1-2^(-(SUM($B61:D61))))</f>
        <v>105</v>
      </c>
      <c r="W61" s="13" t="n">
        <f aca="false">S_max*(1-2^(-(SUM($B61:E61))))</f>
        <v>122.5</v>
      </c>
      <c r="X61" s="13" t="n">
        <f aca="false">S_max*(1-2^(-(SUM($B61:F61))))</f>
        <v>122.5</v>
      </c>
      <c r="Y61" s="13" t="n">
        <f aca="false">S_max*(1-2^(-(SUM($B61:G61))))</f>
        <v>122.5</v>
      </c>
      <c r="Z61" s="16" t="n">
        <f aca="false">MAX(ABS(N61-T61),ABS(O61-U61),ABS(P61-V61),ABS(Q61-W61),ABS(R61-X61),ABS(S61-Y61))</f>
        <v>0</v>
      </c>
      <c r="AA61" s="13" t="n">
        <f aca="false">Liq_now-Cost_r*B61</f>
        <v>500</v>
      </c>
      <c r="AB61" s="13" t="n">
        <f aca="false">AG61-Cost_r*C61</f>
        <v>570</v>
      </c>
      <c r="AC61" s="13" t="n">
        <f aca="false">AH61-Cost_r*D61</f>
        <v>520</v>
      </c>
      <c r="AD61" s="13" t="n">
        <f aca="false">AI61-Cost_r*E61</f>
        <v>505</v>
      </c>
      <c r="AE61" s="13" t="n">
        <f aca="false">AJ61-Cost_r*F61</f>
        <v>627.5</v>
      </c>
      <c r="AF61" s="13" t="n">
        <f aca="false">AK61-Cost_r*G61</f>
        <v>750</v>
      </c>
      <c r="AG61" s="13" t="n">
        <f aca="false">AA61+N61</f>
        <v>570</v>
      </c>
      <c r="AH61" s="13" t="n">
        <f aca="false">AB61+O61</f>
        <v>640</v>
      </c>
      <c r="AI61" s="13" t="n">
        <f aca="false">AC61+P61</f>
        <v>625</v>
      </c>
      <c r="AJ61" s="13" t="n">
        <f aca="false">AD61+Q61</f>
        <v>627.5</v>
      </c>
      <c r="AK61" s="13" t="n">
        <f aca="false">AE61+R61</f>
        <v>750</v>
      </c>
      <c r="AL61" s="13" t="n">
        <f aca="false">AF61+S61</f>
        <v>872.5</v>
      </c>
      <c r="AM61" s="12" t="n">
        <f aca="false">SUM(B61:G61)</f>
        <v>3</v>
      </c>
      <c r="AN61" s="12" t="n">
        <f aca="false">IF(AND(MIN(AA61:AF61)&gt;=Floor_q,MIN(AG61:AL61)&gt;=Floor_q,AL61&gt;=Q_end,Cap_now&gt;=Cap_min),1,0)</f>
        <v>1</v>
      </c>
      <c r="AO61" s="13" t="n">
        <f aca="false">AL61-Q_end</f>
        <v>402.5</v>
      </c>
      <c r="AP61" s="17" t="n">
        <f aca="false">IF(AN61=1,AO61+Credit_M*S61,-1000000000)</f>
        <v>1627.5</v>
      </c>
      <c r="AQ61" s="17" t="n">
        <f aca="false">AP61+SUMPRODUCT(Relaxation!$C$23:$H$23,1-B61:G61)+SUMPRODUCT(Relaxation!$C$24:$H$24,B61:G61)</f>
        <v>1663.8902269794</v>
      </c>
      <c r="AR61" s="17" t="n">
        <f aca="false">IF($AN61=1,$AO61+AR$15*$S61,-1000000000)</f>
        <v>402.5</v>
      </c>
      <c r="AS61" s="17" t="n">
        <f aca="false">IF($AN61=1,$AO61+AS$15*$S61,-1000000000)</f>
        <v>1015</v>
      </c>
      <c r="AT61" s="17" t="n">
        <f aca="false">IF($AN61=1,$AO61+AT$15*$S61,-1000000000)</f>
        <v>1627.5</v>
      </c>
      <c r="AU61" s="17" t="n">
        <f aca="false">IF($AN61=1,$AO61+AU$15*$S61,-1000000000)</f>
        <v>2852.5</v>
      </c>
      <c r="AV61" s="17" t="n">
        <f aca="false">IF($AN61=1,$AO61+AV$15*$S61,-1000000000)</f>
        <v>5302.5</v>
      </c>
      <c r="AW61" s="17" t="n">
        <f aca="false">IF($AN61=1,$AO61+AW$15*$S61,-1000000000)</f>
        <v>7752.5</v>
      </c>
      <c r="AX61" s="17" t="n">
        <f aca="false">IF($AN61=1,$AO61+AX$15*$S61,-1000000000)</f>
        <v>7017.5</v>
      </c>
    </row>
    <row r="62" customFormat="false" ht="15" hidden="false" customHeight="false" outlineLevel="0" collapsed="false">
      <c r="A62" s="12" t="n">
        <v>45</v>
      </c>
      <c r="B62" s="12" t="n">
        <f aca="false">MOD(INT($A62/2^5),2)</f>
        <v>1</v>
      </c>
      <c r="C62" s="12" t="n">
        <f aca="false">MOD(INT($A62/2^4),2)</f>
        <v>0</v>
      </c>
      <c r="D62" s="12" t="n">
        <f aca="false">MOD(INT($A62/2^3),2)</f>
        <v>1</v>
      </c>
      <c r="E62" s="12" t="n">
        <f aca="false">MOD(INT($A62/2^2),2)</f>
        <v>1</v>
      </c>
      <c r="F62" s="12" t="n">
        <f aca="false">MOD(INT($A62/2^1),2)</f>
        <v>0</v>
      </c>
      <c r="G62" s="12" t="n">
        <f aca="false">MOD(INT($A62/2^0),2)</f>
        <v>1</v>
      </c>
      <c r="H62" s="18" t="n">
        <f aca="false">Eff_now+B62*Half_g*(Ceil_e-Eff_now)</f>
        <v>78</v>
      </c>
      <c r="I62" s="18" t="n">
        <f aca="false">H62+C62*Half_g*(Ceil_e-H62)</f>
        <v>78</v>
      </c>
      <c r="J62" s="18" t="n">
        <f aca="false">I62+D62*Half_g*(Ceil_e-I62)</f>
        <v>81.5</v>
      </c>
      <c r="K62" s="18" t="n">
        <f aca="false">J62+E62*Half_g*(Ceil_e-J62)</f>
        <v>83.25</v>
      </c>
      <c r="L62" s="18" t="n">
        <f aca="false">K62+F62*Half_g*(Ceil_e-K62)</f>
        <v>83.25</v>
      </c>
      <c r="M62" s="18" t="n">
        <f aca="false">L62+G62*Half_g*(Ceil_e-L62)</f>
        <v>84.125</v>
      </c>
      <c r="N62" s="13" t="n">
        <f aca="false">Val_pt*(H62-Eff_now)</f>
        <v>70</v>
      </c>
      <c r="O62" s="13" t="n">
        <f aca="false">Val_pt*(I62-Eff_now)</f>
        <v>70</v>
      </c>
      <c r="P62" s="13" t="n">
        <f aca="false">Val_pt*(J62-Eff_now)</f>
        <v>105</v>
      </c>
      <c r="Q62" s="13" t="n">
        <f aca="false">Val_pt*(K62-Eff_now)</f>
        <v>122.5</v>
      </c>
      <c r="R62" s="13" t="n">
        <f aca="false">Val_pt*(L62-Eff_now)</f>
        <v>122.5</v>
      </c>
      <c r="S62" s="13" t="n">
        <f aca="false">Val_pt*(M62-Eff_now)</f>
        <v>131.25</v>
      </c>
      <c r="T62" s="13" t="n">
        <f aca="false">S_max*(1-2^(-(SUM($B62:B62))))</f>
        <v>70</v>
      </c>
      <c r="U62" s="13" t="n">
        <f aca="false">S_max*(1-2^(-(SUM($B62:C62))))</f>
        <v>70</v>
      </c>
      <c r="V62" s="13" t="n">
        <f aca="false">S_max*(1-2^(-(SUM($B62:D62))))</f>
        <v>105</v>
      </c>
      <c r="W62" s="13" t="n">
        <f aca="false">S_max*(1-2^(-(SUM($B62:E62))))</f>
        <v>122.5</v>
      </c>
      <c r="X62" s="13" t="n">
        <f aca="false">S_max*(1-2^(-(SUM($B62:F62))))</f>
        <v>122.5</v>
      </c>
      <c r="Y62" s="13" t="n">
        <f aca="false">S_max*(1-2^(-(SUM($B62:G62))))</f>
        <v>131.25</v>
      </c>
      <c r="Z62" s="16" t="n">
        <f aca="false">MAX(ABS(N62-T62),ABS(O62-U62),ABS(P62-V62),ABS(Q62-W62),ABS(R62-X62),ABS(S62-Y62))</f>
        <v>0</v>
      </c>
      <c r="AA62" s="13" t="n">
        <f aca="false">Liq_now-Cost_r*B62</f>
        <v>500</v>
      </c>
      <c r="AB62" s="13" t="n">
        <f aca="false">AG62-Cost_r*C62</f>
        <v>570</v>
      </c>
      <c r="AC62" s="13" t="n">
        <f aca="false">AH62-Cost_r*D62</f>
        <v>520</v>
      </c>
      <c r="AD62" s="13" t="n">
        <f aca="false">AI62-Cost_r*E62</f>
        <v>505</v>
      </c>
      <c r="AE62" s="13" t="n">
        <f aca="false">AJ62-Cost_r*F62</f>
        <v>627.5</v>
      </c>
      <c r="AF62" s="13" t="n">
        <f aca="false">AK62-Cost_r*G62</f>
        <v>630</v>
      </c>
      <c r="AG62" s="13" t="n">
        <f aca="false">AA62+N62</f>
        <v>570</v>
      </c>
      <c r="AH62" s="13" t="n">
        <f aca="false">AB62+O62</f>
        <v>640</v>
      </c>
      <c r="AI62" s="13" t="n">
        <f aca="false">AC62+P62</f>
        <v>625</v>
      </c>
      <c r="AJ62" s="13" t="n">
        <f aca="false">AD62+Q62</f>
        <v>627.5</v>
      </c>
      <c r="AK62" s="13" t="n">
        <f aca="false">AE62+R62</f>
        <v>750</v>
      </c>
      <c r="AL62" s="13" t="n">
        <f aca="false">AF62+S62</f>
        <v>761.25</v>
      </c>
      <c r="AM62" s="12" t="n">
        <f aca="false">SUM(B62:G62)</f>
        <v>4</v>
      </c>
      <c r="AN62" s="12" t="n">
        <f aca="false">IF(AND(MIN(AA62:AF62)&gt;=Floor_q,MIN(AG62:AL62)&gt;=Floor_q,AL62&gt;=Q_end,Cap_now&gt;=Cap_min),1,0)</f>
        <v>1</v>
      </c>
      <c r="AO62" s="13" t="n">
        <f aca="false">AL62-Q_end</f>
        <v>291.25</v>
      </c>
      <c r="AP62" s="17" t="n">
        <f aca="false">IF(AN62=1,AO62+Credit_M*S62,-1000000000)</f>
        <v>1603.75</v>
      </c>
      <c r="AQ62" s="17" t="n">
        <f aca="false">AP62+SUMPRODUCT(Relaxation!$C$23:$H$23,1-B62:G62)+SUMPRODUCT(Relaxation!$C$24:$H$24,B62:G62)</f>
        <v>1658.60176544094</v>
      </c>
      <c r="AR62" s="17" t="n">
        <f aca="false">IF($AN62=1,$AO62+AR$15*$S62,-1000000000)</f>
        <v>291.25</v>
      </c>
      <c r="AS62" s="17" t="n">
        <f aca="false">IF($AN62=1,$AO62+AS$15*$S62,-1000000000)</f>
        <v>947.5</v>
      </c>
      <c r="AT62" s="17" t="n">
        <f aca="false">IF($AN62=1,$AO62+AT$15*$S62,-1000000000)</f>
        <v>1603.75</v>
      </c>
      <c r="AU62" s="17" t="n">
        <f aca="false">IF($AN62=1,$AO62+AU$15*$S62,-1000000000)</f>
        <v>2916.25</v>
      </c>
      <c r="AV62" s="17" t="n">
        <f aca="false">IF($AN62=1,$AO62+AV$15*$S62,-1000000000)</f>
        <v>5541.25</v>
      </c>
      <c r="AW62" s="17" t="n">
        <f aca="false">IF($AN62=1,$AO62+AW$15*$S62,-1000000000)</f>
        <v>8166.25</v>
      </c>
      <c r="AX62" s="17" t="n">
        <f aca="false">IF($AN62=1,$AO62+AX$15*$S62,-1000000000)</f>
        <v>7378.75</v>
      </c>
    </row>
    <row r="63" customFormat="false" ht="15" hidden="false" customHeight="false" outlineLevel="0" collapsed="false">
      <c r="A63" s="12" t="n">
        <v>46</v>
      </c>
      <c r="B63" s="12" t="n">
        <f aca="false">MOD(INT($A63/2^5),2)</f>
        <v>1</v>
      </c>
      <c r="C63" s="12" t="n">
        <f aca="false">MOD(INT($A63/2^4),2)</f>
        <v>0</v>
      </c>
      <c r="D63" s="12" t="n">
        <f aca="false">MOD(INT($A63/2^3),2)</f>
        <v>1</v>
      </c>
      <c r="E63" s="12" t="n">
        <f aca="false">MOD(INT($A63/2^2),2)</f>
        <v>1</v>
      </c>
      <c r="F63" s="12" t="n">
        <f aca="false">MOD(INT($A63/2^1),2)</f>
        <v>1</v>
      </c>
      <c r="G63" s="12" t="n">
        <f aca="false">MOD(INT($A63/2^0),2)</f>
        <v>0</v>
      </c>
      <c r="H63" s="18" t="n">
        <f aca="false">Eff_now+B63*Half_g*(Ceil_e-Eff_now)</f>
        <v>78</v>
      </c>
      <c r="I63" s="18" t="n">
        <f aca="false">H63+C63*Half_g*(Ceil_e-H63)</f>
        <v>78</v>
      </c>
      <c r="J63" s="18" t="n">
        <f aca="false">I63+D63*Half_g*(Ceil_e-I63)</f>
        <v>81.5</v>
      </c>
      <c r="K63" s="18" t="n">
        <f aca="false">J63+E63*Half_g*(Ceil_e-J63)</f>
        <v>83.25</v>
      </c>
      <c r="L63" s="18" t="n">
        <f aca="false">K63+F63*Half_g*(Ceil_e-K63)</f>
        <v>84.125</v>
      </c>
      <c r="M63" s="18" t="n">
        <f aca="false">L63+G63*Half_g*(Ceil_e-L63)</f>
        <v>84.125</v>
      </c>
      <c r="N63" s="13" t="n">
        <f aca="false">Val_pt*(H63-Eff_now)</f>
        <v>70</v>
      </c>
      <c r="O63" s="13" t="n">
        <f aca="false">Val_pt*(I63-Eff_now)</f>
        <v>70</v>
      </c>
      <c r="P63" s="13" t="n">
        <f aca="false">Val_pt*(J63-Eff_now)</f>
        <v>105</v>
      </c>
      <c r="Q63" s="13" t="n">
        <f aca="false">Val_pt*(K63-Eff_now)</f>
        <v>122.5</v>
      </c>
      <c r="R63" s="13" t="n">
        <f aca="false">Val_pt*(L63-Eff_now)</f>
        <v>131.25</v>
      </c>
      <c r="S63" s="13" t="n">
        <f aca="false">Val_pt*(M63-Eff_now)</f>
        <v>131.25</v>
      </c>
      <c r="T63" s="13" t="n">
        <f aca="false">S_max*(1-2^(-(SUM($B63:B63))))</f>
        <v>70</v>
      </c>
      <c r="U63" s="13" t="n">
        <f aca="false">S_max*(1-2^(-(SUM($B63:C63))))</f>
        <v>70</v>
      </c>
      <c r="V63" s="13" t="n">
        <f aca="false">S_max*(1-2^(-(SUM($B63:D63))))</f>
        <v>105</v>
      </c>
      <c r="W63" s="13" t="n">
        <f aca="false">S_max*(1-2^(-(SUM($B63:E63))))</f>
        <v>122.5</v>
      </c>
      <c r="X63" s="13" t="n">
        <f aca="false">S_max*(1-2^(-(SUM($B63:F63))))</f>
        <v>131.25</v>
      </c>
      <c r="Y63" s="13" t="n">
        <f aca="false">S_max*(1-2^(-(SUM($B63:G63))))</f>
        <v>131.25</v>
      </c>
      <c r="Z63" s="16" t="n">
        <f aca="false">MAX(ABS(N63-T63),ABS(O63-U63),ABS(P63-V63),ABS(Q63-W63),ABS(R63-X63),ABS(S63-Y63))</f>
        <v>0</v>
      </c>
      <c r="AA63" s="13" t="n">
        <f aca="false">Liq_now-Cost_r*B63</f>
        <v>500</v>
      </c>
      <c r="AB63" s="13" t="n">
        <f aca="false">AG63-Cost_r*C63</f>
        <v>570</v>
      </c>
      <c r="AC63" s="13" t="n">
        <f aca="false">AH63-Cost_r*D63</f>
        <v>520</v>
      </c>
      <c r="AD63" s="13" t="n">
        <f aca="false">AI63-Cost_r*E63</f>
        <v>505</v>
      </c>
      <c r="AE63" s="13" t="n">
        <f aca="false">AJ63-Cost_r*F63</f>
        <v>507.5</v>
      </c>
      <c r="AF63" s="13" t="n">
        <f aca="false">AK63-Cost_r*G63</f>
        <v>638.75</v>
      </c>
      <c r="AG63" s="13" t="n">
        <f aca="false">AA63+N63</f>
        <v>570</v>
      </c>
      <c r="AH63" s="13" t="n">
        <f aca="false">AB63+O63</f>
        <v>640</v>
      </c>
      <c r="AI63" s="13" t="n">
        <f aca="false">AC63+P63</f>
        <v>625</v>
      </c>
      <c r="AJ63" s="13" t="n">
        <f aca="false">AD63+Q63</f>
        <v>627.5</v>
      </c>
      <c r="AK63" s="13" t="n">
        <f aca="false">AE63+R63</f>
        <v>638.75</v>
      </c>
      <c r="AL63" s="13" t="n">
        <f aca="false">AF63+S63</f>
        <v>770</v>
      </c>
      <c r="AM63" s="12" t="n">
        <f aca="false">SUM(B63:G63)</f>
        <v>4</v>
      </c>
      <c r="AN63" s="12" t="n">
        <f aca="false">IF(AND(MIN(AA63:AF63)&gt;=Floor_q,MIN(AG63:AL63)&gt;=Floor_q,AL63&gt;=Q_end,Cap_now&gt;=Cap_min),1,0)</f>
        <v>1</v>
      </c>
      <c r="AO63" s="13" t="n">
        <f aca="false">AL63-Q_end</f>
        <v>300</v>
      </c>
      <c r="AP63" s="17" t="n">
        <f aca="false">IF(AN63=1,AO63+Credit_M*S63,-1000000000)</f>
        <v>1612.5</v>
      </c>
      <c r="AQ63" s="17" t="n">
        <f aca="false">AP63+SUMPRODUCT(Relaxation!$C$23:$H$23,1-B63:G63)+SUMPRODUCT(Relaxation!$C$24:$H$24,B63:G63)</f>
        <v>1658.12099621017</v>
      </c>
      <c r="AR63" s="17" t="n">
        <f aca="false">IF($AN63=1,$AO63+AR$15*$S63,-1000000000)</f>
        <v>300</v>
      </c>
      <c r="AS63" s="17" t="n">
        <f aca="false">IF($AN63=1,$AO63+AS$15*$S63,-1000000000)</f>
        <v>956.25</v>
      </c>
      <c r="AT63" s="17" t="n">
        <f aca="false">IF($AN63=1,$AO63+AT$15*$S63,-1000000000)</f>
        <v>1612.5</v>
      </c>
      <c r="AU63" s="17" t="n">
        <f aca="false">IF($AN63=1,$AO63+AU$15*$S63,-1000000000)</f>
        <v>2925</v>
      </c>
      <c r="AV63" s="17" t="n">
        <f aca="false">IF($AN63=1,$AO63+AV$15*$S63,-1000000000)</f>
        <v>5550</v>
      </c>
      <c r="AW63" s="17" t="n">
        <f aca="false">IF($AN63=1,$AO63+AW$15*$S63,-1000000000)</f>
        <v>8175</v>
      </c>
      <c r="AX63" s="17" t="n">
        <f aca="false">IF($AN63=1,$AO63+AX$15*$S63,-1000000000)</f>
        <v>7387.5</v>
      </c>
    </row>
    <row r="64" customFormat="false" ht="15" hidden="false" customHeight="false" outlineLevel="0" collapsed="false">
      <c r="A64" s="12" t="n">
        <v>47</v>
      </c>
      <c r="B64" s="12" t="n">
        <f aca="false">MOD(INT($A64/2^5),2)</f>
        <v>1</v>
      </c>
      <c r="C64" s="12" t="n">
        <f aca="false">MOD(INT($A64/2^4),2)</f>
        <v>0</v>
      </c>
      <c r="D64" s="12" t="n">
        <f aca="false">MOD(INT($A64/2^3),2)</f>
        <v>1</v>
      </c>
      <c r="E64" s="12" t="n">
        <f aca="false">MOD(INT($A64/2^2),2)</f>
        <v>1</v>
      </c>
      <c r="F64" s="12" t="n">
        <f aca="false">MOD(INT($A64/2^1),2)</f>
        <v>1</v>
      </c>
      <c r="G64" s="12" t="n">
        <f aca="false">MOD(INT($A64/2^0),2)</f>
        <v>1</v>
      </c>
      <c r="H64" s="18" t="n">
        <f aca="false">Eff_now+B64*Half_g*(Ceil_e-Eff_now)</f>
        <v>78</v>
      </c>
      <c r="I64" s="18" t="n">
        <f aca="false">H64+C64*Half_g*(Ceil_e-H64)</f>
        <v>78</v>
      </c>
      <c r="J64" s="18" t="n">
        <f aca="false">I64+D64*Half_g*(Ceil_e-I64)</f>
        <v>81.5</v>
      </c>
      <c r="K64" s="18" t="n">
        <f aca="false">J64+E64*Half_g*(Ceil_e-J64)</f>
        <v>83.25</v>
      </c>
      <c r="L64" s="18" t="n">
        <f aca="false">K64+F64*Half_g*(Ceil_e-K64)</f>
        <v>84.125</v>
      </c>
      <c r="M64" s="18" t="n">
        <f aca="false">L64+G64*Half_g*(Ceil_e-L64)</f>
        <v>84.5625</v>
      </c>
      <c r="N64" s="13" t="n">
        <f aca="false">Val_pt*(H64-Eff_now)</f>
        <v>70</v>
      </c>
      <c r="O64" s="13" t="n">
        <f aca="false">Val_pt*(I64-Eff_now)</f>
        <v>70</v>
      </c>
      <c r="P64" s="13" t="n">
        <f aca="false">Val_pt*(J64-Eff_now)</f>
        <v>105</v>
      </c>
      <c r="Q64" s="13" t="n">
        <f aca="false">Val_pt*(K64-Eff_now)</f>
        <v>122.5</v>
      </c>
      <c r="R64" s="13" t="n">
        <f aca="false">Val_pt*(L64-Eff_now)</f>
        <v>131.25</v>
      </c>
      <c r="S64" s="13" t="n">
        <f aca="false">Val_pt*(M64-Eff_now)</f>
        <v>135.625</v>
      </c>
      <c r="T64" s="13" t="n">
        <f aca="false">S_max*(1-2^(-(SUM($B64:B64))))</f>
        <v>70</v>
      </c>
      <c r="U64" s="13" t="n">
        <f aca="false">S_max*(1-2^(-(SUM($B64:C64))))</f>
        <v>70</v>
      </c>
      <c r="V64" s="13" t="n">
        <f aca="false">S_max*(1-2^(-(SUM($B64:D64))))</f>
        <v>105</v>
      </c>
      <c r="W64" s="13" t="n">
        <f aca="false">S_max*(1-2^(-(SUM($B64:E64))))</f>
        <v>122.5</v>
      </c>
      <c r="X64" s="13" t="n">
        <f aca="false">S_max*(1-2^(-(SUM($B64:F64))))</f>
        <v>131.25</v>
      </c>
      <c r="Y64" s="13" t="n">
        <f aca="false">S_max*(1-2^(-(SUM($B64:G64))))</f>
        <v>135.625</v>
      </c>
      <c r="Z64" s="16" t="n">
        <f aca="false">MAX(ABS(N64-T64),ABS(O64-U64),ABS(P64-V64),ABS(Q64-W64),ABS(R64-X64),ABS(S64-Y64))</f>
        <v>0</v>
      </c>
      <c r="AA64" s="13" t="n">
        <f aca="false">Liq_now-Cost_r*B64</f>
        <v>500</v>
      </c>
      <c r="AB64" s="13" t="n">
        <f aca="false">AG64-Cost_r*C64</f>
        <v>570</v>
      </c>
      <c r="AC64" s="13" t="n">
        <f aca="false">AH64-Cost_r*D64</f>
        <v>520</v>
      </c>
      <c r="AD64" s="13" t="n">
        <f aca="false">AI64-Cost_r*E64</f>
        <v>505</v>
      </c>
      <c r="AE64" s="13" t="n">
        <f aca="false">AJ64-Cost_r*F64</f>
        <v>507.5</v>
      </c>
      <c r="AF64" s="13" t="n">
        <f aca="false">AK64-Cost_r*G64</f>
        <v>518.75</v>
      </c>
      <c r="AG64" s="13" t="n">
        <f aca="false">AA64+N64</f>
        <v>570</v>
      </c>
      <c r="AH64" s="13" t="n">
        <f aca="false">AB64+O64</f>
        <v>640</v>
      </c>
      <c r="AI64" s="13" t="n">
        <f aca="false">AC64+P64</f>
        <v>625</v>
      </c>
      <c r="AJ64" s="13" t="n">
        <f aca="false">AD64+Q64</f>
        <v>627.5</v>
      </c>
      <c r="AK64" s="13" t="n">
        <f aca="false">AE64+R64</f>
        <v>638.75</v>
      </c>
      <c r="AL64" s="13" t="n">
        <f aca="false">AF64+S64</f>
        <v>654.375</v>
      </c>
      <c r="AM64" s="12" t="n">
        <f aca="false">SUM(B64:G64)</f>
        <v>5</v>
      </c>
      <c r="AN64" s="12" t="n">
        <f aca="false">IF(AND(MIN(AA64:AF64)&gt;=Floor_q,MIN(AG64:AL64)&gt;=Floor_q,AL64&gt;=Q_end,Cap_now&gt;=Cap_min),1,0)</f>
        <v>1</v>
      </c>
      <c r="AO64" s="13" t="n">
        <f aca="false">AL64-Q_end</f>
        <v>184.375</v>
      </c>
      <c r="AP64" s="17" t="n">
        <f aca="false">IF(AN64=1,AO64+Credit_M*S64,-1000000000)</f>
        <v>1540.625</v>
      </c>
      <c r="AQ64" s="17" t="n">
        <f aca="false">AP64+SUMPRODUCT(Relaxation!$C$23:$H$23,1-B64:G64)+SUMPRODUCT(Relaxation!$C$24:$H$24,B64:G64)</f>
        <v>1604.7075346717</v>
      </c>
      <c r="AR64" s="17" t="n">
        <f aca="false">IF($AN64=1,$AO64+AR$15*$S64,-1000000000)</f>
        <v>184.375</v>
      </c>
      <c r="AS64" s="17" t="n">
        <f aca="false">IF($AN64=1,$AO64+AS$15*$S64,-1000000000)</f>
        <v>862.5</v>
      </c>
      <c r="AT64" s="17" t="n">
        <f aca="false">IF($AN64=1,$AO64+AT$15*$S64,-1000000000)</f>
        <v>1540.625</v>
      </c>
      <c r="AU64" s="17" t="n">
        <f aca="false">IF($AN64=1,$AO64+AU$15*$S64,-1000000000)</f>
        <v>2896.875</v>
      </c>
      <c r="AV64" s="17" t="n">
        <f aca="false">IF($AN64=1,$AO64+AV$15*$S64,-1000000000)</f>
        <v>5609.375</v>
      </c>
      <c r="AW64" s="17" t="n">
        <f aca="false">IF($AN64=1,$AO64+AW$15*$S64,-1000000000)</f>
        <v>8321.875</v>
      </c>
      <c r="AX64" s="17" t="n">
        <f aca="false">IF($AN64=1,$AO64+AX$15*$S64,-1000000000)</f>
        <v>7508.125</v>
      </c>
    </row>
    <row r="65" customFormat="false" ht="15" hidden="false" customHeight="false" outlineLevel="0" collapsed="false">
      <c r="A65" s="12" t="n">
        <v>48</v>
      </c>
      <c r="B65" s="12" t="n">
        <f aca="false">MOD(INT($A65/2^5),2)</f>
        <v>1</v>
      </c>
      <c r="C65" s="12" t="n">
        <f aca="false">MOD(INT($A65/2^4),2)</f>
        <v>1</v>
      </c>
      <c r="D65" s="12" t="n">
        <f aca="false">MOD(INT($A65/2^3),2)</f>
        <v>0</v>
      </c>
      <c r="E65" s="12" t="n">
        <f aca="false">MOD(INT($A65/2^2),2)</f>
        <v>0</v>
      </c>
      <c r="F65" s="12" t="n">
        <f aca="false">MOD(INT($A65/2^1),2)</f>
        <v>0</v>
      </c>
      <c r="G65" s="12" t="n">
        <f aca="false">MOD(INT($A65/2^0),2)</f>
        <v>0</v>
      </c>
      <c r="H65" s="18" t="n">
        <f aca="false">Eff_now+B65*Half_g*(Ceil_e-Eff_now)</f>
        <v>78</v>
      </c>
      <c r="I65" s="18" t="n">
        <f aca="false">H65+C65*Half_g*(Ceil_e-H65)</f>
        <v>81.5</v>
      </c>
      <c r="J65" s="18" t="n">
        <f aca="false">I65+D65*Half_g*(Ceil_e-I65)</f>
        <v>81.5</v>
      </c>
      <c r="K65" s="18" t="n">
        <f aca="false">J65+E65*Half_g*(Ceil_e-J65)</f>
        <v>81.5</v>
      </c>
      <c r="L65" s="18" t="n">
        <f aca="false">K65+F65*Half_g*(Ceil_e-K65)</f>
        <v>81.5</v>
      </c>
      <c r="M65" s="18" t="n">
        <f aca="false">L65+G65*Half_g*(Ceil_e-L65)</f>
        <v>81.5</v>
      </c>
      <c r="N65" s="13" t="n">
        <f aca="false">Val_pt*(H65-Eff_now)</f>
        <v>70</v>
      </c>
      <c r="O65" s="13" t="n">
        <f aca="false">Val_pt*(I65-Eff_now)</f>
        <v>105</v>
      </c>
      <c r="P65" s="13" t="n">
        <f aca="false">Val_pt*(J65-Eff_now)</f>
        <v>105</v>
      </c>
      <c r="Q65" s="13" t="n">
        <f aca="false">Val_pt*(K65-Eff_now)</f>
        <v>105</v>
      </c>
      <c r="R65" s="13" t="n">
        <f aca="false">Val_pt*(L65-Eff_now)</f>
        <v>105</v>
      </c>
      <c r="S65" s="13" t="n">
        <f aca="false">Val_pt*(M65-Eff_now)</f>
        <v>105</v>
      </c>
      <c r="T65" s="13" t="n">
        <f aca="false">S_max*(1-2^(-(SUM($B65:B65))))</f>
        <v>70</v>
      </c>
      <c r="U65" s="13" t="n">
        <f aca="false">S_max*(1-2^(-(SUM($B65:C65))))</f>
        <v>105</v>
      </c>
      <c r="V65" s="13" t="n">
        <f aca="false">S_max*(1-2^(-(SUM($B65:D65))))</f>
        <v>105</v>
      </c>
      <c r="W65" s="13" t="n">
        <f aca="false">S_max*(1-2^(-(SUM($B65:E65))))</f>
        <v>105</v>
      </c>
      <c r="X65" s="13" t="n">
        <f aca="false">S_max*(1-2^(-(SUM($B65:F65))))</f>
        <v>105</v>
      </c>
      <c r="Y65" s="13" t="n">
        <f aca="false">S_max*(1-2^(-(SUM($B65:G65))))</f>
        <v>105</v>
      </c>
      <c r="Z65" s="16" t="n">
        <f aca="false">MAX(ABS(N65-T65),ABS(O65-U65),ABS(P65-V65),ABS(Q65-W65),ABS(R65-X65),ABS(S65-Y65))</f>
        <v>0</v>
      </c>
      <c r="AA65" s="13" t="n">
        <f aca="false">Liq_now-Cost_r*B65</f>
        <v>500</v>
      </c>
      <c r="AB65" s="13" t="n">
        <f aca="false">AG65-Cost_r*C65</f>
        <v>450</v>
      </c>
      <c r="AC65" s="13" t="n">
        <f aca="false">AH65-Cost_r*D65</f>
        <v>555</v>
      </c>
      <c r="AD65" s="13" t="n">
        <f aca="false">AI65-Cost_r*E65</f>
        <v>660</v>
      </c>
      <c r="AE65" s="13" t="n">
        <f aca="false">AJ65-Cost_r*F65</f>
        <v>765</v>
      </c>
      <c r="AF65" s="13" t="n">
        <f aca="false">AK65-Cost_r*G65</f>
        <v>870</v>
      </c>
      <c r="AG65" s="13" t="n">
        <f aca="false">AA65+N65</f>
        <v>570</v>
      </c>
      <c r="AH65" s="13" t="n">
        <f aca="false">AB65+O65</f>
        <v>555</v>
      </c>
      <c r="AI65" s="13" t="n">
        <f aca="false">AC65+P65</f>
        <v>660</v>
      </c>
      <c r="AJ65" s="13" t="n">
        <f aca="false">AD65+Q65</f>
        <v>765</v>
      </c>
      <c r="AK65" s="13" t="n">
        <f aca="false">AE65+R65</f>
        <v>870</v>
      </c>
      <c r="AL65" s="13" t="n">
        <f aca="false">AF65+S65</f>
        <v>975</v>
      </c>
      <c r="AM65" s="12" t="n">
        <f aca="false">SUM(B65:G65)</f>
        <v>2</v>
      </c>
      <c r="AN65" s="12" t="n">
        <f aca="false">IF(AND(MIN(AA65:AF65)&gt;=Floor_q,MIN(AG65:AL65)&gt;=Floor_q,AL65&gt;=Q_end,Cap_now&gt;=Cap_min),1,0)</f>
        <v>1</v>
      </c>
      <c r="AO65" s="13" t="n">
        <f aca="false">AL65-Q_end</f>
        <v>505</v>
      </c>
      <c r="AP65" s="17" t="n">
        <f aca="false">IF(AN65=1,AO65+Credit_M*S65,-1000000000)</f>
        <v>1555</v>
      </c>
      <c r="AQ65" s="17" t="n">
        <f aca="false">AP65+SUMPRODUCT(Relaxation!$C$23:$H$23,1-B65:G65)+SUMPRODUCT(Relaxation!$C$24:$H$24,B65:G65)</f>
        <v>1567.1300756598</v>
      </c>
      <c r="AR65" s="17" t="n">
        <f aca="false">IF($AN65=1,$AO65+AR$15*$S65,-1000000000)</f>
        <v>505</v>
      </c>
      <c r="AS65" s="17" t="n">
        <f aca="false">IF($AN65=1,$AO65+AS$15*$S65,-1000000000)</f>
        <v>1030</v>
      </c>
      <c r="AT65" s="17" t="n">
        <f aca="false">IF($AN65=1,$AO65+AT$15*$S65,-1000000000)</f>
        <v>1555</v>
      </c>
      <c r="AU65" s="17" t="n">
        <f aca="false">IF($AN65=1,$AO65+AU$15*$S65,-1000000000)</f>
        <v>2605</v>
      </c>
      <c r="AV65" s="17" t="n">
        <f aca="false">IF($AN65=1,$AO65+AV$15*$S65,-1000000000)</f>
        <v>4705</v>
      </c>
      <c r="AW65" s="17" t="n">
        <f aca="false">IF($AN65=1,$AO65+AW$15*$S65,-1000000000)</f>
        <v>6805</v>
      </c>
      <c r="AX65" s="17" t="n">
        <f aca="false">IF($AN65=1,$AO65+AX$15*$S65,-1000000000)</f>
        <v>6175</v>
      </c>
    </row>
    <row r="66" customFormat="false" ht="15" hidden="false" customHeight="false" outlineLevel="0" collapsed="false">
      <c r="A66" s="12" t="n">
        <v>49</v>
      </c>
      <c r="B66" s="12" t="n">
        <f aca="false">MOD(INT($A66/2^5),2)</f>
        <v>1</v>
      </c>
      <c r="C66" s="12" t="n">
        <f aca="false">MOD(INT($A66/2^4),2)</f>
        <v>1</v>
      </c>
      <c r="D66" s="12" t="n">
        <f aca="false">MOD(INT($A66/2^3),2)</f>
        <v>0</v>
      </c>
      <c r="E66" s="12" t="n">
        <f aca="false">MOD(INT($A66/2^2),2)</f>
        <v>0</v>
      </c>
      <c r="F66" s="12" t="n">
        <f aca="false">MOD(INT($A66/2^1),2)</f>
        <v>0</v>
      </c>
      <c r="G66" s="12" t="n">
        <f aca="false">MOD(INT($A66/2^0),2)</f>
        <v>1</v>
      </c>
      <c r="H66" s="18" t="n">
        <f aca="false">Eff_now+B66*Half_g*(Ceil_e-Eff_now)</f>
        <v>78</v>
      </c>
      <c r="I66" s="18" t="n">
        <f aca="false">H66+C66*Half_g*(Ceil_e-H66)</f>
        <v>81.5</v>
      </c>
      <c r="J66" s="18" t="n">
        <f aca="false">I66+D66*Half_g*(Ceil_e-I66)</f>
        <v>81.5</v>
      </c>
      <c r="K66" s="18" t="n">
        <f aca="false">J66+E66*Half_g*(Ceil_e-J66)</f>
        <v>81.5</v>
      </c>
      <c r="L66" s="18" t="n">
        <f aca="false">K66+F66*Half_g*(Ceil_e-K66)</f>
        <v>81.5</v>
      </c>
      <c r="M66" s="18" t="n">
        <f aca="false">L66+G66*Half_g*(Ceil_e-L66)</f>
        <v>83.25</v>
      </c>
      <c r="N66" s="13" t="n">
        <f aca="false">Val_pt*(H66-Eff_now)</f>
        <v>70</v>
      </c>
      <c r="O66" s="13" t="n">
        <f aca="false">Val_pt*(I66-Eff_now)</f>
        <v>105</v>
      </c>
      <c r="P66" s="13" t="n">
        <f aca="false">Val_pt*(J66-Eff_now)</f>
        <v>105</v>
      </c>
      <c r="Q66" s="13" t="n">
        <f aca="false">Val_pt*(K66-Eff_now)</f>
        <v>105</v>
      </c>
      <c r="R66" s="13" t="n">
        <f aca="false">Val_pt*(L66-Eff_now)</f>
        <v>105</v>
      </c>
      <c r="S66" s="13" t="n">
        <f aca="false">Val_pt*(M66-Eff_now)</f>
        <v>122.5</v>
      </c>
      <c r="T66" s="13" t="n">
        <f aca="false">S_max*(1-2^(-(SUM($B66:B66))))</f>
        <v>70</v>
      </c>
      <c r="U66" s="13" t="n">
        <f aca="false">S_max*(1-2^(-(SUM($B66:C66))))</f>
        <v>105</v>
      </c>
      <c r="V66" s="13" t="n">
        <f aca="false">S_max*(1-2^(-(SUM($B66:D66))))</f>
        <v>105</v>
      </c>
      <c r="W66" s="13" t="n">
        <f aca="false">S_max*(1-2^(-(SUM($B66:E66))))</f>
        <v>105</v>
      </c>
      <c r="X66" s="13" t="n">
        <f aca="false">S_max*(1-2^(-(SUM($B66:F66))))</f>
        <v>105</v>
      </c>
      <c r="Y66" s="13" t="n">
        <f aca="false">S_max*(1-2^(-(SUM($B66:G66))))</f>
        <v>122.5</v>
      </c>
      <c r="Z66" s="16" t="n">
        <f aca="false">MAX(ABS(N66-T66),ABS(O66-U66),ABS(P66-V66),ABS(Q66-W66),ABS(R66-X66),ABS(S66-Y66))</f>
        <v>0</v>
      </c>
      <c r="AA66" s="13" t="n">
        <f aca="false">Liq_now-Cost_r*B66</f>
        <v>500</v>
      </c>
      <c r="AB66" s="13" t="n">
        <f aca="false">AG66-Cost_r*C66</f>
        <v>450</v>
      </c>
      <c r="AC66" s="13" t="n">
        <f aca="false">AH66-Cost_r*D66</f>
        <v>555</v>
      </c>
      <c r="AD66" s="13" t="n">
        <f aca="false">AI66-Cost_r*E66</f>
        <v>660</v>
      </c>
      <c r="AE66" s="13" t="n">
        <f aca="false">AJ66-Cost_r*F66</f>
        <v>765</v>
      </c>
      <c r="AF66" s="13" t="n">
        <f aca="false">AK66-Cost_r*G66</f>
        <v>750</v>
      </c>
      <c r="AG66" s="13" t="n">
        <f aca="false">AA66+N66</f>
        <v>570</v>
      </c>
      <c r="AH66" s="13" t="n">
        <f aca="false">AB66+O66</f>
        <v>555</v>
      </c>
      <c r="AI66" s="13" t="n">
        <f aca="false">AC66+P66</f>
        <v>660</v>
      </c>
      <c r="AJ66" s="13" t="n">
        <f aca="false">AD66+Q66</f>
        <v>765</v>
      </c>
      <c r="AK66" s="13" t="n">
        <f aca="false">AE66+R66</f>
        <v>870</v>
      </c>
      <c r="AL66" s="13" t="n">
        <f aca="false">AF66+S66</f>
        <v>872.5</v>
      </c>
      <c r="AM66" s="12" t="n">
        <f aca="false">SUM(B66:G66)</f>
        <v>3</v>
      </c>
      <c r="AN66" s="12" t="n">
        <f aca="false">IF(AND(MIN(AA66:AF66)&gt;=Floor_q,MIN(AG66:AL66)&gt;=Floor_q,AL66&gt;=Q_end,Cap_now&gt;=Cap_min),1,0)</f>
        <v>1</v>
      </c>
      <c r="AO66" s="13" t="n">
        <f aca="false">AL66-Q_end</f>
        <v>402.5</v>
      </c>
      <c r="AP66" s="17" t="n">
        <f aca="false">IF(AN66=1,AO66+Credit_M*S66,-1000000000)</f>
        <v>1627.5</v>
      </c>
      <c r="AQ66" s="17" t="n">
        <f aca="false">AP66+SUMPRODUCT(Relaxation!$C$23:$H$23,1-B66:G66)+SUMPRODUCT(Relaxation!$C$24:$H$24,B66:G66)</f>
        <v>1658.09161412134</v>
      </c>
      <c r="AR66" s="17" t="n">
        <f aca="false">IF($AN66=1,$AO66+AR$15*$S66,-1000000000)</f>
        <v>402.5</v>
      </c>
      <c r="AS66" s="17" t="n">
        <f aca="false">IF($AN66=1,$AO66+AS$15*$S66,-1000000000)</f>
        <v>1015</v>
      </c>
      <c r="AT66" s="17" t="n">
        <f aca="false">IF($AN66=1,$AO66+AT$15*$S66,-1000000000)</f>
        <v>1627.5</v>
      </c>
      <c r="AU66" s="17" t="n">
        <f aca="false">IF($AN66=1,$AO66+AU$15*$S66,-1000000000)</f>
        <v>2852.5</v>
      </c>
      <c r="AV66" s="17" t="n">
        <f aca="false">IF($AN66=1,$AO66+AV$15*$S66,-1000000000)</f>
        <v>5302.5</v>
      </c>
      <c r="AW66" s="17" t="n">
        <f aca="false">IF($AN66=1,$AO66+AW$15*$S66,-1000000000)</f>
        <v>7752.5</v>
      </c>
      <c r="AX66" s="17" t="n">
        <f aca="false">IF($AN66=1,$AO66+AX$15*$S66,-1000000000)</f>
        <v>7017.5</v>
      </c>
    </row>
    <row r="67" customFormat="false" ht="15" hidden="false" customHeight="false" outlineLevel="0" collapsed="false">
      <c r="A67" s="12" t="n">
        <v>50</v>
      </c>
      <c r="B67" s="12" t="n">
        <f aca="false">MOD(INT($A67/2^5),2)</f>
        <v>1</v>
      </c>
      <c r="C67" s="12" t="n">
        <f aca="false">MOD(INT($A67/2^4),2)</f>
        <v>1</v>
      </c>
      <c r="D67" s="12" t="n">
        <f aca="false">MOD(INT($A67/2^3),2)</f>
        <v>0</v>
      </c>
      <c r="E67" s="12" t="n">
        <f aca="false">MOD(INT($A67/2^2),2)</f>
        <v>0</v>
      </c>
      <c r="F67" s="12" t="n">
        <f aca="false">MOD(INT($A67/2^1),2)</f>
        <v>1</v>
      </c>
      <c r="G67" s="12" t="n">
        <f aca="false">MOD(INT($A67/2^0),2)</f>
        <v>0</v>
      </c>
      <c r="H67" s="18" t="n">
        <f aca="false">Eff_now+B67*Half_g*(Ceil_e-Eff_now)</f>
        <v>78</v>
      </c>
      <c r="I67" s="18" t="n">
        <f aca="false">H67+C67*Half_g*(Ceil_e-H67)</f>
        <v>81.5</v>
      </c>
      <c r="J67" s="18" t="n">
        <f aca="false">I67+D67*Half_g*(Ceil_e-I67)</f>
        <v>81.5</v>
      </c>
      <c r="K67" s="18" t="n">
        <f aca="false">J67+E67*Half_g*(Ceil_e-J67)</f>
        <v>81.5</v>
      </c>
      <c r="L67" s="18" t="n">
        <f aca="false">K67+F67*Half_g*(Ceil_e-K67)</f>
        <v>83.25</v>
      </c>
      <c r="M67" s="18" t="n">
        <f aca="false">L67+G67*Half_g*(Ceil_e-L67)</f>
        <v>83.25</v>
      </c>
      <c r="N67" s="13" t="n">
        <f aca="false">Val_pt*(H67-Eff_now)</f>
        <v>70</v>
      </c>
      <c r="O67" s="13" t="n">
        <f aca="false">Val_pt*(I67-Eff_now)</f>
        <v>105</v>
      </c>
      <c r="P67" s="13" t="n">
        <f aca="false">Val_pt*(J67-Eff_now)</f>
        <v>105</v>
      </c>
      <c r="Q67" s="13" t="n">
        <f aca="false">Val_pt*(K67-Eff_now)</f>
        <v>105</v>
      </c>
      <c r="R67" s="13" t="n">
        <f aca="false">Val_pt*(L67-Eff_now)</f>
        <v>122.5</v>
      </c>
      <c r="S67" s="13" t="n">
        <f aca="false">Val_pt*(M67-Eff_now)</f>
        <v>122.5</v>
      </c>
      <c r="T67" s="13" t="n">
        <f aca="false">S_max*(1-2^(-(SUM($B67:B67))))</f>
        <v>70</v>
      </c>
      <c r="U67" s="13" t="n">
        <f aca="false">S_max*(1-2^(-(SUM($B67:C67))))</f>
        <v>105</v>
      </c>
      <c r="V67" s="13" t="n">
        <f aca="false">S_max*(1-2^(-(SUM($B67:D67))))</f>
        <v>105</v>
      </c>
      <c r="W67" s="13" t="n">
        <f aca="false">S_max*(1-2^(-(SUM($B67:E67))))</f>
        <v>105</v>
      </c>
      <c r="X67" s="13" t="n">
        <f aca="false">S_max*(1-2^(-(SUM($B67:F67))))</f>
        <v>122.5</v>
      </c>
      <c r="Y67" s="13" t="n">
        <f aca="false">S_max*(1-2^(-(SUM($B67:G67))))</f>
        <v>122.5</v>
      </c>
      <c r="Z67" s="16" t="n">
        <f aca="false">MAX(ABS(N67-T67),ABS(O67-U67),ABS(P67-V67),ABS(Q67-W67),ABS(R67-X67),ABS(S67-Y67))</f>
        <v>0</v>
      </c>
      <c r="AA67" s="13" t="n">
        <f aca="false">Liq_now-Cost_r*B67</f>
        <v>500</v>
      </c>
      <c r="AB67" s="13" t="n">
        <f aca="false">AG67-Cost_r*C67</f>
        <v>450</v>
      </c>
      <c r="AC67" s="13" t="n">
        <f aca="false">AH67-Cost_r*D67</f>
        <v>555</v>
      </c>
      <c r="AD67" s="13" t="n">
        <f aca="false">AI67-Cost_r*E67</f>
        <v>660</v>
      </c>
      <c r="AE67" s="13" t="n">
        <f aca="false">AJ67-Cost_r*F67</f>
        <v>645</v>
      </c>
      <c r="AF67" s="13" t="n">
        <f aca="false">AK67-Cost_r*G67</f>
        <v>767.5</v>
      </c>
      <c r="AG67" s="13" t="n">
        <f aca="false">AA67+N67</f>
        <v>570</v>
      </c>
      <c r="AH67" s="13" t="n">
        <f aca="false">AB67+O67</f>
        <v>555</v>
      </c>
      <c r="AI67" s="13" t="n">
        <f aca="false">AC67+P67</f>
        <v>660</v>
      </c>
      <c r="AJ67" s="13" t="n">
        <f aca="false">AD67+Q67</f>
        <v>765</v>
      </c>
      <c r="AK67" s="13" t="n">
        <f aca="false">AE67+R67</f>
        <v>767.5</v>
      </c>
      <c r="AL67" s="13" t="n">
        <f aca="false">AF67+S67</f>
        <v>890</v>
      </c>
      <c r="AM67" s="12" t="n">
        <f aca="false">SUM(B67:G67)</f>
        <v>3</v>
      </c>
      <c r="AN67" s="12" t="n">
        <f aca="false">IF(AND(MIN(AA67:AF67)&gt;=Floor_q,MIN(AG67:AL67)&gt;=Floor_q,AL67&gt;=Q_end,Cap_now&gt;=Cap_min),1,0)</f>
        <v>1</v>
      </c>
      <c r="AO67" s="13" t="n">
        <f aca="false">AL67-Q_end</f>
        <v>420</v>
      </c>
      <c r="AP67" s="17" t="n">
        <f aca="false">IF(AN67=1,AO67+Credit_M*S67,-1000000000)</f>
        <v>1645</v>
      </c>
      <c r="AQ67" s="17" t="n">
        <f aca="false">AP67+SUMPRODUCT(Relaxation!$C$23:$H$23,1-B67:G67)+SUMPRODUCT(Relaxation!$C$24:$H$24,B67:G67)</f>
        <v>1666.36084489057</v>
      </c>
      <c r="AR67" s="17" t="n">
        <f aca="false">IF($AN67=1,$AO67+AR$15*$S67,-1000000000)</f>
        <v>420</v>
      </c>
      <c r="AS67" s="17" t="n">
        <f aca="false">IF($AN67=1,$AO67+AS$15*$S67,-1000000000)</f>
        <v>1032.5</v>
      </c>
      <c r="AT67" s="17" t="n">
        <f aca="false">IF($AN67=1,$AO67+AT$15*$S67,-1000000000)</f>
        <v>1645</v>
      </c>
      <c r="AU67" s="17" t="n">
        <f aca="false">IF($AN67=1,$AO67+AU$15*$S67,-1000000000)</f>
        <v>2870</v>
      </c>
      <c r="AV67" s="17" t="n">
        <f aca="false">IF($AN67=1,$AO67+AV$15*$S67,-1000000000)</f>
        <v>5320</v>
      </c>
      <c r="AW67" s="17" t="n">
        <f aca="false">IF($AN67=1,$AO67+AW$15*$S67,-1000000000)</f>
        <v>7770</v>
      </c>
      <c r="AX67" s="17" t="n">
        <f aca="false">IF($AN67=1,$AO67+AX$15*$S67,-1000000000)</f>
        <v>7035</v>
      </c>
    </row>
    <row r="68" customFormat="false" ht="15" hidden="false" customHeight="false" outlineLevel="0" collapsed="false">
      <c r="A68" s="12" t="n">
        <v>51</v>
      </c>
      <c r="B68" s="12" t="n">
        <f aca="false">MOD(INT($A68/2^5),2)</f>
        <v>1</v>
      </c>
      <c r="C68" s="12" t="n">
        <f aca="false">MOD(INT($A68/2^4),2)</f>
        <v>1</v>
      </c>
      <c r="D68" s="12" t="n">
        <f aca="false">MOD(INT($A68/2^3),2)</f>
        <v>0</v>
      </c>
      <c r="E68" s="12" t="n">
        <f aca="false">MOD(INT($A68/2^2),2)</f>
        <v>0</v>
      </c>
      <c r="F68" s="12" t="n">
        <f aca="false">MOD(INT($A68/2^1),2)</f>
        <v>1</v>
      </c>
      <c r="G68" s="12" t="n">
        <f aca="false">MOD(INT($A68/2^0),2)</f>
        <v>1</v>
      </c>
      <c r="H68" s="18" t="n">
        <f aca="false">Eff_now+B68*Half_g*(Ceil_e-Eff_now)</f>
        <v>78</v>
      </c>
      <c r="I68" s="18" t="n">
        <f aca="false">H68+C68*Half_g*(Ceil_e-H68)</f>
        <v>81.5</v>
      </c>
      <c r="J68" s="18" t="n">
        <f aca="false">I68+D68*Half_g*(Ceil_e-I68)</f>
        <v>81.5</v>
      </c>
      <c r="K68" s="18" t="n">
        <f aca="false">J68+E68*Half_g*(Ceil_e-J68)</f>
        <v>81.5</v>
      </c>
      <c r="L68" s="18" t="n">
        <f aca="false">K68+F68*Half_g*(Ceil_e-K68)</f>
        <v>83.25</v>
      </c>
      <c r="M68" s="18" t="n">
        <f aca="false">L68+G68*Half_g*(Ceil_e-L68)</f>
        <v>84.125</v>
      </c>
      <c r="N68" s="13" t="n">
        <f aca="false">Val_pt*(H68-Eff_now)</f>
        <v>70</v>
      </c>
      <c r="O68" s="13" t="n">
        <f aca="false">Val_pt*(I68-Eff_now)</f>
        <v>105</v>
      </c>
      <c r="P68" s="13" t="n">
        <f aca="false">Val_pt*(J68-Eff_now)</f>
        <v>105</v>
      </c>
      <c r="Q68" s="13" t="n">
        <f aca="false">Val_pt*(K68-Eff_now)</f>
        <v>105</v>
      </c>
      <c r="R68" s="13" t="n">
        <f aca="false">Val_pt*(L68-Eff_now)</f>
        <v>122.5</v>
      </c>
      <c r="S68" s="13" t="n">
        <f aca="false">Val_pt*(M68-Eff_now)</f>
        <v>131.25</v>
      </c>
      <c r="T68" s="13" t="n">
        <f aca="false">S_max*(1-2^(-(SUM($B68:B68))))</f>
        <v>70</v>
      </c>
      <c r="U68" s="13" t="n">
        <f aca="false">S_max*(1-2^(-(SUM($B68:C68))))</f>
        <v>105</v>
      </c>
      <c r="V68" s="13" t="n">
        <f aca="false">S_max*(1-2^(-(SUM($B68:D68))))</f>
        <v>105</v>
      </c>
      <c r="W68" s="13" t="n">
        <f aca="false">S_max*(1-2^(-(SUM($B68:E68))))</f>
        <v>105</v>
      </c>
      <c r="X68" s="13" t="n">
        <f aca="false">S_max*(1-2^(-(SUM($B68:F68))))</f>
        <v>122.5</v>
      </c>
      <c r="Y68" s="13" t="n">
        <f aca="false">S_max*(1-2^(-(SUM($B68:G68))))</f>
        <v>131.25</v>
      </c>
      <c r="Z68" s="16" t="n">
        <f aca="false">MAX(ABS(N68-T68),ABS(O68-U68),ABS(P68-V68),ABS(Q68-W68),ABS(R68-X68),ABS(S68-Y68))</f>
        <v>0</v>
      </c>
      <c r="AA68" s="13" t="n">
        <f aca="false">Liq_now-Cost_r*B68</f>
        <v>500</v>
      </c>
      <c r="AB68" s="13" t="n">
        <f aca="false">AG68-Cost_r*C68</f>
        <v>450</v>
      </c>
      <c r="AC68" s="13" t="n">
        <f aca="false">AH68-Cost_r*D68</f>
        <v>555</v>
      </c>
      <c r="AD68" s="13" t="n">
        <f aca="false">AI68-Cost_r*E68</f>
        <v>660</v>
      </c>
      <c r="AE68" s="13" t="n">
        <f aca="false">AJ68-Cost_r*F68</f>
        <v>645</v>
      </c>
      <c r="AF68" s="13" t="n">
        <f aca="false">AK68-Cost_r*G68</f>
        <v>647.5</v>
      </c>
      <c r="AG68" s="13" t="n">
        <f aca="false">AA68+N68</f>
        <v>570</v>
      </c>
      <c r="AH68" s="13" t="n">
        <f aca="false">AB68+O68</f>
        <v>555</v>
      </c>
      <c r="AI68" s="13" t="n">
        <f aca="false">AC68+P68</f>
        <v>660</v>
      </c>
      <c r="AJ68" s="13" t="n">
        <f aca="false">AD68+Q68</f>
        <v>765</v>
      </c>
      <c r="AK68" s="13" t="n">
        <f aca="false">AE68+R68</f>
        <v>767.5</v>
      </c>
      <c r="AL68" s="13" t="n">
        <f aca="false">AF68+S68</f>
        <v>778.75</v>
      </c>
      <c r="AM68" s="12" t="n">
        <f aca="false">SUM(B68:G68)</f>
        <v>4</v>
      </c>
      <c r="AN68" s="12" t="n">
        <f aca="false">IF(AND(MIN(AA68:AF68)&gt;=Floor_q,MIN(AG68:AL68)&gt;=Floor_q,AL68&gt;=Q_end,Cap_now&gt;=Cap_min),1,0)</f>
        <v>1</v>
      </c>
      <c r="AO68" s="13" t="n">
        <f aca="false">AL68-Q_end</f>
        <v>308.75</v>
      </c>
      <c r="AP68" s="17" t="n">
        <f aca="false">IF(AN68=1,AO68+Credit_M*S68,-1000000000)</f>
        <v>1621.25</v>
      </c>
      <c r="AQ68" s="17" t="n">
        <f aca="false">AP68+SUMPRODUCT(Relaxation!$C$23:$H$23,1-B68:G68)+SUMPRODUCT(Relaxation!$C$24:$H$24,B68:G68)</f>
        <v>1661.07238335211</v>
      </c>
      <c r="AR68" s="17" t="n">
        <f aca="false">IF($AN68=1,$AO68+AR$15*$S68,-1000000000)</f>
        <v>308.75</v>
      </c>
      <c r="AS68" s="17" t="n">
        <f aca="false">IF($AN68=1,$AO68+AS$15*$S68,-1000000000)</f>
        <v>965</v>
      </c>
      <c r="AT68" s="17" t="n">
        <f aca="false">IF($AN68=1,$AO68+AT$15*$S68,-1000000000)</f>
        <v>1621.25</v>
      </c>
      <c r="AU68" s="17" t="n">
        <f aca="false">IF($AN68=1,$AO68+AU$15*$S68,-1000000000)</f>
        <v>2933.75</v>
      </c>
      <c r="AV68" s="17" t="n">
        <f aca="false">IF($AN68=1,$AO68+AV$15*$S68,-1000000000)</f>
        <v>5558.75</v>
      </c>
      <c r="AW68" s="17" t="n">
        <f aca="false">IF($AN68=1,$AO68+AW$15*$S68,-1000000000)</f>
        <v>8183.75</v>
      </c>
      <c r="AX68" s="17" t="n">
        <f aca="false">IF($AN68=1,$AO68+AX$15*$S68,-1000000000)</f>
        <v>7396.25</v>
      </c>
    </row>
    <row r="69" customFormat="false" ht="15" hidden="false" customHeight="false" outlineLevel="0" collapsed="false">
      <c r="A69" s="12" t="n">
        <v>52</v>
      </c>
      <c r="B69" s="12" t="n">
        <f aca="false">MOD(INT($A69/2^5),2)</f>
        <v>1</v>
      </c>
      <c r="C69" s="12" t="n">
        <f aca="false">MOD(INT($A69/2^4),2)</f>
        <v>1</v>
      </c>
      <c r="D69" s="12" t="n">
        <f aca="false">MOD(INT($A69/2^3),2)</f>
        <v>0</v>
      </c>
      <c r="E69" s="12" t="n">
        <f aca="false">MOD(INT($A69/2^2),2)</f>
        <v>1</v>
      </c>
      <c r="F69" s="12" t="n">
        <f aca="false">MOD(INT($A69/2^1),2)</f>
        <v>0</v>
      </c>
      <c r="G69" s="12" t="n">
        <f aca="false">MOD(INT($A69/2^0),2)</f>
        <v>0</v>
      </c>
      <c r="H69" s="18" t="n">
        <f aca="false">Eff_now+B69*Half_g*(Ceil_e-Eff_now)</f>
        <v>78</v>
      </c>
      <c r="I69" s="18" t="n">
        <f aca="false">H69+C69*Half_g*(Ceil_e-H69)</f>
        <v>81.5</v>
      </c>
      <c r="J69" s="18" t="n">
        <f aca="false">I69+D69*Half_g*(Ceil_e-I69)</f>
        <v>81.5</v>
      </c>
      <c r="K69" s="18" t="n">
        <f aca="false">J69+E69*Half_g*(Ceil_e-J69)</f>
        <v>83.25</v>
      </c>
      <c r="L69" s="18" t="n">
        <f aca="false">K69+F69*Half_g*(Ceil_e-K69)</f>
        <v>83.25</v>
      </c>
      <c r="M69" s="18" t="n">
        <f aca="false">L69+G69*Half_g*(Ceil_e-L69)</f>
        <v>83.25</v>
      </c>
      <c r="N69" s="13" t="n">
        <f aca="false">Val_pt*(H69-Eff_now)</f>
        <v>70</v>
      </c>
      <c r="O69" s="13" t="n">
        <f aca="false">Val_pt*(I69-Eff_now)</f>
        <v>105</v>
      </c>
      <c r="P69" s="13" t="n">
        <f aca="false">Val_pt*(J69-Eff_now)</f>
        <v>105</v>
      </c>
      <c r="Q69" s="13" t="n">
        <f aca="false">Val_pt*(K69-Eff_now)</f>
        <v>122.5</v>
      </c>
      <c r="R69" s="13" t="n">
        <f aca="false">Val_pt*(L69-Eff_now)</f>
        <v>122.5</v>
      </c>
      <c r="S69" s="13" t="n">
        <f aca="false">Val_pt*(M69-Eff_now)</f>
        <v>122.5</v>
      </c>
      <c r="T69" s="13" t="n">
        <f aca="false">S_max*(1-2^(-(SUM($B69:B69))))</f>
        <v>70</v>
      </c>
      <c r="U69" s="13" t="n">
        <f aca="false">S_max*(1-2^(-(SUM($B69:C69))))</f>
        <v>105</v>
      </c>
      <c r="V69" s="13" t="n">
        <f aca="false">S_max*(1-2^(-(SUM($B69:D69))))</f>
        <v>105</v>
      </c>
      <c r="W69" s="13" t="n">
        <f aca="false">S_max*(1-2^(-(SUM($B69:E69))))</f>
        <v>122.5</v>
      </c>
      <c r="X69" s="13" t="n">
        <f aca="false">S_max*(1-2^(-(SUM($B69:F69))))</f>
        <v>122.5</v>
      </c>
      <c r="Y69" s="13" t="n">
        <f aca="false">S_max*(1-2^(-(SUM($B69:G69))))</f>
        <v>122.5</v>
      </c>
      <c r="Z69" s="16" t="n">
        <f aca="false">MAX(ABS(N69-T69),ABS(O69-U69),ABS(P69-V69),ABS(Q69-W69),ABS(R69-X69),ABS(S69-Y69))</f>
        <v>0</v>
      </c>
      <c r="AA69" s="13" t="n">
        <f aca="false">Liq_now-Cost_r*B69</f>
        <v>500</v>
      </c>
      <c r="AB69" s="13" t="n">
        <f aca="false">AG69-Cost_r*C69</f>
        <v>450</v>
      </c>
      <c r="AC69" s="13" t="n">
        <f aca="false">AH69-Cost_r*D69</f>
        <v>555</v>
      </c>
      <c r="AD69" s="13" t="n">
        <f aca="false">AI69-Cost_r*E69</f>
        <v>540</v>
      </c>
      <c r="AE69" s="13" t="n">
        <f aca="false">AJ69-Cost_r*F69</f>
        <v>662.5</v>
      </c>
      <c r="AF69" s="13" t="n">
        <f aca="false">AK69-Cost_r*G69</f>
        <v>785</v>
      </c>
      <c r="AG69" s="13" t="n">
        <f aca="false">AA69+N69</f>
        <v>570</v>
      </c>
      <c r="AH69" s="13" t="n">
        <f aca="false">AB69+O69</f>
        <v>555</v>
      </c>
      <c r="AI69" s="13" t="n">
        <f aca="false">AC69+P69</f>
        <v>660</v>
      </c>
      <c r="AJ69" s="13" t="n">
        <f aca="false">AD69+Q69</f>
        <v>662.5</v>
      </c>
      <c r="AK69" s="13" t="n">
        <f aca="false">AE69+R69</f>
        <v>785</v>
      </c>
      <c r="AL69" s="13" t="n">
        <f aca="false">AF69+S69</f>
        <v>907.5</v>
      </c>
      <c r="AM69" s="12" t="n">
        <f aca="false">SUM(B69:G69)</f>
        <v>3</v>
      </c>
      <c r="AN69" s="12" t="n">
        <f aca="false">IF(AND(MIN(AA69:AF69)&gt;=Floor_q,MIN(AG69:AL69)&gt;=Floor_q,AL69&gt;=Q_end,Cap_now&gt;=Cap_min),1,0)</f>
        <v>1</v>
      </c>
      <c r="AO69" s="13" t="n">
        <f aca="false">AL69-Q_end</f>
        <v>437.5</v>
      </c>
      <c r="AP69" s="17" t="n">
        <f aca="false">IF(AN69=1,AO69+Credit_M*S69,-1000000000)</f>
        <v>1662.5</v>
      </c>
      <c r="AQ69" s="17" t="n">
        <f aca="false">AP69+SUMPRODUCT(Relaxation!$C$23:$H$23,1-B69:G69)+SUMPRODUCT(Relaxation!$C$24:$H$24,B69:G69)</f>
        <v>1674.6300756598</v>
      </c>
      <c r="AR69" s="17" t="n">
        <f aca="false">IF($AN69=1,$AO69+AR$15*$S69,-1000000000)</f>
        <v>437.5</v>
      </c>
      <c r="AS69" s="17" t="n">
        <f aca="false">IF($AN69=1,$AO69+AS$15*$S69,-1000000000)</f>
        <v>1050</v>
      </c>
      <c r="AT69" s="17" t="n">
        <f aca="false">IF($AN69=1,$AO69+AT$15*$S69,-1000000000)</f>
        <v>1662.5</v>
      </c>
      <c r="AU69" s="17" t="n">
        <f aca="false">IF($AN69=1,$AO69+AU$15*$S69,-1000000000)</f>
        <v>2887.5</v>
      </c>
      <c r="AV69" s="17" t="n">
        <f aca="false">IF($AN69=1,$AO69+AV$15*$S69,-1000000000)</f>
        <v>5337.5</v>
      </c>
      <c r="AW69" s="17" t="n">
        <f aca="false">IF($AN69=1,$AO69+AW$15*$S69,-1000000000)</f>
        <v>7787.5</v>
      </c>
      <c r="AX69" s="17" t="n">
        <f aca="false">IF($AN69=1,$AO69+AX$15*$S69,-1000000000)</f>
        <v>7052.5</v>
      </c>
    </row>
    <row r="70" customFormat="false" ht="15" hidden="false" customHeight="false" outlineLevel="0" collapsed="false">
      <c r="A70" s="12" t="n">
        <v>53</v>
      </c>
      <c r="B70" s="12" t="n">
        <f aca="false">MOD(INT($A70/2^5),2)</f>
        <v>1</v>
      </c>
      <c r="C70" s="12" t="n">
        <f aca="false">MOD(INT($A70/2^4),2)</f>
        <v>1</v>
      </c>
      <c r="D70" s="12" t="n">
        <f aca="false">MOD(INT($A70/2^3),2)</f>
        <v>0</v>
      </c>
      <c r="E70" s="12" t="n">
        <f aca="false">MOD(INT($A70/2^2),2)</f>
        <v>1</v>
      </c>
      <c r="F70" s="12" t="n">
        <f aca="false">MOD(INT($A70/2^1),2)</f>
        <v>0</v>
      </c>
      <c r="G70" s="12" t="n">
        <f aca="false">MOD(INT($A70/2^0),2)</f>
        <v>1</v>
      </c>
      <c r="H70" s="18" t="n">
        <f aca="false">Eff_now+B70*Half_g*(Ceil_e-Eff_now)</f>
        <v>78</v>
      </c>
      <c r="I70" s="18" t="n">
        <f aca="false">H70+C70*Half_g*(Ceil_e-H70)</f>
        <v>81.5</v>
      </c>
      <c r="J70" s="18" t="n">
        <f aca="false">I70+D70*Half_g*(Ceil_e-I70)</f>
        <v>81.5</v>
      </c>
      <c r="K70" s="18" t="n">
        <f aca="false">J70+E70*Half_g*(Ceil_e-J70)</f>
        <v>83.25</v>
      </c>
      <c r="L70" s="18" t="n">
        <f aca="false">K70+F70*Half_g*(Ceil_e-K70)</f>
        <v>83.25</v>
      </c>
      <c r="M70" s="18" t="n">
        <f aca="false">L70+G70*Half_g*(Ceil_e-L70)</f>
        <v>84.125</v>
      </c>
      <c r="N70" s="13" t="n">
        <f aca="false">Val_pt*(H70-Eff_now)</f>
        <v>70</v>
      </c>
      <c r="O70" s="13" t="n">
        <f aca="false">Val_pt*(I70-Eff_now)</f>
        <v>105</v>
      </c>
      <c r="P70" s="13" t="n">
        <f aca="false">Val_pt*(J70-Eff_now)</f>
        <v>105</v>
      </c>
      <c r="Q70" s="13" t="n">
        <f aca="false">Val_pt*(K70-Eff_now)</f>
        <v>122.5</v>
      </c>
      <c r="R70" s="13" t="n">
        <f aca="false">Val_pt*(L70-Eff_now)</f>
        <v>122.5</v>
      </c>
      <c r="S70" s="13" t="n">
        <f aca="false">Val_pt*(M70-Eff_now)</f>
        <v>131.25</v>
      </c>
      <c r="T70" s="13" t="n">
        <f aca="false">S_max*(1-2^(-(SUM($B70:B70))))</f>
        <v>70</v>
      </c>
      <c r="U70" s="13" t="n">
        <f aca="false">S_max*(1-2^(-(SUM($B70:C70))))</f>
        <v>105</v>
      </c>
      <c r="V70" s="13" t="n">
        <f aca="false">S_max*(1-2^(-(SUM($B70:D70))))</f>
        <v>105</v>
      </c>
      <c r="W70" s="13" t="n">
        <f aca="false">S_max*(1-2^(-(SUM($B70:E70))))</f>
        <v>122.5</v>
      </c>
      <c r="X70" s="13" t="n">
        <f aca="false">S_max*(1-2^(-(SUM($B70:F70))))</f>
        <v>122.5</v>
      </c>
      <c r="Y70" s="13" t="n">
        <f aca="false">S_max*(1-2^(-(SUM($B70:G70))))</f>
        <v>131.25</v>
      </c>
      <c r="Z70" s="16" t="n">
        <f aca="false">MAX(ABS(N70-T70),ABS(O70-U70),ABS(P70-V70),ABS(Q70-W70),ABS(R70-X70),ABS(S70-Y70))</f>
        <v>0</v>
      </c>
      <c r="AA70" s="13" t="n">
        <f aca="false">Liq_now-Cost_r*B70</f>
        <v>500</v>
      </c>
      <c r="AB70" s="13" t="n">
        <f aca="false">AG70-Cost_r*C70</f>
        <v>450</v>
      </c>
      <c r="AC70" s="13" t="n">
        <f aca="false">AH70-Cost_r*D70</f>
        <v>555</v>
      </c>
      <c r="AD70" s="13" t="n">
        <f aca="false">AI70-Cost_r*E70</f>
        <v>540</v>
      </c>
      <c r="AE70" s="13" t="n">
        <f aca="false">AJ70-Cost_r*F70</f>
        <v>662.5</v>
      </c>
      <c r="AF70" s="13" t="n">
        <f aca="false">AK70-Cost_r*G70</f>
        <v>665</v>
      </c>
      <c r="AG70" s="13" t="n">
        <f aca="false">AA70+N70</f>
        <v>570</v>
      </c>
      <c r="AH70" s="13" t="n">
        <f aca="false">AB70+O70</f>
        <v>555</v>
      </c>
      <c r="AI70" s="13" t="n">
        <f aca="false">AC70+P70</f>
        <v>660</v>
      </c>
      <c r="AJ70" s="13" t="n">
        <f aca="false">AD70+Q70</f>
        <v>662.5</v>
      </c>
      <c r="AK70" s="13" t="n">
        <f aca="false">AE70+R70</f>
        <v>785</v>
      </c>
      <c r="AL70" s="13" t="n">
        <f aca="false">AF70+S70</f>
        <v>796.25</v>
      </c>
      <c r="AM70" s="12" t="n">
        <f aca="false">SUM(B70:G70)</f>
        <v>4</v>
      </c>
      <c r="AN70" s="12" t="n">
        <f aca="false">IF(AND(MIN(AA70:AF70)&gt;=Floor_q,MIN(AG70:AL70)&gt;=Floor_q,AL70&gt;=Q_end,Cap_now&gt;=Cap_min),1,0)</f>
        <v>1</v>
      </c>
      <c r="AO70" s="13" t="n">
        <f aca="false">AL70-Q_end</f>
        <v>326.25</v>
      </c>
      <c r="AP70" s="17" t="n">
        <f aca="false">IF(AN70=1,AO70+Credit_M*S70,-1000000000)</f>
        <v>1638.75</v>
      </c>
      <c r="AQ70" s="17" t="n">
        <f aca="false">AP70+SUMPRODUCT(Relaxation!$C$23:$H$23,1-B70:G70)+SUMPRODUCT(Relaxation!$C$24:$H$24,B70:G70)</f>
        <v>1669.34161412134</v>
      </c>
      <c r="AR70" s="17" t="n">
        <f aca="false">IF($AN70=1,$AO70+AR$15*$S70,-1000000000)</f>
        <v>326.25</v>
      </c>
      <c r="AS70" s="17" t="n">
        <f aca="false">IF($AN70=1,$AO70+AS$15*$S70,-1000000000)</f>
        <v>982.5</v>
      </c>
      <c r="AT70" s="17" t="n">
        <f aca="false">IF($AN70=1,$AO70+AT$15*$S70,-1000000000)</f>
        <v>1638.75</v>
      </c>
      <c r="AU70" s="17" t="n">
        <f aca="false">IF($AN70=1,$AO70+AU$15*$S70,-1000000000)</f>
        <v>2951.25</v>
      </c>
      <c r="AV70" s="17" t="n">
        <f aca="false">IF($AN70=1,$AO70+AV$15*$S70,-1000000000)</f>
        <v>5576.25</v>
      </c>
      <c r="AW70" s="17" t="n">
        <f aca="false">IF($AN70=1,$AO70+AW$15*$S70,-1000000000)</f>
        <v>8201.25</v>
      </c>
      <c r="AX70" s="17" t="n">
        <f aca="false">IF($AN70=1,$AO70+AX$15*$S70,-1000000000)</f>
        <v>7413.75</v>
      </c>
    </row>
    <row r="71" customFormat="false" ht="15" hidden="false" customHeight="false" outlineLevel="0" collapsed="false">
      <c r="A71" s="12" t="n">
        <v>54</v>
      </c>
      <c r="B71" s="12" t="n">
        <f aca="false">MOD(INT($A71/2^5),2)</f>
        <v>1</v>
      </c>
      <c r="C71" s="12" t="n">
        <f aca="false">MOD(INT($A71/2^4),2)</f>
        <v>1</v>
      </c>
      <c r="D71" s="12" t="n">
        <f aca="false">MOD(INT($A71/2^3),2)</f>
        <v>0</v>
      </c>
      <c r="E71" s="12" t="n">
        <f aca="false">MOD(INT($A71/2^2),2)</f>
        <v>1</v>
      </c>
      <c r="F71" s="12" t="n">
        <f aca="false">MOD(INT($A71/2^1),2)</f>
        <v>1</v>
      </c>
      <c r="G71" s="12" t="n">
        <f aca="false">MOD(INT($A71/2^0),2)</f>
        <v>0</v>
      </c>
      <c r="H71" s="18" t="n">
        <f aca="false">Eff_now+B71*Half_g*(Ceil_e-Eff_now)</f>
        <v>78</v>
      </c>
      <c r="I71" s="18" t="n">
        <f aca="false">H71+C71*Half_g*(Ceil_e-H71)</f>
        <v>81.5</v>
      </c>
      <c r="J71" s="18" t="n">
        <f aca="false">I71+D71*Half_g*(Ceil_e-I71)</f>
        <v>81.5</v>
      </c>
      <c r="K71" s="18" t="n">
        <f aca="false">J71+E71*Half_g*(Ceil_e-J71)</f>
        <v>83.25</v>
      </c>
      <c r="L71" s="18" t="n">
        <f aca="false">K71+F71*Half_g*(Ceil_e-K71)</f>
        <v>84.125</v>
      </c>
      <c r="M71" s="18" t="n">
        <f aca="false">L71+G71*Half_g*(Ceil_e-L71)</f>
        <v>84.125</v>
      </c>
      <c r="N71" s="13" t="n">
        <f aca="false">Val_pt*(H71-Eff_now)</f>
        <v>70</v>
      </c>
      <c r="O71" s="13" t="n">
        <f aca="false">Val_pt*(I71-Eff_now)</f>
        <v>105</v>
      </c>
      <c r="P71" s="13" t="n">
        <f aca="false">Val_pt*(J71-Eff_now)</f>
        <v>105</v>
      </c>
      <c r="Q71" s="13" t="n">
        <f aca="false">Val_pt*(K71-Eff_now)</f>
        <v>122.5</v>
      </c>
      <c r="R71" s="13" t="n">
        <f aca="false">Val_pt*(L71-Eff_now)</f>
        <v>131.25</v>
      </c>
      <c r="S71" s="13" t="n">
        <f aca="false">Val_pt*(M71-Eff_now)</f>
        <v>131.25</v>
      </c>
      <c r="T71" s="13" t="n">
        <f aca="false">S_max*(1-2^(-(SUM($B71:B71))))</f>
        <v>70</v>
      </c>
      <c r="U71" s="13" t="n">
        <f aca="false">S_max*(1-2^(-(SUM($B71:C71))))</f>
        <v>105</v>
      </c>
      <c r="V71" s="13" t="n">
        <f aca="false">S_max*(1-2^(-(SUM($B71:D71))))</f>
        <v>105</v>
      </c>
      <c r="W71" s="13" t="n">
        <f aca="false">S_max*(1-2^(-(SUM($B71:E71))))</f>
        <v>122.5</v>
      </c>
      <c r="X71" s="13" t="n">
        <f aca="false">S_max*(1-2^(-(SUM($B71:F71))))</f>
        <v>131.25</v>
      </c>
      <c r="Y71" s="13" t="n">
        <f aca="false">S_max*(1-2^(-(SUM($B71:G71))))</f>
        <v>131.25</v>
      </c>
      <c r="Z71" s="16" t="n">
        <f aca="false">MAX(ABS(N71-T71),ABS(O71-U71),ABS(P71-V71),ABS(Q71-W71),ABS(R71-X71),ABS(S71-Y71))</f>
        <v>0</v>
      </c>
      <c r="AA71" s="13" t="n">
        <f aca="false">Liq_now-Cost_r*B71</f>
        <v>500</v>
      </c>
      <c r="AB71" s="13" t="n">
        <f aca="false">AG71-Cost_r*C71</f>
        <v>450</v>
      </c>
      <c r="AC71" s="13" t="n">
        <f aca="false">AH71-Cost_r*D71</f>
        <v>555</v>
      </c>
      <c r="AD71" s="13" t="n">
        <f aca="false">AI71-Cost_r*E71</f>
        <v>540</v>
      </c>
      <c r="AE71" s="13" t="n">
        <f aca="false">AJ71-Cost_r*F71</f>
        <v>542.5</v>
      </c>
      <c r="AF71" s="13" t="n">
        <f aca="false">AK71-Cost_r*G71</f>
        <v>673.75</v>
      </c>
      <c r="AG71" s="13" t="n">
        <f aca="false">AA71+N71</f>
        <v>570</v>
      </c>
      <c r="AH71" s="13" t="n">
        <f aca="false">AB71+O71</f>
        <v>555</v>
      </c>
      <c r="AI71" s="13" t="n">
        <f aca="false">AC71+P71</f>
        <v>660</v>
      </c>
      <c r="AJ71" s="13" t="n">
        <f aca="false">AD71+Q71</f>
        <v>662.5</v>
      </c>
      <c r="AK71" s="13" t="n">
        <f aca="false">AE71+R71</f>
        <v>673.75</v>
      </c>
      <c r="AL71" s="13" t="n">
        <f aca="false">AF71+S71</f>
        <v>805</v>
      </c>
      <c r="AM71" s="12" t="n">
        <f aca="false">SUM(B71:G71)</f>
        <v>4</v>
      </c>
      <c r="AN71" s="12" t="n">
        <f aca="false">IF(AND(MIN(AA71:AF71)&gt;=Floor_q,MIN(AG71:AL71)&gt;=Floor_q,AL71&gt;=Q_end,Cap_now&gt;=Cap_min),1,0)</f>
        <v>1</v>
      </c>
      <c r="AO71" s="13" t="n">
        <f aca="false">AL71-Q_end</f>
        <v>335</v>
      </c>
      <c r="AP71" s="17" t="n">
        <f aca="false">IF(AN71=1,AO71+Credit_M*S71,-1000000000)</f>
        <v>1647.5</v>
      </c>
      <c r="AQ71" s="17" t="n">
        <f aca="false">AP71+SUMPRODUCT(Relaxation!$C$23:$H$23,1-B71:G71)+SUMPRODUCT(Relaxation!$C$24:$H$24,B71:G71)</f>
        <v>1668.86084489057</v>
      </c>
      <c r="AR71" s="17" t="n">
        <f aca="false">IF($AN71=1,$AO71+AR$15*$S71,-1000000000)</f>
        <v>335</v>
      </c>
      <c r="AS71" s="17" t="n">
        <f aca="false">IF($AN71=1,$AO71+AS$15*$S71,-1000000000)</f>
        <v>991.25</v>
      </c>
      <c r="AT71" s="17" t="n">
        <f aca="false">IF($AN71=1,$AO71+AT$15*$S71,-1000000000)</f>
        <v>1647.5</v>
      </c>
      <c r="AU71" s="17" t="n">
        <f aca="false">IF($AN71=1,$AO71+AU$15*$S71,-1000000000)</f>
        <v>2960</v>
      </c>
      <c r="AV71" s="17" t="n">
        <f aca="false">IF($AN71=1,$AO71+AV$15*$S71,-1000000000)</f>
        <v>5585</v>
      </c>
      <c r="AW71" s="17" t="n">
        <f aca="false">IF($AN71=1,$AO71+AW$15*$S71,-1000000000)</f>
        <v>8210</v>
      </c>
      <c r="AX71" s="17" t="n">
        <f aca="false">IF($AN71=1,$AO71+AX$15*$S71,-1000000000)</f>
        <v>7422.5</v>
      </c>
    </row>
    <row r="72" customFormat="false" ht="15" hidden="false" customHeight="false" outlineLevel="0" collapsed="false">
      <c r="A72" s="12" t="n">
        <v>55</v>
      </c>
      <c r="B72" s="12" t="n">
        <f aca="false">MOD(INT($A72/2^5),2)</f>
        <v>1</v>
      </c>
      <c r="C72" s="12" t="n">
        <f aca="false">MOD(INT($A72/2^4),2)</f>
        <v>1</v>
      </c>
      <c r="D72" s="12" t="n">
        <f aca="false">MOD(INT($A72/2^3),2)</f>
        <v>0</v>
      </c>
      <c r="E72" s="12" t="n">
        <f aca="false">MOD(INT($A72/2^2),2)</f>
        <v>1</v>
      </c>
      <c r="F72" s="12" t="n">
        <f aca="false">MOD(INT($A72/2^1),2)</f>
        <v>1</v>
      </c>
      <c r="G72" s="12" t="n">
        <f aca="false">MOD(INT($A72/2^0),2)</f>
        <v>1</v>
      </c>
      <c r="H72" s="18" t="n">
        <f aca="false">Eff_now+B72*Half_g*(Ceil_e-Eff_now)</f>
        <v>78</v>
      </c>
      <c r="I72" s="18" t="n">
        <f aca="false">H72+C72*Half_g*(Ceil_e-H72)</f>
        <v>81.5</v>
      </c>
      <c r="J72" s="18" t="n">
        <f aca="false">I72+D72*Half_g*(Ceil_e-I72)</f>
        <v>81.5</v>
      </c>
      <c r="K72" s="18" t="n">
        <f aca="false">J72+E72*Half_g*(Ceil_e-J72)</f>
        <v>83.25</v>
      </c>
      <c r="L72" s="18" t="n">
        <f aca="false">K72+F72*Half_g*(Ceil_e-K72)</f>
        <v>84.125</v>
      </c>
      <c r="M72" s="18" t="n">
        <f aca="false">L72+G72*Half_g*(Ceil_e-L72)</f>
        <v>84.5625</v>
      </c>
      <c r="N72" s="13" t="n">
        <f aca="false">Val_pt*(H72-Eff_now)</f>
        <v>70</v>
      </c>
      <c r="O72" s="13" t="n">
        <f aca="false">Val_pt*(I72-Eff_now)</f>
        <v>105</v>
      </c>
      <c r="P72" s="13" t="n">
        <f aca="false">Val_pt*(J72-Eff_now)</f>
        <v>105</v>
      </c>
      <c r="Q72" s="13" t="n">
        <f aca="false">Val_pt*(K72-Eff_now)</f>
        <v>122.5</v>
      </c>
      <c r="R72" s="13" t="n">
        <f aca="false">Val_pt*(L72-Eff_now)</f>
        <v>131.25</v>
      </c>
      <c r="S72" s="13" t="n">
        <f aca="false">Val_pt*(M72-Eff_now)</f>
        <v>135.625</v>
      </c>
      <c r="T72" s="13" t="n">
        <f aca="false">S_max*(1-2^(-(SUM($B72:B72))))</f>
        <v>70</v>
      </c>
      <c r="U72" s="13" t="n">
        <f aca="false">S_max*(1-2^(-(SUM($B72:C72))))</f>
        <v>105</v>
      </c>
      <c r="V72" s="13" t="n">
        <f aca="false">S_max*(1-2^(-(SUM($B72:D72))))</f>
        <v>105</v>
      </c>
      <c r="W72" s="13" t="n">
        <f aca="false">S_max*(1-2^(-(SUM($B72:E72))))</f>
        <v>122.5</v>
      </c>
      <c r="X72" s="13" t="n">
        <f aca="false">S_max*(1-2^(-(SUM($B72:F72))))</f>
        <v>131.25</v>
      </c>
      <c r="Y72" s="13" t="n">
        <f aca="false">S_max*(1-2^(-(SUM($B72:G72))))</f>
        <v>135.625</v>
      </c>
      <c r="Z72" s="16" t="n">
        <f aca="false">MAX(ABS(N72-T72),ABS(O72-U72),ABS(P72-V72),ABS(Q72-W72),ABS(R72-X72),ABS(S72-Y72))</f>
        <v>0</v>
      </c>
      <c r="AA72" s="13" t="n">
        <f aca="false">Liq_now-Cost_r*B72</f>
        <v>500</v>
      </c>
      <c r="AB72" s="13" t="n">
        <f aca="false">AG72-Cost_r*C72</f>
        <v>450</v>
      </c>
      <c r="AC72" s="13" t="n">
        <f aca="false">AH72-Cost_r*D72</f>
        <v>555</v>
      </c>
      <c r="AD72" s="13" t="n">
        <f aca="false">AI72-Cost_r*E72</f>
        <v>540</v>
      </c>
      <c r="AE72" s="13" t="n">
        <f aca="false">AJ72-Cost_r*F72</f>
        <v>542.5</v>
      </c>
      <c r="AF72" s="13" t="n">
        <f aca="false">AK72-Cost_r*G72</f>
        <v>553.75</v>
      </c>
      <c r="AG72" s="13" t="n">
        <f aca="false">AA72+N72</f>
        <v>570</v>
      </c>
      <c r="AH72" s="13" t="n">
        <f aca="false">AB72+O72</f>
        <v>555</v>
      </c>
      <c r="AI72" s="13" t="n">
        <f aca="false">AC72+P72</f>
        <v>660</v>
      </c>
      <c r="AJ72" s="13" t="n">
        <f aca="false">AD72+Q72</f>
        <v>662.5</v>
      </c>
      <c r="AK72" s="13" t="n">
        <f aca="false">AE72+R72</f>
        <v>673.75</v>
      </c>
      <c r="AL72" s="13" t="n">
        <f aca="false">AF72+S72</f>
        <v>689.375</v>
      </c>
      <c r="AM72" s="12" t="n">
        <f aca="false">SUM(B72:G72)</f>
        <v>5</v>
      </c>
      <c r="AN72" s="12" t="n">
        <f aca="false">IF(AND(MIN(AA72:AF72)&gt;=Floor_q,MIN(AG72:AL72)&gt;=Floor_q,AL72&gt;=Q_end,Cap_now&gt;=Cap_min),1,0)</f>
        <v>1</v>
      </c>
      <c r="AO72" s="13" t="n">
        <f aca="false">AL72-Q_end</f>
        <v>219.375</v>
      </c>
      <c r="AP72" s="17" t="n">
        <f aca="false">IF(AN72=1,AO72+Credit_M*S72,-1000000000)</f>
        <v>1575.625</v>
      </c>
      <c r="AQ72" s="17" t="n">
        <f aca="false">AP72+SUMPRODUCT(Relaxation!$C$23:$H$23,1-B72:G72)+SUMPRODUCT(Relaxation!$C$24:$H$24,B72:G72)</f>
        <v>1615.44738335211</v>
      </c>
      <c r="AR72" s="17" t="n">
        <f aca="false">IF($AN72=1,$AO72+AR$15*$S72,-1000000000)</f>
        <v>219.375</v>
      </c>
      <c r="AS72" s="17" t="n">
        <f aca="false">IF($AN72=1,$AO72+AS$15*$S72,-1000000000)</f>
        <v>897.5</v>
      </c>
      <c r="AT72" s="17" t="n">
        <f aca="false">IF($AN72=1,$AO72+AT$15*$S72,-1000000000)</f>
        <v>1575.625</v>
      </c>
      <c r="AU72" s="17" t="n">
        <f aca="false">IF($AN72=1,$AO72+AU$15*$S72,-1000000000)</f>
        <v>2931.875</v>
      </c>
      <c r="AV72" s="17" t="n">
        <f aca="false">IF($AN72=1,$AO72+AV$15*$S72,-1000000000)</f>
        <v>5644.375</v>
      </c>
      <c r="AW72" s="17" t="n">
        <f aca="false">IF($AN72=1,$AO72+AW$15*$S72,-1000000000)</f>
        <v>8356.875</v>
      </c>
      <c r="AX72" s="17" t="n">
        <f aca="false">IF($AN72=1,$AO72+AX$15*$S72,-1000000000)</f>
        <v>7543.125</v>
      </c>
    </row>
    <row r="73" customFormat="false" ht="15" hidden="false" customHeight="false" outlineLevel="0" collapsed="false">
      <c r="A73" s="12" t="n">
        <v>56</v>
      </c>
      <c r="B73" s="12" t="n">
        <f aca="false">MOD(INT($A73/2^5),2)</f>
        <v>1</v>
      </c>
      <c r="C73" s="12" t="n">
        <f aca="false">MOD(INT($A73/2^4),2)</f>
        <v>1</v>
      </c>
      <c r="D73" s="12" t="n">
        <f aca="false">MOD(INT($A73/2^3),2)</f>
        <v>1</v>
      </c>
      <c r="E73" s="12" t="n">
        <f aca="false">MOD(INT($A73/2^2),2)</f>
        <v>0</v>
      </c>
      <c r="F73" s="12" t="n">
        <f aca="false">MOD(INT($A73/2^1),2)</f>
        <v>0</v>
      </c>
      <c r="G73" s="12" t="n">
        <f aca="false">MOD(INT($A73/2^0),2)</f>
        <v>0</v>
      </c>
      <c r="H73" s="18" t="n">
        <f aca="false">Eff_now+B73*Half_g*(Ceil_e-Eff_now)</f>
        <v>78</v>
      </c>
      <c r="I73" s="18" t="n">
        <f aca="false">H73+C73*Half_g*(Ceil_e-H73)</f>
        <v>81.5</v>
      </c>
      <c r="J73" s="18" t="n">
        <f aca="false">I73+D73*Half_g*(Ceil_e-I73)</f>
        <v>83.25</v>
      </c>
      <c r="K73" s="18" t="n">
        <f aca="false">J73+E73*Half_g*(Ceil_e-J73)</f>
        <v>83.25</v>
      </c>
      <c r="L73" s="18" t="n">
        <f aca="false">K73+F73*Half_g*(Ceil_e-K73)</f>
        <v>83.25</v>
      </c>
      <c r="M73" s="18" t="n">
        <f aca="false">L73+G73*Half_g*(Ceil_e-L73)</f>
        <v>83.25</v>
      </c>
      <c r="N73" s="13" t="n">
        <f aca="false">Val_pt*(H73-Eff_now)</f>
        <v>70</v>
      </c>
      <c r="O73" s="13" t="n">
        <f aca="false">Val_pt*(I73-Eff_now)</f>
        <v>105</v>
      </c>
      <c r="P73" s="13" t="n">
        <f aca="false">Val_pt*(J73-Eff_now)</f>
        <v>122.5</v>
      </c>
      <c r="Q73" s="13" t="n">
        <f aca="false">Val_pt*(K73-Eff_now)</f>
        <v>122.5</v>
      </c>
      <c r="R73" s="13" t="n">
        <f aca="false">Val_pt*(L73-Eff_now)</f>
        <v>122.5</v>
      </c>
      <c r="S73" s="13" t="n">
        <f aca="false">Val_pt*(M73-Eff_now)</f>
        <v>122.5</v>
      </c>
      <c r="T73" s="13" t="n">
        <f aca="false">S_max*(1-2^(-(SUM($B73:B73))))</f>
        <v>70</v>
      </c>
      <c r="U73" s="13" t="n">
        <f aca="false">S_max*(1-2^(-(SUM($B73:C73))))</f>
        <v>105</v>
      </c>
      <c r="V73" s="13" t="n">
        <f aca="false">S_max*(1-2^(-(SUM($B73:D73))))</f>
        <v>122.5</v>
      </c>
      <c r="W73" s="13" t="n">
        <f aca="false">S_max*(1-2^(-(SUM($B73:E73))))</f>
        <v>122.5</v>
      </c>
      <c r="X73" s="13" t="n">
        <f aca="false">S_max*(1-2^(-(SUM($B73:F73))))</f>
        <v>122.5</v>
      </c>
      <c r="Y73" s="13" t="n">
        <f aca="false">S_max*(1-2^(-(SUM($B73:G73))))</f>
        <v>122.5</v>
      </c>
      <c r="Z73" s="16" t="n">
        <f aca="false">MAX(ABS(N73-T73),ABS(O73-U73),ABS(P73-V73),ABS(Q73-W73),ABS(R73-X73),ABS(S73-Y73))</f>
        <v>0</v>
      </c>
      <c r="AA73" s="13" t="n">
        <f aca="false">Liq_now-Cost_r*B73</f>
        <v>500</v>
      </c>
      <c r="AB73" s="13" t="n">
        <f aca="false">AG73-Cost_r*C73</f>
        <v>450</v>
      </c>
      <c r="AC73" s="13" t="n">
        <f aca="false">AH73-Cost_r*D73</f>
        <v>435</v>
      </c>
      <c r="AD73" s="13" t="n">
        <f aca="false">AI73-Cost_r*E73</f>
        <v>557.5</v>
      </c>
      <c r="AE73" s="13" t="n">
        <f aca="false">AJ73-Cost_r*F73</f>
        <v>680</v>
      </c>
      <c r="AF73" s="13" t="n">
        <f aca="false">AK73-Cost_r*G73</f>
        <v>802.5</v>
      </c>
      <c r="AG73" s="13" t="n">
        <f aca="false">AA73+N73</f>
        <v>570</v>
      </c>
      <c r="AH73" s="13" t="n">
        <f aca="false">AB73+O73</f>
        <v>555</v>
      </c>
      <c r="AI73" s="13" t="n">
        <f aca="false">AC73+P73</f>
        <v>557.5</v>
      </c>
      <c r="AJ73" s="13" t="n">
        <f aca="false">AD73+Q73</f>
        <v>680</v>
      </c>
      <c r="AK73" s="13" t="n">
        <f aca="false">AE73+R73</f>
        <v>802.5</v>
      </c>
      <c r="AL73" s="13" t="n">
        <f aca="false">AF73+S73</f>
        <v>925</v>
      </c>
      <c r="AM73" s="12" t="n">
        <f aca="false">SUM(B73:G73)</f>
        <v>3</v>
      </c>
      <c r="AN73" s="12" t="n">
        <f aca="false">IF(AND(MIN(AA73:AF73)&gt;=Floor_q,MIN(AG73:AL73)&gt;=Floor_q,AL73&gt;=Q_end,Cap_now&gt;=Cap_min),1,0)</f>
        <v>1</v>
      </c>
      <c r="AO73" s="13" t="n">
        <f aca="false">AL73-Q_end</f>
        <v>455</v>
      </c>
      <c r="AP73" s="17" t="n">
        <f aca="false">IF(AN73=1,AO73+Credit_M*S73,-1000000000)</f>
        <v>1680</v>
      </c>
      <c r="AQ73" s="17" t="n">
        <f aca="false">AP73+SUMPRODUCT(Relaxation!$C$23:$H$23,1-B73:G73)+SUMPRODUCT(Relaxation!$C$24:$H$24,B73:G73)</f>
        <v>1680</v>
      </c>
      <c r="AR73" s="17" t="n">
        <f aca="false">IF($AN73=1,$AO73+AR$15*$S73,-1000000000)</f>
        <v>455</v>
      </c>
      <c r="AS73" s="17" t="n">
        <f aca="false">IF($AN73=1,$AO73+AS$15*$S73,-1000000000)</f>
        <v>1067.5</v>
      </c>
      <c r="AT73" s="17" t="n">
        <f aca="false">IF($AN73=1,$AO73+AT$15*$S73,-1000000000)</f>
        <v>1680</v>
      </c>
      <c r="AU73" s="17" t="n">
        <f aca="false">IF($AN73=1,$AO73+AU$15*$S73,-1000000000)</f>
        <v>2905</v>
      </c>
      <c r="AV73" s="17" t="n">
        <f aca="false">IF($AN73=1,$AO73+AV$15*$S73,-1000000000)</f>
        <v>5355</v>
      </c>
      <c r="AW73" s="17" t="n">
        <f aca="false">IF($AN73=1,$AO73+AW$15*$S73,-1000000000)</f>
        <v>7805</v>
      </c>
      <c r="AX73" s="17" t="n">
        <f aca="false">IF($AN73=1,$AO73+AX$15*$S73,-1000000000)</f>
        <v>7070</v>
      </c>
    </row>
    <row r="74" customFormat="false" ht="15" hidden="false" customHeight="false" outlineLevel="0" collapsed="false">
      <c r="A74" s="12" t="n">
        <v>57</v>
      </c>
      <c r="B74" s="12" t="n">
        <f aca="false">MOD(INT($A74/2^5),2)</f>
        <v>1</v>
      </c>
      <c r="C74" s="12" t="n">
        <f aca="false">MOD(INT($A74/2^4),2)</f>
        <v>1</v>
      </c>
      <c r="D74" s="12" t="n">
        <f aca="false">MOD(INT($A74/2^3),2)</f>
        <v>1</v>
      </c>
      <c r="E74" s="12" t="n">
        <f aca="false">MOD(INT($A74/2^2),2)</f>
        <v>0</v>
      </c>
      <c r="F74" s="12" t="n">
        <f aca="false">MOD(INT($A74/2^1),2)</f>
        <v>0</v>
      </c>
      <c r="G74" s="12" t="n">
        <f aca="false">MOD(INT($A74/2^0),2)</f>
        <v>1</v>
      </c>
      <c r="H74" s="18" t="n">
        <f aca="false">Eff_now+B74*Half_g*(Ceil_e-Eff_now)</f>
        <v>78</v>
      </c>
      <c r="I74" s="18" t="n">
        <f aca="false">H74+C74*Half_g*(Ceil_e-H74)</f>
        <v>81.5</v>
      </c>
      <c r="J74" s="18" t="n">
        <f aca="false">I74+D74*Half_g*(Ceil_e-I74)</f>
        <v>83.25</v>
      </c>
      <c r="K74" s="18" t="n">
        <f aca="false">J74+E74*Half_g*(Ceil_e-J74)</f>
        <v>83.25</v>
      </c>
      <c r="L74" s="18" t="n">
        <f aca="false">K74+F74*Half_g*(Ceil_e-K74)</f>
        <v>83.25</v>
      </c>
      <c r="M74" s="18" t="n">
        <f aca="false">L74+G74*Half_g*(Ceil_e-L74)</f>
        <v>84.125</v>
      </c>
      <c r="N74" s="13" t="n">
        <f aca="false">Val_pt*(H74-Eff_now)</f>
        <v>70</v>
      </c>
      <c r="O74" s="13" t="n">
        <f aca="false">Val_pt*(I74-Eff_now)</f>
        <v>105</v>
      </c>
      <c r="P74" s="13" t="n">
        <f aca="false">Val_pt*(J74-Eff_now)</f>
        <v>122.5</v>
      </c>
      <c r="Q74" s="13" t="n">
        <f aca="false">Val_pt*(K74-Eff_now)</f>
        <v>122.5</v>
      </c>
      <c r="R74" s="13" t="n">
        <f aca="false">Val_pt*(L74-Eff_now)</f>
        <v>122.5</v>
      </c>
      <c r="S74" s="13" t="n">
        <f aca="false">Val_pt*(M74-Eff_now)</f>
        <v>131.25</v>
      </c>
      <c r="T74" s="13" t="n">
        <f aca="false">S_max*(1-2^(-(SUM($B74:B74))))</f>
        <v>70</v>
      </c>
      <c r="U74" s="13" t="n">
        <f aca="false">S_max*(1-2^(-(SUM($B74:C74))))</f>
        <v>105</v>
      </c>
      <c r="V74" s="13" t="n">
        <f aca="false">S_max*(1-2^(-(SUM($B74:D74))))</f>
        <v>122.5</v>
      </c>
      <c r="W74" s="13" t="n">
        <f aca="false">S_max*(1-2^(-(SUM($B74:E74))))</f>
        <v>122.5</v>
      </c>
      <c r="X74" s="13" t="n">
        <f aca="false">S_max*(1-2^(-(SUM($B74:F74))))</f>
        <v>122.5</v>
      </c>
      <c r="Y74" s="13" t="n">
        <f aca="false">S_max*(1-2^(-(SUM($B74:G74))))</f>
        <v>131.25</v>
      </c>
      <c r="Z74" s="16" t="n">
        <f aca="false">MAX(ABS(N74-T74),ABS(O74-U74),ABS(P74-V74),ABS(Q74-W74),ABS(R74-X74),ABS(S74-Y74))</f>
        <v>0</v>
      </c>
      <c r="AA74" s="13" t="n">
        <f aca="false">Liq_now-Cost_r*B74</f>
        <v>500</v>
      </c>
      <c r="AB74" s="13" t="n">
        <f aca="false">AG74-Cost_r*C74</f>
        <v>450</v>
      </c>
      <c r="AC74" s="13" t="n">
        <f aca="false">AH74-Cost_r*D74</f>
        <v>435</v>
      </c>
      <c r="AD74" s="13" t="n">
        <f aca="false">AI74-Cost_r*E74</f>
        <v>557.5</v>
      </c>
      <c r="AE74" s="13" t="n">
        <f aca="false">AJ74-Cost_r*F74</f>
        <v>680</v>
      </c>
      <c r="AF74" s="13" t="n">
        <f aca="false">AK74-Cost_r*G74</f>
        <v>682.5</v>
      </c>
      <c r="AG74" s="13" t="n">
        <f aca="false">AA74+N74</f>
        <v>570</v>
      </c>
      <c r="AH74" s="13" t="n">
        <f aca="false">AB74+O74</f>
        <v>555</v>
      </c>
      <c r="AI74" s="13" t="n">
        <f aca="false">AC74+P74</f>
        <v>557.5</v>
      </c>
      <c r="AJ74" s="13" t="n">
        <f aca="false">AD74+Q74</f>
        <v>680</v>
      </c>
      <c r="AK74" s="13" t="n">
        <f aca="false">AE74+R74</f>
        <v>802.5</v>
      </c>
      <c r="AL74" s="13" t="n">
        <f aca="false">AF74+S74</f>
        <v>813.75</v>
      </c>
      <c r="AM74" s="12" t="n">
        <f aca="false">SUM(B74:G74)</f>
        <v>4</v>
      </c>
      <c r="AN74" s="12" t="n">
        <f aca="false">IF(AND(MIN(AA74:AF74)&gt;=Floor_q,MIN(AG74:AL74)&gt;=Floor_q,AL74&gt;=Q_end,Cap_now&gt;=Cap_min),1,0)</f>
        <v>1</v>
      </c>
      <c r="AO74" s="13" t="n">
        <f aca="false">AL74-Q_end</f>
        <v>343.75</v>
      </c>
      <c r="AP74" s="17" t="n">
        <f aca="false">IF(AN74=1,AO74+Credit_M*S74,-1000000000)</f>
        <v>1656.25</v>
      </c>
      <c r="AQ74" s="17" t="n">
        <f aca="false">AP74+SUMPRODUCT(Relaxation!$C$23:$H$23,1-B74:G74)+SUMPRODUCT(Relaxation!$C$24:$H$24,B74:G74)</f>
        <v>1674.71153846154</v>
      </c>
      <c r="AR74" s="17" t="n">
        <f aca="false">IF($AN74=1,$AO74+AR$15*$S74,-1000000000)</f>
        <v>343.75</v>
      </c>
      <c r="AS74" s="17" t="n">
        <f aca="false">IF($AN74=1,$AO74+AS$15*$S74,-1000000000)</f>
        <v>1000</v>
      </c>
      <c r="AT74" s="17" t="n">
        <f aca="false">IF($AN74=1,$AO74+AT$15*$S74,-1000000000)</f>
        <v>1656.25</v>
      </c>
      <c r="AU74" s="17" t="n">
        <f aca="false">IF($AN74=1,$AO74+AU$15*$S74,-1000000000)</f>
        <v>2968.75</v>
      </c>
      <c r="AV74" s="17" t="n">
        <f aca="false">IF($AN74=1,$AO74+AV$15*$S74,-1000000000)</f>
        <v>5593.75</v>
      </c>
      <c r="AW74" s="17" t="n">
        <f aca="false">IF($AN74=1,$AO74+AW$15*$S74,-1000000000)</f>
        <v>8218.75</v>
      </c>
      <c r="AX74" s="17" t="n">
        <f aca="false">IF($AN74=1,$AO74+AX$15*$S74,-1000000000)</f>
        <v>7431.25</v>
      </c>
    </row>
    <row r="75" customFormat="false" ht="15" hidden="false" customHeight="false" outlineLevel="0" collapsed="false">
      <c r="A75" s="12" t="n">
        <v>58</v>
      </c>
      <c r="B75" s="12" t="n">
        <f aca="false">MOD(INT($A75/2^5),2)</f>
        <v>1</v>
      </c>
      <c r="C75" s="12" t="n">
        <f aca="false">MOD(INT($A75/2^4),2)</f>
        <v>1</v>
      </c>
      <c r="D75" s="12" t="n">
        <f aca="false">MOD(INT($A75/2^3),2)</f>
        <v>1</v>
      </c>
      <c r="E75" s="12" t="n">
        <f aca="false">MOD(INT($A75/2^2),2)</f>
        <v>0</v>
      </c>
      <c r="F75" s="12" t="n">
        <f aca="false">MOD(INT($A75/2^1),2)</f>
        <v>1</v>
      </c>
      <c r="G75" s="12" t="n">
        <f aca="false">MOD(INT($A75/2^0),2)</f>
        <v>0</v>
      </c>
      <c r="H75" s="18" t="n">
        <f aca="false">Eff_now+B75*Half_g*(Ceil_e-Eff_now)</f>
        <v>78</v>
      </c>
      <c r="I75" s="18" t="n">
        <f aca="false">H75+C75*Half_g*(Ceil_e-H75)</f>
        <v>81.5</v>
      </c>
      <c r="J75" s="18" t="n">
        <f aca="false">I75+D75*Half_g*(Ceil_e-I75)</f>
        <v>83.25</v>
      </c>
      <c r="K75" s="18" t="n">
        <f aca="false">J75+E75*Half_g*(Ceil_e-J75)</f>
        <v>83.25</v>
      </c>
      <c r="L75" s="18" t="n">
        <f aca="false">K75+F75*Half_g*(Ceil_e-K75)</f>
        <v>84.125</v>
      </c>
      <c r="M75" s="18" t="n">
        <f aca="false">L75+G75*Half_g*(Ceil_e-L75)</f>
        <v>84.125</v>
      </c>
      <c r="N75" s="13" t="n">
        <f aca="false">Val_pt*(H75-Eff_now)</f>
        <v>70</v>
      </c>
      <c r="O75" s="13" t="n">
        <f aca="false">Val_pt*(I75-Eff_now)</f>
        <v>105</v>
      </c>
      <c r="P75" s="13" t="n">
        <f aca="false">Val_pt*(J75-Eff_now)</f>
        <v>122.5</v>
      </c>
      <c r="Q75" s="13" t="n">
        <f aca="false">Val_pt*(K75-Eff_now)</f>
        <v>122.5</v>
      </c>
      <c r="R75" s="13" t="n">
        <f aca="false">Val_pt*(L75-Eff_now)</f>
        <v>131.25</v>
      </c>
      <c r="S75" s="13" t="n">
        <f aca="false">Val_pt*(M75-Eff_now)</f>
        <v>131.25</v>
      </c>
      <c r="T75" s="13" t="n">
        <f aca="false">S_max*(1-2^(-(SUM($B75:B75))))</f>
        <v>70</v>
      </c>
      <c r="U75" s="13" t="n">
        <f aca="false">S_max*(1-2^(-(SUM($B75:C75))))</f>
        <v>105</v>
      </c>
      <c r="V75" s="13" t="n">
        <f aca="false">S_max*(1-2^(-(SUM($B75:D75))))</f>
        <v>122.5</v>
      </c>
      <c r="W75" s="13" t="n">
        <f aca="false">S_max*(1-2^(-(SUM($B75:E75))))</f>
        <v>122.5</v>
      </c>
      <c r="X75" s="13" t="n">
        <f aca="false">S_max*(1-2^(-(SUM($B75:F75))))</f>
        <v>131.25</v>
      </c>
      <c r="Y75" s="13" t="n">
        <f aca="false">S_max*(1-2^(-(SUM($B75:G75))))</f>
        <v>131.25</v>
      </c>
      <c r="Z75" s="16" t="n">
        <f aca="false">MAX(ABS(N75-T75),ABS(O75-U75),ABS(P75-V75),ABS(Q75-W75),ABS(R75-X75),ABS(S75-Y75))</f>
        <v>0</v>
      </c>
      <c r="AA75" s="13" t="n">
        <f aca="false">Liq_now-Cost_r*B75</f>
        <v>500</v>
      </c>
      <c r="AB75" s="13" t="n">
        <f aca="false">AG75-Cost_r*C75</f>
        <v>450</v>
      </c>
      <c r="AC75" s="13" t="n">
        <f aca="false">AH75-Cost_r*D75</f>
        <v>435</v>
      </c>
      <c r="AD75" s="13" t="n">
        <f aca="false">AI75-Cost_r*E75</f>
        <v>557.5</v>
      </c>
      <c r="AE75" s="13" t="n">
        <f aca="false">AJ75-Cost_r*F75</f>
        <v>560</v>
      </c>
      <c r="AF75" s="13" t="n">
        <f aca="false">AK75-Cost_r*G75</f>
        <v>691.25</v>
      </c>
      <c r="AG75" s="13" t="n">
        <f aca="false">AA75+N75</f>
        <v>570</v>
      </c>
      <c r="AH75" s="13" t="n">
        <f aca="false">AB75+O75</f>
        <v>555</v>
      </c>
      <c r="AI75" s="13" t="n">
        <f aca="false">AC75+P75</f>
        <v>557.5</v>
      </c>
      <c r="AJ75" s="13" t="n">
        <f aca="false">AD75+Q75</f>
        <v>680</v>
      </c>
      <c r="AK75" s="13" t="n">
        <f aca="false">AE75+R75</f>
        <v>691.25</v>
      </c>
      <c r="AL75" s="13" t="n">
        <f aca="false">AF75+S75</f>
        <v>822.5</v>
      </c>
      <c r="AM75" s="12" t="n">
        <f aca="false">SUM(B75:G75)</f>
        <v>4</v>
      </c>
      <c r="AN75" s="12" t="n">
        <f aca="false">IF(AND(MIN(AA75:AF75)&gt;=Floor_q,MIN(AG75:AL75)&gt;=Floor_q,AL75&gt;=Q_end,Cap_now&gt;=Cap_min),1,0)</f>
        <v>1</v>
      </c>
      <c r="AO75" s="13" t="n">
        <f aca="false">AL75-Q_end</f>
        <v>352.5</v>
      </c>
      <c r="AP75" s="17" t="n">
        <f aca="false">IF(AN75=1,AO75+Credit_M*S75,-1000000000)</f>
        <v>1665</v>
      </c>
      <c r="AQ75" s="17" t="n">
        <f aca="false">AP75+SUMPRODUCT(Relaxation!$C$23:$H$23,1-B75:G75)+SUMPRODUCT(Relaxation!$C$24:$H$24,B75:G75)</f>
        <v>1674.23076923077</v>
      </c>
      <c r="AR75" s="17" t="n">
        <f aca="false">IF($AN75=1,$AO75+AR$15*$S75,-1000000000)</f>
        <v>352.5</v>
      </c>
      <c r="AS75" s="17" t="n">
        <f aca="false">IF($AN75=1,$AO75+AS$15*$S75,-1000000000)</f>
        <v>1008.75</v>
      </c>
      <c r="AT75" s="17" t="n">
        <f aca="false">IF($AN75=1,$AO75+AT$15*$S75,-1000000000)</f>
        <v>1665</v>
      </c>
      <c r="AU75" s="17" t="n">
        <f aca="false">IF($AN75=1,$AO75+AU$15*$S75,-1000000000)</f>
        <v>2977.5</v>
      </c>
      <c r="AV75" s="17" t="n">
        <f aca="false">IF($AN75=1,$AO75+AV$15*$S75,-1000000000)</f>
        <v>5602.5</v>
      </c>
      <c r="AW75" s="17" t="n">
        <f aca="false">IF($AN75=1,$AO75+AW$15*$S75,-1000000000)</f>
        <v>8227.5</v>
      </c>
      <c r="AX75" s="17" t="n">
        <f aca="false">IF($AN75=1,$AO75+AX$15*$S75,-1000000000)</f>
        <v>7440</v>
      </c>
    </row>
    <row r="76" customFormat="false" ht="15" hidden="false" customHeight="false" outlineLevel="0" collapsed="false">
      <c r="A76" s="12" t="n">
        <v>59</v>
      </c>
      <c r="B76" s="12" t="n">
        <f aca="false">MOD(INT($A76/2^5),2)</f>
        <v>1</v>
      </c>
      <c r="C76" s="12" t="n">
        <f aca="false">MOD(INT($A76/2^4),2)</f>
        <v>1</v>
      </c>
      <c r="D76" s="12" t="n">
        <f aca="false">MOD(INT($A76/2^3),2)</f>
        <v>1</v>
      </c>
      <c r="E76" s="12" t="n">
        <f aca="false">MOD(INT($A76/2^2),2)</f>
        <v>0</v>
      </c>
      <c r="F76" s="12" t="n">
        <f aca="false">MOD(INT($A76/2^1),2)</f>
        <v>1</v>
      </c>
      <c r="G76" s="12" t="n">
        <f aca="false">MOD(INT($A76/2^0),2)</f>
        <v>1</v>
      </c>
      <c r="H76" s="18" t="n">
        <f aca="false">Eff_now+B76*Half_g*(Ceil_e-Eff_now)</f>
        <v>78</v>
      </c>
      <c r="I76" s="18" t="n">
        <f aca="false">H76+C76*Half_g*(Ceil_e-H76)</f>
        <v>81.5</v>
      </c>
      <c r="J76" s="18" t="n">
        <f aca="false">I76+D76*Half_g*(Ceil_e-I76)</f>
        <v>83.25</v>
      </c>
      <c r="K76" s="18" t="n">
        <f aca="false">J76+E76*Half_g*(Ceil_e-J76)</f>
        <v>83.25</v>
      </c>
      <c r="L76" s="18" t="n">
        <f aca="false">K76+F76*Half_g*(Ceil_e-K76)</f>
        <v>84.125</v>
      </c>
      <c r="M76" s="18" t="n">
        <f aca="false">L76+G76*Half_g*(Ceil_e-L76)</f>
        <v>84.5625</v>
      </c>
      <c r="N76" s="13" t="n">
        <f aca="false">Val_pt*(H76-Eff_now)</f>
        <v>70</v>
      </c>
      <c r="O76" s="13" t="n">
        <f aca="false">Val_pt*(I76-Eff_now)</f>
        <v>105</v>
      </c>
      <c r="P76" s="13" t="n">
        <f aca="false">Val_pt*(J76-Eff_now)</f>
        <v>122.5</v>
      </c>
      <c r="Q76" s="13" t="n">
        <f aca="false">Val_pt*(K76-Eff_now)</f>
        <v>122.5</v>
      </c>
      <c r="R76" s="13" t="n">
        <f aca="false">Val_pt*(L76-Eff_now)</f>
        <v>131.25</v>
      </c>
      <c r="S76" s="13" t="n">
        <f aca="false">Val_pt*(M76-Eff_now)</f>
        <v>135.625</v>
      </c>
      <c r="T76" s="13" t="n">
        <f aca="false">S_max*(1-2^(-(SUM($B76:B76))))</f>
        <v>70</v>
      </c>
      <c r="U76" s="13" t="n">
        <f aca="false">S_max*(1-2^(-(SUM($B76:C76))))</f>
        <v>105</v>
      </c>
      <c r="V76" s="13" t="n">
        <f aca="false">S_max*(1-2^(-(SUM($B76:D76))))</f>
        <v>122.5</v>
      </c>
      <c r="W76" s="13" t="n">
        <f aca="false">S_max*(1-2^(-(SUM($B76:E76))))</f>
        <v>122.5</v>
      </c>
      <c r="X76" s="13" t="n">
        <f aca="false">S_max*(1-2^(-(SUM($B76:F76))))</f>
        <v>131.25</v>
      </c>
      <c r="Y76" s="13" t="n">
        <f aca="false">S_max*(1-2^(-(SUM($B76:G76))))</f>
        <v>135.625</v>
      </c>
      <c r="Z76" s="16" t="n">
        <f aca="false">MAX(ABS(N76-T76),ABS(O76-U76),ABS(P76-V76),ABS(Q76-W76),ABS(R76-X76),ABS(S76-Y76))</f>
        <v>0</v>
      </c>
      <c r="AA76" s="13" t="n">
        <f aca="false">Liq_now-Cost_r*B76</f>
        <v>500</v>
      </c>
      <c r="AB76" s="13" t="n">
        <f aca="false">AG76-Cost_r*C76</f>
        <v>450</v>
      </c>
      <c r="AC76" s="13" t="n">
        <f aca="false">AH76-Cost_r*D76</f>
        <v>435</v>
      </c>
      <c r="AD76" s="13" t="n">
        <f aca="false">AI76-Cost_r*E76</f>
        <v>557.5</v>
      </c>
      <c r="AE76" s="13" t="n">
        <f aca="false">AJ76-Cost_r*F76</f>
        <v>560</v>
      </c>
      <c r="AF76" s="13" t="n">
        <f aca="false">AK76-Cost_r*G76</f>
        <v>571.25</v>
      </c>
      <c r="AG76" s="13" t="n">
        <f aca="false">AA76+N76</f>
        <v>570</v>
      </c>
      <c r="AH76" s="13" t="n">
        <f aca="false">AB76+O76</f>
        <v>555</v>
      </c>
      <c r="AI76" s="13" t="n">
        <f aca="false">AC76+P76</f>
        <v>557.5</v>
      </c>
      <c r="AJ76" s="13" t="n">
        <f aca="false">AD76+Q76</f>
        <v>680</v>
      </c>
      <c r="AK76" s="13" t="n">
        <f aca="false">AE76+R76</f>
        <v>691.25</v>
      </c>
      <c r="AL76" s="13" t="n">
        <f aca="false">AF76+S76</f>
        <v>706.875</v>
      </c>
      <c r="AM76" s="12" t="n">
        <f aca="false">SUM(B76:G76)</f>
        <v>5</v>
      </c>
      <c r="AN76" s="12" t="n">
        <f aca="false">IF(AND(MIN(AA76:AF76)&gt;=Floor_q,MIN(AG76:AL76)&gt;=Floor_q,AL76&gt;=Q_end,Cap_now&gt;=Cap_min),1,0)</f>
        <v>1</v>
      </c>
      <c r="AO76" s="13" t="n">
        <f aca="false">AL76-Q_end</f>
        <v>236.875</v>
      </c>
      <c r="AP76" s="17" t="n">
        <f aca="false">IF(AN76=1,AO76+Credit_M*S76,-1000000000)</f>
        <v>1593.125</v>
      </c>
      <c r="AQ76" s="17" t="n">
        <f aca="false">AP76+SUMPRODUCT(Relaxation!$C$23:$H$23,1-B76:G76)+SUMPRODUCT(Relaxation!$C$24:$H$24,B76:G76)</f>
        <v>1620.81730769231</v>
      </c>
      <c r="AR76" s="17" t="n">
        <f aca="false">IF($AN76=1,$AO76+AR$15*$S76,-1000000000)</f>
        <v>236.875</v>
      </c>
      <c r="AS76" s="17" t="n">
        <f aca="false">IF($AN76=1,$AO76+AS$15*$S76,-1000000000)</f>
        <v>915</v>
      </c>
      <c r="AT76" s="17" t="n">
        <f aca="false">IF($AN76=1,$AO76+AT$15*$S76,-1000000000)</f>
        <v>1593.125</v>
      </c>
      <c r="AU76" s="17" t="n">
        <f aca="false">IF($AN76=1,$AO76+AU$15*$S76,-1000000000)</f>
        <v>2949.375</v>
      </c>
      <c r="AV76" s="17" t="n">
        <f aca="false">IF($AN76=1,$AO76+AV$15*$S76,-1000000000)</f>
        <v>5661.875</v>
      </c>
      <c r="AW76" s="17" t="n">
        <f aca="false">IF($AN76=1,$AO76+AW$15*$S76,-1000000000)</f>
        <v>8374.375</v>
      </c>
      <c r="AX76" s="17" t="n">
        <f aca="false">IF($AN76=1,$AO76+AX$15*$S76,-1000000000)</f>
        <v>7560.625</v>
      </c>
    </row>
    <row r="77" customFormat="false" ht="15" hidden="false" customHeight="false" outlineLevel="0" collapsed="false">
      <c r="A77" s="12" t="n">
        <v>60</v>
      </c>
      <c r="B77" s="12" t="n">
        <f aca="false">MOD(INT($A77/2^5),2)</f>
        <v>1</v>
      </c>
      <c r="C77" s="12" t="n">
        <f aca="false">MOD(INT($A77/2^4),2)</f>
        <v>1</v>
      </c>
      <c r="D77" s="12" t="n">
        <f aca="false">MOD(INT($A77/2^3),2)</f>
        <v>1</v>
      </c>
      <c r="E77" s="12" t="n">
        <f aca="false">MOD(INT($A77/2^2),2)</f>
        <v>1</v>
      </c>
      <c r="F77" s="12" t="n">
        <f aca="false">MOD(INT($A77/2^1),2)</f>
        <v>0</v>
      </c>
      <c r="G77" s="12" t="n">
        <f aca="false">MOD(INT($A77/2^0),2)</f>
        <v>0</v>
      </c>
      <c r="H77" s="18" t="n">
        <f aca="false">Eff_now+B77*Half_g*(Ceil_e-Eff_now)</f>
        <v>78</v>
      </c>
      <c r="I77" s="18" t="n">
        <f aca="false">H77+C77*Half_g*(Ceil_e-H77)</f>
        <v>81.5</v>
      </c>
      <c r="J77" s="18" t="n">
        <f aca="false">I77+D77*Half_g*(Ceil_e-I77)</f>
        <v>83.25</v>
      </c>
      <c r="K77" s="18" t="n">
        <f aca="false">J77+E77*Half_g*(Ceil_e-J77)</f>
        <v>84.125</v>
      </c>
      <c r="L77" s="18" t="n">
        <f aca="false">K77+F77*Half_g*(Ceil_e-K77)</f>
        <v>84.125</v>
      </c>
      <c r="M77" s="18" t="n">
        <f aca="false">L77+G77*Half_g*(Ceil_e-L77)</f>
        <v>84.125</v>
      </c>
      <c r="N77" s="13" t="n">
        <f aca="false">Val_pt*(H77-Eff_now)</f>
        <v>70</v>
      </c>
      <c r="O77" s="13" t="n">
        <f aca="false">Val_pt*(I77-Eff_now)</f>
        <v>105</v>
      </c>
      <c r="P77" s="13" t="n">
        <f aca="false">Val_pt*(J77-Eff_now)</f>
        <v>122.5</v>
      </c>
      <c r="Q77" s="13" t="n">
        <f aca="false">Val_pt*(K77-Eff_now)</f>
        <v>131.25</v>
      </c>
      <c r="R77" s="13" t="n">
        <f aca="false">Val_pt*(L77-Eff_now)</f>
        <v>131.25</v>
      </c>
      <c r="S77" s="13" t="n">
        <f aca="false">Val_pt*(M77-Eff_now)</f>
        <v>131.25</v>
      </c>
      <c r="T77" s="13" t="n">
        <f aca="false">S_max*(1-2^(-(SUM($B77:B77))))</f>
        <v>70</v>
      </c>
      <c r="U77" s="13" t="n">
        <f aca="false">S_max*(1-2^(-(SUM($B77:C77))))</f>
        <v>105</v>
      </c>
      <c r="V77" s="13" t="n">
        <f aca="false">S_max*(1-2^(-(SUM($B77:D77))))</f>
        <v>122.5</v>
      </c>
      <c r="W77" s="13" t="n">
        <f aca="false">S_max*(1-2^(-(SUM($B77:E77))))</f>
        <v>131.25</v>
      </c>
      <c r="X77" s="13" t="n">
        <f aca="false">S_max*(1-2^(-(SUM($B77:F77))))</f>
        <v>131.25</v>
      </c>
      <c r="Y77" s="13" t="n">
        <f aca="false">S_max*(1-2^(-(SUM($B77:G77))))</f>
        <v>131.25</v>
      </c>
      <c r="Z77" s="16" t="n">
        <f aca="false">MAX(ABS(N77-T77),ABS(O77-U77),ABS(P77-V77),ABS(Q77-W77),ABS(R77-X77),ABS(S77-Y77))</f>
        <v>0</v>
      </c>
      <c r="AA77" s="13" t="n">
        <f aca="false">Liq_now-Cost_r*B77</f>
        <v>500</v>
      </c>
      <c r="AB77" s="13" t="n">
        <f aca="false">AG77-Cost_r*C77</f>
        <v>450</v>
      </c>
      <c r="AC77" s="13" t="n">
        <f aca="false">AH77-Cost_r*D77</f>
        <v>435</v>
      </c>
      <c r="AD77" s="13" t="n">
        <f aca="false">AI77-Cost_r*E77</f>
        <v>437.5</v>
      </c>
      <c r="AE77" s="13" t="n">
        <f aca="false">AJ77-Cost_r*F77</f>
        <v>568.75</v>
      </c>
      <c r="AF77" s="13" t="n">
        <f aca="false">AK77-Cost_r*G77</f>
        <v>700</v>
      </c>
      <c r="AG77" s="13" t="n">
        <f aca="false">AA77+N77</f>
        <v>570</v>
      </c>
      <c r="AH77" s="13" t="n">
        <f aca="false">AB77+O77</f>
        <v>555</v>
      </c>
      <c r="AI77" s="13" t="n">
        <f aca="false">AC77+P77</f>
        <v>557.5</v>
      </c>
      <c r="AJ77" s="13" t="n">
        <f aca="false">AD77+Q77</f>
        <v>568.75</v>
      </c>
      <c r="AK77" s="13" t="n">
        <f aca="false">AE77+R77</f>
        <v>700</v>
      </c>
      <c r="AL77" s="13" t="n">
        <f aca="false">AF77+S77</f>
        <v>831.25</v>
      </c>
      <c r="AM77" s="12" t="n">
        <f aca="false">SUM(B77:G77)</f>
        <v>4</v>
      </c>
      <c r="AN77" s="12" t="n">
        <f aca="false">IF(AND(MIN(AA77:AF77)&gt;=Floor_q,MIN(AG77:AL77)&gt;=Floor_q,AL77&gt;=Q_end,Cap_now&gt;=Cap_min),1,0)</f>
        <v>1</v>
      </c>
      <c r="AO77" s="13" t="n">
        <f aca="false">AL77-Q_end</f>
        <v>361.25</v>
      </c>
      <c r="AP77" s="17" t="n">
        <f aca="false">IF(AN77=1,AO77+Credit_M*S77,-1000000000)</f>
        <v>1673.75</v>
      </c>
      <c r="AQ77" s="17" t="n">
        <f aca="false">AP77+SUMPRODUCT(Relaxation!$C$23:$H$23,1-B77:G77)+SUMPRODUCT(Relaxation!$C$24:$H$24,B77:G77)</f>
        <v>1673.75</v>
      </c>
      <c r="AR77" s="17" t="n">
        <f aca="false">IF($AN77=1,$AO77+AR$15*$S77,-1000000000)</f>
        <v>361.25</v>
      </c>
      <c r="AS77" s="17" t="n">
        <f aca="false">IF($AN77=1,$AO77+AS$15*$S77,-1000000000)</f>
        <v>1017.5</v>
      </c>
      <c r="AT77" s="17" t="n">
        <f aca="false">IF($AN77=1,$AO77+AT$15*$S77,-1000000000)</f>
        <v>1673.75</v>
      </c>
      <c r="AU77" s="17" t="n">
        <f aca="false">IF($AN77=1,$AO77+AU$15*$S77,-1000000000)</f>
        <v>2986.25</v>
      </c>
      <c r="AV77" s="17" t="n">
        <f aca="false">IF($AN77=1,$AO77+AV$15*$S77,-1000000000)</f>
        <v>5611.25</v>
      </c>
      <c r="AW77" s="17" t="n">
        <f aca="false">IF($AN77=1,$AO77+AW$15*$S77,-1000000000)</f>
        <v>8236.25</v>
      </c>
      <c r="AX77" s="17" t="n">
        <f aca="false">IF($AN77=1,$AO77+AX$15*$S77,-1000000000)</f>
        <v>7448.75</v>
      </c>
    </row>
    <row r="78" customFormat="false" ht="15" hidden="false" customHeight="false" outlineLevel="0" collapsed="false">
      <c r="A78" s="12" t="n">
        <v>61</v>
      </c>
      <c r="B78" s="12" t="n">
        <f aca="false">MOD(INT($A78/2^5),2)</f>
        <v>1</v>
      </c>
      <c r="C78" s="12" t="n">
        <f aca="false">MOD(INT($A78/2^4),2)</f>
        <v>1</v>
      </c>
      <c r="D78" s="12" t="n">
        <f aca="false">MOD(INT($A78/2^3),2)</f>
        <v>1</v>
      </c>
      <c r="E78" s="12" t="n">
        <f aca="false">MOD(INT($A78/2^2),2)</f>
        <v>1</v>
      </c>
      <c r="F78" s="12" t="n">
        <f aca="false">MOD(INT($A78/2^1),2)</f>
        <v>0</v>
      </c>
      <c r="G78" s="12" t="n">
        <f aca="false">MOD(INT($A78/2^0),2)</f>
        <v>1</v>
      </c>
      <c r="H78" s="18" t="n">
        <f aca="false">Eff_now+B78*Half_g*(Ceil_e-Eff_now)</f>
        <v>78</v>
      </c>
      <c r="I78" s="18" t="n">
        <f aca="false">H78+C78*Half_g*(Ceil_e-H78)</f>
        <v>81.5</v>
      </c>
      <c r="J78" s="18" t="n">
        <f aca="false">I78+D78*Half_g*(Ceil_e-I78)</f>
        <v>83.25</v>
      </c>
      <c r="K78" s="18" t="n">
        <f aca="false">J78+E78*Half_g*(Ceil_e-J78)</f>
        <v>84.125</v>
      </c>
      <c r="L78" s="18" t="n">
        <f aca="false">K78+F78*Half_g*(Ceil_e-K78)</f>
        <v>84.125</v>
      </c>
      <c r="M78" s="18" t="n">
        <f aca="false">L78+G78*Half_g*(Ceil_e-L78)</f>
        <v>84.5625</v>
      </c>
      <c r="N78" s="13" t="n">
        <f aca="false">Val_pt*(H78-Eff_now)</f>
        <v>70</v>
      </c>
      <c r="O78" s="13" t="n">
        <f aca="false">Val_pt*(I78-Eff_now)</f>
        <v>105</v>
      </c>
      <c r="P78" s="13" t="n">
        <f aca="false">Val_pt*(J78-Eff_now)</f>
        <v>122.5</v>
      </c>
      <c r="Q78" s="13" t="n">
        <f aca="false">Val_pt*(K78-Eff_now)</f>
        <v>131.25</v>
      </c>
      <c r="R78" s="13" t="n">
        <f aca="false">Val_pt*(L78-Eff_now)</f>
        <v>131.25</v>
      </c>
      <c r="S78" s="13" t="n">
        <f aca="false">Val_pt*(M78-Eff_now)</f>
        <v>135.625</v>
      </c>
      <c r="T78" s="13" t="n">
        <f aca="false">S_max*(1-2^(-(SUM($B78:B78))))</f>
        <v>70</v>
      </c>
      <c r="U78" s="13" t="n">
        <f aca="false">S_max*(1-2^(-(SUM($B78:C78))))</f>
        <v>105</v>
      </c>
      <c r="V78" s="13" t="n">
        <f aca="false">S_max*(1-2^(-(SUM($B78:D78))))</f>
        <v>122.5</v>
      </c>
      <c r="W78" s="13" t="n">
        <f aca="false">S_max*(1-2^(-(SUM($B78:E78))))</f>
        <v>131.25</v>
      </c>
      <c r="X78" s="13" t="n">
        <f aca="false">S_max*(1-2^(-(SUM($B78:F78))))</f>
        <v>131.25</v>
      </c>
      <c r="Y78" s="13" t="n">
        <f aca="false">S_max*(1-2^(-(SUM($B78:G78))))</f>
        <v>135.625</v>
      </c>
      <c r="Z78" s="16" t="n">
        <f aca="false">MAX(ABS(N78-T78),ABS(O78-U78),ABS(P78-V78),ABS(Q78-W78),ABS(R78-X78),ABS(S78-Y78))</f>
        <v>0</v>
      </c>
      <c r="AA78" s="13" t="n">
        <f aca="false">Liq_now-Cost_r*B78</f>
        <v>500</v>
      </c>
      <c r="AB78" s="13" t="n">
        <f aca="false">AG78-Cost_r*C78</f>
        <v>450</v>
      </c>
      <c r="AC78" s="13" t="n">
        <f aca="false">AH78-Cost_r*D78</f>
        <v>435</v>
      </c>
      <c r="AD78" s="13" t="n">
        <f aca="false">AI78-Cost_r*E78</f>
        <v>437.5</v>
      </c>
      <c r="AE78" s="13" t="n">
        <f aca="false">AJ78-Cost_r*F78</f>
        <v>568.75</v>
      </c>
      <c r="AF78" s="13" t="n">
        <f aca="false">AK78-Cost_r*G78</f>
        <v>580</v>
      </c>
      <c r="AG78" s="13" t="n">
        <f aca="false">AA78+N78</f>
        <v>570</v>
      </c>
      <c r="AH78" s="13" t="n">
        <f aca="false">AB78+O78</f>
        <v>555</v>
      </c>
      <c r="AI78" s="13" t="n">
        <f aca="false">AC78+P78</f>
        <v>557.5</v>
      </c>
      <c r="AJ78" s="13" t="n">
        <f aca="false">AD78+Q78</f>
        <v>568.75</v>
      </c>
      <c r="AK78" s="13" t="n">
        <f aca="false">AE78+R78</f>
        <v>700</v>
      </c>
      <c r="AL78" s="13" t="n">
        <f aca="false">AF78+S78</f>
        <v>715.625</v>
      </c>
      <c r="AM78" s="12" t="n">
        <f aca="false">SUM(B78:G78)</f>
        <v>5</v>
      </c>
      <c r="AN78" s="12" t="n">
        <f aca="false">IF(AND(MIN(AA78:AF78)&gt;=Floor_q,MIN(AG78:AL78)&gt;=Floor_q,AL78&gt;=Q_end,Cap_now&gt;=Cap_min),1,0)</f>
        <v>1</v>
      </c>
      <c r="AO78" s="13" t="n">
        <f aca="false">AL78-Q_end</f>
        <v>245.625</v>
      </c>
      <c r="AP78" s="17" t="n">
        <f aca="false">IF(AN78=1,AO78+Credit_M*S78,-1000000000)</f>
        <v>1601.875</v>
      </c>
      <c r="AQ78" s="17" t="n">
        <f aca="false">AP78+SUMPRODUCT(Relaxation!$C$23:$H$23,1-B78:G78)+SUMPRODUCT(Relaxation!$C$24:$H$24,B78:G78)</f>
        <v>1620.33653846154</v>
      </c>
      <c r="AR78" s="17" t="n">
        <f aca="false">IF($AN78=1,$AO78+AR$15*$S78,-1000000000)</f>
        <v>245.625</v>
      </c>
      <c r="AS78" s="17" t="n">
        <f aca="false">IF($AN78=1,$AO78+AS$15*$S78,-1000000000)</f>
        <v>923.75</v>
      </c>
      <c r="AT78" s="17" t="n">
        <f aca="false">IF($AN78=1,$AO78+AT$15*$S78,-1000000000)</f>
        <v>1601.875</v>
      </c>
      <c r="AU78" s="17" t="n">
        <f aca="false">IF($AN78=1,$AO78+AU$15*$S78,-1000000000)</f>
        <v>2958.125</v>
      </c>
      <c r="AV78" s="17" t="n">
        <f aca="false">IF($AN78=1,$AO78+AV$15*$S78,-1000000000)</f>
        <v>5670.625</v>
      </c>
      <c r="AW78" s="17" t="n">
        <f aca="false">IF($AN78=1,$AO78+AW$15*$S78,-1000000000)</f>
        <v>8383.125</v>
      </c>
      <c r="AX78" s="17" t="n">
        <f aca="false">IF($AN78=1,$AO78+AX$15*$S78,-1000000000)</f>
        <v>7569.375</v>
      </c>
    </row>
    <row r="79" customFormat="false" ht="15" hidden="false" customHeight="false" outlineLevel="0" collapsed="false">
      <c r="A79" s="12" t="n">
        <v>62</v>
      </c>
      <c r="B79" s="12" t="n">
        <f aca="false">MOD(INT($A79/2^5),2)</f>
        <v>1</v>
      </c>
      <c r="C79" s="12" t="n">
        <f aca="false">MOD(INT($A79/2^4),2)</f>
        <v>1</v>
      </c>
      <c r="D79" s="12" t="n">
        <f aca="false">MOD(INT($A79/2^3),2)</f>
        <v>1</v>
      </c>
      <c r="E79" s="12" t="n">
        <f aca="false">MOD(INT($A79/2^2),2)</f>
        <v>1</v>
      </c>
      <c r="F79" s="12" t="n">
        <f aca="false">MOD(INT($A79/2^1),2)</f>
        <v>1</v>
      </c>
      <c r="G79" s="12" t="n">
        <f aca="false">MOD(INT($A79/2^0),2)</f>
        <v>0</v>
      </c>
      <c r="H79" s="18" t="n">
        <f aca="false">Eff_now+B79*Half_g*(Ceil_e-Eff_now)</f>
        <v>78</v>
      </c>
      <c r="I79" s="18" t="n">
        <f aca="false">H79+C79*Half_g*(Ceil_e-H79)</f>
        <v>81.5</v>
      </c>
      <c r="J79" s="18" t="n">
        <f aca="false">I79+D79*Half_g*(Ceil_e-I79)</f>
        <v>83.25</v>
      </c>
      <c r="K79" s="18" t="n">
        <f aca="false">J79+E79*Half_g*(Ceil_e-J79)</f>
        <v>84.125</v>
      </c>
      <c r="L79" s="18" t="n">
        <f aca="false">K79+F79*Half_g*(Ceil_e-K79)</f>
        <v>84.5625</v>
      </c>
      <c r="M79" s="18" t="n">
        <f aca="false">L79+G79*Half_g*(Ceil_e-L79)</f>
        <v>84.5625</v>
      </c>
      <c r="N79" s="13" t="n">
        <f aca="false">Val_pt*(H79-Eff_now)</f>
        <v>70</v>
      </c>
      <c r="O79" s="13" t="n">
        <f aca="false">Val_pt*(I79-Eff_now)</f>
        <v>105</v>
      </c>
      <c r="P79" s="13" t="n">
        <f aca="false">Val_pt*(J79-Eff_now)</f>
        <v>122.5</v>
      </c>
      <c r="Q79" s="13" t="n">
        <f aca="false">Val_pt*(K79-Eff_now)</f>
        <v>131.25</v>
      </c>
      <c r="R79" s="13" t="n">
        <f aca="false">Val_pt*(L79-Eff_now)</f>
        <v>135.625</v>
      </c>
      <c r="S79" s="13" t="n">
        <f aca="false">Val_pt*(M79-Eff_now)</f>
        <v>135.625</v>
      </c>
      <c r="T79" s="13" t="n">
        <f aca="false">S_max*(1-2^(-(SUM($B79:B79))))</f>
        <v>70</v>
      </c>
      <c r="U79" s="13" t="n">
        <f aca="false">S_max*(1-2^(-(SUM($B79:C79))))</f>
        <v>105</v>
      </c>
      <c r="V79" s="13" t="n">
        <f aca="false">S_max*(1-2^(-(SUM($B79:D79))))</f>
        <v>122.5</v>
      </c>
      <c r="W79" s="13" t="n">
        <f aca="false">S_max*(1-2^(-(SUM($B79:E79))))</f>
        <v>131.25</v>
      </c>
      <c r="X79" s="13" t="n">
        <f aca="false">S_max*(1-2^(-(SUM($B79:F79))))</f>
        <v>135.625</v>
      </c>
      <c r="Y79" s="13" t="n">
        <f aca="false">S_max*(1-2^(-(SUM($B79:G79))))</f>
        <v>135.625</v>
      </c>
      <c r="Z79" s="16" t="n">
        <f aca="false">MAX(ABS(N79-T79),ABS(O79-U79),ABS(P79-V79),ABS(Q79-W79),ABS(R79-X79),ABS(S79-Y79))</f>
        <v>0</v>
      </c>
      <c r="AA79" s="13" t="n">
        <f aca="false">Liq_now-Cost_r*B79</f>
        <v>500</v>
      </c>
      <c r="AB79" s="13" t="n">
        <f aca="false">AG79-Cost_r*C79</f>
        <v>450</v>
      </c>
      <c r="AC79" s="13" t="n">
        <f aca="false">AH79-Cost_r*D79</f>
        <v>435</v>
      </c>
      <c r="AD79" s="13" t="n">
        <f aca="false">AI79-Cost_r*E79</f>
        <v>437.5</v>
      </c>
      <c r="AE79" s="13" t="n">
        <f aca="false">AJ79-Cost_r*F79</f>
        <v>448.75</v>
      </c>
      <c r="AF79" s="13" t="n">
        <f aca="false">AK79-Cost_r*G79</f>
        <v>584.375</v>
      </c>
      <c r="AG79" s="13" t="n">
        <f aca="false">AA79+N79</f>
        <v>570</v>
      </c>
      <c r="AH79" s="13" t="n">
        <f aca="false">AB79+O79</f>
        <v>555</v>
      </c>
      <c r="AI79" s="13" t="n">
        <f aca="false">AC79+P79</f>
        <v>557.5</v>
      </c>
      <c r="AJ79" s="13" t="n">
        <f aca="false">AD79+Q79</f>
        <v>568.75</v>
      </c>
      <c r="AK79" s="13" t="n">
        <f aca="false">AE79+R79</f>
        <v>584.375</v>
      </c>
      <c r="AL79" s="13" t="n">
        <f aca="false">AF79+S79</f>
        <v>720</v>
      </c>
      <c r="AM79" s="12" t="n">
        <f aca="false">SUM(B79:G79)</f>
        <v>5</v>
      </c>
      <c r="AN79" s="12" t="n">
        <f aca="false">IF(AND(MIN(AA79:AF79)&gt;=Floor_q,MIN(AG79:AL79)&gt;=Floor_q,AL79&gt;=Q_end,Cap_now&gt;=Cap_min),1,0)</f>
        <v>1</v>
      </c>
      <c r="AO79" s="13" t="n">
        <f aca="false">AL79-Q_end</f>
        <v>250</v>
      </c>
      <c r="AP79" s="17" t="n">
        <f aca="false">IF(AN79=1,AO79+Credit_M*S79,-1000000000)</f>
        <v>1606.25</v>
      </c>
      <c r="AQ79" s="17" t="n">
        <f aca="false">AP79+SUMPRODUCT(Relaxation!$C$23:$H$23,1-B79:G79)+SUMPRODUCT(Relaxation!$C$24:$H$24,B79:G79)</f>
        <v>1615.48076923077</v>
      </c>
      <c r="AR79" s="17" t="n">
        <f aca="false">IF($AN79=1,$AO79+AR$15*$S79,-1000000000)</f>
        <v>250</v>
      </c>
      <c r="AS79" s="17" t="n">
        <f aca="false">IF($AN79=1,$AO79+AS$15*$S79,-1000000000)</f>
        <v>928.125</v>
      </c>
      <c r="AT79" s="17" t="n">
        <f aca="false">IF($AN79=1,$AO79+AT$15*$S79,-1000000000)</f>
        <v>1606.25</v>
      </c>
      <c r="AU79" s="17" t="n">
        <f aca="false">IF($AN79=1,$AO79+AU$15*$S79,-1000000000)</f>
        <v>2962.5</v>
      </c>
      <c r="AV79" s="17" t="n">
        <f aca="false">IF($AN79=1,$AO79+AV$15*$S79,-1000000000)</f>
        <v>5675</v>
      </c>
      <c r="AW79" s="17" t="n">
        <f aca="false">IF($AN79=1,$AO79+AW$15*$S79,-1000000000)</f>
        <v>8387.5</v>
      </c>
      <c r="AX79" s="17" t="n">
        <f aca="false">IF($AN79=1,$AO79+AX$15*$S79,-1000000000)</f>
        <v>7573.75</v>
      </c>
    </row>
    <row r="80" customFormat="false" ht="15" hidden="false" customHeight="false" outlineLevel="0" collapsed="false">
      <c r="A80" s="12" t="n">
        <v>63</v>
      </c>
      <c r="B80" s="12" t="n">
        <f aca="false">MOD(INT($A80/2^5),2)</f>
        <v>1</v>
      </c>
      <c r="C80" s="12" t="n">
        <f aca="false">MOD(INT($A80/2^4),2)</f>
        <v>1</v>
      </c>
      <c r="D80" s="12" t="n">
        <f aca="false">MOD(INT($A80/2^3),2)</f>
        <v>1</v>
      </c>
      <c r="E80" s="12" t="n">
        <f aca="false">MOD(INT($A80/2^2),2)</f>
        <v>1</v>
      </c>
      <c r="F80" s="12" t="n">
        <f aca="false">MOD(INT($A80/2^1),2)</f>
        <v>1</v>
      </c>
      <c r="G80" s="12" t="n">
        <f aca="false">MOD(INT($A80/2^0),2)</f>
        <v>1</v>
      </c>
      <c r="H80" s="18" t="n">
        <f aca="false">Eff_now+B80*Half_g*(Ceil_e-Eff_now)</f>
        <v>78</v>
      </c>
      <c r="I80" s="18" t="n">
        <f aca="false">H80+C80*Half_g*(Ceil_e-H80)</f>
        <v>81.5</v>
      </c>
      <c r="J80" s="18" t="n">
        <f aca="false">I80+D80*Half_g*(Ceil_e-I80)</f>
        <v>83.25</v>
      </c>
      <c r="K80" s="18" t="n">
        <f aca="false">J80+E80*Half_g*(Ceil_e-J80)</f>
        <v>84.125</v>
      </c>
      <c r="L80" s="18" t="n">
        <f aca="false">K80+F80*Half_g*(Ceil_e-K80)</f>
        <v>84.5625</v>
      </c>
      <c r="M80" s="18" t="n">
        <f aca="false">L80+G80*Half_g*(Ceil_e-L80)</f>
        <v>84.78125</v>
      </c>
      <c r="N80" s="13" t="n">
        <f aca="false">Val_pt*(H80-Eff_now)</f>
        <v>70</v>
      </c>
      <c r="O80" s="13" t="n">
        <f aca="false">Val_pt*(I80-Eff_now)</f>
        <v>105</v>
      </c>
      <c r="P80" s="13" t="n">
        <f aca="false">Val_pt*(J80-Eff_now)</f>
        <v>122.5</v>
      </c>
      <c r="Q80" s="13" t="n">
        <f aca="false">Val_pt*(K80-Eff_now)</f>
        <v>131.25</v>
      </c>
      <c r="R80" s="13" t="n">
        <f aca="false">Val_pt*(L80-Eff_now)</f>
        <v>135.625</v>
      </c>
      <c r="S80" s="13" t="n">
        <f aca="false">Val_pt*(M80-Eff_now)</f>
        <v>137.8125</v>
      </c>
      <c r="T80" s="13" t="n">
        <f aca="false">S_max*(1-2^(-(SUM($B80:B80))))</f>
        <v>70</v>
      </c>
      <c r="U80" s="13" t="n">
        <f aca="false">S_max*(1-2^(-(SUM($B80:C80))))</f>
        <v>105</v>
      </c>
      <c r="V80" s="13" t="n">
        <f aca="false">S_max*(1-2^(-(SUM($B80:D80))))</f>
        <v>122.5</v>
      </c>
      <c r="W80" s="13" t="n">
        <f aca="false">S_max*(1-2^(-(SUM($B80:E80))))</f>
        <v>131.25</v>
      </c>
      <c r="X80" s="13" t="n">
        <f aca="false">S_max*(1-2^(-(SUM($B80:F80))))</f>
        <v>135.625</v>
      </c>
      <c r="Y80" s="13" t="n">
        <f aca="false">S_max*(1-2^(-(SUM($B80:G80))))</f>
        <v>137.8125</v>
      </c>
      <c r="Z80" s="16" t="n">
        <f aca="false">MAX(ABS(N80-T80),ABS(O80-U80),ABS(P80-V80),ABS(Q80-W80),ABS(R80-X80),ABS(S80-Y80))</f>
        <v>0</v>
      </c>
      <c r="AA80" s="13" t="n">
        <f aca="false">Liq_now-Cost_r*B80</f>
        <v>500</v>
      </c>
      <c r="AB80" s="13" t="n">
        <f aca="false">AG80-Cost_r*C80</f>
        <v>450</v>
      </c>
      <c r="AC80" s="13" t="n">
        <f aca="false">AH80-Cost_r*D80</f>
        <v>435</v>
      </c>
      <c r="AD80" s="13" t="n">
        <f aca="false">AI80-Cost_r*E80</f>
        <v>437.5</v>
      </c>
      <c r="AE80" s="13" t="n">
        <f aca="false">AJ80-Cost_r*F80</f>
        <v>448.75</v>
      </c>
      <c r="AF80" s="13" t="n">
        <f aca="false">AK80-Cost_r*G80</f>
        <v>464.375</v>
      </c>
      <c r="AG80" s="13" t="n">
        <f aca="false">AA80+N80</f>
        <v>570</v>
      </c>
      <c r="AH80" s="13" t="n">
        <f aca="false">AB80+O80</f>
        <v>555</v>
      </c>
      <c r="AI80" s="13" t="n">
        <f aca="false">AC80+P80</f>
        <v>557.5</v>
      </c>
      <c r="AJ80" s="13" t="n">
        <f aca="false">AD80+Q80</f>
        <v>568.75</v>
      </c>
      <c r="AK80" s="13" t="n">
        <f aca="false">AE80+R80</f>
        <v>584.375</v>
      </c>
      <c r="AL80" s="13" t="n">
        <f aca="false">AF80+S80</f>
        <v>602.1875</v>
      </c>
      <c r="AM80" s="12" t="n">
        <f aca="false">SUM(B80:G80)</f>
        <v>6</v>
      </c>
      <c r="AN80" s="12" t="n">
        <f aca="false">IF(AND(MIN(AA80:AF80)&gt;=Floor_q,MIN(AG80:AL80)&gt;=Floor_q,AL80&gt;=Q_end,Cap_now&gt;=Cap_min),1,0)</f>
        <v>1</v>
      </c>
      <c r="AO80" s="13" t="n">
        <f aca="false">AL80-Q_end</f>
        <v>132.1875</v>
      </c>
      <c r="AP80" s="17" t="n">
        <f aca="false">IF(AN80=1,AO80+Credit_M*S80,-1000000000)</f>
        <v>1510.3125</v>
      </c>
      <c r="AQ80" s="17" t="n">
        <f aca="false">AP80+SUMPRODUCT(Relaxation!$C$23:$H$23,1-B80:G80)+SUMPRODUCT(Relaxation!$C$24:$H$24,B80:G80)</f>
        <v>1538.00480769231</v>
      </c>
      <c r="AR80" s="17" t="n">
        <f aca="false">IF($AN80=1,$AO80+AR$15*$S80,-1000000000)</f>
        <v>132.1875</v>
      </c>
      <c r="AS80" s="17" t="n">
        <f aca="false">IF($AN80=1,$AO80+AS$15*$S80,-1000000000)</f>
        <v>821.25</v>
      </c>
      <c r="AT80" s="17" t="n">
        <f aca="false">IF($AN80=1,$AO80+AT$15*$S80,-1000000000)</f>
        <v>1510.3125</v>
      </c>
      <c r="AU80" s="17" t="n">
        <f aca="false">IF($AN80=1,$AO80+AU$15*$S80,-1000000000)</f>
        <v>2888.4375</v>
      </c>
      <c r="AV80" s="17" t="n">
        <f aca="false">IF($AN80=1,$AO80+AV$15*$S80,-1000000000)</f>
        <v>5644.6875</v>
      </c>
      <c r="AW80" s="17" t="n">
        <f aca="false">IF($AN80=1,$AO80+AW$15*$S80,-1000000000)</f>
        <v>8400.9375</v>
      </c>
      <c r="AX80" s="17" t="n">
        <f aca="false">IF($AN80=1,$AO80+AX$15*$S80,-1000000000)</f>
        <v>7574.0625</v>
      </c>
    </row>
    <row r="82" customFormat="false" ht="15" hidden="false" customHeight="false" outlineLevel="0" collapsed="false">
      <c r="AQ82" s="4" t="s">
        <v>167</v>
      </c>
      <c r="AR82" s="17" t="n">
        <f aca="false">MAX($AR$17:$AR$80)</f>
        <v>505</v>
      </c>
      <c r="AS82" s="17" t="n">
        <f aca="false">MAX($AS$17:$AS$80)</f>
        <v>1067.5</v>
      </c>
      <c r="AT82" s="17" t="n">
        <f aca="false">MAX($AT$17:$AT$80)</f>
        <v>1680</v>
      </c>
      <c r="AU82" s="17" t="n">
        <f aca="false">MAX($AU$17:$AU$80)</f>
        <v>2986.25</v>
      </c>
      <c r="AV82" s="17" t="n">
        <f aca="false">MAX($AV$17:$AV$80)</f>
        <v>5675</v>
      </c>
      <c r="AW82" s="17" t="n">
        <f aca="false">MAX($AW$17:$AW$80)</f>
        <v>8400.9375</v>
      </c>
      <c r="AX82" s="17" t="n">
        <f aca="false">MAX($AX$17:$AX$80)</f>
        <v>7574.0625</v>
      </c>
    </row>
    <row r="83" customFormat="false" ht="15" hidden="false" customHeight="false" outlineLevel="0" collapsed="false">
      <c r="AQ83" s="4" t="s">
        <v>113</v>
      </c>
      <c r="AR83" s="12" t="n">
        <f aca="false">INDEX($AM$17:$AM$80,MATCH(AR82,$AR$17:$AR$80,0))</f>
        <v>2</v>
      </c>
      <c r="AS83" s="12" t="n">
        <f aca="false">INDEX($AM$17:$AM$80,MATCH(AS82,$AS$17:$AS$80,0))</f>
        <v>3</v>
      </c>
      <c r="AT83" s="12" t="n">
        <f aca="false">INDEX($AM$17:$AM$80,MATCH(AT82,$AT$17:$AT$80,0))</f>
        <v>3</v>
      </c>
      <c r="AU83" s="12" t="n">
        <f aca="false">INDEX($AM$17:$AM$80,MATCH(AU82,$AU$17:$AU$80,0))</f>
        <v>4</v>
      </c>
      <c r="AV83" s="12" t="n">
        <f aca="false">INDEX($AM$17:$AM$80,MATCH(AV82,$AV$17:$AV$80,0))</f>
        <v>5</v>
      </c>
      <c r="AW83" s="12" t="n">
        <f aca="false">INDEX($AM$17:$AM$80,MATCH(AW82,$AW$17:$AW$80,0))</f>
        <v>6</v>
      </c>
      <c r="AX83" s="12" t="n">
        <f aca="false">INDEX($AM$17:$AM$80,MATCH(AX82,$AX$17:$AX$80,0))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14"/>
    <col collapsed="false" customWidth="true" hidden="false" outlineLevel="0" max="8" min="3" style="0" width="13"/>
  </cols>
  <sheetData>
    <row r="1" customFormat="false" ht="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10" t="s">
        <v>169</v>
      </c>
    </row>
    <row r="4" customFormat="false" ht="35.05" hidden="false" customHeight="false" outlineLevel="0" collapsed="false">
      <c r="A4" s="8" t="s">
        <v>170</v>
      </c>
      <c r="B4" s="8" t="s">
        <v>171</v>
      </c>
      <c r="C4" s="8" t="s">
        <v>172</v>
      </c>
      <c r="D4" s="8" t="s">
        <v>173</v>
      </c>
      <c r="E4" s="8" t="s">
        <v>18</v>
      </c>
    </row>
    <row r="5" customFormat="false" ht="15" hidden="false" customHeight="false" outlineLevel="0" collapsed="false">
      <c r="A5" s="12" t="n">
        <v>0</v>
      </c>
      <c r="B5" s="13" t="n">
        <f aca="false">Years_n-A5+Credit_M</f>
        <v>16</v>
      </c>
      <c r="C5" s="19" t="n">
        <f aca="false">IF(B5&gt;0,LOG(Slope_s*B5/Cost_r,2),A5)</f>
        <v>3.69362604839155</v>
      </c>
      <c r="D5" s="19" t="n">
        <f aca="false">MIN(A5+1,MAX(A5,C5))</f>
        <v>1</v>
      </c>
      <c r="E5" s="20" t="n">
        <f aca="false">Const_c+S_max*(1-2^(-(MIN(1,D5))))+S_max*(1-2^(-(MIN(2,D5))))+S_max*(1-2^(-(MIN(3,D5))))+S_max*(1-2^(-(MIN(4,D5))))+S_max*(1-2^(-(MIN(5,D5))))+S_max*(1-2^(-(MIN(6,D5))))-Cost_r*D5+Credit_M*S_max*(1-2^(-(D5)))</f>
        <v>1150</v>
      </c>
    </row>
    <row r="6" customFormat="false" ht="15" hidden="false" customHeight="false" outlineLevel="0" collapsed="false">
      <c r="A6" s="12" t="n">
        <v>1</v>
      </c>
      <c r="B6" s="13" t="n">
        <f aca="false">Years_n-A6+Credit_M</f>
        <v>15</v>
      </c>
      <c r="C6" s="19" t="n">
        <f aca="false">IF(B6&gt;0,LOG(Slope_s*B6/Cost_r,2),A6)</f>
        <v>3.60051664400007</v>
      </c>
      <c r="D6" s="19" t="n">
        <f aca="false">MIN(A6+1,MAX(A6,C6))</f>
        <v>2</v>
      </c>
      <c r="E6" s="20" t="n">
        <f aca="false">Const_c+S_max*(1-2^(-(MIN(1,D6))))+S_max*(1-2^(-(MIN(2,D6))))+S_max*(1-2^(-(MIN(3,D6))))+S_max*(1-2^(-(MIN(4,D6))))+S_max*(1-2^(-(MIN(5,D6))))+S_max*(1-2^(-(MIN(6,D6))))-Cost_r*D6+Credit_M*S_max*(1-2^(-(D6)))</f>
        <v>1555</v>
      </c>
    </row>
    <row r="7" customFormat="false" ht="15" hidden="false" customHeight="false" outlineLevel="0" collapsed="false">
      <c r="A7" s="12" t="n">
        <v>2</v>
      </c>
      <c r="B7" s="13" t="n">
        <f aca="false">Years_n-A7+Credit_M</f>
        <v>14</v>
      </c>
      <c r="C7" s="19" t="n">
        <f aca="false">IF(B7&gt;0,LOG(Slope_s*B7/Cost_r,2),A7)</f>
        <v>3.50098097044915</v>
      </c>
      <c r="D7" s="19" t="n">
        <f aca="false">MIN(A7+1,MAX(A7,C7))</f>
        <v>3</v>
      </c>
      <c r="E7" s="20" t="n">
        <f aca="false">Const_c+S_max*(1-2^(-(MIN(1,D7))))+S_max*(1-2^(-(MIN(2,D7))))+S_max*(1-2^(-(MIN(3,D7))))+S_max*(1-2^(-(MIN(4,D7))))+S_max*(1-2^(-(MIN(5,D7))))+S_max*(1-2^(-(MIN(6,D7))))-Cost_r*D7+Credit_M*S_max*(1-2^(-(D7)))</f>
        <v>1680</v>
      </c>
    </row>
    <row r="8" customFormat="false" ht="15" hidden="false" customHeight="false" outlineLevel="0" collapsed="false">
      <c r="A8" s="12" t="n">
        <v>3</v>
      </c>
      <c r="B8" s="13" t="n">
        <f aca="false">Years_n-A8+Credit_M</f>
        <v>13</v>
      </c>
      <c r="C8" s="19" t="n">
        <f aca="false">IF(B8&gt;0,LOG(Slope_s*B8/Cost_r,2),A8)</f>
        <v>3.39406576653264</v>
      </c>
      <c r="D8" s="19" t="n">
        <f aca="false">MIN(A8+1,MAX(A8,C8))</f>
        <v>3.39406576653264</v>
      </c>
      <c r="E8" s="20" t="n">
        <f aca="false">Const_c+S_max*(1-2^(-(MIN(1,D8))))+S_max*(1-2^(-(MIN(2,D8))))+S_max*(1-2^(-(MIN(3,D8))))+S_max*(1-2^(-(MIN(4,D8))))+S_max*(1-2^(-(MIN(5,D8))))+S_max*(1-2^(-(MIN(6,D8))))-Cost_r*D8+Credit_M*S_max*(1-2^(-(D8)))</f>
        <v>1687.08870310941</v>
      </c>
    </row>
    <row r="9" customFormat="false" ht="15" hidden="false" customHeight="false" outlineLevel="0" collapsed="false">
      <c r="A9" s="12" t="n">
        <v>4</v>
      </c>
      <c r="B9" s="13" t="n">
        <f aca="false">Years_n-A9+Credit_M</f>
        <v>12</v>
      </c>
      <c r="C9" s="19" t="n">
        <f aca="false">IF(B9&gt;0,LOG(Slope_s*B9/Cost_r,2),A9)</f>
        <v>3.27858854911271</v>
      </c>
      <c r="D9" s="19" t="n">
        <f aca="false">MIN(A9+1,MAX(A9,C9))</f>
        <v>4</v>
      </c>
      <c r="E9" s="20" t="n">
        <f aca="false">Const_c+S_max*(1-2^(-(MIN(1,D9))))+S_max*(1-2^(-(MIN(2,D9))))+S_max*(1-2^(-(MIN(3,D9))))+S_max*(1-2^(-(MIN(4,D9))))+S_max*(1-2^(-(MIN(5,D9))))+S_max*(1-2^(-(MIN(6,D9))))-Cost_r*D9+Credit_M*S_max*(1-2^(-(D9)))</f>
        <v>1673.75</v>
      </c>
    </row>
    <row r="10" customFormat="false" ht="15" hidden="false" customHeight="false" outlineLevel="0" collapsed="false">
      <c r="A10" s="12" t="n">
        <v>5</v>
      </c>
      <c r="B10" s="13" t="n">
        <f aca="false">Years_n-A10+Credit_M</f>
        <v>11</v>
      </c>
      <c r="C10" s="19" t="n">
        <f aca="false">IF(B10&gt;0,LOG(Slope_s*B10/Cost_r,2),A10)</f>
        <v>3.15305766702885</v>
      </c>
      <c r="D10" s="19" t="n">
        <f aca="false">MIN(A10+1,MAX(A10,C10))</f>
        <v>5</v>
      </c>
      <c r="E10" s="20" t="n">
        <f aca="false">Const_c+S_max*(1-2^(-(MIN(1,D10))))+S_max*(1-2^(-(MIN(2,D10))))+S_max*(1-2^(-(MIN(3,D10))))+S_max*(1-2^(-(MIN(4,D10))))+S_max*(1-2^(-(MIN(5,D10))))+S_max*(1-2^(-(MIN(6,D10))))-Cost_r*D10+Credit_M*S_max*(1-2^(-(D10)))</f>
        <v>1606.25</v>
      </c>
    </row>
    <row r="11" customFormat="false" ht="15" hidden="false" customHeight="false" outlineLevel="0" collapsed="false">
      <c r="A11" s="12" t="n">
        <v>6</v>
      </c>
      <c r="B11" s="13" t="n">
        <f aca="false">Years_n-A11+Credit_M</f>
        <v>10</v>
      </c>
      <c r="C11" s="19" t="n">
        <f aca="false">IF(B11&gt;0,LOG(Slope_s*B11/Cost_r,2),A11)</f>
        <v>3.01555414327891</v>
      </c>
      <c r="D11" s="19" t="n">
        <f aca="false">Years_n</f>
        <v>6</v>
      </c>
      <c r="E11" s="20" t="n">
        <f aca="false">Const_c+S_max*(1-2^(-(MIN(1,D11))))+S_max*(1-2^(-(MIN(2,D11))))+S_max*(1-2^(-(MIN(3,D11))))+S_max*(1-2^(-(MIN(4,D11))))+S_max*(1-2^(-(MIN(5,D11))))+S_max*(1-2^(-(MIN(6,D11))))-Cost_r*D11+Credit_M*S_max*(1-2^(-(D11)))</f>
        <v>1510.3125</v>
      </c>
    </row>
    <row r="12" customFormat="false" ht="15" hidden="false" customHeight="false" outlineLevel="0" collapsed="false">
      <c r="A12" s="2" t="s">
        <v>174</v>
      </c>
      <c r="B12" s="21" t="n">
        <f aca="false">MAX(E5:E11)</f>
        <v>1687.08870310941</v>
      </c>
    </row>
    <row r="13" customFormat="false" ht="15" hidden="false" customHeight="false" outlineLevel="0" collapsed="false">
      <c r="A13" s="2" t="s">
        <v>175</v>
      </c>
      <c r="B13" s="22" t="n">
        <f aca="false">INDEX(D5:D11,MATCH(B12,E5:E11,0))</f>
        <v>3.39406576653264</v>
      </c>
    </row>
    <row r="14" customFormat="false" ht="15" hidden="false" customHeight="false" outlineLevel="0" collapsed="false">
      <c r="A14" s="2" t="s">
        <v>176</v>
      </c>
      <c r="B14" s="18" t="n">
        <f aca="false">Slope_s*(Years_n-3+Credit_M)/Cost_r</f>
        <v>10.5127322384925</v>
      </c>
    </row>
    <row r="16" customFormat="false" ht="15" hidden="false" customHeight="false" outlineLevel="0" collapsed="false">
      <c r="A16" s="8" t="s">
        <v>177</v>
      </c>
      <c r="B16" s="8"/>
      <c r="C16" s="8" t="s">
        <v>178</v>
      </c>
      <c r="D16" s="8" t="s">
        <v>179</v>
      </c>
      <c r="E16" s="8" t="s">
        <v>180</v>
      </c>
      <c r="F16" s="8" t="s">
        <v>181</v>
      </c>
      <c r="G16" s="8" t="s">
        <v>182</v>
      </c>
      <c r="H16" s="8" t="s">
        <v>183</v>
      </c>
    </row>
    <row r="17" customFormat="false" ht="15" hidden="false" customHeight="false" outlineLevel="0" collapsed="false">
      <c r="A17" s="2" t="s">
        <v>184</v>
      </c>
      <c r="C17" s="12" t="n">
        <v>1</v>
      </c>
      <c r="D17" s="12" t="n">
        <v>2</v>
      </c>
      <c r="E17" s="12" t="n">
        <v>3</v>
      </c>
      <c r="F17" s="12" t="n">
        <v>4</v>
      </c>
      <c r="G17" s="12" t="n">
        <v>5</v>
      </c>
      <c r="H17" s="12" t="n">
        <v>6</v>
      </c>
    </row>
    <row r="18" customFormat="false" ht="15" hidden="false" customHeight="false" outlineLevel="0" collapsed="false">
      <c r="A18" s="2" t="s">
        <v>185</v>
      </c>
      <c r="C18" s="18" t="n">
        <f aca="false">MIN(1,MAX(0,$B$13-(C17-1)))</f>
        <v>1</v>
      </c>
      <c r="D18" s="18" t="n">
        <f aca="false">MIN(1,MAX(0,$B$13-(D17-1)))</f>
        <v>1</v>
      </c>
      <c r="E18" s="18" t="n">
        <f aca="false">MIN(1,MAX(0,$B$13-(E17-1)))</f>
        <v>1</v>
      </c>
      <c r="F18" s="18" t="n">
        <f aca="false">MIN(1,MAX(0,$B$13-(F17-1)))</f>
        <v>0.394065766532643</v>
      </c>
      <c r="G18" s="18" t="n">
        <f aca="false">MIN(1,MAX(0,$B$13-(G17-1)))</f>
        <v>0</v>
      </c>
      <c r="H18" s="18" t="n">
        <f aca="false">MIN(1,MAX(0,$B$13-(H17-1)))</f>
        <v>0</v>
      </c>
    </row>
    <row r="19" customFormat="false" ht="15" hidden="false" customHeight="false" outlineLevel="0" collapsed="false">
      <c r="A19" s="2" t="s">
        <v>186</v>
      </c>
      <c r="C19" s="18" t="n">
        <f aca="false">MIN(C17,$B$13)</f>
        <v>1</v>
      </c>
      <c r="D19" s="18" t="n">
        <f aca="false">MIN(D17,$B$13)</f>
        <v>2</v>
      </c>
      <c r="E19" s="18" t="n">
        <f aca="false">MIN(E17,$B$13)</f>
        <v>3</v>
      </c>
      <c r="F19" s="18" t="n">
        <f aca="false">MIN(F17,$B$13)</f>
        <v>3.39406576653264</v>
      </c>
      <c r="G19" s="18" t="n">
        <f aca="false">MIN(G17,$B$13)</f>
        <v>3.39406576653264</v>
      </c>
      <c r="H19" s="18" t="n">
        <f aca="false">MIN(H17,$B$13)</f>
        <v>3.39406576653264</v>
      </c>
    </row>
    <row r="20" customFormat="false" ht="15" hidden="false" customHeight="false" outlineLevel="0" collapsed="false">
      <c r="A20" s="2" t="s">
        <v>187</v>
      </c>
      <c r="C20" s="13" t="n">
        <f aca="false">S_max*(1-2^(-(C19)))</f>
        <v>70</v>
      </c>
      <c r="D20" s="13" t="n">
        <f aca="false">S_max*(1-2^(-(D19)))</f>
        <v>105</v>
      </c>
      <c r="E20" s="13" t="n">
        <f aca="false">S_max*(1-2^(-(E19)))</f>
        <v>122.5</v>
      </c>
      <c r="F20" s="13" t="n">
        <f aca="false">S_max*(1-2^(-(F19)))</f>
        <v>126.682815007179</v>
      </c>
      <c r="G20" s="13" t="n">
        <f aca="false">S_max*(1-2^(-(G19)))</f>
        <v>126.682815007179</v>
      </c>
      <c r="H20" s="13" t="n">
        <f aca="false">S_max*(1-2^(-(H19)))</f>
        <v>126.682815007179</v>
      </c>
    </row>
    <row r="21" customFormat="false" ht="15" hidden="false" customHeight="false" outlineLevel="0" collapsed="false">
      <c r="A21" s="2" t="s">
        <v>188</v>
      </c>
      <c r="C21" s="13" t="n">
        <f aca="false">Slope_s*2^(-C19)</f>
        <v>48.5203026391962</v>
      </c>
      <c r="D21" s="13" t="n">
        <f aca="false">Slope_s*2^(-D19)</f>
        <v>24.2601513195981</v>
      </c>
      <c r="E21" s="13" t="n">
        <f aca="false">Slope_s*2^(-E19)</f>
        <v>12.130075659799</v>
      </c>
      <c r="F21" s="13" t="n">
        <f aca="false">Slope_s*2^(-F19)</f>
        <v>9.23076923076923</v>
      </c>
      <c r="G21" s="13" t="n">
        <f aca="false">Slope_s*2^(-G19)</f>
        <v>9.23076923076923</v>
      </c>
      <c r="H21" s="13" t="n">
        <f aca="false">Slope_s*2^(-H19)</f>
        <v>9.23076923076923</v>
      </c>
    </row>
    <row r="22" customFormat="false" ht="15" hidden="false" customHeight="false" outlineLevel="0" collapsed="false">
      <c r="A22" s="2" t="s">
        <v>189</v>
      </c>
      <c r="C22" s="13" t="n">
        <f aca="false">SUM(C21:$H21)+Credit_M*$H21</f>
        <v>204.910529618593</v>
      </c>
      <c r="D22" s="13" t="n">
        <f aca="false">SUM(D21:$H21)+Credit_M*$H21</f>
        <v>156.390226979397</v>
      </c>
      <c r="E22" s="13" t="n">
        <f aca="false">SUM(E21:$H21)+Credit_M*$H21</f>
        <v>132.130075659799</v>
      </c>
      <c r="F22" s="13" t="n">
        <f aca="false">SUM(F21:$H21)+Credit_M*$H21</f>
        <v>120</v>
      </c>
      <c r="G22" s="13" t="n">
        <f aca="false">SUM(G21:$H21)+Credit_M*$H21</f>
        <v>110.769230769231</v>
      </c>
      <c r="H22" s="13" t="n">
        <f aca="false">SUM(H21:$H21)+Credit_M*$H21</f>
        <v>101.538461538462</v>
      </c>
    </row>
    <row r="23" customFormat="false" ht="15" hidden="false" customHeight="false" outlineLevel="0" collapsed="false">
      <c r="A23" s="2" t="s">
        <v>190</v>
      </c>
      <c r="C23" s="13" t="n">
        <f aca="false">IF(C18&gt;=1-0.000000001,C22-Cost_r,0)</f>
        <v>84.9105296185933</v>
      </c>
      <c r="D23" s="13" t="n">
        <f aca="false">IF(D18&gt;=1-0.000000001,D22-Cost_r,0)</f>
        <v>36.3902269793971</v>
      </c>
      <c r="E23" s="13" t="n">
        <f aca="false">IF(E18&gt;=1-0.000000001,E22-Cost_r,0)</f>
        <v>12.130075659799</v>
      </c>
      <c r="F23" s="13" t="n">
        <f aca="false">IF(F18&gt;=1-0.000000001,F22-Cost_r,0)</f>
        <v>0</v>
      </c>
      <c r="G23" s="13" t="n">
        <f aca="false">IF(G18&gt;=1-0.000000001,G22-Cost_r,0)</f>
        <v>0</v>
      </c>
      <c r="H23" s="13" t="n">
        <f aca="false">IF(H18&gt;=1-0.000000001,H22-Cost_r,0)</f>
        <v>0</v>
      </c>
    </row>
    <row r="24" customFormat="false" ht="15" hidden="false" customHeight="false" outlineLevel="0" collapsed="false">
      <c r="A24" s="2" t="s">
        <v>191</v>
      </c>
      <c r="C24" s="13" t="n">
        <f aca="false">IF(C18&lt;=0.000000001,Cost_r-C22,0)</f>
        <v>0</v>
      </c>
      <c r="D24" s="13" t="n">
        <f aca="false">IF(D18&lt;=0.000000001,Cost_r-D22,0)</f>
        <v>0</v>
      </c>
      <c r="E24" s="13" t="n">
        <f aca="false">IF(E18&lt;=0.000000001,Cost_r-E22,0)</f>
        <v>0</v>
      </c>
      <c r="F24" s="13" t="n">
        <f aca="false">IF(F18&lt;=0.000000001,Cost_r-F22,0)</f>
        <v>0</v>
      </c>
      <c r="G24" s="13" t="n">
        <f aca="false">IF(G18&lt;=0.000000001,Cost_r-G22,0)</f>
        <v>9.23076923076926</v>
      </c>
      <c r="H24" s="13" t="n">
        <f aca="false">IF(H18&lt;=0.000000001,Cost_r-H22,0)</f>
        <v>18.4615384615385</v>
      </c>
    </row>
    <row r="25" customFormat="false" ht="15" hidden="false" customHeight="false" outlineLevel="0" collapsed="false">
      <c r="A25" s="2" t="s">
        <v>192</v>
      </c>
      <c r="C25" s="16" t="n">
        <f aca="false">C22-Cost_r-C23+C24</f>
        <v>0</v>
      </c>
      <c r="D25" s="16" t="n">
        <f aca="false">D22-Cost_r-D23+D24</f>
        <v>0</v>
      </c>
      <c r="E25" s="16" t="n">
        <f aca="false">E22-Cost_r-E23+E24</f>
        <v>0</v>
      </c>
      <c r="F25" s="16" t="n">
        <f aca="false">F22-Cost_r-F23+F24</f>
        <v>0</v>
      </c>
      <c r="G25" s="16" t="n">
        <f aca="false">G22-Cost_r-G23+G24</f>
        <v>0</v>
      </c>
      <c r="H25" s="16" t="n">
        <f aca="false">H22-Cost_r-H23+H24</f>
        <v>0</v>
      </c>
    </row>
    <row r="26" customFormat="false" ht="15" hidden="false" customHeight="false" outlineLevel="0" collapsed="false">
      <c r="A26" s="2" t="s">
        <v>193</v>
      </c>
      <c r="C26" s="16" t="n">
        <f aca="false">C23*(1-C18)+C24*C18</f>
        <v>0</v>
      </c>
      <c r="D26" s="16" t="n">
        <f aca="false">D23*(1-D18)+D24*D18</f>
        <v>0</v>
      </c>
      <c r="E26" s="16" t="n">
        <f aca="false">E23*(1-E18)+E24*E18</f>
        <v>0</v>
      </c>
      <c r="F26" s="16" t="n">
        <f aca="false">F23*(1-F18)+F24*F18</f>
        <v>0</v>
      </c>
      <c r="G26" s="16" t="n">
        <f aca="false">G23*(1-G18)+G24*G18</f>
        <v>0</v>
      </c>
      <c r="H26" s="16" t="n">
        <f aca="false">H23*(1-H18)+H24*H18</f>
        <v>0</v>
      </c>
    </row>
    <row r="27" customFormat="false" ht="15" hidden="false" customHeight="false" outlineLevel="0" collapsed="false">
      <c r="A27" s="2" t="s">
        <v>194</v>
      </c>
      <c r="C27" s="13" t="n">
        <f aca="false">Liq_now-Cost_r*C18</f>
        <v>500</v>
      </c>
      <c r="D27" s="13" t="n">
        <f aca="false">C28-Cost_r*D18</f>
        <v>450</v>
      </c>
      <c r="E27" s="13" t="n">
        <f aca="false">D28-Cost_r*E18</f>
        <v>435</v>
      </c>
      <c r="F27" s="13" t="n">
        <f aca="false">E28-Cost_r*F18</f>
        <v>510.212108016083</v>
      </c>
      <c r="G27" s="13" t="n">
        <f aca="false">F28-Cost_r*G18</f>
        <v>636.894923023262</v>
      </c>
      <c r="H27" s="13" t="n">
        <f aca="false">G28-Cost_r*H18</f>
        <v>763.57773803044</v>
      </c>
    </row>
    <row r="28" customFormat="false" ht="15" hidden="false" customHeight="false" outlineLevel="0" collapsed="false">
      <c r="A28" s="2" t="s">
        <v>195</v>
      </c>
      <c r="C28" s="13" t="n">
        <f aca="false">C27+C20</f>
        <v>570</v>
      </c>
      <c r="D28" s="13" t="n">
        <f aca="false">D27+D20</f>
        <v>555</v>
      </c>
      <c r="E28" s="13" t="n">
        <f aca="false">E27+E20</f>
        <v>557.5</v>
      </c>
      <c r="F28" s="13" t="n">
        <f aca="false">F27+F20</f>
        <v>636.894923023262</v>
      </c>
      <c r="G28" s="13" t="n">
        <f aca="false">G27+G20</f>
        <v>763.57773803044</v>
      </c>
      <c r="H28" s="13" t="n">
        <f aca="false">H27+H20</f>
        <v>890.260553037619</v>
      </c>
    </row>
    <row r="29" customFormat="false" ht="15" hidden="false" customHeight="false" outlineLevel="0" collapsed="false">
      <c r="A29" s="2" t="s">
        <v>196</v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f aca="false">H28-Q_end</f>
        <v>420.260553037619</v>
      </c>
    </row>
    <row r="30" customFormat="false" ht="15" hidden="false" customHeight="false" outlineLevel="0" collapsed="false">
      <c r="A30" s="2" t="s">
        <v>197</v>
      </c>
      <c r="C30" s="13" t="n">
        <f aca="false">C28-C29</f>
        <v>570</v>
      </c>
      <c r="D30" s="13" t="n">
        <f aca="false">D28-D29</f>
        <v>555</v>
      </c>
      <c r="E30" s="13" t="n">
        <f aca="false">E28-E29</f>
        <v>557.5</v>
      </c>
      <c r="F30" s="13" t="n">
        <f aca="false">F28-F29</f>
        <v>636.894923023262</v>
      </c>
      <c r="G30" s="13" t="n">
        <f aca="false">G28-G29</f>
        <v>763.57773803044</v>
      </c>
      <c r="H30" s="13" t="n">
        <f aca="false">H28-H29</f>
        <v>470</v>
      </c>
    </row>
    <row r="32" customFormat="false" ht="15" hidden="false" customHeight="false" outlineLevel="0" collapsed="false">
      <c r="A32" s="2" t="s">
        <v>198</v>
      </c>
      <c r="C32" s="13" t="n">
        <f aca="false">SUM(C29:H29)</f>
        <v>420.260553037619</v>
      </c>
    </row>
    <row r="33" customFormat="false" ht="15" hidden="false" customHeight="false" outlineLevel="0" collapsed="false">
      <c r="A33" s="2" t="s">
        <v>199</v>
      </c>
      <c r="C33" s="20" t="n">
        <f aca="false">C32+Credit_M*H20</f>
        <v>1687.08870310941</v>
      </c>
    </row>
    <row r="34" customFormat="false" ht="15" hidden="false" customHeight="false" outlineLevel="0" collapsed="false">
      <c r="A34" s="2" t="s">
        <v>200</v>
      </c>
      <c r="C34" s="13" t="n">
        <f aca="false">MIN(MIN(C27:H27),MIN(C30:H30))-Floor_q</f>
        <v>85</v>
      </c>
    </row>
    <row r="35" customFormat="false" ht="15" hidden="false" customHeight="false" outlineLevel="0" collapsed="false">
      <c r="A35" s="2" t="s">
        <v>201</v>
      </c>
      <c r="C35" s="13" t="n">
        <f aca="false">H30-Q_end</f>
        <v>0</v>
      </c>
    </row>
    <row r="36" customFormat="false" ht="15" hidden="false" customHeight="false" outlineLevel="0" collapsed="false">
      <c r="A36" s="2" t="s">
        <v>202</v>
      </c>
      <c r="C36" s="13" t="n">
        <f aca="false">MIN(C23:H24)</f>
        <v>0</v>
      </c>
    </row>
    <row r="37" customFormat="false" ht="15" hidden="false" customHeight="false" outlineLevel="0" collapsed="false">
      <c r="A37" s="2" t="s">
        <v>203</v>
      </c>
      <c r="C37" s="16" t="n">
        <f aca="false">MAX(C26:H26)</f>
        <v>0</v>
      </c>
    </row>
    <row r="38" customFormat="false" ht="15" hidden="false" customHeight="false" outlineLevel="0" collapsed="false">
      <c r="A38" s="2" t="s">
        <v>204</v>
      </c>
      <c r="C38" s="16" t="n">
        <f aca="false">MAX(MAX(C25:H25),-MIN(C25:H25))</f>
        <v>-0</v>
      </c>
    </row>
    <row r="39" customFormat="false" ht="15" hidden="false" customHeight="false" outlineLevel="0" collapsed="false">
      <c r="A39" s="2" t="s">
        <v>205</v>
      </c>
      <c r="C39" s="20" t="n">
        <f aca="false">C33+SUMPRODUCT(C23:H23,1-C18:H18)+SUMPRODUCT(C24:H24,C18:H18)</f>
        <v>1687.08870310941</v>
      </c>
    </row>
    <row r="41" customFormat="false" ht="15" hidden="false" customHeight="false" outlineLevel="0" collapsed="false">
      <c r="A41" s="2" t="s">
        <v>206</v>
      </c>
      <c r="C41" s="18" t="n">
        <f aca="false">LOG((1+Credit_M)*Slope_s/Cost_r,2)</f>
        <v>3.15305766702885</v>
      </c>
    </row>
    <row r="42" customFormat="false" ht="15" hidden="false" customHeight="false" outlineLevel="0" collapsed="false">
      <c r="A42" s="2" t="s">
        <v>207</v>
      </c>
      <c r="C42" s="17" t="n">
        <f aca="false">Const_c+(Years_n-1)*S_max+(1+Credit_M)*S_max*(1-2^(-(C41)))-Cost_r*C41</f>
        <v>1838.50967504986</v>
      </c>
    </row>
    <row r="44" customFormat="false" ht="15" hidden="false" customHeight="false" outlineLevel="0" collapsed="false">
      <c r="A44" s="8" t="s">
        <v>208</v>
      </c>
      <c r="B44" s="8"/>
      <c r="C44" s="8" t="s">
        <v>178</v>
      </c>
      <c r="D44" s="8" t="s">
        <v>179</v>
      </c>
      <c r="E44" s="8" t="s">
        <v>180</v>
      </c>
      <c r="F44" s="8" t="s">
        <v>181</v>
      </c>
      <c r="G44" s="8" t="s">
        <v>182</v>
      </c>
      <c r="H44" s="8" t="s">
        <v>183</v>
      </c>
    </row>
    <row r="45" customFormat="false" ht="15" hidden="false" customHeight="false" outlineLevel="0" collapsed="false">
      <c r="A45" s="2" t="s">
        <v>155</v>
      </c>
      <c r="C45" s="23" t="n">
        <v>0.99999999882229</v>
      </c>
      <c r="D45" s="23" t="n">
        <v>0.99999999725201</v>
      </c>
      <c r="E45" s="23" t="n">
        <v>0.999999991756028</v>
      </c>
      <c r="F45" s="23" t="n">
        <v>0.394065760929097</v>
      </c>
      <c r="G45" s="23" t="n">
        <v>1.08333330512921E-008</v>
      </c>
      <c r="H45" s="23" t="n">
        <v>5.4166665858723E-009</v>
      </c>
    </row>
    <row r="46" customFormat="false" ht="15" hidden="false" customHeight="false" outlineLevel="0" collapsed="false">
      <c r="A46" s="2" t="s">
        <v>209</v>
      </c>
      <c r="C46" s="24" t="n">
        <v>84.9105278028079</v>
      </c>
      <c r="D46" s="24" t="n">
        <v>36.3902276714147</v>
      </c>
      <c r="E46" s="24" t="n">
        <v>12.1300757271147</v>
      </c>
      <c r="F46" s="24" t="n">
        <v>1.65034410587745E-007</v>
      </c>
      <c r="G46" s="24" t="n">
        <v>1.00000001083333E-007</v>
      </c>
      <c r="H46" s="24" t="n">
        <v>1.00000000541667E-007</v>
      </c>
    </row>
    <row r="47" customFormat="false" ht="15" hidden="false" customHeight="false" outlineLevel="0" collapsed="false">
      <c r="A47" s="2" t="s">
        <v>210</v>
      </c>
      <c r="C47" s="24" t="n">
        <v>1.00000000117771E-007</v>
      </c>
      <c r="D47" s="24" t="n">
        <v>1.00000000274799E-007</v>
      </c>
      <c r="E47" s="24" t="n">
        <v>1.00000000824397E-007</v>
      </c>
      <c r="F47" s="24" t="n">
        <v>2.53764751761807E-007</v>
      </c>
      <c r="G47" s="24" t="n">
        <v>9.23076947108837</v>
      </c>
      <c r="H47" s="24" t="n">
        <v>18.4615387369086</v>
      </c>
    </row>
    <row r="48" customFormat="false" ht="15" hidden="false" customHeight="false" outlineLevel="0" collapsed="false">
      <c r="A48" s="2" t="s">
        <v>211</v>
      </c>
      <c r="C48" s="16" t="n">
        <f aca="false">ABS(C46-C23)</f>
        <v>1.81578541003091E-006</v>
      </c>
      <c r="D48" s="16" t="n">
        <f aca="false">ABS(D46-D23)</f>
        <v>6.92017557923919E-007</v>
      </c>
      <c r="E48" s="16" t="n">
        <f aca="false">ABS(E46-E23)</f>
        <v>6.73157209973851E-008</v>
      </c>
      <c r="F48" s="16" t="n">
        <f aca="false">ABS(F46-F23)</f>
        <v>1.65034410587745E-007</v>
      </c>
      <c r="G48" s="16" t="n">
        <f aca="false">ABS(G46-G23)</f>
        <v>1.00000001083333E-007</v>
      </c>
      <c r="H48" s="16" t="n">
        <f aca="false">ABS(H46-H23)</f>
        <v>1.00000000541667E-007</v>
      </c>
    </row>
    <row r="49" customFormat="false" ht="15" hidden="false" customHeight="false" outlineLevel="0" collapsed="false">
      <c r="A49" s="2" t="s">
        <v>212</v>
      </c>
      <c r="C49" s="16" t="n">
        <f aca="false">ABS(C47-C24)</f>
        <v>1.00000000117771E-007</v>
      </c>
      <c r="D49" s="16" t="n">
        <f aca="false">ABS(D47-D24)</f>
        <v>1.00000000274799E-007</v>
      </c>
      <c r="E49" s="16" t="n">
        <f aca="false">ABS(E47-E24)</f>
        <v>1.00000000824397E-007</v>
      </c>
      <c r="F49" s="16" t="n">
        <f aca="false">ABS(F47-F24)</f>
        <v>2.53764751761807E-007</v>
      </c>
      <c r="G49" s="16" t="n">
        <f aca="false">ABS(G47-G24)</f>
        <v>2.40319117494892E-007</v>
      </c>
      <c r="H49" s="16" t="n">
        <f aca="false">ABS(H47-H24)</f>
        <v>2.75370137359232E-007</v>
      </c>
    </row>
    <row r="50" customFormat="false" ht="15" hidden="false" customHeight="false" outlineLevel="0" collapsed="false">
      <c r="A50" s="2" t="s">
        <v>213</v>
      </c>
      <c r="C50" s="16" t="n">
        <f aca="false">MAX(C48:H49)</f>
        <v>1.81578541003091E-006</v>
      </c>
    </row>
    <row r="51" customFormat="false" ht="15" hidden="false" customHeight="false" outlineLevel="0" collapsed="false">
      <c r="A51" s="2" t="s">
        <v>214</v>
      </c>
      <c r="C51" s="25" t="n">
        <v>1687.08870250941</v>
      </c>
    </row>
    <row r="52" customFormat="false" ht="15" hidden="false" customHeight="false" outlineLevel="0" collapsed="false">
      <c r="A52" s="2" t="s">
        <v>215</v>
      </c>
      <c r="C52" s="26" t="n">
        <v>1.00000034358539</v>
      </c>
    </row>
    <row r="53" customFormat="false" ht="15" hidden="false" customHeight="false" outlineLevel="0" collapsed="false">
      <c r="A53" s="2" t="s">
        <v>216</v>
      </c>
      <c r="C53" s="27" t="n">
        <v>1.77572388954261E-009</v>
      </c>
    </row>
    <row r="54" customFormat="false" ht="15" hidden="false" customHeight="false" outlineLevel="0" collapsed="false">
      <c r="A54" s="1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9"/>
    <col collapsed="false" customWidth="true" hidden="false" outlineLevel="0" max="15" min="9" style="0" width="10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2" min="22" style="0" width="10"/>
  </cols>
  <sheetData>
    <row r="1" customFormat="false" ht="1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10" t="s">
        <v>219</v>
      </c>
    </row>
    <row r="4" customFormat="false" ht="23.85" hidden="false" customHeight="false" outlineLevel="0" collapsed="false">
      <c r="A4" s="8" t="s">
        <v>220</v>
      </c>
      <c r="B4" s="8" t="s">
        <v>221</v>
      </c>
      <c r="C4" s="8" t="s">
        <v>222</v>
      </c>
      <c r="D4" s="8" t="s">
        <v>223</v>
      </c>
      <c r="E4" s="8" t="s">
        <v>224</v>
      </c>
      <c r="F4" s="8" t="s">
        <v>225</v>
      </c>
      <c r="G4" s="8" t="s">
        <v>226</v>
      </c>
      <c r="H4" s="8" t="s">
        <v>227</v>
      </c>
      <c r="I4" s="8" t="s">
        <v>228</v>
      </c>
      <c r="J4" s="8" t="s">
        <v>229</v>
      </c>
      <c r="K4" s="8" t="s">
        <v>230</v>
      </c>
      <c r="L4" s="8" t="s">
        <v>231</v>
      </c>
      <c r="M4" s="8" t="s">
        <v>232</v>
      </c>
      <c r="N4" s="8" t="s">
        <v>233</v>
      </c>
      <c r="O4" s="8" t="s">
        <v>234</v>
      </c>
      <c r="P4" s="8" t="s">
        <v>235</v>
      </c>
      <c r="Q4" s="8" t="s">
        <v>236</v>
      </c>
      <c r="R4" s="8" t="s">
        <v>237</v>
      </c>
      <c r="S4" s="8" t="s">
        <v>113</v>
      </c>
      <c r="T4" s="8" t="s">
        <v>238</v>
      </c>
      <c r="U4" s="8" t="s">
        <v>239</v>
      </c>
      <c r="V4" s="8" t="s">
        <v>240</v>
      </c>
    </row>
    <row r="5" customFormat="false" ht="15" hidden="false" customHeight="false" outlineLevel="0" collapsed="false">
      <c r="A5" s="9" t="n">
        <v>0</v>
      </c>
      <c r="B5" s="18" t="n">
        <f aca="false">MIN(1,MAX(0,LOG(Slope_s*(Years_n-0+$A5)/Cost_r,2)))</f>
        <v>1</v>
      </c>
      <c r="C5" s="18" t="n">
        <f aca="false">MIN(2,MAX(1,LOG(Slope_s*(Years_n-1+$A5)/Cost_r,2)))</f>
        <v>2</v>
      </c>
      <c r="D5" s="18" t="n">
        <f aca="false">MIN(3,MAX(2,LOG(Slope_s*(Years_n-2+$A5)/Cost_r,2)))</f>
        <v>2</v>
      </c>
      <c r="E5" s="18" t="n">
        <f aca="false">MIN(4,MAX(3,LOG(Slope_s*(Years_n-3+$A5)/Cost_r,2)))</f>
        <v>3</v>
      </c>
      <c r="F5" s="18" t="n">
        <f aca="false">MIN(5,MAX(4,LOG(Slope_s*(Years_n-4+$A5)/Cost_r,2)))</f>
        <v>4</v>
      </c>
      <c r="G5" s="18" t="n">
        <f aca="false">MIN(6,MAX(5,LOG(Slope_s*(Years_n-5+$A5)/Cost_r,2)))</f>
        <v>5</v>
      </c>
      <c r="H5" s="18" t="n">
        <f aca="false">Years_n</f>
        <v>6</v>
      </c>
      <c r="I5" s="17" t="n">
        <f aca="false">Const_c+S_max*(1-2^(-(MIN(1,B5))))+S_max*(1-2^(-(MIN(2,B5))))+S_max*(1-2^(-(MIN(3,B5))))+S_max*(1-2^(-(MIN(4,B5))))+S_max*(1-2^(-(MIN(5,B5))))+S_max*(1-2^(-(MIN(6,B5))))-Cost_r*B5+$A5*S_max*(1-2^(-(B5)))</f>
        <v>450</v>
      </c>
      <c r="J5" s="17" t="n">
        <f aca="false">Const_c+S_max*(1-2^(-(MIN(1,C5))))+S_max*(1-2^(-(MIN(2,C5))))+S_max*(1-2^(-(MIN(3,C5))))+S_max*(1-2^(-(MIN(4,C5))))+S_max*(1-2^(-(MIN(5,C5))))+S_max*(1-2^(-(MIN(6,C5))))-Cost_r*C5+$A5*S_max*(1-2^(-(C5)))</f>
        <v>505</v>
      </c>
      <c r="K5" s="17" t="n">
        <f aca="false">Const_c+S_max*(1-2^(-(MIN(1,D5))))+S_max*(1-2^(-(MIN(2,D5))))+S_max*(1-2^(-(MIN(3,D5))))+S_max*(1-2^(-(MIN(4,D5))))+S_max*(1-2^(-(MIN(5,D5))))+S_max*(1-2^(-(MIN(6,D5))))-Cost_r*D5+$A5*S_max*(1-2^(-(D5)))</f>
        <v>505</v>
      </c>
      <c r="L5" s="17" t="n">
        <f aca="false">Const_c+S_max*(1-2^(-(MIN(1,E5))))+S_max*(1-2^(-(MIN(2,E5))))+S_max*(1-2^(-(MIN(3,E5))))+S_max*(1-2^(-(MIN(4,E5))))+S_max*(1-2^(-(MIN(5,E5))))+S_max*(1-2^(-(MIN(6,E5))))-Cost_r*E5+$A5*S_max*(1-2^(-(E5)))</f>
        <v>455</v>
      </c>
      <c r="M5" s="17" t="n">
        <f aca="false">Const_c+S_max*(1-2^(-(MIN(1,F5))))+S_max*(1-2^(-(MIN(2,F5))))+S_max*(1-2^(-(MIN(3,F5))))+S_max*(1-2^(-(MIN(4,F5))))+S_max*(1-2^(-(MIN(5,F5))))+S_max*(1-2^(-(MIN(6,F5))))-Cost_r*F5+$A5*S_max*(1-2^(-(F5)))</f>
        <v>361.25</v>
      </c>
      <c r="N5" s="17" t="n">
        <f aca="false">Const_c+S_max*(1-2^(-(MIN(1,G5))))+S_max*(1-2^(-(MIN(2,G5))))+S_max*(1-2^(-(MIN(3,G5))))+S_max*(1-2^(-(MIN(4,G5))))+S_max*(1-2^(-(MIN(5,G5))))+S_max*(1-2^(-(MIN(6,G5))))-Cost_r*G5+$A5*S_max*(1-2^(-(G5)))</f>
        <v>250</v>
      </c>
      <c r="O5" s="17" t="n">
        <f aca="false">Const_c+S_max*(1-2^(-(MIN(1,H5))))+S_max*(1-2^(-(MIN(2,H5))))+S_max*(1-2^(-(MIN(3,H5))))+S_max*(1-2^(-(MIN(4,H5))))+S_max*(1-2^(-(MIN(5,H5))))+S_max*(1-2^(-(MIN(6,H5))))-Cost_r*H5+$A5*S_max*(1-2^(-(H5)))</f>
        <v>132.1875</v>
      </c>
      <c r="P5" s="28" t="n">
        <f aca="false">MAX(I5:O5)</f>
        <v>505</v>
      </c>
      <c r="Q5" s="13" t="n">
        <f aca="false">INDEX(B5:H5,MATCH(P5,I5:O5,0))</f>
        <v>2</v>
      </c>
      <c r="R5" s="29" t="n">
        <f aca="false">LumpyPlans!AR82</f>
        <v>505</v>
      </c>
      <c r="S5" s="30" t="n">
        <f aca="false">LumpyPlans!AR83</f>
        <v>2</v>
      </c>
      <c r="T5" s="13" t="n">
        <f aca="false">P5-R5</f>
        <v>0</v>
      </c>
      <c r="U5" s="12" t="n">
        <f aca="false">INT(Q5+0.5)</f>
        <v>2</v>
      </c>
      <c r="V5" s="4" t="str">
        <f aca="false">IF(U5=S5,"right","wrong")</f>
        <v>right</v>
      </c>
    </row>
    <row r="6" customFormat="false" ht="15" hidden="false" customHeight="false" outlineLevel="0" collapsed="false">
      <c r="A6" s="9" t="n">
        <v>5</v>
      </c>
      <c r="B6" s="18" t="n">
        <f aca="false">MIN(1,MAX(0,LOG(Slope_s*(Years_n-0+$A6)/Cost_r,2)))</f>
        <v>1</v>
      </c>
      <c r="C6" s="18" t="n">
        <f aca="false">MIN(2,MAX(1,LOG(Slope_s*(Years_n-1+$A6)/Cost_r,2)))</f>
        <v>2</v>
      </c>
      <c r="D6" s="18" t="n">
        <f aca="false">MIN(3,MAX(2,LOG(Slope_s*(Years_n-2+$A6)/Cost_r,2)))</f>
        <v>2.86355104983386</v>
      </c>
      <c r="E6" s="18" t="n">
        <f aca="false">MIN(4,MAX(3,LOG(Slope_s*(Years_n-3+$A6)/Cost_r,2)))</f>
        <v>3</v>
      </c>
      <c r="F6" s="18" t="n">
        <f aca="false">MIN(5,MAX(4,LOG(Slope_s*(Years_n-4+$A6)/Cost_r,2)))</f>
        <v>4</v>
      </c>
      <c r="G6" s="18" t="n">
        <f aca="false">MIN(6,MAX(5,LOG(Slope_s*(Years_n-5+$A6)/Cost_r,2)))</f>
        <v>5</v>
      </c>
      <c r="H6" s="18" t="n">
        <f aca="false">Years_n</f>
        <v>6</v>
      </c>
      <c r="I6" s="17" t="n">
        <f aca="false">Const_c+S_max*(1-2^(-(MIN(1,B6))))+S_max*(1-2^(-(MIN(2,B6))))+S_max*(1-2^(-(MIN(3,B6))))+S_max*(1-2^(-(MIN(4,B6))))+S_max*(1-2^(-(MIN(5,B6))))+S_max*(1-2^(-(MIN(6,B6))))-Cost_r*B6+$A6*S_max*(1-2^(-(B6)))</f>
        <v>800</v>
      </c>
      <c r="J6" s="17" t="n">
        <f aca="false">Const_c+S_max*(1-2^(-(MIN(1,C6))))+S_max*(1-2^(-(MIN(2,C6))))+S_max*(1-2^(-(MIN(3,C6))))+S_max*(1-2^(-(MIN(4,C6))))+S_max*(1-2^(-(MIN(5,C6))))+S_max*(1-2^(-(MIN(6,C6))))-Cost_r*C6+$A6*S_max*(1-2^(-(C6)))</f>
        <v>1030</v>
      </c>
      <c r="K6" s="17" t="n">
        <f aca="false">Const_c+S_max*(1-2^(-(MIN(1,D6))))+S_max*(1-2^(-(MIN(2,D6))))+S_max*(1-2^(-(MIN(3,D6))))+S_max*(1-2^(-(MIN(4,D6))))+S_max*(1-2^(-(MIN(5,D6))))+S_max*(1-2^(-(MIN(6,D6))))-Cost_r*D6+$A6*S_max*(1-2^(-(D6)))</f>
        <v>1068.25046911326</v>
      </c>
      <c r="L6" s="17" t="n">
        <f aca="false">Const_c+S_max*(1-2^(-(MIN(1,E6))))+S_max*(1-2^(-(MIN(2,E6))))+S_max*(1-2^(-(MIN(3,E6))))+S_max*(1-2^(-(MIN(4,E6))))+S_max*(1-2^(-(MIN(5,E6))))+S_max*(1-2^(-(MIN(6,E6))))-Cost_r*E6+$A6*S_max*(1-2^(-(E6)))</f>
        <v>1067.5</v>
      </c>
      <c r="M6" s="17" t="n">
        <f aca="false">Const_c+S_max*(1-2^(-(MIN(1,F6))))+S_max*(1-2^(-(MIN(2,F6))))+S_max*(1-2^(-(MIN(3,F6))))+S_max*(1-2^(-(MIN(4,F6))))+S_max*(1-2^(-(MIN(5,F6))))+S_max*(1-2^(-(MIN(6,F6))))-Cost_r*F6+$A6*S_max*(1-2^(-(F6)))</f>
        <v>1017.5</v>
      </c>
      <c r="N6" s="17" t="n">
        <f aca="false">Const_c+S_max*(1-2^(-(MIN(1,G6))))+S_max*(1-2^(-(MIN(2,G6))))+S_max*(1-2^(-(MIN(3,G6))))+S_max*(1-2^(-(MIN(4,G6))))+S_max*(1-2^(-(MIN(5,G6))))+S_max*(1-2^(-(MIN(6,G6))))-Cost_r*G6+$A6*S_max*(1-2^(-(G6)))</f>
        <v>928.125</v>
      </c>
      <c r="O6" s="17" t="n">
        <f aca="false">Const_c+S_max*(1-2^(-(MIN(1,H6))))+S_max*(1-2^(-(MIN(2,H6))))+S_max*(1-2^(-(MIN(3,H6))))+S_max*(1-2^(-(MIN(4,H6))))+S_max*(1-2^(-(MIN(5,H6))))+S_max*(1-2^(-(MIN(6,H6))))-Cost_r*H6+$A6*S_max*(1-2^(-(H6)))</f>
        <v>821.25</v>
      </c>
      <c r="P6" s="28" t="n">
        <f aca="false">MAX(I6:O6)</f>
        <v>1068.25046911326</v>
      </c>
      <c r="Q6" s="13" t="n">
        <f aca="false">INDEX(B6:H6,MATCH(P6,I6:O6,0))</f>
        <v>2.86355104983386</v>
      </c>
      <c r="R6" s="29" t="n">
        <f aca="false">LumpyPlans!AS82</f>
        <v>1067.5</v>
      </c>
      <c r="S6" s="30" t="n">
        <f aca="false">LumpyPlans!AS83</f>
        <v>3</v>
      </c>
      <c r="T6" s="13" t="n">
        <f aca="false">P6-R6</f>
        <v>0.750469113260806</v>
      </c>
      <c r="U6" s="12" t="n">
        <f aca="false">INT(Q6+0.5)</f>
        <v>3</v>
      </c>
      <c r="V6" s="4" t="str">
        <f aca="false">IF(U6=S6,"right","wrong")</f>
        <v>right</v>
      </c>
    </row>
    <row r="7" customFormat="false" ht="15" hidden="false" customHeight="false" outlineLevel="0" collapsed="false">
      <c r="A7" s="9" t="n">
        <v>10</v>
      </c>
      <c r="B7" s="18" t="n">
        <f aca="false">MIN(1,MAX(0,LOG(Slope_s*(Years_n-0+$A7)/Cost_r,2)))</f>
        <v>1</v>
      </c>
      <c r="C7" s="18" t="n">
        <f aca="false">MIN(2,MAX(1,LOG(Slope_s*(Years_n-1+$A7)/Cost_r,2)))</f>
        <v>2</v>
      </c>
      <c r="D7" s="18" t="n">
        <f aca="false">MIN(3,MAX(2,LOG(Slope_s*(Years_n-2+$A7)/Cost_r,2)))</f>
        <v>3</v>
      </c>
      <c r="E7" s="18" t="n">
        <f aca="false">MIN(4,MAX(3,LOG(Slope_s*(Years_n-3+$A7)/Cost_r,2)))</f>
        <v>3.39406576653264</v>
      </c>
      <c r="F7" s="18" t="n">
        <f aca="false">MIN(5,MAX(4,LOG(Slope_s*(Years_n-4+$A7)/Cost_r,2)))</f>
        <v>4</v>
      </c>
      <c r="G7" s="18" t="n">
        <f aca="false">MIN(6,MAX(5,LOG(Slope_s*(Years_n-5+$A7)/Cost_r,2)))</f>
        <v>5</v>
      </c>
      <c r="H7" s="18" t="n">
        <f aca="false">Years_n</f>
        <v>6</v>
      </c>
      <c r="I7" s="17" t="n">
        <f aca="false">Const_c+S_max*(1-2^(-(MIN(1,B7))))+S_max*(1-2^(-(MIN(2,B7))))+S_max*(1-2^(-(MIN(3,B7))))+S_max*(1-2^(-(MIN(4,B7))))+S_max*(1-2^(-(MIN(5,B7))))+S_max*(1-2^(-(MIN(6,B7))))-Cost_r*B7+$A7*S_max*(1-2^(-(B7)))</f>
        <v>1150</v>
      </c>
      <c r="J7" s="17" t="n">
        <f aca="false">Const_c+S_max*(1-2^(-(MIN(1,C7))))+S_max*(1-2^(-(MIN(2,C7))))+S_max*(1-2^(-(MIN(3,C7))))+S_max*(1-2^(-(MIN(4,C7))))+S_max*(1-2^(-(MIN(5,C7))))+S_max*(1-2^(-(MIN(6,C7))))-Cost_r*C7+$A7*S_max*(1-2^(-(C7)))</f>
        <v>1555</v>
      </c>
      <c r="K7" s="17" t="n">
        <f aca="false">Const_c+S_max*(1-2^(-(MIN(1,D7))))+S_max*(1-2^(-(MIN(2,D7))))+S_max*(1-2^(-(MIN(3,D7))))+S_max*(1-2^(-(MIN(4,D7))))+S_max*(1-2^(-(MIN(5,D7))))+S_max*(1-2^(-(MIN(6,D7))))-Cost_r*D7+$A7*S_max*(1-2^(-(D7)))</f>
        <v>1680</v>
      </c>
      <c r="L7" s="17" t="n">
        <f aca="false">Const_c+S_max*(1-2^(-(MIN(1,E7))))+S_max*(1-2^(-(MIN(2,E7))))+S_max*(1-2^(-(MIN(3,E7))))+S_max*(1-2^(-(MIN(4,E7))))+S_max*(1-2^(-(MIN(5,E7))))+S_max*(1-2^(-(MIN(6,E7))))-Cost_r*E7+$A7*S_max*(1-2^(-(E7)))</f>
        <v>1687.08870310941</v>
      </c>
      <c r="M7" s="17" t="n">
        <f aca="false">Const_c+S_max*(1-2^(-(MIN(1,F7))))+S_max*(1-2^(-(MIN(2,F7))))+S_max*(1-2^(-(MIN(3,F7))))+S_max*(1-2^(-(MIN(4,F7))))+S_max*(1-2^(-(MIN(5,F7))))+S_max*(1-2^(-(MIN(6,F7))))-Cost_r*F7+$A7*S_max*(1-2^(-(F7)))</f>
        <v>1673.75</v>
      </c>
      <c r="N7" s="17" t="n">
        <f aca="false">Const_c+S_max*(1-2^(-(MIN(1,G7))))+S_max*(1-2^(-(MIN(2,G7))))+S_max*(1-2^(-(MIN(3,G7))))+S_max*(1-2^(-(MIN(4,G7))))+S_max*(1-2^(-(MIN(5,G7))))+S_max*(1-2^(-(MIN(6,G7))))-Cost_r*G7+$A7*S_max*(1-2^(-(G7)))</f>
        <v>1606.25</v>
      </c>
      <c r="O7" s="17" t="n">
        <f aca="false">Const_c+S_max*(1-2^(-(MIN(1,H7))))+S_max*(1-2^(-(MIN(2,H7))))+S_max*(1-2^(-(MIN(3,H7))))+S_max*(1-2^(-(MIN(4,H7))))+S_max*(1-2^(-(MIN(5,H7))))+S_max*(1-2^(-(MIN(6,H7))))-Cost_r*H7+$A7*S_max*(1-2^(-(H7)))</f>
        <v>1510.3125</v>
      </c>
      <c r="P7" s="28" t="n">
        <f aca="false">MAX(I7:O7)</f>
        <v>1687.08870310941</v>
      </c>
      <c r="Q7" s="13" t="n">
        <f aca="false">INDEX(B7:H7,MATCH(P7,I7:O7,0))</f>
        <v>3.39406576653264</v>
      </c>
      <c r="R7" s="29" t="n">
        <f aca="false">LumpyPlans!AT82</f>
        <v>1680</v>
      </c>
      <c r="S7" s="30" t="n">
        <f aca="false">LumpyPlans!AT83</f>
        <v>3</v>
      </c>
      <c r="T7" s="13" t="n">
        <f aca="false">P7-R7</f>
        <v>7.08870310940711</v>
      </c>
      <c r="U7" s="12" t="n">
        <f aca="false">INT(Q7+0.5)</f>
        <v>3</v>
      </c>
      <c r="V7" s="4" t="str">
        <f aca="false">IF(U7=S7,"right","wrong")</f>
        <v>right</v>
      </c>
    </row>
    <row r="8" customFormat="false" ht="15" hidden="false" customHeight="false" outlineLevel="0" collapsed="false">
      <c r="A8" s="9" t="n">
        <v>20</v>
      </c>
      <c r="B8" s="18" t="n">
        <f aca="false">MIN(1,MAX(0,LOG(Slope_s*(Years_n-0+$A8)/Cost_r,2)))</f>
        <v>1</v>
      </c>
      <c r="C8" s="18" t="n">
        <f aca="false">MIN(2,MAX(1,LOG(Slope_s*(Years_n-1+$A8)/Cost_r,2)))</f>
        <v>2</v>
      </c>
      <c r="D8" s="18" t="n">
        <f aca="false">MIN(3,MAX(2,LOG(Slope_s*(Years_n-2+$A8)/Cost_r,2)))</f>
        <v>3</v>
      </c>
      <c r="E8" s="18" t="n">
        <f aca="false">MIN(4,MAX(3,LOG(Slope_s*(Years_n-3+$A8)/Cost_r,2)))</f>
        <v>4</v>
      </c>
      <c r="F8" s="18" t="n">
        <f aca="false">MIN(5,MAX(4,LOG(Slope_s*(Years_n-4+$A8)/Cost_r,2)))</f>
        <v>4.15305766702885</v>
      </c>
      <c r="G8" s="18" t="n">
        <f aca="false">MIN(6,MAX(5,LOG(Slope_s*(Years_n-5+$A8)/Cost_r,2)))</f>
        <v>5</v>
      </c>
      <c r="H8" s="18" t="n">
        <f aca="false">Years_n</f>
        <v>6</v>
      </c>
      <c r="I8" s="17" t="n">
        <f aca="false">Const_c+S_max*(1-2^(-(MIN(1,B8))))+S_max*(1-2^(-(MIN(2,B8))))+S_max*(1-2^(-(MIN(3,B8))))+S_max*(1-2^(-(MIN(4,B8))))+S_max*(1-2^(-(MIN(5,B8))))+S_max*(1-2^(-(MIN(6,B8))))-Cost_r*B8+$A8*S_max*(1-2^(-(B8)))</f>
        <v>1850</v>
      </c>
      <c r="J8" s="17" t="n">
        <f aca="false">Const_c+S_max*(1-2^(-(MIN(1,C8))))+S_max*(1-2^(-(MIN(2,C8))))+S_max*(1-2^(-(MIN(3,C8))))+S_max*(1-2^(-(MIN(4,C8))))+S_max*(1-2^(-(MIN(5,C8))))+S_max*(1-2^(-(MIN(6,C8))))-Cost_r*C8+$A8*S_max*(1-2^(-(C8)))</f>
        <v>2605</v>
      </c>
      <c r="K8" s="17" t="n">
        <f aca="false">Const_c+S_max*(1-2^(-(MIN(1,D8))))+S_max*(1-2^(-(MIN(2,D8))))+S_max*(1-2^(-(MIN(3,D8))))+S_max*(1-2^(-(MIN(4,D8))))+S_max*(1-2^(-(MIN(5,D8))))+S_max*(1-2^(-(MIN(6,D8))))-Cost_r*D8+$A8*S_max*(1-2^(-(D8)))</f>
        <v>2905</v>
      </c>
      <c r="L8" s="17" t="n">
        <f aca="false">Const_c+S_max*(1-2^(-(MIN(1,E8))))+S_max*(1-2^(-(MIN(2,E8))))+S_max*(1-2^(-(MIN(3,E8))))+S_max*(1-2^(-(MIN(4,E8))))+S_max*(1-2^(-(MIN(5,E8))))+S_max*(1-2^(-(MIN(6,E8))))-Cost_r*E8+$A8*S_max*(1-2^(-(E8)))</f>
        <v>2986.25</v>
      </c>
      <c r="M8" s="17" t="n">
        <f aca="false">Const_c+S_max*(1-2^(-(MIN(1,F8))))+S_max*(1-2^(-(MIN(2,F8))))+S_max*(1-2^(-(MIN(3,F8))))+S_max*(1-2^(-(MIN(4,F8))))+S_max*(1-2^(-(MIN(5,F8))))+S_max*(1-2^(-(MIN(6,F8))))-Cost_r*F8+$A8*S_max*(1-2^(-(F8)))</f>
        <v>2987.25967504986</v>
      </c>
      <c r="N8" s="17" t="n">
        <f aca="false">Const_c+S_max*(1-2^(-(MIN(1,G8))))+S_max*(1-2^(-(MIN(2,G8))))+S_max*(1-2^(-(MIN(3,G8))))+S_max*(1-2^(-(MIN(4,G8))))+S_max*(1-2^(-(MIN(5,G8))))+S_max*(1-2^(-(MIN(6,G8))))-Cost_r*G8+$A8*S_max*(1-2^(-(G8)))</f>
        <v>2962.5</v>
      </c>
      <c r="O8" s="17" t="n">
        <f aca="false">Const_c+S_max*(1-2^(-(MIN(1,H8))))+S_max*(1-2^(-(MIN(2,H8))))+S_max*(1-2^(-(MIN(3,H8))))+S_max*(1-2^(-(MIN(4,H8))))+S_max*(1-2^(-(MIN(5,H8))))+S_max*(1-2^(-(MIN(6,H8))))-Cost_r*H8+$A8*S_max*(1-2^(-(H8)))</f>
        <v>2888.4375</v>
      </c>
      <c r="P8" s="28" t="n">
        <f aca="false">MAX(I8:O8)</f>
        <v>2987.25967504986</v>
      </c>
      <c r="Q8" s="13" t="n">
        <f aca="false">INDEX(B8:H8,MATCH(P8,I8:O8,0))</f>
        <v>4.15305766702885</v>
      </c>
      <c r="R8" s="29" t="n">
        <f aca="false">LumpyPlans!AU82</f>
        <v>2986.25</v>
      </c>
      <c r="S8" s="30" t="n">
        <f aca="false">LumpyPlans!AU83</f>
        <v>4</v>
      </c>
      <c r="T8" s="13" t="n">
        <f aca="false">P8-R8</f>
        <v>1.00967504986238</v>
      </c>
      <c r="U8" s="12" t="n">
        <f aca="false">INT(Q8+0.5)</f>
        <v>4</v>
      </c>
      <c r="V8" s="4" t="str">
        <f aca="false">IF(U8=S8,"right","wrong")</f>
        <v>right</v>
      </c>
    </row>
    <row r="9" customFormat="false" ht="15" hidden="false" customHeight="false" outlineLevel="0" collapsed="false">
      <c r="A9" s="9" t="n">
        <v>40</v>
      </c>
      <c r="B9" s="18" t="n">
        <f aca="false">MIN(1,MAX(0,LOG(Slope_s*(Years_n-0+$A9)/Cost_r,2)))</f>
        <v>1</v>
      </c>
      <c r="C9" s="18" t="n">
        <f aca="false">MIN(2,MAX(1,LOG(Slope_s*(Years_n-1+$A9)/Cost_r,2)))</f>
        <v>2</v>
      </c>
      <c r="D9" s="18" t="n">
        <f aca="false">MIN(3,MAX(2,LOG(Slope_s*(Years_n-2+$A9)/Cost_r,2)))</f>
        <v>3</v>
      </c>
      <c r="E9" s="18" t="n">
        <f aca="false">MIN(4,MAX(3,LOG(Slope_s*(Years_n-3+$A9)/Cost_r,2)))</f>
        <v>4</v>
      </c>
      <c r="F9" s="18" t="n">
        <f aca="false">MIN(5,MAX(4,LOG(Slope_s*(Years_n-4+$A9)/Cost_r,2)))</f>
        <v>5</v>
      </c>
      <c r="G9" s="18" t="n">
        <f aca="false">MIN(6,MAX(5,LOG(Slope_s*(Years_n-5+$A9)/Cost_r,2)))</f>
        <v>5.05117805300963</v>
      </c>
      <c r="H9" s="18" t="n">
        <f aca="false">Years_n</f>
        <v>6</v>
      </c>
      <c r="I9" s="17" t="n">
        <f aca="false">Const_c+S_max*(1-2^(-(MIN(1,B9))))+S_max*(1-2^(-(MIN(2,B9))))+S_max*(1-2^(-(MIN(3,B9))))+S_max*(1-2^(-(MIN(4,B9))))+S_max*(1-2^(-(MIN(5,B9))))+S_max*(1-2^(-(MIN(6,B9))))-Cost_r*B9+$A9*S_max*(1-2^(-(B9)))</f>
        <v>3250</v>
      </c>
      <c r="J9" s="17" t="n">
        <f aca="false">Const_c+S_max*(1-2^(-(MIN(1,C9))))+S_max*(1-2^(-(MIN(2,C9))))+S_max*(1-2^(-(MIN(3,C9))))+S_max*(1-2^(-(MIN(4,C9))))+S_max*(1-2^(-(MIN(5,C9))))+S_max*(1-2^(-(MIN(6,C9))))-Cost_r*C9+$A9*S_max*(1-2^(-(C9)))</f>
        <v>4705</v>
      </c>
      <c r="K9" s="17" t="n">
        <f aca="false">Const_c+S_max*(1-2^(-(MIN(1,D9))))+S_max*(1-2^(-(MIN(2,D9))))+S_max*(1-2^(-(MIN(3,D9))))+S_max*(1-2^(-(MIN(4,D9))))+S_max*(1-2^(-(MIN(5,D9))))+S_max*(1-2^(-(MIN(6,D9))))-Cost_r*D9+$A9*S_max*(1-2^(-(D9)))</f>
        <v>5355</v>
      </c>
      <c r="L9" s="17" t="n">
        <f aca="false">Const_c+S_max*(1-2^(-(MIN(1,E9))))+S_max*(1-2^(-(MIN(2,E9))))+S_max*(1-2^(-(MIN(3,E9))))+S_max*(1-2^(-(MIN(4,E9))))+S_max*(1-2^(-(MIN(5,E9))))+S_max*(1-2^(-(MIN(6,E9))))-Cost_r*E9+$A9*S_max*(1-2^(-(E9)))</f>
        <v>5611.25</v>
      </c>
      <c r="M9" s="17" t="n">
        <f aca="false">Const_c+S_max*(1-2^(-(MIN(1,F9))))+S_max*(1-2^(-(MIN(2,F9))))+S_max*(1-2^(-(MIN(3,F9))))+S_max*(1-2^(-(MIN(4,F9))))+S_max*(1-2^(-(MIN(5,F9))))+S_max*(1-2^(-(MIN(6,F9))))-Cost_r*F9+$A9*S_max*(1-2^(-(F9)))</f>
        <v>5675</v>
      </c>
      <c r="N9" s="17" t="n">
        <f aca="false">Const_c+S_max*(1-2^(-(MIN(1,G9))))+S_max*(1-2^(-(MIN(2,G9))))+S_max*(1-2^(-(MIN(3,G9))))+S_max*(1-2^(-(MIN(4,G9))))+S_max*(1-2^(-(MIN(5,G9))))+S_max*(1-2^(-(MIN(6,G9))))-Cost_r*G9+$A9*S_max*(1-2^(-(G9)))</f>
        <v>5675.11022873217</v>
      </c>
      <c r="O9" s="17" t="n">
        <f aca="false">Const_c+S_max*(1-2^(-(MIN(1,H9))))+S_max*(1-2^(-(MIN(2,H9))))+S_max*(1-2^(-(MIN(3,H9))))+S_max*(1-2^(-(MIN(4,H9))))+S_max*(1-2^(-(MIN(5,H9))))+S_max*(1-2^(-(MIN(6,H9))))-Cost_r*H9+$A9*S_max*(1-2^(-(H9)))</f>
        <v>5644.6875</v>
      </c>
      <c r="P9" s="28" t="n">
        <f aca="false">MAX(I9:O9)</f>
        <v>5675.11022873217</v>
      </c>
      <c r="Q9" s="13" t="n">
        <f aca="false">INDEX(B9:H9,MATCH(P9,I9:O9,0))</f>
        <v>5.05117805300963</v>
      </c>
      <c r="R9" s="29" t="n">
        <f aca="false">LumpyPlans!AV82</f>
        <v>5675</v>
      </c>
      <c r="S9" s="30" t="n">
        <f aca="false">LumpyPlans!AV83</f>
        <v>5</v>
      </c>
      <c r="T9" s="13" t="n">
        <f aca="false">P9-R9</f>
        <v>0.110228732168252</v>
      </c>
      <c r="U9" s="12" t="n">
        <f aca="false">INT(Q9+0.5)</f>
        <v>5</v>
      </c>
      <c r="V9" s="4" t="str">
        <f aca="false">IF(U9=S9,"right","wrong")</f>
        <v>right</v>
      </c>
    </row>
    <row r="10" customFormat="false" ht="15" hidden="false" customHeight="false" outlineLevel="0" collapsed="false">
      <c r="A10" s="9" t="n">
        <v>60</v>
      </c>
      <c r="B10" s="18" t="n">
        <f aca="false">MIN(1,MAX(0,LOG(Slope_s*(Years_n-0+$A10)/Cost_r,2)))</f>
        <v>1</v>
      </c>
      <c r="C10" s="18" t="n">
        <f aca="false">MIN(2,MAX(1,LOG(Slope_s*(Years_n-1+$A10)/Cost_r,2)))</f>
        <v>2</v>
      </c>
      <c r="D10" s="18" t="n">
        <f aca="false">MIN(3,MAX(2,LOG(Slope_s*(Years_n-2+$A10)/Cost_r,2)))</f>
        <v>3</v>
      </c>
      <c r="E10" s="18" t="n">
        <f aca="false">MIN(4,MAX(3,LOG(Slope_s*(Years_n-3+$A10)/Cost_r,2)))</f>
        <v>4</v>
      </c>
      <c r="F10" s="18" t="n">
        <f aca="false">MIN(5,MAX(4,LOG(Slope_s*(Years_n-4+$A10)/Cost_r,2)))</f>
        <v>5</v>
      </c>
      <c r="G10" s="18" t="n">
        <f aca="false">MIN(6,MAX(5,LOG(Slope_s*(Years_n-5+$A10)/Cost_r,2)))</f>
        <v>5.62436338595444</v>
      </c>
      <c r="H10" s="18" t="n">
        <f aca="false">Years_n</f>
        <v>6</v>
      </c>
      <c r="I10" s="17" t="n">
        <f aca="false">Const_c+S_max*(1-2^(-(MIN(1,B10))))+S_max*(1-2^(-(MIN(2,B10))))+S_max*(1-2^(-(MIN(3,B10))))+S_max*(1-2^(-(MIN(4,B10))))+S_max*(1-2^(-(MIN(5,B10))))+S_max*(1-2^(-(MIN(6,B10))))-Cost_r*B10+$A10*S_max*(1-2^(-(B10)))</f>
        <v>4650</v>
      </c>
      <c r="J10" s="17" t="n">
        <f aca="false">Const_c+S_max*(1-2^(-(MIN(1,C10))))+S_max*(1-2^(-(MIN(2,C10))))+S_max*(1-2^(-(MIN(3,C10))))+S_max*(1-2^(-(MIN(4,C10))))+S_max*(1-2^(-(MIN(5,C10))))+S_max*(1-2^(-(MIN(6,C10))))-Cost_r*C10+$A10*S_max*(1-2^(-(C10)))</f>
        <v>6805</v>
      </c>
      <c r="K10" s="17" t="n">
        <f aca="false">Const_c+S_max*(1-2^(-(MIN(1,D10))))+S_max*(1-2^(-(MIN(2,D10))))+S_max*(1-2^(-(MIN(3,D10))))+S_max*(1-2^(-(MIN(4,D10))))+S_max*(1-2^(-(MIN(5,D10))))+S_max*(1-2^(-(MIN(6,D10))))-Cost_r*D10+$A10*S_max*(1-2^(-(D10)))</f>
        <v>7805</v>
      </c>
      <c r="L10" s="17" t="n">
        <f aca="false">Const_c+S_max*(1-2^(-(MIN(1,E10))))+S_max*(1-2^(-(MIN(2,E10))))+S_max*(1-2^(-(MIN(3,E10))))+S_max*(1-2^(-(MIN(4,E10))))+S_max*(1-2^(-(MIN(5,E10))))+S_max*(1-2^(-(MIN(6,E10))))-Cost_r*E10+$A10*S_max*(1-2^(-(E10)))</f>
        <v>8236.25</v>
      </c>
      <c r="M10" s="17" t="n">
        <f aca="false">Const_c+S_max*(1-2^(-(MIN(1,F10))))+S_max*(1-2^(-(MIN(2,F10))))+S_max*(1-2^(-(MIN(3,F10))))+S_max*(1-2^(-(MIN(4,F10))))+S_max*(1-2^(-(MIN(5,F10))))+S_max*(1-2^(-(MIN(6,F10))))-Cost_r*F10+$A10*S_max*(1-2^(-(F10)))</f>
        <v>8387.5</v>
      </c>
      <c r="N10" s="17" t="n">
        <f aca="false">Const_c+S_max*(1-2^(-(MIN(1,G10))))+S_max*(1-2^(-(MIN(2,G10))))+S_max*(1-2^(-(MIN(3,G10))))+S_max*(1-2^(-(MIN(4,G10))))+S_max*(1-2^(-(MIN(5,G10))))+S_max*(1-2^(-(MIN(6,G10))))-Cost_r*G10+$A10*S_max*(1-2^(-(G10)))</f>
        <v>8406.32798877879</v>
      </c>
      <c r="O10" s="17" t="n">
        <f aca="false">Const_c+S_max*(1-2^(-(MIN(1,H10))))+S_max*(1-2^(-(MIN(2,H10))))+S_max*(1-2^(-(MIN(3,H10))))+S_max*(1-2^(-(MIN(4,H10))))+S_max*(1-2^(-(MIN(5,H10))))+S_max*(1-2^(-(MIN(6,H10))))-Cost_r*H10+$A10*S_max*(1-2^(-(H10)))</f>
        <v>8400.9375</v>
      </c>
      <c r="P10" s="28" t="n">
        <f aca="false">MAX(I10:O10)</f>
        <v>8406.32798877879</v>
      </c>
      <c r="Q10" s="13" t="n">
        <f aca="false">INDEX(B10:H10,MATCH(P10,I10:O10,0))</f>
        <v>5.62436338595444</v>
      </c>
      <c r="R10" s="29" t="n">
        <f aca="false">LumpyPlans!AW82</f>
        <v>8400.9375</v>
      </c>
      <c r="S10" s="30" t="n">
        <f aca="false">LumpyPlans!AW83</f>
        <v>6</v>
      </c>
      <c r="T10" s="13" t="n">
        <f aca="false">P10-R10</f>
        <v>5.39048877879213</v>
      </c>
      <c r="U10" s="12" t="n">
        <f aca="false">INT(Q10+0.5)</f>
        <v>6</v>
      </c>
      <c r="V10" s="4" t="str">
        <f aca="false">IF(U10=S10,"right","wrong")</f>
        <v>right</v>
      </c>
    </row>
    <row r="11" customFormat="false" ht="15" hidden="false" customHeight="false" outlineLevel="0" collapsed="false">
      <c r="A11" s="9" t="n">
        <v>54</v>
      </c>
      <c r="B11" s="18" t="n">
        <f aca="false">MIN(1,MAX(0,LOG(Slope_s*(Years_n-0+$A11)/Cost_r,2)))</f>
        <v>1</v>
      </c>
      <c r="C11" s="18" t="n">
        <f aca="false">MIN(2,MAX(1,LOG(Slope_s*(Years_n-1+$A11)/Cost_r,2)))</f>
        <v>2</v>
      </c>
      <c r="D11" s="18" t="n">
        <f aca="false">MIN(3,MAX(2,LOG(Slope_s*(Years_n-2+$A11)/Cost_r,2)))</f>
        <v>3</v>
      </c>
      <c r="E11" s="18" t="n">
        <f aca="false">MIN(4,MAX(3,LOG(Slope_s*(Years_n-3+$A11)/Cost_r,2)))</f>
        <v>4</v>
      </c>
      <c r="F11" s="18" t="n">
        <f aca="false">MIN(5,MAX(4,LOG(Slope_s*(Years_n-4+$A11)/Cost_r,2)))</f>
        <v>5</v>
      </c>
      <c r="G11" s="18" t="n">
        <f aca="false">MIN(6,MAX(5,LOG(Slope_s*(Years_n-5+$A11)/Cost_r,2)))</f>
        <v>5.47498576191621</v>
      </c>
      <c r="H11" s="18" t="n">
        <f aca="false">Years_n</f>
        <v>6</v>
      </c>
      <c r="I11" s="17" t="n">
        <f aca="false">Const_c+S_max*(1-2^(-(MIN(1,B11))))+S_max*(1-2^(-(MIN(2,B11))))+S_max*(1-2^(-(MIN(3,B11))))+S_max*(1-2^(-(MIN(4,B11))))+S_max*(1-2^(-(MIN(5,B11))))+S_max*(1-2^(-(MIN(6,B11))))-Cost_r*B11+$A11*S_max*(1-2^(-(B11)))</f>
        <v>4230</v>
      </c>
      <c r="J11" s="17" t="n">
        <f aca="false">Const_c+S_max*(1-2^(-(MIN(1,C11))))+S_max*(1-2^(-(MIN(2,C11))))+S_max*(1-2^(-(MIN(3,C11))))+S_max*(1-2^(-(MIN(4,C11))))+S_max*(1-2^(-(MIN(5,C11))))+S_max*(1-2^(-(MIN(6,C11))))-Cost_r*C11+$A11*S_max*(1-2^(-(C11)))</f>
        <v>6175</v>
      </c>
      <c r="K11" s="17" t="n">
        <f aca="false">Const_c+S_max*(1-2^(-(MIN(1,D11))))+S_max*(1-2^(-(MIN(2,D11))))+S_max*(1-2^(-(MIN(3,D11))))+S_max*(1-2^(-(MIN(4,D11))))+S_max*(1-2^(-(MIN(5,D11))))+S_max*(1-2^(-(MIN(6,D11))))-Cost_r*D11+$A11*S_max*(1-2^(-(D11)))</f>
        <v>7070</v>
      </c>
      <c r="L11" s="17" t="n">
        <f aca="false">Const_c+S_max*(1-2^(-(MIN(1,E11))))+S_max*(1-2^(-(MIN(2,E11))))+S_max*(1-2^(-(MIN(3,E11))))+S_max*(1-2^(-(MIN(4,E11))))+S_max*(1-2^(-(MIN(5,E11))))+S_max*(1-2^(-(MIN(6,E11))))-Cost_r*E11+$A11*S_max*(1-2^(-(E11)))</f>
        <v>7448.75</v>
      </c>
      <c r="M11" s="17" t="n">
        <f aca="false">Const_c+S_max*(1-2^(-(MIN(1,F11))))+S_max*(1-2^(-(MIN(2,F11))))+S_max*(1-2^(-(MIN(3,F11))))+S_max*(1-2^(-(MIN(4,F11))))+S_max*(1-2^(-(MIN(5,F11))))+S_max*(1-2^(-(MIN(6,F11))))-Cost_r*F11+$A11*S_max*(1-2^(-(F11)))</f>
        <v>7573.75</v>
      </c>
      <c r="N11" s="17" t="n">
        <f aca="false">Const_c+S_max*(1-2^(-(MIN(1,G11))))+S_max*(1-2^(-(MIN(2,G11))))+S_max*(1-2^(-(MIN(3,G11))))+S_max*(1-2^(-(MIN(4,G11))))+S_max*(1-2^(-(MIN(5,G11))))+S_max*(1-2^(-(MIN(6,G11))))-Cost_r*G11+$A11*S_max*(1-2^(-(G11)))</f>
        <v>7584.25330366338</v>
      </c>
      <c r="O11" s="17" t="n">
        <f aca="false">Const_c+S_max*(1-2^(-(MIN(1,H11))))+S_max*(1-2^(-(MIN(2,H11))))+S_max*(1-2^(-(MIN(3,H11))))+S_max*(1-2^(-(MIN(4,H11))))+S_max*(1-2^(-(MIN(5,H11))))+S_max*(1-2^(-(MIN(6,H11))))-Cost_r*H11+$A11*S_max*(1-2^(-(H11)))</f>
        <v>7574.0625</v>
      </c>
      <c r="P11" s="28" t="n">
        <f aca="false">MAX(I11:O11)</f>
        <v>7584.25330366338</v>
      </c>
      <c r="Q11" s="13" t="n">
        <f aca="false">INDEX(B11:H11,MATCH(P11,I11:O11,0))</f>
        <v>5.47498576191621</v>
      </c>
      <c r="R11" s="29" t="n">
        <f aca="false">LumpyPlans!AX82</f>
        <v>7574.0625</v>
      </c>
      <c r="S11" s="30" t="n">
        <f aca="false">LumpyPlans!AX83</f>
        <v>6</v>
      </c>
      <c r="T11" s="13" t="n">
        <f aca="false">P11-R11</f>
        <v>10.1908036633795</v>
      </c>
      <c r="U11" s="12" t="n">
        <f aca="false">INT(Q11+0.5)</f>
        <v>5</v>
      </c>
      <c r="V11" s="4" t="str">
        <f aca="false">IF(U11=S11,"right","wrong")</f>
        <v>wrong</v>
      </c>
    </row>
    <row r="12" customFormat="false" ht="15" hidden="false" customHeight="false" outlineLevel="0" collapsed="false">
      <c r="A12" s="10" t="s">
        <v>241</v>
      </c>
    </row>
    <row r="14" customFormat="false" ht="46.25" hidden="false" customHeight="false" outlineLevel="0" collapsed="false">
      <c r="A14" s="8" t="s">
        <v>242</v>
      </c>
      <c r="B14" s="8" t="s">
        <v>243</v>
      </c>
      <c r="C14" s="8" t="s">
        <v>244</v>
      </c>
      <c r="D14" s="8" t="s">
        <v>245</v>
      </c>
      <c r="E14" s="8" t="s">
        <v>246</v>
      </c>
      <c r="F14" s="8" t="s">
        <v>247</v>
      </c>
      <c r="G14" s="8" t="s">
        <v>248</v>
      </c>
    </row>
    <row r="15" customFormat="false" ht="15" hidden="false" customHeight="false" outlineLevel="0" collapsed="false">
      <c r="A15" s="12" t="n">
        <v>0</v>
      </c>
      <c r="B15" s="18" t="n">
        <f aca="false">S_max*(1-2^(-(A15)))</f>
        <v>0</v>
      </c>
      <c r="C15" s="18" t="n">
        <f aca="false">Liq_now+S_max*(1-2^(-(MIN(1,A15))))+S_max*(1-2^(-(MIN(2,A15))))+S_max*(1-2^(-(MIN(3,A15))))+S_max*(1-2^(-(MIN(4,A15))))+S_max*(1-2^(-(MIN(5,A15))))+S_max*(1-2^(-(MIN(6,A15))))-Cost_r*A15</f>
        <v>620</v>
      </c>
      <c r="D15" s="13" t="n">
        <f aca="false">(C15-C16)/(B16-B15)</f>
        <v>-4.28571428571429</v>
      </c>
    </row>
    <row r="16" customFormat="false" ht="15" hidden="false" customHeight="false" outlineLevel="0" collapsed="false">
      <c r="A16" s="12" t="n">
        <v>1</v>
      </c>
      <c r="B16" s="18" t="n">
        <f aca="false">S_max*(1-2^(-(A16)))</f>
        <v>70</v>
      </c>
      <c r="C16" s="18" t="n">
        <f aca="false">Liq_now+S_max*(1-2^(-(MIN(1,A16))))+S_max*(1-2^(-(MIN(2,A16))))+S_max*(1-2^(-(MIN(3,A16))))+S_max*(1-2^(-(MIN(4,A16))))+S_max*(1-2^(-(MIN(5,A16))))+S_max*(1-2^(-(MIN(6,A16))))-Cost_r*A16</f>
        <v>920</v>
      </c>
      <c r="D16" s="13" t="n">
        <f aca="false">(C16-C17)/(B17-B16)</f>
        <v>-1.57142857142857</v>
      </c>
    </row>
    <row r="17" customFormat="false" ht="15" hidden="false" customHeight="false" outlineLevel="0" collapsed="false">
      <c r="A17" s="12" t="n">
        <v>2</v>
      </c>
      <c r="B17" s="18" t="n">
        <f aca="false">S_max*(1-2^(-(A17)))</f>
        <v>105</v>
      </c>
      <c r="C17" s="18" t="n">
        <f aca="false">Liq_now+S_max*(1-2^(-(MIN(1,A17))))+S_max*(1-2^(-(MIN(2,A17))))+S_max*(1-2^(-(MIN(3,A17))))+S_max*(1-2^(-(MIN(4,A17))))+S_max*(1-2^(-(MIN(5,A17))))+S_max*(1-2^(-(MIN(6,A17))))-Cost_r*A17</f>
        <v>975</v>
      </c>
      <c r="D17" s="13" t="n">
        <f aca="false">(C17-C18)/(B18-B17)</f>
        <v>2.85714285714286</v>
      </c>
      <c r="E17" s="13" t="n">
        <f aca="false">MAX(0,Cost_r/(Slope_s*2^(-A17))-(Years_n+1-A17))</f>
        <v>0</v>
      </c>
      <c r="F17" s="13" t="n">
        <f aca="false">Cost_r/(Slope_s*2^(-A17))-(Years_n-A17)</f>
        <v>0.946382997333589</v>
      </c>
      <c r="G17" s="13" t="n">
        <f aca="false">Cost_r*2^(A17+0.5)/Slope_s-(Years_n-A17)</f>
        <v>2.99524191952084</v>
      </c>
    </row>
    <row r="18" customFormat="false" ht="15" hidden="false" customHeight="false" outlineLevel="0" collapsed="false">
      <c r="A18" s="12" t="n">
        <v>3</v>
      </c>
      <c r="B18" s="18" t="n">
        <f aca="false">S_max*(1-2^(-(A18)))</f>
        <v>122.5</v>
      </c>
      <c r="C18" s="18" t="n">
        <f aca="false">Liq_now+S_max*(1-2^(-(MIN(1,A18))))+S_max*(1-2^(-(MIN(2,A18))))+S_max*(1-2^(-(MIN(3,A18))))+S_max*(1-2^(-(MIN(4,A18))))+S_max*(1-2^(-(MIN(5,A18))))+S_max*(1-2^(-(MIN(6,A18))))-Cost_r*A18</f>
        <v>925</v>
      </c>
      <c r="D18" s="13" t="n">
        <f aca="false">(C18-C19)/(B19-B18)</f>
        <v>10.7142857142857</v>
      </c>
      <c r="E18" s="13" t="n">
        <f aca="false">MAX(0,Cost_r/(Slope_s*2^(-A18))-(Years_n+1-A18))</f>
        <v>5.89276599466718</v>
      </c>
      <c r="F18" s="13" t="n">
        <f aca="false">Cost_r/(Slope_s*2^(-A18))-(Years_n-A18)</f>
        <v>6.89276599466718</v>
      </c>
      <c r="G18" s="13" t="n">
        <f aca="false">Cost_r*2^(A18+0.5)/Slope_s-(Years_n-A18)</f>
        <v>10.9904838390417</v>
      </c>
    </row>
    <row r="19" customFormat="false" ht="15" hidden="false" customHeight="false" outlineLevel="0" collapsed="false">
      <c r="A19" s="12" t="n">
        <v>4</v>
      </c>
      <c r="B19" s="18" t="n">
        <f aca="false">S_max*(1-2^(-(A19)))</f>
        <v>131.25</v>
      </c>
      <c r="C19" s="18" t="n">
        <f aca="false">Liq_now+S_max*(1-2^(-(MIN(1,A19))))+S_max*(1-2^(-(MIN(2,A19))))+S_max*(1-2^(-(MIN(3,A19))))+S_max*(1-2^(-(MIN(4,A19))))+S_max*(1-2^(-(MIN(5,A19))))+S_max*(1-2^(-(MIN(6,A19))))-Cost_r*A19</f>
        <v>831.25</v>
      </c>
      <c r="D19" s="13" t="n">
        <f aca="false">(C19-C20)/(B20-B19)</f>
        <v>25.4285714285714</v>
      </c>
      <c r="E19" s="13" t="n">
        <f aca="false">MAX(0,Cost_r/(Slope_s*2^(-A19))-(Years_n+1-A19))</f>
        <v>16.7855319893344</v>
      </c>
      <c r="F19" s="13" t="n">
        <f aca="false">Cost_r/(Slope_s*2^(-A19))-(Years_n-A19)</f>
        <v>17.7855319893344</v>
      </c>
      <c r="G19" s="13" t="n">
        <f aca="false">Cost_r*2^(A19+0.5)/Slope_s-(Years_n-A19)</f>
        <v>25.9809676780834</v>
      </c>
    </row>
    <row r="20" customFormat="false" ht="15" hidden="false" customHeight="false" outlineLevel="0" collapsed="false">
      <c r="A20" s="12" t="n">
        <v>5</v>
      </c>
      <c r="B20" s="18" t="n">
        <f aca="false">S_max*(1-2^(-(A20)))</f>
        <v>135.625</v>
      </c>
      <c r="C20" s="18" t="n">
        <f aca="false">Liq_now+S_max*(1-2^(-(MIN(1,A20))))+S_max*(1-2^(-(MIN(2,A20))))+S_max*(1-2^(-(MIN(3,A20))))+S_max*(1-2^(-(MIN(4,A20))))+S_max*(1-2^(-(MIN(5,A20))))+S_max*(1-2^(-(MIN(6,A20))))-Cost_r*A20</f>
        <v>720</v>
      </c>
      <c r="D20" s="13" t="n">
        <f aca="false">(C20-C21)/(B21-B20)</f>
        <v>53.8571428571429</v>
      </c>
      <c r="E20" s="13" t="n">
        <f aca="false">MAX(0,Cost_r/(Slope_s*2^(-A20))-(Years_n+1-A20))</f>
        <v>37.5710639786687</v>
      </c>
      <c r="F20" s="13" t="n">
        <f aca="false">Cost_r/(Slope_s*2^(-A20))-(Years_n-A20)</f>
        <v>38.5710639786687</v>
      </c>
      <c r="G20" s="13" t="n">
        <f aca="false">Cost_r*2^(A20+0.5)/Slope_s-(Years_n-A20)</f>
        <v>54.9619353561668</v>
      </c>
    </row>
    <row r="21" customFormat="false" ht="15" hidden="false" customHeight="false" outlineLevel="0" collapsed="false">
      <c r="A21" s="12" t="n">
        <v>6</v>
      </c>
      <c r="B21" s="18" t="n">
        <f aca="false">S_max*(1-2^(-(A21)))</f>
        <v>137.8125</v>
      </c>
      <c r="C21" s="18" t="n">
        <f aca="false">Liq_now+S_max*(1-2^(-(MIN(1,A21))))+S_max*(1-2^(-(MIN(2,A21))))+S_max*(1-2^(-(MIN(3,A21))))+S_max*(1-2^(-(MIN(4,A21))))+S_max*(1-2^(-(MIN(5,A21))))+S_max*(1-2^(-(MIN(6,A21))))-Cost_r*A21</f>
        <v>602.1875</v>
      </c>
      <c r="E21" s="13" t="n">
        <f aca="false">MAX(0,Cost_r/(Slope_s*2^(-A21))-(Years_n+1-A21))</f>
        <v>78.1421279573374</v>
      </c>
    </row>
    <row r="22" customFormat="false" ht="15" hidden="false" customHeight="false" outlineLevel="0" collapsed="false">
      <c r="A22" s="10" t="s">
        <v>249</v>
      </c>
    </row>
    <row r="24" customFormat="false" ht="15" hidden="false" customHeight="false" outlineLevel="0" collapsed="false">
      <c r="A24" s="2" t="s">
        <v>250</v>
      </c>
      <c r="B24" s="18" t="n">
        <f aca="false">LOG(Slope_s/First_s,2)</f>
        <v>0.471233627055102</v>
      </c>
    </row>
    <row r="25" customFormat="false" ht="15" hidden="false" customHeight="false" outlineLevel="0" collapsed="false">
      <c r="A25" s="2" t="s">
        <v>251</v>
      </c>
      <c r="B25" s="13" t="n">
        <f aca="false">2*Cost_r*(1-2^(-B24))-Cost_r*B24</f>
        <v>10.3285598467121</v>
      </c>
    </row>
    <row r="26" customFormat="false" ht="15" hidden="false" customHeight="false" outlineLevel="0" collapsed="false">
      <c r="A26" s="2" t="s">
        <v>252</v>
      </c>
      <c r="B26" s="24" t="n">
        <v>10.3257932375118</v>
      </c>
    </row>
    <row r="27" customFormat="false" ht="15" hidden="false" customHeight="false" outlineLevel="0" collapsed="false">
      <c r="A27" s="2" t="s">
        <v>253</v>
      </c>
      <c r="B27" s="24" t="n">
        <v>53.86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12" min="7" style="0" width="17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254</v>
      </c>
    </row>
    <row r="2" customFormat="false" ht="15" hidden="false" customHeight="false" outlineLevel="0" collapsed="false">
      <c r="A2" s="10" t="s">
        <v>255</v>
      </c>
    </row>
    <row r="4" customFormat="false" ht="15" hidden="false" customHeight="false" outlineLevel="0" collapsed="false">
      <c r="A4" s="2" t="s">
        <v>256</v>
      </c>
      <c r="B4" s="30" t="n">
        <f aca="false">Cap_B</f>
        <v>360</v>
      </c>
    </row>
    <row r="5" customFormat="false" ht="15" hidden="false" customHeight="false" outlineLevel="0" collapsed="false">
      <c r="A5" s="2" t="s">
        <v>257</v>
      </c>
      <c r="B5" s="13" t="n">
        <f aca="false">B4/Cost_r</f>
        <v>3</v>
      </c>
    </row>
    <row r="6" customFormat="false" ht="15" hidden="false" customHeight="false" outlineLevel="0" collapsed="false">
      <c r="A6" s="2" t="s">
        <v>258</v>
      </c>
      <c r="B6" s="18" t="n">
        <f aca="false">MIN(B5,Relaxation!B13)</f>
        <v>3</v>
      </c>
    </row>
    <row r="7" customFormat="false" ht="15" hidden="false" customHeight="false" outlineLevel="0" collapsed="false">
      <c r="A7" s="2" t="s">
        <v>259</v>
      </c>
      <c r="B7" s="17" t="n">
        <f aca="false">Const_c+S_max*(1-2^(-(MIN(1,B6))))+S_max*(1-2^(-(MIN(2,B6))))+S_max*(1-2^(-(MIN(3,B6))))+S_max*(1-2^(-(MIN(4,B6))))+S_max*(1-2^(-(MIN(5,B6))))+S_max*(1-2^(-(MIN(6,B6))))-Cost_r*B6+Credit_M*S_max*(1-2^(-(B6)))</f>
        <v>1680</v>
      </c>
    </row>
    <row r="8" customFormat="false" ht="15" hidden="false" customHeight="false" outlineLevel="0" collapsed="false">
      <c r="A8" s="2" t="s">
        <v>260</v>
      </c>
      <c r="B8" s="18" t="n">
        <f aca="false">((Years_n-B5+Credit_M)*Slope_s*2^(-B5)-Cost_r)/Cost_r</f>
        <v>0.314091529811563</v>
      </c>
    </row>
    <row r="9" customFormat="false" ht="15" hidden="false" customHeight="false" outlineLevel="0" collapsed="false">
      <c r="A9" s="2" t="s">
        <v>261</v>
      </c>
      <c r="B9" s="18" t="n">
        <f aca="false">((Years_n-B5+1+Credit_M)*Slope_s*2^(-B5)-Cost_r)/Cost_r</f>
        <v>0.415175493643221</v>
      </c>
    </row>
    <row r="10" customFormat="false" ht="15" hidden="false" customHeight="false" outlineLevel="0" collapsed="false">
      <c r="A10" s="2" t="s">
        <v>262</v>
      </c>
      <c r="B10" s="23" t="n">
        <v>0.373427850656251</v>
      </c>
    </row>
    <row r="11" customFormat="false" ht="15" hidden="false" customHeight="false" outlineLevel="0" collapsed="false">
      <c r="A11" s="2" t="s">
        <v>263</v>
      </c>
      <c r="B11" s="31" t="n">
        <v>0.37</v>
      </c>
    </row>
    <row r="12" customFormat="false" ht="15" hidden="false" customHeight="false" outlineLevel="0" collapsed="false">
      <c r="A12" s="2" t="s">
        <v>264</v>
      </c>
      <c r="B12" s="12" t="n">
        <f aca="false">IF(AND(B10&gt;=B8,B10&lt;=B9),1,0)</f>
        <v>1</v>
      </c>
    </row>
    <row r="13" customFormat="false" ht="15" hidden="false" customHeight="false" outlineLevel="0" collapsed="false">
      <c r="A13" s="2" t="s">
        <v>265</v>
      </c>
      <c r="B13" s="25" t="n">
        <v>1679.9999999992</v>
      </c>
    </row>
    <row r="15" customFormat="false" ht="15" hidden="false" customHeight="false" outlineLevel="0" collapsed="false">
      <c r="A15" s="10" t="s">
        <v>266</v>
      </c>
      <c r="D15" s="11" t="n">
        <v>0.3</v>
      </c>
      <c r="E15" s="11" t="n">
        <v>0.43</v>
      </c>
    </row>
    <row r="17" customFormat="false" ht="35.05" hidden="false" customHeight="false" outlineLevel="0" collapsed="false">
      <c r="A17" s="8" t="s">
        <v>267</v>
      </c>
      <c r="B17" s="8" t="s">
        <v>268</v>
      </c>
      <c r="C17" s="8" t="s">
        <v>155</v>
      </c>
      <c r="D17" s="8" t="s">
        <v>269</v>
      </c>
      <c r="E17" s="8" t="s">
        <v>270</v>
      </c>
      <c r="F17" s="8" t="s">
        <v>271</v>
      </c>
      <c r="G17" s="8" t="s">
        <v>272</v>
      </c>
      <c r="H17" s="8" t="s">
        <v>273</v>
      </c>
      <c r="I17" s="8" t="s">
        <v>274</v>
      </c>
      <c r="J17" s="8" t="s">
        <v>275</v>
      </c>
      <c r="K17" s="8" t="s">
        <v>276</v>
      </c>
      <c r="L17" s="8" t="s">
        <v>277</v>
      </c>
      <c r="M17" s="8" t="s">
        <v>278</v>
      </c>
    </row>
    <row r="18" customFormat="false" ht="15" hidden="false" customHeight="false" outlineLevel="0" collapsed="false">
      <c r="A18" s="11" t="n">
        <v>-72</v>
      </c>
      <c r="B18" s="13" t="n">
        <f aca="false">$B$4+A18</f>
        <v>288</v>
      </c>
      <c r="C18" s="19" t="n">
        <f aca="false">MIN(B18/Cost_r,Relaxation!$B$13)</f>
        <v>2.4</v>
      </c>
      <c r="D18" s="20" t="n">
        <f aca="false">Const_c+S_max*(1-2^(-(MIN(1,C18))))+S_max*(1-2^(-(MIN(2,C18))))+S_max*(1-2^(-(MIN(3,C18))))+S_max*(1-2^(-(MIN(4,C18))))+S_max*(1-2^(-(MIN(5,C18))))+S_max*(1-2^(-(MIN(6,C18))))-Cost_r*C18+Credit_M*S_max*(1-2^(-(C18)))</f>
        <v>1625.64944120495</v>
      </c>
      <c r="E18" s="19" t="n">
        <f aca="false">(D18-$B$7)/A18</f>
        <v>0.754868872153439</v>
      </c>
      <c r="F18" s="25" t="n">
        <v>1625.64944120425</v>
      </c>
      <c r="G18" s="19" t="n">
        <f aca="false">D18-$B$7-$B$8*A18</f>
        <v>-31.7359686486151</v>
      </c>
      <c r="H18" s="19" t="n">
        <f aca="false">D18-$B$7-$B$11*A18</f>
        <v>-27.7105587950476</v>
      </c>
      <c r="I18" s="19" t="n">
        <f aca="false">D18-$B$7-$B$10*A18</f>
        <v>-27.4637535477975</v>
      </c>
      <c r="J18" s="19" t="n">
        <f aca="false">D18-$B$7-$B$9*A18</f>
        <v>-24.4579232527357</v>
      </c>
      <c r="K18" s="19" t="n">
        <f aca="false">D18-$B$7-$D$15*A18</f>
        <v>-32.7505587950476</v>
      </c>
      <c r="L18" s="19" t="n">
        <f aca="false">D18-$B$7-$E$15*A18</f>
        <v>-23.3905587950476</v>
      </c>
      <c r="M18" s="16" t="n">
        <f aca="false">ABS(D18-F18)</f>
        <v>6.99401425663382E-010</v>
      </c>
    </row>
    <row r="19" customFormat="false" ht="15" hidden="false" customHeight="false" outlineLevel="0" collapsed="false">
      <c r="A19" s="11" t="n">
        <v>-48</v>
      </c>
      <c r="B19" s="13" t="n">
        <f aca="false">$B$4+A19</f>
        <v>312</v>
      </c>
      <c r="C19" s="19" t="n">
        <f aca="false">MIN(B19/Cost_r,Relaxation!$B$13)</f>
        <v>2.6</v>
      </c>
      <c r="D19" s="20" t="n">
        <f aca="false">Const_c+S_max*(1-2^(-(MIN(1,C19))))+S_max*(1-2^(-(MIN(2,C19))))+S_max*(1-2^(-(MIN(3,C19))))+S_max*(1-2^(-(MIN(4,C19))))+S_max*(1-2^(-(MIN(5,C19))))+S_max*(1-2^(-(MIN(6,C19))))-Cost_r*C19+Credit_M*S_max*(1-2^(-(C19)))</f>
        <v>1649.72056186064</v>
      </c>
      <c r="E19" s="19" t="n">
        <f aca="false">(D19-$B$7)/A19</f>
        <v>0.630821627903316</v>
      </c>
      <c r="F19" s="25" t="n">
        <v>1649.72056185994</v>
      </c>
      <c r="G19" s="19" t="n">
        <f aca="false">D19-$B$7-$B$8*A19</f>
        <v>-15.2030447084042</v>
      </c>
      <c r="H19" s="19" t="n">
        <f aca="false">D19-$B$7-$B$11*A19</f>
        <v>-12.5194381393592</v>
      </c>
      <c r="I19" s="19" t="n">
        <f aca="false">D19-$B$7-$B$10*A19</f>
        <v>-12.3549013078591</v>
      </c>
      <c r="J19" s="19" t="n">
        <f aca="false">D19-$B$7-$B$9*A19</f>
        <v>-10.3510144444845</v>
      </c>
      <c r="K19" s="19" t="n">
        <f aca="false">D19-$B$7-$D$15*A19</f>
        <v>-15.8794381393592</v>
      </c>
      <c r="L19" s="19" t="n">
        <f aca="false">D19-$B$7-$E$15*A19</f>
        <v>-9.63943813935917</v>
      </c>
      <c r="M19" s="16" t="n">
        <f aca="false">ABS(D19-F19)</f>
        <v>6.99856173014268E-010</v>
      </c>
    </row>
    <row r="20" customFormat="false" ht="15" hidden="false" customHeight="false" outlineLevel="0" collapsed="false">
      <c r="A20" s="11" t="n">
        <v>-24</v>
      </c>
      <c r="B20" s="13" t="n">
        <f aca="false">$B$4+A20</f>
        <v>336</v>
      </c>
      <c r="C20" s="19" t="n">
        <f aca="false">MIN(B20/Cost_r,Relaxation!$B$13)</f>
        <v>2.8</v>
      </c>
      <c r="D20" s="20" t="n">
        <f aca="false">Const_c+S_max*(1-2^(-(MIN(1,C20))))+S_max*(1-2^(-(MIN(2,C20))))+S_max*(1-2^(-(MIN(3,C20))))+S_max*(1-2^(-(MIN(4,C20))))+S_max*(1-2^(-(MIN(5,C20))))+S_max*(1-2^(-(MIN(6,C20))))-Cost_r*C20+Credit_M*S_max*(1-2^(-(C20)))</f>
        <v>1667.56890302573</v>
      </c>
      <c r="E20" s="19" t="n">
        <f aca="false">(D20-$B$7)/A20</f>
        <v>0.517962373928062</v>
      </c>
      <c r="F20" s="25" t="n">
        <v>1667.56890302503</v>
      </c>
      <c r="G20" s="19" t="n">
        <f aca="false">D20-$B$7-$B$8*A20</f>
        <v>-4.89290025879598</v>
      </c>
      <c r="H20" s="19" t="n">
        <f aca="false">D20-$B$7-$B$11*A20</f>
        <v>-3.55109697427349</v>
      </c>
      <c r="I20" s="19" t="n">
        <f aca="false">D20-$B$7-$B$10*A20</f>
        <v>-3.46882855852346</v>
      </c>
      <c r="J20" s="19" t="n">
        <f aca="false">D20-$B$7-$B$9*A20</f>
        <v>-2.46688512683617</v>
      </c>
      <c r="K20" s="19" t="n">
        <f aca="false">D20-$B$7-$D$15*A20</f>
        <v>-5.23109697427349</v>
      </c>
      <c r="L20" s="19" t="n">
        <f aca="false">D20-$B$7-$E$15*A20</f>
        <v>-2.11109697427349</v>
      </c>
      <c r="M20" s="16" t="n">
        <f aca="false">ABS(D20-F20)</f>
        <v>7.00538294040598E-010</v>
      </c>
    </row>
    <row r="21" customFormat="false" ht="15" hidden="false" customHeight="false" outlineLevel="0" collapsed="false">
      <c r="A21" s="11" t="n">
        <v>-12</v>
      </c>
      <c r="B21" s="13" t="n">
        <f aca="false">$B$4+A21</f>
        <v>348</v>
      </c>
      <c r="C21" s="19" t="n">
        <f aca="false">MIN(B21/Cost_r,Relaxation!$B$13)</f>
        <v>2.9</v>
      </c>
      <c r="D21" s="20" t="n">
        <f aca="false">Const_c+S_max*(1-2^(-(MIN(1,C21))))+S_max*(1-2^(-(MIN(2,C21))))+S_max*(1-2^(-(MIN(3,C21))))+S_max*(1-2^(-(MIN(4,C21))))+S_max*(1-2^(-(MIN(5,C21))))+S_max*(1-2^(-(MIN(6,C21))))-Cost_r*C21+Credit_M*S_max*(1-2^(-(C21)))</f>
        <v>1674.41550167861</v>
      </c>
      <c r="E21" s="19" t="n">
        <f aca="false">(D21-$B$7)/A21</f>
        <v>0.465374860115996</v>
      </c>
      <c r="F21" s="25" t="n">
        <v>1674.41550167791</v>
      </c>
      <c r="G21" s="19" t="n">
        <f aca="false">D21-$B$7-$B$8*A21</f>
        <v>-1.81539996365319</v>
      </c>
      <c r="H21" s="19" t="n">
        <f aca="false">D21-$B$7-$B$11*A21</f>
        <v>-1.14449832139195</v>
      </c>
      <c r="I21" s="19" t="n">
        <f aca="false">D21-$B$7-$B$10*A21</f>
        <v>-1.10336411351693</v>
      </c>
      <c r="J21" s="19" t="n">
        <f aca="false">D21-$B$7-$B$9*A21</f>
        <v>-0.602392397673291</v>
      </c>
      <c r="K21" s="19" t="n">
        <f aca="false">D21-$B$7-$D$15*A21</f>
        <v>-1.98449832139195</v>
      </c>
      <c r="L21" s="19" t="n">
        <f aca="false">D21-$B$7-$E$15*A21</f>
        <v>-0.424498321391948</v>
      </c>
      <c r="M21" s="16" t="n">
        <f aca="false">ABS(D21-F21)</f>
        <v>7.00083546689712E-010</v>
      </c>
    </row>
    <row r="22" customFormat="false" ht="15" hidden="false" customHeight="false" outlineLevel="0" collapsed="false">
      <c r="A22" s="11" t="n">
        <v>-1</v>
      </c>
      <c r="B22" s="13" t="n">
        <f aca="false">$B$4+A22</f>
        <v>359</v>
      </c>
      <c r="C22" s="19" t="n">
        <f aca="false">MIN(B22/Cost_r,Relaxation!$B$13)</f>
        <v>2.99166666666667</v>
      </c>
      <c r="D22" s="20" t="n">
        <f aca="false">Const_c+S_max*(1-2^(-(MIN(1,C22))))+S_max*(1-2^(-(MIN(2,C22))))+S_max*(1-2^(-(MIN(3,C22))))+S_max*(1-2^(-(MIN(4,C22))))+S_max*(1-2^(-(MIN(5,C22))))+S_max*(1-2^(-(MIN(6,C22))))-Cost_r*C22+Credit_M*S_max*(1-2^(-(C22)))</f>
        <v>1679.58072943838</v>
      </c>
      <c r="E22" s="19" t="n">
        <f aca="false">(D22-$B$7)/A22</f>
        <v>0.419270561624217</v>
      </c>
      <c r="F22" s="25" t="n">
        <v>1679.58072943768</v>
      </c>
      <c r="G22" s="19" t="n">
        <f aca="false">D22-$B$7-$B$8*A22</f>
        <v>-0.105179031812654</v>
      </c>
      <c r="H22" s="19" t="n">
        <f aca="false">D22-$B$7-$B$11*A22</f>
        <v>-0.0492705616242165</v>
      </c>
      <c r="I22" s="19" t="n">
        <f aca="false">D22-$B$7-$B$10*A22</f>
        <v>-0.0458427109679652</v>
      </c>
      <c r="J22" s="19" t="n">
        <f aca="false">D22-$B$7-$B$9*A22</f>
        <v>-0.00409506798099507</v>
      </c>
      <c r="K22" s="19" t="n">
        <f aca="false">D22-$B$7-$D$15*A22</f>
        <v>-0.119270561624217</v>
      </c>
      <c r="L22" s="19" t="n">
        <f aca="false">D22-$B$7-$E$15*A22</f>
        <v>0.0107294383757835</v>
      </c>
      <c r="M22" s="16" t="n">
        <f aca="false">ABS(D22-F22)</f>
        <v>6.99856173014268E-010</v>
      </c>
    </row>
    <row r="23" customFormat="false" ht="15" hidden="false" customHeight="false" outlineLevel="0" collapsed="false">
      <c r="A23" s="11" t="n">
        <v>-0.01</v>
      </c>
      <c r="B23" s="13" t="n">
        <f aca="false">$B$4+A23</f>
        <v>359.99</v>
      </c>
      <c r="C23" s="19" t="n">
        <f aca="false">MIN(B23/Cost_r,Relaxation!$B$13)</f>
        <v>2.99991666666667</v>
      </c>
      <c r="D23" s="20" t="n">
        <f aca="false">Const_c+S_max*(1-2^(-(MIN(1,C23))))+S_max*(1-2^(-(MIN(2,C23))))+S_max*(1-2^(-(MIN(3,C23))))+S_max*(1-2^(-(MIN(4,C23))))+S_max*(1-2^(-(MIN(5,C23))))+S_max*(1-2^(-(MIN(6,C23))))-Cost_r*C23+Credit_M*S_max*(1-2^(-(C23)))</f>
        <v>1679.99584783634</v>
      </c>
      <c r="E23" s="19" t="n">
        <f aca="false">(D23-$B$7)/A23</f>
        <v>0.415216366309323</v>
      </c>
      <c r="F23" s="25" t="n">
        <v>1679.99584783564</v>
      </c>
      <c r="G23" s="19" t="n">
        <f aca="false">D23-$B$7-$B$8*A23</f>
        <v>-0.0010112483649776</v>
      </c>
      <c r="H23" s="19" t="n">
        <f aca="false">D23-$B$7-$B$11*A23</f>
        <v>-0.000452163663093233</v>
      </c>
      <c r="I23" s="19" t="n">
        <f aca="false">D23-$B$7-$B$10*A23</f>
        <v>-0.00041788515653072</v>
      </c>
      <c r="J23" s="19" t="n">
        <f aca="false">D23-$B$7-$B$9*A23</f>
        <v>-4.08726661019036E-007</v>
      </c>
      <c r="K23" s="19" t="n">
        <f aca="false">D23-$B$7-$D$15*A23</f>
        <v>-0.00115216366309323</v>
      </c>
      <c r="L23" s="19" t="n">
        <f aca="false">D23-$B$7-$E$15*A23</f>
        <v>0.000147836336906767</v>
      </c>
      <c r="M23" s="16" t="n">
        <f aca="false">ABS(D23-F23)</f>
        <v>6.99856173014268E-010</v>
      </c>
    </row>
    <row r="24" customFormat="false" ht="15" hidden="false" customHeight="false" outlineLevel="0" collapsed="false">
      <c r="A24" s="11" t="n">
        <v>0.01</v>
      </c>
      <c r="B24" s="13" t="n">
        <f aca="false">$B$4+A24</f>
        <v>360.01</v>
      </c>
      <c r="C24" s="19" t="n">
        <f aca="false">MIN(B24/Cost_r,Relaxation!$B$13)</f>
        <v>3.00008333333333</v>
      </c>
      <c r="D24" s="20" t="n">
        <f aca="false">Const_c+S_max*(1-2^(-(MIN(1,C24))))+S_max*(1-2^(-(MIN(2,C24))))+S_max*(1-2^(-(MIN(3,C24))))+S_max*(1-2^(-(MIN(4,C24))))+S_max*(1-2^(-(MIN(5,C24))))+S_max*(1-2^(-(MIN(6,C24))))-Cost_r*C24+Credit_M*S_max*(1-2^(-(C24)))</f>
        <v>1680.00314053578</v>
      </c>
      <c r="E24" s="19" t="n">
        <f aca="false">(D24-$B$7)/A24</f>
        <v>0.314053578085805</v>
      </c>
      <c r="F24" s="25" t="n">
        <v>1680.00314053508</v>
      </c>
      <c r="G24" s="19" t="n">
        <f aca="false">D24-$B$7-$B$8*A24</f>
        <v>-3.79517257584859E-007</v>
      </c>
      <c r="H24" s="19" t="n">
        <f aca="false">D24-$B$7-$B$11*A24</f>
        <v>-0.000559464219141955</v>
      </c>
      <c r="I24" s="19" t="n">
        <f aca="false">D24-$B$7-$B$10*A24</f>
        <v>-0.000593742725704468</v>
      </c>
      <c r="J24" s="19" t="n">
        <f aca="false">D24-$B$7-$B$9*A24</f>
        <v>-0.00101121915557417</v>
      </c>
      <c r="K24" s="19" t="n">
        <f aca="false">D24-$B$7-$D$15*A24</f>
        <v>0.000140535780858045</v>
      </c>
      <c r="L24" s="19" t="n">
        <f aca="false">D24-$B$7-$E$15*A24</f>
        <v>-0.00115946421914196</v>
      </c>
      <c r="M24" s="16" t="n">
        <f aca="false">ABS(D24-F24)</f>
        <v>6.99856173014268E-010</v>
      </c>
    </row>
    <row r="25" customFormat="false" ht="15" hidden="false" customHeight="false" outlineLevel="0" collapsed="false">
      <c r="A25" s="11" t="n">
        <v>1</v>
      </c>
      <c r="B25" s="13" t="n">
        <f aca="false">$B$4+A25</f>
        <v>361</v>
      </c>
      <c r="C25" s="19" t="n">
        <f aca="false">MIN(B25/Cost_r,Relaxation!$B$13)</f>
        <v>3.00833333333333</v>
      </c>
      <c r="D25" s="20" t="n">
        <f aca="false">Const_c+S_max*(1-2^(-(MIN(1,C25))))+S_max*(1-2^(-(MIN(2,C25))))+S_max*(1-2^(-(MIN(3,C25))))+S_max*(1-2^(-(MIN(4,C25))))+S_max*(1-2^(-(MIN(5,C25))))+S_max*(1-2^(-(MIN(6,C25))))-Cost_r*C25+Credit_M*S_max*(1-2^(-(C25)))</f>
        <v>1680.31030358151</v>
      </c>
      <c r="E25" s="19" t="n">
        <f aca="false">(D25-$B$7)/A25</f>
        <v>0.310303581508151</v>
      </c>
      <c r="F25" s="25" t="n">
        <v>1680.31030358081</v>
      </c>
      <c r="G25" s="19" t="n">
        <f aca="false">D25-$B$7-$B$8*A25</f>
        <v>-0.00378794830341178</v>
      </c>
      <c r="H25" s="19" t="n">
        <f aca="false">D25-$B$7-$B$11*A25</f>
        <v>-0.0596964184918488</v>
      </c>
      <c r="I25" s="19" t="n">
        <f aca="false">D25-$B$7-$B$10*A25</f>
        <v>-0.0631242691481001</v>
      </c>
      <c r="J25" s="19" t="n">
        <f aca="false">D25-$B$7-$B$9*A25</f>
        <v>-0.10487191213507</v>
      </c>
      <c r="K25" s="19" t="n">
        <f aca="false">D25-$B$7-$D$15*A25</f>
        <v>0.0103035815081512</v>
      </c>
      <c r="L25" s="19" t="n">
        <f aca="false">D25-$B$7-$E$15*A25</f>
        <v>-0.119696418491849</v>
      </c>
      <c r="M25" s="16" t="n">
        <f aca="false">ABS(D25-F25)</f>
        <v>7.00083546689712E-010</v>
      </c>
    </row>
    <row r="26" customFormat="false" ht="15" hidden="false" customHeight="false" outlineLevel="0" collapsed="false">
      <c r="A26" s="11" t="n">
        <v>12</v>
      </c>
      <c r="B26" s="13" t="n">
        <f aca="false">$B$4+A26</f>
        <v>372</v>
      </c>
      <c r="C26" s="19" t="n">
        <f aca="false">MIN(B26/Cost_r,Relaxation!$B$13)</f>
        <v>3.1</v>
      </c>
      <c r="D26" s="20" t="n">
        <f aca="false">Const_c+S_max*(1-2^(-(MIN(1,C26))))+S_max*(1-2^(-(MIN(2,C26))))+S_max*(1-2^(-(MIN(3,C26))))+S_max*(1-2^(-(MIN(4,C26))))+S_max*(1-2^(-(MIN(5,C26))))+S_max*(1-2^(-(MIN(6,C26))))-Cost_r*C26+Credit_M*S_max*(1-2^(-(C26)))</f>
        <v>1683.23499442538</v>
      </c>
      <c r="E26" s="19" t="n">
        <f aca="false">(D26-$B$7)/A26</f>
        <v>0.269582868781375</v>
      </c>
      <c r="F26" s="25" t="n">
        <v>1683.23499442468</v>
      </c>
      <c r="G26" s="19" t="n">
        <f aca="false">D26-$B$7-$B$8*A26</f>
        <v>-0.534103932362257</v>
      </c>
      <c r="H26" s="19" t="n">
        <f aca="false">D26-$B$7-$B$11*A26</f>
        <v>-1.2050055746235</v>
      </c>
      <c r="I26" s="19" t="n">
        <f aca="false">D26-$B$7-$B$10*A26</f>
        <v>-1.24613978249852</v>
      </c>
      <c r="J26" s="19" t="n">
        <f aca="false">D26-$B$7-$B$9*A26</f>
        <v>-1.74711149834216</v>
      </c>
      <c r="K26" s="19" t="n">
        <f aca="false">D26-$B$7-$D$15*A26</f>
        <v>-0.365005574623501</v>
      </c>
      <c r="L26" s="19" t="n">
        <f aca="false">D26-$B$7-$E$15*A26</f>
        <v>-1.9250055746235</v>
      </c>
      <c r="M26" s="16" t="n">
        <f aca="false">ABS(D26-F26)</f>
        <v>6.95536073180847E-010</v>
      </c>
    </row>
    <row r="27" customFormat="false" ht="15" hidden="false" customHeight="false" outlineLevel="0" collapsed="false">
      <c r="A27" s="11" t="n">
        <v>24</v>
      </c>
      <c r="B27" s="13" t="n">
        <f aca="false">$B$4+A27</f>
        <v>384</v>
      </c>
      <c r="C27" s="19" t="n">
        <f aca="false">MIN(B27/Cost_r,Relaxation!$B$13)</f>
        <v>3.2</v>
      </c>
      <c r="D27" s="20" t="n">
        <f aca="false">Const_c+S_max*(1-2^(-(MIN(1,C27))))+S_max*(1-2^(-(MIN(2,C27))))+S_max*(1-2^(-(MIN(3,C27))))+S_max*(1-2^(-(MIN(4,C27))))+S_max*(1-2^(-(MIN(5,C27))))+S_max*(1-2^(-(MIN(6,C27))))-Cost_r*C27+Credit_M*S_max*(1-2^(-(C27)))</f>
        <v>1685.44974685013</v>
      </c>
      <c r="E27" s="19" t="n">
        <f aca="false">(D27-$B$7)/A27</f>
        <v>0.227072785422157</v>
      </c>
      <c r="F27" s="25" t="n">
        <v>1685.44974684943</v>
      </c>
      <c r="G27" s="19" t="n">
        <f aca="false">D27-$B$7-$B$8*A27</f>
        <v>-2.08844986534575</v>
      </c>
      <c r="H27" s="19" t="n">
        <f aca="false">D27-$B$7-$B$11*A27</f>
        <v>-3.43025314986824</v>
      </c>
      <c r="I27" s="19" t="n">
        <f aca="false">D27-$B$7-$B$10*A27</f>
        <v>-3.51252156561827</v>
      </c>
      <c r="J27" s="19" t="n">
        <f aca="false">D27-$B$7-$B$9*A27</f>
        <v>-4.51446499730555</v>
      </c>
      <c r="K27" s="19" t="n">
        <f aca="false">D27-$B$7-$D$15*A27</f>
        <v>-1.75025314986824</v>
      </c>
      <c r="L27" s="19" t="n">
        <f aca="false">D27-$B$7-$E$15*A27</f>
        <v>-4.87025314986824</v>
      </c>
      <c r="M27" s="16" t="n">
        <f aca="false">ABS(D27-F27)</f>
        <v>6.99856173014268E-010</v>
      </c>
    </row>
    <row r="28" customFormat="false" ht="15" hidden="false" customHeight="false" outlineLevel="0" collapsed="false">
      <c r="A28" s="11" t="n">
        <v>48</v>
      </c>
      <c r="B28" s="13" t="n">
        <f aca="false">$B$4+A28</f>
        <v>408</v>
      </c>
      <c r="C28" s="19" t="n">
        <f aca="false">MIN(B28/Cost_r,Relaxation!$B$13)</f>
        <v>3.39406576653264</v>
      </c>
      <c r="D28" s="20" t="n">
        <f aca="false">Const_c+S_max*(1-2^(-(MIN(1,C28))))+S_max*(1-2^(-(MIN(2,C28))))+S_max*(1-2^(-(MIN(3,C28))))+S_max*(1-2^(-(MIN(4,C28))))+S_max*(1-2^(-(MIN(5,C28))))+S_max*(1-2^(-(MIN(6,C28))))-Cost_r*C28+Credit_M*S_max*(1-2^(-(C28)))</f>
        <v>1687.08870310941</v>
      </c>
      <c r="E28" s="19" t="n">
        <f aca="false">(D28-$B$7)/A28</f>
        <v>0.147681314779315</v>
      </c>
      <c r="F28" s="25" t="n">
        <v>1687.08870310881</v>
      </c>
      <c r="G28" s="19" t="n">
        <f aca="false">D28-$B$7-$B$8*A28</f>
        <v>-7.98769032154792</v>
      </c>
      <c r="H28" s="19" t="n">
        <f aca="false">D28-$B$7-$B$11*A28</f>
        <v>-10.6712968905929</v>
      </c>
      <c r="I28" s="19" t="n">
        <f aca="false">D28-$B$7-$B$10*A28</f>
        <v>-10.835833722093</v>
      </c>
      <c r="J28" s="19" t="n">
        <f aca="false">D28-$B$7-$B$9*A28</f>
        <v>-12.8397205854675</v>
      </c>
      <c r="K28" s="19" t="n">
        <f aca="false">D28-$B$7-$D$15*A28</f>
        <v>-7.31129689059289</v>
      </c>
      <c r="L28" s="19" t="n">
        <f aca="false">D28-$B$7-$E$15*A28</f>
        <v>-13.5512968905929</v>
      </c>
      <c r="M28" s="16" t="n">
        <f aca="false">ABS(D28-F28)</f>
        <v>5.979927664157E-010</v>
      </c>
    </row>
    <row r="29" customFormat="false" ht="15" hidden="false" customHeight="false" outlineLevel="0" collapsed="false">
      <c r="A29" s="11" t="n">
        <v>72</v>
      </c>
      <c r="B29" s="13" t="n">
        <f aca="false">$B$4+A29</f>
        <v>432</v>
      </c>
      <c r="C29" s="19" t="n">
        <f aca="false">MIN(B29/Cost_r,Relaxation!$B$13)</f>
        <v>3.39406576653264</v>
      </c>
      <c r="D29" s="20" t="n">
        <f aca="false">Const_c+S_max*(1-2^(-(MIN(1,C29))))+S_max*(1-2^(-(MIN(2,C29))))+S_max*(1-2^(-(MIN(3,C29))))+S_max*(1-2^(-(MIN(4,C29))))+S_max*(1-2^(-(MIN(5,C29))))+S_max*(1-2^(-(MIN(6,C29))))-Cost_r*C29+Credit_M*S_max*(1-2^(-(C29)))</f>
        <v>1687.08870310941</v>
      </c>
      <c r="E29" s="19" t="n">
        <f aca="false">(D29-$B$7)/A29</f>
        <v>0.0984542098528765</v>
      </c>
      <c r="F29" s="25" t="n">
        <v>1687.08870310881</v>
      </c>
      <c r="G29" s="19" t="n">
        <f aca="false">D29-$B$7-$B$8*A29</f>
        <v>-15.5258870370254</v>
      </c>
      <c r="H29" s="19" t="n">
        <f aca="false">D29-$B$7-$B$11*A29</f>
        <v>-19.5512968905929</v>
      </c>
      <c r="I29" s="19" t="n">
        <f aca="false">D29-$B$7-$B$10*A29</f>
        <v>-19.798102137843</v>
      </c>
      <c r="J29" s="19" t="n">
        <f aca="false">D29-$B$7-$B$9*A29</f>
        <v>-22.8039324329048</v>
      </c>
      <c r="K29" s="19" t="n">
        <f aca="false">D29-$B$7-$D$15*A29</f>
        <v>-14.5112968905929</v>
      </c>
      <c r="L29" s="19" t="n">
        <f aca="false">D29-$B$7-$E$15*A29</f>
        <v>-23.8712968905929</v>
      </c>
      <c r="M29" s="16" t="n">
        <f aca="false">ABS(D29-F29)</f>
        <v>6.00039129494689E-010</v>
      </c>
    </row>
    <row r="31" customFormat="false" ht="15" hidden="false" customHeight="false" outlineLevel="0" collapsed="false">
      <c r="A31" s="4" t="s">
        <v>279</v>
      </c>
      <c r="G31" s="19" t="n">
        <f aca="false">MAX(G18:G29)</f>
        <v>-3.79517257584859E-007</v>
      </c>
      <c r="H31" s="19" t="n">
        <f aca="false">MAX(H18:H29)</f>
        <v>-0.000452163663093233</v>
      </c>
      <c r="I31" s="19" t="n">
        <f aca="false">MAX(I18:I29)</f>
        <v>-0.00041788515653072</v>
      </c>
      <c r="J31" s="19" t="n">
        <f aca="false">MAX(J18:J29)</f>
        <v>-4.08726661019036E-007</v>
      </c>
      <c r="K31" s="19" t="n">
        <f aca="false">MAX(K18:K29)</f>
        <v>0.0103035815081512</v>
      </c>
      <c r="L31" s="19" t="n">
        <f aca="false">MAX(L18:L29)</f>
        <v>0.0107294383757835</v>
      </c>
    </row>
    <row r="32" customFormat="false" ht="15" hidden="false" customHeight="false" outlineLevel="0" collapsed="false">
      <c r="A32" s="4" t="s">
        <v>280</v>
      </c>
      <c r="G32" s="4" t="str">
        <f aca="false">IF(G31&lt;=0.000001,"a price","fails")</f>
        <v>a price</v>
      </c>
      <c r="H32" s="4" t="str">
        <f aca="false">IF(H31&lt;=0.000001,"a price","fails")</f>
        <v>a price</v>
      </c>
      <c r="I32" s="4" t="str">
        <f aca="false">IF(I31&lt;=0.000001,"a price","fails")</f>
        <v>a price</v>
      </c>
      <c r="J32" s="4" t="str">
        <f aca="false">IF(J31&lt;=0.000001,"a price","fails")</f>
        <v>a price</v>
      </c>
      <c r="K32" s="4" t="str">
        <f aca="false">IF(K31&lt;=0.000001,"a price","fails")</f>
        <v>fails</v>
      </c>
      <c r="L32" s="4" t="str">
        <f aca="false">IF(L31&lt;=0.000001,"a price","fails")</f>
        <v>fails</v>
      </c>
    </row>
    <row r="33" customFormat="false" ht="15" hidden="false" customHeight="false" outlineLevel="0" collapsed="false">
      <c r="A33" s="2" t="s">
        <v>281</v>
      </c>
      <c r="D33" s="16" t="n">
        <f aca="false">MAX(M18:M29)</f>
        <v>7.00538294040598E-010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282</v>
      </c>
    </row>
    <row r="3" customFormat="false" ht="15" hidden="false" customHeight="false" outlineLevel="0" collapsed="false">
      <c r="A3" s="8" t="s">
        <v>283</v>
      </c>
      <c r="B3" s="8" t="s">
        <v>18</v>
      </c>
    </row>
    <row r="4" customFormat="false" ht="15" hidden="false" customHeight="false" outlineLevel="0" collapsed="false">
      <c r="A4" s="2" t="s">
        <v>284</v>
      </c>
      <c r="B4" s="9" t="n">
        <v>3</v>
      </c>
    </row>
    <row r="5" customFormat="false" ht="15" hidden="false" customHeight="false" outlineLevel="0" collapsed="false">
      <c r="A5" s="2" t="s">
        <v>285</v>
      </c>
      <c r="B5" s="9" t="n">
        <v>4</v>
      </c>
    </row>
    <row r="6" customFormat="false" ht="15" hidden="false" customHeight="false" outlineLevel="0" collapsed="false">
      <c r="A6" s="2" t="s">
        <v>286</v>
      </c>
      <c r="B6" s="9" t="n">
        <v>100</v>
      </c>
    </row>
    <row r="7" customFormat="false" ht="15" hidden="false" customHeight="false" outlineLevel="0" collapsed="false">
      <c r="A7" s="2" t="s">
        <v>287</v>
      </c>
      <c r="B7" s="19" t="n">
        <f aca="false">SQRT(B4^2+B5^2)/(2*SQRT(B6))</f>
        <v>0.25</v>
      </c>
    </row>
    <row r="8" customFormat="false" ht="15" hidden="false" customHeight="false" outlineLevel="0" collapsed="false">
      <c r="A8" s="2" t="s">
        <v>288</v>
      </c>
      <c r="B8" s="13" t="n">
        <f aca="false">B4^2/(4*B7^2)</f>
        <v>36</v>
      </c>
    </row>
    <row r="9" customFormat="false" ht="15" hidden="false" customHeight="false" outlineLevel="0" collapsed="false">
      <c r="A9" s="2" t="s">
        <v>289</v>
      </c>
      <c r="B9" s="13" t="n">
        <f aca="false">B5^2/(4*B7^2)</f>
        <v>64</v>
      </c>
    </row>
    <row r="10" customFormat="false" ht="15" hidden="false" customHeight="false" outlineLevel="0" collapsed="false">
      <c r="A10" s="2" t="s">
        <v>167</v>
      </c>
      <c r="B10" s="13" t="n">
        <f aca="false">B4*SQRT(B8)+B5*SQRT(B9)</f>
        <v>50</v>
      </c>
    </row>
    <row r="11" customFormat="false" ht="15" hidden="false" customHeight="false" outlineLevel="0" collapsed="false">
      <c r="A11" s="2" t="s">
        <v>290</v>
      </c>
      <c r="B11" s="13" t="n">
        <f aca="false">(B4^2+B5^2)/(4*B7)+B7*B6</f>
        <v>50</v>
      </c>
    </row>
    <row r="12" customFormat="false" ht="15" hidden="false" customHeight="false" outlineLevel="0" collapsed="false">
      <c r="A12" s="2" t="s">
        <v>291</v>
      </c>
      <c r="B12" s="13" t="n">
        <f aca="false">(B4^2+B5^2)/(4*0.5)+0.5*B6</f>
        <v>62.5</v>
      </c>
    </row>
    <row r="13" customFormat="false" ht="15" hidden="false" customHeight="false" outlineLevel="0" collapsed="false">
      <c r="A13" s="2" t="s">
        <v>292</v>
      </c>
      <c r="B13" s="13" t="n">
        <f aca="false">(B4+B5)*SQRT(50)</f>
        <v>49.4974746830583</v>
      </c>
    </row>
    <row r="14" customFormat="false" ht="15" hidden="false" customHeight="false" outlineLevel="0" collapsed="false">
      <c r="A14" s="2" t="s">
        <v>293</v>
      </c>
      <c r="B14" s="13" t="n">
        <f aca="false">B4/(2*SQRT(B8))</f>
        <v>0.25</v>
      </c>
    </row>
    <row r="15" customFormat="false" ht="15" hidden="false" customHeight="false" outlineLevel="0" collapsed="false">
      <c r="A15" s="2" t="s">
        <v>294</v>
      </c>
      <c r="B15" s="13" t="n">
        <f aca="false">B5/(2*SQRT(B9))</f>
        <v>0.25</v>
      </c>
    </row>
    <row r="17" customFormat="false" ht="15" hidden="false" customHeight="false" outlineLevel="0" collapsed="false">
      <c r="A17" s="8" t="s">
        <v>295</v>
      </c>
      <c r="B17" s="8" t="s">
        <v>296</v>
      </c>
    </row>
    <row r="18" customFormat="false" ht="15" hidden="false" customHeight="false" outlineLevel="0" collapsed="false">
      <c r="A18" s="15" t="n">
        <v>0.1</v>
      </c>
      <c r="B18" s="13" t="n">
        <f aca="false">($B$4^2+$B$5^2)/(4*A18)+A18*$B$6</f>
        <v>72.5</v>
      </c>
    </row>
    <row r="19" customFormat="false" ht="15" hidden="false" customHeight="false" outlineLevel="0" collapsed="false">
      <c r="A19" s="15" t="n">
        <v>0.2</v>
      </c>
      <c r="B19" s="13" t="n">
        <f aca="false">($B$4^2+$B$5^2)/(4*A19)+A19*$B$6</f>
        <v>51.25</v>
      </c>
    </row>
    <row r="20" customFormat="false" ht="15" hidden="false" customHeight="false" outlineLevel="0" collapsed="false">
      <c r="A20" s="15" t="n">
        <v>0.3</v>
      </c>
      <c r="B20" s="13" t="n">
        <f aca="false">($B$4^2+$B$5^2)/(4*A20)+A20*$B$6</f>
        <v>50.8333333333333</v>
      </c>
    </row>
    <row r="21" customFormat="false" ht="15" hidden="false" customHeight="false" outlineLevel="0" collapsed="false">
      <c r="A21" s="15" t="n">
        <v>0.4</v>
      </c>
      <c r="B21" s="13" t="n">
        <f aca="false">($B$4^2+$B$5^2)/(4*A21)+A21*$B$6</f>
        <v>55.625</v>
      </c>
    </row>
    <row r="22" customFormat="false" ht="15" hidden="false" customHeight="false" outlineLevel="0" collapsed="false">
      <c r="A22" s="15" t="n">
        <v>0.5</v>
      </c>
      <c r="B22" s="13" t="n">
        <f aca="false">($B$4^2+$B$5^2)/(4*A22)+A22*$B$6</f>
        <v>62.5</v>
      </c>
    </row>
    <row r="23" customFormat="false" ht="15" hidden="false" customHeight="false" outlineLevel="0" collapsed="false">
      <c r="A23" s="15" t="n">
        <v>0.6</v>
      </c>
      <c r="B23" s="13" t="n">
        <f aca="false">($B$4^2+$B$5^2)/(4*A23)+A23*$B$6</f>
        <v>70.4166666666667</v>
      </c>
    </row>
    <row r="24" customFormat="false" ht="15" hidden="false" customHeight="false" outlineLevel="0" collapsed="false">
      <c r="A24" s="15" t="n">
        <v>0.7</v>
      </c>
      <c r="B24" s="13" t="n">
        <f aca="false">($B$4^2+$B$5^2)/(4*A24)+A24*$B$6</f>
        <v>78.9285714285714</v>
      </c>
    </row>
    <row r="25" customFormat="false" ht="15" hidden="false" customHeight="false" outlineLevel="0" collapsed="false">
      <c r="A25" s="15" t="n">
        <v>0.8</v>
      </c>
      <c r="B25" s="13" t="n">
        <f aca="false">($B$4^2+$B$5^2)/(4*A25)+A25*$B$6</f>
        <v>87.8125</v>
      </c>
    </row>
    <row r="26" customFormat="false" ht="15" hidden="false" customHeight="false" outlineLevel="0" collapsed="false">
      <c r="A26" s="2" t="s">
        <v>297</v>
      </c>
      <c r="B26" s="13" t="n">
        <f aca="false">MIN(B18:B25)</f>
        <v>50.8333333333333</v>
      </c>
    </row>
    <row r="28" customFormat="false" ht="15" hidden="false" customHeight="false" outlineLevel="0" collapsed="false">
      <c r="A28" s="8" t="s">
        <v>298</v>
      </c>
      <c r="B28" s="8" t="s">
        <v>18</v>
      </c>
    </row>
    <row r="29" customFormat="false" ht="15" hidden="false" customHeight="false" outlineLevel="0" collapsed="false">
      <c r="A29" s="2" t="s">
        <v>299</v>
      </c>
      <c r="B29" s="12" t="n">
        <f aca="false">50-2*1</f>
        <v>48</v>
      </c>
    </row>
    <row r="30" customFormat="false" ht="15" hidden="false" customHeight="false" outlineLevel="0" collapsed="false">
      <c r="A30" s="2" t="s">
        <v>300</v>
      </c>
      <c r="B30" s="12" t="n">
        <f aca="false">50-2*3</f>
        <v>44</v>
      </c>
    </row>
    <row r="31" customFormat="false" ht="15" hidden="false" customHeight="false" outlineLevel="0" collapsed="false">
      <c r="A31" s="2" t="s">
        <v>301</v>
      </c>
      <c r="B31" s="12" t="n">
        <f aca="false">40+5</f>
        <v>45</v>
      </c>
    </row>
    <row r="32" customFormat="false" ht="15" hidden="false" customHeight="false" outlineLevel="0" collapsed="false">
      <c r="A32" s="2" t="s">
        <v>302</v>
      </c>
      <c r="B32" s="13" t="n">
        <f aca="false">MAX(0,B31-40,3*(B31-40)-10)</f>
        <v>5</v>
      </c>
    </row>
    <row r="33" customFormat="false" ht="15" hidden="false" customHeight="false" outlineLevel="0" collapsed="false">
      <c r="A33" s="2" t="s">
        <v>303</v>
      </c>
      <c r="B33" s="13" t="n">
        <f aca="false">(B31-50)^2/4+B32</f>
        <v>11.25</v>
      </c>
    </row>
    <row r="34" customFormat="false" ht="15" hidden="false" customHeight="false" outlineLevel="0" collapsed="false">
      <c r="A34" s="2" t="s">
        <v>304</v>
      </c>
      <c r="B34" s="13" t="n">
        <f aca="false">((50-B31)/2-1)/(3-1)</f>
        <v>0.75</v>
      </c>
    </row>
    <row r="35" customFormat="false" ht="15" hidden="false" customHeight="false" outlineLevel="0" collapsed="false">
      <c r="A35" s="2" t="s">
        <v>305</v>
      </c>
      <c r="B35" s="13" t="n">
        <f aca="false">1-B34</f>
        <v>0.25</v>
      </c>
    </row>
    <row r="36" customFormat="false" ht="15" hidden="false" customHeight="false" outlineLevel="0" collapsed="false">
      <c r="A36" s="2" t="s">
        <v>306</v>
      </c>
      <c r="B36" s="13" t="n">
        <f aca="false">B35+3*B34</f>
        <v>2.5</v>
      </c>
    </row>
    <row r="38" customFormat="false" ht="15" hidden="false" customHeight="false" outlineLevel="0" collapsed="false">
      <c r="A38" s="8" t="s">
        <v>307</v>
      </c>
      <c r="B38" s="8" t="s">
        <v>308</v>
      </c>
    </row>
    <row r="39" customFormat="false" ht="15" hidden="false" customHeight="false" outlineLevel="0" collapsed="false">
      <c r="A39" s="15" t="n">
        <v>40</v>
      </c>
      <c r="B39" s="13" t="n">
        <f aca="false">(A39-50)^2/4+MAX(0,A39-40,3*(A39-40)-10)</f>
        <v>25</v>
      </c>
    </row>
    <row r="40" customFormat="false" ht="15" hidden="false" customHeight="false" outlineLevel="0" collapsed="false">
      <c r="A40" s="15" t="n">
        <v>40.5</v>
      </c>
      <c r="B40" s="13" t="n">
        <f aca="false">(A40-50)^2/4+MAX(0,A40-40,3*(A40-40)-10)</f>
        <v>23.0625</v>
      </c>
    </row>
    <row r="41" customFormat="false" ht="15" hidden="false" customHeight="false" outlineLevel="0" collapsed="false">
      <c r="A41" s="15" t="n">
        <v>41</v>
      </c>
      <c r="B41" s="13" t="n">
        <f aca="false">(A41-50)^2/4+MAX(0,A41-40,3*(A41-40)-10)</f>
        <v>21.25</v>
      </c>
    </row>
    <row r="42" customFormat="false" ht="15" hidden="false" customHeight="false" outlineLevel="0" collapsed="false">
      <c r="A42" s="15" t="n">
        <v>41.5</v>
      </c>
      <c r="B42" s="13" t="n">
        <f aca="false">(A42-50)^2/4+MAX(0,A42-40,3*(A42-40)-10)</f>
        <v>19.5625</v>
      </c>
    </row>
    <row r="43" customFormat="false" ht="15" hidden="false" customHeight="false" outlineLevel="0" collapsed="false">
      <c r="A43" s="15" t="n">
        <v>42</v>
      </c>
      <c r="B43" s="13" t="n">
        <f aca="false">(A43-50)^2/4+MAX(0,A43-40,3*(A43-40)-10)</f>
        <v>18</v>
      </c>
    </row>
    <row r="44" customFormat="false" ht="15" hidden="false" customHeight="false" outlineLevel="0" collapsed="false">
      <c r="A44" s="15" t="n">
        <v>42.5</v>
      </c>
      <c r="B44" s="13" t="n">
        <f aca="false">(A44-50)^2/4+MAX(0,A44-40,3*(A44-40)-10)</f>
        <v>16.5625</v>
      </c>
    </row>
    <row r="45" customFormat="false" ht="15" hidden="false" customHeight="false" outlineLevel="0" collapsed="false">
      <c r="A45" s="15" t="n">
        <v>43</v>
      </c>
      <c r="B45" s="13" t="n">
        <f aca="false">(A45-50)^2/4+MAX(0,A45-40,3*(A45-40)-10)</f>
        <v>15.25</v>
      </c>
    </row>
    <row r="46" customFormat="false" ht="15" hidden="false" customHeight="false" outlineLevel="0" collapsed="false">
      <c r="A46" s="15" t="n">
        <v>43.5</v>
      </c>
      <c r="B46" s="13" t="n">
        <f aca="false">(A46-50)^2/4+MAX(0,A46-40,3*(A46-40)-10)</f>
        <v>14.0625</v>
      </c>
    </row>
    <row r="47" customFormat="false" ht="15" hidden="false" customHeight="false" outlineLevel="0" collapsed="false">
      <c r="A47" s="15" t="n">
        <v>44</v>
      </c>
      <c r="B47" s="13" t="n">
        <f aca="false">(A47-50)^2/4+MAX(0,A47-40,3*(A47-40)-10)</f>
        <v>13</v>
      </c>
    </row>
    <row r="48" customFormat="false" ht="15" hidden="false" customHeight="false" outlineLevel="0" collapsed="false">
      <c r="A48" s="15" t="n">
        <v>44.5</v>
      </c>
      <c r="B48" s="13" t="n">
        <f aca="false">(A48-50)^2/4+MAX(0,A48-40,3*(A48-40)-10)</f>
        <v>12.0625</v>
      </c>
    </row>
    <row r="49" customFormat="false" ht="15" hidden="false" customHeight="false" outlineLevel="0" collapsed="false">
      <c r="A49" s="15" t="n">
        <v>45</v>
      </c>
      <c r="B49" s="13" t="n">
        <f aca="false">(A49-50)^2/4+MAX(0,A49-40,3*(A49-40)-10)</f>
        <v>11.25</v>
      </c>
    </row>
    <row r="50" customFormat="false" ht="15" hidden="false" customHeight="false" outlineLevel="0" collapsed="false">
      <c r="A50" s="15" t="n">
        <v>45.5</v>
      </c>
      <c r="B50" s="13" t="n">
        <f aca="false">(A50-50)^2/4+MAX(0,A50-40,3*(A50-40)-10)</f>
        <v>11.5625</v>
      </c>
    </row>
    <row r="51" customFormat="false" ht="15" hidden="false" customHeight="false" outlineLevel="0" collapsed="false">
      <c r="A51" s="15" t="n">
        <v>46</v>
      </c>
      <c r="B51" s="13" t="n">
        <f aca="false">(A51-50)^2/4+MAX(0,A51-40,3*(A51-40)-10)</f>
        <v>12</v>
      </c>
    </row>
    <row r="52" customFormat="false" ht="15" hidden="false" customHeight="false" outlineLevel="0" collapsed="false">
      <c r="A52" s="15" t="n">
        <v>46.5</v>
      </c>
      <c r="B52" s="13" t="n">
        <f aca="false">(A52-50)^2/4+MAX(0,A52-40,3*(A52-40)-10)</f>
        <v>12.5625</v>
      </c>
    </row>
    <row r="53" customFormat="false" ht="15" hidden="false" customHeight="false" outlineLevel="0" collapsed="false">
      <c r="A53" s="15" t="n">
        <v>47</v>
      </c>
      <c r="B53" s="13" t="n">
        <f aca="false">(A53-50)^2/4+MAX(0,A53-40,3*(A53-40)-10)</f>
        <v>13.25</v>
      </c>
    </row>
    <row r="54" customFormat="false" ht="15" hidden="false" customHeight="false" outlineLevel="0" collapsed="false">
      <c r="A54" s="15" t="n">
        <v>47.5</v>
      </c>
      <c r="B54" s="13" t="n">
        <f aca="false">(A54-50)^2/4+MAX(0,A54-40,3*(A54-40)-10)</f>
        <v>14.0625</v>
      </c>
    </row>
    <row r="55" customFormat="false" ht="15" hidden="false" customHeight="false" outlineLevel="0" collapsed="false">
      <c r="A55" s="15" t="n">
        <v>48</v>
      </c>
      <c r="B55" s="13" t="n">
        <f aca="false">(A55-50)^2/4+MAX(0,A55-40,3*(A55-40)-10)</f>
        <v>15</v>
      </c>
    </row>
    <row r="56" customFormat="false" ht="15" hidden="false" customHeight="false" outlineLevel="0" collapsed="false">
      <c r="A56" s="15" t="n">
        <v>48.5</v>
      </c>
      <c r="B56" s="13" t="n">
        <f aca="false">(A56-50)^2/4+MAX(0,A56-40,3*(A56-40)-10)</f>
        <v>16.0625</v>
      </c>
    </row>
    <row r="57" customFormat="false" ht="15" hidden="false" customHeight="false" outlineLevel="0" collapsed="false">
      <c r="A57" s="15" t="n">
        <v>49</v>
      </c>
      <c r="B57" s="13" t="n">
        <f aca="false">(A57-50)^2/4+MAX(0,A57-40,3*(A57-40)-10)</f>
        <v>17.25</v>
      </c>
    </row>
    <row r="58" customFormat="false" ht="15" hidden="false" customHeight="false" outlineLevel="0" collapsed="false">
      <c r="A58" s="15" t="n">
        <v>49.5</v>
      </c>
      <c r="B58" s="13" t="n">
        <f aca="false">(A58-50)^2/4+MAX(0,A58-40,3*(A58-40)-10)</f>
        <v>18.5625</v>
      </c>
    </row>
    <row r="59" customFormat="false" ht="15" hidden="false" customHeight="false" outlineLevel="0" collapsed="false">
      <c r="A59" s="15" t="n">
        <v>50</v>
      </c>
      <c r="B59" s="13" t="n">
        <f aca="false">(A59-50)^2/4+MAX(0,A59-40,3*(A59-40)-10)</f>
        <v>20</v>
      </c>
    </row>
    <row r="60" customFormat="false" ht="15" hidden="false" customHeight="false" outlineLevel="0" collapsed="false">
      <c r="A60" s="2" t="s">
        <v>309</v>
      </c>
      <c r="B60" s="13" t="n">
        <f aca="false">MIN(B39:B59)</f>
        <v>11.25</v>
      </c>
      <c r="C60" s="15" t="n">
        <f aca="false">INDEX(A39:A59,MATCH(B60,B39:B59,0))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310</v>
      </c>
      <c r="B1" s="8" t="s">
        <v>311</v>
      </c>
      <c r="C1" s="8" t="s">
        <v>312</v>
      </c>
    </row>
    <row r="2" customFormat="false" ht="15" hidden="false" customHeight="false" outlineLevel="0" collapsed="false">
      <c r="A2" s="2" t="s">
        <v>313</v>
      </c>
      <c r="B2" s="32" t="n">
        <v>64</v>
      </c>
      <c r="C2" s="2" t="s">
        <v>314</v>
      </c>
    </row>
    <row r="3" customFormat="false" ht="15" hidden="false" customHeight="false" outlineLevel="0" collapsed="false">
      <c r="A3" s="2" t="s">
        <v>315</v>
      </c>
      <c r="B3" s="32" t="n">
        <v>0</v>
      </c>
      <c r="C3" s="2" t="s">
        <v>316</v>
      </c>
    </row>
    <row r="4" customFormat="false" ht="15" hidden="false" customHeight="false" outlineLevel="0" collapsed="false">
      <c r="A4" s="2" t="s">
        <v>317</v>
      </c>
      <c r="B4" s="32" t="n">
        <v>61.25</v>
      </c>
      <c r="C4" s="2" t="s">
        <v>318</v>
      </c>
    </row>
    <row r="5" customFormat="false" ht="15" hidden="false" customHeight="false" outlineLevel="0" collapsed="false">
      <c r="A5" s="2" t="s">
        <v>319</v>
      </c>
      <c r="B5" s="32" t="n">
        <v>70</v>
      </c>
      <c r="C5" s="2" t="s">
        <v>320</v>
      </c>
    </row>
    <row r="6" customFormat="false" ht="15" hidden="false" customHeight="false" outlineLevel="0" collapsed="false">
      <c r="A6" s="2" t="s">
        <v>68</v>
      </c>
      <c r="B6" s="32" t="n">
        <v>52.5</v>
      </c>
      <c r="C6" s="2" t="s">
        <v>321</v>
      </c>
    </row>
    <row r="7" customFormat="false" ht="15" hidden="false" customHeight="false" outlineLevel="0" collapsed="false">
      <c r="A7" s="2" t="s">
        <v>322</v>
      </c>
      <c r="B7" s="32" t="n">
        <v>35</v>
      </c>
      <c r="C7" s="2" t="s">
        <v>323</v>
      </c>
    </row>
    <row r="8" customFormat="false" ht="15" hidden="false" customHeight="false" outlineLevel="0" collapsed="false">
      <c r="A8" s="2" t="s">
        <v>324</v>
      </c>
      <c r="B8" s="32" t="n">
        <v>1687.08870310941</v>
      </c>
      <c r="C8" s="2" t="s">
        <v>325</v>
      </c>
    </row>
    <row r="9" customFormat="false" ht="15" hidden="false" customHeight="false" outlineLevel="0" collapsed="false">
      <c r="A9" s="2" t="s">
        <v>326</v>
      </c>
      <c r="B9" s="32" t="n">
        <v>1687.08870250941</v>
      </c>
      <c r="C9" s="2" t="s">
        <v>327</v>
      </c>
    </row>
    <row r="10" customFormat="false" ht="15" hidden="false" customHeight="false" outlineLevel="0" collapsed="false">
      <c r="A10" s="2" t="s">
        <v>328</v>
      </c>
      <c r="B10" s="32" t="n">
        <v>3.39406576653264</v>
      </c>
      <c r="C10" s="2" t="s">
        <v>329</v>
      </c>
    </row>
    <row r="11" customFormat="false" ht="15" hidden="false" customHeight="false" outlineLevel="0" collapsed="false">
      <c r="A11" s="2" t="s">
        <v>330</v>
      </c>
      <c r="B11" s="32" t="n">
        <v>97.0406052783923</v>
      </c>
      <c r="C11" s="2" t="s">
        <v>331</v>
      </c>
    </row>
    <row r="12" customFormat="false" ht="15" hidden="false" customHeight="false" outlineLevel="0" collapsed="false">
      <c r="A12" s="2" t="s">
        <v>332</v>
      </c>
      <c r="B12" s="32" t="n">
        <v>10.5127322384925</v>
      </c>
      <c r="C12" s="2" t="s">
        <v>333</v>
      </c>
    </row>
    <row r="13" customFormat="false" ht="15" hidden="false" customHeight="false" outlineLevel="0" collapsed="false">
      <c r="A13" s="2" t="s">
        <v>334</v>
      </c>
      <c r="B13" s="32" t="n">
        <v>0.394065766532643</v>
      </c>
      <c r="C13" s="2" t="s">
        <v>335</v>
      </c>
    </row>
    <row r="14" customFormat="false" ht="15" hidden="false" customHeight="false" outlineLevel="0" collapsed="false">
      <c r="A14" s="2" t="s">
        <v>336</v>
      </c>
      <c r="B14" s="32" t="n">
        <v>48.5203026391962</v>
      </c>
      <c r="C14" s="2" t="s">
        <v>337</v>
      </c>
    </row>
    <row r="15" customFormat="false" ht="15" hidden="false" customHeight="false" outlineLevel="0" collapsed="false">
      <c r="A15" s="2" t="s">
        <v>338</v>
      </c>
      <c r="B15" s="32" t="n">
        <v>9.23076923076923</v>
      </c>
      <c r="C15" s="2" t="s">
        <v>339</v>
      </c>
    </row>
    <row r="16" customFormat="false" ht="15" hidden="false" customHeight="false" outlineLevel="0" collapsed="false">
      <c r="A16" s="2" t="s">
        <v>340</v>
      </c>
      <c r="B16" s="32" t="n">
        <v>204.910529618593</v>
      </c>
      <c r="C16" s="2" t="s">
        <v>341</v>
      </c>
    </row>
    <row r="17" customFormat="false" ht="15" hidden="false" customHeight="false" outlineLevel="0" collapsed="false">
      <c r="A17" s="2" t="s">
        <v>342</v>
      </c>
      <c r="B17" s="32" t="n">
        <v>156.390226979397</v>
      </c>
      <c r="C17" s="2" t="s">
        <v>343</v>
      </c>
    </row>
    <row r="18" customFormat="false" ht="15" hidden="false" customHeight="false" outlineLevel="0" collapsed="false">
      <c r="A18" s="2" t="s">
        <v>344</v>
      </c>
      <c r="B18" s="32" t="n">
        <v>132.130075659799</v>
      </c>
      <c r="C18" s="2" t="s">
        <v>345</v>
      </c>
    </row>
    <row r="19" customFormat="false" ht="15" hidden="false" customHeight="false" outlineLevel="0" collapsed="false">
      <c r="A19" s="2" t="s">
        <v>346</v>
      </c>
      <c r="B19" s="32" t="n">
        <v>120</v>
      </c>
      <c r="C19" s="2" t="s">
        <v>347</v>
      </c>
    </row>
    <row r="20" customFormat="false" ht="15" hidden="false" customHeight="false" outlineLevel="0" collapsed="false">
      <c r="A20" s="2" t="s">
        <v>348</v>
      </c>
      <c r="B20" s="32" t="n">
        <v>110.769230769231</v>
      </c>
      <c r="C20" s="2" t="s">
        <v>349</v>
      </c>
    </row>
    <row r="21" customFormat="false" ht="15" hidden="false" customHeight="false" outlineLevel="0" collapsed="false">
      <c r="A21" s="2" t="s">
        <v>350</v>
      </c>
      <c r="B21" s="32" t="n">
        <v>101.538461538462</v>
      </c>
      <c r="C21" s="2" t="s">
        <v>351</v>
      </c>
    </row>
    <row r="22" customFormat="false" ht="15" hidden="false" customHeight="false" outlineLevel="0" collapsed="false">
      <c r="A22" s="2" t="s">
        <v>352</v>
      </c>
      <c r="B22" s="32" t="n">
        <v>84.9105296185933</v>
      </c>
      <c r="C22" s="2" t="s">
        <v>353</v>
      </c>
    </row>
    <row r="23" customFormat="false" ht="15" hidden="false" customHeight="false" outlineLevel="0" collapsed="false">
      <c r="A23" s="2" t="s">
        <v>354</v>
      </c>
      <c r="B23" s="32" t="n">
        <v>36.3902269793971</v>
      </c>
      <c r="C23" s="2" t="s">
        <v>355</v>
      </c>
    </row>
    <row r="24" customFormat="false" ht="15" hidden="false" customHeight="false" outlineLevel="0" collapsed="false">
      <c r="A24" s="2" t="s">
        <v>356</v>
      </c>
      <c r="B24" s="32" t="n">
        <v>12.130075659799</v>
      </c>
      <c r="C24" s="2" t="s">
        <v>357</v>
      </c>
    </row>
    <row r="25" customFormat="false" ht="15" hidden="false" customHeight="false" outlineLevel="0" collapsed="false">
      <c r="A25" s="2" t="s">
        <v>358</v>
      </c>
      <c r="B25" s="32" t="n">
        <v>9.23076923076926</v>
      </c>
      <c r="C25" s="2" t="s">
        <v>359</v>
      </c>
    </row>
    <row r="26" customFormat="false" ht="15" hidden="false" customHeight="false" outlineLevel="0" collapsed="false">
      <c r="A26" s="2" t="s">
        <v>360</v>
      </c>
      <c r="B26" s="32" t="n">
        <v>18.4615384615385</v>
      </c>
      <c r="C26" s="2" t="s">
        <v>361</v>
      </c>
    </row>
    <row r="27" customFormat="false" ht="15" hidden="false" customHeight="false" outlineLevel="0" collapsed="false">
      <c r="A27" s="2" t="s">
        <v>362</v>
      </c>
      <c r="B27" s="32" t="n">
        <v>0</v>
      </c>
      <c r="C27" s="2" t="s">
        <v>363</v>
      </c>
    </row>
    <row r="28" customFormat="false" ht="15" hidden="false" customHeight="false" outlineLevel="0" collapsed="false">
      <c r="A28" s="2" t="s">
        <v>364</v>
      </c>
      <c r="B28" s="32" t="n">
        <v>1</v>
      </c>
      <c r="C28" s="2" t="s">
        <v>365</v>
      </c>
    </row>
    <row r="29" customFormat="false" ht="15" hidden="false" customHeight="false" outlineLevel="0" collapsed="false">
      <c r="A29" s="2" t="s">
        <v>366</v>
      </c>
      <c r="B29" s="32" t="n">
        <v>0</v>
      </c>
      <c r="C29" s="2" t="s">
        <v>367</v>
      </c>
    </row>
    <row r="30" customFormat="false" ht="15" hidden="false" customHeight="false" outlineLevel="0" collapsed="false">
      <c r="A30" s="2" t="s">
        <v>368</v>
      </c>
      <c r="B30" s="32" t="n">
        <v>1687.08870310941</v>
      </c>
      <c r="C30" s="2" t="s">
        <v>369</v>
      </c>
    </row>
    <row r="31" customFormat="false" ht="15" hidden="false" customHeight="false" outlineLevel="0" collapsed="false">
      <c r="A31" s="2" t="s">
        <v>370</v>
      </c>
      <c r="B31" s="32" t="n">
        <v>1838.50967335983</v>
      </c>
      <c r="C31" s="2" t="s">
        <v>371</v>
      </c>
    </row>
    <row r="32" customFormat="false" ht="15" hidden="false" customHeight="false" outlineLevel="0" collapsed="false">
      <c r="A32" s="2" t="s">
        <v>372</v>
      </c>
      <c r="B32" s="32" t="n">
        <v>1680</v>
      </c>
      <c r="C32" s="2" t="s">
        <v>373</v>
      </c>
    </row>
    <row r="33" customFormat="false" ht="15" hidden="false" customHeight="false" outlineLevel="0" collapsed="false">
      <c r="A33" s="2" t="s">
        <v>113</v>
      </c>
      <c r="B33" s="32" t="n">
        <v>3</v>
      </c>
      <c r="C33" s="2" t="s">
        <v>374</v>
      </c>
    </row>
    <row r="34" customFormat="false" ht="15" hidden="false" customHeight="false" outlineLevel="0" collapsed="false">
      <c r="A34" s="2" t="s">
        <v>114</v>
      </c>
      <c r="B34" s="32" t="n">
        <v>455</v>
      </c>
      <c r="C34" s="2" t="s">
        <v>375</v>
      </c>
    </row>
    <row r="35" customFormat="false" ht="15" hidden="false" customHeight="false" outlineLevel="0" collapsed="false">
      <c r="A35" s="2" t="s">
        <v>115</v>
      </c>
      <c r="B35" s="32" t="n">
        <v>122.5</v>
      </c>
      <c r="C35" s="2" t="s">
        <v>376</v>
      </c>
    </row>
    <row r="36" customFormat="false" ht="15" hidden="false" customHeight="false" outlineLevel="0" collapsed="false">
      <c r="A36" s="2" t="s">
        <v>377</v>
      </c>
      <c r="B36" s="32" t="n">
        <v>7.08870310940733</v>
      </c>
      <c r="C36" s="2" t="s">
        <v>378</v>
      </c>
    </row>
    <row r="37" customFormat="false" ht="15" hidden="false" customHeight="false" outlineLevel="0" collapsed="false">
      <c r="A37" s="2" t="s">
        <v>379</v>
      </c>
      <c r="B37" s="32" t="n">
        <v>0.421946613655198</v>
      </c>
      <c r="C37" s="2" t="s">
        <v>380</v>
      </c>
    </row>
    <row r="38" customFormat="false" ht="15" hidden="false" customHeight="false" outlineLevel="0" collapsed="false">
      <c r="A38" s="2" t="s">
        <v>381</v>
      </c>
      <c r="B38" s="32" t="n">
        <v>1680</v>
      </c>
      <c r="C38" s="2" t="s">
        <v>382</v>
      </c>
    </row>
    <row r="39" customFormat="false" ht="15" hidden="false" customHeight="false" outlineLevel="0" collapsed="false">
      <c r="A39" s="2" t="s">
        <v>383</v>
      </c>
      <c r="B39" s="32" t="n">
        <v>1673.75</v>
      </c>
      <c r="C39" s="2" t="s">
        <v>384</v>
      </c>
    </row>
    <row r="40" customFormat="false" ht="15" hidden="false" customHeight="false" outlineLevel="0" collapsed="false">
      <c r="A40" s="2" t="s">
        <v>385</v>
      </c>
      <c r="B40" s="32" t="n">
        <v>1680</v>
      </c>
      <c r="C40" s="2" t="s">
        <v>386</v>
      </c>
    </row>
    <row r="41" customFormat="false" ht="15" hidden="false" customHeight="false" outlineLevel="0" collapsed="false">
      <c r="A41" s="2" t="s">
        <v>387</v>
      </c>
      <c r="B41" s="32" t="n">
        <v>2</v>
      </c>
      <c r="C41" s="2" t="s">
        <v>388</v>
      </c>
    </row>
    <row r="42" customFormat="false" ht="15" hidden="false" customHeight="false" outlineLevel="0" collapsed="false">
      <c r="A42" s="2" t="s">
        <v>389</v>
      </c>
      <c r="B42" s="32" t="n">
        <v>505</v>
      </c>
      <c r="C42" s="2" t="s">
        <v>388</v>
      </c>
    </row>
    <row r="43" customFormat="false" ht="15" hidden="false" customHeight="false" outlineLevel="0" collapsed="false">
      <c r="A43" s="2" t="s">
        <v>390</v>
      </c>
      <c r="B43" s="32" t="n">
        <v>505</v>
      </c>
      <c r="C43" s="2" t="s">
        <v>388</v>
      </c>
    </row>
    <row r="44" customFormat="false" ht="15" hidden="false" customHeight="false" outlineLevel="0" collapsed="false">
      <c r="A44" s="2" t="s">
        <v>391</v>
      </c>
      <c r="B44" s="32" t="n">
        <v>0</v>
      </c>
      <c r="C44" s="2" t="s">
        <v>388</v>
      </c>
    </row>
    <row r="45" customFormat="false" ht="15" hidden="false" customHeight="false" outlineLevel="0" collapsed="false">
      <c r="A45" s="2" t="s">
        <v>392</v>
      </c>
      <c r="B45" s="32" t="n">
        <v>2.86355104983386</v>
      </c>
      <c r="C45" s="2" t="s">
        <v>388</v>
      </c>
    </row>
    <row r="46" customFormat="false" ht="15" hidden="false" customHeight="false" outlineLevel="0" collapsed="false">
      <c r="A46" s="2" t="s">
        <v>393</v>
      </c>
      <c r="B46" s="32" t="n">
        <v>1068.25046911326</v>
      </c>
      <c r="C46" s="2" t="s">
        <v>388</v>
      </c>
    </row>
    <row r="47" customFormat="false" ht="15" hidden="false" customHeight="false" outlineLevel="0" collapsed="false">
      <c r="A47" s="2" t="s">
        <v>394</v>
      </c>
      <c r="B47" s="32" t="n">
        <v>1067.5</v>
      </c>
      <c r="C47" s="2" t="s">
        <v>388</v>
      </c>
    </row>
    <row r="48" customFormat="false" ht="15" hidden="false" customHeight="false" outlineLevel="0" collapsed="false">
      <c r="A48" s="2" t="s">
        <v>395</v>
      </c>
      <c r="B48" s="32" t="n">
        <v>0.750469113260806</v>
      </c>
      <c r="C48" s="2" t="s">
        <v>388</v>
      </c>
    </row>
    <row r="49" customFormat="false" ht="15" hidden="false" customHeight="false" outlineLevel="0" collapsed="false">
      <c r="A49" s="2" t="s">
        <v>396</v>
      </c>
      <c r="B49" s="32" t="n">
        <v>3.39406576653264</v>
      </c>
      <c r="C49" s="2" t="s">
        <v>388</v>
      </c>
    </row>
    <row r="50" customFormat="false" ht="15" hidden="false" customHeight="false" outlineLevel="0" collapsed="false">
      <c r="A50" s="2" t="s">
        <v>397</v>
      </c>
      <c r="B50" s="32" t="n">
        <v>1687.08870310941</v>
      </c>
      <c r="C50" s="2" t="s">
        <v>388</v>
      </c>
    </row>
    <row r="51" customFormat="false" ht="15" hidden="false" customHeight="false" outlineLevel="0" collapsed="false">
      <c r="A51" s="2" t="s">
        <v>398</v>
      </c>
      <c r="B51" s="32" t="n">
        <v>1680</v>
      </c>
      <c r="C51" s="2" t="s">
        <v>388</v>
      </c>
    </row>
    <row r="52" customFormat="false" ht="15" hidden="false" customHeight="false" outlineLevel="0" collapsed="false">
      <c r="A52" s="2" t="s">
        <v>399</v>
      </c>
      <c r="B52" s="32" t="n">
        <v>7.08870310940733</v>
      </c>
      <c r="C52" s="2" t="s">
        <v>388</v>
      </c>
    </row>
    <row r="53" customFormat="false" ht="15" hidden="false" customHeight="false" outlineLevel="0" collapsed="false">
      <c r="A53" s="2" t="s">
        <v>400</v>
      </c>
      <c r="B53" s="32" t="n">
        <v>4.15305766702885</v>
      </c>
      <c r="C53" s="2" t="s">
        <v>388</v>
      </c>
    </row>
    <row r="54" customFormat="false" ht="15" hidden="false" customHeight="false" outlineLevel="0" collapsed="false">
      <c r="A54" s="2" t="s">
        <v>401</v>
      </c>
      <c r="B54" s="32" t="n">
        <v>2987.25967504986</v>
      </c>
      <c r="C54" s="2" t="s">
        <v>388</v>
      </c>
    </row>
    <row r="55" customFormat="false" ht="15" hidden="false" customHeight="false" outlineLevel="0" collapsed="false">
      <c r="A55" s="2" t="s">
        <v>402</v>
      </c>
      <c r="B55" s="32" t="n">
        <v>2986.25</v>
      </c>
      <c r="C55" s="2" t="s">
        <v>388</v>
      </c>
    </row>
    <row r="56" customFormat="false" ht="15" hidden="false" customHeight="false" outlineLevel="0" collapsed="false">
      <c r="A56" s="2" t="s">
        <v>403</v>
      </c>
      <c r="B56" s="32" t="n">
        <v>1.00967504986329</v>
      </c>
      <c r="C56" s="2" t="s">
        <v>388</v>
      </c>
    </row>
    <row r="57" customFormat="false" ht="15" hidden="false" customHeight="false" outlineLevel="0" collapsed="false">
      <c r="A57" s="2" t="s">
        <v>404</v>
      </c>
      <c r="B57" s="32" t="n">
        <v>5.05117805300963</v>
      </c>
      <c r="C57" s="2" t="s">
        <v>388</v>
      </c>
    </row>
    <row r="58" customFormat="false" ht="15" hidden="false" customHeight="false" outlineLevel="0" collapsed="false">
      <c r="A58" s="2" t="s">
        <v>405</v>
      </c>
      <c r="B58" s="32" t="n">
        <v>5675.11022873217</v>
      </c>
      <c r="C58" s="2" t="s">
        <v>388</v>
      </c>
    </row>
    <row r="59" customFormat="false" ht="15" hidden="false" customHeight="false" outlineLevel="0" collapsed="false">
      <c r="A59" s="2" t="s">
        <v>406</v>
      </c>
      <c r="B59" s="32" t="n">
        <v>5675</v>
      </c>
      <c r="C59" s="2" t="s">
        <v>388</v>
      </c>
    </row>
    <row r="60" customFormat="false" ht="15" hidden="false" customHeight="false" outlineLevel="0" collapsed="false">
      <c r="A60" s="2" t="s">
        <v>407</v>
      </c>
      <c r="B60" s="32" t="n">
        <v>0.110228732169162</v>
      </c>
      <c r="C60" s="2" t="s">
        <v>388</v>
      </c>
    </row>
    <row r="61" customFormat="false" ht="15" hidden="false" customHeight="false" outlineLevel="0" collapsed="false">
      <c r="A61" s="2" t="s">
        <v>408</v>
      </c>
      <c r="B61" s="32" t="n">
        <v>5.62436338595444</v>
      </c>
      <c r="C61" s="2" t="s">
        <v>388</v>
      </c>
    </row>
    <row r="62" customFormat="false" ht="15" hidden="false" customHeight="false" outlineLevel="0" collapsed="false">
      <c r="A62" s="2" t="s">
        <v>409</v>
      </c>
      <c r="B62" s="32" t="n">
        <v>8406.32798877879</v>
      </c>
      <c r="C62" s="2" t="s">
        <v>388</v>
      </c>
    </row>
    <row r="63" customFormat="false" ht="15" hidden="false" customHeight="false" outlineLevel="0" collapsed="false">
      <c r="A63" s="2" t="s">
        <v>410</v>
      </c>
      <c r="B63" s="32" t="n">
        <v>8400.9375</v>
      </c>
      <c r="C63" s="2" t="s">
        <v>388</v>
      </c>
    </row>
    <row r="64" customFormat="false" ht="15" hidden="false" customHeight="false" outlineLevel="0" collapsed="false">
      <c r="A64" s="2" t="s">
        <v>411</v>
      </c>
      <c r="B64" s="32" t="n">
        <v>5.39048877879213</v>
      </c>
      <c r="C64" s="2" t="s">
        <v>388</v>
      </c>
    </row>
    <row r="65" customFormat="false" ht="15" hidden="false" customHeight="false" outlineLevel="0" collapsed="false">
      <c r="A65" s="2" t="s">
        <v>412</v>
      </c>
      <c r="B65" s="32" t="n">
        <v>5.89276599466718</v>
      </c>
      <c r="C65" s="2" t="s">
        <v>413</v>
      </c>
    </row>
    <row r="66" customFormat="false" ht="15" hidden="false" customHeight="false" outlineLevel="0" collapsed="false">
      <c r="A66" s="2" t="s">
        <v>414</v>
      </c>
      <c r="B66" s="32" t="n">
        <v>16.7855319893344</v>
      </c>
      <c r="C66" s="2" t="s">
        <v>413</v>
      </c>
    </row>
    <row r="67" customFormat="false" ht="15" hidden="false" customHeight="false" outlineLevel="0" collapsed="false">
      <c r="A67" s="2" t="s">
        <v>415</v>
      </c>
      <c r="B67" s="32" t="n">
        <v>37.5710639786687</v>
      </c>
      <c r="C67" s="2" t="s">
        <v>413</v>
      </c>
    </row>
    <row r="68" customFormat="false" ht="15" hidden="false" customHeight="false" outlineLevel="0" collapsed="false">
      <c r="A68" s="2" t="s">
        <v>416</v>
      </c>
      <c r="B68" s="32" t="n">
        <v>78.1421279573374</v>
      </c>
      <c r="C68" s="2" t="s">
        <v>413</v>
      </c>
    </row>
    <row r="69" customFormat="false" ht="15" hidden="false" customHeight="false" outlineLevel="0" collapsed="false">
      <c r="A69" s="2" t="s">
        <v>417</v>
      </c>
      <c r="B69" s="32" t="n">
        <v>0.946382997333589</v>
      </c>
      <c r="C69" s="2" t="s">
        <v>413</v>
      </c>
    </row>
    <row r="70" customFormat="false" ht="15" hidden="false" customHeight="false" outlineLevel="0" collapsed="false">
      <c r="A70" s="2" t="s">
        <v>418</v>
      </c>
      <c r="B70" s="32" t="n">
        <v>6.89276599466718</v>
      </c>
      <c r="C70" s="2" t="s">
        <v>413</v>
      </c>
    </row>
    <row r="71" customFormat="false" ht="15" hidden="false" customHeight="false" outlineLevel="0" collapsed="false">
      <c r="A71" s="2" t="s">
        <v>419</v>
      </c>
      <c r="B71" s="32" t="n">
        <v>17.7855319893344</v>
      </c>
      <c r="C71" s="2" t="s">
        <v>413</v>
      </c>
    </row>
    <row r="72" customFormat="false" ht="15" hidden="false" customHeight="false" outlineLevel="0" collapsed="false">
      <c r="A72" s="2" t="s">
        <v>420</v>
      </c>
      <c r="B72" s="32" t="n">
        <v>38.5710639786687</v>
      </c>
      <c r="C72" s="2" t="s">
        <v>413</v>
      </c>
    </row>
    <row r="73" customFormat="false" ht="15" hidden="false" customHeight="false" outlineLevel="0" collapsed="false">
      <c r="A73" s="2" t="s">
        <v>421</v>
      </c>
      <c r="B73" s="32" t="n">
        <v>2.85714285714286</v>
      </c>
      <c r="C73" s="2" t="s">
        <v>422</v>
      </c>
    </row>
    <row r="74" customFormat="false" ht="15" hidden="false" customHeight="false" outlineLevel="0" collapsed="false">
      <c r="A74" s="2" t="s">
        <v>423</v>
      </c>
      <c r="B74" s="32" t="n">
        <v>10.7142857142857</v>
      </c>
      <c r="C74" s="2" t="s">
        <v>422</v>
      </c>
    </row>
    <row r="75" customFormat="false" ht="15" hidden="false" customHeight="false" outlineLevel="0" collapsed="false">
      <c r="A75" s="2" t="s">
        <v>424</v>
      </c>
      <c r="B75" s="32" t="n">
        <v>25.4285714285714</v>
      </c>
      <c r="C75" s="2" t="s">
        <v>422</v>
      </c>
    </row>
    <row r="76" customFormat="false" ht="15" hidden="false" customHeight="false" outlineLevel="0" collapsed="false">
      <c r="A76" s="2" t="s">
        <v>425</v>
      </c>
      <c r="B76" s="32" t="n">
        <v>53.8571428571429</v>
      </c>
      <c r="C76" s="2" t="s">
        <v>422</v>
      </c>
    </row>
    <row r="77" customFormat="false" ht="15" hidden="false" customHeight="false" outlineLevel="0" collapsed="false">
      <c r="A77" s="2" t="s">
        <v>426</v>
      </c>
      <c r="B77" s="32" t="n">
        <v>2.99524191952084</v>
      </c>
      <c r="C77" s="2" t="s">
        <v>413</v>
      </c>
    </row>
    <row r="78" customFormat="false" ht="15" hidden="false" customHeight="false" outlineLevel="0" collapsed="false">
      <c r="A78" s="2" t="s">
        <v>427</v>
      </c>
      <c r="B78" s="32" t="n">
        <v>10.9904838390417</v>
      </c>
      <c r="C78" s="2" t="s">
        <v>413</v>
      </c>
    </row>
    <row r="79" customFormat="false" ht="15" hidden="false" customHeight="false" outlineLevel="0" collapsed="false">
      <c r="A79" s="2" t="s">
        <v>428</v>
      </c>
      <c r="B79" s="32" t="n">
        <v>25.9809676780834</v>
      </c>
      <c r="C79" s="2" t="s">
        <v>413</v>
      </c>
    </row>
    <row r="80" customFormat="false" ht="15" hidden="false" customHeight="false" outlineLevel="0" collapsed="false">
      <c r="A80" s="2" t="s">
        <v>429</v>
      </c>
      <c r="B80" s="32" t="n">
        <v>54.9619353561668</v>
      </c>
      <c r="C80" s="2" t="s">
        <v>413</v>
      </c>
    </row>
    <row r="81" customFormat="false" ht="15" hidden="false" customHeight="false" outlineLevel="0" collapsed="false">
      <c r="A81" s="2" t="s">
        <v>430</v>
      </c>
      <c r="B81" s="32" t="n">
        <v>0.471233627055102</v>
      </c>
      <c r="C81" s="2" t="s">
        <v>431</v>
      </c>
    </row>
    <row r="82" customFormat="false" ht="15" hidden="false" customHeight="false" outlineLevel="0" collapsed="false">
      <c r="A82" s="2" t="s">
        <v>432</v>
      </c>
      <c r="B82" s="32" t="n">
        <v>10.3285598467121</v>
      </c>
      <c r="C82" s="2" t="s">
        <v>433</v>
      </c>
    </row>
    <row r="83" customFormat="false" ht="15" hidden="false" customHeight="false" outlineLevel="0" collapsed="false">
      <c r="A83" s="2" t="s">
        <v>434</v>
      </c>
      <c r="B83" s="32" t="n">
        <v>5.47498576191621</v>
      </c>
      <c r="C83" s="2" t="s">
        <v>435</v>
      </c>
    </row>
    <row r="84" customFormat="false" ht="15" hidden="false" customHeight="false" outlineLevel="0" collapsed="false">
      <c r="A84" s="2" t="s">
        <v>436</v>
      </c>
      <c r="B84" s="32" t="n">
        <v>6</v>
      </c>
      <c r="C84" s="2" t="s">
        <v>437</v>
      </c>
    </row>
    <row r="85" customFormat="false" ht="15" hidden="false" customHeight="false" outlineLevel="0" collapsed="false">
      <c r="A85" s="2" t="s">
        <v>438</v>
      </c>
      <c r="B85" s="32" t="n">
        <v>1679.9999999992</v>
      </c>
      <c r="C85" s="2" t="s">
        <v>439</v>
      </c>
    </row>
    <row r="86" customFormat="false" ht="15" hidden="false" customHeight="false" outlineLevel="0" collapsed="false">
      <c r="A86" s="2" t="s">
        <v>440</v>
      </c>
      <c r="B86" s="32" t="n">
        <v>0.314091529811563</v>
      </c>
      <c r="C86" s="2" t="s">
        <v>441</v>
      </c>
    </row>
    <row r="87" customFormat="false" ht="15" hidden="false" customHeight="false" outlineLevel="0" collapsed="false">
      <c r="A87" s="2" t="s">
        <v>442</v>
      </c>
      <c r="B87" s="32" t="n">
        <v>0.415175493643221</v>
      </c>
      <c r="C87" s="2" t="s">
        <v>443</v>
      </c>
    </row>
    <row r="88" customFormat="false" ht="15" hidden="false" customHeight="false" outlineLevel="0" collapsed="false">
      <c r="A88" s="2" t="s">
        <v>444</v>
      </c>
      <c r="B88" s="32" t="n">
        <v>1</v>
      </c>
      <c r="C88" s="2" t="s">
        <v>445</v>
      </c>
    </row>
    <row r="89" customFormat="false" ht="15" hidden="false" customHeight="false" outlineLevel="0" collapsed="false">
      <c r="A89" s="2" t="s">
        <v>446</v>
      </c>
      <c r="B89" s="32" t="n">
        <v>0</v>
      </c>
      <c r="C89" s="2" t="s">
        <v>447</v>
      </c>
    </row>
    <row r="90" customFormat="false" ht="15" hidden="false" customHeight="false" outlineLevel="0" collapsed="false">
      <c r="A90" s="2" t="s">
        <v>448</v>
      </c>
      <c r="B90" s="32" t="n">
        <v>1</v>
      </c>
      <c r="C90" s="2" t="s">
        <v>449</v>
      </c>
    </row>
    <row r="91" customFormat="false" ht="15" hidden="false" customHeight="false" outlineLevel="0" collapsed="false">
      <c r="A91" s="2" t="s">
        <v>450</v>
      </c>
      <c r="B91" s="32" t="n">
        <v>1</v>
      </c>
      <c r="C91" s="2" t="s">
        <v>451</v>
      </c>
    </row>
    <row r="92" customFormat="false" ht="15" hidden="false" customHeight="false" outlineLevel="0" collapsed="false">
      <c r="A92" s="2" t="s">
        <v>452</v>
      </c>
      <c r="B92" s="32" t="n">
        <v>1</v>
      </c>
      <c r="C92" s="2" t="s">
        <v>453</v>
      </c>
    </row>
    <row r="93" customFormat="false" ht="15" hidden="false" customHeight="false" outlineLevel="0" collapsed="false">
      <c r="A93" s="2" t="s">
        <v>454</v>
      </c>
      <c r="B93" s="32" t="n">
        <v>1</v>
      </c>
      <c r="C93" s="2" t="s">
        <v>453</v>
      </c>
    </row>
    <row r="94" customFormat="false" ht="15" hidden="false" customHeight="false" outlineLevel="0" collapsed="false">
      <c r="A94" s="2" t="s">
        <v>455</v>
      </c>
      <c r="B94" s="32" t="n">
        <v>0.25</v>
      </c>
      <c r="C94" s="2" t="s">
        <v>456</v>
      </c>
    </row>
    <row r="95" customFormat="false" ht="15" hidden="false" customHeight="false" outlineLevel="0" collapsed="false">
      <c r="A95" s="2" t="s">
        <v>457</v>
      </c>
      <c r="B95" s="32" t="n">
        <v>50</v>
      </c>
      <c r="C95" s="2" t="s">
        <v>458</v>
      </c>
    </row>
    <row r="96" customFormat="false" ht="15" hidden="false" customHeight="false" outlineLevel="0" collapsed="false">
      <c r="A96" s="2" t="s">
        <v>459</v>
      </c>
      <c r="B96" s="32" t="n">
        <v>62.5</v>
      </c>
      <c r="C96" s="2" t="s">
        <v>460</v>
      </c>
    </row>
    <row r="97" customFormat="false" ht="15" hidden="false" customHeight="false" outlineLevel="0" collapsed="false">
      <c r="A97" s="2" t="s">
        <v>461</v>
      </c>
      <c r="B97" s="32" t="n">
        <v>49.4974746830583</v>
      </c>
      <c r="C97" s="2" t="s">
        <v>462</v>
      </c>
    </row>
    <row r="98" customFormat="false" ht="15" hidden="false" customHeight="false" outlineLevel="0" collapsed="false">
      <c r="A98" s="2" t="s">
        <v>463</v>
      </c>
      <c r="B98" s="32" t="n">
        <v>45</v>
      </c>
      <c r="C98" s="2" t="s">
        <v>464</v>
      </c>
    </row>
    <row r="99" customFormat="false" ht="15" hidden="false" customHeight="false" outlineLevel="0" collapsed="false">
      <c r="A99" s="2" t="s">
        <v>465</v>
      </c>
      <c r="B99" s="32" t="n">
        <v>45</v>
      </c>
      <c r="C99" s="2" t="s">
        <v>466</v>
      </c>
    </row>
    <row r="100" customFormat="false" ht="15" hidden="false" customHeight="false" outlineLevel="0" collapsed="false">
      <c r="A100" s="2" t="s">
        <v>467</v>
      </c>
      <c r="B100" s="32" t="n">
        <v>11.25</v>
      </c>
      <c r="C100" s="2" t="s">
        <v>468</v>
      </c>
    </row>
    <row r="101" customFormat="false" ht="15" hidden="false" customHeight="false" outlineLevel="0" collapsed="false">
      <c r="A101" s="2" t="s">
        <v>469</v>
      </c>
      <c r="B101" s="32" t="n">
        <v>0.25</v>
      </c>
      <c r="C101" s="2" t="s">
        <v>470</v>
      </c>
    </row>
    <row r="102" customFormat="false" ht="15" hidden="false" customHeight="false" outlineLevel="0" collapsed="false">
      <c r="A102" s="2" t="s">
        <v>471</v>
      </c>
      <c r="B102" s="32" t="n">
        <v>0.75</v>
      </c>
      <c r="C102" s="2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310</v>
      </c>
      <c r="B1" s="8" t="s">
        <v>473</v>
      </c>
      <c r="C1" s="8" t="s">
        <v>311</v>
      </c>
      <c r="D1" s="8" t="s">
        <v>474</v>
      </c>
      <c r="E1" s="8" t="s">
        <v>475</v>
      </c>
      <c r="F1" s="8" t="s">
        <v>476</v>
      </c>
    </row>
    <row r="2" customFormat="false" ht="15" hidden="false" customHeight="false" outlineLevel="0" collapsed="false">
      <c r="A2" s="2" t="s">
        <v>313</v>
      </c>
      <c r="B2" s="33" t="n">
        <f aca="false">LumpyPlans!L4</f>
        <v>64</v>
      </c>
      <c r="C2" s="34" t="n">
        <f aca="false">Reference_Values!B2</f>
        <v>64</v>
      </c>
      <c r="D2" s="16" t="n">
        <f aca="false">ABS(B2-C2)</f>
        <v>0</v>
      </c>
      <c r="E2" s="35" t="n">
        <v>0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315</v>
      </c>
      <c r="B3" s="33" t="n">
        <f aca="false">LumpyPlans!L5</f>
        <v>0</v>
      </c>
      <c r="C3" s="34" t="n">
        <f aca="false">Reference_Values!B3</f>
        <v>0</v>
      </c>
      <c r="D3" s="16" t="n">
        <f aca="false">ABS(B3-C3)</f>
        <v>0</v>
      </c>
      <c r="E3" s="35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317</v>
      </c>
      <c r="B4" s="33" t="n">
        <f aca="false">Recognize!B11</f>
        <v>61.25</v>
      </c>
      <c r="C4" s="34" t="n">
        <f aca="false">Reference_Values!B4</f>
        <v>61.25</v>
      </c>
      <c r="D4" s="16" t="n">
        <f aca="false">ABS(B4-C4)</f>
        <v>0</v>
      </c>
      <c r="E4" s="35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319</v>
      </c>
      <c r="B5" s="33" t="n">
        <f aca="false">Recognize!D5</f>
        <v>70</v>
      </c>
      <c r="C5" s="34" t="n">
        <f aca="false">Reference_Values!B5</f>
        <v>70</v>
      </c>
      <c r="D5" s="16" t="n">
        <f aca="false">ABS(B5-C5)</f>
        <v>0</v>
      </c>
      <c r="E5" s="35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68</v>
      </c>
      <c r="B6" s="33" t="n">
        <f aca="false">Recognize!B14</f>
        <v>52.5</v>
      </c>
      <c r="C6" s="34" t="n">
        <f aca="false">Reference_Values!B6</f>
        <v>52.5</v>
      </c>
      <c r="D6" s="16" t="n">
        <f aca="false">ABS(B6-C6)</f>
        <v>0</v>
      </c>
      <c r="E6" s="35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322</v>
      </c>
      <c r="B7" s="33" t="n">
        <f aca="false">Recognize!B25</f>
        <v>35</v>
      </c>
      <c r="C7" s="34" t="n">
        <f aca="false">Reference_Values!B7</f>
        <v>35</v>
      </c>
      <c r="D7" s="16" t="n">
        <f aca="false">ABS(B7-C7)</f>
        <v>0</v>
      </c>
      <c r="E7" s="35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324</v>
      </c>
      <c r="B8" s="33" t="n">
        <f aca="false">Relaxation!B12</f>
        <v>1687.08870310941</v>
      </c>
      <c r="C8" s="34" t="n">
        <f aca="false">Reference_Values!B8</f>
        <v>1687.08870310941</v>
      </c>
      <c r="D8" s="16" t="n">
        <f aca="false">ABS(B8-C8)</f>
        <v>0</v>
      </c>
      <c r="E8" s="35" t="n">
        <v>1E-006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326</v>
      </c>
      <c r="B9" s="33" t="n">
        <f aca="false">Relaxation!B12</f>
        <v>1687.08870310941</v>
      </c>
      <c r="C9" s="34" t="n">
        <f aca="false">Reference_Values!B9</f>
        <v>1687.08870250941</v>
      </c>
      <c r="D9" s="16" t="n">
        <f aca="false">ABS(B9-C9)</f>
        <v>5.99999111727811E-007</v>
      </c>
      <c r="E9" s="35" t="n">
        <v>1E-005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328</v>
      </c>
      <c r="B10" s="33" t="n">
        <f aca="false">Relaxation!B13</f>
        <v>3.39406576653264</v>
      </c>
      <c r="C10" s="34" t="n">
        <f aca="false">Reference_Values!B10</f>
        <v>3.39406576653264</v>
      </c>
      <c r="D10" s="16" t="n">
        <f aca="false">ABS(B10-C10)</f>
        <v>0</v>
      </c>
      <c r="E10" s="35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330</v>
      </c>
      <c r="B11" s="33" t="n">
        <f aca="false">Slope_s</f>
        <v>97.0406052783923</v>
      </c>
      <c r="C11" s="34" t="n">
        <f aca="false">Reference_Values!B11</f>
        <v>97.0406052783923</v>
      </c>
      <c r="D11" s="16" t="n">
        <f aca="false">ABS(B11-C11)</f>
        <v>0</v>
      </c>
      <c r="E11" s="35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332</v>
      </c>
      <c r="B12" s="33" t="n">
        <f aca="false">Relaxation!B14</f>
        <v>10.5127322384925</v>
      </c>
      <c r="C12" s="34" t="n">
        <f aca="false">Reference_Values!B12</f>
        <v>10.5127322384925</v>
      </c>
      <c r="D12" s="16" t="n">
        <f aca="false">ABS(B12-C12)</f>
        <v>0</v>
      </c>
      <c r="E12" s="35" t="n">
        <v>1E-006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334</v>
      </c>
      <c r="B13" s="33" t="n">
        <f aca="false">Relaxation!F18</f>
        <v>0.394065766532643</v>
      </c>
      <c r="C13" s="34" t="n">
        <f aca="false">Reference_Values!B13</f>
        <v>0.394065766532643</v>
      </c>
      <c r="D13" s="16" t="n">
        <f aca="false">ABS(B13-C13)</f>
        <v>0</v>
      </c>
      <c r="E13" s="35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336</v>
      </c>
      <c r="B14" s="33" t="n">
        <f aca="false">Relaxation!C21</f>
        <v>48.5203026391962</v>
      </c>
      <c r="C14" s="34" t="n">
        <f aca="false">Reference_Values!B14</f>
        <v>48.5203026391962</v>
      </c>
      <c r="D14" s="16" t="n">
        <f aca="false">ABS(B14-C14)</f>
        <v>0</v>
      </c>
      <c r="E14" s="35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338</v>
      </c>
      <c r="B15" s="33" t="n">
        <f aca="false">Relaxation!F21</f>
        <v>9.23076923076923</v>
      </c>
      <c r="C15" s="34" t="n">
        <f aca="false">Reference_Values!B15</f>
        <v>9.23076923076923</v>
      </c>
      <c r="D15" s="16" t="n">
        <f aca="false">ABS(B15-C15)</f>
        <v>0</v>
      </c>
      <c r="E15" s="35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340</v>
      </c>
      <c r="B16" s="33" t="n">
        <f aca="false">Relaxation!C22</f>
        <v>204.910529618593</v>
      </c>
      <c r="C16" s="34" t="n">
        <f aca="false">Reference_Values!B16</f>
        <v>204.910529618593</v>
      </c>
      <c r="D16" s="16" t="n">
        <f aca="false">ABS(B16-C16)</f>
        <v>0</v>
      </c>
      <c r="E16" s="35" t="n">
        <v>1E-006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342</v>
      </c>
      <c r="B17" s="33" t="n">
        <f aca="false">Relaxation!D22</f>
        <v>156.390226979397</v>
      </c>
      <c r="C17" s="34" t="n">
        <f aca="false">Reference_Values!B17</f>
        <v>156.390226979397</v>
      </c>
      <c r="D17" s="16" t="n">
        <f aca="false">ABS(B17-C17)</f>
        <v>0</v>
      </c>
      <c r="E17" s="35" t="n">
        <v>1E-006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344</v>
      </c>
      <c r="B18" s="33" t="n">
        <f aca="false">Relaxation!E22</f>
        <v>132.130075659799</v>
      </c>
      <c r="C18" s="34" t="n">
        <f aca="false">Reference_Values!B18</f>
        <v>132.130075659799</v>
      </c>
      <c r="D18" s="16" t="n">
        <f aca="false">ABS(B18-C18)</f>
        <v>0</v>
      </c>
      <c r="E18" s="35" t="n">
        <v>1E-006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346</v>
      </c>
      <c r="B19" s="33" t="n">
        <f aca="false">Relaxation!F22</f>
        <v>120</v>
      </c>
      <c r="C19" s="34" t="n">
        <f aca="false">Reference_Values!B19</f>
        <v>120</v>
      </c>
      <c r="D19" s="16" t="n">
        <f aca="false">ABS(B19-C19)</f>
        <v>0</v>
      </c>
      <c r="E19" s="35" t="n">
        <v>1E-006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348</v>
      </c>
      <c r="B20" s="33" t="n">
        <f aca="false">Relaxation!G22</f>
        <v>110.769230769231</v>
      </c>
      <c r="C20" s="34" t="n">
        <f aca="false">Reference_Values!B20</f>
        <v>110.769230769231</v>
      </c>
      <c r="D20" s="16" t="n">
        <f aca="false">ABS(B20-C20)</f>
        <v>0</v>
      </c>
      <c r="E20" s="35" t="n">
        <v>1E-006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350</v>
      </c>
      <c r="B21" s="33" t="n">
        <f aca="false">Relaxation!H22</f>
        <v>101.538461538462</v>
      </c>
      <c r="C21" s="34" t="n">
        <f aca="false">Reference_Values!B21</f>
        <v>101.538461538462</v>
      </c>
      <c r="D21" s="16" t="n">
        <f aca="false">ABS(B21-C21)</f>
        <v>0</v>
      </c>
      <c r="E21" s="35" t="n">
        <v>1E-006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352</v>
      </c>
      <c r="B22" s="33" t="n">
        <f aca="false">Relaxation!C23</f>
        <v>84.9105296185933</v>
      </c>
      <c r="C22" s="34" t="n">
        <f aca="false">Reference_Values!B22</f>
        <v>84.9105296185933</v>
      </c>
      <c r="D22" s="16" t="n">
        <f aca="false">ABS(B22-C22)</f>
        <v>0</v>
      </c>
      <c r="E22" s="35" t="n">
        <v>1E-006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354</v>
      </c>
      <c r="B23" s="33" t="n">
        <f aca="false">Relaxation!D23</f>
        <v>36.3902269793971</v>
      </c>
      <c r="C23" s="34" t="n">
        <f aca="false">Reference_Values!B23</f>
        <v>36.3902269793971</v>
      </c>
      <c r="D23" s="16" t="n">
        <f aca="false">ABS(B23-C23)</f>
        <v>0</v>
      </c>
      <c r="E23" s="35" t="n">
        <v>1E-006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356</v>
      </c>
      <c r="B24" s="33" t="n">
        <f aca="false">Relaxation!E23</f>
        <v>12.130075659799</v>
      </c>
      <c r="C24" s="34" t="n">
        <f aca="false">Reference_Values!B24</f>
        <v>12.130075659799</v>
      </c>
      <c r="D24" s="16" t="n">
        <f aca="false">ABS(B24-C24)</f>
        <v>0</v>
      </c>
      <c r="E24" s="35" t="n">
        <v>1E-006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358</v>
      </c>
      <c r="B25" s="33" t="n">
        <f aca="false">Relaxation!G24</f>
        <v>9.23076923076926</v>
      </c>
      <c r="C25" s="34" t="n">
        <f aca="false">Reference_Values!B25</f>
        <v>9.23076923076926</v>
      </c>
      <c r="D25" s="16" t="n">
        <f aca="false">ABS(B25-C25)</f>
        <v>0</v>
      </c>
      <c r="E25" s="35" t="n">
        <v>1E-006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360</v>
      </c>
      <c r="B26" s="33" t="n">
        <f aca="false">Relaxation!H24</f>
        <v>18.4615384615385</v>
      </c>
      <c r="C26" s="34" t="n">
        <f aca="false">Reference_Values!B26</f>
        <v>18.4615384615385</v>
      </c>
      <c r="D26" s="16" t="n">
        <f aca="false">ABS(B26-C26)</f>
        <v>0</v>
      </c>
      <c r="E26" s="35" t="n">
        <v>1E-006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362</v>
      </c>
      <c r="B27" s="33" t="n">
        <f aca="false">Relaxation!C50</f>
        <v>1.81578541003091E-006</v>
      </c>
      <c r="C27" s="34" t="n">
        <f aca="false">Reference_Values!B27</f>
        <v>0</v>
      </c>
      <c r="D27" s="16" t="n">
        <f aca="false">ABS(B27-C27)</f>
        <v>1.81578541003091E-006</v>
      </c>
      <c r="E27" s="35" t="n">
        <v>0.001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364</v>
      </c>
      <c r="B28" s="33" t="n">
        <f aca="false">IF(Relaxation!C34&gt;0,1,0)</f>
        <v>1</v>
      </c>
      <c r="C28" s="34" t="n">
        <f aca="false">Reference_Values!B28</f>
        <v>1</v>
      </c>
      <c r="D28" s="16" t="n">
        <f aca="false">ABS(B28-C28)</f>
        <v>0</v>
      </c>
      <c r="E28" s="35" t="n">
        <v>0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366</v>
      </c>
      <c r="B29" s="33" t="n">
        <f aca="false">Relaxation!C38</f>
        <v>-0</v>
      </c>
      <c r="C29" s="34" t="n">
        <f aca="false">Reference_Values!B29</f>
        <v>0</v>
      </c>
      <c r="D29" s="16" t="n">
        <f aca="false">ABS(B29-C29)</f>
        <v>0</v>
      </c>
      <c r="E29" s="35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368</v>
      </c>
      <c r="B30" s="33" t="n">
        <f aca="false">Relaxation!C39</f>
        <v>1687.08870310941</v>
      </c>
      <c r="C30" s="34" t="n">
        <f aca="false">Reference_Values!B30</f>
        <v>1687.08870310941</v>
      </c>
      <c r="D30" s="16" t="n">
        <f aca="false">ABS(B30-C30)</f>
        <v>0</v>
      </c>
      <c r="E30" s="35" t="n">
        <v>1E-006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370</v>
      </c>
      <c r="B31" s="33" t="n">
        <f aca="false">Relaxation!C42</f>
        <v>1838.50967504986</v>
      </c>
      <c r="C31" s="34" t="n">
        <f aca="false">Reference_Values!B31</f>
        <v>1838.50967335983</v>
      </c>
      <c r="D31" s="16" t="n">
        <f aca="false">ABS(B31-C31)</f>
        <v>1.69003169503412E-006</v>
      </c>
      <c r="E31" s="35" t="n">
        <v>1E-005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372</v>
      </c>
      <c r="B32" s="33" t="n">
        <f aca="false">LumpyPlans!L6</f>
        <v>1680</v>
      </c>
      <c r="C32" s="34" t="n">
        <f aca="false">Reference_Values!B32</f>
        <v>1680</v>
      </c>
      <c r="D32" s="16" t="n">
        <f aca="false">ABS(B32-C32)</f>
        <v>0</v>
      </c>
      <c r="E32" s="35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113</v>
      </c>
      <c r="B33" s="33" t="n">
        <f aca="false">LumpyPlans!L8</f>
        <v>3</v>
      </c>
      <c r="C33" s="34" t="n">
        <f aca="false">Reference_Values!B33</f>
        <v>3</v>
      </c>
      <c r="D33" s="16" t="n">
        <f aca="false">ABS(B33-C33)</f>
        <v>0</v>
      </c>
      <c r="E33" s="35" t="n">
        <v>0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114</v>
      </c>
      <c r="B34" s="33" t="n">
        <f aca="false">LumpyPlans!L9</f>
        <v>455</v>
      </c>
      <c r="C34" s="34" t="n">
        <f aca="false">Reference_Values!B34</f>
        <v>455</v>
      </c>
      <c r="D34" s="16" t="n">
        <f aca="false">ABS(B34-C34)</f>
        <v>0</v>
      </c>
      <c r="E34" s="35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115</v>
      </c>
      <c r="B35" s="33" t="n">
        <f aca="false">LumpyPlans!L10</f>
        <v>122.5</v>
      </c>
      <c r="C35" s="34" t="n">
        <f aca="false">Reference_Values!B35</f>
        <v>122.5</v>
      </c>
      <c r="D35" s="16" t="n">
        <f aca="false">ABS(B35-C35)</f>
        <v>0</v>
      </c>
      <c r="E35" s="35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377</v>
      </c>
      <c r="B36" s="33" t="n">
        <f aca="false">Relaxation!B12-LumpyPlans!L6</f>
        <v>7.08870310940711</v>
      </c>
      <c r="C36" s="34" t="n">
        <f aca="false">Reference_Values!B36</f>
        <v>7.08870310940733</v>
      </c>
      <c r="D36" s="16" t="n">
        <f aca="false">ABS(B36-C36)</f>
        <v>2.27373675443232E-013</v>
      </c>
      <c r="E36" s="35" t="n">
        <v>1E-006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379</v>
      </c>
      <c r="B37" s="33" t="n">
        <f aca="false">100*(Relaxation!B12-LumpyPlans!L6)/LumpyPlans!L6</f>
        <v>0.421946613655185</v>
      </c>
      <c r="C37" s="34" t="n">
        <f aca="false">Reference_Values!B37</f>
        <v>0.421946613655198</v>
      </c>
      <c r="D37" s="16" t="n">
        <f aca="false">ABS(B37-C37)</f>
        <v>1.35447209004269E-014</v>
      </c>
      <c r="E37" s="35" t="n">
        <v>1E-006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381</v>
      </c>
      <c r="B38" s="33" t="n">
        <f aca="false">LumpyPlans!L11</f>
        <v>1680</v>
      </c>
      <c r="C38" s="34" t="n">
        <f aca="false">Reference_Values!B38</f>
        <v>1680</v>
      </c>
      <c r="D38" s="16" t="n">
        <f aca="false">ABS(B38-C38)</f>
        <v>0</v>
      </c>
      <c r="E38" s="35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383</v>
      </c>
      <c r="B39" s="33" t="n">
        <f aca="false">LumpyPlans!L12</f>
        <v>1673.75</v>
      </c>
      <c r="C39" s="34" t="n">
        <f aca="false">Reference_Values!B39</f>
        <v>1673.75</v>
      </c>
      <c r="D39" s="16" t="n">
        <f aca="false">ABS(B39-C39)</f>
        <v>0</v>
      </c>
      <c r="E39" s="35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385</v>
      </c>
      <c r="B40" s="33" t="n">
        <f aca="false">LumpyPlans!L13</f>
        <v>1680</v>
      </c>
      <c r="C40" s="34" t="n">
        <f aca="false">Reference_Values!B40</f>
        <v>1680</v>
      </c>
      <c r="D40" s="16" t="n">
        <f aca="false">ABS(B40-C40)</f>
        <v>0</v>
      </c>
      <c r="E40" s="35" t="n">
        <v>1E-006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387</v>
      </c>
      <c r="B41" s="33" t="n">
        <f aca="false">Credit!Q5</f>
        <v>2</v>
      </c>
      <c r="C41" s="34" t="n">
        <f aca="false">Reference_Values!B41</f>
        <v>2</v>
      </c>
      <c r="D41" s="16" t="n">
        <f aca="false">ABS(B41-C41)</f>
        <v>0</v>
      </c>
      <c r="E41" s="35" t="n">
        <v>1E-006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389</v>
      </c>
      <c r="B42" s="33" t="n">
        <f aca="false">Credit!P5</f>
        <v>505</v>
      </c>
      <c r="C42" s="34" t="n">
        <f aca="false">Reference_Values!B42</f>
        <v>505</v>
      </c>
      <c r="D42" s="16" t="n">
        <f aca="false">ABS(B42-C42)</f>
        <v>0</v>
      </c>
      <c r="E42" s="35" t="n">
        <v>1E-006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390</v>
      </c>
      <c r="B43" s="33" t="n">
        <f aca="false">Credit!R5</f>
        <v>505</v>
      </c>
      <c r="C43" s="34" t="n">
        <f aca="false">Reference_Values!B43</f>
        <v>505</v>
      </c>
      <c r="D43" s="16" t="n">
        <f aca="false">ABS(B43-C43)</f>
        <v>0</v>
      </c>
      <c r="E43" s="35" t="n">
        <v>1E-006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391</v>
      </c>
      <c r="B44" s="33" t="n">
        <f aca="false">Credit!T5</f>
        <v>0</v>
      </c>
      <c r="C44" s="34" t="n">
        <f aca="false">Reference_Values!B44</f>
        <v>0</v>
      </c>
      <c r="D44" s="16" t="n">
        <f aca="false">ABS(B44-C44)</f>
        <v>0</v>
      </c>
      <c r="E44" s="35" t="n">
        <v>1E-006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392</v>
      </c>
      <c r="B45" s="33" t="n">
        <f aca="false">Credit!Q6</f>
        <v>2.86355104983386</v>
      </c>
      <c r="C45" s="34" t="n">
        <f aca="false">Reference_Values!B45</f>
        <v>2.86355104983386</v>
      </c>
      <c r="D45" s="16" t="n">
        <f aca="false">ABS(B45-C45)</f>
        <v>0</v>
      </c>
      <c r="E45" s="35" t="n">
        <v>1E-006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393</v>
      </c>
      <c r="B46" s="33" t="n">
        <f aca="false">Credit!P6</f>
        <v>1068.25046911326</v>
      </c>
      <c r="C46" s="34" t="n">
        <f aca="false">Reference_Values!B46</f>
        <v>1068.25046911326</v>
      </c>
      <c r="D46" s="16" t="n">
        <f aca="false">ABS(B46-C46)</f>
        <v>0</v>
      </c>
      <c r="E46" s="35" t="n">
        <v>1E-006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394</v>
      </c>
      <c r="B47" s="33" t="n">
        <f aca="false">Credit!R6</f>
        <v>1067.5</v>
      </c>
      <c r="C47" s="34" t="n">
        <f aca="false">Reference_Values!B47</f>
        <v>1067.5</v>
      </c>
      <c r="D47" s="16" t="n">
        <f aca="false">ABS(B47-C47)</f>
        <v>0</v>
      </c>
      <c r="E47" s="35" t="n">
        <v>1E-006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395</v>
      </c>
      <c r="B48" s="33" t="n">
        <f aca="false">Credit!T6</f>
        <v>0.750469113260806</v>
      </c>
      <c r="C48" s="34" t="n">
        <f aca="false">Reference_Values!B48</f>
        <v>0.750469113260806</v>
      </c>
      <c r="D48" s="16" t="n">
        <f aca="false">ABS(B48-C48)</f>
        <v>0</v>
      </c>
      <c r="E48" s="35" t="n">
        <v>1E-006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396</v>
      </c>
      <c r="B49" s="33" t="n">
        <f aca="false">Credit!Q7</f>
        <v>3.39406576653264</v>
      </c>
      <c r="C49" s="34" t="n">
        <f aca="false">Reference_Values!B49</f>
        <v>3.39406576653264</v>
      </c>
      <c r="D49" s="16" t="n">
        <f aca="false">ABS(B49-C49)</f>
        <v>0</v>
      </c>
      <c r="E49" s="35" t="n">
        <v>1E-006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397</v>
      </c>
      <c r="B50" s="33" t="n">
        <f aca="false">Credit!P7</f>
        <v>1687.08870310941</v>
      </c>
      <c r="C50" s="34" t="n">
        <f aca="false">Reference_Values!B50</f>
        <v>1687.08870310941</v>
      </c>
      <c r="D50" s="16" t="n">
        <f aca="false">ABS(B50-C50)</f>
        <v>0</v>
      </c>
      <c r="E50" s="35" t="n">
        <v>1E-006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398</v>
      </c>
      <c r="B51" s="33" t="n">
        <f aca="false">Credit!R7</f>
        <v>1680</v>
      </c>
      <c r="C51" s="34" t="n">
        <f aca="false">Reference_Values!B51</f>
        <v>1680</v>
      </c>
      <c r="D51" s="16" t="n">
        <f aca="false">ABS(B51-C51)</f>
        <v>0</v>
      </c>
      <c r="E51" s="35" t="n">
        <v>1E-006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399</v>
      </c>
      <c r="B52" s="33" t="n">
        <f aca="false">Credit!T7</f>
        <v>7.08870310940711</v>
      </c>
      <c r="C52" s="34" t="n">
        <f aca="false">Reference_Values!B52</f>
        <v>7.08870310940733</v>
      </c>
      <c r="D52" s="16" t="n">
        <f aca="false">ABS(B52-C52)</f>
        <v>2.27373675443232E-013</v>
      </c>
      <c r="E52" s="35" t="n">
        <v>1E-006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400</v>
      </c>
      <c r="B53" s="33" t="n">
        <f aca="false">Credit!Q8</f>
        <v>4.15305766702885</v>
      </c>
      <c r="C53" s="34" t="n">
        <f aca="false">Reference_Values!B53</f>
        <v>4.15305766702885</v>
      </c>
      <c r="D53" s="16" t="n">
        <f aca="false">ABS(B53-C53)</f>
        <v>0</v>
      </c>
      <c r="E53" s="35" t="n">
        <v>1E-006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401</v>
      </c>
      <c r="B54" s="33" t="n">
        <f aca="false">Credit!P8</f>
        <v>2987.25967504986</v>
      </c>
      <c r="C54" s="34" t="n">
        <f aca="false">Reference_Values!B54</f>
        <v>2987.25967504986</v>
      </c>
      <c r="D54" s="16" t="n">
        <f aca="false">ABS(B54-C54)</f>
        <v>0</v>
      </c>
      <c r="E54" s="35" t="n">
        <v>1E-006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402</v>
      </c>
      <c r="B55" s="33" t="n">
        <f aca="false">Credit!R8</f>
        <v>2986.25</v>
      </c>
      <c r="C55" s="34" t="n">
        <f aca="false">Reference_Values!B55</f>
        <v>2986.25</v>
      </c>
      <c r="D55" s="16" t="n">
        <f aca="false">ABS(B55-C55)</f>
        <v>0</v>
      </c>
      <c r="E55" s="35" t="n">
        <v>1E-006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403</v>
      </c>
      <c r="B56" s="33" t="n">
        <f aca="false">Credit!T8</f>
        <v>1.00967504986238</v>
      </c>
      <c r="C56" s="34" t="n">
        <f aca="false">Reference_Values!B56</f>
        <v>1.00967504986329</v>
      </c>
      <c r="D56" s="16" t="n">
        <f aca="false">ABS(B56-C56)</f>
        <v>9.09494701772928E-013</v>
      </c>
      <c r="E56" s="35" t="n">
        <v>1E-006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404</v>
      </c>
      <c r="B57" s="33" t="n">
        <f aca="false">Credit!Q9</f>
        <v>5.05117805300963</v>
      </c>
      <c r="C57" s="34" t="n">
        <f aca="false">Reference_Values!B57</f>
        <v>5.05117805300963</v>
      </c>
      <c r="D57" s="16" t="n">
        <f aca="false">ABS(B57-C57)</f>
        <v>0</v>
      </c>
      <c r="E57" s="35" t="n">
        <v>1E-006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405</v>
      </c>
      <c r="B58" s="33" t="n">
        <f aca="false">Credit!P9</f>
        <v>5675.11022873217</v>
      </c>
      <c r="C58" s="34" t="n">
        <f aca="false">Reference_Values!B58</f>
        <v>5675.11022873217</v>
      </c>
      <c r="D58" s="16" t="n">
        <f aca="false">ABS(B58-C58)</f>
        <v>0</v>
      </c>
      <c r="E58" s="35" t="n">
        <v>1E-006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406</v>
      </c>
      <c r="B59" s="33" t="n">
        <f aca="false">Credit!R9</f>
        <v>5675</v>
      </c>
      <c r="C59" s="34" t="n">
        <f aca="false">Reference_Values!B59</f>
        <v>5675</v>
      </c>
      <c r="D59" s="16" t="n">
        <f aca="false">ABS(B59-C59)</f>
        <v>0</v>
      </c>
      <c r="E59" s="35" t="n">
        <v>1E-006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407</v>
      </c>
      <c r="B60" s="33" t="n">
        <f aca="false">Credit!T9</f>
        <v>0.110228732168252</v>
      </c>
      <c r="C60" s="34" t="n">
        <f aca="false">Reference_Values!B60</f>
        <v>0.110228732169162</v>
      </c>
      <c r="D60" s="16" t="n">
        <f aca="false">ABS(B60-C60)</f>
        <v>9.09536335136352E-013</v>
      </c>
      <c r="E60" s="35" t="n">
        <v>1E-006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408</v>
      </c>
      <c r="B61" s="33" t="n">
        <f aca="false">Credit!Q10</f>
        <v>5.62436338595444</v>
      </c>
      <c r="C61" s="34" t="n">
        <f aca="false">Reference_Values!B61</f>
        <v>5.62436338595444</v>
      </c>
      <c r="D61" s="16" t="n">
        <f aca="false">ABS(B61-C61)</f>
        <v>0</v>
      </c>
      <c r="E61" s="35" t="n">
        <v>1E-006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409</v>
      </c>
      <c r="B62" s="33" t="n">
        <f aca="false">Credit!P10</f>
        <v>8406.32798877879</v>
      </c>
      <c r="C62" s="34" t="n">
        <f aca="false">Reference_Values!B62</f>
        <v>8406.32798877879</v>
      </c>
      <c r="D62" s="16" t="n">
        <f aca="false">ABS(B62-C62)</f>
        <v>0</v>
      </c>
      <c r="E62" s="35" t="n">
        <v>1E-006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410</v>
      </c>
      <c r="B63" s="33" t="n">
        <f aca="false">Credit!R10</f>
        <v>8400.9375</v>
      </c>
      <c r="C63" s="34" t="n">
        <f aca="false">Reference_Values!B63</f>
        <v>8400.9375</v>
      </c>
      <c r="D63" s="16" t="n">
        <f aca="false">ABS(B63-C63)</f>
        <v>0</v>
      </c>
      <c r="E63" s="35" t="n">
        <v>1E-006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411</v>
      </c>
      <c r="B64" s="33" t="n">
        <f aca="false">Credit!T10</f>
        <v>5.39048877879213</v>
      </c>
      <c r="C64" s="34" t="n">
        <f aca="false">Reference_Values!B64</f>
        <v>5.39048877879213</v>
      </c>
      <c r="D64" s="16" t="n">
        <f aca="false">ABS(B64-C64)</f>
        <v>0</v>
      </c>
      <c r="E64" s="35" t="n">
        <v>1E-006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412</v>
      </c>
      <c r="B65" s="33" t="n">
        <f aca="false">Credit!E18</f>
        <v>5.89276599466718</v>
      </c>
      <c r="C65" s="34" t="n">
        <f aca="false">Reference_Values!B65</f>
        <v>5.89276599466718</v>
      </c>
      <c r="D65" s="16" t="n">
        <f aca="false">ABS(B65-C65)</f>
        <v>0</v>
      </c>
      <c r="E65" s="35" t="n">
        <v>1E-006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414</v>
      </c>
      <c r="B66" s="33" t="n">
        <f aca="false">Credit!E19</f>
        <v>16.7855319893344</v>
      </c>
      <c r="C66" s="34" t="n">
        <f aca="false">Reference_Values!B66</f>
        <v>16.7855319893344</v>
      </c>
      <c r="D66" s="16" t="n">
        <f aca="false">ABS(B66-C66)</f>
        <v>0</v>
      </c>
      <c r="E66" s="35" t="n">
        <v>1E-006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415</v>
      </c>
      <c r="B67" s="33" t="n">
        <f aca="false">Credit!E20</f>
        <v>37.5710639786687</v>
      </c>
      <c r="C67" s="34" t="n">
        <f aca="false">Reference_Values!B67</f>
        <v>37.5710639786687</v>
      </c>
      <c r="D67" s="16" t="n">
        <f aca="false">ABS(B67-C67)</f>
        <v>0</v>
      </c>
      <c r="E67" s="35" t="n">
        <v>1E-006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416</v>
      </c>
      <c r="B68" s="33" t="n">
        <f aca="false">Credit!E21</f>
        <v>78.1421279573374</v>
      </c>
      <c r="C68" s="34" t="n">
        <f aca="false">Reference_Values!B68</f>
        <v>78.1421279573374</v>
      </c>
      <c r="D68" s="16" t="n">
        <f aca="false">ABS(B68-C68)</f>
        <v>0</v>
      </c>
      <c r="E68" s="35" t="n">
        <v>1E-006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417</v>
      </c>
      <c r="B69" s="33" t="n">
        <f aca="false">Credit!F17</f>
        <v>0.946382997333589</v>
      </c>
      <c r="C69" s="34" t="n">
        <f aca="false">Reference_Values!B69</f>
        <v>0.946382997333589</v>
      </c>
      <c r="D69" s="16" t="n">
        <f aca="false">ABS(B69-C69)</f>
        <v>0</v>
      </c>
      <c r="E69" s="35" t="n">
        <v>1E-006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418</v>
      </c>
      <c r="B70" s="33" t="n">
        <f aca="false">Credit!F18</f>
        <v>6.89276599466718</v>
      </c>
      <c r="C70" s="34" t="n">
        <f aca="false">Reference_Values!B70</f>
        <v>6.89276599466718</v>
      </c>
      <c r="D70" s="16" t="n">
        <f aca="false">ABS(B70-C70)</f>
        <v>0</v>
      </c>
      <c r="E70" s="35" t="n">
        <v>1E-006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419</v>
      </c>
      <c r="B71" s="33" t="n">
        <f aca="false">Credit!F19</f>
        <v>17.7855319893344</v>
      </c>
      <c r="C71" s="34" t="n">
        <f aca="false">Reference_Values!B71</f>
        <v>17.7855319893344</v>
      </c>
      <c r="D71" s="16" t="n">
        <f aca="false">ABS(B71-C71)</f>
        <v>0</v>
      </c>
      <c r="E71" s="35" t="n">
        <v>1E-006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420</v>
      </c>
      <c r="B72" s="33" t="n">
        <f aca="false">Credit!F20</f>
        <v>38.5710639786687</v>
      </c>
      <c r="C72" s="34" t="n">
        <f aca="false">Reference_Values!B72</f>
        <v>38.5710639786687</v>
      </c>
      <c r="D72" s="16" t="n">
        <f aca="false">ABS(B72-C72)</f>
        <v>0</v>
      </c>
      <c r="E72" s="35" t="n">
        <v>1E-006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421</v>
      </c>
      <c r="B73" s="33" t="n">
        <f aca="false">Credit!D17</f>
        <v>2.85714285714286</v>
      </c>
      <c r="C73" s="34" t="n">
        <f aca="false">Reference_Values!B73</f>
        <v>2.85714285714286</v>
      </c>
      <c r="D73" s="16" t="n">
        <f aca="false">ABS(B73-C73)</f>
        <v>0</v>
      </c>
      <c r="E73" s="35" t="n">
        <v>1E-006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423</v>
      </c>
      <c r="B74" s="33" t="n">
        <f aca="false">Credit!D18</f>
        <v>10.7142857142857</v>
      </c>
      <c r="C74" s="34" t="n">
        <f aca="false">Reference_Values!B74</f>
        <v>10.7142857142857</v>
      </c>
      <c r="D74" s="16" t="n">
        <f aca="false">ABS(B74-C74)</f>
        <v>0</v>
      </c>
      <c r="E74" s="35" t="n">
        <v>1E-006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424</v>
      </c>
      <c r="B75" s="33" t="n">
        <f aca="false">Credit!D19</f>
        <v>25.4285714285714</v>
      </c>
      <c r="C75" s="34" t="n">
        <f aca="false">Reference_Values!B75</f>
        <v>25.4285714285714</v>
      </c>
      <c r="D75" s="16" t="n">
        <f aca="false">ABS(B75-C75)</f>
        <v>0</v>
      </c>
      <c r="E75" s="35" t="n">
        <v>1E-006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425</v>
      </c>
      <c r="B76" s="33" t="n">
        <f aca="false">Credit!D20</f>
        <v>53.8571428571429</v>
      </c>
      <c r="C76" s="34" t="n">
        <f aca="false">Reference_Values!B76</f>
        <v>53.8571428571429</v>
      </c>
      <c r="D76" s="16" t="n">
        <f aca="false">ABS(B76-C76)</f>
        <v>0</v>
      </c>
      <c r="E76" s="35" t="n">
        <v>1E-006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426</v>
      </c>
      <c r="B77" s="33" t="n">
        <f aca="false">Credit!G17</f>
        <v>2.99524191952084</v>
      </c>
      <c r="C77" s="34" t="n">
        <f aca="false">Reference_Values!B77</f>
        <v>2.99524191952084</v>
      </c>
      <c r="D77" s="16" t="n">
        <f aca="false">ABS(B77-C77)</f>
        <v>0</v>
      </c>
      <c r="E77" s="35" t="n">
        <v>1E-006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427</v>
      </c>
      <c r="B78" s="33" t="n">
        <f aca="false">Credit!G18</f>
        <v>10.9904838390417</v>
      </c>
      <c r="C78" s="34" t="n">
        <f aca="false">Reference_Values!B78</f>
        <v>10.9904838390417</v>
      </c>
      <c r="D78" s="16" t="n">
        <f aca="false">ABS(B78-C78)</f>
        <v>0</v>
      </c>
      <c r="E78" s="35" t="n">
        <v>1E-006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428</v>
      </c>
      <c r="B79" s="33" t="n">
        <f aca="false">Credit!G19</f>
        <v>25.9809676780834</v>
      </c>
      <c r="C79" s="34" t="n">
        <f aca="false">Reference_Values!B79</f>
        <v>25.9809676780834</v>
      </c>
      <c r="D79" s="16" t="n">
        <f aca="false">ABS(B79-C79)</f>
        <v>0</v>
      </c>
      <c r="E79" s="35" t="n">
        <v>1E-006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429</v>
      </c>
      <c r="B80" s="33" t="n">
        <f aca="false">Credit!G20</f>
        <v>54.9619353561668</v>
      </c>
      <c r="C80" s="34" t="n">
        <f aca="false">Reference_Values!B80</f>
        <v>54.9619353561668</v>
      </c>
      <c r="D80" s="16" t="n">
        <f aca="false">ABS(B80-C80)</f>
        <v>0</v>
      </c>
      <c r="E80" s="35" t="n">
        <v>1E-006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430</v>
      </c>
      <c r="B81" s="33" t="n">
        <f aca="false">Credit!B24</f>
        <v>0.471233627055102</v>
      </c>
      <c r="C81" s="34" t="n">
        <f aca="false">Reference_Values!B81</f>
        <v>0.471233627055102</v>
      </c>
      <c r="D81" s="16" t="n">
        <f aca="false">ABS(B81-C81)</f>
        <v>0</v>
      </c>
      <c r="E81" s="35" t="n">
        <v>1E-009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432</v>
      </c>
      <c r="B82" s="33" t="n">
        <f aca="false">Credit!B25</f>
        <v>10.3285598467121</v>
      </c>
      <c r="C82" s="34" t="n">
        <f aca="false">Reference_Values!B82</f>
        <v>10.3285598467121</v>
      </c>
      <c r="D82" s="16" t="n">
        <f aca="false">ABS(B82-C82)</f>
        <v>0</v>
      </c>
      <c r="E82" s="35" t="n">
        <v>1E-006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434</v>
      </c>
      <c r="B83" s="33" t="n">
        <f aca="false">Credit!Q11</f>
        <v>5.47498576191621</v>
      </c>
      <c r="C83" s="34" t="n">
        <f aca="false">Reference_Values!B83</f>
        <v>5.47498576191621</v>
      </c>
      <c r="D83" s="16" t="n">
        <f aca="false">ABS(B83-C83)</f>
        <v>0</v>
      </c>
      <c r="E83" s="35" t="n">
        <v>1E-006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436</v>
      </c>
      <c r="B84" s="33" t="n">
        <f aca="false">Credit!S11</f>
        <v>6</v>
      </c>
      <c r="C84" s="34" t="n">
        <f aca="false">Reference_Values!B84</f>
        <v>6</v>
      </c>
      <c r="D84" s="16" t="n">
        <f aca="false">ABS(B84-C84)</f>
        <v>0</v>
      </c>
      <c r="E84" s="35" t="n">
        <v>0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438</v>
      </c>
      <c r="B85" s="33" t="n">
        <f aca="false">CapitalCap!B7</f>
        <v>1680</v>
      </c>
      <c r="C85" s="34" t="n">
        <f aca="false">Reference_Values!B85</f>
        <v>1679.9999999992</v>
      </c>
      <c r="D85" s="16" t="n">
        <f aca="false">ABS(B85-C85)</f>
        <v>7.9990059020929E-010</v>
      </c>
      <c r="E85" s="35" t="n">
        <v>1E-006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440</v>
      </c>
      <c r="B86" s="33" t="n">
        <f aca="false">CapitalCap!B8</f>
        <v>0.314091529811563</v>
      </c>
      <c r="C86" s="34" t="n">
        <f aca="false">Reference_Values!B86</f>
        <v>0.314091529811563</v>
      </c>
      <c r="D86" s="16" t="n">
        <f aca="false">ABS(B86-C86)</f>
        <v>0</v>
      </c>
      <c r="E86" s="35" t="n">
        <v>1E-009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442</v>
      </c>
      <c r="B87" s="33" t="n">
        <f aca="false">CapitalCap!B9</f>
        <v>0.415175493643221</v>
      </c>
      <c r="C87" s="34" t="n">
        <f aca="false">Reference_Values!B87</f>
        <v>0.415175493643221</v>
      </c>
      <c r="D87" s="16" t="n">
        <f aca="false">ABS(B87-C87)</f>
        <v>0</v>
      </c>
      <c r="E87" s="35" t="n">
        <v>1E-009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444</v>
      </c>
      <c r="B88" s="33" t="n">
        <f aca="false">CapitalCap!B12</f>
        <v>1</v>
      </c>
      <c r="C88" s="34" t="n">
        <f aca="false">Reference_Values!B88</f>
        <v>1</v>
      </c>
      <c r="D88" s="16" t="n">
        <f aca="false">ABS(B88-C88)</f>
        <v>0</v>
      </c>
      <c r="E88" s="35" t="n">
        <v>0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446</v>
      </c>
      <c r="B89" s="33" t="n">
        <f aca="false">CapitalCap!D33</f>
        <v>7.00538294040598E-010</v>
      </c>
      <c r="C89" s="34" t="n">
        <f aca="false">Reference_Values!B89</f>
        <v>0</v>
      </c>
      <c r="D89" s="16" t="n">
        <f aca="false">ABS(B89-C89)</f>
        <v>7.00538294040598E-010</v>
      </c>
      <c r="E89" s="35" t="n">
        <v>1E-005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448</v>
      </c>
      <c r="B90" s="33" t="n">
        <f aca="false">IF(CapitalCap!G31&lt;=0.000001,1,0)</f>
        <v>1</v>
      </c>
      <c r="C90" s="34" t="n">
        <f aca="false">Reference_Values!B90</f>
        <v>1</v>
      </c>
      <c r="D90" s="16" t="n">
        <f aca="false">ABS(B90-C90)</f>
        <v>0</v>
      </c>
      <c r="E90" s="35" t="n">
        <v>0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450</v>
      </c>
      <c r="B91" s="33" t="n">
        <f aca="false">IF(CapitalCap!J31&lt;=0.000001,1,0)</f>
        <v>1</v>
      </c>
      <c r="C91" s="34" t="n">
        <f aca="false">Reference_Values!B91</f>
        <v>1</v>
      </c>
      <c r="D91" s="16" t="n">
        <f aca="false">ABS(B91-C91)</f>
        <v>0</v>
      </c>
      <c r="E91" s="35" t="n">
        <v>0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452</v>
      </c>
      <c r="B92" s="33" t="n">
        <f aca="false">IF(CapitalCap!K31&gt;0.000001,1,0)</f>
        <v>1</v>
      </c>
      <c r="C92" s="34" t="n">
        <f aca="false">Reference_Values!B92</f>
        <v>1</v>
      </c>
      <c r="D92" s="16" t="n">
        <f aca="false">ABS(B92-C92)</f>
        <v>0</v>
      </c>
      <c r="E92" s="35" t="n">
        <v>0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454</v>
      </c>
      <c r="B93" s="33" t="n">
        <f aca="false">IF(CapitalCap!L31&gt;0.000001,1,0)</f>
        <v>1</v>
      </c>
      <c r="C93" s="34" t="n">
        <f aca="false">Reference_Values!B93</f>
        <v>1</v>
      </c>
      <c r="D93" s="16" t="n">
        <f aca="false">ABS(B93-C93)</f>
        <v>0</v>
      </c>
      <c r="E93" s="35" t="n">
        <v>0</v>
      </c>
      <c r="F93" s="4" t="str">
        <f aca="false">IF(D93&lt;=E93,"PASS","FAIL")</f>
        <v>PASS</v>
      </c>
    </row>
    <row r="94" customFormat="false" ht="15" hidden="false" customHeight="false" outlineLevel="0" collapsed="false">
      <c r="A94" s="2" t="s">
        <v>455</v>
      </c>
      <c r="B94" s="33" t="n">
        <f aca="false">OA_Cases!B7</f>
        <v>0.25</v>
      </c>
      <c r="C94" s="34" t="n">
        <f aca="false">Reference_Values!B94</f>
        <v>0.25</v>
      </c>
      <c r="D94" s="16" t="n">
        <f aca="false">ABS(B94-C94)</f>
        <v>0</v>
      </c>
      <c r="E94" s="35" t="n">
        <v>1E-009</v>
      </c>
      <c r="F94" s="4" t="str">
        <f aca="false">IF(D94&lt;=E94,"PASS","FAIL")</f>
        <v>PASS</v>
      </c>
    </row>
    <row r="95" customFormat="false" ht="15" hidden="false" customHeight="false" outlineLevel="0" collapsed="false">
      <c r="A95" s="2" t="s">
        <v>457</v>
      </c>
      <c r="B95" s="33" t="n">
        <f aca="false">OA_Cases!B10</f>
        <v>50</v>
      </c>
      <c r="C95" s="34" t="n">
        <f aca="false">Reference_Values!B95</f>
        <v>50</v>
      </c>
      <c r="D95" s="16" t="n">
        <f aca="false">ABS(B95-C95)</f>
        <v>0</v>
      </c>
      <c r="E95" s="35" t="n">
        <v>1E-009</v>
      </c>
      <c r="F95" s="4" t="str">
        <f aca="false">IF(D95&lt;=E95,"PASS","FAIL")</f>
        <v>PASS</v>
      </c>
    </row>
    <row r="96" customFormat="false" ht="15" hidden="false" customHeight="false" outlineLevel="0" collapsed="false">
      <c r="A96" s="2" t="s">
        <v>459</v>
      </c>
      <c r="B96" s="33" t="n">
        <f aca="false">OA_Cases!B12</f>
        <v>62.5</v>
      </c>
      <c r="C96" s="34" t="n">
        <f aca="false">Reference_Values!B96</f>
        <v>62.5</v>
      </c>
      <c r="D96" s="16" t="n">
        <f aca="false">ABS(B96-C96)</f>
        <v>0</v>
      </c>
      <c r="E96" s="35" t="n">
        <v>1E-009</v>
      </c>
      <c r="F96" s="4" t="str">
        <f aca="false">IF(D96&lt;=E96,"PASS","FAIL")</f>
        <v>PASS</v>
      </c>
    </row>
    <row r="97" customFormat="false" ht="15" hidden="false" customHeight="false" outlineLevel="0" collapsed="false">
      <c r="A97" s="2" t="s">
        <v>461</v>
      </c>
      <c r="B97" s="33" t="n">
        <f aca="false">OA_Cases!B13</f>
        <v>49.4974746830583</v>
      </c>
      <c r="C97" s="34" t="n">
        <f aca="false">Reference_Values!B97</f>
        <v>49.4974746830583</v>
      </c>
      <c r="D97" s="16" t="n">
        <f aca="false">ABS(B97-C97)</f>
        <v>0</v>
      </c>
      <c r="E97" s="35" t="n">
        <v>1E-009</v>
      </c>
      <c r="F97" s="4" t="str">
        <f aca="false">IF(D97&lt;=E97,"PASS","FAIL")</f>
        <v>PASS</v>
      </c>
    </row>
    <row r="98" customFormat="false" ht="15" hidden="false" customHeight="false" outlineLevel="0" collapsed="false">
      <c r="A98" s="2" t="s">
        <v>463</v>
      </c>
      <c r="B98" s="33" t="n">
        <f aca="false">OA_Cases!B31</f>
        <v>45</v>
      </c>
      <c r="C98" s="34" t="n">
        <f aca="false">Reference_Values!B98</f>
        <v>45</v>
      </c>
      <c r="D98" s="16" t="n">
        <f aca="false">ABS(B98-C98)</f>
        <v>0</v>
      </c>
      <c r="E98" s="35" t="n">
        <v>1E-009</v>
      </c>
      <c r="F98" s="4" t="str">
        <f aca="false">IF(D98&lt;=E98,"PASS","FAIL")</f>
        <v>PASS</v>
      </c>
    </row>
    <row r="99" customFormat="false" ht="15" hidden="false" customHeight="false" outlineLevel="0" collapsed="false">
      <c r="A99" s="2" t="s">
        <v>465</v>
      </c>
      <c r="B99" s="33" t="n">
        <f aca="false">OA_Cases!C60</f>
        <v>45</v>
      </c>
      <c r="C99" s="34" t="n">
        <f aca="false">Reference_Values!B99</f>
        <v>45</v>
      </c>
      <c r="D99" s="16" t="n">
        <f aca="false">ABS(B99-C99)</f>
        <v>0</v>
      </c>
      <c r="E99" s="35" t="n">
        <v>1E-009</v>
      </c>
      <c r="F99" s="4" t="str">
        <f aca="false">IF(D99&lt;=E99,"PASS","FAIL")</f>
        <v>PASS</v>
      </c>
    </row>
    <row r="100" customFormat="false" ht="15" hidden="false" customHeight="false" outlineLevel="0" collapsed="false">
      <c r="A100" s="2" t="s">
        <v>467</v>
      </c>
      <c r="B100" s="33" t="n">
        <f aca="false">OA_Cases!B33</f>
        <v>11.25</v>
      </c>
      <c r="C100" s="34" t="n">
        <f aca="false">Reference_Values!B100</f>
        <v>11.25</v>
      </c>
      <c r="D100" s="16" t="n">
        <f aca="false">ABS(B100-C100)</f>
        <v>0</v>
      </c>
      <c r="E100" s="35" t="n">
        <v>1E-009</v>
      </c>
      <c r="F100" s="4" t="str">
        <f aca="false">IF(D100&lt;=E100,"PASS","FAIL")</f>
        <v>PASS</v>
      </c>
    </row>
    <row r="101" customFormat="false" ht="15" hidden="false" customHeight="false" outlineLevel="0" collapsed="false">
      <c r="A101" s="2" t="s">
        <v>469</v>
      </c>
      <c r="B101" s="33" t="n">
        <f aca="false">OA_Cases!B35</f>
        <v>0.25</v>
      </c>
      <c r="C101" s="34" t="n">
        <f aca="false">Reference_Values!B101</f>
        <v>0.25</v>
      </c>
      <c r="D101" s="16" t="n">
        <f aca="false">ABS(B101-C101)</f>
        <v>0</v>
      </c>
      <c r="E101" s="35" t="n">
        <v>1E-009</v>
      </c>
      <c r="F101" s="4" t="str">
        <f aca="false">IF(D101&lt;=E101,"PASS","FAIL")</f>
        <v>PASS</v>
      </c>
    </row>
    <row r="102" customFormat="false" ht="15" hidden="false" customHeight="false" outlineLevel="0" collapsed="false">
      <c r="A102" s="2" t="s">
        <v>471</v>
      </c>
      <c r="B102" s="33" t="n">
        <f aca="false">OA_Cases!B34</f>
        <v>0.75</v>
      </c>
      <c r="C102" s="34" t="n">
        <f aca="false">Reference_Values!B102</f>
        <v>0.75</v>
      </c>
      <c r="D102" s="16" t="n">
        <f aca="false">ABS(B102-C102)</f>
        <v>0</v>
      </c>
      <c r="E102" s="35" t="n">
        <v>1E-009</v>
      </c>
      <c r="F102" s="4" t="str">
        <f aca="false">IF(D102&lt;=E102,"PASS","FAIL")</f>
        <v>PASS</v>
      </c>
    </row>
    <row r="104" customFormat="false" ht="15" hidden="false" customHeight="false" outlineLevel="0" collapsed="false">
      <c r="A104" s="4" t="s">
        <v>477</v>
      </c>
      <c r="F104" s="4" t="str">
        <f aca="false">IF(COUNTIF(F2:F102,"PASS")=101,"ALL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2026-10-05T08:39:57Z</dcterms:created>
  <dc:creator>openpyxl</dc:creator>
  <dc:description/>
  <dc:language>en-US</dc:language>
  <cp:lastModifiedBy/>
  <dcterms:modified xsi:type="dcterms:W3CDTF">2026-10-05T08:39:57Z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