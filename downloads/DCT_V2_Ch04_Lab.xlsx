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larations" sheetId="2" state="visible" r:id="rId4"/>
    <sheet name="Plans" sheetId="3" state="visible" r:id="rId5"/>
    <sheet name="Schedules" sheetId="4" state="visible" r:id="rId6"/>
    <sheet name="Face" sheetId="5" state="visible" r:id="rId7"/>
    <sheet name="Multistart" sheetId="6" state="visible" r:id="rId8"/>
    <sheet name="Audit" sheetId="7" state="visible" r:id="rId9"/>
    <sheet name="Prices" sheetId="8" state="visible" r:id="rId10"/>
    <sheet name="Relaxation" sheetId="9" state="visible" r:id="rId11"/>
    <sheet name="BranchAndBound" sheetId="10" state="visible" r:id="rId12"/>
    <sheet name="Credit" sheetId="11" state="visible" r:id="rId13"/>
    <sheet name="Cap" sheetId="12" state="visible" r:id="rId14"/>
    <sheet name="Package" sheetId="13" state="visible" r:id="rId15"/>
    <sheet name="Reference_Values" sheetId="14" state="visible" r:id="rId16"/>
    <sheet name="Checks" sheetId="15" state="visible" r:id="rId17"/>
  </sheets>
  <definedNames>
    <definedName function="false" hidden="false" name="Cash0" vbProcedure="false">Declarations!$B$16</definedName>
    <definedName function="false" hidden="false" name="Cost_r" vbProcedure="false">Declarations!$B$4</definedName>
    <definedName function="false" hidden="false" name="Credit_10" vbProcedure="false">Declarations!$B$14</definedName>
    <definedName function="false" hidden="false" name="Credit_M" vbProcedure="false">Declarations!$B$13</definedName>
    <definedName function="false" hidden="false" name="End_q" vbProcedure="false">Declarations!$B$12</definedName>
    <definedName function="false" hidden="false" name="Floor_q" vbProcedure="false">Declarations!$B$11</definedName>
    <definedName function="false" hidden="false" name="Gap0" vbProcedure="false">Declarations!$B$7</definedName>
    <definedName function="false" hidden="false" name="Keep" vbProcedure="false">Declarations!$B$17</definedName>
    <definedName function="false" hidden="false" name="Liq0" vbProcedure="false">Declarations!$B$10</definedName>
    <definedName function="false" hidden="false" name="Share" vbProcedure="false">Declarations!$B$9</definedName>
    <definedName function="false" hidden="false" name="Slope0" vbProcedure="false">Declarations!$B$18</definedName>
    <definedName function="false" hidden="false" name="Smax" vbProcedure="false">Declarations!$B$15</definedName>
    <definedName function="false" hidden="false" name="Val_pt" vbProcedure="false">Declarations!$B$8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<sst xmlns="http://schemas.openxmlformats.org/spreadsheetml/2006/main" count="770" uniqueCount="518">
  <si>
    <t xml:space="preserve">DCT Laboratory — Vol II, Ch 4: Nonlinear and Mixed-Integer Enterprise Optimization</t>
  </si>
  <si>
    <t xml:space="preserve">Seed 26204 · Companion to DCT_V2_Ch04_Lab.ipynb and AXIOM Lab 2.4 (module AXIOM-04). Money in $ million, undiscounted.</t>
  </si>
  <si>
    <t xml:space="preserve">Worked Example 4.1, Can Meridian Automate Part of a Line?, with the book's declarations: partial rounds, twenty years' credit for the year-6 savings.</t>
  </si>
  <si>
    <t xml:space="preserve">Declarations: the inputs of Step 1. Plans: the partial-round model for any plan (yours included), with its liquidity, its floors and its value in Chapter 3's relaxation.</t>
  </si>
  <si>
    <t xml:space="preserve">Schedules: the 64 plans of whole rounds, their marginal values and the corner test: three strict local maxima.</t>
  </si>
  <si>
    <t xml:space="preserve">Face: years 4 and 5 vary (AXIOM Lab 2.4, step 1): two peaks, the saddle at (0.75, 0.84) and its curvature.</t>
  </si>
  <si>
    <t xml:space="preserve">Multistart: the inventory of 100 local searches (step 2), from the notebook's engine.</t>
  </si>
  <si>
    <t xml:space="preserve">Audit: multipliers, residuals, LICQ and the reduced Hessian (step 3). Prices: the local prices of Step 3.</t>
  </si>
  <si>
    <t xml:space="preserve">Relaxation: Chapter 3's ceiling in closed form and each answer's distance from it (step 4).</t>
  </si>
  <si>
    <t xml:space="preserve">BranchAndBound: every node of the twenty-year and ten-year trees solved exactly by formulas (step 5).</t>
  </si>
  <si>
    <t xml:space="preserve">Credit: Step 6, the credit at which the best number of rounds changes. Cap: the $60m cap and its price list.</t>
  </si>
  <si>
    <t xml:space="preserve">Package: Worked Example 1.1's package by branch-and-bound (Section 4.5), breach odds from the engine.</t>
  </si>
  <si>
    <t xml:space="preserve">Reference_Values and Checks: the engine's numbers and a PASS/FAIL comparison with this workbook's formulas.</t>
  </si>
  <si>
    <t xml:space="preserve">LEGEND</t>
  </si>
  <si>
    <t xml:space="preserve">Input: blue on pale gold. A declaration from the book; change it to explore.</t>
  </si>
  <si>
    <t xml:space="preserve">Formula: black. Recalculates from the inputs.</t>
  </si>
  <si>
    <t xml:space="preserve">Engine value: green on pale green. Computed by the notebook's engine (the book's numbers); the Checks sheet compares the workbook's formulas with them.</t>
  </si>
  <si>
    <t xml:space="preserve">Cross-sheet link: green.</t>
  </si>
  <si>
    <t xml:space="preserve">Declarations (Worked Example 4.1, Step 1). Money in $ million, undiscounted; rounds as fractions of a round.</t>
  </si>
  <si>
    <t xml:space="preserve">Quantity</t>
  </si>
  <si>
    <t xml:space="preserve">Value</t>
  </si>
  <si>
    <t xml:space="preserve">Source</t>
  </si>
  <si>
    <t xml:space="preserve">Cost of a whole round</t>
  </si>
  <si>
    <t xml:space="preserve">Volume I, Worked Example 6.1</t>
  </si>
  <si>
    <t xml:space="preserve">Operational efficiency today</t>
  </si>
  <si>
    <t xml:space="preserve">Efficiency ceiling</t>
  </si>
  <si>
    <t xml:space="preserve">Efficiency gap today (points)</t>
  </si>
  <si>
    <t xml:space="preserve">14 points</t>
  </si>
  <si>
    <t xml:space="preserve">Savings a year per point of efficiency gained</t>
  </si>
  <si>
    <t xml:space="preserve">From the year of the round on</t>
  </si>
  <si>
    <t xml:space="preserve">Share of the remaining gap a whole round closes</t>
  </si>
  <si>
    <t xml:space="preserve">A fraction z of a round closes the fraction z/2 (the chief operating officer)</t>
  </si>
  <si>
    <t xml:space="preserve">Liquidity today</t>
  </si>
  <si>
    <t xml:space="preserve">Floor, after paying for a round and at each year end</t>
  </si>
  <si>
    <t xml:space="preserve">The board</t>
  </si>
  <si>
    <t xml:space="preserve">End condition: liquidity at the end of year 6</t>
  </si>
  <si>
    <t xml:space="preserve">Cash for another round</t>
  </si>
  <si>
    <t xml:space="preserve">Credit for the year-6 savings (years)</t>
  </si>
  <si>
    <t xml:space="preserve">The expected life of the automated lines</t>
  </si>
  <si>
    <t xml:space="preserve">Ten years' credit (Chapters 2 and 3)</t>
  </si>
  <si>
    <t xml:space="preserve">For the comparisons at ten years</t>
  </si>
  <si>
    <t xml:space="preserve">Savings a year with the gap closed</t>
  </si>
  <si>
    <t xml:space="preserve">140</t>
  </si>
  <si>
    <t xml:space="preserve">Cash above the end condition today</t>
  </si>
  <si>
    <t xml:space="preserve">150: paid out if no round runs</t>
  </si>
  <si>
    <t xml:space="preserve">Chapter 3's relaxation: gap kept per round, 1 - share</t>
  </si>
  <si>
    <t xml:space="preserve">Gap after Z rounds: 14 x 0.5^Z (agrees at whole rounds)</t>
  </si>
  <si>
    <t xml:space="preserve">Chapter 3's relaxation: slope of its savings at Z = 0</t>
  </si>
  <si>
    <t xml:space="preserve">140 ln 2 = 97.04; the slope at Z is this times 0.5^Z</t>
  </si>
  <si>
    <t xml:space="preserve">Payouts are free and can wait, so the floors never bind: a plan z of rounds is worth V(z) = 150 + sum of S_k - 120 sum of z_k + credit x S_6, with S_k = 140 - 10 x gap_k.</t>
  </si>
  <si>
    <t xml:space="preserve">The gap after year k is 14 x the product of (1 - z_j/2) over j &lt;= k: Volume I's recursion read for fractions, identical at whole rounds.</t>
  </si>
  <si>
    <t xml:space="preserve">The partial-round model: any plan of rounds (Worked Example 4.1, Step 1; Proposition 4.2(i))</t>
  </si>
  <si>
    <t xml:space="preserve">Each row is a plan z of rounds by year. Payouts deferred to year 6: liquidity and the smallest slack in the floors and the end condition. Columns AD-AK value the same plan in Chapter 3's relaxation (a ceiling).</t>
  </si>
  <si>
    <t xml:space="preserve">Plan</t>
  </si>
  <si>
    <t xml:space="preserve">z1</t>
  </si>
  <si>
    <t xml:space="preserve">z2</t>
  </si>
  <si>
    <t xml:space="preserve">z3</t>
  </si>
  <si>
    <t xml:space="preserve">z4</t>
  </si>
  <si>
    <t xml:space="preserve">z5</t>
  </si>
  <si>
    <t xml:space="preserve">z6</t>
  </si>
  <si>
    <t xml:space="preserve">gap 1</t>
  </si>
  <si>
    <t xml:space="preserve">gap 2</t>
  </si>
  <si>
    <t xml:space="preserve">gap 3</t>
  </si>
  <si>
    <t xml:space="preserve">gap 4</t>
  </si>
  <si>
    <t xml:space="preserve">gap 5</t>
  </si>
  <si>
    <t xml:space="preserve">gap 6</t>
  </si>
  <si>
    <t xml:space="preserve">S 1</t>
  </si>
  <si>
    <t xml:space="preserve">S 2</t>
  </si>
  <si>
    <t xml:space="preserve">S 3</t>
  </si>
  <si>
    <t xml:space="preserve">S 4</t>
  </si>
  <si>
    <t xml:space="preserve">S 5</t>
  </si>
  <si>
    <t xml:space="preserve">S 6</t>
  </si>
  <si>
    <t xml:space="preserve">Rounds</t>
  </si>
  <si>
    <t xml:space="preserve">V, credit M</t>
  </si>
  <si>
    <t xml:space="preserve">V, ten years</t>
  </si>
  <si>
    <t xml:space="preserve">q 1</t>
  </si>
  <si>
    <t xml:space="preserve">q 2</t>
  </si>
  <si>
    <t xml:space="preserve">q 3</t>
  </si>
  <si>
    <t xml:space="preserve">q 4</t>
  </si>
  <si>
    <t xml:space="preserve">q 5</t>
  </si>
  <si>
    <t xml:space="preserve">q 6</t>
  </si>
  <si>
    <t xml:space="preserve">Smallest slack</t>
  </si>
  <si>
    <t xml:space="preserve">relaxed S 1</t>
  </si>
  <si>
    <t xml:space="preserve">relaxed S 2</t>
  </si>
  <si>
    <t xml:space="preserve">relaxed S 3</t>
  </si>
  <si>
    <t xml:space="preserve">relaxed S 4</t>
  </si>
  <si>
    <t xml:space="preserve">relaxed S 5</t>
  </si>
  <si>
    <t xml:space="preserve">relaxed S 6</t>
  </si>
  <si>
    <t xml:space="preserve">Relaxation, credit M</t>
  </si>
  <si>
    <t xml:space="preserve">Relaxation, ten years</t>
  </si>
  <si>
    <t xml:space="preserve">years 1–4</t>
  </si>
  <si>
    <t xml:space="preserve">years 1–3 and 5</t>
  </si>
  <si>
    <t xml:space="preserve">years 1–3 and 6</t>
  </si>
  <si>
    <t xml:space="preserve">years 1–3</t>
  </si>
  <si>
    <t xml:space="preserve">the saddle: years 1–3, x* in year 4, y* in year 5</t>
  </si>
  <si>
    <t xml:space="preserve">Chapter 3's relaxation at credit M (its plan)</t>
  </si>
  <si>
    <t xml:space="preserve">Chapter 3's relaxation at ten years (its plan)</t>
  </si>
  <si>
    <t xml:space="preserve">half a round in year 1</t>
  </si>
  <si>
    <t xml:space="preserve">your plan (change the blue cells)</t>
  </si>
  <si>
    <t xml:space="preserve">your plan with no year-4 round</t>
  </si>
  <si>
    <t xml:space="preserve">your plan with a whole year-4 round</t>
  </si>
  <si>
    <t xml:space="preserve">The relaxation's plan at credit M, in the partial-round model, below running none</t>
  </si>
  <si>
    <t xml:space="preserve">The relaxation's plan at ten years, in the partial-round model, below three rounds</t>
  </si>
  <si>
    <t xml:space="preserve">Your plan's year-4 round as a blend of none and whole: (1 - z4) V(none) + z4 V(whole)</t>
  </si>
  <si>
    <t xml:space="preserve">Your plan's value less that blend (zero: Proposition 4.2(i))</t>
  </si>
  <si>
    <t xml:space="preserve">V is affine in each round: set any one blue z between 0 and 1 and the value moves in a straight line, never above the better end; the relaxation's value (AJ) always lies above it (2^-z &lt;= 1 - z/2).</t>
  </si>
  <si>
    <t xml:space="preserve">All 64 plans of whole rounds: values, floors, marginal values and the corner test (Proposition 4.2(iii))</t>
  </si>
  <si>
    <t xml:space="preserve">Plan i runs a round in year k when the k-th binary digit of i is 1 (i = 32 z1 + 16 z2 + ... + z6). Marginal values at credit M are exact: V is affine in each round. A corner is a strict local maximum when every marginal value points out of the box.</t>
  </si>
  <si>
    <t xml:space="preserve">i</t>
  </si>
  <si>
    <t xml:space="preserve">marginal 1</t>
  </si>
  <si>
    <t xml:space="preserve">marginal 2</t>
  </si>
  <si>
    <t xml:space="preserve">marginal 3</t>
  </si>
  <si>
    <t xml:space="preserve">marginal 4</t>
  </si>
  <si>
    <t xml:space="preserve">marginal 5</t>
  </si>
  <si>
    <t xml:space="preserve">marginal 6</t>
  </si>
  <si>
    <t xml:space="preserve">Strict local max</t>
  </si>
  <si>
    <t xml:space="preserve">Summary</t>
  </si>
  <si>
    <t xml:space="preserve">Strict local maxima at credit M</t>
  </si>
  <si>
    <t xml:space="preserve">Best plan of whole rounds at credit M</t>
  </si>
  <si>
    <t xml:space="preserve">Its index i</t>
  </si>
  <si>
    <t xml:space="preserve">Smallest slack in the floors over the 64 plans</t>
  </si>
  <si>
    <t xml:space="preserve">Best plan of whole rounds at ten years</t>
  </si>
  <si>
    <t xml:space="preserve">Each slack is affine in each round, so its smallest value over the box [0, 1]^6 is taken at a corner (Online Appendix 4.B.3): 85 over every plan.</t>
  </si>
  <si>
    <t xml:space="preserve">Explore: the face where only years 4 and 5 vary (AXIOM Lab 2.4, step 1; Figure 4.1(a))</t>
  </si>
  <si>
    <t xml:space="preserve">Years 1-3 whole, none in year 6, x of a year-4 round and y of a year-5 round: V = a + b x + c y + d x y, read from the four corners on the Schedules sheet.</t>
  </si>
  <si>
    <t xml:space="preserve">Coefficient</t>
  </si>
  <si>
    <t xml:space="preserve">Reading</t>
  </si>
  <si>
    <t xml:space="preserve">a = V(0, 0), years 1–3</t>
  </si>
  <si>
    <t xml:space="preserve">2,905</t>
  </si>
  <si>
    <t xml:space="preserve">b = V(1, 0) - a</t>
  </si>
  <si>
    <t xml:space="preserve">81.25</t>
  </si>
  <si>
    <t xml:space="preserve">c = V(0, 1) - a</t>
  </si>
  <si>
    <t xml:space="preserve">72.50</t>
  </si>
  <si>
    <t xml:space="preserve">d = V(1, 1) - V(1, 0) - V(0, 1) + a</t>
  </si>
  <si>
    <t xml:space="preserve">-96.25</t>
  </si>
  <si>
    <t xml:space="preserve">Corner (x, y)</t>
  </si>
  <si>
    <t xml:space="preserve">x</t>
  </si>
  <si>
    <t xml:space="preserve">y</t>
  </si>
  <si>
    <t xml:space="preserve">V</t>
  </si>
  <si>
    <t xml:space="preserve">Marginal value of x</t>
  </si>
  <si>
    <t xml:space="preserve">Marginal value of y</t>
  </si>
  <si>
    <t xml:space="preserve">Verdict</t>
  </si>
  <si>
    <t xml:space="preserve">years 1–5</t>
  </si>
  <si>
    <t xml:space="preserve">The stationary plan inside the face</t>
  </si>
  <si>
    <t xml:space="preserve">x* = -c / d (year-4 round)</t>
  </si>
  <si>
    <t xml:space="preserve">0.75</t>
  </si>
  <si>
    <t xml:space="preserve">y* = -b / d (year-5 round)</t>
  </si>
  <si>
    <t xml:space="preserve">0.84</t>
  </si>
  <si>
    <t xml:space="preserve">V* on the face</t>
  </si>
  <si>
    <t xml:space="preserve">2,966.20</t>
  </si>
  <si>
    <t xml:space="preserve">V* from the model (Plans, the saddle's row)</t>
  </si>
  <si>
    <t xml:space="preserve">Hessian on the face, off the diagonal (the diagonal is 0)</t>
  </si>
  <si>
    <t xml:space="preserve">the same at every point</t>
  </si>
  <si>
    <t xml:space="preserve">Its eigenvalue along (1, 1)</t>
  </si>
  <si>
    <t xml:space="preserve">value falls</t>
  </si>
  <si>
    <t xml:space="preserve">Its eigenvalue along (1, -1)</t>
  </si>
  <si>
    <t xml:space="preserve">value rises: a saddle</t>
  </si>
  <si>
    <t xml:space="preserve">t (fraction of a round)</t>
  </si>
  <si>
    <t xml:space="preserve">Move t from year 5 to year 4: V - V*</t>
  </si>
  <si>
    <t xml:space="preserve">-d t^2</t>
  </si>
  <si>
    <t xml:space="preserve">Add t to both rounds: V - V*</t>
  </si>
  <si>
    <t xml:space="preserve">d t^2</t>
  </si>
  <si>
    <t xml:space="preserve">The basin boundary: y - y* = x - x*. Plans above it climb to years 1-3 and 5, plans below it to years 1-4. A tenth of a round moved from year 5 to year 4 adds about $1 million.</t>
  </si>
  <si>
    <t xml:space="preserve">V on the face: y down, x across</t>
  </si>
  <si>
    <t xml:space="preserve">x = 0.0</t>
  </si>
  <si>
    <t xml:space="preserve">x = 0.1</t>
  </si>
  <si>
    <t xml:space="preserve">x = 0.2</t>
  </si>
  <si>
    <t xml:space="preserve">x = 0.3</t>
  </si>
  <si>
    <t xml:space="preserve">x = 0.4</t>
  </si>
  <si>
    <t xml:space="preserve">x = 0.5</t>
  </si>
  <si>
    <t xml:space="preserve">x = 0.6</t>
  </si>
  <si>
    <t xml:space="preserve">x = 0.7</t>
  </si>
  <si>
    <t xml:space="preserve">x = 0.8</t>
  </si>
  <si>
    <t xml:space="preserve">x = 0.9</t>
  </si>
  <si>
    <t xml:space="preserve">x = 1.0</t>
  </si>
  <si>
    <t xml:space="preserve">Search: where 100 local searches end (AXIOM Lab 2.4, step 2; Worked Example 4.1, Step 2; Table 4.4)</t>
  </si>
  <si>
    <t xml:space="preserve">Run counts and iterations are engine values: SciPy's SLSQP and its interior-point trust-constr, run by the notebook from 100 random starts (the book's seed 2026, Online Appendix 4.B.3; the lab's seed 26204).</t>
  </si>
  <si>
    <t xml:space="preserve">Index i</t>
  </si>
  <si>
    <t xml:space="preserve">Value at credit M (formula)</t>
  </si>
  <si>
    <t xml:space="preserve">SLSQP, book's starts (2026)</t>
  </si>
  <si>
    <t xml:space="preserve">SLSQP, lab's starts (26204)</t>
  </si>
  <si>
    <t xml:space="preserve">Interior point, lab's starts (26204)</t>
  </si>
  <si>
    <t xml:space="preserve">Runs in all</t>
  </si>
  <si>
    <t xml:space="preserve">Mean iterations a run (engine)</t>
  </si>
  <si>
    <t xml:space="preserve">Every run ends at a corner, none at the saddle; the same three basins, in different proportions.</t>
  </si>
  <si>
    <t xml:space="preserve">How many random starts?</t>
  </si>
  <si>
    <t xml:space="preserve">Share of starts a basin attracts, v</t>
  </si>
  <si>
    <t xml:space="preserve">5 percent</t>
  </si>
  <si>
    <t xml:space="preserve">Confidence wanted</t>
  </si>
  <si>
    <t xml:space="preserve">Starts needed, N &gt;= ln(1 - confidence) / ln(1 - v)</t>
  </si>
  <si>
    <t xml:space="preserve">58.4</t>
  </si>
  <si>
    <t xml:space="preserve">Rounded up</t>
  </si>
  <si>
    <t xml:space="preserve">about 59 starts (Section 4.4)</t>
  </si>
  <si>
    <t xml:space="preserve">Starts in a run</t>
  </si>
  <si>
    <t xml:space="preserve">Chance that every start misses the basin, (1 - v)^N</t>
  </si>
  <si>
    <t xml:space="preserve">Audit each answer: multipliers, residuals, LICQ and the reduced Hessian (AXIOM Lab 2.4, step 3; Theorems 4.1-4.2)</t>
  </si>
  <si>
    <t xml:space="preserve">Only box limits bind (the floors keep at least 85 of slack). A limit z_j &lt;= 1 binding prices at the marginal value, z_j &gt;= 0 at minus it; stationarity: marginal value = price up - price down.</t>
  </si>
  <si>
    <t xml:space="preserve">price z1&lt;=1</t>
  </si>
  <si>
    <t xml:space="preserve">price z2&lt;=1</t>
  </si>
  <si>
    <t xml:space="preserve">price z3&lt;=1</t>
  </si>
  <si>
    <t xml:space="preserve">price z4&lt;=1</t>
  </si>
  <si>
    <t xml:space="preserve">price z5&lt;=1</t>
  </si>
  <si>
    <t xml:space="preserve">price z6&lt;=1</t>
  </si>
  <si>
    <t xml:space="preserve">price z1&gt;=0</t>
  </si>
  <si>
    <t xml:space="preserve">price z2&gt;=0</t>
  </si>
  <si>
    <t xml:space="preserve">price z3&gt;=0</t>
  </si>
  <si>
    <t xml:space="preserve">price z4&gt;=0</t>
  </si>
  <si>
    <t xml:space="preserve">price z5&gt;=0</t>
  </si>
  <si>
    <t xml:space="preserve">price z6&gt;=0</t>
  </si>
  <si>
    <t xml:space="preserve">Stationarity residual</t>
  </si>
  <si>
    <t xml:space="preserve">Sign residual</t>
  </si>
  <si>
    <t xml:space="preserve">KKT residual</t>
  </si>
  <si>
    <t xml:space="preserve">Binding limits</t>
  </si>
  <si>
    <t xml:space="preserve">Rank (LICQ)</t>
  </si>
  <si>
    <t xml:space="preserve">Critical directions</t>
  </si>
  <si>
    <t xml:space="preserve">years 1–3; 0.75 in 4; 0.84 in 5 (the saddle)</t>
  </si>
  <si>
    <t xml:space="preserve">Rank: the gradients of the binding limits are distinct unit vectors (a round cannot sit at 0 and 1), so the rank equals the number binding and LICQ holds: each plan's multipliers are unique (Theorem 4.2(i)).</t>
  </si>
  <si>
    <t xml:space="preserve">At each corner every binding limit has a positive price: no critical direction, so Theorem 4.1(iii)'s test passes at once and value falls linearly away from the plan.</t>
  </si>
  <si>
    <t xml:space="preserve">Hessian at the saddle</t>
  </si>
  <si>
    <t xml:space="preserve">year 1</t>
  </si>
  <si>
    <t xml:space="preserve">year 2</t>
  </si>
  <si>
    <t xml:space="preserve">year 3</t>
  </si>
  <si>
    <t xml:space="preserve">year 4</t>
  </si>
  <si>
    <t xml:space="preserve">year 5</t>
  </si>
  <si>
    <t xml:space="preserve">year 6</t>
  </si>
  <si>
    <t xml:space="preserve">Free rounds at the saddle: years 4 and 5; reduced Hessian [[0, h], [h, 0]], h =</t>
  </si>
  <si>
    <t xml:space="preserve">Its eigenvalues, along (1, 1) and along (1, -1)</t>
  </si>
  <si>
    <t xml:space="preserve">a positive eigenvalue: along (1, -1) the plan is not a local maximum (Theorem 4.1(ii))</t>
  </si>
  <si>
    <t xml:space="preserve">Read the local prices (Worked Example 4.1, Step 3; Theorem 4.3(ii))</t>
  </si>
  <si>
    <t xml:space="preserve">Each local maximum carries its own prices: the marginal values of the rounds at that plan.</t>
  </si>
  <si>
    <t xml:space="preserve">Marginal value of a round ($m)</t>
  </si>
  <si>
    <t xml:space="preserve">at years 1–4</t>
  </si>
  <si>
    <t xml:space="preserve">at years 1–3 and 5</t>
  </si>
  <si>
    <t xml:space="preserve">at years 1–3 and 6</t>
  </si>
  <si>
    <t xml:space="preserve">Years 1–4: the year-4 round above its cost at the margin</t>
  </si>
  <si>
    <t xml:space="preserve">Years 1–4: forcing a round into year 5 loses</t>
  </si>
  <si>
    <t xml:space="preserve">Years 1–4: forcing a round into year 6 loses</t>
  </si>
  <si>
    <t xml:space="preserve">Years 1–3 and 5: a year-4 round loses at the margin</t>
  </si>
  <si>
    <t xml:space="preserve">Years 1–3 and 5: dropping the year-5 round loses</t>
  </si>
  <si>
    <t xml:space="preserve">Moving the year-5 round to year 4 gains</t>
  </si>
  <si>
    <t xml:space="preserve">The two one-round changes add to</t>
  </si>
  <si>
    <t xml:space="preserve">Their interaction: the swap less the two changes</t>
  </si>
  <si>
    <t xml:space="preserve">The face's -d (Face sheet)</t>
  </si>
  <si>
    <t xml:space="preserve">Local prices answer 'what does a small change from here cost?', not 'is there a better basin?': the swap moves two rounds at once, and their interaction is invisible to prices that move one at a time.</t>
  </si>
  <si>
    <t xml:space="preserve">Bound: Chapter 3's relaxation and the gap to each local answer (AXIOM Lab 2.4, step 4; Worked Example 4.1, Step 4)</t>
  </si>
  <si>
    <t xml:space="preserve">The relaxation's marginal values fall from year to year, so its best plan runs whole rounds first and one fraction after them. Its value bounds every plan of whole or partial rounds (2^-z &lt;= 1 - z/2).</t>
  </si>
  <si>
    <t xml:space="preserve">At credit M (twenty years)</t>
  </si>
  <si>
    <t xml:space="preserve">Whole rounds n</t>
  </si>
  <si>
    <t xml:space="preserve">6 - n + M</t>
  </si>
  <si>
    <t xml:space="preserve">Z where the next round's marginal value is 0</t>
  </si>
  <si>
    <t xml:space="preserve">Rounds Z, n &lt;= Z &lt;= n + 1</t>
  </si>
  <si>
    <t xml:space="preserve">S(min(1, Z))</t>
  </si>
  <si>
    <t xml:space="preserve">S(min(2, Z))</t>
  </si>
  <si>
    <t xml:space="preserve">S(min(3, Z))</t>
  </si>
  <si>
    <t xml:space="preserve">S(min(4, Z))</t>
  </si>
  <si>
    <t xml:space="preserve">S(min(5, Z))</t>
  </si>
  <si>
    <t xml:space="preserve">S(min(6, Z))</t>
  </si>
  <si>
    <t xml:space="preserve">Ceiling: the best of these</t>
  </si>
  <si>
    <t xml:space="preserve">Rounds run, Z</t>
  </si>
  <si>
    <t xml:space="preserve">Its plan, z_k = min(1, max(0, Z - (k - 1)))</t>
  </si>
  <si>
    <t xml:space="preserve">At ten years' credit</t>
  </si>
  <si>
    <t xml:space="preserve">Value at credit M</t>
  </si>
  <si>
    <t xml:space="preserve">Below the ceiling</t>
  </si>
  <si>
    <t xml:space="preserve">Below the ceiling (%)</t>
  </si>
  <si>
    <t xml:space="preserve">the saddle</t>
  </si>
  <si>
    <t xml:space="preserve">Part of a round z</t>
  </si>
  <si>
    <t xml:space="preserve">1 - z/2 (partial rounds)</t>
  </si>
  <si>
    <t xml:space="preserve">2^-z (Chapter 3)</t>
  </si>
  <si>
    <t xml:space="preserve">Difference</t>
  </si>
  <si>
    <t xml:space="preserve">Smallest difference (never below 0: the relaxation's gap is never larger)</t>
  </si>
  <si>
    <t xml:space="preserve">Branch: close the gap (AXIOM Lab 2.4, step 5; Worked Example 4.1, Step 5; Figure 4.3; Theorem 4.4)</t>
  </si>
  <si>
    <t xml:space="preserve">Each node fixes some rounds (blue: blank = free, 0 = none, 1 = whole; the book's trees, depth first, most fractional round, nearer child first). Its relaxation is solved exactly in the block below: the free rounds run whole up to a pivot, which solves its marginal equation, and none after it; the best pivot wins.</t>
  </si>
  <si>
    <t xml:space="preserve">year:</t>
  </si>
  <si>
    <t xml:space="preserve">Credit</t>
  </si>
  <si>
    <t xml:space="preserve">Node</t>
  </si>
  <si>
    <t xml:space="preserve">Parent</t>
  </si>
  <si>
    <t xml:space="preserve">fix z1</t>
  </si>
  <si>
    <t xml:space="preserve">fix z2</t>
  </si>
  <si>
    <t xml:space="preserve">fix z3</t>
  </si>
  <si>
    <t xml:space="preserve">fix z4</t>
  </si>
  <si>
    <t xml:space="preserve">fix z5</t>
  </si>
  <si>
    <t xml:space="preserve">fix z6</t>
  </si>
  <si>
    <t xml:space="preserve">Ceiling</t>
  </si>
  <si>
    <t xml:space="preserve">Fractional round</t>
  </si>
  <si>
    <t xml:space="preserve">Parent's ceiling</t>
  </si>
  <si>
    <t xml:space="preserve">Incumbent before</t>
  </si>
  <si>
    <t xml:space="preserve">Incumbent after</t>
  </si>
  <si>
    <t xml:space="preserve">Largest open ceiling after</t>
  </si>
  <si>
    <t xml:space="preserve">Gap after the node</t>
  </si>
  <si>
    <t xml:space="preserve">Branches on the parent's fractional round</t>
  </si>
  <si>
    <t xml:space="preserve">twenty years</t>
  </si>
  <si>
    <t xml:space="preserve">Solves</t>
  </si>
  <si>
    <t xml:space="preserve">Best plan, worth</t>
  </si>
  <si>
    <t xml:space="preserve">Branched nodes x 2 + 1 = nodes:</t>
  </si>
  <si>
    <t xml:space="preserve">ten years</t>
  </si>
  <si>
    <t xml:space="preserve">Node row</t>
  </si>
  <si>
    <t xml:space="preserve">Pivot f</t>
  </si>
  <si>
    <t xml:space="preserve">Free?</t>
  </si>
  <si>
    <t xml:space="preserve">z1, pivot 0</t>
  </si>
  <si>
    <t xml:space="preserve">z2, pivot 0</t>
  </si>
  <si>
    <t xml:space="preserve">z3, pivot 0</t>
  </si>
  <si>
    <t xml:space="preserve">z4, pivot 0</t>
  </si>
  <si>
    <t xml:space="preserve">z5, pivot 0</t>
  </si>
  <si>
    <t xml:space="preserve">z6, pivot 0</t>
  </si>
  <si>
    <t xml:space="preserve">Z1, pivot 0</t>
  </si>
  <si>
    <t xml:space="preserve">Z2, pivot 0</t>
  </si>
  <si>
    <t xml:space="preserve">Z3, pivot 0</t>
  </si>
  <si>
    <t xml:space="preserve">Z4, pivot 0</t>
  </si>
  <si>
    <t xml:space="preserve">Z5, pivot 0</t>
  </si>
  <si>
    <t xml:space="preserve">Z6, pivot 0</t>
  </si>
  <si>
    <t xml:space="preserve">term 1</t>
  </si>
  <si>
    <t xml:space="preserve">term 2</t>
  </si>
  <si>
    <t xml:space="preserve">term 3</t>
  </si>
  <si>
    <t xml:space="preserve">term 4</t>
  </si>
  <si>
    <t xml:space="preserve">term 5</t>
  </si>
  <si>
    <t xml:space="preserve">term 6</t>
  </si>
  <si>
    <t xml:space="preserve">A</t>
  </si>
  <si>
    <t xml:space="preserve">Pivot's value</t>
  </si>
  <si>
    <t xml:space="preserve">Z1</t>
  </si>
  <si>
    <t xml:space="preserve">Z2</t>
  </si>
  <si>
    <t xml:space="preserve">Z3</t>
  </si>
  <si>
    <t xml:space="preserve">Z4</t>
  </si>
  <si>
    <t xml:space="preserve">Z5</t>
  </si>
  <si>
    <t xml:space="preserve">Z6</t>
  </si>
  <si>
    <t xml:space="preserve">S1</t>
  </si>
  <si>
    <t xml:space="preserve">S2</t>
  </si>
  <si>
    <t xml:space="preserve">S3</t>
  </si>
  <si>
    <t xml:space="preserve">S4</t>
  </si>
  <si>
    <t xml:space="preserve">S5</t>
  </si>
  <si>
    <t xml:space="preserve">S6</t>
  </si>
  <si>
    <t xml:space="preserve">Test the credit (Worked Example 4.1, Step 6; Theorem 4.3(ii), (iv)): n early rounds, value a + b M</t>
  </si>
  <si>
    <t xml:space="preserve">n whole rounds in years 1..n: the payouts (credit 0) and the year-6 savings, the rate at which the value grows with each year of credit. The best number of rounds changes where two lines cross.</t>
  </si>
  <si>
    <t xml:space="preserve">Early rounds n</t>
  </si>
  <si>
    <t xml:space="preserve">Value with no credit</t>
  </si>
  <si>
    <t xml:space="preserve">S6: per year of credit</t>
  </si>
  <si>
    <t xml:space="preserve">Value at ten years</t>
  </si>
  <si>
    <t xml:space="preserve">Credit at which n + 1 overtakes n</t>
  </si>
  <si>
    <t xml:space="preserve">The three local maxima</t>
  </si>
  <si>
    <t xml:space="preserve">Year-6 savings (slope)</t>
  </si>
  <si>
    <t xml:space="preserve">Value where four rounds overtake three</t>
  </si>
  <si>
    <t xml:space="preserve">Value where five rounds overtake four</t>
  </si>
  <si>
    <t xml:space="preserve">All three run four rounds by year 6: their values rise together and their ranking never changes with the credit. Three rounds are best from 2.86 to 10.71 years, four from 10.71 to 25.43.</t>
  </si>
  <si>
    <t xml:space="preserve">A price list on a lumpy cap: $60m of capital at ten years' credit (Proposition 4.1(iii); Section 4.6)</t>
  </si>
  <si>
    <t xml:space="preserve">Whole rounds only. Pricing the cap at mu gives the ceiling q(mu) = max over plans of V(z) - mu (120 x rounds - 60) (Theorem 3.4(i)); no price can say that half a round is no round.</t>
  </si>
  <si>
    <t xml:space="preserve">Capital cap ($m)</t>
  </si>
  <si>
    <t xml:space="preserve">Rounds n</t>
  </si>
  <si>
    <t xml:space="preserve">Best value with n rounds, ten years</t>
  </si>
  <si>
    <t xml:space="preserve">Capital used</t>
  </si>
  <si>
    <t xml:space="preserve">Within the cap?</t>
  </si>
  <si>
    <t xml:space="preserve">Line at the best price: best_n + mu* (cap - 120 n)</t>
  </si>
  <si>
    <t xml:space="preserve">Envelope at the cap</t>
  </si>
  <si>
    <t xml:space="preserve">Best plan within the cap, p*</t>
  </si>
  <si>
    <t xml:space="preserve">Best price mu*, where the lines of none and one round cross</t>
  </si>
  <si>
    <t xml:space="preserve">Ceiling at the best price, q(mu*)</t>
  </si>
  <si>
    <t xml:space="preserve">The concave envelope of the best values at the cap</t>
  </si>
  <si>
    <t xml:space="preserve">Chapter 3's relaxation with the cap: z1 = cap / 120, all in year 1</t>
  </si>
  <si>
    <t xml:space="preserve">Its value</t>
  </si>
  <si>
    <t xml:space="preserve">Partial rounds: half a round in year 1 (Plans)</t>
  </si>
  <si>
    <t xml:space="preserve">The relaxation spends the cap where the marginal value is highest, year 1, since its marginal values fall from year to year. The partial-round half round is the blend of none and one round.</t>
  </si>
  <si>
    <t xml:space="preserve">Price mu</t>
  </si>
  <si>
    <t xml:space="preserve">q(mu) = max over n of best_n + mu (cap - 120 n)</t>
  </si>
  <si>
    <t xml:space="preserve">Smallest ceiling on this grid</t>
  </si>
  <si>
    <t xml:space="preserve">Worked Example 1.1's package by branch-and-bound (Section 4.5; Figure 4.2; Online Appendix 4.B.2)</t>
  </si>
  <si>
    <t xml:space="preserve">Minimize 0.03 l + 8 phi subject to breach odds of at most 5 percent on Volume I's 100,000 paths (seed 8). Each node's relaxed answer (line, least delay) comes from the engine; its floor is a formula.</t>
  </si>
  <si>
    <t xml:space="preserve">Line fees over the program, per $ of line</t>
  </si>
  <si>
    <t xml:space="preserve">A quarter of delay ($m)</t>
  </si>
  <si>
    <t xml:space="preserve">Relative gap a solver stops at (0.01 percent)</t>
  </si>
  <si>
    <t xml:space="preserve">Volume I's continuous answer ($5m grid): line, delay, floor</t>
  </si>
  <si>
    <t xml:space="preserve">$50m tranches, whole quarters</t>
  </si>
  <si>
    <t xml:space="preserve">Ranges</t>
  </si>
  <si>
    <t xml:space="preserve">Line (engine)</t>
  </si>
  <si>
    <t xml:space="preserve">Delay (engine)</t>
  </si>
  <si>
    <t xml:space="preserve">Floor (formula)</t>
  </si>
  <si>
    <t xml:space="preserve">Verdict (engine)</t>
  </si>
  <si>
    <t xml:space="preserve">all</t>
  </si>
  <si>
    <t xml:space="preserve">branch on the delay</t>
  </si>
  <si>
    <t xml:space="preserve">delay 0</t>
  </si>
  <si>
    <t xml:space="preserve">none: infeasible</t>
  </si>
  <si>
    <t xml:space="preserve">infeasible</t>
  </si>
  <si>
    <t xml:space="preserve">delay ≥ 1</t>
  </si>
  <si>
    <t xml:space="preserve">branch on the line</t>
  </si>
  <si>
    <t xml:space="preserve">delay ≥ 1, line ≤ 100</t>
  </si>
  <si>
    <t xml:space="preserve">pruned</t>
  </si>
  <si>
    <t xml:space="preserve">delay ≥ 1, line ≥ 150</t>
  </si>
  <si>
    <t xml:space="preserve">lumpy: the incumbent</t>
  </si>
  <si>
    <t xml:space="preserve">$10m tranches, whole quarters</t>
  </si>
  <si>
    <t xml:space="preserve">delay ≥ 1, line ≤ 120</t>
  </si>
  <si>
    <t xml:space="preserve">delay ≥ 1, line ≥ 130</t>
  </si>
  <si>
    <t xml:space="preserve">delay 1, line ≤ 120</t>
  </si>
  <si>
    <t xml:space="preserve">delay ≥ 2, line ≤ 120</t>
  </si>
  <si>
    <t xml:space="preserve">The price of the lumps: best package less Volume I's floor</t>
  </si>
  <si>
    <t xml:space="preserve">The cut 'delay at least one quarter' lifts the floor by</t>
  </si>
  <si>
    <t xml:space="preserve">0.01 percent of the best package's cost ($)</t>
  </si>
  <si>
    <t xml:space="preserve">0.01 percent of Meridian's automation value ($m)</t>
  </si>
  <si>
    <t xml:space="preserve">Checkpoint</t>
  </si>
  <si>
    <t xml:space="preserve">Engine value</t>
  </si>
  <si>
    <t xml:space="preserve">Meaning (where in the book)</t>
  </si>
  <si>
    <t xml:space="preserve">smallest floor slack over every plan, $m (workbook)</t>
  </si>
  <si>
    <t xml:space="preserve">Online Appendix 4.B.3: 85</t>
  </si>
  <si>
    <t xml:space="preserve">relaxation's year-5 round at 20 years (workbook)</t>
  </si>
  <si>
    <t xml:space="preserve">Worked Example 4.1, Step 1: 0.15</t>
  </si>
  <si>
    <t xml:space="preserve">that plan in the partial-round model, $m (workbook)</t>
  </si>
  <si>
    <t xml:space="preserve">2,982.61</t>
  </si>
  <si>
    <t xml:space="preserve">that plan below running none, $m (workbook)</t>
  </si>
  <si>
    <t xml:space="preserve">3.64 (Figure 4.1(b))</t>
  </si>
  <si>
    <t xml:space="preserve">relaxation's year-4 round at 10 years (workbook)</t>
  </si>
  <si>
    <t xml:space="preserve">Chapter 3's 0.39</t>
  </si>
  <si>
    <t xml:space="preserve">that plan below three rounds at 10 years, $m (workbook)</t>
  </si>
  <si>
    <t xml:space="preserve">2.46</t>
  </si>
  <si>
    <t xml:space="preserve">face: constant, $m (workbook)</t>
  </si>
  <si>
    <t xml:space="preserve">Figure 4.1(a): 2,905</t>
  </si>
  <si>
    <t xml:space="preserve">face: year-4 coefficient (workbook)</t>
  </si>
  <si>
    <t xml:space="preserve">face: year-5 coefficient (workbook)</t>
  </si>
  <si>
    <t xml:space="preserve">72.5</t>
  </si>
  <si>
    <t xml:space="preserve">face: interaction coefficient (workbook)</t>
  </si>
  <si>
    <t xml:space="preserve">saddle: year-4 round (workbook)</t>
  </si>
  <si>
    <t xml:space="preserve">saddle: year-5 round (workbook)</t>
  </si>
  <si>
    <t xml:space="preserve">saddle: value, $m (workbook)</t>
  </si>
  <si>
    <t xml:space="preserve">saddle: positive eigenvalue on the face (workbook)</t>
  </si>
  <si>
    <t xml:space="preserve">96.25</t>
  </si>
  <si>
    <t xml:space="preserve">starts to find a 5% basin at 95% (workbook)</t>
  </si>
  <si>
    <t xml:space="preserve">Section 4.4: about 59 starts</t>
  </si>
  <si>
    <t xml:space="preserve">years 1–4, $m (workbook)</t>
  </si>
  <si>
    <t xml:space="preserve">Table 4.4: 2,986.25</t>
  </si>
  <si>
    <t xml:space="preserve">years 1–3 and 5, $m (workbook)</t>
  </si>
  <si>
    <t xml:space="preserve">2,977.50</t>
  </si>
  <si>
    <t xml:space="preserve">years 1–3 and 6, $m (workbook)</t>
  </si>
  <si>
    <t xml:space="preserve">2,968.75</t>
  </si>
  <si>
    <t xml:space="preserve">strict local maxima among the 64 plans (workbook)</t>
  </si>
  <si>
    <t xml:space="preserve">Online Appendix 4.B.3: three</t>
  </si>
  <si>
    <t xml:space="preserve">largest KKT residual, three local maxima (workbook)</t>
  </si>
  <si>
    <t xml:space="preserve">zero residuals (Step 2)</t>
  </si>
  <si>
    <t xml:space="preserve">years 1–4: year-4 round above its cost, $m (workbook)</t>
  </si>
  <si>
    <t xml:space="preserve">Step 3: 81.25</t>
  </si>
  <si>
    <t xml:space="preserve">years 1–4: forcing a year-5 round, $m (workbook)</t>
  </si>
  <si>
    <t xml:space="preserve">23.75</t>
  </si>
  <si>
    <t xml:space="preserve">years 1–4: forcing a year-6 round, $m (workbook)</t>
  </si>
  <si>
    <t xml:space="preserve">28.13</t>
  </si>
  <si>
    <t xml:space="preserve">years 1–3 and 5: a year-4 round, $m (workbook)</t>
  </si>
  <si>
    <t xml:space="preserve">15.00</t>
  </si>
  <si>
    <t xml:space="preserve">swap of the year-5 round into year 4, $m (workbook)</t>
  </si>
  <si>
    <t xml:space="preserve">8.75</t>
  </si>
  <si>
    <t xml:space="preserve">interaction of the two rounds, $m (workbook)</t>
  </si>
  <si>
    <t xml:space="preserve">ceiling: Chapter 3's relaxation, $m (workbook)</t>
  </si>
  <si>
    <t xml:space="preserve">Step 4: 2,987.26</t>
  </si>
  <si>
    <t xml:space="preserve">best local answer below the ceiling, $m (workbook)</t>
  </si>
  <si>
    <t xml:space="preserve">1.01</t>
  </si>
  <si>
    <t xml:space="preserve">best local answer below the ceiling, % (workbook)</t>
  </si>
  <si>
    <t xml:space="preserve">0.03 percent</t>
  </si>
  <si>
    <t xml:space="preserve">years 1–3 and 5 below the ceiling, $m (workbook)</t>
  </si>
  <si>
    <t xml:space="preserve">9.76</t>
  </si>
  <si>
    <t xml:space="preserve">years 1–3 and 6 below the ceiling, $m (workbook)</t>
  </si>
  <si>
    <t xml:space="preserve">18.51</t>
  </si>
  <si>
    <t xml:space="preserve">saddle below the ceiling, $m (workbook)</t>
  </si>
  <si>
    <t xml:space="preserve">Table 4.4: 21.06</t>
  </si>
  <si>
    <t xml:space="preserve">branch-and-bound at 20 years: solves (workbook)</t>
  </si>
  <si>
    <t xml:space="preserve">Step 5: five convex solves</t>
  </si>
  <si>
    <t xml:space="preserve">node 2: ceiling, $m (workbook)</t>
  </si>
  <si>
    <t xml:space="preserve">Figure 4.3: 2,986.56</t>
  </si>
  <si>
    <t xml:space="preserve">node 2: year-6 round (workbook)</t>
  </si>
  <si>
    <t xml:space="preserve">0.09</t>
  </si>
  <si>
    <t xml:space="preserve">node 3: the incumbent, $m (workbook)</t>
  </si>
  <si>
    <t xml:space="preserve">2,986.25</t>
  </si>
  <si>
    <t xml:space="preserve">node 4: ceiling, $m (workbook)</t>
  </si>
  <si>
    <t xml:space="preserve">2,973.88</t>
  </si>
  <si>
    <t xml:space="preserve">node 5: ceiling, $m (workbook)</t>
  </si>
  <si>
    <t xml:space="preserve">2,980.95</t>
  </si>
  <si>
    <t xml:space="preserve">gap after the last node, $m (workbook)</t>
  </si>
  <si>
    <t xml:space="preserve">gap zero</t>
  </si>
  <si>
    <t xml:space="preserve">branch-and-bound at 10 years: solves (workbook)</t>
  </si>
  <si>
    <t xml:space="preserve">seven solves</t>
  </si>
  <si>
    <t xml:space="preserve">10 years: root ceiling, $m (workbook)</t>
  </si>
  <si>
    <t xml:space="preserve">Online Appendix 4.B.3: 1,687.09</t>
  </si>
  <si>
    <t xml:space="preserve">10 years: best plan, three rounds, $m (workbook)</t>
  </si>
  <si>
    <t xml:space="preserve">1,680.00</t>
  </si>
  <si>
    <t xml:space="preserve">credit: slope of three rounds, $m a year (workbook)</t>
  </si>
  <si>
    <t xml:space="preserve">Theorem 4.3: 122.5</t>
  </si>
  <si>
    <t xml:space="preserve">credit: slope of four rounds, $m a year (workbook)</t>
  </si>
  <si>
    <t xml:space="preserve">131.25</t>
  </si>
  <si>
    <t xml:space="preserve">credit: three rounds to four, years (workbook)</t>
  </si>
  <si>
    <t xml:space="preserve">Step 6: 10.71</t>
  </si>
  <si>
    <t xml:space="preserve">credit: four rounds to five, years (workbook)</t>
  </si>
  <si>
    <t xml:space="preserve">25.43</t>
  </si>
  <si>
    <t xml:space="preserve">$60m cap: best plan of whole rounds, $m (workbook)</t>
  </si>
  <si>
    <t xml:space="preserve">Proposition 4.1(iii): 150</t>
  </si>
  <si>
    <t xml:space="preserve">$60m cap: best ceiling from a price, $m (workbook)</t>
  </si>
  <si>
    <t xml:space="preserve">650</t>
  </si>
  <si>
    <t xml:space="preserve">$60m cap: the best price (workbook)</t>
  </si>
  <si>
    <t xml:space="preserve">25/3</t>
  </si>
  <si>
    <t xml:space="preserve">$60m cap: Chapter 3's relaxation, $m (workbook)</t>
  </si>
  <si>
    <t xml:space="preserve">Section 4.6: 746</t>
  </si>
  <si>
    <t xml:space="preserve">$60m cap: half a round in year 1, $m (workbook)</t>
  </si>
  <si>
    <t xml:space="preserve">Online Appendix 4.B.3: 650</t>
  </si>
  <si>
    <t xml:space="preserve">package: Volume I's continuous floor, $m (workbook)</t>
  </si>
  <si>
    <t xml:space="preserve">Section 4.5: 10.44</t>
  </si>
  <si>
    <t xml:space="preserve">package: node 3 floor, $m (workbook)</t>
  </si>
  <si>
    <t xml:space="preserve">11.63</t>
  </si>
  <si>
    <t xml:space="preserve">package: node 4 floor, $m (workbook)</t>
  </si>
  <si>
    <t xml:space="preserve">13.30</t>
  </si>
  <si>
    <t xml:space="preserve">package: node 5, the best package, $m (workbook)</t>
  </si>
  <si>
    <t xml:space="preserve">12.50</t>
  </si>
  <si>
    <t xml:space="preserve">package: the price of the lumps, $m (workbook)</t>
  </si>
  <si>
    <t xml:space="preserve">2.06</t>
  </si>
  <si>
    <t xml:space="preserve">package: the cut closes, $m (workbook)</t>
  </si>
  <si>
    <t xml:space="preserve">1.19</t>
  </si>
  <si>
    <t xml:space="preserve">$10m tranches: best package, $m (workbook)</t>
  </si>
  <si>
    <t xml:space="preserve">Online Appendix 4.B.2: 11.90</t>
  </si>
  <si>
    <t xml:space="preserve">$10m tranches: floor of two quarters, $m (workbook)</t>
  </si>
  <si>
    <t xml:space="preserve">18.10</t>
  </si>
  <si>
    <t xml:space="preserve">0.01% of the package's cost, $ (workbook)</t>
  </si>
  <si>
    <t xml:space="preserve">Section 4.5: $1,250</t>
  </si>
  <si>
    <t xml:space="preserve">0.01% of Meridian's automation value, $m (workbook)</t>
  </si>
  <si>
    <t xml:space="preserve">about $0.3 million</t>
  </si>
  <si>
    <t xml:space="preserve">Workbook formula value</t>
  </si>
  <si>
    <t xml:space="preserve">|diff|</t>
  </si>
  <si>
    <t xml:space="preserve">Tolerance</t>
  </si>
  <si>
    <t xml:space="preserve">Status</t>
  </si>
  <si>
    <t xml:space="preserve">All checkpoints</t>
  </si>
</sst>
</file>

<file path=xl/styles.xml><?xml version="1.0" encoding="utf-8"?>
<styleSheet xmlns="http://schemas.openxmlformats.org/spreadsheetml/2006/main">
  <numFmts count="17">
    <numFmt numFmtId="164" formatCode="General"/>
    <numFmt numFmtId="165" formatCode="0.00"/>
    <numFmt numFmtId="166" formatCode="0.0000"/>
    <numFmt numFmtId="167" formatCode="0.000"/>
    <numFmt numFmtId="168" formatCode="#,##0.000"/>
    <numFmt numFmtId="169" formatCode="0"/>
    <numFmt numFmtId="170" formatCode="#,##0.00"/>
    <numFmt numFmtId="171" formatCode="#,##0.0000"/>
    <numFmt numFmtId="172" formatCode="0.0"/>
    <numFmt numFmtId="173" formatCode="#,##0.0"/>
    <numFmt numFmtId="174" formatCode="0.0E+00"/>
    <numFmt numFmtId="175" formatCode="[&lt;-100000000]&quot;none&quot;;#,##0.00"/>
    <numFmt numFmtId="176" formatCode="[=0]&quot;none open&quot;;#,##0.00"/>
    <numFmt numFmtId="177" formatCode="General"/>
    <numFmt numFmtId="178" formatCode="[&lt;0]&quot;at any credit&quot;;0.00"/>
    <numFmt numFmtId="179" formatCode="#,##0"/>
    <numFmt numFmtId="180" formatCode="0.0000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s>
  <fills count="5">
    <fill>
      <patternFill patternType="none"/>
    </fill>
    <fill>
      <patternFill patternType="gray125"/>
    </fill>
    <fill>
      <patternFill patternType="solid">
        <fgColor rgb="FFFFF3D6"/>
        <bgColor rgb="FFE8F0EC"/>
      </patternFill>
    </fill>
    <fill>
      <patternFill patternType="solid">
        <fgColor rgb="FFE8F0EC"/>
        <bgColor rgb="FFFFF3D6"/>
      </patternFill>
    </fill>
    <fill>
      <patternFill patternType="solid">
        <fgColor rgb="FF0B3D2E"/>
        <bgColor rgb="FF003366"/>
      </patternFill>
    </fill>
  </fills>
  <borders count="2">
    <border diagonalUp="false" diagonalDown="false">
      <left/>
      <right/>
      <top/>
      <bottom/>
      <diagonal/>
    </border>
    <border diagonalUp="false" diagonalDown="false">
      <left/>
      <right/>
      <top/>
      <bottom style="thin">
        <color rgb="FFB4B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80" fontId="8" fillId="3" borderId="0" xfId="0" applyFont="true" applyBorder="false" applyAlignment="false" applyProtection="false">
      <alignment horizontal="general" vertical="bottom" textRotation="0" wrapText="false" indent="0" shrinkToFit="false"/>
      <protection locked="true" hidden="false"/>
    </xf>
    <xf numFmtId="180" fontId="5" fillId="0" borderId="0" xfId="0" applyFont="true" applyBorder="false" applyAlignment="false" applyProtection="false">
      <alignment horizontal="general" vertical="bottom" textRotation="0" wrapText="false" indent="0" shrinkToFit="false"/>
      <protection locked="true" hidden="false"/>
    </xf>
    <xf numFmtId="180" fontId="9" fillId="0" borderId="0" xfId="0" applyFont="true" applyBorder="false" applyAlignment="false" applyProtection="false">
      <alignment horizontal="general" vertical="bottom" textRotation="0" wrapText="false" indent="0" shrinkToFit="false"/>
      <protection locked="true" hidden="false"/>
    </xf>
    <xf numFmtId="174"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ECE"/>
      <rgbColor rgb="FF808080"/>
      <rgbColor rgb="FF9999FF"/>
      <rgbColor rgb="FF993366"/>
      <rgbColor rgb="FFFFF3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3D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23.85" hidden="false" customHeight="false" outlineLevel="0" collapsed="false">
      <c r="B5" s="3" t="s">
        <v>3</v>
      </c>
    </row>
    <row r="6" customFormat="false" ht="15" hidden="false" customHeight="false" outlineLevel="0" collapsed="false">
      <c r="B6" s="3" t="s">
        <v>4</v>
      </c>
    </row>
    <row r="7" customFormat="false" ht="15" hidden="false" customHeight="false" outlineLevel="0" collapsed="false">
      <c r="B7" s="3" t="s">
        <v>5</v>
      </c>
    </row>
    <row r="8" customFormat="false" ht="15" hidden="false" customHeight="false" outlineLevel="0" collapsed="false">
      <c r="B8" s="3" t="s">
        <v>6</v>
      </c>
    </row>
    <row r="9" customFormat="false" ht="15" hidden="false" customHeight="false" outlineLevel="0" collapsed="false">
      <c r="B9" s="3" t="s">
        <v>7</v>
      </c>
    </row>
    <row r="10" customFormat="false" ht="15" hidden="false" customHeight="false" outlineLevel="0" collapsed="false">
      <c r="B10" s="3" t="s">
        <v>8</v>
      </c>
    </row>
    <row r="11" customFormat="false" ht="15" hidden="false" customHeight="false" outlineLevel="0" collapsed="false">
      <c r="B11" s="3" t="s">
        <v>9</v>
      </c>
    </row>
    <row r="12" customFormat="false" ht="15" hidden="false" customHeight="false" outlineLevel="0" collapsed="false">
      <c r="B12" s="3" t="s">
        <v>10</v>
      </c>
    </row>
    <row r="13" customFormat="false" ht="15" hidden="false" customHeight="false" outlineLevel="0" collapsed="false">
      <c r="B13" s="3" t="s">
        <v>11</v>
      </c>
    </row>
    <row r="14" customFormat="false" ht="15" hidden="false" customHeight="false" outlineLevel="0" collapsed="false">
      <c r="B14" s="3" t="s">
        <v>12</v>
      </c>
    </row>
    <row r="16" customFormat="false" ht="15" hidden="false" customHeight="false" outlineLevel="0" collapsed="false">
      <c r="B16" s="4" t="s">
        <v>13</v>
      </c>
    </row>
    <row r="17" customFormat="false" ht="15" hidden="false" customHeight="false" outlineLevel="0" collapsed="false">
      <c r="B17" s="5" t="s">
        <v>14</v>
      </c>
    </row>
    <row r="18" customFormat="false" ht="15" hidden="false" customHeight="false" outlineLevel="0" collapsed="false">
      <c r="B18" s="2" t="s">
        <v>15</v>
      </c>
    </row>
    <row r="19" customFormat="false" ht="15" hidden="false" customHeight="false" outlineLevel="0" collapsed="false">
      <c r="B19" s="6" t="s">
        <v>16</v>
      </c>
    </row>
    <row r="20" customFormat="false" ht="15" hidden="false" customHeight="false" outlineLevel="0" collapsed="false">
      <c r="B20" s="7"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3" min="3" style="0" width="70"/>
  </cols>
  <sheetData>
    <row r="1" customFormat="false" ht="15" hidden="false" customHeight="false" outlineLevel="0" collapsed="false">
      <c r="A1" s="1" t="s">
        <v>18</v>
      </c>
    </row>
    <row r="3" customFormat="false" ht="15" hidden="false" customHeight="false" outlineLevel="0" collapsed="false">
      <c r="A3" s="8" t="s">
        <v>19</v>
      </c>
      <c r="B3" s="8" t="s">
        <v>20</v>
      </c>
      <c r="C3" s="8" t="s">
        <v>21</v>
      </c>
    </row>
    <row r="4" customFormat="false" ht="15" hidden="false" customHeight="false" outlineLevel="0" collapsed="false">
      <c r="A4" s="2" t="s">
        <v>22</v>
      </c>
      <c r="B4" s="9" t="n">
        <v>120</v>
      </c>
      <c r="C4" s="10" t="s">
        <v>23</v>
      </c>
    </row>
    <row r="5" customFormat="false" ht="15" hidden="false" customHeight="false" outlineLevel="0" collapsed="false">
      <c r="A5" s="2" t="s">
        <v>24</v>
      </c>
      <c r="B5" s="9" t="n">
        <v>71</v>
      </c>
      <c r="C5" s="10"/>
    </row>
    <row r="6" customFormat="false" ht="15" hidden="false" customHeight="false" outlineLevel="0" collapsed="false">
      <c r="A6" s="2" t="s">
        <v>25</v>
      </c>
      <c r="B6" s="9" t="n">
        <v>85</v>
      </c>
      <c r="C6" s="10"/>
    </row>
    <row r="7" customFormat="false" ht="15" hidden="false" customHeight="false" outlineLevel="0" collapsed="false">
      <c r="A7" s="2" t="s">
        <v>26</v>
      </c>
      <c r="B7" s="11" t="n">
        <f aca="false">B6-B5</f>
        <v>14</v>
      </c>
      <c r="C7" s="10" t="s">
        <v>27</v>
      </c>
    </row>
    <row r="8" customFormat="false" ht="15" hidden="false" customHeight="false" outlineLevel="0" collapsed="false">
      <c r="A8" s="2" t="s">
        <v>28</v>
      </c>
      <c r="B8" s="9" t="n">
        <v>10</v>
      </c>
      <c r="C8" s="10" t="s">
        <v>29</v>
      </c>
    </row>
    <row r="9" customFormat="false" ht="15" hidden="false" customHeight="false" outlineLevel="0" collapsed="false">
      <c r="A9" s="2" t="s">
        <v>30</v>
      </c>
      <c r="B9" s="9" t="n">
        <v>0.5</v>
      </c>
      <c r="C9" s="10" t="s">
        <v>31</v>
      </c>
    </row>
    <row r="10" customFormat="false" ht="15" hidden="false" customHeight="false" outlineLevel="0" collapsed="false">
      <c r="A10" s="2" t="s">
        <v>32</v>
      </c>
      <c r="B10" s="9" t="n">
        <v>620</v>
      </c>
      <c r="C10" s="10"/>
    </row>
    <row r="11" customFormat="false" ht="15" hidden="false" customHeight="false" outlineLevel="0" collapsed="false">
      <c r="A11" s="2" t="s">
        <v>33</v>
      </c>
      <c r="B11" s="9" t="n">
        <v>350</v>
      </c>
      <c r="C11" s="10" t="s">
        <v>34</v>
      </c>
    </row>
    <row r="12" customFormat="false" ht="15" hidden="false" customHeight="false" outlineLevel="0" collapsed="false">
      <c r="A12" s="2" t="s">
        <v>35</v>
      </c>
      <c r="B12" s="9" t="n">
        <v>470</v>
      </c>
      <c r="C12" s="10" t="s">
        <v>36</v>
      </c>
    </row>
    <row r="13" customFormat="false" ht="15" hidden="false" customHeight="false" outlineLevel="0" collapsed="false">
      <c r="A13" s="2" t="s">
        <v>37</v>
      </c>
      <c r="B13" s="9" t="n">
        <v>20</v>
      </c>
      <c r="C13" s="10" t="s">
        <v>38</v>
      </c>
    </row>
    <row r="14" customFormat="false" ht="15" hidden="false" customHeight="false" outlineLevel="0" collapsed="false">
      <c r="A14" s="2" t="s">
        <v>39</v>
      </c>
      <c r="B14" s="9" t="n">
        <v>10</v>
      </c>
      <c r="C14" s="10" t="s">
        <v>40</v>
      </c>
    </row>
    <row r="15" customFormat="false" ht="15" hidden="false" customHeight="false" outlineLevel="0" collapsed="false">
      <c r="A15" s="2" t="s">
        <v>41</v>
      </c>
      <c r="B15" s="11" t="n">
        <f aca="false">B8*B7</f>
        <v>140</v>
      </c>
      <c r="C15" s="10" t="s">
        <v>42</v>
      </c>
    </row>
    <row r="16" customFormat="false" ht="15" hidden="false" customHeight="false" outlineLevel="0" collapsed="false">
      <c r="A16" s="2" t="s">
        <v>43</v>
      </c>
      <c r="B16" s="11" t="n">
        <f aca="false">B10-B12</f>
        <v>150</v>
      </c>
      <c r="C16" s="10" t="s">
        <v>44</v>
      </c>
    </row>
    <row r="17" customFormat="false" ht="15" hidden="false" customHeight="false" outlineLevel="0" collapsed="false">
      <c r="A17" s="2" t="s">
        <v>45</v>
      </c>
      <c r="B17" s="12" t="n">
        <f aca="false">1-B9</f>
        <v>0.5</v>
      </c>
      <c r="C17" s="10" t="s">
        <v>46</v>
      </c>
    </row>
    <row r="18" customFormat="false" ht="15" hidden="false" customHeight="false" outlineLevel="0" collapsed="false">
      <c r="A18" s="2" t="s">
        <v>47</v>
      </c>
      <c r="B18" s="12" t="n">
        <f aca="false">-B15*LN(B17)</f>
        <v>97.0406052783923</v>
      </c>
      <c r="C18" s="10" t="s">
        <v>48</v>
      </c>
    </row>
    <row r="20" customFormat="false" ht="15" hidden="false" customHeight="false" outlineLevel="0" collapsed="false">
      <c r="A20" s="10" t="s">
        <v>49</v>
      </c>
    </row>
    <row r="21" customFormat="false" ht="15" hidden="false" customHeight="false" outlineLevel="0" collapsed="false">
      <c r="A21" s="10"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0" min="2" style="0" width="8"/>
    <col collapsed="false" customWidth="true" hidden="false" outlineLevel="0" max="22" min="21" style="0" width="12"/>
    <col collapsed="false" customWidth="true" hidden="false" outlineLevel="0" max="28" min="23" style="0" width="8"/>
    <col collapsed="false" customWidth="true" hidden="false" outlineLevel="0" max="29" min="29" style="0" width="10"/>
    <col collapsed="false" customWidth="true" hidden="false" outlineLevel="0" max="35" min="30" style="0" width="9"/>
    <col collapsed="false" customWidth="true" hidden="false" outlineLevel="0" max="37" min="36" style="0" width="13"/>
  </cols>
  <sheetData>
    <row r="1" customFormat="false" ht="15" hidden="false" customHeight="false" outlineLevel="0" collapsed="false">
      <c r="A1" s="1" t="s">
        <v>51</v>
      </c>
    </row>
    <row r="2" customFormat="false" ht="15" hidden="false" customHeight="false" outlineLevel="0" collapsed="false">
      <c r="A2" s="10" t="s">
        <v>52</v>
      </c>
    </row>
    <row r="4" customFormat="false" ht="23.85" hidden="false" customHeight="false" outlineLevel="0" collapsed="false">
      <c r="A4" s="8" t="s">
        <v>53</v>
      </c>
      <c r="B4" s="8" t="s">
        <v>54</v>
      </c>
      <c r="C4" s="8" t="s">
        <v>55</v>
      </c>
      <c r="D4" s="8" t="s">
        <v>56</v>
      </c>
      <c r="E4" s="8" t="s">
        <v>57</v>
      </c>
      <c r="F4" s="8" t="s">
        <v>58</v>
      </c>
      <c r="G4" s="8" t="s">
        <v>59</v>
      </c>
      <c r="H4" s="8" t="s">
        <v>60</v>
      </c>
      <c r="I4" s="8" t="s">
        <v>61</v>
      </c>
      <c r="J4" s="8" t="s">
        <v>62</v>
      </c>
      <c r="K4" s="8" t="s">
        <v>63</v>
      </c>
      <c r="L4" s="8" t="s">
        <v>64</v>
      </c>
      <c r="M4" s="8" t="s">
        <v>65</v>
      </c>
      <c r="N4" s="8" t="s">
        <v>66</v>
      </c>
      <c r="O4" s="8" t="s">
        <v>67</v>
      </c>
      <c r="P4" s="8" t="s">
        <v>68</v>
      </c>
      <c r="Q4" s="8" t="s">
        <v>69</v>
      </c>
      <c r="R4" s="8" t="s">
        <v>70</v>
      </c>
      <c r="S4" s="8" t="s">
        <v>71</v>
      </c>
      <c r="T4" s="8" t="s">
        <v>72</v>
      </c>
      <c r="U4" s="8" t="s">
        <v>73</v>
      </c>
      <c r="V4" s="8" t="s">
        <v>74</v>
      </c>
      <c r="W4" s="8" t="s">
        <v>75</v>
      </c>
      <c r="X4" s="8" t="s">
        <v>76</v>
      </c>
      <c r="Y4" s="8" t="s">
        <v>77</v>
      </c>
      <c r="Z4" s="8" t="s">
        <v>78</v>
      </c>
      <c r="AA4" s="8" t="s">
        <v>79</v>
      </c>
      <c r="AB4" s="8" t="s">
        <v>80</v>
      </c>
      <c r="AC4" s="8" t="s">
        <v>81</v>
      </c>
      <c r="AD4" s="8" t="s">
        <v>82</v>
      </c>
      <c r="AE4" s="8" t="s">
        <v>83</v>
      </c>
      <c r="AF4" s="8" t="s">
        <v>84</v>
      </c>
      <c r="AG4" s="8" t="s">
        <v>85</v>
      </c>
      <c r="AH4" s="8" t="s">
        <v>86</v>
      </c>
      <c r="AI4" s="8" t="s">
        <v>87</v>
      </c>
      <c r="AJ4" s="8" t="s">
        <v>88</v>
      </c>
      <c r="AK4" s="8" t="s">
        <v>89</v>
      </c>
    </row>
    <row r="5" customFormat="false" ht="15" hidden="false" customHeight="false" outlineLevel="0" collapsed="false">
      <c r="A5" s="2" t="s">
        <v>90</v>
      </c>
      <c r="B5" s="13" t="n">
        <v>1</v>
      </c>
      <c r="C5" s="13" t="n">
        <v>1</v>
      </c>
      <c r="D5" s="13" t="n">
        <v>1</v>
      </c>
      <c r="E5" s="13" t="n">
        <v>1</v>
      </c>
      <c r="F5" s="13" t="n">
        <v>0</v>
      </c>
      <c r="G5" s="13" t="n">
        <v>0</v>
      </c>
      <c r="H5" s="12" t="n">
        <f aca="false">Gap0*(1-Share*B5)</f>
        <v>7</v>
      </c>
      <c r="I5" s="12" t="n">
        <f aca="false">H5*(1-Share*C5)</f>
        <v>3.5</v>
      </c>
      <c r="J5" s="12" t="n">
        <f aca="false">I5*(1-Share*D5)</f>
        <v>1.75</v>
      </c>
      <c r="K5" s="12" t="n">
        <f aca="false">J5*(1-Share*E5)</f>
        <v>0.875</v>
      </c>
      <c r="L5" s="12" t="n">
        <f aca="false">K5*(1-Share*F5)</f>
        <v>0.875</v>
      </c>
      <c r="M5" s="12" t="n">
        <f aca="false">L5*(1-Share*G5)</f>
        <v>0.875</v>
      </c>
      <c r="N5" s="14" t="n">
        <f aca="false">Smax-Val_pt*H5</f>
        <v>70</v>
      </c>
      <c r="O5" s="14" t="n">
        <f aca="false">Smax-Val_pt*I5</f>
        <v>105</v>
      </c>
      <c r="P5" s="14" t="n">
        <f aca="false">Smax-Val_pt*J5</f>
        <v>122.5</v>
      </c>
      <c r="Q5" s="14" t="n">
        <f aca="false">Smax-Val_pt*K5</f>
        <v>131.25</v>
      </c>
      <c r="R5" s="14" t="n">
        <f aca="false">Smax-Val_pt*L5</f>
        <v>131.25</v>
      </c>
      <c r="S5" s="14" t="n">
        <f aca="false">Smax-Val_pt*M5</f>
        <v>131.25</v>
      </c>
      <c r="T5" s="14" t="n">
        <f aca="false">SUM(B5:G5)</f>
        <v>4</v>
      </c>
      <c r="U5" s="15" t="n">
        <f aca="false">Cash0+SUM(N5:S5)-Cost_r*T5+Credit_M*S5</f>
        <v>2986.25</v>
      </c>
      <c r="V5" s="15" t="n">
        <f aca="false">Cash0+SUM(N5:S5)-Cost_r*T5+Credit_10*S5</f>
        <v>1673.75</v>
      </c>
      <c r="W5" s="11" t="n">
        <f aca="false">Liq0+N5-Cost_r*B5</f>
        <v>570</v>
      </c>
      <c r="X5" s="11" t="n">
        <f aca="false">W5+O5-Cost_r*C5</f>
        <v>555</v>
      </c>
      <c r="Y5" s="11" t="n">
        <f aca="false">X5+P5-Cost_r*D5</f>
        <v>557.5</v>
      </c>
      <c r="Z5" s="11" t="n">
        <f aca="false">Y5+Q5-Cost_r*E5</f>
        <v>568.75</v>
      </c>
      <c r="AA5" s="11" t="n">
        <f aca="false">Z5+R5-Cost_r*F5</f>
        <v>700</v>
      </c>
      <c r="AB5" s="11" t="n">
        <f aca="false">AA5+S5-Cost_r*G5</f>
        <v>831.25</v>
      </c>
      <c r="AC5" s="11" t="n">
        <f aca="false">MIN(MIN(Liq0-Cost_r*B5,W5-Cost_r*C5,X5-Cost_r*D5,Y5-Cost_r*E5,Z5-Cost_r*F5,AA5-Cost_r*G5,MIN(W5:AB5))-Floor_q,AB5-End_q)</f>
        <v>85</v>
      </c>
      <c r="AD5" s="14" t="n">
        <f aca="false">Smax*(1-POWER(Keep,SUM($B5:B5)))</f>
        <v>70</v>
      </c>
      <c r="AE5" s="14" t="n">
        <f aca="false">Smax*(1-POWER(Keep,SUM($B5:C5)))</f>
        <v>105</v>
      </c>
      <c r="AF5" s="14" t="n">
        <f aca="false">Smax*(1-POWER(Keep,SUM($B5:D5)))</f>
        <v>122.5</v>
      </c>
      <c r="AG5" s="14" t="n">
        <f aca="false">Smax*(1-POWER(Keep,SUM($B5:E5)))</f>
        <v>131.25</v>
      </c>
      <c r="AH5" s="14" t="n">
        <f aca="false">Smax*(1-POWER(Keep,SUM($B5:F5)))</f>
        <v>131.25</v>
      </c>
      <c r="AI5" s="14" t="n">
        <f aca="false">Smax*(1-POWER(Keep,SUM($B5:G5)))</f>
        <v>131.25</v>
      </c>
      <c r="AJ5" s="15" t="n">
        <f aca="false">Cash0+SUM(AD5:AI5)-Cost_r*T5+Credit_M*AI5</f>
        <v>2986.25</v>
      </c>
      <c r="AK5" s="15" t="n">
        <f aca="false">Cash0+SUM(AD5:AI5)-Cost_r*T5+Credit_10*AI5</f>
        <v>1673.75</v>
      </c>
    </row>
    <row r="6" customFormat="false" ht="15" hidden="false" customHeight="false" outlineLevel="0" collapsed="false">
      <c r="A6" s="2" t="s">
        <v>91</v>
      </c>
      <c r="B6" s="13" t="n">
        <v>1</v>
      </c>
      <c r="C6" s="13" t="n">
        <v>1</v>
      </c>
      <c r="D6" s="13" t="n">
        <v>1</v>
      </c>
      <c r="E6" s="13" t="n">
        <v>0</v>
      </c>
      <c r="F6" s="13" t="n">
        <v>1</v>
      </c>
      <c r="G6" s="13" t="n">
        <v>0</v>
      </c>
      <c r="H6" s="12" t="n">
        <f aca="false">Gap0*(1-Share*B6)</f>
        <v>7</v>
      </c>
      <c r="I6" s="12" t="n">
        <f aca="false">H6*(1-Share*C6)</f>
        <v>3.5</v>
      </c>
      <c r="J6" s="12" t="n">
        <f aca="false">I6*(1-Share*D6)</f>
        <v>1.75</v>
      </c>
      <c r="K6" s="12" t="n">
        <f aca="false">J6*(1-Share*E6)</f>
        <v>1.75</v>
      </c>
      <c r="L6" s="12" t="n">
        <f aca="false">K6*(1-Share*F6)</f>
        <v>0.875</v>
      </c>
      <c r="M6" s="12" t="n">
        <f aca="false">L6*(1-Share*G6)</f>
        <v>0.875</v>
      </c>
      <c r="N6" s="14" t="n">
        <f aca="false">Smax-Val_pt*H6</f>
        <v>70</v>
      </c>
      <c r="O6" s="14" t="n">
        <f aca="false">Smax-Val_pt*I6</f>
        <v>105</v>
      </c>
      <c r="P6" s="14" t="n">
        <f aca="false">Smax-Val_pt*J6</f>
        <v>122.5</v>
      </c>
      <c r="Q6" s="14" t="n">
        <f aca="false">Smax-Val_pt*K6</f>
        <v>122.5</v>
      </c>
      <c r="R6" s="14" t="n">
        <f aca="false">Smax-Val_pt*L6</f>
        <v>131.25</v>
      </c>
      <c r="S6" s="14" t="n">
        <f aca="false">Smax-Val_pt*M6</f>
        <v>131.25</v>
      </c>
      <c r="T6" s="14" t="n">
        <f aca="false">SUM(B6:G6)</f>
        <v>4</v>
      </c>
      <c r="U6" s="15" t="n">
        <f aca="false">Cash0+SUM(N6:S6)-Cost_r*T6+Credit_M*S6</f>
        <v>2977.5</v>
      </c>
      <c r="V6" s="15" t="n">
        <f aca="false">Cash0+SUM(N6:S6)-Cost_r*T6+Credit_10*S6</f>
        <v>1665</v>
      </c>
      <c r="W6" s="11" t="n">
        <f aca="false">Liq0+N6-Cost_r*B6</f>
        <v>570</v>
      </c>
      <c r="X6" s="11" t="n">
        <f aca="false">W6+O6-Cost_r*C6</f>
        <v>555</v>
      </c>
      <c r="Y6" s="11" t="n">
        <f aca="false">X6+P6-Cost_r*D6</f>
        <v>557.5</v>
      </c>
      <c r="Z6" s="11" t="n">
        <f aca="false">Y6+Q6-Cost_r*E6</f>
        <v>680</v>
      </c>
      <c r="AA6" s="11" t="n">
        <f aca="false">Z6+R6-Cost_r*F6</f>
        <v>691.25</v>
      </c>
      <c r="AB6" s="11" t="n">
        <f aca="false">AA6+S6-Cost_r*G6</f>
        <v>822.5</v>
      </c>
      <c r="AC6" s="11" t="n">
        <f aca="false">MIN(MIN(Liq0-Cost_r*B6,W6-Cost_r*C6,X6-Cost_r*D6,Y6-Cost_r*E6,Z6-Cost_r*F6,AA6-Cost_r*G6,MIN(W6:AB6))-Floor_q,AB6-End_q)</f>
        <v>85</v>
      </c>
      <c r="AD6" s="14" t="n">
        <f aca="false">Smax*(1-POWER(Keep,SUM($B6:B6)))</f>
        <v>70</v>
      </c>
      <c r="AE6" s="14" t="n">
        <f aca="false">Smax*(1-POWER(Keep,SUM($B6:C6)))</f>
        <v>105</v>
      </c>
      <c r="AF6" s="14" t="n">
        <f aca="false">Smax*(1-POWER(Keep,SUM($B6:D6)))</f>
        <v>122.5</v>
      </c>
      <c r="AG6" s="14" t="n">
        <f aca="false">Smax*(1-POWER(Keep,SUM($B6:E6)))</f>
        <v>122.5</v>
      </c>
      <c r="AH6" s="14" t="n">
        <f aca="false">Smax*(1-POWER(Keep,SUM($B6:F6)))</f>
        <v>131.25</v>
      </c>
      <c r="AI6" s="14" t="n">
        <f aca="false">Smax*(1-POWER(Keep,SUM($B6:G6)))</f>
        <v>131.25</v>
      </c>
      <c r="AJ6" s="15" t="n">
        <f aca="false">Cash0+SUM(AD6:AI6)-Cost_r*T6+Credit_M*AI6</f>
        <v>2977.5</v>
      </c>
      <c r="AK6" s="15" t="n">
        <f aca="false">Cash0+SUM(AD6:AI6)-Cost_r*T6+Credit_10*AI6</f>
        <v>1665</v>
      </c>
    </row>
    <row r="7" customFormat="false" ht="15" hidden="false" customHeight="false" outlineLevel="0" collapsed="false">
      <c r="A7" s="2" t="s">
        <v>92</v>
      </c>
      <c r="B7" s="13" t="n">
        <v>1</v>
      </c>
      <c r="C7" s="13" t="n">
        <v>1</v>
      </c>
      <c r="D7" s="13" t="n">
        <v>1</v>
      </c>
      <c r="E7" s="13" t="n">
        <v>0</v>
      </c>
      <c r="F7" s="13" t="n">
        <v>0</v>
      </c>
      <c r="G7" s="13" t="n">
        <v>1</v>
      </c>
      <c r="H7" s="12" t="n">
        <f aca="false">Gap0*(1-Share*B7)</f>
        <v>7</v>
      </c>
      <c r="I7" s="12" t="n">
        <f aca="false">H7*(1-Share*C7)</f>
        <v>3.5</v>
      </c>
      <c r="J7" s="12" t="n">
        <f aca="false">I7*(1-Share*D7)</f>
        <v>1.75</v>
      </c>
      <c r="K7" s="12" t="n">
        <f aca="false">J7*(1-Share*E7)</f>
        <v>1.75</v>
      </c>
      <c r="L7" s="12" t="n">
        <f aca="false">K7*(1-Share*F7)</f>
        <v>1.75</v>
      </c>
      <c r="M7" s="12" t="n">
        <f aca="false">L7*(1-Share*G7)</f>
        <v>0.875</v>
      </c>
      <c r="N7" s="14" t="n">
        <f aca="false">Smax-Val_pt*H7</f>
        <v>70</v>
      </c>
      <c r="O7" s="14" t="n">
        <f aca="false">Smax-Val_pt*I7</f>
        <v>105</v>
      </c>
      <c r="P7" s="14" t="n">
        <f aca="false">Smax-Val_pt*J7</f>
        <v>122.5</v>
      </c>
      <c r="Q7" s="14" t="n">
        <f aca="false">Smax-Val_pt*K7</f>
        <v>122.5</v>
      </c>
      <c r="R7" s="14" t="n">
        <f aca="false">Smax-Val_pt*L7</f>
        <v>122.5</v>
      </c>
      <c r="S7" s="14" t="n">
        <f aca="false">Smax-Val_pt*M7</f>
        <v>131.25</v>
      </c>
      <c r="T7" s="14" t="n">
        <f aca="false">SUM(B7:G7)</f>
        <v>4</v>
      </c>
      <c r="U7" s="15" t="n">
        <f aca="false">Cash0+SUM(N7:S7)-Cost_r*T7+Credit_M*S7</f>
        <v>2968.75</v>
      </c>
      <c r="V7" s="15" t="n">
        <f aca="false">Cash0+SUM(N7:S7)-Cost_r*T7+Credit_10*S7</f>
        <v>1656.25</v>
      </c>
      <c r="W7" s="11" t="n">
        <f aca="false">Liq0+N7-Cost_r*B7</f>
        <v>570</v>
      </c>
      <c r="X7" s="11" t="n">
        <f aca="false">W7+O7-Cost_r*C7</f>
        <v>555</v>
      </c>
      <c r="Y7" s="11" t="n">
        <f aca="false">X7+P7-Cost_r*D7</f>
        <v>557.5</v>
      </c>
      <c r="Z7" s="11" t="n">
        <f aca="false">Y7+Q7-Cost_r*E7</f>
        <v>680</v>
      </c>
      <c r="AA7" s="11" t="n">
        <f aca="false">Z7+R7-Cost_r*F7</f>
        <v>802.5</v>
      </c>
      <c r="AB7" s="11" t="n">
        <f aca="false">AA7+S7-Cost_r*G7</f>
        <v>813.75</v>
      </c>
      <c r="AC7" s="11" t="n">
        <f aca="false">MIN(MIN(Liq0-Cost_r*B7,W7-Cost_r*C7,X7-Cost_r*D7,Y7-Cost_r*E7,Z7-Cost_r*F7,AA7-Cost_r*G7,MIN(W7:AB7))-Floor_q,AB7-End_q)</f>
        <v>85</v>
      </c>
      <c r="AD7" s="14" t="n">
        <f aca="false">Smax*(1-POWER(Keep,SUM($B7:B7)))</f>
        <v>70</v>
      </c>
      <c r="AE7" s="14" t="n">
        <f aca="false">Smax*(1-POWER(Keep,SUM($B7:C7)))</f>
        <v>105</v>
      </c>
      <c r="AF7" s="14" t="n">
        <f aca="false">Smax*(1-POWER(Keep,SUM($B7:D7)))</f>
        <v>122.5</v>
      </c>
      <c r="AG7" s="14" t="n">
        <f aca="false">Smax*(1-POWER(Keep,SUM($B7:E7)))</f>
        <v>122.5</v>
      </c>
      <c r="AH7" s="14" t="n">
        <f aca="false">Smax*(1-POWER(Keep,SUM($B7:F7)))</f>
        <v>122.5</v>
      </c>
      <c r="AI7" s="14" t="n">
        <f aca="false">Smax*(1-POWER(Keep,SUM($B7:G7)))</f>
        <v>131.25</v>
      </c>
      <c r="AJ7" s="15" t="n">
        <f aca="false">Cash0+SUM(AD7:AI7)-Cost_r*T7+Credit_M*AI7</f>
        <v>2968.75</v>
      </c>
      <c r="AK7" s="15" t="n">
        <f aca="false">Cash0+SUM(AD7:AI7)-Cost_r*T7+Credit_10*AI7</f>
        <v>1656.25</v>
      </c>
    </row>
    <row r="8" customFormat="false" ht="15" hidden="false" customHeight="false" outlineLevel="0" collapsed="false">
      <c r="A8" s="2" t="s">
        <v>93</v>
      </c>
      <c r="B8" s="13" t="n">
        <v>1</v>
      </c>
      <c r="C8" s="13" t="n">
        <v>1</v>
      </c>
      <c r="D8" s="13" t="n">
        <v>1</v>
      </c>
      <c r="E8" s="13" t="n">
        <v>0</v>
      </c>
      <c r="F8" s="13" t="n">
        <v>0</v>
      </c>
      <c r="G8" s="13" t="n">
        <v>0</v>
      </c>
      <c r="H8" s="12" t="n">
        <f aca="false">Gap0*(1-Share*B8)</f>
        <v>7</v>
      </c>
      <c r="I8" s="12" t="n">
        <f aca="false">H8*(1-Share*C8)</f>
        <v>3.5</v>
      </c>
      <c r="J8" s="12" t="n">
        <f aca="false">I8*(1-Share*D8)</f>
        <v>1.75</v>
      </c>
      <c r="K8" s="12" t="n">
        <f aca="false">J8*(1-Share*E8)</f>
        <v>1.75</v>
      </c>
      <c r="L8" s="12" t="n">
        <f aca="false">K8*(1-Share*F8)</f>
        <v>1.75</v>
      </c>
      <c r="M8" s="12" t="n">
        <f aca="false">L8*(1-Share*G8)</f>
        <v>1.75</v>
      </c>
      <c r="N8" s="14" t="n">
        <f aca="false">Smax-Val_pt*H8</f>
        <v>70</v>
      </c>
      <c r="O8" s="14" t="n">
        <f aca="false">Smax-Val_pt*I8</f>
        <v>105</v>
      </c>
      <c r="P8" s="14" t="n">
        <f aca="false">Smax-Val_pt*J8</f>
        <v>122.5</v>
      </c>
      <c r="Q8" s="14" t="n">
        <f aca="false">Smax-Val_pt*K8</f>
        <v>122.5</v>
      </c>
      <c r="R8" s="14" t="n">
        <f aca="false">Smax-Val_pt*L8</f>
        <v>122.5</v>
      </c>
      <c r="S8" s="14" t="n">
        <f aca="false">Smax-Val_pt*M8</f>
        <v>122.5</v>
      </c>
      <c r="T8" s="14" t="n">
        <f aca="false">SUM(B8:G8)</f>
        <v>3</v>
      </c>
      <c r="U8" s="15" t="n">
        <f aca="false">Cash0+SUM(N8:S8)-Cost_r*T8+Credit_M*S8</f>
        <v>2905</v>
      </c>
      <c r="V8" s="15" t="n">
        <f aca="false">Cash0+SUM(N8:S8)-Cost_r*T8+Credit_10*S8</f>
        <v>1680</v>
      </c>
      <c r="W8" s="11" t="n">
        <f aca="false">Liq0+N8-Cost_r*B8</f>
        <v>570</v>
      </c>
      <c r="X8" s="11" t="n">
        <f aca="false">W8+O8-Cost_r*C8</f>
        <v>555</v>
      </c>
      <c r="Y8" s="11" t="n">
        <f aca="false">X8+P8-Cost_r*D8</f>
        <v>557.5</v>
      </c>
      <c r="Z8" s="11" t="n">
        <f aca="false">Y8+Q8-Cost_r*E8</f>
        <v>680</v>
      </c>
      <c r="AA8" s="11" t="n">
        <f aca="false">Z8+R8-Cost_r*F8</f>
        <v>802.5</v>
      </c>
      <c r="AB8" s="11" t="n">
        <f aca="false">AA8+S8-Cost_r*G8</f>
        <v>925</v>
      </c>
      <c r="AC8" s="11" t="n">
        <f aca="false">MIN(MIN(Liq0-Cost_r*B8,W8-Cost_r*C8,X8-Cost_r*D8,Y8-Cost_r*E8,Z8-Cost_r*F8,AA8-Cost_r*G8,MIN(W8:AB8))-Floor_q,AB8-End_q)</f>
        <v>85</v>
      </c>
      <c r="AD8" s="14" t="n">
        <f aca="false">Smax*(1-POWER(Keep,SUM($B8:B8)))</f>
        <v>70</v>
      </c>
      <c r="AE8" s="14" t="n">
        <f aca="false">Smax*(1-POWER(Keep,SUM($B8:C8)))</f>
        <v>105</v>
      </c>
      <c r="AF8" s="14" t="n">
        <f aca="false">Smax*(1-POWER(Keep,SUM($B8:D8)))</f>
        <v>122.5</v>
      </c>
      <c r="AG8" s="14" t="n">
        <f aca="false">Smax*(1-POWER(Keep,SUM($B8:E8)))</f>
        <v>122.5</v>
      </c>
      <c r="AH8" s="14" t="n">
        <f aca="false">Smax*(1-POWER(Keep,SUM($B8:F8)))</f>
        <v>122.5</v>
      </c>
      <c r="AI8" s="14" t="n">
        <f aca="false">Smax*(1-POWER(Keep,SUM($B8:G8)))</f>
        <v>122.5</v>
      </c>
      <c r="AJ8" s="15" t="n">
        <f aca="false">Cash0+SUM(AD8:AI8)-Cost_r*T8+Credit_M*AI8</f>
        <v>2905</v>
      </c>
      <c r="AK8" s="15" t="n">
        <f aca="false">Cash0+SUM(AD8:AI8)-Cost_r*T8+Credit_10*AI8</f>
        <v>1680</v>
      </c>
    </row>
    <row r="9" customFormat="false" ht="15" hidden="false" customHeight="false" outlineLevel="0" collapsed="false">
      <c r="A9" s="2" t="s">
        <v>94</v>
      </c>
      <c r="B9" s="12" t="n">
        <v>1</v>
      </c>
      <c r="C9" s="12" t="n">
        <v>1</v>
      </c>
      <c r="D9" s="12" t="n">
        <v>1</v>
      </c>
      <c r="E9" s="16" t="n">
        <f aca="false">Face!B17</f>
        <v>0.753246753246753</v>
      </c>
      <c r="F9" s="16" t="n">
        <f aca="false">Face!B18</f>
        <v>0.844155844155844</v>
      </c>
      <c r="G9" s="12" t="n">
        <v>0</v>
      </c>
      <c r="H9" s="12" t="n">
        <f aca="false">Gap0*(1-Share*B9)</f>
        <v>7</v>
      </c>
      <c r="I9" s="12" t="n">
        <f aca="false">H9*(1-Share*C9)</f>
        <v>3.5</v>
      </c>
      <c r="J9" s="12" t="n">
        <f aca="false">I9*(1-Share*D9)</f>
        <v>1.75</v>
      </c>
      <c r="K9" s="12" t="n">
        <f aca="false">J9*(1-Share*E9)</f>
        <v>1.09090909090909</v>
      </c>
      <c r="L9" s="12" t="n">
        <f aca="false">K9*(1-Share*F9)</f>
        <v>0.630460448642267</v>
      </c>
      <c r="M9" s="12" t="n">
        <f aca="false">L9*(1-Share*G9)</f>
        <v>0.630460448642267</v>
      </c>
      <c r="N9" s="14" t="n">
        <f aca="false">Smax-Val_pt*H9</f>
        <v>70</v>
      </c>
      <c r="O9" s="14" t="n">
        <f aca="false">Smax-Val_pt*I9</f>
        <v>105</v>
      </c>
      <c r="P9" s="14" t="n">
        <f aca="false">Smax-Val_pt*J9</f>
        <v>122.5</v>
      </c>
      <c r="Q9" s="14" t="n">
        <f aca="false">Smax-Val_pt*K9</f>
        <v>129.090909090909</v>
      </c>
      <c r="R9" s="14" t="n">
        <f aca="false">Smax-Val_pt*L9</f>
        <v>133.695395513577</v>
      </c>
      <c r="S9" s="14" t="n">
        <f aca="false">Smax-Val_pt*M9</f>
        <v>133.695395513577</v>
      </c>
      <c r="T9" s="14" t="n">
        <f aca="false">SUM(B9:G9)</f>
        <v>4.5974025974026</v>
      </c>
      <c r="U9" s="15" t="n">
        <f aca="false">Cash0+SUM(N9:S9)-Cost_r*T9+Credit_M*S9</f>
        <v>2966.2012987013</v>
      </c>
      <c r="V9" s="15" t="n">
        <f aca="false">Cash0+SUM(N9:S9)-Cost_r*T9+Credit_10*S9</f>
        <v>1629.24734356553</v>
      </c>
      <c r="W9" s="11" t="n">
        <f aca="false">Liq0+N9-Cost_r*B9</f>
        <v>570</v>
      </c>
      <c r="X9" s="11" t="n">
        <f aca="false">W9+O9-Cost_r*C9</f>
        <v>555</v>
      </c>
      <c r="Y9" s="11" t="n">
        <f aca="false">X9+P9-Cost_r*D9</f>
        <v>557.5</v>
      </c>
      <c r="Z9" s="11" t="n">
        <f aca="false">Y9+Q9-Cost_r*E9</f>
        <v>596.201298701299</v>
      </c>
      <c r="AA9" s="11" t="n">
        <f aca="false">Z9+R9-Cost_r*F9</f>
        <v>628.597992916175</v>
      </c>
      <c r="AB9" s="11" t="n">
        <f aca="false">AA9+S9-Cost_r*G9</f>
        <v>762.293388429752</v>
      </c>
      <c r="AC9" s="11" t="n">
        <f aca="false">MIN(MIN(Liq0-Cost_r*B9,W9-Cost_r*C9,X9-Cost_r*D9,Y9-Cost_r*E9,Z9-Cost_r*F9,AA9-Cost_r*G9,MIN(W9:AB9))-Floor_q,AB9-End_q)</f>
        <v>85</v>
      </c>
      <c r="AD9" s="14" t="n">
        <f aca="false">Smax*(1-POWER(Keep,SUM($B9:B9)))</f>
        <v>70</v>
      </c>
      <c r="AE9" s="14" t="n">
        <f aca="false">Smax*(1-POWER(Keep,SUM($B9:C9)))</f>
        <v>105</v>
      </c>
      <c r="AF9" s="14" t="n">
        <f aca="false">Smax*(1-POWER(Keep,SUM($B9:D9)))</f>
        <v>122.5</v>
      </c>
      <c r="AG9" s="14" t="n">
        <f aca="false">Smax*(1-POWER(Keep,SUM($B9:E9)))</f>
        <v>129.617828900681</v>
      </c>
      <c r="AH9" s="14" t="n">
        <f aca="false">Smax*(1-POWER(Keep,SUM($B9:F9)))</f>
        <v>134.216750197083</v>
      </c>
      <c r="AI9" s="14" t="n">
        <f aca="false">Smax*(1-POWER(Keep,SUM($B9:G9)))</f>
        <v>134.216750197083</v>
      </c>
      <c r="AJ9" s="15" t="n">
        <f aca="false">Cash0+SUM(AD9:AI9)-Cost_r*T9+Credit_M*AI9</f>
        <v>2978.19802154821</v>
      </c>
      <c r="AK9" s="15" t="n">
        <f aca="false">Cash0+SUM(AD9:AI9)-Cost_r*T9+Credit_10*AI9</f>
        <v>1636.03051957737</v>
      </c>
    </row>
    <row r="10" customFormat="false" ht="15" hidden="false" customHeight="false" outlineLevel="0" collapsed="false">
      <c r="A10" s="2" t="s">
        <v>95</v>
      </c>
      <c r="B10" s="16" t="n">
        <f aca="false">Relaxation!B16</f>
        <v>1</v>
      </c>
      <c r="C10" s="16" t="n">
        <f aca="false">Relaxation!C16</f>
        <v>1</v>
      </c>
      <c r="D10" s="16" t="n">
        <f aca="false">Relaxation!D16</f>
        <v>1</v>
      </c>
      <c r="E10" s="16" t="n">
        <f aca="false">Relaxation!E16</f>
        <v>1</v>
      </c>
      <c r="F10" s="16" t="n">
        <f aca="false">Relaxation!F16</f>
        <v>0.153057667028848</v>
      </c>
      <c r="G10" s="16" t="n">
        <f aca="false">Relaxation!G16</f>
        <v>0</v>
      </c>
      <c r="H10" s="12" t="n">
        <f aca="false">Gap0*(1-Share*B10)</f>
        <v>7</v>
      </c>
      <c r="I10" s="12" t="n">
        <f aca="false">H10*(1-Share*C10)</f>
        <v>3.5</v>
      </c>
      <c r="J10" s="12" t="n">
        <f aca="false">I10*(1-Share*D10)</f>
        <v>1.75</v>
      </c>
      <c r="K10" s="12" t="n">
        <f aca="false">J10*(1-Share*E10)</f>
        <v>0.875</v>
      </c>
      <c r="L10" s="12" t="n">
        <f aca="false">K10*(1-Share*F10)</f>
        <v>0.808037270674879</v>
      </c>
      <c r="M10" s="12" t="n">
        <f aca="false">L10*(1-Share*G10)</f>
        <v>0.808037270674879</v>
      </c>
      <c r="N10" s="14" t="n">
        <f aca="false">Smax-Val_pt*H10</f>
        <v>70</v>
      </c>
      <c r="O10" s="14" t="n">
        <f aca="false">Smax-Val_pt*I10</f>
        <v>105</v>
      </c>
      <c r="P10" s="14" t="n">
        <f aca="false">Smax-Val_pt*J10</f>
        <v>122.5</v>
      </c>
      <c r="Q10" s="14" t="n">
        <f aca="false">Smax-Val_pt*K10</f>
        <v>131.25</v>
      </c>
      <c r="R10" s="14" t="n">
        <f aca="false">Smax-Val_pt*L10</f>
        <v>131.919627293251</v>
      </c>
      <c r="S10" s="14" t="n">
        <f aca="false">Smax-Val_pt*M10</f>
        <v>131.919627293251</v>
      </c>
      <c r="T10" s="14" t="n">
        <f aca="false">SUM(B10:G10)</f>
        <v>4.15305766702885</v>
      </c>
      <c r="U10" s="15" t="n">
        <f aca="false">Cash0+SUM(N10:S10)-Cost_r*T10+Credit_M*S10</f>
        <v>2982.61488040807</v>
      </c>
      <c r="V10" s="15" t="n">
        <f aca="false">Cash0+SUM(N10:S10)-Cost_r*T10+Credit_10*S10</f>
        <v>1663.41860747555</v>
      </c>
      <c r="W10" s="11" t="n">
        <f aca="false">Liq0+N10-Cost_r*B10</f>
        <v>570</v>
      </c>
      <c r="X10" s="11" t="n">
        <f aca="false">W10+O10-Cost_r*C10</f>
        <v>555</v>
      </c>
      <c r="Y10" s="11" t="n">
        <f aca="false">X10+P10-Cost_r*D10</f>
        <v>557.5</v>
      </c>
      <c r="Z10" s="11" t="n">
        <f aca="false">Y10+Q10-Cost_r*E10</f>
        <v>568.75</v>
      </c>
      <c r="AA10" s="11" t="n">
        <f aca="false">Z10+R10-Cost_r*F10</f>
        <v>682.30270724979</v>
      </c>
      <c r="AB10" s="11" t="n">
        <f aca="false">AA10+S10-Cost_r*G10</f>
        <v>814.222334543041</v>
      </c>
      <c r="AC10" s="11" t="n">
        <f aca="false">MIN(MIN(Liq0-Cost_r*B10,W10-Cost_r*C10,X10-Cost_r*D10,Y10-Cost_r*E10,Z10-Cost_r*F10,AA10-Cost_r*G10,MIN(W10:AB10))-Floor_q,AB10-End_q)</f>
        <v>85</v>
      </c>
      <c r="AD10" s="14" t="n">
        <f aca="false">Smax*(1-POWER(Keep,SUM($B10:B10)))</f>
        <v>70</v>
      </c>
      <c r="AE10" s="14" t="n">
        <f aca="false">Smax*(1-POWER(Keep,SUM($B10:C10)))</f>
        <v>105</v>
      </c>
      <c r="AF10" s="14" t="n">
        <f aca="false">Smax*(1-POWER(Keep,SUM($B10:D10)))</f>
        <v>122.5</v>
      </c>
      <c r="AG10" s="14" t="n">
        <f aca="false">Smax*(1-POWER(Keep,SUM($B10:E10)))</f>
        <v>131.25</v>
      </c>
      <c r="AH10" s="14" t="n">
        <f aca="false">Smax*(1-POWER(Keep,SUM($B10:F10)))</f>
        <v>132.130754322424</v>
      </c>
      <c r="AI10" s="14" t="n">
        <f aca="false">Smax*(1-POWER(Keep,SUM($B10:G10)))</f>
        <v>132.130754322424</v>
      </c>
      <c r="AJ10" s="15" t="n">
        <f aca="false">Cash0+SUM(AD10:AI10)-Cost_r*T10+Credit_M*AI10</f>
        <v>2987.25967504986</v>
      </c>
      <c r="AK10" s="15" t="n">
        <f aca="false">Cash0+SUM(AD10:AI10)-Cost_r*T10+Credit_10*AI10</f>
        <v>1665.95213182562</v>
      </c>
    </row>
    <row r="11" customFormat="false" ht="15" hidden="false" customHeight="false" outlineLevel="0" collapsed="false">
      <c r="A11" s="2" t="s">
        <v>96</v>
      </c>
      <c r="B11" s="16" t="n">
        <f aca="false">Relaxation!B32</f>
        <v>1</v>
      </c>
      <c r="C11" s="16" t="n">
        <f aca="false">Relaxation!C32</f>
        <v>1</v>
      </c>
      <c r="D11" s="16" t="n">
        <f aca="false">Relaxation!D32</f>
        <v>1</v>
      </c>
      <c r="E11" s="16" t="n">
        <f aca="false">Relaxation!E32</f>
        <v>0.394065766532643</v>
      </c>
      <c r="F11" s="16" t="n">
        <f aca="false">Relaxation!F32</f>
        <v>0</v>
      </c>
      <c r="G11" s="16" t="n">
        <f aca="false">Relaxation!G32</f>
        <v>0</v>
      </c>
      <c r="H11" s="12" t="n">
        <f aca="false">Gap0*(1-Share*B11)</f>
        <v>7</v>
      </c>
      <c r="I11" s="12" t="n">
        <f aca="false">H11*(1-Share*C11)</f>
        <v>3.5</v>
      </c>
      <c r="J11" s="12" t="n">
        <f aca="false">I11*(1-Share*D11)</f>
        <v>1.75</v>
      </c>
      <c r="K11" s="12" t="n">
        <f aca="false">J11*(1-Share*E11)</f>
        <v>1.40519245428394</v>
      </c>
      <c r="L11" s="12" t="n">
        <f aca="false">K11*(1-Share*F11)</f>
        <v>1.40519245428394</v>
      </c>
      <c r="M11" s="12" t="n">
        <f aca="false">L11*(1-Share*G11)</f>
        <v>1.40519245428394</v>
      </c>
      <c r="N11" s="14" t="n">
        <f aca="false">Smax-Val_pt*H11</f>
        <v>70</v>
      </c>
      <c r="O11" s="14" t="n">
        <f aca="false">Smax-Val_pt*I11</f>
        <v>105</v>
      </c>
      <c r="P11" s="14" t="n">
        <f aca="false">Smax-Val_pt*J11</f>
        <v>122.5</v>
      </c>
      <c r="Q11" s="14" t="n">
        <f aca="false">Smax-Val_pt*K11</f>
        <v>125.948075457161</v>
      </c>
      <c r="R11" s="14" t="n">
        <f aca="false">Smax-Val_pt*L11</f>
        <v>125.948075457161</v>
      </c>
      <c r="S11" s="14" t="n">
        <f aca="false">Smax-Val_pt*M11</f>
        <v>125.948075457161</v>
      </c>
      <c r="T11" s="14" t="n">
        <f aca="false">SUM(B11:G11)</f>
        <v>3.39406576653264</v>
      </c>
      <c r="U11" s="15" t="n">
        <f aca="false">Cash0+SUM(N11:S11)-Cost_r*T11+Credit_M*S11</f>
        <v>2937.01784353078</v>
      </c>
      <c r="V11" s="15" t="n">
        <f aca="false">Cash0+SUM(N11:S11)-Cost_r*T11+Credit_10*S11</f>
        <v>1677.53708895917</v>
      </c>
      <c r="W11" s="11" t="n">
        <f aca="false">Liq0+N11-Cost_r*B11</f>
        <v>570</v>
      </c>
      <c r="X11" s="11" t="n">
        <f aca="false">W11+O11-Cost_r*C11</f>
        <v>555</v>
      </c>
      <c r="Y11" s="11" t="n">
        <f aca="false">X11+P11-Cost_r*D11</f>
        <v>557.5</v>
      </c>
      <c r="Z11" s="11" t="n">
        <f aca="false">Y11+Q11-Cost_r*E11</f>
        <v>636.160183473244</v>
      </c>
      <c r="AA11" s="11" t="n">
        <f aca="false">Z11+R11-Cost_r*F11</f>
        <v>762.108258930404</v>
      </c>
      <c r="AB11" s="11" t="n">
        <f aca="false">AA11+S11-Cost_r*G11</f>
        <v>888.056334387565</v>
      </c>
      <c r="AC11" s="11" t="n">
        <f aca="false">MIN(MIN(Liq0-Cost_r*B11,W11-Cost_r*C11,X11-Cost_r*D11,Y11-Cost_r*E11,Z11-Cost_r*F11,AA11-Cost_r*G11,MIN(W11:AB11))-Floor_q,AB11-End_q)</f>
        <v>85</v>
      </c>
      <c r="AD11" s="14" t="n">
        <f aca="false">Smax*(1-POWER(Keep,SUM($B11:B11)))</f>
        <v>70</v>
      </c>
      <c r="AE11" s="14" t="n">
        <f aca="false">Smax*(1-POWER(Keep,SUM($B11:C11)))</f>
        <v>105</v>
      </c>
      <c r="AF11" s="14" t="n">
        <f aca="false">Smax*(1-POWER(Keep,SUM($B11:D11)))</f>
        <v>122.5</v>
      </c>
      <c r="AG11" s="14" t="n">
        <f aca="false">Smax*(1-POWER(Keep,SUM($B11:E11)))</f>
        <v>126.682815007179</v>
      </c>
      <c r="AH11" s="14" t="n">
        <f aca="false">Smax*(1-POWER(Keep,SUM($B11:F11)))</f>
        <v>126.682815007179</v>
      </c>
      <c r="AI11" s="14" t="n">
        <f aca="false">Smax*(1-POWER(Keep,SUM($B11:G11)))</f>
        <v>126.682815007179</v>
      </c>
      <c r="AJ11" s="15" t="n">
        <f aca="false">Cash0+SUM(AD11:AI11)-Cost_r*T11+Credit_M*AI11</f>
        <v>2953.9168531812</v>
      </c>
      <c r="AK11" s="15" t="n">
        <f aca="false">Cash0+SUM(AD11:AI11)-Cost_r*T11+Credit_10*AI11</f>
        <v>1687.08870310941</v>
      </c>
    </row>
    <row r="12" customFormat="false" ht="15" hidden="false" customHeight="false" outlineLevel="0" collapsed="false">
      <c r="A12" s="2" t="s">
        <v>97</v>
      </c>
      <c r="B12" s="13" t="n">
        <v>0.5</v>
      </c>
      <c r="C12" s="13" t="n">
        <v>0</v>
      </c>
      <c r="D12" s="13" t="n">
        <v>0</v>
      </c>
      <c r="E12" s="13" t="n">
        <v>0</v>
      </c>
      <c r="F12" s="13" t="n">
        <v>0</v>
      </c>
      <c r="G12" s="13" t="n">
        <v>0</v>
      </c>
      <c r="H12" s="12" t="n">
        <f aca="false">Gap0*(1-Share*B12)</f>
        <v>10.5</v>
      </c>
      <c r="I12" s="12" t="n">
        <f aca="false">H12*(1-Share*C12)</f>
        <v>10.5</v>
      </c>
      <c r="J12" s="12" t="n">
        <f aca="false">I12*(1-Share*D12)</f>
        <v>10.5</v>
      </c>
      <c r="K12" s="12" t="n">
        <f aca="false">J12*(1-Share*E12)</f>
        <v>10.5</v>
      </c>
      <c r="L12" s="12" t="n">
        <f aca="false">K12*(1-Share*F12)</f>
        <v>10.5</v>
      </c>
      <c r="M12" s="12" t="n">
        <f aca="false">L12*(1-Share*G12)</f>
        <v>10.5</v>
      </c>
      <c r="N12" s="14" t="n">
        <f aca="false">Smax-Val_pt*H12</f>
        <v>35</v>
      </c>
      <c r="O12" s="14" t="n">
        <f aca="false">Smax-Val_pt*I12</f>
        <v>35</v>
      </c>
      <c r="P12" s="14" t="n">
        <f aca="false">Smax-Val_pt*J12</f>
        <v>35</v>
      </c>
      <c r="Q12" s="14" t="n">
        <f aca="false">Smax-Val_pt*K12</f>
        <v>35</v>
      </c>
      <c r="R12" s="14" t="n">
        <f aca="false">Smax-Val_pt*L12</f>
        <v>35</v>
      </c>
      <c r="S12" s="14" t="n">
        <f aca="false">Smax-Val_pt*M12</f>
        <v>35</v>
      </c>
      <c r="T12" s="14" t="n">
        <f aca="false">SUM(B12:G12)</f>
        <v>0.5</v>
      </c>
      <c r="U12" s="15" t="n">
        <f aca="false">Cash0+SUM(N12:S12)-Cost_r*T12+Credit_M*S12</f>
        <v>1000</v>
      </c>
      <c r="V12" s="15" t="n">
        <f aca="false">Cash0+SUM(N12:S12)-Cost_r*T12+Credit_10*S12</f>
        <v>650</v>
      </c>
      <c r="W12" s="11" t="n">
        <f aca="false">Liq0+N12-Cost_r*B12</f>
        <v>595</v>
      </c>
      <c r="X12" s="11" t="n">
        <f aca="false">W12+O12-Cost_r*C12</f>
        <v>630</v>
      </c>
      <c r="Y12" s="11" t="n">
        <f aca="false">X12+P12-Cost_r*D12</f>
        <v>665</v>
      </c>
      <c r="Z12" s="11" t="n">
        <f aca="false">Y12+Q12-Cost_r*E12</f>
        <v>700</v>
      </c>
      <c r="AA12" s="11" t="n">
        <f aca="false">Z12+R12-Cost_r*F12</f>
        <v>735</v>
      </c>
      <c r="AB12" s="11" t="n">
        <f aca="false">AA12+S12-Cost_r*G12</f>
        <v>770</v>
      </c>
      <c r="AC12" s="11" t="n">
        <f aca="false">MIN(MIN(Liq0-Cost_r*B12,W12-Cost_r*C12,X12-Cost_r*D12,Y12-Cost_r*E12,Z12-Cost_r*F12,AA12-Cost_r*G12,MIN(W12:AB12))-Floor_q,AB12-End_q)</f>
        <v>210</v>
      </c>
      <c r="AD12" s="14" t="n">
        <f aca="false">Smax*(1-POWER(Keep,SUM($B12:B12)))</f>
        <v>41.0050506338833</v>
      </c>
      <c r="AE12" s="14" t="n">
        <f aca="false">Smax*(1-POWER(Keep,SUM($B12:C12)))</f>
        <v>41.0050506338833</v>
      </c>
      <c r="AF12" s="14" t="n">
        <f aca="false">Smax*(1-POWER(Keep,SUM($B12:D12)))</f>
        <v>41.0050506338833</v>
      </c>
      <c r="AG12" s="14" t="n">
        <f aca="false">Smax*(1-POWER(Keep,SUM($B12:E12)))</f>
        <v>41.0050506338833</v>
      </c>
      <c r="AH12" s="14" t="n">
        <f aca="false">Smax*(1-POWER(Keep,SUM($B12:F12)))</f>
        <v>41.0050506338833</v>
      </c>
      <c r="AI12" s="14" t="n">
        <f aca="false">Smax*(1-POWER(Keep,SUM($B12:G12)))</f>
        <v>41.0050506338833</v>
      </c>
      <c r="AJ12" s="15" t="n">
        <f aca="false">Cash0+SUM(AD12:AI12)-Cost_r*T12+Credit_M*AI12</f>
        <v>1156.13131648097</v>
      </c>
      <c r="AK12" s="15" t="n">
        <f aca="false">Cash0+SUM(AD12:AI12)-Cost_r*T12+Credit_10*AI12</f>
        <v>746.080810142134</v>
      </c>
    </row>
    <row r="13" customFormat="false" ht="15" hidden="false" customHeight="false" outlineLevel="0" collapsed="false">
      <c r="A13" s="2" t="s">
        <v>98</v>
      </c>
      <c r="B13" s="13" t="n">
        <v>1</v>
      </c>
      <c r="C13" s="13" t="n">
        <v>1</v>
      </c>
      <c r="D13" s="13" t="n">
        <v>1</v>
      </c>
      <c r="E13" s="13" t="n">
        <v>0.5</v>
      </c>
      <c r="F13" s="13" t="n">
        <v>0.5</v>
      </c>
      <c r="G13" s="13" t="n">
        <v>0</v>
      </c>
      <c r="H13" s="12" t="n">
        <f aca="false">Gap0*(1-Share*B13)</f>
        <v>7</v>
      </c>
      <c r="I13" s="12" t="n">
        <f aca="false">H13*(1-Share*C13)</f>
        <v>3.5</v>
      </c>
      <c r="J13" s="12" t="n">
        <f aca="false">I13*(1-Share*D13)</f>
        <v>1.75</v>
      </c>
      <c r="K13" s="12" t="n">
        <f aca="false">J13*(1-Share*E13)</f>
        <v>1.3125</v>
      </c>
      <c r="L13" s="12" t="n">
        <f aca="false">K13*(1-Share*F13)</f>
        <v>0.984375</v>
      </c>
      <c r="M13" s="12" t="n">
        <f aca="false">L13*(1-Share*G13)</f>
        <v>0.984375</v>
      </c>
      <c r="N13" s="14" t="n">
        <f aca="false">Smax-Val_pt*H13</f>
        <v>70</v>
      </c>
      <c r="O13" s="14" t="n">
        <f aca="false">Smax-Val_pt*I13</f>
        <v>105</v>
      </c>
      <c r="P13" s="14" t="n">
        <f aca="false">Smax-Val_pt*J13</f>
        <v>122.5</v>
      </c>
      <c r="Q13" s="14" t="n">
        <f aca="false">Smax-Val_pt*K13</f>
        <v>126.875</v>
      </c>
      <c r="R13" s="14" t="n">
        <f aca="false">Smax-Val_pt*L13</f>
        <v>130.15625</v>
      </c>
      <c r="S13" s="14" t="n">
        <f aca="false">Smax-Val_pt*M13</f>
        <v>130.15625</v>
      </c>
      <c r="T13" s="14" t="n">
        <f aca="false">SUM(B13:G13)</f>
        <v>4</v>
      </c>
      <c r="U13" s="15" t="n">
        <f aca="false">Cash0+SUM(N13:S13)-Cost_r*T13+Credit_M*S13</f>
        <v>2957.8125</v>
      </c>
      <c r="V13" s="15" t="n">
        <f aca="false">Cash0+SUM(N13:S13)-Cost_r*T13+Credit_10*S13</f>
        <v>1656.25</v>
      </c>
      <c r="W13" s="11" t="n">
        <f aca="false">Liq0+N13-Cost_r*B13</f>
        <v>570</v>
      </c>
      <c r="X13" s="11" t="n">
        <f aca="false">W13+O13-Cost_r*C13</f>
        <v>555</v>
      </c>
      <c r="Y13" s="11" t="n">
        <f aca="false">X13+P13-Cost_r*D13</f>
        <v>557.5</v>
      </c>
      <c r="Z13" s="11" t="n">
        <f aca="false">Y13+Q13-Cost_r*E13</f>
        <v>624.375</v>
      </c>
      <c r="AA13" s="11" t="n">
        <f aca="false">Z13+R13-Cost_r*F13</f>
        <v>694.53125</v>
      </c>
      <c r="AB13" s="11" t="n">
        <f aca="false">AA13+S13-Cost_r*G13</f>
        <v>824.6875</v>
      </c>
      <c r="AC13" s="11" t="n">
        <f aca="false">MIN(MIN(Liq0-Cost_r*B13,W13-Cost_r*C13,X13-Cost_r*D13,Y13-Cost_r*E13,Z13-Cost_r*F13,AA13-Cost_r*G13,MIN(W13:AB13))-Floor_q,AB13-End_q)</f>
        <v>85</v>
      </c>
      <c r="AD13" s="14" t="n">
        <f aca="false">Smax*(1-POWER(Keep,SUM($B13:B13)))</f>
        <v>70</v>
      </c>
      <c r="AE13" s="14" t="n">
        <f aca="false">Smax*(1-POWER(Keep,SUM($B13:C13)))</f>
        <v>105</v>
      </c>
      <c r="AF13" s="14" t="n">
        <f aca="false">Smax*(1-POWER(Keep,SUM($B13:D13)))</f>
        <v>122.5</v>
      </c>
      <c r="AG13" s="14" t="n">
        <f aca="false">Smax*(1-POWER(Keep,SUM($B13:E13)))</f>
        <v>127.625631329235</v>
      </c>
      <c r="AH13" s="14" t="n">
        <f aca="false">Smax*(1-POWER(Keep,SUM($B13:F13)))</f>
        <v>131.25</v>
      </c>
      <c r="AI13" s="14" t="n">
        <f aca="false">Smax*(1-POWER(Keep,SUM($B13:G13)))</f>
        <v>131.25</v>
      </c>
      <c r="AJ13" s="15" t="n">
        <f aca="false">Cash0+SUM(AD13:AI13)-Cost_r*T13+Credit_M*AI13</f>
        <v>2982.62563132924</v>
      </c>
      <c r="AK13" s="15" t="n">
        <f aca="false">Cash0+SUM(AD13:AI13)-Cost_r*T13+Credit_10*AI13</f>
        <v>1670.12563132924</v>
      </c>
    </row>
    <row r="14" customFormat="false" ht="15" hidden="false" customHeight="false" outlineLevel="0" collapsed="false">
      <c r="A14" s="2" t="s">
        <v>99</v>
      </c>
      <c r="B14" s="16" t="n">
        <f aca="false">B13</f>
        <v>1</v>
      </c>
      <c r="C14" s="16" t="n">
        <f aca="false">C13</f>
        <v>1</v>
      </c>
      <c r="D14" s="16" t="n">
        <f aca="false">D13</f>
        <v>1</v>
      </c>
      <c r="E14" s="12" t="n">
        <v>0</v>
      </c>
      <c r="F14" s="16" t="n">
        <f aca="false">F13</f>
        <v>0.5</v>
      </c>
      <c r="G14" s="16" t="n">
        <f aca="false">G13</f>
        <v>0</v>
      </c>
      <c r="H14" s="12" t="n">
        <f aca="false">Gap0*(1-Share*B14)</f>
        <v>7</v>
      </c>
      <c r="I14" s="12" t="n">
        <f aca="false">H14*(1-Share*C14)</f>
        <v>3.5</v>
      </c>
      <c r="J14" s="12" t="n">
        <f aca="false">I14*(1-Share*D14)</f>
        <v>1.75</v>
      </c>
      <c r="K14" s="12" t="n">
        <f aca="false">J14*(1-Share*E14)</f>
        <v>1.75</v>
      </c>
      <c r="L14" s="12" t="n">
        <f aca="false">K14*(1-Share*F14)</f>
        <v>1.3125</v>
      </c>
      <c r="M14" s="12" t="n">
        <f aca="false">L14*(1-Share*G14)</f>
        <v>1.3125</v>
      </c>
      <c r="N14" s="14" t="n">
        <f aca="false">Smax-Val_pt*H14</f>
        <v>70</v>
      </c>
      <c r="O14" s="14" t="n">
        <f aca="false">Smax-Val_pt*I14</f>
        <v>105</v>
      </c>
      <c r="P14" s="14" t="n">
        <f aca="false">Smax-Val_pt*J14</f>
        <v>122.5</v>
      </c>
      <c r="Q14" s="14" t="n">
        <f aca="false">Smax-Val_pt*K14</f>
        <v>122.5</v>
      </c>
      <c r="R14" s="14" t="n">
        <f aca="false">Smax-Val_pt*L14</f>
        <v>126.875</v>
      </c>
      <c r="S14" s="14" t="n">
        <f aca="false">Smax-Val_pt*M14</f>
        <v>126.875</v>
      </c>
      <c r="T14" s="14" t="n">
        <f aca="false">SUM(B14:G14)</f>
        <v>3.5</v>
      </c>
      <c r="U14" s="15" t="n">
        <f aca="false">Cash0+SUM(N14:S14)-Cost_r*T14+Credit_M*S14</f>
        <v>2941.25</v>
      </c>
      <c r="V14" s="15" t="n">
        <f aca="false">Cash0+SUM(N14:S14)-Cost_r*T14+Credit_10*S14</f>
        <v>1672.5</v>
      </c>
      <c r="W14" s="11" t="n">
        <f aca="false">Liq0+N14-Cost_r*B14</f>
        <v>570</v>
      </c>
      <c r="X14" s="11" t="n">
        <f aca="false">W14+O14-Cost_r*C14</f>
        <v>555</v>
      </c>
      <c r="Y14" s="11" t="n">
        <f aca="false">X14+P14-Cost_r*D14</f>
        <v>557.5</v>
      </c>
      <c r="Z14" s="11" t="n">
        <f aca="false">Y14+Q14-Cost_r*E14</f>
        <v>680</v>
      </c>
      <c r="AA14" s="11" t="n">
        <f aca="false">Z14+R14-Cost_r*F14</f>
        <v>746.875</v>
      </c>
      <c r="AB14" s="11" t="n">
        <f aca="false">AA14+S14-Cost_r*G14</f>
        <v>873.75</v>
      </c>
      <c r="AC14" s="11" t="n">
        <f aca="false">MIN(MIN(Liq0-Cost_r*B14,W14-Cost_r*C14,X14-Cost_r*D14,Y14-Cost_r*E14,Z14-Cost_r*F14,AA14-Cost_r*G14,MIN(W14:AB14))-Floor_q,AB14-End_q)</f>
        <v>85</v>
      </c>
      <c r="AD14" s="14" t="n">
        <f aca="false">Smax*(1-POWER(Keep,SUM($B14:B14)))</f>
        <v>70</v>
      </c>
      <c r="AE14" s="14" t="n">
        <f aca="false">Smax*(1-POWER(Keep,SUM($B14:C14)))</f>
        <v>105</v>
      </c>
      <c r="AF14" s="14" t="n">
        <f aca="false">Smax*(1-POWER(Keep,SUM($B14:D14)))</f>
        <v>122.5</v>
      </c>
      <c r="AG14" s="14" t="n">
        <f aca="false">Smax*(1-POWER(Keep,SUM($B14:E14)))</f>
        <v>122.5</v>
      </c>
      <c r="AH14" s="14" t="n">
        <f aca="false">Smax*(1-POWER(Keep,SUM($B14:F14)))</f>
        <v>127.625631329235</v>
      </c>
      <c r="AI14" s="14" t="n">
        <f aca="false">Smax*(1-POWER(Keep,SUM($B14:G14)))</f>
        <v>127.625631329235</v>
      </c>
      <c r="AJ14" s="15" t="n">
        <f aca="false">Cash0+SUM(AD14:AI14)-Cost_r*T14+Credit_M*AI14</f>
        <v>2957.76388924318</v>
      </c>
      <c r="AK14" s="15" t="n">
        <f aca="false">Cash0+SUM(AD14:AI14)-Cost_r*T14+Credit_10*AI14</f>
        <v>1681.50757595083</v>
      </c>
    </row>
    <row r="15" customFormat="false" ht="15" hidden="false" customHeight="false" outlineLevel="0" collapsed="false">
      <c r="A15" s="2" t="s">
        <v>100</v>
      </c>
      <c r="B15" s="16" t="n">
        <f aca="false">B13</f>
        <v>1</v>
      </c>
      <c r="C15" s="16" t="n">
        <f aca="false">C13</f>
        <v>1</v>
      </c>
      <c r="D15" s="16" t="n">
        <f aca="false">D13</f>
        <v>1</v>
      </c>
      <c r="E15" s="12" t="n">
        <v>1</v>
      </c>
      <c r="F15" s="16" t="n">
        <f aca="false">F13</f>
        <v>0.5</v>
      </c>
      <c r="G15" s="16" t="n">
        <f aca="false">G13</f>
        <v>0</v>
      </c>
      <c r="H15" s="12" t="n">
        <f aca="false">Gap0*(1-Share*B15)</f>
        <v>7</v>
      </c>
      <c r="I15" s="12" t="n">
        <f aca="false">H15*(1-Share*C15)</f>
        <v>3.5</v>
      </c>
      <c r="J15" s="12" t="n">
        <f aca="false">I15*(1-Share*D15)</f>
        <v>1.75</v>
      </c>
      <c r="K15" s="12" t="n">
        <f aca="false">J15*(1-Share*E15)</f>
        <v>0.875</v>
      </c>
      <c r="L15" s="12" t="n">
        <f aca="false">K15*(1-Share*F15)</f>
        <v>0.65625</v>
      </c>
      <c r="M15" s="12" t="n">
        <f aca="false">L15*(1-Share*G15)</f>
        <v>0.65625</v>
      </c>
      <c r="N15" s="14" t="n">
        <f aca="false">Smax-Val_pt*H15</f>
        <v>70</v>
      </c>
      <c r="O15" s="14" t="n">
        <f aca="false">Smax-Val_pt*I15</f>
        <v>105</v>
      </c>
      <c r="P15" s="14" t="n">
        <f aca="false">Smax-Val_pt*J15</f>
        <v>122.5</v>
      </c>
      <c r="Q15" s="14" t="n">
        <f aca="false">Smax-Val_pt*K15</f>
        <v>131.25</v>
      </c>
      <c r="R15" s="14" t="n">
        <f aca="false">Smax-Val_pt*L15</f>
        <v>133.4375</v>
      </c>
      <c r="S15" s="14" t="n">
        <f aca="false">Smax-Val_pt*M15</f>
        <v>133.4375</v>
      </c>
      <c r="T15" s="14" t="n">
        <f aca="false">SUM(B15:G15)</f>
        <v>4.5</v>
      </c>
      <c r="U15" s="15" t="n">
        <f aca="false">Cash0+SUM(N15:S15)-Cost_r*T15+Credit_M*S15</f>
        <v>2974.375</v>
      </c>
      <c r="V15" s="15" t="n">
        <f aca="false">Cash0+SUM(N15:S15)-Cost_r*T15+Credit_10*S15</f>
        <v>1640</v>
      </c>
      <c r="W15" s="11" t="n">
        <f aca="false">Liq0+N15-Cost_r*B15</f>
        <v>570</v>
      </c>
      <c r="X15" s="11" t="n">
        <f aca="false">W15+O15-Cost_r*C15</f>
        <v>555</v>
      </c>
      <c r="Y15" s="11" t="n">
        <f aca="false">X15+P15-Cost_r*D15</f>
        <v>557.5</v>
      </c>
      <c r="Z15" s="11" t="n">
        <f aca="false">Y15+Q15-Cost_r*E15</f>
        <v>568.75</v>
      </c>
      <c r="AA15" s="11" t="n">
        <f aca="false">Z15+R15-Cost_r*F15</f>
        <v>642.1875</v>
      </c>
      <c r="AB15" s="11" t="n">
        <f aca="false">AA15+S15-Cost_r*G15</f>
        <v>775.625</v>
      </c>
      <c r="AC15" s="11" t="n">
        <f aca="false">MIN(MIN(Liq0-Cost_r*B15,W15-Cost_r*C15,X15-Cost_r*D15,Y15-Cost_r*E15,Z15-Cost_r*F15,AA15-Cost_r*G15,MIN(W15:AB15))-Floor_q,AB15-End_q)</f>
        <v>85</v>
      </c>
      <c r="AD15" s="14" t="n">
        <f aca="false">Smax*(1-POWER(Keep,SUM($B15:B15)))</f>
        <v>70</v>
      </c>
      <c r="AE15" s="14" t="n">
        <f aca="false">Smax*(1-POWER(Keep,SUM($B15:C15)))</f>
        <v>105</v>
      </c>
      <c r="AF15" s="14" t="n">
        <f aca="false">Smax*(1-POWER(Keep,SUM($B15:D15)))</f>
        <v>122.5</v>
      </c>
      <c r="AG15" s="14" t="n">
        <f aca="false">Smax*(1-POWER(Keep,SUM($B15:E15)))</f>
        <v>131.25</v>
      </c>
      <c r="AH15" s="14" t="n">
        <f aca="false">Smax*(1-POWER(Keep,SUM($B15:F15)))</f>
        <v>133.812815664618</v>
      </c>
      <c r="AI15" s="14" t="n">
        <f aca="false">Smax*(1-POWER(Keep,SUM($B15:G15)))</f>
        <v>133.812815664618</v>
      </c>
      <c r="AJ15" s="15" t="n">
        <f aca="false">Cash0+SUM(AD15:AI15)-Cost_r*T15+Credit_M*AI15</f>
        <v>2982.63194462159</v>
      </c>
      <c r="AK15" s="15" t="n">
        <f aca="false">Cash0+SUM(AD15:AI15)-Cost_r*T15+Credit_10*AI15</f>
        <v>1644.50378797541</v>
      </c>
    </row>
    <row r="17" customFormat="false" ht="15" hidden="false" customHeight="false" outlineLevel="0" collapsed="false">
      <c r="A17" s="2" t="s">
        <v>101</v>
      </c>
      <c r="U17" s="15" t="n">
        <f aca="false">U5-U10</f>
        <v>3.63511959193511</v>
      </c>
    </row>
    <row r="18" customFormat="false" ht="15" hidden="false" customHeight="false" outlineLevel="0" collapsed="false">
      <c r="A18" s="2" t="s">
        <v>102</v>
      </c>
      <c r="V18" s="15" t="n">
        <f aca="false">V8-V11</f>
        <v>2.46291104082911</v>
      </c>
    </row>
    <row r="19" customFormat="false" ht="15" hidden="false" customHeight="false" outlineLevel="0" collapsed="false">
      <c r="A19" s="2" t="s">
        <v>103</v>
      </c>
      <c r="U19" s="15" t="n">
        <f aca="false">(1-E13)*U14+E13*U15</f>
        <v>2957.8125</v>
      </c>
    </row>
    <row r="20" customFormat="false" ht="15" hidden="false" customHeight="false" outlineLevel="0" collapsed="false">
      <c r="A20" s="2" t="s">
        <v>104</v>
      </c>
      <c r="U20" s="15" t="n">
        <f aca="false">U13-U19</f>
        <v>0</v>
      </c>
    </row>
    <row r="21" customFormat="false" ht="15" hidden="false" customHeight="false" outlineLevel="0" collapsed="false">
      <c r="A21" s="10"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7" min="1" style="0" width="5"/>
    <col collapsed="false" customWidth="true" hidden="false" outlineLevel="0" max="19" min="8" style="0" width="8"/>
    <col collapsed="false" customWidth="true" hidden="false" outlineLevel="0" max="20" min="20" style="0" width="7"/>
    <col collapsed="false" customWidth="true" hidden="false" outlineLevel="0" max="22" min="21" style="0" width="11"/>
    <col collapsed="false" customWidth="true" hidden="false" outlineLevel="0" max="28" min="23" style="0" width="8"/>
    <col collapsed="false" customWidth="true" hidden="false" outlineLevel="0" max="29" min="29" style="0" width="9"/>
    <col collapsed="false" customWidth="true" hidden="false" outlineLevel="0" max="35" min="30" style="0" width="10"/>
    <col collapsed="false" customWidth="true" hidden="false" outlineLevel="0" max="36" min="36" style="0" width="9"/>
    <col collapsed="false" customWidth="true" hidden="false" outlineLevel="0" max="37" min="37" style="0" width="3"/>
    <col collapsed="false" customWidth="true" hidden="false" outlineLevel="0" max="38" min="38" style="0" width="46"/>
    <col collapsed="false" customWidth="true" hidden="false" outlineLevel="0" max="39" min="39" style="0" width="12"/>
  </cols>
  <sheetData>
    <row r="1" customFormat="false" ht="15" hidden="false" customHeight="false" outlineLevel="0" collapsed="false">
      <c r="A1" s="1" t="s">
        <v>106</v>
      </c>
    </row>
    <row r="2" customFormat="false" ht="15" hidden="false" customHeight="false" outlineLevel="0" collapsed="false">
      <c r="A2" s="10" t="s">
        <v>107</v>
      </c>
    </row>
    <row r="4" customFormat="false" ht="23.85" hidden="false" customHeight="false" outlineLevel="0" collapsed="false">
      <c r="A4" s="8" t="s">
        <v>108</v>
      </c>
      <c r="B4" s="8" t="s">
        <v>54</v>
      </c>
      <c r="C4" s="8" t="s">
        <v>55</v>
      </c>
      <c r="D4" s="8" t="s">
        <v>56</v>
      </c>
      <c r="E4" s="8" t="s">
        <v>57</v>
      </c>
      <c r="F4" s="8" t="s">
        <v>58</v>
      </c>
      <c r="G4" s="8" t="s">
        <v>59</v>
      </c>
      <c r="H4" s="8" t="s">
        <v>60</v>
      </c>
      <c r="I4" s="8" t="s">
        <v>61</v>
      </c>
      <c r="J4" s="8" t="s">
        <v>62</v>
      </c>
      <c r="K4" s="8" t="s">
        <v>63</v>
      </c>
      <c r="L4" s="8" t="s">
        <v>64</v>
      </c>
      <c r="M4" s="8" t="s">
        <v>65</v>
      </c>
      <c r="N4" s="8" t="s">
        <v>66</v>
      </c>
      <c r="O4" s="8" t="s">
        <v>67</v>
      </c>
      <c r="P4" s="8" t="s">
        <v>68</v>
      </c>
      <c r="Q4" s="8" t="s">
        <v>69</v>
      </c>
      <c r="R4" s="8" t="s">
        <v>70</v>
      </c>
      <c r="S4" s="8" t="s">
        <v>71</v>
      </c>
      <c r="T4" s="8" t="s">
        <v>72</v>
      </c>
      <c r="U4" s="8" t="s">
        <v>73</v>
      </c>
      <c r="V4" s="8" t="s">
        <v>74</v>
      </c>
      <c r="W4" s="8" t="s">
        <v>75</v>
      </c>
      <c r="X4" s="8" t="s">
        <v>76</v>
      </c>
      <c r="Y4" s="8" t="s">
        <v>77</v>
      </c>
      <c r="Z4" s="8" t="s">
        <v>78</v>
      </c>
      <c r="AA4" s="8" t="s">
        <v>79</v>
      </c>
      <c r="AB4" s="8" t="s">
        <v>80</v>
      </c>
      <c r="AC4" s="8" t="s">
        <v>81</v>
      </c>
      <c r="AD4" s="8" t="s">
        <v>109</v>
      </c>
      <c r="AE4" s="8" t="s">
        <v>110</v>
      </c>
      <c r="AF4" s="8" t="s">
        <v>111</v>
      </c>
      <c r="AG4" s="8" t="s">
        <v>112</v>
      </c>
      <c r="AH4" s="8" t="s">
        <v>113</v>
      </c>
      <c r="AI4" s="8" t="s">
        <v>114</v>
      </c>
      <c r="AJ4" s="8" t="s">
        <v>115</v>
      </c>
      <c r="AL4" s="8" t="s">
        <v>116</v>
      </c>
      <c r="AM4" s="8" t="s">
        <v>20</v>
      </c>
    </row>
    <row r="5" customFormat="false" ht="15" hidden="false" customHeight="false" outlineLevel="0" collapsed="false">
      <c r="A5" s="17" t="n">
        <v>0</v>
      </c>
      <c r="B5" s="17" t="n">
        <f aca="false">MOD(INT($A5/32),2)</f>
        <v>0</v>
      </c>
      <c r="C5" s="17" t="n">
        <f aca="false">MOD(INT($A5/16),2)</f>
        <v>0</v>
      </c>
      <c r="D5" s="17" t="n">
        <f aca="false">MOD(INT($A5/8),2)</f>
        <v>0</v>
      </c>
      <c r="E5" s="17" t="n">
        <f aca="false">MOD(INT($A5/4),2)</f>
        <v>0</v>
      </c>
      <c r="F5" s="17" t="n">
        <f aca="false">MOD(INT($A5/2),2)</f>
        <v>0</v>
      </c>
      <c r="G5" s="17" t="n">
        <f aca="false">MOD(INT($A5/1),2)</f>
        <v>0</v>
      </c>
      <c r="H5" s="12" t="n">
        <f aca="false">Gap0*(1-Share*B5)</f>
        <v>14</v>
      </c>
      <c r="I5" s="12" t="n">
        <f aca="false">H5*(1-Share*C5)</f>
        <v>14</v>
      </c>
      <c r="J5" s="12" t="n">
        <f aca="false">I5*(1-Share*D5)</f>
        <v>14</v>
      </c>
      <c r="K5" s="12" t="n">
        <f aca="false">J5*(1-Share*E5)</f>
        <v>14</v>
      </c>
      <c r="L5" s="12" t="n">
        <f aca="false">K5*(1-Share*F5)</f>
        <v>14</v>
      </c>
      <c r="M5" s="12" t="n">
        <f aca="false">L5*(1-Share*G5)</f>
        <v>14</v>
      </c>
      <c r="N5" s="14" t="n">
        <f aca="false">Smax-Val_pt*H5</f>
        <v>0</v>
      </c>
      <c r="O5" s="14" t="n">
        <f aca="false">Smax-Val_pt*I5</f>
        <v>0</v>
      </c>
      <c r="P5" s="14" t="n">
        <f aca="false">Smax-Val_pt*J5</f>
        <v>0</v>
      </c>
      <c r="Q5" s="14" t="n">
        <f aca="false">Smax-Val_pt*K5</f>
        <v>0</v>
      </c>
      <c r="R5" s="14" t="n">
        <f aca="false">Smax-Val_pt*L5</f>
        <v>0</v>
      </c>
      <c r="S5" s="14" t="n">
        <f aca="false">Smax-Val_pt*M5</f>
        <v>0</v>
      </c>
      <c r="T5" s="14" t="n">
        <f aca="false">SUM(B5:G5)</f>
        <v>0</v>
      </c>
      <c r="U5" s="15" t="n">
        <f aca="false">Cash0+SUM(N5:S5)-Cost_r*T5+Credit_M*S5</f>
        <v>150</v>
      </c>
      <c r="V5" s="15" t="n">
        <f aca="false">Cash0+SUM(N5:S5)-Cost_r*T5+Credit_10*S5</f>
        <v>150</v>
      </c>
      <c r="W5" s="11" t="n">
        <f aca="false">Liq0+N5-Cost_r*B5</f>
        <v>620</v>
      </c>
      <c r="X5" s="11" t="n">
        <f aca="false">W5+O5-Cost_r*C5</f>
        <v>620</v>
      </c>
      <c r="Y5" s="11" t="n">
        <f aca="false">X5+P5-Cost_r*D5</f>
        <v>620</v>
      </c>
      <c r="Z5" s="11" t="n">
        <f aca="false">Y5+Q5-Cost_r*E5</f>
        <v>620</v>
      </c>
      <c r="AA5" s="11" t="n">
        <f aca="false">Z5+R5-Cost_r*F5</f>
        <v>620</v>
      </c>
      <c r="AB5" s="11" t="n">
        <f aca="false">AA5+S5-Cost_r*G5</f>
        <v>620</v>
      </c>
      <c r="AC5" s="11" t="n">
        <f aca="false">MIN(MIN(Liq0-Cost_r*B5,W5-Cost_r*C5,X5-Cost_r*D5,Y5-Cost_r*E5,Z5-Cost_r*F5,AA5-Cost_r*G5,MIN(W5:AB5))-Floor_q,AB5-End_q)</f>
        <v>150</v>
      </c>
      <c r="AD5" s="14" t="n">
        <f aca="false">Val_pt*Share/(1-Share*B5)*(SUM(H5:M5)+Credit_M*M5)-Cost_r</f>
        <v>1700</v>
      </c>
      <c r="AE5" s="14" t="n">
        <f aca="false">Val_pt*Share/(1-Share*C5)*(SUM(I5:M5)+Credit_M*M5)-Cost_r</f>
        <v>1630</v>
      </c>
      <c r="AF5" s="14" t="n">
        <f aca="false">Val_pt*Share/(1-Share*D5)*(SUM(J5:M5)+Credit_M*M5)-Cost_r</f>
        <v>1560</v>
      </c>
      <c r="AG5" s="14" t="n">
        <f aca="false">Val_pt*Share/(1-Share*E5)*(SUM(K5:M5)+Credit_M*M5)-Cost_r</f>
        <v>1490</v>
      </c>
      <c r="AH5" s="14" t="n">
        <f aca="false">Val_pt*Share/(1-Share*F5)*(SUM(L5:M5)+Credit_M*M5)-Cost_r</f>
        <v>1420</v>
      </c>
      <c r="AI5" s="14" t="n">
        <f aca="false">Val_pt*Share/(1-Share*G5)*(SUM(M5:M5)+Credit_M*M5)-Cost_r</f>
        <v>1350</v>
      </c>
      <c r="AJ5" s="17" t="n">
        <f aca="false">IF(AND(IF(B5=1,AD5&gt;0,AD5&lt;0),IF(C5=1,AE5&gt;0,AE5&lt;0),IF(D5=1,AF5&gt;0,AF5&lt;0),IF(E5=1,AG5&gt;0,AG5&lt;0),IF(F5=1,AH5&gt;0,AH5&lt;0),IF(G5=1,AI5&gt;0,AI5&lt;0)),1,0)</f>
        <v>0</v>
      </c>
      <c r="AL5" s="2" t="s">
        <v>117</v>
      </c>
      <c r="AM5" s="17" t="n">
        <f aca="false">SUM(AJ5:AJ68)</f>
        <v>3</v>
      </c>
    </row>
    <row r="6" customFormat="false" ht="15" hidden="false" customHeight="false" outlineLevel="0" collapsed="false">
      <c r="A6" s="17" t="n">
        <v>1</v>
      </c>
      <c r="B6" s="17" t="n">
        <f aca="false">MOD(INT($A6/32),2)</f>
        <v>0</v>
      </c>
      <c r="C6" s="17" t="n">
        <f aca="false">MOD(INT($A6/16),2)</f>
        <v>0</v>
      </c>
      <c r="D6" s="17" t="n">
        <f aca="false">MOD(INT($A6/8),2)</f>
        <v>0</v>
      </c>
      <c r="E6" s="17" t="n">
        <f aca="false">MOD(INT($A6/4),2)</f>
        <v>0</v>
      </c>
      <c r="F6" s="17" t="n">
        <f aca="false">MOD(INT($A6/2),2)</f>
        <v>0</v>
      </c>
      <c r="G6" s="17" t="n">
        <f aca="false">MOD(INT($A6/1),2)</f>
        <v>1</v>
      </c>
      <c r="H6" s="12" t="n">
        <f aca="false">Gap0*(1-Share*B6)</f>
        <v>14</v>
      </c>
      <c r="I6" s="12" t="n">
        <f aca="false">H6*(1-Share*C6)</f>
        <v>14</v>
      </c>
      <c r="J6" s="12" t="n">
        <f aca="false">I6*(1-Share*D6)</f>
        <v>14</v>
      </c>
      <c r="K6" s="12" t="n">
        <f aca="false">J6*(1-Share*E6)</f>
        <v>14</v>
      </c>
      <c r="L6" s="12" t="n">
        <f aca="false">K6*(1-Share*F6)</f>
        <v>14</v>
      </c>
      <c r="M6" s="12" t="n">
        <f aca="false">L6*(1-Share*G6)</f>
        <v>7</v>
      </c>
      <c r="N6" s="14" t="n">
        <f aca="false">Smax-Val_pt*H6</f>
        <v>0</v>
      </c>
      <c r="O6" s="14" t="n">
        <f aca="false">Smax-Val_pt*I6</f>
        <v>0</v>
      </c>
      <c r="P6" s="14" t="n">
        <f aca="false">Smax-Val_pt*J6</f>
        <v>0</v>
      </c>
      <c r="Q6" s="14" t="n">
        <f aca="false">Smax-Val_pt*K6</f>
        <v>0</v>
      </c>
      <c r="R6" s="14" t="n">
        <f aca="false">Smax-Val_pt*L6</f>
        <v>0</v>
      </c>
      <c r="S6" s="14" t="n">
        <f aca="false">Smax-Val_pt*M6</f>
        <v>70</v>
      </c>
      <c r="T6" s="14" t="n">
        <f aca="false">SUM(B6:G6)</f>
        <v>1</v>
      </c>
      <c r="U6" s="15" t="n">
        <f aca="false">Cash0+SUM(N6:S6)-Cost_r*T6+Credit_M*S6</f>
        <v>1500</v>
      </c>
      <c r="V6" s="15" t="n">
        <f aca="false">Cash0+SUM(N6:S6)-Cost_r*T6+Credit_10*S6</f>
        <v>800</v>
      </c>
      <c r="W6" s="11" t="n">
        <f aca="false">Liq0+N6-Cost_r*B6</f>
        <v>620</v>
      </c>
      <c r="X6" s="11" t="n">
        <f aca="false">W6+O6-Cost_r*C6</f>
        <v>620</v>
      </c>
      <c r="Y6" s="11" t="n">
        <f aca="false">X6+P6-Cost_r*D6</f>
        <v>620</v>
      </c>
      <c r="Z6" s="11" t="n">
        <f aca="false">Y6+Q6-Cost_r*E6</f>
        <v>620</v>
      </c>
      <c r="AA6" s="11" t="n">
        <f aca="false">Z6+R6-Cost_r*F6</f>
        <v>620</v>
      </c>
      <c r="AB6" s="11" t="n">
        <f aca="false">AA6+S6-Cost_r*G6</f>
        <v>570</v>
      </c>
      <c r="AC6" s="11" t="n">
        <f aca="false">MIN(MIN(Liq0-Cost_r*B6,W6-Cost_r*C6,X6-Cost_r*D6,Y6-Cost_r*E6,Z6-Cost_r*F6,AA6-Cost_r*G6,MIN(W6:AB6))-Floor_q,AB6-End_q)</f>
        <v>100</v>
      </c>
      <c r="AD6" s="14" t="n">
        <f aca="false">Val_pt*Share/(1-Share*B6)*(SUM(H6:M6)+Credit_M*M6)-Cost_r</f>
        <v>965</v>
      </c>
      <c r="AE6" s="14" t="n">
        <f aca="false">Val_pt*Share/(1-Share*C6)*(SUM(I6:M6)+Credit_M*M6)-Cost_r</f>
        <v>895</v>
      </c>
      <c r="AF6" s="14" t="n">
        <f aca="false">Val_pt*Share/(1-Share*D6)*(SUM(J6:M6)+Credit_M*M6)-Cost_r</f>
        <v>825</v>
      </c>
      <c r="AG6" s="14" t="n">
        <f aca="false">Val_pt*Share/(1-Share*E6)*(SUM(K6:M6)+Credit_M*M6)-Cost_r</f>
        <v>755</v>
      </c>
      <c r="AH6" s="14" t="n">
        <f aca="false">Val_pt*Share/(1-Share*F6)*(SUM(L6:M6)+Credit_M*M6)-Cost_r</f>
        <v>685</v>
      </c>
      <c r="AI6" s="14" t="n">
        <f aca="false">Val_pt*Share/(1-Share*G6)*(SUM(M6:M6)+Credit_M*M6)-Cost_r</f>
        <v>1350</v>
      </c>
      <c r="AJ6" s="17" t="n">
        <f aca="false">IF(AND(IF(B6=1,AD6&gt;0,AD6&lt;0),IF(C6=1,AE6&gt;0,AE6&lt;0),IF(D6=1,AF6&gt;0,AF6&lt;0),IF(E6=1,AG6&gt;0,AG6&lt;0),IF(F6=1,AH6&gt;0,AH6&lt;0),IF(G6=1,AI6&gt;0,AI6&lt;0)),1,0)</f>
        <v>0</v>
      </c>
      <c r="AL6" s="2" t="s">
        <v>118</v>
      </c>
      <c r="AM6" s="18" t="n">
        <f aca="false">MAX(U5:U68)</f>
        <v>2986.25</v>
      </c>
    </row>
    <row r="7" customFormat="false" ht="15" hidden="false" customHeight="false" outlineLevel="0" collapsed="false">
      <c r="A7" s="17" t="n">
        <v>2</v>
      </c>
      <c r="B7" s="17" t="n">
        <f aca="false">MOD(INT($A7/32),2)</f>
        <v>0</v>
      </c>
      <c r="C7" s="17" t="n">
        <f aca="false">MOD(INT($A7/16),2)</f>
        <v>0</v>
      </c>
      <c r="D7" s="17" t="n">
        <f aca="false">MOD(INT($A7/8),2)</f>
        <v>0</v>
      </c>
      <c r="E7" s="17" t="n">
        <f aca="false">MOD(INT($A7/4),2)</f>
        <v>0</v>
      </c>
      <c r="F7" s="17" t="n">
        <f aca="false">MOD(INT($A7/2),2)</f>
        <v>1</v>
      </c>
      <c r="G7" s="17" t="n">
        <f aca="false">MOD(INT($A7/1),2)</f>
        <v>0</v>
      </c>
      <c r="H7" s="12" t="n">
        <f aca="false">Gap0*(1-Share*B7)</f>
        <v>14</v>
      </c>
      <c r="I7" s="12" t="n">
        <f aca="false">H7*(1-Share*C7)</f>
        <v>14</v>
      </c>
      <c r="J7" s="12" t="n">
        <f aca="false">I7*(1-Share*D7)</f>
        <v>14</v>
      </c>
      <c r="K7" s="12" t="n">
        <f aca="false">J7*(1-Share*E7)</f>
        <v>14</v>
      </c>
      <c r="L7" s="12" t="n">
        <f aca="false">K7*(1-Share*F7)</f>
        <v>7</v>
      </c>
      <c r="M7" s="12" t="n">
        <f aca="false">L7*(1-Share*G7)</f>
        <v>7</v>
      </c>
      <c r="N7" s="14" t="n">
        <f aca="false">Smax-Val_pt*H7</f>
        <v>0</v>
      </c>
      <c r="O7" s="14" t="n">
        <f aca="false">Smax-Val_pt*I7</f>
        <v>0</v>
      </c>
      <c r="P7" s="14" t="n">
        <f aca="false">Smax-Val_pt*J7</f>
        <v>0</v>
      </c>
      <c r="Q7" s="14" t="n">
        <f aca="false">Smax-Val_pt*K7</f>
        <v>0</v>
      </c>
      <c r="R7" s="14" t="n">
        <f aca="false">Smax-Val_pt*L7</f>
        <v>70</v>
      </c>
      <c r="S7" s="14" t="n">
        <f aca="false">Smax-Val_pt*M7</f>
        <v>70</v>
      </c>
      <c r="T7" s="14" t="n">
        <f aca="false">SUM(B7:G7)</f>
        <v>1</v>
      </c>
      <c r="U7" s="15" t="n">
        <f aca="false">Cash0+SUM(N7:S7)-Cost_r*T7+Credit_M*S7</f>
        <v>1570</v>
      </c>
      <c r="V7" s="15" t="n">
        <f aca="false">Cash0+SUM(N7:S7)-Cost_r*T7+Credit_10*S7</f>
        <v>870</v>
      </c>
      <c r="W7" s="11" t="n">
        <f aca="false">Liq0+N7-Cost_r*B7</f>
        <v>620</v>
      </c>
      <c r="X7" s="11" t="n">
        <f aca="false">W7+O7-Cost_r*C7</f>
        <v>620</v>
      </c>
      <c r="Y7" s="11" t="n">
        <f aca="false">X7+P7-Cost_r*D7</f>
        <v>620</v>
      </c>
      <c r="Z7" s="11" t="n">
        <f aca="false">Y7+Q7-Cost_r*E7</f>
        <v>620</v>
      </c>
      <c r="AA7" s="11" t="n">
        <f aca="false">Z7+R7-Cost_r*F7</f>
        <v>570</v>
      </c>
      <c r="AB7" s="11" t="n">
        <f aca="false">AA7+S7-Cost_r*G7</f>
        <v>640</v>
      </c>
      <c r="AC7" s="11" t="n">
        <f aca="false">MIN(MIN(Liq0-Cost_r*B7,W7-Cost_r*C7,X7-Cost_r*D7,Y7-Cost_r*E7,Z7-Cost_r*F7,AA7-Cost_r*G7,MIN(W7:AB7))-Floor_q,AB7-End_q)</f>
        <v>150</v>
      </c>
      <c r="AD7" s="14" t="n">
        <f aca="false">Val_pt*Share/(1-Share*B7)*(SUM(H7:M7)+Credit_M*M7)-Cost_r</f>
        <v>930</v>
      </c>
      <c r="AE7" s="14" t="n">
        <f aca="false">Val_pt*Share/(1-Share*C7)*(SUM(I7:M7)+Credit_M*M7)-Cost_r</f>
        <v>860</v>
      </c>
      <c r="AF7" s="14" t="n">
        <f aca="false">Val_pt*Share/(1-Share*D7)*(SUM(J7:M7)+Credit_M*M7)-Cost_r</f>
        <v>790</v>
      </c>
      <c r="AG7" s="14" t="n">
        <f aca="false">Val_pt*Share/(1-Share*E7)*(SUM(K7:M7)+Credit_M*M7)-Cost_r</f>
        <v>720</v>
      </c>
      <c r="AH7" s="14" t="n">
        <f aca="false">Val_pt*Share/(1-Share*F7)*(SUM(L7:M7)+Credit_M*M7)-Cost_r</f>
        <v>1420</v>
      </c>
      <c r="AI7" s="14" t="n">
        <f aca="false">Val_pt*Share/(1-Share*G7)*(SUM(M7:M7)+Credit_M*M7)-Cost_r</f>
        <v>615</v>
      </c>
      <c r="AJ7" s="17" t="n">
        <f aca="false">IF(AND(IF(B7=1,AD7&gt;0,AD7&lt;0),IF(C7=1,AE7&gt;0,AE7&lt;0),IF(D7=1,AF7&gt;0,AF7&lt;0),IF(E7=1,AG7&gt;0,AG7&lt;0),IF(F7=1,AH7&gt;0,AH7&lt;0),IF(G7=1,AI7&gt;0,AI7&lt;0)),1,0)</f>
        <v>0</v>
      </c>
      <c r="AL7" s="2" t="s">
        <v>119</v>
      </c>
      <c r="AM7" s="17" t="n">
        <f aca="false">INDEX(A5:A68,MATCH(AM6,U5:U68,0))</f>
        <v>60</v>
      </c>
    </row>
    <row r="8" customFormat="false" ht="15" hidden="false" customHeight="false" outlineLevel="0" collapsed="false">
      <c r="A8" s="17" t="n">
        <v>3</v>
      </c>
      <c r="B8" s="17" t="n">
        <f aca="false">MOD(INT($A8/32),2)</f>
        <v>0</v>
      </c>
      <c r="C8" s="17" t="n">
        <f aca="false">MOD(INT($A8/16),2)</f>
        <v>0</v>
      </c>
      <c r="D8" s="17" t="n">
        <f aca="false">MOD(INT($A8/8),2)</f>
        <v>0</v>
      </c>
      <c r="E8" s="17" t="n">
        <f aca="false">MOD(INT($A8/4),2)</f>
        <v>0</v>
      </c>
      <c r="F8" s="17" t="n">
        <f aca="false">MOD(INT($A8/2),2)</f>
        <v>1</v>
      </c>
      <c r="G8" s="17" t="n">
        <f aca="false">MOD(INT($A8/1),2)</f>
        <v>1</v>
      </c>
      <c r="H8" s="12" t="n">
        <f aca="false">Gap0*(1-Share*B8)</f>
        <v>14</v>
      </c>
      <c r="I8" s="12" t="n">
        <f aca="false">H8*(1-Share*C8)</f>
        <v>14</v>
      </c>
      <c r="J8" s="12" t="n">
        <f aca="false">I8*(1-Share*D8)</f>
        <v>14</v>
      </c>
      <c r="K8" s="12" t="n">
        <f aca="false">J8*(1-Share*E8)</f>
        <v>14</v>
      </c>
      <c r="L8" s="12" t="n">
        <f aca="false">K8*(1-Share*F8)</f>
        <v>7</v>
      </c>
      <c r="M8" s="12" t="n">
        <f aca="false">L8*(1-Share*G8)</f>
        <v>3.5</v>
      </c>
      <c r="N8" s="14" t="n">
        <f aca="false">Smax-Val_pt*H8</f>
        <v>0</v>
      </c>
      <c r="O8" s="14" t="n">
        <f aca="false">Smax-Val_pt*I8</f>
        <v>0</v>
      </c>
      <c r="P8" s="14" t="n">
        <f aca="false">Smax-Val_pt*J8</f>
        <v>0</v>
      </c>
      <c r="Q8" s="14" t="n">
        <f aca="false">Smax-Val_pt*K8</f>
        <v>0</v>
      </c>
      <c r="R8" s="14" t="n">
        <f aca="false">Smax-Val_pt*L8</f>
        <v>70</v>
      </c>
      <c r="S8" s="14" t="n">
        <f aca="false">Smax-Val_pt*M8</f>
        <v>105</v>
      </c>
      <c r="T8" s="14" t="n">
        <f aca="false">SUM(B8:G8)</f>
        <v>2</v>
      </c>
      <c r="U8" s="15" t="n">
        <f aca="false">Cash0+SUM(N8:S8)-Cost_r*T8+Credit_M*S8</f>
        <v>2185</v>
      </c>
      <c r="V8" s="15" t="n">
        <f aca="false">Cash0+SUM(N8:S8)-Cost_r*T8+Credit_10*S8</f>
        <v>1135</v>
      </c>
      <c r="W8" s="11" t="n">
        <f aca="false">Liq0+N8-Cost_r*B8</f>
        <v>620</v>
      </c>
      <c r="X8" s="11" t="n">
        <f aca="false">W8+O8-Cost_r*C8</f>
        <v>620</v>
      </c>
      <c r="Y8" s="11" t="n">
        <f aca="false">X8+P8-Cost_r*D8</f>
        <v>620</v>
      </c>
      <c r="Z8" s="11" t="n">
        <f aca="false">Y8+Q8-Cost_r*E8</f>
        <v>620</v>
      </c>
      <c r="AA8" s="11" t="n">
        <f aca="false">Z8+R8-Cost_r*F8</f>
        <v>570</v>
      </c>
      <c r="AB8" s="11" t="n">
        <f aca="false">AA8+S8-Cost_r*G8</f>
        <v>555</v>
      </c>
      <c r="AC8" s="11" t="n">
        <f aca="false">MIN(MIN(Liq0-Cost_r*B8,W8-Cost_r*C8,X8-Cost_r*D8,Y8-Cost_r*E8,Z8-Cost_r*F8,AA8-Cost_r*G8,MIN(W8:AB8))-Floor_q,AB8-End_q)</f>
        <v>85</v>
      </c>
      <c r="AD8" s="14" t="n">
        <f aca="false">Val_pt*Share/(1-Share*B8)*(SUM(H8:M8)+Credit_M*M8)-Cost_r</f>
        <v>562.5</v>
      </c>
      <c r="AE8" s="14" t="n">
        <f aca="false">Val_pt*Share/(1-Share*C8)*(SUM(I8:M8)+Credit_M*M8)-Cost_r</f>
        <v>492.5</v>
      </c>
      <c r="AF8" s="14" t="n">
        <f aca="false">Val_pt*Share/(1-Share*D8)*(SUM(J8:M8)+Credit_M*M8)-Cost_r</f>
        <v>422.5</v>
      </c>
      <c r="AG8" s="14" t="n">
        <f aca="false">Val_pt*Share/(1-Share*E8)*(SUM(K8:M8)+Credit_M*M8)-Cost_r</f>
        <v>352.5</v>
      </c>
      <c r="AH8" s="14" t="n">
        <f aca="false">Val_pt*Share/(1-Share*F8)*(SUM(L8:M8)+Credit_M*M8)-Cost_r</f>
        <v>685</v>
      </c>
      <c r="AI8" s="14" t="n">
        <f aca="false">Val_pt*Share/(1-Share*G8)*(SUM(M8:M8)+Credit_M*M8)-Cost_r</f>
        <v>615</v>
      </c>
      <c r="AJ8" s="17" t="n">
        <f aca="false">IF(AND(IF(B8=1,AD8&gt;0,AD8&lt;0),IF(C8=1,AE8&gt;0,AE8&lt;0),IF(D8=1,AF8&gt;0,AF8&lt;0),IF(E8=1,AG8&gt;0,AG8&lt;0),IF(F8=1,AH8&gt;0,AH8&lt;0),IF(G8=1,AI8&gt;0,AI8&lt;0)),1,0)</f>
        <v>0</v>
      </c>
      <c r="AL8" s="2" t="s">
        <v>120</v>
      </c>
      <c r="AM8" s="11" t="n">
        <f aca="false">MIN(AC5:AC68)</f>
        <v>85</v>
      </c>
    </row>
    <row r="9" customFormat="false" ht="15" hidden="false" customHeight="false" outlineLevel="0" collapsed="false">
      <c r="A9" s="17" t="n">
        <v>4</v>
      </c>
      <c r="B9" s="17" t="n">
        <f aca="false">MOD(INT($A9/32),2)</f>
        <v>0</v>
      </c>
      <c r="C9" s="17" t="n">
        <f aca="false">MOD(INT($A9/16),2)</f>
        <v>0</v>
      </c>
      <c r="D9" s="17" t="n">
        <f aca="false">MOD(INT($A9/8),2)</f>
        <v>0</v>
      </c>
      <c r="E9" s="17" t="n">
        <f aca="false">MOD(INT($A9/4),2)</f>
        <v>1</v>
      </c>
      <c r="F9" s="17" t="n">
        <f aca="false">MOD(INT($A9/2),2)</f>
        <v>0</v>
      </c>
      <c r="G9" s="17" t="n">
        <f aca="false">MOD(INT($A9/1),2)</f>
        <v>0</v>
      </c>
      <c r="H9" s="12" t="n">
        <f aca="false">Gap0*(1-Share*B9)</f>
        <v>14</v>
      </c>
      <c r="I9" s="12" t="n">
        <f aca="false">H9*(1-Share*C9)</f>
        <v>14</v>
      </c>
      <c r="J9" s="12" t="n">
        <f aca="false">I9*(1-Share*D9)</f>
        <v>14</v>
      </c>
      <c r="K9" s="12" t="n">
        <f aca="false">J9*(1-Share*E9)</f>
        <v>7</v>
      </c>
      <c r="L9" s="12" t="n">
        <f aca="false">K9*(1-Share*F9)</f>
        <v>7</v>
      </c>
      <c r="M9" s="12" t="n">
        <f aca="false">L9*(1-Share*G9)</f>
        <v>7</v>
      </c>
      <c r="N9" s="14" t="n">
        <f aca="false">Smax-Val_pt*H9</f>
        <v>0</v>
      </c>
      <c r="O9" s="14" t="n">
        <f aca="false">Smax-Val_pt*I9</f>
        <v>0</v>
      </c>
      <c r="P9" s="14" t="n">
        <f aca="false">Smax-Val_pt*J9</f>
        <v>0</v>
      </c>
      <c r="Q9" s="14" t="n">
        <f aca="false">Smax-Val_pt*K9</f>
        <v>70</v>
      </c>
      <c r="R9" s="14" t="n">
        <f aca="false">Smax-Val_pt*L9</f>
        <v>70</v>
      </c>
      <c r="S9" s="14" t="n">
        <f aca="false">Smax-Val_pt*M9</f>
        <v>70</v>
      </c>
      <c r="T9" s="14" t="n">
        <f aca="false">SUM(B9:G9)</f>
        <v>1</v>
      </c>
      <c r="U9" s="15" t="n">
        <f aca="false">Cash0+SUM(N9:S9)-Cost_r*T9+Credit_M*S9</f>
        <v>1640</v>
      </c>
      <c r="V9" s="15" t="n">
        <f aca="false">Cash0+SUM(N9:S9)-Cost_r*T9+Credit_10*S9</f>
        <v>940</v>
      </c>
      <c r="W9" s="11" t="n">
        <f aca="false">Liq0+N9-Cost_r*B9</f>
        <v>620</v>
      </c>
      <c r="X9" s="11" t="n">
        <f aca="false">W9+O9-Cost_r*C9</f>
        <v>620</v>
      </c>
      <c r="Y9" s="11" t="n">
        <f aca="false">X9+P9-Cost_r*D9</f>
        <v>620</v>
      </c>
      <c r="Z9" s="11" t="n">
        <f aca="false">Y9+Q9-Cost_r*E9</f>
        <v>570</v>
      </c>
      <c r="AA9" s="11" t="n">
        <f aca="false">Z9+R9-Cost_r*F9</f>
        <v>640</v>
      </c>
      <c r="AB9" s="11" t="n">
        <f aca="false">AA9+S9-Cost_r*G9</f>
        <v>710</v>
      </c>
      <c r="AC9" s="11" t="n">
        <f aca="false">MIN(MIN(Liq0-Cost_r*B9,W9-Cost_r*C9,X9-Cost_r*D9,Y9-Cost_r*E9,Z9-Cost_r*F9,AA9-Cost_r*G9,MIN(W9:AB9))-Floor_q,AB9-End_q)</f>
        <v>150</v>
      </c>
      <c r="AD9" s="14" t="n">
        <f aca="false">Val_pt*Share/(1-Share*B9)*(SUM(H9:M9)+Credit_M*M9)-Cost_r</f>
        <v>895</v>
      </c>
      <c r="AE9" s="14" t="n">
        <f aca="false">Val_pt*Share/(1-Share*C9)*(SUM(I9:M9)+Credit_M*M9)-Cost_r</f>
        <v>825</v>
      </c>
      <c r="AF9" s="14" t="n">
        <f aca="false">Val_pt*Share/(1-Share*D9)*(SUM(J9:M9)+Credit_M*M9)-Cost_r</f>
        <v>755</v>
      </c>
      <c r="AG9" s="14" t="n">
        <f aca="false">Val_pt*Share/(1-Share*E9)*(SUM(K9:M9)+Credit_M*M9)-Cost_r</f>
        <v>1490</v>
      </c>
      <c r="AH9" s="14" t="n">
        <f aca="false">Val_pt*Share/(1-Share*F9)*(SUM(L9:M9)+Credit_M*M9)-Cost_r</f>
        <v>650</v>
      </c>
      <c r="AI9" s="14" t="n">
        <f aca="false">Val_pt*Share/(1-Share*G9)*(SUM(M9:M9)+Credit_M*M9)-Cost_r</f>
        <v>615</v>
      </c>
      <c r="AJ9" s="17" t="n">
        <f aca="false">IF(AND(IF(B9=1,AD9&gt;0,AD9&lt;0),IF(C9=1,AE9&gt;0,AE9&lt;0),IF(D9=1,AF9&gt;0,AF9&lt;0),IF(E9=1,AG9&gt;0,AG9&lt;0),IF(F9=1,AH9&gt;0,AH9&lt;0),IF(G9=1,AI9&gt;0,AI9&lt;0)),1,0)</f>
        <v>0</v>
      </c>
      <c r="AL9" s="2" t="s">
        <v>121</v>
      </c>
      <c r="AM9" s="18" t="n">
        <f aca="false">MAX(V5:V68)</f>
        <v>1680</v>
      </c>
    </row>
    <row r="10" customFormat="false" ht="15" hidden="false" customHeight="false" outlineLevel="0" collapsed="false">
      <c r="A10" s="17" t="n">
        <v>5</v>
      </c>
      <c r="B10" s="17" t="n">
        <f aca="false">MOD(INT($A10/32),2)</f>
        <v>0</v>
      </c>
      <c r="C10" s="17" t="n">
        <f aca="false">MOD(INT($A10/16),2)</f>
        <v>0</v>
      </c>
      <c r="D10" s="17" t="n">
        <f aca="false">MOD(INT($A10/8),2)</f>
        <v>0</v>
      </c>
      <c r="E10" s="17" t="n">
        <f aca="false">MOD(INT($A10/4),2)</f>
        <v>1</v>
      </c>
      <c r="F10" s="17" t="n">
        <f aca="false">MOD(INT($A10/2),2)</f>
        <v>0</v>
      </c>
      <c r="G10" s="17" t="n">
        <f aca="false">MOD(INT($A10/1),2)</f>
        <v>1</v>
      </c>
      <c r="H10" s="12" t="n">
        <f aca="false">Gap0*(1-Share*B10)</f>
        <v>14</v>
      </c>
      <c r="I10" s="12" t="n">
        <f aca="false">H10*(1-Share*C10)</f>
        <v>14</v>
      </c>
      <c r="J10" s="12" t="n">
        <f aca="false">I10*(1-Share*D10)</f>
        <v>14</v>
      </c>
      <c r="K10" s="12" t="n">
        <f aca="false">J10*(1-Share*E10)</f>
        <v>7</v>
      </c>
      <c r="L10" s="12" t="n">
        <f aca="false">K10*(1-Share*F10)</f>
        <v>7</v>
      </c>
      <c r="M10" s="12" t="n">
        <f aca="false">L10*(1-Share*G10)</f>
        <v>3.5</v>
      </c>
      <c r="N10" s="14" t="n">
        <f aca="false">Smax-Val_pt*H10</f>
        <v>0</v>
      </c>
      <c r="O10" s="14" t="n">
        <f aca="false">Smax-Val_pt*I10</f>
        <v>0</v>
      </c>
      <c r="P10" s="14" t="n">
        <f aca="false">Smax-Val_pt*J10</f>
        <v>0</v>
      </c>
      <c r="Q10" s="14" t="n">
        <f aca="false">Smax-Val_pt*K10</f>
        <v>70</v>
      </c>
      <c r="R10" s="14" t="n">
        <f aca="false">Smax-Val_pt*L10</f>
        <v>70</v>
      </c>
      <c r="S10" s="14" t="n">
        <f aca="false">Smax-Val_pt*M10</f>
        <v>105</v>
      </c>
      <c r="T10" s="14" t="n">
        <f aca="false">SUM(B10:G10)</f>
        <v>2</v>
      </c>
      <c r="U10" s="15" t="n">
        <f aca="false">Cash0+SUM(N10:S10)-Cost_r*T10+Credit_M*S10</f>
        <v>2255</v>
      </c>
      <c r="V10" s="15" t="n">
        <f aca="false">Cash0+SUM(N10:S10)-Cost_r*T10+Credit_10*S10</f>
        <v>1205</v>
      </c>
      <c r="W10" s="11" t="n">
        <f aca="false">Liq0+N10-Cost_r*B10</f>
        <v>620</v>
      </c>
      <c r="X10" s="11" t="n">
        <f aca="false">W10+O10-Cost_r*C10</f>
        <v>620</v>
      </c>
      <c r="Y10" s="11" t="n">
        <f aca="false">X10+P10-Cost_r*D10</f>
        <v>620</v>
      </c>
      <c r="Z10" s="11" t="n">
        <f aca="false">Y10+Q10-Cost_r*E10</f>
        <v>570</v>
      </c>
      <c r="AA10" s="11" t="n">
        <f aca="false">Z10+R10-Cost_r*F10</f>
        <v>640</v>
      </c>
      <c r="AB10" s="11" t="n">
        <f aca="false">AA10+S10-Cost_r*G10</f>
        <v>625</v>
      </c>
      <c r="AC10" s="11" t="n">
        <f aca="false">MIN(MIN(Liq0-Cost_r*B10,W10-Cost_r*C10,X10-Cost_r*D10,Y10-Cost_r*E10,Z10-Cost_r*F10,AA10-Cost_r*G10,MIN(W10:AB10))-Floor_q,AB10-End_q)</f>
        <v>150</v>
      </c>
      <c r="AD10" s="14" t="n">
        <f aca="false">Val_pt*Share/(1-Share*B10)*(SUM(H10:M10)+Credit_M*M10)-Cost_r</f>
        <v>527.5</v>
      </c>
      <c r="AE10" s="14" t="n">
        <f aca="false">Val_pt*Share/(1-Share*C10)*(SUM(I10:M10)+Credit_M*M10)-Cost_r</f>
        <v>457.5</v>
      </c>
      <c r="AF10" s="14" t="n">
        <f aca="false">Val_pt*Share/(1-Share*D10)*(SUM(J10:M10)+Credit_M*M10)-Cost_r</f>
        <v>387.5</v>
      </c>
      <c r="AG10" s="14" t="n">
        <f aca="false">Val_pt*Share/(1-Share*E10)*(SUM(K10:M10)+Credit_M*M10)-Cost_r</f>
        <v>755</v>
      </c>
      <c r="AH10" s="14" t="n">
        <f aca="false">Val_pt*Share/(1-Share*F10)*(SUM(L10:M10)+Credit_M*M10)-Cost_r</f>
        <v>282.5</v>
      </c>
      <c r="AI10" s="14" t="n">
        <f aca="false">Val_pt*Share/(1-Share*G10)*(SUM(M10:M10)+Credit_M*M10)-Cost_r</f>
        <v>615</v>
      </c>
      <c r="AJ10" s="17" t="n">
        <f aca="false">IF(AND(IF(B10=1,AD10&gt;0,AD10&lt;0),IF(C10=1,AE10&gt;0,AE10&lt;0),IF(D10=1,AF10&gt;0,AF10&lt;0),IF(E10=1,AG10&gt;0,AG10&lt;0),IF(F10=1,AH10&gt;0,AH10&lt;0),IF(G10=1,AI10&gt;0,AI10&lt;0)),1,0)</f>
        <v>0</v>
      </c>
    </row>
    <row r="11" customFormat="false" ht="15" hidden="false" customHeight="false" outlineLevel="0" collapsed="false">
      <c r="A11" s="17" t="n">
        <v>6</v>
      </c>
      <c r="B11" s="17" t="n">
        <f aca="false">MOD(INT($A11/32),2)</f>
        <v>0</v>
      </c>
      <c r="C11" s="17" t="n">
        <f aca="false">MOD(INT($A11/16),2)</f>
        <v>0</v>
      </c>
      <c r="D11" s="17" t="n">
        <f aca="false">MOD(INT($A11/8),2)</f>
        <v>0</v>
      </c>
      <c r="E11" s="17" t="n">
        <f aca="false">MOD(INT($A11/4),2)</f>
        <v>1</v>
      </c>
      <c r="F11" s="17" t="n">
        <f aca="false">MOD(INT($A11/2),2)</f>
        <v>1</v>
      </c>
      <c r="G11" s="17" t="n">
        <f aca="false">MOD(INT($A11/1),2)</f>
        <v>0</v>
      </c>
      <c r="H11" s="12" t="n">
        <f aca="false">Gap0*(1-Share*B11)</f>
        <v>14</v>
      </c>
      <c r="I11" s="12" t="n">
        <f aca="false">H11*(1-Share*C11)</f>
        <v>14</v>
      </c>
      <c r="J11" s="12" t="n">
        <f aca="false">I11*(1-Share*D11)</f>
        <v>14</v>
      </c>
      <c r="K11" s="12" t="n">
        <f aca="false">J11*(1-Share*E11)</f>
        <v>7</v>
      </c>
      <c r="L11" s="12" t="n">
        <f aca="false">K11*(1-Share*F11)</f>
        <v>3.5</v>
      </c>
      <c r="M11" s="12" t="n">
        <f aca="false">L11*(1-Share*G11)</f>
        <v>3.5</v>
      </c>
      <c r="N11" s="14" t="n">
        <f aca="false">Smax-Val_pt*H11</f>
        <v>0</v>
      </c>
      <c r="O11" s="14" t="n">
        <f aca="false">Smax-Val_pt*I11</f>
        <v>0</v>
      </c>
      <c r="P11" s="14" t="n">
        <f aca="false">Smax-Val_pt*J11</f>
        <v>0</v>
      </c>
      <c r="Q11" s="14" t="n">
        <f aca="false">Smax-Val_pt*K11</f>
        <v>70</v>
      </c>
      <c r="R11" s="14" t="n">
        <f aca="false">Smax-Val_pt*L11</f>
        <v>105</v>
      </c>
      <c r="S11" s="14" t="n">
        <f aca="false">Smax-Val_pt*M11</f>
        <v>105</v>
      </c>
      <c r="T11" s="14" t="n">
        <f aca="false">SUM(B11:G11)</f>
        <v>2</v>
      </c>
      <c r="U11" s="15" t="n">
        <f aca="false">Cash0+SUM(N11:S11)-Cost_r*T11+Credit_M*S11</f>
        <v>2290</v>
      </c>
      <c r="V11" s="15" t="n">
        <f aca="false">Cash0+SUM(N11:S11)-Cost_r*T11+Credit_10*S11</f>
        <v>1240</v>
      </c>
      <c r="W11" s="11" t="n">
        <f aca="false">Liq0+N11-Cost_r*B11</f>
        <v>620</v>
      </c>
      <c r="X11" s="11" t="n">
        <f aca="false">W11+O11-Cost_r*C11</f>
        <v>620</v>
      </c>
      <c r="Y11" s="11" t="n">
        <f aca="false">X11+P11-Cost_r*D11</f>
        <v>620</v>
      </c>
      <c r="Z11" s="11" t="n">
        <f aca="false">Y11+Q11-Cost_r*E11</f>
        <v>570</v>
      </c>
      <c r="AA11" s="11" t="n">
        <f aca="false">Z11+R11-Cost_r*F11</f>
        <v>555</v>
      </c>
      <c r="AB11" s="11" t="n">
        <f aca="false">AA11+S11-Cost_r*G11</f>
        <v>660</v>
      </c>
      <c r="AC11" s="11" t="n">
        <f aca="false">MIN(MIN(Liq0-Cost_r*B11,W11-Cost_r*C11,X11-Cost_r*D11,Y11-Cost_r*E11,Z11-Cost_r*F11,AA11-Cost_r*G11,MIN(W11:AB11))-Floor_q,AB11-End_q)</f>
        <v>100</v>
      </c>
      <c r="AD11" s="14" t="n">
        <f aca="false">Val_pt*Share/(1-Share*B11)*(SUM(H11:M11)+Credit_M*M11)-Cost_r</f>
        <v>510</v>
      </c>
      <c r="AE11" s="14" t="n">
        <f aca="false">Val_pt*Share/(1-Share*C11)*(SUM(I11:M11)+Credit_M*M11)-Cost_r</f>
        <v>440</v>
      </c>
      <c r="AF11" s="14" t="n">
        <f aca="false">Val_pt*Share/(1-Share*D11)*(SUM(J11:M11)+Credit_M*M11)-Cost_r</f>
        <v>370</v>
      </c>
      <c r="AG11" s="14" t="n">
        <f aca="false">Val_pt*Share/(1-Share*E11)*(SUM(K11:M11)+Credit_M*M11)-Cost_r</f>
        <v>720</v>
      </c>
      <c r="AH11" s="14" t="n">
        <f aca="false">Val_pt*Share/(1-Share*F11)*(SUM(L11:M11)+Credit_M*M11)-Cost_r</f>
        <v>650</v>
      </c>
      <c r="AI11" s="14" t="n">
        <f aca="false">Val_pt*Share/(1-Share*G11)*(SUM(M11:M11)+Credit_M*M11)-Cost_r</f>
        <v>247.5</v>
      </c>
      <c r="AJ11" s="17" t="n">
        <f aca="false">IF(AND(IF(B11=1,AD11&gt;0,AD11&lt;0),IF(C11=1,AE11&gt;0,AE11&lt;0),IF(D11=1,AF11&gt;0,AF11&lt;0),IF(E11=1,AG11&gt;0,AG11&lt;0),IF(F11=1,AH11&gt;0,AH11&lt;0),IF(G11=1,AI11&gt;0,AI11&lt;0)),1,0)</f>
        <v>0</v>
      </c>
      <c r="AL11" s="10" t="s">
        <v>122</v>
      </c>
    </row>
    <row r="12" customFormat="false" ht="15" hidden="false" customHeight="false" outlineLevel="0" collapsed="false">
      <c r="A12" s="17" t="n">
        <v>7</v>
      </c>
      <c r="B12" s="17" t="n">
        <f aca="false">MOD(INT($A12/32),2)</f>
        <v>0</v>
      </c>
      <c r="C12" s="17" t="n">
        <f aca="false">MOD(INT($A12/16),2)</f>
        <v>0</v>
      </c>
      <c r="D12" s="17" t="n">
        <f aca="false">MOD(INT($A12/8),2)</f>
        <v>0</v>
      </c>
      <c r="E12" s="17" t="n">
        <f aca="false">MOD(INT($A12/4),2)</f>
        <v>1</v>
      </c>
      <c r="F12" s="17" t="n">
        <f aca="false">MOD(INT($A12/2),2)</f>
        <v>1</v>
      </c>
      <c r="G12" s="17" t="n">
        <f aca="false">MOD(INT($A12/1),2)</f>
        <v>1</v>
      </c>
      <c r="H12" s="12" t="n">
        <f aca="false">Gap0*(1-Share*B12)</f>
        <v>14</v>
      </c>
      <c r="I12" s="12" t="n">
        <f aca="false">H12*(1-Share*C12)</f>
        <v>14</v>
      </c>
      <c r="J12" s="12" t="n">
        <f aca="false">I12*(1-Share*D12)</f>
        <v>14</v>
      </c>
      <c r="K12" s="12" t="n">
        <f aca="false">J12*(1-Share*E12)</f>
        <v>7</v>
      </c>
      <c r="L12" s="12" t="n">
        <f aca="false">K12*(1-Share*F12)</f>
        <v>3.5</v>
      </c>
      <c r="M12" s="12" t="n">
        <f aca="false">L12*(1-Share*G12)</f>
        <v>1.75</v>
      </c>
      <c r="N12" s="14" t="n">
        <f aca="false">Smax-Val_pt*H12</f>
        <v>0</v>
      </c>
      <c r="O12" s="14" t="n">
        <f aca="false">Smax-Val_pt*I12</f>
        <v>0</v>
      </c>
      <c r="P12" s="14" t="n">
        <f aca="false">Smax-Val_pt*J12</f>
        <v>0</v>
      </c>
      <c r="Q12" s="14" t="n">
        <f aca="false">Smax-Val_pt*K12</f>
        <v>70</v>
      </c>
      <c r="R12" s="14" t="n">
        <f aca="false">Smax-Val_pt*L12</f>
        <v>105</v>
      </c>
      <c r="S12" s="14" t="n">
        <f aca="false">Smax-Val_pt*M12</f>
        <v>122.5</v>
      </c>
      <c r="T12" s="14" t="n">
        <f aca="false">SUM(B12:G12)</f>
        <v>3</v>
      </c>
      <c r="U12" s="15" t="n">
        <f aca="false">Cash0+SUM(N12:S12)-Cost_r*T12+Credit_M*S12</f>
        <v>2537.5</v>
      </c>
      <c r="V12" s="15" t="n">
        <f aca="false">Cash0+SUM(N12:S12)-Cost_r*T12+Credit_10*S12</f>
        <v>1312.5</v>
      </c>
      <c r="W12" s="11" t="n">
        <f aca="false">Liq0+N12-Cost_r*B12</f>
        <v>620</v>
      </c>
      <c r="X12" s="11" t="n">
        <f aca="false">W12+O12-Cost_r*C12</f>
        <v>620</v>
      </c>
      <c r="Y12" s="11" t="n">
        <f aca="false">X12+P12-Cost_r*D12</f>
        <v>620</v>
      </c>
      <c r="Z12" s="11" t="n">
        <f aca="false">Y12+Q12-Cost_r*E12</f>
        <v>570</v>
      </c>
      <c r="AA12" s="11" t="n">
        <f aca="false">Z12+R12-Cost_r*F12</f>
        <v>555</v>
      </c>
      <c r="AB12" s="11" t="n">
        <f aca="false">AA12+S12-Cost_r*G12</f>
        <v>557.5</v>
      </c>
      <c r="AC12" s="11" t="n">
        <f aca="false">MIN(MIN(Liq0-Cost_r*B12,W12-Cost_r*C12,X12-Cost_r*D12,Y12-Cost_r*E12,Z12-Cost_r*F12,AA12-Cost_r*G12,MIN(W12:AB12))-Floor_q,AB12-End_q)</f>
        <v>85</v>
      </c>
      <c r="AD12" s="14" t="n">
        <f aca="false">Val_pt*Share/(1-Share*B12)*(SUM(H12:M12)+Credit_M*M12)-Cost_r</f>
        <v>326.25</v>
      </c>
      <c r="AE12" s="14" t="n">
        <f aca="false">Val_pt*Share/(1-Share*C12)*(SUM(I12:M12)+Credit_M*M12)-Cost_r</f>
        <v>256.25</v>
      </c>
      <c r="AF12" s="14" t="n">
        <f aca="false">Val_pt*Share/(1-Share*D12)*(SUM(J12:M12)+Credit_M*M12)-Cost_r</f>
        <v>186.25</v>
      </c>
      <c r="AG12" s="14" t="n">
        <f aca="false">Val_pt*Share/(1-Share*E12)*(SUM(K12:M12)+Credit_M*M12)-Cost_r</f>
        <v>352.5</v>
      </c>
      <c r="AH12" s="14" t="n">
        <f aca="false">Val_pt*Share/(1-Share*F12)*(SUM(L12:M12)+Credit_M*M12)-Cost_r</f>
        <v>282.5</v>
      </c>
      <c r="AI12" s="14" t="n">
        <f aca="false">Val_pt*Share/(1-Share*G12)*(SUM(M12:M12)+Credit_M*M12)-Cost_r</f>
        <v>247.5</v>
      </c>
      <c r="AJ12" s="17" t="n">
        <f aca="false">IF(AND(IF(B12=1,AD12&gt;0,AD12&lt;0),IF(C12=1,AE12&gt;0,AE12&lt;0),IF(D12=1,AF12&gt;0,AF12&lt;0),IF(E12=1,AG12&gt;0,AG12&lt;0),IF(F12=1,AH12&gt;0,AH12&lt;0),IF(G12=1,AI12&gt;0,AI12&lt;0)),1,0)</f>
        <v>0</v>
      </c>
    </row>
    <row r="13" customFormat="false" ht="15" hidden="false" customHeight="false" outlineLevel="0" collapsed="false">
      <c r="A13" s="17" t="n">
        <v>8</v>
      </c>
      <c r="B13" s="17" t="n">
        <f aca="false">MOD(INT($A13/32),2)</f>
        <v>0</v>
      </c>
      <c r="C13" s="17" t="n">
        <f aca="false">MOD(INT($A13/16),2)</f>
        <v>0</v>
      </c>
      <c r="D13" s="17" t="n">
        <f aca="false">MOD(INT($A13/8),2)</f>
        <v>1</v>
      </c>
      <c r="E13" s="17" t="n">
        <f aca="false">MOD(INT($A13/4),2)</f>
        <v>0</v>
      </c>
      <c r="F13" s="17" t="n">
        <f aca="false">MOD(INT($A13/2),2)</f>
        <v>0</v>
      </c>
      <c r="G13" s="17" t="n">
        <f aca="false">MOD(INT($A13/1),2)</f>
        <v>0</v>
      </c>
      <c r="H13" s="12" t="n">
        <f aca="false">Gap0*(1-Share*B13)</f>
        <v>14</v>
      </c>
      <c r="I13" s="12" t="n">
        <f aca="false">H13*(1-Share*C13)</f>
        <v>14</v>
      </c>
      <c r="J13" s="12" t="n">
        <f aca="false">I13*(1-Share*D13)</f>
        <v>7</v>
      </c>
      <c r="K13" s="12" t="n">
        <f aca="false">J13*(1-Share*E13)</f>
        <v>7</v>
      </c>
      <c r="L13" s="12" t="n">
        <f aca="false">K13*(1-Share*F13)</f>
        <v>7</v>
      </c>
      <c r="M13" s="12" t="n">
        <f aca="false">L13*(1-Share*G13)</f>
        <v>7</v>
      </c>
      <c r="N13" s="14" t="n">
        <f aca="false">Smax-Val_pt*H13</f>
        <v>0</v>
      </c>
      <c r="O13" s="14" t="n">
        <f aca="false">Smax-Val_pt*I13</f>
        <v>0</v>
      </c>
      <c r="P13" s="14" t="n">
        <f aca="false">Smax-Val_pt*J13</f>
        <v>70</v>
      </c>
      <c r="Q13" s="14" t="n">
        <f aca="false">Smax-Val_pt*K13</f>
        <v>70</v>
      </c>
      <c r="R13" s="14" t="n">
        <f aca="false">Smax-Val_pt*L13</f>
        <v>70</v>
      </c>
      <c r="S13" s="14" t="n">
        <f aca="false">Smax-Val_pt*M13</f>
        <v>70</v>
      </c>
      <c r="T13" s="14" t="n">
        <f aca="false">SUM(B13:G13)</f>
        <v>1</v>
      </c>
      <c r="U13" s="15" t="n">
        <f aca="false">Cash0+SUM(N13:S13)-Cost_r*T13+Credit_M*S13</f>
        <v>1710</v>
      </c>
      <c r="V13" s="15" t="n">
        <f aca="false">Cash0+SUM(N13:S13)-Cost_r*T13+Credit_10*S13</f>
        <v>1010</v>
      </c>
      <c r="W13" s="11" t="n">
        <f aca="false">Liq0+N13-Cost_r*B13</f>
        <v>620</v>
      </c>
      <c r="X13" s="11" t="n">
        <f aca="false">W13+O13-Cost_r*C13</f>
        <v>620</v>
      </c>
      <c r="Y13" s="11" t="n">
        <f aca="false">X13+P13-Cost_r*D13</f>
        <v>570</v>
      </c>
      <c r="Z13" s="11" t="n">
        <f aca="false">Y13+Q13-Cost_r*E13</f>
        <v>640</v>
      </c>
      <c r="AA13" s="11" t="n">
        <f aca="false">Z13+R13-Cost_r*F13</f>
        <v>710</v>
      </c>
      <c r="AB13" s="11" t="n">
        <f aca="false">AA13+S13-Cost_r*G13</f>
        <v>780</v>
      </c>
      <c r="AC13" s="11" t="n">
        <f aca="false">MIN(MIN(Liq0-Cost_r*B13,W13-Cost_r*C13,X13-Cost_r*D13,Y13-Cost_r*E13,Z13-Cost_r*F13,AA13-Cost_r*G13,MIN(W13:AB13))-Floor_q,AB13-End_q)</f>
        <v>150</v>
      </c>
      <c r="AD13" s="14" t="n">
        <f aca="false">Val_pt*Share/(1-Share*B13)*(SUM(H13:M13)+Credit_M*M13)-Cost_r</f>
        <v>860</v>
      </c>
      <c r="AE13" s="14" t="n">
        <f aca="false">Val_pt*Share/(1-Share*C13)*(SUM(I13:M13)+Credit_M*M13)-Cost_r</f>
        <v>790</v>
      </c>
      <c r="AF13" s="14" t="n">
        <f aca="false">Val_pt*Share/(1-Share*D13)*(SUM(J13:M13)+Credit_M*M13)-Cost_r</f>
        <v>1560</v>
      </c>
      <c r="AG13" s="14" t="n">
        <f aca="false">Val_pt*Share/(1-Share*E13)*(SUM(K13:M13)+Credit_M*M13)-Cost_r</f>
        <v>685</v>
      </c>
      <c r="AH13" s="14" t="n">
        <f aca="false">Val_pt*Share/(1-Share*F13)*(SUM(L13:M13)+Credit_M*M13)-Cost_r</f>
        <v>650</v>
      </c>
      <c r="AI13" s="14" t="n">
        <f aca="false">Val_pt*Share/(1-Share*G13)*(SUM(M13:M13)+Credit_M*M13)-Cost_r</f>
        <v>615</v>
      </c>
      <c r="AJ13" s="17" t="n">
        <f aca="false">IF(AND(IF(B13=1,AD13&gt;0,AD13&lt;0),IF(C13=1,AE13&gt;0,AE13&lt;0),IF(D13=1,AF13&gt;0,AF13&lt;0),IF(E13=1,AG13&gt;0,AG13&lt;0),IF(F13=1,AH13&gt;0,AH13&lt;0),IF(G13=1,AI13&gt;0,AI13&lt;0)),1,0)</f>
        <v>0</v>
      </c>
    </row>
    <row r="14" customFormat="false" ht="15" hidden="false" customHeight="false" outlineLevel="0" collapsed="false">
      <c r="A14" s="17" t="n">
        <v>9</v>
      </c>
      <c r="B14" s="17" t="n">
        <f aca="false">MOD(INT($A14/32),2)</f>
        <v>0</v>
      </c>
      <c r="C14" s="17" t="n">
        <f aca="false">MOD(INT($A14/16),2)</f>
        <v>0</v>
      </c>
      <c r="D14" s="17" t="n">
        <f aca="false">MOD(INT($A14/8),2)</f>
        <v>1</v>
      </c>
      <c r="E14" s="17" t="n">
        <f aca="false">MOD(INT($A14/4),2)</f>
        <v>0</v>
      </c>
      <c r="F14" s="17" t="n">
        <f aca="false">MOD(INT($A14/2),2)</f>
        <v>0</v>
      </c>
      <c r="G14" s="17" t="n">
        <f aca="false">MOD(INT($A14/1),2)</f>
        <v>1</v>
      </c>
      <c r="H14" s="12" t="n">
        <f aca="false">Gap0*(1-Share*B14)</f>
        <v>14</v>
      </c>
      <c r="I14" s="12" t="n">
        <f aca="false">H14*(1-Share*C14)</f>
        <v>14</v>
      </c>
      <c r="J14" s="12" t="n">
        <f aca="false">I14*(1-Share*D14)</f>
        <v>7</v>
      </c>
      <c r="K14" s="12" t="n">
        <f aca="false">J14*(1-Share*E14)</f>
        <v>7</v>
      </c>
      <c r="L14" s="12" t="n">
        <f aca="false">K14*(1-Share*F14)</f>
        <v>7</v>
      </c>
      <c r="M14" s="12" t="n">
        <f aca="false">L14*(1-Share*G14)</f>
        <v>3.5</v>
      </c>
      <c r="N14" s="14" t="n">
        <f aca="false">Smax-Val_pt*H14</f>
        <v>0</v>
      </c>
      <c r="O14" s="14" t="n">
        <f aca="false">Smax-Val_pt*I14</f>
        <v>0</v>
      </c>
      <c r="P14" s="14" t="n">
        <f aca="false">Smax-Val_pt*J14</f>
        <v>70</v>
      </c>
      <c r="Q14" s="14" t="n">
        <f aca="false">Smax-Val_pt*K14</f>
        <v>70</v>
      </c>
      <c r="R14" s="14" t="n">
        <f aca="false">Smax-Val_pt*L14</f>
        <v>70</v>
      </c>
      <c r="S14" s="14" t="n">
        <f aca="false">Smax-Val_pt*M14</f>
        <v>105</v>
      </c>
      <c r="T14" s="14" t="n">
        <f aca="false">SUM(B14:G14)</f>
        <v>2</v>
      </c>
      <c r="U14" s="15" t="n">
        <f aca="false">Cash0+SUM(N14:S14)-Cost_r*T14+Credit_M*S14</f>
        <v>2325</v>
      </c>
      <c r="V14" s="15" t="n">
        <f aca="false">Cash0+SUM(N14:S14)-Cost_r*T14+Credit_10*S14</f>
        <v>1275</v>
      </c>
      <c r="W14" s="11" t="n">
        <f aca="false">Liq0+N14-Cost_r*B14</f>
        <v>620</v>
      </c>
      <c r="X14" s="11" t="n">
        <f aca="false">W14+O14-Cost_r*C14</f>
        <v>620</v>
      </c>
      <c r="Y14" s="11" t="n">
        <f aca="false">X14+P14-Cost_r*D14</f>
        <v>570</v>
      </c>
      <c r="Z14" s="11" t="n">
        <f aca="false">Y14+Q14-Cost_r*E14</f>
        <v>640</v>
      </c>
      <c r="AA14" s="11" t="n">
        <f aca="false">Z14+R14-Cost_r*F14</f>
        <v>710</v>
      </c>
      <c r="AB14" s="11" t="n">
        <f aca="false">AA14+S14-Cost_r*G14</f>
        <v>695</v>
      </c>
      <c r="AC14" s="11" t="n">
        <f aca="false">MIN(MIN(Liq0-Cost_r*B14,W14-Cost_r*C14,X14-Cost_r*D14,Y14-Cost_r*E14,Z14-Cost_r*F14,AA14-Cost_r*G14,MIN(W14:AB14))-Floor_q,AB14-End_q)</f>
        <v>150</v>
      </c>
      <c r="AD14" s="14" t="n">
        <f aca="false">Val_pt*Share/(1-Share*B14)*(SUM(H14:M14)+Credit_M*M14)-Cost_r</f>
        <v>492.5</v>
      </c>
      <c r="AE14" s="14" t="n">
        <f aca="false">Val_pt*Share/(1-Share*C14)*(SUM(I14:M14)+Credit_M*M14)-Cost_r</f>
        <v>422.5</v>
      </c>
      <c r="AF14" s="14" t="n">
        <f aca="false">Val_pt*Share/(1-Share*D14)*(SUM(J14:M14)+Credit_M*M14)-Cost_r</f>
        <v>825</v>
      </c>
      <c r="AG14" s="14" t="n">
        <f aca="false">Val_pt*Share/(1-Share*E14)*(SUM(K14:M14)+Credit_M*M14)-Cost_r</f>
        <v>317.5</v>
      </c>
      <c r="AH14" s="14" t="n">
        <f aca="false">Val_pt*Share/(1-Share*F14)*(SUM(L14:M14)+Credit_M*M14)-Cost_r</f>
        <v>282.5</v>
      </c>
      <c r="AI14" s="14" t="n">
        <f aca="false">Val_pt*Share/(1-Share*G14)*(SUM(M14:M14)+Credit_M*M14)-Cost_r</f>
        <v>615</v>
      </c>
      <c r="AJ14" s="17" t="n">
        <f aca="false">IF(AND(IF(B14=1,AD14&gt;0,AD14&lt;0),IF(C14=1,AE14&gt;0,AE14&lt;0),IF(D14=1,AF14&gt;0,AF14&lt;0),IF(E14=1,AG14&gt;0,AG14&lt;0),IF(F14=1,AH14&gt;0,AH14&lt;0),IF(G14=1,AI14&gt;0,AI14&lt;0)),1,0)</f>
        <v>0</v>
      </c>
    </row>
    <row r="15" customFormat="false" ht="15" hidden="false" customHeight="false" outlineLevel="0" collapsed="false">
      <c r="A15" s="17" t="n">
        <v>10</v>
      </c>
      <c r="B15" s="17" t="n">
        <f aca="false">MOD(INT($A15/32),2)</f>
        <v>0</v>
      </c>
      <c r="C15" s="17" t="n">
        <f aca="false">MOD(INT($A15/16),2)</f>
        <v>0</v>
      </c>
      <c r="D15" s="17" t="n">
        <f aca="false">MOD(INT($A15/8),2)</f>
        <v>1</v>
      </c>
      <c r="E15" s="17" t="n">
        <f aca="false">MOD(INT($A15/4),2)</f>
        <v>0</v>
      </c>
      <c r="F15" s="17" t="n">
        <f aca="false">MOD(INT($A15/2),2)</f>
        <v>1</v>
      </c>
      <c r="G15" s="17" t="n">
        <f aca="false">MOD(INT($A15/1),2)</f>
        <v>0</v>
      </c>
      <c r="H15" s="12" t="n">
        <f aca="false">Gap0*(1-Share*B15)</f>
        <v>14</v>
      </c>
      <c r="I15" s="12" t="n">
        <f aca="false">H15*(1-Share*C15)</f>
        <v>14</v>
      </c>
      <c r="J15" s="12" t="n">
        <f aca="false">I15*(1-Share*D15)</f>
        <v>7</v>
      </c>
      <c r="K15" s="12" t="n">
        <f aca="false">J15*(1-Share*E15)</f>
        <v>7</v>
      </c>
      <c r="L15" s="12" t="n">
        <f aca="false">K15*(1-Share*F15)</f>
        <v>3.5</v>
      </c>
      <c r="M15" s="12" t="n">
        <f aca="false">L15*(1-Share*G15)</f>
        <v>3.5</v>
      </c>
      <c r="N15" s="14" t="n">
        <f aca="false">Smax-Val_pt*H15</f>
        <v>0</v>
      </c>
      <c r="O15" s="14" t="n">
        <f aca="false">Smax-Val_pt*I15</f>
        <v>0</v>
      </c>
      <c r="P15" s="14" t="n">
        <f aca="false">Smax-Val_pt*J15</f>
        <v>70</v>
      </c>
      <c r="Q15" s="14" t="n">
        <f aca="false">Smax-Val_pt*K15</f>
        <v>70</v>
      </c>
      <c r="R15" s="14" t="n">
        <f aca="false">Smax-Val_pt*L15</f>
        <v>105</v>
      </c>
      <c r="S15" s="14" t="n">
        <f aca="false">Smax-Val_pt*M15</f>
        <v>105</v>
      </c>
      <c r="T15" s="14" t="n">
        <f aca="false">SUM(B15:G15)</f>
        <v>2</v>
      </c>
      <c r="U15" s="15" t="n">
        <f aca="false">Cash0+SUM(N15:S15)-Cost_r*T15+Credit_M*S15</f>
        <v>2360</v>
      </c>
      <c r="V15" s="15" t="n">
        <f aca="false">Cash0+SUM(N15:S15)-Cost_r*T15+Credit_10*S15</f>
        <v>1310</v>
      </c>
      <c r="W15" s="11" t="n">
        <f aca="false">Liq0+N15-Cost_r*B15</f>
        <v>620</v>
      </c>
      <c r="X15" s="11" t="n">
        <f aca="false">W15+O15-Cost_r*C15</f>
        <v>620</v>
      </c>
      <c r="Y15" s="11" t="n">
        <f aca="false">X15+P15-Cost_r*D15</f>
        <v>570</v>
      </c>
      <c r="Z15" s="11" t="n">
        <f aca="false">Y15+Q15-Cost_r*E15</f>
        <v>640</v>
      </c>
      <c r="AA15" s="11" t="n">
        <f aca="false">Z15+R15-Cost_r*F15</f>
        <v>625</v>
      </c>
      <c r="AB15" s="11" t="n">
        <f aca="false">AA15+S15-Cost_r*G15</f>
        <v>730</v>
      </c>
      <c r="AC15" s="11" t="n">
        <f aca="false">MIN(MIN(Liq0-Cost_r*B15,W15-Cost_r*C15,X15-Cost_r*D15,Y15-Cost_r*E15,Z15-Cost_r*F15,AA15-Cost_r*G15,MIN(W15:AB15))-Floor_q,AB15-End_q)</f>
        <v>150</v>
      </c>
      <c r="AD15" s="14" t="n">
        <f aca="false">Val_pt*Share/(1-Share*B15)*(SUM(H15:M15)+Credit_M*M15)-Cost_r</f>
        <v>475</v>
      </c>
      <c r="AE15" s="14" t="n">
        <f aca="false">Val_pt*Share/(1-Share*C15)*(SUM(I15:M15)+Credit_M*M15)-Cost_r</f>
        <v>405</v>
      </c>
      <c r="AF15" s="14" t="n">
        <f aca="false">Val_pt*Share/(1-Share*D15)*(SUM(J15:M15)+Credit_M*M15)-Cost_r</f>
        <v>790</v>
      </c>
      <c r="AG15" s="14" t="n">
        <f aca="false">Val_pt*Share/(1-Share*E15)*(SUM(K15:M15)+Credit_M*M15)-Cost_r</f>
        <v>300</v>
      </c>
      <c r="AH15" s="14" t="n">
        <f aca="false">Val_pt*Share/(1-Share*F15)*(SUM(L15:M15)+Credit_M*M15)-Cost_r</f>
        <v>650</v>
      </c>
      <c r="AI15" s="14" t="n">
        <f aca="false">Val_pt*Share/(1-Share*G15)*(SUM(M15:M15)+Credit_M*M15)-Cost_r</f>
        <v>247.5</v>
      </c>
      <c r="AJ15" s="17" t="n">
        <f aca="false">IF(AND(IF(B15=1,AD15&gt;0,AD15&lt;0),IF(C15=1,AE15&gt;0,AE15&lt;0),IF(D15=1,AF15&gt;0,AF15&lt;0),IF(E15=1,AG15&gt;0,AG15&lt;0),IF(F15=1,AH15&gt;0,AH15&lt;0),IF(G15=1,AI15&gt;0,AI15&lt;0)),1,0)</f>
        <v>0</v>
      </c>
    </row>
    <row r="16" customFormat="false" ht="15" hidden="false" customHeight="false" outlineLevel="0" collapsed="false">
      <c r="A16" s="17" t="n">
        <v>11</v>
      </c>
      <c r="B16" s="17" t="n">
        <f aca="false">MOD(INT($A16/32),2)</f>
        <v>0</v>
      </c>
      <c r="C16" s="17" t="n">
        <f aca="false">MOD(INT($A16/16),2)</f>
        <v>0</v>
      </c>
      <c r="D16" s="17" t="n">
        <f aca="false">MOD(INT($A16/8),2)</f>
        <v>1</v>
      </c>
      <c r="E16" s="17" t="n">
        <f aca="false">MOD(INT($A16/4),2)</f>
        <v>0</v>
      </c>
      <c r="F16" s="17" t="n">
        <f aca="false">MOD(INT($A16/2),2)</f>
        <v>1</v>
      </c>
      <c r="G16" s="17" t="n">
        <f aca="false">MOD(INT($A16/1),2)</f>
        <v>1</v>
      </c>
      <c r="H16" s="12" t="n">
        <f aca="false">Gap0*(1-Share*B16)</f>
        <v>14</v>
      </c>
      <c r="I16" s="12" t="n">
        <f aca="false">H16*(1-Share*C16)</f>
        <v>14</v>
      </c>
      <c r="J16" s="12" t="n">
        <f aca="false">I16*(1-Share*D16)</f>
        <v>7</v>
      </c>
      <c r="K16" s="12" t="n">
        <f aca="false">J16*(1-Share*E16)</f>
        <v>7</v>
      </c>
      <c r="L16" s="12" t="n">
        <f aca="false">K16*(1-Share*F16)</f>
        <v>3.5</v>
      </c>
      <c r="M16" s="12" t="n">
        <f aca="false">L16*(1-Share*G16)</f>
        <v>1.75</v>
      </c>
      <c r="N16" s="14" t="n">
        <f aca="false">Smax-Val_pt*H16</f>
        <v>0</v>
      </c>
      <c r="O16" s="14" t="n">
        <f aca="false">Smax-Val_pt*I16</f>
        <v>0</v>
      </c>
      <c r="P16" s="14" t="n">
        <f aca="false">Smax-Val_pt*J16</f>
        <v>70</v>
      </c>
      <c r="Q16" s="14" t="n">
        <f aca="false">Smax-Val_pt*K16</f>
        <v>70</v>
      </c>
      <c r="R16" s="14" t="n">
        <f aca="false">Smax-Val_pt*L16</f>
        <v>105</v>
      </c>
      <c r="S16" s="14" t="n">
        <f aca="false">Smax-Val_pt*M16</f>
        <v>122.5</v>
      </c>
      <c r="T16" s="14" t="n">
        <f aca="false">SUM(B16:G16)</f>
        <v>3</v>
      </c>
      <c r="U16" s="15" t="n">
        <f aca="false">Cash0+SUM(N16:S16)-Cost_r*T16+Credit_M*S16</f>
        <v>2607.5</v>
      </c>
      <c r="V16" s="15" t="n">
        <f aca="false">Cash0+SUM(N16:S16)-Cost_r*T16+Credit_10*S16</f>
        <v>1382.5</v>
      </c>
      <c r="W16" s="11" t="n">
        <f aca="false">Liq0+N16-Cost_r*B16</f>
        <v>620</v>
      </c>
      <c r="X16" s="11" t="n">
        <f aca="false">W16+O16-Cost_r*C16</f>
        <v>620</v>
      </c>
      <c r="Y16" s="11" t="n">
        <f aca="false">X16+P16-Cost_r*D16</f>
        <v>570</v>
      </c>
      <c r="Z16" s="11" t="n">
        <f aca="false">Y16+Q16-Cost_r*E16</f>
        <v>640</v>
      </c>
      <c r="AA16" s="11" t="n">
        <f aca="false">Z16+R16-Cost_r*F16</f>
        <v>625</v>
      </c>
      <c r="AB16" s="11" t="n">
        <f aca="false">AA16+S16-Cost_r*G16</f>
        <v>627.5</v>
      </c>
      <c r="AC16" s="11" t="n">
        <f aca="false">MIN(MIN(Liq0-Cost_r*B16,W16-Cost_r*C16,X16-Cost_r*D16,Y16-Cost_r*E16,Z16-Cost_r*F16,AA16-Cost_r*G16,MIN(W16:AB16))-Floor_q,AB16-End_q)</f>
        <v>150</v>
      </c>
      <c r="AD16" s="14" t="n">
        <f aca="false">Val_pt*Share/(1-Share*B16)*(SUM(H16:M16)+Credit_M*M16)-Cost_r</f>
        <v>291.25</v>
      </c>
      <c r="AE16" s="14" t="n">
        <f aca="false">Val_pt*Share/(1-Share*C16)*(SUM(I16:M16)+Credit_M*M16)-Cost_r</f>
        <v>221.25</v>
      </c>
      <c r="AF16" s="14" t="n">
        <f aca="false">Val_pt*Share/(1-Share*D16)*(SUM(J16:M16)+Credit_M*M16)-Cost_r</f>
        <v>422.5</v>
      </c>
      <c r="AG16" s="14" t="n">
        <f aca="false">Val_pt*Share/(1-Share*E16)*(SUM(K16:M16)+Credit_M*M16)-Cost_r</f>
        <v>116.25</v>
      </c>
      <c r="AH16" s="14" t="n">
        <f aca="false">Val_pt*Share/(1-Share*F16)*(SUM(L16:M16)+Credit_M*M16)-Cost_r</f>
        <v>282.5</v>
      </c>
      <c r="AI16" s="14" t="n">
        <f aca="false">Val_pt*Share/(1-Share*G16)*(SUM(M16:M16)+Credit_M*M16)-Cost_r</f>
        <v>247.5</v>
      </c>
      <c r="AJ16" s="17" t="n">
        <f aca="false">IF(AND(IF(B16=1,AD16&gt;0,AD16&lt;0),IF(C16=1,AE16&gt;0,AE16&lt;0),IF(D16=1,AF16&gt;0,AF16&lt;0),IF(E16=1,AG16&gt;0,AG16&lt;0),IF(F16=1,AH16&gt;0,AH16&lt;0),IF(G16=1,AI16&gt;0,AI16&lt;0)),1,0)</f>
        <v>0</v>
      </c>
    </row>
    <row r="17" customFormat="false" ht="15" hidden="false" customHeight="false" outlineLevel="0" collapsed="false">
      <c r="A17" s="17" t="n">
        <v>12</v>
      </c>
      <c r="B17" s="17" t="n">
        <f aca="false">MOD(INT($A17/32),2)</f>
        <v>0</v>
      </c>
      <c r="C17" s="17" t="n">
        <f aca="false">MOD(INT($A17/16),2)</f>
        <v>0</v>
      </c>
      <c r="D17" s="17" t="n">
        <f aca="false">MOD(INT($A17/8),2)</f>
        <v>1</v>
      </c>
      <c r="E17" s="17" t="n">
        <f aca="false">MOD(INT($A17/4),2)</f>
        <v>1</v>
      </c>
      <c r="F17" s="17" t="n">
        <f aca="false">MOD(INT($A17/2),2)</f>
        <v>0</v>
      </c>
      <c r="G17" s="17" t="n">
        <f aca="false">MOD(INT($A17/1),2)</f>
        <v>0</v>
      </c>
      <c r="H17" s="12" t="n">
        <f aca="false">Gap0*(1-Share*B17)</f>
        <v>14</v>
      </c>
      <c r="I17" s="12" t="n">
        <f aca="false">H17*(1-Share*C17)</f>
        <v>14</v>
      </c>
      <c r="J17" s="12" t="n">
        <f aca="false">I17*(1-Share*D17)</f>
        <v>7</v>
      </c>
      <c r="K17" s="12" t="n">
        <f aca="false">J17*(1-Share*E17)</f>
        <v>3.5</v>
      </c>
      <c r="L17" s="12" t="n">
        <f aca="false">K17*(1-Share*F17)</f>
        <v>3.5</v>
      </c>
      <c r="M17" s="12" t="n">
        <f aca="false">L17*(1-Share*G17)</f>
        <v>3.5</v>
      </c>
      <c r="N17" s="14" t="n">
        <f aca="false">Smax-Val_pt*H17</f>
        <v>0</v>
      </c>
      <c r="O17" s="14" t="n">
        <f aca="false">Smax-Val_pt*I17</f>
        <v>0</v>
      </c>
      <c r="P17" s="14" t="n">
        <f aca="false">Smax-Val_pt*J17</f>
        <v>70</v>
      </c>
      <c r="Q17" s="14" t="n">
        <f aca="false">Smax-Val_pt*K17</f>
        <v>105</v>
      </c>
      <c r="R17" s="14" t="n">
        <f aca="false">Smax-Val_pt*L17</f>
        <v>105</v>
      </c>
      <c r="S17" s="14" t="n">
        <f aca="false">Smax-Val_pt*M17</f>
        <v>105</v>
      </c>
      <c r="T17" s="14" t="n">
        <f aca="false">SUM(B17:G17)</f>
        <v>2</v>
      </c>
      <c r="U17" s="15" t="n">
        <f aca="false">Cash0+SUM(N17:S17)-Cost_r*T17+Credit_M*S17</f>
        <v>2395</v>
      </c>
      <c r="V17" s="15" t="n">
        <f aca="false">Cash0+SUM(N17:S17)-Cost_r*T17+Credit_10*S17</f>
        <v>1345</v>
      </c>
      <c r="W17" s="11" t="n">
        <f aca="false">Liq0+N17-Cost_r*B17</f>
        <v>620</v>
      </c>
      <c r="X17" s="11" t="n">
        <f aca="false">W17+O17-Cost_r*C17</f>
        <v>620</v>
      </c>
      <c r="Y17" s="11" t="n">
        <f aca="false">X17+P17-Cost_r*D17</f>
        <v>570</v>
      </c>
      <c r="Z17" s="11" t="n">
        <f aca="false">Y17+Q17-Cost_r*E17</f>
        <v>555</v>
      </c>
      <c r="AA17" s="11" t="n">
        <f aca="false">Z17+R17-Cost_r*F17</f>
        <v>660</v>
      </c>
      <c r="AB17" s="11" t="n">
        <f aca="false">AA17+S17-Cost_r*G17</f>
        <v>765</v>
      </c>
      <c r="AC17" s="11" t="n">
        <f aca="false">MIN(MIN(Liq0-Cost_r*B17,W17-Cost_r*C17,X17-Cost_r*D17,Y17-Cost_r*E17,Z17-Cost_r*F17,AA17-Cost_r*G17,MIN(W17:AB17))-Floor_q,AB17-End_q)</f>
        <v>100</v>
      </c>
      <c r="AD17" s="14" t="n">
        <f aca="false">Val_pt*Share/(1-Share*B17)*(SUM(H17:M17)+Credit_M*M17)-Cost_r</f>
        <v>457.5</v>
      </c>
      <c r="AE17" s="14" t="n">
        <f aca="false">Val_pt*Share/(1-Share*C17)*(SUM(I17:M17)+Credit_M*M17)-Cost_r</f>
        <v>387.5</v>
      </c>
      <c r="AF17" s="14" t="n">
        <f aca="false">Val_pt*Share/(1-Share*D17)*(SUM(J17:M17)+Credit_M*M17)-Cost_r</f>
        <v>755</v>
      </c>
      <c r="AG17" s="14" t="n">
        <f aca="false">Val_pt*Share/(1-Share*E17)*(SUM(K17:M17)+Credit_M*M17)-Cost_r</f>
        <v>685</v>
      </c>
      <c r="AH17" s="14" t="n">
        <f aca="false">Val_pt*Share/(1-Share*F17)*(SUM(L17:M17)+Credit_M*M17)-Cost_r</f>
        <v>265</v>
      </c>
      <c r="AI17" s="14" t="n">
        <f aca="false">Val_pt*Share/(1-Share*G17)*(SUM(M17:M17)+Credit_M*M17)-Cost_r</f>
        <v>247.5</v>
      </c>
      <c r="AJ17" s="17" t="n">
        <f aca="false">IF(AND(IF(B17=1,AD17&gt;0,AD17&lt;0),IF(C17=1,AE17&gt;0,AE17&lt;0),IF(D17=1,AF17&gt;0,AF17&lt;0),IF(E17=1,AG17&gt;0,AG17&lt;0),IF(F17=1,AH17&gt;0,AH17&lt;0),IF(G17=1,AI17&gt;0,AI17&lt;0)),1,0)</f>
        <v>0</v>
      </c>
    </row>
    <row r="18" customFormat="false" ht="15" hidden="false" customHeight="false" outlineLevel="0" collapsed="false">
      <c r="A18" s="17" t="n">
        <v>13</v>
      </c>
      <c r="B18" s="17" t="n">
        <f aca="false">MOD(INT($A18/32),2)</f>
        <v>0</v>
      </c>
      <c r="C18" s="17" t="n">
        <f aca="false">MOD(INT($A18/16),2)</f>
        <v>0</v>
      </c>
      <c r="D18" s="17" t="n">
        <f aca="false">MOD(INT($A18/8),2)</f>
        <v>1</v>
      </c>
      <c r="E18" s="17" t="n">
        <f aca="false">MOD(INT($A18/4),2)</f>
        <v>1</v>
      </c>
      <c r="F18" s="17" t="n">
        <f aca="false">MOD(INT($A18/2),2)</f>
        <v>0</v>
      </c>
      <c r="G18" s="17" t="n">
        <f aca="false">MOD(INT($A18/1),2)</f>
        <v>1</v>
      </c>
      <c r="H18" s="12" t="n">
        <f aca="false">Gap0*(1-Share*B18)</f>
        <v>14</v>
      </c>
      <c r="I18" s="12" t="n">
        <f aca="false">H18*(1-Share*C18)</f>
        <v>14</v>
      </c>
      <c r="J18" s="12" t="n">
        <f aca="false">I18*(1-Share*D18)</f>
        <v>7</v>
      </c>
      <c r="K18" s="12" t="n">
        <f aca="false">J18*(1-Share*E18)</f>
        <v>3.5</v>
      </c>
      <c r="L18" s="12" t="n">
        <f aca="false">K18*(1-Share*F18)</f>
        <v>3.5</v>
      </c>
      <c r="M18" s="12" t="n">
        <f aca="false">L18*(1-Share*G18)</f>
        <v>1.75</v>
      </c>
      <c r="N18" s="14" t="n">
        <f aca="false">Smax-Val_pt*H18</f>
        <v>0</v>
      </c>
      <c r="O18" s="14" t="n">
        <f aca="false">Smax-Val_pt*I18</f>
        <v>0</v>
      </c>
      <c r="P18" s="14" t="n">
        <f aca="false">Smax-Val_pt*J18</f>
        <v>70</v>
      </c>
      <c r="Q18" s="14" t="n">
        <f aca="false">Smax-Val_pt*K18</f>
        <v>105</v>
      </c>
      <c r="R18" s="14" t="n">
        <f aca="false">Smax-Val_pt*L18</f>
        <v>105</v>
      </c>
      <c r="S18" s="14" t="n">
        <f aca="false">Smax-Val_pt*M18</f>
        <v>122.5</v>
      </c>
      <c r="T18" s="14" t="n">
        <f aca="false">SUM(B18:G18)</f>
        <v>3</v>
      </c>
      <c r="U18" s="15" t="n">
        <f aca="false">Cash0+SUM(N18:S18)-Cost_r*T18+Credit_M*S18</f>
        <v>2642.5</v>
      </c>
      <c r="V18" s="15" t="n">
        <f aca="false">Cash0+SUM(N18:S18)-Cost_r*T18+Credit_10*S18</f>
        <v>1417.5</v>
      </c>
      <c r="W18" s="11" t="n">
        <f aca="false">Liq0+N18-Cost_r*B18</f>
        <v>620</v>
      </c>
      <c r="X18" s="11" t="n">
        <f aca="false">W18+O18-Cost_r*C18</f>
        <v>620</v>
      </c>
      <c r="Y18" s="11" t="n">
        <f aca="false">X18+P18-Cost_r*D18</f>
        <v>570</v>
      </c>
      <c r="Z18" s="11" t="n">
        <f aca="false">Y18+Q18-Cost_r*E18</f>
        <v>555</v>
      </c>
      <c r="AA18" s="11" t="n">
        <f aca="false">Z18+R18-Cost_r*F18</f>
        <v>660</v>
      </c>
      <c r="AB18" s="11" t="n">
        <f aca="false">AA18+S18-Cost_r*G18</f>
        <v>662.5</v>
      </c>
      <c r="AC18" s="11" t="n">
        <f aca="false">MIN(MIN(Liq0-Cost_r*B18,W18-Cost_r*C18,X18-Cost_r*D18,Y18-Cost_r*E18,Z18-Cost_r*F18,AA18-Cost_r*G18,MIN(W18:AB18))-Floor_q,AB18-End_q)</f>
        <v>100</v>
      </c>
      <c r="AD18" s="14" t="n">
        <f aca="false">Val_pt*Share/(1-Share*B18)*(SUM(H18:M18)+Credit_M*M18)-Cost_r</f>
        <v>273.75</v>
      </c>
      <c r="AE18" s="14" t="n">
        <f aca="false">Val_pt*Share/(1-Share*C18)*(SUM(I18:M18)+Credit_M*M18)-Cost_r</f>
        <v>203.75</v>
      </c>
      <c r="AF18" s="14" t="n">
        <f aca="false">Val_pt*Share/(1-Share*D18)*(SUM(J18:M18)+Credit_M*M18)-Cost_r</f>
        <v>387.5</v>
      </c>
      <c r="AG18" s="14" t="n">
        <f aca="false">Val_pt*Share/(1-Share*E18)*(SUM(K18:M18)+Credit_M*M18)-Cost_r</f>
        <v>317.5</v>
      </c>
      <c r="AH18" s="14" t="n">
        <f aca="false">Val_pt*Share/(1-Share*F18)*(SUM(L18:M18)+Credit_M*M18)-Cost_r</f>
        <v>81.25</v>
      </c>
      <c r="AI18" s="14" t="n">
        <f aca="false">Val_pt*Share/(1-Share*G18)*(SUM(M18:M18)+Credit_M*M18)-Cost_r</f>
        <v>247.5</v>
      </c>
      <c r="AJ18" s="17" t="n">
        <f aca="false">IF(AND(IF(B18=1,AD18&gt;0,AD18&lt;0),IF(C18=1,AE18&gt;0,AE18&lt;0),IF(D18=1,AF18&gt;0,AF18&lt;0),IF(E18=1,AG18&gt;0,AG18&lt;0),IF(F18=1,AH18&gt;0,AH18&lt;0),IF(G18=1,AI18&gt;0,AI18&lt;0)),1,0)</f>
        <v>0</v>
      </c>
    </row>
    <row r="19" customFormat="false" ht="15" hidden="false" customHeight="false" outlineLevel="0" collapsed="false">
      <c r="A19" s="17" t="n">
        <v>14</v>
      </c>
      <c r="B19" s="17" t="n">
        <f aca="false">MOD(INT($A19/32),2)</f>
        <v>0</v>
      </c>
      <c r="C19" s="17" t="n">
        <f aca="false">MOD(INT($A19/16),2)</f>
        <v>0</v>
      </c>
      <c r="D19" s="17" t="n">
        <f aca="false">MOD(INT($A19/8),2)</f>
        <v>1</v>
      </c>
      <c r="E19" s="17" t="n">
        <f aca="false">MOD(INT($A19/4),2)</f>
        <v>1</v>
      </c>
      <c r="F19" s="17" t="n">
        <f aca="false">MOD(INT($A19/2),2)</f>
        <v>1</v>
      </c>
      <c r="G19" s="17" t="n">
        <f aca="false">MOD(INT($A19/1),2)</f>
        <v>0</v>
      </c>
      <c r="H19" s="12" t="n">
        <f aca="false">Gap0*(1-Share*B19)</f>
        <v>14</v>
      </c>
      <c r="I19" s="12" t="n">
        <f aca="false">H19*(1-Share*C19)</f>
        <v>14</v>
      </c>
      <c r="J19" s="12" t="n">
        <f aca="false">I19*(1-Share*D19)</f>
        <v>7</v>
      </c>
      <c r="K19" s="12" t="n">
        <f aca="false">J19*(1-Share*E19)</f>
        <v>3.5</v>
      </c>
      <c r="L19" s="12" t="n">
        <f aca="false">K19*(1-Share*F19)</f>
        <v>1.75</v>
      </c>
      <c r="M19" s="12" t="n">
        <f aca="false">L19*(1-Share*G19)</f>
        <v>1.75</v>
      </c>
      <c r="N19" s="14" t="n">
        <f aca="false">Smax-Val_pt*H19</f>
        <v>0</v>
      </c>
      <c r="O19" s="14" t="n">
        <f aca="false">Smax-Val_pt*I19</f>
        <v>0</v>
      </c>
      <c r="P19" s="14" t="n">
        <f aca="false">Smax-Val_pt*J19</f>
        <v>70</v>
      </c>
      <c r="Q19" s="14" t="n">
        <f aca="false">Smax-Val_pt*K19</f>
        <v>105</v>
      </c>
      <c r="R19" s="14" t="n">
        <f aca="false">Smax-Val_pt*L19</f>
        <v>122.5</v>
      </c>
      <c r="S19" s="14" t="n">
        <f aca="false">Smax-Val_pt*M19</f>
        <v>122.5</v>
      </c>
      <c r="T19" s="14" t="n">
        <f aca="false">SUM(B19:G19)</f>
        <v>3</v>
      </c>
      <c r="U19" s="15" t="n">
        <f aca="false">Cash0+SUM(N19:S19)-Cost_r*T19+Credit_M*S19</f>
        <v>2660</v>
      </c>
      <c r="V19" s="15" t="n">
        <f aca="false">Cash0+SUM(N19:S19)-Cost_r*T19+Credit_10*S19</f>
        <v>1435</v>
      </c>
      <c r="W19" s="11" t="n">
        <f aca="false">Liq0+N19-Cost_r*B19</f>
        <v>620</v>
      </c>
      <c r="X19" s="11" t="n">
        <f aca="false">W19+O19-Cost_r*C19</f>
        <v>620</v>
      </c>
      <c r="Y19" s="11" t="n">
        <f aca="false">X19+P19-Cost_r*D19</f>
        <v>570</v>
      </c>
      <c r="Z19" s="11" t="n">
        <f aca="false">Y19+Q19-Cost_r*E19</f>
        <v>555</v>
      </c>
      <c r="AA19" s="11" t="n">
        <f aca="false">Z19+R19-Cost_r*F19</f>
        <v>557.5</v>
      </c>
      <c r="AB19" s="11" t="n">
        <f aca="false">AA19+S19-Cost_r*G19</f>
        <v>680</v>
      </c>
      <c r="AC19" s="11" t="n">
        <f aca="false">MIN(MIN(Liq0-Cost_r*B19,W19-Cost_r*C19,X19-Cost_r*D19,Y19-Cost_r*E19,Z19-Cost_r*F19,AA19-Cost_r*G19,MIN(W19:AB19))-Floor_q,AB19-End_q)</f>
        <v>85</v>
      </c>
      <c r="AD19" s="14" t="n">
        <f aca="false">Val_pt*Share/(1-Share*B19)*(SUM(H19:M19)+Credit_M*M19)-Cost_r</f>
        <v>265</v>
      </c>
      <c r="AE19" s="14" t="n">
        <f aca="false">Val_pt*Share/(1-Share*C19)*(SUM(I19:M19)+Credit_M*M19)-Cost_r</f>
        <v>195</v>
      </c>
      <c r="AF19" s="14" t="n">
        <f aca="false">Val_pt*Share/(1-Share*D19)*(SUM(J19:M19)+Credit_M*M19)-Cost_r</f>
        <v>370</v>
      </c>
      <c r="AG19" s="14" t="n">
        <f aca="false">Val_pt*Share/(1-Share*E19)*(SUM(K19:M19)+Credit_M*M19)-Cost_r</f>
        <v>300</v>
      </c>
      <c r="AH19" s="14" t="n">
        <f aca="false">Val_pt*Share/(1-Share*F19)*(SUM(L19:M19)+Credit_M*M19)-Cost_r</f>
        <v>265</v>
      </c>
      <c r="AI19" s="14" t="n">
        <f aca="false">Val_pt*Share/(1-Share*G19)*(SUM(M19:M19)+Credit_M*M19)-Cost_r</f>
        <v>63.75</v>
      </c>
      <c r="AJ19" s="17" t="n">
        <f aca="false">IF(AND(IF(B19=1,AD19&gt;0,AD19&lt;0),IF(C19=1,AE19&gt;0,AE19&lt;0),IF(D19=1,AF19&gt;0,AF19&lt;0),IF(E19=1,AG19&gt;0,AG19&lt;0),IF(F19=1,AH19&gt;0,AH19&lt;0),IF(G19=1,AI19&gt;0,AI19&lt;0)),1,0)</f>
        <v>0</v>
      </c>
    </row>
    <row r="20" customFormat="false" ht="15" hidden="false" customHeight="false" outlineLevel="0" collapsed="false">
      <c r="A20" s="17" t="n">
        <v>15</v>
      </c>
      <c r="B20" s="17" t="n">
        <f aca="false">MOD(INT($A20/32),2)</f>
        <v>0</v>
      </c>
      <c r="C20" s="17" t="n">
        <f aca="false">MOD(INT($A20/16),2)</f>
        <v>0</v>
      </c>
      <c r="D20" s="17" t="n">
        <f aca="false">MOD(INT($A20/8),2)</f>
        <v>1</v>
      </c>
      <c r="E20" s="17" t="n">
        <f aca="false">MOD(INT($A20/4),2)</f>
        <v>1</v>
      </c>
      <c r="F20" s="17" t="n">
        <f aca="false">MOD(INT($A20/2),2)</f>
        <v>1</v>
      </c>
      <c r="G20" s="17" t="n">
        <f aca="false">MOD(INT($A20/1),2)</f>
        <v>1</v>
      </c>
      <c r="H20" s="12" t="n">
        <f aca="false">Gap0*(1-Share*B20)</f>
        <v>14</v>
      </c>
      <c r="I20" s="12" t="n">
        <f aca="false">H20*(1-Share*C20)</f>
        <v>14</v>
      </c>
      <c r="J20" s="12" t="n">
        <f aca="false">I20*(1-Share*D20)</f>
        <v>7</v>
      </c>
      <c r="K20" s="12" t="n">
        <f aca="false">J20*(1-Share*E20)</f>
        <v>3.5</v>
      </c>
      <c r="L20" s="12" t="n">
        <f aca="false">K20*(1-Share*F20)</f>
        <v>1.75</v>
      </c>
      <c r="M20" s="12" t="n">
        <f aca="false">L20*(1-Share*G20)</f>
        <v>0.875</v>
      </c>
      <c r="N20" s="14" t="n">
        <f aca="false">Smax-Val_pt*H20</f>
        <v>0</v>
      </c>
      <c r="O20" s="14" t="n">
        <f aca="false">Smax-Val_pt*I20</f>
        <v>0</v>
      </c>
      <c r="P20" s="14" t="n">
        <f aca="false">Smax-Val_pt*J20</f>
        <v>70</v>
      </c>
      <c r="Q20" s="14" t="n">
        <f aca="false">Smax-Val_pt*K20</f>
        <v>105</v>
      </c>
      <c r="R20" s="14" t="n">
        <f aca="false">Smax-Val_pt*L20</f>
        <v>122.5</v>
      </c>
      <c r="S20" s="14" t="n">
        <f aca="false">Smax-Val_pt*M20</f>
        <v>131.25</v>
      </c>
      <c r="T20" s="14" t="n">
        <f aca="false">SUM(B20:G20)</f>
        <v>4</v>
      </c>
      <c r="U20" s="15" t="n">
        <f aca="false">Cash0+SUM(N20:S20)-Cost_r*T20+Credit_M*S20</f>
        <v>2723.75</v>
      </c>
      <c r="V20" s="15" t="n">
        <f aca="false">Cash0+SUM(N20:S20)-Cost_r*T20+Credit_10*S20</f>
        <v>1411.25</v>
      </c>
      <c r="W20" s="11" t="n">
        <f aca="false">Liq0+N20-Cost_r*B20</f>
        <v>620</v>
      </c>
      <c r="X20" s="11" t="n">
        <f aca="false">W20+O20-Cost_r*C20</f>
        <v>620</v>
      </c>
      <c r="Y20" s="11" t="n">
        <f aca="false">X20+P20-Cost_r*D20</f>
        <v>570</v>
      </c>
      <c r="Z20" s="11" t="n">
        <f aca="false">Y20+Q20-Cost_r*E20</f>
        <v>555</v>
      </c>
      <c r="AA20" s="11" t="n">
        <f aca="false">Z20+R20-Cost_r*F20</f>
        <v>557.5</v>
      </c>
      <c r="AB20" s="11" t="n">
        <f aca="false">AA20+S20-Cost_r*G20</f>
        <v>568.75</v>
      </c>
      <c r="AC20" s="11" t="n">
        <f aca="false">MIN(MIN(Liq0-Cost_r*B20,W20-Cost_r*C20,X20-Cost_r*D20,Y20-Cost_r*E20,Z20-Cost_r*F20,AA20-Cost_r*G20,MIN(W20:AB20))-Floor_q,AB20-End_q)</f>
        <v>85</v>
      </c>
      <c r="AD20" s="14" t="n">
        <f aca="false">Val_pt*Share/(1-Share*B20)*(SUM(H20:M20)+Credit_M*M20)-Cost_r</f>
        <v>173.125</v>
      </c>
      <c r="AE20" s="14" t="n">
        <f aca="false">Val_pt*Share/(1-Share*C20)*(SUM(I20:M20)+Credit_M*M20)-Cost_r</f>
        <v>103.125</v>
      </c>
      <c r="AF20" s="14" t="n">
        <f aca="false">Val_pt*Share/(1-Share*D20)*(SUM(J20:M20)+Credit_M*M20)-Cost_r</f>
        <v>186.25</v>
      </c>
      <c r="AG20" s="14" t="n">
        <f aca="false">Val_pt*Share/(1-Share*E20)*(SUM(K20:M20)+Credit_M*M20)-Cost_r</f>
        <v>116.25</v>
      </c>
      <c r="AH20" s="14" t="n">
        <f aca="false">Val_pt*Share/(1-Share*F20)*(SUM(L20:M20)+Credit_M*M20)-Cost_r</f>
        <v>81.25</v>
      </c>
      <c r="AI20" s="14" t="n">
        <f aca="false">Val_pt*Share/(1-Share*G20)*(SUM(M20:M20)+Credit_M*M20)-Cost_r</f>
        <v>63.75</v>
      </c>
      <c r="AJ20" s="17" t="n">
        <f aca="false">IF(AND(IF(B20=1,AD20&gt;0,AD20&lt;0),IF(C20=1,AE20&gt;0,AE20&lt;0),IF(D20=1,AF20&gt;0,AF20&lt;0),IF(E20=1,AG20&gt;0,AG20&lt;0),IF(F20=1,AH20&gt;0,AH20&lt;0),IF(G20=1,AI20&gt;0,AI20&lt;0)),1,0)</f>
        <v>0</v>
      </c>
    </row>
    <row r="21" customFormat="false" ht="15" hidden="false" customHeight="false" outlineLevel="0" collapsed="false">
      <c r="A21" s="17" t="n">
        <v>16</v>
      </c>
      <c r="B21" s="17" t="n">
        <f aca="false">MOD(INT($A21/32),2)</f>
        <v>0</v>
      </c>
      <c r="C21" s="17" t="n">
        <f aca="false">MOD(INT($A21/16),2)</f>
        <v>1</v>
      </c>
      <c r="D21" s="17" t="n">
        <f aca="false">MOD(INT($A21/8),2)</f>
        <v>0</v>
      </c>
      <c r="E21" s="17" t="n">
        <f aca="false">MOD(INT($A21/4),2)</f>
        <v>0</v>
      </c>
      <c r="F21" s="17" t="n">
        <f aca="false">MOD(INT($A21/2),2)</f>
        <v>0</v>
      </c>
      <c r="G21" s="17" t="n">
        <f aca="false">MOD(INT($A21/1),2)</f>
        <v>0</v>
      </c>
      <c r="H21" s="12" t="n">
        <f aca="false">Gap0*(1-Share*B21)</f>
        <v>14</v>
      </c>
      <c r="I21" s="12" t="n">
        <f aca="false">H21*(1-Share*C21)</f>
        <v>7</v>
      </c>
      <c r="J21" s="12" t="n">
        <f aca="false">I21*(1-Share*D21)</f>
        <v>7</v>
      </c>
      <c r="K21" s="12" t="n">
        <f aca="false">J21*(1-Share*E21)</f>
        <v>7</v>
      </c>
      <c r="L21" s="12" t="n">
        <f aca="false">K21*(1-Share*F21)</f>
        <v>7</v>
      </c>
      <c r="M21" s="12" t="n">
        <f aca="false">L21*(1-Share*G21)</f>
        <v>7</v>
      </c>
      <c r="N21" s="14" t="n">
        <f aca="false">Smax-Val_pt*H21</f>
        <v>0</v>
      </c>
      <c r="O21" s="14" t="n">
        <f aca="false">Smax-Val_pt*I21</f>
        <v>70</v>
      </c>
      <c r="P21" s="14" t="n">
        <f aca="false">Smax-Val_pt*J21</f>
        <v>70</v>
      </c>
      <c r="Q21" s="14" t="n">
        <f aca="false">Smax-Val_pt*K21</f>
        <v>70</v>
      </c>
      <c r="R21" s="14" t="n">
        <f aca="false">Smax-Val_pt*L21</f>
        <v>70</v>
      </c>
      <c r="S21" s="14" t="n">
        <f aca="false">Smax-Val_pt*M21</f>
        <v>70</v>
      </c>
      <c r="T21" s="14" t="n">
        <f aca="false">SUM(B21:G21)</f>
        <v>1</v>
      </c>
      <c r="U21" s="15" t="n">
        <f aca="false">Cash0+SUM(N21:S21)-Cost_r*T21+Credit_M*S21</f>
        <v>1780</v>
      </c>
      <c r="V21" s="15" t="n">
        <f aca="false">Cash0+SUM(N21:S21)-Cost_r*T21+Credit_10*S21</f>
        <v>1080</v>
      </c>
      <c r="W21" s="11" t="n">
        <f aca="false">Liq0+N21-Cost_r*B21</f>
        <v>620</v>
      </c>
      <c r="X21" s="11" t="n">
        <f aca="false">W21+O21-Cost_r*C21</f>
        <v>570</v>
      </c>
      <c r="Y21" s="11" t="n">
        <f aca="false">X21+P21-Cost_r*D21</f>
        <v>640</v>
      </c>
      <c r="Z21" s="11" t="n">
        <f aca="false">Y21+Q21-Cost_r*E21</f>
        <v>710</v>
      </c>
      <c r="AA21" s="11" t="n">
        <f aca="false">Z21+R21-Cost_r*F21</f>
        <v>780</v>
      </c>
      <c r="AB21" s="11" t="n">
        <f aca="false">AA21+S21-Cost_r*G21</f>
        <v>850</v>
      </c>
      <c r="AC21" s="11" t="n">
        <f aca="false">MIN(MIN(Liq0-Cost_r*B21,W21-Cost_r*C21,X21-Cost_r*D21,Y21-Cost_r*E21,Z21-Cost_r*F21,AA21-Cost_r*G21,MIN(W21:AB21))-Floor_q,AB21-End_q)</f>
        <v>150</v>
      </c>
      <c r="AD21" s="14" t="n">
        <f aca="false">Val_pt*Share/(1-Share*B21)*(SUM(H21:M21)+Credit_M*M21)-Cost_r</f>
        <v>825</v>
      </c>
      <c r="AE21" s="14" t="n">
        <f aca="false">Val_pt*Share/(1-Share*C21)*(SUM(I21:M21)+Credit_M*M21)-Cost_r</f>
        <v>1630</v>
      </c>
      <c r="AF21" s="14" t="n">
        <f aca="false">Val_pt*Share/(1-Share*D21)*(SUM(J21:M21)+Credit_M*M21)-Cost_r</f>
        <v>720</v>
      </c>
      <c r="AG21" s="14" t="n">
        <f aca="false">Val_pt*Share/(1-Share*E21)*(SUM(K21:M21)+Credit_M*M21)-Cost_r</f>
        <v>685</v>
      </c>
      <c r="AH21" s="14" t="n">
        <f aca="false">Val_pt*Share/(1-Share*F21)*(SUM(L21:M21)+Credit_M*M21)-Cost_r</f>
        <v>650</v>
      </c>
      <c r="AI21" s="14" t="n">
        <f aca="false">Val_pt*Share/(1-Share*G21)*(SUM(M21:M21)+Credit_M*M21)-Cost_r</f>
        <v>615</v>
      </c>
      <c r="AJ21" s="17" t="n">
        <f aca="false">IF(AND(IF(B21=1,AD21&gt;0,AD21&lt;0),IF(C21=1,AE21&gt;0,AE21&lt;0),IF(D21=1,AF21&gt;0,AF21&lt;0),IF(E21=1,AG21&gt;0,AG21&lt;0),IF(F21=1,AH21&gt;0,AH21&lt;0),IF(G21=1,AI21&gt;0,AI21&lt;0)),1,0)</f>
        <v>0</v>
      </c>
    </row>
    <row r="22" customFormat="false" ht="15" hidden="false" customHeight="false" outlineLevel="0" collapsed="false">
      <c r="A22" s="17" t="n">
        <v>17</v>
      </c>
      <c r="B22" s="17" t="n">
        <f aca="false">MOD(INT($A22/32),2)</f>
        <v>0</v>
      </c>
      <c r="C22" s="17" t="n">
        <f aca="false">MOD(INT($A22/16),2)</f>
        <v>1</v>
      </c>
      <c r="D22" s="17" t="n">
        <f aca="false">MOD(INT($A22/8),2)</f>
        <v>0</v>
      </c>
      <c r="E22" s="17" t="n">
        <f aca="false">MOD(INT($A22/4),2)</f>
        <v>0</v>
      </c>
      <c r="F22" s="17" t="n">
        <f aca="false">MOD(INT($A22/2),2)</f>
        <v>0</v>
      </c>
      <c r="G22" s="17" t="n">
        <f aca="false">MOD(INT($A22/1),2)</f>
        <v>1</v>
      </c>
      <c r="H22" s="12" t="n">
        <f aca="false">Gap0*(1-Share*B22)</f>
        <v>14</v>
      </c>
      <c r="I22" s="12" t="n">
        <f aca="false">H22*(1-Share*C22)</f>
        <v>7</v>
      </c>
      <c r="J22" s="12" t="n">
        <f aca="false">I22*(1-Share*D22)</f>
        <v>7</v>
      </c>
      <c r="K22" s="12" t="n">
        <f aca="false">J22*(1-Share*E22)</f>
        <v>7</v>
      </c>
      <c r="L22" s="12" t="n">
        <f aca="false">K22*(1-Share*F22)</f>
        <v>7</v>
      </c>
      <c r="M22" s="12" t="n">
        <f aca="false">L22*(1-Share*G22)</f>
        <v>3.5</v>
      </c>
      <c r="N22" s="14" t="n">
        <f aca="false">Smax-Val_pt*H22</f>
        <v>0</v>
      </c>
      <c r="O22" s="14" t="n">
        <f aca="false">Smax-Val_pt*I22</f>
        <v>70</v>
      </c>
      <c r="P22" s="14" t="n">
        <f aca="false">Smax-Val_pt*J22</f>
        <v>70</v>
      </c>
      <c r="Q22" s="14" t="n">
        <f aca="false">Smax-Val_pt*K22</f>
        <v>70</v>
      </c>
      <c r="R22" s="14" t="n">
        <f aca="false">Smax-Val_pt*L22</f>
        <v>70</v>
      </c>
      <c r="S22" s="14" t="n">
        <f aca="false">Smax-Val_pt*M22</f>
        <v>105</v>
      </c>
      <c r="T22" s="14" t="n">
        <f aca="false">SUM(B22:G22)</f>
        <v>2</v>
      </c>
      <c r="U22" s="15" t="n">
        <f aca="false">Cash0+SUM(N22:S22)-Cost_r*T22+Credit_M*S22</f>
        <v>2395</v>
      </c>
      <c r="V22" s="15" t="n">
        <f aca="false">Cash0+SUM(N22:S22)-Cost_r*T22+Credit_10*S22</f>
        <v>1345</v>
      </c>
      <c r="W22" s="11" t="n">
        <f aca="false">Liq0+N22-Cost_r*B22</f>
        <v>620</v>
      </c>
      <c r="X22" s="11" t="n">
        <f aca="false">W22+O22-Cost_r*C22</f>
        <v>570</v>
      </c>
      <c r="Y22" s="11" t="n">
        <f aca="false">X22+P22-Cost_r*D22</f>
        <v>640</v>
      </c>
      <c r="Z22" s="11" t="n">
        <f aca="false">Y22+Q22-Cost_r*E22</f>
        <v>710</v>
      </c>
      <c r="AA22" s="11" t="n">
        <f aca="false">Z22+R22-Cost_r*F22</f>
        <v>780</v>
      </c>
      <c r="AB22" s="11" t="n">
        <f aca="false">AA22+S22-Cost_r*G22</f>
        <v>765</v>
      </c>
      <c r="AC22" s="11" t="n">
        <f aca="false">MIN(MIN(Liq0-Cost_r*B22,W22-Cost_r*C22,X22-Cost_r*D22,Y22-Cost_r*E22,Z22-Cost_r*F22,AA22-Cost_r*G22,MIN(W22:AB22))-Floor_q,AB22-End_q)</f>
        <v>150</v>
      </c>
      <c r="AD22" s="14" t="n">
        <f aca="false">Val_pt*Share/(1-Share*B22)*(SUM(H22:M22)+Credit_M*M22)-Cost_r</f>
        <v>457.5</v>
      </c>
      <c r="AE22" s="14" t="n">
        <f aca="false">Val_pt*Share/(1-Share*C22)*(SUM(I22:M22)+Credit_M*M22)-Cost_r</f>
        <v>895</v>
      </c>
      <c r="AF22" s="14" t="n">
        <f aca="false">Val_pt*Share/(1-Share*D22)*(SUM(J22:M22)+Credit_M*M22)-Cost_r</f>
        <v>352.5</v>
      </c>
      <c r="AG22" s="14" t="n">
        <f aca="false">Val_pt*Share/(1-Share*E22)*(SUM(K22:M22)+Credit_M*M22)-Cost_r</f>
        <v>317.5</v>
      </c>
      <c r="AH22" s="14" t="n">
        <f aca="false">Val_pt*Share/(1-Share*F22)*(SUM(L22:M22)+Credit_M*M22)-Cost_r</f>
        <v>282.5</v>
      </c>
      <c r="AI22" s="14" t="n">
        <f aca="false">Val_pt*Share/(1-Share*G22)*(SUM(M22:M22)+Credit_M*M22)-Cost_r</f>
        <v>615</v>
      </c>
      <c r="AJ22" s="17" t="n">
        <f aca="false">IF(AND(IF(B22=1,AD22&gt;0,AD22&lt;0),IF(C22=1,AE22&gt;0,AE22&lt;0),IF(D22=1,AF22&gt;0,AF22&lt;0),IF(E22=1,AG22&gt;0,AG22&lt;0),IF(F22=1,AH22&gt;0,AH22&lt;0),IF(G22=1,AI22&gt;0,AI22&lt;0)),1,0)</f>
        <v>0</v>
      </c>
    </row>
    <row r="23" customFormat="false" ht="15" hidden="false" customHeight="false" outlineLevel="0" collapsed="false">
      <c r="A23" s="17" t="n">
        <v>18</v>
      </c>
      <c r="B23" s="17" t="n">
        <f aca="false">MOD(INT($A23/32),2)</f>
        <v>0</v>
      </c>
      <c r="C23" s="17" t="n">
        <f aca="false">MOD(INT($A23/16),2)</f>
        <v>1</v>
      </c>
      <c r="D23" s="17" t="n">
        <f aca="false">MOD(INT($A23/8),2)</f>
        <v>0</v>
      </c>
      <c r="E23" s="17" t="n">
        <f aca="false">MOD(INT($A23/4),2)</f>
        <v>0</v>
      </c>
      <c r="F23" s="17" t="n">
        <f aca="false">MOD(INT($A23/2),2)</f>
        <v>1</v>
      </c>
      <c r="G23" s="17" t="n">
        <f aca="false">MOD(INT($A23/1),2)</f>
        <v>0</v>
      </c>
      <c r="H23" s="12" t="n">
        <f aca="false">Gap0*(1-Share*B23)</f>
        <v>14</v>
      </c>
      <c r="I23" s="12" t="n">
        <f aca="false">H23*(1-Share*C23)</f>
        <v>7</v>
      </c>
      <c r="J23" s="12" t="n">
        <f aca="false">I23*(1-Share*D23)</f>
        <v>7</v>
      </c>
      <c r="K23" s="12" t="n">
        <f aca="false">J23*(1-Share*E23)</f>
        <v>7</v>
      </c>
      <c r="L23" s="12" t="n">
        <f aca="false">K23*(1-Share*F23)</f>
        <v>3.5</v>
      </c>
      <c r="M23" s="12" t="n">
        <f aca="false">L23*(1-Share*G23)</f>
        <v>3.5</v>
      </c>
      <c r="N23" s="14" t="n">
        <f aca="false">Smax-Val_pt*H23</f>
        <v>0</v>
      </c>
      <c r="O23" s="14" t="n">
        <f aca="false">Smax-Val_pt*I23</f>
        <v>70</v>
      </c>
      <c r="P23" s="14" t="n">
        <f aca="false">Smax-Val_pt*J23</f>
        <v>70</v>
      </c>
      <c r="Q23" s="14" t="n">
        <f aca="false">Smax-Val_pt*K23</f>
        <v>70</v>
      </c>
      <c r="R23" s="14" t="n">
        <f aca="false">Smax-Val_pt*L23</f>
        <v>105</v>
      </c>
      <c r="S23" s="14" t="n">
        <f aca="false">Smax-Val_pt*M23</f>
        <v>105</v>
      </c>
      <c r="T23" s="14" t="n">
        <f aca="false">SUM(B23:G23)</f>
        <v>2</v>
      </c>
      <c r="U23" s="15" t="n">
        <f aca="false">Cash0+SUM(N23:S23)-Cost_r*T23+Credit_M*S23</f>
        <v>2430</v>
      </c>
      <c r="V23" s="15" t="n">
        <f aca="false">Cash0+SUM(N23:S23)-Cost_r*T23+Credit_10*S23</f>
        <v>1380</v>
      </c>
      <c r="W23" s="11" t="n">
        <f aca="false">Liq0+N23-Cost_r*B23</f>
        <v>620</v>
      </c>
      <c r="X23" s="11" t="n">
        <f aca="false">W23+O23-Cost_r*C23</f>
        <v>570</v>
      </c>
      <c r="Y23" s="11" t="n">
        <f aca="false">X23+P23-Cost_r*D23</f>
        <v>640</v>
      </c>
      <c r="Z23" s="11" t="n">
        <f aca="false">Y23+Q23-Cost_r*E23</f>
        <v>710</v>
      </c>
      <c r="AA23" s="11" t="n">
        <f aca="false">Z23+R23-Cost_r*F23</f>
        <v>695</v>
      </c>
      <c r="AB23" s="11" t="n">
        <f aca="false">AA23+S23-Cost_r*G23</f>
        <v>800</v>
      </c>
      <c r="AC23" s="11" t="n">
        <f aca="false">MIN(MIN(Liq0-Cost_r*B23,W23-Cost_r*C23,X23-Cost_r*D23,Y23-Cost_r*E23,Z23-Cost_r*F23,AA23-Cost_r*G23,MIN(W23:AB23))-Floor_q,AB23-End_q)</f>
        <v>150</v>
      </c>
      <c r="AD23" s="14" t="n">
        <f aca="false">Val_pt*Share/(1-Share*B23)*(SUM(H23:M23)+Credit_M*M23)-Cost_r</f>
        <v>440</v>
      </c>
      <c r="AE23" s="14" t="n">
        <f aca="false">Val_pt*Share/(1-Share*C23)*(SUM(I23:M23)+Credit_M*M23)-Cost_r</f>
        <v>860</v>
      </c>
      <c r="AF23" s="14" t="n">
        <f aca="false">Val_pt*Share/(1-Share*D23)*(SUM(J23:M23)+Credit_M*M23)-Cost_r</f>
        <v>335</v>
      </c>
      <c r="AG23" s="14" t="n">
        <f aca="false">Val_pt*Share/(1-Share*E23)*(SUM(K23:M23)+Credit_M*M23)-Cost_r</f>
        <v>300</v>
      </c>
      <c r="AH23" s="14" t="n">
        <f aca="false">Val_pt*Share/(1-Share*F23)*(SUM(L23:M23)+Credit_M*M23)-Cost_r</f>
        <v>650</v>
      </c>
      <c r="AI23" s="14" t="n">
        <f aca="false">Val_pt*Share/(1-Share*G23)*(SUM(M23:M23)+Credit_M*M23)-Cost_r</f>
        <v>247.5</v>
      </c>
      <c r="AJ23" s="17" t="n">
        <f aca="false">IF(AND(IF(B23=1,AD23&gt;0,AD23&lt;0),IF(C23=1,AE23&gt;0,AE23&lt;0),IF(D23=1,AF23&gt;0,AF23&lt;0),IF(E23=1,AG23&gt;0,AG23&lt;0),IF(F23=1,AH23&gt;0,AH23&lt;0),IF(G23=1,AI23&gt;0,AI23&lt;0)),1,0)</f>
        <v>0</v>
      </c>
    </row>
    <row r="24" customFormat="false" ht="15" hidden="false" customHeight="false" outlineLevel="0" collapsed="false">
      <c r="A24" s="17" t="n">
        <v>19</v>
      </c>
      <c r="B24" s="17" t="n">
        <f aca="false">MOD(INT($A24/32),2)</f>
        <v>0</v>
      </c>
      <c r="C24" s="17" t="n">
        <f aca="false">MOD(INT($A24/16),2)</f>
        <v>1</v>
      </c>
      <c r="D24" s="17" t="n">
        <f aca="false">MOD(INT($A24/8),2)</f>
        <v>0</v>
      </c>
      <c r="E24" s="17" t="n">
        <f aca="false">MOD(INT($A24/4),2)</f>
        <v>0</v>
      </c>
      <c r="F24" s="17" t="n">
        <f aca="false">MOD(INT($A24/2),2)</f>
        <v>1</v>
      </c>
      <c r="G24" s="17" t="n">
        <f aca="false">MOD(INT($A24/1),2)</f>
        <v>1</v>
      </c>
      <c r="H24" s="12" t="n">
        <f aca="false">Gap0*(1-Share*B24)</f>
        <v>14</v>
      </c>
      <c r="I24" s="12" t="n">
        <f aca="false">H24*(1-Share*C24)</f>
        <v>7</v>
      </c>
      <c r="J24" s="12" t="n">
        <f aca="false">I24*(1-Share*D24)</f>
        <v>7</v>
      </c>
      <c r="K24" s="12" t="n">
        <f aca="false">J24*(1-Share*E24)</f>
        <v>7</v>
      </c>
      <c r="L24" s="12" t="n">
        <f aca="false">K24*(1-Share*F24)</f>
        <v>3.5</v>
      </c>
      <c r="M24" s="12" t="n">
        <f aca="false">L24*(1-Share*G24)</f>
        <v>1.75</v>
      </c>
      <c r="N24" s="14" t="n">
        <f aca="false">Smax-Val_pt*H24</f>
        <v>0</v>
      </c>
      <c r="O24" s="14" t="n">
        <f aca="false">Smax-Val_pt*I24</f>
        <v>70</v>
      </c>
      <c r="P24" s="14" t="n">
        <f aca="false">Smax-Val_pt*J24</f>
        <v>70</v>
      </c>
      <c r="Q24" s="14" t="n">
        <f aca="false">Smax-Val_pt*K24</f>
        <v>70</v>
      </c>
      <c r="R24" s="14" t="n">
        <f aca="false">Smax-Val_pt*L24</f>
        <v>105</v>
      </c>
      <c r="S24" s="14" t="n">
        <f aca="false">Smax-Val_pt*M24</f>
        <v>122.5</v>
      </c>
      <c r="T24" s="14" t="n">
        <f aca="false">SUM(B24:G24)</f>
        <v>3</v>
      </c>
      <c r="U24" s="15" t="n">
        <f aca="false">Cash0+SUM(N24:S24)-Cost_r*T24+Credit_M*S24</f>
        <v>2677.5</v>
      </c>
      <c r="V24" s="15" t="n">
        <f aca="false">Cash0+SUM(N24:S24)-Cost_r*T24+Credit_10*S24</f>
        <v>1452.5</v>
      </c>
      <c r="W24" s="11" t="n">
        <f aca="false">Liq0+N24-Cost_r*B24</f>
        <v>620</v>
      </c>
      <c r="X24" s="11" t="n">
        <f aca="false">W24+O24-Cost_r*C24</f>
        <v>570</v>
      </c>
      <c r="Y24" s="11" t="n">
        <f aca="false">X24+P24-Cost_r*D24</f>
        <v>640</v>
      </c>
      <c r="Z24" s="11" t="n">
        <f aca="false">Y24+Q24-Cost_r*E24</f>
        <v>710</v>
      </c>
      <c r="AA24" s="11" t="n">
        <f aca="false">Z24+R24-Cost_r*F24</f>
        <v>695</v>
      </c>
      <c r="AB24" s="11" t="n">
        <f aca="false">AA24+S24-Cost_r*G24</f>
        <v>697.5</v>
      </c>
      <c r="AC24" s="11" t="n">
        <f aca="false">MIN(MIN(Liq0-Cost_r*B24,W24-Cost_r*C24,X24-Cost_r*D24,Y24-Cost_r*E24,Z24-Cost_r*F24,AA24-Cost_r*G24,MIN(W24:AB24))-Floor_q,AB24-End_q)</f>
        <v>150</v>
      </c>
      <c r="AD24" s="14" t="n">
        <f aca="false">Val_pt*Share/(1-Share*B24)*(SUM(H24:M24)+Credit_M*M24)-Cost_r</f>
        <v>256.25</v>
      </c>
      <c r="AE24" s="14" t="n">
        <f aca="false">Val_pt*Share/(1-Share*C24)*(SUM(I24:M24)+Credit_M*M24)-Cost_r</f>
        <v>492.5</v>
      </c>
      <c r="AF24" s="14" t="n">
        <f aca="false">Val_pt*Share/(1-Share*D24)*(SUM(J24:M24)+Credit_M*M24)-Cost_r</f>
        <v>151.25</v>
      </c>
      <c r="AG24" s="14" t="n">
        <f aca="false">Val_pt*Share/(1-Share*E24)*(SUM(K24:M24)+Credit_M*M24)-Cost_r</f>
        <v>116.25</v>
      </c>
      <c r="AH24" s="14" t="n">
        <f aca="false">Val_pt*Share/(1-Share*F24)*(SUM(L24:M24)+Credit_M*M24)-Cost_r</f>
        <v>282.5</v>
      </c>
      <c r="AI24" s="14" t="n">
        <f aca="false">Val_pt*Share/(1-Share*G24)*(SUM(M24:M24)+Credit_M*M24)-Cost_r</f>
        <v>247.5</v>
      </c>
      <c r="AJ24" s="17" t="n">
        <f aca="false">IF(AND(IF(B24=1,AD24&gt;0,AD24&lt;0),IF(C24=1,AE24&gt;0,AE24&lt;0),IF(D24=1,AF24&gt;0,AF24&lt;0),IF(E24=1,AG24&gt;0,AG24&lt;0),IF(F24=1,AH24&gt;0,AH24&lt;0),IF(G24=1,AI24&gt;0,AI24&lt;0)),1,0)</f>
        <v>0</v>
      </c>
    </row>
    <row r="25" customFormat="false" ht="15" hidden="false" customHeight="false" outlineLevel="0" collapsed="false">
      <c r="A25" s="17" t="n">
        <v>20</v>
      </c>
      <c r="B25" s="17" t="n">
        <f aca="false">MOD(INT($A25/32),2)</f>
        <v>0</v>
      </c>
      <c r="C25" s="17" t="n">
        <f aca="false">MOD(INT($A25/16),2)</f>
        <v>1</v>
      </c>
      <c r="D25" s="17" t="n">
        <f aca="false">MOD(INT($A25/8),2)</f>
        <v>0</v>
      </c>
      <c r="E25" s="17" t="n">
        <f aca="false">MOD(INT($A25/4),2)</f>
        <v>1</v>
      </c>
      <c r="F25" s="17" t="n">
        <f aca="false">MOD(INT($A25/2),2)</f>
        <v>0</v>
      </c>
      <c r="G25" s="17" t="n">
        <f aca="false">MOD(INT($A25/1),2)</f>
        <v>0</v>
      </c>
      <c r="H25" s="12" t="n">
        <f aca="false">Gap0*(1-Share*B25)</f>
        <v>14</v>
      </c>
      <c r="I25" s="12" t="n">
        <f aca="false">H25*(1-Share*C25)</f>
        <v>7</v>
      </c>
      <c r="J25" s="12" t="n">
        <f aca="false">I25*(1-Share*D25)</f>
        <v>7</v>
      </c>
      <c r="K25" s="12" t="n">
        <f aca="false">J25*(1-Share*E25)</f>
        <v>3.5</v>
      </c>
      <c r="L25" s="12" t="n">
        <f aca="false">K25*(1-Share*F25)</f>
        <v>3.5</v>
      </c>
      <c r="M25" s="12" t="n">
        <f aca="false">L25*(1-Share*G25)</f>
        <v>3.5</v>
      </c>
      <c r="N25" s="14" t="n">
        <f aca="false">Smax-Val_pt*H25</f>
        <v>0</v>
      </c>
      <c r="O25" s="14" t="n">
        <f aca="false">Smax-Val_pt*I25</f>
        <v>70</v>
      </c>
      <c r="P25" s="14" t="n">
        <f aca="false">Smax-Val_pt*J25</f>
        <v>70</v>
      </c>
      <c r="Q25" s="14" t="n">
        <f aca="false">Smax-Val_pt*K25</f>
        <v>105</v>
      </c>
      <c r="R25" s="14" t="n">
        <f aca="false">Smax-Val_pt*L25</f>
        <v>105</v>
      </c>
      <c r="S25" s="14" t="n">
        <f aca="false">Smax-Val_pt*M25</f>
        <v>105</v>
      </c>
      <c r="T25" s="14" t="n">
        <f aca="false">SUM(B25:G25)</f>
        <v>2</v>
      </c>
      <c r="U25" s="15" t="n">
        <f aca="false">Cash0+SUM(N25:S25)-Cost_r*T25+Credit_M*S25</f>
        <v>2465</v>
      </c>
      <c r="V25" s="15" t="n">
        <f aca="false">Cash0+SUM(N25:S25)-Cost_r*T25+Credit_10*S25</f>
        <v>1415</v>
      </c>
      <c r="W25" s="11" t="n">
        <f aca="false">Liq0+N25-Cost_r*B25</f>
        <v>620</v>
      </c>
      <c r="X25" s="11" t="n">
        <f aca="false">W25+O25-Cost_r*C25</f>
        <v>570</v>
      </c>
      <c r="Y25" s="11" t="n">
        <f aca="false">X25+P25-Cost_r*D25</f>
        <v>640</v>
      </c>
      <c r="Z25" s="11" t="n">
        <f aca="false">Y25+Q25-Cost_r*E25</f>
        <v>625</v>
      </c>
      <c r="AA25" s="11" t="n">
        <f aca="false">Z25+R25-Cost_r*F25</f>
        <v>730</v>
      </c>
      <c r="AB25" s="11" t="n">
        <f aca="false">AA25+S25-Cost_r*G25</f>
        <v>835</v>
      </c>
      <c r="AC25" s="11" t="n">
        <f aca="false">MIN(MIN(Liq0-Cost_r*B25,W25-Cost_r*C25,X25-Cost_r*D25,Y25-Cost_r*E25,Z25-Cost_r*F25,AA25-Cost_r*G25,MIN(W25:AB25))-Floor_q,AB25-End_q)</f>
        <v>150</v>
      </c>
      <c r="AD25" s="14" t="n">
        <f aca="false">Val_pt*Share/(1-Share*B25)*(SUM(H25:M25)+Credit_M*M25)-Cost_r</f>
        <v>422.5</v>
      </c>
      <c r="AE25" s="14" t="n">
        <f aca="false">Val_pt*Share/(1-Share*C25)*(SUM(I25:M25)+Credit_M*M25)-Cost_r</f>
        <v>825</v>
      </c>
      <c r="AF25" s="14" t="n">
        <f aca="false">Val_pt*Share/(1-Share*D25)*(SUM(J25:M25)+Credit_M*M25)-Cost_r</f>
        <v>317.5</v>
      </c>
      <c r="AG25" s="14" t="n">
        <f aca="false">Val_pt*Share/(1-Share*E25)*(SUM(K25:M25)+Credit_M*M25)-Cost_r</f>
        <v>685</v>
      </c>
      <c r="AH25" s="14" t="n">
        <f aca="false">Val_pt*Share/(1-Share*F25)*(SUM(L25:M25)+Credit_M*M25)-Cost_r</f>
        <v>265</v>
      </c>
      <c r="AI25" s="14" t="n">
        <f aca="false">Val_pt*Share/(1-Share*G25)*(SUM(M25:M25)+Credit_M*M25)-Cost_r</f>
        <v>247.5</v>
      </c>
      <c r="AJ25" s="17" t="n">
        <f aca="false">IF(AND(IF(B25=1,AD25&gt;0,AD25&lt;0),IF(C25=1,AE25&gt;0,AE25&lt;0),IF(D25=1,AF25&gt;0,AF25&lt;0),IF(E25=1,AG25&gt;0,AG25&lt;0),IF(F25=1,AH25&gt;0,AH25&lt;0),IF(G25=1,AI25&gt;0,AI25&lt;0)),1,0)</f>
        <v>0</v>
      </c>
    </row>
    <row r="26" customFormat="false" ht="15" hidden="false" customHeight="false" outlineLevel="0" collapsed="false">
      <c r="A26" s="17" t="n">
        <v>21</v>
      </c>
      <c r="B26" s="17" t="n">
        <f aca="false">MOD(INT($A26/32),2)</f>
        <v>0</v>
      </c>
      <c r="C26" s="17" t="n">
        <f aca="false">MOD(INT($A26/16),2)</f>
        <v>1</v>
      </c>
      <c r="D26" s="17" t="n">
        <f aca="false">MOD(INT($A26/8),2)</f>
        <v>0</v>
      </c>
      <c r="E26" s="17" t="n">
        <f aca="false">MOD(INT($A26/4),2)</f>
        <v>1</v>
      </c>
      <c r="F26" s="17" t="n">
        <f aca="false">MOD(INT($A26/2),2)</f>
        <v>0</v>
      </c>
      <c r="G26" s="17" t="n">
        <f aca="false">MOD(INT($A26/1),2)</f>
        <v>1</v>
      </c>
      <c r="H26" s="12" t="n">
        <f aca="false">Gap0*(1-Share*B26)</f>
        <v>14</v>
      </c>
      <c r="I26" s="12" t="n">
        <f aca="false">H26*(1-Share*C26)</f>
        <v>7</v>
      </c>
      <c r="J26" s="12" t="n">
        <f aca="false">I26*(1-Share*D26)</f>
        <v>7</v>
      </c>
      <c r="K26" s="12" t="n">
        <f aca="false">J26*(1-Share*E26)</f>
        <v>3.5</v>
      </c>
      <c r="L26" s="12" t="n">
        <f aca="false">K26*(1-Share*F26)</f>
        <v>3.5</v>
      </c>
      <c r="M26" s="12" t="n">
        <f aca="false">L26*(1-Share*G26)</f>
        <v>1.75</v>
      </c>
      <c r="N26" s="14" t="n">
        <f aca="false">Smax-Val_pt*H26</f>
        <v>0</v>
      </c>
      <c r="O26" s="14" t="n">
        <f aca="false">Smax-Val_pt*I26</f>
        <v>70</v>
      </c>
      <c r="P26" s="14" t="n">
        <f aca="false">Smax-Val_pt*J26</f>
        <v>70</v>
      </c>
      <c r="Q26" s="14" t="n">
        <f aca="false">Smax-Val_pt*K26</f>
        <v>105</v>
      </c>
      <c r="R26" s="14" t="n">
        <f aca="false">Smax-Val_pt*L26</f>
        <v>105</v>
      </c>
      <c r="S26" s="14" t="n">
        <f aca="false">Smax-Val_pt*M26</f>
        <v>122.5</v>
      </c>
      <c r="T26" s="14" t="n">
        <f aca="false">SUM(B26:G26)</f>
        <v>3</v>
      </c>
      <c r="U26" s="15" t="n">
        <f aca="false">Cash0+SUM(N26:S26)-Cost_r*T26+Credit_M*S26</f>
        <v>2712.5</v>
      </c>
      <c r="V26" s="15" t="n">
        <f aca="false">Cash0+SUM(N26:S26)-Cost_r*T26+Credit_10*S26</f>
        <v>1487.5</v>
      </c>
      <c r="W26" s="11" t="n">
        <f aca="false">Liq0+N26-Cost_r*B26</f>
        <v>620</v>
      </c>
      <c r="X26" s="11" t="n">
        <f aca="false">W26+O26-Cost_r*C26</f>
        <v>570</v>
      </c>
      <c r="Y26" s="11" t="n">
        <f aca="false">X26+P26-Cost_r*D26</f>
        <v>640</v>
      </c>
      <c r="Z26" s="11" t="n">
        <f aca="false">Y26+Q26-Cost_r*E26</f>
        <v>625</v>
      </c>
      <c r="AA26" s="11" t="n">
        <f aca="false">Z26+R26-Cost_r*F26</f>
        <v>730</v>
      </c>
      <c r="AB26" s="11" t="n">
        <f aca="false">AA26+S26-Cost_r*G26</f>
        <v>732.5</v>
      </c>
      <c r="AC26" s="11" t="n">
        <f aca="false">MIN(MIN(Liq0-Cost_r*B26,W26-Cost_r*C26,X26-Cost_r*D26,Y26-Cost_r*E26,Z26-Cost_r*F26,AA26-Cost_r*G26,MIN(W26:AB26))-Floor_q,AB26-End_q)</f>
        <v>150</v>
      </c>
      <c r="AD26" s="14" t="n">
        <f aca="false">Val_pt*Share/(1-Share*B26)*(SUM(H26:M26)+Credit_M*M26)-Cost_r</f>
        <v>238.75</v>
      </c>
      <c r="AE26" s="14" t="n">
        <f aca="false">Val_pt*Share/(1-Share*C26)*(SUM(I26:M26)+Credit_M*M26)-Cost_r</f>
        <v>457.5</v>
      </c>
      <c r="AF26" s="14" t="n">
        <f aca="false">Val_pt*Share/(1-Share*D26)*(SUM(J26:M26)+Credit_M*M26)-Cost_r</f>
        <v>133.75</v>
      </c>
      <c r="AG26" s="14" t="n">
        <f aca="false">Val_pt*Share/(1-Share*E26)*(SUM(K26:M26)+Credit_M*M26)-Cost_r</f>
        <v>317.5</v>
      </c>
      <c r="AH26" s="14" t="n">
        <f aca="false">Val_pt*Share/(1-Share*F26)*(SUM(L26:M26)+Credit_M*M26)-Cost_r</f>
        <v>81.25</v>
      </c>
      <c r="AI26" s="14" t="n">
        <f aca="false">Val_pt*Share/(1-Share*G26)*(SUM(M26:M26)+Credit_M*M26)-Cost_r</f>
        <v>247.5</v>
      </c>
      <c r="AJ26" s="17" t="n">
        <f aca="false">IF(AND(IF(B26=1,AD26&gt;0,AD26&lt;0),IF(C26=1,AE26&gt;0,AE26&lt;0),IF(D26=1,AF26&gt;0,AF26&lt;0),IF(E26=1,AG26&gt;0,AG26&lt;0),IF(F26=1,AH26&gt;0,AH26&lt;0),IF(G26=1,AI26&gt;0,AI26&lt;0)),1,0)</f>
        <v>0</v>
      </c>
    </row>
    <row r="27" customFormat="false" ht="15" hidden="false" customHeight="false" outlineLevel="0" collapsed="false">
      <c r="A27" s="17" t="n">
        <v>22</v>
      </c>
      <c r="B27" s="17" t="n">
        <f aca="false">MOD(INT($A27/32),2)</f>
        <v>0</v>
      </c>
      <c r="C27" s="17" t="n">
        <f aca="false">MOD(INT($A27/16),2)</f>
        <v>1</v>
      </c>
      <c r="D27" s="17" t="n">
        <f aca="false">MOD(INT($A27/8),2)</f>
        <v>0</v>
      </c>
      <c r="E27" s="17" t="n">
        <f aca="false">MOD(INT($A27/4),2)</f>
        <v>1</v>
      </c>
      <c r="F27" s="17" t="n">
        <f aca="false">MOD(INT($A27/2),2)</f>
        <v>1</v>
      </c>
      <c r="G27" s="17" t="n">
        <f aca="false">MOD(INT($A27/1),2)</f>
        <v>0</v>
      </c>
      <c r="H27" s="12" t="n">
        <f aca="false">Gap0*(1-Share*B27)</f>
        <v>14</v>
      </c>
      <c r="I27" s="12" t="n">
        <f aca="false">H27*(1-Share*C27)</f>
        <v>7</v>
      </c>
      <c r="J27" s="12" t="n">
        <f aca="false">I27*(1-Share*D27)</f>
        <v>7</v>
      </c>
      <c r="K27" s="12" t="n">
        <f aca="false">J27*(1-Share*E27)</f>
        <v>3.5</v>
      </c>
      <c r="L27" s="12" t="n">
        <f aca="false">K27*(1-Share*F27)</f>
        <v>1.75</v>
      </c>
      <c r="M27" s="12" t="n">
        <f aca="false">L27*(1-Share*G27)</f>
        <v>1.75</v>
      </c>
      <c r="N27" s="14" t="n">
        <f aca="false">Smax-Val_pt*H27</f>
        <v>0</v>
      </c>
      <c r="O27" s="14" t="n">
        <f aca="false">Smax-Val_pt*I27</f>
        <v>70</v>
      </c>
      <c r="P27" s="14" t="n">
        <f aca="false">Smax-Val_pt*J27</f>
        <v>70</v>
      </c>
      <c r="Q27" s="14" t="n">
        <f aca="false">Smax-Val_pt*K27</f>
        <v>105</v>
      </c>
      <c r="R27" s="14" t="n">
        <f aca="false">Smax-Val_pt*L27</f>
        <v>122.5</v>
      </c>
      <c r="S27" s="14" t="n">
        <f aca="false">Smax-Val_pt*M27</f>
        <v>122.5</v>
      </c>
      <c r="T27" s="14" t="n">
        <f aca="false">SUM(B27:G27)</f>
        <v>3</v>
      </c>
      <c r="U27" s="15" t="n">
        <f aca="false">Cash0+SUM(N27:S27)-Cost_r*T27+Credit_M*S27</f>
        <v>2730</v>
      </c>
      <c r="V27" s="15" t="n">
        <f aca="false">Cash0+SUM(N27:S27)-Cost_r*T27+Credit_10*S27</f>
        <v>1505</v>
      </c>
      <c r="W27" s="11" t="n">
        <f aca="false">Liq0+N27-Cost_r*B27</f>
        <v>620</v>
      </c>
      <c r="X27" s="11" t="n">
        <f aca="false">W27+O27-Cost_r*C27</f>
        <v>570</v>
      </c>
      <c r="Y27" s="11" t="n">
        <f aca="false">X27+P27-Cost_r*D27</f>
        <v>640</v>
      </c>
      <c r="Z27" s="11" t="n">
        <f aca="false">Y27+Q27-Cost_r*E27</f>
        <v>625</v>
      </c>
      <c r="AA27" s="11" t="n">
        <f aca="false">Z27+R27-Cost_r*F27</f>
        <v>627.5</v>
      </c>
      <c r="AB27" s="11" t="n">
        <f aca="false">AA27+S27-Cost_r*G27</f>
        <v>750</v>
      </c>
      <c r="AC27" s="11" t="n">
        <f aca="false">MIN(MIN(Liq0-Cost_r*B27,W27-Cost_r*C27,X27-Cost_r*D27,Y27-Cost_r*E27,Z27-Cost_r*F27,AA27-Cost_r*G27,MIN(W27:AB27))-Floor_q,AB27-End_q)</f>
        <v>150</v>
      </c>
      <c r="AD27" s="14" t="n">
        <f aca="false">Val_pt*Share/(1-Share*B27)*(SUM(H27:M27)+Credit_M*M27)-Cost_r</f>
        <v>230</v>
      </c>
      <c r="AE27" s="14" t="n">
        <f aca="false">Val_pt*Share/(1-Share*C27)*(SUM(I27:M27)+Credit_M*M27)-Cost_r</f>
        <v>440</v>
      </c>
      <c r="AF27" s="14" t="n">
        <f aca="false">Val_pt*Share/(1-Share*D27)*(SUM(J27:M27)+Credit_M*M27)-Cost_r</f>
        <v>125</v>
      </c>
      <c r="AG27" s="14" t="n">
        <f aca="false">Val_pt*Share/(1-Share*E27)*(SUM(K27:M27)+Credit_M*M27)-Cost_r</f>
        <v>300</v>
      </c>
      <c r="AH27" s="14" t="n">
        <f aca="false">Val_pt*Share/(1-Share*F27)*(SUM(L27:M27)+Credit_M*M27)-Cost_r</f>
        <v>265</v>
      </c>
      <c r="AI27" s="14" t="n">
        <f aca="false">Val_pt*Share/(1-Share*G27)*(SUM(M27:M27)+Credit_M*M27)-Cost_r</f>
        <v>63.75</v>
      </c>
      <c r="AJ27" s="17" t="n">
        <f aca="false">IF(AND(IF(B27=1,AD27&gt;0,AD27&lt;0),IF(C27=1,AE27&gt;0,AE27&lt;0),IF(D27=1,AF27&gt;0,AF27&lt;0),IF(E27=1,AG27&gt;0,AG27&lt;0),IF(F27=1,AH27&gt;0,AH27&lt;0),IF(G27=1,AI27&gt;0,AI27&lt;0)),1,0)</f>
        <v>0</v>
      </c>
    </row>
    <row r="28" customFormat="false" ht="15" hidden="false" customHeight="false" outlineLevel="0" collapsed="false">
      <c r="A28" s="17" t="n">
        <v>23</v>
      </c>
      <c r="B28" s="17" t="n">
        <f aca="false">MOD(INT($A28/32),2)</f>
        <v>0</v>
      </c>
      <c r="C28" s="17" t="n">
        <f aca="false">MOD(INT($A28/16),2)</f>
        <v>1</v>
      </c>
      <c r="D28" s="17" t="n">
        <f aca="false">MOD(INT($A28/8),2)</f>
        <v>0</v>
      </c>
      <c r="E28" s="17" t="n">
        <f aca="false">MOD(INT($A28/4),2)</f>
        <v>1</v>
      </c>
      <c r="F28" s="17" t="n">
        <f aca="false">MOD(INT($A28/2),2)</f>
        <v>1</v>
      </c>
      <c r="G28" s="17" t="n">
        <f aca="false">MOD(INT($A28/1),2)</f>
        <v>1</v>
      </c>
      <c r="H28" s="12" t="n">
        <f aca="false">Gap0*(1-Share*B28)</f>
        <v>14</v>
      </c>
      <c r="I28" s="12" t="n">
        <f aca="false">H28*(1-Share*C28)</f>
        <v>7</v>
      </c>
      <c r="J28" s="12" t="n">
        <f aca="false">I28*(1-Share*D28)</f>
        <v>7</v>
      </c>
      <c r="K28" s="12" t="n">
        <f aca="false">J28*(1-Share*E28)</f>
        <v>3.5</v>
      </c>
      <c r="L28" s="12" t="n">
        <f aca="false">K28*(1-Share*F28)</f>
        <v>1.75</v>
      </c>
      <c r="M28" s="12" t="n">
        <f aca="false">L28*(1-Share*G28)</f>
        <v>0.875</v>
      </c>
      <c r="N28" s="14" t="n">
        <f aca="false">Smax-Val_pt*H28</f>
        <v>0</v>
      </c>
      <c r="O28" s="14" t="n">
        <f aca="false">Smax-Val_pt*I28</f>
        <v>70</v>
      </c>
      <c r="P28" s="14" t="n">
        <f aca="false">Smax-Val_pt*J28</f>
        <v>70</v>
      </c>
      <c r="Q28" s="14" t="n">
        <f aca="false">Smax-Val_pt*K28</f>
        <v>105</v>
      </c>
      <c r="R28" s="14" t="n">
        <f aca="false">Smax-Val_pt*L28</f>
        <v>122.5</v>
      </c>
      <c r="S28" s="14" t="n">
        <f aca="false">Smax-Val_pt*M28</f>
        <v>131.25</v>
      </c>
      <c r="T28" s="14" t="n">
        <f aca="false">SUM(B28:G28)</f>
        <v>4</v>
      </c>
      <c r="U28" s="15" t="n">
        <f aca="false">Cash0+SUM(N28:S28)-Cost_r*T28+Credit_M*S28</f>
        <v>2793.75</v>
      </c>
      <c r="V28" s="15" t="n">
        <f aca="false">Cash0+SUM(N28:S28)-Cost_r*T28+Credit_10*S28</f>
        <v>1481.25</v>
      </c>
      <c r="W28" s="11" t="n">
        <f aca="false">Liq0+N28-Cost_r*B28</f>
        <v>620</v>
      </c>
      <c r="X28" s="11" t="n">
        <f aca="false">W28+O28-Cost_r*C28</f>
        <v>570</v>
      </c>
      <c r="Y28" s="11" t="n">
        <f aca="false">X28+P28-Cost_r*D28</f>
        <v>640</v>
      </c>
      <c r="Z28" s="11" t="n">
        <f aca="false">Y28+Q28-Cost_r*E28</f>
        <v>625</v>
      </c>
      <c r="AA28" s="11" t="n">
        <f aca="false">Z28+R28-Cost_r*F28</f>
        <v>627.5</v>
      </c>
      <c r="AB28" s="11" t="n">
        <f aca="false">AA28+S28-Cost_r*G28</f>
        <v>638.75</v>
      </c>
      <c r="AC28" s="11" t="n">
        <f aca="false">MIN(MIN(Liq0-Cost_r*B28,W28-Cost_r*C28,X28-Cost_r*D28,Y28-Cost_r*E28,Z28-Cost_r*F28,AA28-Cost_r*G28,MIN(W28:AB28))-Floor_q,AB28-End_q)</f>
        <v>150</v>
      </c>
      <c r="AD28" s="14" t="n">
        <f aca="false">Val_pt*Share/(1-Share*B28)*(SUM(H28:M28)+Credit_M*M28)-Cost_r</f>
        <v>138.125</v>
      </c>
      <c r="AE28" s="14" t="n">
        <f aca="false">Val_pt*Share/(1-Share*C28)*(SUM(I28:M28)+Credit_M*M28)-Cost_r</f>
        <v>256.25</v>
      </c>
      <c r="AF28" s="14" t="n">
        <f aca="false">Val_pt*Share/(1-Share*D28)*(SUM(J28:M28)+Credit_M*M28)-Cost_r</f>
        <v>33.125</v>
      </c>
      <c r="AG28" s="14" t="n">
        <f aca="false">Val_pt*Share/(1-Share*E28)*(SUM(K28:M28)+Credit_M*M28)-Cost_r</f>
        <v>116.25</v>
      </c>
      <c r="AH28" s="14" t="n">
        <f aca="false">Val_pt*Share/(1-Share*F28)*(SUM(L28:M28)+Credit_M*M28)-Cost_r</f>
        <v>81.25</v>
      </c>
      <c r="AI28" s="14" t="n">
        <f aca="false">Val_pt*Share/(1-Share*G28)*(SUM(M28:M28)+Credit_M*M28)-Cost_r</f>
        <v>63.75</v>
      </c>
      <c r="AJ28" s="17" t="n">
        <f aca="false">IF(AND(IF(B28=1,AD28&gt;0,AD28&lt;0),IF(C28=1,AE28&gt;0,AE28&lt;0),IF(D28=1,AF28&gt;0,AF28&lt;0),IF(E28=1,AG28&gt;0,AG28&lt;0),IF(F28=1,AH28&gt;0,AH28&lt;0),IF(G28=1,AI28&gt;0,AI28&lt;0)),1,0)</f>
        <v>0</v>
      </c>
    </row>
    <row r="29" customFormat="false" ht="15" hidden="false" customHeight="false" outlineLevel="0" collapsed="false">
      <c r="A29" s="17" t="n">
        <v>24</v>
      </c>
      <c r="B29" s="17" t="n">
        <f aca="false">MOD(INT($A29/32),2)</f>
        <v>0</v>
      </c>
      <c r="C29" s="17" t="n">
        <f aca="false">MOD(INT($A29/16),2)</f>
        <v>1</v>
      </c>
      <c r="D29" s="17" t="n">
        <f aca="false">MOD(INT($A29/8),2)</f>
        <v>1</v>
      </c>
      <c r="E29" s="17" t="n">
        <f aca="false">MOD(INT($A29/4),2)</f>
        <v>0</v>
      </c>
      <c r="F29" s="17" t="n">
        <f aca="false">MOD(INT($A29/2),2)</f>
        <v>0</v>
      </c>
      <c r="G29" s="17" t="n">
        <f aca="false">MOD(INT($A29/1),2)</f>
        <v>0</v>
      </c>
      <c r="H29" s="12" t="n">
        <f aca="false">Gap0*(1-Share*B29)</f>
        <v>14</v>
      </c>
      <c r="I29" s="12" t="n">
        <f aca="false">H29*(1-Share*C29)</f>
        <v>7</v>
      </c>
      <c r="J29" s="12" t="n">
        <f aca="false">I29*(1-Share*D29)</f>
        <v>3.5</v>
      </c>
      <c r="K29" s="12" t="n">
        <f aca="false">J29*(1-Share*E29)</f>
        <v>3.5</v>
      </c>
      <c r="L29" s="12" t="n">
        <f aca="false">K29*(1-Share*F29)</f>
        <v>3.5</v>
      </c>
      <c r="M29" s="12" t="n">
        <f aca="false">L29*(1-Share*G29)</f>
        <v>3.5</v>
      </c>
      <c r="N29" s="14" t="n">
        <f aca="false">Smax-Val_pt*H29</f>
        <v>0</v>
      </c>
      <c r="O29" s="14" t="n">
        <f aca="false">Smax-Val_pt*I29</f>
        <v>70</v>
      </c>
      <c r="P29" s="14" t="n">
        <f aca="false">Smax-Val_pt*J29</f>
        <v>105</v>
      </c>
      <c r="Q29" s="14" t="n">
        <f aca="false">Smax-Val_pt*K29</f>
        <v>105</v>
      </c>
      <c r="R29" s="14" t="n">
        <f aca="false">Smax-Val_pt*L29</f>
        <v>105</v>
      </c>
      <c r="S29" s="14" t="n">
        <f aca="false">Smax-Val_pt*M29</f>
        <v>105</v>
      </c>
      <c r="T29" s="14" t="n">
        <f aca="false">SUM(B29:G29)</f>
        <v>2</v>
      </c>
      <c r="U29" s="15" t="n">
        <f aca="false">Cash0+SUM(N29:S29)-Cost_r*T29+Credit_M*S29</f>
        <v>2500</v>
      </c>
      <c r="V29" s="15" t="n">
        <f aca="false">Cash0+SUM(N29:S29)-Cost_r*T29+Credit_10*S29</f>
        <v>1450</v>
      </c>
      <c r="W29" s="11" t="n">
        <f aca="false">Liq0+N29-Cost_r*B29</f>
        <v>620</v>
      </c>
      <c r="X29" s="11" t="n">
        <f aca="false">W29+O29-Cost_r*C29</f>
        <v>570</v>
      </c>
      <c r="Y29" s="11" t="n">
        <f aca="false">X29+P29-Cost_r*D29</f>
        <v>555</v>
      </c>
      <c r="Z29" s="11" t="n">
        <f aca="false">Y29+Q29-Cost_r*E29</f>
        <v>660</v>
      </c>
      <c r="AA29" s="11" t="n">
        <f aca="false">Z29+R29-Cost_r*F29</f>
        <v>765</v>
      </c>
      <c r="AB29" s="11" t="n">
        <f aca="false">AA29+S29-Cost_r*G29</f>
        <v>870</v>
      </c>
      <c r="AC29" s="11" t="n">
        <f aca="false">MIN(MIN(Liq0-Cost_r*B29,W29-Cost_r*C29,X29-Cost_r*D29,Y29-Cost_r*E29,Z29-Cost_r*F29,AA29-Cost_r*G29,MIN(W29:AB29))-Floor_q,AB29-End_q)</f>
        <v>100</v>
      </c>
      <c r="AD29" s="14" t="n">
        <f aca="false">Val_pt*Share/(1-Share*B29)*(SUM(H29:M29)+Credit_M*M29)-Cost_r</f>
        <v>405</v>
      </c>
      <c r="AE29" s="14" t="n">
        <f aca="false">Val_pt*Share/(1-Share*C29)*(SUM(I29:M29)+Credit_M*M29)-Cost_r</f>
        <v>790</v>
      </c>
      <c r="AF29" s="14" t="n">
        <f aca="false">Val_pt*Share/(1-Share*D29)*(SUM(J29:M29)+Credit_M*M29)-Cost_r</f>
        <v>720</v>
      </c>
      <c r="AG29" s="14" t="n">
        <f aca="false">Val_pt*Share/(1-Share*E29)*(SUM(K29:M29)+Credit_M*M29)-Cost_r</f>
        <v>282.5</v>
      </c>
      <c r="AH29" s="14" t="n">
        <f aca="false">Val_pt*Share/(1-Share*F29)*(SUM(L29:M29)+Credit_M*M29)-Cost_r</f>
        <v>265</v>
      </c>
      <c r="AI29" s="14" t="n">
        <f aca="false">Val_pt*Share/(1-Share*G29)*(SUM(M29:M29)+Credit_M*M29)-Cost_r</f>
        <v>247.5</v>
      </c>
      <c r="AJ29" s="17" t="n">
        <f aca="false">IF(AND(IF(B29=1,AD29&gt;0,AD29&lt;0),IF(C29=1,AE29&gt;0,AE29&lt;0),IF(D29=1,AF29&gt;0,AF29&lt;0),IF(E29=1,AG29&gt;0,AG29&lt;0),IF(F29=1,AH29&gt;0,AH29&lt;0),IF(G29=1,AI29&gt;0,AI29&lt;0)),1,0)</f>
        <v>0</v>
      </c>
    </row>
    <row r="30" customFormat="false" ht="15" hidden="false" customHeight="false" outlineLevel="0" collapsed="false">
      <c r="A30" s="17" t="n">
        <v>25</v>
      </c>
      <c r="B30" s="17" t="n">
        <f aca="false">MOD(INT($A30/32),2)</f>
        <v>0</v>
      </c>
      <c r="C30" s="17" t="n">
        <f aca="false">MOD(INT($A30/16),2)</f>
        <v>1</v>
      </c>
      <c r="D30" s="17" t="n">
        <f aca="false">MOD(INT($A30/8),2)</f>
        <v>1</v>
      </c>
      <c r="E30" s="17" t="n">
        <f aca="false">MOD(INT($A30/4),2)</f>
        <v>0</v>
      </c>
      <c r="F30" s="17" t="n">
        <f aca="false">MOD(INT($A30/2),2)</f>
        <v>0</v>
      </c>
      <c r="G30" s="17" t="n">
        <f aca="false">MOD(INT($A30/1),2)</f>
        <v>1</v>
      </c>
      <c r="H30" s="12" t="n">
        <f aca="false">Gap0*(1-Share*B30)</f>
        <v>14</v>
      </c>
      <c r="I30" s="12" t="n">
        <f aca="false">H30*(1-Share*C30)</f>
        <v>7</v>
      </c>
      <c r="J30" s="12" t="n">
        <f aca="false">I30*(1-Share*D30)</f>
        <v>3.5</v>
      </c>
      <c r="K30" s="12" t="n">
        <f aca="false">J30*(1-Share*E30)</f>
        <v>3.5</v>
      </c>
      <c r="L30" s="12" t="n">
        <f aca="false">K30*(1-Share*F30)</f>
        <v>3.5</v>
      </c>
      <c r="M30" s="12" t="n">
        <f aca="false">L30*(1-Share*G30)</f>
        <v>1.75</v>
      </c>
      <c r="N30" s="14" t="n">
        <f aca="false">Smax-Val_pt*H30</f>
        <v>0</v>
      </c>
      <c r="O30" s="14" t="n">
        <f aca="false">Smax-Val_pt*I30</f>
        <v>70</v>
      </c>
      <c r="P30" s="14" t="n">
        <f aca="false">Smax-Val_pt*J30</f>
        <v>105</v>
      </c>
      <c r="Q30" s="14" t="n">
        <f aca="false">Smax-Val_pt*K30</f>
        <v>105</v>
      </c>
      <c r="R30" s="14" t="n">
        <f aca="false">Smax-Val_pt*L30</f>
        <v>105</v>
      </c>
      <c r="S30" s="14" t="n">
        <f aca="false">Smax-Val_pt*M30</f>
        <v>122.5</v>
      </c>
      <c r="T30" s="14" t="n">
        <f aca="false">SUM(B30:G30)</f>
        <v>3</v>
      </c>
      <c r="U30" s="15" t="n">
        <f aca="false">Cash0+SUM(N30:S30)-Cost_r*T30+Credit_M*S30</f>
        <v>2747.5</v>
      </c>
      <c r="V30" s="15" t="n">
        <f aca="false">Cash0+SUM(N30:S30)-Cost_r*T30+Credit_10*S30</f>
        <v>1522.5</v>
      </c>
      <c r="W30" s="11" t="n">
        <f aca="false">Liq0+N30-Cost_r*B30</f>
        <v>620</v>
      </c>
      <c r="X30" s="11" t="n">
        <f aca="false">W30+O30-Cost_r*C30</f>
        <v>570</v>
      </c>
      <c r="Y30" s="11" t="n">
        <f aca="false">X30+P30-Cost_r*D30</f>
        <v>555</v>
      </c>
      <c r="Z30" s="11" t="n">
        <f aca="false">Y30+Q30-Cost_r*E30</f>
        <v>660</v>
      </c>
      <c r="AA30" s="11" t="n">
        <f aca="false">Z30+R30-Cost_r*F30</f>
        <v>765</v>
      </c>
      <c r="AB30" s="11" t="n">
        <f aca="false">AA30+S30-Cost_r*G30</f>
        <v>767.5</v>
      </c>
      <c r="AC30" s="11" t="n">
        <f aca="false">MIN(MIN(Liq0-Cost_r*B30,W30-Cost_r*C30,X30-Cost_r*D30,Y30-Cost_r*E30,Z30-Cost_r*F30,AA30-Cost_r*G30,MIN(W30:AB30))-Floor_q,AB30-End_q)</f>
        <v>100</v>
      </c>
      <c r="AD30" s="14" t="n">
        <f aca="false">Val_pt*Share/(1-Share*B30)*(SUM(H30:M30)+Credit_M*M30)-Cost_r</f>
        <v>221.25</v>
      </c>
      <c r="AE30" s="14" t="n">
        <f aca="false">Val_pt*Share/(1-Share*C30)*(SUM(I30:M30)+Credit_M*M30)-Cost_r</f>
        <v>422.5</v>
      </c>
      <c r="AF30" s="14" t="n">
        <f aca="false">Val_pt*Share/(1-Share*D30)*(SUM(J30:M30)+Credit_M*M30)-Cost_r</f>
        <v>352.5</v>
      </c>
      <c r="AG30" s="14" t="n">
        <f aca="false">Val_pt*Share/(1-Share*E30)*(SUM(K30:M30)+Credit_M*M30)-Cost_r</f>
        <v>98.75</v>
      </c>
      <c r="AH30" s="14" t="n">
        <f aca="false">Val_pt*Share/(1-Share*F30)*(SUM(L30:M30)+Credit_M*M30)-Cost_r</f>
        <v>81.25</v>
      </c>
      <c r="AI30" s="14" t="n">
        <f aca="false">Val_pt*Share/(1-Share*G30)*(SUM(M30:M30)+Credit_M*M30)-Cost_r</f>
        <v>247.5</v>
      </c>
      <c r="AJ30" s="17" t="n">
        <f aca="false">IF(AND(IF(B30=1,AD30&gt;0,AD30&lt;0),IF(C30=1,AE30&gt;0,AE30&lt;0),IF(D30=1,AF30&gt;0,AF30&lt;0),IF(E30=1,AG30&gt;0,AG30&lt;0),IF(F30=1,AH30&gt;0,AH30&lt;0),IF(G30=1,AI30&gt;0,AI30&lt;0)),1,0)</f>
        <v>0</v>
      </c>
    </row>
    <row r="31" customFormat="false" ht="15" hidden="false" customHeight="false" outlineLevel="0" collapsed="false">
      <c r="A31" s="17" t="n">
        <v>26</v>
      </c>
      <c r="B31" s="17" t="n">
        <f aca="false">MOD(INT($A31/32),2)</f>
        <v>0</v>
      </c>
      <c r="C31" s="17" t="n">
        <f aca="false">MOD(INT($A31/16),2)</f>
        <v>1</v>
      </c>
      <c r="D31" s="17" t="n">
        <f aca="false">MOD(INT($A31/8),2)</f>
        <v>1</v>
      </c>
      <c r="E31" s="17" t="n">
        <f aca="false">MOD(INT($A31/4),2)</f>
        <v>0</v>
      </c>
      <c r="F31" s="17" t="n">
        <f aca="false">MOD(INT($A31/2),2)</f>
        <v>1</v>
      </c>
      <c r="G31" s="17" t="n">
        <f aca="false">MOD(INT($A31/1),2)</f>
        <v>0</v>
      </c>
      <c r="H31" s="12" t="n">
        <f aca="false">Gap0*(1-Share*B31)</f>
        <v>14</v>
      </c>
      <c r="I31" s="12" t="n">
        <f aca="false">H31*(1-Share*C31)</f>
        <v>7</v>
      </c>
      <c r="J31" s="12" t="n">
        <f aca="false">I31*(1-Share*D31)</f>
        <v>3.5</v>
      </c>
      <c r="K31" s="12" t="n">
        <f aca="false">J31*(1-Share*E31)</f>
        <v>3.5</v>
      </c>
      <c r="L31" s="12" t="n">
        <f aca="false">K31*(1-Share*F31)</f>
        <v>1.75</v>
      </c>
      <c r="M31" s="12" t="n">
        <f aca="false">L31*(1-Share*G31)</f>
        <v>1.75</v>
      </c>
      <c r="N31" s="14" t="n">
        <f aca="false">Smax-Val_pt*H31</f>
        <v>0</v>
      </c>
      <c r="O31" s="14" t="n">
        <f aca="false">Smax-Val_pt*I31</f>
        <v>70</v>
      </c>
      <c r="P31" s="14" t="n">
        <f aca="false">Smax-Val_pt*J31</f>
        <v>105</v>
      </c>
      <c r="Q31" s="14" t="n">
        <f aca="false">Smax-Val_pt*K31</f>
        <v>105</v>
      </c>
      <c r="R31" s="14" t="n">
        <f aca="false">Smax-Val_pt*L31</f>
        <v>122.5</v>
      </c>
      <c r="S31" s="14" t="n">
        <f aca="false">Smax-Val_pt*M31</f>
        <v>122.5</v>
      </c>
      <c r="T31" s="14" t="n">
        <f aca="false">SUM(B31:G31)</f>
        <v>3</v>
      </c>
      <c r="U31" s="15" t="n">
        <f aca="false">Cash0+SUM(N31:S31)-Cost_r*T31+Credit_M*S31</f>
        <v>2765</v>
      </c>
      <c r="V31" s="15" t="n">
        <f aca="false">Cash0+SUM(N31:S31)-Cost_r*T31+Credit_10*S31</f>
        <v>1540</v>
      </c>
      <c r="W31" s="11" t="n">
        <f aca="false">Liq0+N31-Cost_r*B31</f>
        <v>620</v>
      </c>
      <c r="X31" s="11" t="n">
        <f aca="false">W31+O31-Cost_r*C31</f>
        <v>570</v>
      </c>
      <c r="Y31" s="11" t="n">
        <f aca="false">X31+P31-Cost_r*D31</f>
        <v>555</v>
      </c>
      <c r="Z31" s="11" t="n">
        <f aca="false">Y31+Q31-Cost_r*E31</f>
        <v>660</v>
      </c>
      <c r="AA31" s="11" t="n">
        <f aca="false">Z31+R31-Cost_r*F31</f>
        <v>662.5</v>
      </c>
      <c r="AB31" s="11" t="n">
        <f aca="false">AA31+S31-Cost_r*G31</f>
        <v>785</v>
      </c>
      <c r="AC31" s="11" t="n">
        <f aca="false">MIN(MIN(Liq0-Cost_r*B31,W31-Cost_r*C31,X31-Cost_r*D31,Y31-Cost_r*E31,Z31-Cost_r*F31,AA31-Cost_r*G31,MIN(W31:AB31))-Floor_q,AB31-End_q)</f>
        <v>100</v>
      </c>
      <c r="AD31" s="14" t="n">
        <f aca="false">Val_pt*Share/(1-Share*B31)*(SUM(H31:M31)+Credit_M*M31)-Cost_r</f>
        <v>212.5</v>
      </c>
      <c r="AE31" s="14" t="n">
        <f aca="false">Val_pt*Share/(1-Share*C31)*(SUM(I31:M31)+Credit_M*M31)-Cost_r</f>
        <v>405</v>
      </c>
      <c r="AF31" s="14" t="n">
        <f aca="false">Val_pt*Share/(1-Share*D31)*(SUM(J31:M31)+Credit_M*M31)-Cost_r</f>
        <v>335</v>
      </c>
      <c r="AG31" s="14" t="n">
        <f aca="false">Val_pt*Share/(1-Share*E31)*(SUM(K31:M31)+Credit_M*M31)-Cost_r</f>
        <v>90</v>
      </c>
      <c r="AH31" s="14" t="n">
        <f aca="false">Val_pt*Share/(1-Share*F31)*(SUM(L31:M31)+Credit_M*M31)-Cost_r</f>
        <v>265</v>
      </c>
      <c r="AI31" s="14" t="n">
        <f aca="false">Val_pt*Share/(1-Share*G31)*(SUM(M31:M31)+Credit_M*M31)-Cost_r</f>
        <v>63.75</v>
      </c>
      <c r="AJ31" s="17" t="n">
        <f aca="false">IF(AND(IF(B31=1,AD31&gt;0,AD31&lt;0),IF(C31=1,AE31&gt;0,AE31&lt;0),IF(D31=1,AF31&gt;0,AF31&lt;0),IF(E31=1,AG31&gt;0,AG31&lt;0),IF(F31=1,AH31&gt;0,AH31&lt;0),IF(G31=1,AI31&gt;0,AI31&lt;0)),1,0)</f>
        <v>0</v>
      </c>
    </row>
    <row r="32" customFormat="false" ht="15" hidden="false" customHeight="false" outlineLevel="0" collapsed="false">
      <c r="A32" s="17" t="n">
        <v>27</v>
      </c>
      <c r="B32" s="17" t="n">
        <f aca="false">MOD(INT($A32/32),2)</f>
        <v>0</v>
      </c>
      <c r="C32" s="17" t="n">
        <f aca="false">MOD(INT($A32/16),2)</f>
        <v>1</v>
      </c>
      <c r="D32" s="17" t="n">
        <f aca="false">MOD(INT($A32/8),2)</f>
        <v>1</v>
      </c>
      <c r="E32" s="17" t="n">
        <f aca="false">MOD(INT($A32/4),2)</f>
        <v>0</v>
      </c>
      <c r="F32" s="17" t="n">
        <f aca="false">MOD(INT($A32/2),2)</f>
        <v>1</v>
      </c>
      <c r="G32" s="17" t="n">
        <f aca="false">MOD(INT($A32/1),2)</f>
        <v>1</v>
      </c>
      <c r="H32" s="12" t="n">
        <f aca="false">Gap0*(1-Share*B32)</f>
        <v>14</v>
      </c>
      <c r="I32" s="12" t="n">
        <f aca="false">H32*(1-Share*C32)</f>
        <v>7</v>
      </c>
      <c r="J32" s="12" t="n">
        <f aca="false">I32*(1-Share*D32)</f>
        <v>3.5</v>
      </c>
      <c r="K32" s="12" t="n">
        <f aca="false">J32*(1-Share*E32)</f>
        <v>3.5</v>
      </c>
      <c r="L32" s="12" t="n">
        <f aca="false">K32*(1-Share*F32)</f>
        <v>1.75</v>
      </c>
      <c r="M32" s="12" t="n">
        <f aca="false">L32*(1-Share*G32)</f>
        <v>0.875</v>
      </c>
      <c r="N32" s="14" t="n">
        <f aca="false">Smax-Val_pt*H32</f>
        <v>0</v>
      </c>
      <c r="O32" s="14" t="n">
        <f aca="false">Smax-Val_pt*I32</f>
        <v>70</v>
      </c>
      <c r="P32" s="14" t="n">
        <f aca="false">Smax-Val_pt*J32</f>
        <v>105</v>
      </c>
      <c r="Q32" s="14" t="n">
        <f aca="false">Smax-Val_pt*K32</f>
        <v>105</v>
      </c>
      <c r="R32" s="14" t="n">
        <f aca="false">Smax-Val_pt*L32</f>
        <v>122.5</v>
      </c>
      <c r="S32" s="14" t="n">
        <f aca="false">Smax-Val_pt*M32</f>
        <v>131.25</v>
      </c>
      <c r="T32" s="14" t="n">
        <f aca="false">SUM(B32:G32)</f>
        <v>4</v>
      </c>
      <c r="U32" s="15" t="n">
        <f aca="false">Cash0+SUM(N32:S32)-Cost_r*T32+Credit_M*S32</f>
        <v>2828.75</v>
      </c>
      <c r="V32" s="15" t="n">
        <f aca="false">Cash0+SUM(N32:S32)-Cost_r*T32+Credit_10*S32</f>
        <v>1516.25</v>
      </c>
      <c r="W32" s="11" t="n">
        <f aca="false">Liq0+N32-Cost_r*B32</f>
        <v>620</v>
      </c>
      <c r="X32" s="11" t="n">
        <f aca="false">W32+O32-Cost_r*C32</f>
        <v>570</v>
      </c>
      <c r="Y32" s="11" t="n">
        <f aca="false">X32+P32-Cost_r*D32</f>
        <v>555</v>
      </c>
      <c r="Z32" s="11" t="n">
        <f aca="false">Y32+Q32-Cost_r*E32</f>
        <v>660</v>
      </c>
      <c r="AA32" s="11" t="n">
        <f aca="false">Z32+R32-Cost_r*F32</f>
        <v>662.5</v>
      </c>
      <c r="AB32" s="11" t="n">
        <f aca="false">AA32+S32-Cost_r*G32</f>
        <v>673.75</v>
      </c>
      <c r="AC32" s="11" t="n">
        <f aca="false">MIN(MIN(Liq0-Cost_r*B32,W32-Cost_r*C32,X32-Cost_r*D32,Y32-Cost_r*E32,Z32-Cost_r*F32,AA32-Cost_r*G32,MIN(W32:AB32))-Floor_q,AB32-End_q)</f>
        <v>100</v>
      </c>
      <c r="AD32" s="14" t="n">
        <f aca="false">Val_pt*Share/(1-Share*B32)*(SUM(H32:M32)+Credit_M*M32)-Cost_r</f>
        <v>120.625</v>
      </c>
      <c r="AE32" s="14" t="n">
        <f aca="false">Val_pt*Share/(1-Share*C32)*(SUM(I32:M32)+Credit_M*M32)-Cost_r</f>
        <v>221.25</v>
      </c>
      <c r="AF32" s="14" t="n">
        <f aca="false">Val_pt*Share/(1-Share*D32)*(SUM(J32:M32)+Credit_M*M32)-Cost_r</f>
        <v>151.25</v>
      </c>
      <c r="AG32" s="14" t="n">
        <f aca="false">Val_pt*Share/(1-Share*E32)*(SUM(K32:M32)+Credit_M*M32)-Cost_r</f>
        <v>-1.875</v>
      </c>
      <c r="AH32" s="14" t="n">
        <f aca="false">Val_pt*Share/(1-Share*F32)*(SUM(L32:M32)+Credit_M*M32)-Cost_r</f>
        <v>81.25</v>
      </c>
      <c r="AI32" s="14" t="n">
        <f aca="false">Val_pt*Share/(1-Share*G32)*(SUM(M32:M32)+Credit_M*M32)-Cost_r</f>
        <v>63.75</v>
      </c>
      <c r="AJ32" s="17" t="n">
        <f aca="false">IF(AND(IF(B32=1,AD32&gt;0,AD32&lt;0),IF(C32=1,AE32&gt;0,AE32&lt;0),IF(D32=1,AF32&gt;0,AF32&lt;0),IF(E32=1,AG32&gt;0,AG32&lt;0),IF(F32=1,AH32&gt;0,AH32&lt;0),IF(G32=1,AI32&gt;0,AI32&lt;0)),1,0)</f>
        <v>0</v>
      </c>
    </row>
    <row r="33" customFormat="false" ht="15" hidden="false" customHeight="false" outlineLevel="0" collapsed="false">
      <c r="A33" s="17" t="n">
        <v>28</v>
      </c>
      <c r="B33" s="17" t="n">
        <f aca="false">MOD(INT($A33/32),2)</f>
        <v>0</v>
      </c>
      <c r="C33" s="17" t="n">
        <f aca="false">MOD(INT($A33/16),2)</f>
        <v>1</v>
      </c>
      <c r="D33" s="17" t="n">
        <f aca="false">MOD(INT($A33/8),2)</f>
        <v>1</v>
      </c>
      <c r="E33" s="17" t="n">
        <f aca="false">MOD(INT($A33/4),2)</f>
        <v>1</v>
      </c>
      <c r="F33" s="17" t="n">
        <f aca="false">MOD(INT($A33/2),2)</f>
        <v>0</v>
      </c>
      <c r="G33" s="17" t="n">
        <f aca="false">MOD(INT($A33/1),2)</f>
        <v>0</v>
      </c>
      <c r="H33" s="12" t="n">
        <f aca="false">Gap0*(1-Share*B33)</f>
        <v>14</v>
      </c>
      <c r="I33" s="12" t="n">
        <f aca="false">H33*(1-Share*C33)</f>
        <v>7</v>
      </c>
      <c r="J33" s="12" t="n">
        <f aca="false">I33*(1-Share*D33)</f>
        <v>3.5</v>
      </c>
      <c r="K33" s="12" t="n">
        <f aca="false">J33*(1-Share*E33)</f>
        <v>1.75</v>
      </c>
      <c r="L33" s="12" t="n">
        <f aca="false">K33*(1-Share*F33)</f>
        <v>1.75</v>
      </c>
      <c r="M33" s="12" t="n">
        <f aca="false">L33*(1-Share*G33)</f>
        <v>1.75</v>
      </c>
      <c r="N33" s="14" t="n">
        <f aca="false">Smax-Val_pt*H33</f>
        <v>0</v>
      </c>
      <c r="O33" s="14" t="n">
        <f aca="false">Smax-Val_pt*I33</f>
        <v>70</v>
      </c>
      <c r="P33" s="14" t="n">
        <f aca="false">Smax-Val_pt*J33</f>
        <v>105</v>
      </c>
      <c r="Q33" s="14" t="n">
        <f aca="false">Smax-Val_pt*K33</f>
        <v>122.5</v>
      </c>
      <c r="R33" s="14" t="n">
        <f aca="false">Smax-Val_pt*L33</f>
        <v>122.5</v>
      </c>
      <c r="S33" s="14" t="n">
        <f aca="false">Smax-Val_pt*M33</f>
        <v>122.5</v>
      </c>
      <c r="T33" s="14" t="n">
        <f aca="false">SUM(B33:G33)</f>
        <v>3</v>
      </c>
      <c r="U33" s="15" t="n">
        <f aca="false">Cash0+SUM(N33:S33)-Cost_r*T33+Credit_M*S33</f>
        <v>2782.5</v>
      </c>
      <c r="V33" s="15" t="n">
        <f aca="false">Cash0+SUM(N33:S33)-Cost_r*T33+Credit_10*S33</f>
        <v>1557.5</v>
      </c>
      <c r="W33" s="11" t="n">
        <f aca="false">Liq0+N33-Cost_r*B33</f>
        <v>620</v>
      </c>
      <c r="X33" s="11" t="n">
        <f aca="false">W33+O33-Cost_r*C33</f>
        <v>570</v>
      </c>
      <c r="Y33" s="11" t="n">
        <f aca="false">X33+P33-Cost_r*D33</f>
        <v>555</v>
      </c>
      <c r="Z33" s="11" t="n">
        <f aca="false">Y33+Q33-Cost_r*E33</f>
        <v>557.5</v>
      </c>
      <c r="AA33" s="11" t="n">
        <f aca="false">Z33+R33-Cost_r*F33</f>
        <v>680</v>
      </c>
      <c r="AB33" s="11" t="n">
        <f aca="false">AA33+S33-Cost_r*G33</f>
        <v>802.5</v>
      </c>
      <c r="AC33" s="11" t="n">
        <f aca="false">MIN(MIN(Liq0-Cost_r*B33,W33-Cost_r*C33,X33-Cost_r*D33,Y33-Cost_r*E33,Z33-Cost_r*F33,AA33-Cost_r*G33,MIN(W33:AB33))-Floor_q,AB33-End_q)</f>
        <v>85</v>
      </c>
      <c r="AD33" s="14" t="n">
        <f aca="false">Val_pt*Share/(1-Share*B33)*(SUM(H33:M33)+Credit_M*M33)-Cost_r</f>
        <v>203.75</v>
      </c>
      <c r="AE33" s="14" t="n">
        <f aca="false">Val_pt*Share/(1-Share*C33)*(SUM(I33:M33)+Credit_M*M33)-Cost_r</f>
        <v>387.5</v>
      </c>
      <c r="AF33" s="14" t="n">
        <f aca="false">Val_pt*Share/(1-Share*D33)*(SUM(J33:M33)+Credit_M*M33)-Cost_r</f>
        <v>317.5</v>
      </c>
      <c r="AG33" s="14" t="n">
        <f aca="false">Val_pt*Share/(1-Share*E33)*(SUM(K33:M33)+Credit_M*M33)-Cost_r</f>
        <v>282.5</v>
      </c>
      <c r="AH33" s="14" t="n">
        <f aca="false">Val_pt*Share/(1-Share*F33)*(SUM(L33:M33)+Credit_M*M33)-Cost_r</f>
        <v>72.5</v>
      </c>
      <c r="AI33" s="14" t="n">
        <f aca="false">Val_pt*Share/(1-Share*G33)*(SUM(M33:M33)+Credit_M*M33)-Cost_r</f>
        <v>63.75</v>
      </c>
      <c r="AJ33" s="17" t="n">
        <f aca="false">IF(AND(IF(B33=1,AD33&gt;0,AD33&lt;0),IF(C33=1,AE33&gt;0,AE33&lt;0),IF(D33=1,AF33&gt;0,AF33&lt;0),IF(E33=1,AG33&gt;0,AG33&lt;0),IF(F33=1,AH33&gt;0,AH33&lt;0),IF(G33=1,AI33&gt;0,AI33&lt;0)),1,0)</f>
        <v>0</v>
      </c>
    </row>
    <row r="34" customFormat="false" ht="15" hidden="false" customHeight="false" outlineLevel="0" collapsed="false">
      <c r="A34" s="17" t="n">
        <v>29</v>
      </c>
      <c r="B34" s="17" t="n">
        <f aca="false">MOD(INT($A34/32),2)</f>
        <v>0</v>
      </c>
      <c r="C34" s="17" t="n">
        <f aca="false">MOD(INT($A34/16),2)</f>
        <v>1</v>
      </c>
      <c r="D34" s="17" t="n">
        <f aca="false">MOD(INT($A34/8),2)</f>
        <v>1</v>
      </c>
      <c r="E34" s="17" t="n">
        <f aca="false">MOD(INT($A34/4),2)</f>
        <v>1</v>
      </c>
      <c r="F34" s="17" t="n">
        <f aca="false">MOD(INT($A34/2),2)</f>
        <v>0</v>
      </c>
      <c r="G34" s="17" t="n">
        <f aca="false">MOD(INT($A34/1),2)</f>
        <v>1</v>
      </c>
      <c r="H34" s="12" t="n">
        <f aca="false">Gap0*(1-Share*B34)</f>
        <v>14</v>
      </c>
      <c r="I34" s="12" t="n">
        <f aca="false">H34*(1-Share*C34)</f>
        <v>7</v>
      </c>
      <c r="J34" s="12" t="n">
        <f aca="false">I34*(1-Share*D34)</f>
        <v>3.5</v>
      </c>
      <c r="K34" s="12" t="n">
        <f aca="false">J34*(1-Share*E34)</f>
        <v>1.75</v>
      </c>
      <c r="L34" s="12" t="n">
        <f aca="false">K34*(1-Share*F34)</f>
        <v>1.75</v>
      </c>
      <c r="M34" s="12" t="n">
        <f aca="false">L34*(1-Share*G34)</f>
        <v>0.875</v>
      </c>
      <c r="N34" s="14" t="n">
        <f aca="false">Smax-Val_pt*H34</f>
        <v>0</v>
      </c>
      <c r="O34" s="14" t="n">
        <f aca="false">Smax-Val_pt*I34</f>
        <v>70</v>
      </c>
      <c r="P34" s="14" t="n">
        <f aca="false">Smax-Val_pt*J34</f>
        <v>105</v>
      </c>
      <c r="Q34" s="14" t="n">
        <f aca="false">Smax-Val_pt*K34</f>
        <v>122.5</v>
      </c>
      <c r="R34" s="14" t="n">
        <f aca="false">Smax-Val_pt*L34</f>
        <v>122.5</v>
      </c>
      <c r="S34" s="14" t="n">
        <f aca="false">Smax-Val_pt*M34</f>
        <v>131.25</v>
      </c>
      <c r="T34" s="14" t="n">
        <f aca="false">SUM(B34:G34)</f>
        <v>4</v>
      </c>
      <c r="U34" s="15" t="n">
        <f aca="false">Cash0+SUM(N34:S34)-Cost_r*T34+Credit_M*S34</f>
        <v>2846.25</v>
      </c>
      <c r="V34" s="15" t="n">
        <f aca="false">Cash0+SUM(N34:S34)-Cost_r*T34+Credit_10*S34</f>
        <v>1533.75</v>
      </c>
      <c r="W34" s="11" t="n">
        <f aca="false">Liq0+N34-Cost_r*B34</f>
        <v>620</v>
      </c>
      <c r="X34" s="11" t="n">
        <f aca="false">W34+O34-Cost_r*C34</f>
        <v>570</v>
      </c>
      <c r="Y34" s="11" t="n">
        <f aca="false">X34+P34-Cost_r*D34</f>
        <v>555</v>
      </c>
      <c r="Z34" s="11" t="n">
        <f aca="false">Y34+Q34-Cost_r*E34</f>
        <v>557.5</v>
      </c>
      <c r="AA34" s="11" t="n">
        <f aca="false">Z34+R34-Cost_r*F34</f>
        <v>680</v>
      </c>
      <c r="AB34" s="11" t="n">
        <f aca="false">AA34+S34-Cost_r*G34</f>
        <v>691.25</v>
      </c>
      <c r="AC34" s="11" t="n">
        <f aca="false">MIN(MIN(Liq0-Cost_r*B34,W34-Cost_r*C34,X34-Cost_r*D34,Y34-Cost_r*E34,Z34-Cost_r*F34,AA34-Cost_r*G34,MIN(W34:AB34))-Floor_q,AB34-End_q)</f>
        <v>85</v>
      </c>
      <c r="AD34" s="14" t="n">
        <f aca="false">Val_pt*Share/(1-Share*B34)*(SUM(H34:M34)+Credit_M*M34)-Cost_r</f>
        <v>111.875</v>
      </c>
      <c r="AE34" s="14" t="n">
        <f aca="false">Val_pt*Share/(1-Share*C34)*(SUM(I34:M34)+Credit_M*M34)-Cost_r</f>
        <v>203.75</v>
      </c>
      <c r="AF34" s="14" t="n">
        <f aca="false">Val_pt*Share/(1-Share*D34)*(SUM(J34:M34)+Credit_M*M34)-Cost_r</f>
        <v>133.75</v>
      </c>
      <c r="AG34" s="14" t="n">
        <f aca="false">Val_pt*Share/(1-Share*E34)*(SUM(K34:M34)+Credit_M*M34)-Cost_r</f>
        <v>98.75</v>
      </c>
      <c r="AH34" s="14" t="n">
        <f aca="false">Val_pt*Share/(1-Share*F34)*(SUM(L34:M34)+Credit_M*M34)-Cost_r</f>
        <v>-19.375</v>
      </c>
      <c r="AI34" s="14" t="n">
        <f aca="false">Val_pt*Share/(1-Share*G34)*(SUM(M34:M34)+Credit_M*M34)-Cost_r</f>
        <v>63.75</v>
      </c>
      <c r="AJ34" s="17" t="n">
        <f aca="false">IF(AND(IF(B34=1,AD34&gt;0,AD34&lt;0),IF(C34=1,AE34&gt;0,AE34&lt;0),IF(D34=1,AF34&gt;0,AF34&lt;0),IF(E34=1,AG34&gt;0,AG34&lt;0),IF(F34=1,AH34&gt;0,AH34&lt;0),IF(G34=1,AI34&gt;0,AI34&lt;0)),1,0)</f>
        <v>0</v>
      </c>
    </row>
    <row r="35" customFormat="false" ht="15" hidden="false" customHeight="false" outlineLevel="0" collapsed="false">
      <c r="A35" s="17" t="n">
        <v>30</v>
      </c>
      <c r="B35" s="17" t="n">
        <f aca="false">MOD(INT($A35/32),2)</f>
        <v>0</v>
      </c>
      <c r="C35" s="17" t="n">
        <f aca="false">MOD(INT($A35/16),2)</f>
        <v>1</v>
      </c>
      <c r="D35" s="17" t="n">
        <f aca="false">MOD(INT($A35/8),2)</f>
        <v>1</v>
      </c>
      <c r="E35" s="17" t="n">
        <f aca="false">MOD(INT($A35/4),2)</f>
        <v>1</v>
      </c>
      <c r="F35" s="17" t="n">
        <f aca="false">MOD(INT($A35/2),2)</f>
        <v>1</v>
      </c>
      <c r="G35" s="17" t="n">
        <f aca="false">MOD(INT($A35/1),2)</f>
        <v>0</v>
      </c>
      <c r="H35" s="12" t="n">
        <f aca="false">Gap0*(1-Share*B35)</f>
        <v>14</v>
      </c>
      <c r="I35" s="12" t="n">
        <f aca="false">H35*(1-Share*C35)</f>
        <v>7</v>
      </c>
      <c r="J35" s="12" t="n">
        <f aca="false">I35*(1-Share*D35)</f>
        <v>3.5</v>
      </c>
      <c r="K35" s="12" t="n">
        <f aca="false">J35*(1-Share*E35)</f>
        <v>1.75</v>
      </c>
      <c r="L35" s="12" t="n">
        <f aca="false">K35*(1-Share*F35)</f>
        <v>0.875</v>
      </c>
      <c r="M35" s="12" t="n">
        <f aca="false">L35*(1-Share*G35)</f>
        <v>0.875</v>
      </c>
      <c r="N35" s="14" t="n">
        <f aca="false">Smax-Val_pt*H35</f>
        <v>0</v>
      </c>
      <c r="O35" s="14" t="n">
        <f aca="false">Smax-Val_pt*I35</f>
        <v>70</v>
      </c>
      <c r="P35" s="14" t="n">
        <f aca="false">Smax-Val_pt*J35</f>
        <v>105</v>
      </c>
      <c r="Q35" s="14" t="n">
        <f aca="false">Smax-Val_pt*K35</f>
        <v>122.5</v>
      </c>
      <c r="R35" s="14" t="n">
        <f aca="false">Smax-Val_pt*L35</f>
        <v>131.25</v>
      </c>
      <c r="S35" s="14" t="n">
        <f aca="false">Smax-Val_pt*M35</f>
        <v>131.25</v>
      </c>
      <c r="T35" s="14" t="n">
        <f aca="false">SUM(B35:G35)</f>
        <v>4</v>
      </c>
      <c r="U35" s="15" t="n">
        <f aca="false">Cash0+SUM(N35:S35)-Cost_r*T35+Credit_M*S35</f>
        <v>2855</v>
      </c>
      <c r="V35" s="15" t="n">
        <f aca="false">Cash0+SUM(N35:S35)-Cost_r*T35+Credit_10*S35</f>
        <v>1542.5</v>
      </c>
      <c r="W35" s="11" t="n">
        <f aca="false">Liq0+N35-Cost_r*B35</f>
        <v>620</v>
      </c>
      <c r="X35" s="11" t="n">
        <f aca="false">W35+O35-Cost_r*C35</f>
        <v>570</v>
      </c>
      <c r="Y35" s="11" t="n">
        <f aca="false">X35+P35-Cost_r*D35</f>
        <v>555</v>
      </c>
      <c r="Z35" s="11" t="n">
        <f aca="false">Y35+Q35-Cost_r*E35</f>
        <v>557.5</v>
      </c>
      <c r="AA35" s="11" t="n">
        <f aca="false">Z35+R35-Cost_r*F35</f>
        <v>568.75</v>
      </c>
      <c r="AB35" s="11" t="n">
        <f aca="false">AA35+S35-Cost_r*G35</f>
        <v>700</v>
      </c>
      <c r="AC35" s="11" t="n">
        <f aca="false">MIN(MIN(Liq0-Cost_r*B35,W35-Cost_r*C35,X35-Cost_r*D35,Y35-Cost_r*E35,Z35-Cost_r*F35,AA35-Cost_r*G35,MIN(W35:AB35))-Floor_q,AB35-End_q)</f>
        <v>85</v>
      </c>
      <c r="AD35" s="14" t="n">
        <f aca="false">Val_pt*Share/(1-Share*B35)*(SUM(H35:M35)+Credit_M*M35)-Cost_r</f>
        <v>107.5</v>
      </c>
      <c r="AE35" s="14" t="n">
        <f aca="false">Val_pt*Share/(1-Share*C35)*(SUM(I35:M35)+Credit_M*M35)-Cost_r</f>
        <v>195</v>
      </c>
      <c r="AF35" s="14" t="n">
        <f aca="false">Val_pt*Share/(1-Share*D35)*(SUM(J35:M35)+Credit_M*M35)-Cost_r</f>
        <v>125</v>
      </c>
      <c r="AG35" s="14" t="n">
        <f aca="false">Val_pt*Share/(1-Share*E35)*(SUM(K35:M35)+Credit_M*M35)-Cost_r</f>
        <v>90</v>
      </c>
      <c r="AH35" s="14" t="n">
        <f aca="false">Val_pt*Share/(1-Share*F35)*(SUM(L35:M35)+Credit_M*M35)-Cost_r</f>
        <v>72.5</v>
      </c>
      <c r="AI35" s="14" t="n">
        <f aca="false">Val_pt*Share/(1-Share*G35)*(SUM(M35:M35)+Credit_M*M35)-Cost_r</f>
        <v>-28.125</v>
      </c>
      <c r="AJ35" s="17" t="n">
        <f aca="false">IF(AND(IF(B35=1,AD35&gt;0,AD35&lt;0),IF(C35=1,AE35&gt;0,AE35&lt;0),IF(D35=1,AF35&gt;0,AF35&lt;0),IF(E35=1,AG35&gt;0,AG35&lt;0),IF(F35=1,AH35&gt;0,AH35&lt;0),IF(G35=1,AI35&gt;0,AI35&lt;0)),1,0)</f>
        <v>0</v>
      </c>
    </row>
    <row r="36" customFormat="false" ht="15" hidden="false" customHeight="false" outlineLevel="0" collapsed="false">
      <c r="A36" s="17" t="n">
        <v>31</v>
      </c>
      <c r="B36" s="17" t="n">
        <f aca="false">MOD(INT($A36/32),2)</f>
        <v>0</v>
      </c>
      <c r="C36" s="17" t="n">
        <f aca="false">MOD(INT($A36/16),2)</f>
        <v>1</v>
      </c>
      <c r="D36" s="17" t="n">
        <f aca="false">MOD(INT($A36/8),2)</f>
        <v>1</v>
      </c>
      <c r="E36" s="17" t="n">
        <f aca="false">MOD(INT($A36/4),2)</f>
        <v>1</v>
      </c>
      <c r="F36" s="17" t="n">
        <f aca="false">MOD(INT($A36/2),2)</f>
        <v>1</v>
      </c>
      <c r="G36" s="17" t="n">
        <f aca="false">MOD(INT($A36/1),2)</f>
        <v>1</v>
      </c>
      <c r="H36" s="12" t="n">
        <f aca="false">Gap0*(1-Share*B36)</f>
        <v>14</v>
      </c>
      <c r="I36" s="12" t="n">
        <f aca="false">H36*(1-Share*C36)</f>
        <v>7</v>
      </c>
      <c r="J36" s="12" t="n">
        <f aca="false">I36*(1-Share*D36)</f>
        <v>3.5</v>
      </c>
      <c r="K36" s="12" t="n">
        <f aca="false">J36*(1-Share*E36)</f>
        <v>1.75</v>
      </c>
      <c r="L36" s="12" t="n">
        <f aca="false">K36*(1-Share*F36)</f>
        <v>0.875</v>
      </c>
      <c r="M36" s="12" t="n">
        <f aca="false">L36*(1-Share*G36)</f>
        <v>0.4375</v>
      </c>
      <c r="N36" s="14" t="n">
        <f aca="false">Smax-Val_pt*H36</f>
        <v>0</v>
      </c>
      <c r="O36" s="14" t="n">
        <f aca="false">Smax-Val_pt*I36</f>
        <v>70</v>
      </c>
      <c r="P36" s="14" t="n">
        <f aca="false">Smax-Val_pt*J36</f>
        <v>105</v>
      </c>
      <c r="Q36" s="14" t="n">
        <f aca="false">Smax-Val_pt*K36</f>
        <v>122.5</v>
      </c>
      <c r="R36" s="14" t="n">
        <f aca="false">Smax-Val_pt*L36</f>
        <v>131.25</v>
      </c>
      <c r="S36" s="14" t="n">
        <f aca="false">Smax-Val_pt*M36</f>
        <v>135.625</v>
      </c>
      <c r="T36" s="14" t="n">
        <f aca="false">SUM(B36:G36)</f>
        <v>5</v>
      </c>
      <c r="U36" s="15" t="n">
        <f aca="false">Cash0+SUM(N36:S36)-Cost_r*T36+Credit_M*S36</f>
        <v>2826.875</v>
      </c>
      <c r="V36" s="15" t="n">
        <f aca="false">Cash0+SUM(N36:S36)-Cost_r*T36+Credit_10*S36</f>
        <v>1470.625</v>
      </c>
      <c r="W36" s="11" t="n">
        <f aca="false">Liq0+N36-Cost_r*B36</f>
        <v>620</v>
      </c>
      <c r="X36" s="11" t="n">
        <f aca="false">W36+O36-Cost_r*C36</f>
        <v>570</v>
      </c>
      <c r="Y36" s="11" t="n">
        <f aca="false">X36+P36-Cost_r*D36</f>
        <v>555</v>
      </c>
      <c r="Z36" s="11" t="n">
        <f aca="false">Y36+Q36-Cost_r*E36</f>
        <v>557.5</v>
      </c>
      <c r="AA36" s="11" t="n">
        <f aca="false">Z36+R36-Cost_r*F36</f>
        <v>568.75</v>
      </c>
      <c r="AB36" s="11" t="n">
        <f aca="false">AA36+S36-Cost_r*G36</f>
        <v>584.375</v>
      </c>
      <c r="AC36" s="11" t="n">
        <f aca="false">MIN(MIN(Liq0-Cost_r*B36,W36-Cost_r*C36,X36-Cost_r*D36,Y36-Cost_r*E36,Z36-Cost_r*F36,AA36-Cost_r*G36,MIN(W36:AB36))-Floor_q,AB36-End_q)</f>
        <v>85</v>
      </c>
      <c r="AD36" s="14" t="n">
        <f aca="false">Val_pt*Share/(1-Share*B36)*(SUM(H36:M36)+Credit_M*M36)-Cost_r</f>
        <v>61.5625</v>
      </c>
      <c r="AE36" s="14" t="n">
        <f aca="false">Val_pt*Share/(1-Share*C36)*(SUM(I36:M36)+Credit_M*M36)-Cost_r</f>
        <v>103.125</v>
      </c>
      <c r="AF36" s="14" t="n">
        <f aca="false">Val_pt*Share/(1-Share*D36)*(SUM(J36:M36)+Credit_M*M36)-Cost_r</f>
        <v>33.125</v>
      </c>
      <c r="AG36" s="14" t="n">
        <f aca="false">Val_pt*Share/(1-Share*E36)*(SUM(K36:M36)+Credit_M*M36)-Cost_r</f>
        <v>-1.875</v>
      </c>
      <c r="AH36" s="14" t="n">
        <f aca="false">Val_pt*Share/(1-Share*F36)*(SUM(L36:M36)+Credit_M*M36)-Cost_r</f>
        <v>-19.375</v>
      </c>
      <c r="AI36" s="14" t="n">
        <f aca="false">Val_pt*Share/(1-Share*G36)*(SUM(M36:M36)+Credit_M*M36)-Cost_r</f>
        <v>-28.125</v>
      </c>
      <c r="AJ36" s="17" t="n">
        <f aca="false">IF(AND(IF(B36=1,AD36&gt;0,AD36&lt;0),IF(C36=1,AE36&gt;0,AE36&lt;0),IF(D36=1,AF36&gt;0,AF36&lt;0),IF(E36=1,AG36&gt;0,AG36&lt;0),IF(F36=1,AH36&gt;0,AH36&lt;0),IF(G36=1,AI36&gt;0,AI36&lt;0)),1,0)</f>
        <v>0</v>
      </c>
    </row>
    <row r="37" customFormat="false" ht="15" hidden="false" customHeight="false" outlineLevel="0" collapsed="false">
      <c r="A37" s="17" t="n">
        <v>32</v>
      </c>
      <c r="B37" s="17" t="n">
        <f aca="false">MOD(INT($A37/32),2)</f>
        <v>1</v>
      </c>
      <c r="C37" s="17" t="n">
        <f aca="false">MOD(INT($A37/16),2)</f>
        <v>0</v>
      </c>
      <c r="D37" s="17" t="n">
        <f aca="false">MOD(INT($A37/8),2)</f>
        <v>0</v>
      </c>
      <c r="E37" s="17" t="n">
        <f aca="false">MOD(INT($A37/4),2)</f>
        <v>0</v>
      </c>
      <c r="F37" s="17" t="n">
        <f aca="false">MOD(INT($A37/2),2)</f>
        <v>0</v>
      </c>
      <c r="G37" s="17" t="n">
        <f aca="false">MOD(INT($A37/1),2)</f>
        <v>0</v>
      </c>
      <c r="H37" s="12" t="n">
        <f aca="false">Gap0*(1-Share*B37)</f>
        <v>7</v>
      </c>
      <c r="I37" s="12" t="n">
        <f aca="false">H37*(1-Share*C37)</f>
        <v>7</v>
      </c>
      <c r="J37" s="12" t="n">
        <f aca="false">I37*(1-Share*D37)</f>
        <v>7</v>
      </c>
      <c r="K37" s="12" t="n">
        <f aca="false">J37*(1-Share*E37)</f>
        <v>7</v>
      </c>
      <c r="L37" s="12" t="n">
        <f aca="false">K37*(1-Share*F37)</f>
        <v>7</v>
      </c>
      <c r="M37" s="12" t="n">
        <f aca="false">L37*(1-Share*G37)</f>
        <v>7</v>
      </c>
      <c r="N37" s="14" t="n">
        <f aca="false">Smax-Val_pt*H37</f>
        <v>70</v>
      </c>
      <c r="O37" s="14" t="n">
        <f aca="false">Smax-Val_pt*I37</f>
        <v>70</v>
      </c>
      <c r="P37" s="14" t="n">
        <f aca="false">Smax-Val_pt*J37</f>
        <v>70</v>
      </c>
      <c r="Q37" s="14" t="n">
        <f aca="false">Smax-Val_pt*K37</f>
        <v>70</v>
      </c>
      <c r="R37" s="14" t="n">
        <f aca="false">Smax-Val_pt*L37</f>
        <v>70</v>
      </c>
      <c r="S37" s="14" t="n">
        <f aca="false">Smax-Val_pt*M37</f>
        <v>70</v>
      </c>
      <c r="T37" s="14" t="n">
        <f aca="false">SUM(B37:G37)</f>
        <v>1</v>
      </c>
      <c r="U37" s="15" t="n">
        <f aca="false">Cash0+SUM(N37:S37)-Cost_r*T37+Credit_M*S37</f>
        <v>1850</v>
      </c>
      <c r="V37" s="15" t="n">
        <f aca="false">Cash0+SUM(N37:S37)-Cost_r*T37+Credit_10*S37</f>
        <v>1150</v>
      </c>
      <c r="W37" s="11" t="n">
        <f aca="false">Liq0+N37-Cost_r*B37</f>
        <v>570</v>
      </c>
      <c r="X37" s="11" t="n">
        <f aca="false">W37+O37-Cost_r*C37</f>
        <v>640</v>
      </c>
      <c r="Y37" s="11" t="n">
        <f aca="false">X37+P37-Cost_r*D37</f>
        <v>710</v>
      </c>
      <c r="Z37" s="11" t="n">
        <f aca="false">Y37+Q37-Cost_r*E37</f>
        <v>780</v>
      </c>
      <c r="AA37" s="11" t="n">
        <f aca="false">Z37+R37-Cost_r*F37</f>
        <v>850</v>
      </c>
      <c r="AB37" s="11" t="n">
        <f aca="false">AA37+S37-Cost_r*G37</f>
        <v>920</v>
      </c>
      <c r="AC37" s="11" t="n">
        <f aca="false">MIN(MIN(Liq0-Cost_r*B37,W37-Cost_r*C37,X37-Cost_r*D37,Y37-Cost_r*E37,Z37-Cost_r*F37,AA37-Cost_r*G37,MIN(W37:AB37))-Floor_q,AB37-End_q)</f>
        <v>150</v>
      </c>
      <c r="AD37" s="14" t="n">
        <f aca="false">Val_pt*Share/(1-Share*B37)*(SUM(H37:M37)+Credit_M*M37)-Cost_r</f>
        <v>1700</v>
      </c>
      <c r="AE37" s="14" t="n">
        <f aca="false">Val_pt*Share/(1-Share*C37)*(SUM(I37:M37)+Credit_M*M37)-Cost_r</f>
        <v>755</v>
      </c>
      <c r="AF37" s="14" t="n">
        <f aca="false">Val_pt*Share/(1-Share*D37)*(SUM(J37:M37)+Credit_M*M37)-Cost_r</f>
        <v>720</v>
      </c>
      <c r="AG37" s="14" t="n">
        <f aca="false">Val_pt*Share/(1-Share*E37)*(SUM(K37:M37)+Credit_M*M37)-Cost_r</f>
        <v>685</v>
      </c>
      <c r="AH37" s="14" t="n">
        <f aca="false">Val_pt*Share/(1-Share*F37)*(SUM(L37:M37)+Credit_M*M37)-Cost_r</f>
        <v>650</v>
      </c>
      <c r="AI37" s="14" t="n">
        <f aca="false">Val_pt*Share/(1-Share*G37)*(SUM(M37:M37)+Credit_M*M37)-Cost_r</f>
        <v>615</v>
      </c>
      <c r="AJ37" s="17" t="n">
        <f aca="false">IF(AND(IF(B37=1,AD37&gt;0,AD37&lt;0),IF(C37=1,AE37&gt;0,AE37&lt;0),IF(D37=1,AF37&gt;0,AF37&lt;0),IF(E37=1,AG37&gt;0,AG37&lt;0),IF(F37=1,AH37&gt;0,AH37&lt;0),IF(G37=1,AI37&gt;0,AI37&lt;0)),1,0)</f>
        <v>0</v>
      </c>
    </row>
    <row r="38" customFormat="false" ht="15" hidden="false" customHeight="false" outlineLevel="0" collapsed="false">
      <c r="A38" s="17" t="n">
        <v>33</v>
      </c>
      <c r="B38" s="17" t="n">
        <f aca="false">MOD(INT($A38/32),2)</f>
        <v>1</v>
      </c>
      <c r="C38" s="17" t="n">
        <f aca="false">MOD(INT($A38/16),2)</f>
        <v>0</v>
      </c>
      <c r="D38" s="17" t="n">
        <f aca="false">MOD(INT($A38/8),2)</f>
        <v>0</v>
      </c>
      <c r="E38" s="17" t="n">
        <f aca="false">MOD(INT($A38/4),2)</f>
        <v>0</v>
      </c>
      <c r="F38" s="17" t="n">
        <f aca="false">MOD(INT($A38/2),2)</f>
        <v>0</v>
      </c>
      <c r="G38" s="17" t="n">
        <f aca="false">MOD(INT($A38/1),2)</f>
        <v>1</v>
      </c>
      <c r="H38" s="12" t="n">
        <f aca="false">Gap0*(1-Share*B38)</f>
        <v>7</v>
      </c>
      <c r="I38" s="12" t="n">
        <f aca="false">H38*(1-Share*C38)</f>
        <v>7</v>
      </c>
      <c r="J38" s="12" t="n">
        <f aca="false">I38*(1-Share*D38)</f>
        <v>7</v>
      </c>
      <c r="K38" s="12" t="n">
        <f aca="false">J38*(1-Share*E38)</f>
        <v>7</v>
      </c>
      <c r="L38" s="12" t="n">
        <f aca="false">K38*(1-Share*F38)</f>
        <v>7</v>
      </c>
      <c r="M38" s="12" t="n">
        <f aca="false">L38*(1-Share*G38)</f>
        <v>3.5</v>
      </c>
      <c r="N38" s="14" t="n">
        <f aca="false">Smax-Val_pt*H38</f>
        <v>70</v>
      </c>
      <c r="O38" s="14" t="n">
        <f aca="false">Smax-Val_pt*I38</f>
        <v>70</v>
      </c>
      <c r="P38" s="14" t="n">
        <f aca="false">Smax-Val_pt*J38</f>
        <v>70</v>
      </c>
      <c r="Q38" s="14" t="n">
        <f aca="false">Smax-Val_pt*K38</f>
        <v>70</v>
      </c>
      <c r="R38" s="14" t="n">
        <f aca="false">Smax-Val_pt*L38</f>
        <v>70</v>
      </c>
      <c r="S38" s="14" t="n">
        <f aca="false">Smax-Val_pt*M38</f>
        <v>105</v>
      </c>
      <c r="T38" s="14" t="n">
        <f aca="false">SUM(B38:G38)</f>
        <v>2</v>
      </c>
      <c r="U38" s="15" t="n">
        <f aca="false">Cash0+SUM(N38:S38)-Cost_r*T38+Credit_M*S38</f>
        <v>2465</v>
      </c>
      <c r="V38" s="15" t="n">
        <f aca="false">Cash0+SUM(N38:S38)-Cost_r*T38+Credit_10*S38</f>
        <v>1415</v>
      </c>
      <c r="W38" s="11" t="n">
        <f aca="false">Liq0+N38-Cost_r*B38</f>
        <v>570</v>
      </c>
      <c r="X38" s="11" t="n">
        <f aca="false">W38+O38-Cost_r*C38</f>
        <v>640</v>
      </c>
      <c r="Y38" s="11" t="n">
        <f aca="false">X38+P38-Cost_r*D38</f>
        <v>710</v>
      </c>
      <c r="Z38" s="11" t="n">
        <f aca="false">Y38+Q38-Cost_r*E38</f>
        <v>780</v>
      </c>
      <c r="AA38" s="11" t="n">
        <f aca="false">Z38+R38-Cost_r*F38</f>
        <v>850</v>
      </c>
      <c r="AB38" s="11" t="n">
        <f aca="false">AA38+S38-Cost_r*G38</f>
        <v>835</v>
      </c>
      <c r="AC38" s="11" t="n">
        <f aca="false">MIN(MIN(Liq0-Cost_r*B38,W38-Cost_r*C38,X38-Cost_r*D38,Y38-Cost_r*E38,Z38-Cost_r*F38,AA38-Cost_r*G38,MIN(W38:AB38))-Floor_q,AB38-End_q)</f>
        <v>150</v>
      </c>
      <c r="AD38" s="14" t="n">
        <f aca="false">Val_pt*Share/(1-Share*B38)*(SUM(H38:M38)+Credit_M*M38)-Cost_r</f>
        <v>965</v>
      </c>
      <c r="AE38" s="14" t="n">
        <f aca="false">Val_pt*Share/(1-Share*C38)*(SUM(I38:M38)+Credit_M*M38)-Cost_r</f>
        <v>387.5</v>
      </c>
      <c r="AF38" s="14" t="n">
        <f aca="false">Val_pt*Share/(1-Share*D38)*(SUM(J38:M38)+Credit_M*M38)-Cost_r</f>
        <v>352.5</v>
      </c>
      <c r="AG38" s="14" t="n">
        <f aca="false">Val_pt*Share/(1-Share*E38)*(SUM(K38:M38)+Credit_M*M38)-Cost_r</f>
        <v>317.5</v>
      </c>
      <c r="AH38" s="14" t="n">
        <f aca="false">Val_pt*Share/(1-Share*F38)*(SUM(L38:M38)+Credit_M*M38)-Cost_r</f>
        <v>282.5</v>
      </c>
      <c r="AI38" s="14" t="n">
        <f aca="false">Val_pt*Share/(1-Share*G38)*(SUM(M38:M38)+Credit_M*M38)-Cost_r</f>
        <v>615</v>
      </c>
      <c r="AJ38" s="17" t="n">
        <f aca="false">IF(AND(IF(B38=1,AD38&gt;0,AD38&lt;0),IF(C38=1,AE38&gt;0,AE38&lt;0),IF(D38=1,AF38&gt;0,AF38&lt;0),IF(E38=1,AG38&gt;0,AG38&lt;0),IF(F38=1,AH38&gt;0,AH38&lt;0),IF(G38=1,AI38&gt;0,AI38&lt;0)),1,0)</f>
        <v>0</v>
      </c>
    </row>
    <row r="39" customFormat="false" ht="15" hidden="false" customHeight="false" outlineLevel="0" collapsed="false">
      <c r="A39" s="17" t="n">
        <v>34</v>
      </c>
      <c r="B39" s="17" t="n">
        <f aca="false">MOD(INT($A39/32),2)</f>
        <v>1</v>
      </c>
      <c r="C39" s="17" t="n">
        <f aca="false">MOD(INT($A39/16),2)</f>
        <v>0</v>
      </c>
      <c r="D39" s="17" t="n">
        <f aca="false">MOD(INT($A39/8),2)</f>
        <v>0</v>
      </c>
      <c r="E39" s="17" t="n">
        <f aca="false">MOD(INT($A39/4),2)</f>
        <v>0</v>
      </c>
      <c r="F39" s="17" t="n">
        <f aca="false">MOD(INT($A39/2),2)</f>
        <v>1</v>
      </c>
      <c r="G39" s="17" t="n">
        <f aca="false">MOD(INT($A39/1),2)</f>
        <v>0</v>
      </c>
      <c r="H39" s="12" t="n">
        <f aca="false">Gap0*(1-Share*B39)</f>
        <v>7</v>
      </c>
      <c r="I39" s="12" t="n">
        <f aca="false">H39*(1-Share*C39)</f>
        <v>7</v>
      </c>
      <c r="J39" s="12" t="n">
        <f aca="false">I39*(1-Share*D39)</f>
        <v>7</v>
      </c>
      <c r="K39" s="12" t="n">
        <f aca="false">J39*(1-Share*E39)</f>
        <v>7</v>
      </c>
      <c r="L39" s="12" t="n">
        <f aca="false">K39*(1-Share*F39)</f>
        <v>3.5</v>
      </c>
      <c r="M39" s="12" t="n">
        <f aca="false">L39*(1-Share*G39)</f>
        <v>3.5</v>
      </c>
      <c r="N39" s="14" t="n">
        <f aca="false">Smax-Val_pt*H39</f>
        <v>70</v>
      </c>
      <c r="O39" s="14" t="n">
        <f aca="false">Smax-Val_pt*I39</f>
        <v>70</v>
      </c>
      <c r="P39" s="14" t="n">
        <f aca="false">Smax-Val_pt*J39</f>
        <v>70</v>
      </c>
      <c r="Q39" s="14" t="n">
        <f aca="false">Smax-Val_pt*K39</f>
        <v>70</v>
      </c>
      <c r="R39" s="14" t="n">
        <f aca="false">Smax-Val_pt*L39</f>
        <v>105</v>
      </c>
      <c r="S39" s="14" t="n">
        <f aca="false">Smax-Val_pt*M39</f>
        <v>105</v>
      </c>
      <c r="T39" s="14" t="n">
        <f aca="false">SUM(B39:G39)</f>
        <v>2</v>
      </c>
      <c r="U39" s="15" t="n">
        <f aca="false">Cash0+SUM(N39:S39)-Cost_r*T39+Credit_M*S39</f>
        <v>2500</v>
      </c>
      <c r="V39" s="15" t="n">
        <f aca="false">Cash0+SUM(N39:S39)-Cost_r*T39+Credit_10*S39</f>
        <v>1450</v>
      </c>
      <c r="W39" s="11" t="n">
        <f aca="false">Liq0+N39-Cost_r*B39</f>
        <v>570</v>
      </c>
      <c r="X39" s="11" t="n">
        <f aca="false">W39+O39-Cost_r*C39</f>
        <v>640</v>
      </c>
      <c r="Y39" s="11" t="n">
        <f aca="false">X39+P39-Cost_r*D39</f>
        <v>710</v>
      </c>
      <c r="Z39" s="11" t="n">
        <f aca="false">Y39+Q39-Cost_r*E39</f>
        <v>780</v>
      </c>
      <c r="AA39" s="11" t="n">
        <f aca="false">Z39+R39-Cost_r*F39</f>
        <v>765</v>
      </c>
      <c r="AB39" s="11" t="n">
        <f aca="false">AA39+S39-Cost_r*G39</f>
        <v>870</v>
      </c>
      <c r="AC39" s="11" t="n">
        <f aca="false">MIN(MIN(Liq0-Cost_r*B39,W39-Cost_r*C39,X39-Cost_r*D39,Y39-Cost_r*E39,Z39-Cost_r*F39,AA39-Cost_r*G39,MIN(W39:AB39))-Floor_q,AB39-End_q)</f>
        <v>150</v>
      </c>
      <c r="AD39" s="14" t="n">
        <f aca="false">Val_pt*Share/(1-Share*B39)*(SUM(H39:M39)+Credit_M*M39)-Cost_r</f>
        <v>930</v>
      </c>
      <c r="AE39" s="14" t="n">
        <f aca="false">Val_pt*Share/(1-Share*C39)*(SUM(I39:M39)+Credit_M*M39)-Cost_r</f>
        <v>370</v>
      </c>
      <c r="AF39" s="14" t="n">
        <f aca="false">Val_pt*Share/(1-Share*D39)*(SUM(J39:M39)+Credit_M*M39)-Cost_r</f>
        <v>335</v>
      </c>
      <c r="AG39" s="14" t="n">
        <f aca="false">Val_pt*Share/(1-Share*E39)*(SUM(K39:M39)+Credit_M*M39)-Cost_r</f>
        <v>300</v>
      </c>
      <c r="AH39" s="14" t="n">
        <f aca="false">Val_pt*Share/(1-Share*F39)*(SUM(L39:M39)+Credit_M*M39)-Cost_r</f>
        <v>650</v>
      </c>
      <c r="AI39" s="14" t="n">
        <f aca="false">Val_pt*Share/(1-Share*G39)*(SUM(M39:M39)+Credit_M*M39)-Cost_r</f>
        <v>247.5</v>
      </c>
      <c r="AJ39" s="17" t="n">
        <f aca="false">IF(AND(IF(B39=1,AD39&gt;0,AD39&lt;0),IF(C39=1,AE39&gt;0,AE39&lt;0),IF(D39=1,AF39&gt;0,AF39&lt;0),IF(E39=1,AG39&gt;0,AG39&lt;0),IF(F39=1,AH39&gt;0,AH39&lt;0),IF(G39=1,AI39&gt;0,AI39&lt;0)),1,0)</f>
        <v>0</v>
      </c>
    </row>
    <row r="40" customFormat="false" ht="15" hidden="false" customHeight="false" outlineLevel="0" collapsed="false">
      <c r="A40" s="17" t="n">
        <v>35</v>
      </c>
      <c r="B40" s="17" t="n">
        <f aca="false">MOD(INT($A40/32),2)</f>
        <v>1</v>
      </c>
      <c r="C40" s="17" t="n">
        <f aca="false">MOD(INT($A40/16),2)</f>
        <v>0</v>
      </c>
      <c r="D40" s="17" t="n">
        <f aca="false">MOD(INT($A40/8),2)</f>
        <v>0</v>
      </c>
      <c r="E40" s="17" t="n">
        <f aca="false">MOD(INT($A40/4),2)</f>
        <v>0</v>
      </c>
      <c r="F40" s="17" t="n">
        <f aca="false">MOD(INT($A40/2),2)</f>
        <v>1</v>
      </c>
      <c r="G40" s="17" t="n">
        <f aca="false">MOD(INT($A40/1),2)</f>
        <v>1</v>
      </c>
      <c r="H40" s="12" t="n">
        <f aca="false">Gap0*(1-Share*B40)</f>
        <v>7</v>
      </c>
      <c r="I40" s="12" t="n">
        <f aca="false">H40*(1-Share*C40)</f>
        <v>7</v>
      </c>
      <c r="J40" s="12" t="n">
        <f aca="false">I40*(1-Share*D40)</f>
        <v>7</v>
      </c>
      <c r="K40" s="12" t="n">
        <f aca="false">J40*(1-Share*E40)</f>
        <v>7</v>
      </c>
      <c r="L40" s="12" t="n">
        <f aca="false">K40*(1-Share*F40)</f>
        <v>3.5</v>
      </c>
      <c r="M40" s="12" t="n">
        <f aca="false">L40*(1-Share*G40)</f>
        <v>1.75</v>
      </c>
      <c r="N40" s="14" t="n">
        <f aca="false">Smax-Val_pt*H40</f>
        <v>70</v>
      </c>
      <c r="O40" s="14" t="n">
        <f aca="false">Smax-Val_pt*I40</f>
        <v>70</v>
      </c>
      <c r="P40" s="14" t="n">
        <f aca="false">Smax-Val_pt*J40</f>
        <v>70</v>
      </c>
      <c r="Q40" s="14" t="n">
        <f aca="false">Smax-Val_pt*K40</f>
        <v>70</v>
      </c>
      <c r="R40" s="14" t="n">
        <f aca="false">Smax-Val_pt*L40</f>
        <v>105</v>
      </c>
      <c r="S40" s="14" t="n">
        <f aca="false">Smax-Val_pt*M40</f>
        <v>122.5</v>
      </c>
      <c r="T40" s="14" t="n">
        <f aca="false">SUM(B40:G40)</f>
        <v>3</v>
      </c>
      <c r="U40" s="15" t="n">
        <f aca="false">Cash0+SUM(N40:S40)-Cost_r*T40+Credit_M*S40</f>
        <v>2747.5</v>
      </c>
      <c r="V40" s="15" t="n">
        <f aca="false">Cash0+SUM(N40:S40)-Cost_r*T40+Credit_10*S40</f>
        <v>1522.5</v>
      </c>
      <c r="W40" s="11" t="n">
        <f aca="false">Liq0+N40-Cost_r*B40</f>
        <v>570</v>
      </c>
      <c r="X40" s="11" t="n">
        <f aca="false">W40+O40-Cost_r*C40</f>
        <v>640</v>
      </c>
      <c r="Y40" s="11" t="n">
        <f aca="false">X40+P40-Cost_r*D40</f>
        <v>710</v>
      </c>
      <c r="Z40" s="11" t="n">
        <f aca="false">Y40+Q40-Cost_r*E40</f>
        <v>780</v>
      </c>
      <c r="AA40" s="11" t="n">
        <f aca="false">Z40+R40-Cost_r*F40</f>
        <v>765</v>
      </c>
      <c r="AB40" s="11" t="n">
        <f aca="false">AA40+S40-Cost_r*G40</f>
        <v>767.5</v>
      </c>
      <c r="AC40" s="11" t="n">
        <f aca="false">MIN(MIN(Liq0-Cost_r*B40,W40-Cost_r*C40,X40-Cost_r*D40,Y40-Cost_r*E40,Z40-Cost_r*F40,AA40-Cost_r*G40,MIN(W40:AB40))-Floor_q,AB40-End_q)</f>
        <v>150</v>
      </c>
      <c r="AD40" s="14" t="n">
        <f aca="false">Val_pt*Share/(1-Share*B40)*(SUM(H40:M40)+Credit_M*M40)-Cost_r</f>
        <v>562.5</v>
      </c>
      <c r="AE40" s="14" t="n">
        <f aca="false">Val_pt*Share/(1-Share*C40)*(SUM(I40:M40)+Credit_M*M40)-Cost_r</f>
        <v>186.25</v>
      </c>
      <c r="AF40" s="14" t="n">
        <f aca="false">Val_pt*Share/(1-Share*D40)*(SUM(J40:M40)+Credit_M*M40)-Cost_r</f>
        <v>151.25</v>
      </c>
      <c r="AG40" s="14" t="n">
        <f aca="false">Val_pt*Share/(1-Share*E40)*(SUM(K40:M40)+Credit_M*M40)-Cost_r</f>
        <v>116.25</v>
      </c>
      <c r="AH40" s="14" t="n">
        <f aca="false">Val_pt*Share/(1-Share*F40)*(SUM(L40:M40)+Credit_M*M40)-Cost_r</f>
        <v>282.5</v>
      </c>
      <c r="AI40" s="14" t="n">
        <f aca="false">Val_pt*Share/(1-Share*G40)*(SUM(M40:M40)+Credit_M*M40)-Cost_r</f>
        <v>247.5</v>
      </c>
      <c r="AJ40" s="17" t="n">
        <f aca="false">IF(AND(IF(B40=1,AD40&gt;0,AD40&lt;0),IF(C40=1,AE40&gt;0,AE40&lt;0),IF(D40=1,AF40&gt;0,AF40&lt;0),IF(E40=1,AG40&gt;0,AG40&lt;0),IF(F40=1,AH40&gt;0,AH40&lt;0),IF(G40=1,AI40&gt;0,AI40&lt;0)),1,0)</f>
        <v>0</v>
      </c>
    </row>
    <row r="41" customFormat="false" ht="15" hidden="false" customHeight="false" outlineLevel="0" collapsed="false">
      <c r="A41" s="17" t="n">
        <v>36</v>
      </c>
      <c r="B41" s="17" t="n">
        <f aca="false">MOD(INT($A41/32),2)</f>
        <v>1</v>
      </c>
      <c r="C41" s="17" t="n">
        <f aca="false">MOD(INT($A41/16),2)</f>
        <v>0</v>
      </c>
      <c r="D41" s="17" t="n">
        <f aca="false">MOD(INT($A41/8),2)</f>
        <v>0</v>
      </c>
      <c r="E41" s="17" t="n">
        <f aca="false">MOD(INT($A41/4),2)</f>
        <v>1</v>
      </c>
      <c r="F41" s="17" t="n">
        <f aca="false">MOD(INT($A41/2),2)</f>
        <v>0</v>
      </c>
      <c r="G41" s="17" t="n">
        <f aca="false">MOD(INT($A41/1),2)</f>
        <v>0</v>
      </c>
      <c r="H41" s="12" t="n">
        <f aca="false">Gap0*(1-Share*B41)</f>
        <v>7</v>
      </c>
      <c r="I41" s="12" t="n">
        <f aca="false">H41*(1-Share*C41)</f>
        <v>7</v>
      </c>
      <c r="J41" s="12" t="n">
        <f aca="false">I41*(1-Share*D41)</f>
        <v>7</v>
      </c>
      <c r="K41" s="12" t="n">
        <f aca="false">J41*(1-Share*E41)</f>
        <v>3.5</v>
      </c>
      <c r="L41" s="12" t="n">
        <f aca="false">K41*(1-Share*F41)</f>
        <v>3.5</v>
      </c>
      <c r="M41" s="12" t="n">
        <f aca="false">L41*(1-Share*G41)</f>
        <v>3.5</v>
      </c>
      <c r="N41" s="14" t="n">
        <f aca="false">Smax-Val_pt*H41</f>
        <v>70</v>
      </c>
      <c r="O41" s="14" t="n">
        <f aca="false">Smax-Val_pt*I41</f>
        <v>70</v>
      </c>
      <c r="P41" s="14" t="n">
        <f aca="false">Smax-Val_pt*J41</f>
        <v>70</v>
      </c>
      <c r="Q41" s="14" t="n">
        <f aca="false">Smax-Val_pt*K41</f>
        <v>105</v>
      </c>
      <c r="R41" s="14" t="n">
        <f aca="false">Smax-Val_pt*L41</f>
        <v>105</v>
      </c>
      <c r="S41" s="14" t="n">
        <f aca="false">Smax-Val_pt*M41</f>
        <v>105</v>
      </c>
      <c r="T41" s="14" t="n">
        <f aca="false">SUM(B41:G41)</f>
        <v>2</v>
      </c>
      <c r="U41" s="15" t="n">
        <f aca="false">Cash0+SUM(N41:S41)-Cost_r*T41+Credit_M*S41</f>
        <v>2535</v>
      </c>
      <c r="V41" s="15" t="n">
        <f aca="false">Cash0+SUM(N41:S41)-Cost_r*T41+Credit_10*S41</f>
        <v>1485</v>
      </c>
      <c r="W41" s="11" t="n">
        <f aca="false">Liq0+N41-Cost_r*B41</f>
        <v>570</v>
      </c>
      <c r="X41" s="11" t="n">
        <f aca="false">W41+O41-Cost_r*C41</f>
        <v>640</v>
      </c>
      <c r="Y41" s="11" t="n">
        <f aca="false">X41+P41-Cost_r*D41</f>
        <v>710</v>
      </c>
      <c r="Z41" s="11" t="n">
        <f aca="false">Y41+Q41-Cost_r*E41</f>
        <v>695</v>
      </c>
      <c r="AA41" s="11" t="n">
        <f aca="false">Z41+R41-Cost_r*F41</f>
        <v>800</v>
      </c>
      <c r="AB41" s="11" t="n">
        <f aca="false">AA41+S41-Cost_r*G41</f>
        <v>905</v>
      </c>
      <c r="AC41" s="11" t="n">
        <f aca="false">MIN(MIN(Liq0-Cost_r*B41,W41-Cost_r*C41,X41-Cost_r*D41,Y41-Cost_r*E41,Z41-Cost_r*F41,AA41-Cost_r*G41,MIN(W41:AB41))-Floor_q,AB41-End_q)</f>
        <v>150</v>
      </c>
      <c r="AD41" s="14" t="n">
        <f aca="false">Val_pt*Share/(1-Share*B41)*(SUM(H41:M41)+Credit_M*M41)-Cost_r</f>
        <v>895</v>
      </c>
      <c r="AE41" s="14" t="n">
        <f aca="false">Val_pt*Share/(1-Share*C41)*(SUM(I41:M41)+Credit_M*M41)-Cost_r</f>
        <v>352.5</v>
      </c>
      <c r="AF41" s="14" t="n">
        <f aca="false">Val_pt*Share/(1-Share*D41)*(SUM(J41:M41)+Credit_M*M41)-Cost_r</f>
        <v>317.5</v>
      </c>
      <c r="AG41" s="14" t="n">
        <f aca="false">Val_pt*Share/(1-Share*E41)*(SUM(K41:M41)+Credit_M*M41)-Cost_r</f>
        <v>685</v>
      </c>
      <c r="AH41" s="14" t="n">
        <f aca="false">Val_pt*Share/(1-Share*F41)*(SUM(L41:M41)+Credit_M*M41)-Cost_r</f>
        <v>265</v>
      </c>
      <c r="AI41" s="14" t="n">
        <f aca="false">Val_pt*Share/(1-Share*G41)*(SUM(M41:M41)+Credit_M*M41)-Cost_r</f>
        <v>247.5</v>
      </c>
      <c r="AJ41" s="17" t="n">
        <f aca="false">IF(AND(IF(B41=1,AD41&gt;0,AD41&lt;0),IF(C41=1,AE41&gt;0,AE41&lt;0),IF(D41=1,AF41&gt;0,AF41&lt;0),IF(E41=1,AG41&gt;0,AG41&lt;0),IF(F41=1,AH41&gt;0,AH41&lt;0),IF(G41=1,AI41&gt;0,AI41&lt;0)),1,0)</f>
        <v>0</v>
      </c>
    </row>
    <row r="42" customFormat="false" ht="15" hidden="false" customHeight="false" outlineLevel="0" collapsed="false">
      <c r="A42" s="17" t="n">
        <v>37</v>
      </c>
      <c r="B42" s="17" t="n">
        <f aca="false">MOD(INT($A42/32),2)</f>
        <v>1</v>
      </c>
      <c r="C42" s="17" t="n">
        <f aca="false">MOD(INT($A42/16),2)</f>
        <v>0</v>
      </c>
      <c r="D42" s="17" t="n">
        <f aca="false">MOD(INT($A42/8),2)</f>
        <v>0</v>
      </c>
      <c r="E42" s="17" t="n">
        <f aca="false">MOD(INT($A42/4),2)</f>
        <v>1</v>
      </c>
      <c r="F42" s="17" t="n">
        <f aca="false">MOD(INT($A42/2),2)</f>
        <v>0</v>
      </c>
      <c r="G42" s="17" t="n">
        <f aca="false">MOD(INT($A42/1),2)</f>
        <v>1</v>
      </c>
      <c r="H42" s="12" t="n">
        <f aca="false">Gap0*(1-Share*B42)</f>
        <v>7</v>
      </c>
      <c r="I42" s="12" t="n">
        <f aca="false">H42*(1-Share*C42)</f>
        <v>7</v>
      </c>
      <c r="J42" s="12" t="n">
        <f aca="false">I42*(1-Share*D42)</f>
        <v>7</v>
      </c>
      <c r="K42" s="12" t="n">
        <f aca="false">J42*(1-Share*E42)</f>
        <v>3.5</v>
      </c>
      <c r="L42" s="12" t="n">
        <f aca="false">K42*(1-Share*F42)</f>
        <v>3.5</v>
      </c>
      <c r="M42" s="12" t="n">
        <f aca="false">L42*(1-Share*G42)</f>
        <v>1.75</v>
      </c>
      <c r="N42" s="14" t="n">
        <f aca="false">Smax-Val_pt*H42</f>
        <v>70</v>
      </c>
      <c r="O42" s="14" t="n">
        <f aca="false">Smax-Val_pt*I42</f>
        <v>70</v>
      </c>
      <c r="P42" s="14" t="n">
        <f aca="false">Smax-Val_pt*J42</f>
        <v>70</v>
      </c>
      <c r="Q42" s="14" t="n">
        <f aca="false">Smax-Val_pt*K42</f>
        <v>105</v>
      </c>
      <c r="R42" s="14" t="n">
        <f aca="false">Smax-Val_pt*L42</f>
        <v>105</v>
      </c>
      <c r="S42" s="14" t="n">
        <f aca="false">Smax-Val_pt*M42</f>
        <v>122.5</v>
      </c>
      <c r="T42" s="14" t="n">
        <f aca="false">SUM(B42:G42)</f>
        <v>3</v>
      </c>
      <c r="U42" s="15" t="n">
        <f aca="false">Cash0+SUM(N42:S42)-Cost_r*T42+Credit_M*S42</f>
        <v>2782.5</v>
      </c>
      <c r="V42" s="15" t="n">
        <f aca="false">Cash0+SUM(N42:S42)-Cost_r*T42+Credit_10*S42</f>
        <v>1557.5</v>
      </c>
      <c r="W42" s="11" t="n">
        <f aca="false">Liq0+N42-Cost_r*B42</f>
        <v>570</v>
      </c>
      <c r="X42" s="11" t="n">
        <f aca="false">W42+O42-Cost_r*C42</f>
        <v>640</v>
      </c>
      <c r="Y42" s="11" t="n">
        <f aca="false">X42+P42-Cost_r*D42</f>
        <v>710</v>
      </c>
      <c r="Z42" s="11" t="n">
        <f aca="false">Y42+Q42-Cost_r*E42</f>
        <v>695</v>
      </c>
      <c r="AA42" s="11" t="n">
        <f aca="false">Z42+R42-Cost_r*F42</f>
        <v>800</v>
      </c>
      <c r="AB42" s="11" t="n">
        <f aca="false">AA42+S42-Cost_r*G42</f>
        <v>802.5</v>
      </c>
      <c r="AC42" s="11" t="n">
        <f aca="false">MIN(MIN(Liq0-Cost_r*B42,W42-Cost_r*C42,X42-Cost_r*D42,Y42-Cost_r*E42,Z42-Cost_r*F42,AA42-Cost_r*G42,MIN(W42:AB42))-Floor_q,AB42-End_q)</f>
        <v>150</v>
      </c>
      <c r="AD42" s="14" t="n">
        <f aca="false">Val_pt*Share/(1-Share*B42)*(SUM(H42:M42)+Credit_M*M42)-Cost_r</f>
        <v>527.5</v>
      </c>
      <c r="AE42" s="14" t="n">
        <f aca="false">Val_pt*Share/(1-Share*C42)*(SUM(I42:M42)+Credit_M*M42)-Cost_r</f>
        <v>168.75</v>
      </c>
      <c r="AF42" s="14" t="n">
        <f aca="false">Val_pt*Share/(1-Share*D42)*(SUM(J42:M42)+Credit_M*M42)-Cost_r</f>
        <v>133.75</v>
      </c>
      <c r="AG42" s="14" t="n">
        <f aca="false">Val_pt*Share/(1-Share*E42)*(SUM(K42:M42)+Credit_M*M42)-Cost_r</f>
        <v>317.5</v>
      </c>
      <c r="AH42" s="14" t="n">
        <f aca="false">Val_pt*Share/(1-Share*F42)*(SUM(L42:M42)+Credit_M*M42)-Cost_r</f>
        <v>81.25</v>
      </c>
      <c r="AI42" s="14" t="n">
        <f aca="false">Val_pt*Share/(1-Share*G42)*(SUM(M42:M42)+Credit_M*M42)-Cost_r</f>
        <v>247.5</v>
      </c>
      <c r="AJ42" s="17" t="n">
        <f aca="false">IF(AND(IF(B42=1,AD42&gt;0,AD42&lt;0),IF(C42=1,AE42&gt;0,AE42&lt;0),IF(D42=1,AF42&gt;0,AF42&lt;0),IF(E42=1,AG42&gt;0,AG42&lt;0),IF(F42=1,AH42&gt;0,AH42&lt;0),IF(G42=1,AI42&gt;0,AI42&lt;0)),1,0)</f>
        <v>0</v>
      </c>
    </row>
    <row r="43" customFormat="false" ht="15" hidden="false" customHeight="false" outlineLevel="0" collapsed="false">
      <c r="A43" s="17" t="n">
        <v>38</v>
      </c>
      <c r="B43" s="17" t="n">
        <f aca="false">MOD(INT($A43/32),2)</f>
        <v>1</v>
      </c>
      <c r="C43" s="17" t="n">
        <f aca="false">MOD(INT($A43/16),2)</f>
        <v>0</v>
      </c>
      <c r="D43" s="17" t="n">
        <f aca="false">MOD(INT($A43/8),2)</f>
        <v>0</v>
      </c>
      <c r="E43" s="17" t="n">
        <f aca="false">MOD(INT($A43/4),2)</f>
        <v>1</v>
      </c>
      <c r="F43" s="17" t="n">
        <f aca="false">MOD(INT($A43/2),2)</f>
        <v>1</v>
      </c>
      <c r="G43" s="17" t="n">
        <f aca="false">MOD(INT($A43/1),2)</f>
        <v>0</v>
      </c>
      <c r="H43" s="12" t="n">
        <f aca="false">Gap0*(1-Share*B43)</f>
        <v>7</v>
      </c>
      <c r="I43" s="12" t="n">
        <f aca="false">H43*(1-Share*C43)</f>
        <v>7</v>
      </c>
      <c r="J43" s="12" t="n">
        <f aca="false">I43*(1-Share*D43)</f>
        <v>7</v>
      </c>
      <c r="K43" s="12" t="n">
        <f aca="false">J43*(1-Share*E43)</f>
        <v>3.5</v>
      </c>
      <c r="L43" s="12" t="n">
        <f aca="false">K43*(1-Share*F43)</f>
        <v>1.75</v>
      </c>
      <c r="M43" s="12" t="n">
        <f aca="false">L43*(1-Share*G43)</f>
        <v>1.75</v>
      </c>
      <c r="N43" s="14" t="n">
        <f aca="false">Smax-Val_pt*H43</f>
        <v>70</v>
      </c>
      <c r="O43" s="14" t="n">
        <f aca="false">Smax-Val_pt*I43</f>
        <v>70</v>
      </c>
      <c r="P43" s="14" t="n">
        <f aca="false">Smax-Val_pt*J43</f>
        <v>70</v>
      </c>
      <c r="Q43" s="14" t="n">
        <f aca="false">Smax-Val_pt*K43</f>
        <v>105</v>
      </c>
      <c r="R43" s="14" t="n">
        <f aca="false">Smax-Val_pt*L43</f>
        <v>122.5</v>
      </c>
      <c r="S43" s="14" t="n">
        <f aca="false">Smax-Val_pt*M43</f>
        <v>122.5</v>
      </c>
      <c r="T43" s="14" t="n">
        <f aca="false">SUM(B43:G43)</f>
        <v>3</v>
      </c>
      <c r="U43" s="15" t="n">
        <f aca="false">Cash0+SUM(N43:S43)-Cost_r*T43+Credit_M*S43</f>
        <v>2800</v>
      </c>
      <c r="V43" s="15" t="n">
        <f aca="false">Cash0+SUM(N43:S43)-Cost_r*T43+Credit_10*S43</f>
        <v>1575</v>
      </c>
      <c r="W43" s="11" t="n">
        <f aca="false">Liq0+N43-Cost_r*B43</f>
        <v>570</v>
      </c>
      <c r="X43" s="11" t="n">
        <f aca="false">W43+O43-Cost_r*C43</f>
        <v>640</v>
      </c>
      <c r="Y43" s="11" t="n">
        <f aca="false">X43+P43-Cost_r*D43</f>
        <v>710</v>
      </c>
      <c r="Z43" s="11" t="n">
        <f aca="false">Y43+Q43-Cost_r*E43</f>
        <v>695</v>
      </c>
      <c r="AA43" s="11" t="n">
        <f aca="false">Z43+R43-Cost_r*F43</f>
        <v>697.5</v>
      </c>
      <c r="AB43" s="11" t="n">
        <f aca="false">AA43+S43-Cost_r*G43</f>
        <v>820</v>
      </c>
      <c r="AC43" s="11" t="n">
        <f aca="false">MIN(MIN(Liq0-Cost_r*B43,W43-Cost_r*C43,X43-Cost_r*D43,Y43-Cost_r*E43,Z43-Cost_r*F43,AA43-Cost_r*G43,MIN(W43:AB43))-Floor_q,AB43-End_q)</f>
        <v>150</v>
      </c>
      <c r="AD43" s="14" t="n">
        <f aca="false">Val_pt*Share/(1-Share*B43)*(SUM(H43:M43)+Credit_M*M43)-Cost_r</f>
        <v>510</v>
      </c>
      <c r="AE43" s="14" t="n">
        <f aca="false">Val_pt*Share/(1-Share*C43)*(SUM(I43:M43)+Credit_M*M43)-Cost_r</f>
        <v>160</v>
      </c>
      <c r="AF43" s="14" t="n">
        <f aca="false">Val_pt*Share/(1-Share*D43)*(SUM(J43:M43)+Credit_M*M43)-Cost_r</f>
        <v>125</v>
      </c>
      <c r="AG43" s="14" t="n">
        <f aca="false">Val_pt*Share/(1-Share*E43)*(SUM(K43:M43)+Credit_M*M43)-Cost_r</f>
        <v>300</v>
      </c>
      <c r="AH43" s="14" t="n">
        <f aca="false">Val_pt*Share/(1-Share*F43)*(SUM(L43:M43)+Credit_M*M43)-Cost_r</f>
        <v>265</v>
      </c>
      <c r="AI43" s="14" t="n">
        <f aca="false">Val_pt*Share/(1-Share*G43)*(SUM(M43:M43)+Credit_M*M43)-Cost_r</f>
        <v>63.75</v>
      </c>
      <c r="AJ43" s="17" t="n">
        <f aca="false">IF(AND(IF(B43=1,AD43&gt;0,AD43&lt;0),IF(C43=1,AE43&gt;0,AE43&lt;0),IF(D43=1,AF43&gt;0,AF43&lt;0),IF(E43=1,AG43&gt;0,AG43&lt;0),IF(F43=1,AH43&gt;0,AH43&lt;0),IF(G43=1,AI43&gt;0,AI43&lt;0)),1,0)</f>
        <v>0</v>
      </c>
    </row>
    <row r="44" customFormat="false" ht="15" hidden="false" customHeight="false" outlineLevel="0" collapsed="false">
      <c r="A44" s="17" t="n">
        <v>39</v>
      </c>
      <c r="B44" s="17" t="n">
        <f aca="false">MOD(INT($A44/32),2)</f>
        <v>1</v>
      </c>
      <c r="C44" s="17" t="n">
        <f aca="false">MOD(INT($A44/16),2)</f>
        <v>0</v>
      </c>
      <c r="D44" s="17" t="n">
        <f aca="false">MOD(INT($A44/8),2)</f>
        <v>0</v>
      </c>
      <c r="E44" s="17" t="n">
        <f aca="false">MOD(INT($A44/4),2)</f>
        <v>1</v>
      </c>
      <c r="F44" s="17" t="n">
        <f aca="false">MOD(INT($A44/2),2)</f>
        <v>1</v>
      </c>
      <c r="G44" s="17" t="n">
        <f aca="false">MOD(INT($A44/1),2)</f>
        <v>1</v>
      </c>
      <c r="H44" s="12" t="n">
        <f aca="false">Gap0*(1-Share*B44)</f>
        <v>7</v>
      </c>
      <c r="I44" s="12" t="n">
        <f aca="false">H44*(1-Share*C44)</f>
        <v>7</v>
      </c>
      <c r="J44" s="12" t="n">
        <f aca="false">I44*(1-Share*D44)</f>
        <v>7</v>
      </c>
      <c r="K44" s="12" t="n">
        <f aca="false">J44*(1-Share*E44)</f>
        <v>3.5</v>
      </c>
      <c r="L44" s="12" t="n">
        <f aca="false">K44*(1-Share*F44)</f>
        <v>1.75</v>
      </c>
      <c r="M44" s="12" t="n">
        <f aca="false">L44*(1-Share*G44)</f>
        <v>0.875</v>
      </c>
      <c r="N44" s="14" t="n">
        <f aca="false">Smax-Val_pt*H44</f>
        <v>70</v>
      </c>
      <c r="O44" s="14" t="n">
        <f aca="false">Smax-Val_pt*I44</f>
        <v>70</v>
      </c>
      <c r="P44" s="14" t="n">
        <f aca="false">Smax-Val_pt*J44</f>
        <v>70</v>
      </c>
      <c r="Q44" s="14" t="n">
        <f aca="false">Smax-Val_pt*K44</f>
        <v>105</v>
      </c>
      <c r="R44" s="14" t="n">
        <f aca="false">Smax-Val_pt*L44</f>
        <v>122.5</v>
      </c>
      <c r="S44" s="14" t="n">
        <f aca="false">Smax-Val_pt*M44</f>
        <v>131.25</v>
      </c>
      <c r="T44" s="14" t="n">
        <f aca="false">SUM(B44:G44)</f>
        <v>4</v>
      </c>
      <c r="U44" s="15" t="n">
        <f aca="false">Cash0+SUM(N44:S44)-Cost_r*T44+Credit_M*S44</f>
        <v>2863.75</v>
      </c>
      <c r="V44" s="15" t="n">
        <f aca="false">Cash0+SUM(N44:S44)-Cost_r*T44+Credit_10*S44</f>
        <v>1551.25</v>
      </c>
      <c r="W44" s="11" t="n">
        <f aca="false">Liq0+N44-Cost_r*B44</f>
        <v>570</v>
      </c>
      <c r="X44" s="11" t="n">
        <f aca="false">W44+O44-Cost_r*C44</f>
        <v>640</v>
      </c>
      <c r="Y44" s="11" t="n">
        <f aca="false">X44+P44-Cost_r*D44</f>
        <v>710</v>
      </c>
      <c r="Z44" s="11" t="n">
        <f aca="false">Y44+Q44-Cost_r*E44</f>
        <v>695</v>
      </c>
      <c r="AA44" s="11" t="n">
        <f aca="false">Z44+R44-Cost_r*F44</f>
        <v>697.5</v>
      </c>
      <c r="AB44" s="11" t="n">
        <f aca="false">AA44+S44-Cost_r*G44</f>
        <v>708.75</v>
      </c>
      <c r="AC44" s="11" t="n">
        <f aca="false">MIN(MIN(Liq0-Cost_r*B44,W44-Cost_r*C44,X44-Cost_r*D44,Y44-Cost_r*E44,Z44-Cost_r*F44,AA44-Cost_r*G44,MIN(W44:AB44))-Floor_q,AB44-End_q)</f>
        <v>150</v>
      </c>
      <c r="AD44" s="14" t="n">
        <f aca="false">Val_pt*Share/(1-Share*B44)*(SUM(H44:M44)+Credit_M*M44)-Cost_r</f>
        <v>326.25</v>
      </c>
      <c r="AE44" s="14" t="n">
        <f aca="false">Val_pt*Share/(1-Share*C44)*(SUM(I44:M44)+Credit_M*M44)-Cost_r</f>
        <v>68.125</v>
      </c>
      <c r="AF44" s="14" t="n">
        <f aca="false">Val_pt*Share/(1-Share*D44)*(SUM(J44:M44)+Credit_M*M44)-Cost_r</f>
        <v>33.125</v>
      </c>
      <c r="AG44" s="14" t="n">
        <f aca="false">Val_pt*Share/(1-Share*E44)*(SUM(K44:M44)+Credit_M*M44)-Cost_r</f>
        <v>116.25</v>
      </c>
      <c r="AH44" s="14" t="n">
        <f aca="false">Val_pt*Share/(1-Share*F44)*(SUM(L44:M44)+Credit_M*M44)-Cost_r</f>
        <v>81.25</v>
      </c>
      <c r="AI44" s="14" t="n">
        <f aca="false">Val_pt*Share/(1-Share*G44)*(SUM(M44:M44)+Credit_M*M44)-Cost_r</f>
        <v>63.75</v>
      </c>
      <c r="AJ44" s="17" t="n">
        <f aca="false">IF(AND(IF(B44=1,AD44&gt;0,AD44&lt;0),IF(C44=1,AE44&gt;0,AE44&lt;0),IF(D44=1,AF44&gt;0,AF44&lt;0),IF(E44=1,AG44&gt;0,AG44&lt;0),IF(F44=1,AH44&gt;0,AH44&lt;0),IF(G44=1,AI44&gt;0,AI44&lt;0)),1,0)</f>
        <v>0</v>
      </c>
    </row>
    <row r="45" customFormat="false" ht="15" hidden="false" customHeight="false" outlineLevel="0" collapsed="false">
      <c r="A45" s="17" t="n">
        <v>40</v>
      </c>
      <c r="B45" s="17" t="n">
        <f aca="false">MOD(INT($A45/32),2)</f>
        <v>1</v>
      </c>
      <c r="C45" s="17" t="n">
        <f aca="false">MOD(INT($A45/16),2)</f>
        <v>0</v>
      </c>
      <c r="D45" s="17" t="n">
        <f aca="false">MOD(INT($A45/8),2)</f>
        <v>1</v>
      </c>
      <c r="E45" s="17" t="n">
        <f aca="false">MOD(INT($A45/4),2)</f>
        <v>0</v>
      </c>
      <c r="F45" s="17" t="n">
        <f aca="false">MOD(INT($A45/2),2)</f>
        <v>0</v>
      </c>
      <c r="G45" s="17" t="n">
        <f aca="false">MOD(INT($A45/1),2)</f>
        <v>0</v>
      </c>
      <c r="H45" s="12" t="n">
        <f aca="false">Gap0*(1-Share*B45)</f>
        <v>7</v>
      </c>
      <c r="I45" s="12" t="n">
        <f aca="false">H45*(1-Share*C45)</f>
        <v>7</v>
      </c>
      <c r="J45" s="12" t="n">
        <f aca="false">I45*(1-Share*D45)</f>
        <v>3.5</v>
      </c>
      <c r="K45" s="12" t="n">
        <f aca="false">J45*(1-Share*E45)</f>
        <v>3.5</v>
      </c>
      <c r="L45" s="12" t="n">
        <f aca="false">K45*(1-Share*F45)</f>
        <v>3.5</v>
      </c>
      <c r="M45" s="12" t="n">
        <f aca="false">L45*(1-Share*G45)</f>
        <v>3.5</v>
      </c>
      <c r="N45" s="14" t="n">
        <f aca="false">Smax-Val_pt*H45</f>
        <v>70</v>
      </c>
      <c r="O45" s="14" t="n">
        <f aca="false">Smax-Val_pt*I45</f>
        <v>70</v>
      </c>
      <c r="P45" s="14" t="n">
        <f aca="false">Smax-Val_pt*J45</f>
        <v>105</v>
      </c>
      <c r="Q45" s="14" t="n">
        <f aca="false">Smax-Val_pt*K45</f>
        <v>105</v>
      </c>
      <c r="R45" s="14" t="n">
        <f aca="false">Smax-Val_pt*L45</f>
        <v>105</v>
      </c>
      <c r="S45" s="14" t="n">
        <f aca="false">Smax-Val_pt*M45</f>
        <v>105</v>
      </c>
      <c r="T45" s="14" t="n">
        <f aca="false">SUM(B45:G45)</f>
        <v>2</v>
      </c>
      <c r="U45" s="15" t="n">
        <f aca="false">Cash0+SUM(N45:S45)-Cost_r*T45+Credit_M*S45</f>
        <v>2570</v>
      </c>
      <c r="V45" s="15" t="n">
        <f aca="false">Cash0+SUM(N45:S45)-Cost_r*T45+Credit_10*S45</f>
        <v>1520</v>
      </c>
      <c r="W45" s="11" t="n">
        <f aca="false">Liq0+N45-Cost_r*B45</f>
        <v>570</v>
      </c>
      <c r="X45" s="11" t="n">
        <f aca="false">W45+O45-Cost_r*C45</f>
        <v>640</v>
      </c>
      <c r="Y45" s="11" t="n">
        <f aca="false">X45+P45-Cost_r*D45</f>
        <v>625</v>
      </c>
      <c r="Z45" s="11" t="n">
        <f aca="false">Y45+Q45-Cost_r*E45</f>
        <v>730</v>
      </c>
      <c r="AA45" s="11" t="n">
        <f aca="false">Z45+R45-Cost_r*F45</f>
        <v>835</v>
      </c>
      <c r="AB45" s="11" t="n">
        <f aca="false">AA45+S45-Cost_r*G45</f>
        <v>940</v>
      </c>
      <c r="AC45" s="11" t="n">
        <f aca="false">MIN(MIN(Liq0-Cost_r*B45,W45-Cost_r*C45,X45-Cost_r*D45,Y45-Cost_r*E45,Z45-Cost_r*F45,AA45-Cost_r*G45,MIN(W45:AB45))-Floor_q,AB45-End_q)</f>
        <v>150</v>
      </c>
      <c r="AD45" s="14" t="n">
        <f aca="false">Val_pt*Share/(1-Share*B45)*(SUM(H45:M45)+Credit_M*M45)-Cost_r</f>
        <v>860</v>
      </c>
      <c r="AE45" s="14" t="n">
        <f aca="false">Val_pt*Share/(1-Share*C45)*(SUM(I45:M45)+Credit_M*M45)-Cost_r</f>
        <v>335</v>
      </c>
      <c r="AF45" s="14" t="n">
        <f aca="false">Val_pt*Share/(1-Share*D45)*(SUM(J45:M45)+Credit_M*M45)-Cost_r</f>
        <v>720</v>
      </c>
      <c r="AG45" s="14" t="n">
        <f aca="false">Val_pt*Share/(1-Share*E45)*(SUM(K45:M45)+Credit_M*M45)-Cost_r</f>
        <v>282.5</v>
      </c>
      <c r="AH45" s="14" t="n">
        <f aca="false">Val_pt*Share/(1-Share*F45)*(SUM(L45:M45)+Credit_M*M45)-Cost_r</f>
        <v>265</v>
      </c>
      <c r="AI45" s="14" t="n">
        <f aca="false">Val_pt*Share/(1-Share*G45)*(SUM(M45:M45)+Credit_M*M45)-Cost_r</f>
        <v>247.5</v>
      </c>
      <c r="AJ45" s="17" t="n">
        <f aca="false">IF(AND(IF(B45=1,AD45&gt;0,AD45&lt;0),IF(C45=1,AE45&gt;0,AE45&lt;0),IF(D45=1,AF45&gt;0,AF45&lt;0),IF(E45=1,AG45&gt;0,AG45&lt;0),IF(F45=1,AH45&gt;0,AH45&lt;0),IF(G45=1,AI45&gt;0,AI45&lt;0)),1,0)</f>
        <v>0</v>
      </c>
    </row>
    <row r="46" customFormat="false" ht="15" hidden="false" customHeight="false" outlineLevel="0" collapsed="false">
      <c r="A46" s="17" t="n">
        <v>41</v>
      </c>
      <c r="B46" s="17" t="n">
        <f aca="false">MOD(INT($A46/32),2)</f>
        <v>1</v>
      </c>
      <c r="C46" s="17" t="n">
        <f aca="false">MOD(INT($A46/16),2)</f>
        <v>0</v>
      </c>
      <c r="D46" s="17" t="n">
        <f aca="false">MOD(INT($A46/8),2)</f>
        <v>1</v>
      </c>
      <c r="E46" s="17" t="n">
        <f aca="false">MOD(INT($A46/4),2)</f>
        <v>0</v>
      </c>
      <c r="F46" s="17" t="n">
        <f aca="false">MOD(INT($A46/2),2)</f>
        <v>0</v>
      </c>
      <c r="G46" s="17" t="n">
        <f aca="false">MOD(INT($A46/1),2)</f>
        <v>1</v>
      </c>
      <c r="H46" s="12" t="n">
        <f aca="false">Gap0*(1-Share*B46)</f>
        <v>7</v>
      </c>
      <c r="I46" s="12" t="n">
        <f aca="false">H46*(1-Share*C46)</f>
        <v>7</v>
      </c>
      <c r="J46" s="12" t="n">
        <f aca="false">I46*(1-Share*D46)</f>
        <v>3.5</v>
      </c>
      <c r="K46" s="12" t="n">
        <f aca="false">J46*(1-Share*E46)</f>
        <v>3.5</v>
      </c>
      <c r="L46" s="12" t="n">
        <f aca="false">K46*(1-Share*F46)</f>
        <v>3.5</v>
      </c>
      <c r="M46" s="12" t="n">
        <f aca="false">L46*(1-Share*G46)</f>
        <v>1.75</v>
      </c>
      <c r="N46" s="14" t="n">
        <f aca="false">Smax-Val_pt*H46</f>
        <v>70</v>
      </c>
      <c r="O46" s="14" t="n">
        <f aca="false">Smax-Val_pt*I46</f>
        <v>70</v>
      </c>
      <c r="P46" s="14" t="n">
        <f aca="false">Smax-Val_pt*J46</f>
        <v>105</v>
      </c>
      <c r="Q46" s="14" t="n">
        <f aca="false">Smax-Val_pt*K46</f>
        <v>105</v>
      </c>
      <c r="R46" s="14" t="n">
        <f aca="false">Smax-Val_pt*L46</f>
        <v>105</v>
      </c>
      <c r="S46" s="14" t="n">
        <f aca="false">Smax-Val_pt*M46</f>
        <v>122.5</v>
      </c>
      <c r="T46" s="14" t="n">
        <f aca="false">SUM(B46:G46)</f>
        <v>3</v>
      </c>
      <c r="U46" s="15" t="n">
        <f aca="false">Cash0+SUM(N46:S46)-Cost_r*T46+Credit_M*S46</f>
        <v>2817.5</v>
      </c>
      <c r="V46" s="15" t="n">
        <f aca="false">Cash0+SUM(N46:S46)-Cost_r*T46+Credit_10*S46</f>
        <v>1592.5</v>
      </c>
      <c r="W46" s="11" t="n">
        <f aca="false">Liq0+N46-Cost_r*B46</f>
        <v>570</v>
      </c>
      <c r="X46" s="11" t="n">
        <f aca="false">W46+O46-Cost_r*C46</f>
        <v>640</v>
      </c>
      <c r="Y46" s="11" t="n">
        <f aca="false">X46+P46-Cost_r*D46</f>
        <v>625</v>
      </c>
      <c r="Z46" s="11" t="n">
        <f aca="false">Y46+Q46-Cost_r*E46</f>
        <v>730</v>
      </c>
      <c r="AA46" s="11" t="n">
        <f aca="false">Z46+R46-Cost_r*F46</f>
        <v>835</v>
      </c>
      <c r="AB46" s="11" t="n">
        <f aca="false">AA46+S46-Cost_r*G46</f>
        <v>837.5</v>
      </c>
      <c r="AC46" s="11" t="n">
        <f aca="false">MIN(MIN(Liq0-Cost_r*B46,W46-Cost_r*C46,X46-Cost_r*D46,Y46-Cost_r*E46,Z46-Cost_r*F46,AA46-Cost_r*G46,MIN(W46:AB46))-Floor_q,AB46-End_q)</f>
        <v>150</v>
      </c>
      <c r="AD46" s="14" t="n">
        <f aca="false">Val_pt*Share/(1-Share*B46)*(SUM(H46:M46)+Credit_M*M46)-Cost_r</f>
        <v>492.5</v>
      </c>
      <c r="AE46" s="14" t="n">
        <f aca="false">Val_pt*Share/(1-Share*C46)*(SUM(I46:M46)+Credit_M*M46)-Cost_r</f>
        <v>151.25</v>
      </c>
      <c r="AF46" s="14" t="n">
        <f aca="false">Val_pt*Share/(1-Share*D46)*(SUM(J46:M46)+Credit_M*M46)-Cost_r</f>
        <v>352.5</v>
      </c>
      <c r="AG46" s="14" t="n">
        <f aca="false">Val_pt*Share/(1-Share*E46)*(SUM(K46:M46)+Credit_M*M46)-Cost_r</f>
        <v>98.75</v>
      </c>
      <c r="AH46" s="14" t="n">
        <f aca="false">Val_pt*Share/(1-Share*F46)*(SUM(L46:M46)+Credit_M*M46)-Cost_r</f>
        <v>81.25</v>
      </c>
      <c r="AI46" s="14" t="n">
        <f aca="false">Val_pt*Share/(1-Share*G46)*(SUM(M46:M46)+Credit_M*M46)-Cost_r</f>
        <v>247.5</v>
      </c>
      <c r="AJ46" s="17" t="n">
        <f aca="false">IF(AND(IF(B46=1,AD46&gt;0,AD46&lt;0),IF(C46=1,AE46&gt;0,AE46&lt;0),IF(D46=1,AF46&gt;0,AF46&lt;0),IF(E46=1,AG46&gt;0,AG46&lt;0),IF(F46=1,AH46&gt;0,AH46&lt;0),IF(G46=1,AI46&gt;0,AI46&lt;0)),1,0)</f>
        <v>0</v>
      </c>
    </row>
    <row r="47" customFormat="false" ht="15" hidden="false" customHeight="false" outlineLevel="0" collapsed="false">
      <c r="A47" s="17" t="n">
        <v>42</v>
      </c>
      <c r="B47" s="17" t="n">
        <f aca="false">MOD(INT($A47/32),2)</f>
        <v>1</v>
      </c>
      <c r="C47" s="17" t="n">
        <f aca="false">MOD(INT($A47/16),2)</f>
        <v>0</v>
      </c>
      <c r="D47" s="17" t="n">
        <f aca="false">MOD(INT($A47/8),2)</f>
        <v>1</v>
      </c>
      <c r="E47" s="17" t="n">
        <f aca="false">MOD(INT($A47/4),2)</f>
        <v>0</v>
      </c>
      <c r="F47" s="17" t="n">
        <f aca="false">MOD(INT($A47/2),2)</f>
        <v>1</v>
      </c>
      <c r="G47" s="17" t="n">
        <f aca="false">MOD(INT($A47/1),2)</f>
        <v>0</v>
      </c>
      <c r="H47" s="12" t="n">
        <f aca="false">Gap0*(1-Share*B47)</f>
        <v>7</v>
      </c>
      <c r="I47" s="12" t="n">
        <f aca="false">H47*(1-Share*C47)</f>
        <v>7</v>
      </c>
      <c r="J47" s="12" t="n">
        <f aca="false">I47*(1-Share*D47)</f>
        <v>3.5</v>
      </c>
      <c r="K47" s="12" t="n">
        <f aca="false">J47*(1-Share*E47)</f>
        <v>3.5</v>
      </c>
      <c r="L47" s="12" t="n">
        <f aca="false">K47*(1-Share*F47)</f>
        <v>1.75</v>
      </c>
      <c r="M47" s="12" t="n">
        <f aca="false">L47*(1-Share*G47)</f>
        <v>1.75</v>
      </c>
      <c r="N47" s="14" t="n">
        <f aca="false">Smax-Val_pt*H47</f>
        <v>70</v>
      </c>
      <c r="O47" s="14" t="n">
        <f aca="false">Smax-Val_pt*I47</f>
        <v>70</v>
      </c>
      <c r="P47" s="14" t="n">
        <f aca="false">Smax-Val_pt*J47</f>
        <v>105</v>
      </c>
      <c r="Q47" s="14" t="n">
        <f aca="false">Smax-Val_pt*K47</f>
        <v>105</v>
      </c>
      <c r="R47" s="14" t="n">
        <f aca="false">Smax-Val_pt*L47</f>
        <v>122.5</v>
      </c>
      <c r="S47" s="14" t="n">
        <f aca="false">Smax-Val_pt*M47</f>
        <v>122.5</v>
      </c>
      <c r="T47" s="14" t="n">
        <f aca="false">SUM(B47:G47)</f>
        <v>3</v>
      </c>
      <c r="U47" s="15" t="n">
        <f aca="false">Cash0+SUM(N47:S47)-Cost_r*T47+Credit_M*S47</f>
        <v>2835</v>
      </c>
      <c r="V47" s="15" t="n">
        <f aca="false">Cash0+SUM(N47:S47)-Cost_r*T47+Credit_10*S47</f>
        <v>1610</v>
      </c>
      <c r="W47" s="11" t="n">
        <f aca="false">Liq0+N47-Cost_r*B47</f>
        <v>570</v>
      </c>
      <c r="X47" s="11" t="n">
        <f aca="false">W47+O47-Cost_r*C47</f>
        <v>640</v>
      </c>
      <c r="Y47" s="11" t="n">
        <f aca="false">X47+P47-Cost_r*D47</f>
        <v>625</v>
      </c>
      <c r="Z47" s="11" t="n">
        <f aca="false">Y47+Q47-Cost_r*E47</f>
        <v>730</v>
      </c>
      <c r="AA47" s="11" t="n">
        <f aca="false">Z47+R47-Cost_r*F47</f>
        <v>732.5</v>
      </c>
      <c r="AB47" s="11" t="n">
        <f aca="false">AA47+S47-Cost_r*G47</f>
        <v>855</v>
      </c>
      <c r="AC47" s="11" t="n">
        <f aca="false">MIN(MIN(Liq0-Cost_r*B47,W47-Cost_r*C47,X47-Cost_r*D47,Y47-Cost_r*E47,Z47-Cost_r*F47,AA47-Cost_r*G47,MIN(W47:AB47))-Floor_q,AB47-End_q)</f>
        <v>150</v>
      </c>
      <c r="AD47" s="14" t="n">
        <f aca="false">Val_pt*Share/(1-Share*B47)*(SUM(H47:M47)+Credit_M*M47)-Cost_r</f>
        <v>475</v>
      </c>
      <c r="AE47" s="14" t="n">
        <f aca="false">Val_pt*Share/(1-Share*C47)*(SUM(I47:M47)+Credit_M*M47)-Cost_r</f>
        <v>142.5</v>
      </c>
      <c r="AF47" s="14" t="n">
        <f aca="false">Val_pt*Share/(1-Share*D47)*(SUM(J47:M47)+Credit_M*M47)-Cost_r</f>
        <v>335</v>
      </c>
      <c r="AG47" s="14" t="n">
        <f aca="false">Val_pt*Share/(1-Share*E47)*(SUM(K47:M47)+Credit_M*M47)-Cost_r</f>
        <v>90</v>
      </c>
      <c r="AH47" s="14" t="n">
        <f aca="false">Val_pt*Share/(1-Share*F47)*(SUM(L47:M47)+Credit_M*M47)-Cost_r</f>
        <v>265</v>
      </c>
      <c r="AI47" s="14" t="n">
        <f aca="false">Val_pt*Share/(1-Share*G47)*(SUM(M47:M47)+Credit_M*M47)-Cost_r</f>
        <v>63.75</v>
      </c>
      <c r="AJ47" s="17" t="n">
        <f aca="false">IF(AND(IF(B47=1,AD47&gt;0,AD47&lt;0),IF(C47=1,AE47&gt;0,AE47&lt;0),IF(D47=1,AF47&gt;0,AF47&lt;0),IF(E47=1,AG47&gt;0,AG47&lt;0),IF(F47=1,AH47&gt;0,AH47&lt;0),IF(G47=1,AI47&gt;0,AI47&lt;0)),1,0)</f>
        <v>0</v>
      </c>
    </row>
    <row r="48" customFormat="false" ht="15" hidden="false" customHeight="false" outlineLevel="0" collapsed="false">
      <c r="A48" s="17" t="n">
        <v>43</v>
      </c>
      <c r="B48" s="17" t="n">
        <f aca="false">MOD(INT($A48/32),2)</f>
        <v>1</v>
      </c>
      <c r="C48" s="17" t="n">
        <f aca="false">MOD(INT($A48/16),2)</f>
        <v>0</v>
      </c>
      <c r="D48" s="17" t="n">
        <f aca="false">MOD(INT($A48/8),2)</f>
        <v>1</v>
      </c>
      <c r="E48" s="17" t="n">
        <f aca="false">MOD(INT($A48/4),2)</f>
        <v>0</v>
      </c>
      <c r="F48" s="17" t="n">
        <f aca="false">MOD(INT($A48/2),2)</f>
        <v>1</v>
      </c>
      <c r="G48" s="17" t="n">
        <f aca="false">MOD(INT($A48/1),2)</f>
        <v>1</v>
      </c>
      <c r="H48" s="12" t="n">
        <f aca="false">Gap0*(1-Share*B48)</f>
        <v>7</v>
      </c>
      <c r="I48" s="12" t="n">
        <f aca="false">H48*(1-Share*C48)</f>
        <v>7</v>
      </c>
      <c r="J48" s="12" t="n">
        <f aca="false">I48*(1-Share*D48)</f>
        <v>3.5</v>
      </c>
      <c r="K48" s="12" t="n">
        <f aca="false">J48*(1-Share*E48)</f>
        <v>3.5</v>
      </c>
      <c r="L48" s="12" t="n">
        <f aca="false">K48*(1-Share*F48)</f>
        <v>1.75</v>
      </c>
      <c r="M48" s="12" t="n">
        <f aca="false">L48*(1-Share*G48)</f>
        <v>0.875</v>
      </c>
      <c r="N48" s="14" t="n">
        <f aca="false">Smax-Val_pt*H48</f>
        <v>70</v>
      </c>
      <c r="O48" s="14" t="n">
        <f aca="false">Smax-Val_pt*I48</f>
        <v>70</v>
      </c>
      <c r="P48" s="14" t="n">
        <f aca="false">Smax-Val_pt*J48</f>
        <v>105</v>
      </c>
      <c r="Q48" s="14" t="n">
        <f aca="false">Smax-Val_pt*K48</f>
        <v>105</v>
      </c>
      <c r="R48" s="14" t="n">
        <f aca="false">Smax-Val_pt*L48</f>
        <v>122.5</v>
      </c>
      <c r="S48" s="14" t="n">
        <f aca="false">Smax-Val_pt*M48</f>
        <v>131.25</v>
      </c>
      <c r="T48" s="14" t="n">
        <f aca="false">SUM(B48:G48)</f>
        <v>4</v>
      </c>
      <c r="U48" s="15" t="n">
        <f aca="false">Cash0+SUM(N48:S48)-Cost_r*T48+Credit_M*S48</f>
        <v>2898.75</v>
      </c>
      <c r="V48" s="15" t="n">
        <f aca="false">Cash0+SUM(N48:S48)-Cost_r*T48+Credit_10*S48</f>
        <v>1586.25</v>
      </c>
      <c r="W48" s="11" t="n">
        <f aca="false">Liq0+N48-Cost_r*B48</f>
        <v>570</v>
      </c>
      <c r="X48" s="11" t="n">
        <f aca="false">W48+O48-Cost_r*C48</f>
        <v>640</v>
      </c>
      <c r="Y48" s="11" t="n">
        <f aca="false">X48+P48-Cost_r*D48</f>
        <v>625</v>
      </c>
      <c r="Z48" s="11" t="n">
        <f aca="false">Y48+Q48-Cost_r*E48</f>
        <v>730</v>
      </c>
      <c r="AA48" s="11" t="n">
        <f aca="false">Z48+R48-Cost_r*F48</f>
        <v>732.5</v>
      </c>
      <c r="AB48" s="11" t="n">
        <f aca="false">AA48+S48-Cost_r*G48</f>
        <v>743.75</v>
      </c>
      <c r="AC48" s="11" t="n">
        <f aca="false">MIN(MIN(Liq0-Cost_r*B48,W48-Cost_r*C48,X48-Cost_r*D48,Y48-Cost_r*E48,Z48-Cost_r*F48,AA48-Cost_r*G48,MIN(W48:AB48))-Floor_q,AB48-End_q)</f>
        <v>150</v>
      </c>
      <c r="AD48" s="14" t="n">
        <f aca="false">Val_pt*Share/(1-Share*B48)*(SUM(H48:M48)+Credit_M*M48)-Cost_r</f>
        <v>291.25</v>
      </c>
      <c r="AE48" s="14" t="n">
        <f aca="false">Val_pt*Share/(1-Share*C48)*(SUM(I48:M48)+Credit_M*M48)-Cost_r</f>
        <v>50.625</v>
      </c>
      <c r="AF48" s="14" t="n">
        <f aca="false">Val_pt*Share/(1-Share*D48)*(SUM(J48:M48)+Credit_M*M48)-Cost_r</f>
        <v>151.25</v>
      </c>
      <c r="AG48" s="14" t="n">
        <f aca="false">Val_pt*Share/(1-Share*E48)*(SUM(K48:M48)+Credit_M*M48)-Cost_r</f>
        <v>-1.875</v>
      </c>
      <c r="AH48" s="14" t="n">
        <f aca="false">Val_pt*Share/(1-Share*F48)*(SUM(L48:M48)+Credit_M*M48)-Cost_r</f>
        <v>81.25</v>
      </c>
      <c r="AI48" s="14" t="n">
        <f aca="false">Val_pt*Share/(1-Share*G48)*(SUM(M48:M48)+Credit_M*M48)-Cost_r</f>
        <v>63.75</v>
      </c>
      <c r="AJ48" s="17" t="n">
        <f aca="false">IF(AND(IF(B48=1,AD48&gt;0,AD48&lt;0),IF(C48=1,AE48&gt;0,AE48&lt;0),IF(D48=1,AF48&gt;0,AF48&lt;0),IF(E48=1,AG48&gt;0,AG48&lt;0),IF(F48=1,AH48&gt;0,AH48&lt;0),IF(G48=1,AI48&gt;0,AI48&lt;0)),1,0)</f>
        <v>0</v>
      </c>
    </row>
    <row r="49" customFormat="false" ht="15" hidden="false" customHeight="false" outlineLevel="0" collapsed="false">
      <c r="A49" s="17" t="n">
        <v>44</v>
      </c>
      <c r="B49" s="17" t="n">
        <f aca="false">MOD(INT($A49/32),2)</f>
        <v>1</v>
      </c>
      <c r="C49" s="17" t="n">
        <f aca="false">MOD(INT($A49/16),2)</f>
        <v>0</v>
      </c>
      <c r="D49" s="17" t="n">
        <f aca="false">MOD(INT($A49/8),2)</f>
        <v>1</v>
      </c>
      <c r="E49" s="17" t="n">
        <f aca="false">MOD(INT($A49/4),2)</f>
        <v>1</v>
      </c>
      <c r="F49" s="17" t="n">
        <f aca="false">MOD(INT($A49/2),2)</f>
        <v>0</v>
      </c>
      <c r="G49" s="17" t="n">
        <f aca="false">MOD(INT($A49/1),2)</f>
        <v>0</v>
      </c>
      <c r="H49" s="12" t="n">
        <f aca="false">Gap0*(1-Share*B49)</f>
        <v>7</v>
      </c>
      <c r="I49" s="12" t="n">
        <f aca="false">H49*(1-Share*C49)</f>
        <v>7</v>
      </c>
      <c r="J49" s="12" t="n">
        <f aca="false">I49*(1-Share*D49)</f>
        <v>3.5</v>
      </c>
      <c r="K49" s="12" t="n">
        <f aca="false">J49*(1-Share*E49)</f>
        <v>1.75</v>
      </c>
      <c r="L49" s="12" t="n">
        <f aca="false">K49*(1-Share*F49)</f>
        <v>1.75</v>
      </c>
      <c r="M49" s="12" t="n">
        <f aca="false">L49*(1-Share*G49)</f>
        <v>1.75</v>
      </c>
      <c r="N49" s="14" t="n">
        <f aca="false">Smax-Val_pt*H49</f>
        <v>70</v>
      </c>
      <c r="O49" s="14" t="n">
        <f aca="false">Smax-Val_pt*I49</f>
        <v>70</v>
      </c>
      <c r="P49" s="14" t="n">
        <f aca="false">Smax-Val_pt*J49</f>
        <v>105</v>
      </c>
      <c r="Q49" s="14" t="n">
        <f aca="false">Smax-Val_pt*K49</f>
        <v>122.5</v>
      </c>
      <c r="R49" s="14" t="n">
        <f aca="false">Smax-Val_pt*L49</f>
        <v>122.5</v>
      </c>
      <c r="S49" s="14" t="n">
        <f aca="false">Smax-Val_pt*M49</f>
        <v>122.5</v>
      </c>
      <c r="T49" s="14" t="n">
        <f aca="false">SUM(B49:G49)</f>
        <v>3</v>
      </c>
      <c r="U49" s="15" t="n">
        <f aca="false">Cash0+SUM(N49:S49)-Cost_r*T49+Credit_M*S49</f>
        <v>2852.5</v>
      </c>
      <c r="V49" s="15" t="n">
        <f aca="false">Cash0+SUM(N49:S49)-Cost_r*T49+Credit_10*S49</f>
        <v>1627.5</v>
      </c>
      <c r="W49" s="11" t="n">
        <f aca="false">Liq0+N49-Cost_r*B49</f>
        <v>570</v>
      </c>
      <c r="X49" s="11" t="n">
        <f aca="false">W49+O49-Cost_r*C49</f>
        <v>640</v>
      </c>
      <c r="Y49" s="11" t="n">
        <f aca="false">X49+P49-Cost_r*D49</f>
        <v>625</v>
      </c>
      <c r="Z49" s="11" t="n">
        <f aca="false">Y49+Q49-Cost_r*E49</f>
        <v>627.5</v>
      </c>
      <c r="AA49" s="11" t="n">
        <f aca="false">Z49+R49-Cost_r*F49</f>
        <v>750</v>
      </c>
      <c r="AB49" s="11" t="n">
        <f aca="false">AA49+S49-Cost_r*G49</f>
        <v>872.5</v>
      </c>
      <c r="AC49" s="11" t="n">
        <f aca="false">MIN(MIN(Liq0-Cost_r*B49,W49-Cost_r*C49,X49-Cost_r*D49,Y49-Cost_r*E49,Z49-Cost_r*F49,AA49-Cost_r*G49,MIN(W49:AB49))-Floor_q,AB49-End_q)</f>
        <v>150</v>
      </c>
      <c r="AD49" s="14" t="n">
        <f aca="false">Val_pt*Share/(1-Share*B49)*(SUM(H49:M49)+Credit_M*M49)-Cost_r</f>
        <v>457.5</v>
      </c>
      <c r="AE49" s="14" t="n">
        <f aca="false">Val_pt*Share/(1-Share*C49)*(SUM(I49:M49)+Credit_M*M49)-Cost_r</f>
        <v>133.75</v>
      </c>
      <c r="AF49" s="14" t="n">
        <f aca="false">Val_pt*Share/(1-Share*D49)*(SUM(J49:M49)+Credit_M*M49)-Cost_r</f>
        <v>317.5</v>
      </c>
      <c r="AG49" s="14" t="n">
        <f aca="false">Val_pt*Share/(1-Share*E49)*(SUM(K49:M49)+Credit_M*M49)-Cost_r</f>
        <v>282.5</v>
      </c>
      <c r="AH49" s="14" t="n">
        <f aca="false">Val_pt*Share/(1-Share*F49)*(SUM(L49:M49)+Credit_M*M49)-Cost_r</f>
        <v>72.5</v>
      </c>
      <c r="AI49" s="14" t="n">
        <f aca="false">Val_pt*Share/(1-Share*G49)*(SUM(M49:M49)+Credit_M*M49)-Cost_r</f>
        <v>63.75</v>
      </c>
      <c r="AJ49" s="17" t="n">
        <f aca="false">IF(AND(IF(B49=1,AD49&gt;0,AD49&lt;0),IF(C49=1,AE49&gt;0,AE49&lt;0),IF(D49=1,AF49&gt;0,AF49&lt;0),IF(E49=1,AG49&gt;0,AG49&lt;0),IF(F49=1,AH49&gt;0,AH49&lt;0),IF(G49=1,AI49&gt;0,AI49&lt;0)),1,0)</f>
        <v>0</v>
      </c>
    </row>
    <row r="50" customFormat="false" ht="15" hidden="false" customHeight="false" outlineLevel="0" collapsed="false">
      <c r="A50" s="17" t="n">
        <v>45</v>
      </c>
      <c r="B50" s="17" t="n">
        <f aca="false">MOD(INT($A50/32),2)</f>
        <v>1</v>
      </c>
      <c r="C50" s="17" t="n">
        <f aca="false">MOD(INT($A50/16),2)</f>
        <v>0</v>
      </c>
      <c r="D50" s="17" t="n">
        <f aca="false">MOD(INT($A50/8),2)</f>
        <v>1</v>
      </c>
      <c r="E50" s="17" t="n">
        <f aca="false">MOD(INT($A50/4),2)</f>
        <v>1</v>
      </c>
      <c r="F50" s="17" t="n">
        <f aca="false">MOD(INT($A50/2),2)</f>
        <v>0</v>
      </c>
      <c r="G50" s="17" t="n">
        <f aca="false">MOD(INT($A50/1),2)</f>
        <v>1</v>
      </c>
      <c r="H50" s="12" t="n">
        <f aca="false">Gap0*(1-Share*B50)</f>
        <v>7</v>
      </c>
      <c r="I50" s="12" t="n">
        <f aca="false">H50*(1-Share*C50)</f>
        <v>7</v>
      </c>
      <c r="J50" s="12" t="n">
        <f aca="false">I50*(1-Share*D50)</f>
        <v>3.5</v>
      </c>
      <c r="K50" s="12" t="n">
        <f aca="false">J50*(1-Share*E50)</f>
        <v>1.75</v>
      </c>
      <c r="L50" s="12" t="n">
        <f aca="false">K50*(1-Share*F50)</f>
        <v>1.75</v>
      </c>
      <c r="M50" s="12" t="n">
        <f aca="false">L50*(1-Share*G50)</f>
        <v>0.875</v>
      </c>
      <c r="N50" s="14" t="n">
        <f aca="false">Smax-Val_pt*H50</f>
        <v>70</v>
      </c>
      <c r="O50" s="14" t="n">
        <f aca="false">Smax-Val_pt*I50</f>
        <v>70</v>
      </c>
      <c r="P50" s="14" t="n">
        <f aca="false">Smax-Val_pt*J50</f>
        <v>105</v>
      </c>
      <c r="Q50" s="14" t="n">
        <f aca="false">Smax-Val_pt*K50</f>
        <v>122.5</v>
      </c>
      <c r="R50" s="14" t="n">
        <f aca="false">Smax-Val_pt*L50</f>
        <v>122.5</v>
      </c>
      <c r="S50" s="14" t="n">
        <f aca="false">Smax-Val_pt*M50</f>
        <v>131.25</v>
      </c>
      <c r="T50" s="14" t="n">
        <f aca="false">SUM(B50:G50)</f>
        <v>4</v>
      </c>
      <c r="U50" s="15" t="n">
        <f aca="false">Cash0+SUM(N50:S50)-Cost_r*T50+Credit_M*S50</f>
        <v>2916.25</v>
      </c>
      <c r="V50" s="15" t="n">
        <f aca="false">Cash0+SUM(N50:S50)-Cost_r*T50+Credit_10*S50</f>
        <v>1603.75</v>
      </c>
      <c r="W50" s="11" t="n">
        <f aca="false">Liq0+N50-Cost_r*B50</f>
        <v>570</v>
      </c>
      <c r="X50" s="11" t="n">
        <f aca="false">W50+O50-Cost_r*C50</f>
        <v>640</v>
      </c>
      <c r="Y50" s="11" t="n">
        <f aca="false">X50+P50-Cost_r*D50</f>
        <v>625</v>
      </c>
      <c r="Z50" s="11" t="n">
        <f aca="false">Y50+Q50-Cost_r*E50</f>
        <v>627.5</v>
      </c>
      <c r="AA50" s="11" t="n">
        <f aca="false">Z50+R50-Cost_r*F50</f>
        <v>750</v>
      </c>
      <c r="AB50" s="11" t="n">
        <f aca="false">AA50+S50-Cost_r*G50</f>
        <v>761.25</v>
      </c>
      <c r="AC50" s="11" t="n">
        <f aca="false">MIN(MIN(Liq0-Cost_r*B50,W50-Cost_r*C50,X50-Cost_r*D50,Y50-Cost_r*E50,Z50-Cost_r*F50,AA50-Cost_r*G50,MIN(W50:AB50))-Floor_q,AB50-End_q)</f>
        <v>150</v>
      </c>
      <c r="AD50" s="14" t="n">
        <f aca="false">Val_pt*Share/(1-Share*B50)*(SUM(H50:M50)+Credit_M*M50)-Cost_r</f>
        <v>273.75</v>
      </c>
      <c r="AE50" s="14" t="n">
        <f aca="false">Val_pt*Share/(1-Share*C50)*(SUM(I50:M50)+Credit_M*M50)-Cost_r</f>
        <v>41.875</v>
      </c>
      <c r="AF50" s="14" t="n">
        <f aca="false">Val_pt*Share/(1-Share*D50)*(SUM(J50:M50)+Credit_M*M50)-Cost_r</f>
        <v>133.75</v>
      </c>
      <c r="AG50" s="14" t="n">
        <f aca="false">Val_pt*Share/(1-Share*E50)*(SUM(K50:M50)+Credit_M*M50)-Cost_r</f>
        <v>98.75</v>
      </c>
      <c r="AH50" s="14" t="n">
        <f aca="false">Val_pt*Share/(1-Share*F50)*(SUM(L50:M50)+Credit_M*M50)-Cost_r</f>
        <v>-19.375</v>
      </c>
      <c r="AI50" s="14" t="n">
        <f aca="false">Val_pt*Share/(1-Share*G50)*(SUM(M50:M50)+Credit_M*M50)-Cost_r</f>
        <v>63.75</v>
      </c>
      <c r="AJ50" s="17" t="n">
        <f aca="false">IF(AND(IF(B50=1,AD50&gt;0,AD50&lt;0),IF(C50=1,AE50&gt;0,AE50&lt;0),IF(D50=1,AF50&gt;0,AF50&lt;0),IF(E50=1,AG50&gt;0,AG50&lt;0),IF(F50=1,AH50&gt;0,AH50&lt;0),IF(G50=1,AI50&gt;0,AI50&lt;0)),1,0)</f>
        <v>0</v>
      </c>
    </row>
    <row r="51" customFormat="false" ht="15" hidden="false" customHeight="false" outlineLevel="0" collapsed="false">
      <c r="A51" s="17" t="n">
        <v>46</v>
      </c>
      <c r="B51" s="17" t="n">
        <f aca="false">MOD(INT($A51/32),2)</f>
        <v>1</v>
      </c>
      <c r="C51" s="17" t="n">
        <f aca="false">MOD(INT($A51/16),2)</f>
        <v>0</v>
      </c>
      <c r="D51" s="17" t="n">
        <f aca="false">MOD(INT($A51/8),2)</f>
        <v>1</v>
      </c>
      <c r="E51" s="17" t="n">
        <f aca="false">MOD(INT($A51/4),2)</f>
        <v>1</v>
      </c>
      <c r="F51" s="17" t="n">
        <f aca="false">MOD(INT($A51/2),2)</f>
        <v>1</v>
      </c>
      <c r="G51" s="17" t="n">
        <f aca="false">MOD(INT($A51/1),2)</f>
        <v>0</v>
      </c>
      <c r="H51" s="12" t="n">
        <f aca="false">Gap0*(1-Share*B51)</f>
        <v>7</v>
      </c>
      <c r="I51" s="12" t="n">
        <f aca="false">H51*(1-Share*C51)</f>
        <v>7</v>
      </c>
      <c r="J51" s="12" t="n">
        <f aca="false">I51*(1-Share*D51)</f>
        <v>3.5</v>
      </c>
      <c r="K51" s="12" t="n">
        <f aca="false">J51*(1-Share*E51)</f>
        <v>1.75</v>
      </c>
      <c r="L51" s="12" t="n">
        <f aca="false">K51*(1-Share*F51)</f>
        <v>0.875</v>
      </c>
      <c r="M51" s="12" t="n">
        <f aca="false">L51*(1-Share*G51)</f>
        <v>0.875</v>
      </c>
      <c r="N51" s="14" t="n">
        <f aca="false">Smax-Val_pt*H51</f>
        <v>70</v>
      </c>
      <c r="O51" s="14" t="n">
        <f aca="false">Smax-Val_pt*I51</f>
        <v>70</v>
      </c>
      <c r="P51" s="14" t="n">
        <f aca="false">Smax-Val_pt*J51</f>
        <v>105</v>
      </c>
      <c r="Q51" s="14" t="n">
        <f aca="false">Smax-Val_pt*K51</f>
        <v>122.5</v>
      </c>
      <c r="R51" s="14" t="n">
        <f aca="false">Smax-Val_pt*L51</f>
        <v>131.25</v>
      </c>
      <c r="S51" s="14" t="n">
        <f aca="false">Smax-Val_pt*M51</f>
        <v>131.25</v>
      </c>
      <c r="T51" s="14" t="n">
        <f aca="false">SUM(B51:G51)</f>
        <v>4</v>
      </c>
      <c r="U51" s="15" t="n">
        <f aca="false">Cash0+SUM(N51:S51)-Cost_r*T51+Credit_M*S51</f>
        <v>2925</v>
      </c>
      <c r="V51" s="15" t="n">
        <f aca="false">Cash0+SUM(N51:S51)-Cost_r*T51+Credit_10*S51</f>
        <v>1612.5</v>
      </c>
      <c r="W51" s="11" t="n">
        <f aca="false">Liq0+N51-Cost_r*B51</f>
        <v>570</v>
      </c>
      <c r="X51" s="11" t="n">
        <f aca="false">W51+O51-Cost_r*C51</f>
        <v>640</v>
      </c>
      <c r="Y51" s="11" t="n">
        <f aca="false">X51+P51-Cost_r*D51</f>
        <v>625</v>
      </c>
      <c r="Z51" s="11" t="n">
        <f aca="false">Y51+Q51-Cost_r*E51</f>
        <v>627.5</v>
      </c>
      <c r="AA51" s="11" t="n">
        <f aca="false">Z51+R51-Cost_r*F51</f>
        <v>638.75</v>
      </c>
      <c r="AB51" s="11" t="n">
        <f aca="false">AA51+S51-Cost_r*G51</f>
        <v>770</v>
      </c>
      <c r="AC51" s="11" t="n">
        <f aca="false">MIN(MIN(Liq0-Cost_r*B51,W51-Cost_r*C51,X51-Cost_r*D51,Y51-Cost_r*E51,Z51-Cost_r*F51,AA51-Cost_r*G51,MIN(W51:AB51))-Floor_q,AB51-End_q)</f>
        <v>150</v>
      </c>
      <c r="AD51" s="14" t="n">
        <f aca="false">Val_pt*Share/(1-Share*B51)*(SUM(H51:M51)+Credit_M*M51)-Cost_r</f>
        <v>265</v>
      </c>
      <c r="AE51" s="14" t="n">
        <f aca="false">Val_pt*Share/(1-Share*C51)*(SUM(I51:M51)+Credit_M*M51)-Cost_r</f>
        <v>37.5</v>
      </c>
      <c r="AF51" s="14" t="n">
        <f aca="false">Val_pt*Share/(1-Share*D51)*(SUM(J51:M51)+Credit_M*M51)-Cost_r</f>
        <v>125</v>
      </c>
      <c r="AG51" s="14" t="n">
        <f aca="false">Val_pt*Share/(1-Share*E51)*(SUM(K51:M51)+Credit_M*M51)-Cost_r</f>
        <v>90</v>
      </c>
      <c r="AH51" s="14" t="n">
        <f aca="false">Val_pt*Share/(1-Share*F51)*(SUM(L51:M51)+Credit_M*M51)-Cost_r</f>
        <v>72.5</v>
      </c>
      <c r="AI51" s="14" t="n">
        <f aca="false">Val_pt*Share/(1-Share*G51)*(SUM(M51:M51)+Credit_M*M51)-Cost_r</f>
        <v>-28.125</v>
      </c>
      <c r="AJ51" s="17" t="n">
        <f aca="false">IF(AND(IF(B51=1,AD51&gt;0,AD51&lt;0),IF(C51=1,AE51&gt;0,AE51&lt;0),IF(D51=1,AF51&gt;0,AF51&lt;0),IF(E51=1,AG51&gt;0,AG51&lt;0),IF(F51=1,AH51&gt;0,AH51&lt;0),IF(G51=1,AI51&gt;0,AI51&lt;0)),1,0)</f>
        <v>0</v>
      </c>
    </row>
    <row r="52" customFormat="false" ht="15" hidden="false" customHeight="false" outlineLevel="0" collapsed="false">
      <c r="A52" s="17" t="n">
        <v>47</v>
      </c>
      <c r="B52" s="17" t="n">
        <f aca="false">MOD(INT($A52/32),2)</f>
        <v>1</v>
      </c>
      <c r="C52" s="17" t="n">
        <f aca="false">MOD(INT($A52/16),2)</f>
        <v>0</v>
      </c>
      <c r="D52" s="17" t="n">
        <f aca="false">MOD(INT($A52/8),2)</f>
        <v>1</v>
      </c>
      <c r="E52" s="17" t="n">
        <f aca="false">MOD(INT($A52/4),2)</f>
        <v>1</v>
      </c>
      <c r="F52" s="17" t="n">
        <f aca="false">MOD(INT($A52/2),2)</f>
        <v>1</v>
      </c>
      <c r="G52" s="17" t="n">
        <f aca="false">MOD(INT($A52/1),2)</f>
        <v>1</v>
      </c>
      <c r="H52" s="12" t="n">
        <f aca="false">Gap0*(1-Share*B52)</f>
        <v>7</v>
      </c>
      <c r="I52" s="12" t="n">
        <f aca="false">H52*(1-Share*C52)</f>
        <v>7</v>
      </c>
      <c r="J52" s="12" t="n">
        <f aca="false">I52*(1-Share*D52)</f>
        <v>3.5</v>
      </c>
      <c r="K52" s="12" t="n">
        <f aca="false">J52*(1-Share*E52)</f>
        <v>1.75</v>
      </c>
      <c r="L52" s="12" t="n">
        <f aca="false">K52*(1-Share*F52)</f>
        <v>0.875</v>
      </c>
      <c r="M52" s="12" t="n">
        <f aca="false">L52*(1-Share*G52)</f>
        <v>0.4375</v>
      </c>
      <c r="N52" s="14" t="n">
        <f aca="false">Smax-Val_pt*H52</f>
        <v>70</v>
      </c>
      <c r="O52" s="14" t="n">
        <f aca="false">Smax-Val_pt*I52</f>
        <v>70</v>
      </c>
      <c r="P52" s="14" t="n">
        <f aca="false">Smax-Val_pt*J52</f>
        <v>105</v>
      </c>
      <c r="Q52" s="14" t="n">
        <f aca="false">Smax-Val_pt*K52</f>
        <v>122.5</v>
      </c>
      <c r="R52" s="14" t="n">
        <f aca="false">Smax-Val_pt*L52</f>
        <v>131.25</v>
      </c>
      <c r="S52" s="14" t="n">
        <f aca="false">Smax-Val_pt*M52</f>
        <v>135.625</v>
      </c>
      <c r="T52" s="14" t="n">
        <f aca="false">SUM(B52:G52)</f>
        <v>5</v>
      </c>
      <c r="U52" s="15" t="n">
        <f aca="false">Cash0+SUM(N52:S52)-Cost_r*T52+Credit_M*S52</f>
        <v>2896.875</v>
      </c>
      <c r="V52" s="15" t="n">
        <f aca="false">Cash0+SUM(N52:S52)-Cost_r*T52+Credit_10*S52</f>
        <v>1540.625</v>
      </c>
      <c r="W52" s="11" t="n">
        <f aca="false">Liq0+N52-Cost_r*B52</f>
        <v>570</v>
      </c>
      <c r="X52" s="11" t="n">
        <f aca="false">W52+O52-Cost_r*C52</f>
        <v>640</v>
      </c>
      <c r="Y52" s="11" t="n">
        <f aca="false">X52+P52-Cost_r*D52</f>
        <v>625</v>
      </c>
      <c r="Z52" s="11" t="n">
        <f aca="false">Y52+Q52-Cost_r*E52</f>
        <v>627.5</v>
      </c>
      <c r="AA52" s="11" t="n">
        <f aca="false">Z52+R52-Cost_r*F52</f>
        <v>638.75</v>
      </c>
      <c r="AB52" s="11" t="n">
        <f aca="false">AA52+S52-Cost_r*G52</f>
        <v>654.375</v>
      </c>
      <c r="AC52" s="11" t="n">
        <f aca="false">MIN(MIN(Liq0-Cost_r*B52,W52-Cost_r*C52,X52-Cost_r*D52,Y52-Cost_r*E52,Z52-Cost_r*F52,AA52-Cost_r*G52,MIN(W52:AB52))-Floor_q,AB52-End_q)</f>
        <v>150</v>
      </c>
      <c r="AD52" s="14" t="n">
        <f aca="false">Val_pt*Share/(1-Share*B52)*(SUM(H52:M52)+Credit_M*M52)-Cost_r</f>
        <v>173.125</v>
      </c>
      <c r="AE52" s="14" t="n">
        <f aca="false">Val_pt*Share/(1-Share*C52)*(SUM(I52:M52)+Credit_M*M52)-Cost_r</f>
        <v>-8.4375</v>
      </c>
      <c r="AF52" s="14" t="n">
        <f aca="false">Val_pt*Share/(1-Share*D52)*(SUM(J52:M52)+Credit_M*M52)-Cost_r</f>
        <v>33.125</v>
      </c>
      <c r="AG52" s="14" t="n">
        <f aca="false">Val_pt*Share/(1-Share*E52)*(SUM(K52:M52)+Credit_M*M52)-Cost_r</f>
        <v>-1.875</v>
      </c>
      <c r="AH52" s="14" t="n">
        <f aca="false">Val_pt*Share/(1-Share*F52)*(SUM(L52:M52)+Credit_M*M52)-Cost_r</f>
        <v>-19.375</v>
      </c>
      <c r="AI52" s="14" t="n">
        <f aca="false">Val_pt*Share/(1-Share*G52)*(SUM(M52:M52)+Credit_M*M52)-Cost_r</f>
        <v>-28.125</v>
      </c>
      <c r="AJ52" s="17" t="n">
        <f aca="false">IF(AND(IF(B52=1,AD52&gt;0,AD52&lt;0),IF(C52=1,AE52&gt;0,AE52&lt;0),IF(D52=1,AF52&gt;0,AF52&lt;0),IF(E52=1,AG52&gt;0,AG52&lt;0),IF(F52=1,AH52&gt;0,AH52&lt;0),IF(G52=1,AI52&gt;0,AI52&lt;0)),1,0)</f>
        <v>0</v>
      </c>
    </row>
    <row r="53" customFormat="false" ht="15" hidden="false" customHeight="false" outlineLevel="0" collapsed="false">
      <c r="A53" s="17" t="n">
        <v>48</v>
      </c>
      <c r="B53" s="17" t="n">
        <f aca="false">MOD(INT($A53/32),2)</f>
        <v>1</v>
      </c>
      <c r="C53" s="17" t="n">
        <f aca="false">MOD(INT($A53/16),2)</f>
        <v>1</v>
      </c>
      <c r="D53" s="17" t="n">
        <f aca="false">MOD(INT($A53/8),2)</f>
        <v>0</v>
      </c>
      <c r="E53" s="17" t="n">
        <f aca="false">MOD(INT($A53/4),2)</f>
        <v>0</v>
      </c>
      <c r="F53" s="17" t="n">
        <f aca="false">MOD(INT($A53/2),2)</f>
        <v>0</v>
      </c>
      <c r="G53" s="17" t="n">
        <f aca="false">MOD(INT($A53/1),2)</f>
        <v>0</v>
      </c>
      <c r="H53" s="12" t="n">
        <f aca="false">Gap0*(1-Share*B53)</f>
        <v>7</v>
      </c>
      <c r="I53" s="12" t="n">
        <f aca="false">H53*(1-Share*C53)</f>
        <v>3.5</v>
      </c>
      <c r="J53" s="12" t="n">
        <f aca="false">I53*(1-Share*D53)</f>
        <v>3.5</v>
      </c>
      <c r="K53" s="12" t="n">
        <f aca="false">J53*(1-Share*E53)</f>
        <v>3.5</v>
      </c>
      <c r="L53" s="12" t="n">
        <f aca="false">K53*(1-Share*F53)</f>
        <v>3.5</v>
      </c>
      <c r="M53" s="12" t="n">
        <f aca="false">L53*(1-Share*G53)</f>
        <v>3.5</v>
      </c>
      <c r="N53" s="14" t="n">
        <f aca="false">Smax-Val_pt*H53</f>
        <v>70</v>
      </c>
      <c r="O53" s="14" t="n">
        <f aca="false">Smax-Val_pt*I53</f>
        <v>105</v>
      </c>
      <c r="P53" s="14" t="n">
        <f aca="false">Smax-Val_pt*J53</f>
        <v>105</v>
      </c>
      <c r="Q53" s="14" t="n">
        <f aca="false">Smax-Val_pt*K53</f>
        <v>105</v>
      </c>
      <c r="R53" s="14" t="n">
        <f aca="false">Smax-Val_pt*L53</f>
        <v>105</v>
      </c>
      <c r="S53" s="14" t="n">
        <f aca="false">Smax-Val_pt*M53</f>
        <v>105</v>
      </c>
      <c r="T53" s="14" t="n">
        <f aca="false">SUM(B53:G53)</f>
        <v>2</v>
      </c>
      <c r="U53" s="15" t="n">
        <f aca="false">Cash0+SUM(N53:S53)-Cost_r*T53+Credit_M*S53</f>
        <v>2605</v>
      </c>
      <c r="V53" s="15" t="n">
        <f aca="false">Cash0+SUM(N53:S53)-Cost_r*T53+Credit_10*S53</f>
        <v>1555</v>
      </c>
      <c r="W53" s="11" t="n">
        <f aca="false">Liq0+N53-Cost_r*B53</f>
        <v>570</v>
      </c>
      <c r="X53" s="11" t="n">
        <f aca="false">W53+O53-Cost_r*C53</f>
        <v>555</v>
      </c>
      <c r="Y53" s="11" t="n">
        <f aca="false">X53+P53-Cost_r*D53</f>
        <v>660</v>
      </c>
      <c r="Z53" s="11" t="n">
        <f aca="false">Y53+Q53-Cost_r*E53</f>
        <v>765</v>
      </c>
      <c r="AA53" s="11" t="n">
        <f aca="false">Z53+R53-Cost_r*F53</f>
        <v>870</v>
      </c>
      <c r="AB53" s="11" t="n">
        <f aca="false">AA53+S53-Cost_r*G53</f>
        <v>975</v>
      </c>
      <c r="AC53" s="11" t="n">
        <f aca="false">MIN(MIN(Liq0-Cost_r*B53,W53-Cost_r*C53,X53-Cost_r*D53,Y53-Cost_r*E53,Z53-Cost_r*F53,AA53-Cost_r*G53,MIN(W53:AB53))-Floor_q,AB53-End_q)</f>
        <v>100</v>
      </c>
      <c r="AD53" s="14" t="n">
        <f aca="false">Val_pt*Share/(1-Share*B53)*(SUM(H53:M53)+Credit_M*M53)-Cost_r</f>
        <v>825</v>
      </c>
      <c r="AE53" s="14" t="n">
        <f aca="false">Val_pt*Share/(1-Share*C53)*(SUM(I53:M53)+Credit_M*M53)-Cost_r</f>
        <v>755</v>
      </c>
      <c r="AF53" s="14" t="n">
        <f aca="false">Val_pt*Share/(1-Share*D53)*(SUM(J53:M53)+Credit_M*M53)-Cost_r</f>
        <v>300</v>
      </c>
      <c r="AG53" s="14" t="n">
        <f aca="false">Val_pt*Share/(1-Share*E53)*(SUM(K53:M53)+Credit_M*M53)-Cost_r</f>
        <v>282.5</v>
      </c>
      <c r="AH53" s="14" t="n">
        <f aca="false">Val_pt*Share/(1-Share*F53)*(SUM(L53:M53)+Credit_M*M53)-Cost_r</f>
        <v>265</v>
      </c>
      <c r="AI53" s="14" t="n">
        <f aca="false">Val_pt*Share/(1-Share*G53)*(SUM(M53:M53)+Credit_M*M53)-Cost_r</f>
        <v>247.5</v>
      </c>
      <c r="AJ53" s="17" t="n">
        <f aca="false">IF(AND(IF(B53=1,AD53&gt;0,AD53&lt;0),IF(C53=1,AE53&gt;0,AE53&lt;0),IF(D53=1,AF53&gt;0,AF53&lt;0),IF(E53=1,AG53&gt;0,AG53&lt;0),IF(F53=1,AH53&gt;0,AH53&lt;0),IF(G53=1,AI53&gt;0,AI53&lt;0)),1,0)</f>
        <v>0</v>
      </c>
    </row>
    <row r="54" customFormat="false" ht="15" hidden="false" customHeight="false" outlineLevel="0" collapsed="false">
      <c r="A54" s="17" t="n">
        <v>49</v>
      </c>
      <c r="B54" s="17" t="n">
        <f aca="false">MOD(INT($A54/32),2)</f>
        <v>1</v>
      </c>
      <c r="C54" s="17" t="n">
        <f aca="false">MOD(INT($A54/16),2)</f>
        <v>1</v>
      </c>
      <c r="D54" s="17" t="n">
        <f aca="false">MOD(INT($A54/8),2)</f>
        <v>0</v>
      </c>
      <c r="E54" s="17" t="n">
        <f aca="false">MOD(INT($A54/4),2)</f>
        <v>0</v>
      </c>
      <c r="F54" s="17" t="n">
        <f aca="false">MOD(INT($A54/2),2)</f>
        <v>0</v>
      </c>
      <c r="G54" s="17" t="n">
        <f aca="false">MOD(INT($A54/1),2)</f>
        <v>1</v>
      </c>
      <c r="H54" s="12" t="n">
        <f aca="false">Gap0*(1-Share*B54)</f>
        <v>7</v>
      </c>
      <c r="I54" s="12" t="n">
        <f aca="false">H54*(1-Share*C54)</f>
        <v>3.5</v>
      </c>
      <c r="J54" s="12" t="n">
        <f aca="false">I54*(1-Share*D54)</f>
        <v>3.5</v>
      </c>
      <c r="K54" s="12" t="n">
        <f aca="false">J54*(1-Share*E54)</f>
        <v>3.5</v>
      </c>
      <c r="L54" s="12" t="n">
        <f aca="false">K54*(1-Share*F54)</f>
        <v>3.5</v>
      </c>
      <c r="M54" s="12" t="n">
        <f aca="false">L54*(1-Share*G54)</f>
        <v>1.75</v>
      </c>
      <c r="N54" s="14" t="n">
        <f aca="false">Smax-Val_pt*H54</f>
        <v>70</v>
      </c>
      <c r="O54" s="14" t="n">
        <f aca="false">Smax-Val_pt*I54</f>
        <v>105</v>
      </c>
      <c r="P54" s="14" t="n">
        <f aca="false">Smax-Val_pt*J54</f>
        <v>105</v>
      </c>
      <c r="Q54" s="14" t="n">
        <f aca="false">Smax-Val_pt*K54</f>
        <v>105</v>
      </c>
      <c r="R54" s="14" t="n">
        <f aca="false">Smax-Val_pt*L54</f>
        <v>105</v>
      </c>
      <c r="S54" s="14" t="n">
        <f aca="false">Smax-Val_pt*M54</f>
        <v>122.5</v>
      </c>
      <c r="T54" s="14" t="n">
        <f aca="false">SUM(B54:G54)</f>
        <v>3</v>
      </c>
      <c r="U54" s="15" t="n">
        <f aca="false">Cash0+SUM(N54:S54)-Cost_r*T54+Credit_M*S54</f>
        <v>2852.5</v>
      </c>
      <c r="V54" s="15" t="n">
        <f aca="false">Cash0+SUM(N54:S54)-Cost_r*T54+Credit_10*S54</f>
        <v>1627.5</v>
      </c>
      <c r="W54" s="11" t="n">
        <f aca="false">Liq0+N54-Cost_r*B54</f>
        <v>570</v>
      </c>
      <c r="X54" s="11" t="n">
        <f aca="false">W54+O54-Cost_r*C54</f>
        <v>555</v>
      </c>
      <c r="Y54" s="11" t="n">
        <f aca="false">X54+P54-Cost_r*D54</f>
        <v>660</v>
      </c>
      <c r="Z54" s="11" t="n">
        <f aca="false">Y54+Q54-Cost_r*E54</f>
        <v>765</v>
      </c>
      <c r="AA54" s="11" t="n">
        <f aca="false">Z54+R54-Cost_r*F54</f>
        <v>870</v>
      </c>
      <c r="AB54" s="11" t="n">
        <f aca="false">AA54+S54-Cost_r*G54</f>
        <v>872.5</v>
      </c>
      <c r="AC54" s="11" t="n">
        <f aca="false">MIN(MIN(Liq0-Cost_r*B54,W54-Cost_r*C54,X54-Cost_r*D54,Y54-Cost_r*E54,Z54-Cost_r*F54,AA54-Cost_r*G54,MIN(W54:AB54))-Floor_q,AB54-End_q)</f>
        <v>100</v>
      </c>
      <c r="AD54" s="14" t="n">
        <f aca="false">Val_pt*Share/(1-Share*B54)*(SUM(H54:M54)+Credit_M*M54)-Cost_r</f>
        <v>457.5</v>
      </c>
      <c r="AE54" s="14" t="n">
        <f aca="false">Val_pt*Share/(1-Share*C54)*(SUM(I54:M54)+Credit_M*M54)-Cost_r</f>
        <v>387.5</v>
      </c>
      <c r="AF54" s="14" t="n">
        <f aca="false">Val_pt*Share/(1-Share*D54)*(SUM(J54:M54)+Credit_M*M54)-Cost_r</f>
        <v>116.25</v>
      </c>
      <c r="AG54" s="14" t="n">
        <f aca="false">Val_pt*Share/(1-Share*E54)*(SUM(K54:M54)+Credit_M*M54)-Cost_r</f>
        <v>98.75</v>
      </c>
      <c r="AH54" s="14" t="n">
        <f aca="false">Val_pt*Share/(1-Share*F54)*(SUM(L54:M54)+Credit_M*M54)-Cost_r</f>
        <v>81.25</v>
      </c>
      <c r="AI54" s="14" t="n">
        <f aca="false">Val_pt*Share/(1-Share*G54)*(SUM(M54:M54)+Credit_M*M54)-Cost_r</f>
        <v>247.5</v>
      </c>
      <c r="AJ54" s="17" t="n">
        <f aca="false">IF(AND(IF(B54=1,AD54&gt;0,AD54&lt;0),IF(C54=1,AE54&gt;0,AE54&lt;0),IF(D54=1,AF54&gt;0,AF54&lt;0),IF(E54=1,AG54&gt;0,AG54&lt;0),IF(F54=1,AH54&gt;0,AH54&lt;0),IF(G54=1,AI54&gt;0,AI54&lt;0)),1,0)</f>
        <v>0</v>
      </c>
    </row>
    <row r="55" customFormat="false" ht="15" hidden="false" customHeight="false" outlineLevel="0" collapsed="false">
      <c r="A55" s="17" t="n">
        <v>50</v>
      </c>
      <c r="B55" s="17" t="n">
        <f aca="false">MOD(INT($A55/32),2)</f>
        <v>1</v>
      </c>
      <c r="C55" s="17" t="n">
        <f aca="false">MOD(INT($A55/16),2)</f>
        <v>1</v>
      </c>
      <c r="D55" s="17" t="n">
        <f aca="false">MOD(INT($A55/8),2)</f>
        <v>0</v>
      </c>
      <c r="E55" s="17" t="n">
        <f aca="false">MOD(INT($A55/4),2)</f>
        <v>0</v>
      </c>
      <c r="F55" s="17" t="n">
        <f aca="false">MOD(INT($A55/2),2)</f>
        <v>1</v>
      </c>
      <c r="G55" s="17" t="n">
        <f aca="false">MOD(INT($A55/1),2)</f>
        <v>0</v>
      </c>
      <c r="H55" s="12" t="n">
        <f aca="false">Gap0*(1-Share*B55)</f>
        <v>7</v>
      </c>
      <c r="I55" s="12" t="n">
        <f aca="false">H55*(1-Share*C55)</f>
        <v>3.5</v>
      </c>
      <c r="J55" s="12" t="n">
        <f aca="false">I55*(1-Share*D55)</f>
        <v>3.5</v>
      </c>
      <c r="K55" s="12" t="n">
        <f aca="false">J55*(1-Share*E55)</f>
        <v>3.5</v>
      </c>
      <c r="L55" s="12" t="n">
        <f aca="false">K55*(1-Share*F55)</f>
        <v>1.75</v>
      </c>
      <c r="M55" s="12" t="n">
        <f aca="false">L55*(1-Share*G55)</f>
        <v>1.75</v>
      </c>
      <c r="N55" s="14" t="n">
        <f aca="false">Smax-Val_pt*H55</f>
        <v>70</v>
      </c>
      <c r="O55" s="14" t="n">
        <f aca="false">Smax-Val_pt*I55</f>
        <v>105</v>
      </c>
      <c r="P55" s="14" t="n">
        <f aca="false">Smax-Val_pt*J55</f>
        <v>105</v>
      </c>
      <c r="Q55" s="14" t="n">
        <f aca="false">Smax-Val_pt*K55</f>
        <v>105</v>
      </c>
      <c r="R55" s="14" t="n">
        <f aca="false">Smax-Val_pt*L55</f>
        <v>122.5</v>
      </c>
      <c r="S55" s="14" t="n">
        <f aca="false">Smax-Val_pt*M55</f>
        <v>122.5</v>
      </c>
      <c r="T55" s="14" t="n">
        <f aca="false">SUM(B55:G55)</f>
        <v>3</v>
      </c>
      <c r="U55" s="15" t="n">
        <f aca="false">Cash0+SUM(N55:S55)-Cost_r*T55+Credit_M*S55</f>
        <v>2870</v>
      </c>
      <c r="V55" s="15" t="n">
        <f aca="false">Cash0+SUM(N55:S55)-Cost_r*T55+Credit_10*S55</f>
        <v>1645</v>
      </c>
      <c r="W55" s="11" t="n">
        <f aca="false">Liq0+N55-Cost_r*B55</f>
        <v>570</v>
      </c>
      <c r="X55" s="11" t="n">
        <f aca="false">W55+O55-Cost_r*C55</f>
        <v>555</v>
      </c>
      <c r="Y55" s="11" t="n">
        <f aca="false">X55+P55-Cost_r*D55</f>
        <v>660</v>
      </c>
      <c r="Z55" s="11" t="n">
        <f aca="false">Y55+Q55-Cost_r*E55</f>
        <v>765</v>
      </c>
      <c r="AA55" s="11" t="n">
        <f aca="false">Z55+R55-Cost_r*F55</f>
        <v>767.5</v>
      </c>
      <c r="AB55" s="11" t="n">
        <f aca="false">AA55+S55-Cost_r*G55</f>
        <v>890</v>
      </c>
      <c r="AC55" s="11" t="n">
        <f aca="false">MIN(MIN(Liq0-Cost_r*B55,W55-Cost_r*C55,X55-Cost_r*D55,Y55-Cost_r*E55,Z55-Cost_r*F55,AA55-Cost_r*G55,MIN(W55:AB55))-Floor_q,AB55-End_q)</f>
        <v>100</v>
      </c>
      <c r="AD55" s="14" t="n">
        <f aca="false">Val_pt*Share/(1-Share*B55)*(SUM(H55:M55)+Credit_M*M55)-Cost_r</f>
        <v>440</v>
      </c>
      <c r="AE55" s="14" t="n">
        <f aca="false">Val_pt*Share/(1-Share*C55)*(SUM(I55:M55)+Credit_M*M55)-Cost_r</f>
        <v>370</v>
      </c>
      <c r="AF55" s="14" t="n">
        <f aca="false">Val_pt*Share/(1-Share*D55)*(SUM(J55:M55)+Credit_M*M55)-Cost_r</f>
        <v>107.5</v>
      </c>
      <c r="AG55" s="14" t="n">
        <f aca="false">Val_pt*Share/(1-Share*E55)*(SUM(K55:M55)+Credit_M*M55)-Cost_r</f>
        <v>90</v>
      </c>
      <c r="AH55" s="14" t="n">
        <f aca="false">Val_pt*Share/(1-Share*F55)*(SUM(L55:M55)+Credit_M*M55)-Cost_r</f>
        <v>265</v>
      </c>
      <c r="AI55" s="14" t="n">
        <f aca="false">Val_pt*Share/(1-Share*G55)*(SUM(M55:M55)+Credit_M*M55)-Cost_r</f>
        <v>63.75</v>
      </c>
      <c r="AJ55" s="17" t="n">
        <f aca="false">IF(AND(IF(B55=1,AD55&gt;0,AD55&lt;0),IF(C55=1,AE55&gt;0,AE55&lt;0),IF(D55=1,AF55&gt;0,AF55&lt;0),IF(E55=1,AG55&gt;0,AG55&lt;0),IF(F55=1,AH55&gt;0,AH55&lt;0),IF(G55=1,AI55&gt;0,AI55&lt;0)),1,0)</f>
        <v>0</v>
      </c>
    </row>
    <row r="56" customFormat="false" ht="15" hidden="false" customHeight="false" outlineLevel="0" collapsed="false">
      <c r="A56" s="17" t="n">
        <v>51</v>
      </c>
      <c r="B56" s="17" t="n">
        <f aca="false">MOD(INT($A56/32),2)</f>
        <v>1</v>
      </c>
      <c r="C56" s="17" t="n">
        <f aca="false">MOD(INT($A56/16),2)</f>
        <v>1</v>
      </c>
      <c r="D56" s="17" t="n">
        <f aca="false">MOD(INT($A56/8),2)</f>
        <v>0</v>
      </c>
      <c r="E56" s="17" t="n">
        <f aca="false">MOD(INT($A56/4),2)</f>
        <v>0</v>
      </c>
      <c r="F56" s="17" t="n">
        <f aca="false">MOD(INT($A56/2),2)</f>
        <v>1</v>
      </c>
      <c r="G56" s="17" t="n">
        <f aca="false">MOD(INT($A56/1),2)</f>
        <v>1</v>
      </c>
      <c r="H56" s="12" t="n">
        <f aca="false">Gap0*(1-Share*B56)</f>
        <v>7</v>
      </c>
      <c r="I56" s="12" t="n">
        <f aca="false">H56*(1-Share*C56)</f>
        <v>3.5</v>
      </c>
      <c r="J56" s="12" t="n">
        <f aca="false">I56*(1-Share*D56)</f>
        <v>3.5</v>
      </c>
      <c r="K56" s="12" t="n">
        <f aca="false">J56*(1-Share*E56)</f>
        <v>3.5</v>
      </c>
      <c r="L56" s="12" t="n">
        <f aca="false">K56*(1-Share*F56)</f>
        <v>1.75</v>
      </c>
      <c r="M56" s="12" t="n">
        <f aca="false">L56*(1-Share*G56)</f>
        <v>0.875</v>
      </c>
      <c r="N56" s="14" t="n">
        <f aca="false">Smax-Val_pt*H56</f>
        <v>70</v>
      </c>
      <c r="O56" s="14" t="n">
        <f aca="false">Smax-Val_pt*I56</f>
        <v>105</v>
      </c>
      <c r="P56" s="14" t="n">
        <f aca="false">Smax-Val_pt*J56</f>
        <v>105</v>
      </c>
      <c r="Q56" s="14" t="n">
        <f aca="false">Smax-Val_pt*K56</f>
        <v>105</v>
      </c>
      <c r="R56" s="14" t="n">
        <f aca="false">Smax-Val_pt*L56</f>
        <v>122.5</v>
      </c>
      <c r="S56" s="14" t="n">
        <f aca="false">Smax-Val_pt*M56</f>
        <v>131.25</v>
      </c>
      <c r="T56" s="14" t="n">
        <f aca="false">SUM(B56:G56)</f>
        <v>4</v>
      </c>
      <c r="U56" s="15" t="n">
        <f aca="false">Cash0+SUM(N56:S56)-Cost_r*T56+Credit_M*S56</f>
        <v>2933.75</v>
      </c>
      <c r="V56" s="15" t="n">
        <f aca="false">Cash0+SUM(N56:S56)-Cost_r*T56+Credit_10*S56</f>
        <v>1621.25</v>
      </c>
      <c r="W56" s="11" t="n">
        <f aca="false">Liq0+N56-Cost_r*B56</f>
        <v>570</v>
      </c>
      <c r="X56" s="11" t="n">
        <f aca="false">W56+O56-Cost_r*C56</f>
        <v>555</v>
      </c>
      <c r="Y56" s="11" t="n">
        <f aca="false">X56+P56-Cost_r*D56</f>
        <v>660</v>
      </c>
      <c r="Z56" s="11" t="n">
        <f aca="false">Y56+Q56-Cost_r*E56</f>
        <v>765</v>
      </c>
      <c r="AA56" s="11" t="n">
        <f aca="false">Z56+R56-Cost_r*F56</f>
        <v>767.5</v>
      </c>
      <c r="AB56" s="11" t="n">
        <f aca="false">AA56+S56-Cost_r*G56</f>
        <v>778.75</v>
      </c>
      <c r="AC56" s="11" t="n">
        <f aca="false">MIN(MIN(Liq0-Cost_r*B56,W56-Cost_r*C56,X56-Cost_r*D56,Y56-Cost_r*E56,Z56-Cost_r*F56,AA56-Cost_r*G56,MIN(W56:AB56))-Floor_q,AB56-End_q)</f>
        <v>100</v>
      </c>
      <c r="AD56" s="14" t="n">
        <f aca="false">Val_pt*Share/(1-Share*B56)*(SUM(H56:M56)+Credit_M*M56)-Cost_r</f>
        <v>256.25</v>
      </c>
      <c r="AE56" s="14" t="n">
        <f aca="false">Val_pt*Share/(1-Share*C56)*(SUM(I56:M56)+Credit_M*M56)-Cost_r</f>
        <v>186.25</v>
      </c>
      <c r="AF56" s="14" t="n">
        <f aca="false">Val_pt*Share/(1-Share*D56)*(SUM(J56:M56)+Credit_M*M56)-Cost_r</f>
        <v>15.625</v>
      </c>
      <c r="AG56" s="14" t="n">
        <f aca="false">Val_pt*Share/(1-Share*E56)*(SUM(K56:M56)+Credit_M*M56)-Cost_r</f>
        <v>-1.875</v>
      </c>
      <c r="AH56" s="14" t="n">
        <f aca="false">Val_pt*Share/(1-Share*F56)*(SUM(L56:M56)+Credit_M*M56)-Cost_r</f>
        <v>81.25</v>
      </c>
      <c r="AI56" s="14" t="n">
        <f aca="false">Val_pt*Share/(1-Share*G56)*(SUM(M56:M56)+Credit_M*M56)-Cost_r</f>
        <v>63.75</v>
      </c>
      <c r="AJ56" s="17" t="n">
        <f aca="false">IF(AND(IF(B56=1,AD56&gt;0,AD56&lt;0),IF(C56=1,AE56&gt;0,AE56&lt;0),IF(D56=1,AF56&gt;0,AF56&lt;0),IF(E56=1,AG56&gt;0,AG56&lt;0),IF(F56=1,AH56&gt;0,AH56&lt;0),IF(G56=1,AI56&gt;0,AI56&lt;0)),1,0)</f>
        <v>0</v>
      </c>
    </row>
    <row r="57" customFormat="false" ht="15" hidden="false" customHeight="false" outlineLevel="0" collapsed="false">
      <c r="A57" s="17" t="n">
        <v>52</v>
      </c>
      <c r="B57" s="17" t="n">
        <f aca="false">MOD(INT($A57/32),2)</f>
        <v>1</v>
      </c>
      <c r="C57" s="17" t="n">
        <f aca="false">MOD(INT($A57/16),2)</f>
        <v>1</v>
      </c>
      <c r="D57" s="17" t="n">
        <f aca="false">MOD(INT($A57/8),2)</f>
        <v>0</v>
      </c>
      <c r="E57" s="17" t="n">
        <f aca="false">MOD(INT($A57/4),2)</f>
        <v>1</v>
      </c>
      <c r="F57" s="17" t="n">
        <f aca="false">MOD(INT($A57/2),2)</f>
        <v>0</v>
      </c>
      <c r="G57" s="17" t="n">
        <f aca="false">MOD(INT($A57/1),2)</f>
        <v>0</v>
      </c>
      <c r="H57" s="12" t="n">
        <f aca="false">Gap0*(1-Share*B57)</f>
        <v>7</v>
      </c>
      <c r="I57" s="12" t="n">
        <f aca="false">H57*(1-Share*C57)</f>
        <v>3.5</v>
      </c>
      <c r="J57" s="12" t="n">
        <f aca="false">I57*(1-Share*D57)</f>
        <v>3.5</v>
      </c>
      <c r="K57" s="12" t="n">
        <f aca="false">J57*(1-Share*E57)</f>
        <v>1.75</v>
      </c>
      <c r="L57" s="12" t="n">
        <f aca="false">K57*(1-Share*F57)</f>
        <v>1.75</v>
      </c>
      <c r="M57" s="12" t="n">
        <f aca="false">L57*(1-Share*G57)</f>
        <v>1.75</v>
      </c>
      <c r="N57" s="14" t="n">
        <f aca="false">Smax-Val_pt*H57</f>
        <v>70</v>
      </c>
      <c r="O57" s="14" t="n">
        <f aca="false">Smax-Val_pt*I57</f>
        <v>105</v>
      </c>
      <c r="P57" s="14" t="n">
        <f aca="false">Smax-Val_pt*J57</f>
        <v>105</v>
      </c>
      <c r="Q57" s="14" t="n">
        <f aca="false">Smax-Val_pt*K57</f>
        <v>122.5</v>
      </c>
      <c r="R57" s="14" t="n">
        <f aca="false">Smax-Val_pt*L57</f>
        <v>122.5</v>
      </c>
      <c r="S57" s="14" t="n">
        <f aca="false">Smax-Val_pt*M57</f>
        <v>122.5</v>
      </c>
      <c r="T57" s="14" t="n">
        <f aca="false">SUM(B57:G57)</f>
        <v>3</v>
      </c>
      <c r="U57" s="15" t="n">
        <f aca="false">Cash0+SUM(N57:S57)-Cost_r*T57+Credit_M*S57</f>
        <v>2887.5</v>
      </c>
      <c r="V57" s="15" t="n">
        <f aca="false">Cash0+SUM(N57:S57)-Cost_r*T57+Credit_10*S57</f>
        <v>1662.5</v>
      </c>
      <c r="W57" s="11" t="n">
        <f aca="false">Liq0+N57-Cost_r*B57</f>
        <v>570</v>
      </c>
      <c r="X57" s="11" t="n">
        <f aca="false">W57+O57-Cost_r*C57</f>
        <v>555</v>
      </c>
      <c r="Y57" s="11" t="n">
        <f aca="false">X57+P57-Cost_r*D57</f>
        <v>660</v>
      </c>
      <c r="Z57" s="11" t="n">
        <f aca="false">Y57+Q57-Cost_r*E57</f>
        <v>662.5</v>
      </c>
      <c r="AA57" s="11" t="n">
        <f aca="false">Z57+R57-Cost_r*F57</f>
        <v>785</v>
      </c>
      <c r="AB57" s="11" t="n">
        <f aca="false">AA57+S57-Cost_r*G57</f>
        <v>907.5</v>
      </c>
      <c r="AC57" s="11" t="n">
        <f aca="false">MIN(MIN(Liq0-Cost_r*B57,W57-Cost_r*C57,X57-Cost_r*D57,Y57-Cost_r*E57,Z57-Cost_r*F57,AA57-Cost_r*G57,MIN(W57:AB57))-Floor_q,AB57-End_q)</f>
        <v>100</v>
      </c>
      <c r="AD57" s="14" t="n">
        <f aca="false">Val_pt*Share/(1-Share*B57)*(SUM(H57:M57)+Credit_M*M57)-Cost_r</f>
        <v>422.5</v>
      </c>
      <c r="AE57" s="14" t="n">
        <f aca="false">Val_pt*Share/(1-Share*C57)*(SUM(I57:M57)+Credit_M*M57)-Cost_r</f>
        <v>352.5</v>
      </c>
      <c r="AF57" s="14" t="n">
        <f aca="false">Val_pt*Share/(1-Share*D57)*(SUM(J57:M57)+Credit_M*M57)-Cost_r</f>
        <v>98.75</v>
      </c>
      <c r="AG57" s="14" t="n">
        <f aca="false">Val_pt*Share/(1-Share*E57)*(SUM(K57:M57)+Credit_M*M57)-Cost_r</f>
        <v>282.5</v>
      </c>
      <c r="AH57" s="14" t="n">
        <f aca="false">Val_pt*Share/(1-Share*F57)*(SUM(L57:M57)+Credit_M*M57)-Cost_r</f>
        <v>72.5</v>
      </c>
      <c r="AI57" s="14" t="n">
        <f aca="false">Val_pt*Share/(1-Share*G57)*(SUM(M57:M57)+Credit_M*M57)-Cost_r</f>
        <v>63.75</v>
      </c>
      <c r="AJ57" s="17" t="n">
        <f aca="false">IF(AND(IF(B57=1,AD57&gt;0,AD57&lt;0),IF(C57=1,AE57&gt;0,AE57&lt;0),IF(D57=1,AF57&gt;0,AF57&lt;0),IF(E57=1,AG57&gt;0,AG57&lt;0),IF(F57=1,AH57&gt;0,AH57&lt;0),IF(G57=1,AI57&gt;0,AI57&lt;0)),1,0)</f>
        <v>0</v>
      </c>
    </row>
    <row r="58" customFormat="false" ht="15" hidden="false" customHeight="false" outlineLevel="0" collapsed="false">
      <c r="A58" s="17" t="n">
        <v>53</v>
      </c>
      <c r="B58" s="17" t="n">
        <f aca="false">MOD(INT($A58/32),2)</f>
        <v>1</v>
      </c>
      <c r="C58" s="17" t="n">
        <f aca="false">MOD(INT($A58/16),2)</f>
        <v>1</v>
      </c>
      <c r="D58" s="17" t="n">
        <f aca="false">MOD(INT($A58/8),2)</f>
        <v>0</v>
      </c>
      <c r="E58" s="17" t="n">
        <f aca="false">MOD(INT($A58/4),2)</f>
        <v>1</v>
      </c>
      <c r="F58" s="17" t="n">
        <f aca="false">MOD(INT($A58/2),2)</f>
        <v>0</v>
      </c>
      <c r="G58" s="17" t="n">
        <f aca="false">MOD(INT($A58/1),2)</f>
        <v>1</v>
      </c>
      <c r="H58" s="12" t="n">
        <f aca="false">Gap0*(1-Share*B58)</f>
        <v>7</v>
      </c>
      <c r="I58" s="12" t="n">
        <f aca="false">H58*(1-Share*C58)</f>
        <v>3.5</v>
      </c>
      <c r="J58" s="12" t="n">
        <f aca="false">I58*(1-Share*D58)</f>
        <v>3.5</v>
      </c>
      <c r="K58" s="12" t="n">
        <f aca="false">J58*(1-Share*E58)</f>
        <v>1.75</v>
      </c>
      <c r="L58" s="12" t="n">
        <f aca="false">K58*(1-Share*F58)</f>
        <v>1.75</v>
      </c>
      <c r="M58" s="12" t="n">
        <f aca="false">L58*(1-Share*G58)</f>
        <v>0.875</v>
      </c>
      <c r="N58" s="14" t="n">
        <f aca="false">Smax-Val_pt*H58</f>
        <v>70</v>
      </c>
      <c r="O58" s="14" t="n">
        <f aca="false">Smax-Val_pt*I58</f>
        <v>105</v>
      </c>
      <c r="P58" s="14" t="n">
        <f aca="false">Smax-Val_pt*J58</f>
        <v>105</v>
      </c>
      <c r="Q58" s="14" t="n">
        <f aca="false">Smax-Val_pt*K58</f>
        <v>122.5</v>
      </c>
      <c r="R58" s="14" t="n">
        <f aca="false">Smax-Val_pt*L58</f>
        <v>122.5</v>
      </c>
      <c r="S58" s="14" t="n">
        <f aca="false">Smax-Val_pt*M58</f>
        <v>131.25</v>
      </c>
      <c r="T58" s="14" t="n">
        <f aca="false">SUM(B58:G58)</f>
        <v>4</v>
      </c>
      <c r="U58" s="15" t="n">
        <f aca="false">Cash0+SUM(N58:S58)-Cost_r*T58+Credit_M*S58</f>
        <v>2951.25</v>
      </c>
      <c r="V58" s="15" t="n">
        <f aca="false">Cash0+SUM(N58:S58)-Cost_r*T58+Credit_10*S58</f>
        <v>1638.75</v>
      </c>
      <c r="W58" s="11" t="n">
        <f aca="false">Liq0+N58-Cost_r*B58</f>
        <v>570</v>
      </c>
      <c r="X58" s="11" t="n">
        <f aca="false">W58+O58-Cost_r*C58</f>
        <v>555</v>
      </c>
      <c r="Y58" s="11" t="n">
        <f aca="false">X58+P58-Cost_r*D58</f>
        <v>660</v>
      </c>
      <c r="Z58" s="11" t="n">
        <f aca="false">Y58+Q58-Cost_r*E58</f>
        <v>662.5</v>
      </c>
      <c r="AA58" s="11" t="n">
        <f aca="false">Z58+R58-Cost_r*F58</f>
        <v>785</v>
      </c>
      <c r="AB58" s="11" t="n">
        <f aca="false">AA58+S58-Cost_r*G58</f>
        <v>796.25</v>
      </c>
      <c r="AC58" s="11" t="n">
        <f aca="false">MIN(MIN(Liq0-Cost_r*B58,W58-Cost_r*C58,X58-Cost_r*D58,Y58-Cost_r*E58,Z58-Cost_r*F58,AA58-Cost_r*G58,MIN(W58:AB58))-Floor_q,AB58-End_q)</f>
        <v>100</v>
      </c>
      <c r="AD58" s="14" t="n">
        <f aca="false">Val_pt*Share/(1-Share*B58)*(SUM(H58:M58)+Credit_M*M58)-Cost_r</f>
        <v>238.75</v>
      </c>
      <c r="AE58" s="14" t="n">
        <f aca="false">Val_pt*Share/(1-Share*C58)*(SUM(I58:M58)+Credit_M*M58)-Cost_r</f>
        <v>168.75</v>
      </c>
      <c r="AF58" s="14" t="n">
        <f aca="false">Val_pt*Share/(1-Share*D58)*(SUM(J58:M58)+Credit_M*M58)-Cost_r</f>
        <v>6.875</v>
      </c>
      <c r="AG58" s="14" t="n">
        <f aca="false">Val_pt*Share/(1-Share*E58)*(SUM(K58:M58)+Credit_M*M58)-Cost_r</f>
        <v>98.75</v>
      </c>
      <c r="AH58" s="14" t="n">
        <f aca="false">Val_pt*Share/(1-Share*F58)*(SUM(L58:M58)+Credit_M*M58)-Cost_r</f>
        <v>-19.375</v>
      </c>
      <c r="AI58" s="14" t="n">
        <f aca="false">Val_pt*Share/(1-Share*G58)*(SUM(M58:M58)+Credit_M*M58)-Cost_r</f>
        <v>63.75</v>
      </c>
      <c r="AJ58" s="17" t="n">
        <f aca="false">IF(AND(IF(B58=1,AD58&gt;0,AD58&lt;0),IF(C58=1,AE58&gt;0,AE58&lt;0),IF(D58=1,AF58&gt;0,AF58&lt;0),IF(E58=1,AG58&gt;0,AG58&lt;0),IF(F58=1,AH58&gt;0,AH58&lt;0),IF(G58=1,AI58&gt;0,AI58&lt;0)),1,0)</f>
        <v>0</v>
      </c>
    </row>
    <row r="59" customFormat="false" ht="15" hidden="false" customHeight="false" outlineLevel="0" collapsed="false">
      <c r="A59" s="17" t="n">
        <v>54</v>
      </c>
      <c r="B59" s="17" t="n">
        <f aca="false">MOD(INT($A59/32),2)</f>
        <v>1</v>
      </c>
      <c r="C59" s="17" t="n">
        <f aca="false">MOD(INT($A59/16),2)</f>
        <v>1</v>
      </c>
      <c r="D59" s="17" t="n">
        <f aca="false">MOD(INT($A59/8),2)</f>
        <v>0</v>
      </c>
      <c r="E59" s="17" t="n">
        <f aca="false">MOD(INT($A59/4),2)</f>
        <v>1</v>
      </c>
      <c r="F59" s="17" t="n">
        <f aca="false">MOD(INT($A59/2),2)</f>
        <v>1</v>
      </c>
      <c r="G59" s="17" t="n">
        <f aca="false">MOD(INT($A59/1),2)</f>
        <v>0</v>
      </c>
      <c r="H59" s="12" t="n">
        <f aca="false">Gap0*(1-Share*B59)</f>
        <v>7</v>
      </c>
      <c r="I59" s="12" t="n">
        <f aca="false">H59*(1-Share*C59)</f>
        <v>3.5</v>
      </c>
      <c r="J59" s="12" t="n">
        <f aca="false">I59*(1-Share*D59)</f>
        <v>3.5</v>
      </c>
      <c r="K59" s="12" t="n">
        <f aca="false">J59*(1-Share*E59)</f>
        <v>1.75</v>
      </c>
      <c r="L59" s="12" t="n">
        <f aca="false">K59*(1-Share*F59)</f>
        <v>0.875</v>
      </c>
      <c r="M59" s="12" t="n">
        <f aca="false">L59*(1-Share*G59)</f>
        <v>0.875</v>
      </c>
      <c r="N59" s="14" t="n">
        <f aca="false">Smax-Val_pt*H59</f>
        <v>70</v>
      </c>
      <c r="O59" s="14" t="n">
        <f aca="false">Smax-Val_pt*I59</f>
        <v>105</v>
      </c>
      <c r="P59" s="14" t="n">
        <f aca="false">Smax-Val_pt*J59</f>
        <v>105</v>
      </c>
      <c r="Q59" s="14" t="n">
        <f aca="false">Smax-Val_pt*K59</f>
        <v>122.5</v>
      </c>
      <c r="R59" s="14" t="n">
        <f aca="false">Smax-Val_pt*L59</f>
        <v>131.25</v>
      </c>
      <c r="S59" s="14" t="n">
        <f aca="false">Smax-Val_pt*M59</f>
        <v>131.25</v>
      </c>
      <c r="T59" s="14" t="n">
        <f aca="false">SUM(B59:G59)</f>
        <v>4</v>
      </c>
      <c r="U59" s="15" t="n">
        <f aca="false">Cash0+SUM(N59:S59)-Cost_r*T59+Credit_M*S59</f>
        <v>2960</v>
      </c>
      <c r="V59" s="15" t="n">
        <f aca="false">Cash0+SUM(N59:S59)-Cost_r*T59+Credit_10*S59</f>
        <v>1647.5</v>
      </c>
      <c r="W59" s="11" t="n">
        <f aca="false">Liq0+N59-Cost_r*B59</f>
        <v>570</v>
      </c>
      <c r="X59" s="11" t="n">
        <f aca="false">W59+O59-Cost_r*C59</f>
        <v>555</v>
      </c>
      <c r="Y59" s="11" t="n">
        <f aca="false">X59+P59-Cost_r*D59</f>
        <v>660</v>
      </c>
      <c r="Z59" s="11" t="n">
        <f aca="false">Y59+Q59-Cost_r*E59</f>
        <v>662.5</v>
      </c>
      <c r="AA59" s="11" t="n">
        <f aca="false">Z59+R59-Cost_r*F59</f>
        <v>673.75</v>
      </c>
      <c r="AB59" s="11" t="n">
        <f aca="false">AA59+S59-Cost_r*G59</f>
        <v>805</v>
      </c>
      <c r="AC59" s="11" t="n">
        <f aca="false">MIN(MIN(Liq0-Cost_r*B59,W59-Cost_r*C59,X59-Cost_r*D59,Y59-Cost_r*E59,Z59-Cost_r*F59,AA59-Cost_r*G59,MIN(W59:AB59))-Floor_q,AB59-End_q)</f>
        <v>100</v>
      </c>
      <c r="AD59" s="14" t="n">
        <f aca="false">Val_pt*Share/(1-Share*B59)*(SUM(H59:M59)+Credit_M*M59)-Cost_r</f>
        <v>230</v>
      </c>
      <c r="AE59" s="14" t="n">
        <f aca="false">Val_pt*Share/(1-Share*C59)*(SUM(I59:M59)+Credit_M*M59)-Cost_r</f>
        <v>160</v>
      </c>
      <c r="AF59" s="14" t="n">
        <f aca="false">Val_pt*Share/(1-Share*D59)*(SUM(J59:M59)+Credit_M*M59)-Cost_r</f>
        <v>2.5</v>
      </c>
      <c r="AG59" s="14" t="n">
        <f aca="false">Val_pt*Share/(1-Share*E59)*(SUM(K59:M59)+Credit_M*M59)-Cost_r</f>
        <v>90</v>
      </c>
      <c r="AH59" s="14" t="n">
        <f aca="false">Val_pt*Share/(1-Share*F59)*(SUM(L59:M59)+Credit_M*M59)-Cost_r</f>
        <v>72.5</v>
      </c>
      <c r="AI59" s="14" t="n">
        <f aca="false">Val_pt*Share/(1-Share*G59)*(SUM(M59:M59)+Credit_M*M59)-Cost_r</f>
        <v>-28.125</v>
      </c>
      <c r="AJ59" s="17" t="n">
        <f aca="false">IF(AND(IF(B59=1,AD59&gt;0,AD59&lt;0),IF(C59=1,AE59&gt;0,AE59&lt;0),IF(D59=1,AF59&gt;0,AF59&lt;0),IF(E59=1,AG59&gt;0,AG59&lt;0),IF(F59=1,AH59&gt;0,AH59&lt;0),IF(G59=1,AI59&gt;0,AI59&lt;0)),1,0)</f>
        <v>0</v>
      </c>
    </row>
    <row r="60" customFormat="false" ht="15" hidden="false" customHeight="false" outlineLevel="0" collapsed="false">
      <c r="A60" s="17" t="n">
        <v>55</v>
      </c>
      <c r="B60" s="17" t="n">
        <f aca="false">MOD(INT($A60/32),2)</f>
        <v>1</v>
      </c>
      <c r="C60" s="17" t="n">
        <f aca="false">MOD(INT($A60/16),2)</f>
        <v>1</v>
      </c>
      <c r="D60" s="17" t="n">
        <f aca="false">MOD(INT($A60/8),2)</f>
        <v>0</v>
      </c>
      <c r="E60" s="17" t="n">
        <f aca="false">MOD(INT($A60/4),2)</f>
        <v>1</v>
      </c>
      <c r="F60" s="17" t="n">
        <f aca="false">MOD(INT($A60/2),2)</f>
        <v>1</v>
      </c>
      <c r="G60" s="17" t="n">
        <f aca="false">MOD(INT($A60/1),2)</f>
        <v>1</v>
      </c>
      <c r="H60" s="12" t="n">
        <f aca="false">Gap0*(1-Share*B60)</f>
        <v>7</v>
      </c>
      <c r="I60" s="12" t="n">
        <f aca="false">H60*(1-Share*C60)</f>
        <v>3.5</v>
      </c>
      <c r="J60" s="12" t="n">
        <f aca="false">I60*(1-Share*D60)</f>
        <v>3.5</v>
      </c>
      <c r="K60" s="12" t="n">
        <f aca="false">J60*(1-Share*E60)</f>
        <v>1.75</v>
      </c>
      <c r="L60" s="12" t="n">
        <f aca="false">K60*(1-Share*F60)</f>
        <v>0.875</v>
      </c>
      <c r="M60" s="12" t="n">
        <f aca="false">L60*(1-Share*G60)</f>
        <v>0.4375</v>
      </c>
      <c r="N60" s="14" t="n">
        <f aca="false">Smax-Val_pt*H60</f>
        <v>70</v>
      </c>
      <c r="O60" s="14" t="n">
        <f aca="false">Smax-Val_pt*I60</f>
        <v>105</v>
      </c>
      <c r="P60" s="14" t="n">
        <f aca="false">Smax-Val_pt*J60</f>
        <v>105</v>
      </c>
      <c r="Q60" s="14" t="n">
        <f aca="false">Smax-Val_pt*K60</f>
        <v>122.5</v>
      </c>
      <c r="R60" s="14" t="n">
        <f aca="false">Smax-Val_pt*L60</f>
        <v>131.25</v>
      </c>
      <c r="S60" s="14" t="n">
        <f aca="false">Smax-Val_pt*M60</f>
        <v>135.625</v>
      </c>
      <c r="T60" s="14" t="n">
        <f aca="false">SUM(B60:G60)</f>
        <v>5</v>
      </c>
      <c r="U60" s="15" t="n">
        <f aca="false">Cash0+SUM(N60:S60)-Cost_r*T60+Credit_M*S60</f>
        <v>2931.875</v>
      </c>
      <c r="V60" s="15" t="n">
        <f aca="false">Cash0+SUM(N60:S60)-Cost_r*T60+Credit_10*S60</f>
        <v>1575.625</v>
      </c>
      <c r="W60" s="11" t="n">
        <f aca="false">Liq0+N60-Cost_r*B60</f>
        <v>570</v>
      </c>
      <c r="X60" s="11" t="n">
        <f aca="false">W60+O60-Cost_r*C60</f>
        <v>555</v>
      </c>
      <c r="Y60" s="11" t="n">
        <f aca="false">X60+P60-Cost_r*D60</f>
        <v>660</v>
      </c>
      <c r="Z60" s="11" t="n">
        <f aca="false">Y60+Q60-Cost_r*E60</f>
        <v>662.5</v>
      </c>
      <c r="AA60" s="11" t="n">
        <f aca="false">Z60+R60-Cost_r*F60</f>
        <v>673.75</v>
      </c>
      <c r="AB60" s="11" t="n">
        <f aca="false">AA60+S60-Cost_r*G60</f>
        <v>689.375</v>
      </c>
      <c r="AC60" s="11" t="n">
        <f aca="false">MIN(MIN(Liq0-Cost_r*B60,W60-Cost_r*C60,X60-Cost_r*D60,Y60-Cost_r*E60,Z60-Cost_r*F60,AA60-Cost_r*G60,MIN(W60:AB60))-Floor_q,AB60-End_q)</f>
        <v>100</v>
      </c>
      <c r="AD60" s="14" t="n">
        <f aca="false">Val_pt*Share/(1-Share*B60)*(SUM(H60:M60)+Credit_M*M60)-Cost_r</f>
        <v>138.125</v>
      </c>
      <c r="AE60" s="14" t="n">
        <f aca="false">Val_pt*Share/(1-Share*C60)*(SUM(I60:M60)+Credit_M*M60)-Cost_r</f>
        <v>68.125</v>
      </c>
      <c r="AF60" s="14" t="n">
        <f aca="false">Val_pt*Share/(1-Share*D60)*(SUM(J60:M60)+Credit_M*M60)-Cost_r</f>
        <v>-43.4375</v>
      </c>
      <c r="AG60" s="14" t="n">
        <f aca="false">Val_pt*Share/(1-Share*E60)*(SUM(K60:M60)+Credit_M*M60)-Cost_r</f>
        <v>-1.875</v>
      </c>
      <c r="AH60" s="14" t="n">
        <f aca="false">Val_pt*Share/(1-Share*F60)*(SUM(L60:M60)+Credit_M*M60)-Cost_r</f>
        <v>-19.375</v>
      </c>
      <c r="AI60" s="14" t="n">
        <f aca="false">Val_pt*Share/(1-Share*G60)*(SUM(M60:M60)+Credit_M*M60)-Cost_r</f>
        <v>-28.125</v>
      </c>
      <c r="AJ60" s="17" t="n">
        <f aca="false">IF(AND(IF(B60=1,AD60&gt;0,AD60&lt;0),IF(C60=1,AE60&gt;0,AE60&lt;0),IF(D60=1,AF60&gt;0,AF60&lt;0),IF(E60=1,AG60&gt;0,AG60&lt;0),IF(F60=1,AH60&gt;0,AH60&lt;0),IF(G60=1,AI60&gt;0,AI60&lt;0)),1,0)</f>
        <v>0</v>
      </c>
    </row>
    <row r="61" customFormat="false" ht="15" hidden="false" customHeight="false" outlineLevel="0" collapsed="false">
      <c r="A61" s="17" t="n">
        <v>56</v>
      </c>
      <c r="B61" s="17" t="n">
        <f aca="false">MOD(INT($A61/32),2)</f>
        <v>1</v>
      </c>
      <c r="C61" s="17" t="n">
        <f aca="false">MOD(INT($A61/16),2)</f>
        <v>1</v>
      </c>
      <c r="D61" s="17" t="n">
        <f aca="false">MOD(INT($A61/8),2)</f>
        <v>1</v>
      </c>
      <c r="E61" s="17" t="n">
        <f aca="false">MOD(INT($A61/4),2)</f>
        <v>0</v>
      </c>
      <c r="F61" s="17" t="n">
        <f aca="false">MOD(INT($A61/2),2)</f>
        <v>0</v>
      </c>
      <c r="G61" s="17" t="n">
        <f aca="false">MOD(INT($A61/1),2)</f>
        <v>0</v>
      </c>
      <c r="H61" s="12" t="n">
        <f aca="false">Gap0*(1-Share*B61)</f>
        <v>7</v>
      </c>
      <c r="I61" s="12" t="n">
        <f aca="false">H61*(1-Share*C61)</f>
        <v>3.5</v>
      </c>
      <c r="J61" s="12" t="n">
        <f aca="false">I61*(1-Share*D61)</f>
        <v>1.75</v>
      </c>
      <c r="K61" s="12" t="n">
        <f aca="false">J61*(1-Share*E61)</f>
        <v>1.75</v>
      </c>
      <c r="L61" s="12" t="n">
        <f aca="false">K61*(1-Share*F61)</f>
        <v>1.75</v>
      </c>
      <c r="M61" s="12" t="n">
        <f aca="false">L61*(1-Share*G61)</f>
        <v>1.75</v>
      </c>
      <c r="N61" s="14" t="n">
        <f aca="false">Smax-Val_pt*H61</f>
        <v>70</v>
      </c>
      <c r="O61" s="14" t="n">
        <f aca="false">Smax-Val_pt*I61</f>
        <v>105</v>
      </c>
      <c r="P61" s="14" t="n">
        <f aca="false">Smax-Val_pt*J61</f>
        <v>122.5</v>
      </c>
      <c r="Q61" s="14" t="n">
        <f aca="false">Smax-Val_pt*K61</f>
        <v>122.5</v>
      </c>
      <c r="R61" s="14" t="n">
        <f aca="false">Smax-Val_pt*L61</f>
        <v>122.5</v>
      </c>
      <c r="S61" s="14" t="n">
        <f aca="false">Smax-Val_pt*M61</f>
        <v>122.5</v>
      </c>
      <c r="T61" s="14" t="n">
        <f aca="false">SUM(B61:G61)</f>
        <v>3</v>
      </c>
      <c r="U61" s="15" t="n">
        <f aca="false">Cash0+SUM(N61:S61)-Cost_r*T61+Credit_M*S61</f>
        <v>2905</v>
      </c>
      <c r="V61" s="15" t="n">
        <f aca="false">Cash0+SUM(N61:S61)-Cost_r*T61+Credit_10*S61</f>
        <v>1680</v>
      </c>
      <c r="W61" s="11" t="n">
        <f aca="false">Liq0+N61-Cost_r*B61</f>
        <v>570</v>
      </c>
      <c r="X61" s="11" t="n">
        <f aca="false">W61+O61-Cost_r*C61</f>
        <v>555</v>
      </c>
      <c r="Y61" s="11" t="n">
        <f aca="false">X61+P61-Cost_r*D61</f>
        <v>557.5</v>
      </c>
      <c r="Z61" s="11" t="n">
        <f aca="false">Y61+Q61-Cost_r*E61</f>
        <v>680</v>
      </c>
      <c r="AA61" s="11" t="n">
        <f aca="false">Z61+R61-Cost_r*F61</f>
        <v>802.5</v>
      </c>
      <c r="AB61" s="11" t="n">
        <f aca="false">AA61+S61-Cost_r*G61</f>
        <v>925</v>
      </c>
      <c r="AC61" s="11" t="n">
        <f aca="false">MIN(MIN(Liq0-Cost_r*B61,W61-Cost_r*C61,X61-Cost_r*D61,Y61-Cost_r*E61,Z61-Cost_r*F61,AA61-Cost_r*G61,MIN(W61:AB61))-Floor_q,AB61-End_q)</f>
        <v>85</v>
      </c>
      <c r="AD61" s="14" t="n">
        <f aca="false">Val_pt*Share/(1-Share*B61)*(SUM(H61:M61)+Credit_M*M61)-Cost_r</f>
        <v>405</v>
      </c>
      <c r="AE61" s="14" t="n">
        <f aca="false">Val_pt*Share/(1-Share*C61)*(SUM(I61:M61)+Credit_M*M61)-Cost_r</f>
        <v>335</v>
      </c>
      <c r="AF61" s="14" t="n">
        <f aca="false">Val_pt*Share/(1-Share*D61)*(SUM(J61:M61)+Credit_M*M61)-Cost_r</f>
        <v>300</v>
      </c>
      <c r="AG61" s="14" t="n">
        <f aca="false">Val_pt*Share/(1-Share*E61)*(SUM(K61:M61)+Credit_M*M61)-Cost_r</f>
        <v>81.25</v>
      </c>
      <c r="AH61" s="14" t="n">
        <f aca="false">Val_pt*Share/(1-Share*F61)*(SUM(L61:M61)+Credit_M*M61)-Cost_r</f>
        <v>72.5</v>
      </c>
      <c r="AI61" s="14" t="n">
        <f aca="false">Val_pt*Share/(1-Share*G61)*(SUM(M61:M61)+Credit_M*M61)-Cost_r</f>
        <v>63.75</v>
      </c>
      <c r="AJ61" s="17" t="n">
        <f aca="false">IF(AND(IF(B61=1,AD61&gt;0,AD61&lt;0),IF(C61=1,AE61&gt;0,AE61&lt;0),IF(D61=1,AF61&gt;0,AF61&lt;0),IF(E61=1,AG61&gt;0,AG61&lt;0),IF(F61=1,AH61&gt;0,AH61&lt;0),IF(G61=1,AI61&gt;0,AI61&lt;0)),1,0)</f>
        <v>0</v>
      </c>
    </row>
    <row r="62" customFormat="false" ht="15" hidden="false" customHeight="false" outlineLevel="0" collapsed="false">
      <c r="A62" s="17" t="n">
        <v>57</v>
      </c>
      <c r="B62" s="17" t="n">
        <f aca="false">MOD(INT($A62/32),2)</f>
        <v>1</v>
      </c>
      <c r="C62" s="17" t="n">
        <f aca="false">MOD(INT($A62/16),2)</f>
        <v>1</v>
      </c>
      <c r="D62" s="17" t="n">
        <f aca="false">MOD(INT($A62/8),2)</f>
        <v>1</v>
      </c>
      <c r="E62" s="17" t="n">
        <f aca="false">MOD(INT($A62/4),2)</f>
        <v>0</v>
      </c>
      <c r="F62" s="17" t="n">
        <f aca="false">MOD(INT($A62/2),2)</f>
        <v>0</v>
      </c>
      <c r="G62" s="17" t="n">
        <f aca="false">MOD(INT($A62/1),2)</f>
        <v>1</v>
      </c>
      <c r="H62" s="12" t="n">
        <f aca="false">Gap0*(1-Share*B62)</f>
        <v>7</v>
      </c>
      <c r="I62" s="12" t="n">
        <f aca="false">H62*(1-Share*C62)</f>
        <v>3.5</v>
      </c>
      <c r="J62" s="12" t="n">
        <f aca="false">I62*(1-Share*D62)</f>
        <v>1.75</v>
      </c>
      <c r="K62" s="12" t="n">
        <f aca="false">J62*(1-Share*E62)</f>
        <v>1.75</v>
      </c>
      <c r="L62" s="12" t="n">
        <f aca="false">K62*(1-Share*F62)</f>
        <v>1.75</v>
      </c>
      <c r="M62" s="12" t="n">
        <f aca="false">L62*(1-Share*G62)</f>
        <v>0.875</v>
      </c>
      <c r="N62" s="14" t="n">
        <f aca="false">Smax-Val_pt*H62</f>
        <v>70</v>
      </c>
      <c r="O62" s="14" t="n">
        <f aca="false">Smax-Val_pt*I62</f>
        <v>105</v>
      </c>
      <c r="P62" s="14" t="n">
        <f aca="false">Smax-Val_pt*J62</f>
        <v>122.5</v>
      </c>
      <c r="Q62" s="14" t="n">
        <f aca="false">Smax-Val_pt*K62</f>
        <v>122.5</v>
      </c>
      <c r="R62" s="14" t="n">
        <f aca="false">Smax-Val_pt*L62</f>
        <v>122.5</v>
      </c>
      <c r="S62" s="14" t="n">
        <f aca="false">Smax-Val_pt*M62</f>
        <v>131.25</v>
      </c>
      <c r="T62" s="14" t="n">
        <f aca="false">SUM(B62:G62)</f>
        <v>4</v>
      </c>
      <c r="U62" s="15" t="n">
        <f aca="false">Cash0+SUM(N62:S62)-Cost_r*T62+Credit_M*S62</f>
        <v>2968.75</v>
      </c>
      <c r="V62" s="15" t="n">
        <f aca="false">Cash0+SUM(N62:S62)-Cost_r*T62+Credit_10*S62</f>
        <v>1656.25</v>
      </c>
      <c r="W62" s="11" t="n">
        <f aca="false">Liq0+N62-Cost_r*B62</f>
        <v>570</v>
      </c>
      <c r="X62" s="11" t="n">
        <f aca="false">W62+O62-Cost_r*C62</f>
        <v>555</v>
      </c>
      <c r="Y62" s="11" t="n">
        <f aca="false">X62+P62-Cost_r*D62</f>
        <v>557.5</v>
      </c>
      <c r="Z62" s="11" t="n">
        <f aca="false">Y62+Q62-Cost_r*E62</f>
        <v>680</v>
      </c>
      <c r="AA62" s="11" t="n">
        <f aca="false">Z62+R62-Cost_r*F62</f>
        <v>802.5</v>
      </c>
      <c r="AB62" s="11" t="n">
        <f aca="false">AA62+S62-Cost_r*G62</f>
        <v>813.75</v>
      </c>
      <c r="AC62" s="11" t="n">
        <f aca="false">MIN(MIN(Liq0-Cost_r*B62,W62-Cost_r*C62,X62-Cost_r*D62,Y62-Cost_r*E62,Z62-Cost_r*F62,AA62-Cost_r*G62,MIN(W62:AB62))-Floor_q,AB62-End_q)</f>
        <v>85</v>
      </c>
      <c r="AD62" s="14" t="n">
        <f aca="false">Val_pt*Share/(1-Share*B62)*(SUM(H62:M62)+Credit_M*M62)-Cost_r</f>
        <v>221.25</v>
      </c>
      <c r="AE62" s="14" t="n">
        <f aca="false">Val_pt*Share/(1-Share*C62)*(SUM(I62:M62)+Credit_M*M62)-Cost_r</f>
        <v>151.25</v>
      </c>
      <c r="AF62" s="14" t="n">
        <f aca="false">Val_pt*Share/(1-Share*D62)*(SUM(J62:M62)+Credit_M*M62)-Cost_r</f>
        <v>116.25</v>
      </c>
      <c r="AG62" s="14" t="n">
        <f aca="false">Val_pt*Share/(1-Share*E62)*(SUM(K62:M62)+Credit_M*M62)-Cost_r</f>
        <v>-10.625</v>
      </c>
      <c r="AH62" s="14" t="n">
        <f aca="false">Val_pt*Share/(1-Share*F62)*(SUM(L62:M62)+Credit_M*M62)-Cost_r</f>
        <v>-19.375</v>
      </c>
      <c r="AI62" s="14" t="n">
        <f aca="false">Val_pt*Share/(1-Share*G62)*(SUM(M62:M62)+Credit_M*M62)-Cost_r</f>
        <v>63.75</v>
      </c>
      <c r="AJ62" s="17" t="n">
        <f aca="false">IF(AND(IF(B62=1,AD62&gt;0,AD62&lt;0),IF(C62=1,AE62&gt;0,AE62&lt;0),IF(D62=1,AF62&gt;0,AF62&lt;0),IF(E62=1,AG62&gt;0,AG62&lt;0),IF(F62=1,AH62&gt;0,AH62&lt;0),IF(G62=1,AI62&gt;0,AI62&lt;0)),1,0)</f>
        <v>1</v>
      </c>
    </row>
    <row r="63" customFormat="false" ht="15" hidden="false" customHeight="false" outlineLevel="0" collapsed="false">
      <c r="A63" s="17" t="n">
        <v>58</v>
      </c>
      <c r="B63" s="17" t="n">
        <f aca="false">MOD(INT($A63/32),2)</f>
        <v>1</v>
      </c>
      <c r="C63" s="17" t="n">
        <f aca="false">MOD(INT($A63/16),2)</f>
        <v>1</v>
      </c>
      <c r="D63" s="17" t="n">
        <f aca="false">MOD(INT($A63/8),2)</f>
        <v>1</v>
      </c>
      <c r="E63" s="17" t="n">
        <f aca="false">MOD(INT($A63/4),2)</f>
        <v>0</v>
      </c>
      <c r="F63" s="17" t="n">
        <f aca="false">MOD(INT($A63/2),2)</f>
        <v>1</v>
      </c>
      <c r="G63" s="17" t="n">
        <f aca="false">MOD(INT($A63/1),2)</f>
        <v>0</v>
      </c>
      <c r="H63" s="12" t="n">
        <f aca="false">Gap0*(1-Share*B63)</f>
        <v>7</v>
      </c>
      <c r="I63" s="12" t="n">
        <f aca="false">H63*(1-Share*C63)</f>
        <v>3.5</v>
      </c>
      <c r="J63" s="12" t="n">
        <f aca="false">I63*(1-Share*D63)</f>
        <v>1.75</v>
      </c>
      <c r="K63" s="12" t="n">
        <f aca="false">J63*(1-Share*E63)</f>
        <v>1.75</v>
      </c>
      <c r="L63" s="12" t="n">
        <f aca="false">K63*(1-Share*F63)</f>
        <v>0.875</v>
      </c>
      <c r="M63" s="12" t="n">
        <f aca="false">L63*(1-Share*G63)</f>
        <v>0.875</v>
      </c>
      <c r="N63" s="14" t="n">
        <f aca="false">Smax-Val_pt*H63</f>
        <v>70</v>
      </c>
      <c r="O63" s="14" t="n">
        <f aca="false">Smax-Val_pt*I63</f>
        <v>105</v>
      </c>
      <c r="P63" s="14" t="n">
        <f aca="false">Smax-Val_pt*J63</f>
        <v>122.5</v>
      </c>
      <c r="Q63" s="14" t="n">
        <f aca="false">Smax-Val_pt*K63</f>
        <v>122.5</v>
      </c>
      <c r="R63" s="14" t="n">
        <f aca="false">Smax-Val_pt*L63</f>
        <v>131.25</v>
      </c>
      <c r="S63" s="14" t="n">
        <f aca="false">Smax-Val_pt*M63</f>
        <v>131.25</v>
      </c>
      <c r="T63" s="14" t="n">
        <f aca="false">SUM(B63:G63)</f>
        <v>4</v>
      </c>
      <c r="U63" s="15" t="n">
        <f aca="false">Cash0+SUM(N63:S63)-Cost_r*T63+Credit_M*S63</f>
        <v>2977.5</v>
      </c>
      <c r="V63" s="15" t="n">
        <f aca="false">Cash0+SUM(N63:S63)-Cost_r*T63+Credit_10*S63</f>
        <v>1665</v>
      </c>
      <c r="W63" s="11" t="n">
        <f aca="false">Liq0+N63-Cost_r*B63</f>
        <v>570</v>
      </c>
      <c r="X63" s="11" t="n">
        <f aca="false">W63+O63-Cost_r*C63</f>
        <v>555</v>
      </c>
      <c r="Y63" s="11" t="n">
        <f aca="false">X63+P63-Cost_r*D63</f>
        <v>557.5</v>
      </c>
      <c r="Z63" s="11" t="n">
        <f aca="false">Y63+Q63-Cost_r*E63</f>
        <v>680</v>
      </c>
      <c r="AA63" s="11" t="n">
        <f aca="false">Z63+R63-Cost_r*F63</f>
        <v>691.25</v>
      </c>
      <c r="AB63" s="11" t="n">
        <f aca="false">AA63+S63-Cost_r*G63</f>
        <v>822.5</v>
      </c>
      <c r="AC63" s="11" t="n">
        <f aca="false">MIN(MIN(Liq0-Cost_r*B63,W63-Cost_r*C63,X63-Cost_r*D63,Y63-Cost_r*E63,Z63-Cost_r*F63,AA63-Cost_r*G63,MIN(W63:AB63))-Floor_q,AB63-End_q)</f>
        <v>85</v>
      </c>
      <c r="AD63" s="14" t="n">
        <f aca="false">Val_pt*Share/(1-Share*B63)*(SUM(H63:M63)+Credit_M*M63)-Cost_r</f>
        <v>212.5</v>
      </c>
      <c r="AE63" s="14" t="n">
        <f aca="false">Val_pt*Share/(1-Share*C63)*(SUM(I63:M63)+Credit_M*M63)-Cost_r</f>
        <v>142.5</v>
      </c>
      <c r="AF63" s="14" t="n">
        <f aca="false">Val_pt*Share/(1-Share*D63)*(SUM(J63:M63)+Credit_M*M63)-Cost_r</f>
        <v>107.5</v>
      </c>
      <c r="AG63" s="14" t="n">
        <f aca="false">Val_pt*Share/(1-Share*E63)*(SUM(K63:M63)+Credit_M*M63)-Cost_r</f>
        <v>-15</v>
      </c>
      <c r="AH63" s="14" t="n">
        <f aca="false">Val_pt*Share/(1-Share*F63)*(SUM(L63:M63)+Credit_M*M63)-Cost_r</f>
        <v>72.5</v>
      </c>
      <c r="AI63" s="14" t="n">
        <f aca="false">Val_pt*Share/(1-Share*G63)*(SUM(M63:M63)+Credit_M*M63)-Cost_r</f>
        <v>-28.125</v>
      </c>
      <c r="AJ63" s="17" t="n">
        <f aca="false">IF(AND(IF(B63=1,AD63&gt;0,AD63&lt;0),IF(C63=1,AE63&gt;0,AE63&lt;0),IF(D63=1,AF63&gt;0,AF63&lt;0),IF(E63=1,AG63&gt;0,AG63&lt;0),IF(F63=1,AH63&gt;0,AH63&lt;0),IF(G63=1,AI63&gt;0,AI63&lt;0)),1,0)</f>
        <v>1</v>
      </c>
    </row>
    <row r="64" customFormat="false" ht="15" hidden="false" customHeight="false" outlineLevel="0" collapsed="false">
      <c r="A64" s="17" t="n">
        <v>59</v>
      </c>
      <c r="B64" s="17" t="n">
        <f aca="false">MOD(INT($A64/32),2)</f>
        <v>1</v>
      </c>
      <c r="C64" s="17" t="n">
        <f aca="false">MOD(INT($A64/16),2)</f>
        <v>1</v>
      </c>
      <c r="D64" s="17" t="n">
        <f aca="false">MOD(INT($A64/8),2)</f>
        <v>1</v>
      </c>
      <c r="E64" s="17" t="n">
        <f aca="false">MOD(INT($A64/4),2)</f>
        <v>0</v>
      </c>
      <c r="F64" s="17" t="n">
        <f aca="false">MOD(INT($A64/2),2)</f>
        <v>1</v>
      </c>
      <c r="G64" s="17" t="n">
        <f aca="false">MOD(INT($A64/1),2)</f>
        <v>1</v>
      </c>
      <c r="H64" s="12" t="n">
        <f aca="false">Gap0*(1-Share*B64)</f>
        <v>7</v>
      </c>
      <c r="I64" s="12" t="n">
        <f aca="false">H64*(1-Share*C64)</f>
        <v>3.5</v>
      </c>
      <c r="J64" s="12" t="n">
        <f aca="false">I64*(1-Share*D64)</f>
        <v>1.75</v>
      </c>
      <c r="K64" s="12" t="n">
        <f aca="false">J64*(1-Share*E64)</f>
        <v>1.75</v>
      </c>
      <c r="L64" s="12" t="n">
        <f aca="false">K64*(1-Share*F64)</f>
        <v>0.875</v>
      </c>
      <c r="M64" s="12" t="n">
        <f aca="false">L64*(1-Share*G64)</f>
        <v>0.4375</v>
      </c>
      <c r="N64" s="14" t="n">
        <f aca="false">Smax-Val_pt*H64</f>
        <v>70</v>
      </c>
      <c r="O64" s="14" t="n">
        <f aca="false">Smax-Val_pt*I64</f>
        <v>105</v>
      </c>
      <c r="P64" s="14" t="n">
        <f aca="false">Smax-Val_pt*J64</f>
        <v>122.5</v>
      </c>
      <c r="Q64" s="14" t="n">
        <f aca="false">Smax-Val_pt*K64</f>
        <v>122.5</v>
      </c>
      <c r="R64" s="14" t="n">
        <f aca="false">Smax-Val_pt*L64</f>
        <v>131.25</v>
      </c>
      <c r="S64" s="14" t="n">
        <f aca="false">Smax-Val_pt*M64</f>
        <v>135.625</v>
      </c>
      <c r="T64" s="14" t="n">
        <f aca="false">SUM(B64:G64)</f>
        <v>5</v>
      </c>
      <c r="U64" s="15" t="n">
        <f aca="false">Cash0+SUM(N64:S64)-Cost_r*T64+Credit_M*S64</f>
        <v>2949.375</v>
      </c>
      <c r="V64" s="15" t="n">
        <f aca="false">Cash0+SUM(N64:S64)-Cost_r*T64+Credit_10*S64</f>
        <v>1593.125</v>
      </c>
      <c r="W64" s="11" t="n">
        <f aca="false">Liq0+N64-Cost_r*B64</f>
        <v>570</v>
      </c>
      <c r="X64" s="11" t="n">
        <f aca="false">W64+O64-Cost_r*C64</f>
        <v>555</v>
      </c>
      <c r="Y64" s="11" t="n">
        <f aca="false">X64+P64-Cost_r*D64</f>
        <v>557.5</v>
      </c>
      <c r="Z64" s="11" t="n">
        <f aca="false">Y64+Q64-Cost_r*E64</f>
        <v>680</v>
      </c>
      <c r="AA64" s="11" t="n">
        <f aca="false">Z64+R64-Cost_r*F64</f>
        <v>691.25</v>
      </c>
      <c r="AB64" s="11" t="n">
        <f aca="false">AA64+S64-Cost_r*G64</f>
        <v>706.875</v>
      </c>
      <c r="AC64" s="11" t="n">
        <f aca="false">MIN(MIN(Liq0-Cost_r*B64,W64-Cost_r*C64,X64-Cost_r*D64,Y64-Cost_r*E64,Z64-Cost_r*F64,AA64-Cost_r*G64,MIN(W64:AB64))-Floor_q,AB64-End_q)</f>
        <v>85</v>
      </c>
      <c r="AD64" s="14" t="n">
        <f aca="false">Val_pt*Share/(1-Share*B64)*(SUM(H64:M64)+Credit_M*M64)-Cost_r</f>
        <v>120.625</v>
      </c>
      <c r="AE64" s="14" t="n">
        <f aca="false">Val_pt*Share/(1-Share*C64)*(SUM(I64:M64)+Credit_M*M64)-Cost_r</f>
        <v>50.625</v>
      </c>
      <c r="AF64" s="14" t="n">
        <f aca="false">Val_pt*Share/(1-Share*D64)*(SUM(J64:M64)+Credit_M*M64)-Cost_r</f>
        <v>15.625</v>
      </c>
      <c r="AG64" s="14" t="n">
        <f aca="false">Val_pt*Share/(1-Share*E64)*(SUM(K64:M64)+Credit_M*M64)-Cost_r</f>
        <v>-60.9375</v>
      </c>
      <c r="AH64" s="14" t="n">
        <f aca="false">Val_pt*Share/(1-Share*F64)*(SUM(L64:M64)+Credit_M*M64)-Cost_r</f>
        <v>-19.375</v>
      </c>
      <c r="AI64" s="14" t="n">
        <f aca="false">Val_pt*Share/(1-Share*G64)*(SUM(M64:M64)+Credit_M*M64)-Cost_r</f>
        <v>-28.125</v>
      </c>
      <c r="AJ64" s="17" t="n">
        <f aca="false">IF(AND(IF(B64=1,AD64&gt;0,AD64&lt;0),IF(C64=1,AE64&gt;0,AE64&lt;0),IF(D64=1,AF64&gt;0,AF64&lt;0),IF(E64=1,AG64&gt;0,AG64&lt;0),IF(F64=1,AH64&gt;0,AH64&lt;0),IF(G64=1,AI64&gt;0,AI64&lt;0)),1,0)</f>
        <v>0</v>
      </c>
    </row>
    <row r="65" customFormat="false" ht="15" hidden="false" customHeight="false" outlineLevel="0" collapsed="false">
      <c r="A65" s="17" t="n">
        <v>60</v>
      </c>
      <c r="B65" s="17" t="n">
        <f aca="false">MOD(INT($A65/32),2)</f>
        <v>1</v>
      </c>
      <c r="C65" s="17" t="n">
        <f aca="false">MOD(INT($A65/16),2)</f>
        <v>1</v>
      </c>
      <c r="D65" s="17" t="n">
        <f aca="false">MOD(INT($A65/8),2)</f>
        <v>1</v>
      </c>
      <c r="E65" s="17" t="n">
        <f aca="false">MOD(INT($A65/4),2)</f>
        <v>1</v>
      </c>
      <c r="F65" s="17" t="n">
        <f aca="false">MOD(INT($A65/2),2)</f>
        <v>0</v>
      </c>
      <c r="G65" s="17" t="n">
        <f aca="false">MOD(INT($A65/1),2)</f>
        <v>0</v>
      </c>
      <c r="H65" s="12" t="n">
        <f aca="false">Gap0*(1-Share*B65)</f>
        <v>7</v>
      </c>
      <c r="I65" s="12" t="n">
        <f aca="false">H65*(1-Share*C65)</f>
        <v>3.5</v>
      </c>
      <c r="J65" s="12" t="n">
        <f aca="false">I65*(1-Share*D65)</f>
        <v>1.75</v>
      </c>
      <c r="K65" s="12" t="n">
        <f aca="false">J65*(1-Share*E65)</f>
        <v>0.875</v>
      </c>
      <c r="L65" s="12" t="n">
        <f aca="false">K65*(1-Share*F65)</f>
        <v>0.875</v>
      </c>
      <c r="M65" s="12" t="n">
        <f aca="false">L65*(1-Share*G65)</f>
        <v>0.875</v>
      </c>
      <c r="N65" s="14" t="n">
        <f aca="false">Smax-Val_pt*H65</f>
        <v>70</v>
      </c>
      <c r="O65" s="14" t="n">
        <f aca="false">Smax-Val_pt*I65</f>
        <v>105</v>
      </c>
      <c r="P65" s="14" t="n">
        <f aca="false">Smax-Val_pt*J65</f>
        <v>122.5</v>
      </c>
      <c r="Q65" s="14" t="n">
        <f aca="false">Smax-Val_pt*K65</f>
        <v>131.25</v>
      </c>
      <c r="R65" s="14" t="n">
        <f aca="false">Smax-Val_pt*L65</f>
        <v>131.25</v>
      </c>
      <c r="S65" s="14" t="n">
        <f aca="false">Smax-Val_pt*M65</f>
        <v>131.25</v>
      </c>
      <c r="T65" s="14" t="n">
        <f aca="false">SUM(B65:G65)</f>
        <v>4</v>
      </c>
      <c r="U65" s="15" t="n">
        <f aca="false">Cash0+SUM(N65:S65)-Cost_r*T65+Credit_M*S65</f>
        <v>2986.25</v>
      </c>
      <c r="V65" s="15" t="n">
        <f aca="false">Cash0+SUM(N65:S65)-Cost_r*T65+Credit_10*S65</f>
        <v>1673.75</v>
      </c>
      <c r="W65" s="11" t="n">
        <f aca="false">Liq0+N65-Cost_r*B65</f>
        <v>570</v>
      </c>
      <c r="X65" s="11" t="n">
        <f aca="false">W65+O65-Cost_r*C65</f>
        <v>555</v>
      </c>
      <c r="Y65" s="11" t="n">
        <f aca="false">X65+P65-Cost_r*D65</f>
        <v>557.5</v>
      </c>
      <c r="Z65" s="11" t="n">
        <f aca="false">Y65+Q65-Cost_r*E65</f>
        <v>568.75</v>
      </c>
      <c r="AA65" s="11" t="n">
        <f aca="false">Z65+R65-Cost_r*F65</f>
        <v>700</v>
      </c>
      <c r="AB65" s="11" t="n">
        <f aca="false">AA65+S65-Cost_r*G65</f>
        <v>831.25</v>
      </c>
      <c r="AC65" s="11" t="n">
        <f aca="false">MIN(MIN(Liq0-Cost_r*B65,W65-Cost_r*C65,X65-Cost_r*D65,Y65-Cost_r*E65,Z65-Cost_r*F65,AA65-Cost_r*G65,MIN(W65:AB65))-Floor_q,AB65-End_q)</f>
        <v>85</v>
      </c>
      <c r="AD65" s="14" t="n">
        <f aca="false">Val_pt*Share/(1-Share*B65)*(SUM(H65:M65)+Credit_M*M65)-Cost_r</f>
        <v>203.75</v>
      </c>
      <c r="AE65" s="14" t="n">
        <f aca="false">Val_pt*Share/(1-Share*C65)*(SUM(I65:M65)+Credit_M*M65)-Cost_r</f>
        <v>133.75</v>
      </c>
      <c r="AF65" s="14" t="n">
        <f aca="false">Val_pt*Share/(1-Share*D65)*(SUM(J65:M65)+Credit_M*M65)-Cost_r</f>
        <v>98.75</v>
      </c>
      <c r="AG65" s="14" t="n">
        <f aca="false">Val_pt*Share/(1-Share*E65)*(SUM(K65:M65)+Credit_M*M65)-Cost_r</f>
        <v>81.25</v>
      </c>
      <c r="AH65" s="14" t="n">
        <f aca="false">Val_pt*Share/(1-Share*F65)*(SUM(L65:M65)+Credit_M*M65)-Cost_r</f>
        <v>-23.75</v>
      </c>
      <c r="AI65" s="14" t="n">
        <f aca="false">Val_pt*Share/(1-Share*G65)*(SUM(M65:M65)+Credit_M*M65)-Cost_r</f>
        <v>-28.125</v>
      </c>
      <c r="AJ65" s="17" t="n">
        <f aca="false">IF(AND(IF(B65=1,AD65&gt;0,AD65&lt;0),IF(C65=1,AE65&gt;0,AE65&lt;0),IF(D65=1,AF65&gt;0,AF65&lt;0),IF(E65=1,AG65&gt;0,AG65&lt;0),IF(F65=1,AH65&gt;0,AH65&lt;0),IF(G65=1,AI65&gt;0,AI65&lt;0)),1,0)</f>
        <v>1</v>
      </c>
    </row>
    <row r="66" customFormat="false" ht="15" hidden="false" customHeight="false" outlineLevel="0" collapsed="false">
      <c r="A66" s="17" t="n">
        <v>61</v>
      </c>
      <c r="B66" s="17" t="n">
        <f aca="false">MOD(INT($A66/32),2)</f>
        <v>1</v>
      </c>
      <c r="C66" s="17" t="n">
        <f aca="false">MOD(INT($A66/16),2)</f>
        <v>1</v>
      </c>
      <c r="D66" s="17" t="n">
        <f aca="false">MOD(INT($A66/8),2)</f>
        <v>1</v>
      </c>
      <c r="E66" s="17" t="n">
        <f aca="false">MOD(INT($A66/4),2)</f>
        <v>1</v>
      </c>
      <c r="F66" s="17" t="n">
        <f aca="false">MOD(INT($A66/2),2)</f>
        <v>0</v>
      </c>
      <c r="G66" s="17" t="n">
        <f aca="false">MOD(INT($A66/1),2)</f>
        <v>1</v>
      </c>
      <c r="H66" s="12" t="n">
        <f aca="false">Gap0*(1-Share*B66)</f>
        <v>7</v>
      </c>
      <c r="I66" s="12" t="n">
        <f aca="false">H66*(1-Share*C66)</f>
        <v>3.5</v>
      </c>
      <c r="J66" s="12" t="n">
        <f aca="false">I66*(1-Share*D66)</f>
        <v>1.75</v>
      </c>
      <c r="K66" s="12" t="n">
        <f aca="false">J66*(1-Share*E66)</f>
        <v>0.875</v>
      </c>
      <c r="L66" s="12" t="n">
        <f aca="false">K66*(1-Share*F66)</f>
        <v>0.875</v>
      </c>
      <c r="M66" s="12" t="n">
        <f aca="false">L66*(1-Share*G66)</f>
        <v>0.4375</v>
      </c>
      <c r="N66" s="14" t="n">
        <f aca="false">Smax-Val_pt*H66</f>
        <v>70</v>
      </c>
      <c r="O66" s="14" t="n">
        <f aca="false">Smax-Val_pt*I66</f>
        <v>105</v>
      </c>
      <c r="P66" s="14" t="n">
        <f aca="false">Smax-Val_pt*J66</f>
        <v>122.5</v>
      </c>
      <c r="Q66" s="14" t="n">
        <f aca="false">Smax-Val_pt*K66</f>
        <v>131.25</v>
      </c>
      <c r="R66" s="14" t="n">
        <f aca="false">Smax-Val_pt*L66</f>
        <v>131.25</v>
      </c>
      <c r="S66" s="14" t="n">
        <f aca="false">Smax-Val_pt*M66</f>
        <v>135.625</v>
      </c>
      <c r="T66" s="14" t="n">
        <f aca="false">SUM(B66:G66)</f>
        <v>5</v>
      </c>
      <c r="U66" s="15" t="n">
        <f aca="false">Cash0+SUM(N66:S66)-Cost_r*T66+Credit_M*S66</f>
        <v>2958.125</v>
      </c>
      <c r="V66" s="15" t="n">
        <f aca="false">Cash0+SUM(N66:S66)-Cost_r*T66+Credit_10*S66</f>
        <v>1601.875</v>
      </c>
      <c r="W66" s="11" t="n">
        <f aca="false">Liq0+N66-Cost_r*B66</f>
        <v>570</v>
      </c>
      <c r="X66" s="11" t="n">
        <f aca="false">W66+O66-Cost_r*C66</f>
        <v>555</v>
      </c>
      <c r="Y66" s="11" t="n">
        <f aca="false">X66+P66-Cost_r*D66</f>
        <v>557.5</v>
      </c>
      <c r="Z66" s="11" t="n">
        <f aca="false">Y66+Q66-Cost_r*E66</f>
        <v>568.75</v>
      </c>
      <c r="AA66" s="11" t="n">
        <f aca="false">Z66+R66-Cost_r*F66</f>
        <v>700</v>
      </c>
      <c r="AB66" s="11" t="n">
        <f aca="false">AA66+S66-Cost_r*G66</f>
        <v>715.625</v>
      </c>
      <c r="AC66" s="11" t="n">
        <f aca="false">MIN(MIN(Liq0-Cost_r*B66,W66-Cost_r*C66,X66-Cost_r*D66,Y66-Cost_r*E66,Z66-Cost_r*F66,AA66-Cost_r*G66,MIN(W66:AB66))-Floor_q,AB66-End_q)</f>
        <v>85</v>
      </c>
      <c r="AD66" s="14" t="n">
        <f aca="false">Val_pt*Share/(1-Share*B66)*(SUM(H66:M66)+Credit_M*M66)-Cost_r</f>
        <v>111.875</v>
      </c>
      <c r="AE66" s="14" t="n">
        <f aca="false">Val_pt*Share/(1-Share*C66)*(SUM(I66:M66)+Credit_M*M66)-Cost_r</f>
        <v>41.875</v>
      </c>
      <c r="AF66" s="14" t="n">
        <f aca="false">Val_pt*Share/(1-Share*D66)*(SUM(J66:M66)+Credit_M*M66)-Cost_r</f>
        <v>6.875</v>
      </c>
      <c r="AG66" s="14" t="n">
        <f aca="false">Val_pt*Share/(1-Share*E66)*(SUM(K66:M66)+Credit_M*M66)-Cost_r</f>
        <v>-10.625</v>
      </c>
      <c r="AH66" s="14" t="n">
        <f aca="false">Val_pt*Share/(1-Share*F66)*(SUM(L66:M66)+Credit_M*M66)-Cost_r</f>
        <v>-69.6875</v>
      </c>
      <c r="AI66" s="14" t="n">
        <f aca="false">Val_pt*Share/(1-Share*G66)*(SUM(M66:M66)+Credit_M*M66)-Cost_r</f>
        <v>-28.125</v>
      </c>
      <c r="AJ66" s="17" t="n">
        <f aca="false">IF(AND(IF(B66=1,AD66&gt;0,AD66&lt;0),IF(C66=1,AE66&gt;0,AE66&lt;0),IF(D66=1,AF66&gt;0,AF66&lt;0),IF(E66=1,AG66&gt;0,AG66&lt;0),IF(F66=1,AH66&gt;0,AH66&lt;0),IF(G66=1,AI66&gt;0,AI66&lt;0)),1,0)</f>
        <v>0</v>
      </c>
    </row>
    <row r="67" customFormat="false" ht="15" hidden="false" customHeight="false" outlineLevel="0" collapsed="false">
      <c r="A67" s="17" t="n">
        <v>62</v>
      </c>
      <c r="B67" s="17" t="n">
        <f aca="false">MOD(INT($A67/32),2)</f>
        <v>1</v>
      </c>
      <c r="C67" s="17" t="n">
        <f aca="false">MOD(INT($A67/16),2)</f>
        <v>1</v>
      </c>
      <c r="D67" s="17" t="n">
        <f aca="false">MOD(INT($A67/8),2)</f>
        <v>1</v>
      </c>
      <c r="E67" s="17" t="n">
        <f aca="false">MOD(INT($A67/4),2)</f>
        <v>1</v>
      </c>
      <c r="F67" s="17" t="n">
        <f aca="false">MOD(INT($A67/2),2)</f>
        <v>1</v>
      </c>
      <c r="G67" s="17" t="n">
        <f aca="false">MOD(INT($A67/1),2)</f>
        <v>0</v>
      </c>
      <c r="H67" s="12" t="n">
        <f aca="false">Gap0*(1-Share*B67)</f>
        <v>7</v>
      </c>
      <c r="I67" s="12" t="n">
        <f aca="false">H67*(1-Share*C67)</f>
        <v>3.5</v>
      </c>
      <c r="J67" s="12" t="n">
        <f aca="false">I67*(1-Share*D67)</f>
        <v>1.75</v>
      </c>
      <c r="K67" s="12" t="n">
        <f aca="false">J67*(1-Share*E67)</f>
        <v>0.875</v>
      </c>
      <c r="L67" s="12" t="n">
        <f aca="false">K67*(1-Share*F67)</f>
        <v>0.4375</v>
      </c>
      <c r="M67" s="12" t="n">
        <f aca="false">L67*(1-Share*G67)</f>
        <v>0.4375</v>
      </c>
      <c r="N67" s="14" t="n">
        <f aca="false">Smax-Val_pt*H67</f>
        <v>70</v>
      </c>
      <c r="O67" s="14" t="n">
        <f aca="false">Smax-Val_pt*I67</f>
        <v>105</v>
      </c>
      <c r="P67" s="14" t="n">
        <f aca="false">Smax-Val_pt*J67</f>
        <v>122.5</v>
      </c>
      <c r="Q67" s="14" t="n">
        <f aca="false">Smax-Val_pt*K67</f>
        <v>131.25</v>
      </c>
      <c r="R67" s="14" t="n">
        <f aca="false">Smax-Val_pt*L67</f>
        <v>135.625</v>
      </c>
      <c r="S67" s="14" t="n">
        <f aca="false">Smax-Val_pt*M67</f>
        <v>135.625</v>
      </c>
      <c r="T67" s="14" t="n">
        <f aca="false">SUM(B67:G67)</f>
        <v>5</v>
      </c>
      <c r="U67" s="15" t="n">
        <f aca="false">Cash0+SUM(N67:S67)-Cost_r*T67+Credit_M*S67</f>
        <v>2962.5</v>
      </c>
      <c r="V67" s="15" t="n">
        <f aca="false">Cash0+SUM(N67:S67)-Cost_r*T67+Credit_10*S67</f>
        <v>1606.25</v>
      </c>
      <c r="W67" s="11" t="n">
        <f aca="false">Liq0+N67-Cost_r*B67</f>
        <v>570</v>
      </c>
      <c r="X67" s="11" t="n">
        <f aca="false">W67+O67-Cost_r*C67</f>
        <v>555</v>
      </c>
      <c r="Y67" s="11" t="n">
        <f aca="false">X67+P67-Cost_r*D67</f>
        <v>557.5</v>
      </c>
      <c r="Z67" s="11" t="n">
        <f aca="false">Y67+Q67-Cost_r*E67</f>
        <v>568.75</v>
      </c>
      <c r="AA67" s="11" t="n">
        <f aca="false">Z67+R67-Cost_r*F67</f>
        <v>584.375</v>
      </c>
      <c r="AB67" s="11" t="n">
        <f aca="false">AA67+S67-Cost_r*G67</f>
        <v>720</v>
      </c>
      <c r="AC67" s="11" t="n">
        <f aca="false">MIN(MIN(Liq0-Cost_r*B67,W67-Cost_r*C67,X67-Cost_r*D67,Y67-Cost_r*E67,Z67-Cost_r*F67,AA67-Cost_r*G67,MIN(W67:AB67))-Floor_q,AB67-End_q)</f>
        <v>85</v>
      </c>
      <c r="AD67" s="14" t="n">
        <f aca="false">Val_pt*Share/(1-Share*B67)*(SUM(H67:M67)+Credit_M*M67)-Cost_r</f>
        <v>107.5</v>
      </c>
      <c r="AE67" s="14" t="n">
        <f aca="false">Val_pt*Share/(1-Share*C67)*(SUM(I67:M67)+Credit_M*M67)-Cost_r</f>
        <v>37.5</v>
      </c>
      <c r="AF67" s="14" t="n">
        <f aca="false">Val_pt*Share/(1-Share*D67)*(SUM(J67:M67)+Credit_M*M67)-Cost_r</f>
        <v>2.5</v>
      </c>
      <c r="AG67" s="14" t="n">
        <f aca="false">Val_pt*Share/(1-Share*E67)*(SUM(K67:M67)+Credit_M*M67)-Cost_r</f>
        <v>-15</v>
      </c>
      <c r="AH67" s="14" t="n">
        <f aca="false">Val_pt*Share/(1-Share*F67)*(SUM(L67:M67)+Credit_M*M67)-Cost_r</f>
        <v>-23.75</v>
      </c>
      <c r="AI67" s="14" t="n">
        <f aca="false">Val_pt*Share/(1-Share*G67)*(SUM(M67:M67)+Credit_M*M67)-Cost_r</f>
        <v>-74.0625</v>
      </c>
      <c r="AJ67" s="17" t="n">
        <f aca="false">IF(AND(IF(B67=1,AD67&gt;0,AD67&lt;0),IF(C67=1,AE67&gt;0,AE67&lt;0),IF(D67=1,AF67&gt;0,AF67&lt;0),IF(E67=1,AG67&gt;0,AG67&lt;0),IF(F67=1,AH67&gt;0,AH67&lt;0),IF(G67=1,AI67&gt;0,AI67&lt;0)),1,0)</f>
        <v>0</v>
      </c>
    </row>
    <row r="68" customFormat="false" ht="15" hidden="false" customHeight="false" outlineLevel="0" collapsed="false">
      <c r="A68" s="17" t="n">
        <v>63</v>
      </c>
      <c r="B68" s="17" t="n">
        <f aca="false">MOD(INT($A68/32),2)</f>
        <v>1</v>
      </c>
      <c r="C68" s="17" t="n">
        <f aca="false">MOD(INT($A68/16),2)</f>
        <v>1</v>
      </c>
      <c r="D68" s="17" t="n">
        <f aca="false">MOD(INT($A68/8),2)</f>
        <v>1</v>
      </c>
      <c r="E68" s="17" t="n">
        <f aca="false">MOD(INT($A68/4),2)</f>
        <v>1</v>
      </c>
      <c r="F68" s="17" t="n">
        <f aca="false">MOD(INT($A68/2),2)</f>
        <v>1</v>
      </c>
      <c r="G68" s="17" t="n">
        <f aca="false">MOD(INT($A68/1),2)</f>
        <v>1</v>
      </c>
      <c r="H68" s="12" t="n">
        <f aca="false">Gap0*(1-Share*B68)</f>
        <v>7</v>
      </c>
      <c r="I68" s="12" t="n">
        <f aca="false">H68*(1-Share*C68)</f>
        <v>3.5</v>
      </c>
      <c r="J68" s="12" t="n">
        <f aca="false">I68*(1-Share*D68)</f>
        <v>1.75</v>
      </c>
      <c r="K68" s="12" t="n">
        <f aca="false">J68*(1-Share*E68)</f>
        <v>0.875</v>
      </c>
      <c r="L68" s="12" t="n">
        <f aca="false">K68*(1-Share*F68)</f>
        <v>0.4375</v>
      </c>
      <c r="M68" s="12" t="n">
        <f aca="false">L68*(1-Share*G68)</f>
        <v>0.21875</v>
      </c>
      <c r="N68" s="14" t="n">
        <f aca="false">Smax-Val_pt*H68</f>
        <v>70</v>
      </c>
      <c r="O68" s="14" t="n">
        <f aca="false">Smax-Val_pt*I68</f>
        <v>105</v>
      </c>
      <c r="P68" s="14" t="n">
        <f aca="false">Smax-Val_pt*J68</f>
        <v>122.5</v>
      </c>
      <c r="Q68" s="14" t="n">
        <f aca="false">Smax-Val_pt*K68</f>
        <v>131.25</v>
      </c>
      <c r="R68" s="14" t="n">
        <f aca="false">Smax-Val_pt*L68</f>
        <v>135.625</v>
      </c>
      <c r="S68" s="14" t="n">
        <f aca="false">Smax-Val_pt*M68</f>
        <v>137.8125</v>
      </c>
      <c r="T68" s="14" t="n">
        <f aca="false">SUM(B68:G68)</f>
        <v>6</v>
      </c>
      <c r="U68" s="15" t="n">
        <f aca="false">Cash0+SUM(N68:S68)-Cost_r*T68+Credit_M*S68</f>
        <v>2888.4375</v>
      </c>
      <c r="V68" s="15" t="n">
        <f aca="false">Cash0+SUM(N68:S68)-Cost_r*T68+Credit_10*S68</f>
        <v>1510.3125</v>
      </c>
      <c r="W68" s="11" t="n">
        <f aca="false">Liq0+N68-Cost_r*B68</f>
        <v>570</v>
      </c>
      <c r="X68" s="11" t="n">
        <f aca="false">W68+O68-Cost_r*C68</f>
        <v>555</v>
      </c>
      <c r="Y68" s="11" t="n">
        <f aca="false">X68+P68-Cost_r*D68</f>
        <v>557.5</v>
      </c>
      <c r="Z68" s="11" t="n">
        <f aca="false">Y68+Q68-Cost_r*E68</f>
        <v>568.75</v>
      </c>
      <c r="AA68" s="11" t="n">
        <f aca="false">Z68+R68-Cost_r*F68</f>
        <v>584.375</v>
      </c>
      <c r="AB68" s="11" t="n">
        <f aca="false">AA68+S68-Cost_r*G68</f>
        <v>602.1875</v>
      </c>
      <c r="AC68" s="11" t="n">
        <f aca="false">MIN(MIN(Liq0-Cost_r*B68,W68-Cost_r*C68,X68-Cost_r*D68,Y68-Cost_r*E68,Z68-Cost_r*F68,AA68-Cost_r*G68,MIN(W68:AB68))-Floor_q,AB68-End_q)</f>
        <v>85</v>
      </c>
      <c r="AD68" s="14" t="n">
        <f aca="false">Val_pt*Share/(1-Share*B68)*(SUM(H68:M68)+Credit_M*M68)-Cost_r</f>
        <v>61.5625</v>
      </c>
      <c r="AE68" s="14" t="n">
        <f aca="false">Val_pt*Share/(1-Share*C68)*(SUM(I68:M68)+Credit_M*M68)-Cost_r</f>
        <v>-8.4375</v>
      </c>
      <c r="AF68" s="14" t="n">
        <f aca="false">Val_pt*Share/(1-Share*D68)*(SUM(J68:M68)+Credit_M*M68)-Cost_r</f>
        <v>-43.4375</v>
      </c>
      <c r="AG68" s="14" t="n">
        <f aca="false">Val_pt*Share/(1-Share*E68)*(SUM(K68:M68)+Credit_M*M68)-Cost_r</f>
        <v>-60.9375</v>
      </c>
      <c r="AH68" s="14" t="n">
        <f aca="false">Val_pt*Share/(1-Share*F68)*(SUM(L68:M68)+Credit_M*M68)-Cost_r</f>
        <v>-69.6875</v>
      </c>
      <c r="AI68" s="14" t="n">
        <f aca="false">Val_pt*Share/(1-Share*G68)*(SUM(M68:M68)+Credit_M*M68)-Cost_r</f>
        <v>-74.0625</v>
      </c>
      <c r="AJ68" s="17" t="n">
        <f aca="false">IF(AND(IF(B68=1,AD68&gt;0,AD68&lt;0),IF(C68=1,AE68&gt;0,AE68&lt;0),IF(D68=1,AF68&gt;0,AF68&lt;0),IF(E68=1,AG68&gt;0,AG68&lt;0),IF(F68=1,AH68&gt;0,AH68&lt;0),IF(G68=1,AI68&gt;0,AI68&lt;0)),1,0)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18"/>
    <col collapsed="false" customWidth="true" hidden="false" outlineLevel="0" max="4" min="4" style="0" width="16"/>
    <col collapsed="false" customWidth="true" hidden="false" outlineLevel="0" max="6" min="5" style="0" width="18"/>
    <col collapsed="false" customWidth="true" hidden="false" outlineLevel="0" max="7" min="7" style="0" width="22"/>
    <col collapsed="false" customWidth="true" hidden="false" outlineLevel="0" max="12" min="8" style="0" width="9"/>
  </cols>
  <sheetData>
    <row r="1" customFormat="false" ht="15" hidden="false" customHeight="false" outlineLevel="0" collapsed="false">
      <c r="A1" s="1" t="s">
        <v>123</v>
      </c>
    </row>
    <row r="2" customFormat="false" ht="15" hidden="false" customHeight="false" outlineLevel="0" collapsed="false">
      <c r="A2" s="10" t="s">
        <v>124</v>
      </c>
    </row>
    <row r="3" customFormat="false" ht="15" hidden="false" customHeight="false" outlineLevel="0" collapsed="false">
      <c r="A3" s="8" t="s">
        <v>125</v>
      </c>
      <c r="B3" s="8" t="s">
        <v>20</v>
      </c>
      <c r="C3" s="8" t="s">
        <v>126</v>
      </c>
    </row>
    <row r="4" customFormat="false" ht="15" hidden="false" customHeight="false" outlineLevel="0" collapsed="false">
      <c r="A4" s="2" t="s">
        <v>127</v>
      </c>
      <c r="B4" s="18" t="n">
        <f aca="false">INDEX(Schedules!$U$5:$U$68,57)</f>
        <v>2905</v>
      </c>
      <c r="C4" s="10" t="s">
        <v>128</v>
      </c>
    </row>
    <row r="5" customFormat="false" ht="15" hidden="false" customHeight="false" outlineLevel="0" collapsed="false">
      <c r="A5" s="2" t="s">
        <v>129</v>
      </c>
      <c r="B5" s="18" t="n">
        <f aca="false">INDEX(Schedules!$U$5:$U$68,61)-B4</f>
        <v>81.25</v>
      </c>
      <c r="C5" s="10" t="s">
        <v>130</v>
      </c>
    </row>
    <row r="6" customFormat="false" ht="15" hidden="false" customHeight="false" outlineLevel="0" collapsed="false">
      <c r="A6" s="2" t="s">
        <v>131</v>
      </c>
      <c r="B6" s="18" t="n">
        <f aca="false">INDEX(Schedules!$U$5:$U$68,59)-B4</f>
        <v>72.5</v>
      </c>
      <c r="C6" s="10" t="s">
        <v>132</v>
      </c>
    </row>
    <row r="7" customFormat="false" ht="15" hidden="false" customHeight="false" outlineLevel="0" collapsed="false">
      <c r="A7" s="2" t="s">
        <v>133</v>
      </c>
      <c r="B7" s="18" t="n">
        <f aca="false">INDEX(Schedules!$U$5:$U$68,63)-INDEX(Schedules!$U$5:$U$68,61)-INDEX(Schedules!$U$5:$U$68,59)+B4</f>
        <v>-96.25</v>
      </c>
      <c r="C7" s="10" t="s">
        <v>134</v>
      </c>
    </row>
    <row r="9" customFormat="false" ht="15" hidden="false" customHeight="false" outlineLevel="0" collapsed="false">
      <c r="A9" s="8" t="s">
        <v>135</v>
      </c>
      <c r="B9" s="8" t="s">
        <v>136</v>
      </c>
      <c r="C9" s="8" t="s">
        <v>137</v>
      </c>
      <c r="D9" s="8" t="s">
        <v>138</v>
      </c>
      <c r="E9" s="8" t="s">
        <v>139</v>
      </c>
      <c r="F9" s="8" t="s">
        <v>140</v>
      </c>
      <c r="G9" s="8" t="s">
        <v>141</v>
      </c>
    </row>
    <row r="10" customFormat="false" ht="15" hidden="false" customHeight="false" outlineLevel="0" collapsed="false">
      <c r="A10" s="2" t="s">
        <v>93</v>
      </c>
      <c r="B10" s="17" t="n">
        <v>0</v>
      </c>
      <c r="C10" s="17" t="n">
        <v>0</v>
      </c>
      <c r="D10" s="18" t="n">
        <f aca="false">$B$4+$B$5*B10+$B$6*C10+$B$7*B10*C10</f>
        <v>2905</v>
      </c>
      <c r="E10" s="11" t="n">
        <f aca="false">$B$5+$B$7*C10</f>
        <v>81.25</v>
      </c>
      <c r="F10" s="11" t="n">
        <f aca="false">$B$6+$B$7*B10</f>
        <v>72.5</v>
      </c>
      <c r="G10" s="2" t="str">
        <f aca="false">IF(AND(IF(B10=1,E10&gt;0,E10&lt;0),IF(C10=1,F10&gt;0,F10&lt;0)),"strict local maximum","not a local maximum")</f>
        <v>not a local maximum</v>
      </c>
    </row>
    <row r="11" customFormat="false" ht="15" hidden="false" customHeight="false" outlineLevel="0" collapsed="false">
      <c r="A11" s="2" t="s">
        <v>90</v>
      </c>
      <c r="B11" s="17" t="n">
        <v>1</v>
      </c>
      <c r="C11" s="17" t="n">
        <v>0</v>
      </c>
      <c r="D11" s="18" t="n">
        <f aca="false">$B$4+$B$5*B11+$B$6*C11+$B$7*B11*C11</f>
        <v>2986.25</v>
      </c>
      <c r="E11" s="11" t="n">
        <f aca="false">$B$5+$B$7*C11</f>
        <v>81.25</v>
      </c>
      <c r="F11" s="11" t="n">
        <f aca="false">$B$6+$B$7*B11</f>
        <v>-23.75</v>
      </c>
      <c r="G11" s="2" t="str">
        <f aca="false">IF(AND(IF(B11=1,E11&gt;0,E11&lt;0),IF(C11=1,F11&gt;0,F11&lt;0)),"strict local maximum","not a local maximum")</f>
        <v>strict local maximum</v>
      </c>
    </row>
    <row r="12" customFormat="false" ht="15" hidden="false" customHeight="false" outlineLevel="0" collapsed="false">
      <c r="A12" s="2" t="s">
        <v>91</v>
      </c>
      <c r="B12" s="17" t="n">
        <v>0</v>
      </c>
      <c r="C12" s="17" t="n">
        <v>1</v>
      </c>
      <c r="D12" s="18" t="n">
        <f aca="false">$B$4+$B$5*B12+$B$6*C12+$B$7*B12*C12</f>
        <v>2977.5</v>
      </c>
      <c r="E12" s="11" t="n">
        <f aca="false">$B$5+$B$7*C12</f>
        <v>-15</v>
      </c>
      <c r="F12" s="11" t="n">
        <f aca="false">$B$6+$B$7*B12</f>
        <v>72.5</v>
      </c>
      <c r="G12" s="2" t="str">
        <f aca="false">IF(AND(IF(B12=1,E12&gt;0,E12&lt;0),IF(C12=1,F12&gt;0,F12&lt;0)),"strict local maximum","not a local maximum")</f>
        <v>strict local maximum</v>
      </c>
    </row>
    <row r="13" customFormat="false" ht="15" hidden="false" customHeight="false" outlineLevel="0" collapsed="false">
      <c r="A13" s="2" t="s">
        <v>142</v>
      </c>
      <c r="B13" s="17" t="n">
        <v>1</v>
      </c>
      <c r="C13" s="17" t="n">
        <v>1</v>
      </c>
      <c r="D13" s="18" t="n">
        <f aca="false">$B$4+$B$5*B13+$B$6*C13+$B$7*B13*C13</f>
        <v>2962.5</v>
      </c>
      <c r="E13" s="11" t="n">
        <f aca="false">$B$5+$B$7*C13</f>
        <v>-15</v>
      </c>
      <c r="F13" s="11" t="n">
        <f aca="false">$B$6+$B$7*B13</f>
        <v>-23.75</v>
      </c>
      <c r="G13" s="2" t="str">
        <f aca="false">IF(AND(IF(B13=1,E13&gt;0,E13&lt;0),IF(C13=1,F13&gt;0,F13&lt;0)),"strict local maximum","not a local maximum")</f>
        <v>not a local maximum</v>
      </c>
    </row>
    <row r="16" customFormat="false" ht="15" hidden="false" customHeight="false" outlineLevel="0" collapsed="false">
      <c r="A16" s="8" t="s">
        <v>143</v>
      </c>
      <c r="B16" s="8" t="s">
        <v>20</v>
      </c>
      <c r="C16" s="8" t="s">
        <v>126</v>
      </c>
    </row>
    <row r="17" customFormat="false" ht="15" hidden="false" customHeight="false" outlineLevel="0" collapsed="false">
      <c r="A17" s="2" t="s">
        <v>144</v>
      </c>
      <c r="B17" s="12" t="n">
        <f aca="false">-B6/B7</f>
        <v>0.753246753246753</v>
      </c>
      <c r="C17" s="10" t="s">
        <v>145</v>
      </c>
    </row>
    <row r="18" customFormat="false" ht="15" hidden="false" customHeight="false" outlineLevel="0" collapsed="false">
      <c r="A18" s="2" t="s">
        <v>146</v>
      </c>
      <c r="B18" s="12" t="n">
        <f aca="false">-B5/B7</f>
        <v>0.844155844155844</v>
      </c>
      <c r="C18" s="10" t="s">
        <v>147</v>
      </c>
    </row>
    <row r="19" customFormat="false" ht="15" hidden="false" customHeight="false" outlineLevel="0" collapsed="false">
      <c r="A19" s="2" t="s">
        <v>148</v>
      </c>
      <c r="B19" s="19" t="n">
        <f aca="false">B4+B5*B17+B6*B18+B7*B17*B18</f>
        <v>2966.2012987013</v>
      </c>
      <c r="C19" s="10" t="s">
        <v>149</v>
      </c>
    </row>
    <row r="20" customFormat="false" ht="15" hidden="false" customHeight="false" outlineLevel="0" collapsed="false">
      <c r="A20" s="2" t="s">
        <v>150</v>
      </c>
      <c r="B20" s="19" t="n">
        <f aca="false">Plans!U9</f>
        <v>2966.2012987013</v>
      </c>
      <c r="C20" s="10"/>
    </row>
    <row r="21" customFormat="false" ht="15" hidden="false" customHeight="false" outlineLevel="0" collapsed="false">
      <c r="A21" s="2" t="s">
        <v>151</v>
      </c>
      <c r="B21" s="11" t="n">
        <f aca="false">B7</f>
        <v>-96.25</v>
      </c>
      <c r="C21" s="10" t="s">
        <v>152</v>
      </c>
    </row>
    <row r="22" customFormat="false" ht="15" hidden="false" customHeight="false" outlineLevel="0" collapsed="false">
      <c r="A22" s="2" t="s">
        <v>153</v>
      </c>
      <c r="B22" s="11" t="n">
        <f aca="false">-ABS(B21)</f>
        <v>-96.25</v>
      </c>
      <c r="C22" s="10" t="s">
        <v>154</v>
      </c>
    </row>
    <row r="23" customFormat="false" ht="15" hidden="false" customHeight="false" outlineLevel="0" collapsed="false">
      <c r="A23" s="2" t="s">
        <v>155</v>
      </c>
      <c r="B23" s="11" t="n">
        <f aca="false">ABS(B21)</f>
        <v>96.25</v>
      </c>
      <c r="C23" s="10" t="s">
        <v>156</v>
      </c>
    </row>
    <row r="25" customFormat="false" ht="23.85" hidden="false" customHeight="false" outlineLevel="0" collapsed="false">
      <c r="A25" s="8" t="s">
        <v>157</v>
      </c>
      <c r="B25" s="8" t="s">
        <v>158</v>
      </c>
      <c r="C25" s="8" t="s">
        <v>159</v>
      </c>
      <c r="D25" s="8" t="s">
        <v>160</v>
      </c>
      <c r="E25" s="8" t="s">
        <v>161</v>
      </c>
    </row>
    <row r="26" customFormat="false" ht="15" hidden="false" customHeight="false" outlineLevel="0" collapsed="false">
      <c r="A26" s="9" t="n">
        <v>0.05</v>
      </c>
      <c r="B26" s="12" t="n">
        <f aca="false">$B$4+$B$5*($B$17+A26)+$B$6*($B$18-A26)+$B$7*($B$17+A26)*($B$18-A26)-$B$19</f>
        <v>0.240624999999909</v>
      </c>
      <c r="C26" s="12" t="n">
        <f aca="false">-$B$7*A26^2</f>
        <v>0.240625</v>
      </c>
      <c r="D26" s="12" t="n">
        <f aca="false">$B$4+$B$5*($B$17+A26)+$B$6*($B$18+A26)+$B$7*($B$17+A26)*($B$18+A26)-$B$19</f>
        <v>-0.240624999999909</v>
      </c>
      <c r="E26" s="12" t="n">
        <f aca="false">$B$7*A26^2</f>
        <v>-0.240625</v>
      </c>
    </row>
    <row r="27" customFormat="false" ht="15" hidden="false" customHeight="false" outlineLevel="0" collapsed="false">
      <c r="A27" s="9" t="n">
        <v>0.1</v>
      </c>
      <c r="B27" s="12" t="n">
        <f aca="false">$B$4+$B$5*($B$17+A27)+$B$6*($B$18-A27)+$B$7*($B$17+A27)*($B$18-A27)-$B$19</f>
        <v>0.962500000000091</v>
      </c>
      <c r="C27" s="12" t="n">
        <f aca="false">-$B$7*A27^2</f>
        <v>0.9625</v>
      </c>
      <c r="D27" s="12" t="n">
        <f aca="false">$B$4+$B$5*($B$17+A27)+$B$6*($B$18+A27)+$B$7*($B$17+A27)*($B$18+A27)-$B$19</f>
        <v>-0.962500000000091</v>
      </c>
      <c r="E27" s="12" t="n">
        <f aca="false">$B$7*A27^2</f>
        <v>-0.9625</v>
      </c>
    </row>
    <row r="28" customFormat="false" ht="15" hidden="false" customHeight="false" outlineLevel="0" collapsed="false">
      <c r="A28" s="9" t="n">
        <v>0.15</v>
      </c>
      <c r="B28" s="12" t="n">
        <f aca="false">$B$4+$B$5*($B$17+A28)+$B$6*($B$18-A28)+$B$7*($B$17+A28)*($B$18-A28)-$B$19</f>
        <v>2.16562500000009</v>
      </c>
      <c r="C28" s="12" t="n">
        <f aca="false">-$B$7*A28^2</f>
        <v>2.165625</v>
      </c>
      <c r="D28" s="12" t="n">
        <f aca="false">$B$4+$B$5*($B$17+A28)+$B$6*($B$18+A28)+$B$7*($B$17+A28)*($B$18+A28)-$B$19</f>
        <v>-2.16562500000009</v>
      </c>
      <c r="E28" s="12" t="n">
        <f aca="false">$B$7*A28^2</f>
        <v>-2.165625</v>
      </c>
    </row>
    <row r="30" customFormat="false" ht="15" hidden="false" customHeight="false" outlineLevel="0" collapsed="false">
      <c r="A30" s="10" t="s">
        <v>162</v>
      </c>
    </row>
    <row r="32" customFormat="false" ht="15" hidden="false" customHeight="false" outlineLevel="0" collapsed="false">
      <c r="A32" s="8" t="s">
        <v>163</v>
      </c>
      <c r="B32" s="8" t="s">
        <v>164</v>
      </c>
      <c r="C32" s="8" t="s">
        <v>165</v>
      </c>
      <c r="D32" s="8" t="s">
        <v>166</v>
      </c>
      <c r="E32" s="8" t="s">
        <v>167</v>
      </c>
      <c r="F32" s="8" t="s">
        <v>168</v>
      </c>
      <c r="G32" s="8" t="s">
        <v>169</v>
      </c>
      <c r="H32" s="8" t="s">
        <v>170</v>
      </c>
      <c r="I32" s="8" t="s">
        <v>171</v>
      </c>
      <c r="J32" s="8" t="s">
        <v>172</v>
      </c>
      <c r="K32" s="8" t="s">
        <v>173</v>
      </c>
      <c r="L32" s="8" t="s">
        <v>174</v>
      </c>
    </row>
    <row r="33" customFormat="false" ht="15" hidden="false" customHeight="false" outlineLevel="0" collapsed="false">
      <c r="A33" s="20" t="n">
        <v>0</v>
      </c>
      <c r="B33" s="21" t="n">
        <f aca="false">$B$4+$B$5*0+$B$6*$A33+$B$7*0*$A33</f>
        <v>2905</v>
      </c>
      <c r="C33" s="21" t="n">
        <f aca="false">$B$4+$B$5*0.1+$B$6*$A33+$B$7*0.1*$A33</f>
        <v>2913.125</v>
      </c>
      <c r="D33" s="21" t="n">
        <f aca="false">$B$4+$B$5*0.2+$B$6*$A33+$B$7*0.2*$A33</f>
        <v>2921.25</v>
      </c>
      <c r="E33" s="21" t="n">
        <f aca="false">$B$4+$B$5*0.3+$B$6*$A33+$B$7*0.3*$A33</f>
        <v>2929.375</v>
      </c>
      <c r="F33" s="21" t="n">
        <f aca="false">$B$4+$B$5*0.4+$B$6*$A33+$B$7*0.4*$A33</f>
        <v>2937.5</v>
      </c>
      <c r="G33" s="21" t="n">
        <f aca="false">$B$4+$B$5*0.5+$B$6*$A33+$B$7*0.5*$A33</f>
        <v>2945.625</v>
      </c>
      <c r="H33" s="21" t="n">
        <f aca="false">$B$4+$B$5*0.6+$B$6*$A33+$B$7*0.6*$A33</f>
        <v>2953.75</v>
      </c>
      <c r="I33" s="21" t="n">
        <f aca="false">$B$4+$B$5*0.7+$B$6*$A33+$B$7*0.7*$A33</f>
        <v>2961.875</v>
      </c>
      <c r="J33" s="21" t="n">
        <f aca="false">$B$4+$B$5*0.8+$B$6*$A33+$B$7*0.8*$A33</f>
        <v>2970</v>
      </c>
      <c r="K33" s="21" t="n">
        <f aca="false">$B$4+$B$5*0.9+$B$6*$A33+$B$7*0.9*$A33</f>
        <v>2978.125</v>
      </c>
      <c r="L33" s="21" t="n">
        <f aca="false">$B$4+$B$5*1+$B$6*$A33+$B$7*1*$A33</f>
        <v>2986.25</v>
      </c>
    </row>
    <row r="34" customFormat="false" ht="15" hidden="false" customHeight="false" outlineLevel="0" collapsed="false">
      <c r="A34" s="20" t="n">
        <v>0.1</v>
      </c>
      <c r="B34" s="21" t="n">
        <f aca="false">$B$4+$B$5*0+$B$6*$A34+$B$7*0*$A34</f>
        <v>2912.25</v>
      </c>
      <c r="C34" s="21" t="n">
        <f aca="false">$B$4+$B$5*0.1+$B$6*$A34+$B$7*0.1*$A34</f>
        <v>2919.4125</v>
      </c>
      <c r="D34" s="21" t="n">
        <f aca="false">$B$4+$B$5*0.2+$B$6*$A34+$B$7*0.2*$A34</f>
        <v>2926.575</v>
      </c>
      <c r="E34" s="21" t="n">
        <f aca="false">$B$4+$B$5*0.3+$B$6*$A34+$B$7*0.3*$A34</f>
        <v>2933.7375</v>
      </c>
      <c r="F34" s="21" t="n">
        <f aca="false">$B$4+$B$5*0.4+$B$6*$A34+$B$7*0.4*$A34</f>
        <v>2940.9</v>
      </c>
      <c r="G34" s="21" t="n">
        <f aca="false">$B$4+$B$5*0.5+$B$6*$A34+$B$7*0.5*$A34</f>
        <v>2948.0625</v>
      </c>
      <c r="H34" s="21" t="n">
        <f aca="false">$B$4+$B$5*0.6+$B$6*$A34+$B$7*0.6*$A34</f>
        <v>2955.225</v>
      </c>
      <c r="I34" s="21" t="n">
        <f aca="false">$B$4+$B$5*0.7+$B$6*$A34+$B$7*0.7*$A34</f>
        <v>2962.3875</v>
      </c>
      <c r="J34" s="21" t="n">
        <f aca="false">$B$4+$B$5*0.8+$B$6*$A34+$B$7*0.8*$A34</f>
        <v>2969.55</v>
      </c>
      <c r="K34" s="21" t="n">
        <f aca="false">$B$4+$B$5*0.9+$B$6*$A34+$B$7*0.9*$A34</f>
        <v>2976.7125</v>
      </c>
      <c r="L34" s="21" t="n">
        <f aca="false">$B$4+$B$5*1+$B$6*$A34+$B$7*1*$A34</f>
        <v>2983.875</v>
      </c>
    </row>
    <row r="35" customFormat="false" ht="15" hidden="false" customHeight="false" outlineLevel="0" collapsed="false">
      <c r="A35" s="20" t="n">
        <v>0.2</v>
      </c>
      <c r="B35" s="21" t="n">
        <f aca="false">$B$4+$B$5*0+$B$6*$A35+$B$7*0*$A35</f>
        <v>2919.5</v>
      </c>
      <c r="C35" s="21" t="n">
        <f aca="false">$B$4+$B$5*0.1+$B$6*$A35+$B$7*0.1*$A35</f>
        <v>2925.7</v>
      </c>
      <c r="D35" s="21" t="n">
        <f aca="false">$B$4+$B$5*0.2+$B$6*$A35+$B$7*0.2*$A35</f>
        <v>2931.9</v>
      </c>
      <c r="E35" s="21" t="n">
        <f aca="false">$B$4+$B$5*0.3+$B$6*$A35+$B$7*0.3*$A35</f>
        <v>2938.1</v>
      </c>
      <c r="F35" s="21" t="n">
        <f aca="false">$B$4+$B$5*0.4+$B$6*$A35+$B$7*0.4*$A35</f>
        <v>2944.3</v>
      </c>
      <c r="G35" s="21" t="n">
        <f aca="false">$B$4+$B$5*0.5+$B$6*$A35+$B$7*0.5*$A35</f>
        <v>2950.5</v>
      </c>
      <c r="H35" s="21" t="n">
        <f aca="false">$B$4+$B$5*0.6+$B$6*$A35+$B$7*0.6*$A35</f>
        <v>2956.7</v>
      </c>
      <c r="I35" s="21" t="n">
        <f aca="false">$B$4+$B$5*0.7+$B$6*$A35+$B$7*0.7*$A35</f>
        <v>2962.9</v>
      </c>
      <c r="J35" s="21" t="n">
        <f aca="false">$B$4+$B$5*0.8+$B$6*$A35+$B$7*0.8*$A35</f>
        <v>2969.1</v>
      </c>
      <c r="K35" s="21" t="n">
        <f aca="false">$B$4+$B$5*0.9+$B$6*$A35+$B$7*0.9*$A35</f>
        <v>2975.3</v>
      </c>
      <c r="L35" s="21" t="n">
        <f aca="false">$B$4+$B$5*1+$B$6*$A35+$B$7*1*$A35</f>
        <v>2981.5</v>
      </c>
    </row>
    <row r="36" customFormat="false" ht="15" hidden="false" customHeight="false" outlineLevel="0" collapsed="false">
      <c r="A36" s="20" t="n">
        <v>0.3</v>
      </c>
      <c r="B36" s="21" t="n">
        <f aca="false">$B$4+$B$5*0+$B$6*$A36+$B$7*0*$A36</f>
        <v>2926.75</v>
      </c>
      <c r="C36" s="21" t="n">
        <f aca="false">$B$4+$B$5*0.1+$B$6*$A36+$B$7*0.1*$A36</f>
        <v>2931.9875</v>
      </c>
      <c r="D36" s="21" t="n">
        <f aca="false">$B$4+$B$5*0.2+$B$6*$A36+$B$7*0.2*$A36</f>
        <v>2937.225</v>
      </c>
      <c r="E36" s="21" t="n">
        <f aca="false">$B$4+$B$5*0.3+$B$6*$A36+$B$7*0.3*$A36</f>
        <v>2942.4625</v>
      </c>
      <c r="F36" s="21" t="n">
        <f aca="false">$B$4+$B$5*0.4+$B$6*$A36+$B$7*0.4*$A36</f>
        <v>2947.7</v>
      </c>
      <c r="G36" s="21" t="n">
        <f aca="false">$B$4+$B$5*0.5+$B$6*$A36+$B$7*0.5*$A36</f>
        <v>2952.9375</v>
      </c>
      <c r="H36" s="21" t="n">
        <f aca="false">$B$4+$B$5*0.6+$B$6*$A36+$B$7*0.6*$A36</f>
        <v>2958.175</v>
      </c>
      <c r="I36" s="21" t="n">
        <f aca="false">$B$4+$B$5*0.7+$B$6*$A36+$B$7*0.7*$A36</f>
        <v>2963.4125</v>
      </c>
      <c r="J36" s="21" t="n">
        <f aca="false">$B$4+$B$5*0.8+$B$6*$A36+$B$7*0.8*$A36</f>
        <v>2968.65</v>
      </c>
      <c r="K36" s="21" t="n">
        <f aca="false">$B$4+$B$5*0.9+$B$6*$A36+$B$7*0.9*$A36</f>
        <v>2973.8875</v>
      </c>
      <c r="L36" s="21" t="n">
        <f aca="false">$B$4+$B$5*1+$B$6*$A36+$B$7*1*$A36</f>
        <v>2979.125</v>
      </c>
    </row>
    <row r="37" customFormat="false" ht="15" hidden="false" customHeight="false" outlineLevel="0" collapsed="false">
      <c r="A37" s="20" t="n">
        <v>0.4</v>
      </c>
      <c r="B37" s="21" t="n">
        <f aca="false">$B$4+$B$5*0+$B$6*$A37+$B$7*0*$A37</f>
        <v>2934</v>
      </c>
      <c r="C37" s="21" t="n">
        <f aca="false">$B$4+$B$5*0.1+$B$6*$A37+$B$7*0.1*$A37</f>
        <v>2938.275</v>
      </c>
      <c r="D37" s="21" t="n">
        <f aca="false">$B$4+$B$5*0.2+$B$6*$A37+$B$7*0.2*$A37</f>
        <v>2942.55</v>
      </c>
      <c r="E37" s="21" t="n">
        <f aca="false">$B$4+$B$5*0.3+$B$6*$A37+$B$7*0.3*$A37</f>
        <v>2946.825</v>
      </c>
      <c r="F37" s="21" t="n">
        <f aca="false">$B$4+$B$5*0.4+$B$6*$A37+$B$7*0.4*$A37</f>
        <v>2951.1</v>
      </c>
      <c r="G37" s="21" t="n">
        <f aca="false">$B$4+$B$5*0.5+$B$6*$A37+$B$7*0.5*$A37</f>
        <v>2955.375</v>
      </c>
      <c r="H37" s="21" t="n">
        <f aca="false">$B$4+$B$5*0.6+$B$6*$A37+$B$7*0.6*$A37</f>
        <v>2959.65</v>
      </c>
      <c r="I37" s="21" t="n">
        <f aca="false">$B$4+$B$5*0.7+$B$6*$A37+$B$7*0.7*$A37</f>
        <v>2963.925</v>
      </c>
      <c r="J37" s="21" t="n">
        <f aca="false">$B$4+$B$5*0.8+$B$6*$A37+$B$7*0.8*$A37</f>
        <v>2968.2</v>
      </c>
      <c r="K37" s="21" t="n">
        <f aca="false">$B$4+$B$5*0.9+$B$6*$A37+$B$7*0.9*$A37</f>
        <v>2972.475</v>
      </c>
      <c r="L37" s="21" t="n">
        <f aca="false">$B$4+$B$5*1+$B$6*$A37+$B$7*1*$A37</f>
        <v>2976.75</v>
      </c>
    </row>
    <row r="38" customFormat="false" ht="15" hidden="false" customHeight="false" outlineLevel="0" collapsed="false">
      <c r="A38" s="20" t="n">
        <v>0.5</v>
      </c>
      <c r="B38" s="21" t="n">
        <f aca="false">$B$4+$B$5*0+$B$6*$A38+$B$7*0*$A38</f>
        <v>2941.25</v>
      </c>
      <c r="C38" s="21" t="n">
        <f aca="false">$B$4+$B$5*0.1+$B$6*$A38+$B$7*0.1*$A38</f>
        <v>2944.5625</v>
      </c>
      <c r="D38" s="21" t="n">
        <f aca="false">$B$4+$B$5*0.2+$B$6*$A38+$B$7*0.2*$A38</f>
        <v>2947.875</v>
      </c>
      <c r="E38" s="21" t="n">
        <f aca="false">$B$4+$B$5*0.3+$B$6*$A38+$B$7*0.3*$A38</f>
        <v>2951.1875</v>
      </c>
      <c r="F38" s="21" t="n">
        <f aca="false">$B$4+$B$5*0.4+$B$6*$A38+$B$7*0.4*$A38</f>
        <v>2954.5</v>
      </c>
      <c r="G38" s="21" t="n">
        <f aca="false">$B$4+$B$5*0.5+$B$6*$A38+$B$7*0.5*$A38</f>
        <v>2957.8125</v>
      </c>
      <c r="H38" s="21" t="n">
        <f aca="false">$B$4+$B$5*0.6+$B$6*$A38+$B$7*0.6*$A38</f>
        <v>2961.125</v>
      </c>
      <c r="I38" s="21" t="n">
        <f aca="false">$B$4+$B$5*0.7+$B$6*$A38+$B$7*0.7*$A38</f>
        <v>2964.4375</v>
      </c>
      <c r="J38" s="21" t="n">
        <f aca="false">$B$4+$B$5*0.8+$B$6*$A38+$B$7*0.8*$A38</f>
        <v>2967.75</v>
      </c>
      <c r="K38" s="21" t="n">
        <f aca="false">$B$4+$B$5*0.9+$B$6*$A38+$B$7*0.9*$A38</f>
        <v>2971.0625</v>
      </c>
      <c r="L38" s="21" t="n">
        <f aca="false">$B$4+$B$5*1+$B$6*$A38+$B$7*1*$A38</f>
        <v>2974.375</v>
      </c>
    </row>
    <row r="39" customFormat="false" ht="15" hidden="false" customHeight="false" outlineLevel="0" collapsed="false">
      <c r="A39" s="20" t="n">
        <v>0.6</v>
      </c>
      <c r="B39" s="21" t="n">
        <f aca="false">$B$4+$B$5*0+$B$6*$A39+$B$7*0*$A39</f>
        <v>2948.5</v>
      </c>
      <c r="C39" s="21" t="n">
        <f aca="false">$B$4+$B$5*0.1+$B$6*$A39+$B$7*0.1*$A39</f>
        <v>2950.85</v>
      </c>
      <c r="D39" s="21" t="n">
        <f aca="false">$B$4+$B$5*0.2+$B$6*$A39+$B$7*0.2*$A39</f>
        <v>2953.2</v>
      </c>
      <c r="E39" s="21" t="n">
        <f aca="false">$B$4+$B$5*0.3+$B$6*$A39+$B$7*0.3*$A39</f>
        <v>2955.55</v>
      </c>
      <c r="F39" s="21" t="n">
        <f aca="false">$B$4+$B$5*0.4+$B$6*$A39+$B$7*0.4*$A39</f>
        <v>2957.9</v>
      </c>
      <c r="G39" s="21" t="n">
        <f aca="false">$B$4+$B$5*0.5+$B$6*$A39+$B$7*0.5*$A39</f>
        <v>2960.25</v>
      </c>
      <c r="H39" s="21" t="n">
        <f aca="false">$B$4+$B$5*0.6+$B$6*$A39+$B$7*0.6*$A39</f>
        <v>2962.6</v>
      </c>
      <c r="I39" s="21" t="n">
        <f aca="false">$B$4+$B$5*0.7+$B$6*$A39+$B$7*0.7*$A39</f>
        <v>2964.95</v>
      </c>
      <c r="J39" s="21" t="n">
        <f aca="false">$B$4+$B$5*0.8+$B$6*$A39+$B$7*0.8*$A39</f>
        <v>2967.3</v>
      </c>
      <c r="K39" s="21" t="n">
        <f aca="false">$B$4+$B$5*0.9+$B$6*$A39+$B$7*0.9*$A39</f>
        <v>2969.65</v>
      </c>
      <c r="L39" s="21" t="n">
        <f aca="false">$B$4+$B$5*1+$B$6*$A39+$B$7*1*$A39</f>
        <v>2972</v>
      </c>
    </row>
    <row r="40" customFormat="false" ht="15" hidden="false" customHeight="false" outlineLevel="0" collapsed="false">
      <c r="A40" s="20" t="n">
        <v>0.7</v>
      </c>
      <c r="B40" s="21" t="n">
        <f aca="false">$B$4+$B$5*0+$B$6*$A40+$B$7*0*$A40</f>
        <v>2955.75</v>
      </c>
      <c r="C40" s="21" t="n">
        <f aca="false">$B$4+$B$5*0.1+$B$6*$A40+$B$7*0.1*$A40</f>
        <v>2957.1375</v>
      </c>
      <c r="D40" s="21" t="n">
        <f aca="false">$B$4+$B$5*0.2+$B$6*$A40+$B$7*0.2*$A40</f>
        <v>2958.525</v>
      </c>
      <c r="E40" s="21" t="n">
        <f aca="false">$B$4+$B$5*0.3+$B$6*$A40+$B$7*0.3*$A40</f>
        <v>2959.9125</v>
      </c>
      <c r="F40" s="21" t="n">
        <f aca="false">$B$4+$B$5*0.4+$B$6*$A40+$B$7*0.4*$A40</f>
        <v>2961.3</v>
      </c>
      <c r="G40" s="21" t="n">
        <f aca="false">$B$4+$B$5*0.5+$B$6*$A40+$B$7*0.5*$A40</f>
        <v>2962.6875</v>
      </c>
      <c r="H40" s="21" t="n">
        <f aca="false">$B$4+$B$5*0.6+$B$6*$A40+$B$7*0.6*$A40</f>
        <v>2964.075</v>
      </c>
      <c r="I40" s="21" t="n">
        <f aca="false">$B$4+$B$5*0.7+$B$6*$A40+$B$7*0.7*$A40</f>
        <v>2965.4625</v>
      </c>
      <c r="J40" s="21" t="n">
        <f aca="false">$B$4+$B$5*0.8+$B$6*$A40+$B$7*0.8*$A40</f>
        <v>2966.85</v>
      </c>
      <c r="K40" s="21" t="n">
        <f aca="false">$B$4+$B$5*0.9+$B$6*$A40+$B$7*0.9*$A40</f>
        <v>2968.2375</v>
      </c>
      <c r="L40" s="21" t="n">
        <f aca="false">$B$4+$B$5*1+$B$6*$A40+$B$7*1*$A40</f>
        <v>2969.625</v>
      </c>
    </row>
    <row r="41" customFormat="false" ht="15" hidden="false" customHeight="false" outlineLevel="0" collapsed="false">
      <c r="A41" s="20" t="n">
        <v>0.8</v>
      </c>
      <c r="B41" s="21" t="n">
        <f aca="false">$B$4+$B$5*0+$B$6*$A41+$B$7*0*$A41</f>
        <v>2963</v>
      </c>
      <c r="C41" s="21" t="n">
        <f aca="false">$B$4+$B$5*0.1+$B$6*$A41+$B$7*0.1*$A41</f>
        <v>2963.425</v>
      </c>
      <c r="D41" s="21" t="n">
        <f aca="false">$B$4+$B$5*0.2+$B$6*$A41+$B$7*0.2*$A41</f>
        <v>2963.85</v>
      </c>
      <c r="E41" s="21" t="n">
        <f aca="false">$B$4+$B$5*0.3+$B$6*$A41+$B$7*0.3*$A41</f>
        <v>2964.275</v>
      </c>
      <c r="F41" s="21" t="n">
        <f aca="false">$B$4+$B$5*0.4+$B$6*$A41+$B$7*0.4*$A41</f>
        <v>2964.7</v>
      </c>
      <c r="G41" s="21" t="n">
        <f aca="false">$B$4+$B$5*0.5+$B$6*$A41+$B$7*0.5*$A41</f>
        <v>2965.125</v>
      </c>
      <c r="H41" s="21" t="n">
        <f aca="false">$B$4+$B$5*0.6+$B$6*$A41+$B$7*0.6*$A41</f>
        <v>2965.55</v>
      </c>
      <c r="I41" s="21" t="n">
        <f aca="false">$B$4+$B$5*0.7+$B$6*$A41+$B$7*0.7*$A41</f>
        <v>2965.975</v>
      </c>
      <c r="J41" s="21" t="n">
        <f aca="false">$B$4+$B$5*0.8+$B$6*$A41+$B$7*0.8*$A41</f>
        <v>2966.4</v>
      </c>
      <c r="K41" s="21" t="n">
        <f aca="false">$B$4+$B$5*0.9+$B$6*$A41+$B$7*0.9*$A41</f>
        <v>2966.825</v>
      </c>
      <c r="L41" s="21" t="n">
        <f aca="false">$B$4+$B$5*1+$B$6*$A41+$B$7*1*$A41</f>
        <v>2967.25</v>
      </c>
    </row>
    <row r="42" customFormat="false" ht="15" hidden="false" customHeight="false" outlineLevel="0" collapsed="false">
      <c r="A42" s="20" t="n">
        <v>0.9</v>
      </c>
      <c r="B42" s="21" t="n">
        <f aca="false">$B$4+$B$5*0+$B$6*$A42+$B$7*0*$A42</f>
        <v>2970.25</v>
      </c>
      <c r="C42" s="21" t="n">
        <f aca="false">$B$4+$B$5*0.1+$B$6*$A42+$B$7*0.1*$A42</f>
        <v>2969.7125</v>
      </c>
      <c r="D42" s="21" t="n">
        <f aca="false">$B$4+$B$5*0.2+$B$6*$A42+$B$7*0.2*$A42</f>
        <v>2969.175</v>
      </c>
      <c r="E42" s="21" t="n">
        <f aca="false">$B$4+$B$5*0.3+$B$6*$A42+$B$7*0.3*$A42</f>
        <v>2968.6375</v>
      </c>
      <c r="F42" s="21" t="n">
        <f aca="false">$B$4+$B$5*0.4+$B$6*$A42+$B$7*0.4*$A42</f>
        <v>2968.1</v>
      </c>
      <c r="G42" s="21" t="n">
        <f aca="false">$B$4+$B$5*0.5+$B$6*$A42+$B$7*0.5*$A42</f>
        <v>2967.5625</v>
      </c>
      <c r="H42" s="21" t="n">
        <f aca="false">$B$4+$B$5*0.6+$B$6*$A42+$B$7*0.6*$A42</f>
        <v>2967.025</v>
      </c>
      <c r="I42" s="21" t="n">
        <f aca="false">$B$4+$B$5*0.7+$B$6*$A42+$B$7*0.7*$A42</f>
        <v>2966.4875</v>
      </c>
      <c r="J42" s="21" t="n">
        <f aca="false">$B$4+$B$5*0.8+$B$6*$A42+$B$7*0.8*$A42</f>
        <v>2965.95</v>
      </c>
      <c r="K42" s="21" t="n">
        <f aca="false">$B$4+$B$5*0.9+$B$6*$A42+$B$7*0.9*$A42</f>
        <v>2965.4125</v>
      </c>
      <c r="L42" s="21" t="n">
        <f aca="false">$B$4+$B$5*1+$B$6*$A42+$B$7*1*$A42</f>
        <v>2964.875</v>
      </c>
    </row>
    <row r="43" customFormat="false" ht="15" hidden="false" customHeight="false" outlineLevel="0" collapsed="false">
      <c r="A43" s="20" t="n">
        <v>1</v>
      </c>
      <c r="B43" s="21" t="n">
        <f aca="false">$B$4+$B$5*0+$B$6*$A43+$B$7*0*$A43</f>
        <v>2977.5</v>
      </c>
      <c r="C43" s="21" t="n">
        <f aca="false">$B$4+$B$5*0.1+$B$6*$A43+$B$7*0.1*$A43</f>
        <v>2976</v>
      </c>
      <c r="D43" s="21" t="n">
        <f aca="false">$B$4+$B$5*0.2+$B$6*$A43+$B$7*0.2*$A43</f>
        <v>2974.5</v>
      </c>
      <c r="E43" s="21" t="n">
        <f aca="false">$B$4+$B$5*0.3+$B$6*$A43+$B$7*0.3*$A43</f>
        <v>2973</v>
      </c>
      <c r="F43" s="21" t="n">
        <f aca="false">$B$4+$B$5*0.4+$B$6*$A43+$B$7*0.4*$A43</f>
        <v>2971.5</v>
      </c>
      <c r="G43" s="21" t="n">
        <f aca="false">$B$4+$B$5*0.5+$B$6*$A43+$B$7*0.5*$A43</f>
        <v>2970</v>
      </c>
      <c r="H43" s="21" t="n">
        <f aca="false">$B$4+$B$5*0.6+$B$6*$A43+$B$7*0.6*$A43</f>
        <v>2968.5</v>
      </c>
      <c r="I43" s="21" t="n">
        <f aca="false">$B$4+$B$5*0.7+$B$6*$A43+$B$7*0.7*$A43</f>
        <v>2967</v>
      </c>
      <c r="J43" s="21" t="n">
        <f aca="false">$B$4+$B$5*0.8+$B$6*$A43+$B$7*0.8*$A43</f>
        <v>2965.5</v>
      </c>
      <c r="K43" s="21" t="n">
        <f aca="false">$B$4+$B$5*0.9+$B$6*$A43+$B$7*0.9*$A43</f>
        <v>2964</v>
      </c>
      <c r="L43" s="21" t="n">
        <f aca="false">$B$4+$B$5*1+$B$6*$A43+$B$7*1*$A43</f>
        <v>2962.5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5" min="3" style="0" width="26"/>
    <col collapsed="false" customWidth="true" hidden="false" outlineLevel="0" max="6" min="6" style="0" width="32"/>
  </cols>
  <sheetData>
    <row r="1" customFormat="false" ht="15" hidden="false" customHeight="false" outlineLevel="0" collapsed="false">
      <c r="A1" s="1" t="s">
        <v>175</v>
      </c>
    </row>
    <row r="2" customFormat="false" ht="15" hidden="false" customHeight="false" outlineLevel="0" collapsed="false">
      <c r="A2" s="10" t="s">
        <v>176</v>
      </c>
    </row>
    <row r="4" customFormat="false" ht="15" hidden="false" customHeight="false" outlineLevel="0" collapsed="false">
      <c r="A4" s="8" t="s">
        <v>53</v>
      </c>
      <c r="B4" s="8" t="s">
        <v>177</v>
      </c>
      <c r="C4" s="8" t="s">
        <v>178</v>
      </c>
      <c r="D4" s="8" t="s">
        <v>179</v>
      </c>
      <c r="E4" s="8" t="s">
        <v>180</v>
      </c>
      <c r="F4" s="8" t="s">
        <v>181</v>
      </c>
    </row>
    <row r="5" customFormat="false" ht="15" hidden="false" customHeight="false" outlineLevel="0" collapsed="false">
      <c r="A5" s="2" t="s">
        <v>90</v>
      </c>
      <c r="B5" s="17" t="n">
        <v>60</v>
      </c>
      <c r="C5" s="18" t="n">
        <f aca="false">INDEX(Schedules!$U$5:$U$68,B5+1)</f>
        <v>2986.25</v>
      </c>
      <c r="D5" s="22" t="n">
        <v>87</v>
      </c>
      <c r="E5" s="22" t="n">
        <v>93</v>
      </c>
      <c r="F5" s="22" t="n">
        <v>61</v>
      </c>
    </row>
    <row r="6" customFormat="false" ht="15" hidden="false" customHeight="false" outlineLevel="0" collapsed="false">
      <c r="A6" s="2" t="s">
        <v>91</v>
      </c>
      <c r="B6" s="17" t="n">
        <v>58</v>
      </c>
      <c r="C6" s="18" t="n">
        <f aca="false">INDEX(Schedules!$U$5:$U$68,B6+1)</f>
        <v>2977.5</v>
      </c>
      <c r="D6" s="22" t="n">
        <v>11</v>
      </c>
      <c r="E6" s="22" t="n">
        <v>6</v>
      </c>
      <c r="F6" s="22" t="n">
        <v>22</v>
      </c>
    </row>
    <row r="7" customFormat="false" ht="15" hidden="false" customHeight="false" outlineLevel="0" collapsed="false">
      <c r="A7" s="2" t="s">
        <v>92</v>
      </c>
      <c r="B7" s="17" t="n">
        <v>57</v>
      </c>
      <c r="C7" s="18" t="n">
        <f aca="false">INDEX(Schedules!$U$5:$U$68,B7+1)</f>
        <v>2968.75</v>
      </c>
      <c r="D7" s="22" t="n">
        <v>2</v>
      </c>
      <c r="E7" s="22" t="n">
        <v>1</v>
      </c>
      <c r="F7" s="22" t="n">
        <v>17</v>
      </c>
    </row>
    <row r="8" customFormat="false" ht="15" hidden="false" customHeight="false" outlineLevel="0" collapsed="false">
      <c r="A8" s="4" t="s">
        <v>182</v>
      </c>
      <c r="D8" s="17" t="n">
        <f aca="false">SUM(D5:D7)</f>
        <v>100</v>
      </c>
      <c r="E8" s="17" t="n">
        <f aca="false">SUM(E5:E7)</f>
        <v>100</v>
      </c>
      <c r="F8" s="17" t="n">
        <f aca="false">SUM(F5:F7)</f>
        <v>100</v>
      </c>
    </row>
    <row r="9" customFormat="false" ht="15" hidden="false" customHeight="false" outlineLevel="0" collapsed="false">
      <c r="A9" s="2" t="s">
        <v>183</v>
      </c>
      <c r="D9" s="23" t="n">
        <v>8.51</v>
      </c>
      <c r="E9" s="23" t="n">
        <v>8.7</v>
      </c>
      <c r="F9" s="23" t="n">
        <v>76.74</v>
      </c>
    </row>
    <row r="10" customFormat="false" ht="15" hidden="false" customHeight="false" outlineLevel="0" collapsed="false">
      <c r="A10" s="10" t="s">
        <v>184</v>
      </c>
    </row>
    <row r="12" customFormat="false" ht="15" hidden="false" customHeight="false" outlineLevel="0" collapsed="false">
      <c r="A12" s="8" t="s">
        <v>185</v>
      </c>
      <c r="B12" s="8" t="s">
        <v>20</v>
      </c>
      <c r="C12" s="8" t="s">
        <v>126</v>
      </c>
    </row>
    <row r="13" customFormat="false" ht="15" hidden="false" customHeight="false" outlineLevel="0" collapsed="false">
      <c r="A13" s="2" t="s">
        <v>186</v>
      </c>
      <c r="B13" s="9" t="n">
        <v>0.05</v>
      </c>
      <c r="C13" s="10" t="s">
        <v>187</v>
      </c>
    </row>
    <row r="14" customFormat="false" ht="15" hidden="false" customHeight="false" outlineLevel="0" collapsed="false">
      <c r="A14" s="2" t="s">
        <v>188</v>
      </c>
      <c r="B14" s="9" t="n">
        <v>0.95</v>
      </c>
      <c r="C14" s="10"/>
    </row>
    <row r="15" customFormat="false" ht="15" hidden="false" customHeight="false" outlineLevel="0" collapsed="false">
      <c r="A15" s="2" t="s">
        <v>189</v>
      </c>
      <c r="B15" s="11" t="n">
        <f aca="false">LN(1-B14)/LN(1-B13)</f>
        <v>58.4039748143197</v>
      </c>
      <c r="C15" s="10" t="s">
        <v>190</v>
      </c>
    </row>
    <row r="16" customFormat="false" ht="15" hidden="false" customHeight="false" outlineLevel="0" collapsed="false">
      <c r="A16" s="2" t="s">
        <v>191</v>
      </c>
      <c r="B16" s="17" t="n">
        <f aca="false">ROUNDUP(B15,0)</f>
        <v>59</v>
      </c>
      <c r="C16" s="10" t="s">
        <v>192</v>
      </c>
    </row>
    <row r="17" customFormat="false" ht="15" hidden="false" customHeight="false" outlineLevel="0" collapsed="false">
      <c r="A17" s="2" t="s">
        <v>193</v>
      </c>
      <c r="B17" s="24" t="n">
        <v>100</v>
      </c>
      <c r="C17" s="10"/>
    </row>
    <row r="18" customFormat="false" ht="15" hidden="false" customHeight="false" outlineLevel="0" collapsed="false">
      <c r="A18" s="2" t="s">
        <v>194</v>
      </c>
      <c r="B18" s="12" t="n">
        <f aca="false">(1-B13)^B17</f>
        <v>0.005920529220334</v>
      </c>
      <c r="C18"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3" min="2" style="0" width="8"/>
    <col collapsed="false" customWidth="true" hidden="false" outlineLevel="0" max="31" min="14" style="0" width="10"/>
    <col collapsed="false" customWidth="true" hidden="false" outlineLevel="0" max="32" min="32" style="0" width="12"/>
    <col collapsed="false" customWidth="true" hidden="false" outlineLevel="0" max="34" min="33" style="0" width="11"/>
    <col collapsed="false" customWidth="true" hidden="false" outlineLevel="0" max="36" min="35" style="0" width="9"/>
    <col collapsed="false" customWidth="true" hidden="false" outlineLevel="0" max="37" min="37" style="0" width="10"/>
    <col collapsed="false" customWidth="true" hidden="false" outlineLevel="0" max="38" min="38" style="0" width="38"/>
  </cols>
  <sheetData>
    <row r="1" customFormat="false" ht="15" hidden="false" customHeight="false" outlineLevel="0" collapsed="false">
      <c r="A1" s="1" t="s">
        <v>195</v>
      </c>
    </row>
    <row r="2" customFormat="false" ht="15" hidden="false" customHeight="false" outlineLevel="0" collapsed="false">
      <c r="A2" s="10" t="s">
        <v>196</v>
      </c>
    </row>
    <row r="4" customFormat="false" ht="23.85" hidden="false" customHeight="false" outlineLevel="0" collapsed="false">
      <c r="A4" s="8" t="s">
        <v>53</v>
      </c>
      <c r="B4" s="8" t="s">
        <v>54</v>
      </c>
      <c r="C4" s="8" t="s">
        <v>55</v>
      </c>
      <c r="D4" s="8" t="s">
        <v>56</v>
      </c>
      <c r="E4" s="8" t="s">
        <v>57</v>
      </c>
      <c r="F4" s="8" t="s">
        <v>58</v>
      </c>
      <c r="G4" s="8" t="s">
        <v>59</v>
      </c>
      <c r="H4" s="8" t="s">
        <v>60</v>
      </c>
      <c r="I4" s="8" t="s">
        <v>61</v>
      </c>
      <c r="J4" s="8" t="s">
        <v>62</v>
      </c>
      <c r="K4" s="8" t="s">
        <v>63</v>
      </c>
      <c r="L4" s="8" t="s">
        <v>64</v>
      </c>
      <c r="M4" s="8" t="s">
        <v>65</v>
      </c>
      <c r="N4" s="8" t="s">
        <v>109</v>
      </c>
      <c r="O4" s="8" t="s">
        <v>110</v>
      </c>
      <c r="P4" s="8" t="s">
        <v>111</v>
      </c>
      <c r="Q4" s="8" t="s">
        <v>112</v>
      </c>
      <c r="R4" s="8" t="s">
        <v>113</v>
      </c>
      <c r="S4" s="8" t="s">
        <v>114</v>
      </c>
      <c r="T4" s="8" t="s">
        <v>197</v>
      </c>
      <c r="U4" s="8" t="s">
        <v>198</v>
      </c>
      <c r="V4" s="8" t="s">
        <v>199</v>
      </c>
      <c r="W4" s="8" t="s">
        <v>200</v>
      </c>
      <c r="X4" s="8" t="s">
        <v>201</v>
      </c>
      <c r="Y4" s="8" t="s">
        <v>202</v>
      </c>
      <c r="Z4" s="8" t="s">
        <v>203</v>
      </c>
      <c r="AA4" s="8" t="s">
        <v>204</v>
      </c>
      <c r="AB4" s="8" t="s">
        <v>205</v>
      </c>
      <c r="AC4" s="8" t="s">
        <v>206</v>
      </c>
      <c r="AD4" s="8" t="s">
        <v>207</v>
      </c>
      <c r="AE4" s="8" t="s">
        <v>208</v>
      </c>
      <c r="AF4" s="8" t="s">
        <v>209</v>
      </c>
      <c r="AG4" s="8" t="s">
        <v>210</v>
      </c>
      <c r="AH4" s="8" t="s">
        <v>211</v>
      </c>
      <c r="AI4" s="8" t="s">
        <v>212</v>
      </c>
      <c r="AJ4" s="8" t="s">
        <v>213</v>
      </c>
      <c r="AK4" s="8" t="s">
        <v>214</v>
      </c>
      <c r="AL4" s="8" t="s">
        <v>141</v>
      </c>
    </row>
    <row r="5" customFormat="false" ht="15" hidden="false" customHeight="false" outlineLevel="0" collapsed="false">
      <c r="A5" s="2" t="s">
        <v>90</v>
      </c>
      <c r="B5" s="16" t="n">
        <f aca="false">Plans!B5</f>
        <v>1</v>
      </c>
      <c r="C5" s="16" t="n">
        <f aca="false">Plans!C5</f>
        <v>1</v>
      </c>
      <c r="D5" s="16" t="n">
        <f aca="false">Plans!D5</f>
        <v>1</v>
      </c>
      <c r="E5" s="16" t="n">
        <f aca="false">Plans!E5</f>
        <v>1</v>
      </c>
      <c r="F5" s="16" t="n">
        <f aca="false">Plans!F5</f>
        <v>0</v>
      </c>
      <c r="G5" s="16" t="n">
        <f aca="false">Plans!G5</f>
        <v>0</v>
      </c>
      <c r="H5" s="16" t="n">
        <f aca="false">Plans!H5</f>
        <v>7</v>
      </c>
      <c r="I5" s="16" t="n">
        <f aca="false">Plans!I5</f>
        <v>3.5</v>
      </c>
      <c r="J5" s="16" t="n">
        <f aca="false">Plans!J5</f>
        <v>1.75</v>
      </c>
      <c r="K5" s="16" t="n">
        <f aca="false">Plans!K5</f>
        <v>0.875</v>
      </c>
      <c r="L5" s="16" t="n">
        <f aca="false">Plans!L5</f>
        <v>0.875</v>
      </c>
      <c r="M5" s="16" t="n">
        <f aca="false">Plans!M5</f>
        <v>0.875</v>
      </c>
      <c r="N5" s="14" t="n">
        <f aca="false">Val_pt*Share/(1-Share*B5)*(SUM(H5:M5)+Credit_M*M5)-Cost_r</f>
        <v>203.75</v>
      </c>
      <c r="O5" s="14" t="n">
        <f aca="false">Val_pt*Share/(1-Share*C5)*(SUM(I5:M5)+Credit_M*M5)-Cost_r</f>
        <v>133.75</v>
      </c>
      <c r="P5" s="14" t="n">
        <f aca="false">Val_pt*Share/(1-Share*D5)*(SUM(J5:M5)+Credit_M*M5)-Cost_r</f>
        <v>98.75</v>
      </c>
      <c r="Q5" s="14" t="n">
        <f aca="false">Val_pt*Share/(1-Share*E5)*(SUM(K5:M5)+Credit_M*M5)-Cost_r</f>
        <v>81.25</v>
      </c>
      <c r="R5" s="14" t="n">
        <f aca="false">Val_pt*Share/(1-Share*F5)*(SUM(L5:M5)+Credit_M*M5)-Cost_r</f>
        <v>-23.75</v>
      </c>
      <c r="S5" s="14" t="n">
        <f aca="false">Val_pt*Share/(1-Share*G5)*(SUM(M5:M5)+Credit_M*M5)-Cost_r</f>
        <v>-28.125</v>
      </c>
      <c r="T5" s="14" t="n">
        <f aca="false">IF(B5=1,N5,0)</f>
        <v>203.75</v>
      </c>
      <c r="U5" s="14" t="n">
        <f aca="false">IF(C5=1,O5,0)</f>
        <v>133.75</v>
      </c>
      <c r="V5" s="14" t="n">
        <f aca="false">IF(D5=1,P5,0)</f>
        <v>98.75</v>
      </c>
      <c r="W5" s="14" t="n">
        <f aca="false">IF(E5=1,Q5,0)</f>
        <v>81.25</v>
      </c>
      <c r="X5" s="14" t="n">
        <f aca="false">IF(F5=1,R5,0)</f>
        <v>0</v>
      </c>
      <c r="Y5" s="14" t="n">
        <f aca="false">IF(G5=1,S5,0)</f>
        <v>0</v>
      </c>
      <c r="Z5" s="14" t="n">
        <f aca="false">IF(B5=0,-N5,0)</f>
        <v>0</v>
      </c>
      <c r="AA5" s="14" t="n">
        <f aca="false">IF(C5=0,-O5,0)</f>
        <v>0</v>
      </c>
      <c r="AB5" s="14" t="n">
        <f aca="false">IF(D5=0,-P5,0)</f>
        <v>0</v>
      </c>
      <c r="AC5" s="14" t="n">
        <f aca="false">IF(E5=0,-Q5,0)</f>
        <v>0</v>
      </c>
      <c r="AD5" s="14" t="n">
        <f aca="false">IF(F5=0,-R5,0)</f>
        <v>23.75</v>
      </c>
      <c r="AE5" s="14" t="n">
        <f aca="false">IF(G5=0,-S5,0)</f>
        <v>28.125</v>
      </c>
      <c r="AF5" s="25" t="n">
        <f aca="false">MAX(ABS(N5-T5+Z5),ABS(O5-U5+AA5),ABS(P5-V5+AB5),ABS(Q5-W5+AC5),ABS(R5-X5+AD5),ABS(S5-Y5+AE5))</f>
        <v>0</v>
      </c>
      <c r="AG5" s="25" t="n">
        <f aca="false">MAX(0,-MIN(T5:AE5))</f>
        <v>-0</v>
      </c>
      <c r="AH5" s="25" t="n">
        <f aca="false">MAX(AF5,AG5)</f>
        <v>-0</v>
      </c>
      <c r="AI5" s="17" t="n">
        <f aca="false">COUNTIF(B5:G5,1)+COUNTIF(B5:G5,0)</f>
        <v>6</v>
      </c>
      <c r="AJ5" s="17" t="n">
        <f aca="false">AI5</f>
        <v>6</v>
      </c>
      <c r="AK5" s="17" t="n">
        <f aca="false">SUMPRODUCT((B5:G5&gt;0)*(B5:G5&lt;1))+SUMPRODUCT((B5:G5=1)*(T5:Y5=0))+SUMPRODUCT((B5:G5=0)*(Z5:AE5=0))</f>
        <v>0</v>
      </c>
      <c r="AL5" s="2" t="str">
        <f aca="false">IF(AH5&gt;0.000001,"not a KKT point",IF(AK5=0,"strict local maximum",IF($C$22&gt;0,"saddle: a KKT point, not a local maximum","check the curvature")))</f>
        <v>strict local maximum</v>
      </c>
    </row>
    <row r="6" customFormat="false" ht="15" hidden="false" customHeight="false" outlineLevel="0" collapsed="false">
      <c r="A6" s="2" t="s">
        <v>91</v>
      </c>
      <c r="B6" s="16" t="n">
        <f aca="false">Plans!B6</f>
        <v>1</v>
      </c>
      <c r="C6" s="16" t="n">
        <f aca="false">Plans!C6</f>
        <v>1</v>
      </c>
      <c r="D6" s="16" t="n">
        <f aca="false">Plans!D6</f>
        <v>1</v>
      </c>
      <c r="E6" s="16" t="n">
        <f aca="false">Plans!E6</f>
        <v>0</v>
      </c>
      <c r="F6" s="16" t="n">
        <f aca="false">Plans!F6</f>
        <v>1</v>
      </c>
      <c r="G6" s="16" t="n">
        <f aca="false">Plans!G6</f>
        <v>0</v>
      </c>
      <c r="H6" s="16" t="n">
        <f aca="false">Plans!H6</f>
        <v>7</v>
      </c>
      <c r="I6" s="16" t="n">
        <f aca="false">Plans!I6</f>
        <v>3.5</v>
      </c>
      <c r="J6" s="16" t="n">
        <f aca="false">Plans!J6</f>
        <v>1.75</v>
      </c>
      <c r="K6" s="16" t="n">
        <f aca="false">Plans!K6</f>
        <v>1.75</v>
      </c>
      <c r="L6" s="16" t="n">
        <f aca="false">Plans!L6</f>
        <v>0.875</v>
      </c>
      <c r="M6" s="16" t="n">
        <f aca="false">Plans!M6</f>
        <v>0.875</v>
      </c>
      <c r="N6" s="14" t="n">
        <f aca="false">Val_pt*Share/(1-Share*B6)*(SUM(H6:M6)+Credit_M*M6)-Cost_r</f>
        <v>212.5</v>
      </c>
      <c r="O6" s="14" t="n">
        <f aca="false">Val_pt*Share/(1-Share*C6)*(SUM(I6:M6)+Credit_M*M6)-Cost_r</f>
        <v>142.5</v>
      </c>
      <c r="P6" s="14" t="n">
        <f aca="false">Val_pt*Share/(1-Share*D6)*(SUM(J6:M6)+Credit_M*M6)-Cost_r</f>
        <v>107.5</v>
      </c>
      <c r="Q6" s="14" t="n">
        <f aca="false">Val_pt*Share/(1-Share*E6)*(SUM(K6:M6)+Credit_M*M6)-Cost_r</f>
        <v>-15</v>
      </c>
      <c r="R6" s="14" t="n">
        <f aca="false">Val_pt*Share/(1-Share*F6)*(SUM(L6:M6)+Credit_M*M6)-Cost_r</f>
        <v>72.5</v>
      </c>
      <c r="S6" s="14" t="n">
        <f aca="false">Val_pt*Share/(1-Share*G6)*(SUM(M6:M6)+Credit_M*M6)-Cost_r</f>
        <v>-28.125</v>
      </c>
      <c r="T6" s="14" t="n">
        <f aca="false">IF(B6=1,N6,0)</f>
        <v>212.5</v>
      </c>
      <c r="U6" s="14" t="n">
        <f aca="false">IF(C6=1,O6,0)</f>
        <v>142.5</v>
      </c>
      <c r="V6" s="14" t="n">
        <f aca="false">IF(D6=1,P6,0)</f>
        <v>107.5</v>
      </c>
      <c r="W6" s="14" t="n">
        <f aca="false">IF(E6=1,Q6,0)</f>
        <v>0</v>
      </c>
      <c r="X6" s="14" t="n">
        <f aca="false">IF(F6=1,R6,0)</f>
        <v>72.5</v>
      </c>
      <c r="Y6" s="14" t="n">
        <f aca="false">IF(G6=1,S6,0)</f>
        <v>0</v>
      </c>
      <c r="Z6" s="14" t="n">
        <f aca="false">IF(B6=0,-N6,0)</f>
        <v>0</v>
      </c>
      <c r="AA6" s="14" t="n">
        <f aca="false">IF(C6=0,-O6,0)</f>
        <v>0</v>
      </c>
      <c r="AB6" s="14" t="n">
        <f aca="false">IF(D6=0,-P6,0)</f>
        <v>0</v>
      </c>
      <c r="AC6" s="14" t="n">
        <f aca="false">IF(E6=0,-Q6,0)</f>
        <v>15</v>
      </c>
      <c r="AD6" s="14" t="n">
        <f aca="false">IF(F6=0,-R6,0)</f>
        <v>0</v>
      </c>
      <c r="AE6" s="14" t="n">
        <f aca="false">IF(G6=0,-S6,0)</f>
        <v>28.125</v>
      </c>
      <c r="AF6" s="25" t="n">
        <f aca="false">MAX(ABS(N6-T6+Z6),ABS(O6-U6+AA6),ABS(P6-V6+AB6),ABS(Q6-W6+AC6),ABS(R6-X6+AD6),ABS(S6-Y6+AE6))</f>
        <v>0</v>
      </c>
      <c r="AG6" s="25" t="n">
        <f aca="false">MAX(0,-MIN(T6:AE6))</f>
        <v>-0</v>
      </c>
      <c r="AH6" s="25" t="n">
        <f aca="false">MAX(AF6,AG6)</f>
        <v>-0</v>
      </c>
      <c r="AI6" s="17" t="n">
        <f aca="false">COUNTIF(B6:G6,1)+COUNTIF(B6:G6,0)</f>
        <v>6</v>
      </c>
      <c r="AJ6" s="17" t="n">
        <f aca="false">AI6</f>
        <v>6</v>
      </c>
      <c r="AK6" s="17" t="n">
        <f aca="false">SUMPRODUCT((B6:G6&gt;0)*(B6:G6&lt;1))+SUMPRODUCT((B6:G6=1)*(T6:Y6=0))+SUMPRODUCT((B6:G6=0)*(Z6:AE6=0))</f>
        <v>0</v>
      </c>
      <c r="AL6" s="2" t="str">
        <f aca="false">IF(AH6&gt;0.000001,"not a KKT point",IF(AK6=0,"strict local maximum",IF($C$22&gt;0,"saddle: a KKT point, not a local maximum","check the curvature")))</f>
        <v>strict local maximum</v>
      </c>
    </row>
    <row r="7" customFormat="false" ht="15" hidden="false" customHeight="false" outlineLevel="0" collapsed="false">
      <c r="A7" s="2" t="s">
        <v>92</v>
      </c>
      <c r="B7" s="16" t="n">
        <f aca="false">Plans!B7</f>
        <v>1</v>
      </c>
      <c r="C7" s="16" t="n">
        <f aca="false">Plans!C7</f>
        <v>1</v>
      </c>
      <c r="D7" s="16" t="n">
        <f aca="false">Plans!D7</f>
        <v>1</v>
      </c>
      <c r="E7" s="16" t="n">
        <f aca="false">Plans!E7</f>
        <v>0</v>
      </c>
      <c r="F7" s="16" t="n">
        <f aca="false">Plans!F7</f>
        <v>0</v>
      </c>
      <c r="G7" s="16" t="n">
        <f aca="false">Plans!G7</f>
        <v>1</v>
      </c>
      <c r="H7" s="16" t="n">
        <f aca="false">Plans!H7</f>
        <v>7</v>
      </c>
      <c r="I7" s="16" t="n">
        <f aca="false">Plans!I7</f>
        <v>3.5</v>
      </c>
      <c r="J7" s="16" t="n">
        <f aca="false">Plans!J7</f>
        <v>1.75</v>
      </c>
      <c r="K7" s="16" t="n">
        <f aca="false">Plans!K7</f>
        <v>1.75</v>
      </c>
      <c r="L7" s="16" t="n">
        <f aca="false">Plans!L7</f>
        <v>1.75</v>
      </c>
      <c r="M7" s="16" t="n">
        <f aca="false">Plans!M7</f>
        <v>0.875</v>
      </c>
      <c r="N7" s="14" t="n">
        <f aca="false">Val_pt*Share/(1-Share*B7)*(SUM(H7:M7)+Credit_M*M7)-Cost_r</f>
        <v>221.25</v>
      </c>
      <c r="O7" s="14" t="n">
        <f aca="false">Val_pt*Share/(1-Share*C7)*(SUM(I7:M7)+Credit_M*M7)-Cost_r</f>
        <v>151.25</v>
      </c>
      <c r="P7" s="14" t="n">
        <f aca="false">Val_pt*Share/(1-Share*D7)*(SUM(J7:M7)+Credit_M*M7)-Cost_r</f>
        <v>116.25</v>
      </c>
      <c r="Q7" s="14" t="n">
        <f aca="false">Val_pt*Share/(1-Share*E7)*(SUM(K7:M7)+Credit_M*M7)-Cost_r</f>
        <v>-10.625</v>
      </c>
      <c r="R7" s="14" t="n">
        <f aca="false">Val_pt*Share/(1-Share*F7)*(SUM(L7:M7)+Credit_M*M7)-Cost_r</f>
        <v>-19.375</v>
      </c>
      <c r="S7" s="14" t="n">
        <f aca="false">Val_pt*Share/(1-Share*G7)*(SUM(M7:M7)+Credit_M*M7)-Cost_r</f>
        <v>63.75</v>
      </c>
      <c r="T7" s="14" t="n">
        <f aca="false">IF(B7=1,N7,0)</f>
        <v>221.25</v>
      </c>
      <c r="U7" s="14" t="n">
        <f aca="false">IF(C7=1,O7,0)</f>
        <v>151.25</v>
      </c>
      <c r="V7" s="14" t="n">
        <f aca="false">IF(D7=1,P7,0)</f>
        <v>116.25</v>
      </c>
      <c r="W7" s="14" t="n">
        <f aca="false">IF(E7=1,Q7,0)</f>
        <v>0</v>
      </c>
      <c r="X7" s="14" t="n">
        <f aca="false">IF(F7=1,R7,0)</f>
        <v>0</v>
      </c>
      <c r="Y7" s="14" t="n">
        <f aca="false">IF(G7=1,S7,0)</f>
        <v>63.75</v>
      </c>
      <c r="Z7" s="14" t="n">
        <f aca="false">IF(B7=0,-N7,0)</f>
        <v>0</v>
      </c>
      <c r="AA7" s="14" t="n">
        <f aca="false">IF(C7=0,-O7,0)</f>
        <v>0</v>
      </c>
      <c r="AB7" s="14" t="n">
        <f aca="false">IF(D7=0,-P7,0)</f>
        <v>0</v>
      </c>
      <c r="AC7" s="14" t="n">
        <f aca="false">IF(E7=0,-Q7,0)</f>
        <v>10.625</v>
      </c>
      <c r="AD7" s="14" t="n">
        <f aca="false">IF(F7=0,-R7,0)</f>
        <v>19.375</v>
      </c>
      <c r="AE7" s="14" t="n">
        <f aca="false">IF(G7=0,-S7,0)</f>
        <v>0</v>
      </c>
      <c r="AF7" s="25" t="n">
        <f aca="false">MAX(ABS(N7-T7+Z7),ABS(O7-U7+AA7),ABS(P7-V7+AB7),ABS(Q7-W7+AC7),ABS(R7-X7+AD7),ABS(S7-Y7+AE7))</f>
        <v>0</v>
      </c>
      <c r="AG7" s="25" t="n">
        <f aca="false">MAX(0,-MIN(T7:AE7))</f>
        <v>-0</v>
      </c>
      <c r="AH7" s="25" t="n">
        <f aca="false">MAX(AF7,AG7)</f>
        <v>-0</v>
      </c>
      <c r="AI7" s="17" t="n">
        <f aca="false">COUNTIF(B7:G7,1)+COUNTIF(B7:G7,0)</f>
        <v>6</v>
      </c>
      <c r="AJ7" s="17" t="n">
        <f aca="false">AI7</f>
        <v>6</v>
      </c>
      <c r="AK7" s="17" t="n">
        <f aca="false">SUMPRODUCT((B7:G7&gt;0)*(B7:G7&lt;1))+SUMPRODUCT((B7:G7=1)*(T7:Y7=0))+SUMPRODUCT((B7:G7=0)*(Z7:AE7=0))</f>
        <v>0</v>
      </c>
      <c r="AL7" s="2" t="str">
        <f aca="false">IF(AH7&gt;0.000001,"not a KKT point",IF(AK7=0,"strict local maximum",IF($C$22&gt;0,"saddle: a KKT point, not a local maximum","check the curvature")))</f>
        <v>strict local maximum</v>
      </c>
    </row>
    <row r="8" customFormat="false" ht="15" hidden="false" customHeight="false" outlineLevel="0" collapsed="false">
      <c r="A8" s="2" t="s">
        <v>215</v>
      </c>
      <c r="B8" s="16" t="n">
        <f aca="false">Plans!B9</f>
        <v>1</v>
      </c>
      <c r="C8" s="16" t="n">
        <f aca="false">Plans!C9</f>
        <v>1</v>
      </c>
      <c r="D8" s="16" t="n">
        <f aca="false">Plans!D9</f>
        <v>1</v>
      </c>
      <c r="E8" s="16" t="n">
        <f aca="false">Plans!E9</f>
        <v>0.753246753246753</v>
      </c>
      <c r="F8" s="16" t="n">
        <f aca="false">Plans!F9</f>
        <v>0.844155844155844</v>
      </c>
      <c r="G8" s="16" t="n">
        <f aca="false">Plans!G9</f>
        <v>0</v>
      </c>
      <c r="H8" s="16" t="n">
        <f aca="false">Plans!H9</f>
        <v>7</v>
      </c>
      <c r="I8" s="16" t="n">
        <f aca="false">Plans!I9</f>
        <v>3.5</v>
      </c>
      <c r="J8" s="16" t="n">
        <f aca="false">Plans!J9</f>
        <v>1.75</v>
      </c>
      <c r="K8" s="16" t="n">
        <f aca="false">Plans!K9</f>
        <v>1.09090909090909</v>
      </c>
      <c r="L8" s="16" t="n">
        <f aca="false">Plans!L9</f>
        <v>0.630460448642267</v>
      </c>
      <c r="M8" s="16" t="n">
        <f aca="false">Plans!M9</f>
        <v>0.630460448642267</v>
      </c>
      <c r="N8" s="14" t="n">
        <f aca="false">Val_pt*Share/(1-Share*B8)*(SUM(H8:M8)+Credit_M*M8)-Cost_r</f>
        <v>152.11038961039</v>
      </c>
      <c r="O8" s="14" t="n">
        <f aca="false">Val_pt*Share/(1-Share*C8)*(SUM(I8:M8)+Credit_M*M8)-Cost_r</f>
        <v>82.1103896103896</v>
      </c>
      <c r="P8" s="14" t="n">
        <f aca="false">Val_pt*Share/(1-Share*D8)*(SUM(J8:M8)+Credit_M*M8)-Cost_r</f>
        <v>47.1103896103896</v>
      </c>
      <c r="Q8" s="14" t="n">
        <f aca="false">Val_pt*Share/(1-Share*E8)*(SUM(K8:M8)+Credit_M*M8)-Cost_r</f>
        <v>0</v>
      </c>
      <c r="R8" s="14" t="n">
        <f aca="false">Val_pt*Share/(1-Share*F8)*(SUM(L8:M8)+Credit_M*M8)-Cost_r</f>
        <v>0</v>
      </c>
      <c r="S8" s="14" t="n">
        <f aca="false">Val_pt*Share/(1-Share*G8)*(SUM(M8:M8)+Credit_M*M8)-Cost_r</f>
        <v>-53.801652892562</v>
      </c>
      <c r="T8" s="14" t="n">
        <f aca="false">IF(B8=1,N8,0)</f>
        <v>152.11038961039</v>
      </c>
      <c r="U8" s="14" t="n">
        <f aca="false">IF(C8=1,O8,0)</f>
        <v>82.1103896103896</v>
      </c>
      <c r="V8" s="14" t="n">
        <f aca="false">IF(D8=1,P8,0)</f>
        <v>47.1103896103896</v>
      </c>
      <c r="W8" s="14" t="n">
        <f aca="false">IF(E8=1,Q8,0)</f>
        <v>0</v>
      </c>
      <c r="X8" s="14" t="n">
        <f aca="false">IF(F8=1,R8,0)</f>
        <v>0</v>
      </c>
      <c r="Y8" s="14" t="n">
        <f aca="false">IF(G8=1,S8,0)</f>
        <v>0</v>
      </c>
      <c r="Z8" s="14" t="n">
        <f aca="false">IF(B8=0,-N8,0)</f>
        <v>0</v>
      </c>
      <c r="AA8" s="14" t="n">
        <f aca="false">IF(C8=0,-O8,0)</f>
        <v>0</v>
      </c>
      <c r="AB8" s="14" t="n">
        <f aca="false">IF(D8=0,-P8,0)</f>
        <v>0</v>
      </c>
      <c r="AC8" s="14" t="n">
        <f aca="false">IF(E8=0,-Q8,0)</f>
        <v>0</v>
      </c>
      <c r="AD8" s="14" t="n">
        <f aca="false">IF(F8=0,-R8,0)</f>
        <v>0</v>
      </c>
      <c r="AE8" s="14" t="n">
        <f aca="false">IF(G8=0,-S8,0)</f>
        <v>53.801652892562</v>
      </c>
      <c r="AF8" s="25" t="n">
        <f aca="false">MAX(ABS(N8-T8+Z8),ABS(O8-U8+AA8),ABS(P8-V8+AB8),ABS(Q8-W8+AC8),ABS(R8-X8+AD8),ABS(S8-Y8+AE8))</f>
        <v>0</v>
      </c>
      <c r="AG8" s="25" t="n">
        <f aca="false">MAX(0,-MIN(T8:AE8))</f>
        <v>-0</v>
      </c>
      <c r="AH8" s="25" t="n">
        <f aca="false">MAX(AF8,AG8)</f>
        <v>-0</v>
      </c>
      <c r="AI8" s="17" t="n">
        <f aca="false">COUNTIF(B8:G8,1)+COUNTIF(B8:G8,0)</f>
        <v>4</v>
      </c>
      <c r="AJ8" s="17" t="n">
        <f aca="false">AI8</f>
        <v>4</v>
      </c>
      <c r="AK8" s="17" t="n">
        <f aca="false">SUMPRODUCT((B8:G8&gt;0)*(B8:G8&lt;1))+SUMPRODUCT((B8:G8=1)*(T8:Y8=0))+SUMPRODUCT((B8:G8=0)*(Z8:AE8=0))</f>
        <v>2</v>
      </c>
      <c r="AL8" s="2" t="str">
        <f aca="false">IF(AH8&gt;0.000001,"not a KKT point",IF(AK8=0,"strict local maximum",IF($C$22&gt;0,"saddle: a KKT point, not a local maximum","check the curvature")))</f>
        <v>saddle: a KKT point, not a local maximum</v>
      </c>
    </row>
    <row r="10" customFormat="false" ht="15" hidden="false" customHeight="false" outlineLevel="0" collapsed="false">
      <c r="A10" s="10" t="s">
        <v>216</v>
      </c>
    </row>
    <row r="11" customFormat="false" ht="15" hidden="false" customHeight="false" outlineLevel="0" collapsed="false">
      <c r="A11" s="10" t="s">
        <v>217</v>
      </c>
    </row>
    <row r="13" customFormat="false" ht="15" hidden="false" customHeight="false" outlineLevel="0" collapsed="false">
      <c r="A13" s="8" t="s">
        <v>218</v>
      </c>
      <c r="B13" s="8" t="s">
        <v>219</v>
      </c>
      <c r="C13" s="8" t="s">
        <v>220</v>
      </c>
      <c r="D13" s="8" t="s">
        <v>221</v>
      </c>
      <c r="E13" s="8" t="s">
        <v>222</v>
      </c>
      <c r="F13" s="8" t="s">
        <v>223</v>
      </c>
      <c r="G13" s="8" t="s">
        <v>224</v>
      </c>
    </row>
    <row r="14" customFormat="false" ht="15" hidden="false" customHeight="false" outlineLevel="0" collapsed="false">
      <c r="A14" s="2" t="s">
        <v>219</v>
      </c>
      <c r="B14" s="11" t="n">
        <v>0</v>
      </c>
      <c r="C14" s="11" t="n">
        <f aca="false">-Val_pt*Share^2/((1-Share*Plans!B9)*(1-Share*Plans!C9))*(SUM(Plans!I9:M9)+Credit_M*Plans!M9)</f>
        <v>-202.11038961039</v>
      </c>
      <c r="D14" s="11" t="n">
        <f aca="false">-Val_pt*Share^2/((1-Share*Plans!B9)*(1-Share*Plans!D9))*(SUM(Plans!J9:M9)+Credit_M*Plans!M9)</f>
        <v>-167.11038961039</v>
      </c>
      <c r="E14" s="11" t="n">
        <f aca="false">-Val_pt*Share^2/((1-Share*Plans!B9)*(1-Share*Plans!E9))*(SUM(Plans!K9:M9)+Credit_M*Plans!M9)</f>
        <v>-120</v>
      </c>
      <c r="F14" s="11" t="n">
        <f aca="false">-Val_pt*Share^2/((1-Share*Plans!B9)*(1-Share*Plans!F9))*(SUM(Plans!L9:M9)+Credit_M*Plans!M9)</f>
        <v>-120</v>
      </c>
      <c r="G14" s="11" t="n">
        <f aca="false">-Val_pt*Share^2/((1-Share*Plans!B9)*(1-Share*Plans!G9))*(SUM(Plans!M9:M9)+Credit_M*Plans!M9)</f>
        <v>-66.198347107438</v>
      </c>
    </row>
    <row r="15" customFormat="false" ht="15" hidden="false" customHeight="false" outlineLevel="0" collapsed="false">
      <c r="A15" s="2" t="s">
        <v>220</v>
      </c>
      <c r="B15" s="11" t="n">
        <f aca="false">-Val_pt*Share^2/((1-Share*Plans!C9)*(1-Share*Plans!B9))*(SUM(Plans!I9:M9)+Credit_M*Plans!M9)</f>
        <v>-202.11038961039</v>
      </c>
      <c r="C15" s="11" t="n">
        <v>0</v>
      </c>
      <c r="D15" s="11" t="n">
        <f aca="false">-Val_pt*Share^2/((1-Share*Plans!C9)*(1-Share*Plans!D9))*(SUM(Plans!J9:M9)+Credit_M*Plans!M9)</f>
        <v>-167.11038961039</v>
      </c>
      <c r="E15" s="11" t="n">
        <f aca="false">-Val_pt*Share^2/((1-Share*Plans!C9)*(1-Share*Plans!E9))*(SUM(Plans!K9:M9)+Credit_M*Plans!M9)</f>
        <v>-120</v>
      </c>
      <c r="F15" s="11" t="n">
        <f aca="false">-Val_pt*Share^2/((1-Share*Plans!C9)*(1-Share*Plans!F9))*(SUM(Plans!L9:M9)+Credit_M*Plans!M9)</f>
        <v>-120</v>
      </c>
      <c r="G15" s="11" t="n">
        <f aca="false">-Val_pt*Share^2/((1-Share*Plans!C9)*(1-Share*Plans!G9))*(SUM(Plans!M9:M9)+Credit_M*Plans!M9)</f>
        <v>-66.198347107438</v>
      </c>
    </row>
    <row r="16" customFormat="false" ht="15" hidden="false" customHeight="false" outlineLevel="0" collapsed="false">
      <c r="A16" s="2" t="s">
        <v>221</v>
      </c>
      <c r="B16" s="11" t="n">
        <f aca="false">-Val_pt*Share^2/((1-Share*Plans!D9)*(1-Share*Plans!B9))*(SUM(Plans!J9:M9)+Credit_M*Plans!M9)</f>
        <v>-167.11038961039</v>
      </c>
      <c r="C16" s="11" t="n">
        <f aca="false">-Val_pt*Share^2/((1-Share*Plans!D9)*(1-Share*Plans!C9))*(SUM(Plans!J9:M9)+Credit_M*Plans!M9)</f>
        <v>-167.11038961039</v>
      </c>
      <c r="D16" s="11" t="n">
        <v>0</v>
      </c>
      <c r="E16" s="11" t="n">
        <f aca="false">-Val_pt*Share^2/((1-Share*Plans!D9)*(1-Share*Plans!E9))*(SUM(Plans!K9:M9)+Credit_M*Plans!M9)</f>
        <v>-120</v>
      </c>
      <c r="F16" s="11" t="n">
        <f aca="false">-Val_pt*Share^2/((1-Share*Plans!D9)*(1-Share*Plans!F9))*(SUM(Plans!L9:M9)+Credit_M*Plans!M9)</f>
        <v>-120</v>
      </c>
      <c r="G16" s="11" t="n">
        <f aca="false">-Val_pt*Share^2/((1-Share*Plans!D9)*(1-Share*Plans!G9))*(SUM(Plans!M9:M9)+Credit_M*Plans!M9)</f>
        <v>-66.198347107438</v>
      </c>
    </row>
    <row r="17" customFormat="false" ht="15" hidden="false" customHeight="false" outlineLevel="0" collapsed="false">
      <c r="A17" s="2" t="s">
        <v>222</v>
      </c>
      <c r="B17" s="11" t="n">
        <f aca="false">-Val_pt*Share^2/((1-Share*Plans!E9)*(1-Share*Plans!B9))*(SUM(Plans!K9:M9)+Credit_M*Plans!M9)</f>
        <v>-120</v>
      </c>
      <c r="C17" s="11" t="n">
        <f aca="false">-Val_pt*Share^2/((1-Share*Plans!E9)*(1-Share*Plans!C9))*(SUM(Plans!K9:M9)+Credit_M*Plans!M9)</f>
        <v>-120</v>
      </c>
      <c r="D17" s="11" t="n">
        <f aca="false">-Val_pt*Share^2/((1-Share*Plans!E9)*(1-Share*Plans!D9))*(SUM(Plans!K9:M9)+Credit_M*Plans!M9)</f>
        <v>-120</v>
      </c>
      <c r="E17" s="11" t="n">
        <v>0</v>
      </c>
      <c r="F17" s="11" t="n">
        <f aca="false">-Val_pt*Share^2/((1-Share*Plans!E9)*(1-Share*Plans!F9))*(SUM(Plans!L9:M9)+Credit_M*Plans!M9)</f>
        <v>-96.25</v>
      </c>
      <c r="G17" s="11" t="n">
        <f aca="false">-Val_pt*Share^2/((1-Share*Plans!E9)*(1-Share*Plans!G9))*(SUM(Plans!M9:M9)+Credit_M*Plans!M9)</f>
        <v>-53.0965909090909</v>
      </c>
    </row>
    <row r="18" customFormat="false" ht="15" hidden="false" customHeight="false" outlineLevel="0" collapsed="false">
      <c r="A18" s="2" t="s">
        <v>223</v>
      </c>
      <c r="B18" s="11" t="n">
        <f aca="false">-Val_pt*Share^2/((1-Share*Plans!F9)*(1-Share*Plans!B9))*(SUM(Plans!L9:M9)+Credit_M*Plans!M9)</f>
        <v>-120</v>
      </c>
      <c r="C18" s="11" t="n">
        <f aca="false">-Val_pt*Share^2/((1-Share*Plans!F9)*(1-Share*Plans!C9))*(SUM(Plans!L9:M9)+Credit_M*Plans!M9)</f>
        <v>-120</v>
      </c>
      <c r="D18" s="11" t="n">
        <f aca="false">-Val_pt*Share^2/((1-Share*Plans!F9)*(1-Share*Plans!D9))*(SUM(Plans!L9:M9)+Credit_M*Plans!M9)</f>
        <v>-120</v>
      </c>
      <c r="E18" s="11" t="n">
        <f aca="false">-Val_pt*Share^2/((1-Share*Plans!F9)*(1-Share*Plans!E9))*(SUM(Plans!L9:M9)+Credit_M*Plans!M9)</f>
        <v>-96.25</v>
      </c>
      <c r="F18" s="11" t="n">
        <v>0</v>
      </c>
      <c r="G18" s="11" t="n">
        <f aca="false">-Val_pt*Share^2/((1-Share*Plans!F9)*(1-Share*Plans!G9))*(SUM(Plans!M9:M9)+Credit_M*Plans!M9)</f>
        <v>-57.2727272727273</v>
      </c>
    </row>
    <row r="19" customFormat="false" ht="15" hidden="false" customHeight="false" outlineLevel="0" collapsed="false">
      <c r="A19" s="2" t="s">
        <v>224</v>
      </c>
      <c r="B19" s="11" t="n">
        <f aca="false">-Val_pt*Share^2/((1-Share*Plans!G9)*(1-Share*Plans!B9))*(SUM(Plans!M9:M9)+Credit_M*Plans!M9)</f>
        <v>-66.198347107438</v>
      </c>
      <c r="C19" s="11" t="n">
        <f aca="false">-Val_pt*Share^2/((1-Share*Plans!G9)*(1-Share*Plans!C9))*(SUM(Plans!M9:M9)+Credit_M*Plans!M9)</f>
        <v>-66.198347107438</v>
      </c>
      <c r="D19" s="11" t="n">
        <f aca="false">-Val_pt*Share^2/((1-Share*Plans!G9)*(1-Share*Plans!D9))*(SUM(Plans!M9:M9)+Credit_M*Plans!M9)</f>
        <v>-66.198347107438</v>
      </c>
      <c r="E19" s="11" t="n">
        <f aca="false">-Val_pt*Share^2/((1-Share*Plans!G9)*(1-Share*Plans!E9))*(SUM(Plans!M9:M9)+Credit_M*Plans!M9)</f>
        <v>-53.0965909090909</v>
      </c>
      <c r="F19" s="11" t="n">
        <f aca="false">-Val_pt*Share^2/((1-Share*Plans!G9)*(1-Share*Plans!F9))*(SUM(Plans!M9:M9)+Credit_M*Plans!M9)</f>
        <v>-57.2727272727273</v>
      </c>
      <c r="G19" s="11" t="n">
        <v>0</v>
      </c>
    </row>
    <row r="21" customFormat="false" ht="15" hidden="false" customHeight="false" outlineLevel="0" collapsed="false">
      <c r="A21" s="2" t="s">
        <v>225</v>
      </c>
      <c r="B21" s="11" t="n">
        <f aca="false">F17</f>
        <v>-96.25</v>
      </c>
    </row>
    <row r="22" customFormat="false" ht="15" hidden="false" customHeight="false" outlineLevel="0" collapsed="false">
      <c r="A22" s="2" t="s">
        <v>226</v>
      </c>
      <c r="B22" s="11" t="n">
        <f aca="false">-ABS(B21)</f>
        <v>-96.25</v>
      </c>
      <c r="C22" s="11" t="n">
        <f aca="false">ABS(B21)</f>
        <v>96.25</v>
      </c>
      <c r="D22" s="10"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7" min="2" style="0" width="11"/>
  </cols>
  <sheetData>
    <row r="1" customFormat="false" ht="15" hidden="false" customHeight="false" outlineLevel="0" collapsed="false">
      <c r="A1" s="1" t="s">
        <v>228</v>
      </c>
    </row>
    <row r="2" customFormat="false" ht="15" hidden="false" customHeight="false" outlineLevel="0" collapsed="false">
      <c r="A2" s="10" t="s">
        <v>229</v>
      </c>
    </row>
    <row r="4" customFormat="false" ht="15" hidden="false" customHeight="false" outlineLevel="0" collapsed="false">
      <c r="A4" s="8" t="s">
        <v>230</v>
      </c>
      <c r="B4" s="8" t="s">
        <v>219</v>
      </c>
      <c r="C4" s="8" t="s">
        <v>220</v>
      </c>
      <c r="D4" s="8" t="s">
        <v>221</v>
      </c>
      <c r="E4" s="8" t="s">
        <v>222</v>
      </c>
      <c r="F4" s="8" t="s">
        <v>223</v>
      </c>
      <c r="G4" s="8" t="s">
        <v>224</v>
      </c>
    </row>
    <row r="5" customFormat="false" ht="15" hidden="false" customHeight="false" outlineLevel="0" collapsed="false">
      <c r="A5" s="2" t="s">
        <v>231</v>
      </c>
      <c r="B5" s="26" t="n">
        <f aca="false">Audit!N5</f>
        <v>203.75</v>
      </c>
      <c r="C5" s="26" t="n">
        <f aca="false">Audit!O5</f>
        <v>133.75</v>
      </c>
      <c r="D5" s="26" t="n">
        <f aca="false">Audit!P5</f>
        <v>98.75</v>
      </c>
      <c r="E5" s="26" t="n">
        <f aca="false">Audit!Q5</f>
        <v>81.25</v>
      </c>
      <c r="F5" s="26" t="n">
        <f aca="false">Audit!R5</f>
        <v>-23.75</v>
      </c>
      <c r="G5" s="26" t="n">
        <f aca="false">Audit!S5</f>
        <v>-28.125</v>
      </c>
    </row>
    <row r="6" customFormat="false" ht="15" hidden="false" customHeight="false" outlineLevel="0" collapsed="false">
      <c r="A6" s="2" t="s">
        <v>232</v>
      </c>
      <c r="B6" s="26" t="n">
        <f aca="false">Audit!N6</f>
        <v>212.5</v>
      </c>
      <c r="C6" s="26" t="n">
        <f aca="false">Audit!O6</f>
        <v>142.5</v>
      </c>
      <c r="D6" s="26" t="n">
        <f aca="false">Audit!P6</f>
        <v>107.5</v>
      </c>
      <c r="E6" s="26" t="n">
        <f aca="false">Audit!Q6</f>
        <v>-15</v>
      </c>
      <c r="F6" s="26" t="n">
        <f aca="false">Audit!R6</f>
        <v>72.5</v>
      </c>
      <c r="G6" s="26" t="n">
        <f aca="false">Audit!S6</f>
        <v>-28.125</v>
      </c>
    </row>
    <row r="7" customFormat="false" ht="15" hidden="false" customHeight="false" outlineLevel="0" collapsed="false">
      <c r="A7" s="2" t="s">
        <v>233</v>
      </c>
      <c r="B7" s="26" t="n">
        <f aca="false">Audit!N7</f>
        <v>221.25</v>
      </c>
      <c r="C7" s="26" t="n">
        <f aca="false">Audit!O7</f>
        <v>151.25</v>
      </c>
      <c r="D7" s="26" t="n">
        <f aca="false">Audit!P7</f>
        <v>116.25</v>
      </c>
      <c r="E7" s="26" t="n">
        <f aca="false">Audit!Q7</f>
        <v>-10.625</v>
      </c>
      <c r="F7" s="26" t="n">
        <f aca="false">Audit!R7</f>
        <v>-19.375</v>
      </c>
      <c r="G7" s="26" t="n">
        <f aca="false">Audit!S7</f>
        <v>63.75</v>
      </c>
    </row>
    <row r="10" customFormat="false" ht="15" hidden="false" customHeight="false" outlineLevel="0" collapsed="false">
      <c r="A10" s="2" t="s">
        <v>234</v>
      </c>
      <c r="B10" s="11" t="n">
        <f aca="false">E5</f>
        <v>81.25</v>
      </c>
    </row>
    <row r="11" customFormat="false" ht="15" hidden="false" customHeight="false" outlineLevel="0" collapsed="false">
      <c r="A11" s="2" t="s">
        <v>235</v>
      </c>
      <c r="B11" s="11" t="n">
        <f aca="false">-F5</f>
        <v>23.75</v>
      </c>
    </row>
    <row r="12" customFormat="false" ht="15" hidden="false" customHeight="false" outlineLevel="0" collapsed="false">
      <c r="A12" s="2" t="s">
        <v>236</v>
      </c>
      <c r="B12" s="14" t="n">
        <f aca="false">-G5</f>
        <v>28.125</v>
      </c>
    </row>
    <row r="13" customFormat="false" ht="15" hidden="false" customHeight="false" outlineLevel="0" collapsed="false">
      <c r="A13" s="2" t="s">
        <v>237</v>
      </c>
      <c r="B13" s="11" t="n">
        <f aca="false">-E6</f>
        <v>15</v>
      </c>
    </row>
    <row r="14" customFormat="false" ht="15" hidden="false" customHeight="false" outlineLevel="0" collapsed="false">
      <c r="A14" s="2" t="s">
        <v>238</v>
      </c>
      <c r="B14" s="11" t="n">
        <f aca="false">F6</f>
        <v>72.5</v>
      </c>
    </row>
    <row r="15" customFormat="false" ht="15" hidden="false" customHeight="false" outlineLevel="0" collapsed="false">
      <c r="A15" s="2" t="s">
        <v>239</v>
      </c>
      <c r="B15" s="11" t="n">
        <f aca="false">Plans!U5-Plans!U6</f>
        <v>8.75</v>
      </c>
    </row>
    <row r="16" customFormat="false" ht="15" hidden="false" customHeight="false" outlineLevel="0" collapsed="false">
      <c r="A16" s="2" t="s">
        <v>240</v>
      </c>
      <c r="B16" s="11" t="n">
        <f aca="false">E6-F6</f>
        <v>-87.5</v>
      </c>
    </row>
    <row r="17" customFormat="false" ht="15" hidden="false" customHeight="false" outlineLevel="0" collapsed="false">
      <c r="A17" s="2" t="s">
        <v>241</v>
      </c>
      <c r="B17" s="11" t="n">
        <f aca="false">B15-B16</f>
        <v>96.25</v>
      </c>
    </row>
    <row r="18" customFormat="false" ht="15" hidden="false" customHeight="false" outlineLevel="0" collapsed="false">
      <c r="A18" s="2" t="s">
        <v>242</v>
      </c>
      <c r="B18" s="11" t="n">
        <f aca="false">-Face!B7</f>
        <v>96.25</v>
      </c>
    </row>
    <row r="20" customFormat="false" ht="15" hidden="false" customHeight="false" outlineLevel="0" collapsed="false">
      <c r="A20" s="10" t="s">
        <v>243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6"/>
    <col collapsed="false" customWidth="true" hidden="false" outlineLevel="0" max="4" min="4" style="0" width="14"/>
    <col collapsed="false" customWidth="true" hidden="false" outlineLevel="0" max="10" min="5" style="0" width="10"/>
    <col collapsed="false" customWidth="true" hidden="false" outlineLevel="0" max="11" min="11" style="0" width="14"/>
  </cols>
  <sheetData>
    <row r="1" customFormat="false" ht="15" hidden="false" customHeight="false" outlineLevel="0" collapsed="false">
      <c r="A1" s="1" t="s">
        <v>244</v>
      </c>
    </row>
    <row r="2" customFormat="false" ht="15" hidden="false" customHeight="false" outlineLevel="0" collapsed="false">
      <c r="A2" s="10" t="s">
        <v>245</v>
      </c>
    </row>
    <row r="4" customFormat="false" ht="15" hidden="false" customHeight="false" outlineLevel="0" collapsed="false">
      <c r="A4" s="4" t="s">
        <v>246</v>
      </c>
    </row>
    <row r="5" customFormat="false" ht="35.05" hidden="false" customHeight="false" outlineLevel="0" collapsed="false">
      <c r="A5" s="8" t="s">
        <v>247</v>
      </c>
      <c r="B5" s="8" t="s">
        <v>248</v>
      </c>
      <c r="C5" s="8" t="s">
        <v>249</v>
      </c>
      <c r="D5" s="8" t="s">
        <v>250</v>
      </c>
      <c r="E5" s="8" t="s">
        <v>251</v>
      </c>
      <c r="F5" s="8" t="s">
        <v>252</v>
      </c>
      <c r="G5" s="8" t="s">
        <v>253</v>
      </c>
      <c r="H5" s="8" t="s">
        <v>254</v>
      </c>
      <c r="I5" s="8" t="s">
        <v>255</v>
      </c>
      <c r="J5" s="8" t="s">
        <v>256</v>
      </c>
      <c r="K5" s="8" t="s">
        <v>20</v>
      </c>
    </row>
    <row r="6" customFormat="false" ht="15" hidden="false" customHeight="false" outlineLevel="0" collapsed="false">
      <c r="A6" s="17" t="n">
        <v>0</v>
      </c>
      <c r="B6" s="11" t="n">
        <f aca="false">6-A6+Credit_M</f>
        <v>26</v>
      </c>
      <c r="C6" s="12" t="n">
        <f aca="false">LN(Cost_r/(Slope0*B6))/LN(Keep)</f>
        <v>4.39406576653264</v>
      </c>
      <c r="D6" s="12" t="n">
        <f aca="false">IF(A6=6,6,MIN(MAX(C6,A6),A6+1))</f>
        <v>1</v>
      </c>
      <c r="E6" s="14" t="n">
        <f aca="false">Smax*(1-POWER(Keep,MIN(1,$D6)))</f>
        <v>70</v>
      </c>
      <c r="F6" s="14" t="n">
        <f aca="false">Smax*(1-POWER(Keep,MIN(2,$D6)))</f>
        <v>70</v>
      </c>
      <c r="G6" s="14" t="n">
        <f aca="false">Smax*(1-POWER(Keep,MIN(3,$D6)))</f>
        <v>70</v>
      </c>
      <c r="H6" s="14" t="n">
        <f aca="false">Smax*(1-POWER(Keep,MIN(4,$D6)))</f>
        <v>70</v>
      </c>
      <c r="I6" s="14" t="n">
        <f aca="false">Smax*(1-POWER(Keep,MIN(5,$D6)))</f>
        <v>70</v>
      </c>
      <c r="J6" s="14" t="n">
        <f aca="false">Smax*(1-POWER(Keep,MIN(6,$D6)))</f>
        <v>70</v>
      </c>
      <c r="K6" s="19" t="n">
        <f aca="false">Cash0+SUM(E6:J6)-Cost_r*D6+Credit_M*J6</f>
        <v>1850</v>
      </c>
    </row>
    <row r="7" customFormat="false" ht="15" hidden="false" customHeight="false" outlineLevel="0" collapsed="false">
      <c r="A7" s="17" t="n">
        <v>1</v>
      </c>
      <c r="B7" s="11" t="n">
        <f aca="false">6-A7+Credit_M</f>
        <v>25</v>
      </c>
      <c r="C7" s="12" t="n">
        <f aca="false">LN(Cost_r/(Slope0*B7))/LN(Keep)</f>
        <v>4.33748223816628</v>
      </c>
      <c r="D7" s="12" t="n">
        <f aca="false">IF(A7=6,6,MIN(MAX(C7,A7),A7+1))</f>
        <v>2</v>
      </c>
      <c r="E7" s="14" t="n">
        <f aca="false">Smax*(1-POWER(Keep,MIN(1,$D7)))</f>
        <v>70</v>
      </c>
      <c r="F7" s="14" t="n">
        <f aca="false">Smax*(1-POWER(Keep,MIN(2,$D7)))</f>
        <v>105</v>
      </c>
      <c r="G7" s="14" t="n">
        <f aca="false">Smax*(1-POWER(Keep,MIN(3,$D7)))</f>
        <v>105</v>
      </c>
      <c r="H7" s="14" t="n">
        <f aca="false">Smax*(1-POWER(Keep,MIN(4,$D7)))</f>
        <v>105</v>
      </c>
      <c r="I7" s="14" t="n">
        <f aca="false">Smax*(1-POWER(Keep,MIN(5,$D7)))</f>
        <v>105</v>
      </c>
      <c r="J7" s="14" t="n">
        <f aca="false">Smax*(1-POWER(Keep,MIN(6,$D7)))</f>
        <v>105</v>
      </c>
      <c r="K7" s="19" t="n">
        <f aca="false">Cash0+SUM(E7:J7)-Cost_r*D7+Credit_M*J7</f>
        <v>2605</v>
      </c>
    </row>
    <row r="8" customFormat="false" ht="15" hidden="false" customHeight="false" outlineLevel="0" collapsed="false">
      <c r="A8" s="17" t="n">
        <v>2</v>
      </c>
      <c r="B8" s="11" t="n">
        <f aca="false">6-A8+Credit_M</f>
        <v>24</v>
      </c>
      <c r="C8" s="12" t="n">
        <f aca="false">LN(Cost_r/(Slope0*B8))/LN(Keep)</f>
        <v>4.27858854911271</v>
      </c>
      <c r="D8" s="12" t="n">
        <f aca="false">IF(A8=6,6,MIN(MAX(C8,A8),A8+1))</f>
        <v>3</v>
      </c>
      <c r="E8" s="14" t="n">
        <f aca="false">Smax*(1-POWER(Keep,MIN(1,$D8)))</f>
        <v>70</v>
      </c>
      <c r="F8" s="14" t="n">
        <f aca="false">Smax*(1-POWER(Keep,MIN(2,$D8)))</f>
        <v>105</v>
      </c>
      <c r="G8" s="14" t="n">
        <f aca="false">Smax*(1-POWER(Keep,MIN(3,$D8)))</f>
        <v>122.5</v>
      </c>
      <c r="H8" s="14" t="n">
        <f aca="false">Smax*(1-POWER(Keep,MIN(4,$D8)))</f>
        <v>122.5</v>
      </c>
      <c r="I8" s="14" t="n">
        <f aca="false">Smax*(1-POWER(Keep,MIN(5,$D8)))</f>
        <v>122.5</v>
      </c>
      <c r="J8" s="14" t="n">
        <f aca="false">Smax*(1-POWER(Keep,MIN(6,$D8)))</f>
        <v>122.5</v>
      </c>
      <c r="K8" s="19" t="n">
        <f aca="false">Cash0+SUM(E8:J8)-Cost_r*D8+Credit_M*J8</f>
        <v>2905</v>
      </c>
    </row>
    <row r="9" customFormat="false" ht="15" hidden="false" customHeight="false" outlineLevel="0" collapsed="false">
      <c r="A9" s="17" t="n">
        <v>3</v>
      </c>
      <c r="B9" s="11" t="n">
        <f aca="false">6-A9+Credit_M</f>
        <v>23</v>
      </c>
      <c r="C9" s="12" t="n">
        <f aca="false">LN(Cost_r/(Slope0*B9))/LN(Keep)</f>
        <v>4.21718800444856</v>
      </c>
      <c r="D9" s="12" t="n">
        <f aca="false">IF(A9=6,6,MIN(MAX(C9,A9),A9+1))</f>
        <v>4</v>
      </c>
      <c r="E9" s="14" t="n">
        <f aca="false">Smax*(1-POWER(Keep,MIN(1,$D9)))</f>
        <v>70</v>
      </c>
      <c r="F9" s="14" t="n">
        <f aca="false">Smax*(1-POWER(Keep,MIN(2,$D9)))</f>
        <v>105</v>
      </c>
      <c r="G9" s="14" t="n">
        <f aca="false">Smax*(1-POWER(Keep,MIN(3,$D9)))</f>
        <v>122.5</v>
      </c>
      <c r="H9" s="14" t="n">
        <f aca="false">Smax*(1-POWER(Keep,MIN(4,$D9)))</f>
        <v>131.25</v>
      </c>
      <c r="I9" s="14" t="n">
        <f aca="false">Smax*(1-POWER(Keep,MIN(5,$D9)))</f>
        <v>131.25</v>
      </c>
      <c r="J9" s="14" t="n">
        <f aca="false">Smax*(1-POWER(Keep,MIN(6,$D9)))</f>
        <v>131.25</v>
      </c>
      <c r="K9" s="19" t="n">
        <f aca="false">Cash0+SUM(E9:J9)-Cost_r*D9+Credit_M*J9</f>
        <v>2986.25</v>
      </c>
    </row>
    <row r="10" customFormat="false" ht="15" hidden="false" customHeight="false" outlineLevel="0" collapsed="false">
      <c r="A10" s="17" t="n">
        <v>4</v>
      </c>
      <c r="B10" s="11" t="n">
        <f aca="false">6-A10+Credit_M</f>
        <v>22</v>
      </c>
      <c r="C10" s="12" t="n">
        <f aca="false">LN(Cost_r/(Slope0*B10))/LN(Keep)</f>
        <v>4.15305766702885</v>
      </c>
      <c r="D10" s="12" t="n">
        <f aca="false">IF(A10=6,6,MIN(MAX(C10,A10),A10+1))</f>
        <v>4.15305766702885</v>
      </c>
      <c r="E10" s="14" t="n">
        <f aca="false">Smax*(1-POWER(Keep,MIN(1,$D10)))</f>
        <v>70</v>
      </c>
      <c r="F10" s="14" t="n">
        <f aca="false">Smax*(1-POWER(Keep,MIN(2,$D10)))</f>
        <v>105</v>
      </c>
      <c r="G10" s="14" t="n">
        <f aca="false">Smax*(1-POWER(Keep,MIN(3,$D10)))</f>
        <v>122.5</v>
      </c>
      <c r="H10" s="14" t="n">
        <f aca="false">Smax*(1-POWER(Keep,MIN(4,$D10)))</f>
        <v>131.25</v>
      </c>
      <c r="I10" s="14" t="n">
        <f aca="false">Smax*(1-POWER(Keep,MIN(5,$D10)))</f>
        <v>132.130754322424</v>
      </c>
      <c r="J10" s="14" t="n">
        <f aca="false">Smax*(1-POWER(Keep,MIN(6,$D10)))</f>
        <v>132.130754322424</v>
      </c>
      <c r="K10" s="19" t="n">
        <f aca="false">Cash0+SUM(E10:J10)-Cost_r*D10+Credit_M*J10</f>
        <v>2987.25967504986</v>
      </c>
    </row>
    <row r="11" customFormat="false" ht="15" hidden="false" customHeight="false" outlineLevel="0" collapsed="false">
      <c r="A11" s="17" t="n">
        <v>5</v>
      </c>
      <c r="B11" s="11" t="n">
        <f aca="false">6-A11+Credit_M</f>
        <v>21</v>
      </c>
      <c r="C11" s="12" t="n">
        <f aca="false">LN(Cost_r/(Slope0*B11))/LN(Keep)</f>
        <v>4.08594347117031</v>
      </c>
      <c r="D11" s="12" t="n">
        <f aca="false">IF(A11=6,6,MIN(MAX(C11,A11),A11+1))</f>
        <v>5</v>
      </c>
      <c r="E11" s="14" t="n">
        <f aca="false">Smax*(1-POWER(Keep,MIN(1,$D11)))</f>
        <v>70</v>
      </c>
      <c r="F11" s="14" t="n">
        <f aca="false">Smax*(1-POWER(Keep,MIN(2,$D11)))</f>
        <v>105</v>
      </c>
      <c r="G11" s="14" t="n">
        <f aca="false">Smax*(1-POWER(Keep,MIN(3,$D11)))</f>
        <v>122.5</v>
      </c>
      <c r="H11" s="14" t="n">
        <f aca="false">Smax*(1-POWER(Keep,MIN(4,$D11)))</f>
        <v>131.25</v>
      </c>
      <c r="I11" s="14" t="n">
        <f aca="false">Smax*(1-POWER(Keep,MIN(5,$D11)))</f>
        <v>135.625</v>
      </c>
      <c r="J11" s="14" t="n">
        <f aca="false">Smax*(1-POWER(Keep,MIN(6,$D11)))</f>
        <v>135.625</v>
      </c>
      <c r="K11" s="19" t="n">
        <f aca="false">Cash0+SUM(E11:J11)-Cost_r*D11+Credit_M*J11</f>
        <v>2962.5</v>
      </c>
    </row>
    <row r="12" customFormat="false" ht="15" hidden="false" customHeight="false" outlineLevel="0" collapsed="false">
      <c r="A12" s="17" t="n">
        <v>6</v>
      </c>
      <c r="B12" s="11" t="n">
        <f aca="false">6-A12+Credit_M</f>
        <v>20</v>
      </c>
      <c r="C12" s="12" t="n">
        <f aca="false">LN(Cost_r/(Slope0*B12))/LN(Keep)</f>
        <v>4.01555414327891</v>
      </c>
      <c r="D12" s="12" t="n">
        <f aca="false">IF(A12=6,6,MIN(MAX(C12,A12),A12+1))</f>
        <v>6</v>
      </c>
      <c r="E12" s="14" t="n">
        <f aca="false">Smax*(1-POWER(Keep,MIN(1,$D12)))</f>
        <v>70</v>
      </c>
      <c r="F12" s="14" t="n">
        <f aca="false">Smax*(1-POWER(Keep,MIN(2,$D12)))</f>
        <v>105</v>
      </c>
      <c r="G12" s="14" t="n">
        <f aca="false">Smax*(1-POWER(Keep,MIN(3,$D12)))</f>
        <v>122.5</v>
      </c>
      <c r="H12" s="14" t="n">
        <f aca="false">Smax*(1-POWER(Keep,MIN(4,$D12)))</f>
        <v>131.25</v>
      </c>
      <c r="I12" s="14" t="n">
        <f aca="false">Smax*(1-POWER(Keep,MIN(5,$D12)))</f>
        <v>135.625</v>
      </c>
      <c r="J12" s="14" t="n">
        <f aca="false">Smax*(1-POWER(Keep,MIN(6,$D12)))</f>
        <v>137.8125</v>
      </c>
      <c r="K12" s="19" t="n">
        <f aca="false">Cash0+SUM(E12:J12)-Cost_r*D12+Credit_M*J12</f>
        <v>2888.4375</v>
      </c>
    </row>
    <row r="14" customFormat="false" ht="15" hidden="false" customHeight="false" outlineLevel="0" collapsed="false">
      <c r="A14" s="2" t="s">
        <v>257</v>
      </c>
      <c r="K14" s="19" t="n">
        <f aca="false">MAX(K6:K12)</f>
        <v>2987.25967504986</v>
      </c>
    </row>
    <row r="15" customFormat="false" ht="15" hidden="false" customHeight="false" outlineLevel="0" collapsed="false">
      <c r="A15" s="2" t="s">
        <v>258</v>
      </c>
      <c r="K15" s="12" t="n">
        <f aca="false">INDEX(D6:D12,MATCH(K14,K6:K12,0))</f>
        <v>4.15305766702885</v>
      </c>
    </row>
    <row r="16" customFormat="false" ht="15" hidden="false" customHeight="false" outlineLevel="0" collapsed="false">
      <c r="A16" s="2" t="s">
        <v>259</v>
      </c>
      <c r="B16" s="12" t="n">
        <f aca="false">MIN(1,MAX(0,$K$15-0))</f>
        <v>1</v>
      </c>
      <c r="C16" s="12" t="n">
        <f aca="false">MIN(1,MAX(0,$K$15-1))</f>
        <v>1</v>
      </c>
      <c r="D16" s="12" t="n">
        <f aca="false">MIN(1,MAX(0,$K$15-2))</f>
        <v>1</v>
      </c>
      <c r="E16" s="12" t="n">
        <f aca="false">MIN(1,MAX(0,$K$15-3))</f>
        <v>1</v>
      </c>
      <c r="F16" s="12" t="n">
        <f aca="false">MIN(1,MAX(0,$K$15-4))</f>
        <v>0.153057667028848</v>
      </c>
      <c r="G16" s="12" t="n">
        <f aca="false">MIN(1,MAX(0,$K$15-5))</f>
        <v>0</v>
      </c>
    </row>
    <row r="20" customFormat="false" ht="15" hidden="false" customHeight="false" outlineLevel="0" collapsed="false">
      <c r="A20" s="4" t="s">
        <v>260</v>
      </c>
    </row>
    <row r="21" customFormat="false" ht="35.05" hidden="false" customHeight="false" outlineLevel="0" collapsed="false">
      <c r="A21" s="8" t="s">
        <v>247</v>
      </c>
      <c r="B21" s="8" t="s">
        <v>248</v>
      </c>
      <c r="C21" s="8" t="s">
        <v>249</v>
      </c>
      <c r="D21" s="8" t="s">
        <v>250</v>
      </c>
      <c r="E21" s="8" t="s">
        <v>251</v>
      </c>
      <c r="F21" s="8" t="s">
        <v>252</v>
      </c>
      <c r="G21" s="8" t="s">
        <v>253</v>
      </c>
      <c r="H21" s="8" t="s">
        <v>254</v>
      </c>
      <c r="I21" s="8" t="s">
        <v>255</v>
      </c>
      <c r="J21" s="8" t="s">
        <v>256</v>
      </c>
      <c r="K21" s="8" t="s">
        <v>20</v>
      </c>
    </row>
    <row r="22" customFormat="false" ht="15" hidden="false" customHeight="false" outlineLevel="0" collapsed="false">
      <c r="A22" s="17" t="n">
        <v>0</v>
      </c>
      <c r="B22" s="11" t="n">
        <f aca="false">6-A22+Credit_10</f>
        <v>16</v>
      </c>
      <c r="C22" s="12" t="n">
        <f aca="false">LN(Cost_r/(Slope0*B22))/LN(Keep)</f>
        <v>3.69362604839155</v>
      </c>
      <c r="D22" s="12" t="n">
        <f aca="false">IF(A22=6,6,MIN(MAX(C22,A22),A22+1))</f>
        <v>1</v>
      </c>
      <c r="E22" s="14" t="n">
        <f aca="false">Smax*(1-POWER(Keep,MIN(1,$D22)))</f>
        <v>70</v>
      </c>
      <c r="F22" s="14" t="n">
        <f aca="false">Smax*(1-POWER(Keep,MIN(2,$D22)))</f>
        <v>70</v>
      </c>
      <c r="G22" s="14" t="n">
        <f aca="false">Smax*(1-POWER(Keep,MIN(3,$D22)))</f>
        <v>70</v>
      </c>
      <c r="H22" s="14" t="n">
        <f aca="false">Smax*(1-POWER(Keep,MIN(4,$D22)))</f>
        <v>70</v>
      </c>
      <c r="I22" s="14" t="n">
        <f aca="false">Smax*(1-POWER(Keep,MIN(5,$D22)))</f>
        <v>70</v>
      </c>
      <c r="J22" s="14" t="n">
        <f aca="false">Smax*(1-POWER(Keep,MIN(6,$D22)))</f>
        <v>70</v>
      </c>
      <c r="K22" s="19" t="n">
        <f aca="false">Cash0+SUM(E22:J22)-Cost_r*D22+Credit_10*J22</f>
        <v>1150</v>
      </c>
    </row>
    <row r="23" customFormat="false" ht="15" hidden="false" customHeight="false" outlineLevel="0" collapsed="false">
      <c r="A23" s="17" t="n">
        <v>1</v>
      </c>
      <c r="B23" s="11" t="n">
        <f aca="false">6-A23+Credit_10</f>
        <v>15</v>
      </c>
      <c r="C23" s="12" t="n">
        <f aca="false">LN(Cost_r/(Slope0*B23))/LN(Keep)</f>
        <v>3.60051664400007</v>
      </c>
      <c r="D23" s="12" t="n">
        <f aca="false">IF(A23=6,6,MIN(MAX(C23,A23),A23+1))</f>
        <v>2</v>
      </c>
      <c r="E23" s="14" t="n">
        <f aca="false">Smax*(1-POWER(Keep,MIN(1,$D23)))</f>
        <v>70</v>
      </c>
      <c r="F23" s="14" t="n">
        <f aca="false">Smax*(1-POWER(Keep,MIN(2,$D23)))</f>
        <v>105</v>
      </c>
      <c r="G23" s="14" t="n">
        <f aca="false">Smax*(1-POWER(Keep,MIN(3,$D23)))</f>
        <v>105</v>
      </c>
      <c r="H23" s="14" t="n">
        <f aca="false">Smax*(1-POWER(Keep,MIN(4,$D23)))</f>
        <v>105</v>
      </c>
      <c r="I23" s="14" t="n">
        <f aca="false">Smax*(1-POWER(Keep,MIN(5,$D23)))</f>
        <v>105</v>
      </c>
      <c r="J23" s="14" t="n">
        <f aca="false">Smax*(1-POWER(Keep,MIN(6,$D23)))</f>
        <v>105</v>
      </c>
      <c r="K23" s="19" t="n">
        <f aca="false">Cash0+SUM(E23:J23)-Cost_r*D23+Credit_10*J23</f>
        <v>1555</v>
      </c>
    </row>
    <row r="24" customFormat="false" ht="15" hidden="false" customHeight="false" outlineLevel="0" collapsed="false">
      <c r="A24" s="17" t="n">
        <v>2</v>
      </c>
      <c r="B24" s="11" t="n">
        <f aca="false">6-A24+Credit_10</f>
        <v>14</v>
      </c>
      <c r="C24" s="12" t="n">
        <f aca="false">LN(Cost_r/(Slope0*B24))/LN(Keep)</f>
        <v>3.50098097044915</v>
      </c>
      <c r="D24" s="12" t="n">
        <f aca="false">IF(A24=6,6,MIN(MAX(C24,A24),A24+1))</f>
        <v>3</v>
      </c>
      <c r="E24" s="14" t="n">
        <f aca="false">Smax*(1-POWER(Keep,MIN(1,$D24)))</f>
        <v>70</v>
      </c>
      <c r="F24" s="14" t="n">
        <f aca="false">Smax*(1-POWER(Keep,MIN(2,$D24)))</f>
        <v>105</v>
      </c>
      <c r="G24" s="14" t="n">
        <f aca="false">Smax*(1-POWER(Keep,MIN(3,$D24)))</f>
        <v>122.5</v>
      </c>
      <c r="H24" s="14" t="n">
        <f aca="false">Smax*(1-POWER(Keep,MIN(4,$D24)))</f>
        <v>122.5</v>
      </c>
      <c r="I24" s="14" t="n">
        <f aca="false">Smax*(1-POWER(Keep,MIN(5,$D24)))</f>
        <v>122.5</v>
      </c>
      <c r="J24" s="14" t="n">
        <f aca="false">Smax*(1-POWER(Keep,MIN(6,$D24)))</f>
        <v>122.5</v>
      </c>
      <c r="K24" s="19" t="n">
        <f aca="false">Cash0+SUM(E24:J24)-Cost_r*D24+Credit_10*J24</f>
        <v>1680</v>
      </c>
    </row>
    <row r="25" customFormat="false" ht="15" hidden="false" customHeight="false" outlineLevel="0" collapsed="false">
      <c r="A25" s="17" t="n">
        <v>3</v>
      </c>
      <c r="B25" s="11" t="n">
        <f aca="false">6-A25+Credit_10</f>
        <v>13</v>
      </c>
      <c r="C25" s="12" t="n">
        <f aca="false">LN(Cost_r/(Slope0*B25))/LN(Keep)</f>
        <v>3.39406576653264</v>
      </c>
      <c r="D25" s="12" t="n">
        <f aca="false">IF(A25=6,6,MIN(MAX(C25,A25),A25+1))</f>
        <v>3.39406576653264</v>
      </c>
      <c r="E25" s="14" t="n">
        <f aca="false">Smax*(1-POWER(Keep,MIN(1,$D25)))</f>
        <v>70</v>
      </c>
      <c r="F25" s="14" t="n">
        <f aca="false">Smax*(1-POWER(Keep,MIN(2,$D25)))</f>
        <v>105</v>
      </c>
      <c r="G25" s="14" t="n">
        <f aca="false">Smax*(1-POWER(Keep,MIN(3,$D25)))</f>
        <v>122.5</v>
      </c>
      <c r="H25" s="14" t="n">
        <f aca="false">Smax*(1-POWER(Keep,MIN(4,$D25)))</f>
        <v>126.682815007179</v>
      </c>
      <c r="I25" s="14" t="n">
        <f aca="false">Smax*(1-POWER(Keep,MIN(5,$D25)))</f>
        <v>126.682815007179</v>
      </c>
      <c r="J25" s="14" t="n">
        <f aca="false">Smax*(1-POWER(Keep,MIN(6,$D25)))</f>
        <v>126.682815007179</v>
      </c>
      <c r="K25" s="19" t="n">
        <f aca="false">Cash0+SUM(E25:J25)-Cost_r*D25+Credit_10*J25</f>
        <v>1687.08870310941</v>
      </c>
    </row>
    <row r="26" customFormat="false" ht="15" hidden="false" customHeight="false" outlineLevel="0" collapsed="false">
      <c r="A26" s="17" t="n">
        <v>4</v>
      </c>
      <c r="B26" s="11" t="n">
        <f aca="false">6-A26+Credit_10</f>
        <v>12</v>
      </c>
      <c r="C26" s="12" t="n">
        <f aca="false">LN(Cost_r/(Slope0*B26))/LN(Keep)</f>
        <v>3.27858854911271</v>
      </c>
      <c r="D26" s="12" t="n">
        <f aca="false">IF(A26=6,6,MIN(MAX(C26,A26),A26+1))</f>
        <v>4</v>
      </c>
      <c r="E26" s="14" t="n">
        <f aca="false">Smax*(1-POWER(Keep,MIN(1,$D26)))</f>
        <v>70</v>
      </c>
      <c r="F26" s="14" t="n">
        <f aca="false">Smax*(1-POWER(Keep,MIN(2,$D26)))</f>
        <v>105</v>
      </c>
      <c r="G26" s="14" t="n">
        <f aca="false">Smax*(1-POWER(Keep,MIN(3,$D26)))</f>
        <v>122.5</v>
      </c>
      <c r="H26" s="14" t="n">
        <f aca="false">Smax*(1-POWER(Keep,MIN(4,$D26)))</f>
        <v>131.25</v>
      </c>
      <c r="I26" s="14" t="n">
        <f aca="false">Smax*(1-POWER(Keep,MIN(5,$D26)))</f>
        <v>131.25</v>
      </c>
      <c r="J26" s="14" t="n">
        <f aca="false">Smax*(1-POWER(Keep,MIN(6,$D26)))</f>
        <v>131.25</v>
      </c>
      <c r="K26" s="19" t="n">
        <f aca="false">Cash0+SUM(E26:J26)-Cost_r*D26+Credit_10*J26</f>
        <v>1673.75</v>
      </c>
    </row>
    <row r="27" customFormat="false" ht="15" hidden="false" customHeight="false" outlineLevel="0" collapsed="false">
      <c r="A27" s="17" t="n">
        <v>5</v>
      </c>
      <c r="B27" s="11" t="n">
        <f aca="false">6-A27+Credit_10</f>
        <v>11</v>
      </c>
      <c r="C27" s="12" t="n">
        <f aca="false">LN(Cost_r/(Slope0*B27))/LN(Keep)</f>
        <v>3.15305766702885</v>
      </c>
      <c r="D27" s="12" t="n">
        <f aca="false">IF(A27=6,6,MIN(MAX(C27,A27),A27+1))</f>
        <v>5</v>
      </c>
      <c r="E27" s="14" t="n">
        <f aca="false">Smax*(1-POWER(Keep,MIN(1,$D27)))</f>
        <v>70</v>
      </c>
      <c r="F27" s="14" t="n">
        <f aca="false">Smax*(1-POWER(Keep,MIN(2,$D27)))</f>
        <v>105</v>
      </c>
      <c r="G27" s="14" t="n">
        <f aca="false">Smax*(1-POWER(Keep,MIN(3,$D27)))</f>
        <v>122.5</v>
      </c>
      <c r="H27" s="14" t="n">
        <f aca="false">Smax*(1-POWER(Keep,MIN(4,$D27)))</f>
        <v>131.25</v>
      </c>
      <c r="I27" s="14" t="n">
        <f aca="false">Smax*(1-POWER(Keep,MIN(5,$D27)))</f>
        <v>135.625</v>
      </c>
      <c r="J27" s="14" t="n">
        <f aca="false">Smax*(1-POWER(Keep,MIN(6,$D27)))</f>
        <v>135.625</v>
      </c>
      <c r="K27" s="19" t="n">
        <f aca="false">Cash0+SUM(E27:J27)-Cost_r*D27+Credit_10*J27</f>
        <v>1606.25</v>
      </c>
    </row>
    <row r="28" customFormat="false" ht="15" hidden="false" customHeight="false" outlineLevel="0" collapsed="false">
      <c r="A28" s="17" t="n">
        <v>6</v>
      </c>
      <c r="B28" s="11" t="n">
        <f aca="false">6-A28+Credit_10</f>
        <v>10</v>
      </c>
      <c r="C28" s="12" t="n">
        <f aca="false">LN(Cost_r/(Slope0*B28))/LN(Keep)</f>
        <v>3.01555414327891</v>
      </c>
      <c r="D28" s="12" t="n">
        <f aca="false">IF(A28=6,6,MIN(MAX(C28,A28),A28+1))</f>
        <v>6</v>
      </c>
      <c r="E28" s="14" t="n">
        <f aca="false">Smax*(1-POWER(Keep,MIN(1,$D28)))</f>
        <v>70</v>
      </c>
      <c r="F28" s="14" t="n">
        <f aca="false">Smax*(1-POWER(Keep,MIN(2,$D28)))</f>
        <v>105</v>
      </c>
      <c r="G28" s="14" t="n">
        <f aca="false">Smax*(1-POWER(Keep,MIN(3,$D28)))</f>
        <v>122.5</v>
      </c>
      <c r="H28" s="14" t="n">
        <f aca="false">Smax*(1-POWER(Keep,MIN(4,$D28)))</f>
        <v>131.25</v>
      </c>
      <c r="I28" s="14" t="n">
        <f aca="false">Smax*(1-POWER(Keep,MIN(5,$D28)))</f>
        <v>135.625</v>
      </c>
      <c r="J28" s="14" t="n">
        <f aca="false">Smax*(1-POWER(Keep,MIN(6,$D28)))</f>
        <v>137.8125</v>
      </c>
      <c r="K28" s="19" t="n">
        <f aca="false">Cash0+SUM(E28:J28)-Cost_r*D28+Credit_10*J28</f>
        <v>1510.3125</v>
      </c>
    </row>
    <row r="30" customFormat="false" ht="15" hidden="false" customHeight="false" outlineLevel="0" collapsed="false">
      <c r="A30" s="2" t="s">
        <v>257</v>
      </c>
      <c r="K30" s="19" t="n">
        <f aca="false">MAX(K22:K28)</f>
        <v>1687.08870310941</v>
      </c>
    </row>
    <row r="31" customFormat="false" ht="15" hidden="false" customHeight="false" outlineLevel="0" collapsed="false">
      <c r="A31" s="2" t="s">
        <v>258</v>
      </c>
      <c r="K31" s="12" t="n">
        <f aca="false">INDEX(D22:D28,MATCH(K30,K22:K28,0))</f>
        <v>3.39406576653264</v>
      </c>
    </row>
    <row r="32" customFormat="false" ht="15" hidden="false" customHeight="false" outlineLevel="0" collapsed="false">
      <c r="A32" s="2" t="s">
        <v>259</v>
      </c>
      <c r="B32" s="12" t="n">
        <f aca="false">MIN(1,MAX(0,$K$31-0))</f>
        <v>1</v>
      </c>
      <c r="C32" s="12" t="n">
        <f aca="false">MIN(1,MAX(0,$K$31-1))</f>
        <v>1</v>
      </c>
      <c r="D32" s="12" t="n">
        <f aca="false">MIN(1,MAX(0,$K$31-2))</f>
        <v>1</v>
      </c>
      <c r="E32" s="12" t="n">
        <f aca="false">MIN(1,MAX(0,$K$31-3))</f>
        <v>0.394065766532643</v>
      </c>
      <c r="F32" s="12" t="n">
        <f aca="false">MIN(1,MAX(0,$K$31-4))</f>
        <v>0</v>
      </c>
      <c r="G32" s="12" t="n">
        <f aca="false">MIN(1,MAX(0,$K$31-5))</f>
        <v>0</v>
      </c>
    </row>
    <row r="35" customFormat="false" ht="23.85" hidden="false" customHeight="false" outlineLevel="0" collapsed="false">
      <c r="A35" s="8" t="s">
        <v>53</v>
      </c>
      <c r="B35" s="8" t="s">
        <v>261</v>
      </c>
      <c r="C35" s="8" t="s">
        <v>262</v>
      </c>
      <c r="D35" s="8" t="s">
        <v>263</v>
      </c>
    </row>
    <row r="36" customFormat="false" ht="15" hidden="false" customHeight="false" outlineLevel="0" collapsed="false">
      <c r="A36" s="2" t="s">
        <v>90</v>
      </c>
      <c r="B36" s="27" t="n">
        <f aca="false">Plans!U5</f>
        <v>2986.25</v>
      </c>
      <c r="C36" s="11" t="n">
        <f aca="false">$K$14-B36</f>
        <v>1.00967504986329</v>
      </c>
      <c r="D36" s="14" t="n">
        <f aca="false">100*C36/$K$14</f>
        <v>0.0337993733285486</v>
      </c>
    </row>
    <row r="37" customFormat="false" ht="15" hidden="false" customHeight="false" outlineLevel="0" collapsed="false">
      <c r="A37" s="2" t="s">
        <v>91</v>
      </c>
      <c r="B37" s="27" t="n">
        <f aca="false">Plans!U6</f>
        <v>2977.5</v>
      </c>
      <c r="C37" s="11" t="n">
        <f aca="false">$K$14-B37</f>
        <v>9.75967504986329</v>
      </c>
      <c r="D37" s="14" t="n">
        <f aca="false">100*C37/$K$14</f>
        <v>0.326709965369863</v>
      </c>
    </row>
    <row r="38" customFormat="false" ht="15" hidden="false" customHeight="false" outlineLevel="0" collapsed="false">
      <c r="A38" s="2" t="s">
        <v>92</v>
      </c>
      <c r="B38" s="27" t="n">
        <f aca="false">Plans!U7</f>
        <v>2968.75</v>
      </c>
      <c r="C38" s="11" t="n">
        <f aca="false">$K$14-B38</f>
        <v>18.5096750498633</v>
      </c>
      <c r="D38" s="14" t="n">
        <f aca="false">100*C38/$K$14</f>
        <v>0.619620557411177</v>
      </c>
    </row>
    <row r="39" customFormat="false" ht="15" hidden="false" customHeight="false" outlineLevel="0" collapsed="false">
      <c r="A39" s="2" t="s">
        <v>264</v>
      </c>
      <c r="B39" s="27" t="n">
        <f aca="false">Plans!U9</f>
        <v>2966.2012987013</v>
      </c>
      <c r="C39" s="11" t="n">
        <f aca="false">$K$14-B39</f>
        <v>21.0583763485647</v>
      </c>
      <c r="D39" s="14" t="n">
        <f aca="false">100*C39/$K$14</f>
        <v>0.704939598135646</v>
      </c>
    </row>
    <row r="41" customFormat="false" ht="35.05" hidden="false" customHeight="false" outlineLevel="0" collapsed="false">
      <c r="A41" s="8" t="s">
        <v>265</v>
      </c>
      <c r="B41" s="8" t="s">
        <v>266</v>
      </c>
      <c r="C41" s="8" t="s">
        <v>267</v>
      </c>
      <c r="D41" s="8" t="s">
        <v>268</v>
      </c>
    </row>
    <row r="42" customFormat="false" ht="15" hidden="false" customHeight="false" outlineLevel="0" collapsed="false">
      <c r="A42" s="11" t="n">
        <v>0</v>
      </c>
      <c r="B42" s="12" t="n">
        <f aca="false">1-Share*A42</f>
        <v>1</v>
      </c>
      <c r="C42" s="12" t="n">
        <f aca="false">POWER(Keep,A42)</f>
        <v>1</v>
      </c>
      <c r="D42" s="12" t="n">
        <f aca="false">B42-C42</f>
        <v>0</v>
      </c>
      <c r="F42" s="2" t="s">
        <v>269</v>
      </c>
    </row>
    <row r="43" customFormat="false" ht="15" hidden="false" customHeight="false" outlineLevel="0" collapsed="false">
      <c r="A43" s="11" t="n">
        <v>0.05</v>
      </c>
      <c r="B43" s="12" t="n">
        <f aca="false">1-Share*A43</f>
        <v>0.975</v>
      </c>
      <c r="C43" s="12" t="n">
        <f aca="false">POWER(Keep,A43)</f>
        <v>0.965936328924846</v>
      </c>
      <c r="D43" s="12" t="n">
        <f aca="false">B43-C43</f>
        <v>0.00906367107515438</v>
      </c>
      <c r="F43" s="12" t="n">
        <f aca="false">MIN(D42:D62)</f>
        <v>0</v>
      </c>
    </row>
    <row r="44" customFormat="false" ht="15" hidden="false" customHeight="false" outlineLevel="0" collapsed="false">
      <c r="A44" s="11" t="n">
        <v>0.1</v>
      </c>
      <c r="B44" s="12" t="n">
        <f aca="false">1-Share*A44</f>
        <v>0.95</v>
      </c>
      <c r="C44" s="12" t="n">
        <f aca="false">POWER(Keep,A44)</f>
        <v>0.933032991536807</v>
      </c>
      <c r="D44" s="12" t="n">
        <f aca="false">B44-C44</f>
        <v>0.0169670084631925</v>
      </c>
    </row>
    <row r="45" customFormat="false" ht="15" hidden="false" customHeight="false" outlineLevel="0" collapsed="false">
      <c r="A45" s="11" t="n">
        <v>0.15</v>
      </c>
      <c r="B45" s="12" t="n">
        <f aca="false">1-Share*A45</f>
        <v>0.925</v>
      </c>
      <c r="C45" s="12" t="n">
        <f aca="false">POWER(Keep,A45)</f>
        <v>0.90125046261083</v>
      </c>
      <c r="D45" s="12" t="n">
        <f aca="false">B45-C45</f>
        <v>0.0237495373891699</v>
      </c>
    </row>
    <row r="46" customFormat="false" ht="15" hidden="false" customHeight="false" outlineLevel="0" collapsed="false">
      <c r="A46" s="11" t="n">
        <v>0.2</v>
      </c>
      <c r="B46" s="12" t="n">
        <f aca="false">1-Share*A46</f>
        <v>0.9</v>
      </c>
      <c r="C46" s="12" t="n">
        <f aca="false">POWER(Keep,A46)</f>
        <v>0.870550563296124</v>
      </c>
      <c r="D46" s="12" t="n">
        <f aca="false">B46-C46</f>
        <v>0.0294494367038759</v>
      </c>
    </row>
    <row r="47" customFormat="false" ht="15" hidden="false" customHeight="false" outlineLevel="0" collapsed="false">
      <c r="A47" s="11" t="n">
        <v>0.25</v>
      </c>
      <c r="B47" s="12" t="n">
        <f aca="false">1-Share*A47</f>
        <v>0.875</v>
      </c>
      <c r="C47" s="12" t="n">
        <f aca="false">POWER(Keep,A47)</f>
        <v>0.840896415253715</v>
      </c>
      <c r="D47" s="12" t="n">
        <f aca="false">B47-C47</f>
        <v>0.0341035847462855</v>
      </c>
    </row>
    <row r="48" customFormat="false" ht="15" hidden="false" customHeight="false" outlineLevel="0" collapsed="false">
      <c r="A48" s="11" t="n">
        <v>0.3</v>
      </c>
      <c r="B48" s="12" t="n">
        <f aca="false">1-Share*A48</f>
        <v>0.85</v>
      </c>
      <c r="C48" s="12" t="n">
        <f aca="false">POWER(Keep,A48)</f>
        <v>0.812252396356236</v>
      </c>
      <c r="D48" s="12" t="n">
        <f aca="false">B48-C48</f>
        <v>0.0377476036437644</v>
      </c>
    </row>
    <row r="49" customFormat="false" ht="15" hidden="false" customHeight="false" outlineLevel="0" collapsed="false">
      <c r="A49" s="11" t="n">
        <v>0.35</v>
      </c>
      <c r="B49" s="12" t="n">
        <f aca="false">1-Share*A49</f>
        <v>0.825</v>
      </c>
      <c r="C49" s="12" t="n">
        <f aca="false">POWER(Keep,A49)</f>
        <v>0.784584097896751</v>
      </c>
      <c r="D49" s="12" t="n">
        <f aca="false">B49-C49</f>
        <v>0.0404159021032492</v>
      </c>
    </row>
    <row r="50" customFormat="false" ht="15" hidden="false" customHeight="false" outlineLevel="0" collapsed="false">
      <c r="A50" s="11" t="n">
        <v>0.4</v>
      </c>
      <c r="B50" s="12" t="n">
        <f aca="false">1-Share*A50</f>
        <v>0.8</v>
      </c>
      <c r="C50" s="12" t="n">
        <f aca="false">POWER(Keep,A50)</f>
        <v>0.757858283255199</v>
      </c>
      <c r="D50" s="12" t="n">
        <f aca="false">B50-C50</f>
        <v>0.0421417167448011</v>
      </c>
    </row>
    <row r="51" customFormat="false" ht="15" hidden="false" customHeight="false" outlineLevel="0" collapsed="false">
      <c r="A51" s="11" t="n">
        <v>0.45</v>
      </c>
      <c r="B51" s="12" t="n">
        <f aca="false">1-Share*A51</f>
        <v>0.775</v>
      </c>
      <c r="C51" s="12" t="n">
        <f aca="false">POWER(Keep,A51)</f>
        <v>0.732042847972813</v>
      </c>
      <c r="D51" s="12" t="n">
        <f aca="false">B51-C51</f>
        <v>0.0429571520271873</v>
      </c>
    </row>
    <row r="52" customFormat="false" ht="15" hidden="false" customHeight="false" outlineLevel="0" collapsed="false">
      <c r="A52" s="11" t="n">
        <v>0.5</v>
      </c>
      <c r="B52" s="12" t="n">
        <f aca="false">1-Share*A52</f>
        <v>0.75</v>
      </c>
      <c r="C52" s="12" t="n">
        <f aca="false">POWER(Keep,A52)</f>
        <v>0.707106781186548</v>
      </c>
      <c r="D52" s="12" t="n">
        <f aca="false">B52-C52</f>
        <v>0.0428932188134524</v>
      </c>
    </row>
    <row r="53" customFormat="false" ht="15" hidden="false" customHeight="false" outlineLevel="0" collapsed="false">
      <c r="A53" s="11" t="n">
        <v>0.55</v>
      </c>
      <c r="B53" s="12" t="n">
        <f aca="false">1-Share*A53</f>
        <v>0.725</v>
      </c>
      <c r="C53" s="12" t="n">
        <f aca="false">POWER(Keep,A53)</f>
        <v>0.683020128377198</v>
      </c>
      <c r="D53" s="12" t="n">
        <f aca="false">B53-C53</f>
        <v>0.0419798716228023</v>
      </c>
    </row>
    <row r="54" customFormat="false" ht="15" hidden="false" customHeight="false" outlineLevel="0" collapsed="false">
      <c r="A54" s="11" t="n">
        <v>0.6</v>
      </c>
      <c r="B54" s="12" t="n">
        <f aca="false">1-Share*A54</f>
        <v>0.7</v>
      </c>
      <c r="C54" s="12" t="n">
        <f aca="false">POWER(Keep,A54)</f>
        <v>0.659753955386447</v>
      </c>
      <c r="D54" s="12" t="n">
        <f aca="false">B54-C54</f>
        <v>0.0402460446135529</v>
      </c>
    </row>
    <row r="55" customFormat="false" ht="15" hidden="false" customHeight="false" outlineLevel="0" collapsed="false">
      <c r="A55" s="11" t="n">
        <v>0.65</v>
      </c>
      <c r="B55" s="12" t="n">
        <f aca="false">1-Share*A55</f>
        <v>0.675</v>
      </c>
      <c r="C55" s="12" t="n">
        <f aca="false">POWER(Keep,A55)</f>
        <v>0.637280313659631</v>
      </c>
      <c r="D55" s="12" t="n">
        <f aca="false">B55-C55</f>
        <v>0.0377196863403689</v>
      </c>
    </row>
    <row r="56" customFormat="false" ht="15" hidden="false" customHeight="false" outlineLevel="0" collapsed="false">
      <c r="A56" s="11" t="n">
        <v>0.7</v>
      </c>
      <c r="B56" s="12" t="n">
        <f aca="false">1-Share*A56</f>
        <v>0.65</v>
      </c>
      <c r="C56" s="12" t="n">
        <f aca="false">POWER(Keep,A56)</f>
        <v>0.615572206672458</v>
      </c>
      <c r="D56" s="12" t="n">
        <f aca="false">B56-C56</f>
        <v>0.0344277933275419</v>
      </c>
    </row>
    <row r="57" customFormat="false" ht="15" hidden="false" customHeight="false" outlineLevel="0" collapsed="false">
      <c r="A57" s="11" t="n">
        <v>0.75</v>
      </c>
      <c r="B57" s="12" t="n">
        <f aca="false">1-Share*A57</f>
        <v>0.625</v>
      </c>
      <c r="C57" s="12" t="n">
        <f aca="false">POWER(Keep,A57)</f>
        <v>0.594603557501361</v>
      </c>
      <c r="D57" s="12" t="n">
        <f aca="false">B57-C57</f>
        <v>0.0303964424986395</v>
      </c>
    </row>
    <row r="58" customFormat="false" ht="15" hidden="false" customHeight="false" outlineLevel="0" collapsed="false">
      <c r="A58" s="11" t="n">
        <v>0.8</v>
      </c>
      <c r="B58" s="12" t="n">
        <f aca="false">1-Share*A58</f>
        <v>0.6</v>
      </c>
      <c r="C58" s="12" t="n">
        <f aca="false">POWER(Keep,A58)</f>
        <v>0.574349177498517</v>
      </c>
      <c r="D58" s="12" t="n">
        <f aca="false">B58-C58</f>
        <v>0.0256508225014825</v>
      </c>
    </row>
    <row r="59" customFormat="false" ht="15" hidden="false" customHeight="false" outlineLevel="0" collapsed="false">
      <c r="A59" s="11" t="n">
        <v>0.85</v>
      </c>
      <c r="B59" s="12" t="n">
        <f aca="false">1-Share*A59</f>
        <v>0.575</v>
      </c>
      <c r="C59" s="12" t="n">
        <f aca="false">POWER(Keep,A59)</f>
        <v>0.554784736033923</v>
      </c>
      <c r="D59" s="12" t="n">
        <f aca="false">B59-C59</f>
        <v>0.0202152639660774</v>
      </c>
    </row>
    <row r="60" customFormat="false" ht="15" hidden="false" customHeight="false" outlineLevel="0" collapsed="false">
      <c r="A60" s="11" t="n">
        <v>0.9</v>
      </c>
      <c r="B60" s="12" t="n">
        <f aca="false">1-Share*A60</f>
        <v>0.55</v>
      </c>
      <c r="C60" s="12" t="n">
        <f aca="false">POWER(Keep,A60)</f>
        <v>0.535886731268147</v>
      </c>
      <c r="D60" s="12" t="n">
        <f aca="false">B60-C60</f>
        <v>0.0141132687318535</v>
      </c>
    </row>
    <row r="61" customFormat="false" ht="15" hidden="false" customHeight="false" outlineLevel="0" collapsed="false">
      <c r="A61" s="11" t="n">
        <v>0.95</v>
      </c>
      <c r="B61" s="12" t="n">
        <f aca="false">1-Share*A61</f>
        <v>0.525</v>
      </c>
      <c r="C61" s="12" t="n">
        <f aca="false">POWER(Keep,A61)</f>
        <v>0.517632461920689</v>
      </c>
      <c r="D61" s="12" t="n">
        <f aca="false">B61-C61</f>
        <v>0.00736753807931123</v>
      </c>
    </row>
    <row r="62" customFormat="false" ht="15" hidden="false" customHeight="false" outlineLevel="0" collapsed="false">
      <c r="A62" s="11" t="n">
        <v>1</v>
      </c>
      <c r="B62" s="12" t="n">
        <f aca="false">1-Share*A62</f>
        <v>0.5</v>
      </c>
      <c r="C62" s="12" t="n">
        <f aca="false">POWER(Keep,A62)</f>
        <v>0.5</v>
      </c>
      <c r="D62" s="12" t="n">
        <f aca="false">B62-C62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
    <col collapsed="false" customWidth="true" hidden="false" outlineLevel="0" max="3" min="3" style="0" width="7"/>
    <col collapsed="false" customWidth="true" hidden="false" outlineLevel="0" max="9" min="4" style="0" width="6"/>
    <col collapsed="false" customWidth="true" hidden="false" outlineLevel="0" max="10" min="10" style="0" width="12"/>
    <col collapsed="false" customWidth="true" hidden="false" outlineLevel="0" max="16" min="11" style="0" width="8"/>
    <col collapsed="false" customWidth="true" hidden="false" outlineLevel="0" max="17" min="17" style="0" width="10"/>
    <col collapsed="false" customWidth="true" hidden="false" outlineLevel="0" max="18" min="18" style="0" width="11"/>
    <col collapsed="false" customWidth="true" hidden="false" outlineLevel="0" max="19" min="19" style="0" width="12"/>
    <col collapsed="false" customWidth="true" hidden="false" outlineLevel="0" max="20" min="20" style="0" width="16"/>
    <col collapsed="false" customWidth="true" hidden="false" outlineLevel="0" max="21" min="21" style="0" width="12"/>
    <col collapsed="false" customWidth="true" hidden="false" outlineLevel="0" max="22" min="22" style="0" width="13"/>
    <col collapsed="false" customWidth="true" hidden="false" outlineLevel="0" max="23" min="23" style="0" width="12"/>
    <col collapsed="false" customWidth="true" hidden="false" outlineLevel="0" max="24" min="24" style="0" width="13"/>
    <col collapsed="false" customWidth="true" hidden="false" outlineLevel="0" max="42" min="25" style="0" width="8"/>
    <col collapsed="false" customWidth="true" hidden="false" outlineLevel="0" max="43" min="43" style="0" width="13"/>
  </cols>
  <sheetData>
    <row r="1" customFormat="false" ht="15" hidden="false" customHeight="false" outlineLevel="0" collapsed="false">
      <c r="A1" s="1" t="s">
        <v>270</v>
      </c>
    </row>
    <row r="2" customFormat="false" ht="15" hidden="false" customHeight="false" outlineLevel="0" collapsed="false">
      <c r="A2" s="10" t="s">
        <v>271</v>
      </c>
    </row>
    <row r="3" customFormat="false" ht="15" hidden="false" customHeight="false" outlineLevel="0" collapsed="false">
      <c r="J3" s="10" t="s">
        <v>272</v>
      </c>
      <c r="K3" s="17" t="n">
        <v>1</v>
      </c>
      <c r="L3" s="17" t="n">
        <v>2</v>
      </c>
      <c r="M3" s="17" t="n">
        <v>3</v>
      </c>
      <c r="N3" s="17" t="n">
        <v>4</v>
      </c>
      <c r="O3" s="17" t="n">
        <v>5</v>
      </c>
      <c r="P3" s="17" t="n">
        <v>6</v>
      </c>
    </row>
    <row r="4" customFormat="false" ht="46.25" hidden="false" customHeight="false" outlineLevel="0" collapsed="false">
      <c r="A4" s="8" t="s">
        <v>273</v>
      </c>
      <c r="B4" s="8" t="s">
        <v>274</v>
      </c>
      <c r="C4" s="8" t="s">
        <v>275</v>
      </c>
      <c r="D4" s="8" t="s">
        <v>276</v>
      </c>
      <c r="E4" s="8" t="s">
        <v>277</v>
      </c>
      <c r="F4" s="8" t="s">
        <v>278</v>
      </c>
      <c r="G4" s="8" t="s">
        <v>279</v>
      </c>
      <c r="H4" s="8" t="s">
        <v>280</v>
      </c>
      <c r="I4" s="8" t="s">
        <v>281</v>
      </c>
      <c r="J4" s="8" t="s">
        <v>282</v>
      </c>
      <c r="K4" s="8" t="s">
        <v>54</v>
      </c>
      <c r="L4" s="8" t="s">
        <v>55</v>
      </c>
      <c r="M4" s="8" t="s">
        <v>56</v>
      </c>
      <c r="N4" s="8" t="s">
        <v>57</v>
      </c>
      <c r="O4" s="8" t="s">
        <v>58</v>
      </c>
      <c r="P4" s="8" t="s">
        <v>59</v>
      </c>
      <c r="Q4" s="8" t="s">
        <v>283</v>
      </c>
      <c r="R4" s="8" t="s">
        <v>284</v>
      </c>
      <c r="S4" s="8" t="s">
        <v>285</v>
      </c>
      <c r="T4" s="8" t="s">
        <v>141</v>
      </c>
      <c r="U4" s="8" t="s">
        <v>286</v>
      </c>
      <c r="V4" s="8" t="s">
        <v>287</v>
      </c>
      <c r="W4" s="8" t="s">
        <v>288</v>
      </c>
      <c r="X4" s="8" t="s">
        <v>289</v>
      </c>
    </row>
    <row r="5" customFormat="false" ht="15" hidden="false" customHeight="false" outlineLevel="0" collapsed="false">
      <c r="A5" s="2" t="s">
        <v>290</v>
      </c>
      <c r="B5" s="17" t="n">
        <v>1</v>
      </c>
      <c r="C5" s="17"/>
      <c r="D5" s="5"/>
      <c r="E5" s="5"/>
      <c r="F5" s="5"/>
      <c r="G5" s="5"/>
      <c r="H5" s="5"/>
      <c r="I5" s="5"/>
      <c r="J5" s="19" t="n">
        <f aca="false">MAX(AQ26:AQ31)</f>
        <v>2987.25967504986</v>
      </c>
      <c r="K5" s="12" t="n">
        <f aca="false">INDEX(Y26:Y31,MATCH(J5,AQ26:AQ31,0))</f>
        <v>1</v>
      </c>
      <c r="L5" s="12" t="n">
        <f aca="false">INDEX(Z26:Z31,MATCH(J5,AQ26:AQ31,0))</f>
        <v>1</v>
      </c>
      <c r="M5" s="12" t="n">
        <f aca="false">INDEX(AA26:AA31,MATCH(J5,AQ26:AQ31,0))</f>
        <v>1</v>
      </c>
      <c r="N5" s="12" t="n">
        <f aca="false">INDEX(AB26:AB31,MATCH(J5,AQ26:AQ31,0))</f>
        <v>1</v>
      </c>
      <c r="O5" s="12" t="n">
        <f aca="false">INDEX(AC26:AC31,MATCH(J5,AQ26:AQ31,0))</f>
        <v>0.153057667028848</v>
      </c>
      <c r="P5" s="12" t="n">
        <f aca="false">INDEX(AD26:AD31,MATCH(J5,AQ26:AQ31,0))</f>
        <v>0</v>
      </c>
      <c r="Q5" s="17" t="n">
        <f aca="false">SUMPRODUCT((K5:P5&gt;0.000001)*(K5:P5&lt;1-0.000001)*$K$3:$P$3)</f>
        <v>5</v>
      </c>
      <c r="R5" s="18"/>
      <c r="S5" s="28" t="n">
        <f aca="false">-1000000000</f>
        <v>-1000000000</v>
      </c>
      <c r="T5" s="2" t="str">
        <f aca="false">IF(J5&lt;=S5+0.000001,"pruned",IF(Q5=0,"incumbent","branch on year "&amp;Q5))</f>
        <v>branch on year 5</v>
      </c>
      <c r="U5" s="28" t="n">
        <f aca="false">IF(T5="incumbent",MAX(S5,J5),S5)</f>
        <v>-1000000000</v>
      </c>
      <c r="V5" s="29" t="n">
        <f aca="false">_xlfn.MAXIFS($R$5:$R$9,$B$5:$B$9,"&gt;"&amp;B5,$C$5:$C$9,"&lt;="&amp;B5)</f>
        <v>2987.25967504986</v>
      </c>
      <c r="W5" s="11" t="str">
        <f aca="false">IF(U5&lt;-100000000,"no incumbent",MAX(V5,U5)-U5)</f>
        <v>no incumbent</v>
      </c>
    </row>
    <row r="6" customFormat="false" ht="15" hidden="false" customHeight="false" outlineLevel="0" collapsed="false">
      <c r="A6" s="2" t="s">
        <v>290</v>
      </c>
      <c r="B6" s="17" t="n">
        <v>2</v>
      </c>
      <c r="C6" s="24" t="n">
        <v>1</v>
      </c>
      <c r="D6" s="5"/>
      <c r="E6" s="5"/>
      <c r="F6" s="5"/>
      <c r="G6" s="5"/>
      <c r="H6" s="24" t="n">
        <v>0</v>
      </c>
      <c r="I6" s="5"/>
      <c r="J6" s="19" t="n">
        <f aca="false">MAX(AQ32:AQ37)</f>
        <v>2986.56337855289</v>
      </c>
      <c r="K6" s="12" t="n">
        <f aca="false">INDEX(Y32:Y37,MATCH(J6,AQ32:AQ37,0))</f>
        <v>1</v>
      </c>
      <c r="L6" s="12" t="n">
        <f aca="false">INDEX(Z32:Z37,MATCH(J6,AQ32:AQ37,0))</f>
        <v>1</v>
      </c>
      <c r="M6" s="12" t="n">
        <f aca="false">INDEX(AA32:AA37,MATCH(J6,AQ32:AQ37,0))</f>
        <v>1</v>
      </c>
      <c r="N6" s="12" t="n">
        <f aca="false">INDEX(AB32:AB37,MATCH(J6,AQ32:AQ37,0))</f>
        <v>1</v>
      </c>
      <c r="O6" s="12" t="n">
        <f aca="false">INDEX(AC32:AC37,MATCH(J6,AQ32:AQ37,0))</f>
        <v>0</v>
      </c>
      <c r="P6" s="12" t="n">
        <f aca="false">INDEX(AD32:AD37,MATCH(J6,AQ32:AQ37,0))</f>
        <v>0.0859434711703102</v>
      </c>
      <c r="Q6" s="17" t="n">
        <f aca="false">SUMPRODUCT((K6:P6&gt;0.000001)*(K6:P6&lt;1-0.000001)*$K$3:$P$3)</f>
        <v>6</v>
      </c>
      <c r="R6" s="18" t="n">
        <f aca="false">INDEX($J$5:$J$9,C6)</f>
        <v>2987.25967504986</v>
      </c>
      <c r="S6" s="28" t="n">
        <f aca="false">MAX(U5:U5)</f>
        <v>-1000000000</v>
      </c>
      <c r="T6" s="2" t="str">
        <f aca="false">IF(J6&lt;=S6+0.000001,"pruned",IF(Q6=0,"incumbent","branch on year "&amp;Q6))</f>
        <v>branch on year 6</v>
      </c>
      <c r="U6" s="28" t="n">
        <f aca="false">IF(T6="incumbent",MAX(S6,J6),S6)</f>
        <v>-1000000000</v>
      </c>
      <c r="V6" s="29" t="n">
        <f aca="false">_xlfn.MAXIFS($R$5:$R$9,$B$5:$B$9,"&gt;"&amp;B6,$C$5:$C$9,"&lt;="&amp;B6)</f>
        <v>2987.25967504986</v>
      </c>
      <c r="W6" s="11" t="str">
        <f aca="false">IF(U6&lt;-100000000,"no incumbent",MAX(V6,U6)-U6)</f>
        <v>no incumbent</v>
      </c>
      <c r="X6" s="30" t="b">
        <f aca="false">SUMPRODUCT((D6:I6&lt;&gt;"")*(D5:I5="")*$K$3:$P$3)=Q5</f>
        <v>1</v>
      </c>
    </row>
    <row r="7" customFormat="false" ht="15" hidden="false" customHeight="false" outlineLevel="0" collapsed="false">
      <c r="A7" s="2" t="s">
        <v>290</v>
      </c>
      <c r="B7" s="17" t="n">
        <v>3</v>
      </c>
      <c r="C7" s="24" t="n">
        <v>2</v>
      </c>
      <c r="D7" s="5"/>
      <c r="E7" s="5"/>
      <c r="F7" s="5"/>
      <c r="G7" s="5"/>
      <c r="H7" s="24" t="n">
        <v>0</v>
      </c>
      <c r="I7" s="24" t="n">
        <v>0</v>
      </c>
      <c r="J7" s="19" t="n">
        <f aca="false">MAX(AQ38:AQ43)</f>
        <v>2986.25</v>
      </c>
      <c r="K7" s="12" t="n">
        <f aca="false">INDEX(Y38:Y43,MATCH(J7,AQ38:AQ43,0))</f>
        <v>1</v>
      </c>
      <c r="L7" s="12" t="n">
        <f aca="false">INDEX(Z38:Z43,MATCH(J7,AQ38:AQ43,0))</f>
        <v>1</v>
      </c>
      <c r="M7" s="12" t="n">
        <f aca="false">INDEX(AA38:AA43,MATCH(J7,AQ38:AQ43,0))</f>
        <v>1</v>
      </c>
      <c r="N7" s="12" t="n">
        <f aca="false">INDEX(AB38:AB43,MATCH(J7,AQ38:AQ43,0))</f>
        <v>1</v>
      </c>
      <c r="O7" s="12" t="n">
        <f aca="false">INDEX(AC38:AC43,MATCH(J7,AQ38:AQ43,0))</f>
        <v>0</v>
      </c>
      <c r="P7" s="12" t="n">
        <f aca="false">INDEX(AD38:AD43,MATCH(J7,AQ38:AQ43,0))</f>
        <v>0</v>
      </c>
      <c r="Q7" s="17" t="n">
        <f aca="false">SUMPRODUCT((K7:P7&gt;0.000001)*(K7:P7&lt;1-0.000001)*$K$3:$P$3)</f>
        <v>0</v>
      </c>
      <c r="R7" s="18" t="n">
        <f aca="false">INDEX($J$5:$J$9,C7)</f>
        <v>2986.56337855289</v>
      </c>
      <c r="S7" s="28" t="n">
        <f aca="false">MAX(U5:U6)</f>
        <v>-1000000000</v>
      </c>
      <c r="T7" s="2" t="str">
        <f aca="false">IF(J7&lt;=S7+0.000001,"pruned",IF(Q7=0,"incumbent","branch on year "&amp;Q7))</f>
        <v>incumbent</v>
      </c>
      <c r="U7" s="28" t="n">
        <f aca="false">IF(T7="incumbent",MAX(S7,J7),S7)</f>
        <v>2986.25</v>
      </c>
      <c r="V7" s="29" t="n">
        <f aca="false">_xlfn.MAXIFS($R$5:$R$9,$B$5:$B$9,"&gt;"&amp;B7,$C$5:$C$9,"&lt;="&amp;B7)</f>
        <v>2987.25967504986</v>
      </c>
      <c r="W7" s="11" t="n">
        <f aca="false">IF(U7&lt;-100000000,"no incumbent",MAX(V7,U7)-U7)</f>
        <v>1.00967504986329</v>
      </c>
      <c r="X7" s="30" t="b">
        <f aca="false">SUMPRODUCT((D7:I7&lt;&gt;"")*(D6:I6="")*$K$3:$P$3)=Q6</f>
        <v>1</v>
      </c>
    </row>
    <row r="8" customFormat="false" ht="15" hidden="false" customHeight="false" outlineLevel="0" collapsed="false">
      <c r="A8" s="2" t="s">
        <v>290</v>
      </c>
      <c r="B8" s="17" t="n">
        <v>4</v>
      </c>
      <c r="C8" s="24" t="n">
        <v>2</v>
      </c>
      <c r="D8" s="5"/>
      <c r="E8" s="5"/>
      <c r="F8" s="5"/>
      <c r="G8" s="5"/>
      <c r="H8" s="24" t="n">
        <v>0</v>
      </c>
      <c r="I8" s="24" t="n">
        <v>1</v>
      </c>
      <c r="J8" s="19" t="n">
        <f aca="false">MAX(AQ44:AQ49)</f>
        <v>2973.87872651337</v>
      </c>
      <c r="K8" s="12" t="n">
        <f aca="false">INDEX(Y44:Y49,MATCH(J8,AQ44:AQ49,0))</f>
        <v>1</v>
      </c>
      <c r="L8" s="12" t="n">
        <f aca="false">INDEX(Z44:Z49,MATCH(J8,AQ44:AQ49,0))</f>
        <v>1</v>
      </c>
      <c r="M8" s="12" t="n">
        <f aca="false">INDEX(AA44:AA49,MATCH(J8,AQ44:AQ49,0))</f>
        <v>1</v>
      </c>
      <c r="N8" s="12" t="n">
        <f aca="false">INDEX(AB44:AB49,MATCH(J8,AQ44:AQ49,0))</f>
        <v>0.337482238166275</v>
      </c>
      <c r="O8" s="12" t="n">
        <f aca="false">INDEX(AC44:AC49,MATCH(J8,AQ44:AQ49,0))</f>
        <v>0</v>
      </c>
      <c r="P8" s="12" t="n">
        <f aca="false">INDEX(AD44:AD49,MATCH(J8,AQ44:AQ49,0))</f>
        <v>1</v>
      </c>
      <c r="Q8" s="17" t="n">
        <f aca="false">SUMPRODUCT((K8:P8&gt;0.000001)*(K8:P8&lt;1-0.000001)*$K$3:$P$3)</f>
        <v>4</v>
      </c>
      <c r="R8" s="18" t="n">
        <f aca="false">INDEX($J$5:$J$9,C8)</f>
        <v>2986.56337855289</v>
      </c>
      <c r="S8" s="28" t="n">
        <f aca="false">MAX(U5:U7)</f>
        <v>2986.25</v>
      </c>
      <c r="T8" s="2" t="str">
        <f aca="false">IF(J8&lt;=S8+0.000001,"pruned",IF(Q8=0,"incumbent","branch on year "&amp;Q8))</f>
        <v>pruned</v>
      </c>
      <c r="U8" s="28" t="n">
        <f aca="false">IF(T8="incumbent",MAX(S8,J8),S8)</f>
        <v>2986.25</v>
      </c>
      <c r="V8" s="29" t="n">
        <f aca="false">_xlfn.MAXIFS($R$5:$R$9,$B$5:$B$9,"&gt;"&amp;B8,$C$5:$C$9,"&lt;="&amp;B8)</f>
        <v>2987.25967504986</v>
      </c>
      <c r="W8" s="11" t="n">
        <f aca="false">IF(U8&lt;-100000000,"no incumbent",MAX(V8,U8)-U8)</f>
        <v>1.00967504986329</v>
      </c>
      <c r="X8" s="30" t="b">
        <f aca="false">SUMPRODUCT((D8:I8&lt;&gt;"")*(D6:I6="")*$K$3:$P$3)=Q6</f>
        <v>1</v>
      </c>
    </row>
    <row r="9" customFormat="false" ht="15" hidden="false" customHeight="false" outlineLevel="0" collapsed="false">
      <c r="A9" s="2" t="s">
        <v>290</v>
      </c>
      <c r="B9" s="17" t="n">
        <v>5</v>
      </c>
      <c r="C9" s="24" t="n">
        <v>1</v>
      </c>
      <c r="D9" s="5"/>
      <c r="E9" s="5"/>
      <c r="F9" s="5"/>
      <c r="G9" s="5"/>
      <c r="H9" s="24" t="n">
        <v>1</v>
      </c>
      <c r="I9" s="5"/>
      <c r="J9" s="19" t="n">
        <f aca="false">MAX(AQ50:AQ55)</f>
        <v>2980.9459691998</v>
      </c>
      <c r="K9" s="12" t="n">
        <f aca="false">INDEX(Y50:Y55,MATCH(J9,AQ50:AQ55,0))</f>
        <v>1</v>
      </c>
      <c r="L9" s="12" t="n">
        <f aca="false">INDEX(Z50:Z55,MATCH(J9,AQ50:AQ55,0))</f>
        <v>1</v>
      </c>
      <c r="M9" s="12" t="n">
        <f aca="false">INDEX(AA50:AA55,MATCH(J9,AQ50:AQ55,0))</f>
        <v>1</v>
      </c>
      <c r="N9" s="12" t="n">
        <f aca="false">INDEX(AB50:AB55,MATCH(J9,AQ50:AQ55,0))</f>
        <v>0.278588549112706</v>
      </c>
      <c r="O9" s="12" t="n">
        <f aca="false">INDEX(AC50:AC55,MATCH(J9,AQ50:AQ55,0))</f>
        <v>1</v>
      </c>
      <c r="P9" s="12" t="n">
        <f aca="false">INDEX(AD50:AD55,MATCH(J9,AQ50:AQ55,0))</f>
        <v>0</v>
      </c>
      <c r="Q9" s="17" t="n">
        <f aca="false">SUMPRODUCT((K9:P9&gt;0.000001)*(K9:P9&lt;1-0.000001)*$K$3:$P$3)</f>
        <v>4</v>
      </c>
      <c r="R9" s="18" t="n">
        <f aca="false">INDEX($J$5:$J$9,C9)</f>
        <v>2987.25967504986</v>
      </c>
      <c r="S9" s="28" t="n">
        <f aca="false">MAX(U5:U8)</f>
        <v>2986.25</v>
      </c>
      <c r="T9" s="2" t="str">
        <f aca="false">IF(J9&lt;=S9+0.000001,"pruned",IF(Q9=0,"incumbent","branch on year "&amp;Q9))</f>
        <v>pruned</v>
      </c>
      <c r="U9" s="28" t="n">
        <f aca="false">IF(T9="incumbent",MAX(S9,J9),S9)</f>
        <v>2986.25</v>
      </c>
      <c r="V9" s="29" t="n">
        <f aca="false">_xlfn.MAXIFS($R$5:$R$9,$B$5:$B$9,"&gt;"&amp;B9,$C$5:$C$9,"&lt;="&amp;B9)</f>
        <v>0</v>
      </c>
      <c r="W9" s="11" t="n">
        <f aca="false">IF(U9&lt;-100000000,"no incumbent",MAX(V9,U9)-U9)</f>
        <v>0</v>
      </c>
      <c r="X9" s="30" t="b">
        <f aca="false">SUMPRODUCT((D9:I9&lt;&gt;"")*(D5:I5="")*$K$3:$P$3)=Q5</f>
        <v>1</v>
      </c>
    </row>
    <row r="10" customFormat="false" ht="15" hidden="false" customHeight="false" outlineLevel="0" collapsed="false">
      <c r="A10" s="4" t="s">
        <v>291</v>
      </c>
      <c r="J10" s="17" t="n">
        <f aca="false">COUNT(J5:J9)</f>
        <v>5</v>
      </c>
      <c r="K10" s="4" t="s">
        <v>292</v>
      </c>
      <c r="N10" s="18" t="n">
        <f aca="false">MAX(U5:U9)</f>
        <v>2986.25</v>
      </c>
      <c r="S10" s="2" t="s">
        <v>293</v>
      </c>
      <c r="W10" s="30" t="b">
        <f aca="false">2*SUMPRODUCT((Q5:Q9&gt;0)*(T5:T9&lt;&gt;"pruned"))+1=COUNT(J5:J9)</f>
        <v>1</v>
      </c>
    </row>
    <row r="12" customFormat="false" ht="46.25" hidden="false" customHeight="false" outlineLevel="0" collapsed="false">
      <c r="A12" s="8" t="s">
        <v>273</v>
      </c>
      <c r="B12" s="8" t="s">
        <v>274</v>
      </c>
      <c r="C12" s="8" t="s">
        <v>275</v>
      </c>
      <c r="D12" s="8" t="s">
        <v>276</v>
      </c>
      <c r="E12" s="8" t="s">
        <v>277</v>
      </c>
      <c r="F12" s="8" t="s">
        <v>278</v>
      </c>
      <c r="G12" s="8" t="s">
        <v>279</v>
      </c>
      <c r="H12" s="8" t="s">
        <v>280</v>
      </c>
      <c r="I12" s="8" t="s">
        <v>281</v>
      </c>
      <c r="J12" s="8" t="s">
        <v>282</v>
      </c>
      <c r="K12" s="8" t="s">
        <v>54</v>
      </c>
      <c r="L12" s="8" t="s">
        <v>55</v>
      </c>
      <c r="M12" s="8" t="s">
        <v>56</v>
      </c>
      <c r="N12" s="8" t="s">
        <v>57</v>
      </c>
      <c r="O12" s="8" t="s">
        <v>58</v>
      </c>
      <c r="P12" s="8" t="s">
        <v>59</v>
      </c>
      <c r="Q12" s="8" t="s">
        <v>283</v>
      </c>
      <c r="R12" s="8" t="s">
        <v>284</v>
      </c>
      <c r="S12" s="8" t="s">
        <v>285</v>
      </c>
      <c r="T12" s="8" t="s">
        <v>141</v>
      </c>
      <c r="U12" s="8" t="s">
        <v>286</v>
      </c>
      <c r="V12" s="8" t="s">
        <v>287</v>
      </c>
      <c r="W12" s="8" t="s">
        <v>288</v>
      </c>
      <c r="X12" s="8" t="s">
        <v>289</v>
      </c>
    </row>
    <row r="13" customFormat="false" ht="15" hidden="false" customHeight="false" outlineLevel="0" collapsed="false">
      <c r="A13" s="2" t="s">
        <v>294</v>
      </c>
      <c r="B13" s="17" t="n">
        <v>1</v>
      </c>
      <c r="C13" s="17"/>
      <c r="D13" s="5"/>
      <c r="E13" s="5"/>
      <c r="F13" s="5"/>
      <c r="G13" s="5"/>
      <c r="H13" s="5"/>
      <c r="I13" s="5"/>
      <c r="J13" s="19" t="n">
        <f aca="false">MAX(AQ56:AQ61)</f>
        <v>1687.08870310941</v>
      </c>
      <c r="K13" s="12" t="n">
        <f aca="false">INDEX(Y56:Y61,MATCH(J13,AQ56:AQ61,0))</f>
        <v>1</v>
      </c>
      <c r="L13" s="12" t="n">
        <f aca="false">INDEX(Z56:Z61,MATCH(J13,AQ56:AQ61,0))</f>
        <v>1</v>
      </c>
      <c r="M13" s="12" t="n">
        <f aca="false">INDEX(AA56:AA61,MATCH(J13,AQ56:AQ61,0))</f>
        <v>1</v>
      </c>
      <c r="N13" s="12" t="n">
        <f aca="false">INDEX(AB56:AB61,MATCH(J13,AQ56:AQ61,0))</f>
        <v>0.394065766532643</v>
      </c>
      <c r="O13" s="12" t="n">
        <f aca="false">INDEX(AC56:AC61,MATCH(J13,AQ56:AQ61,0))</f>
        <v>0</v>
      </c>
      <c r="P13" s="12" t="n">
        <f aca="false">INDEX(AD56:AD61,MATCH(J13,AQ56:AQ61,0))</f>
        <v>0</v>
      </c>
      <c r="Q13" s="17" t="n">
        <f aca="false">SUMPRODUCT((K13:P13&gt;0.000001)*(K13:P13&lt;1-0.000001)*$K$3:$P$3)</f>
        <v>4</v>
      </c>
      <c r="R13" s="18"/>
      <c r="S13" s="28" t="n">
        <f aca="false">-1000000000</f>
        <v>-1000000000</v>
      </c>
      <c r="T13" s="2" t="str">
        <f aca="false">IF(J13&lt;=S13+0.000001,"pruned",IF(Q13=0,"incumbent","branch on year "&amp;Q13))</f>
        <v>branch on year 4</v>
      </c>
      <c r="U13" s="28" t="n">
        <f aca="false">IF(T13="incumbent",MAX(S13,J13),S13)</f>
        <v>-1000000000</v>
      </c>
      <c r="V13" s="29" t="n">
        <f aca="false">_xlfn.MAXIFS($R$13:$R$19,$B$13:$B$19,"&gt;"&amp;B13,$C$13:$C$19,"&lt;="&amp;B13)</f>
        <v>1687.08870310941</v>
      </c>
      <c r="W13" s="11" t="str">
        <f aca="false">IF(U13&lt;-100000000,"no incumbent",MAX(V13,U13)-U13)</f>
        <v>no incumbent</v>
      </c>
    </row>
    <row r="14" customFormat="false" ht="15" hidden="false" customHeight="false" outlineLevel="0" collapsed="false">
      <c r="A14" s="2" t="s">
        <v>294</v>
      </c>
      <c r="B14" s="17" t="n">
        <v>2</v>
      </c>
      <c r="C14" s="24" t="n">
        <v>1</v>
      </c>
      <c r="D14" s="5"/>
      <c r="E14" s="5"/>
      <c r="F14" s="5"/>
      <c r="G14" s="24" t="n">
        <v>0</v>
      </c>
      <c r="H14" s="5"/>
      <c r="I14" s="5"/>
      <c r="J14" s="19" t="n">
        <f aca="false">MAX(AQ62:AQ67)</f>
        <v>1683.4459691998</v>
      </c>
      <c r="K14" s="12" t="n">
        <f aca="false">INDEX(Y62:Y67,MATCH(J14,AQ62:AQ67,0))</f>
        <v>1</v>
      </c>
      <c r="L14" s="12" t="n">
        <f aca="false">INDEX(Z62:Z67,MATCH(J14,AQ62:AQ67,0))</f>
        <v>1</v>
      </c>
      <c r="M14" s="12" t="n">
        <f aca="false">INDEX(AA62:AA67,MATCH(J14,AQ62:AQ67,0))</f>
        <v>1</v>
      </c>
      <c r="N14" s="12" t="n">
        <f aca="false">INDEX(AB62:AB67,MATCH(J14,AQ62:AQ67,0))</f>
        <v>0</v>
      </c>
      <c r="O14" s="12" t="n">
        <f aca="false">INDEX(AC62:AC67,MATCH(J14,AQ62:AQ67,0))</f>
        <v>0.278588549112706</v>
      </c>
      <c r="P14" s="12" t="n">
        <f aca="false">INDEX(AD62:AD67,MATCH(J14,AQ62:AQ67,0))</f>
        <v>0</v>
      </c>
      <c r="Q14" s="17" t="n">
        <f aca="false">SUMPRODUCT((K14:P14&gt;0.000001)*(K14:P14&lt;1-0.000001)*$K$3:$P$3)</f>
        <v>5</v>
      </c>
      <c r="R14" s="18" t="n">
        <f aca="false">INDEX($J$13:$J$19,C14)</f>
        <v>1687.08870310941</v>
      </c>
      <c r="S14" s="28" t="n">
        <f aca="false">MAX(U13:U13)</f>
        <v>-1000000000</v>
      </c>
      <c r="T14" s="2" t="str">
        <f aca="false">IF(J14&lt;=S14+0.000001,"pruned",IF(Q14=0,"incumbent","branch on year "&amp;Q14))</f>
        <v>branch on year 5</v>
      </c>
      <c r="U14" s="28" t="n">
        <f aca="false">IF(T14="incumbent",MAX(S14,J14),S14)</f>
        <v>-1000000000</v>
      </c>
      <c r="V14" s="29" t="n">
        <f aca="false">_xlfn.MAXIFS($R$13:$R$19,$B$13:$B$19,"&gt;"&amp;B14,$C$13:$C$19,"&lt;="&amp;B14)</f>
        <v>1687.08870310941</v>
      </c>
      <c r="W14" s="11" t="str">
        <f aca="false">IF(U14&lt;-100000000,"no incumbent",MAX(V14,U14)-U14)</f>
        <v>no incumbent</v>
      </c>
      <c r="X14" s="30" t="b">
        <f aca="false">SUMPRODUCT((D14:I14&lt;&gt;"")*(D13:I13="")*$K$3:$P$3)=Q13</f>
        <v>1</v>
      </c>
    </row>
    <row r="15" customFormat="false" ht="15" hidden="false" customHeight="false" outlineLevel="0" collapsed="false">
      <c r="A15" s="2" t="s">
        <v>294</v>
      </c>
      <c r="B15" s="17" t="n">
        <v>3</v>
      </c>
      <c r="C15" s="24" t="n">
        <v>2</v>
      </c>
      <c r="D15" s="5"/>
      <c r="E15" s="5"/>
      <c r="F15" s="5"/>
      <c r="G15" s="24" t="n">
        <v>0</v>
      </c>
      <c r="H15" s="24" t="n">
        <v>0</v>
      </c>
      <c r="I15" s="5"/>
      <c r="J15" s="19" t="n">
        <f aca="false">MAX(AQ68:AQ73)</f>
        <v>1681.00967504986</v>
      </c>
      <c r="K15" s="12" t="n">
        <f aca="false">INDEX(Y68:Y73,MATCH(J15,AQ68:AQ73,0))</f>
        <v>1</v>
      </c>
      <c r="L15" s="12" t="n">
        <f aca="false">INDEX(Z68:Z73,MATCH(J15,AQ68:AQ73,0))</f>
        <v>1</v>
      </c>
      <c r="M15" s="12" t="n">
        <f aca="false">INDEX(AA68:AA73,MATCH(J15,AQ68:AQ73,0))</f>
        <v>1</v>
      </c>
      <c r="N15" s="12" t="n">
        <f aca="false">INDEX(AB68:AB73,MATCH(J15,AQ68:AQ73,0))</f>
        <v>0</v>
      </c>
      <c r="O15" s="12" t="n">
        <f aca="false">INDEX(AC68:AC73,MATCH(J15,AQ68:AQ73,0))</f>
        <v>0</v>
      </c>
      <c r="P15" s="12" t="n">
        <f aca="false">INDEX(AD68:AD73,MATCH(J15,AQ68:AQ73,0))</f>
        <v>0.153057667028847</v>
      </c>
      <c r="Q15" s="17" t="n">
        <f aca="false">SUMPRODUCT((K15:P15&gt;0.000001)*(K15:P15&lt;1-0.000001)*$K$3:$P$3)</f>
        <v>6</v>
      </c>
      <c r="R15" s="18" t="n">
        <f aca="false">INDEX($J$13:$J$19,C15)</f>
        <v>1683.4459691998</v>
      </c>
      <c r="S15" s="28" t="n">
        <f aca="false">MAX(U13:U14)</f>
        <v>-1000000000</v>
      </c>
      <c r="T15" s="2" t="str">
        <f aca="false">IF(J15&lt;=S15+0.000001,"pruned",IF(Q15=0,"incumbent","branch on year "&amp;Q15))</f>
        <v>branch on year 6</v>
      </c>
      <c r="U15" s="28" t="n">
        <f aca="false">IF(T15="incumbent",MAX(S15,J15),S15)</f>
        <v>-1000000000</v>
      </c>
      <c r="V15" s="29" t="n">
        <f aca="false">_xlfn.MAXIFS($R$13:$R$19,$B$13:$B$19,"&gt;"&amp;B15,$C$13:$C$19,"&lt;="&amp;B15)</f>
        <v>1687.08870310941</v>
      </c>
      <c r="W15" s="11" t="str">
        <f aca="false">IF(U15&lt;-100000000,"no incumbent",MAX(V15,U15)-U15)</f>
        <v>no incumbent</v>
      </c>
      <c r="X15" s="30" t="b">
        <f aca="false">SUMPRODUCT((D15:I15&lt;&gt;"")*(D14:I14="")*$K$3:$P$3)=Q14</f>
        <v>1</v>
      </c>
    </row>
    <row r="16" customFormat="false" ht="15" hidden="false" customHeight="false" outlineLevel="0" collapsed="false">
      <c r="A16" s="2" t="s">
        <v>294</v>
      </c>
      <c r="B16" s="17" t="n">
        <v>4</v>
      </c>
      <c r="C16" s="24" t="n">
        <v>3</v>
      </c>
      <c r="D16" s="5"/>
      <c r="E16" s="5"/>
      <c r="F16" s="5"/>
      <c r="G16" s="24" t="n">
        <v>0</v>
      </c>
      <c r="H16" s="24" t="n">
        <v>0</v>
      </c>
      <c r="I16" s="24" t="n">
        <v>0</v>
      </c>
      <c r="J16" s="19" t="n">
        <f aca="false">MAX(AQ74:AQ79)</f>
        <v>1680</v>
      </c>
      <c r="K16" s="12" t="n">
        <f aca="false">INDEX(Y74:Y79,MATCH(J16,AQ74:AQ79,0))</f>
        <v>1</v>
      </c>
      <c r="L16" s="12" t="n">
        <f aca="false">INDEX(Z74:Z79,MATCH(J16,AQ74:AQ79,0))</f>
        <v>1</v>
      </c>
      <c r="M16" s="12" t="n">
        <f aca="false">INDEX(AA74:AA79,MATCH(J16,AQ74:AQ79,0))</f>
        <v>1</v>
      </c>
      <c r="N16" s="12" t="n">
        <f aca="false">INDEX(AB74:AB79,MATCH(J16,AQ74:AQ79,0))</f>
        <v>0</v>
      </c>
      <c r="O16" s="12" t="n">
        <f aca="false">INDEX(AC74:AC79,MATCH(J16,AQ74:AQ79,0))</f>
        <v>0</v>
      </c>
      <c r="P16" s="12" t="n">
        <f aca="false">INDEX(AD74:AD79,MATCH(J16,AQ74:AQ79,0))</f>
        <v>0</v>
      </c>
      <c r="Q16" s="17" t="n">
        <f aca="false">SUMPRODUCT((K16:P16&gt;0.000001)*(K16:P16&lt;1-0.000001)*$K$3:$P$3)</f>
        <v>0</v>
      </c>
      <c r="R16" s="18" t="n">
        <f aca="false">INDEX($J$13:$J$19,C16)</f>
        <v>1681.00967504986</v>
      </c>
      <c r="S16" s="28" t="n">
        <f aca="false">MAX(U13:U15)</f>
        <v>-1000000000</v>
      </c>
      <c r="T16" s="2" t="str">
        <f aca="false">IF(J16&lt;=S16+0.000001,"pruned",IF(Q16=0,"incumbent","branch on year "&amp;Q16))</f>
        <v>incumbent</v>
      </c>
      <c r="U16" s="28" t="n">
        <f aca="false">IF(T16="incumbent",MAX(S16,J16),S16)</f>
        <v>1680</v>
      </c>
      <c r="V16" s="29" t="n">
        <f aca="false">_xlfn.MAXIFS($R$13:$R$19,$B$13:$B$19,"&gt;"&amp;B16,$C$13:$C$19,"&lt;="&amp;B16)</f>
        <v>1687.08870310941</v>
      </c>
      <c r="W16" s="11" t="n">
        <f aca="false">IF(U16&lt;-100000000,"no incumbent",MAX(V16,U16)-U16)</f>
        <v>7.08870310940733</v>
      </c>
      <c r="X16" s="30" t="b">
        <f aca="false">SUMPRODUCT((D16:I16&lt;&gt;"")*(D15:I15="")*$K$3:$P$3)=Q15</f>
        <v>1</v>
      </c>
    </row>
    <row r="17" customFormat="false" ht="15" hidden="false" customHeight="false" outlineLevel="0" collapsed="false">
      <c r="A17" s="2" t="s">
        <v>294</v>
      </c>
      <c r="B17" s="17" t="n">
        <v>5</v>
      </c>
      <c r="C17" s="24" t="n">
        <v>3</v>
      </c>
      <c r="D17" s="5"/>
      <c r="E17" s="5"/>
      <c r="F17" s="5"/>
      <c r="G17" s="24" t="n">
        <v>0</v>
      </c>
      <c r="H17" s="24" t="n">
        <v>0</v>
      </c>
      <c r="I17" s="24" t="n">
        <v>1</v>
      </c>
      <c r="J17" s="19" t="n">
        <f aca="false">MAX(AQ80:AQ85)</f>
        <v>1658.1459283363</v>
      </c>
      <c r="K17" s="12" t="n">
        <f aca="false">INDEX(Y80:Y85,MATCH(J17,AQ80:AQ85,0))</f>
        <v>1</v>
      </c>
      <c r="L17" s="12" t="n">
        <f aca="false">INDEX(Z80:Z85,MATCH(J17,AQ80:AQ85,0))</f>
        <v>1</v>
      </c>
      <c r="M17" s="12" t="n">
        <f aca="false">INDEX(AA80:AA85,MATCH(J17,AQ80:AQ85,0))</f>
        <v>0.78108888964189</v>
      </c>
      <c r="N17" s="12" t="n">
        <f aca="false">INDEX(AB80:AB85,MATCH(J17,AQ80:AQ85,0))</f>
        <v>0</v>
      </c>
      <c r="O17" s="12" t="n">
        <f aca="false">INDEX(AC80:AC85,MATCH(J17,AQ80:AQ85,0))</f>
        <v>0</v>
      </c>
      <c r="P17" s="12" t="n">
        <f aca="false">INDEX(AD80:AD85,MATCH(J17,AQ80:AQ85,0))</f>
        <v>1</v>
      </c>
      <c r="Q17" s="17" t="n">
        <f aca="false">SUMPRODUCT((K17:P17&gt;0.000001)*(K17:P17&lt;1-0.000001)*$K$3:$P$3)</f>
        <v>3</v>
      </c>
      <c r="R17" s="18" t="n">
        <f aca="false">INDEX($J$13:$J$19,C17)</f>
        <v>1681.00967504986</v>
      </c>
      <c r="S17" s="28" t="n">
        <f aca="false">MAX(U13:U16)</f>
        <v>1680</v>
      </c>
      <c r="T17" s="2" t="str">
        <f aca="false">IF(J17&lt;=S17+0.000001,"pruned",IF(Q17=0,"incumbent","branch on year "&amp;Q17))</f>
        <v>pruned</v>
      </c>
      <c r="U17" s="28" t="n">
        <f aca="false">IF(T17="incumbent",MAX(S17,J17),S17)</f>
        <v>1680</v>
      </c>
      <c r="V17" s="29" t="n">
        <f aca="false">_xlfn.MAXIFS($R$13:$R$19,$B$13:$B$19,"&gt;"&amp;B17,$C$13:$C$19,"&lt;="&amp;B17)</f>
        <v>1687.08870310941</v>
      </c>
      <c r="W17" s="11" t="n">
        <f aca="false">IF(U17&lt;-100000000,"no incumbent",MAX(V17,U17)-U17)</f>
        <v>7.08870310940733</v>
      </c>
      <c r="X17" s="30" t="b">
        <f aca="false">SUMPRODUCT((D17:I17&lt;&gt;"")*(D15:I15="")*$K$3:$P$3)=Q15</f>
        <v>1</v>
      </c>
    </row>
    <row r="18" customFormat="false" ht="15" hidden="false" customHeight="false" outlineLevel="0" collapsed="false">
      <c r="A18" s="2" t="s">
        <v>294</v>
      </c>
      <c r="B18" s="17" t="n">
        <v>6</v>
      </c>
      <c r="C18" s="24" t="n">
        <v>2</v>
      </c>
      <c r="D18" s="5"/>
      <c r="E18" s="5"/>
      <c r="F18" s="5"/>
      <c r="G18" s="24" t="n">
        <v>0</v>
      </c>
      <c r="H18" s="24" t="n">
        <v>1</v>
      </c>
      <c r="I18" s="5"/>
      <c r="J18" s="19" t="n">
        <f aca="false">MAX(AQ86:AQ91)</f>
        <v>1668.64146928634</v>
      </c>
      <c r="K18" s="12" t="n">
        <f aca="false">INDEX(Y86:Y91,MATCH(J18,AQ86:AQ91,0))</f>
        <v>1</v>
      </c>
      <c r="L18" s="12" t="n">
        <f aca="false">INDEX(Z86:Z91,MATCH(J18,AQ86:AQ91,0))</f>
        <v>1</v>
      </c>
      <c r="M18" s="12" t="n">
        <f aca="false">INDEX(AA86:AA91,MATCH(J18,AQ86:AQ91,0))</f>
        <v>0.69362604839155</v>
      </c>
      <c r="N18" s="12" t="n">
        <f aca="false">INDEX(AB86:AB91,MATCH(J18,AQ86:AQ91,0))</f>
        <v>0</v>
      </c>
      <c r="O18" s="12" t="n">
        <f aca="false">INDEX(AC86:AC91,MATCH(J18,AQ86:AQ91,0))</f>
        <v>1</v>
      </c>
      <c r="P18" s="12" t="n">
        <f aca="false">INDEX(AD86:AD91,MATCH(J18,AQ86:AQ91,0))</f>
        <v>0</v>
      </c>
      <c r="Q18" s="17" t="n">
        <f aca="false">SUMPRODUCT((K18:P18&gt;0.000001)*(K18:P18&lt;1-0.000001)*$K$3:$P$3)</f>
        <v>3</v>
      </c>
      <c r="R18" s="18" t="n">
        <f aca="false">INDEX($J$13:$J$19,C18)</f>
        <v>1683.4459691998</v>
      </c>
      <c r="S18" s="28" t="n">
        <f aca="false">MAX(U13:U17)</f>
        <v>1680</v>
      </c>
      <c r="T18" s="2" t="str">
        <f aca="false">IF(J18&lt;=S18+0.000001,"pruned",IF(Q18=0,"incumbent","branch on year "&amp;Q18))</f>
        <v>pruned</v>
      </c>
      <c r="U18" s="28" t="n">
        <f aca="false">IF(T18="incumbent",MAX(S18,J18),S18)</f>
        <v>1680</v>
      </c>
      <c r="V18" s="29" t="n">
        <f aca="false">_xlfn.MAXIFS($R$13:$R$19,$B$13:$B$19,"&gt;"&amp;B18,$C$13:$C$19,"&lt;="&amp;B18)</f>
        <v>1687.08870310941</v>
      </c>
      <c r="W18" s="11" t="n">
        <f aca="false">IF(U18&lt;-100000000,"no incumbent",MAX(V18,U18)-U18)</f>
        <v>7.08870310940733</v>
      </c>
      <c r="X18" s="30" t="b">
        <f aca="false">SUMPRODUCT((D18:I18&lt;&gt;"")*(D14:I14="")*$K$3:$P$3)=Q14</f>
        <v>1</v>
      </c>
    </row>
    <row r="19" customFormat="false" ht="15" hidden="false" customHeight="false" outlineLevel="0" collapsed="false">
      <c r="A19" s="2" t="s">
        <v>294</v>
      </c>
      <c r="B19" s="17" t="n">
        <v>7</v>
      </c>
      <c r="C19" s="24" t="n">
        <v>1</v>
      </c>
      <c r="D19" s="5"/>
      <c r="E19" s="5"/>
      <c r="F19" s="5"/>
      <c r="G19" s="24" t="n">
        <v>1</v>
      </c>
      <c r="H19" s="5"/>
      <c r="I19" s="5"/>
      <c r="J19" s="19" t="n">
        <f aca="false">MAX(AQ92:AQ97)</f>
        <v>1679.81459781332</v>
      </c>
      <c r="K19" s="12" t="n">
        <f aca="false">INDEX(Y92:Y97,MATCH(J19,AQ92:AQ97,0))</f>
        <v>1</v>
      </c>
      <c r="L19" s="12" t="n">
        <f aca="false">INDEX(Z92:Z97,MATCH(J19,AQ92:AQ97,0))</f>
        <v>1</v>
      </c>
      <c r="M19" s="12" t="n">
        <f aca="false">INDEX(AA92:AA97,MATCH(J19,AQ92:AQ97,0))</f>
        <v>0.600516644000069</v>
      </c>
      <c r="N19" s="12" t="n">
        <f aca="false">INDEX(AB92:AB97,MATCH(J19,AQ92:AQ97,0))</f>
        <v>1</v>
      </c>
      <c r="O19" s="12" t="n">
        <f aca="false">INDEX(AC92:AC97,MATCH(J19,AQ92:AQ97,0))</f>
        <v>0</v>
      </c>
      <c r="P19" s="12" t="n">
        <f aca="false">INDEX(AD92:AD97,MATCH(J19,AQ92:AQ97,0))</f>
        <v>0</v>
      </c>
      <c r="Q19" s="17" t="n">
        <f aca="false">SUMPRODUCT((K19:P19&gt;0.000001)*(K19:P19&lt;1-0.000001)*$K$3:$P$3)</f>
        <v>3</v>
      </c>
      <c r="R19" s="18" t="n">
        <f aca="false">INDEX($J$13:$J$19,C19)</f>
        <v>1687.08870310941</v>
      </c>
      <c r="S19" s="28" t="n">
        <f aca="false">MAX(U13:U18)</f>
        <v>1680</v>
      </c>
      <c r="T19" s="2" t="str">
        <f aca="false">IF(J19&lt;=S19+0.000001,"pruned",IF(Q19=0,"incumbent","branch on year "&amp;Q19))</f>
        <v>pruned</v>
      </c>
      <c r="U19" s="28" t="n">
        <f aca="false">IF(T19="incumbent",MAX(S19,J19),S19)</f>
        <v>1680</v>
      </c>
      <c r="V19" s="29" t="n">
        <f aca="false">_xlfn.MAXIFS($R$13:$R$19,$B$13:$B$19,"&gt;"&amp;B19,$C$13:$C$19,"&lt;="&amp;B19)</f>
        <v>0</v>
      </c>
      <c r="W19" s="11" t="n">
        <f aca="false">IF(U19&lt;-100000000,"no incumbent",MAX(V19,U19)-U19)</f>
        <v>0</v>
      </c>
      <c r="X19" s="30" t="b">
        <f aca="false">SUMPRODUCT((D19:I19&lt;&gt;"")*(D13:I13="")*$K$3:$P$3)=Q13</f>
        <v>1</v>
      </c>
    </row>
    <row r="20" customFormat="false" ht="15" hidden="false" customHeight="false" outlineLevel="0" collapsed="false">
      <c r="A20" s="4" t="s">
        <v>291</v>
      </c>
      <c r="J20" s="17" t="n">
        <f aca="false">COUNT(J13:J19)</f>
        <v>7</v>
      </c>
      <c r="K20" s="4" t="s">
        <v>292</v>
      </c>
      <c r="N20" s="18" t="n">
        <f aca="false">MAX(U13:U19)</f>
        <v>1680</v>
      </c>
      <c r="S20" s="2" t="s">
        <v>293</v>
      </c>
      <c r="W20" s="30" t="b">
        <f aca="false">2*SUMPRODUCT((Q13:Q19&gt;0)*(T13:T19&lt;&gt;"pruned"))+1=COUNT(J13:J19)</f>
        <v>1</v>
      </c>
    </row>
    <row r="25" customFormat="false" ht="35.05" hidden="false" customHeight="false" outlineLevel="0" collapsed="false">
      <c r="A25" s="8" t="s">
        <v>273</v>
      </c>
      <c r="B25" s="8" t="s">
        <v>295</v>
      </c>
      <c r="C25" s="8" t="s">
        <v>296</v>
      </c>
      <c r="D25" s="8" t="s">
        <v>297</v>
      </c>
      <c r="E25" s="8" t="s">
        <v>298</v>
      </c>
      <c r="F25" s="8" t="s">
        <v>299</v>
      </c>
      <c r="G25" s="8" t="s">
        <v>300</v>
      </c>
      <c r="H25" s="8" t="s">
        <v>301</v>
      </c>
      <c r="I25" s="8" t="s">
        <v>302</v>
      </c>
      <c r="J25" s="8" t="s">
        <v>303</v>
      </c>
      <c r="K25" s="8" t="s">
        <v>304</v>
      </c>
      <c r="L25" s="8" t="s">
        <v>305</v>
      </c>
      <c r="M25" s="8" t="s">
        <v>306</v>
      </c>
      <c r="N25" s="8" t="s">
        <v>307</v>
      </c>
      <c r="O25" s="8" t="s">
        <v>308</v>
      </c>
      <c r="P25" s="8" t="s">
        <v>309</v>
      </c>
      <c r="Q25" s="8" t="s">
        <v>310</v>
      </c>
      <c r="R25" s="8" t="s">
        <v>311</v>
      </c>
      <c r="S25" s="8" t="s">
        <v>312</v>
      </c>
      <c r="T25" s="8" t="s">
        <v>313</v>
      </c>
      <c r="U25" s="8" t="s">
        <v>314</v>
      </c>
      <c r="V25" s="8" t="s">
        <v>315</v>
      </c>
      <c r="W25" s="8" t="s">
        <v>316</v>
      </c>
      <c r="X25" s="8" t="s">
        <v>317</v>
      </c>
      <c r="Y25" s="8" t="s">
        <v>54</v>
      </c>
      <c r="Z25" s="8" t="s">
        <v>55</v>
      </c>
      <c r="AA25" s="8" t="s">
        <v>56</v>
      </c>
      <c r="AB25" s="8" t="s">
        <v>57</v>
      </c>
      <c r="AC25" s="8" t="s">
        <v>58</v>
      </c>
      <c r="AD25" s="8" t="s">
        <v>59</v>
      </c>
      <c r="AE25" s="8" t="s">
        <v>318</v>
      </c>
      <c r="AF25" s="8" t="s">
        <v>319</v>
      </c>
      <c r="AG25" s="8" t="s">
        <v>320</v>
      </c>
      <c r="AH25" s="8" t="s">
        <v>321</v>
      </c>
      <c r="AI25" s="8" t="s">
        <v>322</v>
      </c>
      <c r="AJ25" s="8" t="s">
        <v>323</v>
      </c>
      <c r="AK25" s="8" t="s">
        <v>324</v>
      </c>
      <c r="AL25" s="8" t="s">
        <v>325</v>
      </c>
      <c r="AM25" s="8" t="s">
        <v>326</v>
      </c>
      <c r="AN25" s="8" t="s">
        <v>327</v>
      </c>
      <c r="AO25" s="8" t="s">
        <v>328</v>
      </c>
      <c r="AP25" s="8" t="s">
        <v>329</v>
      </c>
      <c r="AQ25" s="8" t="s">
        <v>20</v>
      </c>
    </row>
    <row r="26" customFormat="false" ht="15" hidden="false" customHeight="false" outlineLevel="0" collapsed="false">
      <c r="A26" s="17" t="n">
        <f aca="false">Credit_M</f>
        <v>20</v>
      </c>
      <c r="B26" s="17" t="n">
        <v>5</v>
      </c>
      <c r="C26" s="17" t="n">
        <v>1</v>
      </c>
      <c r="D26" s="17" t="n">
        <f aca="false">IF($D$5="",1,0)</f>
        <v>1</v>
      </c>
      <c r="E26" s="17" t="n">
        <f aca="false">IF($D$5&lt;&gt;"",$D$5,IF(1&lt;C26,1,0))</f>
        <v>0</v>
      </c>
      <c r="F26" s="17" t="n">
        <f aca="false">IF($E$5&lt;&gt;"",$E$5,IF(2&lt;C26,1,0))</f>
        <v>0</v>
      </c>
      <c r="G26" s="17" t="n">
        <f aca="false">IF($F$5&lt;&gt;"",$F$5,IF(3&lt;C26,1,0))</f>
        <v>0</v>
      </c>
      <c r="H26" s="17" t="n">
        <f aca="false">IF($G$5&lt;&gt;"",$G$5,IF(4&lt;C26,1,0))</f>
        <v>0</v>
      </c>
      <c r="I26" s="17" t="n">
        <f aca="false">IF($H$5&lt;&gt;"",$H$5,IF(5&lt;C26,1,0))</f>
        <v>0</v>
      </c>
      <c r="J26" s="17" t="n">
        <f aca="false">IF($I$5&lt;&gt;"",$I$5,IF(6&lt;C26,1,0))</f>
        <v>0</v>
      </c>
      <c r="K26" s="11" t="n">
        <f aca="false">SUM($E26:E26)</f>
        <v>0</v>
      </c>
      <c r="L26" s="11" t="n">
        <f aca="false">SUM($E26:F26)</f>
        <v>0</v>
      </c>
      <c r="M26" s="11" t="n">
        <f aca="false">SUM($E26:G26)</f>
        <v>0</v>
      </c>
      <c r="N26" s="11" t="n">
        <f aca="false">SUM($E26:H26)</f>
        <v>0</v>
      </c>
      <c r="O26" s="11" t="n">
        <f aca="false">SUM($E26:I26)</f>
        <v>0</v>
      </c>
      <c r="P26" s="11" t="n">
        <f aca="false">SUM($E26:J26)</f>
        <v>0</v>
      </c>
      <c r="Q26" s="12" t="n">
        <f aca="false">IF(1&gt;=C26,POWER(Keep,K26-INDEX(K26:P26,C26)),0)</f>
        <v>1</v>
      </c>
      <c r="R26" s="12" t="n">
        <f aca="false">IF(2&gt;=C26,POWER(Keep,L26-INDEX(K26:P26,C26)),0)</f>
        <v>1</v>
      </c>
      <c r="S26" s="12" t="n">
        <f aca="false">IF(3&gt;=C26,POWER(Keep,M26-INDEX(K26:P26,C26)),0)</f>
        <v>1</v>
      </c>
      <c r="T26" s="12" t="n">
        <f aca="false">IF(4&gt;=C26,POWER(Keep,N26-INDEX(K26:P26,C26)),0)</f>
        <v>1</v>
      </c>
      <c r="U26" s="12" t="n">
        <f aca="false">IF(5&gt;=C26,POWER(Keep,O26-INDEX(K26:P26,C26)),0)</f>
        <v>1</v>
      </c>
      <c r="V26" s="12" t="n">
        <f aca="false">IF(6&gt;=C26,POWER(Keep,P26-INDEX(K26:P26,C26)),0)</f>
        <v>1</v>
      </c>
      <c r="W26" s="12" t="n">
        <f aca="false">SUM(Q26:V26)+A26*POWER(Keep,P26-INDEX(K26:P26,C26))</f>
        <v>26</v>
      </c>
      <c r="X26" s="12" t="n">
        <f aca="false">MIN(1,MAX(0,LN(Cost_r/(Slope0*W26))/LN(Keep)-INDEX(K26:P26,C26)))</f>
        <v>1</v>
      </c>
      <c r="Y26" s="12" t="n">
        <f aca="false">IF(1=C26,X26,E26)</f>
        <v>1</v>
      </c>
      <c r="Z26" s="12" t="n">
        <f aca="false">IF(2=C26,X26,F26)</f>
        <v>0</v>
      </c>
      <c r="AA26" s="12" t="n">
        <f aca="false">IF(3=C26,X26,G26)</f>
        <v>0</v>
      </c>
      <c r="AB26" s="12" t="n">
        <f aca="false">IF(4=C26,X26,H26)</f>
        <v>0</v>
      </c>
      <c r="AC26" s="12" t="n">
        <f aca="false">IF(5=C26,X26,I26)</f>
        <v>0</v>
      </c>
      <c r="AD26" s="12" t="n">
        <f aca="false">IF(6=C26,X26,J26)</f>
        <v>0</v>
      </c>
      <c r="AE26" s="12" t="n">
        <f aca="false">SUM($Y26:Y26)</f>
        <v>1</v>
      </c>
      <c r="AF26" s="12" t="n">
        <f aca="false">SUM($Y26:Z26)</f>
        <v>1</v>
      </c>
      <c r="AG26" s="12" t="n">
        <f aca="false">SUM($Y26:AA26)</f>
        <v>1</v>
      </c>
      <c r="AH26" s="12" t="n">
        <f aca="false">SUM($Y26:AB26)</f>
        <v>1</v>
      </c>
      <c r="AI26" s="12" t="n">
        <f aca="false">SUM($Y26:AC26)</f>
        <v>1</v>
      </c>
      <c r="AJ26" s="12" t="n">
        <f aca="false">SUM($Y26:AD26)</f>
        <v>1</v>
      </c>
      <c r="AK26" s="14" t="n">
        <f aca="false">Smax*(1-POWER(Keep,AE26))</f>
        <v>70</v>
      </c>
      <c r="AL26" s="14" t="n">
        <f aca="false">Smax*(1-POWER(Keep,AF26))</f>
        <v>70</v>
      </c>
      <c r="AM26" s="14" t="n">
        <f aca="false">Smax*(1-POWER(Keep,AG26))</f>
        <v>70</v>
      </c>
      <c r="AN26" s="14" t="n">
        <f aca="false">Smax*(1-POWER(Keep,AH26))</f>
        <v>70</v>
      </c>
      <c r="AO26" s="14" t="n">
        <f aca="false">Smax*(1-POWER(Keep,AI26))</f>
        <v>70</v>
      </c>
      <c r="AP26" s="14" t="n">
        <f aca="false">Smax*(1-POWER(Keep,AJ26))</f>
        <v>70</v>
      </c>
      <c r="AQ26" s="19" t="n">
        <f aca="false">IF(D26=1,Cash0+SUM(AK26:AP26)-Cost_r*AJ26+A26*AP26,-1000000000)</f>
        <v>1850</v>
      </c>
    </row>
    <row r="27" customFormat="false" ht="15" hidden="false" customHeight="false" outlineLevel="0" collapsed="false">
      <c r="A27" s="17" t="n">
        <f aca="false">Credit_M</f>
        <v>20</v>
      </c>
      <c r="B27" s="17" t="n">
        <v>5</v>
      </c>
      <c r="C27" s="17" t="n">
        <v>2</v>
      </c>
      <c r="D27" s="17" t="n">
        <f aca="false">IF($E$5="",1,0)</f>
        <v>1</v>
      </c>
      <c r="E27" s="17" t="n">
        <f aca="false">IF($D$5&lt;&gt;"",$D$5,IF(1&lt;C27,1,0))</f>
        <v>1</v>
      </c>
      <c r="F27" s="17" t="n">
        <f aca="false">IF($E$5&lt;&gt;"",$E$5,IF(2&lt;C27,1,0))</f>
        <v>0</v>
      </c>
      <c r="G27" s="17" t="n">
        <f aca="false">IF($F$5&lt;&gt;"",$F$5,IF(3&lt;C27,1,0))</f>
        <v>0</v>
      </c>
      <c r="H27" s="17" t="n">
        <f aca="false">IF($G$5&lt;&gt;"",$G$5,IF(4&lt;C27,1,0))</f>
        <v>0</v>
      </c>
      <c r="I27" s="17" t="n">
        <f aca="false">IF($H$5&lt;&gt;"",$H$5,IF(5&lt;C27,1,0))</f>
        <v>0</v>
      </c>
      <c r="J27" s="17" t="n">
        <f aca="false">IF($I$5&lt;&gt;"",$I$5,IF(6&lt;C27,1,0))</f>
        <v>0</v>
      </c>
      <c r="K27" s="11" t="n">
        <f aca="false">SUM($E27:E27)</f>
        <v>1</v>
      </c>
      <c r="L27" s="11" t="n">
        <f aca="false">SUM($E27:F27)</f>
        <v>1</v>
      </c>
      <c r="M27" s="11" t="n">
        <f aca="false">SUM($E27:G27)</f>
        <v>1</v>
      </c>
      <c r="N27" s="11" t="n">
        <f aca="false">SUM($E27:H27)</f>
        <v>1</v>
      </c>
      <c r="O27" s="11" t="n">
        <f aca="false">SUM($E27:I27)</f>
        <v>1</v>
      </c>
      <c r="P27" s="11" t="n">
        <f aca="false">SUM($E27:J27)</f>
        <v>1</v>
      </c>
      <c r="Q27" s="12" t="n">
        <f aca="false">IF(1&gt;=C27,POWER(Keep,K27-INDEX(K27:P27,C27)),0)</f>
        <v>0</v>
      </c>
      <c r="R27" s="12" t="n">
        <f aca="false">IF(2&gt;=C27,POWER(Keep,L27-INDEX(K27:P27,C27)),0)</f>
        <v>1</v>
      </c>
      <c r="S27" s="12" t="n">
        <f aca="false">IF(3&gt;=C27,POWER(Keep,M27-INDEX(K27:P27,C27)),0)</f>
        <v>1</v>
      </c>
      <c r="T27" s="12" t="n">
        <f aca="false">IF(4&gt;=C27,POWER(Keep,N27-INDEX(K27:P27,C27)),0)</f>
        <v>1</v>
      </c>
      <c r="U27" s="12" t="n">
        <f aca="false">IF(5&gt;=C27,POWER(Keep,O27-INDEX(K27:P27,C27)),0)</f>
        <v>1</v>
      </c>
      <c r="V27" s="12" t="n">
        <f aca="false">IF(6&gt;=C27,POWER(Keep,P27-INDEX(K27:P27,C27)),0)</f>
        <v>1</v>
      </c>
      <c r="W27" s="12" t="n">
        <f aca="false">SUM(Q27:V27)+A27*POWER(Keep,P27-INDEX(K27:P27,C27))</f>
        <v>25</v>
      </c>
      <c r="X27" s="12" t="n">
        <f aca="false">MIN(1,MAX(0,LN(Cost_r/(Slope0*W27))/LN(Keep)-INDEX(K27:P27,C27)))</f>
        <v>1</v>
      </c>
      <c r="Y27" s="12" t="n">
        <f aca="false">IF(1=C27,X27,E27)</f>
        <v>1</v>
      </c>
      <c r="Z27" s="12" t="n">
        <f aca="false">IF(2=C27,X27,F27)</f>
        <v>1</v>
      </c>
      <c r="AA27" s="12" t="n">
        <f aca="false">IF(3=C27,X27,G27)</f>
        <v>0</v>
      </c>
      <c r="AB27" s="12" t="n">
        <f aca="false">IF(4=C27,X27,H27)</f>
        <v>0</v>
      </c>
      <c r="AC27" s="12" t="n">
        <f aca="false">IF(5=C27,X27,I27)</f>
        <v>0</v>
      </c>
      <c r="AD27" s="12" t="n">
        <f aca="false">IF(6=C27,X27,J27)</f>
        <v>0</v>
      </c>
      <c r="AE27" s="12" t="n">
        <f aca="false">SUM($Y27:Y27)</f>
        <v>1</v>
      </c>
      <c r="AF27" s="12" t="n">
        <f aca="false">SUM($Y27:Z27)</f>
        <v>2</v>
      </c>
      <c r="AG27" s="12" t="n">
        <f aca="false">SUM($Y27:AA27)</f>
        <v>2</v>
      </c>
      <c r="AH27" s="12" t="n">
        <f aca="false">SUM($Y27:AB27)</f>
        <v>2</v>
      </c>
      <c r="AI27" s="12" t="n">
        <f aca="false">SUM($Y27:AC27)</f>
        <v>2</v>
      </c>
      <c r="AJ27" s="12" t="n">
        <f aca="false">SUM($Y27:AD27)</f>
        <v>2</v>
      </c>
      <c r="AK27" s="14" t="n">
        <f aca="false">Smax*(1-POWER(Keep,AE27))</f>
        <v>70</v>
      </c>
      <c r="AL27" s="14" t="n">
        <f aca="false">Smax*(1-POWER(Keep,AF27))</f>
        <v>105</v>
      </c>
      <c r="AM27" s="14" t="n">
        <f aca="false">Smax*(1-POWER(Keep,AG27))</f>
        <v>105</v>
      </c>
      <c r="AN27" s="14" t="n">
        <f aca="false">Smax*(1-POWER(Keep,AH27))</f>
        <v>105</v>
      </c>
      <c r="AO27" s="14" t="n">
        <f aca="false">Smax*(1-POWER(Keep,AI27))</f>
        <v>105</v>
      </c>
      <c r="AP27" s="14" t="n">
        <f aca="false">Smax*(1-POWER(Keep,AJ27))</f>
        <v>105</v>
      </c>
      <c r="AQ27" s="19" t="n">
        <f aca="false">IF(D27=1,Cash0+SUM(AK27:AP27)-Cost_r*AJ27+A27*AP27,-1000000000)</f>
        <v>2605</v>
      </c>
    </row>
    <row r="28" customFormat="false" ht="15" hidden="false" customHeight="false" outlineLevel="0" collapsed="false">
      <c r="A28" s="17" t="n">
        <f aca="false">Credit_M</f>
        <v>20</v>
      </c>
      <c r="B28" s="17" t="n">
        <v>5</v>
      </c>
      <c r="C28" s="17" t="n">
        <v>3</v>
      </c>
      <c r="D28" s="17" t="n">
        <f aca="false">IF($F$5="",1,0)</f>
        <v>1</v>
      </c>
      <c r="E28" s="17" t="n">
        <f aca="false">IF($D$5&lt;&gt;"",$D$5,IF(1&lt;C28,1,0))</f>
        <v>1</v>
      </c>
      <c r="F28" s="17" t="n">
        <f aca="false">IF($E$5&lt;&gt;"",$E$5,IF(2&lt;C28,1,0))</f>
        <v>1</v>
      </c>
      <c r="G28" s="17" t="n">
        <f aca="false">IF($F$5&lt;&gt;"",$F$5,IF(3&lt;C28,1,0))</f>
        <v>0</v>
      </c>
      <c r="H28" s="17" t="n">
        <f aca="false">IF($G$5&lt;&gt;"",$G$5,IF(4&lt;C28,1,0))</f>
        <v>0</v>
      </c>
      <c r="I28" s="17" t="n">
        <f aca="false">IF($H$5&lt;&gt;"",$H$5,IF(5&lt;C28,1,0))</f>
        <v>0</v>
      </c>
      <c r="J28" s="17" t="n">
        <f aca="false">IF($I$5&lt;&gt;"",$I$5,IF(6&lt;C28,1,0))</f>
        <v>0</v>
      </c>
      <c r="K28" s="11" t="n">
        <f aca="false">SUM($E28:E28)</f>
        <v>1</v>
      </c>
      <c r="L28" s="11" t="n">
        <f aca="false">SUM($E28:F28)</f>
        <v>2</v>
      </c>
      <c r="M28" s="11" t="n">
        <f aca="false">SUM($E28:G28)</f>
        <v>2</v>
      </c>
      <c r="N28" s="11" t="n">
        <f aca="false">SUM($E28:H28)</f>
        <v>2</v>
      </c>
      <c r="O28" s="11" t="n">
        <f aca="false">SUM($E28:I28)</f>
        <v>2</v>
      </c>
      <c r="P28" s="11" t="n">
        <f aca="false">SUM($E28:J28)</f>
        <v>2</v>
      </c>
      <c r="Q28" s="12" t="n">
        <f aca="false">IF(1&gt;=C28,POWER(Keep,K28-INDEX(K28:P28,C28)),0)</f>
        <v>0</v>
      </c>
      <c r="R28" s="12" t="n">
        <f aca="false">IF(2&gt;=C28,POWER(Keep,L28-INDEX(K28:P28,C28)),0)</f>
        <v>0</v>
      </c>
      <c r="S28" s="12" t="n">
        <f aca="false">IF(3&gt;=C28,POWER(Keep,M28-INDEX(K28:P28,C28)),0)</f>
        <v>1</v>
      </c>
      <c r="T28" s="12" t="n">
        <f aca="false">IF(4&gt;=C28,POWER(Keep,N28-INDEX(K28:P28,C28)),0)</f>
        <v>1</v>
      </c>
      <c r="U28" s="12" t="n">
        <f aca="false">IF(5&gt;=C28,POWER(Keep,O28-INDEX(K28:P28,C28)),0)</f>
        <v>1</v>
      </c>
      <c r="V28" s="12" t="n">
        <f aca="false">IF(6&gt;=C28,POWER(Keep,P28-INDEX(K28:P28,C28)),0)</f>
        <v>1</v>
      </c>
      <c r="W28" s="12" t="n">
        <f aca="false">SUM(Q28:V28)+A28*POWER(Keep,P28-INDEX(K28:P28,C28))</f>
        <v>24</v>
      </c>
      <c r="X28" s="12" t="n">
        <f aca="false">MIN(1,MAX(0,LN(Cost_r/(Slope0*W28))/LN(Keep)-INDEX(K28:P28,C28)))</f>
        <v>1</v>
      </c>
      <c r="Y28" s="12" t="n">
        <f aca="false">IF(1=C28,X28,E28)</f>
        <v>1</v>
      </c>
      <c r="Z28" s="12" t="n">
        <f aca="false">IF(2=C28,X28,F28)</f>
        <v>1</v>
      </c>
      <c r="AA28" s="12" t="n">
        <f aca="false">IF(3=C28,X28,G28)</f>
        <v>1</v>
      </c>
      <c r="AB28" s="12" t="n">
        <f aca="false">IF(4=C28,X28,H28)</f>
        <v>0</v>
      </c>
      <c r="AC28" s="12" t="n">
        <f aca="false">IF(5=C28,X28,I28)</f>
        <v>0</v>
      </c>
      <c r="AD28" s="12" t="n">
        <f aca="false">IF(6=C28,X28,J28)</f>
        <v>0</v>
      </c>
      <c r="AE28" s="12" t="n">
        <f aca="false">SUM($Y28:Y28)</f>
        <v>1</v>
      </c>
      <c r="AF28" s="12" t="n">
        <f aca="false">SUM($Y28:Z28)</f>
        <v>2</v>
      </c>
      <c r="AG28" s="12" t="n">
        <f aca="false">SUM($Y28:AA28)</f>
        <v>3</v>
      </c>
      <c r="AH28" s="12" t="n">
        <f aca="false">SUM($Y28:AB28)</f>
        <v>3</v>
      </c>
      <c r="AI28" s="12" t="n">
        <f aca="false">SUM($Y28:AC28)</f>
        <v>3</v>
      </c>
      <c r="AJ28" s="12" t="n">
        <f aca="false">SUM($Y28:AD28)</f>
        <v>3</v>
      </c>
      <c r="AK28" s="14" t="n">
        <f aca="false">Smax*(1-POWER(Keep,AE28))</f>
        <v>70</v>
      </c>
      <c r="AL28" s="14" t="n">
        <f aca="false">Smax*(1-POWER(Keep,AF28))</f>
        <v>105</v>
      </c>
      <c r="AM28" s="14" t="n">
        <f aca="false">Smax*(1-POWER(Keep,AG28))</f>
        <v>122.5</v>
      </c>
      <c r="AN28" s="14" t="n">
        <f aca="false">Smax*(1-POWER(Keep,AH28))</f>
        <v>122.5</v>
      </c>
      <c r="AO28" s="14" t="n">
        <f aca="false">Smax*(1-POWER(Keep,AI28))</f>
        <v>122.5</v>
      </c>
      <c r="AP28" s="14" t="n">
        <f aca="false">Smax*(1-POWER(Keep,AJ28))</f>
        <v>122.5</v>
      </c>
      <c r="AQ28" s="19" t="n">
        <f aca="false">IF(D28=1,Cash0+SUM(AK28:AP28)-Cost_r*AJ28+A28*AP28,-1000000000)</f>
        <v>2905</v>
      </c>
    </row>
    <row r="29" customFormat="false" ht="15" hidden="false" customHeight="false" outlineLevel="0" collapsed="false">
      <c r="A29" s="17" t="n">
        <f aca="false">Credit_M</f>
        <v>20</v>
      </c>
      <c r="B29" s="17" t="n">
        <v>5</v>
      </c>
      <c r="C29" s="17" t="n">
        <v>4</v>
      </c>
      <c r="D29" s="17" t="n">
        <f aca="false">IF($G$5="",1,0)</f>
        <v>1</v>
      </c>
      <c r="E29" s="17" t="n">
        <f aca="false">IF($D$5&lt;&gt;"",$D$5,IF(1&lt;C29,1,0))</f>
        <v>1</v>
      </c>
      <c r="F29" s="17" t="n">
        <f aca="false">IF($E$5&lt;&gt;"",$E$5,IF(2&lt;C29,1,0))</f>
        <v>1</v>
      </c>
      <c r="G29" s="17" t="n">
        <f aca="false">IF($F$5&lt;&gt;"",$F$5,IF(3&lt;C29,1,0))</f>
        <v>1</v>
      </c>
      <c r="H29" s="17" t="n">
        <f aca="false">IF($G$5&lt;&gt;"",$G$5,IF(4&lt;C29,1,0))</f>
        <v>0</v>
      </c>
      <c r="I29" s="17" t="n">
        <f aca="false">IF($H$5&lt;&gt;"",$H$5,IF(5&lt;C29,1,0))</f>
        <v>0</v>
      </c>
      <c r="J29" s="17" t="n">
        <f aca="false">IF($I$5&lt;&gt;"",$I$5,IF(6&lt;C29,1,0))</f>
        <v>0</v>
      </c>
      <c r="K29" s="11" t="n">
        <f aca="false">SUM($E29:E29)</f>
        <v>1</v>
      </c>
      <c r="L29" s="11" t="n">
        <f aca="false">SUM($E29:F29)</f>
        <v>2</v>
      </c>
      <c r="M29" s="11" t="n">
        <f aca="false">SUM($E29:G29)</f>
        <v>3</v>
      </c>
      <c r="N29" s="11" t="n">
        <f aca="false">SUM($E29:H29)</f>
        <v>3</v>
      </c>
      <c r="O29" s="11" t="n">
        <f aca="false">SUM($E29:I29)</f>
        <v>3</v>
      </c>
      <c r="P29" s="11" t="n">
        <f aca="false">SUM($E29:J29)</f>
        <v>3</v>
      </c>
      <c r="Q29" s="12" t="n">
        <f aca="false">IF(1&gt;=C29,POWER(Keep,K29-INDEX(K29:P29,C29)),0)</f>
        <v>0</v>
      </c>
      <c r="R29" s="12" t="n">
        <f aca="false">IF(2&gt;=C29,POWER(Keep,L29-INDEX(K29:P29,C29)),0)</f>
        <v>0</v>
      </c>
      <c r="S29" s="12" t="n">
        <f aca="false">IF(3&gt;=C29,POWER(Keep,M29-INDEX(K29:P29,C29)),0)</f>
        <v>0</v>
      </c>
      <c r="T29" s="12" t="n">
        <f aca="false">IF(4&gt;=C29,POWER(Keep,N29-INDEX(K29:P29,C29)),0)</f>
        <v>1</v>
      </c>
      <c r="U29" s="12" t="n">
        <f aca="false">IF(5&gt;=C29,POWER(Keep,O29-INDEX(K29:P29,C29)),0)</f>
        <v>1</v>
      </c>
      <c r="V29" s="12" t="n">
        <f aca="false">IF(6&gt;=C29,POWER(Keep,P29-INDEX(K29:P29,C29)),0)</f>
        <v>1</v>
      </c>
      <c r="W29" s="12" t="n">
        <f aca="false">SUM(Q29:V29)+A29*POWER(Keep,P29-INDEX(K29:P29,C29))</f>
        <v>23</v>
      </c>
      <c r="X29" s="12" t="n">
        <f aca="false">MIN(1,MAX(0,LN(Cost_r/(Slope0*W29))/LN(Keep)-INDEX(K29:P29,C29)))</f>
        <v>1</v>
      </c>
      <c r="Y29" s="12" t="n">
        <f aca="false">IF(1=C29,X29,E29)</f>
        <v>1</v>
      </c>
      <c r="Z29" s="12" t="n">
        <f aca="false">IF(2=C29,X29,F29)</f>
        <v>1</v>
      </c>
      <c r="AA29" s="12" t="n">
        <f aca="false">IF(3=C29,X29,G29)</f>
        <v>1</v>
      </c>
      <c r="AB29" s="12" t="n">
        <f aca="false">IF(4=C29,X29,H29)</f>
        <v>1</v>
      </c>
      <c r="AC29" s="12" t="n">
        <f aca="false">IF(5=C29,X29,I29)</f>
        <v>0</v>
      </c>
      <c r="AD29" s="12" t="n">
        <f aca="false">IF(6=C29,X29,J29)</f>
        <v>0</v>
      </c>
      <c r="AE29" s="12" t="n">
        <f aca="false">SUM($Y29:Y29)</f>
        <v>1</v>
      </c>
      <c r="AF29" s="12" t="n">
        <f aca="false">SUM($Y29:Z29)</f>
        <v>2</v>
      </c>
      <c r="AG29" s="12" t="n">
        <f aca="false">SUM($Y29:AA29)</f>
        <v>3</v>
      </c>
      <c r="AH29" s="12" t="n">
        <f aca="false">SUM($Y29:AB29)</f>
        <v>4</v>
      </c>
      <c r="AI29" s="12" t="n">
        <f aca="false">SUM($Y29:AC29)</f>
        <v>4</v>
      </c>
      <c r="AJ29" s="12" t="n">
        <f aca="false">SUM($Y29:AD29)</f>
        <v>4</v>
      </c>
      <c r="AK29" s="14" t="n">
        <f aca="false">Smax*(1-POWER(Keep,AE29))</f>
        <v>70</v>
      </c>
      <c r="AL29" s="14" t="n">
        <f aca="false">Smax*(1-POWER(Keep,AF29))</f>
        <v>105</v>
      </c>
      <c r="AM29" s="14" t="n">
        <f aca="false">Smax*(1-POWER(Keep,AG29))</f>
        <v>122.5</v>
      </c>
      <c r="AN29" s="14" t="n">
        <f aca="false">Smax*(1-POWER(Keep,AH29))</f>
        <v>131.25</v>
      </c>
      <c r="AO29" s="14" t="n">
        <f aca="false">Smax*(1-POWER(Keep,AI29))</f>
        <v>131.25</v>
      </c>
      <c r="AP29" s="14" t="n">
        <f aca="false">Smax*(1-POWER(Keep,AJ29))</f>
        <v>131.25</v>
      </c>
      <c r="AQ29" s="19" t="n">
        <f aca="false">IF(D29=1,Cash0+SUM(AK29:AP29)-Cost_r*AJ29+A29*AP29,-1000000000)</f>
        <v>2986.25</v>
      </c>
    </row>
    <row r="30" customFormat="false" ht="15" hidden="false" customHeight="false" outlineLevel="0" collapsed="false">
      <c r="A30" s="17" t="n">
        <f aca="false">Credit_M</f>
        <v>20</v>
      </c>
      <c r="B30" s="17" t="n">
        <v>5</v>
      </c>
      <c r="C30" s="17" t="n">
        <v>5</v>
      </c>
      <c r="D30" s="17" t="n">
        <f aca="false">IF($H$5="",1,0)</f>
        <v>1</v>
      </c>
      <c r="E30" s="17" t="n">
        <f aca="false">IF($D$5&lt;&gt;"",$D$5,IF(1&lt;C30,1,0))</f>
        <v>1</v>
      </c>
      <c r="F30" s="17" t="n">
        <f aca="false">IF($E$5&lt;&gt;"",$E$5,IF(2&lt;C30,1,0))</f>
        <v>1</v>
      </c>
      <c r="G30" s="17" t="n">
        <f aca="false">IF($F$5&lt;&gt;"",$F$5,IF(3&lt;C30,1,0))</f>
        <v>1</v>
      </c>
      <c r="H30" s="17" t="n">
        <f aca="false">IF($G$5&lt;&gt;"",$G$5,IF(4&lt;C30,1,0))</f>
        <v>1</v>
      </c>
      <c r="I30" s="17" t="n">
        <f aca="false">IF($H$5&lt;&gt;"",$H$5,IF(5&lt;C30,1,0))</f>
        <v>0</v>
      </c>
      <c r="J30" s="17" t="n">
        <f aca="false">IF($I$5&lt;&gt;"",$I$5,IF(6&lt;C30,1,0))</f>
        <v>0</v>
      </c>
      <c r="K30" s="11" t="n">
        <f aca="false">SUM($E30:E30)</f>
        <v>1</v>
      </c>
      <c r="L30" s="11" t="n">
        <f aca="false">SUM($E30:F30)</f>
        <v>2</v>
      </c>
      <c r="M30" s="11" t="n">
        <f aca="false">SUM($E30:G30)</f>
        <v>3</v>
      </c>
      <c r="N30" s="11" t="n">
        <f aca="false">SUM($E30:H30)</f>
        <v>4</v>
      </c>
      <c r="O30" s="11" t="n">
        <f aca="false">SUM($E30:I30)</f>
        <v>4</v>
      </c>
      <c r="P30" s="11" t="n">
        <f aca="false">SUM($E30:J30)</f>
        <v>4</v>
      </c>
      <c r="Q30" s="12" t="n">
        <f aca="false">IF(1&gt;=C30,POWER(Keep,K30-INDEX(K30:P30,C30)),0)</f>
        <v>0</v>
      </c>
      <c r="R30" s="12" t="n">
        <f aca="false">IF(2&gt;=C30,POWER(Keep,L30-INDEX(K30:P30,C30)),0)</f>
        <v>0</v>
      </c>
      <c r="S30" s="12" t="n">
        <f aca="false">IF(3&gt;=C30,POWER(Keep,M30-INDEX(K30:P30,C30)),0)</f>
        <v>0</v>
      </c>
      <c r="T30" s="12" t="n">
        <f aca="false">IF(4&gt;=C30,POWER(Keep,N30-INDEX(K30:P30,C30)),0)</f>
        <v>0</v>
      </c>
      <c r="U30" s="12" t="n">
        <f aca="false">IF(5&gt;=C30,POWER(Keep,O30-INDEX(K30:P30,C30)),0)</f>
        <v>1</v>
      </c>
      <c r="V30" s="12" t="n">
        <f aca="false">IF(6&gt;=C30,POWER(Keep,P30-INDEX(K30:P30,C30)),0)</f>
        <v>1</v>
      </c>
      <c r="W30" s="12" t="n">
        <f aca="false">SUM(Q30:V30)+A30*POWER(Keep,P30-INDEX(K30:P30,C30))</f>
        <v>22</v>
      </c>
      <c r="X30" s="12" t="n">
        <f aca="false">MIN(1,MAX(0,LN(Cost_r/(Slope0*W30))/LN(Keep)-INDEX(K30:P30,C30)))</f>
        <v>0.153057667028848</v>
      </c>
      <c r="Y30" s="12" t="n">
        <f aca="false">IF(1=C30,X30,E30)</f>
        <v>1</v>
      </c>
      <c r="Z30" s="12" t="n">
        <f aca="false">IF(2=C30,X30,F30)</f>
        <v>1</v>
      </c>
      <c r="AA30" s="12" t="n">
        <f aca="false">IF(3=C30,X30,G30)</f>
        <v>1</v>
      </c>
      <c r="AB30" s="12" t="n">
        <f aca="false">IF(4=C30,X30,H30)</f>
        <v>1</v>
      </c>
      <c r="AC30" s="12" t="n">
        <f aca="false">IF(5=C30,X30,I30)</f>
        <v>0.153057667028848</v>
      </c>
      <c r="AD30" s="12" t="n">
        <f aca="false">IF(6=C30,X30,J30)</f>
        <v>0</v>
      </c>
      <c r="AE30" s="12" t="n">
        <f aca="false">SUM($Y30:Y30)</f>
        <v>1</v>
      </c>
      <c r="AF30" s="12" t="n">
        <f aca="false">SUM($Y30:Z30)</f>
        <v>2</v>
      </c>
      <c r="AG30" s="12" t="n">
        <f aca="false">SUM($Y30:AA30)</f>
        <v>3</v>
      </c>
      <c r="AH30" s="12" t="n">
        <f aca="false">SUM($Y30:AB30)</f>
        <v>4</v>
      </c>
      <c r="AI30" s="12" t="n">
        <f aca="false">SUM($Y30:AC30)</f>
        <v>4.15305766702885</v>
      </c>
      <c r="AJ30" s="12" t="n">
        <f aca="false">SUM($Y30:AD30)</f>
        <v>4.15305766702885</v>
      </c>
      <c r="AK30" s="14" t="n">
        <f aca="false">Smax*(1-POWER(Keep,AE30))</f>
        <v>70</v>
      </c>
      <c r="AL30" s="14" t="n">
        <f aca="false">Smax*(1-POWER(Keep,AF30))</f>
        <v>105</v>
      </c>
      <c r="AM30" s="14" t="n">
        <f aca="false">Smax*(1-POWER(Keep,AG30))</f>
        <v>122.5</v>
      </c>
      <c r="AN30" s="14" t="n">
        <f aca="false">Smax*(1-POWER(Keep,AH30))</f>
        <v>131.25</v>
      </c>
      <c r="AO30" s="14" t="n">
        <f aca="false">Smax*(1-POWER(Keep,AI30))</f>
        <v>132.130754322424</v>
      </c>
      <c r="AP30" s="14" t="n">
        <f aca="false">Smax*(1-POWER(Keep,AJ30))</f>
        <v>132.130754322424</v>
      </c>
      <c r="AQ30" s="19" t="n">
        <f aca="false">IF(D30=1,Cash0+SUM(AK30:AP30)-Cost_r*AJ30+A30*AP30,-1000000000)</f>
        <v>2987.25967504986</v>
      </c>
    </row>
    <row r="31" customFormat="false" ht="15" hidden="false" customHeight="false" outlineLevel="0" collapsed="false">
      <c r="A31" s="17" t="n">
        <f aca="false">Credit_M</f>
        <v>20</v>
      </c>
      <c r="B31" s="17" t="n">
        <v>5</v>
      </c>
      <c r="C31" s="17" t="n">
        <v>6</v>
      </c>
      <c r="D31" s="17" t="n">
        <f aca="false">IF($I$5="",1,0)</f>
        <v>1</v>
      </c>
      <c r="E31" s="17" t="n">
        <f aca="false">IF($D$5&lt;&gt;"",$D$5,IF(1&lt;C31,1,0))</f>
        <v>1</v>
      </c>
      <c r="F31" s="17" t="n">
        <f aca="false">IF($E$5&lt;&gt;"",$E$5,IF(2&lt;C31,1,0))</f>
        <v>1</v>
      </c>
      <c r="G31" s="17" t="n">
        <f aca="false">IF($F$5&lt;&gt;"",$F$5,IF(3&lt;C31,1,0))</f>
        <v>1</v>
      </c>
      <c r="H31" s="17" t="n">
        <f aca="false">IF($G$5&lt;&gt;"",$G$5,IF(4&lt;C31,1,0))</f>
        <v>1</v>
      </c>
      <c r="I31" s="17" t="n">
        <f aca="false">IF($H$5&lt;&gt;"",$H$5,IF(5&lt;C31,1,0))</f>
        <v>1</v>
      </c>
      <c r="J31" s="17" t="n">
        <f aca="false">IF($I$5&lt;&gt;"",$I$5,IF(6&lt;C31,1,0))</f>
        <v>0</v>
      </c>
      <c r="K31" s="11" t="n">
        <f aca="false">SUM($E31:E31)</f>
        <v>1</v>
      </c>
      <c r="L31" s="11" t="n">
        <f aca="false">SUM($E31:F31)</f>
        <v>2</v>
      </c>
      <c r="M31" s="11" t="n">
        <f aca="false">SUM($E31:G31)</f>
        <v>3</v>
      </c>
      <c r="N31" s="11" t="n">
        <f aca="false">SUM($E31:H31)</f>
        <v>4</v>
      </c>
      <c r="O31" s="11" t="n">
        <f aca="false">SUM($E31:I31)</f>
        <v>5</v>
      </c>
      <c r="P31" s="11" t="n">
        <f aca="false">SUM($E31:J31)</f>
        <v>5</v>
      </c>
      <c r="Q31" s="12" t="n">
        <f aca="false">IF(1&gt;=C31,POWER(Keep,K31-INDEX(K31:P31,C31)),0)</f>
        <v>0</v>
      </c>
      <c r="R31" s="12" t="n">
        <f aca="false">IF(2&gt;=C31,POWER(Keep,L31-INDEX(K31:P31,C31)),0)</f>
        <v>0</v>
      </c>
      <c r="S31" s="12" t="n">
        <f aca="false">IF(3&gt;=C31,POWER(Keep,M31-INDEX(K31:P31,C31)),0)</f>
        <v>0</v>
      </c>
      <c r="T31" s="12" t="n">
        <f aca="false">IF(4&gt;=C31,POWER(Keep,N31-INDEX(K31:P31,C31)),0)</f>
        <v>0</v>
      </c>
      <c r="U31" s="12" t="n">
        <f aca="false">IF(5&gt;=C31,POWER(Keep,O31-INDEX(K31:P31,C31)),0)</f>
        <v>0</v>
      </c>
      <c r="V31" s="12" t="n">
        <f aca="false">IF(6&gt;=C31,POWER(Keep,P31-INDEX(K31:P31,C31)),0)</f>
        <v>1</v>
      </c>
      <c r="W31" s="12" t="n">
        <f aca="false">SUM(Q31:V31)+A31*POWER(Keep,P31-INDEX(K31:P31,C31))</f>
        <v>21</v>
      </c>
      <c r="X31" s="12" t="n">
        <f aca="false">MIN(1,MAX(0,LN(Cost_r/(Slope0*W31))/LN(Keep)-INDEX(K31:P31,C31)))</f>
        <v>0</v>
      </c>
      <c r="Y31" s="12" t="n">
        <f aca="false">IF(1=C31,X31,E31)</f>
        <v>1</v>
      </c>
      <c r="Z31" s="12" t="n">
        <f aca="false">IF(2=C31,X31,F31)</f>
        <v>1</v>
      </c>
      <c r="AA31" s="12" t="n">
        <f aca="false">IF(3=C31,X31,G31)</f>
        <v>1</v>
      </c>
      <c r="AB31" s="12" t="n">
        <f aca="false">IF(4=C31,X31,H31)</f>
        <v>1</v>
      </c>
      <c r="AC31" s="12" t="n">
        <f aca="false">IF(5=C31,X31,I31)</f>
        <v>1</v>
      </c>
      <c r="AD31" s="12" t="n">
        <f aca="false">IF(6=C31,X31,J31)</f>
        <v>0</v>
      </c>
      <c r="AE31" s="12" t="n">
        <f aca="false">SUM($Y31:Y31)</f>
        <v>1</v>
      </c>
      <c r="AF31" s="12" t="n">
        <f aca="false">SUM($Y31:Z31)</f>
        <v>2</v>
      </c>
      <c r="AG31" s="12" t="n">
        <f aca="false">SUM($Y31:AA31)</f>
        <v>3</v>
      </c>
      <c r="AH31" s="12" t="n">
        <f aca="false">SUM($Y31:AB31)</f>
        <v>4</v>
      </c>
      <c r="AI31" s="12" t="n">
        <f aca="false">SUM($Y31:AC31)</f>
        <v>5</v>
      </c>
      <c r="AJ31" s="12" t="n">
        <f aca="false">SUM($Y31:AD31)</f>
        <v>5</v>
      </c>
      <c r="AK31" s="14" t="n">
        <f aca="false">Smax*(1-POWER(Keep,AE31))</f>
        <v>70</v>
      </c>
      <c r="AL31" s="14" t="n">
        <f aca="false">Smax*(1-POWER(Keep,AF31))</f>
        <v>105</v>
      </c>
      <c r="AM31" s="14" t="n">
        <f aca="false">Smax*(1-POWER(Keep,AG31))</f>
        <v>122.5</v>
      </c>
      <c r="AN31" s="14" t="n">
        <f aca="false">Smax*(1-POWER(Keep,AH31))</f>
        <v>131.25</v>
      </c>
      <c r="AO31" s="14" t="n">
        <f aca="false">Smax*(1-POWER(Keep,AI31))</f>
        <v>135.625</v>
      </c>
      <c r="AP31" s="14" t="n">
        <f aca="false">Smax*(1-POWER(Keep,AJ31))</f>
        <v>135.625</v>
      </c>
      <c r="AQ31" s="19" t="n">
        <f aca="false">IF(D31=1,Cash0+SUM(AK31:AP31)-Cost_r*AJ31+A31*AP31,-1000000000)</f>
        <v>2962.5</v>
      </c>
    </row>
    <row r="32" customFormat="false" ht="15" hidden="false" customHeight="false" outlineLevel="0" collapsed="false">
      <c r="A32" s="17" t="n">
        <f aca="false">Credit_M</f>
        <v>20</v>
      </c>
      <c r="B32" s="17" t="n">
        <v>6</v>
      </c>
      <c r="C32" s="17" t="n">
        <v>1</v>
      </c>
      <c r="D32" s="17" t="n">
        <f aca="false">IF($D$6="",1,0)</f>
        <v>1</v>
      </c>
      <c r="E32" s="17" t="n">
        <f aca="false">IF($D$6&lt;&gt;"",$D$6,IF(1&lt;C32,1,0))</f>
        <v>0</v>
      </c>
      <c r="F32" s="17" t="n">
        <f aca="false">IF($E$6&lt;&gt;"",$E$6,IF(2&lt;C32,1,0))</f>
        <v>0</v>
      </c>
      <c r="G32" s="17" t="n">
        <f aca="false">IF($F$6&lt;&gt;"",$F$6,IF(3&lt;C32,1,0))</f>
        <v>0</v>
      </c>
      <c r="H32" s="17" t="n">
        <f aca="false">IF($G$6&lt;&gt;"",$G$6,IF(4&lt;C32,1,0))</f>
        <v>0</v>
      </c>
      <c r="I32" s="17" t="n">
        <f aca="false">IF($H$6&lt;&gt;"",$H$6,IF(5&lt;C32,1,0))</f>
        <v>0</v>
      </c>
      <c r="J32" s="17" t="n">
        <f aca="false">IF($I$6&lt;&gt;"",$I$6,IF(6&lt;C32,1,0))</f>
        <v>0</v>
      </c>
      <c r="K32" s="11" t="n">
        <f aca="false">SUM($E32:E32)</f>
        <v>0</v>
      </c>
      <c r="L32" s="11" t="n">
        <f aca="false">SUM($E32:F32)</f>
        <v>0</v>
      </c>
      <c r="M32" s="11" t="n">
        <f aca="false">SUM($E32:G32)</f>
        <v>0</v>
      </c>
      <c r="N32" s="11" t="n">
        <f aca="false">SUM($E32:H32)</f>
        <v>0</v>
      </c>
      <c r="O32" s="11" t="n">
        <f aca="false">SUM($E32:I32)</f>
        <v>0</v>
      </c>
      <c r="P32" s="11" t="n">
        <f aca="false">SUM($E32:J32)</f>
        <v>0</v>
      </c>
      <c r="Q32" s="12" t="n">
        <f aca="false">IF(1&gt;=C32,POWER(Keep,K32-INDEX(K32:P32,C32)),0)</f>
        <v>1</v>
      </c>
      <c r="R32" s="12" t="n">
        <f aca="false">IF(2&gt;=C32,POWER(Keep,L32-INDEX(K32:P32,C32)),0)</f>
        <v>1</v>
      </c>
      <c r="S32" s="12" t="n">
        <f aca="false">IF(3&gt;=C32,POWER(Keep,M32-INDEX(K32:P32,C32)),0)</f>
        <v>1</v>
      </c>
      <c r="T32" s="12" t="n">
        <f aca="false">IF(4&gt;=C32,POWER(Keep,N32-INDEX(K32:P32,C32)),0)</f>
        <v>1</v>
      </c>
      <c r="U32" s="12" t="n">
        <f aca="false">IF(5&gt;=C32,POWER(Keep,O32-INDEX(K32:P32,C32)),0)</f>
        <v>1</v>
      </c>
      <c r="V32" s="12" t="n">
        <f aca="false">IF(6&gt;=C32,POWER(Keep,P32-INDEX(K32:P32,C32)),0)</f>
        <v>1</v>
      </c>
      <c r="W32" s="12" t="n">
        <f aca="false">SUM(Q32:V32)+A32*POWER(Keep,P32-INDEX(K32:P32,C32))</f>
        <v>26</v>
      </c>
      <c r="X32" s="12" t="n">
        <f aca="false">MIN(1,MAX(0,LN(Cost_r/(Slope0*W32))/LN(Keep)-INDEX(K32:P32,C32)))</f>
        <v>1</v>
      </c>
      <c r="Y32" s="12" t="n">
        <f aca="false">IF(1=C32,X32,E32)</f>
        <v>1</v>
      </c>
      <c r="Z32" s="12" t="n">
        <f aca="false">IF(2=C32,X32,F32)</f>
        <v>0</v>
      </c>
      <c r="AA32" s="12" t="n">
        <f aca="false">IF(3=C32,X32,G32)</f>
        <v>0</v>
      </c>
      <c r="AB32" s="12" t="n">
        <f aca="false">IF(4=C32,X32,H32)</f>
        <v>0</v>
      </c>
      <c r="AC32" s="12" t="n">
        <f aca="false">IF(5=C32,X32,I32)</f>
        <v>0</v>
      </c>
      <c r="AD32" s="12" t="n">
        <f aca="false">IF(6=C32,X32,J32)</f>
        <v>0</v>
      </c>
      <c r="AE32" s="12" t="n">
        <f aca="false">SUM($Y32:Y32)</f>
        <v>1</v>
      </c>
      <c r="AF32" s="12" t="n">
        <f aca="false">SUM($Y32:Z32)</f>
        <v>1</v>
      </c>
      <c r="AG32" s="12" t="n">
        <f aca="false">SUM($Y32:AA32)</f>
        <v>1</v>
      </c>
      <c r="AH32" s="12" t="n">
        <f aca="false">SUM($Y32:AB32)</f>
        <v>1</v>
      </c>
      <c r="AI32" s="12" t="n">
        <f aca="false">SUM($Y32:AC32)</f>
        <v>1</v>
      </c>
      <c r="AJ32" s="12" t="n">
        <f aca="false">SUM($Y32:AD32)</f>
        <v>1</v>
      </c>
      <c r="AK32" s="14" t="n">
        <f aca="false">Smax*(1-POWER(Keep,AE32))</f>
        <v>70</v>
      </c>
      <c r="AL32" s="14" t="n">
        <f aca="false">Smax*(1-POWER(Keep,AF32))</f>
        <v>70</v>
      </c>
      <c r="AM32" s="14" t="n">
        <f aca="false">Smax*(1-POWER(Keep,AG32))</f>
        <v>70</v>
      </c>
      <c r="AN32" s="14" t="n">
        <f aca="false">Smax*(1-POWER(Keep,AH32))</f>
        <v>70</v>
      </c>
      <c r="AO32" s="14" t="n">
        <f aca="false">Smax*(1-POWER(Keep,AI32))</f>
        <v>70</v>
      </c>
      <c r="AP32" s="14" t="n">
        <f aca="false">Smax*(1-POWER(Keep,AJ32))</f>
        <v>70</v>
      </c>
      <c r="AQ32" s="19" t="n">
        <f aca="false">IF(D32=1,Cash0+SUM(AK32:AP32)-Cost_r*AJ32+A32*AP32,-1000000000)</f>
        <v>1850</v>
      </c>
    </row>
    <row r="33" customFormat="false" ht="15" hidden="false" customHeight="false" outlineLevel="0" collapsed="false">
      <c r="A33" s="17" t="n">
        <f aca="false">Credit_M</f>
        <v>20</v>
      </c>
      <c r="B33" s="17" t="n">
        <v>6</v>
      </c>
      <c r="C33" s="17" t="n">
        <v>2</v>
      </c>
      <c r="D33" s="17" t="n">
        <f aca="false">IF($E$6="",1,0)</f>
        <v>1</v>
      </c>
      <c r="E33" s="17" t="n">
        <f aca="false">IF($D$6&lt;&gt;"",$D$6,IF(1&lt;C33,1,0))</f>
        <v>1</v>
      </c>
      <c r="F33" s="17" t="n">
        <f aca="false">IF($E$6&lt;&gt;"",$E$6,IF(2&lt;C33,1,0))</f>
        <v>0</v>
      </c>
      <c r="G33" s="17" t="n">
        <f aca="false">IF($F$6&lt;&gt;"",$F$6,IF(3&lt;C33,1,0))</f>
        <v>0</v>
      </c>
      <c r="H33" s="17" t="n">
        <f aca="false">IF($G$6&lt;&gt;"",$G$6,IF(4&lt;C33,1,0))</f>
        <v>0</v>
      </c>
      <c r="I33" s="17" t="n">
        <f aca="false">IF($H$6&lt;&gt;"",$H$6,IF(5&lt;C33,1,0))</f>
        <v>0</v>
      </c>
      <c r="J33" s="17" t="n">
        <f aca="false">IF($I$6&lt;&gt;"",$I$6,IF(6&lt;C33,1,0))</f>
        <v>0</v>
      </c>
      <c r="K33" s="11" t="n">
        <f aca="false">SUM($E33:E33)</f>
        <v>1</v>
      </c>
      <c r="L33" s="11" t="n">
        <f aca="false">SUM($E33:F33)</f>
        <v>1</v>
      </c>
      <c r="M33" s="11" t="n">
        <f aca="false">SUM($E33:G33)</f>
        <v>1</v>
      </c>
      <c r="N33" s="11" t="n">
        <f aca="false">SUM($E33:H33)</f>
        <v>1</v>
      </c>
      <c r="O33" s="11" t="n">
        <f aca="false">SUM($E33:I33)</f>
        <v>1</v>
      </c>
      <c r="P33" s="11" t="n">
        <f aca="false">SUM($E33:J33)</f>
        <v>1</v>
      </c>
      <c r="Q33" s="12" t="n">
        <f aca="false">IF(1&gt;=C33,POWER(Keep,K33-INDEX(K33:P33,C33)),0)</f>
        <v>0</v>
      </c>
      <c r="R33" s="12" t="n">
        <f aca="false">IF(2&gt;=C33,POWER(Keep,L33-INDEX(K33:P33,C33)),0)</f>
        <v>1</v>
      </c>
      <c r="S33" s="12" t="n">
        <f aca="false">IF(3&gt;=C33,POWER(Keep,M33-INDEX(K33:P33,C33)),0)</f>
        <v>1</v>
      </c>
      <c r="T33" s="12" t="n">
        <f aca="false">IF(4&gt;=C33,POWER(Keep,N33-INDEX(K33:P33,C33)),0)</f>
        <v>1</v>
      </c>
      <c r="U33" s="12" t="n">
        <f aca="false">IF(5&gt;=C33,POWER(Keep,O33-INDEX(K33:P33,C33)),0)</f>
        <v>1</v>
      </c>
      <c r="V33" s="12" t="n">
        <f aca="false">IF(6&gt;=C33,POWER(Keep,P33-INDEX(K33:P33,C33)),0)</f>
        <v>1</v>
      </c>
      <c r="W33" s="12" t="n">
        <f aca="false">SUM(Q33:V33)+A33*POWER(Keep,P33-INDEX(K33:P33,C33))</f>
        <v>25</v>
      </c>
      <c r="X33" s="12" t="n">
        <f aca="false">MIN(1,MAX(0,LN(Cost_r/(Slope0*W33))/LN(Keep)-INDEX(K33:P33,C33)))</f>
        <v>1</v>
      </c>
      <c r="Y33" s="12" t="n">
        <f aca="false">IF(1=C33,X33,E33)</f>
        <v>1</v>
      </c>
      <c r="Z33" s="12" t="n">
        <f aca="false">IF(2=C33,X33,F33)</f>
        <v>1</v>
      </c>
      <c r="AA33" s="12" t="n">
        <f aca="false">IF(3=C33,X33,G33)</f>
        <v>0</v>
      </c>
      <c r="AB33" s="12" t="n">
        <f aca="false">IF(4=C33,X33,H33)</f>
        <v>0</v>
      </c>
      <c r="AC33" s="12" t="n">
        <f aca="false">IF(5=C33,X33,I33)</f>
        <v>0</v>
      </c>
      <c r="AD33" s="12" t="n">
        <f aca="false">IF(6=C33,X33,J33)</f>
        <v>0</v>
      </c>
      <c r="AE33" s="12" t="n">
        <f aca="false">SUM($Y33:Y33)</f>
        <v>1</v>
      </c>
      <c r="AF33" s="12" t="n">
        <f aca="false">SUM($Y33:Z33)</f>
        <v>2</v>
      </c>
      <c r="AG33" s="12" t="n">
        <f aca="false">SUM($Y33:AA33)</f>
        <v>2</v>
      </c>
      <c r="AH33" s="12" t="n">
        <f aca="false">SUM($Y33:AB33)</f>
        <v>2</v>
      </c>
      <c r="AI33" s="12" t="n">
        <f aca="false">SUM($Y33:AC33)</f>
        <v>2</v>
      </c>
      <c r="AJ33" s="12" t="n">
        <f aca="false">SUM($Y33:AD33)</f>
        <v>2</v>
      </c>
      <c r="AK33" s="14" t="n">
        <f aca="false">Smax*(1-POWER(Keep,AE33))</f>
        <v>70</v>
      </c>
      <c r="AL33" s="14" t="n">
        <f aca="false">Smax*(1-POWER(Keep,AF33))</f>
        <v>105</v>
      </c>
      <c r="AM33" s="14" t="n">
        <f aca="false">Smax*(1-POWER(Keep,AG33))</f>
        <v>105</v>
      </c>
      <c r="AN33" s="14" t="n">
        <f aca="false">Smax*(1-POWER(Keep,AH33))</f>
        <v>105</v>
      </c>
      <c r="AO33" s="14" t="n">
        <f aca="false">Smax*(1-POWER(Keep,AI33))</f>
        <v>105</v>
      </c>
      <c r="AP33" s="14" t="n">
        <f aca="false">Smax*(1-POWER(Keep,AJ33))</f>
        <v>105</v>
      </c>
      <c r="AQ33" s="19" t="n">
        <f aca="false">IF(D33=1,Cash0+SUM(AK33:AP33)-Cost_r*AJ33+A33*AP33,-1000000000)</f>
        <v>2605</v>
      </c>
    </row>
    <row r="34" customFormat="false" ht="15" hidden="false" customHeight="false" outlineLevel="0" collapsed="false">
      <c r="A34" s="17" t="n">
        <f aca="false">Credit_M</f>
        <v>20</v>
      </c>
      <c r="B34" s="17" t="n">
        <v>6</v>
      </c>
      <c r="C34" s="17" t="n">
        <v>3</v>
      </c>
      <c r="D34" s="17" t="n">
        <f aca="false">IF($F$6="",1,0)</f>
        <v>1</v>
      </c>
      <c r="E34" s="17" t="n">
        <f aca="false">IF($D$6&lt;&gt;"",$D$6,IF(1&lt;C34,1,0))</f>
        <v>1</v>
      </c>
      <c r="F34" s="17" t="n">
        <f aca="false">IF($E$6&lt;&gt;"",$E$6,IF(2&lt;C34,1,0))</f>
        <v>1</v>
      </c>
      <c r="G34" s="17" t="n">
        <f aca="false">IF($F$6&lt;&gt;"",$F$6,IF(3&lt;C34,1,0))</f>
        <v>0</v>
      </c>
      <c r="H34" s="17" t="n">
        <f aca="false">IF($G$6&lt;&gt;"",$G$6,IF(4&lt;C34,1,0))</f>
        <v>0</v>
      </c>
      <c r="I34" s="17" t="n">
        <f aca="false">IF($H$6&lt;&gt;"",$H$6,IF(5&lt;C34,1,0))</f>
        <v>0</v>
      </c>
      <c r="J34" s="17" t="n">
        <f aca="false">IF($I$6&lt;&gt;"",$I$6,IF(6&lt;C34,1,0))</f>
        <v>0</v>
      </c>
      <c r="K34" s="11" t="n">
        <f aca="false">SUM($E34:E34)</f>
        <v>1</v>
      </c>
      <c r="L34" s="11" t="n">
        <f aca="false">SUM($E34:F34)</f>
        <v>2</v>
      </c>
      <c r="M34" s="11" t="n">
        <f aca="false">SUM($E34:G34)</f>
        <v>2</v>
      </c>
      <c r="N34" s="11" t="n">
        <f aca="false">SUM($E34:H34)</f>
        <v>2</v>
      </c>
      <c r="O34" s="11" t="n">
        <f aca="false">SUM($E34:I34)</f>
        <v>2</v>
      </c>
      <c r="P34" s="11" t="n">
        <f aca="false">SUM($E34:J34)</f>
        <v>2</v>
      </c>
      <c r="Q34" s="12" t="n">
        <f aca="false">IF(1&gt;=C34,POWER(Keep,K34-INDEX(K34:P34,C34)),0)</f>
        <v>0</v>
      </c>
      <c r="R34" s="12" t="n">
        <f aca="false">IF(2&gt;=C34,POWER(Keep,L34-INDEX(K34:P34,C34)),0)</f>
        <v>0</v>
      </c>
      <c r="S34" s="12" t="n">
        <f aca="false">IF(3&gt;=C34,POWER(Keep,M34-INDEX(K34:P34,C34)),0)</f>
        <v>1</v>
      </c>
      <c r="T34" s="12" t="n">
        <f aca="false">IF(4&gt;=C34,POWER(Keep,N34-INDEX(K34:P34,C34)),0)</f>
        <v>1</v>
      </c>
      <c r="U34" s="12" t="n">
        <f aca="false">IF(5&gt;=C34,POWER(Keep,O34-INDEX(K34:P34,C34)),0)</f>
        <v>1</v>
      </c>
      <c r="V34" s="12" t="n">
        <f aca="false">IF(6&gt;=C34,POWER(Keep,P34-INDEX(K34:P34,C34)),0)</f>
        <v>1</v>
      </c>
      <c r="W34" s="12" t="n">
        <f aca="false">SUM(Q34:V34)+A34*POWER(Keep,P34-INDEX(K34:P34,C34))</f>
        <v>24</v>
      </c>
      <c r="X34" s="12" t="n">
        <f aca="false">MIN(1,MAX(0,LN(Cost_r/(Slope0*W34))/LN(Keep)-INDEX(K34:P34,C34)))</f>
        <v>1</v>
      </c>
      <c r="Y34" s="12" t="n">
        <f aca="false">IF(1=C34,X34,E34)</f>
        <v>1</v>
      </c>
      <c r="Z34" s="12" t="n">
        <f aca="false">IF(2=C34,X34,F34)</f>
        <v>1</v>
      </c>
      <c r="AA34" s="12" t="n">
        <f aca="false">IF(3=C34,X34,G34)</f>
        <v>1</v>
      </c>
      <c r="AB34" s="12" t="n">
        <f aca="false">IF(4=C34,X34,H34)</f>
        <v>0</v>
      </c>
      <c r="AC34" s="12" t="n">
        <f aca="false">IF(5=C34,X34,I34)</f>
        <v>0</v>
      </c>
      <c r="AD34" s="12" t="n">
        <f aca="false">IF(6=C34,X34,J34)</f>
        <v>0</v>
      </c>
      <c r="AE34" s="12" t="n">
        <f aca="false">SUM($Y34:Y34)</f>
        <v>1</v>
      </c>
      <c r="AF34" s="12" t="n">
        <f aca="false">SUM($Y34:Z34)</f>
        <v>2</v>
      </c>
      <c r="AG34" s="12" t="n">
        <f aca="false">SUM($Y34:AA34)</f>
        <v>3</v>
      </c>
      <c r="AH34" s="12" t="n">
        <f aca="false">SUM($Y34:AB34)</f>
        <v>3</v>
      </c>
      <c r="AI34" s="12" t="n">
        <f aca="false">SUM($Y34:AC34)</f>
        <v>3</v>
      </c>
      <c r="AJ34" s="12" t="n">
        <f aca="false">SUM($Y34:AD34)</f>
        <v>3</v>
      </c>
      <c r="AK34" s="14" t="n">
        <f aca="false">Smax*(1-POWER(Keep,AE34))</f>
        <v>70</v>
      </c>
      <c r="AL34" s="14" t="n">
        <f aca="false">Smax*(1-POWER(Keep,AF34))</f>
        <v>105</v>
      </c>
      <c r="AM34" s="14" t="n">
        <f aca="false">Smax*(1-POWER(Keep,AG34))</f>
        <v>122.5</v>
      </c>
      <c r="AN34" s="14" t="n">
        <f aca="false">Smax*(1-POWER(Keep,AH34))</f>
        <v>122.5</v>
      </c>
      <c r="AO34" s="14" t="n">
        <f aca="false">Smax*(1-POWER(Keep,AI34))</f>
        <v>122.5</v>
      </c>
      <c r="AP34" s="14" t="n">
        <f aca="false">Smax*(1-POWER(Keep,AJ34))</f>
        <v>122.5</v>
      </c>
      <c r="AQ34" s="19" t="n">
        <f aca="false">IF(D34=1,Cash0+SUM(AK34:AP34)-Cost_r*AJ34+A34*AP34,-1000000000)</f>
        <v>2905</v>
      </c>
    </row>
    <row r="35" customFormat="false" ht="15" hidden="false" customHeight="false" outlineLevel="0" collapsed="false">
      <c r="A35" s="17" t="n">
        <f aca="false">Credit_M</f>
        <v>20</v>
      </c>
      <c r="B35" s="17" t="n">
        <v>6</v>
      </c>
      <c r="C35" s="17" t="n">
        <v>4</v>
      </c>
      <c r="D35" s="17" t="n">
        <f aca="false">IF($G$6="",1,0)</f>
        <v>1</v>
      </c>
      <c r="E35" s="17" t="n">
        <f aca="false">IF($D$6&lt;&gt;"",$D$6,IF(1&lt;C35,1,0))</f>
        <v>1</v>
      </c>
      <c r="F35" s="17" t="n">
        <f aca="false">IF($E$6&lt;&gt;"",$E$6,IF(2&lt;C35,1,0))</f>
        <v>1</v>
      </c>
      <c r="G35" s="17" t="n">
        <f aca="false">IF($F$6&lt;&gt;"",$F$6,IF(3&lt;C35,1,0))</f>
        <v>1</v>
      </c>
      <c r="H35" s="17" t="n">
        <f aca="false">IF($G$6&lt;&gt;"",$G$6,IF(4&lt;C35,1,0))</f>
        <v>0</v>
      </c>
      <c r="I35" s="17" t="n">
        <f aca="false">IF($H$6&lt;&gt;"",$H$6,IF(5&lt;C35,1,0))</f>
        <v>0</v>
      </c>
      <c r="J35" s="17" t="n">
        <f aca="false">IF($I$6&lt;&gt;"",$I$6,IF(6&lt;C35,1,0))</f>
        <v>0</v>
      </c>
      <c r="K35" s="11" t="n">
        <f aca="false">SUM($E35:E35)</f>
        <v>1</v>
      </c>
      <c r="L35" s="11" t="n">
        <f aca="false">SUM($E35:F35)</f>
        <v>2</v>
      </c>
      <c r="M35" s="11" t="n">
        <f aca="false">SUM($E35:G35)</f>
        <v>3</v>
      </c>
      <c r="N35" s="11" t="n">
        <f aca="false">SUM($E35:H35)</f>
        <v>3</v>
      </c>
      <c r="O35" s="11" t="n">
        <f aca="false">SUM($E35:I35)</f>
        <v>3</v>
      </c>
      <c r="P35" s="11" t="n">
        <f aca="false">SUM($E35:J35)</f>
        <v>3</v>
      </c>
      <c r="Q35" s="12" t="n">
        <f aca="false">IF(1&gt;=C35,POWER(Keep,K35-INDEX(K35:P35,C35)),0)</f>
        <v>0</v>
      </c>
      <c r="R35" s="12" t="n">
        <f aca="false">IF(2&gt;=C35,POWER(Keep,L35-INDEX(K35:P35,C35)),0)</f>
        <v>0</v>
      </c>
      <c r="S35" s="12" t="n">
        <f aca="false">IF(3&gt;=C35,POWER(Keep,M35-INDEX(K35:P35,C35)),0)</f>
        <v>0</v>
      </c>
      <c r="T35" s="12" t="n">
        <f aca="false">IF(4&gt;=C35,POWER(Keep,N35-INDEX(K35:P35,C35)),0)</f>
        <v>1</v>
      </c>
      <c r="U35" s="12" t="n">
        <f aca="false">IF(5&gt;=C35,POWER(Keep,O35-INDEX(K35:P35,C35)),0)</f>
        <v>1</v>
      </c>
      <c r="V35" s="12" t="n">
        <f aca="false">IF(6&gt;=C35,POWER(Keep,P35-INDEX(K35:P35,C35)),0)</f>
        <v>1</v>
      </c>
      <c r="W35" s="12" t="n">
        <f aca="false">SUM(Q35:V35)+A35*POWER(Keep,P35-INDEX(K35:P35,C35))</f>
        <v>23</v>
      </c>
      <c r="X35" s="12" t="n">
        <f aca="false">MIN(1,MAX(0,LN(Cost_r/(Slope0*W35))/LN(Keep)-INDEX(K35:P35,C35)))</f>
        <v>1</v>
      </c>
      <c r="Y35" s="12" t="n">
        <f aca="false">IF(1=C35,X35,E35)</f>
        <v>1</v>
      </c>
      <c r="Z35" s="12" t="n">
        <f aca="false">IF(2=C35,X35,F35)</f>
        <v>1</v>
      </c>
      <c r="AA35" s="12" t="n">
        <f aca="false">IF(3=C35,X35,G35)</f>
        <v>1</v>
      </c>
      <c r="AB35" s="12" t="n">
        <f aca="false">IF(4=C35,X35,H35)</f>
        <v>1</v>
      </c>
      <c r="AC35" s="12" t="n">
        <f aca="false">IF(5=C35,X35,I35)</f>
        <v>0</v>
      </c>
      <c r="AD35" s="12" t="n">
        <f aca="false">IF(6=C35,X35,J35)</f>
        <v>0</v>
      </c>
      <c r="AE35" s="12" t="n">
        <f aca="false">SUM($Y35:Y35)</f>
        <v>1</v>
      </c>
      <c r="AF35" s="12" t="n">
        <f aca="false">SUM($Y35:Z35)</f>
        <v>2</v>
      </c>
      <c r="AG35" s="12" t="n">
        <f aca="false">SUM($Y35:AA35)</f>
        <v>3</v>
      </c>
      <c r="AH35" s="12" t="n">
        <f aca="false">SUM($Y35:AB35)</f>
        <v>4</v>
      </c>
      <c r="AI35" s="12" t="n">
        <f aca="false">SUM($Y35:AC35)</f>
        <v>4</v>
      </c>
      <c r="AJ35" s="12" t="n">
        <f aca="false">SUM($Y35:AD35)</f>
        <v>4</v>
      </c>
      <c r="AK35" s="14" t="n">
        <f aca="false">Smax*(1-POWER(Keep,AE35))</f>
        <v>70</v>
      </c>
      <c r="AL35" s="14" t="n">
        <f aca="false">Smax*(1-POWER(Keep,AF35))</f>
        <v>105</v>
      </c>
      <c r="AM35" s="14" t="n">
        <f aca="false">Smax*(1-POWER(Keep,AG35))</f>
        <v>122.5</v>
      </c>
      <c r="AN35" s="14" t="n">
        <f aca="false">Smax*(1-POWER(Keep,AH35))</f>
        <v>131.25</v>
      </c>
      <c r="AO35" s="14" t="n">
        <f aca="false">Smax*(1-POWER(Keep,AI35))</f>
        <v>131.25</v>
      </c>
      <c r="AP35" s="14" t="n">
        <f aca="false">Smax*(1-POWER(Keep,AJ35))</f>
        <v>131.25</v>
      </c>
      <c r="AQ35" s="19" t="n">
        <f aca="false">IF(D35=1,Cash0+SUM(AK35:AP35)-Cost_r*AJ35+A35*AP35,-1000000000)</f>
        <v>2986.25</v>
      </c>
    </row>
    <row r="36" customFormat="false" ht="15" hidden="false" customHeight="false" outlineLevel="0" collapsed="false">
      <c r="A36" s="17" t="n">
        <f aca="false">Credit_M</f>
        <v>20</v>
      </c>
      <c r="B36" s="17" t="n">
        <v>6</v>
      </c>
      <c r="C36" s="17" t="n">
        <v>5</v>
      </c>
      <c r="D36" s="17" t="n">
        <f aca="false">IF($H$6="",1,0)</f>
        <v>0</v>
      </c>
      <c r="E36" s="17" t="n">
        <f aca="false">IF($D$6&lt;&gt;"",$D$6,IF(1&lt;C36,1,0))</f>
        <v>1</v>
      </c>
      <c r="F36" s="17" t="n">
        <f aca="false">IF($E$6&lt;&gt;"",$E$6,IF(2&lt;C36,1,0))</f>
        <v>1</v>
      </c>
      <c r="G36" s="17" t="n">
        <f aca="false">IF($F$6&lt;&gt;"",$F$6,IF(3&lt;C36,1,0))</f>
        <v>1</v>
      </c>
      <c r="H36" s="17" t="n">
        <f aca="false">IF($G$6&lt;&gt;"",$G$6,IF(4&lt;C36,1,0))</f>
        <v>1</v>
      </c>
      <c r="I36" s="17" t="n">
        <f aca="false">IF($H$6&lt;&gt;"",$H$6,IF(5&lt;C36,1,0))</f>
        <v>0</v>
      </c>
      <c r="J36" s="17" t="n">
        <f aca="false">IF($I$6&lt;&gt;"",$I$6,IF(6&lt;C36,1,0))</f>
        <v>0</v>
      </c>
      <c r="K36" s="11" t="n">
        <f aca="false">SUM($E36:E36)</f>
        <v>1</v>
      </c>
      <c r="L36" s="11" t="n">
        <f aca="false">SUM($E36:F36)</f>
        <v>2</v>
      </c>
      <c r="M36" s="11" t="n">
        <f aca="false">SUM($E36:G36)</f>
        <v>3</v>
      </c>
      <c r="N36" s="11" t="n">
        <f aca="false">SUM($E36:H36)</f>
        <v>4</v>
      </c>
      <c r="O36" s="11" t="n">
        <f aca="false">SUM($E36:I36)</f>
        <v>4</v>
      </c>
      <c r="P36" s="11" t="n">
        <f aca="false">SUM($E36:J36)</f>
        <v>4</v>
      </c>
      <c r="Q36" s="12" t="n">
        <f aca="false">IF(1&gt;=C36,POWER(Keep,K36-INDEX(K36:P36,C36)),0)</f>
        <v>0</v>
      </c>
      <c r="R36" s="12" t="n">
        <f aca="false">IF(2&gt;=C36,POWER(Keep,L36-INDEX(K36:P36,C36)),0)</f>
        <v>0</v>
      </c>
      <c r="S36" s="12" t="n">
        <f aca="false">IF(3&gt;=C36,POWER(Keep,M36-INDEX(K36:P36,C36)),0)</f>
        <v>0</v>
      </c>
      <c r="T36" s="12" t="n">
        <f aca="false">IF(4&gt;=C36,POWER(Keep,N36-INDEX(K36:P36,C36)),0)</f>
        <v>0</v>
      </c>
      <c r="U36" s="12" t="n">
        <f aca="false">IF(5&gt;=C36,POWER(Keep,O36-INDEX(K36:P36,C36)),0)</f>
        <v>1</v>
      </c>
      <c r="V36" s="12" t="n">
        <f aca="false">IF(6&gt;=C36,POWER(Keep,P36-INDEX(K36:P36,C36)),0)</f>
        <v>1</v>
      </c>
      <c r="W36" s="12" t="n">
        <f aca="false">SUM(Q36:V36)+A36*POWER(Keep,P36-INDEX(K36:P36,C36))</f>
        <v>22</v>
      </c>
      <c r="X36" s="12" t="n">
        <f aca="false">MIN(1,MAX(0,LN(Cost_r/(Slope0*W36))/LN(Keep)-INDEX(K36:P36,C36)))</f>
        <v>0.153057667028848</v>
      </c>
      <c r="Y36" s="12" t="n">
        <f aca="false">IF(1=C36,X36,E36)</f>
        <v>1</v>
      </c>
      <c r="Z36" s="12" t="n">
        <f aca="false">IF(2=C36,X36,F36)</f>
        <v>1</v>
      </c>
      <c r="AA36" s="12" t="n">
        <f aca="false">IF(3=C36,X36,G36)</f>
        <v>1</v>
      </c>
      <c r="AB36" s="12" t="n">
        <f aca="false">IF(4=C36,X36,H36)</f>
        <v>1</v>
      </c>
      <c r="AC36" s="12" t="n">
        <f aca="false">IF(5=C36,X36,I36)</f>
        <v>0.153057667028848</v>
      </c>
      <c r="AD36" s="12" t="n">
        <f aca="false">IF(6=C36,X36,J36)</f>
        <v>0</v>
      </c>
      <c r="AE36" s="12" t="n">
        <f aca="false">SUM($Y36:Y36)</f>
        <v>1</v>
      </c>
      <c r="AF36" s="12" t="n">
        <f aca="false">SUM($Y36:Z36)</f>
        <v>2</v>
      </c>
      <c r="AG36" s="12" t="n">
        <f aca="false">SUM($Y36:AA36)</f>
        <v>3</v>
      </c>
      <c r="AH36" s="12" t="n">
        <f aca="false">SUM($Y36:AB36)</f>
        <v>4</v>
      </c>
      <c r="AI36" s="12" t="n">
        <f aca="false">SUM($Y36:AC36)</f>
        <v>4.15305766702885</v>
      </c>
      <c r="AJ36" s="12" t="n">
        <f aca="false">SUM($Y36:AD36)</f>
        <v>4.15305766702885</v>
      </c>
      <c r="AK36" s="14" t="n">
        <f aca="false">Smax*(1-POWER(Keep,AE36))</f>
        <v>70</v>
      </c>
      <c r="AL36" s="14" t="n">
        <f aca="false">Smax*(1-POWER(Keep,AF36))</f>
        <v>105</v>
      </c>
      <c r="AM36" s="14" t="n">
        <f aca="false">Smax*(1-POWER(Keep,AG36))</f>
        <v>122.5</v>
      </c>
      <c r="AN36" s="14" t="n">
        <f aca="false">Smax*(1-POWER(Keep,AH36))</f>
        <v>131.25</v>
      </c>
      <c r="AO36" s="14" t="n">
        <f aca="false">Smax*(1-POWER(Keep,AI36))</f>
        <v>132.130754322424</v>
      </c>
      <c r="AP36" s="14" t="n">
        <f aca="false">Smax*(1-POWER(Keep,AJ36))</f>
        <v>132.130754322424</v>
      </c>
      <c r="AQ36" s="19" t="n">
        <f aca="false">IF(D36=1,Cash0+SUM(AK36:AP36)-Cost_r*AJ36+A36*AP36,-1000000000)</f>
        <v>-1000000000</v>
      </c>
    </row>
    <row r="37" customFormat="false" ht="15" hidden="false" customHeight="false" outlineLevel="0" collapsed="false">
      <c r="A37" s="17" t="n">
        <f aca="false">Credit_M</f>
        <v>20</v>
      </c>
      <c r="B37" s="17" t="n">
        <v>6</v>
      </c>
      <c r="C37" s="17" t="n">
        <v>6</v>
      </c>
      <c r="D37" s="17" t="n">
        <f aca="false">IF($I$6="",1,0)</f>
        <v>1</v>
      </c>
      <c r="E37" s="17" t="n">
        <f aca="false">IF($D$6&lt;&gt;"",$D$6,IF(1&lt;C37,1,0))</f>
        <v>1</v>
      </c>
      <c r="F37" s="17" t="n">
        <f aca="false">IF($E$6&lt;&gt;"",$E$6,IF(2&lt;C37,1,0))</f>
        <v>1</v>
      </c>
      <c r="G37" s="17" t="n">
        <f aca="false">IF($F$6&lt;&gt;"",$F$6,IF(3&lt;C37,1,0))</f>
        <v>1</v>
      </c>
      <c r="H37" s="17" t="n">
        <f aca="false">IF($G$6&lt;&gt;"",$G$6,IF(4&lt;C37,1,0))</f>
        <v>1</v>
      </c>
      <c r="I37" s="17" t="n">
        <f aca="false">IF($H$6&lt;&gt;"",$H$6,IF(5&lt;C37,1,0))</f>
        <v>0</v>
      </c>
      <c r="J37" s="17" t="n">
        <f aca="false">IF($I$6&lt;&gt;"",$I$6,IF(6&lt;C37,1,0))</f>
        <v>0</v>
      </c>
      <c r="K37" s="11" t="n">
        <f aca="false">SUM($E37:E37)</f>
        <v>1</v>
      </c>
      <c r="L37" s="11" t="n">
        <f aca="false">SUM($E37:F37)</f>
        <v>2</v>
      </c>
      <c r="M37" s="11" t="n">
        <f aca="false">SUM($E37:G37)</f>
        <v>3</v>
      </c>
      <c r="N37" s="11" t="n">
        <f aca="false">SUM($E37:H37)</f>
        <v>4</v>
      </c>
      <c r="O37" s="11" t="n">
        <f aca="false">SUM($E37:I37)</f>
        <v>4</v>
      </c>
      <c r="P37" s="11" t="n">
        <f aca="false">SUM($E37:J37)</f>
        <v>4</v>
      </c>
      <c r="Q37" s="12" t="n">
        <f aca="false">IF(1&gt;=C37,POWER(Keep,K37-INDEX(K37:P37,C37)),0)</f>
        <v>0</v>
      </c>
      <c r="R37" s="12" t="n">
        <f aca="false">IF(2&gt;=C37,POWER(Keep,L37-INDEX(K37:P37,C37)),0)</f>
        <v>0</v>
      </c>
      <c r="S37" s="12" t="n">
        <f aca="false">IF(3&gt;=C37,POWER(Keep,M37-INDEX(K37:P37,C37)),0)</f>
        <v>0</v>
      </c>
      <c r="T37" s="12" t="n">
        <f aca="false">IF(4&gt;=C37,POWER(Keep,N37-INDEX(K37:P37,C37)),0)</f>
        <v>0</v>
      </c>
      <c r="U37" s="12" t="n">
        <f aca="false">IF(5&gt;=C37,POWER(Keep,O37-INDEX(K37:P37,C37)),0)</f>
        <v>0</v>
      </c>
      <c r="V37" s="12" t="n">
        <f aca="false">IF(6&gt;=C37,POWER(Keep,P37-INDEX(K37:P37,C37)),0)</f>
        <v>1</v>
      </c>
      <c r="W37" s="12" t="n">
        <f aca="false">SUM(Q37:V37)+A37*POWER(Keep,P37-INDEX(K37:P37,C37))</f>
        <v>21</v>
      </c>
      <c r="X37" s="12" t="n">
        <f aca="false">MIN(1,MAX(0,LN(Cost_r/(Slope0*W37))/LN(Keep)-INDEX(K37:P37,C37)))</f>
        <v>0.0859434711703102</v>
      </c>
      <c r="Y37" s="12" t="n">
        <f aca="false">IF(1=C37,X37,E37)</f>
        <v>1</v>
      </c>
      <c r="Z37" s="12" t="n">
        <f aca="false">IF(2=C37,X37,F37)</f>
        <v>1</v>
      </c>
      <c r="AA37" s="12" t="n">
        <f aca="false">IF(3=C37,X37,G37)</f>
        <v>1</v>
      </c>
      <c r="AB37" s="12" t="n">
        <f aca="false">IF(4=C37,X37,H37)</f>
        <v>1</v>
      </c>
      <c r="AC37" s="12" t="n">
        <f aca="false">IF(5=C37,X37,I37)</f>
        <v>0</v>
      </c>
      <c r="AD37" s="12" t="n">
        <f aca="false">IF(6=C37,X37,J37)</f>
        <v>0.0859434711703102</v>
      </c>
      <c r="AE37" s="12" t="n">
        <f aca="false">SUM($Y37:Y37)</f>
        <v>1</v>
      </c>
      <c r="AF37" s="12" t="n">
        <f aca="false">SUM($Y37:Z37)</f>
        <v>2</v>
      </c>
      <c r="AG37" s="12" t="n">
        <f aca="false">SUM($Y37:AA37)</f>
        <v>3</v>
      </c>
      <c r="AH37" s="12" t="n">
        <f aca="false">SUM($Y37:AB37)</f>
        <v>4</v>
      </c>
      <c r="AI37" s="12" t="n">
        <f aca="false">SUM($Y37:AC37)</f>
        <v>4</v>
      </c>
      <c r="AJ37" s="12" t="n">
        <f aca="false">SUM($Y37:AD37)</f>
        <v>4.08594347117031</v>
      </c>
      <c r="AK37" s="14" t="n">
        <f aca="false">Smax*(1-POWER(Keep,AE37))</f>
        <v>70</v>
      </c>
      <c r="AL37" s="14" t="n">
        <f aca="false">Smax*(1-POWER(Keep,AF37))</f>
        <v>105</v>
      </c>
      <c r="AM37" s="14" t="n">
        <f aca="false">Smax*(1-POWER(Keep,AG37))</f>
        <v>122.5</v>
      </c>
      <c r="AN37" s="14" t="n">
        <f aca="false">Smax*(1-POWER(Keep,AH37))</f>
        <v>131.25</v>
      </c>
      <c r="AO37" s="14" t="n">
        <f aca="false">Smax*(1-POWER(Keep,AI37))</f>
        <v>131.25</v>
      </c>
      <c r="AP37" s="14" t="n">
        <f aca="false">Smax*(1-POWER(Keep,AJ37))</f>
        <v>131.756028337777</v>
      </c>
      <c r="AQ37" s="19" t="n">
        <f aca="false">IF(D37=1,Cash0+SUM(AK37:AP37)-Cost_r*AJ37+A37*AP37,-1000000000)</f>
        <v>2986.56337855289</v>
      </c>
    </row>
    <row r="38" customFormat="false" ht="15" hidden="false" customHeight="false" outlineLevel="0" collapsed="false">
      <c r="A38" s="17" t="n">
        <f aca="false">Credit_M</f>
        <v>20</v>
      </c>
      <c r="B38" s="17" t="n">
        <v>7</v>
      </c>
      <c r="C38" s="17" t="n">
        <v>1</v>
      </c>
      <c r="D38" s="17" t="n">
        <f aca="false">IF($D$7="",1,0)</f>
        <v>1</v>
      </c>
      <c r="E38" s="17" t="n">
        <f aca="false">IF($D$7&lt;&gt;"",$D$7,IF(1&lt;C38,1,0))</f>
        <v>0</v>
      </c>
      <c r="F38" s="17" t="n">
        <f aca="false">IF($E$7&lt;&gt;"",$E$7,IF(2&lt;C38,1,0))</f>
        <v>0</v>
      </c>
      <c r="G38" s="17" t="n">
        <f aca="false">IF($F$7&lt;&gt;"",$F$7,IF(3&lt;C38,1,0))</f>
        <v>0</v>
      </c>
      <c r="H38" s="17" t="n">
        <f aca="false">IF($G$7&lt;&gt;"",$G$7,IF(4&lt;C38,1,0))</f>
        <v>0</v>
      </c>
      <c r="I38" s="17" t="n">
        <f aca="false">IF($H$7&lt;&gt;"",$H$7,IF(5&lt;C38,1,0))</f>
        <v>0</v>
      </c>
      <c r="J38" s="17" t="n">
        <f aca="false">IF($I$7&lt;&gt;"",$I$7,IF(6&lt;C38,1,0))</f>
        <v>0</v>
      </c>
      <c r="K38" s="11" t="n">
        <f aca="false">SUM($E38:E38)</f>
        <v>0</v>
      </c>
      <c r="L38" s="11" t="n">
        <f aca="false">SUM($E38:F38)</f>
        <v>0</v>
      </c>
      <c r="M38" s="11" t="n">
        <f aca="false">SUM($E38:G38)</f>
        <v>0</v>
      </c>
      <c r="N38" s="11" t="n">
        <f aca="false">SUM($E38:H38)</f>
        <v>0</v>
      </c>
      <c r="O38" s="11" t="n">
        <f aca="false">SUM($E38:I38)</f>
        <v>0</v>
      </c>
      <c r="P38" s="11" t="n">
        <f aca="false">SUM($E38:J38)</f>
        <v>0</v>
      </c>
      <c r="Q38" s="12" t="n">
        <f aca="false">IF(1&gt;=C38,POWER(Keep,K38-INDEX(K38:P38,C38)),0)</f>
        <v>1</v>
      </c>
      <c r="R38" s="12" t="n">
        <f aca="false">IF(2&gt;=C38,POWER(Keep,L38-INDEX(K38:P38,C38)),0)</f>
        <v>1</v>
      </c>
      <c r="S38" s="12" t="n">
        <f aca="false">IF(3&gt;=C38,POWER(Keep,M38-INDEX(K38:P38,C38)),0)</f>
        <v>1</v>
      </c>
      <c r="T38" s="12" t="n">
        <f aca="false">IF(4&gt;=C38,POWER(Keep,N38-INDEX(K38:P38,C38)),0)</f>
        <v>1</v>
      </c>
      <c r="U38" s="12" t="n">
        <f aca="false">IF(5&gt;=C38,POWER(Keep,O38-INDEX(K38:P38,C38)),0)</f>
        <v>1</v>
      </c>
      <c r="V38" s="12" t="n">
        <f aca="false">IF(6&gt;=C38,POWER(Keep,P38-INDEX(K38:P38,C38)),0)</f>
        <v>1</v>
      </c>
      <c r="W38" s="12" t="n">
        <f aca="false">SUM(Q38:V38)+A38*POWER(Keep,P38-INDEX(K38:P38,C38))</f>
        <v>26</v>
      </c>
      <c r="X38" s="12" t="n">
        <f aca="false">MIN(1,MAX(0,LN(Cost_r/(Slope0*W38))/LN(Keep)-INDEX(K38:P38,C38)))</f>
        <v>1</v>
      </c>
      <c r="Y38" s="12" t="n">
        <f aca="false">IF(1=C38,X38,E38)</f>
        <v>1</v>
      </c>
      <c r="Z38" s="12" t="n">
        <f aca="false">IF(2=C38,X38,F38)</f>
        <v>0</v>
      </c>
      <c r="AA38" s="12" t="n">
        <f aca="false">IF(3=C38,X38,G38)</f>
        <v>0</v>
      </c>
      <c r="AB38" s="12" t="n">
        <f aca="false">IF(4=C38,X38,H38)</f>
        <v>0</v>
      </c>
      <c r="AC38" s="12" t="n">
        <f aca="false">IF(5=C38,X38,I38)</f>
        <v>0</v>
      </c>
      <c r="AD38" s="12" t="n">
        <f aca="false">IF(6=C38,X38,J38)</f>
        <v>0</v>
      </c>
      <c r="AE38" s="12" t="n">
        <f aca="false">SUM($Y38:Y38)</f>
        <v>1</v>
      </c>
      <c r="AF38" s="12" t="n">
        <f aca="false">SUM($Y38:Z38)</f>
        <v>1</v>
      </c>
      <c r="AG38" s="12" t="n">
        <f aca="false">SUM($Y38:AA38)</f>
        <v>1</v>
      </c>
      <c r="AH38" s="12" t="n">
        <f aca="false">SUM($Y38:AB38)</f>
        <v>1</v>
      </c>
      <c r="AI38" s="12" t="n">
        <f aca="false">SUM($Y38:AC38)</f>
        <v>1</v>
      </c>
      <c r="AJ38" s="12" t="n">
        <f aca="false">SUM($Y38:AD38)</f>
        <v>1</v>
      </c>
      <c r="AK38" s="14" t="n">
        <f aca="false">Smax*(1-POWER(Keep,AE38))</f>
        <v>70</v>
      </c>
      <c r="AL38" s="14" t="n">
        <f aca="false">Smax*(1-POWER(Keep,AF38))</f>
        <v>70</v>
      </c>
      <c r="AM38" s="14" t="n">
        <f aca="false">Smax*(1-POWER(Keep,AG38))</f>
        <v>70</v>
      </c>
      <c r="AN38" s="14" t="n">
        <f aca="false">Smax*(1-POWER(Keep,AH38))</f>
        <v>70</v>
      </c>
      <c r="AO38" s="14" t="n">
        <f aca="false">Smax*(1-POWER(Keep,AI38))</f>
        <v>70</v>
      </c>
      <c r="AP38" s="14" t="n">
        <f aca="false">Smax*(1-POWER(Keep,AJ38))</f>
        <v>70</v>
      </c>
      <c r="AQ38" s="19" t="n">
        <f aca="false">IF(D38=1,Cash0+SUM(AK38:AP38)-Cost_r*AJ38+A38*AP38,-1000000000)</f>
        <v>1850</v>
      </c>
    </row>
    <row r="39" customFormat="false" ht="15" hidden="false" customHeight="false" outlineLevel="0" collapsed="false">
      <c r="A39" s="17" t="n">
        <f aca="false">Credit_M</f>
        <v>20</v>
      </c>
      <c r="B39" s="17" t="n">
        <v>7</v>
      </c>
      <c r="C39" s="17" t="n">
        <v>2</v>
      </c>
      <c r="D39" s="17" t="n">
        <f aca="false">IF($E$7="",1,0)</f>
        <v>1</v>
      </c>
      <c r="E39" s="17" t="n">
        <f aca="false">IF($D$7&lt;&gt;"",$D$7,IF(1&lt;C39,1,0))</f>
        <v>1</v>
      </c>
      <c r="F39" s="17" t="n">
        <f aca="false">IF($E$7&lt;&gt;"",$E$7,IF(2&lt;C39,1,0))</f>
        <v>0</v>
      </c>
      <c r="G39" s="17" t="n">
        <f aca="false">IF($F$7&lt;&gt;"",$F$7,IF(3&lt;C39,1,0))</f>
        <v>0</v>
      </c>
      <c r="H39" s="17" t="n">
        <f aca="false">IF($G$7&lt;&gt;"",$G$7,IF(4&lt;C39,1,0))</f>
        <v>0</v>
      </c>
      <c r="I39" s="17" t="n">
        <f aca="false">IF($H$7&lt;&gt;"",$H$7,IF(5&lt;C39,1,0))</f>
        <v>0</v>
      </c>
      <c r="J39" s="17" t="n">
        <f aca="false">IF($I$7&lt;&gt;"",$I$7,IF(6&lt;C39,1,0))</f>
        <v>0</v>
      </c>
      <c r="K39" s="11" t="n">
        <f aca="false">SUM($E39:E39)</f>
        <v>1</v>
      </c>
      <c r="L39" s="11" t="n">
        <f aca="false">SUM($E39:F39)</f>
        <v>1</v>
      </c>
      <c r="M39" s="11" t="n">
        <f aca="false">SUM($E39:G39)</f>
        <v>1</v>
      </c>
      <c r="N39" s="11" t="n">
        <f aca="false">SUM($E39:H39)</f>
        <v>1</v>
      </c>
      <c r="O39" s="11" t="n">
        <f aca="false">SUM($E39:I39)</f>
        <v>1</v>
      </c>
      <c r="P39" s="11" t="n">
        <f aca="false">SUM($E39:J39)</f>
        <v>1</v>
      </c>
      <c r="Q39" s="12" t="n">
        <f aca="false">IF(1&gt;=C39,POWER(Keep,K39-INDEX(K39:P39,C39)),0)</f>
        <v>0</v>
      </c>
      <c r="R39" s="12" t="n">
        <f aca="false">IF(2&gt;=C39,POWER(Keep,L39-INDEX(K39:P39,C39)),0)</f>
        <v>1</v>
      </c>
      <c r="S39" s="12" t="n">
        <f aca="false">IF(3&gt;=C39,POWER(Keep,M39-INDEX(K39:P39,C39)),0)</f>
        <v>1</v>
      </c>
      <c r="T39" s="12" t="n">
        <f aca="false">IF(4&gt;=C39,POWER(Keep,N39-INDEX(K39:P39,C39)),0)</f>
        <v>1</v>
      </c>
      <c r="U39" s="12" t="n">
        <f aca="false">IF(5&gt;=C39,POWER(Keep,O39-INDEX(K39:P39,C39)),0)</f>
        <v>1</v>
      </c>
      <c r="V39" s="12" t="n">
        <f aca="false">IF(6&gt;=C39,POWER(Keep,P39-INDEX(K39:P39,C39)),0)</f>
        <v>1</v>
      </c>
      <c r="W39" s="12" t="n">
        <f aca="false">SUM(Q39:V39)+A39*POWER(Keep,P39-INDEX(K39:P39,C39))</f>
        <v>25</v>
      </c>
      <c r="X39" s="12" t="n">
        <f aca="false">MIN(1,MAX(0,LN(Cost_r/(Slope0*W39))/LN(Keep)-INDEX(K39:P39,C39)))</f>
        <v>1</v>
      </c>
      <c r="Y39" s="12" t="n">
        <f aca="false">IF(1=C39,X39,E39)</f>
        <v>1</v>
      </c>
      <c r="Z39" s="12" t="n">
        <f aca="false">IF(2=C39,X39,F39)</f>
        <v>1</v>
      </c>
      <c r="AA39" s="12" t="n">
        <f aca="false">IF(3=C39,X39,G39)</f>
        <v>0</v>
      </c>
      <c r="AB39" s="12" t="n">
        <f aca="false">IF(4=C39,X39,H39)</f>
        <v>0</v>
      </c>
      <c r="AC39" s="12" t="n">
        <f aca="false">IF(5=C39,X39,I39)</f>
        <v>0</v>
      </c>
      <c r="AD39" s="12" t="n">
        <f aca="false">IF(6=C39,X39,J39)</f>
        <v>0</v>
      </c>
      <c r="AE39" s="12" t="n">
        <f aca="false">SUM($Y39:Y39)</f>
        <v>1</v>
      </c>
      <c r="AF39" s="12" t="n">
        <f aca="false">SUM($Y39:Z39)</f>
        <v>2</v>
      </c>
      <c r="AG39" s="12" t="n">
        <f aca="false">SUM($Y39:AA39)</f>
        <v>2</v>
      </c>
      <c r="AH39" s="12" t="n">
        <f aca="false">SUM($Y39:AB39)</f>
        <v>2</v>
      </c>
      <c r="AI39" s="12" t="n">
        <f aca="false">SUM($Y39:AC39)</f>
        <v>2</v>
      </c>
      <c r="AJ39" s="12" t="n">
        <f aca="false">SUM($Y39:AD39)</f>
        <v>2</v>
      </c>
      <c r="AK39" s="14" t="n">
        <f aca="false">Smax*(1-POWER(Keep,AE39))</f>
        <v>70</v>
      </c>
      <c r="AL39" s="14" t="n">
        <f aca="false">Smax*(1-POWER(Keep,AF39))</f>
        <v>105</v>
      </c>
      <c r="AM39" s="14" t="n">
        <f aca="false">Smax*(1-POWER(Keep,AG39))</f>
        <v>105</v>
      </c>
      <c r="AN39" s="14" t="n">
        <f aca="false">Smax*(1-POWER(Keep,AH39))</f>
        <v>105</v>
      </c>
      <c r="AO39" s="14" t="n">
        <f aca="false">Smax*(1-POWER(Keep,AI39))</f>
        <v>105</v>
      </c>
      <c r="AP39" s="14" t="n">
        <f aca="false">Smax*(1-POWER(Keep,AJ39))</f>
        <v>105</v>
      </c>
      <c r="AQ39" s="19" t="n">
        <f aca="false">IF(D39=1,Cash0+SUM(AK39:AP39)-Cost_r*AJ39+A39*AP39,-1000000000)</f>
        <v>2605</v>
      </c>
    </row>
    <row r="40" customFormat="false" ht="15" hidden="false" customHeight="false" outlineLevel="0" collapsed="false">
      <c r="A40" s="17" t="n">
        <f aca="false">Credit_M</f>
        <v>20</v>
      </c>
      <c r="B40" s="17" t="n">
        <v>7</v>
      </c>
      <c r="C40" s="17" t="n">
        <v>3</v>
      </c>
      <c r="D40" s="17" t="n">
        <f aca="false">IF($F$7="",1,0)</f>
        <v>1</v>
      </c>
      <c r="E40" s="17" t="n">
        <f aca="false">IF($D$7&lt;&gt;"",$D$7,IF(1&lt;C40,1,0))</f>
        <v>1</v>
      </c>
      <c r="F40" s="17" t="n">
        <f aca="false">IF($E$7&lt;&gt;"",$E$7,IF(2&lt;C40,1,0))</f>
        <v>1</v>
      </c>
      <c r="G40" s="17" t="n">
        <f aca="false">IF($F$7&lt;&gt;"",$F$7,IF(3&lt;C40,1,0))</f>
        <v>0</v>
      </c>
      <c r="H40" s="17" t="n">
        <f aca="false">IF($G$7&lt;&gt;"",$G$7,IF(4&lt;C40,1,0))</f>
        <v>0</v>
      </c>
      <c r="I40" s="17" t="n">
        <f aca="false">IF($H$7&lt;&gt;"",$H$7,IF(5&lt;C40,1,0))</f>
        <v>0</v>
      </c>
      <c r="J40" s="17" t="n">
        <f aca="false">IF($I$7&lt;&gt;"",$I$7,IF(6&lt;C40,1,0))</f>
        <v>0</v>
      </c>
      <c r="K40" s="11" t="n">
        <f aca="false">SUM($E40:E40)</f>
        <v>1</v>
      </c>
      <c r="L40" s="11" t="n">
        <f aca="false">SUM($E40:F40)</f>
        <v>2</v>
      </c>
      <c r="M40" s="11" t="n">
        <f aca="false">SUM($E40:G40)</f>
        <v>2</v>
      </c>
      <c r="N40" s="11" t="n">
        <f aca="false">SUM($E40:H40)</f>
        <v>2</v>
      </c>
      <c r="O40" s="11" t="n">
        <f aca="false">SUM($E40:I40)</f>
        <v>2</v>
      </c>
      <c r="P40" s="11" t="n">
        <f aca="false">SUM($E40:J40)</f>
        <v>2</v>
      </c>
      <c r="Q40" s="12" t="n">
        <f aca="false">IF(1&gt;=C40,POWER(Keep,K40-INDEX(K40:P40,C40)),0)</f>
        <v>0</v>
      </c>
      <c r="R40" s="12" t="n">
        <f aca="false">IF(2&gt;=C40,POWER(Keep,L40-INDEX(K40:P40,C40)),0)</f>
        <v>0</v>
      </c>
      <c r="S40" s="12" t="n">
        <f aca="false">IF(3&gt;=C40,POWER(Keep,M40-INDEX(K40:P40,C40)),0)</f>
        <v>1</v>
      </c>
      <c r="T40" s="12" t="n">
        <f aca="false">IF(4&gt;=C40,POWER(Keep,N40-INDEX(K40:P40,C40)),0)</f>
        <v>1</v>
      </c>
      <c r="U40" s="12" t="n">
        <f aca="false">IF(5&gt;=C40,POWER(Keep,O40-INDEX(K40:P40,C40)),0)</f>
        <v>1</v>
      </c>
      <c r="V40" s="12" t="n">
        <f aca="false">IF(6&gt;=C40,POWER(Keep,P40-INDEX(K40:P40,C40)),0)</f>
        <v>1</v>
      </c>
      <c r="W40" s="12" t="n">
        <f aca="false">SUM(Q40:V40)+A40*POWER(Keep,P40-INDEX(K40:P40,C40))</f>
        <v>24</v>
      </c>
      <c r="X40" s="12" t="n">
        <f aca="false">MIN(1,MAX(0,LN(Cost_r/(Slope0*W40))/LN(Keep)-INDEX(K40:P40,C40)))</f>
        <v>1</v>
      </c>
      <c r="Y40" s="12" t="n">
        <f aca="false">IF(1=C40,X40,E40)</f>
        <v>1</v>
      </c>
      <c r="Z40" s="12" t="n">
        <f aca="false">IF(2=C40,X40,F40)</f>
        <v>1</v>
      </c>
      <c r="AA40" s="12" t="n">
        <f aca="false">IF(3=C40,X40,G40)</f>
        <v>1</v>
      </c>
      <c r="AB40" s="12" t="n">
        <f aca="false">IF(4=C40,X40,H40)</f>
        <v>0</v>
      </c>
      <c r="AC40" s="12" t="n">
        <f aca="false">IF(5=C40,X40,I40)</f>
        <v>0</v>
      </c>
      <c r="AD40" s="12" t="n">
        <f aca="false">IF(6=C40,X40,J40)</f>
        <v>0</v>
      </c>
      <c r="AE40" s="12" t="n">
        <f aca="false">SUM($Y40:Y40)</f>
        <v>1</v>
      </c>
      <c r="AF40" s="12" t="n">
        <f aca="false">SUM($Y40:Z40)</f>
        <v>2</v>
      </c>
      <c r="AG40" s="12" t="n">
        <f aca="false">SUM($Y40:AA40)</f>
        <v>3</v>
      </c>
      <c r="AH40" s="12" t="n">
        <f aca="false">SUM($Y40:AB40)</f>
        <v>3</v>
      </c>
      <c r="AI40" s="12" t="n">
        <f aca="false">SUM($Y40:AC40)</f>
        <v>3</v>
      </c>
      <c r="AJ40" s="12" t="n">
        <f aca="false">SUM($Y40:AD40)</f>
        <v>3</v>
      </c>
      <c r="AK40" s="14" t="n">
        <f aca="false">Smax*(1-POWER(Keep,AE40))</f>
        <v>70</v>
      </c>
      <c r="AL40" s="14" t="n">
        <f aca="false">Smax*(1-POWER(Keep,AF40))</f>
        <v>105</v>
      </c>
      <c r="AM40" s="14" t="n">
        <f aca="false">Smax*(1-POWER(Keep,AG40))</f>
        <v>122.5</v>
      </c>
      <c r="AN40" s="14" t="n">
        <f aca="false">Smax*(1-POWER(Keep,AH40))</f>
        <v>122.5</v>
      </c>
      <c r="AO40" s="14" t="n">
        <f aca="false">Smax*(1-POWER(Keep,AI40))</f>
        <v>122.5</v>
      </c>
      <c r="AP40" s="14" t="n">
        <f aca="false">Smax*(1-POWER(Keep,AJ40))</f>
        <v>122.5</v>
      </c>
      <c r="AQ40" s="19" t="n">
        <f aca="false">IF(D40=1,Cash0+SUM(AK40:AP40)-Cost_r*AJ40+A40*AP40,-1000000000)</f>
        <v>2905</v>
      </c>
    </row>
    <row r="41" customFormat="false" ht="15" hidden="false" customHeight="false" outlineLevel="0" collapsed="false">
      <c r="A41" s="17" t="n">
        <f aca="false">Credit_M</f>
        <v>20</v>
      </c>
      <c r="B41" s="17" t="n">
        <v>7</v>
      </c>
      <c r="C41" s="17" t="n">
        <v>4</v>
      </c>
      <c r="D41" s="17" t="n">
        <f aca="false">IF($G$7="",1,0)</f>
        <v>1</v>
      </c>
      <c r="E41" s="17" t="n">
        <f aca="false">IF($D$7&lt;&gt;"",$D$7,IF(1&lt;C41,1,0))</f>
        <v>1</v>
      </c>
      <c r="F41" s="17" t="n">
        <f aca="false">IF($E$7&lt;&gt;"",$E$7,IF(2&lt;C41,1,0))</f>
        <v>1</v>
      </c>
      <c r="G41" s="17" t="n">
        <f aca="false">IF($F$7&lt;&gt;"",$F$7,IF(3&lt;C41,1,0))</f>
        <v>1</v>
      </c>
      <c r="H41" s="17" t="n">
        <f aca="false">IF($G$7&lt;&gt;"",$G$7,IF(4&lt;C41,1,0))</f>
        <v>0</v>
      </c>
      <c r="I41" s="17" t="n">
        <f aca="false">IF($H$7&lt;&gt;"",$H$7,IF(5&lt;C41,1,0))</f>
        <v>0</v>
      </c>
      <c r="J41" s="17" t="n">
        <f aca="false">IF($I$7&lt;&gt;"",$I$7,IF(6&lt;C41,1,0))</f>
        <v>0</v>
      </c>
      <c r="K41" s="11" t="n">
        <f aca="false">SUM($E41:E41)</f>
        <v>1</v>
      </c>
      <c r="L41" s="11" t="n">
        <f aca="false">SUM($E41:F41)</f>
        <v>2</v>
      </c>
      <c r="M41" s="11" t="n">
        <f aca="false">SUM($E41:G41)</f>
        <v>3</v>
      </c>
      <c r="N41" s="11" t="n">
        <f aca="false">SUM($E41:H41)</f>
        <v>3</v>
      </c>
      <c r="O41" s="11" t="n">
        <f aca="false">SUM($E41:I41)</f>
        <v>3</v>
      </c>
      <c r="P41" s="11" t="n">
        <f aca="false">SUM($E41:J41)</f>
        <v>3</v>
      </c>
      <c r="Q41" s="12" t="n">
        <f aca="false">IF(1&gt;=C41,POWER(Keep,K41-INDEX(K41:P41,C41)),0)</f>
        <v>0</v>
      </c>
      <c r="R41" s="12" t="n">
        <f aca="false">IF(2&gt;=C41,POWER(Keep,L41-INDEX(K41:P41,C41)),0)</f>
        <v>0</v>
      </c>
      <c r="S41" s="12" t="n">
        <f aca="false">IF(3&gt;=C41,POWER(Keep,M41-INDEX(K41:P41,C41)),0)</f>
        <v>0</v>
      </c>
      <c r="T41" s="12" t="n">
        <f aca="false">IF(4&gt;=C41,POWER(Keep,N41-INDEX(K41:P41,C41)),0)</f>
        <v>1</v>
      </c>
      <c r="U41" s="12" t="n">
        <f aca="false">IF(5&gt;=C41,POWER(Keep,O41-INDEX(K41:P41,C41)),0)</f>
        <v>1</v>
      </c>
      <c r="V41" s="12" t="n">
        <f aca="false">IF(6&gt;=C41,POWER(Keep,P41-INDEX(K41:P41,C41)),0)</f>
        <v>1</v>
      </c>
      <c r="W41" s="12" t="n">
        <f aca="false">SUM(Q41:V41)+A41*POWER(Keep,P41-INDEX(K41:P41,C41))</f>
        <v>23</v>
      </c>
      <c r="X41" s="12" t="n">
        <f aca="false">MIN(1,MAX(0,LN(Cost_r/(Slope0*W41))/LN(Keep)-INDEX(K41:P41,C41)))</f>
        <v>1</v>
      </c>
      <c r="Y41" s="12" t="n">
        <f aca="false">IF(1=C41,X41,E41)</f>
        <v>1</v>
      </c>
      <c r="Z41" s="12" t="n">
        <f aca="false">IF(2=C41,X41,F41)</f>
        <v>1</v>
      </c>
      <c r="AA41" s="12" t="n">
        <f aca="false">IF(3=C41,X41,G41)</f>
        <v>1</v>
      </c>
      <c r="AB41" s="12" t="n">
        <f aca="false">IF(4=C41,X41,H41)</f>
        <v>1</v>
      </c>
      <c r="AC41" s="12" t="n">
        <f aca="false">IF(5=C41,X41,I41)</f>
        <v>0</v>
      </c>
      <c r="AD41" s="12" t="n">
        <f aca="false">IF(6=C41,X41,J41)</f>
        <v>0</v>
      </c>
      <c r="AE41" s="12" t="n">
        <f aca="false">SUM($Y41:Y41)</f>
        <v>1</v>
      </c>
      <c r="AF41" s="12" t="n">
        <f aca="false">SUM($Y41:Z41)</f>
        <v>2</v>
      </c>
      <c r="AG41" s="12" t="n">
        <f aca="false">SUM($Y41:AA41)</f>
        <v>3</v>
      </c>
      <c r="AH41" s="12" t="n">
        <f aca="false">SUM($Y41:AB41)</f>
        <v>4</v>
      </c>
      <c r="AI41" s="12" t="n">
        <f aca="false">SUM($Y41:AC41)</f>
        <v>4</v>
      </c>
      <c r="AJ41" s="12" t="n">
        <f aca="false">SUM($Y41:AD41)</f>
        <v>4</v>
      </c>
      <c r="AK41" s="14" t="n">
        <f aca="false">Smax*(1-POWER(Keep,AE41))</f>
        <v>70</v>
      </c>
      <c r="AL41" s="14" t="n">
        <f aca="false">Smax*(1-POWER(Keep,AF41))</f>
        <v>105</v>
      </c>
      <c r="AM41" s="14" t="n">
        <f aca="false">Smax*(1-POWER(Keep,AG41))</f>
        <v>122.5</v>
      </c>
      <c r="AN41" s="14" t="n">
        <f aca="false">Smax*(1-POWER(Keep,AH41))</f>
        <v>131.25</v>
      </c>
      <c r="AO41" s="14" t="n">
        <f aca="false">Smax*(1-POWER(Keep,AI41))</f>
        <v>131.25</v>
      </c>
      <c r="AP41" s="14" t="n">
        <f aca="false">Smax*(1-POWER(Keep,AJ41))</f>
        <v>131.25</v>
      </c>
      <c r="AQ41" s="19" t="n">
        <f aca="false">IF(D41=1,Cash0+SUM(AK41:AP41)-Cost_r*AJ41+A41*AP41,-1000000000)</f>
        <v>2986.25</v>
      </c>
    </row>
    <row r="42" customFormat="false" ht="15" hidden="false" customHeight="false" outlineLevel="0" collapsed="false">
      <c r="A42" s="17" t="n">
        <f aca="false">Credit_M</f>
        <v>20</v>
      </c>
      <c r="B42" s="17" t="n">
        <v>7</v>
      </c>
      <c r="C42" s="17" t="n">
        <v>5</v>
      </c>
      <c r="D42" s="17" t="n">
        <f aca="false">IF($H$7="",1,0)</f>
        <v>0</v>
      </c>
      <c r="E42" s="17" t="n">
        <f aca="false">IF($D$7&lt;&gt;"",$D$7,IF(1&lt;C42,1,0))</f>
        <v>1</v>
      </c>
      <c r="F42" s="17" t="n">
        <f aca="false">IF($E$7&lt;&gt;"",$E$7,IF(2&lt;C42,1,0))</f>
        <v>1</v>
      </c>
      <c r="G42" s="17" t="n">
        <f aca="false">IF($F$7&lt;&gt;"",$F$7,IF(3&lt;C42,1,0))</f>
        <v>1</v>
      </c>
      <c r="H42" s="17" t="n">
        <f aca="false">IF($G$7&lt;&gt;"",$G$7,IF(4&lt;C42,1,0))</f>
        <v>1</v>
      </c>
      <c r="I42" s="17" t="n">
        <f aca="false">IF($H$7&lt;&gt;"",$H$7,IF(5&lt;C42,1,0))</f>
        <v>0</v>
      </c>
      <c r="J42" s="17" t="n">
        <f aca="false">IF($I$7&lt;&gt;"",$I$7,IF(6&lt;C42,1,0))</f>
        <v>0</v>
      </c>
      <c r="K42" s="11" t="n">
        <f aca="false">SUM($E42:E42)</f>
        <v>1</v>
      </c>
      <c r="L42" s="11" t="n">
        <f aca="false">SUM($E42:F42)</f>
        <v>2</v>
      </c>
      <c r="M42" s="11" t="n">
        <f aca="false">SUM($E42:G42)</f>
        <v>3</v>
      </c>
      <c r="N42" s="11" t="n">
        <f aca="false">SUM($E42:H42)</f>
        <v>4</v>
      </c>
      <c r="O42" s="11" t="n">
        <f aca="false">SUM($E42:I42)</f>
        <v>4</v>
      </c>
      <c r="P42" s="11" t="n">
        <f aca="false">SUM($E42:J42)</f>
        <v>4</v>
      </c>
      <c r="Q42" s="12" t="n">
        <f aca="false">IF(1&gt;=C42,POWER(Keep,K42-INDEX(K42:P42,C42)),0)</f>
        <v>0</v>
      </c>
      <c r="R42" s="12" t="n">
        <f aca="false">IF(2&gt;=C42,POWER(Keep,L42-INDEX(K42:P42,C42)),0)</f>
        <v>0</v>
      </c>
      <c r="S42" s="12" t="n">
        <f aca="false">IF(3&gt;=C42,POWER(Keep,M42-INDEX(K42:P42,C42)),0)</f>
        <v>0</v>
      </c>
      <c r="T42" s="12" t="n">
        <f aca="false">IF(4&gt;=C42,POWER(Keep,N42-INDEX(K42:P42,C42)),0)</f>
        <v>0</v>
      </c>
      <c r="U42" s="12" t="n">
        <f aca="false">IF(5&gt;=C42,POWER(Keep,O42-INDEX(K42:P42,C42)),0)</f>
        <v>1</v>
      </c>
      <c r="V42" s="12" t="n">
        <f aca="false">IF(6&gt;=C42,POWER(Keep,P42-INDEX(K42:P42,C42)),0)</f>
        <v>1</v>
      </c>
      <c r="W42" s="12" t="n">
        <f aca="false">SUM(Q42:V42)+A42*POWER(Keep,P42-INDEX(K42:P42,C42))</f>
        <v>22</v>
      </c>
      <c r="X42" s="12" t="n">
        <f aca="false">MIN(1,MAX(0,LN(Cost_r/(Slope0*W42))/LN(Keep)-INDEX(K42:P42,C42)))</f>
        <v>0.153057667028848</v>
      </c>
      <c r="Y42" s="12" t="n">
        <f aca="false">IF(1=C42,X42,E42)</f>
        <v>1</v>
      </c>
      <c r="Z42" s="12" t="n">
        <f aca="false">IF(2=C42,X42,F42)</f>
        <v>1</v>
      </c>
      <c r="AA42" s="12" t="n">
        <f aca="false">IF(3=C42,X42,G42)</f>
        <v>1</v>
      </c>
      <c r="AB42" s="12" t="n">
        <f aca="false">IF(4=C42,X42,H42)</f>
        <v>1</v>
      </c>
      <c r="AC42" s="12" t="n">
        <f aca="false">IF(5=C42,X42,I42)</f>
        <v>0.153057667028848</v>
      </c>
      <c r="AD42" s="12" t="n">
        <f aca="false">IF(6=C42,X42,J42)</f>
        <v>0</v>
      </c>
      <c r="AE42" s="12" t="n">
        <f aca="false">SUM($Y42:Y42)</f>
        <v>1</v>
      </c>
      <c r="AF42" s="12" t="n">
        <f aca="false">SUM($Y42:Z42)</f>
        <v>2</v>
      </c>
      <c r="AG42" s="12" t="n">
        <f aca="false">SUM($Y42:AA42)</f>
        <v>3</v>
      </c>
      <c r="AH42" s="12" t="n">
        <f aca="false">SUM($Y42:AB42)</f>
        <v>4</v>
      </c>
      <c r="AI42" s="12" t="n">
        <f aca="false">SUM($Y42:AC42)</f>
        <v>4.15305766702885</v>
      </c>
      <c r="AJ42" s="12" t="n">
        <f aca="false">SUM($Y42:AD42)</f>
        <v>4.15305766702885</v>
      </c>
      <c r="AK42" s="14" t="n">
        <f aca="false">Smax*(1-POWER(Keep,AE42))</f>
        <v>70</v>
      </c>
      <c r="AL42" s="14" t="n">
        <f aca="false">Smax*(1-POWER(Keep,AF42))</f>
        <v>105</v>
      </c>
      <c r="AM42" s="14" t="n">
        <f aca="false">Smax*(1-POWER(Keep,AG42))</f>
        <v>122.5</v>
      </c>
      <c r="AN42" s="14" t="n">
        <f aca="false">Smax*(1-POWER(Keep,AH42))</f>
        <v>131.25</v>
      </c>
      <c r="AO42" s="14" t="n">
        <f aca="false">Smax*(1-POWER(Keep,AI42))</f>
        <v>132.130754322424</v>
      </c>
      <c r="AP42" s="14" t="n">
        <f aca="false">Smax*(1-POWER(Keep,AJ42))</f>
        <v>132.130754322424</v>
      </c>
      <c r="AQ42" s="19" t="n">
        <f aca="false">IF(D42=1,Cash0+SUM(AK42:AP42)-Cost_r*AJ42+A42*AP42,-1000000000)</f>
        <v>-1000000000</v>
      </c>
    </row>
    <row r="43" customFormat="false" ht="15" hidden="false" customHeight="false" outlineLevel="0" collapsed="false">
      <c r="A43" s="17" t="n">
        <f aca="false">Credit_M</f>
        <v>20</v>
      </c>
      <c r="B43" s="17" t="n">
        <v>7</v>
      </c>
      <c r="C43" s="17" t="n">
        <v>6</v>
      </c>
      <c r="D43" s="17" t="n">
        <f aca="false">IF($I$7="",1,0)</f>
        <v>0</v>
      </c>
      <c r="E43" s="17" t="n">
        <f aca="false">IF($D$7&lt;&gt;"",$D$7,IF(1&lt;C43,1,0))</f>
        <v>1</v>
      </c>
      <c r="F43" s="17" t="n">
        <f aca="false">IF($E$7&lt;&gt;"",$E$7,IF(2&lt;C43,1,0))</f>
        <v>1</v>
      </c>
      <c r="G43" s="17" t="n">
        <f aca="false">IF($F$7&lt;&gt;"",$F$7,IF(3&lt;C43,1,0))</f>
        <v>1</v>
      </c>
      <c r="H43" s="17" t="n">
        <f aca="false">IF($G$7&lt;&gt;"",$G$7,IF(4&lt;C43,1,0))</f>
        <v>1</v>
      </c>
      <c r="I43" s="17" t="n">
        <f aca="false">IF($H$7&lt;&gt;"",$H$7,IF(5&lt;C43,1,0))</f>
        <v>0</v>
      </c>
      <c r="J43" s="17" t="n">
        <f aca="false">IF($I$7&lt;&gt;"",$I$7,IF(6&lt;C43,1,0))</f>
        <v>0</v>
      </c>
      <c r="K43" s="11" t="n">
        <f aca="false">SUM($E43:E43)</f>
        <v>1</v>
      </c>
      <c r="L43" s="11" t="n">
        <f aca="false">SUM($E43:F43)</f>
        <v>2</v>
      </c>
      <c r="M43" s="11" t="n">
        <f aca="false">SUM($E43:G43)</f>
        <v>3</v>
      </c>
      <c r="N43" s="11" t="n">
        <f aca="false">SUM($E43:H43)</f>
        <v>4</v>
      </c>
      <c r="O43" s="11" t="n">
        <f aca="false">SUM($E43:I43)</f>
        <v>4</v>
      </c>
      <c r="P43" s="11" t="n">
        <f aca="false">SUM($E43:J43)</f>
        <v>4</v>
      </c>
      <c r="Q43" s="12" t="n">
        <f aca="false">IF(1&gt;=C43,POWER(Keep,K43-INDEX(K43:P43,C43)),0)</f>
        <v>0</v>
      </c>
      <c r="R43" s="12" t="n">
        <f aca="false">IF(2&gt;=C43,POWER(Keep,L43-INDEX(K43:P43,C43)),0)</f>
        <v>0</v>
      </c>
      <c r="S43" s="12" t="n">
        <f aca="false">IF(3&gt;=C43,POWER(Keep,M43-INDEX(K43:P43,C43)),0)</f>
        <v>0</v>
      </c>
      <c r="T43" s="12" t="n">
        <f aca="false">IF(4&gt;=C43,POWER(Keep,N43-INDEX(K43:P43,C43)),0)</f>
        <v>0</v>
      </c>
      <c r="U43" s="12" t="n">
        <f aca="false">IF(5&gt;=C43,POWER(Keep,O43-INDEX(K43:P43,C43)),0)</f>
        <v>0</v>
      </c>
      <c r="V43" s="12" t="n">
        <f aca="false">IF(6&gt;=C43,POWER(Keep,P43-INDEX(K43:P43,C43)),0)</f>
        <v>1</v>
      </c>
      <c r="W43" s="12" t="n">
        <f aca="false">SUM(Q43:V43)+A43*POWER(Keep,P43-INDEX(K43:P43,C43))</f>
        <v>21</v>
      </c>
      <c r="X43" s="12" t="n">
        <f aca="false">MIN(1,MAX(0,LN(Cost_r/(Slope0*W43))/LN(Keep)-INDEX(K43:P43,C43)))</f>
        <v>0.0859434711703102</v>
      </c>
      <c r="Y43" s="12" t="n">
        <f aca="false">IF(1=C43,X43,E43)</f>
        <v>1</v>
      </c>
      <c r="Z43" s="12" t="n">
        <f aca="false">IF(2=C43,X43,F43)</f>
        <v>1</v>
      </c>
      <c r="AA43" s="12" t="n">
        <f aca="false">IF(3=C43,X43,G43)</f>
        <v>1</v>
      </c>
      <c r="AB43" s="12" t="n">
        <f aca="false">IF(4=C43,X43,H43)</f>
        <v>1</v>
      </c>
      <c r="AC43" s="12" t="n">
        <f aca="false">IF(5=C43,X43,I43)</f>
        <v>0</v>
      </c>
      <c r="AD43" s="12" t="n">
        <f aca="false">IF(6=C43,X43,J43)</f>
        <v>0.0859434711703102</v>
      </c>
      <c r="AE43" s="12" t="n">
        <f aca="false">SUM($Y43:Y43)</f>
        <v>1</v>
      </c>
      <c r="AF43" s="12" t="n">
        <f aca="false">SUM($Y43:Z43)</f>
        <v>2</v>
      </c>
      <c r="AG43" s="12" t="n">
        <f aca="false">SUM($Y43:AA43)</f>
        <v>3</v>
      </c>
      <c r="AH43" s="12" t="n">
        <f aca="false">SUM($Y43:AB43)</f>
        <v>4</v>
      </c>
      <c r="AI43" s="12" t="n">
        <f aca="false">SUM($Y43:AC43)</f>
        <v>4</v>
      </c>
      <c r="AJ43" s="12" t="n">
        <f aca="false">SUM($Y43:AD43)</f>
        <v>4.08594347117031</v>
      </c>
      <c r="AK43" s="14" t="n">
        <f aca="false">Smax*(1-POWER(Keep,AE43))</f>
        <v>70</v>
      </c>
      <c r="AL43" s="14" t="n">
        <f aca="false">Smax*(1-POWER(Keep,AF43))</f>
        <v>105</v>
      </c>
      <c r="AM43" s="14" t="n">
        <f aca="false">Smax*(1-POWER(Keep,AG43))</f>
        <v>122.5</v>
      </c>
      <c r="AN43" s="14" t="n">
        <f aca="false">Smax*(1-POWER(Keep,AH43))</f>
        <v>131.25</v>
      </c>
      <c r="AO43" s="14" t="n">
        <f aca="false">Smax*(1-POWER(Keep,AI43))</f>
        <v>131.25</v>
      </c>
      <c r="AP43" s="14" t="n">
        <f aca="false">Smax*(1-POWER(Keep,AJ43))</f>
        <v>131.756028337777</v>
      </c>
      <c r="AQ43" s="19" t="n">
        <f aca="false">IF(D43=1,Cash0+SUM(AK43:AP43)-Cost_r*AJ43+A43*AP43,-1000000000)</f>
        <v>-1000000000</v>
      </c>
    </row>
    <row r="44" customFormat="false" ht="15" hidden="false" customHeight="false" outlineLevel="0" collapsed="false">
      <c r="A44" s="17" t="n">
        <f aca="false">Credit_M</f>
        <v>20</v>
      </c>
      <c r="B44" s="17" t="n">
        <v>8</v>
      </c>
      <c r="C44" s="17" t="n">
        <v>1</v>
      </c>
      <c r="D44" s="17" t="n">
        <f aca="false">IF($D$8="",1,0)</f>
        <v>1</v>
      </c>
      <c r="E44" s="17" t="n">
        <f aca="false">IF($D$8&lt;&gt;"",$D$8,IF(1&lt;C44,1,0))</f>
        <v>0</v>
      </c>
      <c r="F44" s="17" t="n">
        <f aca="false">IF($E$8&lt;&gt;"",$E$8,IF(2&lt;C44,1,0))</f>
        <v>0</v>
      </c>
      <c r="G44" s="17" t="n">
        <f aca="false">IF($F$8&lt;&gt;"",$F$8,IF(3&lt;C44,1,0))</f>
        <v>0</v>
      </c>
      <c r="H44" s="17" t="n">
        <f aca="false">IF($G$8&lt;&gt;"",$G$8,IF(4&lt;C44,1,0))</f>
        <v>0</v>
      </c>
      <c r="I44" s="17" t="n">
        <f aca="false">IF($H$8&lt;&gt;"",$H$8,IF(5&lt;C44,1,0))</f>
        <v>0</v>
      </c>
      <c r="J44" s="17" t="n">
        <f aca="false">IF($I$8&lt;&gt;"",$I$8,IF(6&lt;C44,1,0))</f>
        <v>1</v>
      </c>
      <c r="K44" s="11" t="n">
        <f aca="false">SUM($E44:E44)</f>
        <v>0</v>
      </c>
      <c r="L44" s="11" t="n">
        <f aca="false">SUM($E44:F44)</f>
        <v>0</v>
      </c>
      <c r="M44" s="11" t="n">
        <f aca="false">SUM($E44:G44)</f>
        <v>0</v>
      </c>
      <c r="N44" s="11" t="n">
        <f aca="false">SUM($E44:H44)</f>
        <v>0</v>
      </c>
      <c r="O44" s="11" t="n">
        <f aca="false">SUM($E44:I44)</f>
        <v>0</v>
      </c>
      <c r="P44" s="11" t="n">
        <f aca="false">SUM($E44:J44)</f>
        <v>1</v>
      </c>
      <c r="Q44" s="12" t="n">
        <f aca="false">IF(1&gt;=C44,POWER(Keep,K44-INDEX(K44:P44,C44)),0)</f>
        <v>1</v>
      </c>
      <c r="R44" s="12" t="n">
        <f aca="false">IF(2&gt;=C44,POWER(Keep,L44-INDEX(K44:P44,C44)),0)</f>
        <v>1</v>
      </c>
      <c r="S44" s="12" t="n">
        <f aca="false">IF(3&gt;=C44,POWER(Keep,M44-INDEX(K44:P44,C44)),0)</f>
        <v>1</v>
      </c>
      <c r="T44" s="12" t="n">
        <f aca="false">IF(4&gt;=C44,POWER(Keep,N44-INDEX(K44:P44,C44)),0)</f>
        <v>1</v>
      </c>
      <c r="U44" s="12" t="n">
        <f aca="false">IF(5&gt;=C44,POWER(Keep,O44-INDEX(K44:P44,C44)),0)</f>
        <v>1</v>
      </c>
      <c r="V44" s="12" t="n">
        <f aca="false">IF(6&gt;=C44,POWER(Keep,P44-INDEX(K44:P44,C44)),0)</f>
        <v>0.5</v>
      </c>
      <c r="W44" s="12" t="n">
        <f aca="false">SUM(Q44:V44)+A44*POWER(Keep,P44-INDEX(K44:P44,C44))</f>
        <v>15.5</v>
      </c>
      <c r="X44" s="12" t="n">
        <f aca="false">MIN(1,MAX(0,LN(Cost_r/(Slope0*W44))/LN(Keep)-INDEX(K44:P44,C44)))</f>
        <v>1</v>
      </c>
      <c r="Y44" s="12" t="n">
        <f aca="false">IF(1=C44,X44,E44)</f>
        <v>1</v>
      </c>
      <c r="Z44" s="12" t="n">
        <f aca="false">IF(2=C44,X44,F44)</f>
        <v>0</v>
      </c>
      <c r="AA44" s="12" t="n">
        <f aca="false">IF(3=C44,X44,G44)</f>
        <v>0</v>
      </c>
      <c r="AB44" s="12" t="n">
        <f aca="false">IF(4=C44,X44,H44)</f>
        <v>0</v>
      </c>
      <c r="AC44" s="12" t="n">
        <f aca="false">IF(5=C44,X44,I44)</f>
        <v>0</v>
      </c>
      <c r="AD44" s="12" t="n">
        <f aca="false">IF(6=C44,X44,J44)</f>
        <v>1</v>
      </c>
      <c r="AE44" s="12" t="n">
        <f aca="false">SUM($Y44:Y44)</f>
        <v>1</v>
      </c>
      <c r="AF44" s="12" t="n">
        <f aca="false">SUM($Y44:Z44)</f>
        <v>1</v>
      </c>
      <c r="AG44" s="12" t="n">
        <f aca="false">SUM($Y44:AA44)</f>
        <v>1</v>
      </c>
      <c r="AH44" s="12" t="n">
        <f aca="false">SUM($Y44:AB44)</f>
        <v>1</v>
      </c>
      <c r="AI44" s="12" t="n">
        <f aca="false">SUM($Y44:AC44)</f>
        <v>1</v>
      </c>
      <c r="AJ44" s="12" t="n">
        <f aca="false">SUM($Y44:AD44)</f>
        <v>2</v>
      </c>
      <c r="AK44" s="14" t="n">
        <f aca="false">Smax*(1-POWER(Keep,AE44))</f>
        <v>70</v>
      </c>
      <c r="AL44" s="14" t="n">
        <f aca="false">Smax*(1-POWER(Keep,AF44))</f>
        <v>70</v>
      </c>
      <c r="AM44" s="14" t="n">
        <f aca="false">Smax*(1-POWER(Keep,AG44))</f>
        <v>70</v>
      </c>
      <c r="AN44" s="14" t="n">
        <f aca="false">Smax*(1-POWER(Keep,AH44))</f>
        <v>70</v>
      </c>
      <c r="AO44" s="14" t="n">
        <f aca="false">Smax*(1-POWER(Keep,AI44))</f>
        <v>70</v>
      </c>
      <c r="AP44" s="14" t="n">
        <f aca="false">Smax*(1-POWER(Keep,AJ44))</f>
        <v>105</v>
      </c>
      <c r="AQ44" s="19" t="n">
        <f aca="false">IF(D44=1,Cash0+SUM(AK44:AP44)-Cost_r*AJ44+A44*AP44,-1000000000)</f>
        <v>2465</v>
      </c>
    </row>
    <row r="45" customFormat="false" ht="15" hidden="false" customHeight="false" outlineLevel="0" collapsed="false">
      <c r="A45" s="17" t="n">
        <f aca="false">Credit_M</f>
        <v>20</v>
      </c>
      <c r="B45" s="17" t="n">
        <v>8</v>
      </c>
      <c r="C45" s="17" t="n">
        <v>2</v>
      </c>
      <c r="D45" s="17" t="n">
        <f aca="false">IF($E$8="",1,0)</f>
        <v>1</v>
      </c>
      <c r="E45" s="17" t="n">
        <f aca="false">IF($D$8&lt;&gt;"",$D$8,IF(1&lt;C45,1,0))</f>
        <v>1</v>
      </c>
      <c r="F45" s="17" t="n">
        <f aca="false">IF($E$8&lt;&gt;"",$E$8,IF(2&lt;C45,1,0))</f>
        <v>0</v>
      </c>
      <c r="G45" s="17" t="n">
        <f aca="false">IF($F$8&lt;&gt;"",$F$8,IF(3&lt;C45,1,0))</f>
        <v>0</v>
      </c>
      <c r="H45" s="17" t="n">
        <f aca="false">IF($G$8&lt;&gt;"",$G$8,IF(4&lt;C45,1,0))</f>
        <v>0</v>
      </c>
      <c r="I45" s="17" t="n">
        <f aca="false">IF($H$8&lt;&gt;"",$H$8,IF(5&lt;C45,1,0))</f>
        <v>0</v>
      </c>
      <c r="J45" s="17" t="n">
        <f aca="false">IF($I$8&lt;&gt;"",$I$8,IF(6&lt;C45,1,0))</f>
        <v>1</v>
      </c>
      <c r="K45" s="11" t="n">
        <f aca="false">SUM($E45:E45)</f>
        <v>1</v>
      </c>
      <c r="L45" s="11" t="n">
        <f aca="false">SUM($E45:F45)</f>
        <v>1</v>
      </c>
      <c r="M45" s="11" t="n">
        <f aca="false">SUM($E45:G45)</f>
        <v>1</v>
      </c>
      <c r="N45" s="11" t="n">
        <f aca="false">SUM($E45:H45)</f>
        <v>1</v>
      </c>
      <c r="O45" s="11" t="n">
        <f aca="false">SUM($E45:I45)</f>
        <v>1</v>
      </c>
      <c r="P45" s="11" t="n">
        <f aca="false">SUM($E45:J45)</f>
        <v>2</v>
      </c>
      <c r="Q45" s="12" t="n">
        <f aca="false">IF(1&gt;=C45,POWER(Keep,K45-INDEX(K45:P45,C45)),0)</f>
        <v>0</v>
      </c>
      <c r="R45" s="12" t="n">
        <f aca="false">IF(2&gt;=C45,POWER(Keep,L45-INDEX(K45:P45,C45)),0)</f>
        <v>1</v>
      </c>
      <c r="S45" s="12" t="n">
        <f aca="false">IF(3&gt;=C45,POWER(Keep,M45-INDEX(K45:P45,C45)),0)</f>
        <v>1</v>
      </c>
      <c r="T45" s="12" t="n">
        <f aca="false">IF(4&gt;=C45,POWER(Keep,N45-INDEX(K45:P45,C45)),0)</f>
        <v>1</v>
      </c>
      <c r="U45" s="12" t="n">
        <f aca="false">IF(5&gt;=C45,POWER(Keep,O45-INDEX(K45:P45,C45)),0)</f>
        <v>1</v>
      </c>
      <c r="V45" s="12" t="n">
        <f aca="false">IF(6&gt;=C45,POWER(Keep,P45-INDEX(K45:P45,C45)),0)</f>
        <v>0.5</v>
      </c>
      <c r="W45" s="12" t="n">
        <f aca="false">SUM(Q45:V45)+A45*POWER(Keep,P45-INDEX(K45:P45,C45))</f>
        <v>14.5</v>
      </c>
      <c r="X45" s="12" t="n">
        <f aca="false">MIN(1,MAX(0,LN(Cost_r/(Slope0*W45))/LN(Keep)-INDEX(K45:P45,C45)))</f>
        <v>1</v>
      </c>
      <c r="Y45" s="12" t="n">
        <f aca="false">IF(1=C45,X45,E45)</f>
        <v>1</v>
      </c>
      <c r="Z45" s="12" t="n">
        <f aca="false">IF(2=C45,X45,F45)</f>
        <v>1</v>
      </c>
      <c r="AA45" s="12" t="n">
        <f aca="false">IF(3=C45,X45,G45)</f>
        <v>0</v>
      </c>
      <c r="AB45" s="12" t="n">
        <f aca="false">IF(4=C45,X45,H45)</f>
        <v>0</v>
      </c>
      <c r="AC45" s="12" t="n">
        <f aca="false">IF(5=C45,X45,I45)</f>
        <v>0</v>
      </c>
      <c r="AD45" s="12" t="n">
        <f aca="false">IF(6=C45,X45,J45)</f>
        <v>1</v>
      </c>
      <c r="AE45" s="12" t="n">
        <f aca="false">SUM($Y45:Y45)</f>
        <v>1</v>
      </c>
      <c r="AF45" s="12" t="n">
        <f aca="false">SUM($Y45:Z45)</f>
        <v>2</v>
      </c>
      <c r="AG45" s="12" t="n">
        <f aca="false">SUM($Y45:AA45)</f>
        <v>2</v>
      </c>
      <c r="AH45" s="12" t="n">
        <f aca="false">SUM($Y45:AB45)</f>
        <v>2</v>
      </c>
      <c r="AI45" s="12" t="n">
        <f aca="false">SUM($Y45:AC45)</f>
        <v>2</v>
      </c>
      <c r="AJ45" s="12" t="n">
        <f aca="false">SUM($Y45:AD45)</f>
        <v>3</v>
      </c>
      <c r="AK45" s="14" t="n">
        <f aca="false">Smax*(1-POWER(Keep,AE45))</f>
        <v>70</v>
      </c>
      <c r="AL45" s="14" t="n">
        <f aca="false">Smax*(1-POWER(Keep,AF45))</f>
        <v>105</v>
      </c>
      <c r="AM45" s="14" t="n">
        <f aca="false">Smax*(1-POWER(Keep,AG45))</f>
        <v>105</v>
      </c>
      <c r="AN45" s="14" t="n">
        <f aca="false">Smax*(1-POWER(Keep,AH45))</f>
        <v>105</v>
      </c>
      <c r="AO45" s="14" t="n">
        <f aca="false">Smax*(1-POWER(Keep,AI45))</f>
        <v>105</v>
      </c>
      <c r="AP45" s="14" t="n">
        <f aca="false">Smax*(1-POWER(Keep,AJ45))</f>
        <v>122.5</v>
      </c>
      <c r="AQ45" s="19" t="n">
        <f aca="false">IF(D45=1,Cash0+SUM(AK45:AP45)-Cost_r*AJ45+A45*AP45,-1000000000)</f>
        <v>2852.5</v>
      </c>
    </row>
    <row r="46" customFormat="false" ht="15" hidden="false" customHeight="false" outlineLevel="0" collapsed="false">
      <c r="A46" s="17" t="n">
        <f aca="false">Credit_M</f>
        <v>20</v>
      </c>
      <c r="B46" s="17" t="n">
        <v>8</v>
      </c>
      <c r="C46" s="17" t="n">
        <v>3</v>
      </c>
      <c r="D46" s="17" t="n">
        <f aca="false">IF($F$8="",1,0)</f>
        <v>1</v>
      </c>
      <c r="E46" s="17" t="n">
        <f aca="false">IF($D$8&lt;&gt;"",$D$8,IF(1&lt;C46,1,0))</f>
        <v>1</v>
      </c>
      <c r="F46" s="17" t="n">
        <f aca="false">IF($E$8&lt;&gt;"",$E$8,IF(2&lt;C46,1,0))</f>
        <v>1</v>
      </c>
      <c r="G46" s="17" t="n">
        <f aca="false">IF($F$8&lt;&gt;"",$F$8,IF(3&lt;C46,1,0))</f>
        <v>0</v>
      </c>
      <c r="H46" s="17" t="n">
        <f aca="false">IF($G$8&lt;&gt;"",$G$8,IF(4&lt;C46,1,0))</f>
        <v>0</v>
      </c>
      <c r="I46" s="17" t="n">
        <f aca="false">IF($H$8&lt;&gt;"",$H$8,IF(5&lt;C46,1,0))</f>
        <v>0</v>
      </c>
      <c r="J46" s="17" t="n">
        <f aca="false">IF($I$8&lt;&gt;"",$I$8,IF(6&lt;C46,1,0))</f>
        <v>1</v>
      </c>
      <c r="K46" s="11" t="n">
        <f aca="false">SUM($E46:E46)</f>
        <v>1</v>
      </c>
      <c r="L46" s="11" t="n">
        <f aca="false">SUM($E46:F46)</f>
        <v>2</v>
      </c>
      <c r="M46" s="11" t="n">
        <f aca="false">SUM($E46:G46)</f>
        <v>2</v>
      </c>
      <c r="N46" s="11" t="n">
        <f aca="false">SUM($E46:H46)</f>
        <v>2</v>
      </c>
      <c r="O46" s="11" t="n">
        <f aca="false">SUM($E46:I46)</f>
        <v>2</v>
      </c>
      <c r="P46" s="11" t="n">
        <f aca="false">SUM($E46:J46)</f>
        <v>3</v>
      </c>
      <c r="Q46" s="12" t="n">
        <f aca="false">IF(1&gt;=C46,POWER(Keep,K46-INDEX(K46:P46,C46)),0)</f>
        <v>0</v>
      </c>
      <c r="R46" s="12" t="n">
        <f aca="false">IF(2&gt;=C46,POWER(Keep,L46-INDEX(K46:P46,C46)),0)</f>
        <v>0</v>
      </c>
      <c r="S46" s="12" t="n">
        <f aca="false">IF(3&gt;=C46,POWER(Keep,M46-INDEX(K46:P46,C46)),0)</f>
        <v>1</v>
      </c>
      <c r="T46" s="12" t="n">
        <f aca="false">IF(4&gt;=C46,POWER(Keep,N46-INDEX(K46:P46,C46)),0)</f>
        <v>1</v>
      </c>
      <c r="U46" s="12" t="n">
        <f aca="false">IF(5&gt;=C46,POWER(Keep,O46-INDEX(K46:P46,C46)),0)</f>
        <v>1</v>
      </c>
      <c r="V46" s="12" t="n">
        <f aca="false">IF(6&gt;=C46,POWER(Keep,P46-INDEX(K46:P46,C46)),0)</f>
        <v>0.5</v>
      </c>
      <c r="W46" s="12" t="n">
        <f aca="false">SUM(Q46:V46)+A46*POWER(Keep,P46-INDEX(K46:P46,C46))</f>
        <v>13.5</v>
      </c>
      <c r="X46" s="12" t="n">
        <f aca="false">MIN(1,MAX(0,LN(Cost_r/(Slope0*W46))/LN(Keep)-INDEX(K46:P46,C46)))</f>
        <v>1</v>
      </c>
      <c r="Y46" s="12" t="n">
        <f aca="false">IF(1=C46,X46,E46)</f>
        <v>1</v>
      </c>
      <c r="Z46" s="12" t="n">
        <f aca="false">IF(2=C46,X46,F46)</f>
        <v>1</v>
      </c>
      <c r="AA46" s="12" t="n">
        <f aca="false">IF(3=C46,X46,G46)</f>
        <v>1</v>
      </c>
      <c r="AB46" s="12" t="n">
        <f aca="false">IF(4=C46,X46,H46)</f>
        <v>0</v>
      </c>
      <c r="AC46" s="12" t="n">
        <f aca="false">IF(5=C46,X46,I46)</f>
        <v>0</v>
      </c>
      <c r="AD46" s="12" t="n">
        <f aca="false">IF(6=C46,X46,J46)</f>
        <v>1</v>
      </c>
      <c r="AE46" s="12" t="n">
        <f aca="false">SUM($Y46:Y46)</f>
        <v>1</v>
      </c>
      <c r="AF46" s="12" t="n">
        <f aca="false">SUM($Y46:Z46)</f>
        <v>2</v>
      </c>
      <c r="AG46" s="12" t="n">
        <f aca="false">SUM($Y46:AA46)</f>
        <v>3</v>
      </c>
      <c r="AH46" s="12" t="n">
        <f aca="false">SUM($Y46:AB46)</f>
        <v>3</v>
      </c>
      <c r="AI46" s="12" t="n">
        <f aca="false">SUM($Y46:AC46)</f>
        <v>3</v>
      </c>
      <c r="AJ46" s="12" t="n">
        <f aca="false">SUM($Y46:AD46)</f>
        <v>4</v>
      </c>
      <c r="AK46" s="14" t="n">
        <f aca="false">Smax*(1-POWER(Keep,AE46))</f>
        <v>70</v>
      </c>
      <c r="AL46" s="14" t="n">
        <f aca="false">Smax*(1-POWER(Keep,AF46))</f>
        <v>105</v>
      </c>
      <c r="AM46" s="14" t="n">
        <f aca="false">Smax*(1-POWER(Keep,AG46))</f>
        <v>122.5</v>
      </c>
      <c r="AN46" s="14" t="n">
        <f aca="false">Smax*(1-POWER(Keep,AH46))</f>
        <v>122.5</v>
      </c>
      <c r="AO46" s="14" t="n">
        <f aca="false">Smax*(1-POWER(Keep,AI46))</f>
        <v>122.5</v>
      </c>
      <c r="AP46" s="14" t="n">
        <f aca="false">Smax*(1-POWER(Keep,AJ46))</f>
        <v>131.25</v>
      </c>
      <c r="AQ46" s="19" t="n">
        <f aca="false">IF(D46=1,Cash0+SUM(AK46:AP46)-Cost_r*AJ46+A46*AP46,-1000000000)</f>
        <v>2968.75</v>
      </c>
    </row>
    <row r="47" customFormat="false" ht="15" hidden="false" customHeight="false" outlineLevel="0" collapsed="false">
      <c r="A47" s="17" t="n">
        <f aca="false">Credit_M</f>
        <v>20</v>
      </c>
      <c r="B47" s="17" t="n">
        <v>8</v>
      </c>
      <c r="C47" s="17" t="n">
        <v>4</v>
      </c>
      <c r="D47" s="17" t="n">
        <f aca="false">IF($G$8="",1,0)</f>
        <v>1</v>
      </c>
      <c r="E47" s="17" t="n">
        <f aca="false">IF($D$8&lt;&gt;"",$D$8,IF(1&lt;C47,1,0))</f>
        <v>1</v>
      </c>
      <c r="F47" s="17" t="n">
        <f aca="false">IF($E$8&lt;&gt;"",$E$8,IF(2&lt;C47,1,0))</f>
        <v>1</v>
      </c>
      <c r="G47" s="17" t="n">
        <f aca="false">IF($F$8&lt;&gt;"",$F$8,IF(3&lt;C47,1,0))</f>
        <v>1</v>
      </c>
      <c r="H47" s="17" t="n">
        <f aca="false">IF($G$8&lt;&gt;"",$G$8,IF(4&lt;C47,1,0))</f>
        <v>0</v>
      </c>
      <c r="I47" s="17" t="n">
        <f aca="false">IF($H$8&lt;&gt;"",$H$8,IF(5&lt;C47,1,0))</f>
        <v>0</v>
      </c>
      <c r="J47" s="17" t="n">
        <f aca="false">IF($I$8&lt;&gt;"",$I$8,IF(6&lt;C47,1,0))</f>
        <v>1</v>
      </c>
      <c r="K47" s="11" t="n">
        <f aca="false">SUM($E47:E47)</f>
        <v>1</v>
      </c>
      <c r="L47" s="11" t="n">
        <f aca="false">SUM($E47:F47)</f>
        <v>2</v>
      </c>
      <c r="M47" s="11" t="n">
        <f aca="false">SUM($E47:G47)</f>
        <v>3</v>
      </c>
      <c r="N47" s="11" t="n">
        <f aca="false">SUM($E47:H47)</f>
        <v>3</v>
      </c>
      <c r="O47" s="11" t="n">
        <f aca="false">SUM($E47:I47)</f>
        <v>3</v>
      </c>
      <c r="P47" s="11" t="n">
        <f aca="false">SUM($E47:J47)</f>
        <v>4</v>
      </c>
      <c r="Q47" s="12" t="n">
        <f aca="false">IF(1&gt;=C47,POWER(Keep,K47-INDEX(K47:P47,C47)),0)</f>
        <v>0</v>
      </c>
      <c r="R47" s="12" t="n">
        <f aca="false">IF(2&gt;=C47,POWER(Keep,L47-INDEX(K47:P47,C47)),0)</f>
        <v>0</v>
      </c>
      <c r="S47" s="12" t="n">
        <f aca="false">IF(3&gt;=C47,POWER(Keep,M47-INDEX(K47:P47,C47)),0)</f>
        <v>0</v>
      </c>
      <c r="T47" s="12" t="n">
        <f aca="false">IF(4&gt;=C47,POWER(Keep,N47-INDEX(K47:P47,C47)),0)</f>
        <v>1</v>
      </c>
      <c r="U47" s="12" t="n">
        <f aca="false">IF(5&gt;=C47,POWER(Keep,O47-INDEX(K47:P47,C47)),0)</f>
        <v>1</v>
      </c>
      <c r="V47" s="12" t="n">
        <f aca="false">IF(6&gt;=C47,POWER(Keep,P47-INDEX(K47:P47,C47)),0)</f>
        <v>0.5</v>
      </c>
      <c r="W47" s="12" t="n">
        <f aca="false">SUM(Q47:V47)+A47*POWER(Keep,P47-INDEX(K47:P47,C47))</f>
        <v>12.5</v>
      </c>
      <c r="X47" s="12" t="n">
        <f aca="false">MIN(1,MAX(0,LN(Cost_r/(Slope0*W47))/LN(Keep)-INDEX(K47:P47,C47)))</f>
        <v>0.337482238166275</v>
      </c>
      <c r="Y47" s="12" t="n">
        <f aca="false">IF(1=C47,X47,E47)</f>
        <v>1</v>
      </c>
      <c r="Z47" s="12" t="n">
        <f aca="false">IF(2=C47,X47,F47)</f>
        <v>1</v>
      </c>
      <c r="AA47" s="12" t="n">
        <f aca="false">IF(3=C47,X47,G47)</f>
        <v>1</v>
      </c>
      <c r="AB47" s="12" t="n">
        <f aca="false">IF(4=C47,X47,H47)</f>
        <v>0.337482238166275</v>
      </c>
      <c r="AC47" s="12" t="n">
        <f aca="false">IF(5=C47,X47,I47)</f>
        <v>0</v>
      </c>
      <c r="AD47" s="12" t="n">
        <f aca="false">IF(6=C47,X47,J47)</f>
        <v>1</v>
      </c>
      <c r="AE47" s="12" t="n">
        <f aca="false">SUM($Y47:Y47)</f>
        <v>1</v>
      </c>
      <c r="AF47" s="12" t="n">
        <f aca="false">SUM($Y47:Z47)</f>
        <v>2</v>
      </c>
      <c r="AG47" s="12" t="n">
        <f aca="false">SUM($Y47:AA47)</f>
        <v>3</v>
      </c>
      <c r="AH47" s="12" t="n">
        <f aca="false">SUM($Y47:AB47)</f>
        <v>3.33748223816627</v>
      </c>
      <c r="AI47" s="12" t="n">
        <f aca="false">SUM($Y47:AC47)</f>
        <v>3.33748223816627</v>
      </c>
      <c r="AJ47" s="12" t="n">
        <f aca="false">SUM($Y47:AD47)</f>
        <v>4.33748223816628</v>
      </c>
      <c r="AK47" s="14" t="n">
        <f aca="false">Smax*(1-POWER(Keep,AE47))</f>
        <v>70</v>
      </c>
      <c r="AL47" s="14" t="n">
        <f aca="false">Smax*(1-POWER(Keep,AF47))</f>
        <v>105</v>
      </c>
      <c r="AM47" s="14" t="n">
        <f aca="false">Smax*(1-POWER(Keep,AG47))</f>
        <v>122.5</v>
      </c>
      <c r="AN47" s="14" t="n">
        <f aca="false">Smax*(1-POWER(Keep,AH47))</f>
        <v>126.150127607466</v>
      </c>
      <c r="AO47" s="14" t="n">
        <f aca="false">Smax*(1-POWER(Keep,AI47))</f>
        <v>126.150127607466</v>
      </c>
      <c r="AP47" s="14" t="n">
        <f aca="false">Smax*(1-POWER(Keep,AJ47))</f>
        <v>133.075063803733</v>
      </c>
      <c r="AQ47" s="19" t="n">
        <f aca="false">IF(D47=1,Cash0+SUM(AK47:AP47)-Cost_r*AJ47+A47*AP47,-1000000000)</f>
        <v>2973.87872651337</v>
      </c>
    </row>
    <row r="48" customFormat="false" ht="15" hidden="false" customHeight="false" outlineLevel="0" collapsed="false">
      <c r="A48" s="17" t="n">
        <f aca="false">Credit_M</f>
        <v>20</v>
      </c>
      <c r="B48" s="17" t="n">
        <v>8</v>
      </c>
      <c r="C48" s="17" t="n">
        <v>5</v>
      </c>
      <c r="D48" s="17" t="n">
        <f aca="false">IF($H$8="",1,0)</f>
        <v>0</v>
      </c>
      <c r="E48" s="17" t="n">
        <f aca="false">IF($D$8&lt;&gt;"",$D$8,IF(1&lt;C48,1,0))</f>
        <v>1</v>
      </c>
      <c r="F48" s="17" t="n">
        <f aca="false">IF($E$8&lt;&gt;"",$E$8,IF(2&lt;C48,1,0))</f>
        <v>1</v>
      </c>
      <c r="G48" s="17" t="n">
        <f aca="false">IF($F$8&lt;&gt;"",$F$8,IF(3&lt;C48,1,0))</f>
        <v>1</v>
      </c>
      <c r="H48" s="17" t="n">
        <f aca="false">IF($G$8&lt;&gt;"",$G$8,IF(4&lt;C48,1,0))</f>
        <v>1</v>
      </c>
      <c r="I48" s="17" t="n">
        <f aca="false">IF($H$8&lt;&gt;"",$H$8,IF(5&lt;C48,1,0))</f>
        <v>0</v>
      </c>
      <c r="J48" s="17" t="n">
        <f aca="false">IF($I$8&lt;&gt;"",$I$8,IF(6&lt;C48,1,0))</f>
        <v>1</v>
      </c>
      <c r="K48" s="11" t="n">
        <f aca="false">SUM($E48:E48)</f>
        <v>1</v>
      </c>
      <c r="L48" s="11" t="n">
        <f aca="false">SUM($E48:F48)</f>
        <v>2</v>
      </c>
      <c r="M48" s="11" t="n">
        <f aca="false">SUM($E48:G48)</f>
        <v>3</v>
      </c>
      <c r="N48" s="11" t="n">
        <f aca="false">SUM($E48:H48)</f>
        <v>4</v>
      </c>
      <c r="O48" s="11" t="n">
        <f aca="false">SUM($E48:I48)</f>
        <v>4</v>
      </c>
      <c r="P48" s="11" t="n">
        <f aca="false">SUM($E48:J48)</f>
        <v>5</v>
      </c>
      <c r="Q48" s="12" t="n">
        <f aca="false">IF(1&gt;=C48,POWER(Keep,K48-INDEX(K48:P48,C48)),0)</f>
        <v>0</v>
      </c>
      <c r="R48" s="12" t="n">
        <f aca="false">IF(2&gt;=C48,POWER(Keep,L48-INDEX(K48:P48,C48)),0)</f>
        <v>0</v>
      </c>
      <c r="S48" s="12" t="n">
        <f aca="false">IF(3&gt;=C48,POWER(Keep,M48-INDEX(K48:P48,C48)),0)</f>
        <v>0</v>
      </c>
      <c r="T48" s="12" t="n">
        <f aca="false">IF(4&gt;=C48,POWER(Keep,N48-INDEX(K48:P48,C48)),0)</f>
        <v>0</v>
      </c>
      <c r="U48" s="12" t="n">
        <f aca="false">IF(5&gt;=C48,POWER(Keep,O48-INDEX(K48:P48,C48)),0)</f>
        <v>1</v>
      </c>
      <c r="V48" s="12" t="n">
        <f aca="false">IF(6&gt;=C48,POWER(Keep,P48-INDEX(K48:P48,C48)),0)</f>
        <v>0.5</v>
      </c>
      <c r="W48" s="12" t="n">
        <f aca="false">SUM(Q48:V48)+A48*POWER(Keep,P48-INDEX(K48:P48,C48))</f>
        <v>11.5</v>
      </c>
      <c r="X48" s="12" t="n">
        <f aca="false">MIN(1,MAX(0,LN(Cost_r/(Slope0*W48))/LN(Keep)-INDEX(K48:P48,C48)))</f>
        <v>0</v>
      </c>
      <c r="Y48" s="12" t="n">
        <f aca="false">IF(1=C48,X48,E48)</f>
        <v>1</v>
      </c>
      <c r="Z48" s="12" t="n">
        <f aca="false">IF(2=C48,X48,F48)</f>
        <v>1</v>
      </c>
      <c r="AA48" s="12" t="n">
        <f aca="false">IF(3=C48,X48,G48)</f>
        <v>1</v>
      </c>
      <c r="AB48" s="12" t="n">
        <f aca="false">IF(4=C48,X48,H48)</f>
        <v>1</v>
      </c>
      <c r="AC48" s="12" t="n">
        <f aca="false">IF(5=C48,X48,I48)</f>
        <v>0</v>
      </c>
      <c r="AD48" s="12" t="n">
        <f aca="false">IF(6=C48,X48,J48)</f>
        <v>1</v>
      </c>
      <c r="AE48" s="12" t="n">
        <f aca="false">SUM($Y48:Y48)</f>
        <v>1</v>
      </c>
      <c r="AF48" s="12" t="n">
        <f aca="false">SUM($Y48:Z48)</f>
        <v>2</v>
      </c>
      <c r="AG48" s="12" t="n">
        <f aca="false">SUM($Y48:AA48)</f>
        <v>3</v>
      </c>
      <c r="AH48" s="12" t="n">
        <f aca="false">SUM($Y48:AB48)</f>
        <v>4</v>
      </c>
      <c r="AI48" s="12" t="n">
        <f aca="false">SUM($Y48:AC48)</f>
        <v>4</v>
      </c>
      <c r="AJ48" s="12" t="n">
        <f aca="false">SUM($Y48:AD48)</f>
        <v>5</v>
      </c>
      <c r="AK48" s="14" t="n">
        <f aca="false">Smax*(1-POWER(Keep,AE48))</f>
        <v>70</v>
      </c>
      <c r="AL48" s="14" t="n">
        <f aca="false">Smax*(1-POWER(Keep,AF48))</f>
        <v>105</v>
      </c>
      <c r="AM48" s="14" t="n">
        <f aca="false">Smax*(1-POWER(Keep,AG48))</f>
        <v>122.5</v>
      </c>
      <c r="AN48" s="14" t="n">
        <f aca="false">Smax*(1-POWER(Keep,AH48))</f>
        <v>131.25</v>
      </c>
      <c r="AO48" s="14" t="n">
        <f aca="false">Smax*(1-POWER(Keep,AI48))</f>
        <v>131.25</v>
      </c>
      <c r="AP48" s="14" t="n">
        <f aca="false">Smax*(1-POWER(Keep,AJ48))</f>
        <v>135.625</v>
      </c>
      <c r="AQ48" s="19" t="n">
        <f aca="false">IF(D48=1,Cash0+SUM(AK48:AP48)-Cost_r*AJ48+A48*AP48,-1000000000)</f>
        <v>-1000000000</v>
      </c>
    </row>
    <row r="49" customFormat="false" ht="15" hidden="false" customHeight="false" outlineLevel="0" collapsed="false">
      <c r="A49" s="17" t="n">
        <f aca="false">Credit_M</f>
        <v>20</v>
      </c>
      <c r="B49" s="17" t="n">
        <v>8</v>
      </c>
      <c r="C49" s="17" t="n">
        <v>6</v>
      </c>
      <c r="D49" s="17" t="n">
        <f aca="false">IF($I$8="",1,0)</f>
        <v>0</v>
      </c>
      <c r="E49" s="17" t="n">
        <f aca="false">IF($D$8&lt;&gt;"",$D$8,IF(1&lt;C49,1,0))</f>
        <v>1</v>
      </c>
      <c r="F49" s="17" t="n">
        <f aca="false">IF($E$8&lt;&gt;"",$E$8,IF(2&lt;C49,1,0))</f>
        <v>1</v>
      </c>
      <c r="G49" s="17" t="n">
        <f aca="false">IF($F$8&lt;&gt;"",$F$8,IF(3&lt;C49,1,0))</f>
        <v>1</v>
      </c>
      <c r="H49" s="17" t="n">
        <f aca="false">IF($G$8&lt;&gt;"",$G$8,IF(4&lt;C49,1,0))</f>
        <v>1</v>
      </c>
      <c r="I49" s="17" t="n">
        <f aca="false">IF($H$8&lt;&gt;"",$H$8,IF(5&lt;C49,1,0))</f>
        <v>0</v>
      </c>
      <c r="J49" s="17" t="n">
        <f aca="false">IF($I$8&lt;&gt;"",$I$8,IF(6&lt;C49,1,0))</f>
        <v>1</v>
      </c>
      <c r="K49" s="11" t="n">
        <f aca="false">SUM($E49:E49)</f>
        <v>1</v>
      </c>
      <c r="L49" s="11" t="n">
        <f aca="false">SUM($E49:F49)</f>
        <v>2</v>
      </c>
      <c r="M49" s="11" t="n">
        <f aca="false">SUM($E49:G49)</f>
        <v>3</v>
      </c>
      <c r="N49" s="11" t="n">
        <f aca="false">SUM($E49:H49)</f>
        <v>4</v>
      </c>
      <c r="O49" s="11" t="n">
        <f aca="false">SUM($E49:I49)</f>
        <v>4</v>
      </c>
      <c r="P49" s="11" t="n">
        <f aca="false">SUM($E49:J49)</f>
        <v>5</v>
      </c>
      <c r="Q49" s="12" t="n">
        <f aca="false">IF(1&gt;=C49,POWER(Keep,K49-INDEX(K49:P49,C49)),0)</f>
        <v>0</v>
      </c>
      <c r="R49" s="12" t="n">
        <f aca="false">IF(2&gt;=C49,POWER(Keep,L49-INDEX(K49:P49,C49)),0)</f>
        <v>0</v>
      </c>
      <c r="S49" s="12" t="n">
        <f aca="false">IF(3&gt;=C49,POWER(Keep,M49-INDEX(K49:P49,C49)),0)</f>
        <v>0</v>
      </c>
      <c r="T49" s="12" t="n">
        <f aca="false">IF(4&gt;=C49,POWER(Keep,N49-INDEX(K49:P49,C49)),0)</f>
        <v>0</v>
      </c>
      <c r="U49" s="12" t="n">
        <f aca="false">IF(5&gt;=C49,POWER(Keep,O49-INDEX(K49:P49,C49)),0)</f>
        <v>0</v>
      </c>
      <c r="V49" s="12" t="n">
        <f aca="false">IF(6&gt;=C49,POWER(Keep,P49-INDEX(K49:P49,C49)),0)</f>
        <v>1</v>
      </c>
      <c r="W49" s="12" t="n">
        <f aca="false">SUM(Q49:V49)+A49*POWER(Keep,P49-INDEX(K49:P49,C49))</f>
        <v>21</v>
      </c>
      <c r="X49" s="12" t="n">
        <f aca="false">MIN(1,MAX(0,LN(Cost_r/(Slope0*W49))/LN(Keep)-INDEX(K49:P49,C49)))</f>
        <v>0</v>
      </c>
      <c r="Y49" s="12" t="n">
        <f aca="false">IF(1=C49,X49,E49)</f>
        <v>1</v>
      </c>
      <c r="Z49" s="12" t="n">
        <f aca="false">IF(2=C49,X49,F49)</f>
        <v>1</v>
      </c>
      <c r="AA49" s="12" t="n">
        <f aca="false">IF(3=C49,X49,G49)</f>
        <v>1</v>
      </c>
      <c r="AB49" s="12" t="n">
        <f aca="false">IF(4=C49,X49,H49)</f>
        <v>1</v>
      </c>
      <c r="AC49" s="12" t="n">
        <f aca="false">IF(5=C49,X49,I49)</f>
        <v>0</v>
      </c>
      <c r="AD49" s="12" t="n">
        <f aca="false">IF(6=C49,X49,J49)</f>
        <v>0</v>
      </c>
      <c r="AE49" s="12" t="n">
        <f aca="false">SUM($Y49:Y49)</f>
        <v>1</v>
      </c>
      <c r="AF49" s="12" t="n">
        <f aca="false">SUM($Y49:Z49)</f>
        <v>2</v>
      </c>
      <c r="AG49" s="12" t="n">
        <f aca="false">SUM($Y49:AA49)</f>
        <v>3</v>
      </c>
      <c r="AH49" s="12" t="n">
        <f aca="false">SUM($Y49:AB49)</f>
        <v>4</v>
      </c>
      <c r="AI49" s="12" t="n">
        <f aca="false">SUM($Y49:AC49)</f>
        <v>4</v>
      </c>
      <c r="AJ49" s="12" t="n">
        <f aca="false">SUM($Y49:AD49)</f>
        <v>4</v>
      </c>
      <c r="AK49" s="14" t="n">
        <f aca="false">Smax*(1-POWER(Keep,AE49))</f>
        <v>70</v>
      </c>
      <c r="AL49" s="14" t="n">
        <f aca="false">Smax*(1-POWER(Keep,AF49))</f>
        <v>105</v>
      </c>
      <c r="AM49" s="14" t="n">
        <f aca="false">Smax*(1-POWER(Keep,AG49))</f>
        <v>122.5</v>
      </c>
      <c r="AN49" s="14" t="n">
        <f aca="false">Smax*(1-POWER(Keep,AH49))</f>
        <v>131.25</v>
      </c>
      <c r="AO49" s="14" t="n">
        <f aca="false">Smax*(1-POWER(Keep,AI49))</f>
        <v>131.25</v>
      </c>
      <c r="AP49" s="14" t="n">
        <f aca="false">Smax*(1-POWER(Keep,AJ49))</f>
        <v>131.25</v>
      </c>
      <c r="AQ49" s="19" t="n">
        <f aca="false">IF(D49=1,Cash0+SUM(AK49:AP49)-Cost_r*AJ49+A49*AP49,-1000000000)</f>
        <v>-1000000000</v>
      </c>
    </row>
    <row r="50" customFormat="false" ht="15" hidden="false" customHeight="false" outlineLevel="0" collapsed="false">
      <c r="A50" s="17" t="n">
        <f aca="false">Credit_M</f>
        <v>20</v>
      </c>
      <c r="B50" s="17" t="n">
        <v>9</v>
      </c>
      <c r="C50" s="17" t="n">
        <v>1</v>
      </c>
      <c r="D50" s="17" t="n">
        <f aca="false">IF($D$9="",1,0)</f>
        <v>1</v>
      </c>
      <c r="E50" s="17" t="n">
        <f aca="false">IF($D$9&lt;&gt;"",$D$9,IF(1&lt;C50,1,0))</f>
        <v>0</v>
      </c>
      <c r="F50" s="17" t="n">
        <f aca="false">IF($E$9&lt;&gt;"",$E$9,IF(2&lt;C50,1,0))</f>
        <v>0</v>
      </c>
      <c r="G50" s="17" t="n">
        <f aca="false">IF($F$9&lt;&gt;"",$F$9,IF(3&lt;C50,1,0))</f>
        <v>0</v>
      </c>
      <c r="H50" s="17" t="n">
        <f aca="false">IF($G$9&lt;&gt;"",$G$9,IF(4&lt;C50,1,0))</f>
        <v>0</v>
      </c>
      <c r="I50" s="17" t="n">
        <f aca="false">IF($H$9&lt;&gt;"",$H$9,IF(5&lt;C50,1,0))</f>
        <v>1</v>
      </c>
      <c r="J50" s="17" t="n">
        <f aca="false">IF($I$9&lt;&gt;"",$I$9,IF(6&lt;C50,1,0))</f>
        <v>0</v>
      </c>
      <c r="K50" s="11" t="n">
        <f aca="false">SUM($E50:E50)</f>
        <v>0</v>
      </c>
      <c r="L50" s="11" t="n">
        <f aca="false">SUM($E50:F50)</f>
        <v>0</v>
      </c>
      <c r="M50" s="11" t="n">
        <f aca="false">SUM($E50:G50)</f>
        <v>0</v>
      </c>
      <c r="N50" s="11" t="n">
        <f aca="false">SUM($E50:H50)</f>
        <v>0</v>
      </c>
      <c r="O50" s="11" t="n">
        <f aca="false">SUM($E50:I50)</f>
        <v>1</v>
      </c>
      <c r="P50" s="11" t="n">
        <f aca="false">SUM($E50:J50)</f>
        <v>1</v>
      </c>
      <c r="Q50" s="12" t="n">
        <f aca="false">IF(1&gt;=C50,POWER(Keep,K50-INDEX(K50:P50,C50)),0)</f>
        <v>1</v>
      </c>
      <c r="R50" s="12" t="n">
        <f aca="false">IF(2&gt;=C50,POWER(Keep,L50-INDEX(K50:P50,C50)),0)</f>
        <v>1</v>
      </c>
      <c r="S50" s="12" t="n">
        <f aca="false">IF(3&gt;=C50,POWER(Keep,M50-INDEX(K50:P50,C50)),0)</f>
        <v>1</v>
      </c>
      <c r="T50" s="12" t="n">
        <f aca="false">IF(4&gt;=C50,POWER(Keep,N50-INDEX(K50:P50,C50)),0)</f>
        <v>1</v>
      </c>
      <c r="U50" s="12" t="n">
        <f aca="false">IF(5&gt;=C50,POWER(Keep,O50-INDEX(K50:P50,C50)),0)</f>
        <v>0.5</v>
      </c>
      <c r="V50" s="12" t="n">
        <f aca="false">IF(6&gt;=C50,POWER(Keep,P50-INDEX(K50:P50,C50)),0)</f>
        <v>0.5</v>
      </c>
      <c r="W50" s="12" t="n">
        <f aca="false">SUM(Q50:V50)+A50*POWER(Keep,P50-INDEX(K50:P50,C50))</f>
        <v>15</v>
      </c>
      <c r="X50" s="12" t="n">
        <f aca="false">MIN(1,MAX(0,LN(Cost_r/(Slope0*W50))/LN(Keep)-INDEX(K50:P50,C50)))</f>
        <v>1</v>
      </c>
      <c r="Y50" s="12" t="n">
        <f aca="false">IF(1=C50,X50,E50)</f>
        <v>1</v>
      </c>
      <c r="Z50" s="12" t="n">
        <f aca="false">IF(2=C50,X50,F50)</f>
        <v>0</v>
      </c>
      <c r="AA50" s="12" t="n">
        <f aca="false">IF(3=C50,X50,G50)</f>
        <v>0</v>
      </c>
      <c r="AB50" s="12" t="n">
        <f aca="false">IF(4=C50,X50,H50)</f>
        <v>0</v>
      </c>
      <c r="AC50" s="12" t="n">
        <f aca="false">IF(5=C50,X50,I50)</f>
        <v>1</v>
      </c>
      <c r="AD50" s="12" t="n">
        <f aca="false">IF(6=C50,X50,J50)</f>
        <v>0</v>
      </c>
      <c r="AE50" s="12" t="n">
        <f aca="false">SUM($Y50:Y50)</f>
        <v>1</v>
      </c>
      <c r="AF50" s="12" t="n">
        <f aca="false">SUM($Y50:Z50)</f>
        <v>1</v>
      </c>
      <c r="AG50" s="12" t="n">
        <f aca="false">SUM($Y50:AA50)</f>
        <v>1</v>
      </c>
      <c r="AH50" s="12" t="n">
        <f aca="false">SUM($Y50:AB50)</f>
        <v>1</v>
      </c>
      <c r="AI50" s="12" t="n">
        <f aca="false">SUM($Y50:AC50)</f>
        <v>2</v>
      </c>
      <c r="AJ50" s="12" t="n">
        <f aca="false">SUM($Y50:AD50)</f>
        <v>2</v>
      </c>
      <c r="AK50" s="14" t="n">
        <f aca="false">Smax*(1-POWER(Keep,AE50))</f>
        <v>70</v>
      </c>
      <c r="AL50" s="14" t="n">
        <f aca="false">Smax*(1-POWER(Keep,AF50))</f>
        <v>70</v>
      </c>
      <c r="AM50" s="14" t="n">
        <f aca="false">Smax*(1-POWER(Keep,AG50))</f>
        <v>70</v>
      </c>
      <c r="AN50" s="14" t="n">
        <f aca="false">Smax*(1-POWER(Keep,AH50))</f>
        <v>70</v>
      </c>
      <c r="AO50" s="14" t="n">
        <f aca="false">Smax*(1-POWER(Keep,AI50))</f>
        <v>105</v>
      </c>
      <c r="AP50" s="14" t="n">
        <f aca="false">Smax*(1-POWER(Keep,AJ50))</f>
        <v>105</v>
      </c>
      <c r="AQ50" s="19" t="n">
        <f aca="false">IF(D50=1,Cash0+SUM(AK50:AP50)-Cost_r*AJ50+A50*AP50,-1000000000)</f>
        <v>2500</v>
      </c>
    </row>
    <row r="51" customFormat="false" ht="15" hidden="false" customHeight="false" outlineLevel="0" collapsed="false">
      <c r="A51" s="17" t="n">
        <f aca="false">Credit_M</f>
        <v>20</v>
      </c>
      <c r="B51" s="17" t="n">
        <v>9</v>
      </c>
      <c r="C51" s="17" t="n">
        <v>2</v>
      </c>
      <c r="D51" s="17" t="n">
        <f aca="false">IF($E$9="",1,0)</f>
        <v>1</v>
      </c>
      <c r="E51" s="17" t="n">
        <f aca="false">IF($D$9&lt;&gt;"",$D$9,IF(1&lt;C51,1,0))</f>
        <v>1</v>
      </c>
      <c r="F51" s="17" t="n">
        <f aca="false">IF($E$9&lt;&gt;"",$E$9,IF(2&lt;C51,1,0))</f>
        <v>0</v>
      </c>
      <c r="G51" s="17" t="n">
        <f aca="false">IF($F$9&lt;&gt;"",$F$9,IF(3&lt;C51,1,0))</f>
        <v>0</v>
      </c>
      <c r="H51" s="17" t="n">
        <f aca="false">IF($G$9&lt;&gt;"",$G$9,IF(4&lt;C51,1,0))</f>
        <v>0</v>
      </c>
      <c r="I51" s="17" t="n">
        <f aca="false">IF($H$9&lt;&gt;"",$H$9,IF(5&lt;C51,1,0))</f>
        <v>1</v>
      </c>
      <c r="J51" s="17" t="n">
        <f aca="false">IF($I$9&lt;&gt;"",$I$9,IF(6&lt;C51,1,0))</f>
        <v>0</v>
      </c>
      <c r="K51" s="11" t="n">
        <f aca="false">SUM($E51:E51)</f>
        <v>1</v>
      </c>
      <c r="L51" s="11" t="n">
        <f aca="false">SUM($E51:F51)</f>
        <v>1</v>
      </c>
      <c r="M51" s="11" t="n">
        <f aca="false">SUM($E51:G51)</f>
        <v>1</v>
      </c>
      <c r="N51" s="11" t="n">
        <f aca="false">SUM($E51:H51)</f>
        <v>1</v>
      </c>
      <c r="O51" s="11" t="n">
        <f aca="false">SUM($E51:I51)</f>
        <v>2</v>
      </c>
      <c r="P51" s="11" t="n">
        <f aca="false">SUM($E51:J51)</f>
        <v>2</v>
      </c>
      <c r="Q51" s="12" t="n">
        <f aca="false">IF(1&gt;=C51,POWER(Keep,K51-INDEX(K51:P51,C51)),0)</f>
        <v>0</v>
      </c>
      <c r="R51" s="12" t="n">
        <f aca="false">IF(2&gt;=C51,POWER(Keep,L51-INDEX(K51:P51,C51)),0)</f>
        <v>1</v>
      </c>
      <c r="S51" s="12" t="n">
        <f aca="false">IF(3&gt;=C51,POWER(Keep,M51-INDEX(K51:P51,C51)),0)</f>
        <v>1</v>
      </c>
      <c r="T51" s="12" t="n">
        <f aca="false">IF(4&gt;=C51,POWER(Keep,N51-INDEX(K51:P51,C51)),0)</f>
        <v>1</v>
      </c>
      <c r="U51" s="12" t="n">
        <f aca="false">IF(5&gt;=C51,POWER(Keep,O51-INDEX(K51:P51,C51)),0)</f>
        <v>0.5</v>
      </c>
      <c r="V51" s="12" t="n">
        <f aca="false">IF(6&gt;=C51,POWER(Keep,P51-INDEX(K51:P51,C51)),0)</f>
        <v>0.5</v>
      </c>
      <c r="W51" s="12" t="n">
        <f aca="false">SUM(Q51:V51)+A51*POWER(Keep,P51-INDEX(K51:P51,C51))</f>
        <v>14</v>
      </c>
      <c r="X51" s="12" t="n">
        <f aca="false">MIN(1,MAX(0,LN(Cost_r/(Slope0*W51))/LN(Keep)-INDEX(K51:P51,C51)))</f>
        <v>1</v>
      </c>
      <c r="Y51" s="12" t="n">
        <f aca="false">IF(1=C51,X51,E51)</f>
        <v>1</v>
      </c>
      <c r="Z51" s="12" t="n">
        <f aca="false">IF(2=C51,X51,F51)</f>
        <v>1</v>
      </c>
      <c r="AA51" s="12" t="n">
        <f aca="false">IF(3=C51,X51,G51)</f>
        <v>0</v>
      </c>
      <c r="AB51" s="12" t="n">
        <f aca="false">IF(4=C51,X51,H51)</f>
        <v>0</v>
      </c>
      <c r="AC51" s="12" t="n">
        <f aca="false">IF(5=C51,X51,I51)</f>
        <v>1</v>
      </c>
      <c r="AD51" s="12" t="n">
        <f aca="false">IF(6=C51,X51,J51)</f>
        <v>0</v>
      </c>
      <c r="AE51" s="12" t="n">
        <f aca="false">SUM($Y51:Y51)</f>
        <v>1</v>
      </c>
      <c r="AF51" s="12" t="n">
        <f aca="false">SUM($Y51:Z51)</f>
        <v>2</v>
      </c>
      <c r="AG51" s="12" t="n">
        <f aca="false">SUM($Y51:AA51)</f>
        <v>2</v>
      </c>
      <c r="AH51" s="12" t="n">
        <f aca="false">SUM($Y51:AB51)</f>
        <v>2</v>
      </c>
      <c r="AI51" s="12" t="n">
        <f aca="false">SUM($Y51:AC51)</f>
        <v>3</v>
      </c>
      <c r="AJ51" s="12" t="n">
        <f aca="false">SUM($Y51:AD51)</f>
        <v>3</v>
      </c>
      <c r="AK51" s="14" t="n">
        <f aca="false">Smax*(1-POWER(Keep,AE51))</f>
        <v>70</v>
      </c>
      <c r="AL51" s="14" t="n">
        <f aca="false">Smax*(1-POWER(Keep,AF51))</f>
        <v>105</v>
      </c>
      <c r="AM51" s="14" t="n">
        <f aca="false">Smax*(1-POWER(Keep,AG51))</f>
        <v>105</v>
      </c>
      <c r="AN51" s="14" t="n">
        <f aca="false">Smax*(1-POWER(Keep,AH51))</f>
        <v>105</v>
      </c>
      <c r="AO51" s="14" t="n">
        <f aca="false">Smax*(1-POWER(Keep,AI51))</f>
        <v>122.5</v>
      </c>
      <c r="AP51" s="14" t="n">
        <f aca="false">Smax*(1-POWER(Keep,AJ51))</f>
        <v>122.5</v>
      </c>
      <c r="AQ51" s="19" t="n">
        <f aca="false">IF(D51=1,Cash0+SUM(AK51:AP51)-Cost_r*AJ51+A51*AP51,-1000000000)</f>
        <v>2870</v>
      </c>
    </row>
    <row r="52" customFormat="false" ht="15" hidden="false" customHeight="false" outlineLevel="0" collapsed="false">
      <c r="A52" s="17" t="n">
        <f aca="false">Credit_M</f>
        <v>20</v>
      </c>
      <c r="B52" s="17" t="n">
        <v>9</v>
      </c>
      <c r="C52" s="17" t="n">
        <v>3</v>
      </c>
      <c r="D52" s="17" t="n">
        <f aca="false">IF($F$9="",1,0)</f>
        <v>1</v>
      </c>
      <c r="E52" s="17" t="n">
        <f aca="false">IF($D$9&lt;&gt;"",$D$9,IF(1&lt;C52,1,0))</f>
        <v>1</v>
      </c>
      <c r="F52" s="17" t="n">
        <f aca="false">IF($E$9&lt;&gt;"",$E$9,IF(2&lt;C52,1,0))</f>
        <v>1</v>
      </c>
      <c r="G52" s="17" t="n">
        <f aca="false">IF($F$9&lt;&gt;"",$F$9,IF(3&lt;C52,1,0))</f>
        <v>0</v>
      </c>
      <c r="H52" s="17" t="n">
        <f aca="false">IF($G$9&lt;&gt;"",$G$9,IF(4&lt;C52,1,0))</f>
        <v>0</v>
      </c>
      <c r="I52" s="17" t="n">
        <f aca="false">IF($H$9&lt;&gt;"",$H$9,IF(5&lt;C52,1,0))</f>
        <v>1</v>
      </c>
      <c r="J52" s="17" t="n">
        <f aca="false">IF($I$9&lt;&gt;"",$I$9,IF(6&lt;C52,1,0))</f>
        <v>0</v>
      </c>
      <c r="K52" s="11" t="n">
        <f aca="false">SUM($E52:E52)</f>
        <v>1</v>
      </c>
      <c r="L52" s="11" t="n">
        <f aca="false">SUM($E52:F52)</f>
        <v>2</v>
      </c>
      <c r="M52" s="11" t="n">
        <f aca="false">SUM($E52:G52)</f>
        <v>2</v>
      </c>
      <c r="N52" s="11" t="n">
        <f aca="false">SUM($E52:H52)</f>
        <v>2</v>
      </c>
      <c r="O52" s="11" t="n">
        <f aca="false">SUM($E52:I52)</f>
        <v>3</v>
      </c>
      <c r="P52" s="11" t="n">
        <f aca="false">SUM($E52:J52)</f>
        <v>3</v>
      </c>
      <c r="Q52" s="12" t="n">
        <f aca="false">IF(1&gt;=C52,POWER(Keep,K52-INDEX(K52:P52,C52)),0)</f>
        <v>0</v>
      </c>
      <c r="R52" s="12" t="n">
        <f aca="false">IF(2&gt;=C52,POWER(Keep,L52-INDEX(K52:P52,C52)),0)</f>
        <v>0</v>
      </c>
      <c r="S52" s="12" t="n">
        <f aca="false">IF(3&gt;=C52,POWER(Keep,M52-INDEX(K52:P52,C52)),0)</f>
        <v>1</v>
      </c>
      <c r="T52" s="12" t="n">
        <f aca="false">IF(4&gt;=C52,POWER(Keep,N52-INDEX(K52:P52,C52)),0)</f>
        <v>1</v>
      </c>
      <c r="U52" s="12" t="n">
        <f aca="false">IF(5&gt;=C52,POWER(Keep,O52-INDEX(K52:P52,C52)),0)</f>
        <v>0.5</v>
      </c>
      <c r="V52" s="12" t="n">
        <f aca="false">IF(6&gt;=C52,POWER(Keep,P52-INDEX(K52:P52,C52)),0)</f>
        <v>0.5</v>
      </c>
      <c r="W52" s="12" t="n">
        <f aca="false">SUM(Q52:V52)+A52*POWER(Keep,P52-INDEX(K52:P52,C52))</f>
        <v>13</v>
      </c>
      <c r="X52" s="12" t="n">
        <f aca="false">MIN(1,MAX(0,LN(Cost_r/(Slope0*W52))/LN(Keep)-INDEX(K52:P52,C52)))</f>
        <v>1</v>
      </c>
      <c r="Y52" s="12" t="n">
        <f aca="false">IF(1=C52,X52,E52)</f>
        <v>1</v>
      </c>
      <c r="Z52" s="12" t="n">
        <f aca="false">IF(2=C52,X52,F52)</f>
        <v>1</v>
      </c>
      <c r="AA52" s="12" t="n">
        <f aca="false">IF(3=C52,X52,G52)</f>
        <v>1</v>
      </c>
      <c r="AB52" s="12" t="n">
        <f aca="false">IF(4=C52,X52,H52)</f>
        <v>0</v>
      </c>
      <c r="AC52" s="12" t="n">
        <f aca="false">IF(5=C52,X52,I52)</f>
        <v>1</v>
      </c>
      <c r="AD52" s="12" t="n">
        <f aca="false">IF(6=C52,X52,J52)</f>
        <v>0</v>
      </c>
      <c r="AE52" s="12" t="n">
        <f aca="false">SUM($Y52:Y52)</f>
        <v>1</v>
      </c>
      <c r="AF52" s="12" t="n">
        <f aca="false">SUM($Y52:Z52)</f>
        <v>2</v>
      </c>
      <c r="AG52" s="12" t="n">
        <f aca="false">SUM($Y52:AA52)</f>
        <v>3</v>
      </c>
      <c r="AH52" s="12" t="n">
        <f aca="false">SUM($Y52:AB52)</f>
        <v>3</v>
      </c>
      <c r="AI52" s="12" t="n">
        <f aca="false">SUM($Y52:AC52)</f>
        <v>4</v>
      </c>
      <c r="AJ52" s="12" t="n">
        <f aca="false">SUM($Y52:AD52)</f>
        <v>4</v>
      </c>
      <c r="AK52" s="14" t="n">
        <f aca="false">Smax*(1-POWER(Keep,AE52))</f>
        <v>70</v>
      </c>
      <c r="AL52" s="14" t="n">
        <f aca="false">Smax*(1-POWER(Keep,AF52))</f>
        <v>105</v>
      </c>
      <c r="AM52" s="14" t="n">
        <f aca="false">Smax*(1-POWER(Keep,AG52))</f>
        <v>122.5</v>
      </c>
      <c r="AN52" s="14" t="n">
        <f aca="false">Smax*(1-POWER(Keep,AH52))</f>
        <v>122.5</v>
      </c>
      <c r="AO52" s="14" t="n">
        <f aca="false">Smax*(1-POWER(Keep,AI52))</f>
        <v>131.25</v>
      </c>
      <c r="AP52" s="14" t="n">
        <f aca="false">Smax*(1-POWER(Keep,AJ52))</f>
        <v>131.25</v>
      </c>
      <c r="AQ52" s="19" t="n">
        <f aca="false">IF(D52=1,Cash0+SUM(AK52:AP52)-Cost_r*AJ52+A52*AP52,-1000000000)</f>
        <v>2977.5</v>
      </c>
    </row>
    <row r="53" customFormat="false" ht="15" hidden="false" customHeight="false" outlineLevel="0" collapsed="false">
      <c r="A53" s="17" t="n">
        <f aca="false">Credit_M</f>
        <v>20</v>
      </c>
      <c r="B53" s="17" t="n">
        <v>9</v>
      </c>
      <c r="C53" s="17" t="n">
        <v>4</v>
      </c>
      <c r="D53" s="17" t="n">
        <f aca="false">IF($G$9="",1,0)</f>
        <v>1</v>
      </c>
      <c r="E53" s="17" t="n">
        <f aca="false">IF($D$9&lt;&gt;"",$D$9,IF(1&lt;C53,1,0))</f>
        <v>1</v>
      </c>
      <c r="F53" s="17" t="n">
        <f aca="false">IF($E$9&lt;&gt;"",$E$9,IF(2&lt;C53,1,0))</f>
        <v>1</v>
      </c>
      <c r="G53" s="17" t="n">
        <f aca="false">IF($F$9&lt;&gt;"",$F$9,IF(3&lt;C53,1,0))</f>
        <v>1</v>
      </c>
      <c r="H53" s="17" t="n">
        <f aca="false">IF($G$9&lt;&gt;"",$G$9,IF(4&lt;C53,1,0))</f>
        <v>0</v>
      </c>
      <c r="I53" s="17" t="n">
        <f aca="false">IF($H$9&lt;&gt;"",$H$9,IF(5&lt;C53,1,0))</f>
        <v>1</v>
      </c>
      <c r="J53" s="17" t="n">
        <f aca="false">IF($I$9&lt;&gt;"",$I$9,IF(6&lt;C53,1,0))</f>
        <v>0</v>
      </c>
      <c r="K53" s="11" t="n">
        <f aca="false">SUM($E53:E53)</f>
        <v>1</v>
      </c>
      <c r="L53" s="11" t="n">
        <f aca="false">SUM($E53:F53)</f>
        <v>2</v>
      </c>
      <c r="M53" s="11" t="n">
        <f aca="false">SUM($E53:G53)</f>
        <v>3</v>
      </c>
      <c r="N53" s="11" t="n">
        <f aca="false">SUM($E53:H53)</f>
        <v>3</v>
      </c>
      <c r="O53" s="11" t="n">
        <f aca="false">SUM($E53:I53)</f>
        <v>4</v>
      </c>
      <c r="P53" s="11" t="n">
        <f aca="false">SUM($E53:J53)</f>
        <v>4</v>
      </c>
      <c r="Q53" s="12" t="n">
        <f aca="false">IF(1&gt;=C53,POWER(Keep,K53-INDEX(K53:P53,C53)),0)</f>
        <v>0</v>
      </c>
      <c r="R53" s="12" t="n">
        <f aca="false">IF(2&gt;=C53,POWER(Keep,L53-INDEX(K53:P53,C53)),0)</f>
        <v>0</v>
      </c>
      <c r="S53" s="12" t="n">
        <f aca="false">IF(3&gt;=C53,POWER(Keep,M53-INDEX(K53:P53,C53)),0)</f>
        <v>0</v>
      </c>
      <c r="T53" s="12" t="n">
        <f aca="false">IF(4&gt;=C53,POWER(Keep,N53-INDEX(K53:P53,C53)),0)</f>
        <v>1</v>
      </c>
      <c r="U53" s="12" t="n">
        <f aca="false">IF(5&gt;=C53,POWER(Keep,O53-INDEX(K53:P53,C53)),0)</f>
        <v>0.5</v>
      </c>
      <c r="V53" s="12" t="n">
        <f aca="false">IF(6&gt;=C53,POWER(Keep,P53-INDEX(K53:P53,C53)),0)</f>
        <v>0.5</v>
      </c>
      <c r="W53" s="12" t="n">
        <f aca="false">SUM(Q53:V53)+A53*POWER(Keep,P53-INDEX(K53:P53,C53))</f>
        <v>12</v>
      </c>
      <c r="X53" s="12" t="n">
        <f aca="false">MIN(1,MAX(0,LN(Cost_r/(Slope0*W53))/LN(Keep)-INDEX(K53:P53,C53)))</f>
        <v>0.278588549112706</v>
      </c>
      <c r="Y53" s="12" t="n">
        <f aca="false">IF(1=C53,X53,E53)</f>
        <v>1</v>
      </c>
      <c r="Z53" s="12" t="n">
        <f aca="false">IF(2=C53,X53,F53)</f>
        <v>1</v>
      </c>
      <c r="AA53" s="12" t="n">
        <f aca="false">IF(3=C53,X53,G53)</f>
        <v>1</v>
      </c>
      <c r="AB53" s="12" t="n">
        <f aca="false">IF(4=C53,X53,H53)</f>
        <v>0.278588549112706</v>
      </c>
      <c r="AC53" s="12" t="n">
        <f aca="false">IF(5=C53,X53,I53)</f>
        <v>1</v>
      </c>
      <c r="AD53" s="12" t="n">
        <f aca="false">IF(6=C53,X53,J53)</f>
        <v>0</v>
      </c>
      <c r="AE53" s="12" t="n">
        <f aca="false">SUM($Y53:Y53)</f>
        <v>1</v>
      </c>
      <c r="AF53" s="12" t="n">
        <f aca="false">SUM($Y53:Z53)</f>
        <v>2</v>
      </c>
      <c r="AG53" s="12" t="n">
        <f aca="false">SUM($Y53:AA53)</f>
        <v>3</v>
      </c>
      <c r="AH53" s="12" t="n">
        <f aca="false">SUM($Y53:AB53)</f>
        <v>3.27858854911271</v>
      </c>
      <c r="AI53" s="12" t="n">
        <f aca="false">SUM($Y53:AC53)</f>
        <v>4.27858854911271</v>
      </c>
      <c r="AJ53" s="12" t="n">
        <f aca="false">SUM($Y53:AD53)</f>
        <v>4.27858854911271</v>
      </c>
      <c r="AK53" s="14" t="n">
        <f aca="false">Smax*(1-POWER(Keep,AE53))</f>
        <v>70</v>
      </c>
      <c r="AL53" s="14" t="n">
        <f aca="false">Smax*(1-POWER(Keep,AF53))</f>
        <v>105</v>
      </c>
      <c r="AM53" s="14" t="n">
        <f aca="false">Smax*(1-POWER(Keep,AG53))</f>
        <v>122.5</v>
      </c>
      <c r="AN53" s="14" t="n">
        <f aca="false">Smax*(1-POWER(Keep,AH53))</f>
        <v>125.57304959111</v>
      </c>
      <c r="AO53" s="14" t="n">
        <f aca="false">Smax*(1-POWER(Keep,AI53))</f>
        <v>132.786524795555</v>
      </c>
      <c r="AP53" s="14" t="n">
        <f aca="false">Smax*(1-POWER(Keep,AJ53))</f>
        <v>132.786524795555</v>
      </c>
      <c r="AQ53" s="19" t="n">
        <f aca="false">IF(D53=1,Cash0+SUM(AK53:AP53)-Cost_r*AJ53+A53*AP53,-1000000000)</f>
        <v>2980.9459691998</v>
      </c>
    </row>
    <row r="54" customFormat="false" ht="15" hidden="false" customHeight="false" outlineLevel="0" collapsed="false">
      <c r="A54" s="17" t="n">
        <f aca="false">Credit_M</f>
        <v>20</v>
      </c>
      <c r="B54" s="17" t="n">
        <v>9</v>
      </c>
      <c r="C54" s="17" t="n">
        <v>5</v>
      </c>
      <c r="D54" s="17" t="n">
        <f aca="false">IF($H$9="",1,0)</f>
        <v>0</v>
      </c>
      <c r="E54" s="17" t="n">
        <f aca="false">IF($D$9&lt;&gt;"",$D$9,IF(1&lt;C54,1,0))</f>
        <v>1</v>
      </c>
      <c r="F54" s="17" t="n">
        <f aca="false">IF($E$9&lt;&gt;"",$E$9,IF(2&lt;C54,1,0))</f>
        <v>1</v>
      </c>
      <c r="G54" s="17" t="n">
        <f aca="false">IF($F$9&lt;&gt;"",$F$9,IF(3&lt;C54,1,0))</f>
        <v>1</v>
      </c>
      <c r="H54" s="17" t="n">
        <f aca="false">IF($G$9&lt;&gt;"",$G$9,IF(4&lt;C54,1,0))</f>
        <v>1</v>
      </c>
      <c r="I54" s="17" t="n">
        <f aca="false">IF($H$9&lt;&gt;"",$H$9,IF(5&lt;C54,1,0))</f>
        <v>1</v>
      </c>
      <c r="J54" s="17" t="n">
        <f aca="false">IF($I$9&lt;&gt;"",$I$9,IF(6&lt;C54,1,0))</f>
        <v>0</v>
      </c>
      <c r="K54" s="11" t="n">
        <f aca="false">SUM($E54:E54)</f>
        <v>1</v>
      </c>
      <c r="L54" s="11" t="n">
        <f aca="false">SUM($E54:F54)</f>
        <v>2</v>
      </c>
      <c r="M54" s="11" t="n">
        <f aca="false">SUM($E54:G54)</f>
        <v>3</v>
      </c>
      <c r="N54" s="11" t="n">
        <f aca="false">SUM($E54:H54)</f>
        <v>4</v>
      </c>
      <c r="O54" s="11" t="n">
        <f aca="false">SUM($E54:I54)</f>
        <v>5</v>
      </c>
      <c r="P54" s="11" t="n">
        <f aca="false">SUM($E54:J54)</f>
        <v>5</v>
      </c>
      <c r="Q54" s="12" t="n">
        <f aca="false">IF(1&gt;=C54,POWER(Keep,K54-INDEX(K54:P54,C54)),0)</f>
        <v>0</v>
      </c>
      <c r="R54" s="12" t="n">
        <f aca="false">IF(2&gt;=C54,POWER(Keep,L54-INDEX(K54:P54,C54)),0)</f>
        <v>0</v>
      </c>
      <c r="S54" s="12" t="n">
        <f aca="false">IF(3&gt;=C54,POWER(Keep,M54-INDEX(K54:P54,C54)),0)</f>
        <v>0</v>
      </c>
      <c r="T54" s="12" t="n">
        <f aca="false">IF(4&gt;=C54,POWER(Keep,N54-INDEX(K54:P54,C54)),0)</f>
        <v>0</v>
      </c>
      <c r="U54" s="12" t="n">
        <f aca="false">IF(5&gt;=C54,POWER(Keep,O54-INDEX(K54:P54,C54)),0)</f>
        <v>1</v>
      </c>
      <c r="V54" s="12" t="n">
        <f aca="false">IF(6&gt;=C54,POWER(Keep,P54-INDEX(K54:P54,C54)),0)</f>
        <v>1</v>
      </c>
      <c r="W54" s="12" t="n">
        <f aca="false">SUM(Q54:V54)+A54*POWER(Keep,P54-INDEX(K54:P54,C54))</f>
        <v>22</v>
      </c>
      <c r="X54" s="12" t="n">
        <f aca="false">MIN(1,MAX(0,LN(Cost_r/(Slope0*W54))/LN(Keep)-INDEX(K54:P54,C54)))</f>
        <v>0</v>
      </c>
      <c r="Y54" s="12" t="n">
        <f aca="false">IF(1=C54,X54,E54)</f>
        <v>1</v>
      </c>
      <c r="Z54" s="12" t="n">
        <f aca="false">IF(2=C54,X54,F54)</f>
        <v>1</v>
      </c>
      <c r="AA54" s="12" t="n">
        <f aca="false">IF(3=C54,X54,G54)</f>
        <v>1</v>
      </c>
      <c r="AB54" s="12" t="n">
        <f aca="false">IF(4=C54,X54,H54)</f>
        <v>1</v>
      </c>
      <c r="AC54" s="12" t="n">
        <f aca="false">IF(5=C54,X54,I54)</f>
        <v>0</v>
      </c>
      <c r="AD54" s="12" t="n">
        <f aca="false">IF(6=C54,X54,J54)</f>
        <v>0</v>
      </c>
      <c r="AE54" s="12" t="n">
        <f aca="false">SUM($Y54:Y54)</f>
        <v>1</v>
      </c>
      <c r="AF54" s="12" t="n">
        <f aca="false">SUM($Y54:Z54)</f>
        <v>2</v>
      </c>
      <c r="AG54" s="12" t="n">
        <f aca="false">SUM($Y54:AA54)</f>
        <v>3</v>
      </c>
      <c r="AH54" s="12" t="n">
        <f aca="false">SUM($Y54:AB54)</f>
        <v>4</v>
      </c>
      <c r="AI54" s="12" t="n">
        <f aca="false">SUM($Y54:AC54)</f>
        <v>4</v>
      </c>
      <c r="AJ54" s="12" t="n">
        <f aca="false">SUM($Y54:AD54)</f>
        <v>4</v>
      </c>
      <c r="AK54" s="14" t="n">
        <f aca="false">Smax*(1-POWER(Keep,AE54))</f>
        <v>70</v>
      </c>
      <c r="AL54" s="14" t="n">
        <f aca="false">Smax*(1-POWER(Keep,AF54))</f>
        <v>105</v>
      </c>
      <c r="AM54" s="14" t="n">
        <f aca="false">Smax*(1-POWER(Keep,AG54))</f>
        <v>122.5</v>
      </c>
      <c r="AN54" s="14" t="n">
        <f aca="false">Smax*(1-POWER(Keep,AH54))</f>
        <v>131.25</v>
      </c>
      <c r="AO54" s="14" t="n">
        <f aca="false">Smax*(1-POWER(Keep,AI54))</f>
        <v>131.25</v>
      </c>
      <c r="AP54" s="14" t="n">
        <f aca="false">Smax*(1-POWER(Keep,AJ54))</f>
        <v>131.25</v>
      </c>
      <c r="AQ54" s="19" t="n">
        <f aca="false">IF(D54=1,Cash0+SUM(AK54:AP54)-Cost_r*AJ54+A54*AP54,-1000000000)</f>
        <v>-1000000000</v>
      </c>
    </row>
    <row r="55" customFormat="false" ht="15" hidden="false" customHeight="false" outlineLevel="0" collapsed="false">
      <c r="A55" s="17" t="n">
        <f aca="false">Credit_M</f>
        <v>20</v>
      </c>
      <c r="B55" s="17" t="n">
        <v>9</v>
      </c>
      <c r="C55" s="17" t="n">
        <v>6</v>
      </c>
      <c r="D55" s="17" t="n">
        <f aca="false">IF($I$9="",1,0)</f>
        <v>1</v>
      </c>
      <c r="E55" s="17" t="n">
        <f aca="false">IF($D$9&lt;&gt;"",$D$9,IF(1&lt;C55,1,0))</f>
        <v>1</v>
      </c>
      <c r="F55" s="17" t="n">
        <f aca="false">IF($E$9&lt;&gt;"",$E$9,IF(2&lt;C55,1,0))</f>
        <v>1</v>
      </c>
      <c r="G55" s="17" t="n">
        <f aca="false">IF($F$9&lt;&gt;"",$F$9,IF(3&lt;C55,1,0))</f>
        <v>1</v>
      </c>
      <c r="H55" s="17" t="n">
        <f aca="false">IF($G$9&lt;&gt;"",$G$9,IF(4&lt;C55,1,0))</f>
        <v>1</v>
      </c>
      <c r="I55" s="17" t="n">
        <f aca="false">IF($H$9&lt;&gt;"",$H$9,IF(5&lt;C55,1,0))</f>
        <v>1</v>
      </c>
      <c r="J55" s="17" t="n">
        <f aca="false">IF($I$9&lt;&gt;"",$I$9,IF(6&lt;C55,1,0))</f>
        <v>0</v>
      </c>
      <c r="K55" s="11" t="n">
        <f aca="false">SUM($E55:E55)</f>
        <v>1</v>
      </c>
      <c r="L55" s="11" t="n">
        <f aca="false">SUM($E55:F55)</f>
        <v>2</v>
      </c>
      <c r="M55" s="11" t="n">
        <f aca="false">SUM($E55:G55)</f>
        <v>3</v>
      </c>
      <c r="N55" s="11" t="n">
        <f aca="false">SUM($E55:H55)</f>
        <v>4</v>
      </c>
      <c r="O55" s="11" t="n">
        <f aca="false">SUM($E55:I55)</f>
        <v>5</v>
      </c>
      <c r="P55" s="11" t="n">
        <f aca="false">SUM($E55:J55)</f>
        <v>5</v>
      </c>
      <c r="Q55" s="12" t="n">
        <f aca="false">IF(1&gt;=C55,POWER(Keep,K55-INDEX(K55:P55,C55)),0)</f>
        <v>0</v>
      </c>
      <c r="R55" s="12" t="n">
        <f aca="false">IF(2&gt;=C55,POWER(Keep,L55-INDEX(K55:P55,C55)),0)</f>
        <v>0</v>
      </c>
      <c r="S55" s="12" t="n">
        <f aca="false">IF(3&gt;=C55,POWER(Keep,M55-INDEX(K55:P55,C55)),0)</f>
        <v>0</v>
      </c>
      <c r="T55" s="12" t="n">
        <f aca="false">IF(4&gt;=C55,POWER(Keep,N55-INDEX(K55:P55,C55)),0)</f>
        <v>0</v>
      </c>
      <c r="U55" s="12" t="n">
        <f aca="false">IF(5&gt;=C55,POWER(Keep,O55-INDEX(K55:P55,C55)),0)</f>
        <v>0</v>
      </c>
      <c r="V55" s="12" t="n">
        <f aca="false">IF(6&gt;=C55,POWER(Keep,P55-INDEX(K55:P55,C55)),0)</f>
        <v>1</v>
      </c>
      <c r="W55" s="12" t="n">
        <f aca="false">SUM(Q55:V55)+A55*POWER(Keep,P55-INDEX(K55:P55,C55))</f>
        <v>21</v>
      </c>
      <c r="X55" s="12" t="n">
        <f aca="false">MIN(1,MAX(0,LN(Cost_r/(Slope0*W55))/LN(Keep)-INDEX(K55:P55,C55)))</f>
        <v>0</v>
      </c>
      <c r="Y55" s="12" t="n">
        <f aca="false">IF(1=C55,X55,E55)</f>
        <v>1</v>
      </c>
      <c r="Z55" s="12" t="n">
        <f aca="false">IF(2=C55,X55,F55)</f>
        <v>1</v>
      </c>
      <c r="AA55" s="12" t="n">
        <f aca="false">IF(3=C55,X55,G55)</f>
        <v>1</v>
      </c>
      <c r="AB55" s="12" t="n">
        <f aca="false">IF(4=C55,X55,H55)</f>
        <v>1</v>
      </c>
      <c r="AC55" s="12" t="n">
        <f aca="false">IF(5=C55,X55,I55)</f>
        <v>1</v>
      </c>
      <c r="AD55" s="12" t="n">
        <f aca="false">IF(6=C55,X55,J55)</f>
        <v>0</v>
      </c>
      <c r="AE55" s="12" t="n">
        <f aca="false">SUM($Y55:Y55)</f>
        <v>1</v>
      </c>
      <c r="AF55" s="12" t="n">
        <f aca="false">SUM($Y55:Z55)</f>
        <v>2</v>
      </c>
      <c r="AG55" s="12" t="n">
        <f aca="false">SUM($Y55:AA55)</f>
        <v>3</v>
      </c>
      <c r="AH55" s="12" t="n">
        <f aca="false">SUM($Y55:AB55)</f>
        <v>4</v>
      </c>
      <c r="AI55" s="12" t="n">
        <f aca="false">SUM($Y55:AC55)</f>
        <v>5</v>
      </c>
      <c r="AJ55" s="12" t="n">
        <f aca="false">SUM($Y55:AD55)</f>
        <v>5</v>
      </c>
      <c r="AK55" s="14" t="n">
        <f aca="false">Smax*(1-POWER(Keep,AE55))</f>
        <v>70</v>
      </c>
      <c r="AL55" s="14" t="n">
        <f aca="false">Smax*(1-POWER(Keep,AF55))</f>
        <v>105</v>
      </c>
      <c r="AM55" s="14" t="n">
        <f aca="false">Smax*(1-POWER(Keep,AG55))</f>
        <v>122.5</v>
      </c>
      <c r="AN55" s="14" t="n">
        <f aca="false">Smax*(1-POWER(Keep,AH55))</f>
        <v>131.25</v>
      </c>
      <c r="AO55" s="14" t="n">
        <f aca="false">Smax*(1-POWER(Keep,AI55))</f>
        <v>135.625</v>
      </c>
      <c r="AP55" s="14" t="n">
        <f aca="false">Smax*(1-POWER(Keep,AJ55))</f>
        <v>135.625</v>
      </c>
      <c r="AQ55" s="19" t="n">
        <f aca="false">IF(D55=1,Cash0+SUM(AK55:AP55)-Cost_r*AJ55+A55*AP55,-1000000000)</f>
        <v>2962.5</v>
      </c>
    </row>
    <row r="56" customFormat="false" ht="15" hidden="false" customHeight="false" outlineLevel="0" collapsed="false">
      <c r="A56" s="17" t="n">
        <f aca="false">Credit_10</f>
        <v>10</v>
      </c>
      <c r="B56" s="17" t="n">
        <v>13</v>
      </c>
      <c r="C56" s="17" t="n">
        <v>1</v>
      </c>
      <c r="D56" s="17" t="n">
        <f aca="false">IF($D$13="",1,0)</f>
        <v>1</v>
      </c>
      <c r="E56" s="17" t="n">
        <f aca="false">IF($D$13&lt;&gt;"",$D$13,IF(1&lt;C56,1,0))</f>
        <v>0</v>
      </c>
      <c r="F56" s="17" t="n">
        <f aca="false">IF($E$13&lt;&gt;"",$E$13,IF(2&lt;C56,1,0))</f>
        <v>0</v>
      </c>
      <c r="G56" s="17" t="n">
        <f aca="false">IF($F$13&lt;&gt;"",$F$13,IF(3&lt;C56,1,0))</f>
        <v>0</v>
      </c>
      <c r="H56" s="17" t="n">
        <f aca="false">IF($G$13&lt;&gt;"",$G$13,IF(4&lt;C56,1,0))</f>
        <v>0</v>
      </c>
      <c r="I56" s="17" t="n">
        <f aca="false">IF($H$13&lt;&gt;"",$H$13,IF(5&lt;C56,1,0))</f>
        <v>0</v>
      </c>
      <c r="J56" s="17" t="n">
        <f aca="false">IF($I$13&lt;&gt;"",$I$13,IF(6&lt;C56,1,0))</f>
        <v>0</v>
      </c>
      <c r="K56" s="11" t="n">
        <f aca="false">SUM($E56:E56)</f>
        <v>0</v>
      </c>
      <c r="L56" s="11" t="n">
        <f aca="false">SUM($E56:F56)</f>
        <v>0</v>
      </c>
      <c r="M56" s="11" t="n">
        <f aca="false">SUM($E56:G56)</f>
        <v>0</v>
      </c>
      <c r="N56" s="11" t="n">
        <f aca="false">SUM($E56:H56)</f>
        <v>0</v>
      </c>
      <c r="O56" s="11" t="n">
        <f aca="false">SUM($E56:I56)</f>
        <v>0</v>
      </c>
      <c r="P56" s="11" t="n">
        <f aca="false">SUM($E56:J56)</f>
        <v>0</v>
      </c>
      <c r="Q56" s="12" t="n">
        <f aca="false">IF(1&gt;=C56,POWER(Keep,K56-INDEX(K56:P56,C56)),0)</f>
        <v>1</v>
      </c>
      <c r="R56" s="12" t="n">
        <f aca="false">IF(2&gt;=C56,POWER(Keep,L56-INDEX(K56:P56,C56)),0)</f>
        <v>1</v>
      </c>
      <c r="S56" s="12" t="n">
        <f aca="false">IF(3&gt;=C56,POWER(Keep,M56-INDEX(K56:P56,C56)),0)</f>
        <v>1</v>
      </c>
      <c r="T56" s="12" t="n">
        <f aca="false">IF(4&gt;=C56,POWER(Keep,N56-INDEX(K56:P56,C56)),0)</f>
        <v>1</v>
      </c>
      <c r="U56" s="12" t="n">
        <f aca="false">IF(5&gt;=C56,POWER(Keep,O56-INDEX(K56:P56,C56)),0)</f>
        <v>1</v>
      </c>
      <c r="V56" s="12" t="n">
        <f aca="false">IF(6&gt;=C56,POWER(Keep,P56-INDEX(K56:P56,C56)),0)</f>
        <v>1</v>
      </c>
      <c r="W56" s="12" t="n">
        <f aca="false">SUM(Q56:V56)+A56*POWER(Keep,P56-INDEX(K56:P56,C56))</f>
        <v>16</v>
      </c>
      <c r="X56" s="12" t="n">
        <f aca="false">MIN(1,MAX(0,LN(Cost_r/(Slope0*W56))/LN(Keep)-INDEX(K56:P56,C56)))</f>
        <v>1</v>
      </c>
      <c r="Y56" s="12" t="n">
        <f aca="false">IF(1=C56,X56,E56)</f>
        <v>1</v>
      </c>
      <c r="Z56" s="12" t="n">
        <f aca="false">IF(2=C56,X56,F56)</f>
        <v>0</v>
      </c>
      <c r="AA56" s="12" t="n">
        <f aca="false">IF(3=C56,X56,G56)</f>
        <v>0</v>
      </c>
      <c r="AB56" s="12" t="n">
        <f aca="false">IF(4=C56,X56,H56)</f>
        <v>0</v>
      </c>
      <c r="AC56" s="12" t="n">
        <f aca="false">IF(5=C56,X56,I56)</f>
        <v>0</v>
      </c>
      <c r="AD56" s="12" t="n">
        <f aca="false">IF(6=C56,X56,J56)</f>
        <v>0</v>
      </c>
      <c r="AE56" s="12" t="n">
        <f aca="false">SUM($Y56:Y56)</f>
        <v>1</v>
      </c>
      <c r="AF56" s="12" t="n">
        <f aca="false">SUM($Y56:Z56)</f>
        <v>1</v>
      </c>
      <c r="AG56" s="12" t="n">
        <f aca="false">SUM($Y56:AA56)</f>
        <v>1</v>
      </c>
      <c r="AH56" s="12" t="n">
        <f aca="false">SUM($Y56:AB56)</f>
        <v>1</v>
      </c>
      <c r="AI56" s="12" t="n">
        <f aca="false">SUM($Y56:AC56)</f>
        <v>1</v>
      </c>
      <c r="AJ56" s="12" t="n">
        <f aca="false">SUM($Y56:AD56)</f>
        <v>1</v>
      </c>
      <c r="AK56" s="14" t="n">
        <f aca="false">Smax*(1-POWER(Keep,AE56))</f>
        <v>70</v>
      </c>
      <c r="AL56" s="14" t="n">
        <f aca="false">Smax*(1-POWER(Keep,AF56))</f>
        <v>70</v>
      </c>
      <c r="AM56" s="14" t="n">
        <f aca="false">Smax*(1-POWER(Keep,AG56))</f>
        <v>70</v>
      </c>
      <c r="AN56" s="14" t="n">
        <f aca="false">Smax*(1-POWER(Keep,AH56))</f>
        <v>70</v>
      </c>
      <c r="AO56" s="14" t="n">
        <f aca="false">Smax*(1-POWER(Keep,AI56))</f>
        <v>70</v>
      </c>
      <c r="AP56" s="14" t="n">
        <f aca="false">Smax*(1-POWER(Keep,AJ56))</f>
        <v>70</v>
      </c>
      <c r="AQ56" s="19" t="n">
        <f aca="false">IF(D56=1,Cash0+SUM(AK56:AP56)-Cost_r*AJ56+A56*AP56,-1000000000)</f>
        <v>1150</v>
      </c>
    </row>
    <row r="57" customFormat="false" ht="15" hidden="false" customHeight="false" outlineLevel="0" collapsed="false">
      <c r="A57" s="17" t="n">
        <f aca="false">Credit_10</f>
        <v>10</v>
      </c>
      <c r="B57" s="17" t="n">
        <v>13</v>
      </c>
      <c r="C57" s="17" t="n">
        <v>2</v>
      </c>
      <c r="D57" s="17" t="n">
        <f aca="false">IF($E$13="",1,0)</f>
        <v>1</v>
      </c>
      <c r="E57" s="17" t="n">
        <f aca="false">IF($D$13&lt;&gt;"",$D$13,IF(1&lt;C57,1,0))</f>
        <v>1</v>
      </c>
      <c r="F57" s="17" t="n">
        <f aca="false">IF($E$13&lt;&gt;"",$E$13,IF(2&lt;C57,1,0))</f>
        <v>0</v>
      </c>
      <c r="G57" s="17" t="n">
        <f aca="false">IF($F$13&lt;&gt;"",$F$13,IF(3&lt;C57,1,0))</f>
        <v>0</v>
      </c>
      <c r="H57" s="17" t="n">
        <f aca="false">IF($G$13&lt;&gt;"",$G$13,IF(4&lt;C57,1,0))</f>
        <v>0</v>
      </c>
      <c r="I57" s="17" t="n">
        <f aca="false">IF($H$13&lt;&gt;"",$H$13,IF(5&lt;C57,1,0))</f>
        <v>0</v>
      </c>
      <c r="J57" s="17" t="n">
        <f aca="false">IF($I$13&lt;&gt;"",$I$13,IF(6&lt;C57,1,0))</f>
        <v>0</v>
      </c>
      <c r="K57" s="11" t="n">
        <f aca="false">SUM($E57:E57)</f>
        <v>1</v>
      </c>
      <c r="L57" s="11" t="n">
        <f aca="false">SUM($E57:F57)</f>
        <v>1</v>
      </c>
      <c r="M57" s="11" t="n">
        <f aca="false">SUM($E57:G57)</f>
        <v>1</v>
      </c>
      <c r="N57" s="11" t="n">
        <f aca="false">SUM($E57:H57)</f>
        <v>1</v>
      </c>
      <c r="O57" s="11" t="n">
        <f aca="false">SUM($E57:I57)</f>
        <v>1</v>
      </c>
      <c r="P57" s="11" t="n">
        <f aca="false">SUM($E57:J57)</f>
        <v>1</v>
      </c>
      <c r="Q57" s="12" t="n">
        <f aca="false">IF(1&gt;=C57,POWER(Keep,K57-INDEX(K57:P57,C57)),0)</f>
        <v>0</v>
      </c>
      <c r="R57" s="12" t="n">
        <f aca="false">IF(2&gt;=C57,POWER(Keep,L57-INDEX(K57:P57,C57)),0)</f>
        <v>1</v>
      </c>
      <c r="S57" s="12" t="n">
        <f aca="false">IF(3&gt;=C57,POWER(Keep,M57-INDEX(K57:P57,C57)),0)</f>
        <v>1</v>
      </c>
      <c r="T57" s="12" t="n">
        <f aca="false">IF(4&gt;=C57,POWER(Keep,N57-INDEX(K57:P57,C57)),0)</f>
        <v>1</v>
      </c>
      <c r="U57" s="12" t="n">
        <f aca="false">IF(5&gt;=C57,POWER(Keep,O57-INDEX(K57:P57,C57)),0)</f>
        <v>1</v>
      </c>
      <c r="V57" s="12" t="n">
        <f aca="false">IF(6&gt;=C57,POWER(Keep,P57-INDEX(K57:P57,C57)),0)</f>
        <v>1</v>
      </c>
      <c r="W57" s="12" t="n">
        <f aca="false">SUM(Q57:V57)+A57*POWER(Keep,P57-INDEX(K57:P57,C57))</f>
        <v>15</v>
      </c>
      <c r="X57" s="12" t="n">
        <f aca="false">MIN(1,MAX(0,LN(Cost_r/(Slope0*W57))/LN(Keep)-INDEX(K57:P57,C57)))</f>
        <v>1</v>
      </c>
      <c r="Y57" s="12" t="n">
        <f aca="false">IF(1=C57,X57,E57)</f>
        <v>1</v>
      </c>
      <c r="Z57" s="12" t="n">
        <f aca="false">IF(2=C57,X57,F57)</f>
        <v>1</v>
      </c>
      <c r="AA57" s="12" t="n">
        <f aca="false">IF(3=C57,X57,G57)</f>
        <v>0</v>
      </c>
      <c r="AB57" s="12" t="n">
        <f aca="false">IF(4=C57,X57,H57)</f>
        <v>0</v>
      </c>
      <c r="AC57" s="12" t="n">
        <f aca="false">IF(5=C57,X57,I57)</f>
        <v>0</v>
      </c>
      <c r="AD57" s="12" t="n">
        <f aca="false">IF(6=C57,X57,J57)</f>
        <v>0</v>
      </c>
      <c r="AE57" s="12" t="n">
        <f aca="false">SUM($Y57:Y57)</f>
        <v>1</v>
      </c>
      <c r="AF57" s="12" t="n">
        <f aca="false">SUM($Y57:Z57)</f>
        <v>2</v>
      </c>
      <c r="AG57" s="12" t="n">
        <f aca="false">SUM($Y57:AA57)</f>
        <v>2</v>
      </c>
      <c r="AH57" s="12" t="n">
        <f aca="false">SUM($Y57:AB57)</f>
        <v>2</v>
      </c>
      <c r="AI57" s="12" t="n">
        <f aca="false">SUM($Y57:AC57)</f>
        <v>2</v>
      </c>
      <c r="AJ57" s="12" t="n">
        <f aca="false">SUM($Y57:AD57)</f>
        <v>2</v>
      </c>
      <c r="AK57" s="14" t="n">
        <f aca="false">Smax*(1-POWER(Keep,AE57))</f>
        <v>70</v>
      </c>
      <c r="AL57" s="14" t="n">
        <f aca="false">Smax*(1-POWER(Keep,AF57))</f>
        <v>105</v>
      </c>
      <c r="AM57" s="14" t="n">
        <f aca="false">Smax*(1-POWER(Keep,AG57))</f>
        <v>105</v>
      </c>
      <c r="AN57" s="14" t="n">
        <f aca="false">Smax*(1-POWER(Keep,AH57))</f>
        <v>105</v>
      </c>
      <c r="AO57" s="14" t="n">
        <f aca="false">Smax*(1-POWER(Keep,AI57))</f>
        <v>105</v>
      </c>
      <c r="AP57" s="14" t="n">
        <f aca="false">Smax*(1-POWER(Keep,AJ57))</f>
        <v>105</v>
      </c>
      <c r="AQ57" s="19" t="n">
        <f aca="false">IF(D57=1,Cash0+SUM(AK57:AP57)-Cost_r*AJ57+A57*AP57,-1000000000)</f>
        <v>1555</v>
      </c>
    </row>
    <row r="58" customFormat="false" ht="15" hidden="false" customHeight="false" outlineLevel="0" collapsed="false">
      <c r="A58" s="17" t="n">
        <f aca="false">Credit_10</f>
        <v>10</v>
      </c>
      <c r="B58" s="17" t="n">
        <v>13</v>
      </c>
      <c r="C58" s="17" t="n">
        <v>3</v>
      </c>
      <c r="D58" s="17" t="n">
        <f aca="false">IF($F$13="",1,0)</f>
        <v>1</v>
      </c>
      <c r="E58" s="17" t="n">
        <f aca="false">IF($D$13&lt;&gt;"",$D$13,IF(1&lt;C58,1,0))</f>
        <v>1</v>
      </c>
      <c r="F58" s="17" t="n">
        <f aca="false">IF($E$13&lt;&gt;"",$E$13,IF(2&lt;C58,1,0))</f>
        <v>1</v>
      </c>
      <c r="G58" s="17" t="n">
        <f aca="false">IF($F$13&lt;&gt;"",$F$13,IF(3&lt;C58,1,0))</f>
        <v>0</v>
      </c>
      <c r="H58" s="17" t="n">
        <f aca="false">IF($G$13&lt;&gt;"",$G$13,IF(4&lt;C58,1,0))</f>
        <v>0</v>
      </c>
      <c r="I58" s="17" t="n">
        <f aca="false">IF($H$13&lt;&gt;"",$H$13,IF(5&lt;C58,1,0))</f>
        <v>0</v>
      </c>
      <c r="J58" s="17" t="n">
        <f aca="false">IF($I$13&lt;&gt;"",$I$13,IF(6&lt;C58,1,0))</f>
        <v>0</v>
      </c>
      <c r="K58" s="11" t="n">
        <f aca="false">SUM($E58:E58)</f>
        <v>1</v>
      </c>
      <c r="L58" s="11" t="n">
        <f aca="false">SUM($E58:F58)</f>
        <v>2</v>
      </c>
      <c r="M58" s="11" t="n">
        <f aca="false">SUM($E58:G58)</f>
        <v>2</v>
      </c>
      <c r="N58" s="11" t="n">
        <f aca="false">SUM($E58:H58)</f>
        <v>2</v>
      </c>
      <c r="O58" s="11" t="n">
        <f aca="false">SUM($E58:I58)</f>
        <v>2</v>
      </c>
      <c r="P58" s="11" t="n">
        <f aca="false">SUM($E58:J58)</f>
        <v>2</v>
      </c>
      <c r="Q58" s="12" t="n">
        <f aca="false">IF(1&gt;=C58,POWER(Keep,K58-INDEX(K58:P58,C58)),0)</f>
        <v>0</v>
      </c>
      <c r="R58" s="12" t="n">
        <f aca="false">IF(2&gt;=C58,POWER(Keep,L58-INDEX(K58:P58,C58)),0)</f>
        <v>0</v>
      </c>
      <c r="S58" s="12" t="n">
        <f aca="false">IF(3&gt;=C58,POWER(Keep,M58-INDEX(K58:P58,C58)),0)</f>
        <v>1</v>
      </c>
      <c r="T58" s="12" t="n">
        <f aca="false">IF(4&gt;=C58,POWER(Keep,N58-INDEX(K58:P58,C58)),0)</f>
        <v>1</v>
      </c>
      <c r="U58" s="12" t="n">
        <f aca="false">IF(5&gt;=C58,POWER(Keep,O58-INDEX(K58:P58,C58)),0)</f>
        <v>1</v>
      </c>
      <c r="V58" s="12" t="n">
        <f aca="false">IF(6&gt;=C58,POWER(Keep,P58-INDEX(K58:P58,C58)),0)</f>
        <v>1</v>
      </c>
      <c r="W58" s="12" t="n">
        <f aca="false">SUM(Q58:V58)+A58*POWER(Keep,P58-INDEX(K58:P58,C58))</f>
        <v>14</v>
      </c>
      <c r="X58" s="12" t="n">
        <f aca="false">MIN(1,MAX(0,LN(Cost_r/(Slope0*W58))/LN(Keep)-INDEX(K58:P58,C58)))</f>
        <v>1</v>
      </c>
      <c r="Y58" s="12" t="n">
        <f aca="false">IF(1=C58,X58,E58)</f>
        <v>1</v>
      </c>
      <c r="Z58" s="12" t="n">
        <f aca="false">IF(2=C58,X58,F58)</f>
        <v>1</v>
      </c>
      <c r="AA58" s="12" t="n">
        <f aca="false">IF(3=C58,X58,G58)</f>
        <v>1</v>
      </c>
      <c r="AB58" s="12" t="n">
        <f aca="false">IF(4=C58,X58,H58)</f>
        <v>0</v>
      </c>
      <c r="AC58" s="12" t="n">
        <f aca="false">IF(5=C58,X58,I58)</f>
        <v>0</v>
      </c>
      <c r="AD58" s="12" t="n">
        <f aca="false">IF(6=C58,X58,J58)</f>
        <v>0</v>
      </c>
      <c r="AE58" s="12" t="n">
        <f aca="false">SUM($Y58:Y58)</f>
        <v>1</v>
      </c>
      <c r="AF58" s="12" t="n">
        <f aca="false">SUM($Y58:Z58)</f>
        <v>2</v>
      </c>
      <c r="AG58" s="12" t="n">
        <f aca="false">SUM($Y58:AA58)</f>
        <v>3</v>
      </c>
      <c r="AH58" s="12" t="n">
        <f aca="false">SUM($Y58:AB58)</f>
        <v>3</v>
      </c>
      <c r="AI58" s="12" t="n">
        <f aca="false">SUM($Y58:AC58)</f>
        <v>3</v>
      </c>
      <c r="AJ58" s="12" t="n">
        <f aca="false">SUM($Y58:AD58)</f>
        <v>3</v>
      </c>
      <c r="AK58" s="14" t="n">
        <f aca="false">Smax*(1-POWER(Keep,AE58))</f>
        <v>70</v>
      </c>
      <c r="AL58" s="14" t="n">
        <f aca="false">Smax*(1-POWER(Keep,AF58))</f>
        <v>105</v>
      </c>
      <c r="AM58" s="14" t="n">
        <f aca="false">Smax*(1-POWER(Keep,AG58))</f>
        <v>122.5</v>
      </c>
      <c r="AN58" s="14" t="n">
        <f aca="false">Smax*(1-POWER(Keep,AH58))</f>
        <v>122.5</v>
      </c>
      <c r="AO58" s="14" t="n">
        <f aca="false">Smax*(1-POWER(Keep,AI58))</f>
        <v>122.5</v>
      </c>
      <c r="AP58" s="14" t="n">
        <f aca="false">Smax*(1-POWER(Keep,AJ58))</f>
        <v>122.5</v>
      </c>
      <c r="AQ58" s="19" t="n">
        <f aca="false">IF(D58=1,Cash0+SUM(AK58:AP58)-Cost_r*AJ58+A58*AP58,-1000000000)</f>
        <v>1680</v>
      </c>
    </row>
    <row r="59" customFormat="false" ht="15" hidden="false" customHeight="false" outlineLevel="0" collapsed="false">
      <c r="A59" s="17" t="n">
        <f aca="false">Credit_10</f>
        <v>10</v>
      </c>
      <c r="B59" s="17" t="n">
        <v>13</v>
      </c>
      <c r="C59" s="17" t="n">
        <v>4</v>
      </c>
      <c r="D59" s="17" t="n">
        <f aca="false">IF($G$13="",1,0)</f>
        <v>1</v>
      </c>
      <c r="E59" s="17" t="n">
        <f aca="false">IF($D$13&lt;&gt;"",$D$13,IF(1&lt;C59,1,0))</f>
        <v>1</v>
      </c>
      <c r="F59" s="17" t="n">
        <f aca="false">IF($E$13&lt;&gt;"",$E$13,IF(2&lt;C59,1,0))</f>
        <v>1</v>
      </c>
      <c r="G59" s="17" t="n">
        <f aca="false">IF($F$13&lt;&gt;"",$F$13,IF(3&lt;C59,1,0))</f>
        <v>1</v>
      </c>
      <c r="H59" s="17" t="n">
        <f aca="false">IF($G$13&lt;&gt;"",$G$13,IF(4&lt;C59,1,0))</f>
        <v>0</v>
      </c>
      <c r="I59" s="17" t="n">
        <f aca="false">IF($H$13&lt;&gt;"",$H$13,IF(5&lt;C59,1,0))</f>
        <v>0</v>
      </c>
      <c r="J59" s="17" t="n">
        <f aca="false">IF($I$13&lt;&gt;"",$I$13,IF(6&lt;C59,1,0))</f>
        <v>0</v>
      </c>
      <c r="K59" s="11" t="n">
        <f aca="false">SUM($E59:E59)</f>
        <v>1</v>
      </c>
      <c r="L59" s="11" t="n">
        <f aca="false">SUM($E59:F59)</f>
        <v>2</v>
      </c>
      <c r="M59" s="11" t="n">
        <f aca="false">SUM($E59:G59)</f>
        <v>3</v>
      </c>
      <c r="N59" s="11" t="n">
        <f aca="false">SUM($E59:H59)</f>
        <v>3</v>
      </c>
      <c r="O59" s="11" t="n">
        <f aca="false">SUM($E59:I59)</f>
        <v>3</v>
      </c>
      <c r="P59" s="11" t="n">
        <f aca="false">SUM($E59:J59)</f>
        <v>3</v>
      </c>
      <c r="Q59" s="12" t="n">
        <f aca="false">IF(1&gt;=C59,POWER(Keep,K59-INDEX(K59:P59,C59)),0)</f>
        <v>0</v>
      </c>
      <c r="R59" s="12" t="n">
        <f aca="false">IF(2&gt;=C59,POWER(Keep,L59-INDEX(K59:P59,C59)),0)</f>
        <v>0</v>
      </c>
      <c r="S59" s="12" t="n">
        <f aca="false">IF(3&gt;=C59,POWER(Keep,M59-INDEX(K59:P59,C59)),0)</f>
        <v>0</v>
      </c>
      <c r="T59" s="12" t="n">
        <f aca="false">IF(4&gt;=C59,POWER(Keep,N59-INDEX(K59:P59,C59)),0)</f>
        <v>1</v>
      </c>
      <c r="U59" s="12" t="n">
        <f aca="false">IF(5&gt;=C59,POWER(Keep,O59-INDEX(K59:P59,C59)),0)</f>
        <v>1</v>
      </c>
      <c r="V59" s="12" t="n">
        <f aca="false">IF(6&gt;=C59,POWER(Keep,P59-INDEX(K59:P59,C59)),0)</f>
        <v>1</v>
      </c>
      <c r="W59" s="12" t="n">
        <f aca="false">SUM(Q59:V59)+A59*POWER(Keep,P59-INDEX(K59:P59,C59))</f>
        <v>13</v>
      </c>
      <c r="X59" s="12" t="n">
        <f aca="false">MIN(1,MAX(0,LN(Cost_r/(Slope0*W59))/LN(Keep)-INDEX(K59:P59,C59)))</f>
        <v>0.394065766532643</v>
      </c>
      <c r="Y59" s="12" t="n">
        <f aca="false">IF(1=C59,X59,E59)</f>
        <v>1</v>
      </c>
      <c r="Z59" s="12" t="n">
        <f aca="false">IF(2=C59,X59,F59)</f>
        <v>1</v>
      </c>
      <c r="AA59" s="12" t="n">
        <f aca="false">IF(3=C59,X59,G59)</f>
        <v>1</v>
      </c>
      <c r="AB59" s="12" t="n">
        <f aca="false">IF(4=C59,X59,H59)</f>
        <v>0.394065766532643</v>
      </c>
      <c r="AC59" s="12" t="n">
        <f aca="false">IF(5=C59,X59,I59)</f>
        <v>0</v>
      </c>
      <c r="AD59" s="12" t="n">
        <f aca="false">IF(6=C59,X59,J59)</f>
        <v>0</v>
      </c>
      <c r="AE59" s="12" t="n">
        <f aca="false">SUM($Y59:Y59)</f>
        <v>1</v>
      </c>
      <c r="AF59" s="12" t="n">
        <f aca="false">SUM($Y59:Z59)</f>
        <v>2</v>
      </c>
      <c r="AG59" s="12" t="n">
        <f aca="false">SUM($Y59:AA59)</f>
        <v>3</v>
      </c>
      <c r="AH59" s="12" t="n">
        <f aca="false">SUM($Y59:AB59)</f>
        <v>3.39406576653264</v>
      </c>
      <c r="AI59" s="12" t="n">
        <f aca="false">SUM($Y59:AC59)</f>
        <v>3.39406576653264</v>
      </c>
      <c r="AJ59" s="12" t="n">
        <f aca="false">SUM($Y59:AD59)</f>
        <v>3.39406576653264</v>
      </c>
      <c r="AK59" s="14" t="n">
        <f aca="false">Smax*(1-POWER(Keep,AE59))</f>
        <v>70</v>
      </c>
      <c r="AL59" s="14" t="n">
        <f aca="false">Smax*(1-POWER(Keep,AF59))</f>
        <v>105</v>
      </c>
      <c r="AM59" s="14" t="n">
        <f aca="false">Smax*(1-POWER(Keep,AG59))</f>
        <v>122.5</v>
      </c>
      <c r="AN59" s="14" t="n">
        <f aca="false">Smax*(1-POWER(Keep,AH59))</f>
        <v>126.682815007179</v>
      </c>
      <c r="AO59" s="14" t="n">
        <f aca="false">Smax*(1-POWER(Keep,AI59))</f>
        <v>126.682815007179</v>
      </c>
      <c r="AP59" s="14" t="n">
        <f aca="false">Smax*(1-POWER(Keep,AJ59))</f>
        <v>126.682815007179</v>
      </c>
      <c r="AQ59" s="19" t="n">
        <f aca="false">IF(D59=1,Cash0+SUM(AK59:AP59)-Cost_r*AJ59+A59*AP59,-1000000000)</f>
        <v>1687.08870310941</v>
      </c>
    </row>
    <row r="60" customFormat="false" ht="15" hidden="false" customHeight="false" outlineLevel="0" collapsed="false">
      <c r="A60" s="17" t="n">
        <f aca="false">Credit_10</f>
        <v>10</v>
      </c>
      <c r="B60" s="17" t="n">
        <v>13</v>
      </c>
      <c r="C60" s="17" t="n">
        <v>5</v>
      </c>
      <c r="D60" s="17" t="n">
        <f aca="false">IF($H$13="",1,0)</f>
        <v>1</v>
      </c>
      <c r="E60" s="17" t="n">
        <f aca="false">IF($D$13&lt;&gt;"",$D$13,IF(1&lt;C60,1,0))</f>
        <v>1</v>
      </c>
      <c r="F60" s="17" t="n">
        <f aca="false">IF($E$13&lt;&gt;"",$E$13,IF(2&lt;C60,1,0))</f>
        <v>1</v>
      </c>
      <c r="G60" s="17" t="n">
        <f aca="false">IF($F$13&lt;&gt;"",$F$13,IF(3&lt;C60,1,0))</f>
        <v>1</v>
      </c>
      <c r="H60" s="17" t="n">
        <f aca="false">IF($G$13&lt;&gt;"",$G$13,IF(4&lt;C60,1,0))</f>
        <v>1</v>
      </c>
      <c r="I60" s="17" t="n">
        <f aca="false">IF($H$13&lt;&gt;"",$H$13,IF(5&lt;C60,1,0))</f>
        <v>0</v>
      </c>
      <c r="J60" s="17" t="n">
        <f aca="false">IF($I$13&lt;&gt;"",$I$13,IF(6&lt;C60,1,0))</f>
        <v>0</v>
      </c>
      <c r="K60" s="11" t="n">
        <f aca="false">SUM($E60:E60)</f>
        <v>1</v>
      </c>
      <c r="L60" s="11" t="n">
        <f aca="false">SUM($E60:F60)</f>
        <v>2</v>
      </c>
      <c r="M60" s="11" t="n">
        <f aca="false">SUM($E60:G60)</f>
        <v>3</v>
      </c>
      <c r="N60" s="11" t="n">
        <f aca="false">SUM($E60:H60)</f>
        <v>4</v>
      </c>
      <c r="O60" s="11" t="n">
        <f aca="false">SUM($E60:I60)</f>
        <v>4</v>
      </c>
      <c r="P60" s="11" t="n">
        <f aca="false">SUM($E60:J60)</f>
        <v>4</v>
      </c>
      <c r="Q60" s="12" t="n">
        <f aca="false">IF(1&gt;=C60,POWER(Keep,K60-INDEX(K60:P60,C60)),0)</f>
        <v>0</v>
      </c>
      <c r="R60" s="12" t="n">
        <f aca="false">IF(2&gt;=C60,POWER(Keep,L60-INDEX(K60:P60,C60)),0)</f>
        <v>0</v>
      </c>
      <c r="S60" s="12" t="n">
        <f aca="false">IF(3&gt;=C60,POWER(Keep,M60-INDEX(K60:P60,C60)),0)</f>
        <v>0</v>
      </c>
      <c r="T60" s="12" t="n">
        <f aca="false">IF(4&gt;=C60,POWER(Keep,N60-INDEX(K60:P60,C60)),0)</f>
        <v>0</v>
      </c>
      <c r="U60" s="12" t="n">
        <f aca="false">IF(5&gt;=C60,POWER(Keep,O60-INDEX(K60:P60,C60)),0)</f>
        <v>1</v>
      </c>
      <c r="V60" s="12" t="n">
        <f aca="false">IF(6&gt;=C60,POWER(Keep,P60-INDEX(K60:P60,C60)),0)</f>
        <v>1</v>
      </c>
      <c r="W60" s="12" t="n">
        <f aca="false">SUM(Q60:V60)+A60*POWER(Keep,P60-INDEX(K60:P60,C60))</f>
        <v>12</v>
      </c>
      <c r="X60" s="12" t="n">
        <f aca="false">MIN(1,MAX(0,LN(Cost_r/(Slope0*W60))/LN(Keep)-INDEX(K60:P60,C60)))</f>
        <v>0</v>
      </c>
      <c r="Y60" s="12" t="n">
        <f aca="false">IF(1=C60,X60,E60)</f>
        <v>1</v>
      </c>
      <c r="Z60" s="12" t="n">
        <f aca="false">IF(2=C60,X60,F60)</f>
        <v>1</v>
      </c>
      <c r="AA60" s="12" t="n">
        <f aca="false">IF(3=C60,X60,G60)</f>
        <v>1</v>
      </c>
      <c r="AB60" s="12" t="n">
        <f aca="false">IF(4=C60,X60,H60)</f>
        <v>1</v>
      </c>
      <c r="AC60" s="12" t="n">
        <f aca="false">IF(5=C60,X60,I60)</f>
        <v>0</v>
      </c>
      <c r="AD60" s="12" t="n">
        <f aca="false">IF(6=C60,X60,J60)</f>
        <v>0</v>
      </c>
      <c r="AE60" s="12" t="n">
        <f aca="false">SUM($Y60:Y60)</f>
        <v>1</v>
      </c>
      <c r="AF60" s="12" t="n">
        <f aca="false">SUM($Y60:Z60)</f>
        <v>2</v>
      </c>
      <c r="AG60" s="12" t="n">
        <f aca="false">SUM($Y60:AA60)</f>
        <v>3</v>
      </c>
      <c r="AH60" s="12" t="n">
        <f aca="false">SUM($Y60:AB60)</f>
        <v>4</v>
      </c>
      <c r="AI60" s="12" t="n">
        <f aca="false">SUM($Y60:AC60)</f>
        <v>4</v>
      </c>
      <c r="AJ60" s="12" t="n">
        <f aca="false">SUM($Y60:AD60)</f>
        <v>4</v>
      </c>
      <c r="AK60" s="14" t="n">
        <f aca="false">Smax*(1-POWER(Keep,AE60))</f>
        <v>70</v>
      </c>
      <c r="AL60" s="14" t="n">
        <f aca="false">Smax*(1-POWER(Keep,AF60))</f>
        <v>105</v>
      </c>
      <c r="AM60" s="14" t="n">
        <f aca="false">Smax*(1-POWER(Keep,AG60))</f>
        <v>122.5</v>
      </c>
      <c r="AN60" s="14" t="n">
        <f aca="false">Smax*(1-POWER(Keep,AH60))</f>
        <v>131.25</v>
      </c>
      <c r="AO60" s="14" t="n">
        <f aca="false">Smax*(1-POWER(Keep,AI60))</f>
        <v>131.25</v>
      </c>
      <c r="AP60" s="14" t="n">
        <f aca="false">Smax*(1-POWER(Keep,AJ60))</f>
        <v>131.25</v>
      </c>
      <c r="AQ60" s="19" t="n">
        <f aca="false">IF(D60=1,Cash0+SUM(AK60:AP60)-Cost_r*AJ60+A60*AP60,-1000000000)</f>
        <v>1673.75</v>
      </c>
    </row>
    <row r="61" customFormat="false" ht="15" hidden="false" customHeight="false" outlineLevel="0" collapsed="false">
      <c r="A61" s="17" t="n">
        <f aca="false">Credit_10</f>
        <v>10</v>
      </c>
      <c r="B61" s="17" t="n">
        <v>13</v>
      </c>
      <c r="C61" s="17" t="n">
        <v>6</v>
      </c>
      <c r="D61" s="17" t="n">
        <f aca="false">IF($I$13="",1,0)</f>
        <v>1</v>
      </c>
      <c r="E61" s="17" t="n">
        <f aca="false">IF($D$13&lt;&gt;"",$D$13,IF(1&lt;C61,1,0))</f>
        <v>1</v>
      </c>
      <c r="F61" s="17" t="n">
        <f aca="false">IF($E$13&lt;&gt;"",$E$13,IF(2&lt;C61,1,0))</f>
        <v>1</v>
      </c>
      <c r="G61" s="17" t="n">
        <f aca="false">IF($F$13&lt;&gt;"",$F$13,IF(3&lt;C61,1,0))</f>
        <v>1</v>
      </c>
      <c r="H61" s="17" t="n">
        <f aca="false">IF($G$13&lt;&gt;"",$G$13,IF(4&lt;C61,1,0))</f>
        <v>1</v>
      </c>
      <c r="I61" s="17" t="n">
        <f aca="false">IF($H$13&lt;&gt;"",$H$13,IF(5&lt;C61,1,0))</f>
        <v>1</v>
      </c>
      <c r="J61" s="17" t="n">
        <f aca="false">IF($I$13&lt;&gt;"",$I$13,IF(6&lt;C61,1,0))</f>
        <v>0</v>
      </c>
      <c r="K61" s="11" t="n">
        <f aca="false">SUM($E61:E61)</f>
        <v>1</v>
      </c>
      <c r="L61" s="11" t="n">
        <f aca="false">SUM($E61:F61)</f>
        <v>2</v>
      </c>
      <c r="M61" s="11" t="n">
        <f aca="false">SUM($E61:G61)</f>
        <v>3</v>
      </c>
      <c r="N61" s="11" t="n">
        <f aca="false">SUM($E61:H61)</f>
        <v>4</v>
      </c>
      <c r="O61" s="11" t="n">
        <f aca="false">SUM($E61:I61)</f>
        <v>5</v>
      </c>
      <c r="P61" s="11" t="n">
        <f aca="false">SUM($E61:J61)</f>
        <v>5</v>
      </c>
      <c r="Q61" s="12" t="n">
        <f aca="false">IF(1&gt;=C61,POWER(Keep,K61-INDEX(K61:P61,C61)),0)</f>
        <v>0</v>
      </c>
      <c r="R61" s="12" t="n">
        <f aca="false">IF(2&gt;=C61,POWER(Keep,L61-INDEX(K61:P61,C61)),0)</f>
        <v>0</v>
      </c>
      <c r="S61" s="12" t="n">
        <f aca="false">IF(3&gt;=C61,POWER(Keep,M61-INDEX(K61:P61,C61)),0)</f>
        <v>0</v>
      </c>
      <c r="T61" s="12" t="n">
        <f aca="false">IF(4&gt;=C61,POWER(Keep,N61-INDEX(K61:P61,C61)),0)</f>
        <v>0</v>
      </c>
      <c r="U61" s="12" t="n">
        <f aca="false">IF(5&gt;=C61,POWER(Keep,O61-INDEX(K61:P61,C61)),0)</f>
        <v>0</v>
      </c>
      <c r="V61" s="12" t="n">
        <f aca="false">IF(6&gt;=C61,POWER(Keep,P61-INDEX(K61:P61,C61)),0)</f>
        <v>1</v>
      </c>
      <c r="W61" s="12" t="n">
        <f aca="false">SUM(Q61:V61)+A61*POWER(Keep,P61-INDEX(K61:P61,C61))</f>
        <v>11</v>
      </c>
      <c r="X61" s="12" t="n">
        <f aca="false">MIN(1,MAX(0,LN(Cost_r/(Slope0*W61))/LN(Keep)-INDEX(K61:P61,C61)))</f>
        <v>0</v>
      </c>
      <c r="Y61" s="12" t="n">
        <f aca="false">IF(1=C61,X61,E61)</f>
        <v>1</v>
      </c>
      <c r="Z61" s="12" t="n">
        <f aca="false">IF(2=C61,X61,F61)</f>
        <v>1</v>
      </c>
      <c r="AA61" s="12" t="n">
        <f aca="false">IF(3=C61,X61,G61)</f>
        <v>1</v>
      </c>
      <c r="AB61" s="12" t="n">
        <f aca="false">IF(4=C61,X61,H61)</f>
        <v>1</v>
      </c>
      <c r="AC61" s="12" t="n">
        <f aca="false">IF(5=C61,X61,I61)</f>
        <v>1</v>
      </c>
      <c r="AD61" s="12" t="n">
        <f aca="false">IF(6=C61,X61,J61)</f>
        <v>0</v>
      </c>
      <c r="AE61" s="12" t="n">
        <f aca="false">SUM($Y61:Y61)</f>
        <v>1</v>
      </c>
      <c r="AF61" s="12" t="n">
        <f aca="false">SUM($Y61:Z61)</f>
        <v>2</v>
      </c>
      <c r="AG61" s="12" t="n">
        <f aca="false">SUM($Y61:AA61)</f>
        <v>3</v>
      </c>
      <c r="AH61" s="12" t="n">
        <f aca="false">SUM($Y61:AB61)</f>
        <v>4</v>
      </c>
      <c r="AI61" s="12" t="n">
        <f aca="false">SUM($Y61:AC61)</f>
        <v>5</v>
      </c>
      <c r="AJ61" s="12" t="n">
        <f aca="false">SUM($Y61:AD61)</f>
        <v>5</v>
      </c>
      <c r="AK61" s="14" t="n">
        <f aca="false">Smax*(1-POWER(Keep,AE61))</f>
        <v>70</v>
      </c>
      <c r="AL61" s="14" t="n">
        <f aca="false">Smax*(1-POWER(Keep,AF61))</f>
        <v>105</v>
      </c>
      <c r="AM61" s="14" t="n">
        <f aca="false">Smax*(1-POWER(Keep,AG61))</f>
        <v>122.5</v>
      </c>
      <c r="AN61" s="14" t="n">
        <f aca="false">Smax*(1-POWER(Keep,AH61))</f>
        <v>131.25</v>
      </c>
      <c r="AO61" s="14" t="n">
        <f aca="false">Smax*(1-POWER(Keep,AI61))</f>
        <v>135.625</v>
      </c>
      <c r="AP61" s="14" t="n">
        <f aca="false">Smax*(1-POWER(Keep,AJ61))</f>
        <v>135.625</v>
      </c>
      <c r="AQ61" s="19" t="n">
        <f aca="false">IF(D61=1,Cash0+SUM(AK61:AP61)-Cost_r*AJ61+A61*AP61,-1000000000)</f>
        <v>1606.25</v>
      </c>
    </row>
    <row r="62" customFormat="false" ht="15" hidden="false" customHeight="false" outlineLevel="0" collapsed="false">
      <c r="A62" s="17" t="n">
        <f aca="false">Credit_10</f>
        <v>10</v>
      </c>
      <c r="B62" s="17" t="n">
        <v>14</v>
      </c>
      <c r="C62" s="17" t="n">
        <v>1</v>
      </c>
      <c r="D62" s="17" t="n">
        <f aca="false">IF($D$14="",1,0)</f>
        <v>1</v>
      </c>
      <c r="E62" s="17" t="n">
        <f aca="false">IF($D$14&lt;&gt;"",$D$14,IF(1&lt;C62,1,0))</f>
        <v>0</v>
      </c>
      <c r="F62" s="17" t="n">
        <f aca="false">IF($E$14&lt;&gt;"",$E$14,IF(2&lt;C62,1,0))</f>
        <v>0</v>
      </c>
      <c r="G62" s="17" t="n">
        <f aca="false">IF($F$14&lt;&gt;"",$F$14,IF(3&lt;C62,1,0))</f>
        <v>0</v>
      </c>
      <c r="H62" s="17" t="n">
        <f aca="false">IF($G$14&lt;&gt;"",$G$14,IF(4&lt;C62,1,0))</f>
        <v>0</v>
      </c>
      <c r="I62" s="17" t="n">
        <f aca="false">IF($H$14&lt;&gt;"",$H$14,IF(5&lt;C62,1,0))</f>
        <v>0</v>
      </c>
      <c r="J62" s="17" t="n">
        <f aca="false">IF($I$14&lt;&gt;"",$I$14,IF(6&lt;C62,1,0))</f>
        <v>0</v>
      </c>
      <c r="K62" s="11" t="n">
        <f aca="false">SUM($E62:E62)</f>
        <v>0</v>
      </c>
      <c r="L62" s="11" t="n">
        <f aca="false">SUM($E62:F62)</f>
        <v>0</v>
      </c>
      <c r="M62" s="11" t="n">
        <f aca="false">SUM($E62:G62)</f>
        <v>0</v>
      </c>
      <c r="N62" s="11" t="n">
        <f aca="false">SUM($E62:H62)</f>
        <v>0</v>
      </c>
      <c r="O62" s="11" t="n">
        <f aca="false">SUM($E62:I62)</f>
        <v>0</v>
      </c>
      <c r="P62" s="11" t="n">
        <f aca="false">SUM($E62:J62)</f>
        <v>0</v>
      </c>
      <c r="Q62" s="12" t="n">
        <f aca="false">IF(1&gt;=C62,POWER(Keep,K62-INDEX(K62:P62,C62)),0)</f>
        <v>1</v>
      </c>
      <c r="R62" s="12" t="n">
        <f aca="false">IF(2&gt;=C62,POWER(Keep,L62-INDEX(K62:P62,C62)),0)</f>
        <v>1</v>
      </c>
      <c r="S62" s="12" t="n">
        <f aca="false">IF(3&gt;=C62,POWER(Keep,M62-INDEX(K62:P62,C62)),0)</f>
        <v>1</v>
      </c>
      <c r="T62" s="12" t="n">
        <f aca="false">IF(4&gt;=C62,POWER(Keep,N62-INDEX(K62:P62,C62)),0)</f>
        <v>1</v>
      </c>
      <c r="U62" s="12" t="n">
        <f aca="false">IF(5&gt;=C62,POWER(Keep,O62-INDEX(K62:P62,C62)),0)</f>
        <v>1</v>
      </c>
      <c r="V62" s="12" t="n">
        <f aca="false">IF(6&gt;=C62,POWER(Keep,P62-INDEX(K62:P62,C62)),0)</f>
        <v>1</v>
      </c>
      <c r="W62" s="12" t="n">
        <f aca="false">SUM(Q62:V62)+A62*POWER(Keep,P62-INDEX(K62:P62,C62))</f>
        <v>16</v>
      </c>
      <c r="X62" s="12" t="n">
        <f aca="false">MIN(1,MAX(0,LN(Cost_r/(Slope0*W62))/LN(Keep)-INDEX(K62:P62,C62)))</f>
        <v>1</v>
      </c>
      <c r="Y62" s="12" t="n">
        <f aca="false">IF(1=C62,X62,E62)</f>
        <v>1</v>
      </c>
      <c r="Z62" s="12" t="n">
        <f aca="false">IF(2=C62,X62,F62)</f>
        <v>0</v>
      </c>
      <c r="AA62" s="12" t="n">
        <f aca="false">IF(3=C62,X62,G62)</f>
        <v>0</v>
      </c>
      <c r="AB62" s="12" t="n">
        <f aca="false">IF(4=C62,X62,H62)</f>
        <v>0</v>
      </c>
      <c r="AC62" s="12" t="n">
        <f aca="false">IF(5=C62,X62,I62)</f>
        <v>0</v>
      </c>
      <c r="AD62" s="12" t="n">
        <f aca="false">IF(6=C62,X62,J62)</f>
        <v>0</v>
      </c>
      <c r="AE62" s="12" t="n">
        <f aca="false">SUM($Y62:Y62)</f>
        <v>1</v>
      </c>
      <c r="AF62" s="12" t="n">
        <f aca="false">SUM($Y62:Z62)</f>
        <v>1</v>
      </c>
      <c r="AG62" s="12" t="n">
        <f aca="false">SUM($Y62:AA62)</f>
        <v>1</v>
      </c>
      <c r="AH62" s="12" t="n">
        <f aca="false">SUM($Y62:AB62)</f>
        <v>1</v>
      </c>
      <c r="AI62" s="12" t="n">
        <f aca="false">SUM($Y62:AC62)</f>
        <v>1</v>
      </c>
      <c r="AJ62" s="12" t="n">
        <f aca="false">SUM($Y62:AD62)</f>
        <v>1</v>
      </c>
      <c r="AK62" s="14" t="n">
        <f aca="false">Smax*(1-POWER(Keep,AE62))</f>
        <v>70</v>
      </c>
      <c r="AL62" s="14" t="n">
        <f aca="false">Smax*(1-POWER(Keep,AF62))</f>
        <v>70</v>
      </c>
      <c r="AM62" s="14" t="n">
        <f aca="false">Smax*(1-POWER(Keep,AG62))</f>
        <v>70</v>
      </c>
      <c r="AN62" s="14" t="n">
        <f aca="false">Smax*(1-POWER(Keep,AH62))</f>
        <v>70</v>
      </c>
      <c r="AO62" s="14" t="n">
        <f aca="false">Smax*(1-POWER(Keep,AI62))</f>
        <v>70</v>
      </c>
      <c r="AP62" s="14" t="n">
        <f aca="false">Smax*(1-POWER(Keep,AJ62))</f>
        <v>70</v>
      </c>
      <c r="AQ62" s="19" t="n">
        <f aca="false">IF(D62=1,Cash0+SUM(AK62:AP62)-Cost_r*AJ62+A62*AP62,-1000000000)</f>
        <v>1150</v>
      </c>
    </row>
    <row r="63" customFormat="false" ht="15" hidden="false" customHeight="false" outlineLevel="0" collapsed="false">
      <c r="A63" s="17" t="n">
        <f aca="false">Credit_10</f>
        <v>10</v>
      </c>
      <c r="B63" s="17" t="n">
        <v>14</v>
      </c>
      <c r="C63" s="17" t="n">
        <v>2</v>
      </c>
      <c r="D63" s="17" t="n">
        <f aca="false">IF($E$14="",1,0)</f>
        <v>1</v>
      </c>
      <c r="E63" s="17" t="n">
        <f aca="false">IF($D$14&lt;&gt;"",$D$14,IF(1&lt;C63,1,0))</f>
        <v>1</v>
      </c>
      <c r="F63" s="17" t="n">
        <f aca="false">IF($E$14&lt;&gt;"",$E$14,IF(2&lt;C63,1,0))</f>
        <v>0</v>
      </c>
      <c r="G63" s="17" t="n">
        <f aca="false">IF($F$14&lt;&gt;"",$F$14,IF(3&lt;C63,1,0))</f>
        <v>0</v>
      </c>
      <c r="H63" s="17" t="n">
        <f aca="false">IF($G$14&lt;&gt;"",$G$14,IF(4&lt;C63,1,0))</f>
        <v>0</v>
      </c>
      <c r="I63" s="17" t="n">
        <f aca="false">IF($H$14&lt;&gt;"",$H$14,IF(5&lt;C63,1,0))</f>
        <v>0</v>
      </c>
      <c r="J63" s="17" t="n">
        <f aca="false">IF($I$14&lt;&gt;"",$I$14,IF(6&lt;C63,1,0))</f>
        <v>0</v>
      </c>
      <c r="K63" s="11" t="n">
        <f aca="false">SUM($E63:E63)</f>
        <v>1</v>
      </c>
      <c r="L63" s="11" t="n">
        <f aca="false">SUM($E63:F63)</f>
        <v>1</v>
      </c>
      <c r="M63" s="11" t="n">
        <f aca="false">SUM($E63:G63)</f>
        <v>1</v>
      </c>
      <c r="N63" s="11" t="n">
        <f aca="false">SUM($E63:H63)</f>
        <v>1</v>
      </c>
      <c r="O63" s="11" t="n">
        <f aca="false">SUM($E63:I63)</f>
        <v>1</v>
      </c>
      <c r="P63" s="11" t="n">
        <f aca="false">SUM($E63:J63)</f>
        <v>1</v>
      </c>
      <c r="Q63" s="12" t="n">
        <f aca="false">IF(1&gt;=C63,POWER(Keep,K63-INDEX(K63:P63,C63)),0)</f>
        <v>0</v>
      </c>
      <c r="R63" s="12" t="n">
        <f aca="false">IF(2&gt;=C63,POWER(Keep,L63-INDEX(K63:P63,C63)),0)</f>
        <v>1</v>
      </c>
      <c r="S63" s="12" t="n">
        <f aca="false">IF(3&gt;=C63,POWER(Keep,M63-INDEX(K63:P63,C63)),0)</f>
        <v>1</v>
      </c>
      <c r="T63" s="12" t="n">
        <f aca="false">IF(4&gt;=C63,POWER(Keep,N63-INDEX(K63:P63,C63)),0)</f>
        <v>1</v>
      </c>
      <c r="U63" s="12" t="n">
        <f aca="false">IF(5&gt;=C63,POWER(Keep,O63-INDEX(K63:P63,C63)),0)</f>
        <v>1</v>
      </c>
      <c r="V63" s="12" t="n">
        <f aca="false">IF(6&gt;=C63,POWER(Keep,P63-INDEX(K63:P63,C63)),0)</f>
        <v>1</v>
      </c>
      <c r="W63" s="12" t="n">
        <f aca="false">SUM(Q63:V63)+A63*POWER(Keep,P63-INDEX(K63:P63,C63))</f>
        <v>15</v>
      </c>
      <c r="X63" s="12" t="n">
        <f aca="false">MIN(1,MAX(0,LN(Cost_r/(Slope0*W63))/LN(Keep)-INDEX(K63:P63,C63)))</f>
        <v>1</v>
      </c>
      <c r="Y63" s="12" t="n">
        <f aca="false">IF(1=C63,X63,E63)</f>
        <v>1</v>
      </c>
      <c r="Z63" s="12" t="n">
        <f aca="false">IF(2=C63,X63,F63)</f>
        <v>1</v>
      </c>
      <c r="AA63" s="12" t="n">
        <f aca="false">IF(3=C63,X63,G63)</f>
        <v>0</v>
      </c>
      <c r="AB63" s="12" t="n">
        <f aca="false">IF(4=C63,X63,H63)</f>
        <v>0</v>
      </c>
      <c r="AC63" s="12" t="n">
        <f aca="false">IF(5=C63,X63,I63)</f>
        <v>0</v>
      </c>
      <c r="AD63" s="12" t="n">
        <f aca="false">IF(6=C63,X63,J63)</f>
        <v>0</v>
      </c>
      <c r="AE63" s="12" t="n">
        <f aca="false">SUM($Y63:Y63)</f>
        <v>1</v>
      </c>
      <c r="AF63" s="12" t="n">
        <f aca="false">SUM($Y63:Z63)</f>
        <v>2</v>
      </c>
      <c r="AG63" s="12" t="n">
        <f aca="false">SUM($Y63:AA63)</f>
        <v>2</v>
      </c>
      <c r="AH63" s="12" t="n">
        <f aca="false">SUM($Y63:AB63)</f>
        <v>2</v>
      </c>
      <c r="AI63" s="12" t="n">
        <f aca="false">SUM($Y63:AC63)</f>
        <v>2</v>
      </c>
      <c r="AJ63" s="12" t="n">
        <f aca="false">SUM($Y63:AD63)</f>
        <v>2</v>
      </c>
      <c r="AK63" s="14" t="n">
        <f aca="false">Smax*(1-POWER(Keep,AE63))</f>
        <v>70</v>
      </c>
      <c r="AL63" s="14" t="n">
        <f aca="false">Smax*(1-POWER(Keep,AF63))</f>
        <v>105</v>
      </c>
      <c r="AM63" s="14" t="n">
        <f aca="false">Smax*(1-POWER(Keep,AG63))</f>
        <v>105</v>
      </c>
      <c r="AN63" s="14" t="n">
        <f aca="false">Smax*(1-POWER(Keep,AH63))</f>
        <v>105</v>
      </c>
      <c r="AO63" s="14" t="n">
        <f aca="false">Smax*(1-POWER(Keep,AI63))</f>
        <v>105</v>
      </c>
      <c r="AP63" s="14" t="n">
        <f aca="false">Smax*(1-POWER(Keep,AJ63))</f>
        <v>105</v>
      </c>
      <c r="AQ63" s="19" t="n">
        <f aca="false">IF(D63=1,Cash0+SUM(AK63:AP63)-Cost_r*AJ63+A63*AP63,-1000000000)</f>
        <v>1555</v>
      </c>
    </row>
    <row r="64" customFormat="false" ht="15" hidden="false" customHeight="false" outlineLevel="0" collapsed="false">
      <c r="A64" s="17" t="n">
        <f aca="false">Credit_10</f>
        <v>10</v>
      </c>
      <c r="B64" s="17" t="n">
        <v>14</v>
      </c>
      <c r="C64" s="17" t="n">
        <v>3</v>
      </c>
      <c r="D64" s="17" t="n">
        <f aca="false">IF($F$14="",1,0)</f>
        <v>1</v>
      </c>
      <c r="E64" s="17" t="n">
        <f aca="false">IF($D$14&lt;&gt;"",$D$14,IF(1&lt;C64,1,0))</f>
        <v>1</v>
      </c>
      <c r="F64" s="17" t="n">
        <f aca="false">IF($E$14&lt;&gt;"",$E$14,IF(2&lt;C64,1,0))</f>
        <v>1</v>
      </c>
      <c r="G64" s="17" t="n">
        <f aca="false">IF($F$14&lt;&gt;"",$F$14,IF(3&lt;C64,1,0))</f>
        <v>0</v>
      </c>
      <c r="H64" s="17" t="n">
        <f aca="false">IF($G$14&lt;&gt;"",$G$14,IF(4&lt;C64,1,0))</f>
        <v>0</v>
      </c>
      <c r="I64" s="17" t="n">
        <f aca="false">IF($H$14&lt;&gt;"",$H$14,IF(5&lt;C64,1,0))</f>
        <v>0</v>
      </c>
      <c r="J64" s="17" t="n">
        <f aca="false">IF($I$14&lt;&gt;"",$I$14,IF(6&lt;C64,1,0))</f>
        <v>0</v>
      </c>
      <c r="K64" s="11" t="n">
        <f aca="false">SUM($E64:E64)</f>
        <v>1</v>
      </c>
      <c r="L64" s="11" t="n">
        <f aca="false">SUM($E64:F64)</f>
        <v>2</v>
      </c>
      <c r="M64" s="11" t="n">
        <f aca="false">SUM($E64:G64)</f>
        <v>2</v>
      </c>
      <c r="N64" s="11" t="n">
        <f aca="false">SUM($E64:H64)</f>
        <v>2</v>
      </c>
      <c r="O64" s="11" t="n">
        <f aca="false">SUM($E64:I64)</f>
        <v>2</v>
      </c>
      <c r="P64" s="11" t="n">
        <f aca="false">SUM($E64:J64)</f>
        <v>2</v>
      </c>
      <c r="Q64" s="12" t="n">
        <f aca="false">IF(1&gt;=C64,POWER(Keep,K64-INDEX(K64:P64,C64)),0)</f>
        <v>0</v>
      </c>
      <c r="R64" s="12" t="n">
        <f aca="false">IF(2&gt;=C64,POWER(Keep,L64-INDEX(K64:P64,C64)),0)</f>
        <v>0</v>
      </c>
      <c r="S64" s="12" t="n">
        <f aca="false">IF(3&gt;=C64,POWER(Keep,M64-INDEX(K64:P64,C64)),0)</f>
        <v>1</v>
      </c>
      <c r="T64" s="12" t="n">
        <f aca="false">IF(4&gt;=C64,POWER(Keep,N64-INDEX(K64:P64,C64)),0)</f>
        <v>1</v>
      </c>
      <c r="U64" s="12" t="n">
        <f aca="false">IF(5&gt;=C64,POWER(Keep,O64-INDEX(K64:P64,C64)),0)</f>
        <v>1</v>
      </c>
      <c r="V64" s="12" t="n">
        <f aca="false">IF(6&gt;=C64,POWER(Keep,P64-INDEX(K64:P64,C64)),0)</f>
        <v>1</v>
      </c>
      <c r="W64" s="12" t="n">
        <f aca="false">SUM(Q64:V64)+A64*POWER(Keep,P64-INDEX(K64:P64,C64))</f>
        <v>14</v>
      </c>
      <c r="X64" s="12" t="n">
        <f aca="false">MIN(1,MAX(0,LN(Cost_r/(Slope0*W64))/LN(Keep)-INDEX(K64:P64,C64)))</f>
        <v>1</v>
      </c>
      <c r="Y64" s="12" t="n">
        <f aca="false">IF(1=C64,X64,E64)</f>
        <v>1</v>
      </c>
      <c r="Z64" s="12" t="n">
        <f aca="false">IF(2=C64,X64,F64)</f>
        <v>1</v>
      </c>
      <c r="AA64" s="12" t="n">
        <f aca="false">IF(3=C64,X64,G64)</f>
        <v>1</v>
      </c>
      <c r="AB64" s="12" t="n">
        <f aca="false">IF(4=C64,X64,H64)</f>
        <v>0</v>
      </c>
      <c r="AC64" s="12" t="n">
        <f aca="false">IF(5=C64,X64,I64)</f>
        <v>0</v>
      </c>
      <c r="AD64" s="12" t="n">
        <f aca="false">IF(6=C64,X64,J64)</f>
        <v>0</v>
      </c>
      <c r="AE64" s="12" t="n">
        <f aca="false">SUM($Y64:Y64)</f>
        <v>1</v>
      </c>
      <c r="AF64" s="12" t="n">
        <f aca="false">SUM($Y64:Z64)</f>
        <v>2</v>
      </c>
      <c r="AG64" s="12" t="n">
        <f aca="false">SUM($Y64:AA64)</f>
        <v>3</v>
      </c>
      <c r="AH64" s="12" t="n">
        <f aca="false">SUM($Y64:AB64)</f>
        <v>3</v>
      </c>
      <c r="AI64" s="12" t="n">
        <f aca="false">SUM($Y64:AC64)</f>
        <v>3</v>
      </c>
      <c r="AJ64" s="12" t="n">
        <f aca="false">SUM($Y64:AD64)</f>
        <v>3</v>
      </c>
      <c r="AK64" s="14" t="n">
        <f aca="false">Smax*(1-POWER(Keep,AE64))</f>
        <v>70</v>
      </c>
      <c r="AL64" s="14" t="n">
        <f aca="false">Smax*(1-POWER(Keep,AF64))</f>
        <v>105</v>
      </c>
      <c r="AM64" s="14" t="n">
        <f aca="false">Smax*(1-POWER(Keep,AG64))</f>
        <v>122.5</v>
      </c>
      <c r="AN64" s="14" t="n">
        <f aca="false">Smax*(1-POWER(Keep,AH64))</f>
        <v>122.5</v>
      </c>
      <c r="AO64" s="14" t="n">
        <f aca="false">Smax*(1-POWER(Keep,AI64))</f>
        <v>122.5</v>
      </c>
      <c r="AP64" s="14" t="n">
        <f aca="false">Smax*(1-POWER(Keep,AJ64))</f>
        <v>122.5</v>
      </c>
      <c r="AQ64" s="19" t="n">
        <f aca="false">IF(D64=1,Cash0+SUM(AK64:AP64)-Cost_r*AJ64+A64*AP64,-1000000000)</f>
        <v>1680</v>
      </c>
    </row>
    <row r="65" customFormat="false" ht="15" hidden="false" customHeight="false" outlineLevel="0" collapsed="false">
      <c r="A65" s="17" t="n">
        <f aca="false">Credit_10</f>
        <v>10</v>
      </c>
      <c r="B65" s="17" t="n">
        <v>14</v>
      </c>
      <c r="C65" s="17" t="n">
        <v>4</v>
      </c>
      <c r="D65" s="17" t="n">
        <f aca="false">IF($G$14="",1,0)</f>
        <v>0</v>
      </c>
      <c r="E65" s="17" t="n">
        <f aca="false">IF($D$14&lt;&gt;"",$D$14,IF(1&lt;C65,1,0))</f>
        <v>1</v>
      </c>
      <c r="F65" s="17" t="n">
        <f aca="false">IF($E$14&lt;&gt;"",$E$14,IF(2&lt;C65,1,0))</f>
        <v>1</v>
      </c>
      <c r="G65" s="17" t="n">
        <f aca="false">IF($F$14&lt;&gt;"",$F$14,IF(3&lt;C65,1,0))</f>
        <v>1</v>
      </c>
      <c r="H65" s="17" t="n">
        <f aca="false">IF($G$14&lt;&gt;"",$G$14,IF(4&lt;C65,1,0))</f>
        <v>0</v>
      </c>
      <c r="I65" s="17" t="n">
        <f aca="false">IF($H$14&lt;&gt;"",$H$14,IF(5&lt;C65,1,0))</f>
        <v>0</v>
      </c>
      <c r="J65" s="17" t="n">
        <f aca="false">IF($I$14&lt;&gt;"",$I$14,IF(6&lt;C65,1,0))</f>
        <v>0</v>
      </c>
      <c r="K65" s="11" t="n">
        <f aca="false">SUM($E65:E65)</f>
        <v>1</v>
      </c>
      <c r="L65" s="11" t="n">
        <f aca="false">SUM($E65:F65)</f>
        <v>2</v>
      </c>
      <c r="M65" s="11" t="n">
        <f aca="false">SUM($E65:G65)</f>
        <v>3</v>
      </c>
      <c r="N65" s="11" t="n">
        <f aca="false">SUM($E65:H65)</f>
        <v>3</v>
      </c>
      <c r="O65" s="11" t="n">
        <f aca="false">SUM($E65:I65)</f>
        <v>3</v>
      </c>
      <c r="P65" s="11" t="n">
        <f aca="false">SUM($E65:J65)</f>
        <v>3</v>
      </c>
      <c r="Q65" s="12" t="n">
        <f aca="false">IF(1&gt;=C65,POWER(Keep,K65-INDEX(K65:P65,C65)),0)</f>
        <v>0</v>
      </c>
      <c r="R65" s="12" t="n">
        <f aca="false">IF(2&gt;=C65,POWER(Keep,L65-INDEX(K65:P65,C65)),0)</f>
        <v>0</v>
      </c>
      <c r="S65" s="12" t="n">
        <f aca="false">IF(3&gt;=C65,POWER(Keep,M65-INDEX(K65:P65,C65)),0)</f>
        <v>0</v>
      </c>
      <c r="T65" s="12" t="n">
        <f aca="false">IF(4&gt;=C65,POWER(Keep,N65-INDEX(K65:P65,C65)),0)</f>
        <v>1</v>
      </c>
      <c r="U65" s="12" t="n">
        <f aca="false">IF(5&gt;=C65,POWER(Keep,O65-INDEX(K65:P65,C65)),0)</f>
        <v>1</v>
      </c>
      <c r="V65" s="12" t="n">
        <f aca="false">IF(6&gt;=C65,POWER(Keep,P65-INDEX(K65:P65,C65)),0)</f>
        <v>1</v>
      </c>
      <c r="W65" s="12" t="n">
        <f aca="false">SUM(Q65:V65)+A65*POWER(Keep,P65-INDEX(K65:P65,C65))</f>
        <v>13</v>
      </c>
      <c r="X65" s="12" t="n">
        <f aca="false">MIN(1,MAX(0,LN(Cost_r/(Slope0*W65))/LN(Keep)-INDEX(K65:P65,C65)))</f>
        <v>0.394065766532643</v>
      </c>
      <c r="Y65" s="12" t="n">
        <f aca="false">IF(1=C65,X65,E65)</f>
        <v>1</v>
      </c>
      <c r="Z65" s="12" t="n">
        <f aca="false">IF(2=C65,X65,F65)</f>
        <v>1</v>
      </c>
      <c r="AA65" s="12" t="n">
        <f aca="false">IF(3=C65,X65,G65)</f>
        <v>1</v>
      </c>
      <c r="AB65" s="12" t="n">
        <f aca="false">IF(4=C65,X65,H65)</f>
        <v>0.394065766532643</v>
      </c>
      <c r="AC65" s="12" t="n">
        <f aca="false">IF(5=C65,X65,I65)</f>
        <v>0</v>
      </c>
      <c r="AD65" s="12" t="n">
        <f aca="false">IF(6=C65,X65,J65)</f>
        <v>0</v>
      </c>
      <c r="AE65" s="12" t="n">
        <f aca="false">SUM($Y65:Y65)</f>
        <v>1</v>
      </c>
      <c r="AF65" s="12" t="n">
        <f aca="false">SUM($Y65:Z65)</f>
        <v>2</v>
      </c>
      <c r="AG65" s="12" t="n">
        <f aca="false">SUM($Y65:AA65)</f>
        <v>3</v>
      </c>
      <c r="AH65" s="12" t="n">
        <f aca="false">SUM($Y65:AB65)</f>
        <v>3.39406576653264</v>
      </c>
      <c r="AI65" s="12" t="n">
        <f aca="false">SUM($Y65:AC65)</f>
        <v>3.39406576653264</v>
      </c>
      <c r="AJ65" s="12" t="n">
        <f aca="false">SUM($Y65:AD65)</f>
        <v>3.39406576653264</v>
      </c>
      <c r="AK65" s="14" t="n">
        <f aca="false">Smax*(1-POWER(Keep,AE65))</f>
        <v>70</v>
      </c>
      <c r="AL65" s="14" t="n">
        <f aca="false">Smax*(1-POWER(Keep,AF65))</f>
        <v>105</v>
      </c>
      <c r="AM65" s="14" t="n">
        <f aca="false">Smax*(1-POWER(Keep,AG65))</f>
        <v>122.5</v>
      </c>
      <c r="AN65" s="14" t="n">
        <f aca="false">Smax*(1-POWER(Keep,AH65))</f>
        <v>126.682815007179</v>
      </c>
      <c r="AO65" s="14" t="n">
        <f aca="false">Smax*(1-POWER(Keep,AI65))</f>
        <v>126.682815007179</v>
      </c>
      <c r="AP65" s="14" t="n">
        <f aca="false">Smax*(1-POWER(Keep,AJ65))</f>
        <v>126.682815007179</v>
      </c>
      <c r="AQ65" s="19" t="n">
        <f aca="false">IF(D65=1,Cash0+SUM(AK65:AP65)-Cost_r*AJ65+A65*AP65,-1000000000)</f>
        <v>-1000000000</v>
      </c>
    </row>
    <row r="66" customFormat="false" ht="15" hidden="false" customHeight="false" outlineLevel="0" collapsed="false">
      <c r="A66" s="17" t="n">
        <f aca="false">Credit_10</f>
        <v>10</v>
      </c>
      <c r="B66" s="17" t="n">
        <v>14</v>
      </c>
      <c r="C66" s="17" t="n">
        <v>5</v>
      </c>
      <c r="D66" s="17" t="n">
        <f aca="false">IF($H$14="",1,0)</f>
        <v>1</v>
      </c>
      <c r="E66" s="17" t="n">
        <f aca="false">IF($D$14&lt;&gt;"",$D$14,IF(1&lt;C66,1,0))</f>
        <v>1</v>
      </c>
      <c r="F66" s="17" t="n">
        <f aca="false">IF($E$14&lt;&gt;"",$E$14,IF(2&lt;C66,1,0))</f>
        <v>1</v>
      </c>
      <c r="G66" s="17" t="n">
        <f aca="false">IF($F$14&lt;&gt;"",$F$14,IF(3&lt;C66,1,0))</f>
        <v>1</v>
      </c>
      <c r="H66" s="17" t="n">
        <f aca="false">IF($G$14&lt;&gt;"",$G$14,IF(4&lt;C66,1,0))</f>
        <v>0</v>
      </c>
      <c r="I66" s="17" t="n">
        <f aca="false">IF($H$14&lt;&gt;"",$H$14,IF(5&lt;C66,1,0))</f>
        <v>0</v>
      </c>
      <c r="J66" s="17" t="n">
        <f aca="false">IF($I$14&lt;&gt;"",$I$14,IF(6&lt;C66,1,0))</f>
        <v>0</v>
      </c>
      <c r="K66" s="11" t="n">
        <f aca="false">SUM($E66:E66)</f>
        <v>1</v>
      </c>
      <c r="L66" s="11" t="n">
        <f aca="false">SUM($E66:F66)</f>
        <v>2</v>
      </c>
      <c r="M66" s="11" t="n">
        <f aca="false">SUM($E66:G66)</f>
        <v>3</v>
      </c>
      <c r="N66" s="11" t="n">
        <f aca="false">SUM($E66:H66)</f>
        <v>3</v>
      </c>
      <c r="O66" s="11" t="n">
        <f aca="false">SUM($E66:I66)</f>
        <v>3</v>
      </c>
      <c r="P66" s="11" t="n">
        <f aca="false">SUM($E66:J66)</f>
        <v>3</v>
      </c>
      <c r="Q66" s="12" t="n">
        <f aca="false">IF(1&gt;=C66,POWER(Keep,K66-INDEX(K66:P66,C66)),0)</f>
        <v>0</v>
      </c>
      <c r="R66" s="12" t="n">
        <f aca="false">IF(2&gt;=C66,POWER(Keep,L66-INDEX(K66:P66,C66)),0)</f>
        <v>0</v>
      </c>
      <c r="S66" s="12" t="n">
        <f aca="false">IF(3&gt;=C66,POWER(Keep,M66-INDEX(K66:P66,C66)),0)</f>
        <v>0</v>
      </c>
      <c r="T66" s="12" t="n">
        <f aca="false">IF(4&gt;=C66,POWER(Keep,N66-INDEX(K66:P66,C66)),0)</f>
        <v>0</v>
      </c>
      <c r="U66" s="12" t="n">
        <f aca="false">IF(5&gt;=C66,POWER(Keep,O66-INDEX(K66:P66,C66)),0)</f>
        <v>1</v>
      </c>
      <c r="V66" s="12" t="n">
        <f aca="false">IF(6&gt;=C66,POWER(Keep,P66-INDEX(K66:P66,C66)),0)</f>
        <v>1</v>
      </c>
      <c r="W66" s="12" t="n">
        <f aca="false">SUM(Q66:V66)+A66*POWER(Keep,P66-INDEX(K66:P66,C66))</f>
        <v>12</v>
      </c>
      <c r="X66" s="12" t="n">
        <f aca="false">MIN(1,MAX(0,LN(Cost_r/(Slope0*W66))/LN(Keep)-INDEX(K66:P66,C66)))</f>
        <v>0.278588549112706</v>
      </c>
      <c r="Y66" s="12" t="n">
        <f aca="false">IF(1=C66,X66,E66)</f>
        <v>1</v>
      </c>
      <c r="Z66" s="12" t="n">
        <f aca="false">IF(2=C66,X66,F66)</f>
        <v>1</v>
      </c>
      <c r="AA66" s="12" t="n">
        <f aca="false">IF(3=C66,X66,G66)</f>
        <v>1</v>
      </c>
      <c r="AB66" s="12" t="n">
        <f aca="false">IF(4=C66,X66,H66)</f>
        <v>0</v>
      </c>
      <c r="AC66" s="12" t="n">
        <f aca="false">IF(5=C66,X66,I66)</f>
        <v>0.278588549112706</v>
      </c>
      <c r="AD66" s="12" t="n">
        <f aca="false">IF(6=C66,X66,J66)</f>
        <v>0</v>
      </c>
      <c r="AE66" s="12" t="n">
        <f aca="false">SUM($Y66:Y66)</f>
        <v>1</v>
      </c>
      <c r="AF66" s="12" t="n">
        <f aca="false">SUM($Y66:Z66)</f>
        <v>2</v>
      </c>
      <c r="AG66" s="12" t="n">
        <f aca="false">SUM($Y66:AA66)</f>
        <v>3</v>
      </c>
      <c r="AH66" s="12" t="n">
        <f aca="false">SUM($Y66:AB66)</f>
        <v>3</v>
      </c>
      <c r="AI66" s="12" t="n">
        <f aca="false">SUM($Y66:AC66)</f>
        <v>3.27858854911271</v>
      </c>
      <c r="AJ66" s="12" t="n">
        <f aca="false">SUM($Y66:AD66)</f>
        <v>3.27858854911271</v>
      </c>
      <c r="AK66" s="14" t="n">
        <f aca="false">Smax*(1-POWER(Keep,AE66))</f>
        <v>70</v>
      </c>
      <c r="AL66" s="14" t="n">
        <f aca="false">Smax*(1-POWER(Keep,AF66))</f>
        <v>105</v>
      </c>
      <c r="AM66" s="14" t="n">
        <f aca="false">Smax*(1-POWER(Keep,AG66))</f>
        <v>122.5</v>
      </c>
      <c r="AN66" s="14" t="n">
        <f aca="false">Smax*(1-POWER(Keep,AH66))</f>
        <v>122.5</v>
      </c>
      <c r="AO66" s="14" t="n">
        <f aca="false">Smax*(1-POWER(Keep,AI66))</f>
        <v>125.57304959111</v>
      </c>
      <c r="AP66" s="14" t="n">
        <f aca="false">Smax*(1-POWER(Keep,AJ66))</f>
        <v>125.57304959111</v>
      </c>
      <c r="AQ66" s="19" t="n">
        <f aca="false">IF(D66=1,Cash0+SUM(AK66:AP66)-Cost_r*AJ66+A66*AP66,-1000000000)</f>
        <v>1683.4459691998</v>
      </c>
    </row>
    <row r="67" customFormat="false" ht="15" hidden="false" customHeight="false" outlineLevel="0" collapsed="false">
      <c r="A67" s="17" t="n">
        <f aca="false">Credit_10</f>
        <v>10</v>
      </c>
      <c r="B67" s="17" t="n">
        <v>14</v>
      </c>
      <c r="C67" s="17" t="n">
        <v>6</v>
      </c>
      <c r="D67" s="17" t="n">
        <f aca="false">IF($I$14="",1,0)</f>
        <v>1</v>
      </c>
      <c r="E67" s="17" t="n">
        <f aca="false">IF($D$14&lt;&gt;"",$D$14,IF(1&lt;C67,1,0))</f>
        <v>1</v>
      </c>
      <c r="F67" s="17" t="n">
        <f aca="false">IF($E$14&lt;&gt;"",$E$14,IF(2&lt;C67,1,0))</f>
        <v>1</v>
      </c>
      <c r="G67" s="17" t="n">
        <f aca="false">IF($F$14&lt;&gt;"",$F$14,IF(3&lt;C67,1,0))</f>
        <v>1</v>
      </c>
      <c r="H67" s="17" t="n">
        <f aca="false">IF($G$14&lt;&gt;"",$G$14,IF(4&lt;C67,1,0))</f>
        <v>0</v>
      </c>
      <c r="I67" s="17" t="n">
        <f aca="false">IF($H$14&lt;&gt;"",$H$14,IF(5&lt;C67,1,0))</f>
        <v>1</v>
      </c>
      <c r="J67" s="17" t="n">
        <f aca="false">IF($I$14&lt;&gt;"",$I$14,IF(6&lt;C67,1,0))</f>
        <v>0</v>
      </c>
      <c r="K67" s="11" t="n">
        <f aca="false">SUM($E67:E67)</f>
        <v>1</v>
      </c>
      <c r="L67" s="11" t="n">
        <f aca="false">SUM($E67:F67)</f>
        <v>2</v>
      </c>
      <c r="M67" s="11" t="n">
        <f aca="false">SUM($E67:G67)</f>
        <v>3</v>
      </c>
      <c r="N67" s="11" t="n">
        <f aca="false">SUM($E67:H67)</f>
        <v>3</v>
      </c>
      <c r="O67" s="11" t="n">
        <f aca="false">SUM($E67:I67)</f>
        <v>4</v>
      </c>
      <c r="P67" s="11" t="n">
        <f aca="false">SUM($E67:J67)</f>
        <v>4</v>
      </c>
      <c r="Q67" s="12" t="n">
        <f aca="false">IF(1&gt;=C67,POWER(Keep,K67-INDEX(K67:P67,C67)),0)</f>
        <v>0</v>
      </c>
      <c r="R67" s="12" t="n">
        <f aca="false">IF(2&gt;=C67,POWER(Keep,L67-INDEX(K67:P67,C67)),0)</f>
        <v>0</v>
      </c>
      <c r="S67" s="12" t="n">
        <f aca="false">IF(3&gt;=C67,POWER(Keep,M67-INDEX(K67:P67,C67)),0)</f>
        <v>0</v>
      </c>
      <c r="T67" s="12" t="n">
        <f aca="false">IF(4&gt;=C67,POWER(Keep,N67-INDEX(K67:P67,C67)),0)</f>
        <v>0</v>
      </c>
      <c r="U67" s="12" t="n">
        <f aca="false">IF(5&gt;=C67,POWER(Keep,O67-INDEX(K67:P67,C67)),0)</f>
        <v>0</v>
      </c>
      <c r="V67" s="12" t="n">
        <f aca="false">IF(6&gt;=C67,POWER(Keep,P67-INDEX(K67:P67,C67)),0)</f>
        <v>1</v>
      </c>
      <c r="W67" s="12" t="n">
        <f aca="false">SUM(Q67:V67)+A67*POWER(Keep,P67-INDEX(K67:P67,C67))</f>
        <v>11</v>
      </c>
      <c r="X67" s="12" t="n">
        <f aca="false">MIN(1,MAX(0,LN(Cost_r/(Slope0*W67))/LN(Keep)-INDEX(K67:P67,C67)))</f>
        <v>0</v>
      </c>
      <c r="Y67" s="12" t="n">
        <f aca="false">IF(1=C67,X67,E67)</f>
        <v>1</v>
      </c>
      <c r="Z67" s="12" t="n">
        <f aca="false">IF(2=C67,X67,F67)</f>
        <v>1</v>
      </c>
      <c r="AA67" s="12" t="n">
        <f aca="false">IF(3=C67,X67,G67)</f>
        <v>1</v>
      </c>
      <c r="AB67" s="12" t="n">
        <f aca="false">IF(4=C67,X67,H67)</f>
        <v>0</v>
      </c>
      <c r="AC67" s="12" t="n">
        <f aca="false">IF(5=C67,X67,I67)</f>
        <v>1</v>
      </c>
      <c r="AD67" s="12" t="n">
        <f aca="false">IF(6=C67,X67,J67)</f>
        <v>0</v>
      </c>
      <c r="AE67" s="12" t="n">
        <f aca="false">SUM($Y67:Y67)</f>
        <v>1</v>
      </c>
      <c r="AF67" s="12" t="n">
        <f aca="false">SUM($Y67:Z67)</f>
        <v>2</v>
      </c>
      <c r="AG67" s="12" t="n">
        <f aca="false">SUM($Y67:AA67)</f>
        <v>3</v>
      </c>
      <c r="AH67" s="12" t="n">
        <f aca="false">SUM($Y67:AB67)</f>
        <v>3</v>
      </c>
      <c r="AI67" s="12" t="n">
        <f aca="false">SUM($Y67:AC67)</f>
        <v>4</v>
      </c>
      <c r="AJ67" s="12" t="n">
        <f aca="false">SUM($Y67:AD67)</f>
        <v>4</v>
      </c>
      <c r="AK67" s="14" t="n">
        <f aca="false">Smax*(1-POWER(Keep,AE67))</f>
        <v>70</v>
      </c>
      <c r="AL67" s="14" t="n">
        <f aca="false">Smax*(1-POWER(Keep,AF67))</f>
        <v>105</v>
      </c>
      <c r="AM67" s="14" t="n">
        <f aca="false">Smax*(1-POWER(Keep,AG67))</f>
        <v>122.5</v>
      </c>
      <c r="AN67" s="14" t="n">
        <f aca="false">Smax*(1-POWER(Keep,AH67))</f>
        <v>122.5</v>
      </c>
      <c r="AO67" s="14" t="n">
        <f aca="false">Smax*(1-POWER(Keep,AI67))</f>
        <v>131.25</v>
      </c>
      <c r="AP67" s="14" t="n">
        <f aca="false">Smax*(1-POWER(Keep,AJ67))</f>
        <v>131.25</v>
      </c>
      <c r="AQ67" s="19" t="n">
        <f aca="false">IF(D67=1,Cash0+SUM(AK67:AP67)-Cost_r*AJ67+A67*AP67,-1000000000)</f>
        <v>1665</v>
      </c>
    </row>
    <row r="68" customFormat="false" ht="15" hidden="false" customHeight="false" outlineLevel="0" collapsed="false">
      <c r="A68" s="17" t="n">
        <f aca="false">Credit_10</f>
        <v>10</v>
      </c>
      <c r="B68" s="17" t="n">
        <v>15</v>
      </c>
      <c r="C68" s="17" t="n">
        <v>1</v>
      </c>
      <c r="D68" s="17" t="n">
        <f aca="false">IF($D$15="",1,0)</f>
        <v>1</v>
      </c>
      <c r="E68" s="17" t="n">
        <f aca="false">IF($D$15&lt;&gt;"",$D$15,IF(1&lt;C68,1,0))</f>
        <v>0</v>
      </c>
      <c r="F68" s="17" t="n">
        <f aca="false">IF($E$15&lt;&gt;"",$E$15,IF(2&lt;C68,1,0))</f>
        <v>0</v>
      </c>
      <c r="G68" s="17" t="n">
        <f aca="false">IF($F$15&lt;&gt;"",$F$15,IF(3&lt;C68,1,0))</f>
        <v>0</v>
      </c>
      <c r="H68" s="17" t="n">
        <f aca="false">IF($G$15&lt;&gt;"",$G$15,IF(4&lt;C68,1,0))</f>
        <v>0</v>
      </c>
      <c r="I68" s="17" t="n">
        <f aca="false">IF($H$15&lt;&gt;"",$H$15,IF(5&lt;C68,1,0))</f>
        <v>0</v>
      </c>
      <c r="J68" s="17" t="n">
        <f aca="false">IF($I$15&lt;&gt;"",$I$15,IF(6&lt;C68,1,0))</f>
        <v>0</v>
      </c>
      <c r="K68" s="11" t="n">
        <f aca="false">SUM($E68:E68)</f>
        <v>0</v>
      </c>
      <c r="L68" s="11" t="n">
        <f aca="false">SUM($E68:F68)</f>
        <v>0</v>
      </c>
      <c r="M68" s="11" t="n">
        <f aca="false">SUM($E68:G68)</f>
        <v>0</v>
      </c>
      <c r="N68" s="11" t="n">
        <f aca="false">SUM($E68:H68)</f>
        <v>0</v>
      </c>
      <c r="O68" s="11" t="n">
        <f aca="false">SUM($E68:I68)</f>
        <v>0</v>
      </c>
      <c r="P68" s="11" t="n">
        <f aca="false">SUM($E68:J68)</f>
        <v>0</v>
      </c>
      <c r="Q68" s="12" t="n">
        <f aca="false">IF(1&gt;=C68,POWER(Keep,K68-INDEX(K68:P68,C68)),0)</f>
        <v>1</v>
      </c>
      <c r="R68" s="12" t="n">
        <f aca="false">IF(2&gt;=C68,POWER(Keep,L68-INDEX(K68:P68,C68)),0)</f>
        <v>1</v>
      </c>
      <c r="S68" s="12" t="n">
        <f aca="false">IF(3&gt;=C68,POWER(Keep,M68-INDEX(K68:P68,C68)),0)</f>
        <v>1</v>
      </c>
      <c r="T68" s="12" t="n">
        <f aca="false">IF(4&gt;=C68,POWER(Keep,N68-INDEX(K68:P68,C68)),0)</f>
        <v>1</v>
      </c>
      <c r="U68" s="12" t="n">
        <f aca="false">IF(5&gt;=C68,POWER(Keep,O68-INDEX(K68:P68,C68)),0)</f>
        <v>1</v>
      </c>
      <c r="V68" s="12" t="n">
        <f aca="false">IF(6&gt;=C68,POWER(Keep,P68-INDEX(K68:P68,C68)),0)</f>
        <v>1</v>
      </c>
      <c r="W68" s="12" t="n">
        <f aca="false">SUM(Q68:V68)+A68*POWER(Keep,P68-INDEX(K68:P68,C68))</f>
        <v>16</v>
      </c>
      <c r="X68" s="12" t="n">
        <f aca="false">MIN(1,MAX(0,LN(Cost_r/(Slope0*W68))/LN(Keep)-INDEX(K68:P68,C68)))</f>
        <v>1</v>
      </c>
      <c r="Y68" s="12" t="n">
        <f aca="false">IF(1=C68,X68,E68)</f>
        <v>1</v>
      </c>
      <c r="Z68" s="12" t="n">
        <f aca="false">IF(2=C68,X68,F68)</f>
        <v>0</v>
      </c>
      <c r="AA68" s="12" t="n">
        <f aca="false">IF(3=C68,X68,G68)</f>
        <v>0</v>
      </c>
      <c r="AB68" s="12" t="n">
        <f aca="false">IF(4=C68,X68,H68)</f>
        <v>0</v>
      </c>
      <c r="AC68" s="12" t="n">
        <f aca="false">IF(5=C68,X68,I68)</f>
        <v>0</v>
      </c>
      <c r="AD68" s="12" t="n">
        <f aca="false">IF(6=C68,X68,J68)</f>
        <v>0</v>
      </c>
      <c r="AE68" s="12" t="n">
        <f aca="false">SUM($Y68:Y68)</f>
        <v>1</v>
      </c>
      <c r="AF68" s="12" t="n">
        <f aca="false">SUM($Y68:Z68)</f>
        <v>1</v>
      </c>
      <c r="AG68" s="12" t="n">
        <f aca="false">SUM($Y68:AA68)</f>
        <v>1</v>
      </c>
      <c r="AH68" s="12" t="n">
        <f aca="false">SUM($Y68:AB68)</f>
        <v>1</v>
      </c>
      <c r="AI68" s="12" t="n">
        <f aca="false">SUM($Y68:AC68)</f>
        <v>1</v>
      </c>
      <c r="AJ68" s="12" t="n">
        <f aca="false">SUM($Y68:AD68)</f>
        <v>1</v>
      </c>
      <c r="AK68" s="14" t="n">
        <f aca="false">Smax*(1-POWER(Keep,AE68))</f>
        <v>70</v>
      </c>
      <c r="AL68" s="14" t="n">
        <f aca="false">Smax*(1-POWER(Keep,AF68))</f>
        <v>70</v>
      </c>
      <c r="AM68" s="14" t="n">
        <f aca="false">Smax*(1-POWER(Keep,AG68))</f>
        <v>70</v>
      </c>
      <c r="AN68" s="14" t="n">
        <f aca="false">Smax*(1-POWER(Keep,AH68))</f>
        <v>70</v>
      </c>
      <c r="AO68" s="14" t="n">
        <f aca="false">Smax*(1-POWER(Keep,AI68))</f>
        <v>70</v>
      </c>
      <c r="AP68" s="14" t="n">
        <f aca="false">Smax*(1-POWER(Keep,AJ68))</f>
        <v>70</v>
      </c>
      <c r="AQ68" s="19" t="n">
        <f aca="false">IF(D68=1,Cash0+SUM(AK68:AP68)-Cost_r*AJ68+A68*AP68,-1000000000)</f>
        <v>1150</v>
      </c>
    </row>
    <row r="69" customFormat="false" ht="15" hidden="false" customHeight="false" outlineLevel="0" collapsed="false">
      <c r="A69" s="17" t="n">
        <f aca="false">Credit_10</f>
        <v>10</v>
      </c>
      <c r="B69" s="17" t="n">
        <v>15</v>
      </c>
      <c r="C69" s="17" t="n">
        <v>2</v>
      </c>
      <c r="D69" s="17" t="n">
        <f aca="false">IF($E$15="",1,0)</f>
        <v>1</v>
      </c>
      <c r="E69" s="17" t="n">
        <f aca="false">IF($D$15&lt;&gt;"",$D$15,IF(1&lt;C69,1,0))</f>
        <v>1</v>
      </c>
      <c r="F69" s="17" t="n">
        <f aca="false">IF($E$15&lt;&gt;"",$E$15,IF(2&lt;C69,1,0))</f>
        <v>0</v>
      </c>
      <c r="G69" s="17" t="n">
        <f aca="false">IF($F$15&lt;&gt;"",$F$15,IF(3&lt;C69,1,0))</f>
        <v>0</v>
      </c>
      <c r="H69" s="17" t="n">
        <f aca="false">IF($G$15&lt;&gt;"",$G$15,IF(4&lt;C69,1,0))</f>
        <v>0</v>
      </c>
      <c r="I69" s="17" t="n">
        <f aca="false">IF($H$15&lt;&gt;"",$H$15,IF(5&lt;C69,1,0))</f>
        <v>0</v>
      </c>
      <c r="J69" s="17" t="n">
        <f aca="false">IF($I$15&lt;&gt;"",$I$15,IF(6&lt;C69,1,0))</f>
        <v>0</v>
      </c>
      <c r="K69" s="11" t="n">
        <f aca="false">SUM($E69:E69)</f>
        <v>1</v>
      </c>
      <c r="L69" s="11" t="n">
        <f aca="false">SUM($E69:F69)</f>
        <v>1</v>
      </c>
      <c r="M69" s="11" t="n">
        <f aca="false">SUM($E69:G69)</f>
        <v>1</v>
      </c>
      <c r="N69" s="11" t="n">
        <f aca="false">SUM($E69:H69)</f>
        <v>1</v>
      </c>
      <c r="O69" s="11" t="n">
        <f aca="false">SUM($E69:I69)</f>
        <v>1</v>
      </c>
      <c r="P69" s="11" t="n">
        <f aca="false">SUM($E69:J69)</f>
        <v>1</v>
      </c>
      <c r="Q69" s="12" t="n">
        <f aca="false">IF(1&gt;=C69,POWER(Keep,K69-INDEX(K69:P69,C69)),0)</f>
        <v>0</v>
      </c>
      <c r="R69" s="12" t="n">
        <f aca="false">IF(2&gt;=C69,POWER(Keep,L69-INDEX(K69:P69,C69)),0)</f>
        <v>1</v>
      </c>
      <c r="S69" s="12" t="n">
        <f aca="false">IF(3&gt;=C69,POWER(Keep,M69-INDEX(K69:P69,C69)),0)</f>
        <v>1</v>
      </c>
      <c r="T69" s="12" t="n">
        <f aca="false">IF(4&gt;=C69,POWER(Keep,N69-INDEX(K69:P69,C69)),0)</f>
        <v>1</v>
      </c>
      <c r="U69" s="12" t="n">
        <f aca="false">IF(5&gt;=C69,POWER(Keep,O69-INDEX(K69:P69,C69)),0)</f>
        <v>1</v>
      </c>
      <c r="V69" s="12" t="n">
        <f aca="false">IF(6&gt;=C69,POWER(Keep,P69-INDEX(K69:P69,C69)),0)</f>
        <v>1</v>
      </c>
      <c r="W69" s="12" t="n">
        <f aca="false">SUM(Q69:V69)+A69*POWER(Keep,P69-INDEX(K69:P69,C69))</f>
        <v>15</v>
      </c>
      <c r="X69" s="12" t="n">
        <f aca="false">MIN(1,MAX(0,LN(Cost_r/(Slope0*W69))/LN(Keep)-INDEX(K69:P69,C69)))</f>
        <v>1</v>
      </c>
      <c r="Y69" s="12" t="n">
        <f aca="false">IF(1=C69,X69,E69)</f>
        <v>1</v>
      </c>
      <c r="Z69" s="12" t="n">
        <f aca="false">IF(2=C69,X69,F69)</f>
        <v>1</v>
      </c>
      <c r="AA69" s="12" t="n">
        <f aca="false">IF(3=C69,X69,G69)</f>
        <v>0</v>
      </c>
      <c r="AB69" s="12" t="n">
        <f aca="false">IF(4=C69,X69,H69)</f>
        <v>0</v>
      </c>
      <c r="AC69" s="12" t="n">
        <f aca="false">IF(5=C69,X69,I69)</f>
        <v>0</v>
      </c>
      <c r="AD69" s="12" t="n">
        <f aca="false">IF(6=C69,X69,J69)</f>
        <v>0</v>
      </c>
      <c r="AE69" s="12" t="n">
        <f aca="false">SUM($Y69:Y69)</f>
        <v>1</v>
      </c>
      <c r="AF69" s="12" t="n">
        <f aca="false">SUM($Y69:Z69)</f>
        <v>2</v>
      </c>
      <c r="AG69" s="12" t="n">
        <f aca="false">SUM($Y69:AA69)</f>
        <v>2</v>
      </c>
      <c r="AH69" s="12" t="n">
        <f aca="false">SUM($Y69:AB69)</f>
        <v>2</v>
      </c>
      <c r="AI69" s="12" t="n">
        <f aca="false">SUM($Y69:AC69)</f>
        <v>2</v>
      </c>
      <c r="AJ69" s="12" t="n">
        <f aca="false">SUM($Y69:AD69)</f>
        <v>2</v>
      </c>
      <c r="AK69" s="14" t="n">
        <f aca="false">Smax*(1-POWER(Keep,AE69))</f>
        <v>70</v>
      </c>
      <c r="AL69" s="14" t="n">
        <f aca="false">Smax*(1-POWER(Keep,AF69))</f>
        <v>105</v>
      </c>
      <c r="AM69" s="14" t="n">
        <f aca="false">Smax*(1-POWER(Keep,AG69))</f>
        <v>105</v>
      </c>
      <c r="AN69" s="14" t="n">
        <f aca="false">Smax*(1-POWER(Keep,AH69))</f>
        <v>105</v>
      </c>
      <c r="AO69" s="14" t="n">
        <f aca="false">Smax*(1-POWER(Keep,AI69))</f>
        <v>105</v>
      </c>
      <c r="AP69" s="14" t="n">
        <f aca="false">Smax*(1-POWER(Keep,AJ69))</f>
        <v>105</v>
      </c>
      <c r="AQ69" s="19" t="n">
        <f aca="false">IF(D69=1,Cash0+SUM(AK69:AP69)-Cost_r*AJ69+A69*AP69,-1000000000)</f>
        <v>1555</v>
      </c>
    </row>
    <row r="70" customFormat="false" ht="15" hidden="false" customHeight="false" outlineLevel="0" collapsed="false">
      <c r="A70" s="17" t="n">
        <f aca="false">Credit_10</f>
        <v>10</v>
      </c>
      <c r="B70" s="17" t="n">
        <v>15</v>
      </c>
      <c r="C70" s="17" t="n">
        <v>3</v>
      </c>
      <c r="D70" s="17" t="n">
        <f aca="false">IF($F$15="",1,0)</f>
        <v>1</v>
      </c>
      <c r="E70" s="17" t="n">
        <f aca="false">IF($D$15&lt;&gt;"",$D$15,IF(1&lt;C70,1,0))</f>
        <v>1</v>
      </c>
      <c r="F70" s="17" t="n">
        <f aca="false">IF($E$15&lt;&gt;"",$E$15,IF(2&lt;C70,1,0))</f>
        <v>1</v>
      </c>
      <c r="G70" s="17" t="n">
        <f aca="false">IF($F$15&lt;&gt;"",$F$15,IF(3&lt;C70,1,0))</f>
        <v>0</v>
      </c>
      <c r="H70" s="17" t="n">
        <f aca="false">IF($G$15&lt;&gt;"",$G$15,IF(4&lt;C70,1,0))</f>
        <v>0</v>
      </c>
      <c r="I70" s="17" t="n">
        <f aca="false">IF($H$15&lt;&gt;"",$H$15,IF(5&lt;C70,1,0))</f>
        <v>0</v>
      </c>
      <c r="J70" s="17" t="n">
        <f aca="false">IF($I$15&lt;&gt;"",$I$15,IF(6&lt;C70,1,0))</f>
        <v>0</v>
      </c>
      <c r="K70" s="11" t="n">
        <f aca="false">SUM($E70:E70)</f>
        <v>1</v>
      </c>
      <c r="L70" s="11" t="n">
        <f aca="false">SUM($E70:F70)</f>
        <v>2</v>
      </c>
      <c r="M70" s="11" t="n">
        <f aca="false">SUM($E70:G70)</f>
        <v>2</v>
      </c>
      <c r="N70" s="11" t="n">
        <f aca="false">SUM($E70:H70)</f>
        <v>2</v>
      </c>
      <c r="O70" s="11" t="n">
        <f aca="false">SUM($E70:I70)</f>
        <v>2</v>
      </c>
      <c r="P70" s="11" t="n">
        <f aca="false">SUM($E70:J70)</f>
        <v>2</v>
      </c>
      <c r="Q70" s="12" t="n">
        <f aca="false">IF(1&gt;=C70,POWER(Keep,K70-INDEX(K70:P70,C70)),0)</f>
        <v>0</v>
      </c>
      <c r="R70" s="12" t="n">
        <f aca="false">IF(2&gt;=C70,POWER(Keep,L70-INDEX(K70:P70,C70)),0)</f>
        <v>0</v>
      </c>
      <c r="S70" s="12" t="n">
        <f aca="false">IF(3&gt;=C70,POWER(Keep,M70-INDEX(K70:P70,C70)),0)</f>
        <v>1</v>
      </c>
      <c r="T70" s="12" t="n">
        <f aca="false">IF(4&gt;=C70,POWER(Keep,N70-INDEX(K70:P70,C70)),0)</f>
        <v>1</v>
      </c>
      <c r="U70" s="12" t="n">
        <f aca="false">IF(5&gt;=C70,POWER(Keep,O70-INDEX(K70:P70,C70)),0)</f>
        <v>1</v>
      </c>
      <c r="V70" s="12" t="n">
        <f aca="false">IF(6&gt;=C70,POWER(Keep,P70-INDEX(K70:P70,C70)),0)</f>
        <v>1</v>
      </c>
      <c r="W70" s="12" t="n">
        <f aca="false">SUM(Q70:V70)+A70*POWER(Keep,P70-INDEX(K70:P70,C70))</f>
        <v>14</v>
      </c>
      <c r="X70" s="12" t="n">
        <f aca="false">MIN(1,MAX(0,LN(Cost_r/(Slope0*W70))/LN(Keep)-INDEX(K70:P70,C70)))</f>
        <v>1</v>
      </c>
      <c r="Y70" s="12" t="n">
        <f aca="false">IF(1=C70,X70,E70)</f>
        <v>1</v>
      </c>
      <c r="Z70" s="12" t="n">
        <f aca="false">IF(2=C70,X70,F70)</f>
        <v>1</v>
      </c>
      <c r="AA70" s="12" t="n">
        <f aca="false">IF(3=C70,X70,G70)</f>
        <v>1</v>
      </c>
      <c r="AB70" s="12" t="n">
        <f aca="false">IF(4=C70,X70,H70)</f>
        <v>0</v>
      </c>
      <c r="AC70" s="12" t="n">
        <f aca="false">IF(5=C70,X70,I70)</f>
        <v>0</v>
      </c>
      <c r="AD70" s="12" t="n">
        <f aca="false">IF(6=C70,X70,J70)</f>
        <v>0</v>
      </c>
      <c r="AE70" s="12" t="n">
        <f aca="false">SUM($Y70:Y70)</f>
        <v>1</v>
      </c>
      <c r="AF70" s="12" t="n">
        <f aca="false">SUM($Y70:Z70)</f>
        <v>2</v>
      </c>
      <c r="AG70" s="12" t="n">
        <f aca="false">SUM($Y70:AA70)</f>
        <v>3</v>
      </c>
      <c r="AH70" s="12" t="n">
        <f aca="false">SUM($Y70:AB70)</f>
        <v>3</v>
      </c>
      <c r="AI70" s="12" t="n">
        <f aca="false">SUM($Y70:AC70)</f>
        <v>3</v>
      </c>
      <c r="AJ70" s="12" t="n">
        <f aca="false">SUM($Y70:AD70)</f>
        <v>3</v>
      </c>
      <c r="AK70" s="14" t="n">
        <f aca="false">Smax*(1-POWER(Keep,AE70))</f>
        <v>70</v>
      </c>
      <c r="AL70" s="14" t="n">
        <f aca="false">Smax*(1-POWER(Keep,AF70))</f>
        <v>105</v>
      </c>
      <c r="AM70" s="14" t="n">
        <f aca="false">Smax*(1-POWER(Keep,AG70))</f>
        <v>122.5</v>
      </c>
      <c r="AN70" s="14" t="n">
        <f aca="false">Smax*(1-POWER(Keep,AH70))</f>
        <v>122.5</v>
      </c>
      <c r="AO70" s="14" t="n">
        <f aca="false">Smax*(1-POWER(Keep,AI70))</f>
        <v>122.5</v>
      </c>
      <c r="AP70" s="14" t="n">
        <f aca="false">Smax*(1-POWER(Keep,AJ70))</f>
        <v>122.5</v>
      </c>
      <c r="AQ70" s="19" t="n">
        <f aca="false">IF(D70=1,Cash0+SUM(AK70:AP70)-Cost_r*AJ70+A70*AP70,-1000000000)</f>
        <v>1680</v>
      </c>
    </row>
    <row r="71" customFormat="false" ht="15" hidden="false" customHeight="false" outlineLevel="0" collapsed="false">
      <c r="A71" s="17" t="n">
        <f aca="false">Credit_10</f>
        <v>10</v>
      </c>
      <c r="B71" s="17" t="n">
        <v>15</v>
      </c>
      <c r="C71" s="17" t="n">
        <v>4</v>
      </c>
      <c r="D71" s="17" t="n">
        <f aca="false">IF($G$15="",1,0)</f>
        <v>0</v>
      </c>
      <c r="E71" s="17" t="n">
        <f aca="false">IF($D$15&lt;&gt;"",$D$15,IF(1&lt;C71,1,0))</f>
        <v>1</v>
      </c>
      <c r="F71" s="17" t="n">
        <f aca="false">IF($E$15&lt;&gt;"",$E$15,IF(2&lt;C71,1,0))</f>
        <v>1</v>
      </c>
      <c r="G71" s="17" t="n">
        <f aca="false">IF($F$15&lt;&gt;"",$F$15,IF(3&lt;C71,1,0))</f>
        <v>1</v>
      </c>
      <c r="H71" s="17" t="n">
        <f aca="false">IF($G$15&lt;&gt;"",$G$15,IF(4&lt;C71,1,0))</f>
        <v>0</v>
      </c>
      <c r="I71" s="17" t="n">
        <f aca="false">IF($H$15&lt;&gt;"",$H$15,IF(5&lt;C71,1,0))</f>
        <v>0</v>
      </c>
      <c r="J71" s="17" t="n">
        <f aca="false">IF($I$15&lt;&gt;"",$I$15,IF(6&lt;C71,1,0))</f>
        <v>0</v>
      </c>
      <c r="K71" s="11" t="n">
        <f aca="false">SUM($E71:E71)</f>
        <v>1</v>
      </c>
      <c r="L71" s="11" t="n">
        <f aca="false">SUM($E71:F71)</f>
        <v>2</v>
      </c>
      <c r="M71" s="11" t="n">
        <f aca="false">SUM($E71:G71)</f>
        <v>3</v>
      </c>
      <c r="N71" s="11" t="n">
        <f aca="false">SUM($E71:H71)</f>
        <v>3</v>
      </c>
      <c r="O71" s="11" t="n">
        <f aca="false">SUM($E71:I71)</f>
        <v>3</v>
      </c>
      <c r="P71" s="11" t="n">
        <f aca="false">SUM($E71:J71)</f>
        <v>3</v>
      </c>
      <c r="Q71" s="12" t="n">
        <f aca="false">IF(1&gt;=C71,POWER(Keep,K71-INDEX(K71:P71,C71)),0)</f>
        <v>0</v>
      </c>
      <c r="R71" s="12" t="n">
        <f aca="false">IF(2&gt;=C71,POWER(Keep,L71-INDEX(K71:P71,C71)),0)</f>
        <v>0</v>
      </c>
      <c r="S71" s="12" t="n">
        <f aca="false">IF(3&gt;=C71,POWER(Keep,M71-INDEX(K71:P71,C71)),0)</f>
        <v>0</v>
      </c>
      <c r="T71" s="12" t="n">
        <f aca="false">IF(4&gt;=C71,POWER(Keep,N71-INDEX(K71:P71,C71)),0)</f>
        <v>1</v>
      </c>
      <c r="U71" s="12" t="n">
        <f aca="false">IF(5&gt;=C71,POWER(Keep,O71-INDEX(K71:P71,C71)),0)</f>
        <v>1</v>
      </c>
      <c r="V71" s="12" t="n">
        <f aca="false">IF(6&gt;=C71,POWER(Keep,P71-INDEX(K71:P71,C71)),0)</f>
        <v>1</v>
      </c>
      <c r="W71" s="12" t="n">
        <f aca="false">SUM(Q71:V71)+A71*POWER(Keep,P71-INDEX(K71:P71,C71))</f>
        <v>13</v>
      </c>
      <c r="X71" s="12" t="n">
        <f aca="false">MIN(1,MAX(0,LN(Cost_r/(Slope0*W71))/LN(Keep)-INDEX(K71:P71,C71)))</f>
        <v>0.394065766532643</v>
      </c>
      <c r="Y71" s="12" t="n">
        <f aca="false">IF(1=C71,X71,E71)</f>
        <v>1</v>
      </c>
      <c r="Z71" s="12" t="n">
        <f aca="false">IF(2=C71,X71,F71)</f>
        <v>1</v>
      </c>
      <c r="AA71" s="12" t="n">
        <f aca="false">IF(3=C71,X71,G71)</f>
        <v>1</v>
      </c>
      <c r="AB71" s="12" t="n">
        <f aca="false">IF(4=C71,X71,H71)</f>
        <v>0.394065766532643</v>
      </c>
      <c r="AC71" s="12" t="n">
        <f aca="false">IF(5=C71,X71,I71)</f>
        <v>0</v>
      </c>
      <c r="AD71" s="12" t="n">
        <f aca="false">IF(6=C71,X71,J71)</f>
        <v>0</v>
      </c>
      <c r="AE71" s="12" t="n">
        <f aca="false">SUM($Y71:Y71)</f>
        <v>1</v>
      </c>
      <c r="AF71" s="12" t="n">
        <f aca="false">SUM($Y71:Z71)</f>
        <v>2</v>
      </c>
      <c r="AG71" s="12" t="n">
        <f aca="false">SUM($Y71:AA71)</f>
        <v>3</v>
      </c>
      <c r="AH71" s="12" t="n">
        <f aca="false">SUM($Y71:AB71)</f>
        <v>3.39406576653264</v>
      </c>
      <c r="AI71" s="12" t="n">
        <f aca="false">SUM($Y71:AC71)</f>
        <v>3.39406576653264</v>
      </c>
      <c r="AJ71" s="12" t="n">
        <f aca="false">SUM($Y71:AD71)</f>
        <v>3.39406576653264</v>
      </c>
      <c r="AK71" s="14" t="n">
        <f aca="false">Smax*(1-POWER(Keep,AE71))</f>
        <v>70</v>
      </c>
      <c r="AL71" s="14" t="n">
        <f aca="false">Smax*(1-POWER(Keep,AF71))</f>
        <v>105</v>
      </c>
      <c r="AM71" s="14" t="n">
        <f aca="false">Smax*(1-POWER(Keep,AG71))</f>
        <v>122.5</v>
      </c>
      <c r="AN71" s="14" t="n">
        <f aca="false">Smax*(1-POWER(Keep,AH71))</f>
        <v>126.682815007179</v>
      </c>
      <c r="AO71" s="14" t="n">
        <f aca="false">Smax*(1-POWER(Keep,AI71))</f>
        <v>126.682815007179</v>
      </c>
      <c r="AP71" s="14" t="n">
        <f aca="false">Smax*(1-POWER(Keep,AJ71))</f>
        <v>126.682815007179</v>
      </c>
      <c r="AQ71" s="19" t="n">
        <f aca="false">IF(D71=1,Cash0+SUM(AK71:AP71)-Cost_r*AJ71+A71*AP71,-1000000000)</f>
        <v>-1000000000</v>
      </c>
    </row>
    <row r="72" customFormat="false" ht="15" hidden="false" customHeight="false" outlineLevel="0" collapsed="false">
      <c r="A72" s="17" t="n">
        <f aca="false">Credit_10</f>
        <v>10</v>
      </c>
      <c r="B72" s="17" t="n">
        <v>15</v>
      </c>
      <c r="C72" s="17" t="n">
        <v>5</v>
      </c>
      <c r="D72" s="17" t="n">
        <f aca="false">IF($H$15="",1,0)</f>
        <v>0</v>
      </c>
      <c r="E72" s="17" t="n">
        <f aca="false">IF($D$15&lt;&gt;"",$D$15,IF(1&lt;C72,1,0))</f>
        <v>1</v>
      </c>
      <c r="F72" s="17" t="n">
        <f aca="false">IF($E$15&lt;&gt;"",$E$15,IF(2&lt;C72,1,0))</f>
        <v>1</v>
      </c>
      <c r="G72" s="17" t="n">
        <f aca="false">IF($F$15&lt;&gt;"",$F$15,IF(3&lt;C72,1,0))</f>
        <v>1</v>
      </c>
      <c r="H72" s="17" t="n">
        <f aca="false">IF($G$15&lt;&gt;"",$G$15,IF(4&lt;C72,1,0))</f>
        <v>0</v>
      </c>
      <c r="I72" s="17" t="n">
        <f aca="false">IF($H$15&lt;&gt;"",$H$15,IF(5&lt;C72,1,0))</f>
        <v>0</v>
      </c>
      <c r="J72" s="17" t="n">
        <f aca="false">IF($I$15&lt;&gt;"",$I$15,IF(6&lt;C72,1,0))</f>
        <v>0</v>
      </c>
      <c r="K72" s="11" t="n">
        <f aca="false">SUM($E72:E72)</f>
        <v>1</v>
      </c>
      <c r="L72" s="11" t="n">
        <f aca="false">SUM($E72:F72)</f>
        <v>2</v>
      </c>
      <c r="M72" s="11" t="n">
        <f aca="false">SUM($E72:G72)</f>
        <v>3</v>
      </c>
      <c r="N72" s="11" t="n">
        <f aca="false">SUM($E72:H72)</f>
        <v>3</v>
      </c>
      <c r="O72" s="11" t="n">
        <f aca="false">SUM($E72:I72)</f>
        <v>3</v>
      </c>
      <c r="P72" s="11" t="n">
        <f aca="false">SUM($E72:J72)</f>
        <v>3</v>
      </c>
      <c r="Q72" s="12" t="n">
        <f aca="false">IF(1&gt;=C72,POWER(Keep,K72-INDEX(K72:P72,C72)),0)</f>
        <v>0</v>
      </c>
      <c r="R72" s="12" t="n">
        <f aca="false">IF(2&gt;=C72,POWER(Keep,L72-INDEX(K72:P72,C72)),0)</f>
        <v>0</v>
      </c>
      <c r="S72" s="12" t="n">
        <f aca="false">IF(3&gt;=C72,POWER(Keep,M72-INDEX(K72:P72,C72)),0)</f>
        <v>0</v>
      </c>
      <c r="T72" s="12" t="n">
        <f aca="false">IF(4&gt;=C72,POWER(Keep,N72-INDEX(K72:P72,C72)),0)</f>
        <v>0</v>
      </c>
      <c r="U72" s="12" t="n">
        <f aca="false">IF(5&gt;=C72,POWER(Keep,O72-INDEX(K72:P72,C72)),0)</f>
        <v>1</v>
      </c>
      <c r="V72" s="12" t="n">
        <f aca="false">IF(6&gt;=C72,POWER(Keep,P72-INDEX(K72:P72,C72)),0)</f>
        <v>1</v>
      </c>
      <c r="W72" s="12" t="n">
        <f aca="false">SUM(Q72:V72)+A72*POWER(Keep,P72-INDEX(K72:P72,C72))</f>
        <v>12</v>
      </c>
      <c r="X72" s="12" t="n">
        <f aca="false">MIN(1,MAX(0,LN(Cost_r/(Slope0*W72))/LN(Keep)-INDEX(K72:P72,C72)))</f>
        <v>0.278588549112706</v>
      </c>
      <c r="Y72" s="12" t="n">
        <f aca="false">IF(1=C72,X72,E72)</f>
        <v>1</v>
      </c>
      <c r="Z72" s="12" t="n">
        <f aca="false">IF(2=C72,X72,F72)</f>
        <v>1</v>
      </c>
      <c r="AA72" s="12" t="n">
        <f aca="false">IF(3=C72,X72,G72)</f>
        <v>1</v>
      </c>
      <c r="AB72" s="12" t="n">
        <f aca="false">IF(4=C72,X72,H72)</f>
        <v>0</v>
      </c>
      <c r="AC72" s="12" t="n">
        <f aca="false">IF(5=C72,X72,I72)</f>
        <v>0.278588549112706</v>
      </c>
      <c r="AD72" s="12" t="n">
        <f aca="false">IF(6=C72,X72,J72)</f>
        <v>0</v>
      </c>
      <c r="AE72" s="12" t="n">
        <f aca="false">SUM($Y72:Y72)</f>
        <v>1</v>
      </c>
      <c r="AF72" s="12" t="n">
        <f aca="false">SUM($Y72:Z72)</f>
        <v>2</v>
      </c>
      <c r="AG72" s="12" t="n">
        <f aca="false">SUM($Y72:AA72)</f>
        <v>3</v>
      </c>
      <c r="AH72" s="12" t="n">
        <f aca="false">SUM($Y72:AB72)</f>
        <v>3</v>
      </c>
      <c r="AI72" s="12" t="n">
        <f aca="false">SUM($Y72:AC72)</f>
        <v>3.27858854911271</v>
      </c>
      <c r="AJ72" s="12" t="n">
        <f aca="false">SUM($Y72:AD72)</f>
        <v>3.27858854911271</v>
      </c>
      <c r="AK72" s="14" t="n">
        <f aca="false">Smax*(1-POWER(Keep,AE72))</f>
        <v>70</v>
      </c>
      <c r="AL72" s="14" t="n">
        <f aca="false">Smax*(1-POWER(Keep,AF72))</f>
        <v>105</v>
      </c>
      <c r="AM72" s="14" t="n">
        <f aca="false">Smax*(1-POWER(Keep,AG72))</f>
        <v>122.5</v>
      </c>
      <c r="AN72" s="14" t="n">
        <f aca="false">Smax*(1-POWER(Keep,AH72))</f>
        <v>122.5</v>
      </c>
      <c r="AO72" s="14" t="n">
        <f aca="false">Smax*(1-POWER(Keep,AI72))</f>
        <v>125.57304959111</v>
      </c>
      <c r="AP72" s="14" t="n">
        <f aca="false">Smax*(1-POWER(Keep,AJ72))</f>
        <v>125.57304959111</v>
      </c>
      <c r="AQ72" s="19" t="n">
        <f aca="false">IF(D72=1,Cash0+SUM(AK72:AP72)-Cost_r*AJ72+A72*AP72,-1000000000)</f>
        <v>-1000000000</v>
      </c>
    </row>
    <row r="73" customFormat="false" ht="15" hidden="false" customHeight="false" outlineLevel="0" collapsed="false">
      <c r="A73" s="17" t="n">
        <f aca="false">Credit_10</f>
        <v>10</v>
      </c>
      <c r="B73" s="17" t="n">
        <v>15</v>
      </c>
      <c r="C73" s="17" t="n">
        <v>6</v>
      </c>
      <c r="D73" s="17" t="n">
        <f aca="false">IF($I$15="",1,0)</f>
        <v>1</v>
      </c>
      <c r="E73" s="17" t="n">
        <f aca="false">IF($D$15&lt;&gt;"",$D$15,IF(1&lt;C73,1,0))</f>
        <v>1</v>
      </c>
      <c r="F73" s="17" t="n">
        <f aca="false">IF($E$15&lt;&gt;"",$E$15,IF(2&lt;C73,1,0))</f>
        <v>1</v>
      </c>
      <c r="G73" s="17" t="n">
        <f aca="false">IF($F$15&lt;&gt;"",$F$15,IF(3&lt;C73,1,0))</f>
        <v>1</v>
      </c>
      <c r="H73" s="17" t="n">
        <f aca="false">IF($G$15&lt;&gt;"",$G$15,IF(4&lt;C73,1,0))</f>
        <v>0</v>
      </c>
      <c r="I73" s="17" t="n">
        <f aca="false">IF($H$15&lt;&gt;"",$H$15,IF(5&lt;C73,1,0))</f>
        <v>0</v>
      </c>
      <c r="J73" s="17" t="n">
        <f aca="false">IF($I$15&lt;&gt;"",$I$15,IF(6&lt;C73,1,0))</f>
        <v>0</v>
      </c>
      <c r="K73" s="11" t="n">
        <f aca="false">SUM($E73:E73)</f>
        <v>1</v>
      </c>
      <c r="L73" s="11" t="n">
        <f aca="false">SUM($E73:F73)</f>
        <v>2</v>
      </c>
      <c r="M73" s="11" t="n">
        <f aca="false">SUM($E73:G73)</f>
        <v>3</v>
      </c>
      <c r="N73" s="11" t="n">
        <f aca="false">SUM($E73:H73)</f>
        <v>3</v>
      </c>
      <c r="O73" s="11" t="n">
        <f aca="false">SUM($E73:I73)</f>
        <v>3</v>
      </c>
      <c r="P73" s="11" t="n">
        <f aca="false">SUM($E73:J73)</f>
        <v>3</v>
      </c>
      <c r="Q73" s="12" t="n">
        <f aca="false">IF(1&gt;=C73,POWER(Keep,K73-INDEX(K73:P73,C73)),0)</f>
        <v>0</v>
      </c>
      <c r="R73" s="12" t="n">
        <f aca="false">IF(2&gt;=C73,POWER(Keep,L73-INDEX(K73:P73,C73)),0)</f>
        <v>0</v>
      </c>
      <c r="S73" s="12" t="n">
        <f aca="false">IF(3&gt;=C73,POWER(Keep,M73-INDEX(K73:P73,C73)),0)</f>
        <v>0</v>
      </c>
      <c r="T73" s="12" t="n">
        <f aca="false">IF(4&gt;=C73,POWER(Keep,N73-INDEX(K73:P73,C73)),0)</f>
        <v>0</v>
      </c>
      <c r="U73" s="12" t="n">
        <f aca="false">IF(5&gt;=C73,POWER(Keep,O73-INDEX(K73:P73,C73)),0)</f>
        <v>0</v>
      </c>
      <c r="V73" s="12" t="n">
        <f aca="false">IF(6&gt;=C73,POWER(Keep,P73-INDEX(K73:P73,C73)),0)</f>
        <v>1</v>
      </c>
      <c r="W73" s="12" t="n">
        <f aca="false">SUM(Q73:V73)+A73*POWER(Keep,P73-INDEX(K73:P73,C73))</f>
        <v>11</v>
      </c>
      <c r="X73" s="12" t="n">
        <f aca="false">MIN(1,MAX(0,LN(Cost_r/(Slope0*W73))/LN(Keep)-INDEX(K73:P73,C73)))</f>
        <v>0.153057667028847</v>
      </c>
      <c r="Y73" s="12" t="n">
        <f aca="false">IF(1=C73,X73,E73)</f>
        <v>1</v>
      </c>
      <c r="Z73" s="12" t="n">
        <f aca="false">IF(2=C73,X73,F73)</f>
        <v>1</v>
      </c>
      <c r="AA73" s="12" t="n">
        <f aca="false">IF(3=C73,X73,G73)</f>
        <v>1</v>
      </c>
      <c r="AB73" s="12" t="n">
        <f aca="false">IF(4=C73,X73,H73)</f>
        <v>0</v>
      </c>
      <c r="AC73" s="12" t="n">
        <f aca="false">IF(5=C73,X73,I73)</f>
        <v>0</v>
      </c>
      <c r="AD73" s="12" t="n">
        <f aca="false">IF(6=C73,X73,J73)</f>
        <v>0.153057667028847</v>
      </c>
      <c r="AE73" s="12" t="n">
        <f aca="false">SUM($Y73:Y73)</f>
        <v>1</v>
      </c>
      <c r="AF73" s="12" t="n">
        <f aca="false">SUM($Y73:Z73)</f>
        <v>2</v>
      </c>
      <c r="AG73" s="12" t="n">
        <f aca="false">SUM($Y73:AA73)</f>
        <v>3</v>
      </c>
      <c r="AH73" s="12" t="n">
        <f aca="false">SUM($Y73:AB73)</f>
        <v>3</v>
      </c>
      <c r="AI73" s="12" t="n">
        <f aca="false">SUM($Y73:AC73)</f>
        <v>3</v>
      </c>
      <c r="AJ73" s="12" t="n">
        <f aca="false">SUM($Y73:AD73)</f>
        <v>3.15305766702885</v>
      </c>
      <c r="AK73" s="14" t="n">
        <f aca="false">Smax*(1-POWER(Keep,AE73))</f>
        <v>70</v>
      </c>
      <c r="AL73" s="14" t="n">
        <f aca="false">Smax*(1-POWER(Keep,AF73))</f>
        <v>105</v>
      </c>
      <c r="AM73" s="14" t="n">
        <f aca="false">Smax*(1-POWER(Keep,AG73))</f>
        <v>122.5</v>
      </c>
      <c r="AN73" s="14" t="n">
        <f aca="false">Smax*(1-POWER(Keep,AH73))</f>
        <v>122.5</v>
      </c>
      <c r="AO73" s="14" t="n">
        <f aca="false">Smax*(1-POWER(Keep,AI73))</f>
        <v>122.5</v>
      </c>
      <c r="AP73" s="14" t="n">
        <f aca="false">Smax*(1-POWER(Keep,AJ73))</f>
        <v>124.261508644848</v>
      </c>
      <c r="AQ73" s="19" t="n">
        <f aca="false">IF(D73=1,Cash0+SUM(AK73:AP73)-Cost_r*AJ73+A73*AP73,-1000000000)</f>
        <v>1681.00967504986</v>
      </c>
    </row>
    <row r="74" customFormat="false" ht="15" hidden="false" customHeight="false" outlineLevel="0" collapsed="false">
      <c r="A74" s="17" t="n">
        <f aca="false">Credit_10</f>
        <v>10</v>
      </c>
      <c r="B74" s="17" t="n">
        <v>16</v>
      </c>
      <c r="C74" s="17" t="n">
        <v>1</v>
      </c>
      <c r="D74" s="17" t="n">
        <f aca="false">IF($D$16="",1,0)</f>
        <v>1</v>
      </c>
      <c r="E74" s="17" t="n">
        <f aca="false">IF($D$16&lt;&gt;"",$D$16,IF(1&lt;C74,1,0))</f>
        <v>0</v>
      </c>
      <c r="F74" s="17" t="n">
        <f aca="false">IF($E$16&lt;&gt;"",$E$16,IF(2&lt;C74,1,0))</f>
        <v>0</v>
      </c>
      <c r="G74" s="17" t="n">
        <f aca="false">IF($F$16&lt;&gt;"",$F$16,IF(3&lt;C74,1,0))</f>
        <v>0</v>
      </c>
      <c r="H74" s="17" t="n">
        <f aca="false">IF($G$16&lt;&gt;"",$G$16,IF(4&lt;C74,1,0))</f>
        <v>0</v>
      </c>
      <c r="I74" s="17" t="n">
        <f aca="false">IF($H$16&lt;&gt;"",$H$16,IF(5&lt;C74,1,0))</f>
        <v>0</v>
      </c>
      <c r="J74" s="17" t="n">
        <f aca="false">IF($I$16&lt;&gt;"",$I$16,IF(6&lt;C74,1,0))</f>
        <v>0</v>
      </c>
      <c r="K74" s="11" t="n">
        <f aca="false">SUM($E74:E74)</f>
        <v>0</v>
      </c>
      <c r="L74" s="11" t="n">
        <f aca="false">SUM($E74:F74)</f>
        <v>0</v>
      </c>
      <c r="M74" s="11" t="n">
        <f aca="false">SUM($E74:G74)</f>
        <v>0</v>
      </c>
      <c r="N74" s="11" t="n">
        <f aca="false">SUM($E74:H74)</f>
        <v>0</v>
      </c>
      <c r="O74" s="11" t="n">
        <f aca="false">SUM($E74:I74)</f>
        <v>0</v>
      </c>
      <c r="P74" s="11" t="n">
        <f aca="false">SUM($E74:J74)</f>
        <v>0</v>
      </c>
      <c r="Q74" s="12" t="n">
        <f aca="false">IF(1&gt;=C74,POWER(Keep,K74-INDEX(K74:P74,C74)),0)</f>
        <v>1</v>
      </c>
      <c r="R74" s="12" t="n">
        <f aca="false">IF(2&gt;=C74,POWER(Keep,L74-INDEX(K74:P74,C74)),0)</f>
        <v>1</v>
      </c>
      <c r="S74" s="12" t="n">
        <f aca="false">IF(3&gt;=C74,POWER(Keep,M74-INDEX(K74:P74,C74)),0)</f>
        <v>1</v>
      </c>
      <c r="T74" s="12" t="n">
        <f aca="false">IF(4&gt;=C74,POWER(Keep,N74-INDEX(K74:P74,C74)),0)</f>
        <v>1</v>
      </c>
      <c r="U74" s="12" t="n">
        <f aca="false">IF(5&gt;=C74,POWER(Keep,O74-INDEX(K74:P74,C74)),0)</f>
        <v>1</v>
      </c>
      <c r="V74" s="12" t="n">
        <f aca="false">IF(6&gt;=C74,POWER(Keep,P74-INDEX(K74:P74,C74)),0)</f>
        <v>1</v>
      </c>
      <c r="W74" s="12" t="n">
        <f aca="false">SUM(Q74:V74)+A74*POWER(Keep,P74-INDEX(K74:P74,C74))</f>
        <v>16</v>
      </c>
      <c r="X74" s="12" t="n">
        <f aca="false">MIN(1,MAX(0,LN(Cost_r/(Slope0*W74))/LN(Keep)-INDEX(K74:P74,C74)))</f>
        <v>1</v>
      </c>
      <c r="Y74" s="12" t="n">
        <f aca="false">IF(1=C74,X74,E74)</f>
        <v>1</v>
      </c>
      <c r="Z74" s="12" t="n">
        <f aca="false">IF(2=C74,X74,F74)</f>
        <v>0</v>
      </c>
      <c r="AA74" s="12" t="n">
        <f aca="false">IF(3=C74,X74,G74)</f>
        <v>0</v>
      </c>
      <c r="AB74" s="12" t="n">
        <f aca="false">IF(4=C74,X74,H74)</f>
        <v>0</v>
      </c>
      <c r="AC74" s="12" t="n">
        <f aca="false">IF(5=C74,X74,I74)</f>
        <v>0</v>
      </c>
      <c r="AD74" s="12" t="n">
        <f aca="false">IF(6=C74,X74,J74)</f>
        <v>0</v>
      </c>
      <c r="AE74" s="12" t="n">
        <f aca="false">SUM($Y74:Y74)</f>
        <v>1</v>
      </c>
      <c r="AF74" s="12" t="n">
        <f aca="false">SUM($Y74:Z74)</f>
        <v>1</v>
      </c>
      <c r="AG74" s="12" t="n">
        <f aca="false">SUM($Y74:AA74)</f>
        <v>1</v>
      </c>
      <c r="AH74" s="12" t="n">
        <f aca="false">SUM($Y74:AB74)</f>
        <v>1</v>
      </c>
      <c r="AI74" s="12" t="n">
        <f aca="false">SUM($Y74:AC74)</f>
        <v>1</v>
      </c>
      <c r="AJ74" s="12" t="n">
        <f aca="false">SUM($Y74:AD74)</f>
        <v>1</v>
      </c>
      <c r="AK74" s="14" t="n">
        <f aca="false">Smax*(1-POWER(Keep,AE74))</f>
        <v>70</v>
      </c>
      <c r="AL74" s="14" t="n">
        <f aca="false">Smax*(1-POWER(Keep,AF74))</f>
        <v>70</v>
      </c>
      <c r="AM74" s="14" t="n">
        <f aca="false">Smax*(1-POWER(Keep,AG74))</f>
        <v>70</v>
      </c>
      <c r="AN74" s="14" t="n">
        <f aca="false">Smax*(1-POWER(Keep,AH74))</f>
        <v>70</v>
      </c>
      <c r="AO74" s="14" t="n">
        <f aca="false">Smax*(1-POWER(Keep,AI74))</f>
        <v>70</v>
      </c>
      <c r="AP74" s="14" t="n">
        <f aca="false">Smax*(1-POWER(Keep,AJ74))</f>
        <v>70</v>
      </c>
      <c r="AQ74" s="19" t="n">
        <f aca="false">IF(D74=1,Cash0+SUM(AK74:AP74)-Cost_r*AJ74+A74*AP74,-1000000000)</f>
        <v>1150</v>
      </c>
    </row>
    <row r="75" customFormat="false" ht="15" hidden="false" customHeight="false" outlineLevel="0" collapsed="false">
      <c r="A75" s="17" t="n">
        <f aca="false">Credit_10</f>
        <v>10</v>
      </c>
      <c r="B75" s="17" t="n">
        <v>16</v>
      </c>
      <c r="C75" s="17" t="n">
        <v>2</v>
      </c>
      <c r="D75" s="17" t="n">
        <f aca="false">IF($E$16="",1,0)</f>
        <v>1</v>
      </c>
      <c r="E75" s="17" t="n">
        <f aca="false">IF($D$16&lt;&gt;"",$D$16,IF(1&lt;C75,1,0))</f>
        <v>1</v>
      </c>
      <c r="F75" s="17" t="n">
        <f aca="false">IF($E$16&lt;&gt;"",$E$16,IF(2&lt;C75,1,0))</f>
        <v>0</v>
      </c>
      <c r="G75" s="17" t="n">
        <f aca="false">IF($F$16&lt;&gt;"",$F$16,IF(3&lt;C75,1,0))</f>
        <v>0</v>
      </c>
      <c r="H75" s="17" t="n">
        <f aca="false">IF($G$16&lt;&gt;"",$G$16,IF(4&lt;C75,1,0))</f>
        <v>0</v>
      </c>
      <c r="I75" s="17" t="n">
        <f aca="false">IF($H$16&lt;&gt;"",$H$16,IF(5&lt;C75,1,0))</f>
        <v>0</v>
      </c>
      <c r="J75" s="17" t="n">
        <f aca="false">IF($I$16&lt;&gt;"",$I$16,IF(6&lt;C75,1,0))</f>
        <v>0</v>
      </c>
      <c r="K75" s="11" t="n">
        <f aca="false">SUM($E75:E75)</f>
        <v>1</v>
      </c>
      <c r="L75" s="11" t="n">
        <f aca="false">SUM($E75:F75)</f>
        <v>1</v>
      </c>
      <c r="M75" s="11" t="n">
        <f aca="false">SUM($E75:G75)</f>
        <v>1</v>
      </c>
      <c r="N75" s="11" t="n">
        <f aca="false">SUM($E75:H75)</f>
        <v>1</v>
      </c>
      <c r="O75" s="11" t="n">
        <f aca="false">SUM($E75:I75)</f>
        <v>1</v>
      </c>
      <c r="P75" s="11" t="n">
        <f aca="false">SUM($E75:J75)</f>
        <v>1</v>
      </c>
      <c r="Q75" s="12" t="n">
        <f aca="false">IF(1&gt;=C75,POWER(Keep,K75-INDEX(K75:P75,C75)),0)</f>
        <v>0</v>
      </c>
      <c r="R75" s="12" t="n">
        <f aca="false">IF(2&gt;=C75,POWER(Keep,L75-INDEX(K75:P75,C75)),0)</f>
        <v>1</v>
      </c>
      <c r="S75" s="12" t="n">
        <f aca="false">IF(3&gt;=C75,POWER(Keep,M75-INDEX(K75:P75,C75)),0)</f>
        <v>1</v>
      </c>
      <c r="T75" s="12" t="n">
        <f aca="false">IF(4&gt;=C75,POWER(Keep,N75-INDEX(K75:P75,C75)),0)</f>
        <v>1</v>
      </c>
      <c r="U75" s="12" t="n">
        <f aca="false">IF(5&gt;=C75,POWER(Keep,O75-INDEX(K75:P75,C75)),0)</f>
        <v>1</v>
      </c>
      <c r="V75" s="12" t="n">
        <f aca="false">IF(6&gt;=C75,POWER(Keep,P75-INDEX(K75:P75,C75)),0)</f>
        <v>1</v>
      </c>
      <c r="W75" s="12" t="n">
        <f aca="false">SUM(Q75:V75)+A75*POWER(Keep,P75-INDEX(K75:P75,C75))</f>
        <v>15</v>
      </c>
      <c r="X75" s="12" t="n">
        <f aca="false">MIN(1,MAX(0,LN(Cost_r/(Slope0*W75))/LN(Keep)-INDEX(K75:P75,C75)))</f>
        <v>1</v>
      </c>
      <c r="Y75" s="12" t="n">
        <f aca="false">IF(1=C75,X75,E75)</f>
        <v>1</v>
      </c>
      <c r="Z75" s="12" t="n">
        <f aca="false">IF(2=C75,X75,F75)</f>
        <v>1</v>
      </c>
      <c r="AA75" s="12" t="n">
        <f aca="false">IF(3=C75,X75,G75)</f>
        <v>0</v>
      </c>
      <c r="AB75" s="12" t="n">
        <f aca="false">IF(4=C75,X75,H75)</f>
        <v>0</v>
      </c>
      <c r="AC75" s="12" t="n">
        <f aca="false">IF(5=C75,X75,I75)</f>
        <v>0</v>
      </c>
      <c r="AD75" s="12" t="n">
        <f aca="false">IF(6=C75,X75,J75)</f>
        <v>0</v>
      </c>
      <c r="AE75" s="12" t="n">
        <f aca="false">SUM($Y75:Y75)</f>
        <v>1</v>
      </c>
      <c r="AF75" s="12" t="n">
        <f aca="false">SUM($Y75:Z75)</f>
        <v>2</v>
      </c>
      <c r="AG75" s="12" t="n">
        <f aca="false">SUM($Y75:AA75)</f>
        <v>2</v>
      </c>
      <c r="AH75" s="12" t="n">
        <f aca="false">SUM($Y75:AB75)</f>
        <v>2</v>
      </c>
      <c r="AI75" s="12" t="n">
        <f aca="false">SUM($Y75:AC75)</f>
        <v>2</v>
      </c>
      <c r="AJ75" s="12" t="n">
        <f aca="false">SUM($Y75:AD75)</f>
        <v>2</v>
      </c>
      <c r="AK75" s="14" t="n">
        <f aca="false">Smax*(1-POWER(Keep,AE75))</f>
        <v>70</v>
      </c>
      <c r="AL75" s="14" t="n">
        <f aca="false">Smax*(1-POWER(Keep,AF75))</f>
        <v>105</v>
      </c>
      <c r="AM75" s="14" t="n">
        <f aca="false">Smax*(1-POWER(Keep,AG75))</f>
        <v>105</v>
      </c>
      <c r="AN75" s="14" t="n">
        <f aca="false">Smax*(1-POWER(Keep,AH75))</f>
        <v>105</v>
      </c>
      <c r="AO75" s="14" t="n">
        <f aca="false">Smax*(1-POWER(Keep,AI75))</f>
        <v>105</v>
      </c>
      <c r="AP75" s="14" t="n">
        <f aca="false">Smax*(1-POWER(Keep,AJ75))</f>
        <v>105</v>
      </c>
      <c r="AQ75" s="19" t="n">
        <f aca="false">IF(D75=1,Cash0+SUM(AK75:AP75)-Cost_r*AJ75+A75*AP75,-1000000000)</f>
        <v>1555</v>
      </c>
    </row>
    <row r="76" customFormat="false" ht="15" hidden="false" customHeight="false" outlineLevel="0" collapsed="false">
      <c r="A76" s="17" t="n">
        <f aca="false">Credit_10</f>
        <v>10</v>
      </c>
      <c r="B76" s="17" t="n">
        <v>16</v>
      </c>
      <c r="C76" s="17" t="n">
        <v>3</v>
      </c>
      <c r="D76" s="17" t="n">
        <f aca="false">IF($F$16="",1,0)</f>
        <v>1</v>
      </c>
      <c r="E76" s="17" t="n">
        <f aca="false">IF($D$16&lt;&gt;"",$D$16,IF(1&lt;C76,1,0))</f>
        <v>1</v>
      </c>
      <c r="F76" s="17" t="n">
        <f aca="false">IF($E$16&lt;&gt;"",$E$16,IF(2&lt;C76,1,0))</f>
        <v>1</v>
      </c>
      <c r="G76" s="17" t="n">
        <f aca="false">IF($F$16&lt;&gt;"",$F$16,IF(3&lt;C76,1,0))</f>
        <v>0</v>
      </c>
      <c r="H76" s="17" t="n">
        <f aca="false">IF($G$16&lt;&gt;"",$G$16,IF(4&lt;C76,1,0))</f>
        <v>0</v>
      </c>
      <c r="I76" s="17" t="n">
        <f aca="false">IF($H$16&lt;&gt;"",$H$16,IF(5&lt;C76,1,0))</f>
        <v>0</v>
      </c>
      <c r="J76" s="17" t="n">
        <f aca="false">IF($I$16&lt;&gt;"",$I$16,IF(6&lt;C76,1,0))</f>
        <v>0</v>
      </c>
      <c r="K76" s="11" t="n">
        <f aca="false">SUM($E76:E76)</f>
        <v>1</v>
      </c>
      <c r="L76" s="11" t="n">
        <f aca="false">SUM($E76:F76)</f>
        <v>2</v>
      </c>
      <c r="M76" s="11" t="n">
        <f aca="false">SUM($E76:G76)</f>
        <v>2</v>
      </c>
      <c r="N76" s="11" t="n">
        <f aca="false">SUM($E76:H76)</f>
        <v>2</v>
      </c>
      <c r="O76" s="11" t="n">
        <f aca="false">SUM($E76:I76)</f>
        <v>2</v>
      </c>
      <c r="P76" s="11" t="n">
        <f aca="false">SUM($E76:J76)</f>
        <v>2</v>
      </c>
      <c r="Q76" s="12" t="n">
        <f aca="false">IF(1&gt;=C76,POWER(Keep,K76-INDEX(K76:P76,C76)),0)</f>
        <v>0</v>
      </c>
      <c r="R76" s="12" t="n">
        <f aca="false">IF(2&gt;=C76,POWER(Keep,L76-INDEX(K76:P76,C76)),0)</f>
        <v>0</v>
      </c>
      <c r="S76" s="12" t="n">
        <f aca="false">IF(3&gt;=C76,POWER(Keep,M76-INDEX(K76:P76,C76)),0)</f>
        <v>1</v>
      </c>
      <c r="T76" s="12" t="n">
        <f aca="false">IF(4&gt;=C76,POWER(Keep,N76-INDEX(K76:P76,C76)),0)</f>
        <v>1</v>
      </c>
      <c r="U76" s="12" t="n">
        <f aca="false">IF(5&gt;=C76,POWER(Keep,O76-INDEX(K76:P76,C76)),0)</f>
        <v>1</v>
      </c>
      <c r="V76" s="12" t="n">
        <f aca="false">IF(6&gt;=C76,POWER(Keep,P76-INDEX(K76:P76,C76)),0)</f>
        <v>1</v>
      </c>
      <c r="W76" s="12" t="n">
        <f aca="false">SUM(Q76:V76)+A76*POWER(Keep,P76-INDEX(K76:P76,C76))</f>
        <v>14</v>
      </c>
      <c r="X76" s="12" t="n">
        <f aca="false">MIN(1,MAX(0,LN(Cost_r/(Slope0*W76))/LN(Keep)-INDEX(K76:P76,C76)))</f>
        <v>1</v>
      </c>
      <c r="Y76" s="12" t="n">
        <f aca="false">IF(1=C76,X76,E76)</f>
        <v>1</v>
      </c>
      <c r="Z76" s="12" t="n">
        <f aca="false">IF(2=C76,X76,F76)</f>
        <v>1</v>
      </c>
      <c r="AA76" s="12" t="n">
        <f aca="false">IF(3=C76,X76,G76)</f>
        <v>1</v>
      </c>
      <c r="AB76" s="12" t="n">
        <f aca="false">IF(4=C76,X76,H76)</f>
        <v>0</v>
      </c>
      <c r="AC76" s="12" t="n">
        <f aca="false">IF(5=C76,X76,I76)</f>
        <v>0</v>
      </c>
      <c r="AD76" s="12" t="n">
        <f aca="false">IF(6=C76,X76,J76)</f>
        <v>0</v>
      </c>
      <c r="AE76" s="12" t="n">
        <f aca="false">SUM($Y76:Y76)</f>
        <v>1</v>
      </c>
      <c r="AF76" s="12" t="n">
        <f aca="false">SUM($Y76:Z76)</f>
        <v>2</v>
      </c>
      <c r="AG76" s="12" t="n">
        <f aca="false">SUM($Y76:AA76)</f>
        <v>3</v>
      </c>
      <c r="AH76" s="12" t="n">
        <f aca="false">SUM($Y76:AB76)</f>
        <v>3</v>
      </c>
      <c r="AI76" s="12" t="n">
        <f aca="false">SUM($Y76:AC76)</f>
        <v>3</v>
      </c>
      <c r="AJ76" s="12" t="n">
        <f aca="false">SUM($Y76:AD76)</f>
        <v>3</v>
      </c>
      <c r="AK76" s="14" t="n">
        <f aca="false">Smax*(1-POWER(Keep,AE76))</f>
        <v>70</v>
      </c>
      <c r="AL76" s="14" t="n">
        <f aca="false">Smax*(1-POWER(Keep,AF76))</f>
        <v>105</v>
      </c>
      <c r="AM76" s="14" t="n">
        <f aca="false">Smax*(1-POWER(Keep,AG76))</f>
        <v>122.5</v>
      </c>
      <c r="AN76" s="14" t="n">
        <f aca="false">Smax*(1-POWER(Keep,AH76))</f>
        <v>122.5</v>
      </c>
      <c r="AO76" s="14" t="n">
        <f aca="false">Smax*(1-POWER(Keep,AI76))</f>
        <v>122.5</v>
      </c>
      <c r="AP76" s="14" t="n">
        <f aca="false">Smax*(1-POWER(Keep,AJ76))</f>
        <v>122.5</v>
      </c>
      <c r="AQ76" s="19" t="n">
        <f aca="false">IF(D76=1,Cash0+SUM(AK76:AP76)-Cost_r*AJ76+A76*AP76,-1000000000)</f>
        <v>1680</v>
      </c>
    </row>
    <row r="77" customFormat="false" ht="15" hidden="false" customHeight="false" outlineLevel="0" collapsed="false">
      <c r="A77" s="17" t="n">
        <f aca="false">Credit_10</f>
        <v>10</v>
      </c>
      <c r="B77" s="17" t="n">
        <v>16</v>
      </c>
      <c r="C77" s="17" t="n">
        <v>4</v>
      </c>
      <c r="D77" s="17" t="n">
        <f aca="false">IF($G$16="",1,0)</f>
        <v>0</v>
      </c>
      <c r="E77" s="17" t="n">
        <f aca="false">IF($D$16&lt;&gt;"",$D$16,IF(1&lt;C77,1,0))</f>
        <v>1</v>
      </c>
      <c r="F77" s="17" t="n">
        <f aca="false">IF($E$16&lt;&gt;"",$E$16,IF(2&lt;C77,1,0))</f>
        <v>1</v>
      </c>
      <c r="G77" s="17" t="n">
        <f aca="false">IF($F$16&lt;&gt;"",$F$16,IF(3&lt;C77,1,0))</f>
        <v>1</v>
      </c>
      <c r="H77" s="17" t="n">
        <f aca="false">IF($G$16&lt;&gt;"",$G$16,IF(4&lt;C77,1,0))</f>
        <v>0</v>
      </c>
      <c r="I77" s="17" t="n">
        <f aca="false">IF($H$16&lt;&gt;"",$H$16,IF(5&lt;C77,1,0))</f>
        <v>0</v>
      </c>
      <c r="J77" s="17" t="n">
        <f aca="false">IF($I$16&lt;&gt;"",$I$16,IF(6&lt;C77,1,0))</f>
        <v>0</v>
      </c>
      <c r="K77" s="11" t="n">
        <f aca="false">SUM($E77:E77)</f>
        <v>1</v>
      </c>
      <c r="L77" s="11" t="n">
        <f aca="false">SUM($E77:F77)</f>
        <v>2</v>
      </c>
      <c r="M77" s="11" t="n">
        <f aca="false">SUM($E77:G77)</f>
        <v>3</v>
      </c>
      <c r="N77" s="11" t="n">
        <f aca="false">SUM($E77:H77)</f>
        <v>3</v>
      </c>
      <c r="O77" s="11" t="n">
        <f aca="false">SUM($E77:I77)</f>
        <v>3</v>
      </c>
      <c r="P77" s="11" t="n">
        <f aca="false">SUM($E77:J77)</f>
        <v>3</v>
      </c>
      <c r="Q77" s="12" t="n">
        <f aca="false">IF(1&gt;=C77,POWER(Keep,K77-INDEX(K77:P77,C77)),0)</f>
        <v>0</v>
      </c>
      <c r="R77" s="12" t="n">
        <f aca="false">IF(2&gt;=C77,POWER(Keep,L77-INDEX(K77:P77,C77)),0)</f>
        <v>0</v>
      </c>
      <c r="S77" s="12" t="n">
        <f aca="false">IF(3&gt;=C77,POWER(Keep,M77-INDEX(K77:P77,C77)),0)</f>
        <v>0</v>
      </c>
      <c r="T77" s="12" t="n">
        <f aca="false">IF(4&gt;=C77,POWER(Keep,N77-INDEX(K77:P77,C77)),0)</f>
        <v>1</v>
      </c>
      <c r="U77" s="12" t="n">
        <f aca="false">IF(5&gt;=C77,POWER(Keep,O77-INDEX(K77:P77,C77)),0)</f>
        <v>1</v>
      </c>
      <c r="V77" s="12" t="n">
        <f aca="false">IF(6&gt;=C77,POWER(Keep,P77-INDEX(K77:P77,C77)),0)</f>
        <v>1</v>
      </c>
      <c r="W77" s="12" t="n">
        <f aca="false">SUM(Q77:V77)+A77*POWER(Keep,P77-INDEX(K77:P77,C77))</f>
        <v>13</v>
      </c>
      <c r="X77" s="12" t="n">
        <f aca="false">MIN(1,MAX(0,LN(Cost_r/(Slope0*W77))/LN(Keep)-INDEX(K77:P77,C77)))</f>
        <v>0.394065766532643</v>
      </c>
      <c r="Y77" s="12" t="n">
        <f aca="false">IF(1=C77,X77,E77)</f>
        <v>1</v>
      </c>
      <c r="Z77" s="12" t="n">
        <f aca="false">IF(2=C77,X77,F77)</f>
        <v>1</v>
      </c>
      <c r="AA77" s="12" t="n">
        <f aca="false">IF(3=C77,X77,G77)</f>
        <v>1</v>
      </c>
      <c r="AB77" s="12" t="n">
        <f aca="false">IF(4=C77,X77,H77)</f>
        <v>0.394065766532643</v>
      </c>
      <c r="AC77" s="12" t="n">
        <f aca="false">IF(5=C77,X77,I77)</f>
        <v>0</v>
      </c>
      <c r="AD77" s="12" t="n">
        <f aca="false">IF(6=C77,X77,J77)</f>
        <v>0</v>
      </c>
      <c r="AE77" s="12" t="n">
        <f aca="false">SUM($Y77:Y77)</f>
        <v>1</v>
      </c>
      <c r="AF77" s="12" t="n">
        <f aca="false">SUM($Y77:Z77)</f>
        <v>2</v>
      </c>
      <c r="AG77" s="12" t="n">
        <f aca="false">SUM($Y77:AA77)</f>
        <v>3</v>
      </c>
      <c r="AH77" s="12" t="n">
        <f aca="false">SUM($Y77:AB77)</f>
        <v>3.39406576653264</v>
      </c>
      <c r="AI77" s="12" t="n">
        <f aca="false">SUM($Y77:AC77)</f>
        <v>3.39406576653264</v>
      </c>
      <c r="AJ77" s="12" t="n">
        <f aca="false">SUM($Y77:AD77)</f>
        <v>3.39406576653264</v>
      </c>
      <c r="AK77" s="14" t="n">
        <f aca="false">Smax*(1-POWER(Keep,AE77))</f>
        <v>70</v>
      </c>
      <c r="AL77" s="14" t="n">
        <f aca="false">Smax*(1-POWER(Keep,AF77))</f>
        <v>105</v>
      </c>
      <c r="AM77" s="14" t="n">
        <f aca="false">Smax*(1-POWER(Keep,AG77))</f>
        <v>122.5</v>
      </c>
      <c r="AN77" s="14" t="n">
        <f aca="false">Smax*(1-POWER(Keep,AH77))</f>
        <v>126.682815007179</v>
      </c>
      <c r="AO77" s="14" t="n">
        <f aca="false">Smax*(1-POWER(Keep,AI77))</f>
        <v>126.682815007179</v>
      </c>
      <c r="AP77" s="14" t="n">
        <f aca="false">Smax*(1-POWER(Keep,AJ77))</f>
        <v>126.682815007179</v>
      </c>
      <c r="AQ77" s="19" t="n">
        <f aca="false">IF(D77=1,Cash0+SUM(AK77:AP77)-Cost_r*AJ77+A77*AP77,-1000000000)</f>
        <v>-1000000000</v>
      </c>
    </row>
    <row r="78" customFormat="false" ht="15" hidden="false" customHeight="false" outlineLevel="0" collapsed="false">
      <c r="A78" s="17" t="n">
        <f aca="false">Credit_10</f>
        <v>10</v>
      </c>
      <c r="B78" s="17" t="n">
        <v>16</v>
      </c>
      <c r="C78" s="17" t="n">
        <v>5</v>
      </c>
      <c r="D78" s="17" t="n">
        <f aca="false">IF($H$16="",1,0)</f>
        <v>0</v>
      </c>
      <c r="E78" s="17" t="n">
        <f aca="false">IF($D$16&lt;&gt;"",$D$16,IF(1&lt;C78,1,0))</f>
        <v>1</v>
      </c>
      <c r="F78" s="17" t="n">
        <f aca="false">IF($E$16&lt;&gt;"",$E$16,IF(2&lt;C78,1,0))</f>
        <v>1</v>
      </c>
      <c r="G78" s="17" t="n">
        <f aca="false">IF($F$16&lt;&gt;"",$F$16,IF(3&lt;C78,1,0))</f>
        <v>1</v>
      </c>
      <c r="H78" s="17" t="n">
        <f aca="false">IF($G$16&lt;&gt;"",$G$16,IF(4&lt;C78,1,0))</f>
        <v>0</v>
      </c>
      <c r="I78" s="17" t="n">
        <f aca="false">IF($H$16&lt;&gt;"",$H$16,IF(5&lt;C78,1,0))</f>
        <v>0</v>
      </c>
      <c r="J78" s="17" t="n">
        <f aca="false">IF($I$16&lt;&gt;"",$I$16,IF(6&lt;C78,1,0))</f>
        <v>0</v>
      </c>
      <c r="K78" s="11" t="n">
        <f aca="false">SUM($E78:E78)</f>
        <v>1</v>
      </c>
      <c r="L78" s="11" t="n">
        <f aca="false">SUM($E78:F78)</f>
        <v>2</v>
      </c>
      <c r="M78" s="11" t="n">
        <f aca="false">SUM($E78:G78)</f>
        <v>3</v>
      </c>
      <c r="N78" s="11" t="n">
        <f aca="false">SUM($E78:H78)</f>
        <v>3</v>
      </c>
      <c r="O78" s="11" t="n">
        <f aca="false">SUM($E78:I78)</f>
        <v>3</v>
      </c>
      <c r="P78" s="11" t="n">
        <f aca="false">SUM($E78:J78)</f>
        <v>3</v>
      </c>
      <c r="Q78" s="12" t="n">
        <f aca="false">IF(1&gt;=C78,POWER(Keep,K78-INDEX(K78:P78,C78)),0)</f>
        <v>0</v>
      </c>
      <c r="R78" s="12" t="n">
        <f aca="false">IF(2&gt;=C78,POWER(Keep,L78-INDEX(K78:P78,C78)),0)</f>
        <v>0</v>
      </c>
      <c r="S78" s="12" t="n">
        <f aca="false">IF(3&gt;=C78,POWER(Keep,M78-INDEX(K78:P78,C78)),0)</f>
        <v>0</v>
      </c>
      <c r="T78" s="12" t="n">
        <f aca="false">IF(4&gt;=C78,POWER(Keep,N78-INDEX(K78:P78,C78)),0)</f>
        <v>0</v>
      </c>
      <c r="U78" s="12" t="n">
        <f aca="false">IF(5&gt;=C78,POWER(Keep,O78-INDEX(K78:P78,C78)),0)</f>
        <v>1</v>
      </c>
      <c r="V78" s="12" t="n">
        <f aca="false">IF(6&gt;=C78,POWER(Keep,P78-INDEX(K78:P78,C78)),0)</f>
        <v>1</v>
      </c>
      <c r="W78" s="12" t="n">
        <f aca="false">SUM(Q78:V78)+A78*POWER(Keep,P78-INDEX(K78:P78,C78))</f>
        <v>12</v>
      </c>
      <c r="X78" s="12" t="n">
        <f aca="false">MIN(1,MAX(0,LN(Cost_r/(Slope0*W78))/LN(Keep)-INDEX(K78:P78,C78)))</f>
        <v>0.278588549112706</v>
      </c>
      <c r="Y78" s="12" t="n">
        <f aca="false">IF(1=C78,X78,E78)</f>
        <v>1</v>
      </c>
      <c r="Z78" s="12" t="n">
        <f aca="false">IF(2=C78,X78,F78)</f>
        <v>1</v>
      </c>
      <c r="AA78" s="12" t="n">
        <f aca="false">IF(3=C78,X78,G78)</f>
        <v>1</v>
      </c>
      <c r="AB78" s="12" t="n">
        <f aca="false">IF(4=C78,X78,H78)</f>
        <v>0</v>
      </c>
      <c r="AC78" s="12" t="n">
        <f aca="false">IF(5=C78,X78,I78)</f>
        <v>0.278588549112706</v>
      </c>
      <c r="AD78" s="12" t="n">
        <f aca="false">IF(6=C78,X78,J78)</f>
        <v>0</v>
      </c>
      <c r="AE78" s="12" t="n">
        <f aca="false">SUM($Y78:Y78)</f>
        <v>1</v>
      </c>
      <c r="AF78" s="12" t="n">
        <f aca="false">SUM($Y78:Z78)</f>
        <v>2</v>
      </c>
      <c r="AG78" s="12" t="n">
        <f aca="false">SUM($Y78:AA78)</f>
        <v>3</v>
      </c>
      <c r="AH78" s="12" t="n">
        <f aca="false">SUM($Y78:AB78)</f>
        <v>3</v>
      </c>
      <c r="AI78" s="12" t="n">
        <f aca="false">SUM($Y78:AC78)</f>
        <v>3.27858854911271</v>
      </c>
      <c r="AJ78" s="12" t="n">
        <f aca="false">SUM($Y78:AD78)</f>
        <v>3.27858854911271</v>
      </c>
      <c r="AK78" s="14" t="n">
        <f aca="false">Smax*(1-POWER(Keep,AE78))</f>
        <v>70</v>
      </c>
      <c r="AL78" s="14" t="n">
        <f aca="false">Smax*(1-POWER(Keep,AF78))</f>
        <v>105</v>
      </c>
      <c r="AM78" s="14" t="n">
        <f aca="false">Smax*(1-POWER(Keep,AG78))</f>
        <v>122.5</v>
      </c>
      <c r="AN78" s="14" t="n">
        <f aca="false">Smax*(1-POWER(Keep,AH78))</f>
        <v>122.5</v>
      </c>
      <c r="AO78" s="14" t="n">
        <f aca="false">Smax*(1-POWER(Keep,AI78))</f>
        <v>125.57304959111</v>
      </c>
      <c r="AP78" s="14" t="n">
        <f aca="false">Smax*(1-POWER(Keep,AJ78))</f>
        <v>125.57304959111</v>
      </c>
      <c r="AQ78" s="19" t="n">
        <f aca="false">IF(D78=1,Cash0+SUM(AK78:AP78)-Cost_r*AJ78+A78*AP78,-1000000000)</f>
        <v>-1000000000</v>
      </c>
    </row>
    <row r="79" customFormat="false" ht="15" hidden="false" customHeight="false" outlineLevel="0" collapsed="false">
      <c r="A79" s="17" t="n">
        <f aca="false">Credit_10</f>
        <v>10</v>
      </c>
      <c r="B79" s="17" t="n">
        <v>16</v>
      </c>
      <c r="C79" s="17" t="n">
        <v>6</v>
      </c>
      <c r="D79" s="17" t="n">
        <f aca="false">IF($I$16="",1,0)</f>
        <v>0</v>
      </c>
      <c r="E79" s="17" t="n">
        <f aca="false">IF($D$16&lt;&gt;"",$D$16,IF(1&lt;C79,1,0))</f>
        <v>1</v>
      </c>
      <c r="F79" s="17" t="n">
        <f aca="false">IF($E$16&lt;&gt;"",$E$16,IF(2&lt;C79,1,0))</f>
        <v>1</v>
      </c>
      <c r="G79" s="17" t="n">
        <f aca="false">IF($F$16&lt;&gt;"",$F$16,IF(3&lt;C79,1,0))</f>
        <v>1</v>
      </c>
      <c r="H79" s="17" t="n">
        <f aca="false">IF($G$16&lt;&gt;"",$G$16,IF(4&lt;C79,1,0))</f>
        <v>0</v>
      </c>
      <c r="I79" s="17" t="n">
        <f aca="false">IF($H$16&lt;&gt;"",$H$16,IF(5&lt;C79,1,0))</f>
        <v>0</v>
      </c>
      <c r="J79" s="17" t="n">
        <f aca="false">IF($I$16&lt;&gt;"",$I$16,IF(6&lt;C79,1,0))</f>
        <v>0</v>
      </c>
      <c r="K79" s="11" t="n">
        <f aca="false">SUM($E79:E79)</f>
        <v>1</v>
      </c>
      <c r="L79" s="11" t="n">
        <f aca="false">SUM($E79:F79)</f>
        <v>2</v>
      </c>
      <c r="M79" s="11" t="n">
        <f aca="false">SUM($E79:G79)</f>
        <v>3</v>
      </c>
      <c r="N79" s="11" t="n">
        <f aca="false">SUM($E79:H79)</f>
        <v>3</v>
      </c>
      <c r="O79" s="11" t="n">
        <f aca="false">SUM($E79:I79)</f>
        <v>3</v>
      </c>
      <c r="P79" s="11" t="n">
        <f aca="false">SUM($E79:J79)</f>
        <v>3</v>
      </c>
      <c r="Q79" s="12" t="n">
        <f aca="false">IF(1&gt;=C79,POWER(Keep,K79-INDEX(K79:P79,C79)),0)</f>
        <v>0</v>
      </c>
      <c r="R79" s="12" t="n">
        <f aca="false">IF(2&gt;=C79,POWER(Keep,L79-INDEX(K79:P79,C79)),0)</f>
        <v>0</v>
      </c>
      <c r="S79" s="12" t="n">
        <f aca="false">IF(3&gt;=C79,POWER(Keep,M79-INDEX(K79:P79,C79)),0)</f>
        <v>0</v>
      </c>
      <c r="T79" s="12" t="n">
        <f aca="false">IF(4&gt;=C79,POWER(Keep,N79-INDEX(K79:P79,C79)),0)</f>
        <v>0</v>
      </c>
      <c r="U79" s="12" t="n">
        <f aca="false">IF(5&gt;=C79,POWER(Keep,O79-INDEX(K79:P79,C79)),0)</f>
        <v>0</v>
      </c>
      <c r="V79" s="12" t="n">
        <f aca="false">IF(6&gt;=C79,POWER(Keep,P79-INDEX(K79:P79,C79)),0)</f>
        <v>1</v>
      </c>
      <c r="W79" s="12" t="n">
        <f aca="false">SUM(Q79:V79)+A79*POWER(Keep,P79-INDEX(K79:P79,C79))</f>
        <v>11</v>
      </c>
      <c r="X79" s="12" t="n">
        <f aca="false">MIN(1,MAX(0,LN(Cost_r/(Slope0*W79))/LN(Keep)-INDEX(K79:P79,C79)))</f>
        <v>0.153057667028847</v>
      </c>
      <c r="Y79" s="12" t="n">
        <f aca="false">IF(1=C79,X79,E79)</f>
        <v>1</v>
      </c>
      <c r="Z79" s="12" t="n">
        <f aca="false">IF(2=C79,X79,F79)</f>
        <v>1</v>
      </c>
      <c r="AA79" s="12" t="n">
        <f aca="false">IF(3=C79,X79,G79)</f>
        <v>1</v>
      </c>
      <c r="AB79" s="12" t="n">
        <f aca="false">IF(4=C79,X79,H79)</f>
        <v>0</v>
      </c>
      <c r="AC79" s="12" t="n">
        <f aca="false">IF(5=C79,X79,I79)</f>
        <v>0</v>
      </c>
      <c r="AD79" s="12" t="n">
        <f aca="false">IF(6=C79,X79,J79)</f>
        <v>0.153057667028847</v>
      </c>
      <c r="AE79" s="12" t="n">
        <f aca="false">SUM($Y79:Y79)</f>
        <v>1</v>
      </c>
      <c r="AF79" s="12" t="n">
        <f aca="false">SUM($Y79:Z79)</f>
        <v>2</v>
      </c>
      <c r="AG79" s="12" t="n">
        <f aca="false">SUM($Y79:AA79)</f>
        <v>3</v>
      </c>
      <c r="AH79" s="12" t="n">
        <f aca="false">SUM($Y79:AB79)</f>
        <v>3</v>
      </c>
      <c r="AI79" s="12" t="n">
        <f aca="false">SUM($Y79:AC79)</f>
        <v>3</v>
      </c>
      <c r="AJ79" s="12" t="n">
        <f aca="false">SUM($Y79:AD79)</f>
        <v>3.15305766702885</v>
      </c>
      <c r="AK79" s="14" t="n">
        <f aca="false">Smax*(1-POWER(Keep,AE79))</f>
        <v>70</v>
      </c>
      <c r="AL79" s="14" t="n">
        <f aca="false">Smax*(1-POWER(Keep,AF79))</f>
        <v>105</v>
      </c>
      <c r="AM79" s="14" t="n">
        <f aca="false">Smax*(1-POWER(Keep,AG79))</f>
        <v>122.5</v>
      </c>
      <c r="AN79" s="14" t="n">
        <f aca="false">Smax*(1-POWER(Keep,AH79))</f>
        <v>122.5</v>
      </c>
      <c r="AO79" s="14" t="n">
        <f aca="false">Smax*(1-POWER(Keep,AI79))</f>
        <v>122.5</v>
      </c>
      <c r="AP79" s="14" t="n">
        <f aca="false">Smax*(1-POWER(Keep,AJ79))</f>
        <v>124.261508644848</v>
      </c>
      <c r="AQ79" s="19" t="n">
        <f aca="false">IF(D79=1,Cash0+SUM(AK79:AP79)-Cost_r*AJ79+A79*AP79,-1000000000)</f>
        <v>-1000000000</v>
      </c>
    </row>
    <row r="80" customFormat="false" ht="15" hidden="false" customHeight="false" outlineLevel="0" collapsed="false">
      <c r="A80" s="17" t="n">
        <f aca="false">Credit_10</f>
        <v>10</v>
      </c>
      <c r="B80" s="17" t="n">
        <v>17</v>
      </c>
      <c r="C80" s="17" t="n">
        <v>1</v>
      </c>
      <c r="D80" s="17" t="n">
        <f aca="false">IF($D$17="",1,0)</f>
        <v>1</v>
      </c>
      <c r="E80" s="17" t="n">
        <f aca="false">IF($D$17&lt;&gt;"",$D$17,IF(1&lt;C80,1,0))</f>
        <v>0</v>
      </c>
      <c r="F80" s="17" t="n">
        <f aca="false">IF($E$17&lt;&gt;"",$E$17,IF(2&lt;C80,1,0))</f>
        <v>0</v>
      </c>
      <c r="G80" s="17" t="n">
        <f aca="false">IF($F$17&lt;&gt;"",$F$17,IF(3&lt;C80,1,0))</f>
        <v>0</v>
      </c>
      <c r="H80" s="17" t="n">
        <f aca="false">IF($G$17&lt;&gt;"",$G$17,IF(4&lt;C80,1,0))</f>
        <v>0</v>
      </c>
      <c r="I80" s="17" t="n">
        <f aca="false">IF($H$17&lt;&gt;"",$H$17,IF(5&lt;C80,1,0))</f>
        <v>0</v>
      </c>
      <c r="J80" s="17" t="n">
        <f aca="false">IF($I$17&lt;&gt;"",$I$17,IF(6&lt;C80,1,0))</f>
        <v>1</v>
      </c>
      <c r="K80" s="11" t="n">
        <f aca="false">SUM($E80:E80)</f>
        <v>0</v>
      </c>
      <c r="L80" s="11" t="n">
        <f aca="false">SUM($E80:F80)</f>
        <v>0</v>
      </c>
      <c r="M80" s="11" t="n">
        <f aca="false">SUM($E80:G80)</f>
        <v>0</v>
      </c>
      <c r="N80" s="11" t="n">
        <f aca="false">SUM($E80:H80)</f>
        <v>0</v>
      </c>
      <c r="O80" s="11" t="n">
        <f aca="false">SUM($E80:I80)</f>
        <v>0</v>
      </c>
      <c r="P80" s="11" t="n">
        <f aca="false">SUM($E80:J80)</f>
        <v>1</v>
      </c>
      <c r="Q80" s="12" t="n">
        <f aca="false">IF(1&gt;=C80,POWER(Keep,K80-INDEX(K80:P80,C80)),0)</f>
        <v>1</v>
      </c>
      <c r="R80" s="12" t="n">
        <f aca="false">IF(2&gt;=C80,POWER(Keep,L80-INDEX(K80:P80,C80)),0)</f>
        <v>1</v>
      </c>
      <c r="S80" s="12" t="n">
        <f aca="false">IF(3&gt;=C80,POWER(Keep,M80-INDEX(K80:P80,C80)),0)</f>
        <v>1</v>
      </c>
      <c r="T80" s="12" t="n">
        <f aca="false">IF(4&gt;=C80,POWER(Keep,N80-INDEX(K80:P80,C80)),0)</f>
        <v>1</v>
      </c>
      <c r="U80" s="12" t="n">
        <f aca="false">IF(5&gt;=C80,POWER(Keep,O80-INDEX(K80:P80,C80)),0)</f>
        <v>1</v>
      </c>
      <c r="V80" s="12" t="n">
        <f aca="false">IF(6&gt;=C80,POWER(Keep,P80-INDEX(K80:P80,C80)),0)</f>
        <v>0.5</v>
      </c>
      <c r="W80" s="12" t="n">
        <f aca="false">SUM(Q80:V80)+A80*POWER(Keep,P80-INDEX(K80:P80,C80))</f>
        <v>10.5</v>
      </c>
      <c r="X80" s="12" t="n">
        <f aca="false">MIN(1,MAX(0,LN(Cost_r/(Slope0*W80))/LN(Keep)-INDEX(K80:P80,C80)))</f>
        <v>1</v>
      </c>
      <c r="Y80" s="12" t="n">
        <f aca="false">IF(1=C80,X80,E80)</f>
        <v>1</v>
      </c>
      <c r="Z80" s="12" t="n">
        <f aca="false">IF(2=C80,X80,F80)</f>
        <v>0</v>
      </c>
      <c r="AA80" s="12" t="n">
        <f aca="false">IF(3=C80,X80,G80)</f>
        <v>0</v>
      </c>
      <c r="AB80" s="12" t="n">
        <f aca="false">IF(4=C80,X80,H80)</f>
        <v>0</v>
      </c>
      <c r="AC80" s="12" t="n">
        <f aca="false">IF(5=C80,X80,I80)</f>
        <v>0</v>
      </c>
      <c r="AD80" s="12" t="n">
        <f aca="false">IF(6=C80,X80,J80)</f>
        <v>1</v>
      </c>
      <c r="AE80" s="12" t="n">
        <f aca="false">SUM($Y80:Y80)</f>
        <v>1</v>
      </c>
      <c r="AF80" s="12" t="n">
        <f aca="false">SUM($Y80:Z80)</f>
        <v>1</v>
      </c>
      <c r="AG80" s="12" t="n">
        <f aca="false">SUM($Y80:AA80)</f>
        <v>1</v>
      </c>
      <c r="AH80" s="12" t="n">
        <f aca="false">SUM($Y80:AB80)</f>
        <v>1</v>
      </c>
      <c r="AI80" s="12" t="n">
        <f aca="false">SUM($Y80:AC80)</f>
        <v>1</v>
      </c>
      <c r="AJ80" s="12" t="n">
        <f aca="false">SUM($Y80:AD80)</f>
        <v>2</v>
      </c>
      <c r="AK80" s="14" t="n">
        <f aca="false">Smax*(1-POWER(Keep,AE80))</f>
        <v>70</v>
      </c>
      <c r="AL80" s="14" t="n">
        <f aca="false">Smax*(1-POWER(Keep,AF80))</f>
        <v>70</v>
      </c>
      <c r="AM80" s="14" t="n">
        <f aca="false">Smax*(1-POWER(Keep,AG80))</f>
        <v>70</v>
      </c>
      <c r="AN80" s="14" t="n">
        <f aca="false">Smax*(1-POWER(Keep,AH80))</f>
        <v>70</v>
      </c>
      <c r="AO80" s="14" t="n">
        <f aca="false">Smax*(1-POWER(Keep,AI80))</f>
        <v>70</v>
      </c>
      <c r="AP80" s="14" t="n">
        <f aca="false">Smax*(1-POWER(Keep,AJ80))</f>
        <v>105</v>
      </c>
      <c r="AQ80" s="19" t="n">
        <f aca="false">IF(D80=1,Cash0+SUM(AK80:AP80)-Cost_r*AJ80+A80*AP80,-1000000000)</f>
        <v>1415</v>
      </c>
    </row>
    <row r="81" customFormat="false" ht="15" hidden="false" customHeight="false" outlineLevel="0" collapsed="false">
      <c r="A81" s="17" t="n">
        <f aca="false">Credit_10</f>
        <v>10</v>
      </c>
      <c r="B81" s="17" t="n">
        <v>17</v>
      </c>
      <c r="C81" s="17" t="n">
        <v>2</v>
      </c>
      <c r="D81" s="17" t="n">
        <f aca="false">IF($E$17="",1,0)</f>
        <v>1</v>
      </c>
      <c r="E81" s="17" t="n">
        <f aca="false">IF($D$17&lt;&gt;"",$D$17,IF(1&lt;C81,1,0))</f>
        <v>1</v>
      </c>
      <c r="F81" s="17" t="n">
        <f aca="false">IF($E$17&lt;&gt;"",$E$17,IF(2&lt;C81,1,0))</f>
        <v>0</v>
      </c>
      <c r="G81" s="17" t="n">
        <f aca="false">IF($F$17&lt;&gt;"",$F$17,IF(3&lt;C81,1,0))</f>
        <v>0</v>
      </c>
      <c r="H81" s="17" t="n">
        <f aca="false">IF($G$17&lt;&gt;"",$G$17,IF(4&lt;C81,1,0))</f>
        <v>0</v>
      </c>
      <c r="I81" s="17" t="n">
        <f aca="false">IF($H$17&lt;&gt;"",$H$17,IF(5&lt;C81,1,0))</f>
        <v>0</v>
      </c>
      <c r="J81" s="17" t="n">
        <f aca="false">IF($I$17&lt;&gt;"",$I$17,IF(6&lt;C81,1,0))</f>
        <v>1</v>
      </c>
      <c r="K81" s="11" t="n">
        <f aca="false">SUM($E81:E81)</f>
        <v>1</v>
      </c>
      <c r="L81" s="11" t="n">
        <f aca="false">SUM($E81:F81)</f>
        <v>1</v>
      </c>
      <c r="M81" s="11" t="n">
        <f aca="false">SUM($E81:G81)</f>
        <v>1</v>
      </c>
      <c r="N81" s="11" t="n">
        <f aca="false">SUM($E81:H81)</f>
        <v>1</v>
      </c>
      <c r="O81" s="11" t="n">
        <f aca="false">SUM($E81:I81)</f>
        <v>1</v>
      </c>
      <c r="P81" s="11" t="n">
        <f aca="false">SUM($E81:J81)</f>
        <v>2</v>
      </c>
      <c r="Q81" s="12" t="n">
        <f aca="false">IF(1&gt;=C81,POWER(Keep,K81-INDEX(K81:P81,C81)),0)</f>
        <v>0</v>
      </c>
      <c r="R81" s="12" t="n">
        <f aca="false">IF(2&gt;=C81,POWER(Keep,L81-INDEX(K81:P81,C81)),0)</f>
        <v>1</v>
      </c>
      <c r="S81" s="12" t="n">
        <f aca="false">IF(3&gt;=C81,POWER(Keep,M81-INDEX(K81:P81,C81)),0)</f>
        <v>1</v>
      </c>
      <c r="T81" s="12" t="n">
        <f aca="false">IF(4&gt;=C81,POWER(Keep,N81-INDEX(K81:P81,C81)),0)</f>
        <v>1</v>
      </c>
      <c r="U81" s="12" t="n">
        <f aca="false">IF(5&gt;=C81,POWER(Keep,O81-INDEX(K81:P81,C81)),0)</f>
        <v>1</v>
      </c>
      <c r="V81" s="12" t="n">
        <f aca="false">IF(6&gt;=C81,POWER(Keep,P81-INDEX(K81:P81,C81)),0)</f>
        <v>0.5</v>
      </c>
      <c r="W81" s="12" t="n">
        <f aca="false">SUM(Q81:V81)+A81*POWER(Keep,P81-INDEX(K81:P81,C81))</f>
        <v>9.5</v>
      </c>
      <c r="X81" s="12" t="n">
        <f aca="false">MIN(1,MAX(0,LN(Cost_r/(Slope0*W81))/LN(Keep)-INDEX(K81:P81,C81)))</f>
        <v>1</v>
      </c>
      <c r="Y81" s="12" t="n">
        <f aca="false">IF(1=C81,X81,E81)</f>
        <v>1</v>
      </c>
      <c r="Z81" s="12" t="n">
        <f aca="false">IF(2=C81,X81,F81)</f>
        <v>1</v>
      </c>
      <c r="AA81" s="12" t="n">
        <f aca="false">IF(3=C81,X81,G81)</f>
        <v>0</v>
      </c>
      <c r="AB81" s="12" t="n">
        <f aca="false">IF(4=C81,X81,H81)</f>
        <v>0</v>
      </c>
      <c r="AC81" s="12" t="n">
        <f aca="false">IF(5=C81,X81,I81)</f>
        <v>0</v>
      </c>
      <c r="AD81" s="12" t="n">
        <f aca="false">IF(6=C81,X81,J81)</f>
        <v>1</v>
      </c>
      <c r="AE81" s="12" t="n">
        <f aca="false">SUM($Y81:Y81)</f>
        <v>1</v>
      </c>
      <c r="AF81" s="12" t="n">
        <f aca="false">SUM($Y81:Z81)</f>
        <v>2</v>
      </c>
      <c r="AG81" s="12" t="n">
        <f aca="false">SUM($Y81:AA81)</f>
        <v>2</v>
      </c>
      <c r="AH81" s="12" t="n">
        <f aca="false">SUM($Y81:AB81)</f>
        <v>2</v>
      </c>
      <c r="AI81" s="12" t="n">
        <f aca="false">SUM($Y81:AC81)</f>
        <v>2</v>
      </c>
      <c r="AJ81" s="12" t="n">
        <f aca="false">SUM($Y81:AD81)</f>
        <v>3</v>
      </c>
      <c r="AK81" s="14" t="n">
        <f aca="false">Smax*(1-POWER(Keep,AE81))</f>
        <v>70</v>
      </c>
      <c r="AL81" s="14" t="n">
        <f aca="false">Smax*(1-POWER(Keep,AF81))</f>
        <v>105</v>
      </c>
      <c r="AM81" s="14" t="n">
        <f aca="false">Smax*(1-POWER(Keep,AG81))</f>
        <v>105</v>
      </c>
      <c r="AN81" s="14" t="n">
        <f aca="false">Smax*(1-POWER(Keep,AH81))</f>
        <v>105</v>
      </c>
      <c r="AO81" s="14" t="n">
        <f aca="false">Smax*(1-POWER(Keep,AI81))</f>
        <v>105</v>
      </c>
      <c r="AP81" s="14" t="n">
        <f aca="false">Smax*(1-POWER(Keep,AJ81))</f>
        <v>122.5</v>
      </c>
      <c r="AQ81" s="19" t="n">
        <f aca="false">IF(D81=1,Cash0+SUM(AK81:AP81)-Cost_r*AJ81+A81*AP81,-1000000000)</f>
        <v>1627.5</v>
      </c>
    </row>
    <row r="82" customFormat="false" ht="15" hidden="false" customHeight="false" outlineLevel="0" collapsed="false">
      <c r="A82" s="17" t="n">
        <f aca="false">Credit_10</f>
        <v>10</v>
      </c>
      <c r="B82" s="17" t="n">
        <v>17</v>
      </c>
      <c r="C82" s="17" t="n">
        <v>3</v>
      </c>
      <c r="D82" s="17" t="n">
        <f aca="false">IF($F$17="",1,0)</f>
        <v>1</v>
      </c>
      <c r="E82" s="17" t="n">
        <f aca="false">IF($D$17&lt;&gt;"",$D$17,IF(1&lt;C82,1,0))</f>
        <v>1</v>
      </c>
      <c r="F82" s="17" t="n">
        <f aca="false">IF($E$17&lt;&gt;"",$E$17,IF(2&lt;C82,1,0))</f>
        <v>1</v>
      </c>
      <c r="G82" s="17" t="n">
        <f aca="false">IF($F$17&lt;&gt;"",$F$17,IF(3&lt;C82,1,0))</f>
        <v>0</v>
      </c>
      <c r="H82" s="17" t="n">
        <f aca="false">IF($G$17&lt;&gt;"",$G$17,IF(4&lt;C82,1,0))</f>
        <v>0</v>
      </c>
      <c r="I82" s="17" t="n">
        <f aca="false">IF($H$17&lt;&gt;"",$H$17,IF(5&lt;C82,1,0))</f>
        <v>0</v>
      </c>
      <c r="J82" s="17" t="n">
        <f aca="false">IF($I$17&lt;&gt;"",$I$17,IF(6&lt;C82,1,0))</f>
        <v>1</v>
      </c>
      <c r="K82" s="11" t="n">
        <f aca="false">SUM($E82:E82)</f>
        <v>1</v>
      </c>
      <c r="L82" s="11" t="n">
        <f aca="false">SUM($E82:F82)</f>
        <v>2</v>
      </c>
      <c r="M82" s="11" t="n">
        <f aca="false">SUM($E82:G82)</f>
        <v>2</v>
      </c>
      <c r="N82" s="11" t="n">
        <f aca="false">SUM($E82:H82)</f>
        <v>2</v>
      </c>
      <c r="O82" s="11" t="n">
        <f aca="false">SUM($E82:I82)</f>
        <v>2</v>
      </c>
      <c r="P82" s="11" t="n">
        <f aca="false">SUM($E82:J82)</f>
        <v>3</v>
      </c>
      <c r="Q82" s="12" t="n">
        <f aca="false">IF(1&gt;=C82,POWER(Keep,K82-INDEX(K82:P82,C82)),0)</f>
        <v>0</v>
      </c>
      <c r="R82" s="12" t="n">
        <f aca="false">IF(2&gt;=C82,POWER(Keep,L82-INDEX(K82:P82,C82)),0)</f>
        <v>0</v>
      </c>
      <c r="S82" s="12" t="n">
        <f aca="false">IF(3&gt;=C82,POWER(Keep,M82-INDEX(K82:P82,C82)),0)</f>
        <v>1</v>
      </c>
      <c r="T82" s="12" t="n">
        <f aca="false">IF(4&gt;=C82,POWER(Keep,N82-INDEX(K82:P82,C82)),0)</f>
        <v>1</v>
      </c>
      <c r="U82" s="12" t="n">
        <f aca="false">IF(5&gt;=C82,POWER(Keep,O82-INDEX(K82:P82,C82)),0)</f>
        <v>1</v>
      </c>
      <c r="V82" s="12" t="n">
        <f aca="false">IF(6&gt;=C82,POWER(Keep,P82-INDEX(K82:P82,C82)),0)</f>
        <v>0.5</v>
      </c>
      <c r="W82" s="12" t="n">
        <f aca="false">SUM(Q82:V82)+A82*POWER(Keep,P82-INDEX(K82:P82,C82))</f>
        <v>8.5</v>
      </c>
      <c r="X82" s="12" t="n">
        <f aca="false">MIN(1,MAX(0,LN(Cost_r/(Slope0*W82))/LN(Keep)-INDEX(K82:P82,C82)))</f>
        <v>0.78108888964189</v>
      </c>
      <c r="Y82" s="12" t="n">
        <f aca="false">IF(1=C82,X82,E82)</f>
        <v>1</v>
      </c>
      <c r="Z82" s="12" t="n">
        <f aca="false">IF(2=C82,X82,F82)</f>
        <v>1</v>
      </c>
      <c r="AA82" s="12" t="n">
        <f aca="false">IF(3=C82,X82,G82)</f>
        <v>0.78108888964189</v>
      </c>
      <c r="AB82" s="12" t="n">
        <f aca="false">IF(4=C82,X82,H82)</f>
        <v>0</v>
      </c>
      <c r="AC82" s="12" t="n">
        <f aca="false">IF(5=C82,X82,I82)</f>
        <v>0</v>
      </c>
      <c r="AD82" s="12" t="n">
        <f aca="false">IF(6=C82,X82,J82)</f>
        <v>1</v>
      </c>
      <c r="AE82" s="12" t="n">
        <f aca="false">SUM($Y82:Y82)</f>
        <v>1</v>
      </c>
      <c r="AF82" s="12" t="n">
        <f aca="false">SUM($Y82:Z82)</f>
        <v>2</v>
      </c>
      <c r="AG82" s="12" t="n">
        <f aca="false">SUM($Y82:AA82)</f>
        <v>2.78108888964189</v>
      </c>
      <c r="AH82" s="12" t="n">
        <f aca="false">SUM($Y82:AB82)</f>
        <v>2.78108888964189</v>
      </c>
      <c r="AI82" s="12" t="n">
        <f aca="false">SUM($Y82:AC82)</f>
        <v>2.78108888964189</v>
      </c>
      <c r="AJ82" s="12" t="n">
        <f aca="false">SUM($Y82:AD82)</f>
        <v>3.78108888964189</v>
      </c>
      <c r="AK82" s="14" t="n">
        <f aca="false">Smax*(1-POWER(Keep,AE82))</f>
        <v>70</v>
      </c>
      <c r="AL82" s="14" t="n">
        <f aca="false">Smax*(1-POWER(Keep,AF82))</f>
        <v>105</v>
      </c>
      <c r="AM82" s="14" t="n">
        <f aca="false">Smax*(1-POWER(Keep,AG82))</f>
        <v>119.632540599215</v>
      </c>
      <c r="AN82" s="14" t="n">
        <f aca="false">Smax*(1-POWER(Keep,AH82))</f>
        <v>119.632540599215</v>
      </c>
      <c r="AO82" s="14" t="n">
        <f aca="false">Smax*(1-POWER(Keep,AI82))</f>
        <v>119.632540599215</v>
      </c>
      <c r="AP82" s="14" t="n">
        <f aca="false">Smax*(1-POWER(Keep,AJ82))</f>
        <v>129.816270299607</v>
      </c>
      <c r="AQ82" s="19" t="n">
        <f aca="false">IF(D82=1,Cash0+SUM(AK82:AP82)-Cost_r*AJ82+A82*AP82,-1000000000)</f>
        <v>1658.1459283363</v>
      </c>
    </row>
    <row r="83" customFormat="false" ht="15" hidden="false" customHeight="false" outlineLevel="0" collapsed="false">
      <c r="A83" s="17" t="n">
        <f aca="false">Credit_10</f>
        <v>10</v>
      </c>
      <c r="B83" s="17" t="n">
        <v>17</v>
      </c>
      <c r="C83" s="17" t="n">
        <v>4</v>
      </c>
      <c r="D83" s="17" t="n">
        <f aca="false">IF($G$17="",1,0)</f>
        <v>0</v>
      </c>
      <c r="E83" s="17" t="n">
        <f aca="false">IF($D$17&lt;&gt;"",$D$17,IF(1&lt;C83,1,0))</f>
        <v>1</v>
      </c>
      <c r="F83" s="17" t="n">
        <f aca="false">IF($E$17&lt;&gt;"",$E$17,IF(2&lt;C83,1,0))</f>
        <v>1</v>
      </c>
      <c r="G83" s="17" t="n">
        <f aca="false">IF($F$17&lt;&gt;"",$F$17,IF(3&lt;C83,1,0))</f>
        <v>1</v>
      </c>
      <c r="H83" s="17" t="n">
        <f aca="false">IF($G$17&lt;&gt;"",$G$17,IF(4&lt;C83,1,0))</f>
        <v>0</v>
      </c>
      <c r="I83" s="17" t="n">
        <f aca="false">IF($H$17&lt;&gt;"",$H$17,IF(5&lt;C83,1,0))</f>
        <v>0</v>
      </c>
      <c r="J83" s="17" t="n">
        <f aca="false">IF($I$17&lt;&gt;"",$I$17,IF(6&lt;C83,1,0))</f>
        <v>1</v>
      </c>
      <c r="K83" s="11" t="n">
        <f aca="false">SUM($E83:E83)</f>
        <v>1</v>
      </c>
      <c r="L83" s="11" t="n">
        <f aca="false">SUM($E83:F83)</f>
        <v>2</v>
      </c>
      <c r="M83" s="11" t="n">
        <f aca="false">SUM($E83:G83)</f>
        <v>3</v>
      </c>
      <c r="N83" s="11" t="n">
        <f aca="false">SUM($E83:H83)</f>
        <v>3</v>
      </c>
      <c r="O83" s="11" t="n">
        <f aca="false">SUM($E83:I83)</f>
        <v>3</v>
      </c>
      <c r="P83" s="11" t="n">
        <f aca="false">SUM($E83:J83)</f>
        <v>4</v>
      </c>
      <c r="Q83" s="12" t="n">
        <f aca="false">IF(1&gt;=C83,POWER(Keep,K83-INDEX(K83:P83,C83)),0)</f>
        <v>0</v>
      </c>
      <c r="R83" s="12" t="n">
        <f aca="false">IF(2&gt;=C83,POWER(Keep,L83-INDEX(K83:P83,C83)),0)</f>
        <v>0</v>
      </c>
      <c r="S83" s="12" t="n">
        <f aca="false">IF(3&gt;=C83,POWER(Keep,M83-INDEX(K83:P83,C83)),0)</f>
        <v>0</v>
      </c>
      <c r="T83" s="12" t="n">
        <f aca="false">IF(4&gt;=C83,POWER(Keep,N83-INDEX(K83:P83,C83)),0)</f>
        <v>1</v>
      </c>
      <c r="U83" s="12" t="n">
        <f aca="false">IF(5&gt;=C83,POWER(Keep,O83-INDEX(K83:P83,C83)),0)</f>
        <v>1</v>
      </c>
      <c r="V83" s="12" t="n">
        <f aca="false">IF(6&gt;=C83,POWER(Keep,P83-INDEX(K83:P83,C83)),0)</f>
        <v>0.5</v>
      </c>
      <c r="W83" s="12" t="n">
        <f aca="false">SUM(Q83:V83)+A83*POWER(Keep,P83-INDEX(K83:P83,C83))</f>
        <v>7.5</v>
      </c>
      <c r="X83" s="12" t="n">
        <f aca="false">MIN(1,MAX(0,LN(Cost_r/(Slope0*W83))/LN(Keep)-INDEX(K83:P83,C83)))</f>
        <v>0</v>
      </c>
      <c r="Y83" s="12" t="n">
        <f aca="false">IF(1=C83,X83,E83)</f>
        <v>1</v>
      </c>
      <c r="Z83" s="12" t="n">
        <f aca="false">IF(2=C83,X83,F83)</f>
        <v>1</v>
      </c>
      <c r="AA83" s="12" t="n">
        <f aca="false">IF(3=C83,X83,G83)</f>
        <v>1</v>
      </c>
      <c r="AB83" s="12" t="n">
        <f aca="false">IF(4=C83,X83,H83)</f>
        <v>0</v>
      </c>
      <c r="AC83" s="12" t="n">
        <f aca="false">IF(5=C83,X83,I83)</f>
        <v>0</v>
      </c>
      <c r="AD83" s="12" t="n">
        <f aca="false">IF(6=C83,X83,J83)</f>
        <v>1</v>
      </c>
      <c r="AE83" s="12" t="n">
        <f aca="false">SUM($Y83:Y83)</f>
        <v>1</v>
      </c>
      <c r="AF83" s="12" t="n">
        <f aca="false">SUM($Y83:Z83)</f>
        <v>2</v>
      </c>
      <c r="AG83" s="12" t="n">
        <f aca="false">SUM($Y83:AA83)</f>
        <v>3</v>
      </c>
      <c r="AH83" s="12" t="n">
        <f aca="false">SUM($Y83:AB83)</f>
        <v>3</v>
      </c>
      <c r="AI83" s="12" t="n">
        <f aca="false">SUM($Y83:AC83)</f>
        <v>3</v>
      </c>
      <c r="AJ83" s="12" t="n">
        <f aca="false">SUM($Y83:AD83)</f>
        <v>4</v>
      </c>
      <c r="AK83" s="14" t="n">
        <f aca="false">Smax*(1-POWER(Keep,AE83))</f>
        <v>70</v>
      </c>
      <c r="AL83" s="14" t="n">
        <f aca="false">Smax*(1-POWER(Keep,AF83))</f>
        <v>105</v>
      </c>
      <c r="AM83" s="14" t="n">
        <f aca="false">Smax*(1-POWER(Keep,AG83))</f>
        <v>122.5</v>
      </c>
      <c r="AN83" s="14" t="n">
        <f aca="false">Smax*(1-POWER(Keep,AH83))</f>
        <v>122.5</v>
      </c>
      <c r="AO83" s="14" t="n">
        <f aca="false">Smax*(1-POWER(Keep,AI83))</f>
        <v>122.5</v>
      </c>
      <c r="AP83" s="14" t="n">
        <f aca="false">Smax*(1-POWER(Keep,AJ83))</f>
        <v>131.25</v>
      </c>
      <c r="AQ83" s="19" t="n">
        <f aca="false">IF(D83=1,Cash0+SUM(AK83:AP83)-Cost_r*AJ83+A83*AP83,-1000000000)</f>
        <v>-1000000000</v>
      </c>
    </row>
    <row r="84" customFormat="false" ht="15" hidden="false" customHeight="false" outlineLevel="0" collapsed="false">
      <c r="A84" s="17" t="n">
        <f aca="false">Credit_10</f>
        <v>10</v>
      </c>
      <c r="B84" s="17" t="n">
        <v>17</v>
      </c>
      <c r="C84" s="17" t="n">
        <v>5</v>
      </c>
      <c r="D84" s="17" t="n">
        <f aca="false">IF($H$17="",1,0)</f>
        <v>0</v>
      </c>
      <c r="E84" s="17" t="n">
        <f aca="false">IF($D$17&lt;&gt;"",$D$17,IF(1&lt;C84,1,0))</f>
        <v>1</v>
      </c>
      <c r="F84" s="17" t="n">
        <f aca="false">IF($E$17&lt;&gt;"",$E$17,IF(2&lt;C84,1,0))</f>
        <v>1</v>
      </c>
      <c r="G84" s="17" t="n">
        <f aca="false">IF($F$17&lt;&gt;"",$F$17,IF(3&lt;C84,1,0))</f>
        <v>1</v>
      </c>
      <c r="H84" s="17" t="n">
        <f aca="false">IF($G$17&lt;&gt;"",$G$17,IF(4&lt;C84,1,0))</f>
        <v>0</v>
      </c>
      <c r="I84" s="17" t="n">
        <f aca="false">IF($H$17&lt;&gt;"",$H$17,IF(5&lt;C84,1,0))</f>
        <v>0</v>
      </c>
      <c r="J84" s="17" t="n">
        <f aca="false">IF($I$17&lt;&gt;"",$I$17,IF(6&lt;C84,1,0))</f>
        <v>1</v>
      </c>
      <c r="K84" s="11" t="n">
        <f aca="false">SUM($E84:E84)</f>
        <v>1</v>
      </c>
      <c r="L84" s="11" t="n">
        <f aca="false">SUM($E84:F84)</f>
        <v>2</v>
      </c>
      <c r="M84" s="11" t="n">
        <f aca="false">SUM($E84:G84)</f>
        <v>3</v>
      </c>
      <c r="N84" s="11" t="n">
        <f aca="false">SUM($E84:H84)</f>
        <v>3</v>
      </c>
      <c r="O84" s="11" t="n">
        <f aca="false">SUM($E84:I84)</f>
        <v>3</v>
      </c>
      <c r="P84" s="11" t="n">
        <f aca="false">SUM($E84:J84)</f>
        <v>4</v>
      </c>
      <c r="Q84" s="12" t="n">
        <f aca="false">IF(1&gt;=C84,POWER(Keep,K84-INDEX(K84:P84,C84)),0)</f>
        <v>0</v>
      </c>
      <c r="R84" s="12" t="n">
        <f aca="false">IF(2&gt;=C84,POWER(Keep,L84-INDEX(K84:P84,C84)),0)</f>
        <v>0</v>
      </c>
      <c r="S84" s="12" t="n">
        <f aca="false">IF(3&gt;=C84,POWER(Keep,M84-INDEX(K84:P84,C84)),0)</f>
        <v>0</v>
      </c>
      <c r="T84" s="12" t="n">
        <f aca="false">IF(4&gt;=C84,POWER(Keep,N84-INDEX(K84:P84,C84)),0)</f>
        <v>0</v>
      </c>
      <c r="U84" s="12" t="n">
        <f aca="false">IF(5&gt;=C84,POWER(Keep,O84-INDEX(K84:P84,C84)),0)</f>
        <v>1</v>
      </c>
      <c r="V84" s="12" t="n">
        <f aca="false">IF(6&gt;=C84,POWER(Keep,P84-INDEX(K84:P84,C84)),0)</f>
        <v>0.5</v>
      </c>
      <c r="W84" s="12" t="n">
        <f aca="false">SUM(Q84:V84)+A84*POWER(Keep,P84-INDEX(K84:P84,C84))</f>
        <v>6.5</v>
      </c>
      <c r="X84" s="12" t="n">
        <f aca="false">MIN(1,MAX(0,LN(Cost_r/(Slope0*W84))/LN(Keep)-INDEX(K84:P84,C84)))</f>
        <v>0</v>
      </c>
      <c r="Y84" s="12" t="n">
        <f aca="false">IF(1=C84,X84,E84)</f>
        <v>1</v>
      </c>
      <c r="Z84" s="12" t="n">
        <f aca="false">IF(2=C84,X84,F84)</f>
        <v>1</v>
      </c>
      <c r="AA84" s="12" t="n">
        <f aca="false">IF(3=C84,X84,G84)</f>
        <v>1</v>
      </c>
      <c r="AB84" s="12" t="n">
        <f aca="false">IF(4=C84,X84,H84)</f>
        <v>0</v>
      </c>
      <c r="AC84" s="12" t="n">
        <f aca="false">IF(5=C84,X84,I84)</f>
        <v>0</v>
      </c>
      <c r="AD84" s="12" t="n">
        <f aca="false">IF(6=C84,X84,J84)</f>
        <v>1</v>
      </c>
      <c r="AE84" s="12" t="n">
        <f aca="false">SUM($Y84:Y84)</f>
        <v>1</v>
      </c>
      <c r="AF84" s="12" t="n">
        <f aca="false">SUM($Y84:Z84)</f>
        <v>2</v>
      </c>
      <c r="AG84" s="12" t="n">
        <f aca="false">SUM($Y84:AA84)</f>
        <v>3</v>
      </c>
      <c r="AH84" s="12" t="n">
        <f aca="false">SUM($Y84:AB84)</f>
        <v>3</v>
      </c>
      <c r="AI84" s="12" t="n">
        <f aca="false">SUM($Y84:AC84)</f>
        <v>3</v>
      </c>
      <c r="AJ84" s="12" t="n">
        <f aca="false">SUM($Y84:AD84)</f>
        <v>4</v>
      </c>
      <c r="AK84" s="14" t="n">
        <f aca="false">Smax*(1-POWER(Keep,AE84))</f>
        <v>70</v>
      </c>
      <c r="AL84" s="14" t="n">
        <f aca="false">Smax*(1-POWER(Keep,AF84))</f>
        <v>105</v>
      </c>
      <c r="AM84" s="14" t="n">
        <f aca="false">Smax*(1-POWER(Keep,AG84))</f>
        <v>122.5</v>
      </c>
      <c r="AN84" s="14" t="n">
        <f aca="false">Smax*(1-POWER(Keep,AH84))</f>
        <v>122.5</v>
      </c>
      <c r="AO84" s="14" t="n">
        <f aca="false">Smax*(1-POWER(Keep,AI84))</f>
        <v>122.5</v>
      </c>
      <c r="AP84" s="14" t="n">
        <f aca="false">Smax*(1-POWER(Keep,AJ84))</f>
        <v>131.25</v>
      </c>
      <c r="AQ84" s="19" t="n">
        <f aca="false">IF(D84=1,Cash0+SUM(AK84:AP84)-Cost_r*AJ84+A84*AP84,-1000000000)</f>
        <v>-1000000000</v>
      </c>
    </row>
    <row r="85" customFormat="false" ht="15" hidden="false" customHeight="false" outlineLevel="0" collapsed="false">
      <c r="A85" s="17" t="n">
        <f aca="false">Credit_10</f>
        <v>10</v>
      </c>
      <c r="B85" s="17" t="n">
        <v>17</v>
      </c>
      <c r="C85" s="17" t="n">
        <v>6</v>
      </c>
      <c r="D85" s="17" t="n">
        <f aca="false">IF($I$17="",1,0)</f>
        <v>0</v>
      </c>
      <c r="E85" s="17" t="n">
        <f aca="false">IF($D$17&lt;&gt;"",$D$17,IF(1&lt;C85,1,0))</f>
        <v>1</v>
      </c>
      <c r="F85" s="17" t="n">
        <f aca="false">IF($E$17&lt;&gt;"",$E$17,IF(2&lt;C85,1,0))</f>
        <v>1</v>
      </c>
      <c r="G85" s="17" t="n">
        <f aca="false">IF($F$17&lt;&gt;"",$F$17,IF(3&lt;C85,1,0))</f>
        <v>1</v>
      </c>
      <c r="H85" s="17" t="n">
        <f aca="false">IF($G$17&lt;&gt;"",$G$17,IF(4&lt;C85,1,0))</f>
        <v>0</v>
      </c>
      <c r="I85" s="17" t="n">
        <f aca="false">IF($H$17&lt;&gt;"",$H$17,IF(5&lt;C85,1,0))</f>
        <v>0</v>
      </c>
      <c r="J85" s="17" t="n">
        <f aca="false">IF($I$17&lt;&gt;"",$I$17,IF(6&lt;C85,1,0))</f>
        <v>1</v>
      </c>
      <c r="K85" s="11" t="n">
        <f aca="false">SUM($E85:E85)</f>
        <v>1</v>
      </c>
      <c r="L85" s="11" t="n">
        <f aca="false">SUM($E85:F85)</f>
        <v>2</v>
      </c>
      <c r="M85" s="11" t="n">
        <f aca="false">SUM($E85:G85)</f>
        <v>3</v>
      </c>
      <c r="N85" s="11" t="n">
        <f aca="false">SUM($E85:H85)</f>
        <v>3</v>
      </c>
      <c r="O85" s="11" t="n">
        <f aca="false">SUM($E85:I85)</f>
        <v>3</v>
      </c>
      <c r="P85" s="11" t="n">
        <f aca="false">SUM($E85:J85)</f>
        <v>4</v>
      </c>
      <c r="Q85" s="12" t="n">
        <f aca="false">IF(1&gt;=C85,POWER(Keep,K85-INDEX(K85:P85,C85)),0)</f>
        <v>0</v>
      </c>
      <c r="R85" s="12" t="n">
        <f aca="false">IF(2&gt;=C85,POWER(Keep,L85-INDEX(K85:P85,C85)),0)</f>
        <v>0</v>
      </c>
      <c r="S85" s="12" t="n">
        <f aca="false">IF(3&gt;=C85,POWER(Keep,M85-INDEX(K85:P85,C85)),0)</f>
        <v>0</v>
      </c>
      <c r="T85" s="12" t="n">
        <f aca="false">IF(4&gt;=C85,POWER(Keep,N85-INDEX(K85:P85,C85)),0)</f>
        <v>0</v>
      </c>
      <c r="U85" s="12" t="n">
        <f aca="false">IF(5&gt;=C85,POWER(Keep,O85-INDEX(K85:P85,C85)),0)</f>
        <v>0</v>
      </c>
      <c r="V85" s="12" t="n">
        <f aca="false">IF(6&gt;=C85,POWER(Keep,P85-INDEX(K85:P85,C85)),0)</f>
        <v>1</v>
      </c>
      <c r="W85" s="12" t="n">
        <f aca="false">SUM(Q85:V85)+A85*POWER(Keep,P85-INDEX(K85:P85,C85))</f>
        <v>11</v>
      </c>
      <c r="X85" s="12" t="n">
        <f aca="false">MIN(1,MAX(0,LN(Cost_r/(Slope0*W85))/LN(Keep)-INDEX(K85:P85,C85)))</f>
        <v>0</v>
      </c>
      <c r="Y85" s="12" t="n">
        <f aca="false">IF(1=C85,X85,E85)</f>
        <v>1</v>
      </c>
      <c r="Z85" s="12" t="n">
        <f aca="false">IF(2=C85,X85,F85)</f>
        <v>1</v>
      </c>
      <c r="AA85" s="12" t="n">
        <f aca="false">IF(3=C85,X85,G85)</f>
        <v>1</v>
      </c>
      <c r="AB85" s="12" t="n">
        <f aca="false">IF(4=C85,X85,H85)</f>
        <v>0</v>
      </c>
      <c r="AC85" s="12" t="n">
        <f aca="false">IF(5=C85,X85,I85)</f>
        <v>0</v>
      </c>
      <c r="AD85" s="12" t="n">
        <f aca="false">IF(6=C85,X85,J85)</f>
        <v>0</v>
      </c>
      <c r="AE85" s="12" t="n">
        <f aca="false">SUM($Y85:Y85)</f>
        <v>1</v>
      </c>
      <c r="AF85" s="12" t="n">
        <f aca="false">SUM($Y85:Z85)</f>
        <v>2</v>
      </c>
      <c r="AG85" s="12" t="n">
        <f aca="false">SUM($Y85:AA85)</f>
        <v>3</v>
      </c>
      <c r="AH85" s="12" t="n">
        <f aca="false">SUM($Y85:AB85)</f>
        <v>3</v>
      </c>
      <c r="AI85" s="12" t="n">
        <f aca="false">SUM($Y85:AC85)</f>
        <v>3</v>
      </c>
      <c r="AJ85" s="12" t="n">
        <f aca="false">SUM($Y85:AD85)</f>
        <v>3</v>
      </c>
      <c r="AK85" s="14" t="n">
        <f aca="false">Smax*(1-POWER(Keep,AE85))</f>
        <v>70</v>
      </c>
      <c r="AL85" s="14" t="n">
        <f aca="false">Smax*(1-POWER(Keep,AF85))</f>
        <v>105</v>
      </c>
      <c r="AM85" s="14" t="n">
        <f aca="false">Smax*(1-POWER(Keep,AG85))</f>
        <v>122.5</v>
      </c>
      <c r="AN85" s="14" t="n">
        <f aca="false">Smax*(1-POWER(Keep,AH85))</f>
        <v>122.5</v>
      </c>
      <c r="AO85" s="14" t="n">
        <f aca="false">Smax*(1-POWER(Keep,AI85))</f>
        <v>122.5</v>
      </c>
      <c r="AP85" s="14" t="n">
        <f aca="false">Smax*(1-POWER(Keep,AJ85))</f>
        <v>122.5</v>
      </c>
      <c r="AQ85" s="19" t="n">
        <f aca="false">IF(D85=1,Cash0+SUM(AK85:AP85)-Cost_r*AJ85+A85*AP85,-1000000000)</f>
        <v>-1000000000</v>
      </c>
    </row>
    <row r="86" customFormat="false" ht="15" hidden="false" customHeight="false" outlineLevel="0" collapsed="false">
      <c r="A86" s="17" t="n">
        <f aca="false">Credit_10</f>
        <v>10</v>
      </c>
      <c r="B86" s="17" t="n">
        <v>18</v>
      </c>
      <c r="C86" s="17" t="n">
        <v>1</v>
      </c>
      <c r="D86" s="17" t="n">
        <f aca="false">IF($D$18="",1,0)</f>
        <v>1</v>
      </c>
      <c r="E86" s="17" t="n">
        <f aca="false">IF($D$18&lt;&gt;"",$D$18,IF(1&lt;C86,1,0))</f>
        <v>0</v>
      </c>
      <c r="F86" s="17" t="n">
        <f aca="false">IF($E$18&lt;&gt;"",$E$18,IF(2&lt;C86,1,0))</f>
        <v>0</v>
      </c>
      <c r="G86" s="17" t="n">
        <f aca="false">IF($F$18&lt;&gt;"",$F$18,IF(3&lt;C86,1,0))</f>
        <v>0</v>
      </c>
      <c r="H86" s="17" t="n">
        <f aca="false">IF($G$18&lt;&gt;"",$G$18,IF(4&lt;C86,1,0))</f>
        <v>0</v>
      </c>
      <c r="I86" s="17" t="n">
        <f aca="false">IF($H$18&lt;&gt;"",$H$18,IF(5&lt;C86,1,0))</f>
        <v>1</v>
      </c>
      <c r="J86" s="17" t="n">
        <f aca="false">IF($I$18&lt;&gt;"",$I$18,IF(6&lt;C86,1,0))</f>
        <v>0</v>
      </c>
      <c r="K86" s="11" t="n">
        <f aca="false">SUM($E86:E86)</f>
        <v>0</v>
      </c>
      <c r="L86" s="11" t="n">
        <f aca="false">SUM($E86:F86)</f>
        <v>0</v>
      </c>
      <c r="M86" s="11" t="n">
        <f aca="false">SUM($E86:G86)</f>
        <v>0</v>
      </c>
      <c r="N86" s="11" t="n">
        <f aca="false">SUM($E86:H86)</f>
        <v>0</v>
      </c>
      <c r="O86" s="11" t="n">
        <f aca="false">SUM($E86:I86)</f>
        <v>1</v>
      </c>
      <c r="P86" s="11" t="n">
        <f aca="false">SUM($E86:J86)</f>
        <v>1</v>
      </c>
      <c r="Q86" s="12" t="n">
        <f aca="false">IF(1&gt;=C86,POWER(Keep,K86-INDEX(K86:P86,C86)),0)</f>
        <v>1</v>
      </c>
      <c r="R86" s="12" t="n">
        <f aca="false">IF(2&gt;=C86,POWER(Keep,L86-INDEX(K86:P86,C86)),0)</f>
        <v>1</v>
      </c>
      <c r="S86" s="12" t="n">
        <f aca="false">IF(3&gt;=C86,POWER(Keep,M86-INDEX(K86:P86,C86)),0)</f>
        <v>1</v>
      </c>
      <c r="T86" s="12" t="n">
        <f aca="false">IF(4&gt;=C86,POWER(Keep,N86-INDEX(K86:P86,C86)),0)</f>
        <v>1</v>
      </c>
      <c r="U86" s="12" t="n">
        <f aca="false">IF(5&gt;=C86,POWER(Keep,O86-INDEX(K86:P86,C86)),0)</f>
        <v>0.5</v>
      </c>
      <c r="V86" s="12" t="n">
        <f aca="false">IF(6&gt;=C86,POWER(Keep,P86-INDEX(K86:P86,C86)),0)</f>
        <v>0.5</v>
      </c>
      <c r="W86" s="12" t="n">
        <f aca="false">SUM(Q86:V86)+A86*POWER(Keep,P86-INDEX(K86:P86,C86))</f>
        <v>10</v>
      </c>
      <c r="X86" s="12" t="n">
        <f aca="false">MIN(1,MAX(0,LN(Cost_r/(Slope0*W86))/LN(Keep)-INDEX(K86:P86,C86)))</f>
        <v>1</v>
      </c>
      <c r="Y86" s="12" t="n">
        <f aca="false">IF(1=C86,X86,E86)</f>
        <v>1</v>
      </c>
      <c r="Z86" s="12" t="n">
        <f aca="false">IF(2=C86,X86,F86)</f>
        <v>0</v>
      </c>
      <c r="AA86" s="12" t="n">
        <f aca="false">IF(3=C86,X86,G86)</f>
        <v>0</v>
      </c>
      <c r="AB86" s="12" t="n">
        <f aca="false">IF(4=C86,X86,H86)</f>
        <v>0</v>
      </c>
      <c r="AC86" s="12" t="n">
        <f aca="false">IF(5=C86,X86,I86)</f>
        <v>1</v>
      </c>
      <c r="AD86" s="12" t="n">
        <f aca="false">IF(6=C86,X86,J86)</f>
        <v>0</v>
      </c>
      <c r="AE86" s="12" t="n">
        <f aca="false">SUM($Y86:Y86)</f>
        <v>1</v>
      </c>
      <c r="AF86" s="12" t="n">
        <f aca="false">SUM($Y86:Z86)</f>
        <v>1</v>
      </c>
      <c r="AG86" s="12" t="n">
        <f aca="false">SUM($Y86:AA86)</f>
        <v>1</v>
      </c>
      <c r="AH86" s="12" t="n">
        <f aca="false">SUM($Y86:AB86)</f>
        <v>1</v>
      </c>
      <c r="AI86" s="12" t="n">
        <f aca="false">SUM($Y86:AC86)</f>
        <v>2</v>
      </c>
      <c r="AJ86" s="12" t="n">
        <f aca="false">SUM($Y86:AD86)</f>
        <v>2</v>
      </c>
      <c r="AK86" s="14" t="n">
        <f aca="false">Smax*(1-POWER(Keep,AE86))</f>
        <v>70</v>
      </c>
      <c r="AL86" s="14" t="n">
        <f aca="false">Smax*(1-POWER(Keep,AF86))</f>
        <v>70</v>
      </c>
      <c r="AM86" s="14" t="n">
        <f aca="false">Smax*(1-POWER(Keep,AG86))</f>
        <v>70</v>
      </c>
      <c r="AN86" s="14" t="n">
        <f aca="false">Smax*(1-POWER(Keep,AH86))</f>
        <v>70</v>
      </c>
      <c r="AO86" s="14" t="n">
        <f aca="false">Smax*(1-POWER(Keep,AI86))</f>
        <v>105</v>
      </c>
      <c r="AP86" s="14" t="n">
        <f aca="false">Smax*(1-POWER(Keep,AJ86))</f>
        <v>105</v>
      </c>
      <c r="AQ86" s="19" t="n">
        <f aca="false">IF(D86=1,Cash0+SUM(AK86:AP86)-Cost_r*AJ86+A86*AP86,-1000000000)</f>
        <v>1450</v>
      </c>
    </row>
    <row r="87" customFormat="false" ht="15" hidden="false" customHeight="false" outlineLevel="0" collapsed="false">
      <c r="A87" s="17" t="n">
        <f aca="false">Credit_10</f>
        <v>10</v>
      </c>
      <c r="B87" s="17" t="n">
        <v>18</v>
      </c>
      <c r="C87" s="17" t="n">
        <v>2</v>
      </c>
      <c r="D87" s="17" t="n">
        <f aca="false">IF($E$18="",1,0)</f>
        <v>1</v>
      </c>
      <c r="E87" s="17" t="n">
        <f aca="false">IF($D$18&lt;&gt;"",$D$18,IF(1&lt;C87,1,0))</f>
        <v>1</v>
      </c>
      <c r="F87" s="17" t="n">
        <f aca="false">IF($E$18&lt;&gt;"",$E$18,IF(2&lt;C87,1,0))</f>
        <v>0</v>
      </c>
      <c r="G87" s="17" t="n">
        <f aca="false">IF($F$18&lt;&gt;"",$F$18,IF(3&lt;C87,1,0))</f>
        <v>0</v>
      </c>
      <c r="H87" s="17" t="n">
        <f aca="false">IF($G$18&lt;&gt;"",$G$18,IF(4&lt;C87,1,0))</f>
        <v>0</v>
      </c>
      <c r="I87" s="17" t="n">
        <f aca="false">IF($H$18&lt;&gt;"",$H$18,IF(5&lt;C87,1,0))</f>
        <v>1</v>
      </c>
      <c r="J87" s="17" t="n">
        <f aca="false">IF($I$18&lt;&gt;"",$I$18,IF(6&lt;C87,1,0))</f>
        <v>0</v>
      </c>
      <c r="K87" s="11" t="n">
        <f aca="false">SUM($E87:E87)</f>
        <v>1</v>
      </c>
      <c r="L87" s="11" t="n">
        <f aca="false">SUM($E87:F87)</f>
        <v>1</v>
      </c>
      <c r="M87" s="11" t="n">
        <f aca="false">SUM($E87:G87)</f>
        <v>1</v>
      </c>
      <c r="N87" s="11" t="n">
        <f aca="false">SUM($E87:H87)</f>
        <v>1</v>
      </c>
      <c r="O87" s="11" t="n">
        <f aca="false">SUM($E87:I87)</f>
        <v>2</v>
      </c>
      <c r="P87" s="11" t="n">
        <f aca="false">SUM($E87:J87)</f>
        <v>2</v>
      </c>
      <c r="Q87" s="12" t="n">
        <f aca="false">IF(1&gt;=C87,POWER(Keep,K87-INDEX(K87:P87,C87)),0)</f>
        <v>0</v>
      </c>
      <c r="R87" s="12" t="n">
        <f aca="false">IF(2&gt;=C87,POWER(Keep,L87-INDEX(K87:P87,C87)),0)</f>
        <v>1</v>
      </c>
      <c r="S87" s="12" t="n">
        <f aca="false">IF(3&gt;=C87,POWER(Keep,M87-INDEX(K87:P87,C87)),0)</f>
        <v>1</v>
      </c>
      <c r="T87" s="12" t="n">
        <f aca="false">IF(4&gt;=C87,POWER(Keep,N87-INDEX(K87:P87,C87)),0)</f>
        <v>1</v>
      </c>
      <c r="U87" s="12" t="n">
        <f aca="false">IF(5&gt;=C87,POWER(Keep,O87-INDEX(K87:P87,C87)),0)</f>
        <v>0.5</v>
      </c>
      <c r="V87" s="12" t="n">
        <f aca="false">IF(6&gt;=C87,POWER(Keep,P87-INDEX(K87:P87,C87)),0)</f>
        <v>0.5</v>
      </c>
      <c r="W87" s="12" t="n">
        <f aca="false">SUM(Q87:V87)+A87*POWER(Keep,P87-INDEX(K87:P87,C87))</f>
        <v>9</v>
      </c>
      <c r="X87" s="12" t="n">
        <f aca="false">MIN(1,MAX(0,LN(Cost_r/(Slope0*W87))/LN(Keep)-INDEX(K87:P87,C87)))</f>
        <v>1</v>
      </c>
      <c r="Y87" s="12" t="n">
        <f aca="false">IF(1=C87,X87,E87)</f>
        <v>1</v>
      </c>
      <c r="Z87" s="12" t="n">
        <f aca="false">IF(2=C87,X87,F87)</f>
        <v>1</v>
      </c>
      <c r="AA87" s="12" t="n">
        <f aca="false">IF(3=C87,X87,G87)</f>
        <v>0</v>
      </c>
      <c r="AB87" s="12" t="n">
        <f aca="false">IF(4=C87,X87,H87)</f>
        <v>0</v>
      </c>
      <c r="AC87" s="12" t="n">
        <f aca="false">IF(5=C87,X87,I87)</f>
        <v>1</v>
      </c>
      <c r="AD87" s="12" t="n">
        <f aca="false">IF(6=C87,X87,J87)</f>
        <v>0</v>
      </c>
      <c r="AE87" s="12" t="n">
        <f aca="false">SUM($Y87:Y87)</f>
        <v>1</v>
      </c>
      <c r="AF87" s="12" t="n">
        <f aca="false">SUM($Y87:Z87)</f>
        <v>2</v>
      </c>
      <c r="AG87" s="12" t="n">
        <f aca="false">SUM($Y87:AA87)</f>
        <v>2</v>
      </c>
      <c r="AH87" s="12" t="n">
        <f aca="false">SUM($Y87:AB87)</f>
        <v>2</v>
      </c>
      <c r="AI87" s="12" t="n">
        <f aca="false">SUM($Y87:AC87)</f>
        <v>3</v>
      </c>
      <c r="AJ87" s="12" t="n">
        <f aca="false">SUM($Y87:AD87)</f>
        <v>3</v>
      </c>
      <c r="AK87" s="14" t="n">
        <f aca="false">Smax*(1-POWER(Keep,AE87))</f>
        <v>70</v>
      </c>
      <c r="AL87" s="14" t="n">
        <f aca="false">Smax*(1-POWER(Keep,AF87))</f>
        <v>105</v>
      </c>
      <c r="AM87" s="14" t="n">
        <f aca="false">Smax*(1-POWER(Keep,AG87))</f>
        <v>105</v>
      </c>
      <c r="AN87" s="14" t="n">
        <f aca="false">Smax*(1-POWER(Keep,AH87))</f>
        <v>105</v>
      </c>
      <c r="AO87" s="14" t="n">
        <f aca="false">Smax*(1-POWER(Keep,AI87))</f>
        <v>122.5</v>
      </c>
      <c r="AP87" s="14" t="n">
        <f aca="false">Smax*(1-POWER(Keep,AJ87))</f>
        <v>122.5</v>
      </c>
      <c r="AQ87" s="19" t="n">
        <f aca="false">IF(D87=1,Cash0+SUM(AK87:AP87)-Cost_r*AJ87+A87*AP87,-1000000000)</f>
        <v>1645</v>
      </c>
    </row>
    <row r="88" customFormat="false" ht="15" hidden="false" customHeight="false" outlineLevel="0" collapsed="false">
      <c r="A88" s="17" t="n">
        <f aca="false">Credit_10</f>
        <v>10</v>
      </c>
      <c r="B88" s="17" t="n">
        <v>18</v>
      </c>
      <c r="C88" s="17" t="n">
        <v>3</v>
      </c>
      <c r="D88" s="17" t="n">
        <f aca="false">IF($F$18="",1,0)</f>
        <v>1</v>
      </c>
      <c r="E88" s="17" t="n">
        <f aca="false">IF($D$18&lt;&gt;"",$D$18,IF(1&lt;C88,1,0))</f>
        <v>1</v>
      </c>
      <c r="F88" s="17" t="n">
        <f aca="false">IF($E$18&lt;&gt;"",$E$18,IF(2&lt;C88,1,0))</f>
        <v>1</v>
      </c>
      <c r="G88" s="17" t="n">
        <f aca="false">IF($F$18&lt;&gt;"",$F$18,IF(3&lt;C88,1,0))</f>
        <v>0</v>
      </c>
      <c r="H88" s="17" t="n">
        <f aca="false">IF($G$18&lt;&gt;"",$G$18,IF(4&lt;C88,1,0))</f>
        <v>0</v>
      </c>
      <c r="I88" s="17" t="n">
        <f aca="false">IF($H$18&lt;&gt;"",$H$18,IF(5&lt;C88,1,0))</f>
        <v>1</v>
      </c>
      <c r="J88" s="17" t="n">
        <f aca="false">IF($I$18&lt;&gt;"",$I$18,IF(6&lt;C88,1,0))</f>
        <v>0</v>
      </c>
      <c r="K88" s="11" t="n">
        <f aca="false">SUM($E88:E88)</f>
        <v>1</v>
      </c>
      <c r="L88" s="11" t="n">
        <f aca="false">SUM($E88:F88)</f>
        <v>2</v>
      </c>
      <c r="M88" s="11" t="n">
        <f aca="false">SUM($E88:G88)</f>
        <v>2</v>
      </c>
      <c r="N88" s="11" t="n">
        <f aca="false">SUM($E88:H88)</f>
        <v>2</v>
      </c>
      <c r="O88" s="11" t="n">
        <f aca="false">SUM($E88:I88)</f>
        <v>3</v>
      </c>
      <c r="P88" s="11" t="n">
        <f aca="false">SUM($E88:J88)</f>
        <v>3</v>
      </c>
      <c r="Q88" s="12" t="n">
        <f aca="false">IF(1&gt;=C88,POWER(Keep,K88-INDEX(K88:P88,C88)),0)</f>
        <v>0</v>
      </c>
      <c r="R88" s="12" t="n">
        <f aca="false">IF(2&gt;=C88,POWER(Keep,L88-INDEX(K88:P88,C88)),0)</f>
        <v>0</v>
      </c>
      <c r="S88" s="12" t="n">
        <f aca="false">IF(3&gt;=C88,POWER(Keep,M88-INDEX(K88:P88,C88)),0)</f>
        <v>1</v>
      </c>
      <c r="T88" s="12" t="n">
        <f aca="false">IF(4&gt;=C88,POWER(Keep,N88-INDEX(K88:P88,C88)),0)</f>
        <v>1</v>
      </c>
      <c r="U88" s="12" t="n">
        <f aca="false">IF(5&gt;=C88,POWER(Keep,O88-INDEX(K88:P88,C88)),0)</f>
        <v>0.5</v>
      </c>
      <c r="V88" s="12" t="n">
        <f aca="false">IF(6&gt;=C88,POWER(Keep,P88-INDEX(K88:P88,C88)),0)</f>
        <v>0.5</v>
      </c>
      <c r="W88" s="12" t="n">
        <f aca="false">SUM(Q88:V88)+A88*POWER(Keep,P88-INDEX(K88:P88,C88))</f>
        <v>8</v>
      </c>
      <c r="X88" s="12" t="n">
        <f aca="false">MIN(1,MAX(0,LN(Cost_r/(Slope0*W88))/LN(Keep)-INDEX(K88:P88,C88)))</f>
        <v>0.69362604839155</v>
      </c>
      <c r="Y88" s="12" t="n">
        <f aca="false">IF(1=C88,X88,E88)</f>
        <v>1</v>
      </c>
      <c r="Z88" s="12" t="n">
        <f aca="false">IF(2=C88,X88,F88)</f>
        <v>1</v>
      </c>
      <c r="AA88" s="12" t="n">
        <f aca="false">IF(3=C88,X88,G88)</f>
        <v>0.69362604839155</v>
      </c>
      <c r="AB88" s="12" t="n">
        <f aca="false">IF(4=C88,X88,H88)</f>
        <v>0</v>
      </c>
      <c r="AC88" s="12" t="n">
        <f aca="false">IF(5=C88,X88,I88)</f>
        <v>1</v>
      </c>
      <c r="AD88" s="12" t="n">
        <f aca="false">IF(6=C88,X88,J88)</f>
        <v>0</v>
      </c>
      <c r="AE88" s="12" t="n">
        <f aca="false">SUM($Y88:Y88)</f>
        <v>1</v>
      </c>
      <c r="AF88" s="12" t="n">
        <f aca="false">SUM($Y88:Z88)</f>
        <v>2</v>
      </c>
      <c r="AG88" s="12" t="n">
        <f aca="false">SUM($Y88:AA88)</f>
        <v>2.69362604839155</v>
      </c>
      <c r="AH88" s="12" t="n">
        <f aca="false">SUM($Y88:AB88)</f>
        <v>2.69362604839155</v>
      </c>
      <c r="AI88" s="12" t="n">
        <f aca="false">SUM($Y88:AC88)</f>
        <v>3.69362604839155</v>
      </c>
      <c r="AJ88" s="12" t="n">
        <f aca="false">SUM($Y88:AD88)</f>
        <v>3.69362604839155</v>
      </c>
      <c r="AK88" s="14" t="n">
        <f aca="false">Smax*(1-POWER(Keep,AE88))</f>
        <v>70</v>
      </c>
      <c r="AL88" s="14" t="n">
        <f aca="false">Smax*(1-POWER(Keep,AF88))</f>
        <v>105</v>
      </c>
      <c r="AM88" s="14" t="n">
        <f aca="false">Smax*(1-POWER(Keep,AG88))</f>
        <v>118.359574386666</v>
      </c>
      <c r="AN88" s="14" t="n">
        <f aca="false">Smax*(1-POWER(Keep,AH88))</f>
        <v>118.359574386666</v>
      </c>
      <c r="AO88" s="14" t="n">
        <f aca="false">Smax*(1-POWER(Keep,AI88))</f>
        <v>129.179787193333</v>
      </c>
      <c r="AP88" s="14" t="n">
        <f aca="false">Smax*(1-POWER(Keep,AJ88))</f>
        <v>129.179787193333</v>
      </c>
      <c r="AQ88" s="19" t="n">
        <f aca="false">IF(D88=1,Cash0+SUM(AK88:AP88)-Cost_r*AJ88+A88*AP88,-1000000000)</f>
        <v>1668.64146928634</v>
      </c>
    </row>
    <row r="89" customFormat="false" ht="15" hidden="false" customHeight="false" outlineLevel="0" collapsed="false">
      <c r="A89" s="17" t="n">
        <f aca="false">Credit_10</f>
        <v>10</v>
      </c>
      <c r="B89" s="17" t="n">
        <v>18</v>
      </c>
      <c r="C89" s="17" t="n">
        <v>4</v>
      </c>
      <c r="D89" s="17" t="n">
        <f aca="false">IF($G$18="",1,0)</f>
        <v>0</v>
      </c>
      <c r="E89" s="17" t="n">
        <f aca="false">IF($D$18&lt;&gt;"",$D$18,IF(1&lt;C89,1,0))</f>
        <v>1</v>
      </c>
      <c r="F89" s="17" t="n">
        <f aca="false">IF($E$18&lt;&gt;"",$E$18,IF(2&lt;C89,1,0))</f>
        <v>1</v>
      </c>
      <c r="G89" s="17" t="n">
        <f aca="false">IF($F$18&lt;&gt;"",$F$18,IF(3&lt;C89,1,0))</f>
        <v>1</v>
      </c>
      <c r="H89" s="17" t="n">
        <f aca="false">IF($G$18&lt;&gt;"",$G$18,IF(4&lt;C89,1,0))</f>
        <v>0</v>
      </c>
      <c r="I89" s="17" t="n">
        <f aca="false">IF($H$18&lt;&gt;"",$H$18,IF(5&lt;C89,1,0))</f>
        <v>1</v>
      </c>
      <c r="J89" s="17" t="n">
        <f aca="false">IF($I$18&lt;&gt;"",$I$18,IF(6&lt;C89,1,0))</f>
        <v>0</v>
      </c>
      <c r="K89" s="11" t="n">
        <f aca="false">SUM($E89:E89)</f>
        <v>1</v>
      </c>
      <c r="L89" s="11" t="n">
        <f aca="false">SUM($E89:F89)</f>
        <v>2</v>
      </c>
      <c r="M89" s="11" t="n">
        <f aca="false">SUM($E89:G89)</f>
        <v>3</v>
      </c>
      <c r="N89" s="11" t="n">
        <f aca="false">SUM($E89:H89)</f>
        <v>3</v>
      </c>
      <c r="O89" s="11" t="n">
        <f aca="false">SUM($E89:I89)</f>
        <v>4</v>
      </c>
      <c r="P89" s="11" t="n">
        <f aca="false">SUM($E89:J89)</f>
        <v>4</v>
      </c>
      <c r="Q89" s="12" t="n">
        <f aca="false">IF(1&gt;=C89,POWER(Keep,K89-INDEX(K89:P89,C89)),0)</f>
        <v>0</v>
      </c>
      <c r="R89" s="12" t="n">
        <f aca="false">IF(2&gt;=C89,POWER(Keep,L89-INDEX(K89:P89,C89)),0)</f>
        <v>0</v>
      </c>
      <c r="S89" s="12" t="n">
        <f aca="false">IF(3&gt;=C89,POWER(Keep,M89-INDEX(K89:P89,C89)),0)</f>
        <v>0</v>
      </c>
      <c r="T89" s="12" t="n">
        <f aca="false">IF(4&gt;=C89,POWER(Keep,N89-INDEX(K89:P89,C89)),0)</f>
        <v>1</v>
      </c>
      <c r="U89" s="12" t="n">
        <f aca="false">IF(5&gt;=C89,POWER(Keep,O89-INDEX(K89:P89,C89)),0)</f>
        <v>0.5</v>
      </c>
      <c r="V89" s="12" t="n">
        <f aca="false">IF(6&gt;=C89,POWER(Keep,P89-INDEX(K89:P89,C89)),0)</f>
        <v>0.5</v>
      </c>
      <c r="W89" s="12" t="n">
        <f aca="false">SUM(Q89:V89)+A89*POWER(Keep,P89-INDEX(K89:P89,C89))</f>
        <v>7</v>
      </c>
      <c r="X89" s="12" t="n">
        <f aca="false">MIN(1,MAX(0,LN(Cost_r/(Slope0*W89))/LN(Keep)-INDEX(K89:P89,C89)))</f>
        <v>0</v>
      </c>
      <c r="Y89" s="12" t="n">
        <f aca="false">IF(1=C89,X89,E89)</f>
        <v>1</v>
      </c>
      <c r="Z89" s="12" t="n">
        <f aca="false">IF(2=C89,X89,F89)</f>
        <v>1</v>
      </c>
      <c r="AA89" s="12" t="n">
        <f aca="false">IF(3=C89,X89,G89)</f>
        <v>1</v>
      </c>
      <c r="AB89" s="12" t="n">
        <f aca="false">IF(4=C89,X89,H89)</f>
        <v>0</v>
      </c>
      <c r="AC89" s="12" t="n">
        <f aca="false">IF(5=C89,X89,I89)</f>
        <v>1</v>
      </c>
      <c r="AD89" s="12" t="n">
        <f aca="false">IF(6=C89,X89,J89)</f>
        <v>0</v>
      </c>
      <c r="AE89" s="12" t="n">
        <f aca="false">SUM($Y89:Y89)</f>
        <v>1</v>
      </c>
      <c r="AF89" s="12" t="n">
        <f aca="false">SUM($Y89:Z89)</f>
        <v>2</v>
      </c>
      <c r="AG89" s="12" t="n">
        <f aca="false">SUM($Y89:AA89)</f>
        <v>3</v>
      </c>
      <c r="AH89" s="12" t="n">
        <f aca="false">SUM($Y89:AB89)</f>
        <v>3</v>
      </c>
      <c r="AI89" s="12" t="n">
        <f aca="false">SUM($Y89:AC89)</f>
        <v>4</v>
      </c>
      <c r="AJ89" s="12" t="n">
        <f aca="false">SUM($Y89:AD89)</f>
        <v>4</v>
      </c>
      <c r="AK89" s="14" t="n">
        <f aca="false">Smax*(1-POWER(Keep,AE89))</f>
        <v>70</v>
      </c>
      <c r="AL89" s="14" t="n">
        <f aca="false">Smax*(1-POWER(Keep,AF89))</f>
        <v>105</v>
      </c>
      <c r="AM89" s="14" t="n">
        <f aca="false">Smax*(1-POWER(Keep,AG89))</f>
        <v>122.5</v>
      </c>
      <c r="AN89" s="14" t="n">
        <f aca="false">Smax*(1-POWER(Keep,AH89))</f>
        <v>122.5</v>
      </c>
      <c r="AO89" s="14" t="n">
        <f aca="false">Smax*(1-POWER(Keep,AI89))</f>
        <v>131.25</v>
      </c>
      <c r="AP89" s="14" t="n">
        <f aca="false">Smax*(1-POWER(Keep,AJ89))</f>
        <v>131.25</v>
      </c>
      <c r="AQ89" s="19" t="n">
        <f aca="false">IF(D89=1,Cash0+SUM(AK89:AP89)-Cost_r*AJ89+A89*AP89,-1000000000)</f>
        <v>-1000000000</v>
      </c>
    </row>
    <row r="90" customFormat="false" ht="15" hidden="false" customHeight="false" outlineLevel="0" collapsed="false">
      <c r="A90" s="17" t="n">
        <f aca="false">Credit_10</f>
        <v>10</v>
      </c>
      <c r="B90" s="17" t="n">
        <v>18</v>
      </c>
      <c r="C90" s="17" t="n">
        <v>5</v>
      </c>
      <c r="D90" s="17" t="n">
        <f aca="false">IF($H$18="",1,0)</f>
        <v>0</v>
      </c>
      <c r="E90" s="17" t="n">
        <f aca="false">IF($D$18&lt;&gt;"",$D$18,IF(1&lt;C90,1,0))</f>
        <v>1</v>
      </c>
      <c r="F90" s="17" t="n">
        <f aca="false">IF($E$18&lt;&gt;"",$E$18,IF(2&lt;C90,1,0))</f>
        <v>1</v>
      </c>
      <c r="G90" s="17" t="n">
        <f aca="false">IF($F$18&lt;&gt;"",$F$18,IF(3&lt;C90,1,0))</f>
        <v>1</v>
      </c>
      <c r="H90" s="17" t="n">
        <f aca="false">IF($G$18&lt;&gt;"",$G$18,IF(4&lt;C90,1,0))</f>
        <v>0</v>
      </c>
      <c r="I90" s="17" t="n">
        <f aca="false">IF($H$18&lt;&gt;"",$H$18,IF(5&lt;C90,1,0))</f>
        <v>1</v>
      </c>
      <c r="J90" s="17" t="n">
        <f aca="false">IF($I$18&lt;&gt;"",$I$18,IF(6&lt;C90,1,0))</f>
        <v>0</v>
      </c>
      <c r="K90" s="11" t="n">
        <f aca="false">SUM($E90:E90)</f>
        <v>1</v>
      </c>
      <c r="L90" s="11" t="n">
        <f aca="false">SUM($E90:F90)</f>
        <v>2</v>
      </c>
      <c r="M90" s="11" t="n">
        <f aca="false">SUM($E90:G90)</f>
        <v>3</v>
      </c>
      <c r="N90" s="11" t="n">
        <f aca="false">SUM($E90:H90)</f>
        <v>3</v>
      </c>
      <c r="O90" s="11" t="n">
        <f aca="false">SUM($E90:I90)</f>
        <v>4</v>
      </c>
      <c r="P90" s="11" t="n">
        <f aca="false">SUM($E90:J90)</f>
        <v>4</v>
      </c>
      <c r="Q90" s="12" t="n">
        <f aca="false">IF(1&gt;=C90,POWER(Keep,K90-INDEX(K90:P90,C90)),0)</f>
        <v>0</v>
      </c>
      <c r="R90" s="12" t="n">
        <f aca="false">IF(2&gt;=C90,POWER(Keep,L90-INDEX(K90:P90,C90)),0)</f>
        <v>0</v>
      </c>
      <c r="S90" s="12" t="n">
        <f aca="false">IF(3&gt;=C90,POWER(Keep,M90-INDEX(K90:P90,C90)),0)</f>
        <v>0</v>
      </c>
      <c r="T90" s="12" t="n">
        <f aca="false">IF(4&gt;=C90,POWER(Keep,N90-INDEX(K90:P90,C90)),0)</f>
        <v>0</v>
      </c>
      <c r="U90" s="12" t="n">
        <f aca="false">IF(5&gt;=C90,POWER(Keep,O90-INDEX(K90:P90,C90)),0)</f>
        <v>1</v>
      </c>
      <c r="V90" s="12" t="n">
        <f aca="false">IF(6&gt;=C90,POWER(Keep,P90-INDEX(K90:P90,C90)),0)</f>
        <v>1</v>
      </c>
      <c r="W90" s="12" t="n">
        <f aca="false">SUM(Q90:V90)+A90*POWER(Keep,P90-INDEX(K90:P90,C90))</f>
        <v>12</v>
      </c>
      <c r="X90" s="12" t="n">
        <f aca="false">MIN(1,MAX(0,LN(Cost_r/(Slope0*W90))/LN(Keep)-INDEX(K90:P90,C90)))</f>
        <v>0</v>
      </c>
      <c r="Y90" s="12" t="n">
        <f aca="false">IF(1=C90,X90,E90)</f>
        <v>1</v>
      </c>
      <c r="Z90" s="12" t="n">
        <f aca="false">IF(2=C90,X90,F90)</f>
        <v>1</v>
      </c>
      <c r="AA90" s="12" t="n">
        <f aca="false">IF(3=C90,X90,G90)</f>
        <v>1</v>
      </c>
      <c r="AB90" s="12" t="n">
        <f aca="false">IF(4=C90,X90,H90)</f>
        <v>0</v>
      </c>
      <c r="AC90" s="12" t="n">
        <f aca="false">IF(5=C90,X90,I90)</f>
        <v>0</v>
      </c>
      <c r="AD90" s="12" t="n">
        <f aca="false">IF(6=C90,X90,J90)</f>
        <v>0</v>
      </c>
      <c r="AE90" s="12" t="n">
        <f aca="false">SUM($Y90:Y90)</f>
        <v>1</v>
      </c>
      <c r="AF90" s="12" t="n">
        <f aca="false">SUM($Y90:Z90)</f>
        <v>2</v>
      </c>
      <c r="AG90" s="12" t="n">
        <f aca="false">SUM($Y90:AA90)</f>
        <v>3</v>
      </c>
      <c r="AH90" s="12" t="n">
        <f aca="false">SUM($Y90:AB90)</f>
        <v>3</v>
      </c>
      <c r="AI90" s="12" t="n">
        <f aca="false">SUM($Y90:AC90)</f>
        <v>3</v>
      </c>
      <c r="AJ90" s="12" t="n">
        <f aca="false">SUM($Y90:AD90)</f>
        <v>3</v>
      </c>
      <c r="AK90" s="14" t="n">
        <f aca="false">Smax*(1-POWER(Keep,AE90))</f>
        <v>70</v>
      </c>
      <c r="AL90" s="14" t="n">
        <f aca="false">Smax*(1-POWER(Keep,AF90))</f>
        <v>105</v>
      </c>
      <c r="AM90" s="14" t="n">
        <f aca="false">Smax*(1-POWER(Keep,AG90))</f>
        <v>122.5</v>
      </c>
      <c r="AN90" s="14" t="n">
        <f aca="false">Smax*(1-POWER(Keep,AH90))</f>
        <v>122.5</v>
      </c>
      <c r="AO90" s="14" t="n">
        <f aca="false">Smax*(1-POWER(Keep,AI90))</f>
        <v>122.5</v>
      </c>
      <c r="AP90" s="14" t="n">
        <f aca="false">Smax*(1-POWER(Keep,AJ90))</f>
        <v>122.5</v>
      </c>
      <c r="AQ90" s="19" t="n">
        <f aca="false">IF(D90=1,Cash0+SUM(AK90:AP90)-Cost_r*AJ90+A90*AP90,-1000000000)</f>
        <v>-1000000000</v>
      </c>
    </row>
    <row r="91" customFormat="false" ht="15" hidden="false" customHeight="false" outlineLevel="0" collapsed="false">
      <c r="A91" s="17" t="n">
        <f aca="false">Credit_10</f>
        <v>10</v>
      </c>
      <c r="B91" s="17" t="n">
        <v>18</v>
      </c>
      <c r="C91" s="17" t="n">
        <v>6</v>
      </c>
      <c r="D91" s="17" t="n">
        <f aca="false">IF($I$18="",1,0)</f>
        <v>1</v>
      </c>
      <c r="E91" s="17" t="n">
        <f aca="false">IF($D$18&lt;&gt;"",$D$18,IF(1&lt;C91,1,0))</f>
        <v>1</v>
      </c>
      <c r="F91" s="17" t="n">
        <f aca="false">IF($E$18&lt;&gt;"",$E$18,IF(2&lt;C91,1,0))</f>
        <v>1</v>
      </c>
      <c r="G91" s="17" t="n">
        <f aca="false">IF($F$18&lt;&gt;"",$F$18,IF(3&lt;C91,1,0))</f>
        <v>1</v>
      </c>
      <c r="H91" s="17" t="n">
        <f aca="false">IF($G$18&lt;&gt;"",$G$18,IF(4&lt;C91,1,0))</f>
        <v>0</v>
      </c>
      <c r="I91" s="17" t="n">
        <f aca="false">IF($H$18&lt;&gt;"",$H$18,IF(5&lt;C91,1,0))</f>
        <v>1</v>
      </c>
      <c r="J91" s="17" t="n">
        <f aca="false">IF($I$18&lt;&gt;"",$I$18,IF(6&lt;C91,1,0))</f>
        <v>0</v>
      </c>
      <c r="K91" s="11" t="n">
        <f aca="false">SUM($E91:E91)</f>
        <v>1</v>
      </c>
      <c r="L91" s="11" t="n">
        <f aca="false">SUM($E91:F91)</f>
        <v>2</v>
      </c>
      <c r="M91" s="11" t="n">
        <f aca="false">SUM($E91:G91)</f>
        <v>3</v>
      </c>
      <c r="N91" s="11" t="n">
        <f aca="false">SUM($E91:H91)</f>
        <v>3</v>
      </c>
      <c r="O91" s="11" t="n">
        <f aca="false">SUM($E91:I91)</f>
        <v>4</v>
      </c>
      <c r="P91" s="11" t="n">
        <f aca="false">SUM($E91:J91)</f>
        <v>4</v>
      </c>
      <c r="Q91" s="12" t="n">
        <f aca="false">IF(1&gt;=C91,POWER(Keep,K91-INDEX(K91:P91,C91)),0)</f>
        <v>0</v>
      </c>
      <c r="R91" s="12" t="n">
        <f aca="false">IF(2&gt;=C91,POWER(Keep,L91-INDEX(K91:P91,C91)),0)</f>
        <v>0</v>
      </c>
      <c r="S91" s="12" t="n">
        <f aca="false">IF(3&gt;=C91,POWER(Keep,M91-INDEX(K91:P91,C91)),0)</f>
        <v>0</v>
      </c>
      <c r="T91" s="12" t="n">
        <f aca="false">IF(4&gt;=C91,POWER(Keep,N91-INDEX(K91:P91,C91)),0)</f>
        <v>0</v>
      </c>
      <c r="U91" s="12" t="n">
        <f aca="false">IF(5&gt;=C91,POWER(Keep,O91-INDEX(K91:P91,C91)),0)</f>
        <v>0</v>
      </c>
      <c r="V91" s="12" t="n">
        <f aca="false">IF(6&gt;=C91,POWER(Keep,P91-INDEX(K91:P91,C91)),0)</f>
        <v>1</v>
      </c>
      <c r="W91" s="12" t="n">
        <f aca="false">SUM(Q91:V91)+A91*POWER(Keep,P91-INDEX(K91:P91,C91))</f>
        <v>11</v>
      </c>
      <c r="X91" s="12" t="n">
        <f aca="false">MIN(1,MAX(0,LN(Cost_r/(Slope0*W91))/LN(Keep)-INDEX(K91:P91,C91)))</f>
        <v>0</v>
      </c>
      <c r="Y91" s="12" t="n">
        <f aca="false">IF(1=C91,X91,E91)</f>
        <v>1</v>
      </c>
      <c r="Z91" s="12" t="n">
        <f aca="false">IF(2=C91,X91,F91)</f>
        <v>1</v>
      </c>
      <c r="AA91" s="12" t="n">
        <f aca="false">IF(3=C91,X91,G91)</f>
        <v>1</v>
      </c>
      <c r="AB91" s="12" t="n">
        <f aca="false">IF(4=C91,X91,H91)</f>
        <v>0</v>
      </c>
      <c r="AC91" s="12" t="n">
        <f aca="false">IF(5=C91,X91,I91)</f>
        <v>1</v>
      </c>
      <c r="AD91" s="12" t="n">
        <f aca="false">IF(6=C91,X91,J91)</f>
        <v>0</v>
      </c>
      <c r="AE91" s="12" t="n">
        <f aca="false">SUM($Y91:Y91)</f>
        <v>1</v>
      </c>
      <c r="AF91" s="12" t="n">
        <f aca="false">SUM($Y91:Z91)</f>
        <v>2</v>
      </c>
      <c r="AG91" s="12" t="n">
        <f aca="false">SUM($Y91:AA91)</f>
        <v>3</v>
      </c>
      <c r="AH91" s="12" t="n">
        <f aca="false">SUM($Y91:AB91)</f>
        <v>3</v>
      </c>
      <c r="AI91" s="12" t="n">
        <f aca="false">SUM($Y91:AC91)</f>
        <v>4</v>
      </c>
      <c r="AJ91" s="12" t="n">
        <f aca="false">SUM($Y91:AD91)</f>
        <v>4</v>
      </c>
      <c r="AK91" s="14" t="n">
        <f aca="false">Smax*(1-POWER(Keep,AE91))</f>
        <v>70</v>
      </c>
      <c r="AL91" s="14" t="n">
        <f aca="false">Smax*(1-POWER(Keep,AF91))</f>
        <v>105</v>
      </c>
      <c r="AM91" s="14" t="n">
        <f aca="false">Smax*(1-POWER(Keep,AG91))</f>
        <v>122.5</v>
      </c>
      <c r="AN91" s="14" t="n">
        <f aca="false">Smax*(1-POWER(Keep,AH91))</f>
        <v>122.5</v>
      </c>
      <c r="AO91" s="14" t="n">
        <f aca="false">Smax*(1-POWER(Keep,AI91))</f>
        <v>131.25</v>
      </c>
      <c r="AP91" s="14" t="n">
        <f aca="false">Smax*(1-POWER(Keep,AJ91))</f>
        <v>131.25</v>
      </c>
      <c r="AQ91" s="19" t="n">
        <f aca="false">IF(D91=1,Cash0+SUM(AK91:AP91)-Cost_r*AJ91+A91*AP91,-1000000000)</f>
        <v>1665</v>
      </c>
    </row>
    <row r="92" customFormat="false" ht="15" hidden="false" customHeight="false" outlineLevel="0" collapsed="false">
      <c r="A92" s="17" t="n">
        <f aca="false">Credit_10</f>
        <v>10</v>
      </c>
      <c r="B92" s="17" t="n">
        <v>19</v>
      </c>
      <c r="C92" s="17" t="n">
        <v>1</v>
      </c>
      <c r="D92" s="17" t="n">
        <f aca="false">IF($D$19="",1,0)</f>
        <v>1</v>
      </c>
      <c r="E92" s="17" t="n">
        <f aca="false">IF($D$19&lt;&gt;"",$D$19,IF(1&lt;C92,1,0))</f>
        <v>0</v>
      </c>
      <c r="F92" s="17" t="n">
        <f aca="false">IF($E$19&lt;&gt;"",$E$19,IF(2&lt;C92,1,0))</f>
        <v>0</v>
      </c>
      <c r="G92" s="17" t="n">
        <f aca="false">IF($F$19&lt;&gt;"",$F$19,IF(3&lt;C92,1,0))</f>
        <v>0</v>
      </c>
      <c r="H92" s="17" t="n">
        <f aca="false">IF($G$19&lt;&gt;"",$G$19,IF(4&lt;C92,1,0))</f>
        <v>1</v>
      </c>
      <c r="I92" s="17" t="n">
        <f aca="false">IF($H$19&lt;&gt;"",$H$19,IF(5&lt;C92,1,0))</f>
        <v>0</v>
      </c>
      <c r="J92" s="17" t="n">
        <f aca="false">IF($I$19&lt;&gt;"",$I$19,IF(6&lt;C92,1,0))</f>
        <v>0</v>
      </c>
      <c r="K92" s="11" t="n">
        <f aca="false">SUM($E92:E92)</f>
        <v>0</v>
      </c>
      <c r="L92" s="11" t="n">
        <f aca="false">SUM($E92:F92)</f>
        <v>0</v>
      </c>
      <c r="M92" s="11" t="n">
        <f aca="false">SUM($E92:G92)</f>
        <v>0</v>
      </c>
      <c r="N92" s="11" t="n">
        <f aca="false">SUM($E92:H92)</f>
        <v>1</v>
      </c>
      <c r="O92" s="11" t="n">
        <f aca="false">SUM($E92:I92)</f>
        <v>1</v>
      </c>
      <c r="P92" s="11" t="n">
        <f aca="false">SUM($E92:J92)</f>
        <v>1</v>
      </c>
      <c r="Q92" s="12" t="n">
        <f aca="false">IF(1&gt;=C92,POWER(Keep,K92-INDEX(K92:P92,C92)),0)</f>
        <v>1</v>
      </c>
      <c r="R92" s="12" t="n">
        <f aca="false">IF(2&gt;=C92,POWER(Keep,L92-INDEX(K92:P92,C92)),0)</f>
        <v>1</v>
      </c>
      <c r="S92" s="12" t="n">
        <f aca="false">IF(3&gt;=C92,POWER(Keep,M92-INDEX(K92:P92,C92)),0)</f>
        <v>1</v>
      </c>
      <c r="T92" s="12" t="n">
        <f aca="false">IF(4&gt;=C92,POWER(Keep,N92-INDEX(K92:P92,C92)),0)</f>
        <v>0.5</v>
      </c>
      <c r="U92" s="12" t="n">
        <f aca="false">IF(5&gt;=C92,POWER(Keep,O92-INDEX(K92:P92,C92)),0)</f>
        <v>0.5</v>
      </c>
      <c r="V92" s="12" t="n">
        <f aca="false">IF(6&gt;=C92,POWER(Keep,P92-INDEX(K92:P92,C92)),0)</f>
        <v>0.5</v>
      </c>
      <c r="W92" s="12" t="n">
        <f aca="false">SUM(Q92:V92)+A92*POWER(Keep,P92-INDEX(K92:P92,C92))</f>
        <v>9.5</v>
      </c>
      <c r="X92" s="12" t="n">
        <f aca="false">MIN(1,MAX(0,LN(Cost_r/(Slope0*W92))/LN(Keep)-INDEX(K92:P92,C92)))</f>
        <v>1</v>
      </c>
      <c r="Y92" s="12" t="n">
        <f aca="false">IF(1=C92,X92,E92)</f>
        <v>1</v>
      </c>
      <c r="Z92" s="12" t="n">
        <f aca="false">IF(2=C92,X92,F92)</f>
        <v>0</v>
      </c>
      <c r="AA92" s="12" t="n">
        <f aca="false">IF(3=C92,X92,G92)</f>
        <v>0</v>
      </c>
      <c r="AB92" s="12" t="n">
        <f aca="false">IF(4=C92,X92,H92)</f>
        <v>1</v>
      </c>
      <c r="AC92" s="12" t="n">
        <f aca="false">IF(5=C92,X92,I92)</f>
        <v>0</v>
      </c>
      <c r="AD92" s="12" t="n">
        <f aca="false">IF(6=C92,X92,J92)</f>
        <v>0</v>
      </c>
      <c r="AE92" s="12" t="n">
        <f aca="false">SUM($Y92:Y92)</f>
        <v>1</v>
      </c>
      <c r="AF92" s="12" t="n">
        <f aca="false">SUM($Y92:Z92)</f>
        <v>1</v>
      </c>
      <c r="AG92" s="12" t="n">
        <f aca="false">SUM($Y92:AA92)</f>
        <v>1</v>
      </c>
      <c r="AH92" s="12" t="n">
        <f aca="false">SUM($Y92:AB92)</f>
        <v>2</v>
      </c>
      <c r="AI92" s="12" t="n">
        <f aca="false">SUM($Y92:AC92)</f>
        <v>2</v>
      </c>
      <c r="AJ92" s="12" t="n">
        <f aca="false">SUM($Y92:AD92)</f>
        <v>2</v>
      </c>
      <c r="AK92" s="14" t="n">
        <f aca="false">Smax*(1-POWER(Keep,AE92))</f>
        <v>70</v>
      </c>
      <c r="AL92" s="14" t="n">
        <f aca="false">Smax*(1-POWER(Keep,AF92))</f>
        <v>70</v>
      </c>
      <c r="AM92" s="14" t="n">
        <f aca="false">Smax*(1-POWER(Keep,AG92))</f>
        <v>70</v>
      </c>
      <c r="AN92" s="14" t="n">
        <f aca="false">Smax*(1-POWER(Keep,AH92))</f>
        <v>105</v>
      </c>
      <c r="AO92" s="14" t="n">
        <f aca="false">Smax*(1-POWER(Keep,AI92))</f>
        <v>105</v>
      </c>
      <c r="AP92" s="14" t="n">
        <f aca="false">Smax*(1-POWER(Keep,AJ92))</f>
        <v>105</v>
      </c>
      <c r="AQ92" s="19" t="n">
        <f aca="false">IF(D92=1,Cash0+SUM(AK92:AP92)-Cost_r*AJ92+A92*AP92,-1000000000)</f>
        <v>1485</v>
      </c>
    </row>
    <row r="93" customFormat="false" ht="15" hidden="false" customHeight="false" outlineLevel="0" collapsed="false">
      <c r="A93" s="17" t="n">
        <f aca="false">Credit_10</f>
        <v>10</v>
      </c>
      <c r="B93" s="17" t="n">
        <v>19</v>
      </c>
      <c r="C93" s="17" t="n">
        <v>2</v>
      </c>
      <c r="D93" s="17" t="n">
        <f aca="false">IF($E$19="",1,0)</f>
        <v>1</v>
      </c>
      <c r="E93" s="17" t="n">
        <f aca="false">IF($D$19&lt;&gt;"",$D$19,IF(1&lt;C93,1,0))</f>
        <v>1</v>
      </c>
      <c r="F93" s="17" t="n">
        <f aca="false">IF($E$19&lt;&gt;"",$E$19,IF(2&lt;C93,1,0))</f>
        <v>0</v>
      </c>
      <c r="G93" s="17" t="n">
        <f aca="false">IF($F$19&lt;&gt;"",$F$19,IF(3&lt;C93,1,0))</f>
        <v>0</v>
      </c>
      <c r="H93" s="17" t="n">
        <f aca="false">IF($G$19&lt;&gt;"",$G$19,IF(4&lt;C93,1,0))</f>
        <v>1</v>
      </c>
      <c r="I93" s="17" t="n">
        <f aca="false">IF($H$19&lt;&gt;"",$H$19,IF(5&lt;C93,1,0))</f>
        <v>0</v>
      </c>
      <c r="J93" s="17" t="n">
        <f aca="false">IF($I$19&lt;&gt;"",$I$19,IF(6&lt;C93,1,0))</f>
        <v>0</v>
      </c>
      <c r="K93" s="11" t="n">
        <f aca="false">SUM($E93:E93)</f>
        <v>1</v>
      </c>
      <c r="L93" s="11" t="n">
        <f aca="false">SUM($E93:F93)</f>
        <v>1</v>
      </c>
      <c r="M93" s="11" t="n">
        <f aca="false">SUM($E93:G93)</f>
        <v>1</v>
      </c>
      <c r="N93" s="11" t="n">
        <f aca="false">SUM($E93:H93)</f>
        <v>2</v>
      </c>
      <c r="O93" s="11" t="n">
        <f aca="false">SUM($E93:I93)</f>
        <v>2</v>
      </c>
      <c r="P93" s="11" t="n">
        <f aca="false">SUM($E93:J93)</f>
        <v>2</v>
      </c>
      <c r="Q93" s="12" t="n">
        <f aca="false">IF(1&gt;=C93,POWER(Keep,K93-INDEX(K93:P93,C93)),0)</f>
        <v>0</v>
      </c>
      <c r="R93" s="12" t="n">
        <f aca="false">IF(2&gt;=C93,POWER(Keep,L93-INDEX(K93:P93,C93)),0)</f>
        <v>1</v>
      </c>
      <c r="S93" s="12" t="n">
        <f aca="false">IF(3&gt;=C93,POWER(Keep,M93-INDEX(K93:P93,C93)),0)</f>
        <v>1</v>
      </c>
      <c r="T93" s="12" t="n">
        <f aca="false">IF(4&gt;=C93,POWER(Keep,N93-INDEX(K93:P93,C93)),0)</f>
        <v>0.5</v>
      </c>
      <c r="U93" s="12" t="n">
        <f aca="false">IF(5&gt;=C93,POWER(Keep,O93-INDEX(K93:P93,C93)),0)</f>
        <v>0.5</v>
      </c>
      <c r="V93" s="12" t="n">
        <f aca="false">IF(6&gt;=C93,POWER(Keep,P93-INDEX(K93:P93,C93)),0)</f>
        <v>0.5</v>
      </c>
      <c r="W93" s="12" t="n">
        <f aca="false">SUM(Q93:V93)+A93*POWER(Keep,P93-INDEX(K93:P93,C93))</f>
        <v>8.5</v>
      </c>
      <c r="X93" s="12" t="n">
        <f aca="false">MIN(1,MAX(0,LN(Cost_r/(Slope0*W93))/LN(Keep)-INDEX(K93:P93,C93)))</f>
        <v>1</v>
      </c>
      <c r="Y93" s="12" t="n">
        <f aca="false">IF(1=C93,X93,E93)</f>
        <v>1</v>
      </c>
      <c r="Z93" s="12" t="n">
        <f aca="false">IF(2=C93,X93,F93)</f>
        <v>1</v>
      </c>
      <c r="AA93" s="12" t="n">
        <f aca="false">IF(3=C93,X93,G93)</f>
        <v>0</v>
      </c>
      <c r="AB93" s="12" t="n">
        <f aca="false">IF(4=C93,X93,H93)</f>
        <v>1</v>
      </c>
      <c r="AC93" s="12" t="n">
        <f aca="false">IF(5=C93,X93,I93)</f>
        <v>0</v>
      </c>
      <c r="AD93" s="12" t="n">
        <f aca="false">IF(6=C93,X93,J93)</f>
        <v>0</v>
      </c>
      <c r="AE93" s="12" t="n">
        <f aca="false">SUM($Y93:Y93)</f>
        <v>1</v>
      </c>
      <c r="AF93" s="12" t="n">
        <f aca="false">SUM($Y93:Z93)</f>
        <v>2</v>
      </c>
      <c r="AG93" s="12" t="n">
        <f aca="false">SUM($Y93:AA93)</f>
        <v>2</v>
      </c>
      <c r="AH93" s="12" t="n">
        <f aca="false">SUM($Y93:AB93)</f>
        <v>3</v>
      </c>
      <c r="AI93" s="12" t="n">
        <f aca="false">SUM($Y93:AC93)</f>
        <v>3</v>
      </c>
      <c r="AJ93" s="12" t="n">
        <f aca="false">SUM($Y93:AD93)</f>
        <v>3</v>
      </c>
      <c r="AK93" s="14" t="n">
        <f aca="false">Smax*(1-POWER(Keep,AE93))</f>
        <v>70</v>
      </c>
      <c r="AL93" s="14" t="n">
        <f aca="false">Smax*(1-POWER(Keep,AF93))</f>
        <v>105</v>
      </c>
      <c r="AM93" s="14" t="n">
        <f aca="false">Smax*(1-POWER(Keep,AG93))</f>
        <v>105</v>
      </c>
      <c r="AN93" s="14" t="n">
        <f aca="false">Smax*(1-POWER(Keep,AH93))</f>
        <v>122.5</v>
      </c>
      <c r="AO93" s="14" t="n">
        <f aca="false">Smax*(1-POWER(Keep,AI93))</f>
        <v>122.5</v>
      </c>
      <c r="AP93" s="14" t="n">
        <f aca="false">Smax*(1-POWER(Keep,AJ93))</f>
        <v>122.5</v>
      </c>
      <c r="AQ93" s="19" t="n">
        <f aca="false">IF(D93=1,Cash0+SUM(AK93:AP93)-Cost_r*AJ93+A93*AP93,-1000000000)</f>
        <v>1662.5</v>
      </c>
    </row>
    <row r="94" customFormat="false" ht="15" hidden="false" customHeight="false" outlineLevel="0" collapsed="false">
      <c r="A94" s="17" t="n">
        <f aca="false">Credit_10</f>
        <v>10</v>
      </c>
      <c r="B94" s="17" t="n">
        <v>19</v>
      </c>
      <c r="C94" s="17" t="n">
        <v>3</v>
      </c>
      <c r="D94" s="17" t="n">
        <f aca="false">IF($F$19="",1,0)</f>
        <v>1</v>
      </c>
      <c r="E94" s="17" t="n">
        <f aca="false">IF($D$19&lt;&gt;"",$D$19,IF(1&lt;C94,1,0))</f>
        <v>1</v>
      </c>
      <c r="F94" s="17" t="n">
        <f aca="false">IF($E$19&lt;&gt;"",$E$19,IF(2&lt;C94,1,0))</f>
        <v>1</v>
      </c>
      <c r="G94" s="17" t="n">
        <f aca="false">IF($F$19&lt;&gt;"",$F$19,IF(3&lt;C94,1,0))</f>
        <v>0</v>
      </c>
      <c r="H94" s="17" t="n">
        <f aca="false">IF($G$19&lt;&gt;"",$G$19,IF(4&lt;C94,1,0))</f>
        <v>1</v>
      </c>
      <c r="I94" s="17" t="n">
        <f aca="false">IF($H$19&lt;&gt;"",$H$19,IF(5&lt;C94,1,0))</f>
        <v>0</v>
      </c>
      <c r="J94" s="17" t="n">
        <f aca="false">IF($I$19&lt;&gt;"",$I$19,IF(6&lt;C94,1,0))</f>
        <v>0</v>
      </c>
      <c r="K94" s="11" t="n">
        <f aca="false">SUM($E94:E94)</f>
        <v>1</v>
      </c>
      <c r="L94" s="11" t="n">
        <f aca="false">SUM($E94:F94)</f>
        <v>2</v>
      </c>
      <c r="M94" s="11" t="n">
        <f aca="false">SUM($E94:G94)</f>
        <v>2</v>
      </c>
      <c r="N94" s="11" t="n">
        <f aca="false">SUM($E94:H94)</f>
        <v>3</v>
      </c>
      <c r="O94" s="11" t="n">
        <f aca="false">SUM($E94:I94)</f>
        <v>3</v>
      </c>
      <c r="P94" s="11" t="n">
        <f aca="false">SUM($E94:J94)</f>
        <v>3</v>
      </c>
      <c r="Q94" s="12" t="n">
        <f aca="false">IF(1&gt;=C94,POWER(Keep,K94-INDEX(K94:P94,C94)),0)</f>
        <v>0</v>
      </c>
      <c r="R94" s="12" t="n">
        <f aca="false">IF(2&gt;=C94,POWER(Keep,L94-INDEX(K94:P94,C94)),0)</f>
        <v>0</v>
      </c>
      <c r="S94" s="12" t="n">
        <f aca="false">IF(3&gt;=C94,POWER(Keep,M94-INDEX(K94:P94,C94)),0)</f>
        <v>1</v>
      </c>
      <c r="T94" s="12" t="n">
        <f aca="false">IF(4&gt;=C94,POWER(Keep,N94-INDEX(K94:P94,C94)),0)</f>
        <v>0.5</v>
      </c>
      <c r="U94" s="12" t="n">
        <f aca="false">IF(5&gt;=C94,POWER(Keep,O94-INDEX(K94:P94,C94)),0)</f>
        <v>0.5</v>
      </c>
      <c r="V94" s="12" t="n">
        <f aca="false">IF(6&gt;=C94,POWER(Keep,P94-INDEX(K94:P94,C94)),0)</f>
        <v>0.5</v>
      </c>
      <c r="W94" s="12" t="n">
        <f aca="false">SUM(Q94:V94)+A94*POWER(Keep,P94-INDEX(K94:P94,C94))</f>
        <v>7.5</v>
      </c>
      <c r="X94" s="12" t="n">
        <f aca="false">MIN(1,MAX(0,LN(Cost_r/(Slope0*W94))/LN(Keep)-INDEX(K94:P94,C94)))</f>
        <v>0.600516644000069</v>
      </c>
      <c r="Y94" s="12" t="n">
        <f aca="false">IF(1=C94,X94,E94)</f>
        <v>1</v>
      </c>
      <c r="Z94" s="12" t="n">
        <f aca="false">IF(2=C94,X94,F94)</f>
        <v>1</v>
      </c>
      <c r="AA94" s="12" t="n">
        <f aca="false">IF(3=C94,X94,G94)</f>
        <v>0.600516644000069</v>
      </c>
      <c r="AB94" s="12" t="n">
        <f aca="false">IF(4=C94,X94,H94)</f>
        <v>1</v>
      </c>
      <c r="AC94" s="12" t="n">
        <f aca="false">IF(5=C94,X94,I94)</f>
        <v>0</v>
      </c>
      <c r="AD94" s="12" t="n">
        <f aca="false">IF(6=C94,X94,J94)</f>
        <v>0</v>
      </c>
      <c r="AE94" s="12" t="n">
        <f aca="false">SUM($Y94:Y94)</f>
        <v>1</v>
      </c>
      <c r="AF94" s="12" t="n">
        <f aca="false">SUM($Y94:Z94)</f>
        <v>2</v>
      </c>
      <c r="AG94" s="12" t="n">
        <f aca="false">SUM($Y94:AA94)</f>
        <v>2.60051664400007</v>
      </c>
      <c r="AH94" s="12" t="n">
        <f aca="false">SUM($Y94:AB94)</f>
        <v>3.60051664400007</v>
      </c>
      <c r="AI94" s="12" t="n">
        <f aca="false">SUM($Y94:AC94)</f>
        <v>3.60051664400007</v>
      </c>
      <c r="AJ94" s="12" t="n">
        <f aca="false">SUM($Y94:AD94)</f>
        <v>3.60051664400007</v>
      </c>
      <c r="AK94" s="14" t="n">
        <f aca="false">Smax*(1-POWER(Keep,AE94))</f>
        <v>70</v>
      </c>
      <c r="AL94" s="14" t="n">
        <f aca="false">Smax*(1-POWER(Keep,AF94))</f>
        <v>105</v>
      </c>
      <c r="AM94" s="14" t="n">
        <f aca="false">Smax*(1-POWER(Keep,AG94))</f>
        <v>116.916879345777</v>
      </c>
      <c r="AN94" s="14" t="n">
        <f aca="false">Smax*(1-POWER(Keep,AH94))</f>
        <v>128.458439672888</v>
      </c>
      <c r="AO94" s="14" t="n">
        <f aca="false">Smax*(1-POWER(Keep,AI94))</f>
        <v>128.458439672888</v>
      </c>
      <c r="AP94" s="14" t="n">
        <f aca="false">Smax*(1-POWER(Keep,AJ94))</f>
        <v>128.458439672888</v>
      </c>
      <c r="AQ94" s="19" t="n">
        <f aca="false">IF(D94=1,Cash0+SUM(AK94:AP94)-Cost_r*AJ94+A94*AP94,-1000000000)</f>
        <v>1679.81459781332</v>
      </c>
    </row>
    <row r="95" customFormat="false" ht="15" hidden="false" customHeight="false" outlineLevel="0" collapsed="false">
      <c r="A95" s="17" t="n">
        <f aca="false">Credit_10</f>
        <v>10</v>
      </c>
      <c r="B95" s="17" t="n">
        <v>19</v>
      </c>
      <c r="C95" s="17" t="n">
        <v>4</v>
      </c>
      <c r="D95" s="17" t="n">
        <f aca="false">IF($G$19="",1,0)</f>
        <v>0</v>
      </c>
      <c r="E95" s="17" t="n">
        <f aca="false">IF($D$19&lt;&gt;"",$D$19,IF(1&lt;C95,1,0))</f>
        <v>1</v>
      </c>
      <c r="F95" s="17" t="n">
        <f aca="false">IF($E$19&lt;&gt;"",$E$19,IF(2&lt;C95,1,0))</f>
        <v>1</v>
      </c>
      <c r="G95" s="17" t="n">
        <f aca="false">IF($F$19&lt;&gt;"",$F$19,IF(3&lt;C95,1,0))</f>
        <v>1</v>
      </c>
      <c r="H95" s="17" t="n">
        <f aca="false">IF($G$19&lt;&gt;"",$G$19,IF(4&lt;C95,1,0))</f>
        <v>1</v>
      </c>
      <c r="I95" s="17" t="n">
        <f aca="false">IF($H$19&lt;&gt;"",$H$19,IF(5&lt;C95,1,0))</f>
        <v>0</v>
      </c>
      <c r="J95" s="17" t="n">
        <f aca="false">IF($I$19&lt;&gt;"",$I$19,IF(6&lt;C95,1,0))</f>
        <v>0</v>
      </c>
      <c r="K95" s="11" t="n">
        <f aca="false">SUM($E95:E95)</f>
        <v>1</v>
      </c>
      <c r="L95" s="11" t="n">
        <f aca="false">SUM($E95:F95)</f>
        <v>2</v>
      </c>
      <c r="M95" s="11" t="n">
        <f aca="false">SUM($E95:G95)</f>
        <v>3</v>
      </c>
      <c r="N95" s="11" t="n">
        <f aca="false">SUM($E95:H95)</f>
        <v>4</v>
      </c>
      <c r="O95" s="11" t="n">
        <f aca="false">SUM($E95:I95)</f>
        <v>4</v>
      </c>
      <c r="P95" s="11" t="n">
        <f aca="false">SUM($E95:J95)</f>
        <v>4</v>
      </c>
      <c r="Q95" s="12" t="n">
        <f aca="false">IF(1&gt;=C95,POWER(Keep,K95-INDEX(K95:P95,C95)),0)</f>
        <v>0</v>
      </c>
      <c r="R95" s="12" t="n">
        <f aca="false">IF(2&gt;=C95,POWER(Keep,L95-INDEX(K95:P95,C95)),0)</f>
        <v>0</v>
      </c>
      <c r="S95" s="12" t="n">
        <f aca="false">IF(3&gt;=C95,POWER(Keep,M95-INDEX(K95:P95,C95)),0)</f>
        <v>0</v>
      </c>
      <c r="T95" s="12" t="n">
        <f aca="false">IF(4&gt;=C95,POWER(Keep,N95-INDEX(K95:P95,C95)),0)</f>
        <v>1</v>
      </c>
      <c r="U95" s="12" t="n">
        <f aca="false">IF(5&gt;=C95,POWER(Keep,O95-INDEX(K95:P95,C95)),0)</f>
        <v>1</v>
      </c>
      <c r="V95" s="12" t="n">
        <f aca="false">IF(6&gt;=C95,POWER(Keep,P95-INDEX(K95:P95,C95)),0)</f>
        <v>1</v>
      </c>
      <c r="W95" s="12" t="n">
        <f aca="false">SUM(Q95:V95)+A95*POWER(Keep,P95-INDEX(K95:P95,C95))</f>
        <v>13</v>
      </c>
      <c r="X95" s="12" t="n">
        <f aca="false">MIN(1,MAX(0,LN(Cost_r/(Slope0*W95))/LN(Keep)-INDEX(K95:P95,C95)))</f>
        <v>0</v>
      </c>
      <c r="Y95" s="12" t="n">
        <f aca="false">IF(1=C95,X95,E95)</f>
        <v>1</v>
      </c>
      <c r="Z95" s="12" t="n">
        <f aca="false">IF(2=C95,X95,F95)</f>
        <v>1</v>
      </c>
      <c r="AA95" s="12" t="n">
        <f aca="false">IF(3=C95,X95,G95)</f>
        <v>1</v>
      </c>
      <c r="AB95" s="12" t="n">
        <f aca="false">IF(4=C95,X95,H95)</f>
        <v>0</v>
      </c>
      <c r="AC95" s="12" t="n">
        <f aca="false">IF(5=C95,X95,I95)</f>
        <v>0</v>
      </c>
      <c r="AD95" s="12" t="n">
        <f aca="false">IF(6=C95,X95,J95)</f>
        <v>0</v>
      </c>
      <c r="AE95" s="12" t="n">
        <f aca="false">SUM($Y95:Y95)</f>
        <v>1</v>
      </c>
      <c r="AF95" s="12" t="n">
        <f aca="false">SUM($Y95:Z95)</f>
        <v>2</v>
      </c>
      <c r="AG95" s="12" t="n">
        <f aca="false">SUM($Y95:AA95)</f>
        <v>3</v>
      </c>
      <c r="AH95" s="12" t="n">
        <f aca="false">SUM($Y95:AB95)</f>
        <v>3</v>
      </c>
      <c r="AI95" s="12" t="n">
        <f aca="false">SUM($Y95:AC95)</f>
        <v>3</v>
      </c>
      <c r="AJ95" s="12" t="n">
        <f aca="false">SUM($Y95:AD95)</f>
        <v>3</v>
      </c>
      <c r="AK95" s="14" t="n">
        <f aca="false">Smax*(1-POWER(Keep,AE95))</f>
        <v>70</v>
      </c>
      <c r="AL95" s="14" t="n">
        <f aca="false">Smax*(1-POWER(Keep,AF95))</f>
        <v>105</v>
      </c>
      <c r="AM95" s="14" t="n">
        <f aca="false">Smax*(1-POWER(Keep,AG95))</f>
        <v>122.5</v>
      </c>
      <c r="AN95" s="14" t="n">
        <f aca="false">Smax*(1-POWER(Keep,AH95))</f>
        <v>122.5</v>
      </c>
      <c r="AO95" s="14" t="n">
        <f aca="false">Smax*(1-POWER(Keep,AI95))</f>
        <v>122.5</v>
      </c>
      <c r="AP95" s="14" t="n">
        <f aca="false">Smax*(1-POWER(Keep,AJ95))</f>
        <v>122.5</v>
      </c>
      <c r="AQ95" s="19" t="n">
        <f aca="false">IF(D95=1,Cash0+SUM(AK95:AP95)-Cost_r*AJ95+A95*AP95,-1000000000)</f>
        <v>-1000000000</v>
      </c>
    </row>
    <row r="96" customFormat="false" ht="15" hidden="false" customHeight="false" outlineLevel="0" collapsed="false">
      <c r="A96" s="17" t="n">
        <f aca="false">Credit_10</f>
        <v>10</v>
      </c>
      <c r="B96" s="17" t="n">
        <v>19</v>
      </c>
      <c r="C96" s="17" t="n">
        <v>5</v>
      </c>
      <c r="D96" s="17" t="n">
        <f aca="false">IF($H$19="",1,0)</f>
        <v>1</v>
      </c>
      <c r="E96" s="17" t="n">
        <f aca="false">IF($D$19&lt;&gt;"",$D$19,IF(1&lt;C96,1,0))</f>
        <v>1</v>
      </c>
      <c r="F96" s="17" t="n">
        <f aca="false">IF($E$19&lt;&gt;"",$E$19,IF(2&lt;C96,1,0))</f>
        <v>1</v>
      </c>
      <c r="G96" s="17" t="n">
        <f aca="false">IF($F$19&lt;&gt;"",$F$19,IF(3&lt;C96,1,0))</f>
        <v>1</v>
      </c>
      <c r="H96" s="17" t="n">
        <f aca="false">IF($G$19&lt;&gt;"",$G$19,IF(4&lt;C96,1,0))</f>
        <v>1</v>
      </c>
      <c r="I96" s="17" t="n">
        <f aca="false">IF($H$19&lt;&gt;"",$H$19,IF(5&lt;C96,1,0))</f>
        <v>0</v>
      </c>
      <c r="J96" s="17" t="n">
        <f aca="false">IF($I$19&lt;&gt;"",$I$19,IF(6&lt;C96,1,0))</f>
        <v>0</v>
      </c>
      <c r="K96" s="11" t="n">
        <f aca="false">SUM($E96:E96)</f>
        <v>1</v>
      </c>
      <c r="L96" s="11" t="n">
        <f aca="false">SUM($E96:F96)</f>
        <v>2</v>
      </c>
      <c r="M96" s="11" t="n">
        <f aca="false">SUM($E96:G96)</f>
        <v>3</v>
      </c>
      <c r="N96" s="11" t="n">
        <f aca="false">SUM($E96:H96)</f>
        <v>4</v>
      </c>
      <c r="O96" s="11" t="n">
        <f aca="false">SUM($E96:I96)</f>
        <v>4</v>
      </c>
      <c r="P96" s="11" t="n">
        <f aca="false">SUM($E96:J96)</f>
        <v>4</v>
      </c>
      <c r="Q96" s="12" t="n">
        <f aca="false">IF(1&gt;=C96,POWER(Keep,K96-INDEX(K96:P96,C96)),0)</f>
        <v>0</v>
      </c>
      <c r="R96" s="12" t="n">
        <f aca="false">IF(2&gt;=C96,POWER(Keep,L96-INDEX(K96:P96,C96)),0)</f>
        <v>0</v>
      </c>
      <c r="S96" s="12" t="n">
        <f aca="false">IF(3&gt;=C96,POWER(Keep,M96-INDEX(K96:P96,C96)),0)</f>
        <v>0</v>
      </c>
      <c r="T96" s="12" t="n">
        <f aca="false">IF(4&gt;=C96,POWER(Keep,N96-INDEX(K96:P96,C96)),0)</f>
        <v>0</v>
      </c>
      <c r="U96" s="12" t="n">
        <f aca="false">IF(5&gt;=C96,POWER(Keep,O96-INDEX(K96:P96,C96)),0)</f>
        <v>1</v>
      </c>
      <c r="V96" s="12" t="n">
        <f aca="false">IF(6&gt;=C96,POWER(Keep,P96-INDEX(K96:P96,C96)),0)</f>
        <v>1</v>
      </c>
      <c r="W96" s="12" t="n">
        <f aca="false">SUM(Q96:V96)+A96*POWER(Keep,P96-INDEX(K96:P96,C96))</f>
        <v>12</v>
      </c>
      <c r="X96" s="12" t="n">
        <f aca="false">MIN(1,MAX(0,LN(Cost_r/(Slope0*W96))/LN(Keep)-INDEX(K96:P96,C96)))</f>
        <v>0</v>
      </c>
      <c r="Y96" s="12" t="n">
        <f aca="false">IF(1=C96,X96,E96)</f>
        <v>1</v>
      </c>
      <c r="Z96" s="12" t="n">
        <f aca="false">IF(2=C96,X96,F96)</f>
        <v>1</v>
      </c>
      <c r="AA96" s="12" t="n">
        <f aca="false">IF(3=C96,X96,G96)</f>
        <v>1</v>
      </c>
      <c r="AB96" s="12" t="n">
        <f aca="false">IF(4=C96,X96,H96)</f>
        <v>1</v>
      </c>
      <c r="AC96" s="12" t="n">
        <f aca="false">IF(5=C96,X96,I96)</f>
        <v>0</v>
      </c>
      <c r="AD96" s="12" t="n">
        <f aca="false">IF(6=C96,X96,J96)</f>
        <v>0</v>
      </c>
      <c r="AE96" s="12" t="n">
        <f aca="false">SUM($Y96:Y96)</f>
        <v>1</v>
      </c>
      <c r="AF96" s="12" t="n">
        <f aca="false">SUM($Y96:Z96)</f>
        <v>2</v>
      </c>
      <c r="AG96" s="12" t="n">
        <f aca="false">SUM($Y96:AA96)</f>
        <v>3</v>
      </c>
      <c r="AH96" s="12" t="n">
        <f aca="false">SUM($Y96:AB96)</f>
        <v>4</v>
      </c>
      <c r="AI96" s="12" t="n">
        <f aca="false">SUM($Y96:AC96)</f>
        <v>4</v>
      </c>
      <c r="AJ96" s="12" t="n">
        <f aca="false">SUM($Y96:AD96)</f>
        <v>4</v>
      </c>
      <c r="AK96" s="14" t="n">
        <f aca="false">Smax*(1-POWER(Keep,AE96))</f>
        <v>70</v>
      </c>
      <c r="AL96" s="14" t="n">
        <f aca="false">Smax*(1-POWER(Keep,AF96))</f>
        <v>105</v>
      </c>
      <c r="AM96" s="14" t="n">
        <f aca="false">Smax*(1-POWER(Keep,AG96))</f>
        <v>122.5</v>
      </c>
      <c r="AN96" s="14" t="n">
        <f aca="false">Smax*(1-POWER(Keep,AH96))</f>
        <v>131.25</v>
      </c>
      <c r="AO96" s="14" t="n">
        <f aca="false">Smax*(1-POWER(Keep,AI96))</f>
        <v>131.25</v>
      </c>
      <c r="AP96" s="14" t="n">
        <f aca="false">Smax*(1-POWER(Keep,AJ96))</f>
        <v>131.25</v>
      </c>
      <c r="AQ96" s="19" t="n">
        <f aca="false">IF(D96=1,Cash0+SUM(AK96:AP96)-Cost_r*AJ96+A96*AP96,-1000000000)</f>
        <v>1673.75</v>
      </c>
    </row>
    <row r="97" customFormat="false" ht="15" hidden="false" customHeight="false" outlineLevel="0" collapsed="false">
      <c r="A97" s="17" t="n">
        <f aca="false">Credit_10</f>
        <v>10</v>
      </c>
      <c r="B97" s="17" t="n">
        <v>19</v>
      </c>
      <c r="C97" s="17" t="n">
        <v>6</v>
      </c>
      <c r="D97" s="17" t="n">
        <f aca="false">IF($I$19="",1,0)</f>
        <v>1</v>
      </c>
      <c r="E97" s="17" t="n">
        <f aca="false">IF($D$19&lt;&gt;"",$D$19,IF(1&lt;C97,1,0))</f>
        <v>1</v>
      </c>
      <c r="F97" s="17" t="n">
        <f aca="false">IF($E$19&lt;&gt;"",$E$19,IF(2&lt;C97,1,0))</f>
        <v>1</v>
      </c>
      <c r="G97" s="17" t="n">
        <f aca="false">IF($F$19&lt;&gt;"",$F$19,IF(3&lt;C97,1,0))</f>
        <v>1</v>
      </c>
      <c r="H97" s="17" t="n">
        <f aca="false">IF($G$19&lt;&gt;"",$G$19,IF(4&lt;C97,1,0))</f>
        <v>1</v>
      </c>
      <c r="I97" s="17" t="n">
        <f aca="false">IF($H$19&lt;&gt;"",$H$19,IF(5&lt;C97,1,0))</f>
        <v>1</v>
      </c>
      <c r="J97" s="17" t="n">
        <f aca="false">IF($I$19&lt;&gt;"",$I$19,IF(6&lt;C97,1,0))</f>
        <v>0</v>
      </c>
      <c r="K97" s="11" t="n">
        <f aca="false">SUM($E97:E97)</f>
        <v>1</v>
      </c>
      <c r="L97" s="11" t="n">
        <f aca="false">SUM($E97:F97)</f>
        <v>2</v>
      </c>
      <c r="M97" s="11" t="n">
        <f aca="false">SUM($E97:G97)</f>
        <v>3</v>
      </c>
      <c r="N97" s="11" t="n">
        <f aca="false">SUM($E97:H97)</f>
        <v>4</v>
      </c>
      <c r="O97" s="11" t="n">
        <f aca="false">SUM($E97:I97)</f>
        <v>5</v>
      </c>
      <c r="P97" s="11" t="n">
        <f aca="false">SUM($E97:J97)</f>
        <v>5</v>
      </c>
      <c r="Q97" s="12" t="n">
        <f aca="false">IF(1&gt;=C97,POWER(Keep,K97-INDEX(K97:P97,C97)),0)</f>
        <v>0</v>
      </c>
      <c r="R97" s="12" t="n">
        <f aca="false">IF(2&gt;=C97,POWER(Keep,L97-INDEX(K97:P97,C97)),0)</f>
        <v>0</v>
      </c>
      <c r="S97" s="12" t="n">
        <f aca="false">IF(3&gt;=C97,POWER(Keep,M97-INDEX(K97:P97,C97)),0)</f>
        <v>0</v>
      </c>
      <c r="T97" s="12" t="n">
        <f aca="false">IF(4&gt;=C97,POWER(Keep,N97-INDEX(K97:P97,C97)),0)</f>
        <v>0</v>
      </c>
      <c r="U97" s="12" t="n">
        <f aca="false">IF(5&gt;=C97,POWER(Keep,O97-INDEX(K97:P97,C97)),0)</f>
        <v>0</v>
      </c>
      <c r="V97" s="12" t="n">
        <f aca="false">IF(6&gt;=C97,POWER(Keep,P97-INDEX(K97:P97,C97)),0)</f>
        <v>1</v>
      </c>
      <c r="W97" s="12" t="n">
        <f aca="false">SUM(Q97:V97)+A97*POWER(Keep,P97-INDEX(K97:P97,C97))</f>
        <v>11</v>
      </c>
      <c r="X97" s="12" t="n">
        <f aca="false">MIN(1,MAX(0,LN(Cost_r/(Slope0*W97))/LN(Keep)-INDEX(K97:P97,C97)))</f>
        <v>0</v>
      </c>
      <c r="Y97" s="12" t="n">
        <f aca="false">IF(1=C97,X97,E97)</f>
        <v>1</v>
      </c>
      <c r="Z97" s="12" t="n">
        <f aca="false">IF(2=C97,X97,F97)</f>
        <v>1</v>
      </c>
      <c r="AA97" s="12" t="n">
        <f aca="false">IF(3=C97,X97,G97)</f>
        <v>1</v>
      </c>
      <c r="AB97" s="12" t="n">
        <f aca="false">IF(4=C97,X97,H97)</f>
        <v>1</v>
      </c>
      <c r="AC97" s="12" t="n">
        <f aca="false">IF(5=C97,X97,I97)</f>
        <v>1</v>
      </c>
      <c r="AD97" s="12" t="n">
        <f aca="false">IF(6=C97,X97,J97)</f>
        <v>0</v>
      </c>
      <c r="AE97" s="12" t="n">
        <f aca="false">SUM($Y97:Y97)</f>
        <v>1</v>
      </c>
      <c r="AF97" s="12" t="n">
        <f aca="false">SUM($Y97:Z97)</f>
        <v>2</v>
      </c>
      <c r="AG97" s="12" t="n">
        <f aca="false">SUM($Y97:AA97)</f>
        <v>3</v>
      </c>
      <c r="AH97" s="12" t="n">
        <f aca="false">SUM($Y97:AB97)</f>
        <v>4</v>
      </c>
      <c r="AI97" s="12" t="n">
        <f aca="false">SUM($Y97:AC97)</f>
        <v>5</v>
      </c>
      <c r="AJ97" s="12" t="n">
        <f aca="false">SUM($Y97:AD97)</f>
        <v>5</v>
      </c>
      <c r="AK97" s="14" t="n">
        <f aca="false">Smax*(1-POWER(Keep,AE97))</f>
        <v>70</v>
      </c>
      <c r="AL97" s="14" t="n">
        <f aca="false">Smax*(1-POWER(Keep,AF97))</f>
        <v>105</v>
      </c>
      <c r="AM97" s="14" t="n">
        <f aca="false">Smax*(1-POWER(Keep,AG97))</f>
        <v>122.5</v>
      </c>
      <c r="AN97" s="14" t="n">
        <f aca="false">Smax*(1-POWER(Keep,AH97))</f>
        <v>131.25</v>
      </c>
      <c r="AO97" s="14" t="n">
        <f aca="false">Smax*(1-POWER(Keep,AI97))</f>
        <v>135.625</v>
      </c>
      <c r="AP97" s="14" t="n">
        <f aca="false">Smax*(1-POWER(Keep,AJ97))</f>
        <v>135.625</v>
      </c>
      <c r="AQ97" s="19" t="n">
        <f aca="false">IF(D97=1,Cash0+SUM(AK97:AP97)-Cost_r*AJ97+A97*AP97,-1000000000)</f>
        <v>1606.25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3" min="2" style="0" width="8"/>
    <col collapsed="false" customWidth="true" hidden="false" outlineLevel="0" max="17" min="14" style="0" width="14"/>
    <col collapsed="false" customWidth="true" hidden="false" outlineLevel="0" max="18" min="18" style="0" width="18"/>
  </cols>
  <sheetData>
    <row r="1" customFormat="false" ht="15" hidden="false" customHeight="false" outlineLevel="0" collapsed="false">
      <c r="A1" s="1" t="s">
        <v>330</v>
      </c>
    </row>
    <row r="2" customFormat="false" ht="15" hidden="false" customHeight="false" outlineLevel="0" collapsed="false">
      <c r="A2" s="10" t="s">
        <v>331</v>
      </c>
    </row>
    <row r="4" customFormat="false" ht="23.85" hidden="false" customHeight="false" outlineLevel="0" collapsed="false">
      <c r="A4" s="8" t="s">
        <v>332</v>
      </c>
      <c r="B4" s="8" t="s">
        <v>60</v>
      </c>
      <c r="C4" s="8" t="s">
        <v>61</v>
      </c>
      <c r="D4" s="8" t="s">
        <v>62</v>
      </c>
      <c r="E4" s="8" t="s">
        <v>63</v>
      </c>
      <c r="F4" s="8" t="s">
        <v>64</v>
      </c>
      <c r="G4" s="8" t="s">
        <v>65</v>
      </c>
      <c r="H4" s="8" t="s">
        <v>66</v>
      </c>
      <c r="I4" s="8" t="s">
        <v>67</v>
      </c>
      <c r="J4" s="8" t="s">
        <v>68</v>
      </c>
      <c r="K4" s="8" t="s">
        <v>69</v>
      </c>
      <c r="L4" s="8" t="s">
        <v>70</v>
      </c>
      <c r="M4" s="8" t="s">
        <v>71</v>
      </c>
      <c r="N4" s="8" t="s">
        <v>333</v>
      </c>
      <c r="O4" s="8" t="s">
        <v>334</v>
      </c>
      <c r="P4" s="8" t="s">
        <v>261</v>
      </c>
      <c r="Q4" s="8" t="s">
        <v>335</v>
      </c>
      <c r="R4" s="8" t="s">
        <v>336</v>
      </c>
    </row>
    <row r="5" customFormat="false" ht="15" hidden="false" customHeight="false" outlineLevel="0" collapsed="false">
      <c r="A5" s="17" t="n">
        <v>0</v>
      </c>
      <c r="B5" s="12" t="n">
        <f aca="false">Gap0*POWER(1-Share,MIN(1,$A5))</f>
        <v>14</v>
      </c>
      <c r="C5" s="12" t="n">
        <f aca="false">Gap0*POWER(1-Share,MIN(2,$A5))</f>
        <v>14</v>
      </c>
      <c r="D5" s="12" t="n">
        <f aca="false">Gap0*POWER(1-Share,MIN(3,$A5))</f>
        <v>14</v>
      </c>
      <c r="E5" s="12" t="n">
        <f aca="false">Gap0*POWER(1-Share,MIN(4,$A5))</f>
        <v>14</v>
      </c>
      <c r="F5" s="12" t="n">
        <f aca="false">Gap0*POWER(1-Share,MIN(5,$A5))</f>
        <v>14</v>
      </c>
      <c r="G5" s="12" t="n">
        <f aca="false">Gap0*POWER(1-Share,MIN(6,$A5))</f>
        <v>14</v>
      </c>
      <c r="H5" s="14" t="n">
        <f aca="false">Smax-Val_pt*B5</f>
        <v>0</v>
      </c>
      <c r="I5" s="14" t="n">
        <f aca="false">Smax-Val_pt*C5</f>
        <v>0</v>
      </c>
      <c r="J5" s="14" t="n">
        <f aca="false">Smax-Val_pt*D5</f>
        <v>0</v>
      </c>
      <c r="K5" s="14" t="n">
        <f aca="false">Smax-Val_pt*E5</f>
        <v>0</v>
      </c>
      <c r="L5" s="14" t="n">
        <f aca="false">Smax-Val_pt*F5</f>
        <v>0</v>
      </c>
      <c r="M5" s="14" t="n">
        <f aca="false">Smax-Val_pt*G5</f>
        <v>0</v>
      </c>
      <c r="N5" s="18" t="n">
        <f aca="false">Cash0+SUM(H5:M5)-Cost_r*A5</f>
        <v>150</v>
      </c>
      <c r="O5" s="14" t="n">
        <f aca="false">M5</f>
        <v>0</v>
      </c>
      <c r="P5" s="18" t="n">
        <f aca="false">N5+Credit_M*O5</f>
        <v>150</v>
      </c>
      <c r="Q5" s="18" t="n">
        <f aca="false">N5+Credit_10*O5</f>
        <v>150</v>
      </c>
      <c r="R5" s="31" t="n">
        <f aca="false">(N5-N6)/(O6-O5)</f>
        <v>-4.28571428571429</v>
      </c>
    </row>
    <row r="6" customFormat="false" ht="15" hidden="false" customHeight="false" outlineLevel="0" collapsed="false">
      <c r="A6" s="17" t="n">
        <v>1</v>
      </c>
      <c r="B6" s="12" t="n">
        <f aca="false">Gap0*POWER(1-Share,MIN(1,$A6))</f>
        <v>7</v>
      </c>
      <c r="C6" s="12" t="n">
        <f aca="false">Gap0*POWER(1-Share,MIN(2,$A6))</f>
        <v>7</v>
      </c>
      <c r="D6" s="12" t="n">
        <f aca="false">Gap0*POWER(1-Share,MIN(3,$A6))</f>
        <v>7</v>
      </c>
      <c r="E6" s="12" t="n">
        <f aca="false">Gap0*POWER(1-Share,MIN(4,$A6))</f>
        <v>7</v>
      </c>
      <c r="F6" s="12" t="n">
        <f aca="false">Gap0*POWER(1-Share,MIN(5,$A6))</f>
        <v>7</v>
      </c>
      <c r="G6" s="12" t="n">
        <f aca="false">Gap0*POWER(1-Share,MIN(6,$A6))</f>
        <v>7</v>
      </c>
      <c r="H6" s="14" t="n">
        <f aca="false">Smax-Val_pt*B6</f>
        <v>70</v>
      </c>
      <c r="I6" s="14" t="n">
        <f aca="false">Smax-Val_pt*C6</f>
        <v>70</v>
      </c>
      <c r="J6" s="14" t="n">
        <f aca="false">Smax-Val_pt*D6</f>
        <v>70</v>
      </c>
      <c r="K6" s="14" t="n">
        <f aca="false">Smax-Val_pt*E6</f>
        <v>70</v>
      </c>
      <c r="L6" s="14" t="n">
        <f aca="false">Smax-Val_pt*F6</f>
        <v>70</v>
      </c>
      <c r="M6" s="14" t="n">
        <f aca="false">Smax-Val_pt*G6</f>
        <v>70</v>
      </c>
      <c r="N6" s="18" t="n">
        <f aca="false">Cash0+SUM(H6:M6)-Cost_r*A6</f>
        <v>450</v>
      </c>
      <c r="O6" s="14" t="n">
        <f aca="false">M6</f>
        <v>70</v>
      </c>
      <c r="P6" s="18" t="n">
        <f aca="false">N6+Credit_M*O6</f>
        <v>1850</v>
      </c>
      <c r="Q6" s="18" t="n">
        <f aca="false">N6+Credit_10*O6</f>
        <v>1150</v>
      </c>
      <c r="R6" s="31" t="n">
        <f aca="false">(N6-N7)/(O7-O6)</f>
        <v>-1.57142857142857</v>
      </c>
    </row>
    <row r="7" customFormat="false" ht="15" hidden="false" customHeight="false" outlineLevel="0" collapsed="false">
      <c r="A7" s="17" t="n">
        <v>2</v>
      </c>
      <c r="B7" s="12" t="n">
        <f aca="false">Gap0*POWER(1-Share,MIN(1,$A7))</f>
        <v>7</v>
      </c>
      <c r="C7" s="12" t="n">
        <f aca="false">Gap0*POWER(1-Share,MIN(2,$A7))</f>
        <v>3.5</v>
      </c>
      <c r="D7" s="12" t="n">
        <f aca="false">Gap0*POWER(1-Share,MIN(3,$A7))</f>
        <v>3.5</v>
      </c>
      <c r="E7" s="12" t="n">
        <f aca="false">Gap0*POWER(1-Share,MIN(4,$A7))</f>
        <v>3.5</v>
      </c>
      <c r="F7" s="12" t="n">
        <f aca="false">Gap0*POWER(1-Share,MIN(5,$A7))</f>
        <v>3.5</v>
      </c>
      <c r="G7" s="12" t="n">
        <f aca="false">Gap0*POWER(1-Share,MIN(6,$A7))</f>
        <v>3.5</v>
      </c>
      <c r="H7" s="14" t="n">
        <f aca="false">Smax-Val_pt*B7</f>
        <v>70</v>
      </c>
      <c r="I7" s="14" t="n">
        <f aca="false">Smax-Val_pt*C7</f>
        <v>105</v>
      </c>
      <c r="J7" s="14" t="n">
        <f aca="false">Smax-Val_pt*D7</f>
        <v>105</v>
      </c>
      <c r="K7" s="14" t="n">
        <f aca="false">Smax-Val_pt*E7</f>
        <v>105</v>
      </c>
      <c r="L7" s="14" t="n">
        <f aca="false">Smax-Val_pt*F7</f>
        <v>105</v>
      </c>
      <c r="M7" s="14" t="n">
        <f aca="false">Smax-Val_pt*G7</f>
        <v>105</v>
      </c>
      <c r="N7" s="18" t="n">
        <f aca="false">Cash0+SUM(H7:M7)-Cost_r*A7</f>
        <v>505</v>
      </c>
      <c r="O7" s="14" t="n">
        <f aca="false">M7</f>
        <v>105</v>
      </c>
      <c r="P7" s="18" t="n">
        <f aca="false">N7+Credit_M*O7</f>
        <v>2605</v>
      </c>
      <c r="Q7" s="18" t="n">
        <f aca="false">N7+Credit_10*O7</f>
        <v>1555</v>
      </c>
      <c r="R7" s="31" t="n">
        <f aca="false">(N7-N8)/(O8-O7)</f>
        <v>2.85714285714286</v>
      </c>
    </row>
    <row r="8" customFormat="false" ht="15" hidden="false" customHeight="false" outlineLevel="0" collapsed="false">
      <c r="A8" s="17" t="n">
        <v>3</v>
      </c>
      <c r="B8" s="12" t="n">
        <f aca="false">Gap0*POWER(1-Share,MIN(1,$A8))</f>
        <v>7</v>
      </c>
      <c r="C8" s="12" t="n">
        <f aca="false">Gap0*POWER(1-Share,MIN(2,$A8))</f>
        <v>3.5</v>
      </c>
      <c r="D8" s="12" t="n">
        <f aca="false">Gap0*POWER(1-Share,MIN(3,$A8))</f>
        <v>1.75</v>
      </c>
      <c r="E8" s="12" t="n">
        <f aca="false">Gap0*POWER(1-Share,MIN(4,$A8))</f>
        <v>1.75</v>
      </c>
      <c r="F8" s="12" t="n">
        <f aca="false">Gap0*POWER(1-Share,MIN(5,$A8))</f>
        <v>1.75</v>
      </c>
      <c r="G8" s="12" t="n">
        <f aca="false">Gap0*POWER(1-Share,MIN(6,$A8))</f>
        <v>1.75</v>
      </c>
      <c r="H8" s="14" t="n">
        <f aca="false">Smax-Val_pt*B8</f>
        <v>70</v>
      </c>
      <c r="I8" s="14" t="n">
        <f aca="false">Smax-Val_pt*C8</f>
        <v>105</v>
      </c>
      <c r="J8" s="14" t="n">
        <f aca="false">Smax-Val_pt*D8</f>
        <v>122.5</v>
      </c>
      <c r="K8" s="14" t="n">
        <f aca="false">Smax-Val_pt*E8</f>
        <v>122.5</v>
      </c>
      <c r="L8" s="14" t="n">
        <f aca="false">Smax-Val_pt*F8</f>
        <v>122.5</v>
      </c>
      <c r="M8" s="14" t="n">
        <f aca="false">Smax-Val_pt*G8</f>
        <v>122.5</v>
      </c>
      <c r="N8" s="18" t="n">
        <f aca="false">Cash0+SUM(H8:M8)-Cost_r*A8</f>
        <v>455</v>
      </c>
      <c r="O8" s="14" t="n">
        <f aca="false">M8</f>
        <v>122.5</v>
      </c>
      <c r="P8" s="18" t="n">
        <f aca="false">N8+Credit_M*O8</f>
        <v>2905</v>
      </c>
      <c r="Q8" s="18" t="n">
        <f aca="false">N8+Credit_10*O8</f>
        <v>1680</v>
      </c>
      <c r="R8" s="31" t="n">
        <f aca="false">(N8-N9)/(O9-O8)</f>
        <v>10.7142857142857</v>
      </c>
    </row>
    <row r="9" customFormat="false" ht="15" hidden="false" customHeight="false" outlineLevel="0" collapsed="false">
      <c r="A9" s="17" t="n">
        <v>4</v>
      </c>
      <c r="B9" s="12" t="n">
        <f aca="false">Gap0*POWER(1-Share,MIN(1,$A9))</f>
        <v>7</v>
      </c>
      <c r="C9" s="12" t="n">
        <f aca="false">Gap0*POWER(1-Share,MIN(2,$A9))</f>
        <v>3.5</v>
      </c>
      <c r="D9" s="12" t="n">
        <f aca="false">Gap0*POWER(1-Share,MIN(3,$A9))</f>
        <v>1.75</v>
      </c>
      <c r="E9" s="12" t="n">
        <f aca="false">Gap0*POWER(1-Share,MIN(4,$A9))</f>
        <v>0.875</v>
      </c>
      <c r="F9" s="12" t="n">
        <f aca="false">Gap0*POWER(1-Share,MIN(5,$A9))</f>
        <v>0.875</v>
      </c>
      <c r="G9" s="12" t="n">
        <f aca="false">Gap0*POWER(1-Share,MIN(6,$A9))</f>
        <v>0.875</v>
      </c>
      <c r="H9" s="14" t="n">
        <f aca="false">Smax-Val_pt*B9</f>
        <v>70</v>
      </c>
      <c r="I9" s="14" t="n">
        <f aca="false">Smax-Val_pt*C9</f>
        <v>105</v>
      </c>
      <c r="J9" s="14" t="n">
        <f aca="false">Smax-Val_pt*D9</f>
        <v>122.5</v>
      </c>
      <c r="K9" s="14" t="n">
        <f aca="false">Smax-Val_pt*E9</f>
        <v>131.25</v>
      </c>
      <c r="L9" s="14" t="n">
        <f aca="false">Smax-Val_pt*F9</f>
        <v>131.25</v>
      </c>
      <c r="M9" s="14" t="n">
        <f aca="false">Smax-Val_pt*G9</f>
        <v>131.25</v>
      </c>
      <c r="N9" s="18" t="n">
        <f aca="false">Cash0+SUM(H9:M9)-Cost_r*A9</f>
        <v>361.25</v>
      </c>
      <c r="O9" s="14" t="n">
        <f aca="false">M9</f>
        <v>131.25</v>
      </c>
      <c r="P9" s="18" t="n">
        <f aca="false">N9+Credit_M*O9</f>
        <v>2986.25</v>
      </c>
      <c r="Q9" s="18" t="n">
        <f aca="false">N9+Credit_10*O9</f>
        <v>1673.75</v>
      </c>
      <c r="R9" s="31" t="n">
        <f aca="false">(N9-N10)/(O10-O9)</f>
        <v>25.4285714285714</v>
      </c>
    </row>
    <row r="10" customFormat="false" ht="15" hidden="false" customHeight="false" outlineLevel="0" collapsed="false">
      <c r="A10" s="17" t="n">
        <v>5</v>
      </c>
      <c r="B10" s="12" t="n">
        <f aca="false">Gap0*POWER(1-Share,MIN(1,$A10))</f>
        <v>7</v>
      </c>
      <c r="C10" s="12" t="n">
        <f aca="false">Gap0*POWER(1-Share,MIN(2,$A10))</f>
        <v>3.5</v>
      </c>
      <c r="D10" s="12" t="n">
        <f aca="false">Gap0*POWER(1-Share,MIN(3,$A10))</f>
        <v>1.75</v>
      </c>
      <c r="E10" s="12" t="n">
        <f aca="false">Gap0*POWER(1-Share,MIN(4,$A10))</f>
        <v>0.875</v>
      </c>
      <c r="F10" s="12" t="n">
        <f aca="false">Gap0*POWER(1-Share,MIN(5,$A10))</f>
        <v>0.4375</v>
      </c>
      <c r="G10" s="12" t="n">
        <f aca="false">Gap0*POWER(1-Share,MIN(6,$A10))</f>
        <v>0.4375</v>
      </c>
      <c r="H10" s="14" t="n">
        <f aca="false">Smax-Val_pt*B10</f>
        <v>70</v>
      </c>
      <c r="I10" s="14" t="n">
        <f aca="false">Smax-Val_pt*C10</f>
        <v>105</v>
      </c>
      <c r="J10" s="14" t="n">
        <f aca="false">Smax-Val_pt*D10</f>
        <v>122.5</v>
      </c>
      <c r="K10" s="14" t="n">
        <f aca="false">Smax-Val_pt*E10</f>
        <v>131.25</v>
      </c>
      <c r="L10" s="14" t="n">
        <f aca="false">Smax-Val_pt*F10</f>
        <v>135.625</v>
      </c>
      <c r="M10" s="14" t="n">
        <f aca="false">Smax-Val_pt*G10</f>
        <v>135.625</v>
      </c>
      <c r="N10" s="18" t="n">
        <f aca="false">Cash0+SUM(H10:M10)-Cost_r*A10</f>
        <v>250</v>
      </c>
      <c r="O10" s="14" t="n">
        <f aca="false">M10</f>
        <v>135.625</v>
      </c>
      <c r="P10" s="18" t="n">
        <f aca="false">N10+Credit_M*O10</f>
        <v>2962.5</v>
      </c>
      <c r="Q10" s="18" t="n">
        <f aca="false">N10+Credit_10*O10</f>
        <v>1606.25</v>
      </c>
      <c r="R10" s="31" t="n">
        <f aca="false">(N10-N11)/(O11-O10)</f>
        <v>53.8571428571429</v>
      </c>
    </row>
    <row r="11" customFormat="false" ht="15" hidden="false" customHeight="false" outlineLevel="0" collapsed="false">
      <c r="A11" s="17" t="n">
        <v>6</v>
      </c>
      <c r="B11" s="12" t="n">
        <f aca="false">Gap0*POWER(1-Share,MIN(1,$A11))</f>
        <v>7</v>
      </c>
      <c r="C11" s="12" t="n">
        <f aca="false">Gap0*POWER(1-Share,MIN(2,$A11))</f>
        <v>3.5</v>
      </c>
      <c r="D11" s="12" t="n">
        <f aca="false">Gap0*POWER(1-Share,MIN(3,$A11))</f>
        <v>1.75</v>
      </c>
      <c r="E11" s="12" t="n">
        <f aca="false">Gap0*POWER(1-Share,MIN(4,$A11))</f>
        <v>0.875</v>
      </c>
      <c r="F11" s="12" t="n">
        <f aca="false">Gap0*POWER(1-Share,MIN(5,$A11))</f>
        <v>0.4375</v>
      </c>
      <c r="G11" s="12" t="n">
        <f aca="false">Gap0*POWER(1-Share,MIN(6,$A11))</f>
        <v>0.21875</v>
      </c>
      <c r="H11" s="14" t="n">
        <f aca="false">Smax-Val_pt*B11</f>
        <v>70</v>
      </c>
      <c r="I11" s="14" t="n">
        <f aca="false">Smax-Val_pt*C11</f>
        <v>105</v>
      </c>
      <c r="J11" s="14" t="n">
        <f aca="false">Smax-Val_pt*D11</f>
        <v>122.5</v>
      </c>
      <c r="K11" s="14" t="n">
        <f aca="false">Smax-Val_pt*E11</f>
        <v>131.25</v>
      </c>
      <c r="L11" s="14" t="n">
        <f aca="false">Smax-Val_pt*F11</f>
        <v>135.625</v>
      </c>
      <c r="M11" s="14" t="n">
        <f aca="false">Smax-Val_pt*G11</f>
        <v>137.8125</v>
      </c>
      <c r="N11" s="18" t="n">
        <f aca="false">Cash0+SUM(H11:M11)-Cost_r*A11</f>
        <v>132.1875</v>
      </c>
      <c r="O11" s="14" t="n">
        <f aca="false">M11</f>
        <v>137.8125</v>
      </c>
      <c r="P11" s="18" t="n">
        <f aca="false">N11+Credit_M*O11</f>
        <v>2888.4375</v>
      </c>
      <c r="Q11" s="18" t="n">
        <f aca="false">N11+Credit_10*O11</f>
        <v>1510.3125</v>
      </c>
    </row>
    <row r="13" customFormat="false" ht="68.65" hidden="false" customHeight="false" outlineLevel="0" collapsed="false">
      <c r="A13" s="8" t="s">
        <v>337</v>
      </c>
      <c r="B13" s="8" t="s">
        <v>338</v>
      </c>
      <c r="C13" s="8" t="s">
        <v>339</v>
      </c>
      <c r="D13" s="8" t="s">
        <v>261</v>
      </c>
      <c r="E13" s="8" t="s">
        <v>340</v>
      </c>
    </row>
    <row r="14" customFormat="false" ht="15" hidden="false" customHeight="false" outlineLevel="0" collapsed="false">
      <c r="A14" s="2" t="s">
        <v>90</v>
      </c>
      <c r="B14" s="32" t="n">
        <f aca="false">Plans!S5</f>
        <v>131.25</v>
      </c>
      <c r="C14" s="18" t="n">
        <f aca="false">(Plans!U5-Credit_M*B14)+$R$8*B14</f>
        <v>1767.5</v>
      </c>
      <c r="D14" s="27" t="n">
        <f aca="false">Plans!U5</f>
        <v>2986.25</v>
      </c>
      <c r="E14" s="18" t="n">
        <f aca="false">(Plans!U5-Credit_M*B14)+$R$9*B14</f>
        <v>3698.75</v>
      </c>
    </row>
    <row r="15" customFormat="false" ht="15" hidden="false" customHeight="false" outlineLevel="0" collapsed="false">
      <c r="A15" s="2" t="s">
        <v>91</v>
      </c>
      <c r="B15" s="32" t="n">
        <f aca="false">Plans!S6</f>
        <v>131.25</v>
      </c>
      <c r="C15" s="18" t="n">
        <f aca="false">(Plans!U6-Credit_M*B15)+$R$8*B15</f>
        <v>1758.75</v>
      </c>
      <c r="D15" s="27" t="n">
        <f aca="false">Plans!U6</f>
        <v>2977.5</v>
      </c>
      <c r="E15" s="18" t="n">
        <f aca="false">(Plans!U6-Credit_M*B15)+$R$9*B15</f>
        <v>3690</v>
      </c>
    </row>
    <row r="16" customFormat="false" ht="15" hidden="false" customHeight="false" outlineLevel="0" collapsed="false">
      <c r="A16" s="2" t="s">
        <v>92</v>
      </c>
      <c r="B16" s="32" t="n">
        <f aca="false">Plans!S7</f>
        <v>131.25</v>
      </c>
      <c r="C16" s="18" t="n">
        <f aca="false">(Plans!U7-Credit_M*B16)+$R$8*B16</f>
        <v>1750</v>
      </c>
      <c r="D16" s="27" t="n">
        <f aca="false">Plans!U7</f>
        <v>2968.75</v>
      </c>
      <c r="E16" s="18" t="n">
        <f aca="false">(Plans!U7-Credit_M*B16)+$R$9*B16</f>
        <v>3681.25</v>
      </c>
    </row>
    <row r="18" customFormat="false" ht="15" hidden="false" customHeight="false" outlineLevel="0" collapsed="false">
      <c r="A18" s="10" t="s">
        <v>341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5" min="5" style="0" width="36"/>
    <col collapsed="false" customWidth="true" hidden="false" outlineLevel="0" max="6" min="6" style="0" width="18"/>
  </cols>
  <sheetData>
    <row r="1" customFormat="false" ht="15" hidden="false" customHeight="false" outlineLevel="0" collapsed="false">
      <c r="A1" s="1" t="s">
        <v>342</v>
      </c>
    </row>
    <row r="2" customFormat="false" ht="15" hidden="false" customHeight="false" outlineLevel="0" collapsed="false">
      <c r="A2" s="10" t="s">
        <v>343</v>
      </c>
    </row>
    <row r="4" customFormat="false" ht="15" hidden="false" customHeight="false" outlineLevel="0" collapsed="false">
      <c r="A4" s="2" t="s">
        <v>344</v>
      </c>
      <c r="B4" s="9" t="n">
        <v>60</v>
      </c>
    </row>
    <row r="6" customFormat="false" ht="23.85" hidden="false" customHeight="false" outlineLevel="0" collapsed="false">
      <c r="A6" s="8" t="s">
        <v>345</v>
      </c>
      <c r="B6" s="8" t="s">
        <v>346</v>
      </c>
      <c r="C6" s="8" t="s">
        <v>347</v>
      </c>
      <c r="D6" s="8" t="s">
        <v>348</v>
      </c>
      <c r="E6" s="8" t="s">
        <v>349</v>
      </c>
      <c r="F6" s="8" t="s">
        <v>350</v>
      </c>
    </row>
    <row r="7" customFormat="false" ht="15" hidden="false" customHeight="false" outlineLevel="0" collapsed="false">
      <c r="A7" s="17" t="n">
        <v>0</v>
      </c>
      <c r="B7" s="18" t="n">
        <f aca="false">_xlfn.MAXIFS(Schedules!$V$5:$V$68,Schedules!$T$5:$T$68,A7,Schedules!$AC$5:$AC$68,"&gt;=0")</f>
        <v>150</v>
      </c>
      <c r="C7" s="17" t="n">
        <f aca="false">Cost_r*A7</f>
        <v>0</v>
      </c>
      <c r="D7" s="2" t="str">
        <f aca="false">IF(C7&lt;=$B$4,"yes","no")</f>
        <v>yes</v>
      </c>
      <c r="E7" s="18" t="n">
        <f aca="false">B7+$B$17*($B$4-C7)</f>
        <v>650</v>
      </c>
    </row>
    <row r="8" customFormat="false" ht="15" hidden="false" customHeight="false" outlineLevel="0" collapsed="false">
      <c r="A8" s="17" t="n">
        <v>1</v>
      </c>
      <c r="B8" s="18" t="n">
        <f aca="false">_xlfn.MAXIFS(Schedules!$V$5:$V$68,Schedules!$T$5:$T$68,A8,Schedules!$AC$5:$AC$68,"&gt;=0")</f>
        <v>1150</v>
      </c>
      <c r="C8" s="17" t="n">
        <f aca="false">Cost_r*A8</f>
        <v>120</v>
      </c>
      <c r="D8" s="2" t="str">
        <f aca="false">IF(C8&lt;=$B$4,"yes","no")</f>
        <v>no</v>
      </c>
      <c r="E8" s="18" t="n">
        <f aca="false">B8+$B$17*($B$4-C8)</f>
        <v>650</v>
      </c>
      <c r="F8" s="18" t="n">
        <f aca="false">$B$7+(B8-$B$7)*$B$4/C8</f>
        <v>650</v>
      </c>
    </row>
    <row r="9" customFormat="false" ht="15" hidden="false" customHeight="false" outlineLevel="0" collapsed="false">
      <c r="A9" s="17" t="n">
        <v>2</v>
      </c>
      <c r="B9" s="18" t="n">
        <f aca="false">_xlfn.MAXIFS(Schedules!$V$5:$V$68,Schedules!$T$5:$T$68,A9,Schedules!$AC$5:$AC$68,"&gt;=0")</f>
        <v>1555</v>
      </c>
      <c r="C9" s="17" t="n">
        <f aca="false">Cost_r*A9</f>
        <v>240</v>
      </c>
      <c r="D9" s="2" t="str">
        <f aca="false">IF(C9&lt;=$B$4,"yes","no")</f>
        <v>no</v>
      </c>
      <c r="E9" s="18" t="n">
        <f aca="false">B9+$B$17*($B$4-C9)</f>
        <v>55</v>
      </c>
      <c r="F9" s="18" t="n">
        <f aca="false">$B$7+(B9-$B$7)*$B$4/C9</f>
        <v>501.25</v>
      </c>
    </row>
    <row r="10" customFormat="false" ht="15" hidden="false" customHeight="false" outlineLevel="0" collapsed="false">
      <c r="A10" s="17" t="n">
        <v>3</v>
      </c>
      <c r="B10" s="18" t="n">
        <f aca="false">_xlfn.MAXIFS(Schedules!$V$5:$V$68,Schedules!$T$5:$T$68,A10,Schedules!$AC$5:$AC$68,"&gt;=0")</f>
        <v>1680</v>
      </c>
      <c r="C10" s="17" t="n">
        <f aca="false">Cost_r*A10</f>
        <v>360</v>
      </c>
      <c r="D10" s="2" t="str">
        <f aca="false">IF(C10&lt;=$B$4,"yes","no")</f>
        <v>no</v>
      </c>
      <c r="E10" s="18" t="n">
        <f aca="false">B10+$B$17*($B$4-C10)</f>
        <v>-820</v>
      </c>
      <c r="F10" s="18" t="n">
        <f aca="false">$B$7+(B10-$B$7)*$B$4/C10</f>
        <v>405</v>
      </c>
    </row>
    <row r="11" customFormat="false" ht="15" hidden="false" customHeight="false" outlineLevel="0" collapsed="false">
      <c r="A11" s="17" t="n">
        <v>4</v>
      </c>
      <c r="B11" s="18" t="n">
        <f aca="false">_xlfn.MAXIFS(Schedules!$V$5:$V$68,Schedules!$T$5:$T$68,A11,Schedules!$AC$5:$AC$68,"&gt;=0")</f>
        <v>1673.75</v>
      </c>
      <c r="C11" s="17" t="n">
        <f aca="false">Cost_r*A11</f>
        <v>480</v>
      </c>
      <c r="D11" s="2" t="str">
        <f aca="false">IF(C11&lt;=$B$4,"yes","no")</f>
        <v>no</v>
      </c>
      <c r="E11" s="18" t="n">
        <f aca="false">B11+$B$17*($B$4-C11)</f>
        <v>-1826.25</v>
      </c>
      <c r="F11" s="18" t="n">
        <f aca="false">$B$7+(B11-$B$7)*$B$4/C11</f>
        <v>340.46875</v>
      </c>
    </row>
    <row r="12" customFormat="false" ht="15" hidden="false" customHeight="false" outlineLevel="0" collapsed="false">
      <c r="A12" s="17" t="n">
        <v>5</v>
      </c>
      <c r="B12" s="18" t="n">
        <f aca="false">_xlfn.MAXIFS(Schedules!$V$5:$V$68,Schedules!$T$5:$T$68,A12,Schedules!$AC$5:$AC$68,"&gt;=0")</f>
        <v>1606.25</v>
      </c>
      <c r="C12" s="17" t="n">
        <f aca="false">Cost_r*A12</f>
        <v>600</v>
      </c>
      <c r="D12" s="2" t="str">
        <f aca="false">IF(C12&lt;=$B$4,"yes","no")</f>
        <v>no</v>
      </c>
      <c r="E12" s="18" t="n">
        <f aca="false">B12+$B$17*($B$4-C12)</f>
        <v>-2893.75</v>
      </c>
      <c r="F12" s="18" t="n">
        <f aca="false">$B$7+(B12-$B$7)*$B$4/C12</f>
        <v>295.625</v>
      </c>
    </row>
    <row r="13" customFormat="false" ht="15" hidden="false" customHeight="false" outlineLevel="0" collapsed="false">
      <c r="A13" s="17" t="n">
        <v>6</v>
      </c>
      <c r="B13" s="18" t="n">
        <f aca="false">_xlfn.MAXIFS(Schedules!$V$5:$V$68,Schedules!$T$5:$T$68,A13,Schedules!$AC$5:$AC$68,"&gt;=0")</f>
        <v>1510.3125</v>
      </c>
      <c r="C13" s="17" t="n">
        <f aca="false">Cost_r*A13</f>
        <v>720</v>
      </c>
      <c r="D13" s="2" t="str">
        <f aca="false">IF(C13&lt;=$B$4,"yes","no")</f>
        <v>no</v>
      </c>
      <c r="E13" s="18" t="n">
        <f aca="false">B13+$B$17*($B$4-C13)</f>
        <v>-3989.6875</v>
      </c>
      <c r="F13" s="18" t="n">
        <f aca="false">$B$7+(B13-$B$7)*$B$4/C13</f>
        <v>263.359375</v>
      </c>
    </row>
    <row r="15" customFormat="false" ht="15" hidden="false" customHeight="false" outlineLevel="0" collapsed="false">
      <c r="A15" s="2" t="s">
        <v>351</v>
      </c>
      <c r="B15" s="18" t="n">
        <f aca="false">_xlfn.MAXIFS(B7:B13,C7:C13,"&lt;="&amp;B4)</f>
        <v>150</v>
      </c>
    </row>
    <row r="17" customFormat="false" ht="15" hidden="false" customHeight="false" outlineLevel="0" collapsed="false">
      <c r="A17" s="2" t="s">
        <v>352</v>
      </c>
      <c r="B17" s="12" t="n">
        <f aca="false">(B8-B7)/(2*B4)</f>
        <v>8.33333333333333</v>
      </c>
    </row>
    <row r="18" customFormat="false" ht="15" hidden="false" customHeight="false" outlineLevel="0" collapsed="false">
      <c r="A18" s="2" t="s">
        <v>353</v>
      </c>
      <c r="B18" s="18" t="n">
        <f aca="false">MAX(E7:E13)</f>
        <v>650</v>
      </c>
    </row>
    <row r="19" customFormat="false" ht="15" hidden="false" customHeight="false" outlineLevel="0" collapsed="false">
      <c r="A19" s="2" t="s">
        <v>354</v>
      </c>
      <c r="B19" s="18" t="n">
        <f aca="false">MAX(F8:F13)</f>
        <v>650</v>
      </c>
    </row>
    <row r="20" customFormat="false" ht="15" hidden="false" customHeight="false" outlineLevel="0" collapsed="false">
      <c r="A20" s="2" t="s">
        <v>355</v>
      </c>
      <c r="B20" s="12" t="n">
        <f aca="false">B4/Cost_r</f>
        <v>0.5</v>
      </c>
    </row>
    <row r="21" customFormat="false" ht="15" hidden="false" customHeight="false" outlineLevel="0" collapsed="false">
      <c r="A21" s="2" t="s">
        <v>356</v>
      </c>
      <c r="B21" s="18" t="n">
        <f aca="false">Cash0+6*Smax*(1-POWER(Keep,B20))-Cost_r*B20+Credit_10*Smax*(1-POWER(Keep,B20))</f>
        <v>746.080810142134</v>
      </c>
    </row>
    <row r="22" customFormat="false" ht="15" hidden="false" customHeight="false" outlineLevel="0" collapsed="false">
      <c r="A22" s="2" t="s">
        <v>357</v>
      </c>
      <c r="B22" s="18" t="n">
        <f aca="false">Plans!V12</f>
        <v>650</v>
      </c>
    </row>
    <row r="23" customFormat="false" ht="15" hidden="false" customHeight="false" outlineLevel="0" collapsed="false">
      <c r="A23" s="10" t="s">
        <v>358</v>
      </c>
    </row>
    <row r="25" customFormat="false" ht="23.85" hidden="false" customHeight="false" outlineLevel="0" collapsed="false">
      <c r="A25" s="8" t="s">
        <v>359</v>
      </c>
      <c r="B25" s="8" t="s">
        <v>360</v>
      </c>
    </row>
    <row r="26" customFormat="false" ht="15" hidden="false" customHeight="false" outlineLevel="0" collapsed="false">
      <c r="A26" s="13" t="n">
        <v>0</v>
      </c>
      <c r="B26" s="18" t="n">
        <f aca="false">MAX($B$7+A26*($B$4-$C$7),$B$8+A26*($B$4-$C$8),$B$9+A26*($B$4-$C$9),$B$10+A26*($B$4-$C$10),$B$11+A26*($B$4-$C$11),$B$12+A26*($B$4-$C$12),$B$13+A26*($B$4-$C$13))</f>
        <v>1680</v>
      </c>
      <c r="D26" s="2" t="s">
        <v>361</v>
      </c>
      <c r="E26" s="18" t="n">
        <f aca="false">MIN(B26:B35)</f>
        <v>650</v>
      </c>
    </row>
    <row r="27" customFormat="false" ht="15" hidden="false" customHeight="false" outlineLevel="0" collapsed="false">
      <c r="A27" s="13" t="n">
        <v>2</v>
      </c>
      <c r="B27" s="18" t="n">
        <f aca="false">MAX($B$7+A27*($B$4-$C$7),$B$8+A27*($B$4-$C$8),$B$9+A27*($B$4-$C$9),$B$10+A27*($B$4-$C$10),$B$11+A27*($B$4-$C$11),$B$12+A27*($B$4-$C$12),$B$13+A27*($B$4-$C$13))</f>
        <v>1195</v>
      </c>
    </row>
    <row r="28" customFormat="false" ht="15" hidden="false" customHeight="false" outlineLevel="0" collapsed="false">
      <c r="A28" s="13" t="n">
        <v>4</v>
      </c>
      <c r="B28" s="18" t="n">
        <f aca="false">MAX($B$7+A28*($B$4-$C$7),$B$8+A28*($B$4-$C$8),$B$9+A28*($B$4-$C$9),$B$10+A28*($B$4-$C$10),$B$11+A28*($B$4-$C$11),$B$12+A28*($B$4-$C$12),$B$13+A28*($B$4-$C$13))</f>
        <v>910</v>
      </c>
    </row>
    <row r="29" customFormat="false" ht="15" hidden="false" customHeight="false" outlineLevel="0" collapsed="false">
      <c r="A29" s="13" t="n">
        <v>6</v>
      </c>
      <c r="B29" s="18" t="n">
        <f aca="false">MAX($B$7+A29*($B$4-$C$7),$B$8+A29*($B$4-$C$8),$B$9+A29*($B$4-$C$9),$B$10+A29*($B$4-$C$10),$B$11+A29*($B$4-$C$11),$B$12+A29*($B$4-$C$12),$B$13+A29*($B$4-$C$13))</f>
        <v>790</v>
      </c>
    </row>
    <row r="30" customFormat="false" ht="15" hidden="false" customHeight="false" outlineLevel="0" collapsed="false">
      <c r="A30" s="13" t="n">
        <v>8</v>
      </c>
      <c r="B30" s="18" t="n">
        <f aca="false">MAX($B$7+A30*($B$4-$C$7),$B$8+A30*($B$4-$C$8),$B$9+A30*($B$4-$C$9),$B$10+A30*($B$4-$C$10),$B$11+A30*($B$4-$C$11),$B$12+A30*($B$4-$C$12),$B$13+A30*($B$4-$C$13))</f>
        <v>670</v>
      </c>
    </row>
    <row r="31" customFormat="false" ht="15" hidden="false" customHeight="false" outlineLevel="0" collapsed="false">
      <c r="A31" s="13" t="n">
        <v>8.33333333333333</v>
      </c>
      <c r="B31" s="18" t="n">
        <f aca="false">MAX($B$7+A31*($B$4-$C$7),$B$8+A31*($B$4-$C$8),$B$9+A31*($B$4-$C$9),$B$10+A31*($B$4-$C$10),$B$11+A31*($B$4-$C$11),$B$12+A31*($B$4-$C$12),$B$13+A31*($B$4-$C$13))</f>
        <v>650</v>
      </c>
    </row>
    <row r="32" customFormat="false" ht="15" hidden="false" customHeight="false" outlineLevel="0" collapsed="false">
      <c r="A32" s="13" t="n">
        <v>9</v>
      </c>
      <c r="B32" s="18" t="n">
        <f aca="false">MAX($B$7+A32*($B$4-$C$7),$B$8+A32*($B$4-$C$8),$B$9+A32*($B$4-$C$9),$B$10+A32*($B$4-$C$10),$B$11+A32*($B$4-$C$11),$B$12+A32*($B$4-$C$12),$B$13+A32*($B$4-$C$13))</f>
        <v>690</v>
      </c>
    </row>
    <row r="33" customFormat="false" ht="15" hidden="false" customHeight="false" outlineLevel="0" collapsed="false">
      <c r="A33" s="13" t="n">
        <v>10</v>
      </c>
      <c r="B33" s="18" t="n">
        <f aca="false">MAX($B$7+A33*($B$4-$C$7),$B$8+A33*($B$4-$C$8),$B$9+A33*($B$4-$C$9),$B$10+A33*($B$4-$C$10),$B$11+A33*($B$4-$C$11),$B$12+A33*($B$4-$C$12),$B$13+A33*($B$4-$C$13))</f>
        <v>750</v>
      </c>
    </row>
    <row r="34" customFormat="false" ht="15" hidden="false" customHeight="false" outlineLevel="0" collapsed="false">
      <c r="A34" s="13" t="n">
        <v>12</v>
      </c>
      <c r="B34" s="18" t="n">
        <f aca="false">MAX($B$7+A34*($B$4-$C$7),$B$8+A34*($B$4-$C$8),$B$9+A34*($B$4-$C$9),$B$10+A34*($B$4-$C$10),$B$11+A34*($B$4-$C$11),$B$12+A34*($B$4-$C$12),$B$13+A34*($B$4-$C$13))</f>
        <v>870</v>
      </c>
    </row>
    <row r="35" customFormat="false" ht="15" hidden="false" customHeight="false" outlineLevel="0" collapsed="false">
      <c r="A35" s="13" t="n">
        <v>16</v>
      </c>
      <c r="B35" s="18" t="n">
        <f aca="false">MAX($B$7+A35*($B$4-$C$7),$B$8+A35*($B$4-$C$8),$B$9+A35*($B$4-$C$9),$B$10+A35*($B$4-$C$10),$B$11+A35*($B$4-$C$11),$B$12+A35*($B$4-$C$12),$B$13+A35*($B$4-$C$13))</f>
        <v>1110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26"/>
    <col collapsed="false" customWidth="true" hidden="false" outlineLevel="0" max="5" min="3" style="0" width="16"/>
    <col collapsed="false" customWidth="true" hidden="false" outlineLevel="0" max="6" min="6" style="0" width="22"/>
  </cols>
  <sheetData>
    <row r="1" customFormat="false" ht="15" hidden="false" customHeight="false" outlineLevel="0" collapsed="false">
      <c r="A1" s="1" t="s">
        <v>362</v>
      </c>
    </row>
    <row r="2" customFormat="false" ht="15" hidden="false" customHeight="false" outlineLevel="0" collapsed="false">
      <c r="A2" s="10" t="s">
        <v>363</v>
      </c>
    </row>
    <row r="4" customFormat="false" ht="15" hidden="false" customHeight="false" outlineLevel="0" collapsed="false">
      <c r="A4" s="2" t="s">
        <v>364</v>
      </c>
      <c r="B4" s="9" t="n">
        <v>0.03</v>
      </c>
    </row>
    <row r="5" customFormat="false" ht="15" hidden="false" customHeight="false" outlineLevel="0" collapsed="false">
      <c r="A5" s="2" t="s">
        <v>365</v>
      </c>
      <c r="B5" s="9" t="n">
        <v>8</v>
      </c>
    </row>
    <row r="6" customFormat="false" ht="15" hidden="false" customHeight="false" outlineLevel="0" collapsed="false">
      <c r="A6" s="2" t="s">
        <v>366</v>
      </c>
      <c r="B6" s="13" t="n">
        <v>0.0001</v>
      </c>
    </row>
    <row r="8" customFormat="false" ht="15" hidden="false" customHeight="false" outlineLevel="0" collapsed="false">
      <c r="A8" s="2" t="s">
        <v>367</v>
      </c>
      <c r="B8" s="22" t="n">
        <v>170</v>
      </c>
      <c r="C8" s="33" t="n">
        <v>0.667576361426626</v>
      </c>
      <c r="D8" s="12" t="n">
        <f aca="false">$B$4*B8+$B$5*C8</f>
        <v>10.440610891413</v>
      </c>
    </row>
    <row r="10" customFormat="false" ht="15" hidden="false" customHeight="false" outlineLevel="0" collapsed="false">
      <c r="A10" s="4" t="s">
        <v>368</v>
      </c>
    </row>
    <row r="11" customFormat="false" ht="15" hidden="false" customHeight="false" outlineLevel="0" collapsed="false">
      <c r="A11" s="8" t="s">
        <v>274</v>
      </c>
      <c r="B11" s="8" t="s">
        <v>369</v>
      </c>
      <c r="C11" s="8" t="s">
        <v>370</v>
      </c>
      <c r="D11" s="8" t="s">
        <v>371</v>
      </c>
      <c r="E11" s="8" t="s">
        <v>372</v>
      </c>
      <c r="F11" s="8" t="s">
        <v>373</v>
      </c>
    </row>
    <row r="12" customFormat="false" ht="15" hidden="false" customHeight="false" outlineLevel="0" collapsed="false">
      <c r="A12" s="17" t="n">
        <v>1</v>
      </c>
      <c r="B12" s="2" t="s">
        <v>374</v>
      </c>
      <c r="C12" s="22" t="n">
        <v>166</v>
      </c>
      <c r="D12" s="33" t="n">
        <v>0.680842149629177</v>
      </c>
      <c r="E12" s="12" t="n">
        <f aca="false">$B$4*C12+$B$5*D12</f>
        <v>10.4267371970334</v>
      </c>
      <c r="F12" s="6" t="s">
        <v>375</v>
      </c>
    </row>
    <row r="13" customFormat="false" ht="15" hidden="false" customHeight="false" outlineLevel="0" collapsed="false">
      <c r="A13" s="17" t="n">
        <v>2</v>
      </c>
      <c r="B13" s="2" t="s">
        <v>376</v>
      </c>
      <c r="C13" s="10" t="s">
        <v>377</v>
      </c>
      <c r="F13" s="6" t="s">
        <v>378</v>
      </c>
    </row>
    <row r="14" customFormat="false" ht="15" hidden="false" customHeight="false" outlineLevel="0" collapsed="false">
      <c r="A14" s="17" t="n">
        <v>3</v>
      </c>
      <c r="B14" s="2" t="s">
        <v>379</v>
      </c>
      <c r="C14" s="22" t="n">
        <v>121</v>
      </c>
      <c r="D14" s="33" t="n">
        <v>1</v>
      </c>
      <c r="E14" s="12" t="n">
        <f aca="false">$B$4*C14+$B$5*D14</f>
        <v>11.63</v>
      </c>
      <c r="F14" s="6" t="s">
        <v>380</v>
      </c>
    </row>
    <row r="15" customFormat="false" ht="15" hidden="false" customHeight="false" outlineLevel="0" collapsed="false">
      <c r="A15" s="17" t="n">
        <v>4</v>
      </c>
      <c r="B15" s="2" t="s">
        <v>381</v>
      </c>
      <c r="C15" s="22" t="n">
        <v>100</v>
      </c>
      <c r="D15" s="33" t="n">
        <v>1.28711138254555</v>
      </c>
      <c r="E15" s="12" t="n">
        <f aca="false">$B$4*C15+$B$5*D15</f>
        <v>13.2968910603644</v>
      </c>
      <c r="F15" s="6" t="s">
        <v>382</v>
      </c>
    </row>
    <row r="16" customFormat="false" ht="15" hidden="false" customHeight="false" outlineLevel="0" collapsed="false">
      <c r="A16" s="17" t="n">
        <v>5</v>
      </c>
      <c r="B16" s="2" t="s">
        <v>383</v>
      </c>
      <c r="C16" s="22" t="n">
        <v>150</v>
      </c>
      <c r="D16" s="33" t="n">
        <v>1</v>
      </c>
      <c r="E16" s="12" t="n">
        <f aca="false">$B$4*C16+$B$5*D16</f>
        <v>12.5</v>
      </c>
      <c r="F16" s="6" t="s">
        <v>384</v>
      </c>
    </row>
    <row r="18" customFormat="false" ht="15" hidden="false" customHeight="false" outlineLevel="0" collapsed="false">
      <c r="A18" s="4" t="s">
        <v>385</v>
      </c>
    </row>
    <row r="19" customFormat="false" ht="15" hidden="false" customHeight="false" outlineLevel="0" collapsed="false">
      <c r="A19" s="8" t="s">
        <v>274</v>
      </c>
      <c r="B19" s="8" t="s">
        <v>369</v>
      </c>
      <c r="C19" s="8" t="s">
        <v>370</v>
      </c>
      <c r="D19" s="8" t="s">
        <v>371</v>
      </c>
      <c r="E19" s="8" t="s">
        <v>372</v>
      </c>
      <c r="F19" s="8" t="s">
        <v>373</v>
      </c>
    </row>
    <row r="20" customFormat="false" ht="15" hidden="false" customHeight="false" outlineLevel="0" collapsed="false">
      <c r="A20" s="17" t="n">
        <v>1</v>
      </c>
      <c r="B20" s="2" t="s">
        <v>374</v>
      </c>
      <c r="C20" s="22" t="n">
        <v>166</v>
      </c>
      <c r="D20" s="33" t="n">
        <v>0.680842149629177</v>
      </c>
      <c r="E20" s="12" t="n">
        <f aca="false">$B$4*C20+$B$5*D20</f>
        <v>10.4267371970334</v>
      </c>
      <c r="F20" s="6" t="s">
        <v>375</v>
      </c>
    </row>
    <row r="21" customFormat="false" ht="15" hidden="false" customHeight="false" outlineLevel="0" collapsed="false">
      <c r="A21" s="17" t="n">
        <v>2</v>
      </c>
      <c r="B21" s="2" t="s">
        <v>376</v>
      </c>
      <c r="C21" s="10" t="s">
        <v>377</v>
      </c>
      <c r="F21" s="6" t="s">
        <v>378</v>
      </c>
    </row>
    <row r="22" customFormat="false" ht="15" hidden="false" customHeight="false" outlineLevel="0" collapsed="false">
      <c r="A22" s="17" t="n">
        <v>3</v>
      </c>
      <c r="B22" s="2" t="s">
        <v>379</v>
      </c>
      <c r="C22" s="22" t="n">
        <v>121</v>
      </c>
      <c r="D22" s="33" t="n">
        <v>1</v>
      </c>
      <c r="E22" s="12" t="n">
        <f aca="false">$B$4*C22+$B$5*D22</f>
        <v>11.63</v>
      </c>
      <c r="F22" s="6" t="s">
        <v>380</v>
      </c>
    </row>
    <row r="23" customFormat="false" ht="15" hidden="false" customHeight="false" outlineLevel="0" collapsed="false">
      <c r="A23" s="17" t="n">
        <v>4</v>
      </c>
      <c r="B23" s="2" t="s">
        <v>386</v>
      </c>
      <c r="C23" s="22" t="n">
        <v>120</v>
      </c>
      <c r="D23" s="33" t="n">
        <v>1.00377171592019</v>
      </c>
      <c r="E23" s="12" t="n">
        <f aca="false">$B$4*C23+$B$5*D23</f>
        <v>11.6301737273615</v>
      </c>
      <c r="F23" s="6" t="s">
        <v>375</v>
      </c>
    </row>
    <row r="24" customFormat="false" ht="15" hidden="false" customHeight="false" outlineLevel="0" collapsed="false">
      <c r="A24" s="17" t="n">
        <v>5</v>
      </c>
      <c r="B24" s="2" t="s">
        <v>387</v>
      </c>
      <c r="C24" s="22" t="n">
        <v>130</v>
      </c>
      <c r="D24" s="33" t="n">
        <v>1</v>
      </c>
      <c r="E24" s="12" t="n">
        <f aca="false">$B$4*C24+$B$5*D24</f>
        <v>11.9</v>
      </c>
      <c r="F24" s="6" t="s">
        <v>384</v>
      </c>
    </row>
    <row r="25" customFormat="false" ht="15" hidden="false" customHeight="false" outlineLevel="0" collapsed="false">
      <c r="A25" s="17" t="n">
        <v>6</v>
      </c>
      <c r="B25" s="2" t="s">
        <v>388</v>
      </c>
      <c r="C25" s="10" t="s">
        <v>377</v>
      </c>
      <c r="F25" s="6" t="s">
        <v>378</v>
      </c>
    </row>
    <row r="26" customFormat="false" ht="15" hidden="false" customHeight="false" outlineLevel="0" collapsed="false">
      <c r="A26" s="17" t="n">
        <v>7</v>
      </c>
      <c r="B26" s="2" t="s">
        <v>389</v>
      </c>
      <c r="C26" s="22" t="n">
        <v>70</v>
      </c>
      <c r="D26" s="33" t="n">
        <v>2</v>
      </c>
      <c r="E26" s="12" t="n">
        <f aca="false">$B$4*C26+$B$5*D26</f>
        <v>18.1</v>
      </c>
      <c r="F26" s="6" t="s">
        <v>382</v>
      </c>
    </row>
    <row r="29" customFormat="false" ht="15" hidden="false" customHeight="false" outlineLevel="0" collapsed="false">
      <c r="A29" s="2" t="s">
        <v>390</v>
      </c>
      <c r="E29" s="11" t="n">
        <f aca="false">E16-D8</f>
        <v>2.05938910858699</v>
      </c>
    </row>
    <row r="30" customFormat="false" ht="15" hidden="false" customHeight="false" outlineLevel="0" collapsed="false">
      <c r="A30" s="2" t="s">
        <v>391</v>
      </c>
      <c r="E30" s="11" t="n">
        <f aca="false">E14-D8</f>
        <v>1.18938910858699</v>
      </c>
    </row>
    <row r="31" customFormat="false" ht="15" hidden="false" customHeight="false" outlineLevel="0" collapsed="false">
      <c r="A31" s="2" t="s">
        <v>392</v>
      </c>
      <c r="E31" s="34" t="n">
        <f aca="false">B6*E16*1000000</f>
        <v>1250</v>
      </c>
    </row>
    <row r="32" customFormat="false" ht="15" hidden="false" customHeight="false" outlineLevel="0" collapsed="false">
      <c r="A32" s="2" t="s">
        <v>393</v>
      </c>
      <c r="E32" s="11" t="n">
        <f aca="false">B6*Plans!U5</f>
        <v>0.298625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0"/>
  </cols>
  <sheetData>
    <row r="1" customFormat="false" ht="15" hidden="false" customHeight="false" outlineLevel="0" collapsed="false">
      <c r="A1" s="8" t="s">
        <v>394</v>
      </c>
      <c r="B1" s="8" t="s">
        <v>395</v>
      </c>
      <c r="C1" s="8" t="s">
        <v>396</v>
      </c>
    </row>
    <row r="2" customFormat="false" ht="15" hidden="false" customHeight="false" outlineLevel="0" collapsed="false">
      <c r="A2" s="2" t="s">
        <v>397</v>
      </c>
      <c r="B2" s="35" t="n">
        <v>85</v>
      </c>
      <c r="C2" s="2" t="s">
        <v>398</v>
      </c>
    </row>
    <row r="3" customFormat="false" ht="15" hidden="false" customHeight="false" outlineLevel="0" collapsed="false">
      <c r="A3" s="2" t="s">
        <v>399</v>
      </c>
      <c r="B3" s="35" t="n">
        <v>0.153057667029309</v>
      </c>
      <c r="C3" s="2" t="s">
        <v>400</v>
      </c>
    </row>
    <row r="4" customFormat="false" ht="15" hidden="false" customHeight="false" outlineLevel="0" collapsed="false">
      <c r="A4" s="2" t="s">
        <v>401</v>
      </c>
      <c r="B4" s="35" t="n">
        <v>2982.61488040805</v>
      </c>
      <c r="C4" s="2" t="s">
        <v>402</v>
      </c>
    </row>
    <row r="5" customFormat="false" ht="15" hidden="false" customHeight="false" outlineLevel="0" collapsed="false">
      <c r="A5" s="2" t="s">
        <v>403</v>
      </c>
      <c r="B5" s="35" t="n">
        <v>3.63511959194602</v>
      </c>
      <c r="C5" s="2" t="s">
        <v>404</v>
      </c>
    </row>
    <row r="6" customFormat="false" ht="15" hidden="false" customHeight="false" outlineLevel="0" collapsed="false">
      <c r="A6" s="2" t="s">
        <v>405</v>
      </c>
      <c r="B6" s="35" t="n">
        <v>0.394065766532647</v>
      </c>
      <c r="C6" s="2" t="s">
        <v>406</v>
      </c>
    </row>
    <row r="7" customFormat="false" ht="15" hidden="false" customHeight="false" outlineLevel="0" collapsed="false">
      <c r="A7" s="2" t="s">
        <v>407</v>
      </c>
      <c r="B7" s="35" t="n">
        <v>2.46291104082911</v>
      </c>
      <c r="C7" s="2" t="s">
        <v>408</v>
      </c>
    </row>
    <row r="8" customFormat="false" ht="15" hidden="false" customHeight="false" outlineLevel="0" collapsed="false">
      <c r="A8" s="2" t="s">
        <v>409</v>
      </c>
      <c r="B8" s="35" t="n">
        <v>2905</v>
      </c>
      <c r="C8" s="2" t="s">
        <v>410</v>
      </c>
    </row>
    <row r="9" customFormat="false" ht="15" hidden="false" customHeight="false" outlineLevel="0" collapsed="false">
      <c r="A9" s="2" t="s">
        <v>411</v>
      </c>
      <c r="B9" s="35" t="n">
        <v>81.25</v>
      </c>
      <c r="C9" s="2" t="s">
        <v>130</v>
      </c>
    </row>
    <row r="10" customFormat="false" ht="15" hidden="false" customHeight="false" outlineLevel="0" collapsed="false">
      <c r="A10" s="2" t="s">
        <v>412</v>
      </c>
      <c r="B10" s="35" t="n">
        <v>72.5</v>
      </c>
      <c r="C10" s="2" t="s">
        <v>413</v>
      </c>
    </row>
    <row r="11" customFormat="false" ht="15" hidden="false" customHeight="false" outlineLevel="0" collapsed="false">
      <c r="A11" s="2" t="s">
        <v>414</v>
      </c>
      <c r="B11" s="35" t="n">
        <v>-96.25</v>
      </c>
      <c r="C11" s="2" t="s">
        <v>134</v>
      </c>
    </row>
    <row r="12" customFormat="false" ht="15" hidden="false" customHeight="false" outlineLevel="0" collapsed="false">
      <c r="A12" s="2" t="s">
        <v>415</v>
      </c>
      <c r="B12" s="35" t="n">
        <v>0.753246753246753</v>
      </c>
      <c r="C12" s="2" t="s">
        <v>145</v>
      </c>
    </row>
    <row r="13" customFormat="false" ht="15" hidden="false" customHeight="false" outlineLevel="0" collapsed="false">
      <c r="A13" s="2" t="s">
        <v>416</v>
      </c>
      <c r="B13" s="35" t="n">
        <v>0.844155844155844</v>
      </c>
      <c r="C13" s="2" t="s">
        <v>147</v>
      </c>
    </row>
    <row r="14" customFormat="false" ht="15" hidden="false" customHeight="false" outlineLevel="0" collapsed="false">
      <c r="A14" s="2" t="s">
        <v>417</v>
      </c>
      <c r="B14" s="35" t="n">
        <v>2966.2012987013</v>
      </c>
      <c r="C14" s="2" t="s">
        <v>149</v>
      </c>
    </row>
    <row r="15" customFormat="false" ht="15" hidden="false" customHeight="false" outlineLevel="0" collapsed="false">
      <c r="A15" s="2" t="s">
        <v>418</v>
      </c>
      <c r="B15" s="35" t="n">
        <v>96.25</v>
      </c>
      <c r="C15" s="2" t="s">
        <v>419</v>
      </c>
    </row>
    <row r="16" customFormat="false" ht="15" hidden="false" customHeight="false" outlineLevel="0" collapsed="false">
      <c r="A16" s="2" t="s">
        <v>420</v>
      </c>
      <c r="B16" s="35" t="n">
        <v>59</v>
      </c>
      <c r="C16" s="2" t="s">
        <v>421</v>
      </c>
    </row>
    <row r="17" customFormat="false" ht="15" hidden="false" customHeight="false" outlineLevel="0" collapsed="false">
      <c r="A17" s="2" t="s">
        <v>422</v>
      </c>
      <c r="B17" s="35" t="n">
        <v>2986.25</v>
      </c>
      <c r="C17" s="2" t="s">
        <v>423</v>
      </c>
    </row>
    <row r="18" customFormat="false" ht="15" hidden="false" customHeight="false" outlineLevel="0" collapsed="false">
      <c r="A18" s="2" t="s">
        <v>424</v>
      </c>
      <c r="B18" s="35" t="n">
        <v>2977.5</v>
      </c>
      <c r="C18" s="2" t="s">
        <v>425</v>
      </c>
    </row>
    <row r="19" customFormat="false" ht="15" hidden="false" customHeight="false" outlineLevel="0" collapsed="false">
      <c r="A19" s="2" t="s">
        <v>426</v>
      </c>
      <c r="B19" s="35" t="n">
        <v>2968.75</v>
      </c>
      <c r="C19" s="2" t="s">
        <v>427</v>
      </c>
    </row>
    <row r="20" customFormat="false" ht="15" hidden="false" customHeight="false" outlineLevel="0" collapsed="false">
      <c r="A20" s="2" t="s">
        <v>428</v>
      </c>
      <c r="B20" s="35" t="n">
        <v>3</v>
      </c>
      <c r="C20" s="2" t="s">
        <v>429</v>
      </c>
    </row>
    <row r="21" customFormat="false" ht="15" hidden="false" customHeight="false" outlineLevel="0" collapsed="false">
      <c r="A21" s="2" t="s">
        <v>430</v>
      </c>
      <c r="B21" s="35" t="n">
        <v>0</v>
      </c>
      <c r="C21" s="2" t="s">
        <v>431</v>
      </c>
    </row>
    <row r="22" customFormat="false" ht="15" hidden="false" customHeight="false" outlineLevel="0" collapsed="false">
      <c r="A22" s="2" t="s">
        <v>432</v>
      </c>
      <c r="B22" s="35" t="n">
        <v>81.25</v>
      </c>
      <c r="C22" s="2" t="s">
        <v>433</v>
      </c>
    </row>
    <row r="23" customFormat="false" ht="15" hidden="false" customHeight="false" outlineLevel="0" collapsed="false">
      <c r="A23" s="2" t="s">
        <v>434</v>
      </c>
      <c r="B23" s="35" t="n">
        <v>23.75</v>
      </c>
      <c r="C23" s="2" t="s">
        <v>435</v>
      </c>
    </row>
    <row r="24" customFormat="false" ht="15" hidden="false" customHeight="false" outlineLevel="0" collapsed="false">
      <c r="A24" s="2" t="s">
        <v>436</v>
      </c>
      <c r="B24" s="35" t="n">
        <v>28.125</v>
      </c>
      <c r="C24" s="2" t="s">
        <v>437</v>
      </c>
    </row>
    <row r="25" customFormat="false" ht="15" hidden="false" customHeight="false" outlineLevel="0" collapsed="false">
      <c r="A25" s="2" t="s">
        <v>438</v>
      </c>
      <c r="B25" s="35" t="n">
        <v>15</v>
      </c>
      <c r="C25" s="2" t="s">
        <v>439</v>
      </c>
    </row>
    <row r="26" customFormat="false" ht="15" hidden="false" customHeight="false" outlineLevel="0" collapsed="false">
      <c r="A26" s="2" t="s">
        <v>440</v>
      </c>
      <c r="B26" s="35" t="n">
        <v>8.75</v>
      </c>
      <c r="C26" s="2" t="s">
        <v>441</v>
      </c>
    </row>
    <row r="27" customFormat="false" ht="15" hidden="false" customHeight="false" outlineLevel="0" collapsed="false">
      <c r="A27" s="2" t="s">
        <v>442</v>
      </c>
      <c r="B27" s="35" t="n">
        <v>96.25</v>
      </c>
      <c r="C27" s="2" t="s">
        <v>419</v>
      </c>
    </row>
    <row r="28" customFormat="false" ht="15" hidden="false" customHeight="false" outlineLevel="0" collapsed="false">
      <c r="A28" s="2" t="s">
        <v>443</v>
      </c>
      <c r="B28" s="35" t="n">
        <v>2987.25967504986</v>
      </c>
      <c r="C28" s="2" t="s">
        <v>444</v>
      </c>
    </row>
    <row r="29" customFormat="false" ht="15" hidden="false" customHeight="false" outlineLevel="0" collapsed="false">
      <c r="A29" s="2" t="s">
        <v>445</v>
      </c>
      <c r="B29" s="35" t="n">
        <v>1.00967504986284</v>
      </c>
      <c r="C29" s="2" t="s">
        <v>446</v>
      </c>
    </row>
    <row r="30" customFormat="false" ht="15" hidden="false" customHeight="false" outlineLevel="0" collapsed="false">
      <c r="A30" s="2" t="s">
        <v>447</v>
      </c>
      <c r="B30" s="35" t="n">
        <v>0.0337993733285334</v>
      </c>
      <c r="C30" s="2" t="s">
        <v>448</v>
      </c>
    </row>
    <row r="31" customFormat="false" ht="15" hidden="false" customHeight="false" outlineLevel="0" collapsed="false">
      <c r="A31" s="2" t="s">
        <v>449</v>
      </c>
      <c r="B31" s="35" t="n">
        <v>9.75967504986284</v>
      </c>
      <c r="C31" s="2" t="s">
        <v>450</v>
      </c>
    </row>
    <row r="32" customFormat="false" ht="15" hidden="false" customHeight="false" outlineLevel="0" collapsed="false">
      <c r="A32" s="2" t="s">
        <v>451</v>
      </c>
      <c r="B32" s="35" t="n">
        <v>18.5096750498628</v>
      </c>
      <c r="C32" s="2" t="s">
        <v>452</v>
      </c>
    </row>
    <row r="33" customFormat="false" ht="15" hidden="false" customHeight="false" outlineLevel="0" collapsed="false">
      <c r="A33" s="2" t="s">
        <v>453</v>
      </c>
      <c r="B33" s="35" t="n">
        <v>21.0583763485643</v>
      </c>
      <c r="C33" s="2" t="s">
        <v>454</v>
      </c>
    </row>
    <row r="34" customFormat="false" ht="15" hidden="false" customHeight="false" outlineLevel="0" collapsed="false">
      <c r="A34" s="2" t="s">
        <v>455</v>
      </c>
      <c r="B34" s="35" t="n">
        <v>5</v>
      </c>
      <c r="C34" s="2" t="s">
        <v>456</v>
      </c>
    </row>
    <row r="35" customFormat="false" ht="15" hidden="false" customHeight="false" outlineLevel="0" collapsed="false">
      <c r="A35" s="2" t="s">
        <v>457</v>
      </c>
      <c r="B35" s="35" t="n">
        <v>2986.56337855289</v>
      </c>
      <c r="C35" s="2" t="s">
        <v>458</v>
      </c>
    </row>
    <row r="36" customFormat="false" ht="15" hidden="false" customHeight="false" outlineLevel="0" collapsed="false">
      <c r="A36" s="2" t="s">
        <v>459</v>
      </c>
      <c r="B36" s="35" t="n">
        <v>0.0859434711702906</v>
      </c>
      <c r="C36" s="2" t="s">
        <v>460</v>
      </c>
    </row>
    <row r="37" customFormat="false" ht="15" hidden="false" customHeight="false" outlineLevel="0" collapsed="false">
      <c r="A37" s="2" t="s">
        <v>461</v>
      </c>
      <c r="B37" s="35" t="n">
        <v>2986.25</v>
      </c>
      <c r="C37" s="2" t="s">
        <v>462</v>
      </c>
    </row>
    <row r="38" customFormat="false" ht="15" hidden="false" customHeight="false" outlineLevel="0" collapsed="false">
      <c r="A38" s="2" t="s">
        <v>463</v>
      </c>
      <c r="B38" s="35" t="n">
        <v>2973.87872651337</v>
      </c>
      <c r="C38" s="2" t="s">
        <v>464</v>
      </c>
    </row>
    <row r="39" customFormat="false" ht="15" hidden="false" customHeight="false" outlineLevel="0" collapsed="false">
      <c r="A39" s="2" t="s">
        <v>465</v>
      </c>
      <c r="B39" s="35" t="n">
        <v>2980.9459691998</v>
      </c>
      <c r="C39" s="2" t="s">
        <v>466</v>
      </c>
    </row>
    <row r="40" customFormat="false" ht="15" hidden="false" customHeight="false" outlineLevel="0" collapsed="false">
      <c r="A40" s="2" t="s">
        <v>467</v>
      </c>
      <c r="B40" s="35" t="n">
        <v>0</v>
      </c>
      <c r="C40" s="2" t="s">
        <v>468</v>
      </c>
    </row>
    <row r="41" customFormat="false" ht="15" hidden="false" customHeight="false" outlineLevel="0" collapsed="false">
      <c r="A41" s="2" t="s">
        <v>469</v>
      </c>
      <c r="B41" s="35" t="n">
        <v>7</v>
      </c>
      <c r="C41" s="2" t="s">
        <v>470</v>
      </c>
    </row>
    <row r="42" customFormat="false" ht="15" hidden="false" customHeight="false" outlineLevel="0" collapsed="false">
      <c r="A42" s="2" t="s">
        <v>471</v>
      </c>
      <c r="B42" s="35" t="n">
        <v>1687.08870310941</v>
      </c>
      <c r="C42" s="2" t="s">
        <v>472</v>
      </c>
    </row>
    <row r="43" customFormat="false" ht="15" hidden="false" customHeight="false" outlineLevel="0" collapsed="false">
      <c r="A43" s="2" t="s">
        <v>473</v>
      </c>
      <c r="B43" s="35" t="n">
        <v>1680</v>
      </c>
      <c r="C43" s="2" t="s">
        <v>474</v>
      </c>
    </row>
    <row r="44" customFormat="false" ht="15" hidden="false" customHeight="false" outlineLevel="0" collapsed="false">
      <c r="A44" s="2" t="s">
        <v>475</v>
      </c>
      <c r="B44" s="35" t="n">
        <v>122.5</v>
      </c>
      <c r="C44" s="2" t="s">
        <v>476</v>
      </c>
    </row>
    <row r="45" customFormat="false" ht="15" hidden="false" customHeight="false" outlineLevel="0" collapsed="false">
      <c r="A45" s="2" t="s">
        <v>477</v>
      </c>
      <c r="B45" s="35" t="n">
        <v>131.25</v>
      </c>
      <c r="C45" s="2" t="s">
        <v>478</v>
      </c>
    </row>
    <row r="46" customFormat="false" ht="15" hidden="false" customHeight="false" outlineLevel="0" collapsed="false">
      <c r="A46" s="2" t="s">
        <v>479</v>
      </c>
      <c r="B46" s="35" t="n">
        <v>10.7142857142857</v>
      </c>
      <c r="C46" s="2" t="s">
        <v>480</v>
      </c>
    </row>
    <row r="47" customFormat="false" ht="15" hidden="false" customHeight="false" outlineLevel="0" collapsed="false">
      <c r="A47" s="2" t="s">
        <v>481</v>
      </c>
      <c r="B47" s="35" t="n">
        <v>25.4285714285714</v>
      </c>
      <c r="C47" s="2" t="s">
        <v>482</v>
      </c>
    </row>
    <row r="48" customFormat="false" ht="15" hidden="false" customHeight="false" outlineLevel="0" collapsed="false">
      <c r="A48" s="2" t="s">
        <v>483</v>
      </c>
      <c r="B48" s="35" t="n">
        <v>150</v>
      </c>
      <c r="C48" s="2" t="s">
        <v>484</v>
      </c>
    </row>
    <row r="49" customFormat="false" ht="15" hidden="false" customHeight="false" outlineLevel="0" collapsed="false">
      <c r="A49" s="2" t="s">
        <v>485</v>
      </c>
      <c r="B49" s="35" t="n">
        <v>650</v>
      </c>
      <c r="C49" s="2" t="s">
        <v>486</v>
      </c>
    </row>
    <row r="50" customFormat="false" ht="15" hidden="false" customHeight="false" outlineLevel="0" collapsed="false">
      <c r="A50" s="2" t="s">
        <v>487</v>
      </c>
      <c r="B50" s="35" t="n">
        <v>8.33333333333333</v>
      </c>
      <c r="C50" s="2" t="s">
        <v>488</v>
      </c>
    </row>
    <row r="51" customFormat="false" ht="15" hidden="false" customHeight="false" outlineLevel="0" collapsed="false">
      <c r="A51" s="2" t="s">
        <v>489</v>
      </c>
      <c r="B51" s="35" t="n">
        <v>746.080810142655</v>
      </c>
      <c r="C51" s="2" t="s">
        <v>490</v>
      </c>
    </row>
    <row r="52" customFormat="false" ht="15" hidden="false" customHeight="false" outlineLevel="0" collapsed="false">
      <c r="A52" s="2" t="s">
        <v>491</v>
      </c>
      <c r="B52" s="35" t="n">
        <v>650</v>
      </c>
      <c r="C52" s="2" t="s">
        <v>492</v>
      </c>
    </row>
    <row r="53" customFormat="false" ht="15" hidden="false" customHeight="false" outlineLevel="0" collapsed="false">
      <c r="A53" s="2" t="s">
        <v>493</v>
      </c>
      <c r="B53" s="35" t="n">
        <v>10.440610891413</v>
      </c>
      <c r="C53" s="2" t="s">
        <v>494</v>
      </c>
    </row>
    <row r="54" customFormat="false" ht="15" hidden="false" customHeight="false" outlineLevel="0" collapsed="false">
      <c r="A54" s="2" t="s">
        <v>495</v>
      </c>
      <c r="B54" s="35" t="n">
        <v>11.63</v>
      </c>
      <c r="C54" s="2" t="s">
        <v>496</v>
      </c>
    </row>
    <row r="55" customFormat="false" ht="15" hidden="false" customHeight="false" outlineLevel="0" collapsed="false">
      <c r="A55" s="2" t="s">
        <v>497</v>
      </c>
      <c r="B55" s="35" t="n">
        <v>13.2968910603644</v>
      </c>
      <c r="C55" s="2" t="s">
        <v>498</v>
      </c>
    </row>
    <row r="56" customFormat="false" ht="15" hidden="false" customHeight="false" outlineLevel="0" collapsed="false">
      <c r="A56" s="2" t="s">
        <v>499</v>
      </c>
      <c r="B56" s="35" t="n">
        <v>12.5</v>
      </c>
      <c r="C56" s="2" t="s">
        <v>500</v>
      </c>
    </row>
    <row r="57" customFormat="false" ht="15" hidden="false" customHeight="false" outlineLevel="0" collapsed="false">
      <c r="A57" s="2" t="s">
        <v>501</v>
      </c>
      <c r="B57" s="35" t="n">
        <v>2.05938910858699</v>
      </c>
      <c r="C57" s="2" t="s">
        <v>502</v>
      </c>
    </row>
    <row r="58" customFormat="false" ht="15" hidden="false" customHeight="false" outlineLevel="0" collapsed="false">
      <c r="A58" s="2" t="s">
        <v>503</v>
      </c>
      <c r="B58" s="35" t="n">
        <v>1.18938910858699</v>
      </c>
      <c r="C58" s="2" t="s">
        <v>504</v>
      </c>
    </row>
    <row r="59" customFormat="false" ht="15" hidden="false" customHeight="false" outlineLevel="0" collapsed="false">
      <c r="A59" s="2" t="s">
        <v>505</v>
      </c>
      <c r="B59" s="35" t="n">
        <v>11.9</v>
      </c>
      <c r="C59" s="2" t="s">
        <v>506</v>
      </c>
    </row>
    <row r="60" customFormat="false" ht="15" hidden="false" customHeight="false" outlineLevel="0" collapsed="false">
      <c r="A60" s="2" t="s">
        <v>507</v>
      </c>
      <c r="B60" s="35" t="n">
        <v>18.1</v>
      </c>
      <c r="C60" s="2" t="s">
        <v>508</v>
      </c>
    </row>
    <row r="61" customFormat="false" ht="15" hidden="false" customHeight="false" outlineLevel="0" collapsed="false">
      <c r="A61" s="2" t="s">
        <v>509</v>
      </c>
      <c r="B61" s="35" t="n">
        <v>1250</v>
      </c>
      <c r="C61" s="2" t="s">
        <v>510</v>
      </c>
    </row>
    <row r="62" customFormat="false" ht="15" hidden="false" customHeight="false" outlineLevel="0" collapsed="false">
      <c r="A62" s="2" t="s">
        <v>511</v>
      </c>
      <c r="B62" s="35" t="n">
        <v>0.298625</v>
      </c>
      <c r="C62" s="2" t="s">
        <v>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6"/>
    <col collapsed="false" customWidth="true" hidden="false" outlineLevel="0" max="5" min="4" style="0" width="11"/>
    <col collapsed="false" customWidth="true" hidden="false" outlineLevel="0" max="6" min="6" style="0" width="10"/>
  </cols>
  <sheetData>
    <row r="1" customFormat="false" ht="15" hidden="false" customHeight="false" outlineLevel="0" collapsed="false">
      <c r="A1" s="8" t="s">
        <v>394</v>
      </c>
      <c r="B1" s="8" t="s">
        <v>513</v>
      </c>
      <c r="C1" s="8" t="s">
        <v>395</v>
      </c>
      <c r="D1" s="8" t="s">
        <v>514</v>
      </c>
      <c r="E1" s="8" t="s">
        <v>515</v>
      </c>
      <c r="F1" s="8" t="s">
        <v>516</v>
      </c>
    </row>
    <row r="2" customFormat="false" ht="15" hidden="false" customHeight="false" outlineLevel="0" collapsed="false">
      <c r="A2" s="2" t="s">
        <v>397</v>
      </c>
      <c r="B2" s="36" t="n">
        <f aca="false">Schedules!AM8</f>
        <v>85</v>
      </c>
      <c r="C2" s="37" t="n">
        <f aca="false">Reference_Values!B2</f>
        <v>85</v>
      </c>
      <c r="D2" s="25" t="n">
        <f aca="false">ABS(B2-C2)</f>
        <v>0</v>
      </c>
      <c r="E2" s="38" t="n">
        <v>1E-009</v>
      </c>
      <c r="F2" s="4" t="str">
        <f aca="false">IF(D2&lt;=E2,"PASS","FAIL")</f>
        <v>PASS</v>
      </c>
    </row>
    <row r="3" customFormat="false" ht="15" hidden="false" customHeight="false" outlineLevel="0" collapsed="false">
      <c r="A3" s="2" t="s">
        <v>399</v>
      </c>
      <c r="B3" s="36" t="n">
        <f aca="false">Relaxation!F16</f>
        <v>0.153057667028848</v>
      </c>
      <c r="C3" s="37" t="n">
        <f aca="false">Reference_Values!B3</f>
        <v>0.153057667029309</v>
      </c>
      <c r="D3" s="25" t="n">
        <f aca="false">ABS(B3-C3)</f>
        <v>4.60992355399981E-013</v>
      </c>
      <c r="E3" s="38" t="n">
        <v>1E-006</v>
      </c>
      <c r="F3" s="4" t="str">
        <f aca="false">IF(D3&lt;=E3,"PASS","FAIL")</f>
        <v>PASS</v>
      </c>
    </row>
    <row r="4" customFormat="false" ht="15" hidden="false" customHeight="false" outlineLevel="0" collapsed="false">
      <c r="A4" s="2" t="s">
        <v>401</v>
      </c>
      <c r="B4" s="36" t="n">
        <f aca="false">Plans!U10</f>
        <v>2982.61488040807</v>
      </c>
      <c r="C4" s="37" t="n">
        <f aca="false">Reference_Values!B4</f>
        <v>2982.61488040805</v>
      </c>
      <c r="D4" s="25" t="n">
        <f aca="false">ABS(B4-C4)</f>
        <v>1.09139364212751E-011</v>
      </c>
      <c r="E4" s="38" t="n">
        <v>1E-006</v>
      </c>
      <c r="F4" s="4" t="str">
        <f aca="false">IF(D4&lt;=E4,"PASS","FAIL")</f>
        <v>PASS</v>
      </c>
    </row>
    <row r="5" customFormat="false" ht="15" hidden="false" customHeight="false" outlineLevel="0" collapsed="false">
      <c r="A5" s="2" t="s">
        <v>403</v>
      </c>
      <c r="B5" s="36" t="n">
        <f aca="false">Plans!U17</f>
        <v>3.63511959193511</v>
      </c>
      <c r="C5" s="37" t="n">
        <f aca="false">Reference_Values!B5</f>
        <v>3.63511959194602</v>
      </c>
      <c r="D5" s="25" t="n">
        <f aca="false">ABS(B5-C5)</f>
        <v>1.09134923320653E-011</v>
      </c>
      <c r="E5" s="38" t="n">
        <v>1E-006</v>
      </c>
      <c r="F5" s="4" t="str">
        <f aca="false">IF(D5&lt;=E5,"PASS","FAIL")</f>
        <v>PASS</v>
      </c>
    </row>
    <row r="6" customFormat="false" ht="15" hidden="false" customHeight="false" outlineLevel="0" collapsed="false">
      <c r="A6" s="2" t="s">
        <v>405</v>
      </c>
      <c r="B6" s="36" t="n">
        <f aca="false">Relaxation!E32</f>
        <v>0.394065766532643</v>
      </c>
      <c r="C6" s="37" t="n">
        <f aca="false">Reference_Values!B6</f>
        <v>0.394065766532647</v>
      </c>
      <c r="D6" s="25" t="n">
        <f aca="false">ABS(B6-C6)</f>
        <v>4.71844785465692E-015</v>
      </c>
      <c r="E6" s="38" t="n">
        <v>1E-006</v>
      </c>
      <c r="F6" s="4" t="str">
        <f aca="false">IF(D6&lt;=E6,"PASS","FAIL")</f>
        <v>PASS</v>
      </c>
    </row>
    <row r="7" customFormat="false" ht="15" hidden="false" customHeight="false" outlineLevel="0" collapsed="false">
      <c r="A7" s="2" t="s">
        <v>407</v>
      </c>
      <c r="B7" s="36" t="n">
        <f aca="false">Plans!V18</f>
        <v>2.46291104082911</v>
      </c>
      <c r="C7" s="37" t="n">
        <f aca="false">Reference_Values!B7</f>
        <v>2.46291104082911</v>
      </c>
      <c r="D7" s="25" t="n">
        <f aca="false">ABS(B7-C7)</f>
        <v>0</v>
      </c>
      <c r="E7" s="38" t="n">
        <v>1E-006</v>
      </c>
      <c r="F7" s="4" t="str">
        <f aca="false">IF(D7&lt;=E7,"PASS","FAIL")</f>
        <v>PASS</v>
      </c>
    </row>
    <row r="8" customFormat="false" ht="15" hidden="false" customHeight="false" outlineLevel="0" collapsed="false">
      <c r="A8" s="2" t="s">
        <v>409</v>
      </c>
      <c r="B8" s="36" t="n">
        <f aca="false">Face!B4</f>
        <v>2905</v>
      </c>
      <c r="C8" s="37" t="n">
        <f aca="false">Reference_Values!B8</f>
        <v>2905</v>
      </c>
      <c r="D8" s="25" t="n">
        <f aca="false">ABS(B8-C8)</f>
        <v>0</v>
      </c>
      <c r="E8" s="38" t="n">
        <v>1E-009</v>
      </c>
      <c r="F8" s="4" t="str">
        <f aca="false">IF(D8&lt;=E8,"PASS","FAIL")</f>
        <v>PASS</v>
      </c>
    </row>
    <row r="9" customFormat="false" ht="15" hidden="false" customHeight="false" outlineLevel="0" collapsed="false">
      <c r="A9" s="2" t="s">
        <v>411</v>
      </c>
      <c r="B9" s="36" t="n">
        <f aca="false">Face!B5</f>
        <v>81.25</v>
      </c>
      <c r="C9" s="37" t="n">
        <f aca="false">Reference_Values!B9</f>
        <v>81.25</v>
      </c>
      <c r="D9" s="25" t="n">
        <f aca="false">ABS(B9-C9)</f>
        <v>0</v>
      </c>
      <c r="E9" s="38" t="n">
        <v>1E-009</v>
      </c>
      <c r="F9" s="4" t="str">
        <f aca="false">IF(D9&lt;=E9,"PASS","FAIL")</f>
        <v>PASS</v>
      </c>
    </row>
    <row r="10" customFormat="false" ht="15" hidden="false" customHeight="false" outlineLevel="0" collapsed="false">
      <c r="A10" s="2" t="s">
        <v>412</v>
      </c>
      <c r="B10" s="36" t="n">
        <f aca="false">Face!B6</f>
        <v>72.5</v>
      </c>
      <c r="C10" s="37" t="n">
        <f aca="false">Reference_Values!B10</f>
        <v>72.5</v>
      </c>
      <c r="D10" s="25" t="n">
        <f aca="false">ABS(B10-C10)</f>
        <v>0</v>
      </c>
      <c r="E10" s="38" t="n">
        <v>1E-009</v>
      </c>
      <c r="F10" s="4" t="str">
        <f aca="false">IF(D10&lt;=E10,"PASS","FAIL")</f>
        <v>PASS</v>
      </c>
    </row>
    <row r="11" customFormat="false" ht="15" hidden="false" customHeight="false" outlineLevel="0" collapsed="false">
      <c r="A11" s="2" t="s">
        <v>414</v>
      </c>
      <c r="B11" s="36" t="n">
        <f aca="false">Face!B7</f>
        <v>-96.25</v>
      </c>
      <c r="C11" s="37" t="n">
        <f aca="false">Reference_Values!B11</f>
        <v>-96.25</v>
      </c>
      <c r="D11" s="25" t="n">
        <f aca="false">ABS(B11-C11)</f>
        <v>0</v>
      </c>
      <c r="E11" s="38" t="n">
        <v>1E-009</v>
      </c>
      <c r="F11" s="4" t="str">
        <f aca="false">IF(D11&lt;=E11,"PASS","FAIL")</f>
        <v>PASS</v>
      </c>
    </row>
    <row r="12" customFormat="false" ht="15" hidden="false" customHeight="false" outlineLevel="0" collapsed="false">
      <c r="A12" s="2" t="s">
        <v>415</v>
      </c>
      <c r="B12" s="36" t="n">
        <f aca="false">Face!B17</f>
        <v>0.753246753246753</v>
      </c>
      <c r="C12" s="37" t="n">
        <f aca="false">Reference_Values!B12</f>
        <v>0.753246753246753</v>
      </c>
      <c r="D12" s="25" t="n">
        <f aca="false">ABS(B12-C12)</f>
        <v>0</v>
      </c>
      <c r="E12" s="38" t="n">
        <v>1E-009</v>
      </c>
      <c r="F12" s="4" t="str">
        <f aca="false">IF(D12&lt;=E12,"PASS","FAIL")</f>
        <v>PASS</v>
      </c>
    </row>
    <row r="13" customFormat="false" ht="15" hidden="false" customHeight="false" outlineLevel="0" collapsed="false">
      <c r="A13" s="2" t="s">
        <v>416</v>
      </c>
      <c r="B13" s="36" t="n">
        <f aca="false">Face!B18</f>
        <v>0.844155844155844</v>
      </c>
      <c r="C13" s="37" t="n">
        <f aca="false">Reference_Values!B13</f>
        <v>0.844155844155844</v>
      </c>
      <c r="D13" s="25" t="n">
        <f aca="false">ABS(B13-C13)</f>
        <v>0</v>
      </c>
      <c r="E13" s="38" t="n">
        <v>1E-009</v>
      </c>
      <c r="F13" s="4" t="str">
        <f aca="false">IF(D13&lt;=E13,"PASS","FAIL")</f>
        <v>PASS</v>
      </c>
    </row>
    <row r="14" customFormat="false" ht="15" hidden="false" customHeight="false" outlineLevel="0" collapsed="false">
      <c r="A14" s="2" t="s">
        <v>417</v>
      </c>
      <c r="B14" s="36" t="n">
        <f aca="false">Face!B19</f>
        <v>2966.2012987013</v>
      </c>
      <c r="C14" s="37" t="n">
        <f aca="false">Reference_Values!B14</f>
        <v>2966.2012987013</v>
      </c>
      <c r="D14" s="25" t="n">
        <f aca="false">ABS(B14-C14)</f>
        <v>0</v>
      </c>
      <c r="E14" s="38" t="n">
        <v>1E-006</v>
      </c>
      <c r="F14" s="4" t="str">
        <f aca="false">IF(D14&lt;=E14,"PASS","FAIL")</f>
        <v>PASS</v>
      </c>
    </row>
    <row r="15" customFormat="false" ht="15" hidden="false" customHeight="false" outlineLevel="0" collapsed="false">
      <c r="A15" s="2" t="s">
        <v>418</v>
      </c>
      <c r="B15" s="36" t="n">
        <f aca="false">Face!B23</f>
        <v>96.25</v>
      </c>
      <c r="C15" s="37" t="n">
        <f aca="false">Reference_Values!B15</f>
        <v>96.25</v>
      </c>
      <c r="D15" s="25" t="n">
        <f aca="false">ABS(B15-C15)</f>
        <v>0</v>
      </c>
      <c r="E15" s="38" t="n">
        <v>1E-009</v>
      </c>
      <c r="F15" s="4" t="str">
        <f aca="false">IF(D15&lt;=E15,"PASS","FAIL")</f>
        <v>PASS</v>
      </c>
    </row>
    <row r="16" customFormat="false" ht="15" hidden="false" customHeight="false" outlineLevel="0" collapsed="false">
      <c r="A16" s="2" t="s">
        <v>420</v>
      </c>
      <c r="B16" s="36" t="n">
        <f aca="false">Multistart!B16</f>
        <v>59</v>
      </c>
      <c r="C16" s="37" t="n">
        <f aca="false">Reference_Values!B16</f>
        <v>59</v>
      </c>
      <c r="D16" s="25" t="n">
        <f aca="false">ABS(B16-C16)</f>
        <v>0</v>
      </c>
      <c r="E16" s="38" t="n">
        <v>0</v>
      </c>
      <c r="F16" s="4" t="str">
        <f aca="false">IF(D16&lt;=E16,"PASS","FAIL")</f>
        <v>PASS</v>
      </c>
    </row>
    <row r="17" customFormat="false" ht="15" hidden="false" customHeight="false" outlineLevel="0" collapsed="false">
      <c r="A17" s="2" t="s">
        <v>422</v>
      </c>
      <c r="B17" s="36" t="n">
        <f aca="false">Plans!U5</f>
        <v>2986.25</v>
      </c>
      <c r="C17" s="37" t="n">
        <f aca="false">Reference_Values!B17</f>
        <v>2986.25</v>
      </c>
      <c r="D17" s="25" t="n">
        <f aca="false">ABS(B17-C17)</f>
        <v>0</v>
      </c>
      <c r="E17" s="38" t="n">
        <v>1E-009</v>
      </c>
      <c r="F17" s="4" t="str">
        <f aca="false">IF(D17&lt;=E17,"PASS","FAIL")</f>
        <v>PASS</v>
      </c>
    </row>
    <row r="18" customFormat="false" ht="15" hidden="false" customHeight="false" outlineLevel="0" collapsed="false">
      <c r="A18" s="2" t="s">
        <v>424</v>
      </c>
      <c r="B18" s="36" t="n">
        <f aca="false">Plans!U6</f>
        <v>2977.5</v>
      </c>
      <c r="C18" s="37" t="n">
        <f aca="false">Reference_Values!B18</f>
        <v>2977.5</v>
      </c>
      <c r="D18" s="25" t="n">
        <f aca="false">ABS(B18-C18)</f>
        <v>0</v>
      </c>
      <c r="E18" s="38" t="n">
        <v>1E-009</v>
      </c>
      <c r="F18" s="4" t="str">
        <f aca="false">IF(D18&lt;=E18,"PASS","FAIL")</f>
        <v>PASS</v>
      </c>
    </row>
    <row r="19" customFormat="false" ht="15" hidden="false" customHeight="false" outlineLevel="0" collapsed="false">
      <c r="A19" s="2" t="s">
        <v>426</v>
      </c>
      <c r="B19" s="36" t="n">
        <f aca="false">Plans!U7</f>
        <v>2968.75</v>
      </c>
      <c r="C19" s="37" t="n">
        <f aca="false">Reference_Values!B19</f>
        <v>2968.75</v>
      </c>
      <c r="D19" s="25" t="n">
        <f aca="false">ABS(B19-C19)</f>
        <v>0</v>
      </c>
      <c r="E19" s="38" t="n">
        <v>1E-009</v>
      </c>
      <c r="F19" s="4" t="str">
        <f aca="false">IF(D19&lt;=E19,"PASS","FAIL")</f>
        <v>PASS</v>
      </c>
    </row>
    <row r="20" customFormat="false" ht="15" hidden="false" customHeight="false" outlineLevel="0" collapsed="false">
      <c r="A20" s="2" t="s">
        <v>428</v>
      </c>
      <c r="B20" s="36" t="n">
        <f aca="false">Schedules!AM5</f>
        <v>3</v>
      </c>
      <c r="C20" s="37" t="n">
        <f aca="false">Reference_Values!B20</f>
        <v>3</v>
      </c>
      <c r="D20" s="25" t="n">
        <f aca="false">ABS(B20-C20)</f>
        <v>0</v>
      </c>
      <c r="E20" s="38" t="n">
        <v>0</v>
      </c>
      <c r="F20" s="4" t="str">
        <f aca="false">IF(D20&lt;=E20,"PASS","FAIL")</f>
        <v>PASS</v>
      </c>
    </row>
    <row r="21" customFormat="false" ht="15" hidden="false" customHeight="false" outlineLevel="0" collapsed="false">
      <c r="A21" s="2" t="s">
        <v>430</v>
      </c>
      <c r="B21" s="36" t="n">
        <f aca="false">MAX(Audit!AH5:AH7)</f>
        <v>-0</v>
      </c>
      <c r="C21" s="37" t="n">
        <f aca="false">Reference_Values!B21</f>
        <v>0</v>
      </c>
      <c r="D21" s="25" t="n">
        <f aca="false">ABS(B21-C21)</f>
        <v>0</v>
      </c>
      <c r="E21" s="38" t="n">
        <v>1E-009</v>
      </c>
      <c r="F21" s="4" t="str">
        <f aca="false">IF(D21&lt;=E21,"PASS","FAIL")</f>
        <v>PASS</v>
      </c>
    </row>
    <row r="22" customFormat="false" ht="15" hidden="false" customHeight="false" outlineLevel="0" collapsed="false">
      <c r="A22" s="2" t="s">
        <v>432</v>
      </c>
      <c r="B22" s="36" t="n">
        <f aca="false">Prices!B10</f>
        <v>81.25</v>
      </c>
      <c r="C22" s="37" t="n">
        <f aca="false">Reference_Values!B22</f>
        <v>81.25</v>
      </c>
      <c r="D22" s="25" t="n">
        <f aca="false">ABS(B22-C22)</f>
        <v>0</v>
      </c>
      <c r="E22" s="38" t="n">
        <v>1E-009</v>
      </c>
      <c r="F22" s="4" t="str">
        <f aca="false">IF(D22&lt;=E22,"PASS","FAIL")</f>
        <v>PASS</v>
      </c>
    </row>
    <row r="23" customFormat="false" ht="15" hidden="false" customHeight="false" outlineLevel="0" collapsed="false">
      <c r="A23" s="2" t="s">
        <v>434</v>
      </c>
      <c r="B23" s="36" t="n">
        <f aca="false">Prices!B11</f>
        <v>23.75</v>
      </c>
      <c r="C23" s="37" t="n">
        <f aca="false">Reference_Values!B23</f>
        <v>23.75</v>
      </c>
      <c r="D23" s="25" t="n">
        <f aca="false">ABS(B23-C23)</f>
        <v>0</v>
      </c>
      <c r="E23" s="38" t="n">
        <v>1E-009</v>
      </c>
      <c r="F23" s="4" t="str">
        <f aca="false">IF(D23&lt;=E23,"PASS","FAIL")</f>
        <v>PASS</v>
      </c>
    </row>
    <row r="24" customFormat="false" ht="15" hidden="false" customHeight="false" outlineLevel="0" collapsed="false">
      <c r="A24" s="2" t="s">
        <v>436</v>
      </c>
      <c r="B24" s="36" t="n">
        <f aca="false">Prices!B12</f>
        <v>28.125</v>
      </c>
      <c r="C24" s="37" t="n">
        <f aca="false">Reference_Values!B24</f>
        <v>28.125</v>
      </c>
      <c r="D24" s="25" t="n">
        <f aca="false">ABS(B24-C24)</f>
        <v>0</v>
      </c>
      <c r="E24" s="38" t="n">
        <v>1E-009</v>
      </c>
      <c r="F24" s="4" t="str">
        <f aca="false">IF(D24&lt;=E24,"PASS","FAIL")</f>
        <v>PASS</v>
      </c>
    </row>
    <row r="25" customFormat="false" ht="15" hidden="false" customHeight="false" outlineLevel="0" collapsed="false">
      <c r="A25" s="2" t="s">
        <v>438</v>
      </c>
      <c r="B25" s="36" t="n">
        <f aca="false">Prices!B13</f>
        <v>15</v>
      </c>
      <c r="C25" s="37" t="n">
        <f aca="false">Reference_Values!B25</f>
        <v>15</v>
      </c>
      <c r="D25" s="25" t="n">
        <f aca="false">ABS(B25-C25)</f>
        <v>0</v>
      </c>
      <c r="E25" s="38" t="n">
        <v>1E-009</v>
      </c>
      <c r="F25" s="4" t="str">
        <f aca="false">IF(D25&lt;=E25,"PASS","FAIL")</f>
        <v>PASS</v>
      </c>
    </row>
    <row r="26" customFormat="false" ht="15" hidden="false" customHeight="false" outlineLevel="0" collapsed="false">
      <c r="A26" s="2" t="s">
        <v>440</v>
      </c>
      <c r="B26" s="36" t="n">
        <f aca="false">Prices!B15</f>
        <v>8.75</v>
      </c>
      <c r="C26" s="37" t="n">
        <f aca="false">Reference_Values!B26</f>
        <v>8.75</v>
      </c>
      <c r="D26" s="25" t="n">
        <f aca="false">ABS(B26-C26)</f>
        <v>0</v>
      </c>
      <c r="E26" s="38" t="n">
        <v>1E-009</v>
      </c>
      <c r="F26" s="4" t="str">
        <f aca="false">IF(D26&lt;=E26,"PASS","FAIL")</f>
        <v>PASS</v>
      </c>
    </row>
    <row r="27" customFormat="false" ht="15" hidden="false" customHeight="false" outlineLevel="0" collapsed="false">
      <c r="A27" s="2" t="s">
        <v>442</v>
      </c>
      <c r="B27" s="36" t="n">
        <f aca="false">Prices!B17</f>
        <v>96.25</v>
      </c>
      <c r="C27" s="37" t="n">
        <f aca="false">Reference_Values!B27</f>
        <v>96.25</v>
      </c>
      <c r="D27" s="25" t="n">
        <f aca="false">ABS(B27-C27)</f>
        <v>0</v>
      </c>
      <c r="E27" s="38" t="n">
        <v>1E-009</v>
      </c>
      <c r="F27" s="4" t="str">
        <f aca="false">IF(D27&lt;=E27,"PASS","FAIL")</f>
        <v>PASS</v>
      </c>
    </row>
    <row r="28" customFormat="false" ht="15" hidden="false" customHeight="false" outlineLevel="0" collapsed="false">
      <c r="A28" s="2" t="s">
        <v>443</v>
      </c>
      <c r="B28" s="36" t="n">
        <f aca="false">Relaxation!K14</f>
        <v>2987.25967504986</v>
      </c>
      <c r="C28" s="37" t="n">
        <f aca="false">Reference_Values!B28</f>
        <v>2987.25967504986</v>
      </c>
      <c r="D28" s="25" t="n">
        <f aca="false">ABS(B28-C28)</f>
        <v>0</v>
      </c>
      <c r="E28" s="38" t="n">
        <v>1E-006</v>
      </c>
      <c r="F28" s="4" t="str">
        <f aca="false">IF(D28&lt;=E28,"PASS","FAIL")</f>
        <v>PASS</v>
      </c>
    </row>
    <row r="29" customFormat="false" ht="15" hidden="false" customHeight="false" outlineLevel="0" collapsed="false">
      <c r="A29" s="2" t="s">
        <v>445</v>
      </c>
      <c r="B29" s="36" t="n">
        <f aca="false">Relaxation!C36</f>
        <v>1.00967504986329</v>
      </c>
      <c r="C29" s="37" t="n">
        <f aca="false">Reference_Values!B29</f>
        <v>1.00967504986284</v>
      </c>
      <c r="D29" s="25" t="n">
        <f aca="false">ABS(B29-C29)</f>
        <v>4.54969395491389E-013</v>
      </c>
      <c r="E29" s="38" t="n">
        <v>1E-006</v>
      </c>
      <c r="F29" s="4" t="str">
        <f aca="false">IF(D29&lt;=E29,"PASS","FAIL")</f>
        <v>PASS</v>
      </c>
    </row>
    <row r="30" customFormat="false" ht="15" hidden="false" customHeight="false" outlineLevel="0" collapsed="false">
      <c r="A30" s="2" t="s">
        <v>447</v>
      </c>
      <c r="B30" s="36" t="n">
        <f aca="false">Relaxation!D36</f>
        <v>0.0337993733285486</v>
      </c>
      <c r="C30" s="37" t="n">
        <f aca="false">Reference_Values!B30</f>
        <v>0.0337993733285334</v>
      </c>
      <c r="D30" s="25" t="n">
        <f aca="false">ABS(B30-C30)</f>
        <v>1.52169943312686E-014</v>
      </c>
      <c r="E30" s="38" t="n">
        <v>1E-006</v>
      </c>
      <c r="F30" s="4" t="str">
        <f aca="false">IF(D30&lt;=E30,"PASS","FAIL")</f>
        <v>PASS</v>
      </c>
    </row>
    <row r="31" customFormat="false" ht="15" hidden="false" customHeight="false" outlineLevel="0" collapsed="false">
      <c r="A31" s="2" t="s">
        <v>449</v>
      </c>
      <c r="B31" s="36" t="n">
        <f aca="false">Relaxation!C37</f>
        <v>9.75967504986329</v>
      </c>
      <c r="C31" s="37" t="n">
        <f aca="false">Reference_Values!B31</f>
        <v>9.75967504986284</v>
      </c>
      <c r="D31" s="25" t="n">
        <f aca="false">ABS(B31-C31)</f>
        <v>4.54747350886464E-013</v>
      </c>
      <c r="E31" s="38" t="n">
        <v>1E-006</v>
      </c>
      <c r="F31" s="4" t="str">
        <f aca="false">IF(D31&lt;=E31,"PASS","FAIL")</f>
        <v>PASS</v>
      </c>
    </row>
    <row r="32" customFormat="false" ht="15" hidden="false" customHeight="false" outlineLevel="0" collapsed="false">
      <c r="A32" s="2" t="s">
        <v>451</v>
      </c>
      <c r="B32" s="36" t="n">
        <f aca="false">Relaxation!C38</f>
        <v>18.5096750498633</v>
      </c>
      <c r="C32" s="37" t="n">
        <f aca="false">Reference_Values!B32</f>
        <v>18.5096750498628</v>
      </c>
      <c r="D32" s="25" t="n">
        <f aca="false">ABS(B32-C32)</f>
        <v>4.51194637207664E-013</v>
      </c>
      <c r="E32" s="38" t="n">
        <v>1E-006</v>
      </c>
      <c r="F32" s="4" t="str">
        <f aca="false">IF(D32&lt;=E32,"PASS","FAIL")</f>
        <v>PASS</v>
      </c>
    </row>
    <row r="33" customFormat="false" ht="15" hidden="false" customHeight="false" outlineLevel="0" collapsed="false">
      <c r="A33" s="2" t="s">
        <v>453</v>
      </c>
      <c r="B33" s="36" t="n">
        <f aca="false">Relaxation!C39</f>
        <v>21.0583763485647</v>
      </c>
      <c r="C33" s="37" t="n">
        <f aca="false">Reference_Values!B33</f>
        <v>21.0583763485643</v>
      </c>
      <c r="D33" s="25" t="n">
        <f aca="false">ABS(B33-C33)</f>
        <v>4.58300064565265E-013</v>
      </c>
      <c r="E33" s="38" t="n">
        <v>1E-006</v>
      </c>
      <c r="F33" s="4" t="str">
        <f aca="false">IF(D33&lt;=E33,"PASS","FAIL")</f>
        <v>PASS</v>
      </c>
    </row>
    <row r="34" customFormat="false" ht="15" hidden="false" customHeight="false" outlineLevel="0" collapsed="false">
      <c r="A34" s="2" t="s">
        <v>455</v>
      </c>
      <c r="B34" s="36" t="n">
        <f aca="false">BranchAndBound!J10</f>
        <v>5</v>
      </c>
      <c r="C34" s="37" t="n">
        <f aca="false">Reference_Values!B34</f>
        <v>5</v>
      </c>
      <c r="D34" s="25" t="n">
        <f aca="false">ABS(B34-C34)</f>
        <v>0</v>
      </c>
      <c r="E34" s="38" t="n">
        <v>0</v>
      </c>
      <c r="F34" s="4" t="str">
        <f aca="false">IF(D34&lt;=E34,"PASS","FAIL")</f>
        <v>PASS</v>
      </c>
    </row>
    <row r="35" customFormat="false" ht="15" hidden="false" customHeight="false" outlineLevel="0" collapsed="false">
      <c r="A35" s="2" t="s">
        <v>457</v>
      </c>
      <c r="B35" s="36" t="n">
        <f aca="false">BranchAndBound!J6</f>
        <v>2986.56337855289</v>
      </c>
      <c r="C35" s="37" t="n">
        <f aca="false">Reference_Values!B35</f>
        <v>2986.56337855289</v>
      </c>
      <c r="D35" s="25" t="n">
        <f aca="false">ABS(B35-C35)</f>
        <v>0</v>
      </c>
      <c r="E35" s="38" t="n">
        <v>1E-006</v>
      </c>
      <c r="F35" s="4" t="str">
        <f aca="false">IF(D35&lt;=E35,"PASS","FAIL")</f>
        <v>PASS</v>
      </c>
    </row>
    <row r="36" customFormat="false" ht="15" hidden="false" customHeight="false" outlineLevel="0" collapsed="false">
      <c r="A36" s="2" t="s">
        <v>459</v>
      </c>
      <c r="B36" s="36" t="n">
        <f aca="false">BranchAndBound!P6</f>
        <v>0.0859434711703102</v>
      </c>
      <c r="C36" s="37" t="n">
        <f aca="false">Reference_Values!B36</f>
        <v>0.0859434711702906</v>
      </c>
      <c r="D36" s="25" t="n">
        <f aca="false">ABS(B36-C36)</f>
        <v>1.9595436384634E-014</v>
      </c>
      <c r="E36" s="38" t="n">
        <v>1E-006</v>
      </c>
      <c r="F36" s="4" t="str">
        <f aca="false">IF(D36&lt;=E36,"PASS","FAIL")</f>
        <v>PASS</v>
      </c>
    </row>
    <row r="37" customFormat="false" ht="15" hidden="false" customHeight="false" outlineLevel="0" collapsed="false">
      <c r="A37" s="2" t="s">
        <v>461</v>
      </c>
      <c r="B37" s="36" t="n">
        <f aca="false">BranchAndBound!J7</f>
        <v>2986.25</v>
      </c>
      <c r="C37" s="37" t="n">
        <f aca="false">Reference_Values!B37</f>
        <v>2986.25</v>
      </c>
      <c r="D37" s="25" t="n">
        <f aca="false">ABS(B37-C37)</f>
        <v>0</v>
      </c>
      <c r="E37" s="38" t="n">
        <v>1E-006</v>
      </c>
      <c r="F37" s="4" t="str">
        <f aca="false">IF(D37&lt;=E37,"PASS","FAIL")</f>
        <v>PASS</v>
      </c>
    </row>
    <row r="38" customFormat="false" ht="15" hidden="false" customHeight="false" outlineLevel="0" collapsed="false">
      <c r="A38" s="2" t="s">
        <v>463</v>
      </c>
      <c r="B38" s="36" t="n">
        <f aca="false">BranchAndBound!J8</f>
        <v>2973.87872651337</v>
      </c>
      <c r="C38" s="37" t="n">
        <f aca="false">Reference_Values!B38</f>
        <v>2973.87872651337</v>
      </c>
      <c r="D38" s="25" t="n">
        <f aca="false">ABS(B38-C38)</f>
        <v>0</v>
      </c>
      <c r="E38" s="38" t="n">
        <v>1E-006</v>
      </c>
      <c r="F38" s="4" t="str">
        <f aca="false">IF(D38&lt;=E38,"PASS","FAIL")</f>
        <v>PASS</v>
      </c>
    </row>
    <row r="39" customFormat="false" ht="15" hidden="false" customHeight="false" outlineLevel="0" collapsed="false">
      <c r="A39" s="2" t="s">
        <v>465</v>
      </c>
      <c r="B39" s="36" t="n">
        <f aca="false">BranchAndBound!J9</f>
        <v>2980.9459691998</v>
      </c>
      <c r="C39" s="37" t="n">
        <f aca="false">Reference_Values!B39</f>
        <v>2980.9459691998</v>
      </c>
      <c r="D39" s="25" t="n">
        <f aca="false">ABS(B39-C39)</f>
        <v>0</v>
      </c>
      <c r="E39" s="38" t="n">
        <v>1E-006</v>
      </c>
      <c r="F39" s="4" t="str">
        <f aca="false">IF(D39&lt;=E39,"PASS","FAIL")</f>
        <v>PASS</v>
      </c>
    </row>
    <row r="40" customFormat="false" ht="15" hidden="false" customHeight="false" outlineLevel="0" collapsed="false">
      <c r="A40" s="2" t="s">
        <v>467</v>
      </c>
      <c r="B40" s="36" t="n">
        <f aca="false">BranchAndBound!W9</f>
        <v>0</v>
      </c>
      <c r="C40" s="37" t="n">
        <f aca="false">Reference_Values!B40</f>
        <v>0</v>
      </c>
      <c r="D40" s="25" t="n">
        <f aca="false">ABS(B40-C40)</f>
        <v>0</v>
      </c>
      <c r="E40" s="38" t="n">
        <v>1E-009</v>
      </c>
      <c r="F40" s="4" t="str">
        <f aca="false">IF(D40&lt;=E40,"PASS","FAIL")</f>
        <v>PASS</v>
      </c>
    </row>
    <row r="41" customFormat="false" ht="15" hidden="false" customHeight="false" outlineLevel="0" collapsed="false">
      <c r="A41" s="2" t="s">
        <v>469</v>
      </c>
      <c r="B41" s="36" t="n">
        <f aca="false">BranchAndBound!J20</f>
        <v>7</v>
      </c>
      <c r="C41" s="37" t="n">
        <f aca="false">Reference_Values!B41</f>
        <v>7</v>
      </c>
      <c r="D41" s="25" t="n">
        <f aca="false">ABS(B41-C41)</f>
        <v>0</v>
      </c>
      <c r="E41" s="38" t="n">
        <v>0</v>
      </c>
      <c r="F41" s="4" t="str">
        <f aca="false">IF(D41&lt;=E41,"PASS","FAIL")</f>
        <v>PASS</v>
      </c>
    </row>
    <row r="42" customFormat="false" ht="15" hidden="false" customHeight="false" outlineLevel="0" collapsed="false">
      <c r="A42" s="2" t="s">
        <v>471</v>
      </c>
      <c r="B42" s="36" t="n">
        <f aca="false">BranchAndBound!J13</f>
        <v>1687.08870310941</v>
      </c>
      <c r="C42" s="37" t="n">
        <f aca="false">Reference_Values!B42</f>
        <v>1687.08870310941</v>
      </c>
      <c r="D42" s="25" t="n">
        <f aca="false">ABS(B42-C42)</f>
        <v>0</v>
      </c>
      <c r="E42" s="38" t="n">
        <v>1E-006</v>
      </c>
      <c r="F42" s="4" t="str">
        <f aca="false">IF(D42&lt;=E42,"PASS","FAIL")</f>
        <v>PASS</v>
      </c>
    </row>
    <row r="43" customFormat="false" ht="15" hidden="false" customHeight="false" outlineLevel="0" collapsed="false">
      <c r="A43" s="2" t="s">
        <v>473</v>
      </c>
      <c r="B43" s="36" t="n">
        <f aca="false">BranchAndBound!N20</f>
        <v>1680</v>
      </c>
      <c r="C43" s="37" t="n">
        <f aca="false">Reference_Values!B43</f>
        <v>1680</v>
      </c>
      <c r="D43" s="25" t="n">
        <f aca="false">ABS(B43-C43)</f>
        <v>0</v>
      </c>
      <c r="E43" s="38" t="n">
        <v>1E-006</v>
      </c>
      <c r="F43" s="4" t="str">
        <f aca="false">IF(D43&lt;=E43,"PASS","FAIL")</f>
        <v>PASS</v>
      </c>
    </row>
    <row r="44" customFormat="false" ht="15" hidden="false" customHeight="false" outlineLevel="0" collapsed="false">
      <c r="A44" s="2" t="s">
        <v>475</v>
      </c>
      <c r="B44" s="36" t="n">
        <f aca="false">Credit!O8</f>
        <v>122.5</v>
      </c>
      <c r="C44" s="37" t="n">
        <f aca="false">Reference_Values!B44</f>
        <v>122.5</v>
      </c>
      <c r="D44" s="25" t="n">
        <f aca="false">ABS(B44-C44)</f>
        <v>0</v>
      </c>
      <c r="E44" s="38" t="n">
        <v>1E-009</v>
      </c>
      <c r="F44" s="4" t="str">
        <f aca="false">IF(D44&lt;=E44,"PASS","FAIL")</f>
        <v>PASS</v>
      </c>
    </row>
    <row r="45" customFormat="false" ht="15" hidden="false" customHeight="false" outlineLevel="0" collapsed="false">
      <c r="A45" s="2" t="s">
        <v>477</v>
      </c>
      <c r="B45" s="36" t="n">
        <f aca="false">Credit!O9</f>
        <v>131.25</v>
      </c>
      <c r="C45" s="37" t="n">
        <f aca="false">Reference_Values!B45</f>
        <v>131.25</v>
      </c>
      <c r="D45" s="25" t="n">
        <f aca="false">ABS(B45-C45)</f>
        <v>0</v>
      </c>
      <c r="E45" s="38" t="n">
        <v>1E-009</v>
      </c>
      <c r="F45" s="4" t="str">
        <f aca="false">IF(D45&lt;=E45,"PASS","FAIL")</f>
        <v>PASS</v>
      </c>
    </row>
    <row r="46" customFormat="false" ht="15" hidden="false" customHeight="false" outlineLevel="0" collapsed="false">
      <c r="A46" s="2" t="s">
        <v>479</v>
      </c>
      <c r="B46" s="36" t="n">
        <f aca="false">Credit!R8</f>
        <v>10.7142857142857</v>
      </c>
      <c r="C46" s="37" t="n">
        <f aca="false">Reference_Values!B46</f>
        <v>10.7142857142857</v>
      </c>
      <c r="D46" s="25" t="n">
        <f aca="false">ABS(B46-C46)</f>
        <v>0</v>
      </c>
      <c r="E46" s="38" t="n">
        <v>1E-009</v>
      </c>
      <c r="F46" s="4" t="str">
        <f aca="false">IF(D46&lt;=E46,"PASS","FAIL")</f>
        <v>PASS</v>
      </c>
    </row>
    <row r="47" customFormat="false" ht="15" hidden="false" customHeight="false" outlineLevel="0" collapsed="false">
      <c r="A47" s="2" t="s">
        <v>481</v>
      </c>
      <c r="B47" s="36" t="n">
        <f aca="false">Credit!R9</f>
        <v>25.4285714285714</v>
      </c>
      <c r="C47" s="37" t="n">
        <f aca="false">Reference_Values!B47</f>
        <v>25.4285714285714</v>
      </c>
      <c r="D47" s="25" t="n">
        <f aca="false">ABS(B47-C47)</f>
        <v>0</v>
      </c>
      <c r="E47" s="38" t="n">
        <v>1E-009</v>
      </c>
      <c r="F47" s="4" t="str">
        <f aca="false">IF(D47&lt;=E47,"PASS","FAIL")</f>
        <v>PASS</v>
      </c>
    </row>
    <row r="48" customFormat="false" ht="15" hidden="false" customHeight="false" outlineLevel="0" collapsed="false">
      <c r="A48" s="2" t="s">
        <v>483</v>
      </c>
      <c r="B48" s="36" t="n">
        <f aca="false">Cap!B15</f>
        <v>150</v>
      </c>
      <c r="C48" s="37" t="n">
        <f aca="false">Reference_Values!B48</f>
        <v>150</v>
      </c>
      <c r="D48" s="25" t="n">
        <f aca="false">ABS(B48-C48)</f>
        <v>0</v>
      </c>
      <c r="E48" s="38" t="n">
        <v>1E-009</v>
      </c>
      <c r="F48" s="4" t="str">
        <f aca="false">IF(D48&lt;=E48,"PASS","FAIL")</f>
        <v>PASS</v>
      </c>
    </row>
    <row r="49" customFormat="false" ht="15" hidden="false" customHeight="false" outlineLevel="0" collapsed="false">
      <c r="A49" s="2" t="s">
        <v>485</v>
      </c>
      <c r="B49" s="36" t="n">
        <f aca="false">Cap!B18</f>
        <v>650</v>
      </c>
      <c r="C49" s="37" t="n">
        <f aca="false">Reference_Values!B49</f>
        <v>650</v>
      </c>
      <c r="D49" s="25" t="n">
        <f aca="false">ABS(B49-C49)</f>
        <v>0</v>
      </c>
      <c r="E49" s="38" t="n">
        <v>1E-009</v>
      </c>
      <c r="F49" s="4" t="str">
        <f aca="false">IF(D49&lt;=E49,"PASS","FAIL")</f>
        <v>PASS</v>
      </c>
    </row>
    <row r="50" customFormat="false" ht="15" hidden="false" customHeight="false" outlineLevel="0" collapsed="false">
      <c r="A50" s="2" t="s">
        <v>487</v>
      </c>
      <c r="B50" s="36" t="n">
        <f aca="false">Cap!B17</f>
        <v>8.33333333333333</v>
      </c>
      <c r="C50" s="37" t="n">
        <f aca="false">Reference_Values!B50</f>
        <v>8.33333333333333</v>
      </c>
      <c r="D50" s="25" t="n">
        <f aca="false">ABS(B50-C50)</f>
        <v>0</v>
      </c>
      <c r="E50" s="38" t="n">
        <v>1E-009</v>
      </c>
      <c r="F50" s="4" t="str">
        <f aca="false">IF(D50&lt;=E50,"PASS","FAIL")</f>
        <v>PASS</v>
      </c>
    </row>
    <row r="51" customFormat="false" ht="15" hidden="false" customHeight="false" outlineLevel="0" collapsed="false">
      <c r="A51" s="2" t="s">
        <v>489</v>
      </c>
      <c r="B51" s="36" t="n">
        <f aca="false">Cap!B21</f>
        <v>746.080810142134</v>
      </c>
      <c r="C51" s="37" t="n">
        <f aca="false">Reference_Values!B51</f>
        <v>746.080810142655</v>
      </c>
      <c r="D51" s="25" t="n">
        <f aca="false">ABS(B51-C51)</f>
        <v>5.21140464115888E-010</v>
      </c>
      <c r="E51" s="38" t="n">
        <v>1E-006</v>
      </c>
      <c r="F51" s="4" t="str">
        <f aca="false">IF(D51&lt;=E51,"PASS","FAIL")</f>
        <v>PASS</v>
      </c>
    </row>
    <row r="52" customFormat="false" ht="15" hidden="false" customHeight="false" outlineLevel="0" collapsed="false">
      <c r="A52" s="2" t="s">
        <v>491</v>
      </c>
      <c r="B52" s="36" t="n">
        <f aca="false">Cap!B22</f>
        <v>650</v>
      </c>
      <c r="C52" s="37" t="n">
        <f aca="false">Reference_Values!B52</f>
        <v>650</v>
      </c>
      <c r="D52" s="25" t="n">
        <f aca="false">ABS(B52-C52)</f>
        <v>0</v>
      </c>
      <c r="E52" s="38" t="n">
        <v>1E-009</v>
      </c>
      <c r="F52" s="4" t="str">
        <f aca="false">IF(D52&lt;=E52,"PASS","FAIL")</f>
        <v>PASS</v>
      </c>
    </row>
    <row r="53" customFormat="false" ht="15" hidden="false" customHeight="false" outlineLevel="0" collapsed="false">
      <c r="A53" s="2" t="s">
        <v>493</v>
      </c>
      <c r="B53" s="36" t="n">
        <f aca="false">Package!D8</f>
        <v>10.440610891413</v>
      </c>
      <c r="C53" s="37" t="n">
        <f aca="false">Reference_Values!B53</f>
        <v>10.440610891413</v>
      </c>
      <c r="D53" s="25" t="n">
        <f aca="false">ABS(B53-C53)</f>
        <v>0</v>
      </c>
      <c r="E53" s="38" t="n">
        <v>1E-006</v>
      </c>
      <c r="F53" s="4" t="str">
        <f aca="false">IF(D53&lt;=E53,"PASS","FAIL")</f>
        <v>PASS</v>
      </c>
    </row>
    <row r="54" customFormat="false" ht="15" hidden="false" customHeight="false" outlineLevel="0" collapsed="false">
      <c r="A54" s="2" t="s">
        <v>495</v>
      </c>
      <c r="B54" s="36" t="n">
        <f aca="false">Package!E14</f>
        <v>11.63</v>
      </c>
      <c r="C54" s="37" t="n">
        <f aca="false">Reference_Values!B54</f>
        <v>11.63</v>
      </c>
      <c r="D54" s="25" t="n">
        <f aca="false">ABS(B54-C54)</f>
        <v>0</v>
      </c>
      <c r="E54" s="38" t="n">
        <v>1E-006</v>
      </c>
      <c r="F54" s="4" t="str">
        <f aca="false">IF(D54&lt;=E54,"PASS","FAIL")</f>
        <v>PASS</v>
      </c>
    </row>
    <row r="55" customFormat="false" ht="15" hidden="false" customHeight="false" outlineLevel="0" collapsed="false">
      <c r="A55" s="2" t="s">
        <v>497</v>
      </c>
      <c r="B55" s="36" t="n">
        <f aca="false">Package!E15</f>
        <v>13.2968910603644</v>
      </c>
      <c r="C55" s="37" t="n">
        <f aca="false">Reference_Values!B55</f>
        <v>13.2968910603644</v>
      </c>
      <c r="D55" s="25" t="n">
        <f aca="false">ABS(B55-C55)</f>
        <v>0</v>
      </c>
      <c r="E55" s="38" t="n">
        <v>1E-006</v>
      </c>
      <c r="F55" s="4" t="str">
        <f aca="false">IF(D55&lt;=E55,"PASS","FAIL")</f>
        <v>PASS</v>
      </c>
    </row>
    <row r="56" customFormat="false" ht="15" hidden="false" customHeight="false" outlineLevel="0" collapsed="false">
      <c r="A56" s="2" t="s">
        <v>499</v>
      </c>
      <c r="B56" s="36" t="n">
        <f aca="false">Package!E16</f>
        <v>12.5</v>
      </c>
      <c r="C56" s="37" t="n">
        <f aca="false">Reference_Values!B56</f>
        <v>12.5</v>
      </c>
      <c r="D56" s="25" t="n">
        <f aca="false">ABS(B56-C56)</f>
        <v>0</v>
      </c>
      <c r="E56" s="38" t="n">
        <v>1E-006</v>
      </c>
      <c r="F56" s="4" t="str">
        <f aca="false">IF(D56&lt;=E56,"PASS","FAIL")</f>
        <v>PASS</v>
      </c>
    </row>
    <row r="57" customFormat="false" ht="15" hidden="false" customHeight="false" outlineLevel="0" collapsed="false">
      <c r="A57" s="2" t="s">
        <v>501</v>
      </c>
      <c r="B57" s="36" t="n">
        <f aca="false">Package!E29</f>
        <v>2.05938910858699</v>
      </c>
      <c r="C57" s="37" t="n">
        <f aca="false">Reference_Values!B57</f>
        <v>2.05938910858699</v>
      </c>
      <c r="D57" s="25" t="n">
        <f aca="false">ABS(B57-C57)</f>
        <v>0</v>
      </c>
      <c r="E57" s="38" t="n">
        <v>1E-006</v>
      </c>
      <c r="F57" s="4" t="str">
        <f aca="false">IF(D57&lt;=E57,"PASS","FAIL")</f>
        <v>PASS</v>
      </c>
    </row>
    <row r="58" customFormat="false" ht="15" hidden="false" customHeight="false" outlineLevel="0" collapsed="false">
      <c r="A58" s="2" t="s">
        <v>503</v>
      </c>
      <c r="B58" s="36" t="n">
        <f aca="false">Package!E30</f>
        <v>1.18938910858699</v>
      </c>
      <c r="C58" s="37" t="n">
        <f aca="false">Reference_Values!B58</f>
        <v>1.18938910858699</v>
      </c>
      <c r="D58" s="25" t="n">
        <f aca="false">ABS(B58-C58)</f>
        <v>0</v>
      </c>
      <c r="E58" s="38" t="n">
        <v>1E-006</v>
      </c>
      <c r="F58" s="4" t="str">
        <f aca="false">IF(D58&lt;=E58,"PASS","FAIL")</f>
        <v>PASS</v>
      </c>
    </row>
    <row r="59" customFormat="false" ht="15" hidden="false" customHeight="false" outlineLevel="0" collapsed="false">
      <c r="A59" s="2" t="s">
        <v>505</v>
      </c>
      <c r="B59" s="36" t="n">
        <f aca="false">Package!E24</f>
        <v>11.9</v>
      </c>
      <c r="C59" s="37" t="n">
        <f aca="false">Reference_Values!B59</f>
        <v>11.9</v>
      </c>
      <c r="D59" s="25" t="n">
        <f aca="false">ABS(B59-C59)</f>
        <v>0</v>
      </c>
      <c r="E59" s="38" t="n">
        <v>1E-006</v>
      </c>
      <c r="F59" s="4" t="str">
        <f aca="false">IF(D59&lt;=E59,"PASS","FAIL")</f>
        <v>PASS</v>
      </c>
    </row>
    <row r="60" customFormat="false" ht="15" hidden="false" customHeight="false" outlineLevel="0" collapsed="false">
      <c r="A60" s="2" t="s">
        <v>507</v>
      </c>
      <c r="B60" s="36" t="n">
        <f aca="false">Package!E26</f>
        <v>18.1</v>
      </c>
      <c r="C60" s="37" t="n">
        <f aca="false">Reference_Values!B60</f>
        <v>18.1</v>
      </c>
      <c r="D60" s="25" t="n">
        <f aca="false">ABS(B60-C60)</f>
        <v>0</v>
      </c>
      <c r="E60" s="38" t="n">
        <v>1E-006</v>
      </c>
      <c r="F60" s="4" t="str">
        <f aca="false">IF(D60&lt;=E60,"PASS","FAIL")</f>
        <v>PASS</v>
      </c>
    </row>
    <row r="61" customFormat="false" ht="15" hidden="false" customHeight="false" outlineLevel="0" collapsed="false">
      <c r="A61" s="2" t="s">
        <v>509</v>
      </c>
      <c r="B61" s="36" t="n">
        <f aca="false">Package!E31</f>
        <v>1250</v>
      </c>
      <c r="C61" s="37" t="n">
        <f aca="false">Reference_Values!B61</f>
        <v>1250</v>
      </c>
      <c r="D61" s="25" t="n">
        <f aca="false">ABS(B61-C61)</f>
        <v>0</v>
      </c>
      <c r="E61" s="38" t="n">
        <v>1E-006</v>
      </c>
      <c r="F61" s="4" t="str">
        <f aca="false">IF(D61&lt;=E61,"PASS","FAIL")</f>
        <v>PASS</v>
      </c>
    </row>
    <row r="62" customFormat="false" ht="15" hidden="false" customHeight="false" outlineLevel="0" collapsed="false">
      <c r="A62" s="2" t="s">
        <v>511</v>
      </c>
      <c r="B62" s="36" t="n">
        <f aca="false">Package!E32</f>
        <v>0.298625</v>
      </c>
      <c r="C62" s="37" t="n">
        <f aca="false">Reference_Values!B62</f>
        <v>0.298625</v>
      </c>
      <c r="D62" s="25" t="n">
        <f aca="false">ABS(B62-C62)</f>
        <v>0</v>
      </c>
      <c r="E62" s="38" t="n">
        <v>1E-009</v>
      </c>
      <c r="F62" s="4" t="str">
        <f aca="false">IF(D62&lt;=E62,"PASS","FAIL")</f>
        <v>PASS</v>
      </c>
    </row>
    <row r="64" customFormat="false" ht="15" hidden="false" customHeight="false" outlineLevel="0" collapsed="false">
      <c r="A64" s="4" t="s">
        <v>517</v>
      </c>
      <c r="F64" s="4" t="str">
        <f aca="false">IF(COUNTIF(F2:F62,"PASS")=61,"ALL PASS","CHECK")</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2026-10-05T08:40:29Z</dcterms:created>
  <dc:creator>openpyxl</dc:creator>
  <dc:description/>
  <dc:language>en-US</dc:language>
  <cp:lastModifiedBy/>
  <dcterms:modified xsi:type="dcterms:W3CDTF">2026-10-05T08:40:29Z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