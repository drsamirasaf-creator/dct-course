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Simulate" sheetId="3" state="visible" r:id="rId5"/>
    <sheet name="Transcribe" sheetId="4" state="visible" r:id="rId6"/>
    <sheet name="BestPlan" sheetId="5" state="visible" r:id="rId7"/>
    <sheet name="Prices" sheetId="6" state="visible" r:id="rId8"/>
    <sheet name="Rates" sheetId="7" state="visible" r:id="rId9"/>
    <sheet name="Horizons" sheetId="8" state="visible" r:id="rId10"/>
    <sheet name="Replan" sheetId="9" state="visible" r:id="rId11"/>
    <sheet name="Stress" sheetId="10" state="visible" r:id="rId12"/>
    <sheet name="ShortfallKnown" sheetId="11" state="visible" r:id="rId13"/>
    <sheet name="Table5_3" sheetId="12" state="visible" r:id="rId14"/>
    <sheet name="Reference_Values" sheetId="13" state="visible" r:id="rId15"/>
    <sheet name="Checks" sheetId="14" state="visible" r:id="rId16"/>
  </sheets>
  <definedNames>
    <definedName function="false" hidden="false" name="Beta_y" vbProcedure="false">Declarations!$B$5</definedName>
    <definedName function="false" hidden="false" name="Bias_b" vbProcedure="false">Declarations!$B$18</definedName>
    <definedName function="false" hidden="false" name="Ceiling_e" vbProcedure="false">Declarations!$B$7</definedName>
    <definedName function="false" hidden="false" name="Cost_round" vbProcedure="false">Declarations!$B$6</definedName>
    <definedName function="false" hidden="false" name="Credit_yrs" vbProcedure="false">Declarations!$B$16</definedName>
    <definedName function="false" hidden="false" name="End_q" vbProcedure="false">Declarations!$B$14</definedName>
    <definedName function="false" hidden="false" name="E_zero" vbProcedure="false">Declarations!$B$10</definedName>
    <definedName function="false" hidden="false" name="Floor_q" vbProcedure="false">Declarations!$B$12</definedName>
    <definedName function="false" hidden="false" name="Half_gap" vbProcedure="false">Declarations!$B$8</definedName>
    <definedName function="false" hidden="false" name="Hurdle_r" vbProcedure="false">Declarations!$B$4</definedName>
    <definedName function="false" hidden="false" name="Life_yrs" vbProcedure="false">Declarations!$B$15</definedName>
    <definedName function="false" hidden="false" name="Pre_q" vbProcedure="false">Declarations!$B$13</definedName>
    <definedName function="false" hidden="false" name="Q_zero" vbProcedure="false">Declarations!$B$11</definedName>
    <definedName function="false" hidden="false" name="Short_pt" vbProcedure="false">Declarations!$B$17</definedName>
    <definedName function="false" hidden="false" name="Val_pt" vbProcedure="false">Declarations!$B$9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<sst xmlns="http://schemas.openxmlformats.org/spreadsheetml/2006/main" count="827" uniqueCount="439">
  <si>
    <t xml:space="preserve">DCT Laboratory — Vol II, Ch 5: Dynamic Enterprise Optimization</t>
  </si>
  <si>
    <t xml:space="preserve">Seed 26205 · Companion to DCT_V2_Ch05_Lab.ipynb and AXIOM Lab 2.5 (module AXIOM-05). Money in $ million.</t>
  </si>
  <si>
    <t xml:space="preserve">Worked Example 5.1, When Should Meridian Pay Its Shareholders?, with the book's declarations, in formulas.</t>
  </si>
  <si>
    <t xml:space="preserve">Declarations: the inputs of Step 1. Simulate: the CFO's rule and decisions judged year by year (Step 2).</t>
  </si>
  <si>
    <t xml:space="preserve">Transcribe: all 64 schedules of rounds, each with its war chest, its payouts and its value; BestPlan: the best of them, year by year (Step 3).</t>
  </si>
  <si>
    <t xml:space="preserve">Prices: the prices of cash and of efficiency, the binding commitments, perturbation checks and the round test (Step 4).</t>
  </si>
  <si>
    <t xml:space="preserve">Rates: the best plan at hurdle rates from 3 to 30 percent and the switch rates certified; Horizons: terminal values and planning windows of 1 to 20 years (Step 5).</t>
  </si>
  <si>
    <t xml:space="preserve">Replan: the present-biased board's yearly re-plans (Section 5.6). Stress and ShortfallKnown: each round a point short, Step 3's schedule against the war-chest rule (Step 6).</t>
  </si>
  <si>
    <t xml:space="preserve">Table5_3: Table 5.3 assembled from these sheets. The bisection for the switch rates, the linear-program check, the rolling windows and the figures run in the notebook.</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</si>
  <si>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</si>
  <si>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</si>
  <si>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</si>
  <si>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</si>
  <si>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</si>
  <si>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</si>
  <si>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5.1, Step 1). Money in $ million; efficiency in points.</t>
  </si>
  <si>
    <t xml:space="preserve">Quantity</t>
  </si>
  <si>
    <t xml:space="preserve">Value</t>
  </si>
  <si>
    <t xml:space="preserve">Source</t>
  </si>
  <si>
    <t xml:space="preserve">Hurdle rate r (a year)</t>
  </si>
  <si>
    <t xml:space="preserve">The board's declaration: payouts discounted at 10 percent a year</t>
  </si>
  <si>
    <t xml:space="preserve">Discount factor a year, beta = 1/(1 + r)</t>
  </si>
  <si>
    <t xml:space="preserve">Cost of a round</t>
  </si>
  <si>
    <t xml:space="preserve">Volume I, Worked Example 6.1</t>
  </si>
  <si>
    <t xml:space="preserve">Efficiency ceiling</t>
  </si>
  <si>
    <t xml:space="preserve">A round closes half the gap to 85</t>
  </si>
  <si>
    <t xml:space="preserve">Share of the remaining gap a round closes</t>
  </si>
  <si>
    <t xml:space="preserve">Savings per point of efficiency a year</t>
  </si>
  <si>
    <t xml:space="preserve">S_k = 10 (e_k - 71)</t>
  </si>
  <si>
    <t xml:space="preserve">Today's efficiency, e_0</t>
  </si>
  <si>
    <t xml:space="preserve">Today's cash, q_0</t>
  </si>
  <si>
    <t xml:space="preserve">Floor on cash at every year end</t>
  </si>
  <si>
    <t xml:space="preserve">The board's $350 million floor</t>
  </si>
  <si>
    <t xml:space="preserve">Cash a round needs on hand when it starts</t>
  </si>
  <si>
    <t xml:space="preserve">So the floor holds after paying for the round</t>
  </si>
  <si>
    <t xml:space="preserve">End condition: cash at the end of year 6</t>
  </si>
  <si>
    <t xml:space="preserve">Cash for another round</t>
  </si>
  <si>
    <t xml:space="preserve">Life of the automated lines (years)</t>
  </si>
  <si>
    <t xml:space="preserve">Step 5: savings valued only over the lines' life</t>
  </si>
  <si>
    <t xml:space="preserve">Part I's years of undiscounted credit</t>
  </si>
  <si>
    <t xml:space="preserve">Worked Examples 2.1 and 3.1</t>
  </si>
  <si>
    <t xml:space="preserve">Shortfall per round in the stress scenario (points)</t>
  </si>
  <si>
    <t xml:space="preserve">Step 6: each round a point short</t>
  </si>
  <si>
    <t xml:space="preserve">Present-biased board's weight on later years, b</t>
  </si>
  <si>
    <t xml:space="preserve">Section 5.6: later years at 90 percent</t>
  </si>
  <si>
    <t xml:space="preserve">Six years, one period a year; cash earns nothing. Dynamics: e_k = e_(k-1) + z_k (85 - e_(k-1))/2; q_k = q_(k-1) - 120 z_k + S_k - p_k. A round needs q_(k-1) &gt;= 470; every year ends with q_k &gt;= 350; year 6 ends with q_6 &gt;= 470.</t>
  </si>
  <si>
    <t xml:space="preserve">Value: sum over k of beta^k p_k + beta^6 S_6 / r, the payouts plus the year-6 savings forever (at 10 percent the perpetuity is 10 S_6, Part I's ten years of credit).</t>
  </si>
  <si>
    <t xml:space="preserve">Simulate: the CFO's rule (Proposition 5.1; Worked Example 5.1, Step 2; AXIOM Lab 2.5, step 1)</t>
  </si>
  <si>
    <t xml:space="preserve">Pay out, every year end, whatever cash exceeds the floor; a planned round runs only if the year opens with the cash it needs. The payout leaves 350, so no round after the first can start.</t>
  </si>
  <si>
    <t xml:space="preserve">The CFO's rule: rounds planned for years 1 to 3</t>
  </si>
  <si>
    <t xml:space="preserve">Year</t>
  </si>
  <si>
    <t xml:space="preserve">Round planned</t>
  </si>
  <si>
    <t xml:space="preserve">Cash at the start</t>
  </si>
  <si>
    <t xml:space="preserve">Round runs</t>
  </si>
  <si>
    <t xml:space="preserve">Efficiency</t>
  </si>
  <si>
    <t xml:space="preserve">Savings</t>
  </si>
  <si>
    <t xml:space="preserve">Payout</t>
  </si>
  <si>
    <t xml:space="preserve">Year-end cash</t>
  </si>
  <si>
    <t xml:space="preserve">Discount factor</t>
  </si>
  <si>
    <t xml:space="preserve">PV of payout</t>
  </si>
  <si>
    <t xml:space="preserve">Breach</t>
  </si>
  <si>
    <t xml:space="preserve">Rounds run</t>
  </si>
  <si>
    <t xml:space="preserve">Planned rounds that could not start</t>
  </si>
  <si>
    <t xml:space="preserve">Year ends below the floor</t>
  </si>
  <si>
    <t xml:space="preserve">Cash at the end of year 6</t>
  </si>
  <si>
    <t xml:space="preserve">End condition</t>
  </si>
  <si>
    <t xml:space="preserve">Payouts, present value</t>
  </si>
  <si>
    <t xml:space="preserve">Savings after year 6 forever, today</t>
  </si>
  <si>
    <t xml:space="preserve">Value: payouts plus savings forever (-- if the floor breaks)</t>
  </si>
  <si>
    <t xml:space="preserve">Decided year by year: no round is ever worth its cost within its own year</t>
  </si>
  <si>
    <t xml:space="preserve">Most savings a round adds in its own year</t>
  </si>
  <si>
    <t xml:space="preserve">Against the cost of a round</t>
  </si>
  <si>
    <t xml:space="preserve">The value of a plan that misses the end condition is shown as if the board waived it (Table 5.3, note a).</t>
  </si>
  <si>
    <t xml:space="preserve">Transcribe and solve: all 64 schedules of rounds, each with its payout program (Theorem 5.1; Proposition 5.3(ii); AXIOM Lab 2.5, step 2)</t>
  </si>
  <si>
    <t xml:space="preserve">Each row is a schedule of rounds (z_k = 1: a round in year k). Its best payouts pay out, every year end, everything above the war chest R_k: R_6 = 470; R_(k-1) = max(R_k + 120 z_k - S_k, 470 if z_k = 1, 350), with no floor term for R_0.</t>
  </si>
  <si>
    <t xml:space="preserve">The schedule keeps every commitment exactly when today's cash covers R_0; then p_1 = q_0 - 120 z_1 + S_1 - R_1 and p_k = R_(k-1) - 120 z_k + S_k - R_k (Proposition 5.3(ii): pay as early as the commitments allow).</t>
  </si>
  <si>
    <t xml:space="preserve">Shortfall per round on this sheet (points)</t>
  </si>
  <si>
    <t xml:space="preserve">Hurdle rate for the column:</t>
  </si>
  <si>
    <t xml:space="preserve">#</t>
  </si>
  <si>
    <t xml:space="preserve">Rounds by year</t>
  </si>
  <si>
    <t xml:space="preserve">Rounds</t>
  </si>
  <si>
    <t xml:space="preserve">z1</t>
  </si>
  <si>
    <t xml:space="preserve">z2</t>
  </si>
  <si>
    <t xml:space="preserve">z3</t>
  </si>
  <si>
    <t xml:space="preserve">z4</t>
  </si>
  <si>
    <t xml:space="preserve">z5</t>
  </si>
  <si>
    <t xml:space="preserve">z6</t>
  </si>
  <si>
    <t xml:space="preserve">e1</t>
  </si>
  <si>
    <t xml:space="preserve">e2</t>
  </si>
  <si>
    <t xml:space="preserve">e3</t>
  </si>
  <si>
    <t xml:space="preserve">e4</t>
  </si>
  <si>
    <t xml:space="preserve">e5</t>
  </si>
  <si>
    <t xml:space="preserve">e6</t>
  </si>
  <si>
    <t xml:space="preserve">S1</t>
  </si>
  <si>
    <t xml:space="preserve">S2</t>
  </si>
  <si>
    <t xml:space="preserve">S3</t>
  </si>
  <si>
    <t xml:space="preserve">S4</t>
  </si>
  <si>
    <t xml:space="preserve">S5</t>
  </si>
  <si>
    <t xml:space="preserve">S6</t>
  </si>
  <si>
    <t xml:space="preserve">R0</t>
  </si>
  <si>
    <t xml:space="preserve">R1</t>
  </si>
  <si>
    <t xml:space="preserve">R2</t>
  </si>
  <si>
    <t xml:space="preserve">R3</t>
  </si>
  <si>
    <t xml:space="preserve">R4</t>
  </si>
  <si>
    <t xml:space="preserve">R5</t>
  </si>
  <si>
    <t xml:space="preserve">R6</t>
  </si>
  <si>
    <t xml:space="preserve">Keeps every commitment</t>
  </si>
  <si>
    <t xml:space="preserve">p1</t>
  </si>
  <si>
    <t xml:space="preserve">p2</t>
  </si>
  <si>
    <t xml:space="preserve">p3</t>
  </si>
  <si>
    <t xml:space="preserve">p4</t>
  </si>
  <si>
    <t xml:space="preserve">p5</t>
  </si>
  <si>
    <t xml:space="preserve">p6</t>
  </si>
  <si>
    <t xml:space="preserve">Paid out</t>
  </si>
  <si>
    <t xml:space="preserve">Payouts, PV</t>
  </si>
  <si>
    <t xml:space="preserve">Value: savings forever</t>
  </si>
  <si>
    <t xml:space="preserve">Value: no terminal value</t>
  </si>
  <si>
    <t xml:space="preserve">Value: savings over the lines' life</t>
  </si>
  <si>
    <t xml:space="preserve">Undiscounted, Part I's credit</t>
  </si>
  <si>
    <t xml:space="preserve">Value at 3%</t>
  </si>
  <si>
    <t xml:space="preserve">Value at 5%</t>
  </si>
  <si>
    <t xml:space="preserve">Value at 8%</t>
  </si>
  <si>
    <t xml:space="preserve">Value at 10%</t>
  </si>
  <si>
    <t xml:space="preserve">Value at 12%</t>
  </si>
  <si>
    <t xml:space="preserve">Value at 15%</t>
  </si>
  <si>
    <t xml:space="preserve">Value at 20%</t>
  </si>
  <si>
    <t xml:space="preserve">Value at 30%</t>
  </si>
  <si>
    <t xml:space="preserve">Value at switch rate 1</t>
  </si>
  <si>
    <t xml:space="preserve">Value at switch rate 2</t>
  </si>
  <si>
    <t xml:space="preserve">Value at switch rate 3</t>
  </si>
  <si>
    <t xml:space="preserve">Value at switch rate 4</t>
  </si>
  <si>
    <t xml:space="preserve">Value at switch rate 5</t>
  </si>
  <si>
    <t xml:space="preserve">Transcribe and solve: the best plan pays out above a war chest (Worked Example 5.1, Step 3)</t>
  </si>
  <si>
    <t xml:space="preserve">The best of the 64 schedules on Transcribe, by MAX; its year-end cash equals its war chest every year: everything above it is paid out at once.</t>
  </si>
  <si>
    <t xml:space="preserve">Best value: payouts plus the savings after year 6 forever</t>
  </si>
  <si>
    <t xml:space="preserve">Its row among the 64 schedules</t>
  </si>
  <si>
    <t xml:space="preserve">Rounds by year (1 = a round)</t>
  </si>
  <si>
    <t xml:space="preserve">Number of rounds</t>
  </si>
  <si>
    <t xml:space="preserve">Schedules that keep every commitment</t>
  </si>
  <si>
    <t xml:space="preserve">Round</t>
  </si>
  <si>
    <t xml:space="preserve">War chest</t>
  </si>
  <si>
    <t xml:space="preserve">Savings after year 6, forever, valued at year 6</t>
  </si>
  <si>
    <t xml:space="preserve">... and today</t>
  </si>
  <si>
    <t xml:space="preserve">Total paid out</t>
  </si>
  <si>
    <t xml:space="preserve">The same total paid at the end of year 6, with the savings forever</t>
  </si>
  <si>
    <t xml:space="preserve">Front-loading the payouts is worth</t>
  </si>
  <si>
    <t xml:space="preserve">The CFO's rule (end condition waived) is worth less by</t>
  </si>
  <si>
    <t xml:space="preserve">Year-end cash equals the war chest every year</t>
  </si>
  <si>
    <t xml:space="preserve">Price: the multipliers of the dynamics, for cash and for efficiency (Theorem 5.1(iii); Figure 5.1; AXIOM Lab 2.5, step 3)</t>
  </si>
  <si>
    <t xml:space="preserve">Cash: a dollar arriving in year k is paid out at once, worth beta^k, unless the war chest at the end of year k-1 is set by the carry (R_k + 120 z_k - S_k): then it shrinks that war chest and is paid a year earlier, worth lambda_(k-1).</t>
  </si>
  <si>
    <t xml:space="preserve">A binding bound on q_k costs lambda_k - lambda_(k+1) a dollar (the end condition: lambda_6). Efficiency: mu_6 = 10 lambda_6 + 10 beta^6/r; mu_k = 10 lambda_k + (1 - z_(k+1)/2) mu_(k+1).</t>
  </si>
  <si>
    <t xml:space="preserve">Year k</t>
  </si>
  <si>
    <t xml:space="preserve">Round z_k</t>
  </si>
  <si>
    <t xml:space="preserve">Savings S_k</t>
  </si>
  <si>
    <t xml:space="preserve">War chest R_(k-1)</t>
  </si>
  <si>
    <t xml:space="preserve">Carry R_k + 120 z_k - S_k</t>
  </si>
  <si>
    <t xml:space="preserve">Round's cash</t>
  </si>
  <si>
    <t xml:space="preserve">Floor</t>
  </si>
  <si>
    <t xml:space="preserve">R_(k-1) set by</t>
  </si>
  <si>
    <t xml:space="preserve">Price of cash lambda_k</t>
  </si>
  <si>
    <t xml:space="preserve">beta^k</t>
  </si>
  <si>
    <t xml:space="preserve">Bound on q_k</t>
  </si>
  <si>
    <t xml:space="preserve">Bound</t>
  </si>
  <si>
    <t xml:space="preserve">Price of the bound</t>
  </si>
  <si>
    <t xml:space="preserve">Price of a point mu_k</t>
  </si>
  <si>
    <t xml:space="preserve">mu_k in year-k dollars</t>
  </si>
  <si>
    <t xml:space="preserve">Cost today of the end condition's cash above the floor</t>
  </si>
  <si>
    <t xml:space="preserve">Price of the third round's precondition (bound on q_2)</t>
  </si>
  <si>
    <t xml:space="preserve">Check the prices by perturbing the instance (the rounds held fixed; payouts re-optimized): one more dollar of cash in a year, or 0.01 point more efficiency in a year</t>
  </si>
  <si>
    <t xml:space="preserve">Perturbation</t>
  </si>
  <si>
    <t xml:space="preserve">Kind</t>
  </si>
  <si>
    <t xml:space="preserve">Size</t>
  </si>
  <si>
    <t xml:space="preserve">cash in 1</t>
  </si>
  <si>
    <t xml:space="preserve">cash in 2</t>
  </si>
  <si>
    <t xml:space="preserve">cash in 3</t>
  </si>
  <si>
    <t xml:space="preserve">cash in 4</t>
  </si>
  <si>
    <t xml:space="preserve">cash in 5</t>
  </si>
  <si>
    <t xml:space="preserve">cash in 6</t>
  </si>
  <si>
    <t xml:space="preserve">Price by perturbation</t>
  </si>
  <si>
    <t xml:space="preserve">Price from the program</t>
  </si>
  <si>
    <t xml:space="preserve">|difference|</t>
  </si>
  <si>
    <t xml:space="preserve">Best plan</t>
  </si>
  <si>
    <t xml:space="preserve">base</t>
  </si>
  <si>
    <t xml:space="preserve">$1 more cash, year 1</t>
  </si>
  <si>
    <t xml:space="preserve">cash</t>
  </si>
  <si>
    <t xml:space="preserve">$1 more cash, year 2</t>
  </si>
  <si>
    <t xml:space="preserve">$1 more cash, year 3</t>
  </si>
  <si>
    <t xml:space="preserve">$1 more cash, year 4</t>
  </si>
  <si>
    <t xml:space="preserve">$1 more cash, year 5</t>
  </si>
  <si>
    <t xml:space="preserve">$1 more cash, year 6</t>
  </si>
  <si>
    <t xml:space="preserve">0.01 point more efficiency, year 1</t>
  </si>
  <si>
    <t xml:space="preserve">efficiency</t>
  </si>
  <si>
    <t xml:space="preserve">0.01 point more efficiency, year 2</t>
  </si>
  <si>
    <t xml:space="preserve">0.01 point more efficiency, year 3</t>
  </si>
  <si>
    <t xml:space="preserve">0.01 point more efficiency, year 4</t>
  </si>
  <si>
    <t xml:space="preserve">0.01 point more efficiency, year 5</t>
  </si>
  <si>
    <t xml:space="preserve">0.01 point more efficiency, year 6</t>
  </si>
  <si>
    <t xml:space="preserve">Largest difference between the prices and the perturbations</t>
  </si>
  <si>
    <t xml:space="preserve">The round test (Worked Example 5.1, Step 4): the n-th round pays when the savings it adds, valued at the hurdle rate, cover the $120 million it needs</t>
  </si>
  <si>
    <t xml:space="preserve">Round n</t>
  </si>
  <si>
    <t xml:space="preserve">Gap before the round</t>
  </si>
  <si>
    <t xml:space="preserve">Savings it adds a year</t>
  </si>
  <si>
    <t xml:space="preserve">Valued forever at r</t>
  </si>
  <si>
    <t xml:space="preserve">Against its cost</t>
  </si>
  <si>
    <t xml:space="preserve">Its yield</t>
  </si>
  <si>
    <t xml:space="preserve">Move the rate: the best plan at hurdle rates from 3 to 30 percent (Figure 5.2(b); AXIOM Lab 2.5, step 4)</t>
  </si>
  <si>
    <t xml:space="preserve">Each column of Transcribe values all 64 schedules at one hurdle rate (the war chests and payouts do not depend on the rate). The best plan at each rate is the MAX of its column.</t>
  </si>
  <si>
    <t xml:space="preserve">Hurdle rate</t>
  </si>
  <si>
    <t xml:space="preserve">Best value</t>
  </si>
  <si>
    <t xml:space="preserve">Its row</t>
  </si>
  <si>
    <t xml:space="preserve">Perpetuity in years of S_6</t>
  </si>
  <si>
    <t xml:space="preserve">Payouts of the best plan at 5 percent, years 1 to 6</t>
  </si>
  <si>
    <t xml:space="preserve">Switch</t>
  </si>
  <si>
    <t xml:space="preserve">Rate (engine bisection)</t>
  </si>
  <si>
    <t xml:space="preserve">Rounds below the rate</t>
  </si>
  <si>
    <t xml:space="preserve">Best plan with that many rounds</t>
  </si>
  <si>
    <t xml:space="preserve">Best plan with one round fewer</t>
  </si>
  <si>
    <t xml:space="preserve">Best of all 64</t>
  </si>
  <si>
    <t xml:space="preserve">The round's yield</t>
  </si>
  <si>
    <t xml:space="preserve">Rate - yield</t>
  </si>
  <si>
    <t xml:space="preserve">round 6</t>
  </si>
  <si>
    <t xml:space="preserve">round 5</t>
  </si>
  <si>
    <t xml:space="preserve">round 4</t>
  </si>
  <si>
    <t xml:space="preserve">round 3</t>
  </si>
  <si>
    <t xml:space="preserve">round 2</t>
  </si>
  <si>
    <t xml:space="preserve">At each switch rate the best plan with n rounds and the best with n - 1 are worth the same, and no plan is worth more: the engine's bisection is certified by formulas. From the fourth round on the switch rate is exactly the round's yield; for the second and third the end condition's cash moves the switch.</t>
  </si>
  <si>
    <t xml:space="preserve">Move the horizon: terminal values and planning windows (Theorem 5.2; Figure 5.2(a); AXIOM Lab 2.5, step 4)</t>
  </si>
  <si>
    <t xml:space="preserve">Terminal value, six-year plan (all 64 schedules)</t>
  </si>
  <si>
    <t xml:space="preserve">Best by its own criterion</t>
  </si>
  <si>
    <t xml:space="preserve">Worth with the savings forever</t>
  </si>
  <si>
    <t xml:space="preserve">Savings valued forever (the board's declaration)</t>
  </si>
  <si>
    <t xml:space="preserve">No terminal value</t>
  </si>
  <si>
    <t xml:space="preserve">Savings over the twenty-year life of the lines</t>
  </si>
  <si>
    <t xml:space="preserve">Undiscounted, Part I's ten years of credit</t>
  </si>
  <si>
    <t xml:space="preserve">Planning without a terminal value loses, with the savings valued forever</t>
  </si>
  <si>
    <t xml:space="preserve">The perpetuity S_6/r in years of S_6: at the board's rate, and at 5 percent</t>
  </si>
  <si>
    <t xml:space="preserve">Planning windows of T years at the board's rate, the end condition at each window's end: the best number of rounds (the rows below compare rounds in the first n years, n = 0 to 4)</t>
  </si>
  <si>
    <t xml:space="preserve">Window T (years)</t>
  </si>
  <si>
    <t xml:space="preserve">Best value, no terminal value</t>
  </si>
  <si>
    <t xml:space="preserve">Rounds, no terminal value</t>
  </si>
  <si>
    <t xml:space="preserve">Best value, savings forever</t>
  </si>
  <si>
    <t xml:space="preserve">Rounds, savings forever</t>
  </si>
  <si>
    <t xml:space="preserve">Shortest window whose best plan runs a third round: no terminal value</t>
  </si>
  <si>
    <t xml:space="preserve">Shortest window whose best plan runs a third round: savings valued forever</t>
  </si>
  <si>
    <t xml:space="preserve">The notebook's full enumeration confirms that the best rounds come in the first years for windows of up to twelve years (Online Appendix 5.B.3: ten); years beyond a window show 0.</t>
  </si>
  <si>
    <t xml:space="preserve">T</t>
  </si>
  <si>
    <t xml:space="preserve">n</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</si>
  <si>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</si>
  <si>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</si>
  <si>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</si>
  <si>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</si>
  <si>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</si>
  <si>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</si>
  <si>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</si>
  <si>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</si>
  <si>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</si>
  <si>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S16</t>
  </si>
  <si>
    <t xml:space="preserve">S17</t>
  </si>
  <si>
    <t xml:space="preserve">S18</t>
  </si>
  <si>
    <t xml:space="preserve">S19</t>
  </si>
  <si>
    <t xml:space="preserve">S20</t>
  </si>
  <si>
    <t xml:space="preserve">R7</t>
  </si>
  <si>
    <t xml:space="preserve">R8</t>
  </si>
  <si>
    <t xml:space="preserve">R9</t>
  </si>
  <si>
    <t xml:space="preserve">R10</t>
  </si>
  <si>
    <t xml:space="preserve">R11</t>
  </si>
  <si>
    <t xml:space="preserve">R12</t>
  </si>
  <si>
    <t xml:space="preserve">R13</t>
  </si>
  <si>
    <t xml:space="preserve">R14</t>
  </si>
  <si>
    <t xml:space="preserve">R15</t>
  </si>
  <si>
    <t xml:space="preserve">R16</t>
  </si>
  <si>
    <t xml:space="preserve">R17</t>
  </si>
  <si>
    <t xml:space="preserve">R18</t>
  </si>
  <si>
    <t xml:space="preserve">R19</t>
  </si>
  <si>
    <t xml:space="preserve">R20</t>
  </si>
  <si>
    <t xml:space="preserve">p7</t>
  </si>
  <si>
    <t xml:space="preserve">p8</t>
  </si>
  <si>
    <t xml:space="preserve">p9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</si>
  <si>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</si>
  <si>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</si>
  <si>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</si>
  <si>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</si>
  <si>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</si>
  <si>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</si>
  <si>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</si>
  <si>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</si>
  <si>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</si>
  <si>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</si>
  <si>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</si>
  <si>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Value, no terminal value</t>
  </si>
  <si>
    <t xml:space="preserve">Value, savings forever</t>
  </si>
  <si>
    <t xml:space="preserve">Re-plan: a present-biased board re-plans every year (Section 5.6; Theorem 5.3(iv); Table 5.3)</t>
  </si>
  <si>
    <t xml:space="preserve">At the start of each year the board weighs that year's payout 1 and the payout i years later b x beta^i (b on Declarations), compares every schedule of the remaining years from the cash and efficiency reached, and carries out the first year of the best (the first if tied).</t>
  </si>
  <si>
    <t xml:space="preserve">With b = 1 the weights are exponential and the board carries out the plan it approved (Theorem 5.3(iii)). Shareholders discount at the hurdle rate throughout.</t>
  </si>
  <si>
    <t xml:space="preserve">Efficiency at the start</t>
  </si>
  <si>
    <t xml:space="preserve">Plan made: rounds in the remaining years</t>
  </si>
  <si>
    <t xml:space="preserve">Its number</t>
  </si>
  <si>
    <t xml:space="preserve">Round this year</t>
  </si>
  <si>
    <t xml:space="preserve">Rounds carried out, by year</t>
  </si>
  <si>
    <t xml:space="preserve">Value to shareholders</t>
  </si>
  <si>
    <t xml:space="preserve">Less than the best plan</t>
  </si>
  <si>
    <t xml:space="preserve">Commitments</t>
  </si>
  <si>
    <t xml:space="preserve">Start of year 1: the 64 schedules of the remaining 6 years, from the cash and efficiency reached</t>
  </si>
  <si>
    <t xml:space="preserve">The board's score</t>
  </si>
  <si>
    <t xml:space="preserve">Start of year 2: the 32 schedules of the remaining 5 years, from the cash and efficiency reached</t>
  </si>
  <si>
    <t xml:space="preserve">Start of year 3: the 16 schedules of the remaining 4 years, from the cash and efficiency reached</t>
  </si>
  <si>
    <t xml:space="preserve">Start of year 4: the 8 schedules of the remaining 3 years, from the cash and efficiency reached</t>
  </si>
  <si>
    <t xml:space="preserve">Start of year 5: the 4 schedules of the remaining 2 years, from the cash and efficiency reached</t>
  </si>
  <si>
    <t xml:space="preserve">Start of year 6: the 2 schedules of the remaining 1 year, from the cash and efficiency reached</t>
  </si>
  <si>
    <t xml:space="preserve">Stress: each round a point short (Worked Example 5.1, Step 6; Figure 5.3(b); AXIOM Lab 2.5, step 5)</t>
  </si>
  <si>
    <t xml:space="preserve">Each round closes a point less of the gap than planned (Declarations: Short_pt). A planned round runs only if the year opens with the cash it needs.</t>
  </si>
  <si>
    <t xml:space="preserve">Step 3's schedule paid regardless</t>
  </si>
  <si>
    <t xml:space="preserve">The war-chest rule: year 1's round on the forecast; at each year end the war chest is recomputed from the measured efficiency and the revised estimate, and the rest is paid out</t>
  </si>
  <si>
    <t xml:space="preserve">Efficiency (measured)</t>
  </si>
  <si>
    <t xml:space="preserve">Cash before the payout</t>
  </si>
  <si>
    <t xml:space="preserve">War chest, recomputed</t>
  </si>
  <si>
    <t xml:space="preserve">The war chest recomputed at each year end j: the rest of the program forecast from the measured efficiency with the revised estimate, backward from the end condition</t>
  </si>
  <si>
    <t xml:space="preserve">Year end j</t>
  </si>
  <si>
    <t xml:space="preserve">Rounds run by the rule</t>
  </si>
  <si>
    <t xml:space="preserve">Lowest year-end cash; cash at the end of year 6</t>
  </si>
  <si>
    <t xml:space="preserve">Value of the war-chest rule</t>
  </si>
  <si>
    <t xml:space="preserve">Best plan with the shortfall known from the start</t>
  </si>
  <si>
    <t xml:space="preserve">Its rounds by year</t>
  </si>
  <si>
    <t xml:space="preserve">The CFO's rule under the shortfall (rounds planned for years 1 to 3)</t>
  </si>
  <si>
    <t xml:space="preserve">The best plan had the shortfall been known from the start: the 64 schedules with each round a point short (Worked Example 5.1, Step 6)</t>
  </si>
  <si>
    <t xml:space="preserve">Table 5.3: payout plans compared (value at the hurdle rate: payouts plus the year-6 savings forever)</t>
  </si>
  <si>
    <t xml:space="preserve">Plan</t>
  </si>
  <si>
    <t xml:space="preserve">Rounds (years)</t>
  </si>
  <si>
    <t xml:space="preserve">Payout, year 1</t>
  </si>
  <si>
    <t xml:space="preserve">Payout, year 2</t>
  </si>
  <si>
    <t xml:space="preserve">Payout, year 3</t>
  </si>
  <si>
    <t xml:space="preserve">Payout, year 4</t>
  </si>
  <si>
    <t xml:space="preserve">Payout, year 5</t>
  </si>
  <si>
    <t xml:space="preserve">Payout, year 6</t>
  </si>
  <si>
    <t xml:space="preserve">CFO's rule (value if the board waived its end condition)</t>
  </si>
  <si>
    <t xml:space="preserve">Present-biased board (b on Declarations)</t>
  </si>
  <si>
    <t xml:space="preserve">Rounds a point short: Step 3's schedule</t>
  </si>
  <si>
    <t xml:space="preserve">--</t>
  </si>
  <si>
    <t xml:space="preserve">Rounds a point short: war-chest rule</t>
  </si>
  <si>
    <t xml:space="preserve">Present values at the hurdle rate over an open horizon, $ million. The present-biased board is Section 5.6's; the war-chest rule recomputes the cash the rest of the program needs every year end.</t>
  </si>
  <si>
    <t xml:space="preserve">Checkpoint</t>
  </si>
  <si>
    <t xml:space="preserve">Engine value</t>
  </si>
  <si>
    <t xml:space="preserve">Meaning (where in the book)</t>
  </si>
  <si>
    <t xml:space="preserve">Best plan: value</t>
  </si>
  <si>
    <t xml:space="preserve">Worked Example 5.1, Step 3: 1,021.9 (OA 5.B.3: 1,021.93)</t>
  </si>
  <si>
    <t xml:space="preserve">Best plan: number of rounds</t>
  </si>
  <si>
    <t xml:space="preserve">Three rounds, in years 1 to 3</t>
  </si>
  <si>
    <t xml:space="preserve">Best plan: payouts, present value</t>
  </si>
  <si>
    <t xml:space="preserve">330.5 of payouts (OA: 330.45)</t>
  </si>
  <si>
    <t xml:space="preserve">Best plan: savings after year 6, today</t>
  </si>
  <si>
    <t xml:space="preserve">691.5 (Figure 5.1; OA: 691.48)</t>
  </si>
  <si>
    <t xml:space="preserve">Best plan: total paid out</t>
  </si>
  <si>
    <t xml:space="preserve">The same $455 million</t>
  </si>
  <si>
    <t xml:space="preserve">War chest at the end of year 1</t>
  </si>
  <si>
    <t xml:space="preserve">Step 3: $485 million</t>
  </si>
  <si>
    <t xml:space="preserve">Front-loading against paying at the end of year 6</t>
  </si>
  <si>
    <t xml:space="preserve">Step 3: 73.6 (OA: 73.62)</t>
  </si>
  <si>
    <t xml:space="preserve">CFO's rule, end condition waived</t>
  </si>
  <si>
    <t xml:space="preserve">Step 2: 836.4 (OA: 836.36)</t>
  </si>
  <si>
    <t xml:space="preserve">CFO's rule: rounds run</t>
  </si>
  <si>
    <t xml:space="preserve">One round</t>
  </si>
  <si>
    <t xml:space="preserve">CFO's rule falls short of the best plan</t>
  </si>
  <si>
    <t xml:space="preserve">Step 2: 185.6</t>
  </si>
  <si>
    <t xml:space="preserve">Decided year by year</t>
  </si>
  <si>
    <t xml:space="preserve">OA 5.B.3: no round, 270 in year 1, 245.45</t>
  </si>
  <si>
    <t xml:space="preserve">Price of cash, year 2</t>
  </si>
  <si>
    <t xml:space="preserve">Section 5.4: $0.91, as much as year 1</t>
  </si>
  <si>
    <t xml:space="preserve">Price of cash, year 3</t>
  </si>
  <si>
    <t xml:space="preserve">Section 5.4: $0.75</t>
  </si>
  <si>
    <t xml:space="preserve">Price of cash, year 2, by perturbation</t>
  </si>
  <si>
    <t xml:space="preserve">One more dollar in year 2</t>
  </si>
  <si>
    <t xml:space="preserve">Price of the third round's precondition</t>
  </si>
  <si>
    <t xml:space="preserve">OA 5.B.3: 0.158</t>
  </si>
  <si>
    <t xml:space="preserve">Cost of the end condition</t>
  </si>
  <si>
    <t xml:space="preserve">Step 4: $67.7 million (OA: 67.74)</t>
  </si>
  <si>
    <t xml:space="preserve">Price of a point of efficiency, year 1</t>
  </si>
  <si>
    <t xml:space="preserve">Section 5.4: $34.3 million</t>
  </si>
  <si>
    <t xml:space="preserve">Price of a point of efficiency, year 3</t>
  </si>
  <si>
    <t xml:space="preserve">Section 5.4: $82.6 million</t>
  </si>
  <si>
    <t xml:space="preserve">Price of a point, year 3, by perturbation</t>
  </si>
  <si>
    <t xml:space="preserve">0.01 point more</t>
  </si>
  <si>
    <t xml:space="preserve">Prices against perturbations, largest gap</t>
  </si>
  <si>
    <t xml:space="preserve">All twelve prices</t>
  </si>
  <si>
    <t xml:space="preserve">Round 3's savings valued at 10 percent</t>
  </si>
  <si>
    <t xml:space="preserve">Step 4: $175 million against $120 million</t>
  </si>
  <si>
    <t xml:space="preserve">Round 4's savings valued at 10 percent</t>
  </si>
  <si>
    <t xml:space="preserve">Step 4: $87.5 million: does not pay</t>
  </si>
  <si>
    <t xml:space="preserve">No terminal value: own value</t>
  </si>
  <si>
    <t xml:space="preserve">OA 5.B.3: 384.17</t>
  </si>
  <si>
    <t xml:space="preserve">No terminal value: with the savings forever</t>
  </si>
  <si>
    <t xml:space="preserve">Step 5: 976.9 (OA: 976.87)</t>
  </si>
  <si>
    <t xml:space="preserve">No terminal value: the loss</t>
  </si>
  <si>
    <t xml:space="preserve">Step 5: 45.1 less</t>
  </si>
  <si>
    <t xml:space="preserve">Savings over the twenty-year life</t>
  </si>
  <si>
    <t xml:space="preserve">OA 5.B.3: 919.15</t>
  </si>
  <si>
    <t xml:space="preserve">Undiscounted with ten years of credit</t>
  </si>
  <si>
    <t xml:space="preserve">OA 5.B.3: 1,680.00 (Worked Example 3.1)</t>
  </si>
  <si>
    <t xml:space="preserve">Value at 5 percent</t>
  </si>
  <si>
    <t xml:space="preserve">OA 5.B.3: 2,261.14, four rounds</t>
  </si>
  <si>
    <t xml:space="preserve">Value at 3 percent</t>
  </si>
  <si>
    <t xml:space="preserve">OA 5.B.3: 4,011.01</t>
  </si>
  <si>
    <t xml:space="preserve">Rounds at 30 percent</t>
  </si>
  <si>
    <t xml:space="preserve">Switch rates: best n and n - 1 round plans tie</t>
  </si>
  <si>
    <t xml:space="preserve">Figure 5.2(b): all five</t>
  </si>
  <si>
    <t xml:space="preserve">Fourth round's yield = its switch rate</t>
  </si>
  <si>
    <t xml:space="preserve">Step 5: 8.75/120, 7.3 percent</t>
  </si>
  <si>
    <t xml:space="preserve">Third round: best three- and two-round plans tie</t>
  </si>
  <si>
    <t xml:space="preserve">Step 5: the third round pays only below about 14.5 percent</t>
  </si>
  <si>
    <t xml:space="preserve">At the switch rates no plan beats the tied pair</t>
  </si>
  <si>
    <t xml:space="preserve">All 64 schedules</t>
  </si>
  <si>
    <t xml:space="preserve">Window for a third round, no terminal value</t>
  </si>
  <si>
    <t xml:space="preserve">Section 5.5: fifteen years</t>
  </si>
  <si>
    <t xml:space="preserve">Window for a third round, savings forever</t>
  </si>
  <si>
    <t xml:space="preserve">Section 5.5: three years or more</t>
  </si>
  <si>
    <t xml:space="preserve">Six-year window, no terminal value: rounds</t>
  </si>
  <si>
    <t xml:space="preserve">Two rounds</t>
  </si>
  <si>
    <t xml:space="preserve">Present-biased board (b = 0.9): value</t>
  </si>
  <si>
    <t xml:space="preserve">Table 5.3: 1,007.6 (OA: 1,007.55)</t>
  </si>
  <si>
    <t xml:space="preserve">Present-biased board: loss</t>
  </si>
  <si>
    <t xml:space="preserve">Section 5.6: $14.4 million</t>
  </si>
  <si>
    <t xml:space="preserve">Present-biased board: rounds in year 6</t>
  </si>
  <si>
    <t xml:space="preserve">Rounds in years 1, 2 and 6</t>
  </si>
  <si>
    <t xml:space="preserve">A point short: Step 3's schedule, cash end of year 2</t>
  </si>
  <si>
    <t xml:space="preserve">Step 6: $445 million</t>
  </si>
  <si>
    <t xml:space="preserve">A point short: Step 3's schedule, cash end of year 5</t>
  </si>
  <si>
    <t xml:space="preserve">OA 5.B.3: 347.5, the floor breached</t>
  </si>
  <si>
    <t xml:space="preserve">A point short: Step 3's schedule, rounds blocked</t>
  </si>
  <si>
    <t xml:space="preserve">The third round cannot start</t>
  </si>
  <si>
    <t xml:space="preserve">A point short: war-chest rule</t>
  </si>
  <si>
    <t xml:space="preserve">Step 6: 853.7 (OA: 853.73)</t>
  </si>
  <si>
    <t xml:space="preserve">A point short: best plan with the shortfall known</t>
  </si>
  <si>
    <t xml:space="preserve">Equal to the rule</t>
  </si>
  <si>
    <t xml:space="preserve">A point short: CFO's rule</t>
  </si>
  <si>
    <t xml:space="preserve">OA 5.B.3: 736.36</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</si>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</sst>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2">
    <numFmt numFmtId="164" formatCode="General"/>
    <numFmt numFmtId="165" formatCode="0.00%"/>
    <numFmt numFmtId="166" formatCode="0.000000"/>
    <numFmt numFmtId="167" formatCode="0.00"/>
    <numFmt numFmtId="168" formatCode="0"/>
    <numFmt numFmtId="169" formatCode="0.0000"/>
    <numFmt numFmtId="170" formatCode="#,##0.00"/>
    <numFmt numFmtId="171" formatCode="0.0000%"/>
    <numFmt numFmtId="172" formatCode="#,##0.0000"/>
    <numFmt numFmtId="173" formatCode="0.0E+00"/>
    <numFmt numFmtId="174" formatCode="0.000%"/>
    <numFmt numFmtId="175" formatCode="#,##0.0000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1" shrinkToFit="false"/>
      <protection locked="true" hidden="false"/>
    </xf>
    <xf numFmtId="170" fontId="5" fillId="0" borderId="0" xfId="0" applyFont="true" applyBorder="false" applyAlignment="true" applyProtection="false">
      <alignment horizontal="right"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3"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15" hidden="false" customHeight="false" outlineLevel="0" collapsed="false">
      <c r="B5" s="3" t="s">
        <v>3</v>
      </c>
    </row>
    <row r="6" customFormat="false" ht="15" hidden="false" customHeight="false" outlineLevel="0" collapsed="false">
      <c r="B6" s="3" t="s">
        <v>4</v>
      </c>
    </row>
    <row r="7" customFormat="false" ht="15" hidden="false" customHeight="false" outlineLevel="0" collapsed="false">
      <c r="B7" s="3" t="s">
        <v>5</v>
      </c>
    </row>
    <row r="8" customFormat="false" ht="23.85" hidden="false" customHeight="false" outlineLevel="0" collapsed="false">
      <c r="B8" s="3" t="s">
        <v>6</v>
      </c>
    </row>
    <row r="9" customFormat="false" ht="23.85" hidden="false" customHeight="false" outlineLevel="0" collapsed="false">
      <c r="B9" s="3" t="s">
        <v>7</v>
      </c>
    </row>
    <row r="10" customFormat="false" ht="23.85" hidden="false" customHeight="false" outlineLevel="0" collapsed="false">
      <c r="B10" s="3" t="s">
        <v>8</v>
      </c>
    </row>
    <row r="11" customFormat="false" ht="15" hidden="false" customHeight="false" outlineLevel="0" collapsed="false">
      <c r="B11" s="3" t="s">
        <v>9</v>
      </c>
    </row>
    <row r="13" customFormat="false" ht="15" hidden="false" customHeight="false" outlineLevel="0" collapsed="false">
      <c r="B13" s="4" t="s">
        <v>10</v>
      </c>
    </row>
    <row r="14" customFormat="false" ht="15" hidden="false" customHeight="false" outlineLevel="0" collapsed="false">
      <c r="B14" s="5" t="s">
        <v>11</v>
      </c>
    </row>
    <row r="15" customFormat="false" ht="15" hidden="false" customHeight="false" outlineLevel="0" collapsed="false">
      <c r="B15" s="2" t="s">
        <v>12</v>
      </c>
    </row>
    <row r="16" customFormat="false" ht="15" hidden="false" customHeight="false" outlineLevel="0" collapsed="false">
      <c r="B16" s="6" t="s">
        <v>13</v>
      </c>
    </row>
    <row r="17" customFormat="false" ht="15" hidden="false" customHeight="false" outlineLevel="0" collapsed="false">
      <c r="B17" s="7"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62"/>
  </cols>
  <sheetData>
    <row r="1" customFormat="false" ht="15" hidden="false" customHeight="false" outlineLevel="0" collapsed="false">
      <c r="A1" s="1" t="s">
        <v>15</v>
      </c>
    </row>
    <row r="3" customFormat="false" ht="15" hidden="false" customHeight="false" outlineLevel="0" collapsed="false">
      <c r="A3" s="8" t="s">
        <v>16</v>
      </c>
      <c r="B3" s="8" t="s">
        <v>17</v>
      </c>
      <c r="C3" s="8" t="s">
        <v>18</v>
      </c>
    </row>
    <row r="4" customFormat="false" ht="15" hidden="false" customHeight="false" outlineLevel="0" collapsed="false">
      <c r="A4" s="2" t="s">
        <v>19</v>
      </c>
      <c r="B4" s="9" t="n">
        <v>0.1</v>
      </c>
      <c r="C4" s="10" t="s">
        <v>20</v>
      </c>
    </row>
    <row r="5" customFormat="false" ht="15" hidden="false" customHeight="false" outlineLevel="0" collapsed="false">
      <c r="A5" s="2" t="s">
        <v>21</v>
      </c>
      <c r="B5" s="11" t="n">
        <f aca="false">1/(1+B4)</f>
        <v>0.909090909090909</v>
      </c>
      <c r="C5" s="10"/>
    </row>
    <row r="6" customFormat="false" ht="15" hidden="false" customHeight="false" outlineLevel="0" collapsed="false">
      <c r="A6" s="2" t="s">
        <v>22</v>
      </c>
      <c r="B6" s="12" t="n">
        <v>120</v>
      </c>
      <c r="C6" s="10" t="s">
        <v>23</v>
      </c>
    </row>
    <row r="7" customFormat="false" ht="15" hidden="false" customHeight="false" outlineLevel="0" collapsed="false">
      <c r="A7" s="2" t="s">
        <v>24</v>
      </c>
      <c r="B7" s="12" t="n">
        <v>85</v>
      </c>
      <c r="C7" s="10" t="s">
        <v>25</v>
      </c>
    </row>
    <row r="8" customFormat="false" ht="15" hidden="false" customHeight="false" outlineLevel="0" collapsed="false">
      <c r="A8" s="2" t="s">
        <v>26</v>
      </c>
      <c r="B8" s="12" t="n">
        <v>0.5</v>
      </c>
      <c r="C8" s="10"/>
    </row>
    <row r="9" customFormat="false" ht="15" hidden="false" customHeight="false" outlineLevel="0" collapsed="false">
      <c r="A9" s="2" t="s">
        <v>27</v>
      </c>
      <c r="B9" s="12" t="n">
        <v>10</v>
      </c>
      <c r="C9" s="10" t="s">
        <v>28</v>
      </c>
    </row>
    <row r="10" customFormat="false" ht="15" hidden="false" customHeight="false" outlineLevel="0" collapsed="false">
      <c r="A10" s="2" t="s">
        <v>29</v>
      </c>
      <c r="B10" s="12" t="n">
        <v>71</v>
      </c>
      <c r="C10" s="10"/>
    </row>
    <row r="11" customFormat="false" ht="15" hidden="false" customHeight="false" outlineLevel="0" collapsed="false">
      <c r="A11" s="2" t="s">
        <v>30</v>
      </c>
      <c r="B11" s="12" t="n">
        <v>620</v>
      </c>
      <c r="C11" s="10"/>
    </row>
    <row r="12" customFormat="false" ht="15" hidden="false" customHeight="false" outlineLevel="0" collapsed="false">
      <c r="A12" s="2" t="s">
        <v>31</v>
      </c>
      <c r="B12" s="12" t="n">
        <v>350</v>
      </c>
      <c r="C12" s="10" t="s">
        <v>32</v>
      </c>
    </row>
    <row r="13" customFormat="false" ht="15" hidden="false" customHeight="false" outlineLevel="0" collapsed="false">
      <c r="A13" s="2" t="s">
        <v>33</v>
      </c>
      <c r="B13" s="12" t="n">
        <v>470</v>
      </c>
      <c r="C13" s="10" t="s">
        <v>34</v>
      </c>
    </row>
    <row r="14" customFormat="false" ht="15" hidden="false" customHeight="false" outlineLevel="0" collapsed="false">
      <c r="A14" s="2" t="s">
        <v>35</v>
      </c>
      <c r="B14" s="12" t="n">
        <v>470</v>
      </c>
      <c r="C14" s="10" t="s">
        <v>36</v>
      </c>
    </row>
    <row r="15" customFormat="false" ht="15" hidden="false" customHeight="false" outlineLevel="0" collapsed="false">
      <c r="A15" s="2" t="s">
        <v>37</v>
      </c>
      <c r="B15" s="13" t="n">
        <v>20</v>
      </c>
      <c r="C15" s="10" t="s">
        <v>38</v>
      </c>
    </row>
    <row r="16" customFormat="false" ht="15" hidden="false" customHeight="false" outlineLevel="0" collapsed="false">
      <c r="A16" s="2" t="s">
        <v>39</v>
      </c>
      <c r="B16" s="13" t="n">
        <v>10</v>
      </c>
      <c r="C16" s="10" t="s">
        <v>40</v>
      </c>
    </row>
    <row r="17" customFormat="false" ht="15" hidden="false" customHeight="false" outlineLevel="0" collapsed="false">
      <c r="A17" s="2" t="s">
        <v>41</v>
      </c>
      <c r="B17" s="12" t="n">
        <v>1</v>
      </c>
      <c r="C17" s="10" t="s">
        <v>42</v>
      </c>
    </row>
    <row r="18" customFormat="false" ht="15" hidden="false" customHeight="false" outlineLevel="0" collapsed="false">
      <c r="A18" s="2" t="s">
        <v>43</v>
      </c>
      <c r="B18" s="12" t="n">
        <v>0.9</v>
      </c>
      <c r="C18" s="10" t="s">
        <v>44</v>
      </c>
    </row>
    <row r="20" customFormat="false" ht="15" hidden="false" customHeight="false" outlineLevel="0" collapsed="false">
      <c r="A20" s="10" t="s">
        <v>45</v>
      </c>
    </row>
    <row r="21" customFormat="false" ht="15" hidden="false" customHeight="false" outlineLevel="0" collapsed="false">
      <c r="A21" s="10"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2"/>
    <col collapsed="false" customWidth="true" hidden="false" outlineLevel="0" max="4" min="4" style="0" width="9"/>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2"/>
    <col collapsed="false" customWidth="true" hidden="false" outlineLevel="0" max="9" min="9" style="0" width="10"/>
    <col collapsed="false" customWidth="true" hidden="false" outlineLevel="0" max="10" min="10" style="0" width="11"/>
    <col collapsed="false" customWidth="true" hidden="false" outlineLevel="0" max="11" min="11" style="0" width="44"/>
  </cols>
  <sheetData>
    <row r="1" customFormat="false" ht="15" hidden="false" customHeight="false" outlineLevel="0" collapsed="false">
      <c r="A1" s="1" t="s">
        <v>47</v>
      </c>
    </row>
    <row r="2" customFormat="false" ht="15" hidden="false" customHeight="false" outlineLevel="0" collapsed="false">
      <c r="A2" s="10" t="s">
        <v>48</v>
      </c>
    </row>
    <row r="4" customFormat="false" ht="15" hidden="false" customHeight="false" outlineLevel="0" collapsed="false">
      <c r="A4" s="4" t="s">
        <v>49</v>
      </c>
    </row>
    <row r="5" customFormat="false" ht="23.85" hidden="false" customHeight="false" outlineLevel="0" collapsed="false">
      <c r="A5" s="8" t="s">
        <v>50</v>
      </c>
      <c r="B5" s="8" t="s">
        <v>51</v>
      </c>
      <c r="C5" s="8" t="s">
        <v>52</v>
      </c>
      <c r="D5" s="8" t="s">
        <v>53</v>
      </c>
      <c r="E5" s="8" t="s">
        <v>54</v>
      </c>
      <c r="F5" s="8" t="s">
        <v>55</v>
      </c>
      <c r="G5" s="8" t="s">
        <v>56</v>
      </c>
      <c r="H5" s="8" t="s">
        <v>57</v>
      </c>
      <c r="I5" s="8" t="s">
        <v>58</v>
      </c>
      <c r="J5" s="8" t="s">
        <v>59</v>
      </c>
      <c r="K5" s="8" t="s">
        <v>60</v>
      </c>
    </row>
    <row r="6" customFormat="false" ht="15" hidden="false" customHeight="false" outlineLevel="0" collapsed="false">
      <c r="A6" s="2" t="n">
        <v>1</v>
      </c>
      <c r="B6" s="13" t="n">
        <v>1</v>
      </c>
      <c r="C6" s="14" t="n">
        <f aca="false">Q_zero</f>
        <v>620</v>
      </c>
      <c r="D6" s="15" t="n">
        <f aca="false">IF(AND(B6=1,C6&gt;=Pre_q-0.000000001),1,0)</f>
        <v>1</v>
      </c>
      <c r="E6" s="14" t="n">
        <f aca="false">E_zero+D6*(Half_gap*(Ceiling_e-E_zero)-0)</f>
        <v>78</v>
      </c>
      <c r="F6" s="14" t="n">
        <f aca="false">Val_pt*(E6-E_zero)</f>
        <v>70</v>
      </c>
      <c r="G6" s="14" t="n">
        <f aca="false">MAX(0,C6-Cost_round*D6+F6-Floor_q)</f>
        <v>220</v>
      </c>
      <c r="H6" s="14" t="n">
        <f aca="false">C6-Cost_round*D6+F6-G6</f>
        <v>350</v>
      </c>
      <c r="I6" s="16" t="n">
        <f aca="false">Beta_y^A6</f>
        <v>0.909090909090909</v>
      </c>
      <c r="J6" s="14" t="n">
        <f aca="false">G6*I6</f>
        <v>200</v>
      </c>
      <c r="K6" s="2" t="str">
        <f aca="false">IF(AND(B6=1,D6=0),"round cannot start; ","")&amp;IF(H6&lt;Floor_q-0.000000001,"floor breached; ","")</f>
        <v/>
      </c>
    </row>
    <row r="7" customFormat="false" ht="15" hidden="false" customHeight="false" outlineLevel="0" collapsed="false">
      <c r="A7" s="2" t="n">
        <v>2</v>
      </c>
      <c r="B7" s="13" t="n">
        <v>1</v>
      </c>
      <c r="C7" s="14" t="n">
        <f aca="false">H6</f>
        <v>350</v>
      </c>
      <c r="D7" s="15" t="n">
        <f aca="false">IF(AND(B7=1,C7&gt;=Pre_q-0.000000001),1,0)</f>
        <v>0</v>
      </c>
      <c r="E7" s="14" t="n">
        <f aca="false">E6+D7*(Half_gap*(Ceiling_e-E6)-0)</f>
        <v>78</v>
      </c>
      <c r="F7" s="14" t="n">
        <f aca="false">Val_pt*(E7-E_zero)</f>
        <v>70</v>
      </c>
      <c r="G7" s="14" t="n">
        <f aca="false">MAX(0,C7-Cost_round*D7+F7-Floor_q)</f>
        <v>70</v>
      </c>
      <c r="H7" s="14" t="n">
        <f aca="false">C7-Cost_round*D7+F7-G7</f>
        <v>350</v>
      </c>
      <c r="I7" s="16" t="n">
        <f aca="false">Beta_y^A7</f>
        <v>0.826446280991735</v>
      </c>
      <c r="J7" s="14" t="n">
        <f aca="false">G7*I7</f>
        <v>57.8512396694215</v>
      </c>
      <c r="K7" s="2" t="str">
        <f aca="false">IF(AND(B7=1,D7=0),"round cannot start; ","")&amp;IF(H7&lt;Floor_q-0.000000001,"floor breached; ","")</f>
        <v>round cannot start; </v>
      </c>
    </row>
    <row r="8" customFormat="false" ht="15" hidden="false" customHeight="false" outlineLevel="0" collapsed="false">
      <c r="A8" s="2" t="n">
        <v>3</v>
      </c>
      <c r="B8" s="13" t="n">
        <v>1</v>
      </c>
      <c r="C8" s="14" t="n">
        <f aca="false">H7</f>
        <v>350</v>
      </c>
      <c r="D8" s="15" t="n">
        <f aca="false">IF(AND(B8=1,C8&gt;=Pre_q-0.000000001),1,0)</f>
        <v>0</v>
      </c>
      <c r="E8" s="14" t="n">
        <f aca="false">E7+D8*(Half_gap*(Ceiling_e-E7)-0)</f>
        <v>78</v>
      </c>
      <c r="F8" s="14" t="n">
        <f aca="false">Val_pt*(E8-E_zero)</f>
        <v>70</v>
      </c>
      <c r="G8" s="14" t="n">
        <f aca="false">MAX(0,C8-Cost_round*D8+F8-Floor_q)</f>
        <v>70</v>
      </c>
      <c r="H8" s="14" t="n">
        <f aca="false">C8-Cost_round*D8+F8-G8</f>
        <v>350</v>
      </c>
      <c r="I8" s="16" t="n">
        <f aca="false">Beta_y^A8</f>
        <v>0.751314800901578</v>
      </c>
      <c r="J8" s="14" t="n">
        <f aca="false">G8*I8</f>
        <v>52.5920360631104</v>
      </c>
      <c r="K8" s="2" t="str">
        <f aca="false">IF(AND(B8=1,D8=0),"round cannot start; ","")&amp;IF(H8&lt;Floor_q-0.000000001,"floor breached; ","")</f>
        <v>round cannot start; </v>
      </c>
    </row>
    <row r="9" customFormat="false" ht="15" hidden="false" customHeight="false" outlineLevel="0" collapsed="false">
      <c r="A9" s="2" t="n">
        <v>4</v>
      </c>
      <c r="B9" s="13" t="n">
        <v>0</v>
      </c>
      <c r="C9" s="14" t="n">
        <f aca="false">H8</f>
        <v>350</v>
      </c>
      <c r="D9" s="15" t="n">
        <f aca="false">IF(AND(B9=1,C9&gt;=Pre_q-0.000000001),1,0)</f>
        <v>0</v>
      </c>
      <c r="E9" s="14" t="n">
        <f aca="false">E8+D9*(Half_gap*(Ceiling_e-E8)-0)</f>
        <v>78</v>
      </c>
      <c r="F9" s="14" t="n">
        <f aca="false">Val_pt*(E9-E_zero)</f>
        <v>70</v>
      </c>
      <c r="G9" s="14" t="n">
        <f aca="false">MAX(0,C9-Cost_round*D9+F9-Floor_q)</f>
        <v>70</v>
      </c>
      <c r="H9" s="14" t="n">
        <f aca="false">C9-Cost_round*D9+F9-G9</f>
        <v>350</v>
      </c>
      <c r="I9" s="16" t="n">
        <f aca="false">Beta_y^A9</f>
        <v>0.683013455365071</v>
      </c>
      <c r="J9" s="14" t="n">
        <f aca="false">G9*I9</f>
        <v>47.8109418755549</v>
      </c>
      <c r="K9" s="2" t="str">
        <f aca="false">IF(AND(B9=1,D9=0),"round cannot start; ","")&amp;IF(H9&lt;Floor_q-0.000000001,"floor breached; ","")</f>
        <v/>
      </c>
    </row>
    <row r="10" customFormat="false" ht="15" hidden="false" customHeight="false" outlineLevel="0" collapsed="false">
      <c r="A10" s="2" t="n">
        <v>5</v>
      </c>
      <c r="B10" s="13" t="n">
        <v>0</v>
      </c>
      <c r="C10" s="14" t="n">
        <f aca="false">H9</f>
        <v>350</v>
      </c>
      <c r="D10" s="15" t="n">
        <f aca="false">IF(AND(B10=1,C10&gt;=Pre_q-0.000000001),1,0)</f>
        <v>0</v>
      </c>
      <c r="E10" s="14" t="n">
        <f aca="false">E9+D10*(Half_gap*(Ceiling_e-E9)-0)</f>
        <v>78</v>
      </c>
      <c r="F10" s="14" t="n">
        <f aca="false">Val_pt*(E10-E_zero)</f>
        <v>70</v>
      </c>
      <c r="G10" s="14" t="n">
        <f aca="false">MAX(0,C10-Cost_round*D10+F10-Floor_q)</f>
        <v>70</v>
      </c>
      <c r="H10" s="14" t="n">
        <f aca="false">C10-Cost_round*D10+F10-G10</f>
        <v>350</v>
      </c>
      <c r="I10" s="16" t="n">
        <f aca="false">Beta_y^A10</f>
        <v>0.620921323059155</v>
      </c>
      <c r="J10" s="14" t="n">
        <f aca="false">G10*I10</f>
        <v>43.4644926141409</v>
      </c>
      <c r="K10" s="2" t="str">
        <f aca="false">IF(AND(B10=1,D10=0),"round cannot start; ","")&amp;IF(H10&lt;Floor_q-0.000000001,"floor breached; ","")</f>
        <v/>
      </c>
    </row>
    <row r="11" customFormat="false" ht="15" hidden="false" customHeight="false" outlineLevel="0" collapsed="false">
      <c r="A11" s="2" t="n">
        <v>6</v>
      </c>
      <c r="B11" s="13" t="n">
        <v>0</v>
      </c>
      <c r="C11" s="14" t="n">
        <f aca="false">H10</f>
        <v>350</v>
      </c>
      <c r="D11" s="15" t="n">
        <f aca="false">IF(AND(B11=1,C11&gt;=Pre_q-0.000000001),1,0)</f>
        <v>0</v>
      </c>
      <c r="E11" s="14" t="n">
        <f aca="false">E10+D11*(Half_gap*(Ceiling_e-E10)-0)</f>
        <v>78</v>
      </c>
      <c r="F11" s="14" t="n">
        <f aca="false">Val_pt*(E11-E_zero)</f>
        <v>70</v>
      </c>
      <c r="G11" s="14" t="n">
        <f aca="false">MAX(0,C11-Cost_round*D11+F11-Floor_q)</f>
        <v>70</v>
      </c>
      <c r="H11" s="14" t="n">
        <f aca="false">C11-Cost_round*D11+F11-G11</f>
        <v>350</v>
      </c>
      <c r="I11" s="16" t="n">
        <f aca="false">Beta_y^A11</f>
        <v>0.564473930053777</v>
      </c>
      <c r="J11" s="14" t="n">
        <f aca="false">G11*I11</f>
        <v>39.5131751037644</v>
      </c>
      <c r="K11" s="2" t="str">
        <f aca="false">IF(AND(B11=1,D11=0),"round cannot start; ","")&amp;IF(H11&lt;Floor_q-0.000000001,"floor breached; ","")&amp;IF(H11&lt;End_q-0.000000001,"end condition missed","")</f>
        <v>end condition missed</v>
      </c>
    </row>
    <row r="13" customFormat="false" ht="15" hidden="false" customHeight="false" outlineLevel="0" collapsed="false">
      <c r="A13" s="2" t="s">
        <v>61</v>
      </c>
      <c r="H13" s="15" t="n">
        <f aca="false">SUM(D6:D11)</f>
        <v>1</v>
      </c>
    </row>
    <row r="14" customFormat="false" ht="15" hidden="false" customHeight="false" outlineLevel="0" collapsed="false">
      <c r="A14" s="2" t="s">
        <v>62</v>
      </c>
      <c r="H14" s="15" t="n">
        <f aca="false">SUMPRODUCT((B6:B11=1)*(D6:D11=0))</f>
        <v>2</v>
      </c>
    </row>
    <row r="15" customFormat="false" ht="15" hidden="false" customHeight="false" outlineLevel="0" collapsed="false">
      <c r="A15" s="2" t="s">
        <v>63</v>
      </c>
      <c r="H15" s="15" t="n">
        <f aca="false">COUNTIF(H6:H11,"&lt;"&amp;(Floor_q-0.000000001))</f>
        <v>0</v>
      </c>
    </row>
    <row r="16" customFormat="false" ht="15" hidden="false" customHeight="false" outlineLevel="0" collapsed="false">
      <c r="A16" s="2" t="s">
        <v>64</v>
      </c>
      <c r="H16" s="14" t="n">
        <f aca="false">H11</f>
        <v>350</v>
      </c>
    </row>
    <row r="17" customFormat="false" ht="15" hidden="false" customHeight="false" outlineLevel="0" collapsed="false">
      <c r="A17" s="2" t="s">
        <v>65</v>
      </c>
      <c r="H17" s="2" t="str">
        <f aca="false">IF(H11&gt;=End_q-0.000000001,"kept","missed")</f>
        <v>missed</v>
      </c>
    </row>
    <row r="18" customFormat="false" ht="15" hidden="false" customHeight="false" outlineLevel="0" collapsed="false">
      <c r="A18" s="2" t="s">
        <v>66</v>
      </c>
      <c r="H18" s="17" t="n">
        <f aca="false">SUM(J6:J11)</f>
        <v>441.231885325992</v>
      </c>
    </row>
    <row r="19" customFormat="false" ht="15" hidden="false" customHeight="false" outlineLevel="0" collapsed="false">
      <c r="A19" s="2" t="s">
        <v>67</v>
      </c>
      <c r="H19" s="17" t="n">
        <f aca="false">I11*F11/Hurdle_r</f>
        <v>395.131751037644</v>
      </c>
    </row>
    <row r="20" customFormat="false" ht="15" hidden="false" customHeight="false" outlineLevel="0" collapsed="false">
      <c r="A20" s="2" t="s">
        <v>68</v>
      </c>
      <c r="H20" s="17" t="n">
        <f aca="false">IF(H15&gt;0,"--",H18+H19)</f>
        <v>836.363636363636</v>
      </c>
    </row>
    <row r="23" customFormat="false" ht="15" hidden="false" customHeight="false" outlineLevel="0" collapsed="false">
      <c r="A23" s="4" t="s">
        <v>69</v>
      </c>
    </row>
    <row r="24" customFormat="false" ht="23.85" hidden="false" customHeight="false" outlineLevel="0" collapsed="false">
      <c r="A24" s="8" t="s">
        <v>50</v>
      </c>
      <c r="B24" s="8" t="s">
        <v>51</v>
      </c>
      <c r="C24" s="8" t="s">
        <v>52</v>
      </c>
      <c r="D24" s="8" t="s">
        <v>53</v>
      </c>
      <c r="E24" s="8" t="s">
        <v>54</v>
      </c>
      <c r="F24" s="8" t="s">
        <v>55</v>
      </c>
      <c r="G24" s="8" t="s">
        <v>56</v>
      </c>
      <c r="H24" s="8" t="s">
        <v>57</v>
      </c>
      <c r="I24" s="8" t="s">
        <v>58</v>
      </c>
      <c r="J24" s="8" t="s">
        <v>59</v>
      </c>
      <c r="K24" s="8" t="s">
        <v>60</v>
      </c>
    </row>
    <row r="25" customFormat="false" ht="15" hidden="false" customHeight="false" outlineLevel="0" collapsed="false">
      <c r="A25" s="2" t="n">
        <v>1</v>
      </c>
      <c r="B25" s="13" t="n">
        <v>0</v>
      </c>
      <c r="C25" s="14" t="n">
        <f aca="false">Q_zero</f>
        <v>620</v>
      </c>
      <c r="D25" s="15" t="n">
        <f aca="false">IF(AND(B25=1,C25&gt;=Pre_q-0.000000001),1,0)</f>
        <v>0</v>
      </c>
      <c r="E25" s="14" t="n">
        <f aca="false">E_zero+D25*(Half_gap*(Ceiling_e-E_zero)-0)</f>
        <v>71</v>
      </c>
      <c r="F25" s="14" t="n">
        <f aca="false">Val_pt*(E25-E_zero)</f>
        <v>0</v>
      </c>
      <c r="G25" s="14" t="n">
        <f aca="false">MAX(0,C25-Cost_round*D25+F25-Floor_q)</f>
        <v>270</v>
      </c>
      <c r="H25" s="14" t="n">
        <f aca="false">C25-Cost_round*D25+F25-G25</f>
        <v>350</v>
      </c>
      <c r="I25" s="16" t="n">
        <f aca="false">Beta_y^A25</f>
        <v>0.909090909090909</v>
      </c>
      <c r="J25" s="14" t="n">
        <f aca="false">G25*I25</f>
        <v>245.454545454545</v>
      </c>
      <c r="K25" s="2" t="str">
        <f aca="false">IF(AND(B25=1,D25=0),"round cannot start; ","")&amp;IF(H25&lt;Floor_q-0.000000001,"floor breached; ","")</f>
        <v/>
      </c>
    </row>
    <row r="26" customFormat="false" ht="15" hidden="false" customHeight="false" outlineLevel="0" collapsed="false">
      <c r="A26" s="2" t="n">
        <v>2</v>
      </c>
      <c r="B26" s="13" t="n">
        <v>0</v>
      </c>
      <c r="C26" s="14" t="n">
        <f aca="false">H25</f>
        <v>350</v>
      </c>
      <c r="D26" s="15" t="n">
        <f aca="false">IF(AND(B26=1,C26&gt;=Pre_q-0.000000001),1,0)</f>
        <v>0</v>
      </c>
      <c r="E26" s="14" t="n">
        <f aca="false">E25+D26*(Half_gap*(Ceiling_e-E25)-0)</f>
        <v>71</v>
      </c>
      <c r="F26" s="14" t="n">
        <f aca="false">Val_pt*(E26-E_zero)</f>
        <v>0</v>
      </c>
      <c r="G26" s="14" t="n">
        <f aca="false">MAX(0,C26-Cost_round*D26+F26-Floor_q)</f>
        <v>0</v>
      </c>
      <c r="H26" s="14" t="n">
        <f aca="false">C26-Cost_round*D26+F26-G26</f>
        <v>350</v>
      </c>
      <c r="I26" s="16" t="n">
        <f aca="false">Beta_y^A26</f>
        <v>0.826446280991735</v>
      </c>
      <c r="J26" s="14" t="n">
        <f aca="false">G26*I26</f>
        <v>0</v>
      </c>
      <c r="K26" s="2" t="str">
        <f aca="false">IF(AND(B26=1,D26=0),"round cannot start; ","")&amp;IF(H26&lt;Floor_q-0.000000001,"floor breached; ","")</f>
        <v/>
      </c>
    </row>
    <row r="27" customFormat="false" ht="15" hidden="false" customHeight="false" outlineLevel="0" collapsed="false">
      <c r="A27" s="2" t="n">
        <v>3</v>
      </c>
      <c r="B27" s="13" t="n">
        <v>0</v>
      </c>
      <c r="C27" s="14" t="n">
        <f aca="false">H26</f>
        <v>350</v>
      </c>
      <c r="D27" s="15" t="n">
        <f aca="false">IF(AND(B27=1,C27&gt;=Pre_q-0.000000001),1,0)</f>
        <v>0</v>
      </c>
      <c r="E27" s="14" t="n">
        <f aca="false">E26+D27*(Half_gap*(Ceiling_e-E26)-0)</f>
        <v>71</v>
      </c>
      <c r="F27" s="14" t="n">
        <f aca="false">Val_pt*(E27-E_zero)</f>
        <v>0</v>
      </c>
      <c r="G27" s="14" t="n">
        <f aca="false">MAX(0,C27-Cost_round*D27+F27-Floor_q)</f>
        <v>0</v>
      </c>
      <c r="H27" s="14" t="n">
        <f aca="false">C27-Cost_round*D27+F27-G27</f>
        <v>350</v>
      </c>
      <c r="I27" s="16" t="n">
        <f aca="false">Beta_y^A27</f>
        <v>0.751314800901578</v>
      </c>
      <c r="J27" s="14" t="n">
        <f aca="false">G27*I27</f>
        <v>0</v>
      </c>
      <c r="K27" s="2" t="str">
        <f aca="false">IF(AND(B27=1,D27=0),"round cannot start; ","")&amp;IF(H27&lt;Floor_q-0.000000001,"floor breached; ","")</f>
        <v/>
      </c>
    </row>
    <row r="28" customFormat="false" ht="15" hidden="false" customHeight="false" outlineLevel="0" collapsed="false">
      <c r="A28" s="2" t="n">
        <v>4</v>
      </c>
      <c r="B28" s="13" t="n">
        <v>0</v>
      </c>
      <c r="C28" s="14" t="n">
        <f aca="false">H27</f>
        <v>350</v>
      </c>
      <c r="D28" s="15" t="n">
        <f aca="false">IF(AND(B28=1,C28&gt;=Pre_q-0.000000001),1,0)</f>
        <v>0</v>
      </c>
      <c r="E28" s="14" t="n">
        <f aca="false">E27+D28*(Half_gap*(Ceiling_e-E27)-0)</f>
        <v>71</v>
      </c>
      <c r="F28" s="14" t="n">
        <f aca="false">Val_pt*(E28-E_zero)</f>
        <v>0</v>
      </c>
      <c r="G28" s="14" t="n">
        <f aca="false">MAX(0,C28-Cost_round*D28+F28-Floor_q)</f>
        <v>0</v>
      </c>
      <c r="H28" s="14" t="n">
        <f aca="false">C28-Cost_round*D28+F28-G28</f>
        <v>350</v>
      </c>
      <c r="I28" s="16" t="n">
        <f aca="false">Beta_y^A28</f>
        <v>0.683013455365071</v>
      </c>
      <c r="J28" s="14" t="n">
        <f aca="false">G28*I28</f>
        <v>0</v>
      </c>
      <c r="K28" s="2" t="str">
        <f aca="false">IF(AND(B28=1,D28=0),"round cannot start; ","")&amp;IF(H28&lt;Floor_q-0.000000001,"floor breached; ","")</f>
        <v/>
      </c>
    </row>
    <row r="29" customFormat="false" ht="15" hidden="false" customHeight="false" outlineLevel="0" collapsed="false">
      <c r="A29" s="2" t="n">
        <v>5</v>
      </c>
      <c r="B29" s="13" t="n">
        <v>0</v>
      </c>
      <c r="C29" s="14" t="n">
        <f aca="false">H28</f>
        <v>350</v>
      </c>
      <c r="D29" s="15" t="n">
        <f aca="false">IF(AND(B29=1,C29&gt;=Pre_q-0.000000001),1,0)</f>
        <v>0</v>
      </c>
      <c r="E29" s="14" t="n">
        <f aca="false">E28+D29*(Half_gap*(Ceiling_e-E28)-0)</f>
        <v>71</v>
      </c>
      <c r="F29" s="14" t="n">
        <f aca="false">Val_pt*(E29-E_zero)</f>
        <v>0</v>
      </c>
      <c r="G29" s="14" t="n">
        <f aca="false">MAX(0,C29-Cost_round*D29+F29-Floor_q)</f>
        <v>0</v>
      </c>
      <c r="H29" s="14" t="n">
        <f aca="false">C29-Cost_round*D29+F29-G29</f>
        <v>350</v>
      </c>
      <c r="I29" s="16" t="n">
        <f aca="false">Beta_y^A29</f>
        <v>0.620921323059155</v>
      </c>
      <c r="J29" s="14" t="n">
        <f aca="false">G29*I29</f>
        <v>0</v>
      </c>
      <c r="K29" s="2" t="str">
        <f aca="false">IF(AND(B29=1,D29=0),"round cannot start; ","")&amp;IF(H29&lt;Floor_q-0.000000001,"floor breached; ","")</f>
        <v/>
      </c>
    </row>
    <row r="30" customFormat="false" ht="15" hidden="false" customHeight="false" outlineLevel="0" collapsed="false">
      <c r="A30" s="2" t="n">
        <v>6</v>
      </c>
      <c r="B30" s="13" t="n">
        <v>0</v>
      </c>
      <c r="C30" s="14" t="n">
        <f aca="false">H29</f>
        <v>350</v>
      </c>
      <c r="D30" s="15" t="n">
        <f aca="false">IF(AND(B30=1,C30&gt;=Pre_q-0.000000001),1,0)</f>
        <v>0</v>
      </c>
      <c r="E30" s="14" t="n">
        <f aca="false">E29+D30*(Half_gap*(Ceiling_e-E29)-0)</f>
        <v>71</v>
      </c>
      <c r="F30" s="14" t="n">
        <f aca="false">Val_pt*(E30-E_zero)</f>
        <v>0</v>
      </c>
      <c r="G30" s="14" t="n">
        <f aca="false">MAX(0,C30-Cost_round*D30+F30-Floor_q)</f>
        <v>0</v>
      </c>
      <c r="H30" s="14" t="n">
        <f aca="false">C30-Cost_round*D30+F30-G30</f>
        <v>350</v>
      </c>
      <c r="I30" s="16" t="n">
        <f aca="false">Beta_y^A30</f>
        <v>0.564473930053777</v>
      </c>
      <c r="J30" s="14" t="n">
        <f aca="false">G30*I30</f>
        <v>0</v>
      </c>
      <c r="K30" s="2" t="str">
        <f aca="false">IF(AND(B30=1,D30=0),"round cannot start; ","")&amp;IF(H30&lt;Floor_q-0.000000001,"floor breached; ","")&amp;IF(H30&lt;End_q-0.000000001,"end condition missed","")</f>
        <v>end condition missed</v>
      </c>
    </row>
    <row r="32" customFormat="false" ht="15" hidden="false" customHeight="false" outlineLevel="0" collapsed="false">
      <c r="A32" s="2" t="s">
        <v>61</v>
      </c>
      <c r="H32" s="15" t="n">
        <f aca="false">SUM(D25:D30)</f>
        <v>0</v>
      </c>
    </row>
    <row r="33" customFormat="false" ht="15" hidden="false" customHeight="false" outlineLevel="0" collapsed="false">
      <c r="A33" s="2" t="s">
        <v>62</v>
      </c>
      <c r="H33" s="15" t="n">
        <f aca="false">SUMPRODUCT((B25:B30=1)*(D25:D30=0))</f>
        <v>0</v>
      </c>
    </row>
    <row r="34" customFormat="false" ht="15" hidden="false" customHeight="false" outlineLevel="0" collapsed="false">
      <c r="A34" s="2" t="s">
        <v>63</v>
      </c>
      <c r="H34" s="15" t="n">
        <f aca="false">COUNTIF(H25:H30,"&lt;"&amp;(Floor_q-0.000000001))</f>
        <v>0</v>
      </c>
    </row>
    <row r="35" customFormat="false" ht="15" hidden="false" customHeight="false" outlineLevel="0" collapsed="false">
      <c r="A35" s="2" t="s">
        <v>64</v>
      </c>
      <c r="H35" s="14" t="n">
        <f aca="false">H30</f>
        <v>350</v>
      </c>
    </row>
    <row r="36" customFormat="false" ht="15" hidden="false" customHeight="false" outlineLevel="0" collapsed="false">
      <c r="A36" s="2" t="s">
        <v>65</v>
      </c>
      <c r="H36" s="2" t="str">
        <f aca="false">IF(H30&gt;=End_q-0.000000001,"kept","missed")</f>
        <v>missed</v>
      </c>
    </row>
    <row r="37" customFormat="false" ht="15" hidden="false" customHeight="false" outlineLevel="0" collapsed="false">
      <c r="A37" s="2" t="s">
        <v>66</v>
      </c>
      <c r="H37" s="17" t="n">
        <f aca="false">SUM(J25:J30)</f>
        <v>245.454545454545</v>
      </c>
    </row>
    <row r="38" customFormat="false" ht="15" hidden="false" customHeight="false" outlineLevel="0" collapsed="false">
      <c r="A38" s="2" t="s">
        <v>67</v>
      </c>
      <c r="H38" s="17" t="n">
        <f aca="false">I30*F30/Hurdle_r</f>
        <v>0</v>
      </c>
    </row>
    <row r="39" customFormat="false" ht="15" hidden="false" customHeight="false" outlineLevel="0" collapsed="false">
      <c r="A39" s="2" t="s">
        <v>68</v>
      </c>
      <c r="H39" s="17" t="n">
        <f aca="false">IF(H34&gt;0,"--",H37+H38)</f>
        <v>245.454545454545</v>
      </c>
    </row>
    <row r="42" customFormat="false" ht="15" hidden="false" customHeight="false" outlineLevel="0" collapsed="false">
      <c r="A42" s="2" t="s">
        <v>70</v>
      </c>
      <c r="H42" s="14" t="n">
        <f aca="false">Val_pt*Half_gap*(Ceiling_e-E_zero)</f>
        <v>70</v>
      </c>
    </row>
    <row r="43" customFormat="false" ht="15" hidden="false" customHeight="false" outlineLevel="0" collapsed="false">
      <c r="A43" s="2" t="s">
        <v>71</v>
      </c>
      <c r="H43" s="18" t="n">
        <f aca="false">Cost_round</f>
        <v>120</v>
      </c>
    </row>
    <row r="45" customFormat="false" ht="15" hidden="false" customHeight="false" outlineLevel="0" collapsed="false">
      <c r="A45" s="10"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7"/>
    <col collapsed="false" customWidth="true" hidden="false" outlineLevel="0" max="9" min="4" style="0" width="6"/>
    <col collapsed="false" customWidth="true" hidden="false" outlineLevel="0" max="28" min="10" style="0" width="7"/>
    <col collapsed="false" customWidth="true" hidden="false" outlineLevel="0" max="29" min="29" style="0" width="11"/>
    <col collapsed="false" customWidth="true" hidden="false" outlineLevel="0" max="35" min="30" style="0" width="8"/>
    <col collapsed="false" customWidth="true" hidden="false" outlineLevel="0" max="36" min="36" style="0" width="9"/>
    <col collapsed="false" customWidth="true" hidden="false" outlineLevel="0" max="37" min="37" style="0" width="11"/>
    <col collapsed="false" customWidth="true" hidden="false" outlineLevel="0" max="54" min="38" style="0" width="12"/>
  </cols>
  <sheetData>
    <row r="1" customFormat="false" ht="15" hidden="false" customHeight="false" outlineLevel="0" collapsed="false">
      <c r="A1" s="1" t="s">
        <v>73</v>
      </c>
    </row>
    <row r="2" customFormat="false" ht="15" hidden="false" customHeight="false" outlineLevel="0" collapsed="false">
      <c r="A2" s="10" t="s">
        <v>74</v>
      </c>
    </row>
    <row r="3" customFormat="false" ht="15" hidden="false" customHeight="false" outlineLevel="0" collapsed="false">
      <c r="A3" s="10" t="s">
        <v>75</v>
      </c>
    </row>
    <row r="4" customFormat="false" ht="15" hidden="false" customHeight="false" outlineLevel="0" collapsed="false">
      <c r="A4" s="2" t="s">
        <v>76</v>
      </c>
      <c r="F4" s="12" t="n">
        <v>0</v>
      </c>
    </row>
    <row r="6" customFormat="false" ht="15" hidden="false" customHeight="false" outlineLevel="0" collapsed="false">
      <c r="AK6" s="2" t="s">
        <v>77</v>
      </c>
      <c r="AP6" s="9" t="n">
        <v>0.03</v>
      </c>
      <c r="AQ6" s="9" t="n">
        <v>0.05</v>
      </c>
      <c r="AR6" s="9" t="n">
        <v>0.08</v>
      </c>
      <c r="AS6" s="9" t="n">
        <v>0.1</v>
      </c>
      <c r="AT6" s="9" t="n">
        <v>0.12</v>
      </c>
      <c r="AU6" s="9" t="n">
        <v>0.15</v>
      </c>
      <c r="AV6" s="9" t="n">
        <v>0.2</v>
      </c>
      <c r="AW6" s="9" t="n">
        <v>0.3</v>
      </c>
      <c r="AX6" s="19" t="n">
        <v>0.0182291666665002</v>
      </c>
      <c r="AY6" s="19" t="n">
        <v>0.0364583333329825</v>
      </c>
      <c r="AZ6" s="19" t="n">
        <v>0.0729166666659162</v>
      </c>
      <c r="BA6" s="19" t="n">
        <v>0.145497224365527</v>
      </c>
      <c r="BB6" s="19" t="n">
        <v>0.298710780463392</v>
      </c>
    </row>
    <row r="7" customFormat="false" ht="46.25" hidden="false" customHeight="false" outlineLevel="0" collapsed="false">
      <c r="A7" s="8" t="s">
        <v>78</v>
      </c>
      <c r="B7" s="8" t="s">
        <v>79</v>
      </c>
      <c r="C7" s="8" t="s">
        <v>80</v>
      </c>
      <c r="D7" s="8" t="s">
        <v>81</v>
      </c>
      <c r="E7" s="8" t="s">
        <v>82</v>
      </c>
      <c r="F7" s="8" t="s">
        <v>83</v>
      </c>
      <c r="G7" s="8" t="s">
        <v>84</v>
      </c>
      <c r="H7" s="8" t="s">
        <v>85</v>
      </c>
      <c r="I7" s="8" t="s">
        <v>86</v>
      </c>
      <c r="J7" s="8" t="s">
        <v>87</v>
      </c>
      <c r="K7" s="8" t="s">
        <v>88</v>
      </c>
      <c r="L7" s="8" t="s">
        <v>89</v>
      </c>
      <c r="M7" s="8" t="s">
        <v>90</v>
      </c>
      <c r="N7" s="8" t="s">
        <v>91</v>
      </c>
      <c r="O7" s="8" t="s">
        <v>92</v>
      </c>
      <c r="P7" s="8" t="s">
        <v>93</v>
      </c>
      <c r="Q7" s="8" t="s">
        <v>94</v>
      </c>
      <c r="R7" s="8" t="s">
        <v>95</v>
      </c>
      <c r="S7" s="8" t="s">
        <v>96</v>
      </c>
      <c r="T7" s="8" t="s">
        <v>97</v>
      </c>
      <c r="U7" s="8" t="s">
        <v>98</v>
      </c>
      <c r="V7" s="8" t="s">
        <v>99</v>
      </c>
      <c r="W7" s="8" t="s">
        <v>100</v>
      </c>
      <c r="X7" s="8" t="s">
        <v>101</v>
      </c>
      <c r="Y7" s="8" t="s">
        <v>102</v>
      </c>
      <c r="Z7" s="8" t="s">
        <v>103</v>
      </c>
      <c r="AA7" s="8" t="s">
        <v>104</v>
      </c>
      <c r="AB7" s="8" t="s">
        <v>105</v>
      </c>
      <c r="AC7" s="8" t="s">
        <v>106</v>
      </c>
      <c r="AD7" s="8" t="s">
        <v>107</v>
      </c>
      <c r="AE7" s="8" t="s">
        <v>108</v>
      </c>
      <c r="AF7" s="8" t="s">
        <v>109</v>
      </c>
      <c r="AG7" s="8" t="s">
        <v>110</v>
      </c>
      <c r="AH7" s="8" t="s">
        <v>111</v>
      </c>
      <c r="AI7" s="8" t="s">
        <v>112</v>
      </c>
      <c r="AJ7" s="8" t="s">
        <v>113</v>
      </c>
      <c r="AK7" s="8" t="s">
        <v>114</v>
      </c>
      <c r="AL7" s="8" t="s">
        <v>115</v>
      </c>
      <c r="AM7" s="8" t="s">
        <v>116</v>
      </c>
      <c r="AN7" s="8" t="s">
        <v>117</v>
      </c>
      <c r="AO7" s="8" t="s">
        <v>118</v>
      </c>
      <c r="AP7" s="8" t="s">
        <v>119</v>
      </c>
      <c r="AQ7" s="8" t="s">
        <v>120</v>
      </c>
      <c r="AR7" s="8" t="s">
        <v>121</v>
      </c>
      <c r="AS7" s="8" t="s">
        <v>122</v>
      </c>
      <c r="AT7" s="8" t="s">
        <v>123</v>
      </c>
      <c r="AU7" s="8" t="s">
        <v>124</v>
      </c>
      <c r="AV7" s="8" t="s">
        <v>125</v>
      </c>
      <c r="AW7" s="8" t="s">
        <v>126</v>
      </c>
      <c r="AX7" s="8" t="s">
        <v>127</v>
      </c>
      <c r="AY7" s="8" t="s">
        <v>128</v>
      </c>
      <c r="AZ7" s="8" t="s">
        <v>129</v>
      </c>
      <c r="BA7" s="8" t="s">
        <v>130</v>
      </c>
      <c r="BB7" s="8" t="s">
        <v>131</v>
      </c>
    </row>
    <row r="8" customFormat="false" ht="15" hidden="false" customHeight="false" outlineLevel="0" collapsed="false">
      <c r="A8" s="2" t="n">
        <v>0</v>
      </c>
      <c r="B8" s="2" t="str">
        <f aca="false">D8&amp;E8&amp;F8&amp;G8&amp;H8&amp;I8</f>
        <v>000000</v>
      </c>
      <c r="C8" s="15" t="n">
        <f aca="false">SUM(D8:I8)</f>
        <v>0</v>
      </c>
      <c r="D8" s="15" t="n">
        <f aca="false">MOD(INT($A8/32),2)</f>
        <v>0</v>
      </c>
      <c r="E8" s="15" t="n">
        <f aca="false">MOD(INT($A8/16),2)</f>
        <v>0</v>
      </c>
      <c r="F8" s="15" t="n">
        <f aca="false">MOD(INT($A8/8),2)</f>
        <v>0</v>
      </c>
      <c r="G8" s="15" t="n">
        <f aca="false">MOD(INT($A8/4),2)</f>
        <v>0</v>
      </c>
      <c r="H8" s="15" t="n">
        <f aca="false">MOD(INT($A8/2),2)</f>
        <v>0</v>
      </c>
      <c r="I8" s="15" t="n">
        <f aca="false">MOD(INT($A8/1),2)</f>
        <v>0</v>
      </c>
      <c r="J8" s="14" t="n">
        <f aca="false">E_zero+D8*(Half_gap*(Ceiling_e-E_zero)-$F$4)</f>
        <v>71</v>
      </c>
      <c r="K8" s="14" t="n">
        <f aca="false">J8+E8*(Half_gap*(Ceiling_e-J8)-$F$4)</f>
        <v>71</v>
      </c>
      <c r="L8" s="14" t="n">
        <f aca="false">K8+F8*(Half_gap*(Ceiling_e-K8)-$F$4)</f>
        <v>71</v>
      </c>
      <c r="M8" s="14" t="n">
        <f aca="false">L8+G8*(Half_gap*(Ceiling_e-L8)-$F$4)</f>
        <v>71</v>
      </c>
      <c r="N8" s="14" t="n">
        <f aca="false">M8+H8*(Half_gap*(Ceiling_e-M8)-$F$4)</f>
        <v>71</v>
      </c>
      <c r="O8" s="14" t="n">
        <f aca="false">N8+I8*(Half_gap*(Ceiling_e-N8)-$F$4)</f>
        <v>71</v>
      </c>
      <c r="P8" s="14" t="n">
        <f aca="false">Val_pt*(J8-E_zero)</f>
        <v>0</v>
      </c>
      <c r="Q8" s="14" t="n">
        <f aca="false">Val_pt*(K8-E_zero)</f>
        <v>0</v>
      </c>
      <c r="R8" s="14" t="n">
        <f aca="false">Val_pt*(L8-E_zero)</f>
        <v>0</v>
      </c>
      <c r="S8" s="14" t="n">
        <f aca="false">Val_pt*(M8-E_zero)</f>
        <v>0</v>
      </c>
      <c r="T8" s="14" t="n">
        <f aca="false">Val_pt*(N8-E_zero)</f>
        <v>0</v>
      </c>
      <c r="U8" s="14" t="n">
        <f aca="false">Val_pt*(O8-E_zero)</f>
        <v>0</v>
      </c>
      <c r="V8" s="14" t="n">
        <f aca="false">MAX(W8+Cost_round*D8-P8,IF(D8=1,Pre_q,0))</f>
        <v>470</v>
      </c>
      <c r="W8" s="14" t="n">
        <f aca="false">MAX(X8+Cost_round*E8-Q8,IF(E8=1,Pre_q,0),Floor_q)</f>
        <v>470</v>
      </c>
      <c r="X8" s="14" t="n">
        <f aca="false">MAX(Y8+Cost_round*F8-R8,IF(F8=1,Pre_q,0),Floor_q)</f>
        <v>470</v>
      </c>
      <c r="Y8" s="14" t="n">
        <f aca="false">MAX(Z8+Cost_round*G8-S8,IF(G8=1,Pre_q,0),Floor_q)</f>
        <v>470</v>
      </c>
      <c r="Z8" s="14" t="n">
        <f aca="false">MAX(AA8+Cost_round*H8-T8,IF(H8=1,Pre_q,0),Floor_q)</f>
        <v>470</v>
      </c>
      <c r="AA8" s="14" t="n">
        <f aca="false">MAX(AB8+Cost_round*I8-U8,IF(I8=1,Pre_q,0),Floor_q)</f>
        <v>470</v>
      </c>
      <c r="AB8" s="14" t="n">
        <f aca="false">MAX(End_q,Floor_q)</f>
        <v>470</v>
      </c>
      <c r="AC8" s="15" t="n">
        <f aca="false">IF(Q_zero&gt;=V8-0.000000001,1,0)</f>
        <v>1</v>
      </c>
      <c r="AD8" s="14" t="n">
        <f aca="false">IF($AC8=1,Q_zero-Cost_round*D8+P8-W8,"")</f>
        <v>150</v>
      </c>
      <c r="AE8" s="14" t="n">
        <f aca="false">IF($AC8=1,W8-Cost_round*E8+Q8-X8,"")</f>
        <v>0</v>
      </c>
      <c r="AF8" s="14" t="n">
        <f aca="false">IF($AC8=1,X8-Cost_round*F8+R8-Y8,"")</f>
        <v>0</v>
      </c>
      <c r="AG8" s="14" t="n">
        <f aca="false">IF($AC8=1,Y8-Cost_round*G8+S8-Z8,"")</f>
        <v>0</v>
      </c>
      <c r="AH8" s="14" t="n">
        <f aca="false">IF($AC8=1,Z8-Cost_round*H8+T8-AA8,"")</f>
        <v>0</v>
      </c>
      <c r="AI8" s="14" t="n">
        <f aca="false">IF($AC8=1,AA8-Cost_round*I8+U8-AB8,"")</f>
        <v>0</v>
      </c>
      <c r="AJ8" s="14" t="n">
        <f aca="false">IF($AC8=1,SUM(AD8:AI8),"")</f>
        <v>150</v>
      </c>
      <c r="AK8" s="17" t="n">
        <f aca="false">IF($AC8=1,AD8*Beta_y^1+AE8*Beta_y^2+AF8*Beta_y^3+AG8*Beta_y^4+AH8*Beta_y^5+AI8*Beta_y^6,"")</f>
        <v>136.363636363636</v>
      </c>
      <c r="AL8" s="17" t="n">
        <f aca="false">IF($AC8=1,AK8+Beta_y^6*U8/Hurdle_r,"")</f>
        <v>136.363636363636</v>
      </c>
      <c r="AM8" s="17" t="n">
        <f aca="false">IF($AC8=1,AK8,"")</f>
        <v>136.363636363636</v>
      </c>
      <c r="AN8" s="17" t="n">
        <f aca="false">IF($AC8=1,AK8+Beta_y^6*U8*(1-(1+Hurdle_r)^(-Life_yrs))/Hurdle_r,"")</f>
        <v>136.363636363636</v>
      </c>
      <c r="AO8" s="17" t="n">
        <f aca="false">IF($AC8=1,AJ8+Credit_yrs*U8,"")</f>
        <v>150</v>
      </c>
      <c r="AP8" s="17" t="n">
        <f aca="false">IF($AC8=1,$AD8/(1+AP$6)^1+$AE8/(1+AP$6)^2+$AF8/(1+AP$6)^3+$AG8/(1+AP$6)^4+$AH8/(1+AP$6)^5+$AI8/(1+AP$6)^6+$U8/AP$6/(1+AP$6)^6,"")</f>
        <v>145.631067961165</v>
      </c>
      <c r="AQ8" s="17" t="n">
        <f aca="false">IF($AC8=1,$AD8/(1+AQ$6)^1+$AE8/(1+AQ$6)^2+$AF8/(1+AQ$6)^3+$AG8/(1+AQ$6)^4+$AH8/(1+AQ$6)^5+$AI8/(1+AQ$6)^6+$U8/AQ$6/(1+AQ$6)^6,"")</f>
        <v>142.857142857143</v>
      </c>
      <c r="AR8" s="17" t="n">
        <f aca="false">IF($AC8=1,$AD8/(1+AR$6)^1+$AE8/(1+AR$6)^2+$AF8/(1+AR$6)^3+$AG8/(1+AR$6)^4+$AH8/(1+AR$6)^5+$AI8/(1+AR$6)^6+$U8/AR$6/(1+AR$6)^6,"")</f>
        <v>138.888888888889</v>
      </c>
      <c r="AS8" s="17" t="n">
        <f aca="false">IF($AC8=1,$AD8/(1+AS$6)^1+$AE8/(1+AS$6)^2+$AF8/(1+AS$6)^3+$AG8/(1+AS$6)^4+$AH8/(1+AS$6)^5+$AI8/(1+AS$6)^6+$U8/AS$6/(1+AS$6)^6,"")</f>
        <v>136.363636363636</v>
      </c>
      <c r="AT8" s="17" t="n">
        <f aca="false">IF($AC8=1,$AD8/(1+AT$6)^1+$AE8/(1+AT$6)^2+$AF8/(1+AT$6)^3+$AG8/(1+AT$6)^4+$AH8/(1+AT$6)^5+$AI8/(1+AT$6)^6+$U8/AT$6/(1+AT$6)^6,"")</f>
        <v>133.928571428571</v>
      </c>
      <c r="AU8" s="17" t="n">
        <f aca="false">IF($AC8=1,$AD8/(1+AU$6)^1+$AE8/(1+AU$6)^2+$AF8/(1+AU$6)^3+$AG8/(1+AU$6)^4+$AH8/(1+AU$6)^5+$AI8/(1+AU$6)^6+$U8/AU$6/(1+AU$6)^6,"")</f>
        <v>130.434782608696</v>
      </c>
      <c r="AV8" s="17" t="n">
        <f aca="false">IF($AC8=1,$AD8/(1+AV$6)^1+$AE8/(1+AV$6)^2+$AF8/(1+AV$6)^3+$AG8/(1+AV$6)^4+$AH8/(1+AV$6)^5+$AI8/(1+AV$6)^6+$U8/AV$6/(1+AV$6)^6,"")</f>
        <v>125</v>
      </c>
      <c r="AW8" s="17" t="n">
        <f aca="false">IF($AC8=1,$AD8/(1+AW$6)^1+$AE8/(1+AW$6)^2+$AF8/(1+AW$6)^3+$AG8/(1+AW$6)^4+$AH8/(1+AW$6)^5+$AI8/(1+AW$6)^6+$U8/AW$6/(1+AW$6)^6,"")</f>
        <v>115.384615384615</v>
      </c>
      <c r="AX8" s="17" t="n">
        <f aca="false">IF($AC8=1,$AD8/(1+AX$6)^1+$AE8/(1+AX$6)^2+$AF8/(1+AX$6)^3+$AG8/(1+AX$6)^4+$AH8/(1+AX$6)^5+$AI8/(1+AX$6)^6+$U8/AX$6/(1+AX$6)^6,"")</f>
        <v>147.314578005139</v>
      </c>
      <c r="AY8" s="17" t="n">
        <f aca="false">IF($AC8=1,$AD8/(1+AY$6)^1+$AE8/(1+AY$6)^2+$AF8/(1+AY$6)^3+$AG8/(1+AY$6)^4+$AH8/(1+AY$6)^5+$AI8/(1+AY$6)^6+$U8/AY$6/(1+AY$6)^6,"")</f>
        <v>144.723618090501</v>
      </c>
      <c r="AZ8" s="17" t="n">
        <f aca="false">IF($AC8=1,$AD8/(1+AZ$6)^1+$AE8/(1+AZ$6)^2+$AF8/(1+AZ$6)^3+$AG8/(1+AZ$6)^4+$AH8/(1+AZ$6)^5+$AI8/(1+AZ$6)^6+$U8/AZ$6/(1+AZ$6)^6,"")</f>
        <v>139.805825242816</v>
      </c>
      <c r="BA8" s="17" t="n">
        <f aca="false">IF($AC8=1,$AD8/(1+BA$6)^1+$AE8/(1+BA$6)^2+$AF8/(1+BA$6)^3+$AG8/(1+BA$6)^4+$AH8/(1+BA$6)^5+$AI8/(1+BA$6)^6+$U8/BA$6/(1+BA$6)^6,"")</f>
        <v>130.947501931384</v>
      </c>
      <c r="BB8" s="17" t="n">
        <f aca="false">IF($AC8=1,$AD8/(1+BB$6)^1+$AE8/(1+BB$6)^2+$AF8/(1+BB$6)^3+$AG8/(1+BB$6)^4+$AH8/(1+BB$6)^5+$AI8/(1+BB$6)^6+$U8/BB$6/(1+BB$6)^6,"")</f>
        <v>115.499156745645</v>
      </c>
    </row>
    <row r="9" customFormat="false" ht="15" hidden="false" customHeight="false" outlineLevel="0" collapsed="false">
      <c r="A9" s="2" t="n">
        <v>1</v>
      </c>
      <c r="B9" s="2" t="str">
        <f aca="false">D9&amp;E9&amp;F9&amp;G9&amp;H9&amp;I9</f>
        <v>000001</v>
      </c>
      <c r="C9" s="15" t="n">
        <f aca="false">SUM(D9:I9)</f>
        <v>1</v>
      </c>
      <c r="D9" s="15" t="n">
        <f aca="false">MOD(INT($A9/32),2)</f>
        <v>0</v>
      </c>
      <c r="E9" s="15" t="n">
        <f aca="false">MOD(INT($A9/16),2)</f>
        <v>0</v>
      </c>
      <c r="F9" s="15" t="n">
        <f aca="false">MOD(INT($A9/8),2)</f>
        <v>0</v>
      </c>
      <c r="G9" s="15" t="n">
        <f aca="false">MOD(INT($A9/4),2)</f>
        <v>0</v>
      </c>
      <c r="H9" s="15" t="n">
        <f aca="false">MOD(INT($A9/2),2)</f>
        <v>0</v>
      </c>
      <c r="I9" s="15" t="n">
        <f aca="false">MOD(INT($A9/1),2)</f>
        <v>1</v>
      </c>
      <c r="J9" s="14" t="n">
        <f aca="false">E_zero+D9*(Half_gap*(Ceiling_e-E_zero)-$F$4)</f>
        <v>71</v>
      </c>
      <c r="K9" s="14" t="n">
        <f aca="false">J9+E9*(Half_gap*(Ceiling_e-J9)-$F$4)</f>
        <v>71</v>
      </c>
      <c r="L9" s="14" t="n">
        <f aca="false">K9+F9*(Half_gap*(Ceiling_e-K9)-$F$4)</f>
        <v>71</v>
      </c>
      <c r="M9" s="14" t="n">
        <f aca="false">L9+G9*(Half_gap*(Ceiling_e-L9)-$F$4)</f>
        <v>71</v>
      </c>
      <c r="N9" s="14" t="n">
        <f aca="false">M9+H9*(Half_gap*(Ceiling_e-M9)-$F$4)</f>
        <v>71</v>
      </c>
      <c r="O9" s="14" t="n">
        <f aca="false">N9+I9*(Half_gap*(Ceiling_e-N9)-$F$4)</f>
        <v>78</v>
      </c>
      <c r="P9" s="14" t="n">
        <f aca="false">Val_pt*(J9-E_zero)</f>
        <v>0</v>
      </c>
      <c r="Q9" s="14" t="n">
        <f aca="false">Val_pt*(K9-E_zero)</f>
        <v>0</v>
      </c>
      <c r="R9" s="14" t="n">
        <f aca="false">Val_pt*(L9-E_zero)</f>
        <v>0</v>
      </c>
      <c r="S9" s="14" t="n">
        <f aca="false">Val_pt*(M9-E_zero)</f>
        <v>0</v>
      </c>
      <c r="T9" s="14" t="n">
        <f aca="false">Val_pt*(N9-E_zero)</f>
        <v>0</v>
      </c>
      <c r="U9" s="14" t="n">
        <f aca="false">Val_pt*(O9-E_zero)</f>
        <v>70</v>
      </c>
      <c r="V9" s="14" t="n">
        <f aca="false">MAX(W9+Cost_round*D9-P9,IF(D9=1,Pre_q,0))</f>
        <v>520</v>
      </c>
      <c r="W9" s="14" t="n">
        <f aca="false">MAX(X9+Cost_round*E9-Q9,IF(E9=1,Pre_q,0),Floor_q)</f>
        <v>520</v>
      </c>
      <c r="X9" s="14" t="n">
        <f aca="false">MAX(Y9+Cost_round*F9-R9,IF(F9=1,Pre_q,0),Floor_q)</f>
        <v>520</v>
      </c>
      <c r="Y9" s="14" t="n">
        <f aca="false">MAX(Z9+Cost_round*G9-S9,IF(G9=1,Pre_q,0),Floor_q)</f>
        <v>520</v>
      </c>
      <c r="Z9" s="14" t="n">
        <f aca="false">MAX(AA9+Cost_round*H9-T9,IF(H9=1,Pre_q,0),Floor_q)</f>
        <v>520</v>
      </c>
      <c r="AA9" s="14" t="n">
        <f aca="false">MAX(AB9+Cost_round*I9-U9,IF(I9=1,Pre_q,0),Floor_q)</f>
        <v>520</v>
      </c>
      <c r="AB9" s="14" t="n">
        <f aca="false">MAX(End_q,Floor_q)</f>
        <v>470</v>
      </c>
      <c r="AC9" s="15" t="n">
        <f aca="false">IF(Q_zero&gt;=V9-0.000000001,1,0)</f>
        <v>1</v>
      </c>
      <c r="AD9" s="14" t="n">
        <f aca="false">IF($AC9=1,Q_zero-Cost_round*D9+P9-W9,"")</f>
        <v>100</v>
      </c>
      <c r="AE9" s="14" t="n">
        <f aca="false">IF($AC9=1,W9-Cost_round*E9+Q9-X9,"")</f>
        <v>0</v>
      </c>
      <c r="AF9" s="14" t="n">
        <f aca="false">IF($AC9=1,X9-Cost_round*F9+R9-Y9,"")</f>
        <v>0</v>
      </c>
      <c r="AG9" s="14" t="n">
        <f aca="false">IF($AC9=1,Y9-Cost_round*G9+S9-Z9,"")</f>
        <v>0</v>
      </c>
      <c r="AH9" s="14" t="n">
        <f aca="false">IF($AC9=1,Z9-Cost_round*H9+T9-AA9,"")</f>
        <v>0</v>
      </c>
      <c r="AI9" s="14" t="n">
        <f aca="false">IF($AC9=1,AA9-Cost_round*I9+U9-AB9,"")</f>
        <v>0</v>
      </c>
      <c r="AJ9" s="14" t="n">
        <f aca="false">IF($AC9=1,SUM(AD9:AI9),"")</f>
        <v>100</v>
      </c>
      <c r="AK9" s="17" t="n">
        <f aca="false">IF($AC9=1,AD9*Beta_y^1+AE9*Beta_y^2+AF9*Beta_y^3+AG9*Beta_y^4+AH9*Beta_y^5+AI9*Beta_y^6,"")</f>
        <v>90.9090909090909</v>
      </c>
      <c r="AL9" s="17" t="n">
        <f aca="false">IF($AC9=1,AK9+Beta_y^6*U9/Hurdle_r,"")</f>
        <v>486.040841946735</v>
      </c>
      <c r="AM9" s="17" t="n">
        <f aca="false">IF($AC9=1,AK9,"")</f>
        <v>90.9090909090909</v>
      </c>
      <c r="AN9" s="17" t="n">
        <f aca="false">IF($AC9=1,AK9+Beta_y^6*U9*(1-(1+Hurdle_r)^(-Life_yrs))/Hurdle_r,"")</f>
        <v>427.307024924967</v>
      </c>
      <c r="AO9" s="17" t="n">
        <f aca="false">IF($AC9=1,AJ9+Credit_yrs*U9,"")</f>
        <v>800</v>
      </c>
      <c r="AP9" s="17" t="n">
        <f aca="false">IF($AC9=1,$AD9/(1+AP$6)^1+$AE9/(1+AP$6)^2+$AF9/(1+AP$6)^3+$AG9/(1+AP$6)^4+$AH9/(1+AP$6)^5+$AI9/(1+AP$6)^6+$U9/AP$6/(1+AP$6)^6,"")</f>
        <v>2051.21731090264</v>
      </c>
      <c r="AQ9" s="17" t="n">
        <f aca="false">IF($AC9=1,$AD9/(1+AQ$6)^1+$AE9/(1+AQ$6)^2+$AF9/(1+AQ$6)^3+$AG9/(1+AQ$6)^4+$AH9/(1+AQ$6)^5+$AI9/(1+AQ$6)^6+$U9/AQ$6/(1+AQ$6)^6,"")</f>
        <v>1139.93965052937</v>
      </c>
      <c r="AR9" s="17" t="n">
        <f aca="false">IF($AC9=1,$AD9/(1+AR$6)^1+$AE9/(1+AR$6)^2+$AF9/(1+AR$6)^3+$AG9/(1+AR$6)^4+$AH9/(1+AR$6)^5+$AI9/(1+AR$6)^6+$U9/AR$6/(1+AR$6)^6,"")</f>
        <v>643.991016115309</v>
      </c>
      <c r="AS9" s="17" t="n">
        <f aca="false">IF($AC9=1,$AD9/(1+AS$6)^1+$AE9/(1+AS$6)^2+$AF9/(1+AS$6)^3+$AG9/(1+AS$6)^4+$AH9/(1+AS$6)^5+$AI9/(1+AS$6)^6+$U9/AS$6/(1+AS$6)^6,"")</f>
        <v>486.040841946735</v>
      </c>
      <c r="AT9" s="17" t="n">
        <f aca="false">IF($AC9=1,$AD9/(1+AT$6)^1+$AE9/(1+AT$6)^2+$AF9/(1+AT$6)^3+$AG9/(1+AT$6)^4+$AH9/(1+AT$6)^5+$AI9/(1+AT$6)^6+$U9/AT$6/(1+AT$6)^6,"")</f>
        <v>384.820534972485</v>
      </c>
      <c r="AU9" s="17" t="n">
        <f aca="false">IF($AC9=1,$AD9/(1+AU$6)^1+$AE9/(1+AU$6)^2+$AF9/(1+AU$6)^3+$AG9/(1+AU$6)^4+$AH9/(1+AU$6)^5+$AI9/(1+AU$6)^6+$U9/AU$6/(1+AU$6)^6,"")</f>
        <v>288.70939983119</v>
      </c>
      <c r="AV9" s="17" t="n">
        <f aca="false">IF($AC9=1,$AD9/(1+AV$6)^1+$AE9/(1+AV$6)^2+$AF9/(1+AV$6)^3+$AG9/(1+AV$6)^4+$AH9/(1+AV$6)^5+$AI9/(1+AV$6)^6+$U9/AV$6/(1+AV$6)^6,"")</f>
        <v>200.547625171468</v>
      </c>
      <c r="AW9" s="17" t="n">
        <f aca="false">IF($AC9=1,$AD9/(1+AW$6)^1+$AE9/(1+AW$6)^2+$AF9/(1+AW$6)^3+$AG9/(1+AW$6)^4+$AH9/(1+AW$6)^5+$AI9/(1+AW$6)^6+$U9/AW$6/(1+AW$6)^6,"")</f>
        <v>125.264192830778</v>
      </c>
      <c r="AX9" s="17" t="n">
        <f aca="false">IF($AC9=1,$AD9/(1+AX$6)^1+$AE9/(1+AX$6)^2+$AF9/(1+AX$6)^3+$AG9/(1+AX$6)^4+$AH9/(1+AX$6)^5+$AI9/(1+AX$6)^6+$U9/AX$6/(1+AX$6)^6,"")</f>
        <v>3543.75551107788</v>
      </c>
      <c r="AY9" s="17" t="n">
        <f aca="false">IF($AC9=1,$AD9/(1+AY$6)^1+$AE9/(1+AY$6)^2+$AF9/(1+AY$6)^3+$AG9/(1+AY$6)^4+$AH9/(1+AY$6)^5+$AI9/(1+AY$6)^6+$U9/AY$6/(1+AY$6)^6,"")</f>
        <v>1645.26387664535</v>
      </c>
      <c r="AZ9" s="17" t="n">
        <f aca="false">IF($AC9=1,$AD9/(1+AZ$6)^1+$AE9/(1+AZ$6)^2+$AF9/(1+AZ$6)^3+$AG9/(1+AZ$6)^4+$AH9/(1+AZ$6)^5+$AI9/(1+AZ$6)^6+$U9/AZ$6/(1+AZ$6)^6,"")</f>
        <v>722.529316144548</v>
      </c>
      <c r="BA9" s="17" t="n">
        <f aca="false">IF($AC9=1,$AD9/(1+BA$6)^1+$AE9/(1+BA$6)^2+$AF9/(1+BA$6)^3+$AG9/(1+BA$6)^4+$AH9/(1+BA$6)^5+$AI9/(1+BA$6)^6+$U9/BA$6/(1+BA$6)^6,"")</f>
        <v>300.249040714932</v>
      </c>
      <c r="BB9" s="17" t="n">
        <f aca="false">IF($AC9=1,$AD9/(1+BB$6)^1+$AE9/(1+BB$6)^2+$AF9/(1+BB$6)^3+$AG9/(1+BB$6)^4+$AH9/(1+BB$6)^5+$AI9/(1+BB$6)^6+$U9/BB$6/(1+BB$6)^6,"")</f>
        <v>125.839079617562</v>
      </c>
    </row>
    <row r="10" customFormat="false" ht="15" hidden="false" customHeight="false" outlineLevel="0" collapsed="false">
      <c r="A10" s="2" t="n">
        <v>2</v>
      </c>
      <c r="B10" s="2" t="str">
        <f aca="false">D10&amp;E10&amp;F10&amp;G10&amp;H10&amp;I10</f>
        <v>000010</v>
      </c>
      <c r="C10" s="15" t="n">
        <f aca="false">SUM(D10:I10)</f>
        <v>1</v>
      </c>
      <c r="D10" s="15" t="n">
        <f aca="false">MOD(INT($A10/32),2)</f>
        <v>0</v>
      </c>
      <c r="E10" s="15" t="n">
        <f aca="false">MOD(INT($A10/16),2)</f>
        <v>0</v>
      </c>
      <c r="F10" s="15" t="n">
        <f aca="false">MOD(INT($A10/8),2)</f>
        <v>0</v>
      </c>
      <c r="G10" s="15" t="n">
        <f aca="false">MOD(INT($A10/4),2)</f>
        <v>0</v>
      </c>
      <c r="H10" s="15" t="n">
        <f aca="false">MOD(INT($A10/2),2)</f>
        <v>1</v>
      </c>
      <c r="I10" s="15" t="n">
        <f aca="false">MOD(INT($A10/1),2)</f>
        <v>0</v>
      </c>
      <c r="J10" s="14" t="n">
        <f aca="false">E_zero+D10*(Half_gap*(Ceiling_e-E_zero)-$F$4)</f>
        <v>71</v>
      </c>
      <c r="K10" s="14" t="n">
        <f aca="false">J10+E10*(Half_gap*(Ceiling_e-J10)-$F$4)</f>
        <v>71</v>
      </c>
      <c r="L10" s="14" t="n">
        <f aca="false">K10+F10*(Half_gap*(Ceiling_e-K10)-$F$4)</f>
        <v>71</v>
      </c>
      <c r="M10" s="14" t="n">
        <f aca="false">L10+G10*(Half_gap*(Ceiling_e-L10)-$F$4)</f>
        <v>71</v>
      </c>
      <c r="N10" s="14" t="n">
        <f aca="false">M10+H10*(Half_gap*(Ceiling_e-M10)-$F$4)</f>
        <v>78</v>
      </c>
      <c r="O10" s="14" t="n">
        <f aca="false">N10+I10*(Half_gap*(Ceiling_e-N10)-$F$4)</f>
        <v>78</v>
      </c>
      <c r="P10" s="14" t="n">
        <f aca="false">Val_pt*(J10-E_zero)</f>
        <v>0</v>
      </c>
      <c r="Q10" s="14" t="n">
        <f aca="false">Val_pt*(K10-E_zero)</f>
        <v>0</v>
      </c>
      <c r="R10" s="14" t="n">
        <f aca="false">Val_pt*(L10-E_zero)</f>
        <v>0</v>
      </c>
      <c r="S10" s="14" t="n">
        <f aca="false">Val_pt*(M10-E_zero)</f>
        <v>0</v>
      </c>
      <c r="T10" s="14" t="n">
        <f aca="false">Val_pt*(N10-E_zero)</f>
        <v>70</v>
      </c>
      <c r="U10" s="14" t="n">
        <f aca="false">Val_pt*(O10-E_zero)</f>
        <v>70</v>
      </c>
      <c r="V10" s="14" t="n">
        <f aca="false">MAX(W10+Cost_round*D10-P10,IF(D10=1,Pre_q,0))</f>
        <v>470</v>
      </c>
      <c r="W10" s="14" t="n">
        <f aca="false">MAX(X10+Cost_round*E10-Q10,IF(E10=1,Pre_q,0),Floor_q)</f>
        <v>470</v>
      </c>
      <c r="X10" s="14" t="n">
        <f aca="false">MAX(Y10+Cost_round*F10-R10,IF(F10=1,Pre_q,0),Floor_q)</f>
        <v>470</v>
      </c>
      <c r="Y10" s="14" t="n">
        <f aca="false">MAX(Z10+Cost_round*G10-S10,IF(G10=1,Pre_q,0),Floor_q)</f>
        <v>470</v>
      </c>
      <c r="Z10" s="14" t="n">
        <f aca="false">MAX(AA10+Cost_round*H10-T10,IF(H10=1,Pre_q,0),Floor_q)</f>
        <v>470</v>
      </c>
      <c r="AA10" s="14" t="n">
        <f aca="false">MAX(AB10+Cost_round*I10-U10,IF(I10=1,Pre_q,0),Floor_q)</f>
        <v>400</v>
      </c>
      <c r="AB10" s="14" t="n">
        <f aca="false">MAX(End_q,Floor_q)</f>
        <v>470</v>
      </c>
      <c r="AC10" s="15" t="n">
        <f aca="false">IF(Q_zero&gt;=V10-0.000000001,1,0)</f>
        <v>1</v>
      </c>
      <c r="AD10" s="14" t="n">
        <f aca="false">IF($AC10=1,Q_zero-Cost_round*D10+P10-W10,"")</f>
        <v>150</v>
      </c>
      <c r="AE10" s="14" t="n">
        <f aca="false">IF($AC10=1,W10-Cost_round*E10+Q10-X10,"")</f>
        <v>0</v>
      </c>
      <c r="AF10" s="14" t="n">
        <f aca="false">IF($AC10=1,X10-Cost_round*F10+R10-Y10,"")</f>
        <v>0</v>
      </c>
      <c r="AG10" s="14" t="n">
        <f aca="false">IF($AC10=1,Y10-Cost_round*G10+S10-Z10,"")</f>
        <v>0</v>
      </c>
      <c r="AH10" s="14" t="n">
        <f aca="false">IF($AC10=1,Z10-Cost_round*H10+T10-AA10,"")</f>
        <v>20</v>
      </c>
      <c r="AI10" s="14" t="n">
        <f aca="false">IF($AC10=1,AA10-Cost_round*I10+U10-AB10,"")</f>
        <v>0</v>
      </c>
      <c r="AJ10" s="14" t="n">
        <f aca="false">IF($AC10=1,SUM(AD10:AI10),"")</f>
        <v>170</v>
      </c>
      <c r="AK10" s="17" t="n">
        <f aca="false">IF($AC10=1,AD10*Beta_y^1+AE10*Beta_y^2+AF10*Beta_y^3+AG10*Beta_y^4+AH10*Beta_y^5+AI10*Beta_y^6,"")</f>
        <v>148.782062824819</v>
      </c>
      <c r="AL10" s="17" t="n">
        <f aca="false">IF($AC10=1,AK10+Beta_y^6*U10/Hurdle_r,"")</f>
        <v>543.913813862464</v>
      </c>
      <c r="AM10" s="17" t="n">
        <f aca="false">IF($AC10=1,AK10,"")</f>
        <v>148.782062824819</v>
      </c>
      <c r="AN10" s="17" t="n">
        <f aca="false">IF($AC10=1,AK10+Beta_y^6*U10*(1-(1+Hurdle_r)^(-Life_yrs))/Hurdle_r,"")</f>
        <v>485.179996840696</v>
      </c>
      <c r="AO10" s="17" t="n">
        <f aca="false">IF($AC10=1,AJ10+Credit_yrs*U10,"")</f>
        <v>870</v>
      </c>
      <c r="AP10" s="17" t="n">
        <f aca="false">IF($AC10=1,$AD10/(1+AP$6)^1+$AE10/(1+AP$6)^2+$AF10/(1+AP$6)^3+$AG10/(1+AP$6)^4+$AH10/(1+AP$6)^5+$AI10/(1+AP$6)^6+$U10/AP$6/(1+AP$6)^6,"")</f>
        <v>2117.01317591071</v>
      </c>
      <c r="AQ10" s="17" t="n">
        <f aca="false">IF($AC10=1,$AD10/(1+AQ$6)^1+$AE10/(1+AQ$6)^2+$AF10/(1+AQ$6)^3+$AG10/(1+AQ$6)^4+$AH10/(1+AQ$6)^5+$AI10/(1+AQ$6)^6+$U10/AQ$6/(1+AQ$6)^6,"")</f>
        <v>1203.22922147779</v>
      </c>
      <c r="AR10" s="17" t="n">
        <f aca="false">IF($AC10=1,$AD10/(1+AR$6)^1+$AE10/(1+AR$6)^2+$AF10/(1+AR$6)^3+$AG10/(1+AR$6)^4+$AH10/(1+AR$6)^5+$AI10/(1+AR$6)^6+$U10/AR$6/(1+AR$6)^6,"")</f>
        <v>703.89897635228</v>
      </c>
      <c r="AS10" s="17" t="n">
        <f aca="false">IF($AC10=1,$AD10/(1+AS$6)^1+$AE10/(1+AS$6)^2+$AF10/(1+AS$6)^3+$AG10/(1+AS$6)^4+$AH10/(1+AS$6)^5+$AI10/(1+AS$6)^6+$U10/AS$6/(1+AS$6)^6,"")</f>
        <v>543.913813862464</v>
      </c>
      <c r="AT10" s="17" t="n">
        <f aca="false">IF($AC10=1,$AD10/(1+AT$6)^1+$AE10/(1+AT$6)^2+$AF10/(1+AT$6)^3+$AG10/(1+AT$6)^4+$AH10/(1+AT$6)^5+$AI10/(1+AT$6)^6+$U10/AT$6/(1+AT$6)^6,"")</f>
        <v>440.811929229714</v>
      </c>
      <c r="AU10" s="17" t="n">
        <f aca="false">IF($AC10=1,$AD10/(1+AU$6)^1+$AE10/(1+AU$6)^2+$AF10/(1+AU$6)^3+$AG10/(1+AU$6)^4+$AH10/(1+AU$6)^5+$AI10/(1+AU$6)^6+$U10/AU$6/(1+AU$6)^6,"")</f>
        <v>342.131195406721</v>
      </c>
      <c r="AV10" s="17" t="n">
        <f aca="false">IF($AC10=1,$AD10/(1+AV$6)^1+$AE10/(1+AV$6)^2+$AF10/(1+AV$6)^3+$AG10/(1+AV$6)^4+$AH10/(1+AV$6)^5+$AI10/(1+AV$6)^6+$U10/AV$6/(1+AV$6)^6,"")</f>
        <v>250.251843278464</v>
      </c>
      <c r="AW10" s="17" t="n">
        <f aca="false">IF($AC10=1,$AD10/(1+AW$6)^1+$AE10/(1+AW$6)^2+$AF10/(1+AW$6)^3+$AG10/(1+AW$6)^4+$AH10/(1+AW$6)^5+$AI10/(1+AW$6)^6+$U10/AW$6/(1+AW$6)^6,"")</f>
        <v>169.112312779174</v>
      </c>
      <c r="AX10" s="17" t="n">
        <f aca="false">IF($AC10=1,$AD10/(1+AX$6)^1+$AE10/(1+AX$6)^2+$AF10/(1+AX$6)^3+$AG10/(1+AX$6)^4+$AH10/(1+AX$6)^5+$AI10/(1+AX$6)^6+$U10/AX$6/(1+AX$6)^6,"")</f>
        <v>3611.13305385502</v>
      </c>
      <c r="AY10" s="17" t="n">
        <f aca="false">IF($AC10=1,$AD10/(1+AY$6)^1+$AE10/(1+AY$6)^2+$AF10/(1+AY$6)^3+$AG10/(1+AY$6)^4+$AH10/(1+AY$6)^5+$AI10/(1+AY$6)^6+$U10/AY$6/(1+AY$6)^6,"")</f>
        <v>1710.22641033661</v>
      </c>
      <c r="AZ10" s="17" t="n">
        <f aca="false">IF($AC10=1,$AD10/(1+AZ$6)^1+$AE10/(1+AZ$6)^2+$AF10/(1+AZ$6)^3+$AG10/(1+AZ$6)^4+$AH10/(1+AZ$6)^5+$AI10/(1+AZ$6)^6+$U10/AZ$6/(1+AZ$6)^6,"")</f>
        <v>783.198210922138</v>
      </c>
      <c r="BA10" s="17" t="n">
        <f aca="false">IF($AC10=1,$AD10/(1+BA$6)^1+$AE10/(1+BA$6)^2+$AF10/(1+BA$6)^3+$AG10/(1+BA$6)^4+$AH10/(1+BA$6)^5+$AI10/(1+BA$6)^6+$U10/BA$6/(1+BA$6)^6,"")</f>
        <v>354.038717839208</v>
      </c>
      <c r="BB10" s="17" t="n">
        <f aca="false">IF($AC10=1,$AD10/(1+BB$6)^1+$AE10/(1+BB$6)^2+$AF10/(1+BB$6)^3+$AG10/(1+BB$6)^4+$AH10/(1+BB$6)^5+$AI10/(1+BB$6)^6+$U10/BB$6/(1+BB$6)^6,"")</f>
        <v>169.752169229963</v>
      </c>
    </row>
    <row r="11" customFormat="false" ht="15" hidden="false" customHeight="false" outlineLevel="0" collapsed="false">
      <c r="A11" s="2" t="n">
        <v>3</v>
      </c>
      <c r="B11" s="2" t="str">
        <f aca="false">D11&amp;E11&amp;F11&amp;G11&amp;H11&amp;I11</f>
        <v>000011</v>
      </c>
      <c r="C11" s="15" t="n">
        <f aca="false">SUM(D11:I11)</f>
        <v>2</v>
      </c>
      <c r="D11" s="15" t="n">
        <f aca="false">MOD(INT($A11/32),2)</f>
        <v>0</v>
      </c>
      <c r="E11" s="15" t="n">
        <f aca="false">MOD(INT($A11/16),2)</f>
        <v>0</v>
      </c>
      <c r="F11" s="15" t="n">
        <f aca="false">MOD(INT($A11/8),2)</f>
        <v>0</v>
      </c>
      <c r="G11" s="15" t="n">
        <f aca="false">MOD(INT($A11/4),2)</f>
        <v>0</v>
      </c>
      <c r="H11" s="15" t="n">
        <f aca="false">MOD(INT($A11/2),2)</f>
        <v>1</v>
      </c>
      <c r="I11" s="15" t="n">
        <f aca="false">MOD(INT($A11/1),2)</f>
        <v>1</v>
      </c>
      <c r="J11" s="14" t="n">
        <f aca="false">E_zero+D11*(Half_gap*(Ceiling_e-E_zero)-$F$4)</f>
        <v>71</v>
      </c>
      <c r="K11" s="14" t="n">
        <f aca="false">J11+E11*(Half_gap*(Ceiling_e-J11)-$F$4)</f>
        <v>71</v>
      </c>
      <c r="L11" s="14" t="n">
        <f aca="false">K11+F11*(Half_gap*(Ceiling_e-K11)-$F$4)</f>
        <v>71</v>
      </c>
      <c r="M11" s="14" t="n">
        <f aca="false">L11+G11*(Half_gap*(Ceiling_e-L11)-$F$4)</f>
        <v>71</v>
      </c>
      <c r="N11" s="14" t="n">
        <f aca="false">M11+H11*(Half_gap*(Ceiling_e-M11)-$F$4)</f>
        <v>78</v>
      </c>
      <c r="O11" s="14" t="n">
        <f aca="false">N11+I11*(Half_gap*(Ceiling_e-N11)-$F$4)</f>
        <v>81.5</v>
      </c>
      <c r="P11" s="14" t="n">
        <f aca="false">Val_pt*(J11-E_zero)</f>
        <v>0</v>
      </c>
      <c r="Q11" s="14" t="n">
        <f aca="false">Val_pt*(K11-E_zero)</f>
        <v>0</v>
      </c>
      <c r="R11" s="14" t="n">
        <f aca="false">Val_pt*(L11-E_zero)</f>
        <v>0</v>
      </c>
      <c r="S11" s="14" t="n">
        <f aca="false">Val_pt*(M11-E_zero)</f>
        <v>0</v>
      </c>
      <c r="T11" s="14" t="n">
        <f aca="false">Val_pt*(N11-E_zero)</f>
        <v>70</v>
      </c>
      <c r="U11" s="14" t="n">
        <f aca="false">Val_pt*(O11-E_zero)</f>
        <v>105</v>
      </c>
      <c r="V11" s="14" t="n">
        <f aca="false">MAX(W11+Cost_round*D11-P11,IF(D11=1,Pre_q,0))</f>
        <v>535</v>
      </c>
      <c r="W11" s="14" t="n">
        <f aca="false">MAX(X11+Cost_round*E11-Q11,IF(E11=1,Pre_q,0),Floor_q)</f>
        <v>535</v>
      </c>
      <c r="X11" s="14" t="n">
        <f aca="false">MAX(Y11+Cost_round*F11-R11,IF(F11=1,Pre_q,0),Floor_q)</f>
        <v>535</v>
      </c>
      <c r="Y11" s="14" t="n">
        <f aca="false">MAX(Z11+Cost_round*G11-S11,IF(G11=1,Pre_q,0),Floor_q)</f>
        <v>535</v>
      </c>
      <c r="Z11" s="14" t="n">
        <f aca="false">MAX(AA11+Cost_round*H11-T11,IF(H11=1,Pre_q,0),Floor_q)</f>
        <v>535</v>
      </c>
      <c r="AA11" s="14" t="n">
        <f aca="false">MAX(AB11+Cost_round*I11-U11,IF(I11=1,Pre_q,0),Floor_q)</f>
        <v>485</v>
      </c>
      <c r="AB11" s="14" t="n">
        <f aca="false">MAX(End_q,Floor_q)</f>
        <v>470</v>
      </c>
      <c r="AC11" s="15" t="n">
        <f aca="false">IF(Q_zero&gt;=V11-0.000000001,1,0)</f>
        <v>1</v>
      </c>
      <c r="AD11" s="14" t="n">
        <f aca="false">IF($AC11=1,Q_zero-Cost_round*D11+P11-W11,"")</f>
        <v>85</v>
      </c>
      <c r="AE11" s="14" t="n">
        <f aca="false">IF($AC11=1,W11-Cost_round*E11+Q11-X11,"")</f>
        <v>0</v>
      </c>
      <c r="AF11" s="14" t="n">
        <f aca="false">IF($AC11=1,X11-Cost_round*F11+R11-Y11,"")</f>
        <v>0</v>
      </c>
      <c r="AG11" s="14" t="n">
        <f aca="false">IF($AC11=1,Y11-Cost_round*G11+S11-Z11,"")</f>
        <v>0</v>
      </c>
      <c r="AH11" s="14" t="n">
        <f aca="false">IF($AC11=1,Z11-Cost_round*H11+T11-AA11,"")</f>
        <v>0</v>
      </c>
      <c r="AI11" s="14" t="n">
        <f aca="false">IF($AC11=1,AA11-Cost_round*I11+U11-AB11,"")</f>
        <v>0</v>
      </c>
      <c r="AJ11" s="14" t="n">
        <f aca="false">IF($AC11=1,SUM(AD11:AI11),"")</f>
        <v>85</v>
      </c>
      <c r="AK11" s="17" t="n">
        <f aca="false">IF($AC11=1,AD11*Beta_y^1+AE11*Beta_y^2+AF11*Beta_y^3+AG11*Beta_y^4+AH11*Beta_y^5+AI11*Beta_y^6,"")</f>
        <v>77.2727272727273</v>
      </c>
      <c r="AL11" s="17" t="n">
        <f aca="false">IF($AC11=1,AK11+Beta_y^6*U11/Hurdle_r,"")</f>
        <v>669.970353829193</v>
      </c>
      <c r="AM11" s="17" t="n">
        <f aca="false">IF($AC11=1,AK11,"")</f>
        <v>77.2727272727273</v>
      </c>
      <c r="AN11" s="17" t="n">
        <f aca="false">IF($AC11=1,AK11+Beta_y^6*U11*(1-(1+Hurdle_r)^(-Life_yrs))/Hurdle_r,"")</f>
        <v>581.869628296542</v>
      </c>
      <c r="AO11" s="17" t="n">
        <f aca="false">IF($AC11=1,AJ11+Credit_yrs*U11,"")</f>
        <v>1135</v>
      </c>
      <c r="AP11" s="17" t="n">
        <f aca="false">IF($AC11=1,$AD11/(1+AP$6)^1+$AE11/(1+AP$6)^2+$AF11/(1+AP$6)^3+$AG11/(1+AP$6)^4+$AH11/(1+AP$6)^5+$AI11/(1+AP$6)^6+$U11/AP$6/(1+AP$6)^6,"")</f>
        <v>3013.71917023745</v>
      </c>
      <c r="AQ11" s="17" t="n">
        <f aca="false">IF($AC11=1,$AD11/(1+AQ$6)^1+$AE11/(1+AQ$6)^2+$AF11/(1+AQ$6)^3+$AG11/(1+AQ$6)^4+$AH11/(1+AQ$6)^5+$AI11/(1+AQ$6)^6+$U11/AQ$6/(1+AQ$6)^6,"")</f>
        <v>1648.0047138893</v>
      </c>
      <c r="AR11" s="17" t="n">
        <f aca="false">IF($AC11=1,$AD11/(1+AR$6)^1+$AE11/(1+AR$6)^2+$AF11/(1+AR$6)^3+$AG11/(1+AR$6)^4+$AH11/(1+AR$6)^5+$AI11/(1+AR$6)^6+$U11/AR$6/(1+AR$6)^6,"")</f>
        <v>905.801338987778</v>
      </c>
      <c r="AS11" s="17" t="n">
        <f aca="false">IF($AC11=1,$AD11/(1+AS$6)^1+$AE11/(1+AS$6)^2+$AF11/(1+AS$6)^3+$AG11/(1+AS$6)^4+$AH11/(1+AS$6)^5+$AI11/(1+AS$6)^6+$U11/AS$6/(1+AS$6)^6,"")</f>
        <v>669.970353829193</v>
      </c>
      <c r="AT11" s="17" t="n">
        <f aca="false">IF($AC11=1,$AD11/(1+AT$6)^1+$AE11/(1+AT$6)^2+$AF11/(1+AT$6)^3+$AG11/(1+AT$6)^4+$AH11/(1+AT$6)^5+$AI11/(1+AT$6)^6+$U11/AT$6/(1+AT$6)^6,"")</f>
        <v>519.195088173013</v>
      </c>
      <c r="AU11" s="17" t="n">
        <f aca="false">IF($AC11=1,$AD11/(1+AU$6)^1+$AE11/(1+AU$6)^2+$AF11/(1+AU$6)^3+$AG11/(1+AU$6)^4+$AH11/(1+AU$6)^5+$AI11/(1+AU$6)^6+$U11/AU$6/(1+AU$6)^6,"")</f>
        <v>376.54236061635</v>
      </c>
      <c r="AV11" s="17" t="n">
        <f aca="false">IF($AC11=1,$AD11/(1+AV$6)^1+$AE11/(1+AV$6)^2+$AF11/(1+AV$6)^3+$AG11/(1+AV$6)^4+$AH11/(1+AV$6)^5+$AI11/(1+AV$6)^6+$U11/AV$6/(1+AV$6)^6,"")</f>
        <v>246.654771090535</v>
      </c>
      <c r="AW11" s="17" t="n">
        <f aca="false">IF($AC11=1,$AD11/(1+AW$6)^1+$AE11/(1+AW$6)^2+$AF11/(1+AW$6)^3+$AG11/(1+AW$6)^4+$AH11/(1+AW$6)^5+$AI11/(1+AW$6)^6+$U11/AW$6/(1+AW$6)^6,"")</f>
        <v>137.896289246167</v>
      </c>
      <c r="AX11" s="17" t="n">
        <f aca="false">IF($AC11=1,$AD11/(1+AX$6)^1+$AE11/(1+AX$6)^2+$AF11/(1+AX$6)^3+$AG11/(1+AX$6)^4+$AH11/(1+AX$6)^5+$AI11/(1+AX$6)^6+$U11/AX$6/(1+AX$6)^6,"")</f>
        <v>5251.79694948126</v>
      </c>
      <c r="AY11" s="17" t="n">
        <f aca="false">IF($AC11=1,$AD11/(1+AY$6)^1+$AE11/(1+AY$6)^2+$AF11/(1+AY$6)^3+$AG11/(1+AY$6)^4+$AH11/(1+AY$6)^5+$AI11/(1+AY$6)^6+$U11/AY$6/(1+AY$6)^6,"")</f>
        <v>2405.1822471288</v>
      </c>
      <c r="AZ11" s="17" t="n">
        <f aca="false">IF($AC11=1,$AD11/(1+AZ$6)^1+$AE11/(1+AZ$6)^2+$AF11/(1+AZ$6)^3+$AG11/(1+AZ$6)^4+$AH11/(1+AZ$6)^5+$AI11/(1+AZ$6)^6+$U11/AZ$6/(1+AZ$6)^6,"")</f>
        <v>1023.21144994494</v>
      </c>
      <c r="BA11" s="17" t="n">
        <f aca="false">IF($AC11=1,$AD11/(1+BA$6)^1+$AE11/(1+BA$6)^2+$AF11/(1+BA$6)^3+$AG11/(1+BA$6)^4+$AH11/(1+BA$6)^5+$AI11/(1+BA$6)^6+$U11/BA$6/(1+BA$6)^6,"")</f>
        <v>393.629643568799</v>
      </c>
      <c r="BB11" s="17" t="n">
        <f aca="false">IF($AC11=1,$AD11/(1+BB$6)^1+$AE11/(1+BB$6)^2+$AF11/(1+BB$6)^3+$AG11/(1+BB$6)^4+$AH11/(1+BB$6)^5+$AI11/(1+BB$6)^6+$U11/BB$6/(1+BB$6)^6,"")</f>
        <v>138.708984836564</v>
      </c>
    </row>
    <row r="12" customFormat="false" ht="15" hidden="false" customHeight="false" outlineLevel="0" collapsed="false">
      <c r="A12" s="2" t="n">
        <v>4</v>
      </c>
      <c r="B12" s="2" t="str">
        <f aca="false">D12&amp;E12&amp;F12&amp;G12&amp;H12&amp;I12</f>
        <v>000100</v>
      </c>
      <c r="C12" s="15" t="n">
        <f aca="false">SUM(D12:I12)</f>
        <v>1</v>
      </c>
      <c r="D12" s="15" t="n">
        <f aca="false">MOD(INT($A12/32),2)</f>
        <v>0</v>
      </c>
      <c r="E12" s="15" t="n">
        <f aca="false">MOD(INT($A12/16),2)</f>
        <v>0</v>
      </c>
      <c r="F12" s="15" t="n">
        <f aca="false">MOD(INT($A12/8),2)</f>
        <v>0</v>
      </c>
      <c r="G12" s="15" t="n">
        <f aca="false">MOD(INT($A12/4),2)</f>
        <v>1</v>
      </c>
      <c r="H12" s="15" t="n">
        <f aca="false">MOD(INT($A12/2),2)</f>
        <v>0</v>
      </c>
      <c r="I12" s="15" t="n">
        <f aca="false">MOD(INT($A12/1),2)</f>
        <v>0</v>
      </c>
      <c r="J12" s="14" t="n">
        <f aca="false">E_zero+D12*(Half_gap*(Ceiling_e-E_zero)-$F$4)</f>
        <v>71</v>
      </c>
      <c r="K12" s="14" t="n">
        <f aca="false">J12+E12*(Half_gap*(Ceiling_e-J12)-$F$4)</f>
        <v>71</v>
      </c>
      <c r="L12" s="14" t="n">
        <f aca="false">K12+F12*(Half_gap*(Ceiling_e-K12)-$F$4)</f>
        <v>71</v>
      </c>
      <c r="M12" s="14" t="n">
        <f aca="false">L12+G12*(Half_gap*(Ceiling_e-L12)-$F$4)</f>
        <v>78</v>
      </c>
      <c r="N12" s="14" t="n">
        <f aca="false">M12+H12*(Half_gap*(Ceiling_e-M12)-$F$4)</f>
        <v>78</v>
      </c>
      <c r="O12" s="14" t="n">
        <f aca="false">N12+I12*(Half_gap*(Ceiling_e-N12)-$F$4)</f>
        <v>78</v>
      </c>
      <c r="P12" s="14" t="n">
        <f aca="false">Val_pt*(J12-E_zero)</f>
        <v>0</v>
      </c>
      <c r="Q12" s="14" t="n">
        <f aca="false">Val_pt*(K12-E_zero)</f>
        <v>0</v>
      </c>
      <c r="R12" s="14" t="n">
        <f aca="false">Val_pt*(L12-E_zero)</f>
        <v>0</v>
      </c>
      <c r="S12" s="14" t="n">
        <f aca="false">Val_pt*(M12-E_zero)</f>
        <v>70</v>
      </c>
      <c r="T12" s="14" t="n">
        <f aca="false">Val_pt*(N12-E_zero)</f>
        <v>70</v>
      </c>
      <c r="U12" s="14" t="n">
        <f aca="false">Val_pt*(O12-E_zero)</f>
        <v>70</v>
      </c>
      <c r="V12" s="14" t="n">
        <f aca="false">MAX(W12+Cost_round*D12-P12,IF(D12=1,Pre_q,0))</f>
        <v>470</v>
      </c>
      <c r="W12" s="14" t="n">
        <f aca="false">MAX(X12+Cost_round*E12-Q12,IF(E12=1,Pre_q,0),Floor_q)</f>
        <v>470</v>
      </c>
      <c r="X12" s="14" t="n">
        <f aca="false">MAX(Y12+Cost_round*F12-R12,IF(F12=1,Pre_q,0),Floor_q)</f>
        <v>470</v>
      </c>
      <c r="Y12" s="14" t="n">
        <f aca="false">MAX(Z12+Cost_round*G12-S12,IF(G12=1,Pre_q,0),Floor_q)</f>
        <v>470</v>
      </c>
      <c r="Z12" s="14" t="n">
        <f aca="false">MAX(AA12+Cost_round*H12-T12,IF(H12=1,Pre_q,0),Floor_q)</f>
        <v>350</v>
      </c>
      <c r="AA12" s="14" t="n">
        <f aca="false">MAX(AB12+Cost_round*I12-U12,IF(I12=1,Pre_q,0),Floor_q)</f>
        <v>400</v>
      </c>
      <c r="AB12" s="14" t="n">
        <f aca="false">MAX(End_q,Floor_q)</f>
        <v>470</v>
      </c>
      <c r="AC12" s="15" t="n">
        <f aca="false">IF(Q_zero&gt;=V12-0.000000001,1,0)</f>
        <v>1</v>
      </c>
      <c r="AD12" s="14" t="n">
        <f aca="false">IF($AC12=1,Q_zero-Cost_round*D12+P12-W12,"")</f>
        <v>150</v>
      </c>
      <c r="AE12" s="14" t="n">
        <f aca="false">IF($AC12=1,W12-Cost_round*E12+Q12-X12,"")</f>
        <v>0</v>
      </c>
      <c r="AF12" s="14" t="n">
        <f aca="false">IF($AC12=1,X12-Cost_round*F12+R12-Y12,"")</f>
        <v>0</v>
      </c>
      <c r="AG12" s="14" t="n">
        <f aca="false">IF($AC12=1,Y12-Cost_round*G12+S12-Z12,"")</f>
        <v>70</v>
      </c>
      <c r="AH12" s="14" t="n">
        <f aca="false">IF($AC12=1,Z12-Cost_round*H12+T12-AA12,"")</f>
        <v>20</v>
      </c>
      <c r="AI12" s="14" t="n">
        <f aca="false">IF($AC12=1,AA12-Cost_round*I12+U12-AB12,"")</f>
        <v>0</v>
      </c>
      <c r="AJ12" s="14" t="n">
        <f aca="false">IF($AC12=1,SUM(AD12:AI12),"")</f>
        <v>240</v>
      </c>
      <c r="AK12" s="17" t="n">
        <f aca="false">IF($AC12=1,AD12*Beta_y^1+AE12*Beta_y^2+AF12*Beta_y^3+AG12*Beta_y^4+AH12*Beta_y^5+AI12*Beta_y^6,"")</f>
        <v>196.593004700374</v>
      </c>
      <c r="AL12" s="17" t="n">
        <f aca="false">IF($AC12=1,AK12+Beta_y^6*U12/Hurdle_r,"")</f>
        <v>591.724755738019</v>
      </c>
      <c r="AM12" s="17" t="n">
        <f aca="false">IF($AC12=1,AK12,"")</f>
        <v>196.593004700374</v>
      </c>
      <c r="AN12" s="17" t="n">
        <f aca="false">IF($AC12=1,AK12+Beta_y^6*U12*(1-(1+Hurdle_r)^(-Life_yrs))/Hurdle_r,"")</f>
        <v>532.990938716251</v>
      </c>
      <c r="AO12" s="17" t="n">
        <f aca="false">IF($AC12=1,AJ12+Credit_yrs*U12,"")</f>
        <v>940</v>
      </c>
      <c r="AP12" s="17" t="n">
        <f aca="false">IF($AC12=1,$AD12/(1+AP$6)^1+$AE12/(1+AP$6)^2+$AF12/(1+AP$6)^3+$AG12/(1+AP$6)^4+$AH12/(1+AP$6)^5+$AI12/(1+AP$6)^6+$U12/AP$6/(1+AP$6)^6,"")</f>
        <v>2179.20726926481</v>
      </c>
      <c r="AQ12" s="17" t="n">
        <f aca="false">IF($AC12=1,$AD12/(1+AQ$6)^1+$AE12/(1+AQ$6)^2+$AF12/(1+AQ$6)^3+$AG12/(1+AQ$6)^4+$AH12/(1+AQ$6)^5+$AI12/(1+AQ$6)^6+$U12/AQ$6/(1+AQ$6)^6,"")</f>
        <v>1260.81839471322</v>
      </c>
      <c r="AR12" s="17" t="n">
        <f aca="false">IF($AC12=1,$AD12/(1+AR$6)^1+$AE12/(1+AR$6)^2+$AF12/(1+AR$6)^3+$AG12/(1+AR$6)^4+$AH12/(1+AR$6)^5+$AI12/(1+AR$6)^6+$U12/AR$6/(1+AR$6)^6,"")</f>
        <v>755.351066048032</v>
      </c>
      <c r="AS12" s="17" t="n">
        <f aca="false">IF($AC12=1,$AD12/(1+AS$6)^1+$AE12/(1+AS$6)^2+$AF12/(1+AS$6)^3+$AG12/(1+AS$6)^4+$AH12/(1+AS$6)^5+$AI12/(1+AS$6)^6+$U12/AS$6/(1+AS$6)^6,"")</f>
        <v>591.724755738018</v>
      </c>
      <c r="AT12" s="17" t="n">
        <f aca="false">IF($AC12=1,$AD12/(1+AT$6)^1+$AE12/(1+AT$6)^2+$AF12/(1+AT$6)^3+$AG12/(1+AT$6)^4+$AH12/(1+AT$6)^5+$AI12/(1+AT$6)^6+$U12/AT$6/(1+AT$6)^6,"")</f>
        <v>485.298194718052</v>
      </c>
      <c r="AU12" s="17" t="n">
        <f aca="false">IF($AC12=1,$AD12/(1+AU$6)^1+$AE12/(1+AU$6)^2+$AF12/(1+AU$6)^3+$AG12/(1+AU$6)^4+$AH12/(1+AU$6)^5+$AI12/(1+AU$6)^6+$U12/AU$6/(1+AU$6)^6,"")</f>
        <v>382.153922598233</v>
      </c>
      <c r="AV12" s="17" t="n">
        <f aca="false">IF($AC12=1,$AD12/(1+AV$6)^1+$AE12/(1+AV$6)^2+$AF12/(1+AV$6)^3+$AG12/(1+AV$6)^4+$AH12/(1+AV$6)^5+$AI12/(1+AV$6)^6+$U12/AV$6/(1+AV$6)^6,"")</f>
        <v>284.009559327846</v>
      </c>
      <c r="AW12" s="17" t="n">
        <f aca="false">IF($AC12=1,$AD12/(1+AW$6)^1+$AE12/(1+AW$6)^2+$AF12/(1+AW$6)^3+$AG12/(1+AW$6)^4+$AH12/(1+AW$6)^5+$AI12/(1+AW$6)^6+$U12/AW$6/(1+AW$6)^6,"")</f>
        <v>193.621258544379</v>
      </c>
      <c r="AX12" s="17" t="n">
        <f aca="false">IF($AC12=1,$AD12/(1+AX$6)^1+$AE12/(1+AX$6)^2+$AF12/(1+AX$6)^3+$AG12/(1+AX$6)^4+$AH12/(1+AX$6)^5+$AI12/(1+AX$6)^6+$U12/AX$6/(1+AX$6)^6,"")</f>
        <v>3676.25328117405</v>
      </c>
      <c r="AY12" s="17" t="n">
        <f aca="false">IF($AC12=1,$AD12/(1+AY$6)^1+$AE12/(1+AY$6)^2+$AF12/(1+AY$6)^3+$AG12/(1+AY$6)^4+$AH12/(1+AY$6)^5+$AI12/(1+AY$6)^6+$U12/AY$6/(1+AY$6)^6,"")</f>
        <v>1770.88476823219</v>
      </c>
      <c r="AZ12" s="17" t="n">
        <f aca="false">IF($AC12=1,$AD12/(1+AZ$6)^1+$AE12/(1+AZ$6)^2+$AF12/(1+AZ$6)^3+$AG12/(1+AZ$6)^4+$AH12/(1+AZ$6)^5+$AI12/(1+AZ$6)^6+$U12/AZ$6/(1+AZ$6)^6,"")</f>
        <v>836.022550164908</v>
      </c>
      <c r="BA12" s="17" t="n">
        <f aca="false">IF($AC12=1,$AD12/(1+BA$6)^1+$AE12/(1+BA$6)^2+$AF12/(1+BA$6)^3+$AG12/(1+BA$6)^4+$AH12/(1+BA$6)^5+$AI12/(1+BA$6)^6+$U12/BA$6/(1+BA$6)^6,"")</f>
        <v>394.69445829802</v>
      </c>
      <c r="BB12" s="17" t="n">
        <f aca="false">IF($AC12=1,$AD12/(1+BB$6)^1+$AE12/(1+BB$6)^2+$AF12/(1+BB$6)^3+$AG12/(1+BB$6)^4+$AH12/(1+BB$6)^5+$AI12/(1+BB$6)^6+$U12/BB$6/(1+BB$6)^6,"")</f>
        <v>194.358579320744</v>
      </c>
    </row>
    <row r="13" customFormat="false" ht="15" hidden="false" customHeight="false" outlineLevel="0" collapsed="false">
      <c r="A13" s="2" t="n">
        <v>5</v>
      </c>
      <c r="B13" s="2" t="str">
        <f aca="false">D13&amp;E13&amp;F13&amp;G13&amp;H13&amp;I13</f>
        <v>000101</v>
      </c>
      <c r="C13" s="15" t="n">
        <f aca="false">SUM(D13:I13)</f>
        <v>2</v>
      </c>
      <c r="D13" s="15" t="n">
        <f aca="false">MOD(INT($A13/32),2)</f>
        <v>0</v>
      </c>
      <c r="E13" s="15" t="n">
        <f aca="false">MOD(INT($A13/16),2)</f>
        <v>0</v>
      </c>
      <c r="F13" s="15" t="n">
        <f aca="false">MOD(INT($A13/8),2)</f>
        <v>0</v>
      </c>
      <c r="G13" s="15" t="n">
        <f aca="false">MOD(INT($A13/4),2)</f>
        <v>1</v>
      </c>
      <c r="H13" s="15" t="n">
        <f aca="false">MOD(INT($A13/2),2)</f>
        <v>0</v>
      </c>
      <c r="I13" s="15" t="n">
        <f aca="false">MOD(INT($A13/1),2)</f>
        <v>1</v>
      </c>
      <c r="J13" s="14" t="n">
        <f aca="false">E_zero+D13*(Half_gap*(Ceiling_e-E_zero)-$F$4)</f>
        <v>71</v>
      </c>
      <c r="K13" s="14" t="n">
        <f aca="false">J13+E13*(Half_gap*(Ceiling_e-J13)-$F$4)</f>
        <v>71</v>
      </c>
      <c r="L13" s="14" t="n">
        <f aca="false">K13+F13*(Half_gap*(Ceiling_e-K13)-$F$4)</f>
        <v>71</v>
      </c>
      <c r="M13" s="14" t="n">
        <f aca="false">L13+G13*(Half_gap*(Ceiling_e-L13)-$F$4)</f>
        <v>78</v>
      </c>
      <c r="N13" s="14" t="n">
        <f aca="false">M13+H13*(Half_gap*(Ceiling_e-M13)-$F$4)</f>
        <v>78</v>
      </c>
      <c r="O13" s="14" t="n">
        <f aca="false">N13+I13*(Half_gap*(Ceiling_e-N13)-$F$4)</f>
        <v>81.5</v>
      </c>
      <c r="P13" s="14" t="n">
        <f aca="false">Val_pt*(J13-E_zero)</f>
        <v>0</v>
      </c>
      <c r="Q13" s="14" t="n">
        <f aca="false">Val_pt*(K13-E_zero)</f>
        <v>0</v>
      </c>
      <c r="R13" s="14" t="n">
        <f aca="false">Val_pt*(L13-E_zero)</f>
        <v>0</v>
      </c>
      <c r="S13" s="14" t="n">
        <f aca="false">Val_pt*(M13-E_zero)</f>
        <v>70</v>
      </c>
      <c r="T13" s="14" t="n">
        <f aca="false">Val_pt*(N13-E_zero)</f>
        <v>70</v>
      </c>
      <c r="U13" s="14" t="n">
        <f aca="false">Val_pt*(O13-E_zero)</f>
        <v>105</v>
      </c>
      <c r="V13" s="14" t="n">
        <f aca="false">MAX(W13+Cost_round*D13-P13,IF(D13=1,Pre_q,0))</f>
        <v>470</v>
      </c>
      <c r="W13" s="14" t="n">
        <f aca="false">MAX(X13+Cost_round*E13-Q13,IF(E13=1,Pre_q,0),Floor_q)</f>
        <v>470</v>
      </c>
      <c r="X13" s="14" t="n">
        <f aca="false">MAX(Y13+Cost_round*F13-R13,IF(F13=1,Pre_q,0),Floor_q)</f>
        <v>470</v>
      </c>
      <c r="Y13" s="14" t="n">
        <f aca="false">MAX(Z13+Cost_round*G13-S13,IF(G13=1,Pre_q,0),Floor_q)</f>
        <v>470</v>
      </c>
      <c r="Z13" s="14" t="n">
        <f aca="false">MAX(AA13+Cost_round*H13-T13,IF(H13=1,Pre_q,0),Floor_q)</f>
        <v>415</v>
      </c>
      <c r="AA13" s="14" t="n">
        <f aca="false">MAX(AB13+Cost_round*I13-U13,IF(I13=1,Pre_q,0),Floor_q)</f>
        <v>485</v>
      </c>
      <c r="AB13" s="14" t="n">
        <f aca="false">MAX(End_q,Floor_q)</f>
        <v>470</v>
      </c>
      <c r="AC13" s="15" t="n">
        <f aca="false">IF(Q_zero&gt;=V13-0.000000001,1,0)</f>
        <v>1</v>
      </c>
      <c r="AD13" s="14" t="n">
        <f aca="false">IF($AC13=1,Q_zero-Cost_round*D13+P13-W13,"")</f>
        <v>150</v>
      </c>
      <c r="AE13" s="14" t="n">
        <f aca="false">IF($AC13=1,W13-Cost_round*E13+Q13-X13,"")</f>
        <v>0</v>
      </c>
      <c r="AF13" s="14" t="n">
        <f aca="false">IF($AC13=1,X13-Cost_round*F13+R13-Y13,"")</f>
        <v>0</v>
      </c>
      <c r="AG13" s="14" t="n">
        <f aca="false">IF($AC13=1,Y13-Cost_round*G13+S13-Z13,"")</f>
        <v>5</v>
      </c>
      <c r="AH13" s="14" t="n">
        <f aca="false">IF($AC13=1,Z13-Cost_round*H13+T13-AA13,"")</f>
        <v>0</v>
      </c>
      <c r="AI13" s="14" t="n">
        <f aca="false">IF($AC13=1,AA13-Cost_round*I13+U13-AB13,"")</f>
        <v>0</v>
      </c>
      <c r="AJ13" s="14" t="n">
        <f aca="false">IF($AC13=1,SUM(AD13:AI13),"")</f>
        <v>155</v>
      </c>
      <c r="AK13" s="17" t="n">
        <f aca="false">IF($AC13=1,AD13*Beta_y^1+AE13*Beta_y^2+AF13*Beta_y^3+AG13*Beta_y^4+AH13*Beta_y^5+AI13*Beta_y^6,"")</f>
        <v>139.778703640462</v>
      </c>
      <c r="AL13" s="17" t="n">
        <f aca="false">IF($AC13=1,AK13+Beta_y^6*U13/Hurdle_r,"")</f>
        <v>732.476330196928</v>
      </c>
      <c r="AM13" s="17" t="n">
        <f aca="false">IF($AC13=1,AK13,"")</f>
        <v>139.778703640462</v>
      </c>
      <c r="AN13" s="17" t="n">
        <f aca="false">IF($AC13=1,AK13+Beta_y^6*U13*(1-(1+Hurdle_r)^(-Life_yrs))/Hurdle_r,"")</f>
        <v>644.375604664276</v>
      </c>
      <c r="AO13" s="17" t="n">
        <f aca="false">IF($AC13=1,AJ13+Credit_yrs*U13,"")</f>
        <v>1205</v>
      </c>
      <c r="AP13" s="17" t="n">
        <f aca="false">IF($AC13=1,$AD13/(1+AP$6)^1+$AE13/(1+AP$6)^2+$AF13/(1+AP$6)^3+$AG13/(1+AP$6)^4+$AH13/(1+AP$6)^5+$AI13/(1+AP$6)^6+$U13/AP$6/(1+AP$6)^6,"")</f>
        <v>3081.26840159353</v>
      </c>
      <c r="AQ13" s="17" t="n">
        <f aca="false">IF($AC13=1,$AD13/(1+AQ$6)^1+$AE13/(1+AQ$6)^2+$AF13/(1+AQ$6)^3+$AG13/(1+AQ$6)^4+$AH13/(1+AQ$6)^5+$AI13/(1+AQ$6)^6+$U13/AQ$6/(1+AQ$6)^6,"")</f>
        <v>1714.02298816802</v>
      </c>
      <c r="AR13" s="17" t="n">
        <f aca="false">IF($AC13=1,$AD13/(1+AR$6)^1+$AE13/(1+AR$6)^2+$AF13/(1+AR$6)^3+$AG13/(1+AR$6)^4+$AH13/(1+AR$6)^5+$AI13/(1+AR$6)^6+$U13/AR$6/(1+AR$6)^6,"")</f>
        <v>969.661673436946</v>
      </c>
      <c r="AS13" s="17" t="n">
        <f aca="false">IF($AC13=1,$AD13/(1+AS$6)^1+$AE13/(1+AS$6)^2+$AF13/(1+AS$6)^3+$AG13/(1+AS$6)^4+$AH13/(1+AS$6)^5+$AI13/(1+AS$6)^6+$U13/AS$6/(1+AS$6)^6,"")</f>
        <v>732.476330196928</v>
      </c>
      <c r="AT13" s="17" t="n">
        <f aca="false">IF($AC13=1,$AD13/(1+AT$6)^1+$AE13/(1+AT$6)^2+$AF13/(1+AT$6)^3+$AG13/(1+AT$6)^4+$AH13/(1+AT$6)^5+$AI13/(1+AT$6)^6+$U13/AT$6/(1+AT$6)^6,"")</f>
        <v>580.408392850751</v>
      </c>
      <c r="AU13" s="17" t="n">
        <f aca="false">IF($AC13=1,$AD13/(1+AU$6)^1+$AE13/(1+AU$6)^2+$AF13/(1+AU$6)^3+$AG13/(1+AU$6)^4+$AH13/(1+AU$6)^5+$AI13/(1+AU$6)^6+$U13/AU$6/(1+AU$6)^6,"")</f>
        <v>435.92286597475</v>
      </c>
      <c r="AV13" s="17" t="n">
        <f aca="false">IF($AC13=1,$AD13/(1+AV$6)^1+$AE13/(1+AV$6)^2+$AF13/(1+AV$6)^3+$AG13/(1+AV$6)^4+$AH13/(1+AV$6)^5+$AI13/(1+AV$6)^6+$U13/AV$6/(1+AV$6)^6,"")</f>
        <v>303.2327031893</v>
      </c>
      <c r="AW13" s="17" t="n">
        <f aca="false">IF($AC13=1,$AD13/(1+AW$6)^1+$AE13/(1+AW$6)^2+$AF13/(1+AW$6)^3+$AG13/(1+AW$6)^4+$AH13/(1+AW$6)^5+$AI13/(1+AW$6)^6+$U13/AW$6/(1+AW$6)^6,"")</f>
        <v>189.646928229395</v>
      </c>
      <c r="AX13" s="17" t="n">
        <f aca="false">IF($AC13=1,$AD13/(1+AX$6)^1+$AE13/(1+AX$6)^2+$AF13/(1+AX$6)^3+$AG13/(1+AX$6)^4+$AH13/(1+AX$6)^5+$AI13/(1+AX$6)^6+$U13/AX$6/(1+AX$6)^6,"")</f>
        <v>5320.28471142532</v>
      </c>
      <c r="AY13" s="17" t="n">
        <f aca="false">IF($AC13=1,$AD13/(1+AY$6)^1+$AE13/(1+AY$6)^2+$AF13/(1+AY$6)^3+$AG13/(1+AY$6)^4+$AH13/(1+AY$6)^5+$AI13/(1+AY$6)^6+$U13/AY$6/(1+AY$6)^6,"")</f>
        <v>2472.2285548177</v>
      </c>
      <c r="AZ13" s="17" t="n">
        <f aca="false">IF($AC13=1,$AD13/(1+AZ$6)^1+$AE13/(1+AZ$6)^2+$AF13/(1+AZ$6)^3+$AG13/(1+AZ$6)^4+$AH13/(1+AZ$6)^5+$AI13/(1+AZ$6)^6+$U13/AZ$6/(1+AZ$6)^6,"")</f>
        <v>1087.56714130559</v>
      </c>
      <c r="BA13" s="17" t="n">
        <f aca="false">IF($AC13=1,$AD13/(1+BA$6)^1+$AE13/(1+BA$6)^2+$AF13/(1+BA$6)^3+$AG13/(1+BA$6)^4+$AH13/(1+BA$6)^5+$AI13/(1+BA$6)^6+$U13/BA$6/(1+BA$6)^6,"")</f>
        <v>453.277542533742</v>
      </c>
      <c r="BB13" s="17" t="n">
        <f aca="false">IF($AC13=1,$AD13/(1+BB$6)^1+$AE13/(1+BB$6)^2+$AF13/(1+BB$6)^3+$AG13/(1+BB$6)^4+$AH13/(1+BB$6)^5+$AI13/(1+BB$6)^6+$U13/BB$6/(1+BB$6)^6,"")</f>
        <v>190.516220147114</v>
      </c>
    </row>
    <row r="14" customFormat="false" ht="15" hidden="false" customHeight="false" outlineLevel="0" collapsed="false">
      <c r="A14" s="2" t="n">
        <v>6</v>
      </c>
      <c r="B14" s="2" t="str">
        <f aca="false">D14&amp;E14&amp;F14&amp;G14&amp;H14&amp;I14</f>
        <v>000110</v>
      </c>
      <c r="C14" s="15" t="n">
        <f aca="false">SUM(D14:I14)</f>
        <v>2</v>
      </c>
      <c r="D14" s="15" t="n">
        <f aca="false">MOD(INT($A14/32),2)</f>
        <v>0</v>
      </c>
      <c r="E14" s="15" t="n">
        <f aca="false">MOD(INT($A14/16),2)</f>
        <v>0</v>
      </c>
      <c r="F14" s="15" t="n">
        <f aca="false">MOD(INT($A14/8),2)</f>
        <v>0</v>
      </c>
      <c r="G14" s="15" t="n">
        <f aca="false">MOD(INT($A14/4),2)</f>
        <v>1</v>
      </c>
      <c r="H14" s="15" t="n">
        <f aca="false">MOD(INT($A14/2),2)</f>
        <v>1</v>
      </c>
      <c r="I14" s="15" t="n">
        <f aca="false">MOD(INT($A14/1),2)</f>
        <v>0</v>
      </c>
      <c r="J14" s="14" t="n">
        <f aca="false">E_zero+D14*(Half_gap*(Ceiling_e-E_zero)-$F$4)</f>
        <v>71</v>
      </c>
      <c r="K14" s="14" t="n">
        <f aca="false">J14+E14*(Half_gap*(Ceiling_e-J14)-$F$4)</f>
        <v>71</v>
      </c>
      <c r="L14" s="14" t="n">
        <f aca="false">K14+F14*(Half_gap*(Ceiling_e-K14)-$F$4)</f>
        <v>71</v>
      </c>
      <c r="M14" s="14" t="n">
        <f aca="false">L14+G14*(Half_gap*(Ceiling_e-L14)-$F$4)</f>
        <v>78</v>
      </c>
      <c r="N14" s="14" t="n">
        <f aca="false">M14+H14*(Half_gap*(Ceiling_e-M14)-$F$4)</f>
        <v>81.5</v>
      </c>
      <c r="O14" s="14" t="n">
        <f aca="false">N14+I14*(Half_gap*(Ceiling_e-N14)-$F$4)</f>
        <v>81.5</v>
      </c>
      <c r="P14" s="14" t="n">
        <f aca="false">Val_pt*(J14-E_zero)</f>
        <v>0</v>
      </c>
      <c r="Q14" s="14" t="n">
        <f aca="false">Val_pt*(K14-E_zero)</f>
        <v>0</v>
      </c>
      <c r="R14" s="14" t="n">
        <f aca="false">Val_pt*(L14-E_zero)</f>
        <v>0</v>
      </c>
      <c r="S14" s="14" t="n">
        <f aca="false">Val_pt*(M14-E_zero)</f>
        <v>70</v>
      </c>
      <c r="T14" s="14" t="n">
        <f aca="false">Val_pt*(N14-E_zero)</f>
        <v>105</v>
      </c>
      <c r="U14" s="14" t="n">
        <f aca="false">Val_pt*(O14-E_zero)</f>
        <v>105</v>
      </c>
      <c r="V14" s="14" t="n">
        <f aca="false">MAX(W14+Cost_round*D14-P14,IF(D14=1,Pre_q,0))</f>
        <v>520</v>
      </c>
      <c r="W14" s="14" t="n">
        <f aca="false">MAX(X14+Cost_round*E14-Q14,IF(E14=1,Pre_q,0),Floor_q)</f>
        <v>520</v>
      </c>
      <c r="X14" s="14" t="n">
        <f aca="false">MAX(Y14+Cost_round*F14-R14,IF(F14=1,Pre_q,0),Floor_q)</f>
        <v>520</v>
      </c>
      <c r="Y14" s="14" t="n">
        <f aca="false">MAX(Z14+Cost_round*G14-S14,IF(G14=1,Pre_q,0),Floor_q)</f>
        <v>520</v>
      </c>
      <c r="Z14" s="14" t="n">
        <f aca="false">MAX(AA14+Cost_round*H14-T14,IF(H14=1,Pre_q,0),Floor_q)</f>
        <v>470</v>
      </c>
      <c r="AA14" s="14" t="n">
        <f aca="false">MAX(AB14+Cost_round*I14-U14,IF(I14=1,Pre_q,0),Floor_q)</f>
        <v>365</v>
      </c>
      <c r="AB14" s="14" t="n">
        <f aca="false">MAX(End_q,Floor_q)</f>
        <v>470</v>
      </c>
      <c r="AC14" s="15" t="n">
        <f aca="false">IF(Q_zero&gt;=V14-0.000000001,1,0)</f>
        <v>1</v>
      </c>
      <c r="AD14" s="14" t="n">
        <f aca="false">IF($AC14=1,Q_zero-Cost_round*D14+P14-W14,"")</f>
        <v>100</v>
      </c>
      <c r="AE14" s="14" t="n">
        <f aca="false">IF($AC14=1,W14-Cost_round*E14+Q14-X14,"")</f>
        <v>0</v>
      </c>
      <c r="AF14" s="14" t="n">
        <f aca="false">IF($AC14=1,X14-Cost_round*F14+R14-Y14,"")</f>
        <v>0</v>
      </c>
      <c r="AG14" s="14" t="n">
        <f aca="false">IF($AC14=1,Y14-Cost_round*G14+S14-Z14,"")</f>
        <v>0</v>
      </c>
      <c r="AH14" s="14" t="n">
        <f aca="false">IF($AC14=1,Z14-Cost_round*H14+T14-AA14,"")</f>
        <v>90</v>
      </c>
      <c r="AI14" s="14" t="n">
        <f aca="false">IF($AC14=1,AA14-Cost_round*I14+U14-AB14,"")</f>
        <v>0</v>
      </c>
      <c r="AJ14" s="14" t="n">
        <f aca="false">IF($AC14=1,SUM(AD14:AI14),"")</f>
        <v>190</v>
      </c>
      <c r="AK14" s="17" t="n">
        <f aca="false">IF($AC14=1,AD14*Beta_y^1+AE14*Beta_y^2+AF14*Beta_y^3+AG14*Beta_y^4+AH14*Beta_y^5+AI14*Beta_y^6,"")</f>
        <v>146.792009984415</v>
      </c>
      <c r="AL14" s="17" t="n">
        <f aca="false">IF($AC14=1,AK14+Beta_y^6*U14/Hurdle_r,"")</f>
        <v>739.489636540881</v>
      </c>
      <c r="AM14" s="17" t="n">
        <f aca="false">IF($AC14=1,AK14,"")</f>
        <v>146.792009984415</v>
      </c>
      <c r="AN14" s="17" t="n">
        <f aca="false">IF($AC14=1,AK14+Beta_y^6*U14*(1-(1+Hurdle_r)^(-Life_yrs))/Hurdle_r,"")</f>
        <v>651.388911008229</v>
      </c>
      <c r="AO14" s="17" t="n">
        <f aca="false">IF($AC14=1,AJ14+Credit_yrs*U14,"")</f>
        <v>1240</v>
      </c>
      <c r="AP14" s="17" t="n">
        <f aca="false">IF($AC14=1,$AD14/(1+AP$6)^1+$AE14/(1+AP$6)^2+$AF14/(1+AP$6)^3+$AG14/(1+AP$6)^4+$AH14/(1+AP$6)^5+$AI14/(1+AP$6)^6+$U14/AP$6/(1+AP$6)^6,"")</f>
        <v>3105.91706762814</v>
      </c>
      <c r="AQ14" s="17" t="n">
        <f aca="false">IF($AC14=1,$AD14/(1+AQ$6)^1+$AE14/(1+AQ$6)^2+$AF14/(1+AQ$6)^3+$AG14/(1+AQ$6)^4+$AH14/(1+AQ$6)^5+$AI14/(1+AQ$6)^6+$U14/AQ$6/(1+AQ$6)^6,"")</f>
        <v>1732.80778315717</v>
      </c>
      <c r="AR14" s="17" t="n">
        <f aca="false">IF($AC14=1,$AD14/(1+AR$6)^1+$AE14/(1+AR$6)^2+$AF14/(1+AR$6)^3+$AG14/(1+AR$6)^4+$AH14/(1+AR$6)^5+$AI14/(1+AR$6)^6+$U14/AR$6/(1+AR$6)^6,"")</f>
        <v>980.942715609705</v>
      </c>
      <c r="AS14" s="17" t="n">
        <f aca="false">IF($AC14=1,$AD14/(1+AS$6)^1+$AE14/(1+AS$6)^2+$AF14/(1+AS$6)^3+$AG14/(1+AS$6)^4+$AH14/(1+AS$6)^5+$AI14/(1+AS$6)^6+$U14/AS$6/(1+AS$6)^6,"")</f>
        <v>739.489636540881</v>
      </c>
      <c r="AT14" s="17" t="n">
        <f aca="false">IF($AC14=1,$AD14/(1+AT$6)^1+$AE14/(1+AT$6)^2+$AF14/(1+AT$6)^3+$AG14/(1+AT$6)^4+$AH14/(1+AT$6)^5+$AI14/(1+AT$6)^6+$U14/AT$6/(1+AT$6)^6,"")</f>
        <v>583.656362330544</v>
      </c>
      <c r="AU14" s="17" t="n">
        <f aca="false">IF($AC14=1,$AD14/(1+AU$6)^1+$AE14/(1+AU$6)^2+$AF14/(1+AU$6)^3+$AG14/(1+AU$6)^4+$AH14/(1+AU$6)^5+$AI14/(1+AU$6)^6+$U14/AU$6/(1+AU$6)^6,"")</f>
        <v>434.331745054066</v>
      </c>
      <c r="AV14" s="17" t="n">
        <f aca="false">IF($AC14=1,$AD14/(1+AV$6)^1+$AE14/(1+AV$6)^2+$AF14/(1+AV$6)^3+$AG14/(1+AV$6)^4+$AH14/(1+AV$6)^5+$AI14/(1+AV$6)^6+$U14/AV$6/(1+AV$6)^6,"")</f>
        <v>295.323752572017</v>
      </c>
      <c r="AW14" s="17" t="n">
        <f aca="false">IF($AC14=1,$AD14/(1+AW$6)^1+$AE14/(1+AW$6)^2+$AF14/(1+AW$6)^3+$AG14/(1+AW$6)^4+$AH14/(1+AW$6)^5+$AI14/(1+AW$6)^6+$U14/AW$6/(1+AW$6)^6,"")</f>
        <v>173.674367475489</v>
      </c>
      <c r="AX14" s="17" t="n">
        <f aca="false">IF($AC14=1,$AD14/(1+AX$6)^1+$AE14/(1+AX$6)^2+$AF14/(1+AX$6)^3+$AG14/(1+AX$6)^4+$AH14/(1+AX$6)^5+$AI14/(1+AX$6)^6+$U14/AX$6/(1+AX$6)^6,"")</f>
        <v>5348.75548277121</v>
      </c>
      <c r="AY14" s="17" t="n">
        <f aca="false">IF($AC14=1,$AD14/(1+AY$6)^1+$AE14/(1+AY$6)^2+$AF14/(1+AY$6)^3+$AG14/(1+AY$6)^4+$AH14/(1+AY$6)^5+$AI14/(1+AY$6)^6+$U14/AY$6/(1+AY$6)^6,"")</f>
        <v>2494.90058341279</v>
      </c>
      <c r="AZ14" s="17" t="n">
        <f aca="false">IF($AC14=1,$AD14/(1+AZ$6)^1+$AE14/(1+AZ$6)^2+$AF14/(1+AZ$6)^3+$AG14/(1+AZ$6)^4+$AH14/(1+AZ$6)^5+$AI14/(1+AZ$6)^6+$U14/AZ$6/(1+AZ$6)^6,"")</f>
        <v>1100.49332110415</v>
      </c>
      <c r="BA14" s="17" t="n">
        <f aca="false">IF($AC14=1,$AD14/(1+BA$6)^1+$AE14/(1+BA$6)^2+$AF14/(1+BA$6)^3+$AG14/(1+BA$6)^4+$AH14/(1+BA$6)^5+$AI14/(1+BA$6)^6+$U14/BA$6/(1+BA$6)^6,"")</f>
        <v>452.356687924099</v>
      </c>
      <c r="BB14" s="17" t="n">
        <f aca="false">IF($AC14=1,$AD14/(1+BB$6)^1+$AE14/(1+BB$6)^2+$AF14/(1+BB$6)^3+$AG14/(1+BB$6)^4+$AH14/(1+BB$6)^5+$AI14/(1+BB$6)^6+$U14/BB$6/(1+BB$6)^6,"")</f>
        <v>174.619068648466</v>
      </c>
    </row>
    <row r="15" customFormat="false" ht="15" hidden="false" customHeight="false" outlineLevel="0" collapsed="false">
      <c r="A15" s="2" t="n">
        <v>7</v>
      </c>
      <c r="B15" s="2" t="str">
        <f aca="false">D15&amp;E15&amp;F15&amp;G15&amp;H15&amp;I15</f>
        <v>000111</v>
      </c>
      <c r="C15" s="15" t="n">
        <f aca="false">SUM(D15:I15)</f>
        <v>3</v>
      </c>
      <c r="D15" s="15" t="n">
        <f aca="false">MOD(INT($A15/32),2)</f>
        <v>0</v>
      </c>
      <c r="E15" s="15" t="n">
        <f aca="false">MOD(INT($A15/16),2)</f>
        <v>0</v>
      </c>
      <c r="F15" s="15" t="n">
        <f aca="false">MOD(INT($A15/8),2)</f>
        <v>0</v>
      </c>
      <c r="G15" s="15" t="n">
        <f aca="false">MOD(INT($A15/4),2)</f>
        <v>1</v>
      </c>
      <c r="H15" s="15" t="n">
        <f aca="false">MOD(INT($A15/2),2)</f>
        <v>1</v>
      </c>
      <c r="I15" s="15" t="n">
        <f aca="false">MOD(INT($A15/1),2)</f>
        <v>1</v>
      </c>
      <c r="J15" s="14" t="n">
        <f aca="false">E_zero+D15*(Half_gap*(Ceiling_e-E_zero)-$F$4)</f>
        <v>71</v>
      </c>
      <c r="K15" s="14" t="n">
        <f aca="false">J15+E15*(Half_gap*(Ceiling_e-J15)-$F$4)</f>
        <v>71</v>
      </c>
      <c r="L15" s="14" t="n">
        <f aca="false">K15+F15*(Half_gap*(Ceiling_e-K15)-$F$4)</f>
        <v>71</v>
      </c>
      <c r="M15" s="14" t="n">
        <f aca="false">L15+G15*(Half_gap*(Ceiling_e-L15)-$F$4)</f>
        <v>78</v>
      </c>
      <c r="N15" s="14" t="n">
        <f aca="false">M15+H15*(Half_gap*(Ceiling_e-M15)-$F$4)</f>
        <v>81.5</v>
      </c>
      <c r="O15" s="14" t="n">
        <f aca="false">N15+I15*(Half_gap*(Ceiling_e-N15)-$F$4)</f>
        <v>83.25</v>
      </c>
      <c r="P15" s="14" t="n">
        <f aca="false">Val_pt*(J15-E_zero)</f>
        <v>0</v>
      </c>
      <c r="Q15" s="14" t="n">
        <f aca="false">Val_pt*(K15-E_zero)</f>
        <v>0</v>
      </c>
      <c r="R15" s="14" t="n">
        <f aca="false">Val_pt*(L15-E_zero)</f>
        <v>0</v>
      </c>
      <c r="S15" s="14" t="n">
        <f aca="false">Val_pt*(M15-E_zero)</f>
        <v>70</v>
      </c>
      <c r="T15" s="14" t="n">
        <f aca="false">Val_pt*(N15-E_zero)</f>
        <v>105</v>
      </c>
      <c r="U15" s="14" t="n">
        <f aca="false">Val_pt*(O15-E_zero)</f>
        <v>122.5</v>
      </c>
      <c r="V15" s="14" t="n">
        <f aca="false">MAX(W15+Cost_round*D15-P15,IF(D15=1,Pre_q,0))</f>
        <v>535</v>
      </c>
      <c r="W15" s="14" t="n">
        <f aca="false">MAX(X15+Cost_round*E15-Q15,IF(E15=1,Pre_q,0),Floor_q)</f>
        <v>535</v>
      </c>
      <c r="X15" s="14" t="n">
        <f aca="false">MAX(Y15+Cost_round*F15-R15,IF(F15=1,Pre_q,0),Floor_q)</f>
        <v>535</v>
      </c>
      <c r="Y15" s="14" t="n">
        <f aca="false">MAX(Z15+Cost_round*G15-S15,IF(G15=1,Pre_q,0),Floor_q)</f>
        <v>535</v>
      </c>
      <c r="Z15" s="14" t="n">
        <f aca="false">MAX(AA15+Cost_round*H15-T15,IF(H15=1,Pre_q,0),Floor_q)</f>
        <v>485</v>
      </c>
      <c r="AA15" s="14" t="n">
        <f aca="false">MAX(AB15+Cost_round*I15-U15,IF(I15=1,Pre_q,0),Floor_q)</f>
        <v>470</v>
      </c>
      <c r="AB15" s="14" t="n">
        <f aca="false">MAX(End_q,Floor_q)</f>
        <v>470</v>
      </c>
      <c r="AC15" s="15" t="n">
        <f aca="false">IF(Q_zero&gt;=V15-0.000000001,1,0)</f>
        <v>1</v>
      </c>
      <c r="AD15" s="14" t="n">
        <f aca="false">IF($AC15=1,Q_zero-Cost_round*D15+P15-W15,"")</f>
        <v>85</v>
      </c>
      <c r="AE15" s="14" t="n">
        <f aca="false">IF($AC15=1,W15-Cost_round*E15+Q15-X15,"")</f>
        <v>0</v>
      </c>
      <c r="AF15" s="14" t="n">
        <f aca="false">IF($AC15=1,X15-Cost_round*F15+R15-Y15,"")</f>
        <v>0</v>
      </c>
      <c r="AG15" s="14" t="n">
        <f aca="false">IF($AC15=1,Y15-Cost_round*G15+S15-Z15,"")</f>
        <v>0</v>
      </c>
      <c r="AH15" s="14" t="n">
        <f aca="false">IF($AC15=1,Z15-Cost_round*H15+T15-AA15,"")</f>
        <v>0</v>
      </c>
      <c r="AI15" s="14" t="n">
        <f aca="false">IF($AC15=1,AA15-Cost_round*I15+U15-AB15,"")</f>
        <v>2.5</v>
      </c>
      <c r="AJ15" s="14" t="n">
        <f aca="false">IF($AC15=1,SUM(AD15:AI15),"")</f>
        <v>87.5</v>
      </c>
      <c r="AK15" s="17" t="n">
        <f aca="false">IF($AC15=1,AD15*Beta_y^1+AE15*Beta_y^2+AF15*Beta_y^3+AG15*Beta_y^4+AH15*Beta_y^5+AI15*Beta_y^6,"")</f>
        <v>78.6839120978617</v>
      </c>
      <c r="AL15" s="17" t="n">
        <f aca="false">IF($AC15=1,AK15+Beta_y^6*U15/Hurdle_r,"")</f>
        <v>770.164476413739</v>
      </c>
      <c r="AM15" s="17" t="n">
        <f aca="false">IF($AC15=1,AK15,"")</f>
        <v>78.6839120978617</v>
      </c>
      <c r="AN15" s="17" t="n">
        <f aca="false">IF($AC15=1,AK15+Beta_y^6*U15*(1-(1+Hurdle_r)^(-Life_yrs))/Hurdle_r,"")</f>
        <v>667.380296625645</v>
      </c>
      <c r="AO15" s="17" t="n">
        <f aca="false">IF($AC15=1,AJ15+Credit_yrs*U15,"")</f>
        <v>1312.5</v>
      </c>
      <c r="AP15" s="17" t="n">
        <f aca="false">IF($AC15=1,$AD15/(1+AP$6)^1+$AE15/(1+AP$6)^2+$AF15/(1+AP$6)^3+$AG15/(1+AP$6)^4+$AH15/(1+AP$6)^5+$AI15/(1+AP$6)^6+$U15/AP$6/(1+AP$6)^6,"")</f>
        <v>3504.34536394462</v>
      </c>
      <c r="AQ15" s="17" t="n">
        <f aca="false">IF($AC15=1,$AD15/(1+AQ$6)^1+$AE15/(1+AQ$6)^2+$AF15/(1+AQ$6)^3+$AG15/(1+AQ$6)^4+$AH15/(1+AQ$6)^5+$AI15/(1+AQ$6)^6+$U15/AQ$6/(1+AQ$6)^6,"")</f>
        <v>1911.04564120371</v>
      </c>
      <c r="AR15" s="17" t="n">
        <f aca="false">IF($AC15=1,$AD15/(1+AR$6)^1+$AE15/(1+AR$6)^2+$AF15/(1+AR$6)^3+$AG15/(1+AR$6)^4+$AH15/(1+AR$6)^5+$AI15/(1+AR$6)^6+$U15/AR$6/(1+AR$6)^6,"")</f>
        <v>1045.22636893567</v>
      </c>
      <c r="AS15" s="17" t="n">
        <f aca="false">IF($AC15=1,$AD15/(1+AS$6)^1+$AE15/(1+AS$6)^2+$AF15/(1+AS$6)^3+$AG15/(1+AS$6)^4+$AH15/(1+AS$6)^5+$AI15/(1+AS$6)^6+$U15/AS$6/(1+AS$6)^6,"")</f>
        <v>770.164476413739</v>
      </c>
      <c r="AT15" s="17" t="n">
        <f aca="false">IF($AC15=1,$AD15/(1+AT$6)^1+$AE15/(1+AT$6)^2+$AF15/(1+AT$6)^3+$AG15/(1+AT$6)^4+$AH15/(1+AT$6)^5+$AI15/(1+AT$6)^6+$U15/AT$6/(1+AT$6)^6,"")</f>
        <v>594.345371147649</v>
      </c>
      <c r="AU15" s="17" t="n">
        <f aca="false">IF($AC15=1,$AD15/(1+AU$6)^1+$AE15/(1+AU$6)^2+$AF15/(1+AU$6)^3+$AG15/(1+AU$6)^4+$AH15/(1+AU$6)^5+$AI15/(1+AU$6)^6+$U15/AU$6/(1+AU$6)^6,"")</f>
        <v>428.061399129144</v>
      </c>
      <c r="AV15" s="17" t="n">
        <f aca="false">IF($AC15=1,$AD15/(1+AV$6)^1+$AE15/(1+AV$6)^2+$AF15/(1+AV$6)^3+$AG15/(1+AV$6)^4+$AH15/(1+AV$6)^5+$AI15/(1+AV$6)^6+$U15/AV$6/(1+AV$6)^6,"")</f>
        <v>276.79558899177</v>
      </c>
      <c r="AW15" s="17" t="n">
        <f aca="false">IF($AC15=1,$AD15/(1+AW$6)^1+$AE15/(1+AW$6)^2+$AF15/(1+AW$6)^3+$AG15/(1+AW$6)^4+$AH15/(1+AW$6)^5+$AI15/(1+AW$6)^6+$U15/AW$6/(1+AW$6)^6,"")</f>
        <v>150.499508750674</v>
      </c>
      <c r="AX15" s="17" t="n">
        <f aca="false">IF($AC15=1,$AD15/(1+AX$6)^1+$AE15/(1+AX$6)^2+$AF15/(1+AX$6)^3+$AG15/(1+AX$6)^4+$AH15/(1+AX$6)^5+$AI15/(1+AX$6)^6+$U15/AX$6/(1+AX$6)^6,"")</f>
        <v>6115.42659145845</v>
      </c>
      <c r="AY15" s="17" t="n">
        <f aca="false">IF($AC15=1,$AD15/(1+AY$6)^1+$AE15/(1+AY$6)^2+$AF15/(1+AY$6)^3+$AG15/(1+AY$6)^4+$AH15/(1+AY$6)^5+$AI15/(1+AY$6)^6+$U15/AY$6/(1+AY$6)^6,"")</f>
        <v>2794.39425580705</v>
      </c>
      <c r="AZ15" s="17" t="n">
        <f aca="false">IF($AC15=1,$AD15/(1+AZ$6)^1+$AE15/(1+AZ$6)^2+$AF15/(1+AZ$6)^3+$AG15/(1+AZ$6)^4+$AH15/(1+AZ$6)^5+$AI15/(1+AZ$6)^6+$U15/AZ$6/(1+AZ$6)^6,"")</f>
        <v>1182.18167642144</v>
      </c>
      <c r="BA15" s="17" t="n">
        <f aca="false">IF($AC15=1,$AD15/(1+BA$6)^1+$AE15/(1+BA$6)^2+$AF15/(1+BA$6)^3+$AG15/(1+BA$6)^4+$AH15/(1+BA$6)^5+$AI15/(1+BA$6)^6+$U15/BA$6/(1+BA$6)^6,"")</f>
        <v>447.973882115992</v>
      </c>
      <c r="BB15" s="17" t="n">
        <f aca="false">IF($AC15=1,$AD15/(1+BB$6)^1+$AE15/(1+BB$6)^2+$AF15/(1+BB$6)^3+$AG15/(1+BB$6)^4+$AH15/(1+BB$6)^5+$AI15/(1+BB$6)^6+$U15/BB$6/(1+BB$6)^6,"")</f>
        <v>151.439928408911</v>
      </c>
    </row>
    <row r="16" customFormat="false" ht="15" hidden="false" customHeight="false" outlineLevel="0" collapsed="false">
      <c r="A16" s="2" t="n">
        <v>8</v>
      </c>
      <c r="B16" s="2" t="str">
        <f aca="false">D16&amp;E16&amp;F16&amp;G16&amp;H16&amp;I16</f>
        <v>001000</v>
      </c>
      <c r="C16" s="15" t="n">
        <f aca="false">SUM(D16:I16)</f>
        <v>1</v>
      </c>
      <c r="D16" s="15" t="n">
        <f aca="false">MOD(INT($A16/32),2)</f>
        <v>0</v>
      </c>
      <c r="E16" s="15" t="n">
        <f aca="false">MOD(INT($A16/16),2)</f>
        <v>0</v>
      </c>
      <c r="F16" s="15" t="n">
        <f aca="false">MOD(INT($A16/8),2)</f>
        <v>1</v>
      </c>
      <c r="G16" s="15" t="n">
        <f aca="false">MOD(INT($A16/4),2)</f>
        <v>0</v>
      </c>
      <c r="H16" s="15" t="n">
        <f aca="false">MOD(INT($A16/2),2)</f>
        <v>0</v>
      </c>
      <c r="I16" s="15" t="n">
        <f aca="false">MOD(INT($A16/1),2)</f>
        <v>0</v>
      </c>
      <c r="J16" s="14" t="n">
        <f aca="false">E_zero+D16*(Half_gap*(Ceiling_e-E_zero)-$F$4)</f>
        <v>71</v>
      </c>
      <c r="K16" s="14" t="n">
        <f aca="false">J16+E16*(Half_gap*(Ceiling_e-J16)-$F$4)</f>
        <v>71</v>
      </c>
      <c r="L16" s="14" t="n">
        <f aca="false">K16+F16*(Half_gap*(Ceiling_e-K16)-$F$4)</f>
        <v>78</v>
      </c>
      <c r="M16" s="14" t="n">
        <f aca="false">L16+G16*(Half_gap*(Ceiling_e-L16)-$F$4)</f>
        <v>78</v>
      </c>
      <c r="N16" s="14" t="n">
        <f aca="false">M16+H16*(Half_gap*(Ceiling_e-M16)-$F$4)</f>
        <v>78</v>
      </c>
      <c r="O16" s="14" t="n">
        <f aca="false">N16+I16*(Half_gap*(Ceiling_e-N16)-$F$4)</f>
        <v>78</v>
      </c>
      <c r="P16" s="14" t="n">
        <f aca="false">Val_pt*(J16-E_zero)</f>
        <v>0</v>
      </c>
      <c r="Q16" s="14" t="n">
        <f aca="false">Val_pt*(K16-E_zero)</f>
        <v>0</v>
      </c>
      <c r="R16" s="14" t="n">
        <f aca="false">Val_pt*(L16-E_zero)</f>
        <v>70</v>
      </c>
      <c r="S16" s="14" t="n">
        <f aca="false">Val_pt*(M16-E_zero)</f>
        <v>70</v>
      </c>
      <c r="T16" s="14" t="n">
        <f aca="false">Val_pt*(N16-E_zero)</f>
        <v>70</v>
      </c>
      <c r="U16" s="14" t="n">
        <f aca="false">Val_pt*(O16-E_zero)</f>
        <v>70</v>
      </c>
      <c r="V16" s="14" t="n">
        <f aca="false">MAX(W16+Cost_round*D16-P16,IF(D16=1,Pre_q,0))</f>
        <v>470</v>
      </c>
      <c r="W16" s="14" t="n">
        <f aca="false">MAX(X16+Cost_round*E16-Q16,IF(E16=1,Pre_q,0),Floor_q)</f>
        <v>470</v>
      </c>
      <c r="X16" s="14" t="n">
        <f aca="false">MAX(Y16+Cost_round*F16-R16,IF(F16=1,Pre_q,0),Floor_q)</f>
        <v>470</v>
      </c>
      <c r="Y16" s="14" t="n">
        <f aca="false">MAX(Z16+Cost_round*G16-S16,IF(G16=1,Pre_q,0),Floor_q)</f>
        <v>350</v>
      </c>
      <c r="Z16" s="14" t="n">
        <f aca="false">MAX(AA16+Cost_round*H16-T16,IF(H16=1,Pre_q,0),Floor_q)</f>
        <v>350</v>
      </c>
      <c r="AA16" s="14" t="n">
        <f aca="false">MAX(AB16+Cost_round*I16-U16,IF(I16=1,Pre_q,0),Floor_q)</f>
        <v>400</v>
      </c>
      <c r="AB16" s="14" t="n">
        <f aca="false">MAX(End_q,Floor_q)</f>
        <v>470</v>
      </c>
      <c r="AC16" s="15" t="n">
        <f aca="false">IF(Q_zero&gt;=V16-0.000000001,1,0)</f>
        <v>1</v>
      </c>
      <c r="AD16" s="14" t="n">
        <f aca="false">IF($AC16=1,Q_zero-Cost_round*D16+P16-W16,"")</f>
        <v>150</v>
      </c>
      <c r="AE16" s="14" t="n">
        <f aca="false">IF($AC16=1,W16-Cost_round*E16+Q16-X16,"")</f>
        <v>0</v>
      </c>
      <c r="AF16" s="14" t="n">
        <f aca="false">IF($AC16=1,X16-Cost_round*F16+R16-Y16,"")</f>
        <v>70</v>
      </c>
      <c r="AG16" s="14" t="n">
        <f aca="false">IF($AC16=1,Y16-Cost_round*G16+S16-Z16,"")</f>
        <v>70</v>
      </c>
      <c r="AH16" s="14" t="n">
        <f aca="false">IF($AC16=1,Z16-Cost_round*H16+T16-AA16,"")</f>
        <v>20</v>
      </c>
      <c r="AI16" s="14" t="n">
        <f aca="false">IF($AC16=1,AA16-Cost_round*I16+U16-AB16,"")</f>
        <v>0</v>
      </c>
      <c r="AJ16" s="14" t="n">
        <f aca="false">IF($AC16=1,SUM(AD16:AI16),"")</f>
        <v>310</v>
      </c>
      <c r="AK16" s="17" t="n">
        <f aca="false">IF($AC16=1,AD16*Beta_y^1+AE16*Beta_y^2+AF16*Beta_y^3+AG16*Beta_y^4+AH16*Beta_y^5+AI16*Beta_y^6,"")</f>
        <v>249.185040763485</v>
      </c>
      <c r="AL16" s="17" t="n">
        <f aca="false">IF($AC16=1,AK16+Beta_y^6*U16/Hurdle_r,"")</f>
        <v>644.316791801129</v>
      </c>
      <c r="AM16" s="17" t="n">
        <f aca="false">IF($AC16=1,AK16,"")</f>
        <v>249.185040763485</v>
      </c>
      <c r="AN16" s="17" t="n">
        <f aca="false">IF($AC16=1,AK16+Beta_y^6*U16*(1-(1+Hurdle_r)^(-Life_yrs))/Hurdle_r,"")</f>
        <v>585.582974779361</v>
      </c>
      <c r="AO16" s="17" t="n">
        <f aca="false">IF($AC16=1,AJ16+Credit_yrs*U16,"")</f>
        <v>1010</v>
      </c>
      <c r="AP16" s="17" t="n">
        <f aca="false">IF($AC16=1,$AD16/(1+AP$6)^1+$AE16/(1+AP$6)^2+$AF16/(1+AP$6)^3+$AG16/(1+AP$6)^4+$AH16/(1+AP$6)^5+$AI16/(1+AP$6)^6+$U16/AP$6/(1+AP$6)^6,"")</f>
        <v>2243.26718541953</v>
      </c>
      <c r="AQ16" s="17" t="n">
        <f aca="false">IF($AC16=1,$AD16/(1+AQ$6)^1+$AE16/(1+AQ$6)^2+$AF16/(1+AQ$6)^3+$AG16/(1+AQ$6)^4+$AH16/(1+AQ$6)^5+$AI16/(1+AQ$6)^6+$U16/AQ$6/(1+AQ$6)^6,"")</f>
        <v>1321.28702661043</v>
      </c>
      <c r="AR16" s="17" t="n">
        <f aca="false">IF($AC16=1,$AD16/(1+AR$6)^1+$AE16/(1+AR$6)^2+$AF16/(1+AR$6)^3+$AG16/(1+AR$6)^4+$AH16/(1+AR$6)^5+$AI16/(1+AR$6)^6+$U16/AR$6/(1+AR$6)^6,"")</f>
        <v>810.919322919444</v>
      </c>
      <c r="AS16" s="17" t="n">
        <f aca="false">IF($AC16=1,$AD16/(1+AS$6)^1+$AE16/(1+AS$6)^2+$AF16/(1+AS$6)^3+$AG16/(1+AS$6)^4+$AH16/(1+AS$6)^5+$AI16/(1+AS$6)^6+$U16/AS$6/(1+AS$6)^6,"")</f>
        <v>644.316791801129</v>
      </c>
      <c r="AT16" s="17" t="n">
        <f aca="false">IF($AC16=1,$AD16/(1+AT$6)^1+$AE16/(1+AT$6)^2+$AF16/(1+AT$6)^3+$AG16/(1+AT$6)^4+$AH16/(1+AT$6)^5+$AI16/(1+AT$6)^6+$U16/AT$6/(1+AT$6)^6,"")</f>
        <v>535.122812064991</v>
      </c>
      <c r="AU16" s="17" t="n">
        <f aca="false">IF($AC16=1,$AD16/(1+AU$6)^1+$AE16/(1+AU$6)^2+$AF16/(1+AU$6)^3+$AG16/(1+AU$6)^4+$AH16/(1+AU$6)^5+$AI16/(1+AU$6)^6+$U16/AU$6/(1+AU$6)^6,"")</f>
        <v>428.180058868473</v>
      </c>
      <c r="AV16" s="17" t="n">
        <f aca="false">IF($AC16=1,$AD16/(1+AV$6)^1+$AE16/(1+AV$6)^2+$AF16/(1+AV$6)^3+$AG16/(1+AV$6)^4+$AH16/(1+AV$6)^5+$AI16/(1+AV$6)^6+$U16/AV$6/(1+AV$6)^6,"")</f>
        <v>324.518818587106</v>
      </c>
      <c r="AW16" s="17" t="n">
        <f aca="false">IF($AC16=1,$AD16/(1+AW$6)^1+$AE16/(1+AW$6)^2+$AF16/(1+AW$6)^3+$AG16/(1+AW$6)^4+$AH16/(1+AW$6)^5+$AI16/(1+AW$6)^6+$U16/AW$6/(1+AW$6)^6,"")</f>
        <v>225.482888039144</v>
      </c>
      <c r="AX16" s="17" t="n">
        <f aca="false">IF($AC16=1,$AD16/(1+AX$6)^1+$AE16/(1+AX$6)^2+$AF16/(1+AX$6)^3+$AG16/(1+AX$6)^4+$AH16/(1+AX$6)^5+$AI16/(1+AX$6)^6+$U16/AX$6/(1+AX$6)^6,"")</f>
        <v>3742.56059597023</v>
      </c>
      <c r="AY16" s="17" t="n">
        <f aca="false">IF($AC16=1,$AD16/(1+AY$6)^1+$AE16/(1+AY$6)^2+$AF16/(1+AY$6)^3+$AG16/(1+AY$6)^4+$AH16/(1+AY$6)^5+$AI16/(1+AY$6)^6+$U16/AY$6/(1+AY$6)^6,"")</f>
        <v>1833.75462875935</v>
      </c>
      <c r="AZ16" s="17" t="n">
        <f aca="false">IF($AC16=1,$AD16/(1+AZ$6)^1+$AE16/(1+AZ$6)^2+$AF16/(1+AZ$6)^3+$AG16/(1+AZ$6)^4+$AH16/(1+AZ$6)^5+$AI16/(1+AZ$6)^6+$U16/AZ$6/(1+AZ$6)^6,"")</f>
        <v>892.69866414409</v>
      </c>
      <c r="BA16" s="17" t="n">
        <f aca="false">IF($AC16=1,$AD16/(1+BA$6)^1+$AE16/(1+BA$6)^2+$AF16/(1+BA$6)^3+$AG16/(1+BA$6)^4+$AH16/(1+BA$6)^5+$AI16/(1+BA$6)^6+$U16/BA$6/(1+BA$6)^6,"")</f>
        <v>441.265496148116</v>
      </c>
      <c r="BB16" s="17" t="n">
        <f aca="false">IF($AC16=1,$AD16/(1+BB$6)^1+$AE16/(1+BB$6)^2+$AF16/(1+BB$6)^3+$AG16/(1+BB$6)^4+$AH16/(1+BB$6)^5+$AI16/(1+BB$6)^6+$U16/BB$6/(1+BB$6)^6,"")</f>
        <v>226.315189374144</v>
      </c>
    </row>
    <row r="17" customFormat="false" ht="15" hidden="false" customHeight="false" outlineLevel="0" collapsed="false">
      <c r="A17" s="2" t="n">
        <v>9</v>
      </c>
      <c r="B17" s="2" t="str">
        <f aca="false">D17&amp;E17&amp;F17&amp;G17&amp;H17&amp;I17</f>
        <v>001001</v>
      </c>
      <c r="C17" s="15" t="n">
        <f aca="false">SUM(D17:I17)</f>
        <v>2</v>
      </c>
      <c r="D17" s="15" t="n">
        <f aca="false">MOD(INT($A17/32),2)</f>
        <v>0</v>
      </c>
      <c r="E17" s="15" t="n">
        <f aca="false">MOD(INT($A17/16),2)</f>
        <v>0</v>
      </c>
      <c r="F17" s="15" t="n">
        <f aca="false">MOD(INT($A17/8),2)</f>
        <v>1</v>
      </c>
      <c r="G17" s="15" t="n">
        <f aca="false">MOD(INT($A17/4),2)</f>
        <v>0</v>
      </c>
      <c r="H17" s="15" t="n">
        <f aca="false">MOD(INT($A17/2),2)</f>
        <v>0</v>
      </c>
      <c r="I17" s="15" t="n">
        <f aca="false">MOD(INT($A17/1),2)</f>
        <v>1</v>
      </c>
      <c r="J17" s="14" t="n">
        <f aca="false">E_zero+D17*(Half_gap*(Ceiling_e-E_zero)-$F$4)</f>
        <v>71</v>
      </c>
      <c r="K17" s="14" t="n">
        <f aca="false">J17+E17*(Half_gap*(Ceiling_e-J17)-$F$4)</f>
        <v>71</v>
      </c>
      <c r="L17" s="14" t="n">
        <f aca="false">K17+F17*(Half_gap*(Ceiling_e-K17)-$F$4)</f>
        <v>78</v>
      </c>
      <c r="M17" s="14" t="n">
        <f aca="false">L17+G17*(Half_gap*(Ceiling_e-L17)-$F$4)</f>
        <v>78</v>
      </c>
      <c r="N17" s="14" t="n">
        <f aca="false">M17+H17*(Half_gap*(Ceiling_e-M17)-$F$4)</f>
        <v>78</v>
      </c>
      <c r="O17" s="14" t="n">
        <f aca="false">N17+I17*(Half_gap*(Ceiling_e-N17)-$F$4)</f>
        <v>81.5</v>
      </c>
      <c r="P17" s="14" t="n">
        <f aca="false">Val_pt*(J17-E_zero)</f>
        <v>0</v>
      </c>
      <c r="Q17" s="14" t="n">
        <f aca="false">Val_pt*(K17-E_zero)</f>
        <v>0</v>
      </c>
      <c r="R17" s="14" t="n">
        <f aca="false">Val_pt*(L17-E_zero)</f>
        <v>70</v>
      </c>
      <c r="S17" s="14" t="n">
        <f aca="false">Val_pt*(M17-E_zero)</f>
        <v>70</v>
      </c>
      <c r="T17" s="14" t="n">
        <f aca="false">Val_pt*(N17-E_zero)</f>
        <v>70</v>
      </c>
      <c r="U17" s="14" t="n">
        <f aca="false">Val_pt*(O17-E_zero)</f>
        <v>105</v>
      </c>
      <c r="V17" s="14" t="n">
        <f aca="false">MAX(W17+Cost_round*D17-P17,IF(D17=1,Pre_q,0))</f>
        <v>470</v>
      </c>
      <c r="W17" s="14" t="n">
        <f aca="false">MAX(X17+Cost_round*E17-Q17,IF(E17=1,Pre_q,0),Floor_q)</f>
        <v>470</v>
      </c>
      <c r="X17" s="14" t="n">
        <f aca="false">MAX(Y17+Cost_round*F17-R17,IF(F17=1,Pre_q,0),Floor_q)</f>
        <v>470</v>
      </c>
      <c r="Y17" s="14" t="n">
        <f aca="false">MAX(Z17+Cost_round*G17-S17,IF(G17=1,Pre_q,0),Floor_q)</f>
        <v>350</v>
      </c>
      <c r="Z17" s="14" t="n">
        <f aca="false">MAX(AA17+Cost_round*H17-T17,IF(H17=1,Pre_q,0),Floor_q)</f>
        <v>415</v>
      </c>
      <c r="AA17" s="14" t="n">
        <f aca="false">MAX(AB17+Cost_round*I17-U17,IF(I17=1,Pre_q,0),Floor_q)</f>
        <v>485</v>
      </c>
      <c r="AB17" s="14" t="n">
        <f aca="false">MAX(End_q,Floor_q)</f>
        <v>470</v>
      </c>
      <c r="AC17" s="15" t="n">
        <f aca="false">IF(Q_zero&gt;=V17-0.000000001,1,0)</f>
        <v>1</v>
      </c>
      <c r="AD17" s="14" t="n">
        <f aca="false">IF($AC17=1,Q_zero-Cost_round*D17+P17-W17,"")</f>
        <v>150</v>
      </c>
      <c r="AE17" s="14" t="n">
        <f aca="false">IF($AC17=1,W17-Cost_round*E17+Q17-X17,"")</f>
        <v>0</v>
      </c>
      <c r="AF17" s="14" t="n">
        <f aca="false">IF($AC17=1,X17-Cost_round*F17+R17-Y17,"")</f>
        <v>70</v>
      </c>
      <c r="AG17" s="14" t="n">
        <f aca="false">IF($AC17=1,Y17-Cost_round*G17+S17-Z17,"")</f>
        <v>5</v>
      </c>
      <c r="AH17" s="14" t="n">
        <f aca="false">IF($AC17=1,Z17-Cost_round*H17+T17-AA17,"")</f>
        <v>0</v>
      </c>
      <c r="AI17" s="14" t="n">
        <f aca="false">IF($AC17=1,AA17-Cost_round*I17+U17-AB17,"")</f>
        <v>0</v>
      </c>
      <c r="AJ17" s="14" t="n">
        <f aca="false">IF($AC17=1,SUM(AD17:AI17),"")</f>
        <v>225</v>
      </c>
      <c r="AK17" s="17" t="n">
        <f aca="false">IF($AC17=1,AD17*Beta_y^1+AE17*Beta_y^2+AF17*Beta_y^3+AG17*Beta_y^4+AH17*Beta_y^5+AI17*Beta_y^6,"")</f>
        <v>192.370739703572</v>
      </c>
      <c r="AL17" s="17" t="n">
        <f aca="false">IF($AC17=1,AK17+Beta_y^6*U17/Hurdle_r,"")</f>
        <v>785.068366260038</v>
      </c>
      <c r="AM17" s="17" t="n">
        <f aca="false">IF($AC17=1,AK17,"")</f>
        <v>192.370739703572</v>
      </c>
      <c r="AN17" s="17" t="n">
        <f aca="false">IF($AC17=1,AK17+Beta_y^6*U17*(1-(1+Hurdle_r)^(-Life_yrs))/Hurdle_r,"")</f>
        <v>696.967640727386</v>
      </c>
      <c r="AO17" s="17" t="n">
        <f aca="false">IF($AC17=1,AJ17+Credit_yrs*U17,"")</f>
        <v>1275</v>
      </c>
      <c r="AP17" s="17" t="n">
        <f aca="false">IF($AC17=1,$AD17/(1+AP$6)^1+$AE17/(1+AP$6)^2+$AF17/(1+AP$6)^3+$AG17/(1+AP$6)^4+$AH17/(1+AP$6)^5+$AI17/(1+AP$6)^6+$U17/AP$6/(1+AP$6)^6,"")</f>
        <v>3145.32831774826</v>
      </c>
      <c r="AQ17" s="17" t="n">
        <f aca="false">IF($AC17=1,$AD17/(1+AQ$6)^1+$AE17/(1+AQ$6)^2+$AF17/(1+AQ$6)^3+$AG17/(1+AQ$6)^4+$AH17/(1+AQ$6)^5+$AI17/(1+AQ$6)^6+$U17/AQ$6/(1+AQ$6)^6,"")</f>
        <v>1774.49162006522</v>
      </c>
      <c r="AR17" s="17" t="n">
        <f aca="false">IF($AC17=1,$AD17/(1+AR$6)^1+$AE17/(1+AR$6)^2+$AF17/(1+AR$6)^3+$AG17/(1+AR$6)^4+$AH17/(1+AR$6)^5+$AI17/(1+AR$6)^6+$U17/AR$6/(1+AR$6)^6,"")</f>
        <v>1025.22993030836</v>
      </c>
      <c r="AS17" s="17" t="n">
        <f aca="false">IF($AC17=1,$AD17/(1+AS$6)^1+$AE17/(1+AS$6)^2+$AF17/(1+AS$6)^3+$AG17/(1+AS$6)^4+$AH17/(1+AS$6)^5+$AI17/(1+AS$6)^6+$U17/AS$6/(1+AS$6)^6,"")</f>
        <v>785.068366260038</v>
      </c>
      <c r="AT17" s="17" t="n">
        <f aca="false">IF($AC17=1,$AD17/(1+AT$6)^1+$AE17/(1+AT$6)^2+$AF17/(1+AT$6)^3+$AG17/(1+AT$6)^4+$AH17/(1+AT$6)^5+$AI17/(1+AT$6)^6+$U17/AT$6/(1+AT$6)^6,"")</f>
        <v>630.23301019769</v>
      </c>
      <c r="AU17" s="17" t="n">
        <f aca="false">IF($AC17=1,$AD17/(1+AU$6)^1+$AE17/(1+AU$6)^2+$AF17/(1+AU$6)^3+$AG17/(1+AU$6)^4+$AH17/(1+AU$6)^5+$AI17/(1+AU$6)^6+$U17/AU$6/(1+AU$6)^6,"")</f>
        <v>481.94900224499</v>
      </c>
      <c r="AV17" s="17" t="n">
        <f aca="false">IF($AC17=1,$AD17/(1+AV$6)^1+$AE17/(1+AV$6)^2+$AF17/(1+AV$6)^3+$AG17/(1+AV$6)^4+$AH17/(1+AV$6)^5+$AI17/(1+AV$6)^6+$U17/AV$6/(1+AV$6)^6,"")</f>
        <v>343.74196244856</v>
      </c>
      <c r="AW17" s="17" t="n">
        <f aca="false">IF($AC17=1,$AD17/(1+AW$6)^1+$AE17/(1+AW$6)^2+$AF17/(1+AW$6)^3+$AG17/(1+AW$6)^4+$AH17/(1+AW$6)^5+$AI17/(1+AW$6)^6+$U17/AW$6/(1+AW$6)^6,"")</f>
        <v>221.508557724161</v>
      </c>
      <c r="AX17" s="17" t="n">
        <f aca="false">IF($AC17=1,$AD17/(1+AX$6)^1+$AE17/(1+AX$6)^2+$AF17/(1+AX$6)^3+$AG17/(1+AX$6)^4+$AH17/(1+AX$6)^5+$AI17/(1+AX$6)^6+$U17/AX$6/(1+AX$6)^6,"")</f>
        <v>5386.5920262215</v>
      </c>
      <c r="AY17" s="17" t="n">
        <f aca="false">IF($AC17=1,$AD17/(1+AY$6)^1+$AE17/(1+AY$6)^2+$AF17/(1+AY$6)^3+$AG17/(1+AY$6)^4+$AH17/(1+AY$6)^5+$AI17/(1+AY$6)^6+$U17/AY$6/(1+AY$6)^6,"")</f>
        <v>2535.09841534487</v>
      </c>
      <c r="AZ17" s="17" t="n">
        <f aca="false">IF($AC17=1,$AD17/(1+AZ$6)^1+$AE17/(1+AZ$6)^2+$AF17/(1+AZ$6)^3+$AG17/(1+AZ$6)^4+$AH17/(1+AZ$6)^5+$AI17/(1+AZ$6)^6+$U17/AZ$6/(1+AZ$6)^6,"")</f>
        <v>1144.24325528477</v>
      </c>
      <c r="BA17" s="17" t="n">
        <f aca="false">IF($AC17=1,$AD17/(1+BA$6)^1+$AE17/(1+BA$6)^2+$AF17/(1+BA$6)^3+$AG17/(1+BA$6)^4+$AH17/(1+BA$6)^5+$AI17/(1+BA$6)^6+$U17/BA$6/(1+BA$6)^6,"")</f>
        <v>499.848580383838</v>
      </c>
      <c r="BB17" s="17" t="n">
        <f aca="false">IF($AC17=1,$AD17/(1+BB$6)^1+$AE17/(1+BB$6)^2+$AF17/(1+BB$6)^3+$AG17/(1+BB$6)^4+$AH17/(1+BB$6)^5+$AI17/(1+BB$6)^6+$U17/BB$6/(1+BB$6)^6,"")</f>
        <v>222.472830200514</v>
      </c>
    </row>
    <row r="18" customFormat="false" ht="15" hidden="false" customHeight="false" outlineLevel="0" collapsed="false">
      <c r="A18" s="2" t="n">
        <v>10</v>
      </c>
      <c r="B18" s="2" t="str">
        <f aca="false">D18&amp;E18&amp;F18&amp;G18&amp;H18&amp;I18</f>
        <v>001010</v>
      </c>
      <c r="C18" s="15" t="n">
        <f aca="false">SUM(D18:I18)</f>
        <v>2</v>
      </c>
      <c r="D18" s="15" t="n">
        <f aca="false">MOD(INT($A18/32),2)</f>
        <v>0</v>
      </c>
      <c r="E18" s="15" t="n">
        <f aca="false">MOD(INT($A18/16),2)</f>
        <v>0</v>
      </c>
      <c r="F18" s="15" t="n">
        <f aca="false">MOD(INT($A18/8),2)</f>
        <v>1</v>
      </c>
      <c r="G18" s="15" t="n">
        <f aca="false">MOD(INT($A18/4),2)</f>
        <v>0</v>
      </c>
      <c r="H18" s="15" t="n">
        <f aca="false">MOD(INT($A18/2),2)</f>
        <v>1</v>
      </c>
      <c r="I18" s="15" t="n">
        <f aca="false">MOD(INT($A18/1),2)</f>
        <v>0</v>
      </c>
      <c r="J18" s="14" t="n">
        <f aca="false">E_zero+D18*(Half_gap*(Ceiling_e-E_zero)-$F$4)</f>
        <v>71</v>
      </c>
      <c r="K18" s="14" t="n">
        <f aca="false">J18+E18*(Half_gap*(Ceiling_e-J18)-$F$4)</f>
        <v>71</v>
      </c>
      <c r="L18" s="14" t="n">
        <f aca="false">K18+F18*(Half_gap*(Ceiling_e-K18)-$F$4)</f>
        <v>78</v>
      </c>
      <c r="M18" s="14" t="n">
        <f aca="false">L18+G18*(Half_gap*(Ceiling_e-L18)-$F$4)</f>
        <v>78</v>
      </c>
      <c r="N18" s="14" t="n">
        <f aca="false">M18+H18*(Half_gap*(Ceiling_e-M18)-$F$4)</f>
        <v>81.5</v>
      </c>
      <c r="O18" s="14" t="n">
        <f aca="false">N18+I18*(Half_gap*(Ceiling_e-N18)-$F$4)</f>
        <v>81.5</v>
      </c>
      <c r="P18" s="14" t="n">
        <f aca="false">Val_pt*(J18-E_zero)</f>
        <v>0</v>
      </c>
      <c r="Q18" s="14" t="n">
        <f aca="false">Val_pt*(K18-E_zero)</f>
        <v>0</v>
      </c>
      <c r="R18" s="14" t="n">
        <f aca="false">Val_pt*(L18-E_zero)</f>
        <v>70</v>
      </c>
      <c r="S18" s="14" t="n">
        <f aca="false">Val_pt*(M18-E_zero)</f>
        <v>70</v>
      </c>
      <c r="T18" s="14" t="n">
        <f aca="false">Val_pt*(N18-E_zero)</f>
        <v>105</v>
      </c>
      <c r="U18" s="14" t="n">
        <f aca="false">Val_pt*(O18-E_zero)</f>
        <v>105</v>
      </c>
      <c r="V18" s="14" t="n">
        <f aca="false">MAX(W18+Cost_round*D18-P18,IF(D18=1,Pre_q,0))</f>
        <v>470</v>
      </c>
      <c r="W18" s="14" t="n">
        <f aca="false">MAX(X18+Cost_round*E18-Q18,IF(E18=1,Pre_q,0),Floor_q)</f>
        <v>470</v>
      </c>
      <c r="X18" s="14" t="n">
        <f aca="false">MAX(Y18+Cost_round*F18-R18,IF(F18=1,Pre_q,0),Floor_q)</f>
        <v>470</v>
      </c>
      <c r="Y18" s="14" t="n">
        <f aca="false">MAX(Z18+Cost_round*G18-S18,IF(G18=1,Pre_q,0),Floor_q)</f>
        <v>400</v>
      </c>
      <c r="Z18" s="14" t="n">
        <f aca="false">MAX(AA18+Cost_round*H18-T18,IF(H18=1,Pre_q,0),Floor_q)</f>
        <v>470</v>
      </c>
      <c r="AA18" s="14" t="n">
        <f aca="false">MAX(AB18+Cost_round*I18-U18,IF(I18=1,Pre_q,0),Floor_q)</f>
        <v>365</v>
      </c>
      <c r="AB18" s="14" t="n">
        <f aca="false">MAX(End_q,Floor_q)</f>
        <v>470</v>
      </c>
      <c r="AC18" s="15" t="n">
        <f aca="false">IF(Q_zero&gt;=V18-0.000000001,1,0)</f>
        <v>1</v>
      </c>
      <c r="AD18" s="14" t="n">
        <f aca="false">IF($AC18=1,Q_zero-Cost_round*D18+P18-W18,"")</f>
        <v>150</v>
      </c>
      <c r="AE18" s="14" t="n">
        <f aca="false">IF($AC18=1,W18-Cost_round*E18+Q18-X18,"")</f>
        <v>0</v>
      </c>
      <c r="AF18" s="14" t="n">
        <f aca="false">IF($AC18=1,X18-Cost_round*F18+R18-Y18,"")</f>
        <v>20</v>
      </c>
      <c r="AG18" s="14" t="n">
        <f aca="false">IF($AC18=1,Y18-Cost_round*G18+S18-Z18,"")</f>
        <v>0</v>
      </c>
      <c r="AH18" s="14" t="n">
        <f aca="false">IF($AC18=1,Z18-Cost_round*H18+T18-AA18,"")</f>
        <v>90</v>
      </c>
      <c r="AI18" s="14" t="n">
        <f aca="false">IF($AC18=1,AA18-Cost_round*I18+U18-AB18,"")</f>
        <v>0</v>
      </c>
      <c r="AJ18" s="14" t="n">
        <f aca="false">IF($AC18=1,SUM(AD18:AI18),"")</f>
        <v>260</v>
      </c>
      <c r="AK18" s="17" t="n">
        <f aca="false">IF($AC18=1,AD18*Beta_y^1+AE18*Beta_y^2+AF18*Beta_y^3+AG18*Beta_y^4+AH18*Beta_y^5+AI18*Beta_y^6,"")</f>
        <v>207.272851456992</v>
      </c>
      <c r="AL18" s="17" t="n">
        <f aca="false">IF($AC18=1,AK18+Beta_y^6*U18/Hurdle_r,"")</f>
        <v>799.970478013458</v>
      </c>
      <c r="AM18" s="17" t="n">
        <f aca="false">IF($AC18=1,AK18,"")</f>
        <v>207.272851456992</v>
      </c>
      <c r="AN18" s="17" t="n">
        <f aca="false">IF($AC18=1,AK18+Beta_y^6*U18*(1-(1+Hurdle_r)^(-Life_yrs))/Hurdle_r,"")</f>
        <v>711.869752480806</v>
      </c>
      <c r="AO18" s="17" t="n">
        <f aca="false">IF($AC18=1,AJ18+Credit_yrs*U18,"")</f>
        <v>1310</v>
      </c>
      <c r="AP18" s="17" t="n">
        <f aca="false">IF($AC18=1,$AD18/(1+AP$6)^1+$AE18/(1+AP$6)^2+$AF18/(1+AP$6)^3+$AG18/(1+AP$6)^4+$AH18/(1+AP$6)^5+$AI18/(1+AP$6)^6+$U18/AP$6/(1+AP$6)^6,"")</f>
        <v>3172.76359013559</v>
      </c>
      <c r="AQ18" s="17" t="n">
        <f aca="false">IF($AC18=1,$AD18/(1+AQ$6)^1+$AE18/(1+AQ$6)^2+$AF18/(1+AQ$6)^3+$AG18/(1+AQ$6)^4+$AH18/(1+AQ$6)^5+$AI18/(1+AQ$6)^6+$U18/AQ$6/(1+AQ$6)^6,"")</f>
        <v>1797.70358274685</v>
      </c>
      <c r="AR18" s="17" t="n">
        <f aca="false">IF($AC18=1,$AD18/(1+AR$6)^1+$AE18/(1+AR$6)^2+$AF18/(1+AR$6)^3+$AG18/(1+AR$6)^4+$AH18/(1+AR$6)^5+$AI18/(1+AR$6)^6+$U18/AR$6/(1+AR$6)^6,"")</f>
        <v>1043.1156567264</v>
      </c>
      <c r="AS18" s="17" t="n">
        <f aca="false">IF($AC18=1,$AD18/(1+AS$6)^1+$AE18/(1+AS$6)^2+$AF18/(1+AS$6)^3+$AG18/(1+AS$6)^4+$AH18/(1+AS$6)^5+$AI18/(1+AS$6)^6+$U18/AS$6/(1+AS$6)^6,"")</f>
        <v>799.970478013458</v>
      </c>
      <c r="AT18" s="17" t="n">
        <f aca="false">IF($AC18=1,$AD18/(1+AT$6)^1+$AE18/(1+AT$6)^2+$AF18/(1+AT$6)^3+$AG18/(1+AT$6)^4+$AH18/(1+AT$6)^5+$AI18/(1+AT$6)^6+$U18/AT$6/(1+AT$6)^6,"")</f>
        <v>642.534824429669</v>
      </c>
      <c r="AU18" s="17" t="n">
        <f aca="false">IF($AC18=1,$AD18/(1+AU$6)^1+$AE18/(1+AU$6)^2+$AF18/(1+AU$6)^3+$AG18/(1+AU$6)^4+$AH18/(1+AU$6)^5+$AI18/(1+AU$6)^6+$U18/AU$6/(1+AU$6)^6,"")</f>
        <v>490.960330572271</v>
      </c>
      <c r="AV18" s="17" t="n">
        <f aca="false">IF($AC18=1,$AD18/(1+AV$6)^1+$AE18/(1+AV$6)^2+$AF18/(1+AV$6)^3+$AG18/(1+AV$6)^4+$AH18/(1+AV$6)^5+$AI18/(1+AV$6)^6+$U18/AV$6/(1+AV$6)^6,"")</f>
        <v>348.564493312757</v>
      </c>
      <c r="AW18" s="17" t="n">
        <f aca="false">IF($AC18=1,$AD18/(1+AW$6)^1+$AE18/(1+AW$6)^2+$AF18/(1+AW$6)^3+$AG18/(1+AW$6)^4+$AH18/(1+AW$6)^5+$AI18/(1+AW$6)^6+$U18/AW$6/(1+AW$6)^6,"")</f>
        <v>221.239228649818</v>
      </c>
      <c r="AX18" s="17" t="n">
        <f aca="false">IF($AC18=1,$AD18/(1+AX$6)^1+$AE18/(1+AX$6)^2+$AF18/(1+AX$6)^3+$AG18/(1+AX$6)^4+$AH18/(1+AX$6)^5+$AI18/(1+AX$6)^6+$U18/AX$6/(1+AX$6)^6,"")</f>
        <v>5416.80528919088</v>
      </c>
      <c r="AY18" s="17" t="n">
        <f aca="false">IF($AC18=1,$AD18/(1+AY$6)^1+$AE18/(1+AY$6)^2+$AF18/(1+AY$6)^3+$AG18/(1+AY$6)^4+$AH18/(1+AY$6)^5+$AI18/(1+AY$6)^6+$U18/AY$6/(1+AY$6)^6,"")</f>
        <v>2561.10460673643</v>
      </c>
      <c r="AZ18" s="17" t="n">
        <f aca="false">IF($AC18=1,$AD18/(1+AZ$6)^1+$AE18/(1+AZ$6)^2+$AF18/(1+AZ$6)^3+$AG18/(1+AZ$6)^4+$AH18/(1+AZ$6)^5+$AI18/(1+AZ$6)^6+$U18/AZ$6/(1+AZ$6)^6,"")</f>
        <v>1163.28843827438</v>
      </c>
      <c r="BA18" s="17" t="n">
        <f aca="false">IF($AC18=1,$AD18/(1+BA$6)^1+$AE18/(1+BA$6)^2+$AF18/(1+BA$6)^3+$AG18/(1+BA$6)^4+$AH18/(1+BA$6)^5+$AI18/(1+BA$6)^6+$U18/BA$6/(1+BA$6)^6,"")</f>
        <v>509.311866048874</v>
      </c>
      <c r="BB18" s="17" t="n">
        <f aca="false">IF($AC18=1,$AD18/(1+BB$6)^1+$AE18/(1+BB$6)^2+$AF18/(1+BB$6)^3+$AG18/(1+BB$6)^4+$AH18/(1+BB$6)^5+$AI18/(1+BB$6)^6+$U18/BB$6/(1+BB$6)^6,"")</f>
        <v>222.249247578938</v>
      </c>
    </row>
    <row r="19" customFormat="false" ht="15" hidden="false" customHeight="false" outlineLevel="0" collapsed="false">
      <c r="A19" s="2" t="n">
        <v>11</v>
      </c>
      <c r="B19" s="2" t="str">
        <f aca="false">D19&amp;E19&amp;F19&amp;G19&amp;H19&amp;I19</f>
        <v>001011</v>
      </c>
      <c r="C19" s="15" t="n">
        <f aca="false">SUM(D19:I19)</f>
        <v>3</v>
      </c>
      <c r="D19" s="15" t="n">
        <f aca="false">MOD(INT($A19/32),2)</f>
        <v>0</v>
      </c>
      <c r="E19" s="15" t="n">
        <f aca="false">MOD(INT($A19/16),2)</f>
        <v>0</v>
      </c>
      <c r="F19" s="15" t="n">
        <f aca="false">MOD(INT($A19/8),2)</f>
        <v>1</v>
      </c>
      <c r="G19" s="15" t="n">
        <f aca="false">MOD(INT($A19/4),2)</f>
        <v>0</v>
      </c>
      <c r="H19" s="15" t="n">
        <f aca="false">MOD(INT($A19/2),2)</f>
        <v>1</v>
      </c>
      <c r="I19" s="15" t="n">
        <f aca="false">MOD(INT($A19/1),2)</f>
        <v>1</v>
      </c>
      <c r="J19" s="14" t="n">
        <f aca="false">E_zero+D19*(Half_gap*(Ceiling_e-E_zero)-$F$4)</f>
        <v>71</v>
      </c>
      <c r="K19" s="14" t="n">
        <f aca="false">J19+E19*(Half_gap*(Ceiling_e-J19)-$F$4)</f>
        <v>71</v>
      </c>
      <c r="L19" s="14" t="n">
        <f aca="false">K19+F19*(Half_gap*(Ceiling_e-K19)-$F$4)</f>
        <v>78</v>
      </c>
      <c r="M19" s="14" t="n">
        <f aca="false">L19+G19*(Half_gap*(Ceiling_e-L19)-$F$4)</f>
        <v>78</v>
      </c>
      <c r="N19" s="14" t="n">
        <f aca="false">M19+H19*(Half_gap*(Ceiling_e-M19)-$F$4)</f>
        <v>81.5</v>
      </c>
      <c r="O19" s="14" t="n">
        <f aca="false">N19+I19*(Half_gap*(Ceiling_e-N19)-$F$4)</f>
        <v>83.25</v>
      </c>
      <c r="P19" s="14" t="n">
        <f aca="false">Val_pt*(J19-E_zero)</f>
        <v>0</v>
      </c>
      <c r="Q19" s="14" t="n">
        <f aca="false">Val_pt*(K19-E_zero)</f>
        <v>0</v>
      </c>
      <c r="R19" s="14" t="n">
        <f aca="false">Val_pt*(L19-E_zero)</f>
        <v>70</v>
      </c>
      <c r="S19" s="14" t="n">
        <f aca="false">Val_pt*(M19-E_zero)</f>
        <v>70</v>
      </c>
      <c r="T19" s="14" t="n">
        <f aca="false">Val_pt*(N19-E_zero)</f>
        <v>105</v>
      </c>
      <c r="U19" s="14" t="n">
        <f aca="false">Val_pt*(O19-E_zero)</f>
        <v>122.5</v>
      </c>
      <c r="V19" s="14" t="n">
        <f aca="false">MAX(W19+Cost_round*D19-P19,IF(D19=1,Pre_q,0))</f>
        <v>470</v>
      </c>
      <c r="W19" s="14" t="n">
        <f aca="false">MAX(X19+Cost_round*E19-Q19,IF(E19=1,Pre_q,0),Floor_q)</f>
        <v>470</v>
      </c>
      <c r="X19" s="14" t="n">
        <f aca="false">MAX(Y19+Cost_round*F19-R19,IF(F19=1,Pre_q,0),Floor_q)</f>
        <v>470</v>
      </c>
      <c r="Y19" s="14" t="n">
        <f aca="false">MAX(Z19+Cost_round*G19-S19,IF(G19=1,Pre_q,0),Floor_q)</f>
        <v>415</v>
      </c>
      <c r="Z19" s="14" t="n">
        <f aca="false">MAX(AA19+Cost_round*H19-T19,IF(H19=1,Pre_q,0),Floor_q)</f>
        <v>485</v>
      </c>
      <c r="AA19" s="14" t="n">
        <f aca="false">MAX(AB19+Cost_round*I19-U19,IF(I19=1,Pre_q,0),Floor_q)</f>
        <v>470</v>
      </c>
      <c r="AB19" s="14" t="n">
        <f aca="false">MAX(End_q,Floor_q)</f>
        <v>470</v>
      </c>
      <c r="AC19" s="15" t="n">
        <f aca="false">IF(Q_zero&gt;=V19-0.000000001,1,0)</f>
        <v>1</v>
      </c>
      <c r="AD19" s="14" t="n">
        <f aca="false">IF($AC19=1,Q_zero-Cost_round*D19+P19-W19,"")</f>
        <v>150</v>
      </c>
      <c r="AE19" s="14" t="n">
        <f aca="false">IF($AC19=1,W19-Cost_round*E19+Q19-X19,"")</f>
        <v>0</v>
      </c>
      <c r="AF19" s="14" t="n">
        <f aca="false">IF($AC19=1,X19-Cost_round*F19+R19-Y19,"")</f>
        <v>5</v>
      </c>
      <c r="AG19" s="14" t="n">
        <f aca="false">IF($AC19=1,Y19-Cost_round*G19+S19-Z19,"")</f>
        <v>0</v>
      </c>
      <c r="AH19" s="14" t="n">
        <f aca="false">IF($AC19=1,Z19-Cost_round*H19+T19-AA19,"")</f>
        <v>0</v>
      </c>
      <c r="AI19" s="14" t="n">
        <f aca="false">IF($AC19=1,AA19-Cost_round*I19+U19-AB19,"")</f>
        <v>2.5</v>
      </c>
      <c r="AJ19" s="14" t="n">
        <f aca="false">IF($AC19=1,SUM(AD19:AI19),"")</f>
        <v>157.5</v>
      </c>
      <c r="AK19" s="17" t="n">
        <f aca="false">IF($AC19=1,AD19*Beta_y^1+AE19*Beta_y^2+AF19*Beta_y^3+AG19*Beta_y^4+AH19*Beta_y^5+AI19*Beta_y^6,"")</f>
        <v>141.531395193279</v>
      </c>
      <c r="AL19" s="17" t="n">
        <f aca="false">IF($AC19=1,AK19+Beta_y^6*U19/Hurdle_r,"")</f>
        <v>833.011959509156</v>
      </c>
      <c r="AM19" s="17" t="n">
        <f aca="false">IF($AC19=1,AK19,"")</f>
        <v>141.531395193279</v>
      </c>
      <c r="AN19" s="17" t="n">
        <f aca="false">IF($AC19=1,AK19+Beta_y^6*U19*(1-(1+Hurdle_r)^(-Life_yrs))/Hurdle_r,"")</f>
        <v>730.227779721062</v>
      </c>
      <c r="AO19" s="17" t="n">
        <f aca="false">IF($AC19=1,AJ19+Credit_yrs*U19,"")</f>
        <v>1382.5</v>
      </c>
      <c r="AP19" s="17" t="n">
        <f aca="false">IF($AC19=1,$AD19/(1+AP$6)^1+$AE19/(1+AP$6)^2+$AF19/(1+AP$6)^3+$AG19/(1+AP$6)^4+$AH19/(1+AP$6)^5+$AI19/(1+AP$6)^6+$U19/AP$6/(1+AP$6)^6,"")</f>
        <v>3572.0278683579</v>
      </c>
      <c r="AQ19" s="17" t="n">
        <f aca="false">IF($AC19=1,$AD19/(1+AQ$6)^1+$AE19/(1+AQ$6)^2+$AF19/(1+AQ$6)^3+$AG19/(1+AQ$6)^4+$AH19/(1+AQ$6)^5+$AI19/(1+AQ$6)^6+$U19/AQ$6/(1+AQ$6)^6,"")</f>
        <v>1977.26959110113</v>
      </c>
      <c r="AR19" s="17" t="n">
        <f aca="false">IF($AC19=1,$AD19/(1+AR$6)^1+$AE19/(1+AR$6)^2+$AF19/(1+AR$6)^3+$AG19/(1+AR$6)^4+$AH19/(1+AR$6)^5+$AI19/(1+AR$6)^6+$U19/AR$6/(1+AR$6)^6,"")</f>
        <v>1109.38071532595</v>
      </c>
      <c r="AS19" s="17" t="n">
        <f aca="false">IF($AC19=1,$AD19/(1+AS$6)^1+$AE19/(1+AS$6)^2+$AF19/(1+AS$6)^3+$AG19/(1+AS$6)^4+$AH19/(1+AS$6)^5+$AI19/(1+AS$6)^6+$U19/AS$6/(1+AS$6)^6,"")</f>
        <v>833.011959509156</v>
      </c>
      <c r="AT19" s="17" t="n">
        <f aca="false">IF($AC19=1,$AD19/(1+AT$6)^1+$AE19/(1+AT$6)^2+$AF19/(1+AT$6)^3+$AG19/(1+AT$6)^4+$AH19/(1+AT$6)^5+$AI19/(1+AT$6)^6+$U19/AT$6/(1+AT$6)^6,"")</f>
        <v>655.93998667243</v>
      </c>
      <c r="AU19" s="17" t="n">
        <f aca="false">IF($AC19=1,$AD19/(1+AU$6)^1+$AE19/(1+AU$6)^2+$AF19/(1+AU$6)^3+$AG19/(1+AU$6)^4+$AH19/(1+AU$6)^5+$AI19/(1+AU$6)^6+$U19/AU$6/(1+AU$6)^6,"")</f>
        <v>487.870719421739</v>
      </c>
      <c r="AV19" s="17" t="n">
        <f aca="false">IF($AC19=1,$AD19/(1+AV$6)^1+$AE19/(1+AV$6)^2+$AF19/(1+AV$6)^3+$AG19/(1+AV$6)^4+$AH19/(1+AV$6)^5+$AI19/(1+AV$6)^6+$U19/AV$6/(1+AV$6)^6,"")</f>
        <v>333.855774176955</v>
      </c>
      <c r="AW19" s="17" t="n">
        <f aca="false">IF($AC19=1,$AD19/(1+AW$6)^1+$AE19/(1+AW$6)^2+$AF19/(1+AW$6)^3+$AG19/(1+AW$6)^4+$AH19/(1+AW$6)^5+$AI19/(1+AW$6)^6+$U19/AW$6/(1+AW$6)^6,"")</f>
        <v>202.775339428872</v>
      </c>
      <c r="AX19" s="17" t="n">
        <f aca="false">IF($AC19=1,$AD19/(1+AX$6)^1+$AE19/(1+AX$6)^2+$AF19/(1+AX$6)^3+$AG19/(1+AX$6)^4+$AH19/(1+AX$6)^5+$AI19/(1+AX$6)^6+$U19/AX$6/(1+AX$6)^6,"")</f>
        <v>6183.99914536517</v>
      </c>
      <c r="AY19" s="17" t="n">
        <f aca="false">IF($AC19=1,$AD19/(1+AY$6)^1+$AE19/(1+AY$6)^2+$AF19/(1+AY$6)^3+$AG19/(1+AY$6)^4+$AH19/(1+AY$6)^5+$AI19/(1+AY$6)^6+$U19/AY$6/(1+AY$6)^6,"")</f>
        <v>2861.59852796964</v>
      </c>
      <c r="AZ19" s="17" t="n">
        <f aca="false">IF($AC19=1,$AD19/(1+AZ$6)^1+$AE19/(1+AZ$6)^2+$AF19/(1+AZ$6)^3+$AG19/(1+AZ$6)^4+$AH19/(1+AZ$6)^5+$AI19/(1+AZ$6)^6+$U19/AZ$6/(1+AZ$6)^6,"")</f>
        <v>1246.81249454899</v>
      </c>
      <c r="BA19" s="17" t="n">
        <f aca="false">IF($AC19=1,$AD19/(1+BA$6)^1+$AE19/(1+BA$6)^2+$AF19/(1+BA$6)^3+$AG19/(1+BA$6)^4+$AH19/(1+BA$6)^5+$AI19/(1+BA$6)^6+$U19/BA$6/(1+BA$6)^6,"")</f>
        <v>508.04430232317</v>
      </c>
      <c r="BB19" s="17" t="n">
        <f aca="false">IF($AC19=1,$AD19/(1+BB$6)^1+$AE19/(1+BB$6)^2+$AF19/(1+BB$6)^3+$AG19/(1+BB$6)^4+$AH19/(1+BB$6)^5+$AI19/(1+BB$6)^6+$U19/BB$6/(1+BB$6)^6,"")</f>
        <v>203.772178002505</v>
      </c>
    </row>
    <row r="20" customFormat="false" ht="15" hidden="false" customHeight="false" outlineLevel="0" collapsed="false">
      <c r="A20" s="2" t="n">
        <v>12</v>
      </c>
      <c r="B20" s="2" t="str">
        <f aca="false">D20&amp;E20&amp;F20&amp;G20&amp;H20&amp;I20</f>
        <v>001100</v>
      </c>
      <c r="C20" s="15" t="n">
        <f aca="false">SUM(D20:I20)</f>
        <v>2</v>
      </c>
      <c r="D20" s="15" t="n">
        <f aca="false">MOD(INT($A20/32),2)</f>
        <v>0</v>
      </c>
      <c r="E20" s="15" t="n">
        <f aca="false">MOD(INT($A20/16),2)</f>
        <v>0</v>
      </c>
      <c r="F20" s="15" t="n">
        <f aca="false">MOD(INT($A20/8),2)</f>
        <v>1</v>
      </c>
      <c r="G20" s="15" t="n">
        <f aca="false">MOD(INT($A20/4),2)</f>
        <v>1</v>
      </c>
      <c r="H20" s="15" t="n">
        <f aca="false">MOD(INT($A20/2),2)</f>
        <v>0</v>
      </c>
      <c r="I20" s="15" t="n">
        <f aca="false">MOD(INT($A20/1),2)</f>
        <v>0</v>
      </c>
      <c r="J20" s="14" t="n">
        <f aca="false">E_zero+D20*(Half_gap*(Ceiling_e-E_zero)-$F$4)</f>
        <v>71</v>
      </c>
      <c r="K20" s="14" t="n">
        <f aca="false">J20+E20*(Half_gap*(Ceiling_e-J20)-$F$4)</f>
        <v>71</v>
      </c>
      <c r="L20" s="14" t="n">
        <f aca="false">K20+F20*(Half_gap*(Ceiling_e-K20)-$F$4)</f>
        <v>78</v>
      </c>
      <c r="M20" s="14" t="n">
        <f aca="false">L20+G20*(Half_gap*(Ceiling_e-L20)-$F$4)</f>
        <v>81.5</v>
      </c>
      <c r="N20" s="14" t="n">
        <f aca="false">M20+H20*(Half_gap*(Ceiling_e-M20)-$F$4)</f>
        <v>81.5</v>
      </c>
      <c r="O20" s="14" t="n">
        <f aca="false">N20+I20*(Half_gap*(Ceiling_e-N20)-$F$4)</f>
        <v>81.5</v>
      </c>
      <c r="P20" s="14" t="n">
        <f aca="false">Val_pt*(J20-E_zero)</f>
        <v>0</v>
      </c>
      <c r="Q20" s="14" t="n">
        <f aca="false">Val_pt*(K20-E_zero)</f>
        <v>0</v>
      </c>
      <c r="R20" s="14" t="n">
        <f aca="false">Val_pt*(L20-E_zero)</f>
        <v>70</v>
      </c>
      <c r="S20" s="14" t="n">
        <f aca="false">Val_pt*(M20-E_zero)</f>
        <v>105</v>
      </c>
      <c r="T20" s="14" t="n">
        <f aca="false">Val_pt*(N20-E_zero)</f>
        <v>105</v>
      </c>
      <c r="U20" s="14" t="n">
        <f aca="false">Val_pt*(O20-E_zero)</f>
        <v>105</v>
      </c>
      <c r="V20" s="14" t="n">
        <f aca="false">MAX(W20+Cost_round*D20-P20,IF(D20=1,Pre_q,0))</f>
        <v>520</v>
      </c>
      <c r="W20" s="14" t="n">
        <f aca="false">MAX(X20+Cost_round*E20-Q20,IF(E20=1,Pre_q,0),Floor_q)</f>
        <v>520</v>
      </c>
      <c r="X20" s="14" t="n">
        <f aca="false">MAX(Y20+Cost_round*F20-R20,IF(F20=1,Pre_q,0),Floor_q)</f>
        <v>520</v>
      </c>
      <c r="Y20" s="14" t="n">
        <f aca="false">MAX(Z20+Cost_round*G20-S20,IF(G20=1,Pre_q,0),Floor_q)</f>
        <v>470</v>
      </c>
      <c r="Z20" s="14" t="n">
        <f aca="false">MAX(AA20+Cost_round*H20-T20,IF(H20=1,Pre_q,0),Floor_q)</f>
        <v>350</v>
      </c>
      <c r="AA20" s="14" t="n">
        <f aca="false">MAX(AB20+Cost_round*I20-U20,IF(I20=1,Pre_q,0),Floor_q)</f>
        <v>365</v>
      </c>
      <c r="AB20" s="14" t="n">
        <f aca="false">MAX(End_q,Floor_q)</f>
        <v>470</v>
      </c>
      <c r="AC20" s="15" t="n">
        <f aca="false">IF(Q_zero&gt;=V20-0.000000001,1,0)</f>
        <v>1</v>
      </c>
      <c r="AD20" s="14" t="n">
        <f aca="false">IF($AC20=1,Q_zero-Cost_round*D20+P20-W20,"")</f>
        <v>100</v>
      </c>
      <c r="AE20" s="14" t="n">
        <f aca="false">IF($AC20=1,W20-Cost_round*E20+Q20-X20,"")</f>
        <v>0</v>
      </c>
      <c r="AF20" s="14" t="n">
        <f aca="false">IF($AC20=1,X20-Cost_round*F20+R20-Y20,"")</f>
        <v>0</v>
      </c>
      <c r="AG20" s="14" t="n">
        <f aca="false">IF($AC20=1,Y20-Cost_round*G20+S20-Z20,"")</f>
        <v>105</v>
      </c>
      <c r="AH20" s="14" t="n">
        <f aca="false">IF($AC20=1,Z20-Cost_round*H20+T20-AA20,"")</f>
        <v>90</v>
      </c>
      <c r="AI20" s="14" t="n">
        <f aca="false">IF($AC20=1,AA20-Cost_round*I20+U20-AB20,"")</f>
        <v>0</v>
      </c>
      <c r="AJ20" s="14" t="n">
        <f aca="false">IF($AC20=1,SUM(AD20:AI20),"")</f>
        <v>295</v>
      </c>
      <c r="AK20" s="17" t="n">
        <f aca="false">IF($AC20=1,AD20*Beta_y^1+AE20*Beta_y^2+AF20*Beta_y^3+AG20*Beta_y^4+AH20*Beta_y^5+AI20*Beta_y^6,"")</f>
        <v>218.508422797747</v>
      </c>
      <c r="AL20" s="17" t="n">
        <f aca="false">IF($AC20=1,AK20+Beta_y^6*U20/Hurdle_r,"")</f>
        <v>811.206049354214</v>
      </c>
      <c r="AM20" s="17" t="n">
        <f aca="false">IF($AC20=1,AK20,"")</f>
        <v>218.508422797747</v>
      </c>
      <c r="AN20" s="17" t="n">
        <f aca="false">IF($AC20=1,AK20+Beta_y^6*U20*(1-(1+Hurdle_r)^(-Life_yrs))/Hurdle_r,"")</f>
        <v>723.105323821562</v>
      </c>
      <c r="AO20" s="17" t="n">
        <f aca="false">IF($AC20=1,AJ20+Credit_yrs*U20,"")</f>
        <v>1345</v>
      </c>
      <c r="AP20" s="17" t="n">
        <f aca="false">IF($AC20=1,$AD20/(1+AP$6)^1+$AE20/(1+AP$6)^2+$AF20/(1+AP$6)^3+$AG20/(1+AP$6)^4+$AH20/(1+AP$6)^5+$AI20/(1+AP$6)^6+$U20/AP$6/(1+AP$6)^6,"")</f>
        <v>3199.20820765929</v>
      </c>
      <c r="AQ20" s="17" t="n">
        <f aca="false">IF($AC20=1,$AD20/(1+AQ$6)^1+$AE20/(1+AQ$6)^2+$AF20/(1+AQ$6)^3+$AG20/(1+AQ$6)^4+$AH20/(1+AQ$6)^5+$AI20/(1+AQ$6)^6+$U20/AQ$6/(1+AQ$6)^6,"")</f>
        <v>1819.19154301032</v>
      </c>
      <c r="AR20" s="17" t="n">
        <f aca="false">IF($AC20=1,$AD20/(1+AR$6)^1+$AE20/(1+AR$6)^2+$AF20/(1+AR$6)^3+$AG20/(1+AR$6)^4+$AH20/(1+AR$6)^5+$AI20/(1+AR$6)^6+$U20/AR$6/(1+AR$6)^6,"")</f>
        <v>1058.12085015333</v>
      </c>
      <c r="AS20" s="17" t="n">
        <f aca="false">IF($AC20=1,$AD20/(1+AS$6)^1+$AE20/(1+AS$6)^2+$AF20/(1+AS$6)^3+$AG20/(1+AS$6)^4+$AH20/(1+AS$6)^5+$AI20/(1+AS$6)^6+$U20/AS$6/(1+AS$6)^6,"")</f>
        <v>811.206049354213</v>
      </c>
      <c r="AT20" s="17" t="n">
        <f aca="false">IF($AC20=1,$AD20/(1+AT$6)^1+$AE20/(1+AT$6)^2+$AF20/(1+AT$6)^3+$AG20/(1+AT$6)^4+$AH20/(1+AT$6)^5+$AI20/(1+AT$6)^6+$U20/AT$6/(1+AT$6)^6,"")</f>
        <v>650.385760563051</v>
      </c>
      <c r="AU20" s="17" t="n">
        <f aca="false">IF($AC20=1,$AD20/(1+AU$6)^1+$AE20/(1+AU$6)^2+$AF20/(1+AU$6)^3+$AG20/(1+AU$6)^4+$AH20/(1+AU$6)^5+$AI20/(1+AU$6)^6+$U20/AU$6/(1+AU$6)^6,"")</f>
        <v>494.365835841335</v>
      </c>
      <c r="AV20" s="17" t="n">
        <f aca="false">IF($AC20=1,$AD20/(1+AV$6)^1+$AE20/(1+AV$6)^2+$AF20/(1+AV$6)^3+$AG20/(1+AV$6)^4+$AH20/(1+AV$6)^5+$AI20/(1+AV$6)^6+$U20/AV$6/(1+AV$6)^6,"")</f>
        <v>345.960326646091</v>
      </c>
      <c r="AW20" s="17" t="n">
        <f aca="false">IF($AC20=1,$AD20/(1+AW$6)^1+$AE20/(1+AW$6)^2+$AF20/(1+AW$6)^3+$AG20/(1+AW$6)^4+$AH20/(1+AW$6)^5+$AI20/(1+AW$6)^6+$U20/AW$6/(1+AW$6)^6,"")</f>
        <v>210.437786123296</v>
      </c>
      <c r="AX20" s="17" t="n">
        <f aca="false">IF($AC20=1,$AD20/(1+AX$6)^1+$AE20/(1+AX$6)^2+$AF20/(1+AX$6)^3+$AG20/(1+AX$6)^4+$AH20/(1+AX$6)^5+$AI20/(1+AX$6)^6+$U20/AX$6/(1+AX$6)^6,"")</f>
        <v>5446.43582374975</v>
      </c>
      <c r="AY20" s="17" t="n">
        <f aca="false">IF($AC20=1,$AD20/(1+AY$6)^1+$AE20/(1+AY$6)^2+$AF20/(1+AY$6)^3+$AG20/(1+AY$6)^4+$AH20/(1+AY$6)^5+$AI20/(1+AY$6)^6+$U20/AY$6/(1+AY$6)^6,"")</f>
        <v>2585.88812025615</v>
      </c>
      <c r="AZ20" s="17" t="n">
        <f aca="false">IF($AC20=1,$AD20/(1+AZ$6)^1+$AE20/(1+AZ$6)^2+$AF20/(1+AZ$6)^3+$AG20/(1+AZ$6)^4+$AH20/(1+AZ$6)^5+$AI20/(1+AZ$6)^6+$U20/AZ$6/(1+AZ$6)^6,"")</f>
        <v>1179.7298299683</v>
      </c>
      <c r="BA20" s="17" t="n">
        <f aca="false">IF($AC20=1,$AD20/(1+BA$6)^1+$AE20/(1+BA$6)^2+$AF20/(1+BA$6)^3+$AG20/(1+BA$6)^4+$AH20/(1+BA$6)^5+$AI20/(1+BA$6)^6+$U20/BA$6/(1+BA$6)^6,"")</f>
        <v>513.340298612319</v>
      </c>
      <c r="BB20" s="17" t="n">
        <f aca="false">IF($AC20=1,$AD20/(1+BB$6)^1+$AE20/(1+BB$6)^2+$AF20/(1+BB$6)^3+$AG20/(1+BB$6)^4+$AH20/(1+BB$6)^5+$AI20/(1+BB$6)^6+$U20/BB$6/(1+BB$6)^6,"")</f>
        <v>211.528683784637</v>
      </c>
    </row>
    <row r="21" customFormat="false" ht="15" hidden="false" customHeight="false" outlineLevel="0" collapsed="false">
      <c r="A21" s="2" t="n">
        <v>13</v>
      </c>
      <c r="B21" s="2" t="str">
        <f aca="false">D21&amp;E21&amp;F21&amp;G21&amp;H21&amp;I21</f>
        <v>001101</v>
      </c>
      <c r="C21" s="15" t="n">
        <f aca="false">SUM(D21:I21)</f>
        <v>3</v>
      </c>
      <c r="D21" s="15" t="n">
        <f aca="false">MOD(INT($A21/32),2)</f>
        <v>0</v>
      </c>
      <c r="E21" s="15" t="n">
        <f aca="false">MOD(INT($A21/16),2)</f>
        <v>0</v>
      </c>
      <c r="F21" s="15" t="n">
        <f aca="false">MOD(INT($A21/8),2)</f>
        <v>1</v>
      </c>
      <c r="G21" s="15" t="n">
        <f aca="false">MOD(INT($A21/4),2)</f>
        <v>1</v>
      </c>
      <c r="H21" s="15" t="n">
        <f aca="false">MOD(INT($A21/2),2)</f>
        <v>0</v>
      </c>
      <c r="I21" s="15" t="n">
        <f aca="false">MOD(INT($A21/1),2)</f>
        <v>1</v>
      </c>
      <c r="J21" s="14" t="n">
        <f aca="false">E_zero+D21*(Half_gap*(Ceiling_e-E_zero)-$F$4)</f>
        <v>71</v>
      </c>
      <c r="K21" s="14" t="n">
        <f aca="false">J21+E21*(Half_gap*(Ceiling_e-J21)-$F$4)</f>
        <v>71</v>
      </c>
      <c r="L21" s="14" t="n">
        <f aca="false">K21+F21*(Half_gap*(Ceiling_e-K21)-$F$4)</f>
        <v>78</v>
      </c>
      <c r="M21" s="14" t="n">
        <f aca="false">L21+G21*(Half_gap*(Ceiling_e-L21)-$F$4)</f>
        <v>81.5</v>
      </c>
      <c r="N21" s="14" t="n">
        <f aca="false">M21+H21*(Half_gap*(Ceiling_e-M21)-$F$4)</f>
        <v>81.5</v>
      </c>
      <c r="O21" s="14" t="n">
        <f aca="false">N21+I21*(Half_gap*(Ceiling_e-N21)-$F$4)</f>
        <v>83.25</v>
      </c>
      <c r="P21" s="14" t="n">
        <f aca="false">Val_pt*(J21-E_zero)</f>
        <v>0</v>
      </c>
      <c r="Q21" s="14" t="n">
        <f aca="false">Val_pt*(K21-E_zero)</f>
        <v>0</v>
      </c>
      <c r="R21" s="14" t="n">
        <f aca="false">Val_pt*(L21-E_zero)</f>
        <v>70</v>
      </c>
      <c r="S21" s="14" t="n">
        <f aca="false">Val_pt*(M21-E_zero)</f>
        <v>105</v>
      </c>
      <c r="T21" s="14" t="n">
        <f aca="false">Val_pt*(N21-E_zero)</f>
        <v>105</v>
      </c>
      <c r="U21" s="14" t="n">
        <f aca="false">Val_pt*(O21-E_zero)</f>
        <v>122.5</v>
      </c>
      <c r="V21" s="14" t="n">
        <f aca="false">MAX(W21+Cost_round*D21-P21,IF(D21=1,Pre_q,0))</f>
        <v>520</v>
      </c>
      <c r="W21" s="14" t="n">
        <f aca="false">MAX(X21+Cost_round*E21-Q21,IF(E21=1,Pre_q,0),Floor_q)</f>
        <v>520</v>
      </c>
      <c r="X21" s="14" t="n">
        <f aca="false">MAX(Y21+Cost_round*F21-R21,IF(F21=1,Pre_q,0),Floor_q)</f>
        <v>520</v>
      </c>
      <c r="Y21" s="14" t="n">
        <f aca="false">MAX(Z21+Cost_round*G21-S21,IF(G21=1,Pre_q,0),Floor_q)</f>
        <v>470</v>
      </c>
      <c r="Z21" s="14" t="n">
        <f aca="false">MAX(AA21+Cost_round*H21-T21,IF(H21=1,Pre_q,0),Floor_q)</f>
        <v>365</v>
      </c>
      <c r="AA21" s="14" t="n">
        <f aca="false">MAX(AB21+Cost_round*I21-U21,IF(I21=1,Pre_q,0),Floor_q)</f>
        <v>470</v>
      </c>
      <c r="AB21" s="14" t="n">
        <f aca="false">MAX(End_q,Floor_q)</f>
        <v>470</v>
      </c>
      <c r="AC21" s="15" t="n">
        <f aca="false">IF(Q_zero&gt;=V21-0.000000001,1,0)</f>
        <v>1</v>
      </c>
      <c r="AD21" s="14" t="n">
        <f aca="false">IF($AC21=1,Q_zero-Cost_round*D21+P21-W21,"")</f>
        <v>100</v>
      </c>
      <c r="AE21" s="14" t="n">
        <f aca="false">IF($AC21=1,W21-Cost_round*E21+Q21-X21,"")</f>
        <v>0</v>
      </c>
      <c r="AF21" s="14" t="n">
        <f aca="false">IF($AC21=1,X21-Cost_round*F21+R21-Y21,"")</f>
        <v>0</v>
      </c>
      <c r="AG21" s="14" t="n">
        <f aca="false">IF($AC21=1,Y21-Cost_round*G21+S21-Z21,"")</f>
        <v>90</v>
      </c>
      <c r="AH21" s="14" t="n">
        <f aca="false">IF($AC21=1,Z21-Cost_round*H21+T21-AA21,"")</f>
        <v>0</v>
      </c>
      <c r="AI21" s="14" t="n">
        <f aca="false">IF($AC21=1,AA21-Cost_round*I21+U21-AB21,"")</f>
        <v>2.5</v>
      </c>
      <c r="AJ21" s="14" t="n">
        <f aca="false">IF($AC21=1,SUM(AD21:AI21),"")</f>
        <v>192.5</v>
      </c>
      <c r="AK21" s="17" t="n">
        <f aca="false">IF($AC21=1,AD21*Beta_y^1+AE21*Beta_y^2+AF21*Beta_y^3+AG21*Beta_y^4+AH21*Beta_y^5+AI21*Beta_y^6,"")</f>
        <v>153.791486717082</v>
      </c>
      <c r="AL21" s="17" t="n">
        <f aca="false">IF($AC21=1,AK21+Beta_y^6*U21/Hurdle_r,"")</f>
        <v>845.272051032959</v>
      </c>
      <c r="AM21" s="17" t="n">
        <f aca="false">IF($AC21=1,AK21,"")</f>
        <v>153.791486717082</v>
      </c>
      <c r="AN21" s="17" t="n">
        <f aca="false">IF($AC21=1,AK21+Beta_y^6*U21*(1-(1+Hurdle_r)^(-Life_yrs))/Hurdle_r,"")</f>
        <v>742.487871244865</v>
      </c>
      <c r="AO21" s="17" t="n">
        <f aca="false">IF($AC21=1,AJ21+Credit_yrs*U21,"")</f>
        <v>1417.5</v>
      </c>
      <c r="AP21" s="17" t="n">
        <f aca="false">IF($AC21=1,$AD21/(1+AP$6)^1+$AE21/(1+AP$6)^2+$AF21/(1+AP$6)^3+$AG21/(1+AP$6)^4+$AH21/(1+AP$6)^5+$AI21/(1+AP$6)^6+$U21/AP$6/(1+AP$6)^6,"")</f>
        <v>3598.87230505315</v>
      </c>
      <c r="AQ21" s="17" t="n">
        <f aca="false">IF($AC21=1,$AD21/(1+AQ$6)^1+$AE21/(1+AQ$6)^2+$AF21/(1+AQ$6)^3+$AG21/(1+AQ$6)^4+$AH21/(1+AQ$6)^5+$AI21/(1+AQ$6)^6+$U21/AQ$6/(1+AQ$6)^6,"")</f>
        <v>1999.37457822069</v>
      </c>
      <c r="AR21" s="17" t="n">
        <f aca="false">IF($AC21=1,$AD21/(1+AR$6)^1+$AE21/(1+AR$6)^2+$AF21/(1+AR$6)^3+$AG21/(1+AR$6)^4+$AH21/(1+AR$6)^5+$AI21/(1+AR$6)^6+$U21/AR$6/(1+AR$6)^6,"")</f>
        <v>1125.26794457624</v>
      </c>
      <c r="AS21" s="17" t="n">
        <f aca="false">IF($AC21=1,$AD21/(1+AS$6)^1+$AE21/(1+AS$6)^2+$AF21/(1+AS$6)^3+$AG21/(1+AS$6)^4+$AH21/(1+AS$6)^5+$AI21/(1+AS$6)^6+$U21/AS$6/(1+AS$6)^6,"")</f>
        <v>845.272051032959</v>
      </c>
      <c r="AT21" s="17" t="n">
        <f aca="false">IF($AC21=1,$AD21/(1+AT$6)^1+$AE21/(1+AT$6)^2+$AF21/(1+AT$6)^3+$AG21/(1+AT$6)^4+$AH21/(1+AT$6)^5+$AI21/(1+AT$6)^6+$U21/AT$6/(1+AT$6)^6,"")</f>
        <v>664.934855346941</v>
      </c>
      <c r="AU21" s="17" t="n">
        <f aca="false">IF($AC21=1,$AD21/(1+AU$6)^1+$AE21/(1+AU$6)^2+$AF21/(1+AU$6)^3+$AG21/(1+AU$6)^4+$AH21/(1+AU$6)^5+$AI21/(1+AU$6)^6+$U21/AU$6/(1+AU$6)^6,"")</f>
        <v>492.562669493387</v>
      </c>
      <c r="AV21" s="17" t="n">
        <f aca="false">IF($AC21=1,$AD21/(1+AV$6)^1+$AE21/(1+AV$6)^2+$AF21/(1+AV$6)^3+$AG21/(1+AV$6)^4+$AH21/(1+AV$6)^5+$AI21/(1+AV$6)^6+$U21/AV$6/(1+AV$6)^6,"")</f>
        <v>332.698366769547</v>
      </c>
      <c r="AW21" s="17" t="n">
        <f aca="false">IF($AC21=1,$AD21/(1+AW$6)^1+$AE21/(1+AW$6)^2+$AF21/(1+AW$6)^3+$AG21/(1+AW$6)^4+$AH21/(1+AW$6)^5+$AI21/(1+AW$6)^6+$U21/AW$6/(1+AW$6)^6,"")</f>
        <v>193.549471987256</v>
      </c>
      <c r="AX21" s="17" t="n">
        <f aca="false">IF($AC21=1,$AD21/(1+AX$6)^1+$AE21/(1+AX$6)^2+$AF21/(1+AX$6)^3+$AG21/(1+AX$6)^4+$AH21/(1+AX$6)^5+$AI21/(1+AX$6)^6+$U21/AX$6/(1+AX$6)^6,"")</f>
        <v>6213.884055812</v>
      </c>
      <c r="AY21" s="17" t="n">
        <f aca="false">IF($AC21=1,$AD21/(1+AY$6)^1+$AE21/(1+AY$6)^2+$AF21/(1+AY$6)^3+$AG21/(1+AY$6)^4+$AH21/(1+AY$6)^5+$AI21/(1+AY$6)^6+$U21/AY$6/(1+AY$6)^6,"")</f>
        <v>2886.85593491041</v>
      </c>
      <c r="AZ21" s="17" t="n">
        <f aca="false">IF($AC21=1,$AD21/(1+AZ$6)^1+$AE21/(1+AZ$6)^2+$AF21/(1+AZ$6)^3+$AG21/(1+AZ$6)^4+$AH21/(1+AZ$6)^5+$AI21/(1+AZ$6)^6+$U21/AZ$6/(1+AZ$6)^6,"")</f>
        <v>1264.07926654357</v>
      </c>
      <c r="BA21" s="17" t="n">
        <f aca="false">IF($AC21=1,$AD21/(1+BA$6)^1+$AE21/(1+BA$6)^2+$AF21/(1+BA$6)^3+$AG21/(1+BA$6)^4+$AH21/(1+BA$6)^5+$AI21/(1+BA$6)^6+$U21/BA$6/(1+BA$6)^6,"")</f>
        <v>513.340298613319</v>
      </c>
      <c r="BB21" s="17" t="n">
        <f aca="false">IF($AC21=1,$AD21/(1+BB$6)^1+$AE21/(1+BB$6)^2+$AF21/(1+BB$6)^3+$AG21/(1+BB$6)^4+$AH21/(1+BB$6)^5+$AI21/(1+BB$6)^6+$U21/BB$6/(1+BB$6)^6,"")</f>
        <v>194.626657057337</v>
      </c>
    </row>
    <row r="22" customFormat="false" ht="15" hidden="false" customHeight="false" outlineLevel="0" collapsed="false">
      <c r="A22" s="2" t="n">
        <v>14</v>
      </c>
      <c r="B22" s="2" t="str">
        <f aca="false">D22&amp;E22&amp;F22&amp;G22&amp;H22&amp;I22</f>
        <v>001110</v>
      </c>
      <c r="C22" s="15" t="n">
        <f aca="false">SUM(D22:I22)</f>
        <v>3</v>
      </c>
      <c r="D22" s="15" t="n">
        <f aca="false">MOD(INT($A22/32),2)</f>
        <v>0</v>
      </c>
      <c r="E22" s="15" t="n">
        <f aca="false">MOD(INT($A22/16),2)</f>
        <v>0</v>
      </c>
      <c r="F22" s="15" t="n">
        <f aca="false">MOD(INT($A22/8),2)</f>
        <v>1</v>
      </c>
      <c r="G22" s="15" t="n">
        <f aca="false">MOD(INT($A22/4),2)</f>
        <v>1</v>
      </c>
      <c r="H22" s="15" t="n">
        <f aca="false">MOD(INT($A22/2),2)</f>
        <v>1</v>
      </c>
      <c r="I22" s="15" t="n">
        <f aca="false">MOD(INT($A22/1),2)</f>
        <v>0</v>
      </c>
      <c r="J22" s="14" t="n">
        <f aca="false">E_zero+D22*(Half_gap*(Ceiling_e-E_zero)-$F$4)</f>
        <v>71</v>
      </c>
      <c r="K22" s="14" t="n">
        <f aca="false">J22+E22*(Half_gap*(Ceiling_e-J22)-$F$4)</f>
        <v>71</v>
      </c>
      <c r="L22" s="14" t="n">
        <f aca="false">K22+F22*(Half_gap*(Ceiling_e-K22)-$F$4)</f>
        <v>78</v>
      </c>
      <c r="M22" s="14" t="n">
        <f aca="false">L22+G22*(Half_gap*(Ceiling_e-L22)-$F$4)</f>
        <v>81.5</v>
      </c>
      <c r="N22" s="14" t="n">
        <f aca="false">M22+H22*(Half_gap*(Ceiling_e-M22)-$F$4)</f>
        <v>83.25</v>
      </c>
      <c r="O22" s="14" t="n">
        <f aca="false">N22+I22*(Half_gap*(Ceiling_e-N22)-$F$4)</f>
        <v>83.25</v>
      </c>
      <c r="P22" s="14" t="n">
        <f aca="false">Val_pt*(J22-E_zero)</f>
        <v>0</v>
      </c>
      <c r="Q22" s="14" t="n">
        <f aca="false">Val_pt*(K22-E_zero)</f>
        <v>0</v>
      </c>
      <c r="R22" s="14" t="n">
        <f aca="false">Val_pt*(L22-E_zero)</f>
        <v>70</v>
      </c>
      <c r="S22" s="14" t="n">
        <f aca="false">Val_pt*(M22-E_zero)</f>
        <v>105</v>
      </c>
      <c r="T22" s="14" t="n">
        <f aca="false">Val_pt*(N22-E_zero)</f>
        <v>122.5</v>
      </c>
      <c r="U22" s="14" t="n">
        <f aca="false">Val_pt*(O22-E_zero)</f>
        <v>122.5</v>
      </c>
      <c r="V22" s="14" t="n">
        <f aca="false">MAX(W22+Cost_round*D22-P22,IF(D22=1,Pre_q,0))</f>
        <v>535</v>
      </c>
      <c r="W22" s="14" t="n">
        <f aca="false">MAX(X22+Cost_round*E22-Q22,IF(E22=1,Pre_q,0),Floor_q)</f>
        <v>535</v>
      </c>
      <c r="X22" s="14" t="n">
        <f aca="false">MAX(Y22+Cost_round*F22-R22,IF(F22=1,Pre_q,0),Floor_q)</f>
        <v>535</v>
      </c>
      <c r="Y22" s="14" t="n">
        <f aca="false">MAX(Z22+Cost_round*G22-S22,IF(G22=1,Pre_q,0),Floor_q)</f>
        <v>485</v>
      </c>
      <c r="Z22" s="14" t="n">
        <f aca="false">MAX(AA22+Cost_round*H22-T22,IF(H22=1,Pre_q,0),Floor_q)</f>
        <v>470</v>
      </c>
      <c r="AA22" s="14" t="n">
        <f aca="false">MAX(AB22+Cost_round*I22-U22,IF(I22=1,Pre_q,0),Floor_q)</f>
        <v>350</v>
      </c>
      <c r="AB22" s="14" t="n">
        <f aca="false">MAX(End_q,Floor_q)</f>
        <v>470</v>
      </c>
      <c r="AC22" s="15" t="n">
        <f aca="false">IF(Q_zero&gt;=V22-0.000000001,1,0)</f>
        <v>1</v>
      </c>
      <c r="AD22" s="14" t="n">
        <f aca="false">IF($AC22=1,Q_zero-Cost_round*D22+P22-W22,"")</f>
        <v>85</v>
      </c>
      <c r="AE22" s="14" t="n">
        <f aca="false">IF($AC22=1,W22-Cost_round*E22+Q22-X22,"")</f>
        <v>0</v>
      </c>
      <c r="AF22" s="14" t="n">
        <f aca="false">IF($AC22=1,X22-Cost_round*F22+R22-Y22,"")</f>
        <v>0</v>
      </c>
      <c r="AG22" s="14" t="n">
        <f aca="false">IF($AC22=1,Y22-Cost_round*G22+S22-Z22,"")</f>
        <v>0</v>
      </c>
      <c r="AH22" s="14" t="n">
        <f aca="false">IF($AC22=1,Z22-Cost_round*H22+T22-AA22,"")</f>
        <v>122.5</v>
      </c>
      <c r="AI22" s="14" t="n">
        <f aca="false">IF($AC22=1,AA22-Cost_round*I22+U22-AB22,"")</f>
        <v>2.5</v>
      </c>
      <c r="AJ22" s="14" t="n">
        <f aca="false">IF($AC22=1,SUM(AD22:AI22),"")</f>
        <v>210</v>
      </c>
      <c r="AK22" s="17" t="n">
        <f aca="false">IF($AC22=1,AD22*Beta_y^1+AE22*Beta_y^2+AF22*Beta_y^3+AG22*Beta_y^4+AH22*Beta_y^5+AI22*Beta_y^6,"")</f>
        <v>154.746774172608</v>
      </c>
      <c r="AL22" s="17" t="n">
        <f aca="false">IF($AC22=1,AK22+Beta_y^6*U22/Hurdle_r,"")</f>
        <v>846.227338488485</v>
      </c>
      <c r="AM22" s="17" t="n">
        <f aca="false">IF($AC22=1,AK22,"")</f>
        <v>154.746774172608</v>
      </c>
      <c r="AN22" s="17" t="n">
        <f aca="false">IF($AC22=1,AK22+Beta_y^6*U22*(1-(1+Hurdle_r)^(-Life_yrs))/Hurdle_r,"")</f>
        <v>743.443158700391</v>
      </c>
      <c r="AO22" s="17" t="n">
        <f aca="false">IF($AC22=1,AJ22+Credit_yrs*U22,"")</f>
        <v>1435</v>
      </c>
      <c r="AP22" s="17" t="n">
        <f aca="false">IF($AC22=1,$AD22/(1+AP$6)^1+$AE22/(1+AP$6)^2+$AF22/(1+AP$6)^3+$AG22/(1+AP$6)^4+$AH22/(1+AP$6)^5+$AI22/(1+AP$6)^6+$U22/AP$6/(1+AP$6)^6,"")</f>
        <v>3610.01494003168</v>
      </c>
      <c r="AQ22" s="17" t="n">
        <f aca="false">IF($AC22=1,$AD22/(1+AQ$6)^1+$AE22/(1+AQ$6)^2+$AF22/(1+AQ$6)^3+$AG22/(1+AQ$6)^4+$AH22/(1+AQ$6)^5+$AI22/(1+AQ$6)^6+$U22/AQ$6/(1+AQ$6)^6,"")</f>
        <v>2007.0275965961</v>
      </c>
      <c r="AR22" s="17" t="n">
        <f aca="false">IF($AC22=1,$AD22/(1+AR$6)^1+$AE22/(1+AR$6)^2+$AF22/(1+AR$6)^3+$AG22/(1+AR$6)^4+$AH22/(1+AR$6)^5+$AI22/(1+AR$6)^6+$U22/AR$6/(1+AR$6)^6,"")</f>
        <v>1128.5978105723</v>
      </c>
      <c r="AS22" s="17" t="n">
        <f aca="false">IF($AC22=1,$AD22/(1+AS$6)^1+$AE22/(1+AS$6)^2+$AF22/(1+AS$6)^3+$AG22/(1+AS$6)^4+$AH22/(1+AS$6)^5+$AI22/(1+AS$6)^6+$U22/AS$6/(1+AS$6)^6,"")</f>
        <v>846.227338488485</v>
      </c>
      <c r="AT22" s="17" t="n">
        <f aca="false">IF($AC22=1,$AD22/(1+AT$6)^1+$AE22/(1+AT$6)^2+$AF22/(1+AT$6)^3+$AG22/(1+AT$6)^4+$AH22/(1+AT$6)^5+$AI22/(1+AT$6)^6+$U22/AT$6/(1+AT$6)^6,"")</f>
        <v>663.855160973177</v>
      </c>
      <c r="AU22" s="17" t="n">
        <f aca="false">IF($AC22=1,$AD22/(1+AU$6)^1+$AE22/(1+AU$6)^2+$AF22/(1+AU$6)^3+$AG22/(1+AU$6)^4+$AH22/(1+AU$6)^5+$AI22/(1+AU$6)^6+$U22/AU$6/(1+AU$6)^6,"")</f>
        <v>488.965549203185</v>
      </c>
      <c r="AV22" s="17" t="n">
        <f aca="false">IF($AC22=1,$AD22/(1+AV$6)^1+$AE22/(1+AV$6)^2+$AF22/(1+AV$6)^3+$AG22/(1+AV$6)^4+$AH22/(1+AV$6)^5+$AI22/(1+AV$6)^6+$U22/AV$6/(1+AV$6)^6,"")</f>
        <v>326.025591563786</v>
      </c>
      <c r="AW22" s="17" t="n">
        <f aca="false">IF($AC22=1,$AD22/(1+AW$6)^1+$AE22/(1+AW$6)^2+$AF22/(1+AW$6)^3+$AG22/(1+AW$6)^4+$AH22/(1+AW$6)^5+$AI22/(1+AW$6)^6+$U22/AW$6/(1+AW$6)^6,"")</f>
        <v>183.49232035768</v>
      </c>
      <c r="AX22" s="17" t="n">
        <f aca="false">IF($AC22=1,$AD22/(1+AX$6)^1+$AE22/(1+AX$6)^2+$AF22/(1+AX$6)^3+$AG22/(1+AX$6)^4+$AH22/(1+AX$6)^5+$AI22/(1+AX$6)^6+$U22/AX$6/(1+AX$6)^6,"")</f>
        <v>6227.34677754129</v>
      </c>
      <c r="AY22" s="17" t="n">
        <f aca="false">IF($AC22=1,$AD22/(1+AY$6)^1+$AE22/(1+AY$6)^2+$AF22/(1+AY$6)^3+$AG22/(1+AY$6)^4+$AH22/(1+AY$6)^5+$AI22/(1+AY$6)^6+$U22/AY$6/(1+AY$6)^6,"")</f>
        <v>2896.81238773127</v>
      </c>
      <c r="AZ22" s="17" t="n">
        <f aca="false">IF($AC22=1,$AD22/(1+AZ$6)^1+$AE22/(1+AZ$6)^2+$AF22/(1+AZ$6)^3+$AG22/(1+AZ$6)^4+$AH22/(1+AZ$6)^5+$AI22/(1+AZ$6)^6+$U22/AZ$6/(1+AZ$6)^6,"")</f>
        <v>1268.3417637301</v>
      </c>
      <c r="BA22" s="17" t="n">
        <f aca="false">IF($AC22=1,$AD22/(1+BA$6)^1+$AE22/(1+BA$6)^2+$AF22/(1+BA$6)^3+$AG22/(1+BA$6)^4+$AH22/(1+BA$6)^5+$AI22/(1+BA$6)^6+$U22/BA$6/(1+BA$6)^6,"")</f>
        <v>510.084504725602</v>
      </c>
      <c r="BB22" s="17" t="n">
        <f aca="false">IF($AC22=1,$AD22/(1+BB$6)^1+$AE22/(1+BB$6)^2+$AF22/(1+BB$6)^3+$AG22/(1+BB$6)^4+$AH22/(1+BB$6)^5+$AI22/(1+BB$6)^6+$U22/BB$6/(1+BB$6)^6,"")</f>
        <v>184.596823929176</v>
      </c>
    </row>
    <row r="23" customFormat="false" ht="15" hidden="false" customHeight="false" outlineLevel="0" collapsed="false">
      <c r="A23" s="2" t="n">
        <v>15</v>
      </c>
      <c r="B23" s="2" t="str">
        <f aca="false">D23&amp;E23&amp;F23&amp;G23&amp;H23&amp;I23</f>
        <v>001111</v>
      </c>
      <c r="C23" s="15" t="n">
        <f aca="false">SUM(D23:I23)</f>
        <v>4</v>
      </c>
      <c r="D23" s="15" t="n">
        <f aca="false">MOD(INT($A23/32),2)</f>
        <v>0</v>
      </c>
      <c r="E23" s="15" t="n">
        <f aca="false">MOD(INT($A23/16),2)</f>
        <v>0</v>
      </c>
      <c r="F23" s="15" t="n">
        <f aca="false">MOD(INT($A23/8),2)</f>
        <v>1</v>
      </c>
      <c r="G23" s="15" t="n">
        <f aca="false">MOD(INT($A23/4),2)</f>
        <v>1</v>
      </c>
      <c r="H23" s="15" t="n">
        <f aca="false">MOD(INT($A23/2),2)</f>
        <v>1</v>
      </c>
      <c r="I23" s="15" t="n">
        <f aca="false">MOD(INT($A23/1),2)</f>
        <v>1</v>
      </c>
      <c r="J23" s="14" t="n">
        <f aca="false">E_zero+D23*(Half_gap*(Ceiling_e-E_zero)-$F$4)</f>
        <v>71</v>
      </c>
      <c r="K23" s="14" t="n">
        <f aca="false">J23+E23*(Half_gap*(Ceiling_e-J23)-$F$4)</f>
        <v>71</v>
      </c>
      <c r="L23" s="14" t="n">
        <f aca="false">K23+F23*(Half_gap*(Ceiling_e-K23)-$F$4)</f>
        <v>78</v>
      </c>
      <c r="M23" s="14" t="n">
        <f aca="false">L23+G23*(Half_gap*(Ceiling_e-L23)-$F$4)</f>
        <v>81.5</v>
      </c>
      <c r="N23" s="14" t="n">
        <f aca="false">M23+H23*(Half_gap*(Ceiling_e-M23)-$F$4)</f>
        <v>83.25</v>
      </c>
      <c r="O23" s="14" t="n">
        <f aca="false">N23+I23*(Half_gap*(Ceiling_e-N23)-$F$4)</f>
        <v>84.125</v>
      </c>
      <c r="P23" s="14" t="n">
        <f aca="false">Val_pt*(J23-E_zero)</f>
        <v>0</v>
      </c>
      <c r="Q23" s="14" t="n">
        <f aca="false">Val_pt*(K23-E_zero)</f>
        <v>0</v>
      </c>
      <c r="R23" s="14" t="n">
        <f aca="false">Val_pt*(L23-E_zero)</f>
        <v>70</v>
      </c>
      <c r="S23" s="14" t="n">
        <f aca="false">Val_pt*(M23-E_zero)</f>
        <v>105</v>
      </c>
      <c r="T23" s="14" t="n">
        <f aca="false">Val_pt*(N23-E_zero)</f>
        <v>122.5</v>
      </c>
      <c r="U23" s="14" t="n">
        <f aca="false">Val_pt*(O23-E_zero)</f>
        <v>131.25</v>
      </c>
      <c r="V23" s="14" t="n">
        <f aca="false">MAX(W23+Cost_round*D23-P23,IF(D23=1,Pre_q,0))</f>
        <v>535</v>
      </c>
      <c r="W23" s="14" t="n">
        <f aca="false">MAX(X23+Cost_round*E23-Q23,IF(E23=1,Pre_q,0),Floor_q)</f>
        <v>535</v>
      </c>
      <c r="X23" s="14" t="n">
        <f aca="false">MAX(Y23+Cost_round*F23-R23,IF(F23=1,Pre_q,0),Floor_q)</f>
        <v>535</v>
      </c>
      <c r="Y23" s="14" t="n">
        <f aca="false">MAX(Z23+Cost_round*G23-S23,IF(G23=1,Pre_q,0),Floor_q)</f>
        <v>485</v>
      </c>
      <c r="Z23" s="14" t="n">
        <f aca="false">MAX(AA23+Cost_round*H23-T23,IF(H23=1,Pre_q,0),Floor_q)</f>
        <v>470</v>
      </c>
      <c r="AA23" s="14" t="n">
        <f aca="false">MAX(AB23+Cost_round*I23-U23,IF(I23=1,Pre_q,0),Floor_q)</f>
        <v>470</v>
      </c>
      <c r="AB23" s="14" t="n">
        <f aca="false">MAX(End_q,Floor_q)</f>
        <v>470</v>
      </c>
      <c r="AC23" s="15" t="n">
        <f aca="false">IF(Q_zero&gt;=V23-0.000000001,1,0)</f>
        <v>1</v>
      </c>
      <c r="AD23" s="14" t="n">
        <f aca="false">IF($AC23=1,Q_zero-Cost_round*D23+P23-W23,"")</f>
        <v>85</v>
      </c>
      <c r="AE23" s="14" t="n">
        <f aca="false">IF($AC23=1,W23-Cost_round*E23+Q23-X23,"")</f>
        <v>0</v>
      </c>
      <c r="AF23" s="14" t="n">
        <f aca="false">IF($AC23=1,X23-Cost_round*F23+R23-Y23,"")</f>
        <v>0</v>
      </c>
      <c r="AG23" s="14" t="n">
        <f aca="false">IF($AC23=1,Y23-Cost_round*G23+S23-Z23,"")</f>
        <v>0</v>
      </c>
      <c r="AH23" s="14" t="n">
        <f aca="false">IF($AC23=1,Z23-Cost_round*H23+T23-AA23,"")</f>
        <v>2.5</v>
      </c>
      <c r="AI23" s="14" t="n">
        <f aca="false">IF($AC23=1,AA23-Cost_round*I23+U23-AB23,"")</f>
        <v>11.25</v>
      </c>
      <c r="AJ23" s="14" t="n">
        <f aca="false">IF($AC23=1,SUM(AD23:AI23),"")</f>
        <v>98.75</v>
      </c>
      <c r="AK23" s="17" t="n">
        <f aca="false">IF($AC23=1,AD23*Beta_y^1+AE23*Beta_y^2+AF23*Beta_y^3+AG23*Beta_y^4+AH23*Beta_y^5+AI23*Beta_y^6,"")</f>
        <v>85.1753622934802</v>
      </c>
      <c r="AL23" s="17" t="n">
        <f aca="false">IF($AC23=1,AK23+Beta_y^6*U23/Hurdle_r,"")</f>
        <v>826.047395489063</v>
      </c>
      <c r="AM23" s="17" t="n">
        <f aca="false">IF($AC23=1,AK23,"")</f>
        <v>85.1753622934802</v>
      </c>
      <c r="AN23" s="17" t="n">
        <f aca="false">IF($AC23=1,AK23+Beta_y^6*U23*(1-(1+Hurdle_r)^(-Life_yrs))/Hurdle_r,"")</f>
        <v>715.921488573248</v>
      </c>
      <c r="AO23" s="17" t="n">
        <f aca="false">IF($AC23=1,AJ23+Credit_yrs*U23,"")</f>
        <v>1411.25</v>
      </c>
      <c r="AP23" s="17" t="n">
        <f aca="false">IF($AC23=1,$AD23/(1+AP$6)^1+$AE23/(1+AP$6)^2+$AF23/(1+AP$6)^3+$AG23/(1+AP$6)^4+$AH23/(1+AP$6)^5+$AI23/(1+AP$6)^6+$U23/AP$6/(1+AP$6)^6,"")</f>
        <v>3758.0961146843</v>
      </c>
      <c r="AQ23" s="17" t="n">
        <f aca="false">IF($AC23=1,$AD23/(1+AQ$6)^1+$AE23/(1+AQ$6)^2+$AF23/(1+AQ$6)^3+$AG23/(1+AQ$6)^4+$AH23/(1+AQ$6)^5+$AI23/(1+AQ$6)^6+$U23/AQ$6/(1+AQ$6)^6,"")</f>
        <v>2050.12153575186</v>
      </c>
      <c r="AR23" s="17" t="n">
        <f aca="false">IF($AC23=1,$AD23/(1+AR$6)^1+$AE23/(1+AR$6)^2+$AF23/(1+AR$6)^3+$AG23/(1+AR$6)^4+$AH23/(1+AR$6)^5+$AI23/(1+AR$6)^6+$U23/AR$6/(1+AR$6)^6,"")</f>
        <v>1121.36661410382</v>
      </c>
      <c r="AS23" s="17" t="n">
        <f aca="false">IF($AC23=1,$AD23/(1+AS$6)^1+$AE23/(1+AS$6)^2+$AF23/(1+AS$6)^3+$AG23/(1+AS$6)^4+$AH23/(1+AS$6)^5+$AI23/(1+AS$6)^6+$U23/AS$6/(1+AS$6)^6,"")</f>
        <v>826.047395489063</v>
      </c>
      <c r="AT23" s="17" t="n">
        <f aca="false">IF($AC23=1,$AD23/(1+AT$6)^1+$AE23/(1+AT$6)^2+$AF23/(1+AT$6)^3+$AG23/(1+AT$6)^4+$AH23/(1+AT$6)^5+$AI23/(1+AT$6)^6+$U23/AT$6/(1+AT$6)^6,"")</f>
        <v>637.138813183093</v>
      </c>
      <c r="AU23" s="17" t="n">
        <f aca="false">IF($AC23=1,$AD23/(1+AU$6)^1+$AE23/(1+AU$6)^2+$AF23/(1+AU$6)^3+$AG23/(1+AU$6)^4+$AH23/(1+AU$6)^5+$AI23/(1+AU$6)^6+$U23/AU$6/(1+AU$6)^6,"")</f>
        <v>458.306317193124</v>
      </c>
      <c r="AV23" s="17" t="n">
        <f aca="false">IF($AC23=1,$AD23/(1+AV$6)^1+$AE23/(1+AV$6)^2+$AF23/(1+AV$6)^3+$AG23/(1+AV$6)^4+$AH23/(1+AV$6)^5+$AI23/(1+AV$6)^6+$U23/AV$6/(1+AV$6)^6,"")</f>
        <v>295.382426697531</v>
      </c>
      <c r="AW23" s="17" t="n">
        <f aca="false">IF($AC23=1,$AD23/(1+AW$6)^1+$AE23/(1+AW$6)^2+$AF23/(1+AW$6)^3+$AG23/(1+AW$6)^4+$AH23/(1+AW$6)^5+$AI23/(1+AW$6)^6+$U23/AW$6/(1+AW$6)^6,"")</f>
        <v>159.028262771533</v>
      </c>
      <c r="AX23" s="17" t="n">
        <f aca="false">IF($AC23=1,$AD23/(1+AX$6)^1+$AE23/(1+AX$6)^2+$AF23/(1+AX$6)^3+$AG23/(1+AX$6)^4+$AH23/(1+AX$6)^5+$AI23/(1+AX$6)^6+$U23/AX$6/(1+AX$6)^6,"")</f>
        <v>6556.25507950304</v>
      </c>
      <c r="AY23" s="17" t="n">
        <f aca="false">IF($AC23=1,$AD23/(1+AY$6)^1+$AE23/(1+AY$6)^2+$AF23/(1+AY$6)^3+$AG23/(1+AY$6)^4+$AH23/(1+AY$6)^5+$AI23/(1+AY$6)^6+$U23/AY$6/(1+AY$6)^6,"")</f>
        <v>2997.14035369979</v>
      </c>
      <c r="AZ23" s="17" t="n">
        <f aca="false">IF($AC23=1,$AD23/(1+AZ$6)^1+$AE23/(1+AZ$6)^2+$AF23/(1+AZ$6)^3+$AG23/(1+AZ$6)^4+$AH23/(1+AZ$6)^5+$AI23/(1+AZ$6)^6+$U23/AZ$6/(1+AZ$6)^6,"")</f>
        <v>1268.34176373097</v>
      </c>
      <c r="BA23" s="17" t="n">
        <f aca="false">IF($AC23=1,$AD23/(1+BA$6)^1+$AE23/(1+BA$6)^2+$AF23/(1+BA$6)^3+$AG23/(1+BA$6)^4+$AH23/(1+BA$6)^5+$AI23/(1+BA$6)^6+$U23/BA$6/(1+BA$6)^6,"")</f>
        <v>479.73325118739</v>
      </c>
      <c r="BB23" s="17" t="n">
        <f aca="false">IF($AC23=1,$AD23/(1+BB$6)^1+$AE23/(1+BB$6)^2+$AF23/(1+BB$6)^3+$AG23/(1+BB$6)^4+$AH23/(1+BB$6)^5+$AI23/(1+BB$6)^6+$U23/BB$6/(1+BB$6)^6,"")</f>
        <v>160.045170908924</v>
      </c>
    </row>
    <row r="24" customFormat="false" ht="15" hidden="false" customHeight="false" outlineLevel="0" collapsed="false">
      <c r="A24" s="2" t="n">
        <v>16</v>
      </c>
      <c r="B24" s="2" t="str">
        <f aca="false">D24&amp;E24&amp;F24&amp;G24&amp;H24&amp;I24</f>
        <v>010000</v>
      </c>
      <c r="C24" s="15" t="n">
        <f aca="false">SUM(D24:I24)</f>
        <v>1</v>
      </c>
      <c r="D24" s="15" t="n">
        <f aca="false">MOD(INT($A24/32),2)</f>
        <v>0</v>
      </c>
      <c r="E24" s="15" t="n">
        <f aca="false">MOD(INT($A24/16),2)</f>
        <v>1</v>
      </c>
      <c r="F24" s="15" t="n">
        <f aca="false">MOD(INT($A24/8),2)</f>
        <v>0</v>
      </c>
      <c r="G24" s="15" t="n">
        <f aca="false">MOD(INT($A24/4),2)</f>
        <v>0</v>
      </c>
      <c r="H24" s="15" t="n">
        <f aca="false">MOD(INT($A24/2),2)</f>
        <v>0</v>
      </c>
      <c r="I24" s="15" t="n">
        <f aca="false">MOD(INT($A24/1),2)</f>
        <v>0</v>
      </c>
      <c r="J24" s="14" t="n">
        <f aca="false">E_zero+D24*(Half_gap*(Ceiling_e-E_zero)-$F$4)</f>
        <v>71</v>
      </c>
      <c r="K24" s="14" t="n">
        <f aca="false">J24+E24*(Half_gap*(Ceiling_e-J24)-$F$4)</f>
        <v>78</v>
      </c>
      <c r="L24" s="14" t="n">
        <f aca="false">K24+F24*(Half_gap*(Ceiling_e-K24)-$F$4)</f>
        <v>78</v>
      </c>
      <c r="M24" s="14" t="n">
        <f aca="false">L24+G24*(Half_gap*(Ceiling_e-L24)-$F$4)</f>
        <v>78</v>
      </c>
      <c r="N24" s="14" t="n">
        <f aca="false">M24+H24*(Half_gap*(Ceiling_e-M24)-$F$4)</f>
        <v>78</v>
      </c>
      <c r="O24" s="14" t="n">
        <f aca="false">N24+I24*(Half_gap*(Ceiling_e-N24)-$F$4)</f>
        <v>78</v>
      </c>
      <c r="P24" s="14" t="n">
        <f aca="false">Val_pt*(J24-E_zero)</f>
        <v>0</v>
      </c>
      <c r="Q24" s="14" t="n">
        <f aca="false">Val_pt*(K24-E_zero)</f>
        <v>70</v>
      </c>
      <c r="R24" s="14" t="n">
        <f aca="false">Val_pt*(L24-E_zero)</f>
        <v>70</v>
      </c>
      <c r="S24" s="14" t="n">
        <f aca="false">Val_pt*(M24-E_zero)</f>
        <v>70</v>
      </c>
      <c r="T24" s="14" t="n">
        <f aca="false">Val_pt*(N24-E_zero)</f>
        <v>70</v>
      </c>
      <c r="U24" s="14" t="n">
        <f aca="false">Val_pt*(O24-E_zero)</f>
        <v>70</v>
      </c>
      <c r="V24" s="14" t="n">
        <f aca="false">MAX(W24+Cost_round*D24-P24,IF(D24=1,Pre_q,0))</f>
        <v>470</v>
      </c>
      <c r="W24" s="14" t="n">
        <f aca="false">MAX(X24+Cost_round*E24-Q24,IF(E24=1,Pre_q,0),Floor_q)</f>
        <v>470</v>
      </c>
      <c r="X24" s="14" t="n">
        <f aca="false">MAX(Y24+Cost_round*F24-R24,IF(F24=1,Pre_q,0),Floor_q)</f>
        <v>350</v>
      </c>
      <c r="Y24" s="14" t="n">
        <f aca="false">MAX(Z24+Cost_round*G24-S24,IF(G24=1,Pre_q,0),Floor_q)</f>
        <v>350</v>
      </c>
      <c r="Z24" s="14" t="n">
        <f aca="false">MAX(AA24+Cost_round*H24-T24,IF(H24=1,Pre_q,0),Floor_q)</f>
        <v>350</v>
      </c>
      <c r="AA24" s="14" t="n">
        <f aca="false">MAX(AB24+Cost_round*I24-U24,IF(I24=1,Pre_q,0),Floor_q)</f>
        <v>400</v>
      </c>
      <c r="AB24" s="14" t="n">
        <f aca="false">MAX(End_q,Floor_q)</f>
        <v>470</v>
      </c>
      <c r="AC24" s="15" t="n">
        <f aca="false">IF(Q_zero&gt;=V24-0.000000001,1,0)</f>
        <v>1</v>
      </c>
      <c r="AD24" s="14" t="n">
        <f aca="false">IF($AC24=1,Q_zero-Cost_round*D24+P24-W24,"")</f>
        <v>150</v>
      </c>
      <c r="AE24" s="14" t="n">
        <f aca="false">IF($AC24=1,W24-Cost_round*E24+Q24-X24,"")</f>
        <v>70</v>
      </c>
      <c r="AF24" s="14" t="n">
        <f aca="false">IF($AC24=1,X24-Cost_round*F24+R24-Y24,"")</f>
        <v>70</v>
      </c>
      <c r="AG24" s="14" t="n">
        <f aca="false">IF($AC24=1,Y24-Cost_round*G24+S24-Z24,"")</f>
        <v>70</v>
      </c>
      <c r="AH24" s="14" t="n">
        <f aca="false">IF($AC24=1,Z24-Cost_round*H24+T24-AA24,"")</f>
        <v>20</v>
      </c>
      <c r="AI24" s="14" t="n">
        <f aca="false">IF($AC24=1,AA24-Cost_round*I24+U24-AB24,"")</f>
        <v>0</v>
      </c>
      <c r="AJ24" s="14" t="n">
        <f aca="false">IF($AC24=1,SUM(AD24:AI24),"")</f>
        <v>380</v>
      </c>
      <c r="AK24" s="17" t="n">
        <f aca="false">IF($AC24=1,AD24*Beta_y^1+AE24*Beta_y^2+AF24*Beta_y^3+AG24*Beta_y^4+AH24*Beta_y^5+AI24*Beta_y^6,"")</f>
        <v>307.036280432906</v>
      </c>
      <c r="AL24" s="17" t="n">
        <f aca="false">IF($AC24=1,AK24+Beta_y^6*U24/Hurdle_r,"")</f>
        <v>702.16803147055</v>
      </c>
      <c r="AM24" s="17" t="n">
        <f aca="false">IF($AC24=1,AK24,"")</f>
        <v>307.036280432906</v>
      </c>
      <c r="AN24" s="17" t="n">
        <f aca="false">IF($AC24=1,AK24+Beta_y^6*U24*(1-(1+Hurdle_r)^(-Life_yrs))/Hurdle_r,"")</f>
        <v>643.434214448782</v>
      </c>
      <c r="AO24" s="17" t="n">
        <f aca="false">IF($AC24=1,AJ24+Credit_yrs*U24,"")</f>
        <v>1080</v>
      </c>
      <c r="AP24" s="17" t="n">
        <f aca="false">IF($AC24=1,$AD24/(1+AP$6)^1+$AE24/(1+AP$6)^2+$AF24/(1+AP$6)^3+$AG24/(1+AP$6)^4+$AH24/(1+AP$6)^5+$AI24/(1+AP$6)^6+$U24/AP$6/(1+AP$6)^6,"")</f>
        <v>2309.24889905889</v>
      </c>
      <c r="AQ24" s="17" t="n">
        <f aca="false">IF($AC24=1,$AD24/(1+AQ$6)^1+$AE24/(1+AQ$6)^2+$AF24/(1+AQ$6)^3+$AG24/(1+AQ$6)^4+$AH24/(1+AQ$6)^5+$AI24/(1+AQ$6)^6+$U24/AQ$6/(1+AQ$6)^6,"")</f>
        <v>1384.77909010249</v>
      </c>
      <c r="AR24" s="17" t="n">
        <f aca="false">IF($AC24=1,$AD24/(1+AR$6)^1+$AE24/(1+AR$6)^2+$AF24/(1+AR$6)^3+$AG24/(1+AR$6)^4+$AH24/(1+AR$6)^5+$AI24/(1+AR$6)^6+$U24/AR$6/(1+AR$6)^6,"")</f>
        <v>870.933040340569</v>
      </c>
      <c r="AS24" s="17" t="n">
        <f aca="false">IF($AC24=1,$AD24/(1+AS$6)^1+$AE24/(1+AS$6)^2+$AF24/(1+AS$6)^3+$AG24/(1+AS$6)^4+$AH24/(1+AS$6)^5+$AI24/(1+AS$6)^6+$U24/AS$6/(1+AS$6)^6,"")</f>
        <v>702.16803147055</v>
      </c>
      <c r="AT24" s="17" t="n">
        <f aca="false">IF($AC24=1,$AD24/(1+AT$6)^1+$AE24/(1+AT$6)^2+$AF24/(1+AT$6)^3+$AG24/(1+AT$6)^4+$AH24/(1+AT$6)^5+$AI24/(1+AT$6)^6+$U24/AT$6/(1+AT$6)^6,"")</f>
        <v>590.926383493562</v>
      </c>
      <c r="AU24" s="17" t="n">
        <f aca="false">IF($AC24=1,$AD24/(1+AU$6)^1+$AE24/(1+AU$6)^2+$AF24/(1+AU$6)^3+$AG24/(1+AU$6)^4+$AH24/(1+AU$6)^5+$AI24/(1+AU$6)^6+$U24/AU$6/(1+AU$6)^6,"")</f>
        <v>481.110115579248</v>
      </c>
      <c r="AV24" s="17" t="n">
        <f aca="false">IF($AC24=1,$AD24/(1+AV$6)^1+$AE24/(1+AV$6)^2+$AF24/(1+AV$6)^3+$AG24/(1+AV$6)^4+$AH24/(1+AV$6)^5+$AI24/(1+AV$6)^6+$U24/AV$6/(1+AV$6)^6,"")</f>
        <v>373.129929698217</v>
      </c>
      <c r="AW24" s="17" t="n">
        <f aca="false">IF($AC24=1,$AD24/(1+AW$6)^1+$AE24/(1+AW$6)^2+$AF24/(1+AW$6)^3+$AG24/(1+AW$6)^4+$AH24/(1+AW$6)^5+$AI24/(1+AW$6)^6+$U24/AW$6/(1+AW$6)^6,"")</f>
        <v>266.903006382339</v>
      </c>
      <c r="AX24" s="17" t="n">
        <f aca="false">IF($AC24=1,$AD24/(1+AX$6)^1+$AE24/(1+AX$6)^2+$AF24/(1+AX$6)^3+$AG24/(1+AX$6)^4+$AH24/(1+AX$6)^5+$AI24/(1+AX$6)^6+$U24/AX$6/(1+AX$6)^6,"")</f>
        <v>3810.07663785904</v>
      </c>
      <c r="AY24" s="17" t="n">
        <f aca="false">IF($AC24=1,$AD24/(1+AY$6)^1+$AE24/(1+AY$6)^2+$AF24/(1+AY$6)^3+$AG24/(1+AY$6)^4+$AH24/(1+AY$6)^5+$AI24/(1+AY$6)^6+$U24/AY$6/(1+AY$6)^6,"")</f>
        <v>1898.91661961821</v>
      </c>
      <c r="AZ24" s="17" t="n">
        <f aca="false">IF($AC24=1,$AD24/(1+AZ$6)^1+$AE24/(1+AZ$6)^2+$AF24/(1+AZ$6)^3+$AG24/(1+AZ$6)^4+$AH24/(1+AZ$6)^5+$AI24/(1+AZ$6)^6+$U24/AZ$6/(1+AZ$6)^6,"")</f>
        <v>953.507411434212</v>
      </c>
      <c r="BA24" s="17" t="n">
        <f aca="false">IF($AC24=1,$AD24/(1+BA$6)^1+$AE24/(1+BA$6)^2+$AF24/(1+BA$6)^3+$AG24/(1+BA$6)^4+$AH24/(1+BA$6)^5+$AI24/(1+BA$6)^6+$U24/BA$6/(1+BA$6)^6,"")</f>
        <v>494.612490741222</v>
      </c>
      <c r="BB24" s="17" t="n">
        <f aca="false">IF($AC24=1,$AD24/(1+BB$6)^1+$AE24/(1+BB$6)^2+$AF24/(1+BB$6)^3+$AG24/(1+BB$6)^4+$AH24/(1+BB$6)^5+$AI24/(1+BB$6)^6+$U24/BB$6/(1+BB$6)^6,"")</f>
        <v>267.81758335756</v>
      </c>
    </row>
    <row r="25" customFormat="false" ht="15" hidden="false" customHeight="false" outlineLevel="0" collapsed="false">
      <c r="A25" s="2" t="n">
        <v>17</v>
      </c>
      <c r="B25" s="2" t="str">
        <f aca="false">D25&amp;E25&amp;F25&amp;G25&amp;H25&amp;I25</f>
        <v>010001</v>
      </c>
      <c r="C25" s="15" t="n">
        <f aca="false">SUM(D25:I25)</f>
        <v>2</v>
      </c>
      <c r="D25" s="15" t="n">
        <f aca="false">MOD(INT($A25/32),2)</f>
        <v>0</v>
      </c>
      <c r="E25" s="15" t="n">
        <f aca="false">MOD(INT($A25/16),2)</f>
        <v>1</v>
      </c>
      <c r="F25" s="15" t="n">
        <f aca="false">MOD(INT($A25/8),2)</f>
        <v>0</v>
      </c>
      <c r="G25" s="15" t="n">
        <f aca="false">MOD(INT($A25/4),2)</f>
        <v>0</v>
      </c>
      <c r="H25" s="15" t="n">
        <f aca="false">MOD(INT($A25/2),2)</f>
        <v>0</v>
      </c>
      <c r="I25" s="15" t="n">
        <f aca="false">MOD(INT($A25/1),2)</f>
        <v>1</v>
      </c>
      <c r="J25" s="14" t="n">
        <f aca="false">E_zero+D25*(Half_gap*(Ceiling_e-E_zero)-$F$4)</f>
        <v>71</v>
      </c>
      <c r="K25" s="14" t="n">
        <f aca="false">J25+E25*(Half_gap*(Ceiling_e-J25)-$F$4)</f>
        <v>78</v>
      </c>
      <c r="L25" s="14" t="n">
        <f aca="false">K25+F25*(Half_gap*(Ceiling_e-K25)-$F$4)</f>
        <v>78</v>
      </c>
      <c r="M25" s="14" t="n">
        <f aca="false">L25+G25*(Half_gap*(Ceiling_e-L25)-$F$4)</f>
        <v>78</v>
      </c>
      <c r="N25" s="14" t="n">
        <f aca="false">M25+H25*(Half_gap*(Ceiling_e-M25)-$F$4)</f>
        <v>78</v>
      </c>
      <c r="O25" s="14" t="n">
        <f aca="false">N25+I25*(Half_gap*(Ceiling_e-N25)-$F$4)</f>
        <v>81.5</v>
      </c>
      <c r="P25" s="14" t="n">
        <f aca="false">Val_pt*(J25-E_zero)</f>
        <v>0</v>
      </c>
      <c r="Q25" s="14" t="n">
        <f aca="false">Val_pt*(K25-E_zero)</f>
        <v>70</v>
      </c>
      <c r="R25" s="14" t="n">
        <f aca="false">Val_pt*(L25-E_zero)</f>
        <v>70</v>
      </c>
      <c r="S25" s="14" t="n">
        <f aca="false">Val_pt*(M25-E_zero)</f>
        <v>70</v>
      </c>
      <c r="T25" s="14" t="n">
        <f aca="false">Val_pt*(N25-E_zero)</f>
        <v>70</v>
      </c>
      <c r="U25" s="14" t="n">
        <f aca="false">Val_pt*(O25-E_zero)</f>
        <v>105</v>
      </c>
      <c r="V25" s="14" t="n">
        <f aca="false">MAX(W25+Cost_round*D25-P25,IF(D25=1,Pre_q,0))</f>
        <v>470</v>
      </c>
      <c r="W25" s="14" t="n">
        <f aca="false">MAX(X25+Cost_round*E25-Q25,IF(E25=1,Pre_q,0),Floor_q)</f>
        <v>470</v>
      </c>
      <c r="X25" s="14" t="n">
        <f aca="false">MAX(Y25+Cost_round*F25-R25,IF(F25=1,Pre_q,0),Floor_q)</f>
        <v>350</v>
      </c>
      <c r="Y25" s="14" t="n">
        <f aca="false">MAX(Z25+Cost_round*G25-S25,IF(G25=1,Pre_q,0),Floor_q)</f>
        <v>350</v>
      </c>
      <c r="Z25" s="14" t="n">
        <f aca="false">MAX(AA25+Cost_round*H25-T25,IF(H25=1,Pre_q,0),Floor_q)</f>
        <v>415</v>
      </c>
      <c r="AA25" s="14" t="n">
        <f aca="false">MAX(AB25+Cost_round*I25-U25,IF(I25=1,Pre_q,0),Floor_q)</f>
        <v>485</v>
      </c>
      <c r="AB25" s="14" t="n">
        <f aca="false">MAX(End_q,Floor_q)</f>
        <v>470</v>
      </c>
      <c r="AC25" s="15" t="n">
        <f aca="false">IF(Q_zero&gt;=V25-0.000000001,1,0)</f>
        <v>1</v>
      </c>
      <c r="AD25" s="14" t="n">
        <f aca="false">IF($AC25=1,Q_zero-Cost_round*D25+P25-W25,"")</f>
        <v>150</v>
      </c>
      <c r="AE25" s="14" t="n">
        <f aca="false">IF($AC25=1,W25-Cost_round*E25+Q25-X25,"")</f>
        <v>70</v>
      </c>
      <c r="AF25" s="14" t="n">
        <f aca="false">IF($AC25=1,X25-Cost_round*F25+R25-Y25,"")</f>
        <v>70</v>
      </c>
      <c r="AG25" s="14" t="n">
        <f aca="false">IF($AC25=1,Y25-Cost_round*G25+S25-Z25,"")</f>
        <v>5</v>
      </c>
      <c r="AH25" s="14" t="n">
        <f aca="false">IF($AC25=1,Z25-Cost_round*H25+T25-AA25,"")</f>
        <v>0</v>
      </c>
      <c r="AI25" s="14" t="n">
        <f aca="false">IF($AC25=1,AA25-Cost_round*I25+U25-AB25,"")</f>
        <v>0</v>
      </c>
      <c r="AJ25" s="14" t="n">
        <f aca="false">IF($AC25=1,SUM(AD25:AI25),"")</f>
        <v>295</v>
      </c>
      <c r="AK25" s="17" t="n">
        <f aca="false">IF($AC25=1,AD25*Beta_y^1+AE25*Beta_y^2+AF25*Beta_y^3+AG25*Beta_y^4+AH25*Beta_y^5+AI25*Beta_y^6,"")</f>
        <v>250.221979372994</v>
      </c>
      <c r="AL25" s="17" t="n">
        <f aca="false">IF($AC25=1,AK25+Beta_y^6*U25/Hurdle_r,"")</f>
        <v>842.91960592946</v>
      </c>
      <c r="AM25" s="17" t="n">
        <f aca="false">IF($AC25=1,AK25,"")</f>
        <v>250.221979372994</v>
      </c>
      <c r="AN25" s="17" t="n">
        <f aca="false">IF($AC25=1,AK25+Beta_y^6*U25*(1-(1+Hurdle_r)^(-Life_yrs))/Hurdle_r,"")</f>
        <v>754.818880396808</v>
      </c>
      <c r="AO25" s="17" t="n">
        <f aca="false">IF($AC25=1,AJ25+Credit_yrs*U25,"")</f>
        <v>1345</v>
      </c>
      <c r="AP25" s="17" t="n">
        <f aca="false">IF($AC25=1,$AD25/(1+AP$6)^1+$AE25/(1+AP$6)^2+$AF25/(1+AP$6)^3+$AG25/(1+AP$6)^4+$AH25/(1+AP$6)^5+$AI25/(1+AP$6)^6+$U25/AP$6/(1+AP$6)^6,"")</f>
        <v>3211.31003138762</v>
      </c>
      <c r="AQ25" s="17" t="n">
        <f aca="false">IF($AC25=1,$AD25/(1+AQ$6)^1+$AE25/(1+AQ$6)^2+$AF25/(1+AQ$6)^3+$AG25/(1+AQ$6)^4+$AH25/(1+AQ$6)^5+$AI25/(1+AQ$6)^6+$U25/AQ$6/(1+AQ$6)^6,"")</f>
        <v>1837.98368355729</v>
      </c>
      <c r="AR25" s="17" t="n">
        <f aca="false">IF($AC25=1,$AD25/(1+AR$6)^1+$AE25/(1+AR$6)^2+$AF25/(1+AR$6)^3+$AG25/(1+AR$6)^4+$AH25/(1+AR$6)^5+$AI25/(1+AR$6)^6+$U25/AR$6/(1+AR$6)^6,"")</f>
        <v>1085.24364772948</v>
      </c>
      <c r="AS25" s="17" t="n">
        <f aca="false">IF($AC25=1,$AD25/(1+AS$6)^1+$AE25/(1+AS$6)^2+$AF25/(1+AS$6)^3+$AG25/(1+AS$6)^4+$AH25/(1+AS$6)^5+$AI25/(1+AS$6)^6+$U25/AS$6/(1+AS$6)^6,"")</f>
        <v>842.91960592946</v>
      </c>
      <c r="AT25" s="17" t="n">
        <f aca="false">IF($AC25=1,$AD25/(1+AT$6)^1+$AE25/(1+AT$6)^2+$AF25/(1+AT$6)^3+$AG25/(1+AT$6)^4+$AH25/(1+AT$6)^5+$AI25/(1+AT$6)^6+$U25/AT$6/(1+AT$6)^6,"")</f>
        <v>686.036581626261</v>
      </c>
      <c r="AU25" s="17" t="n">
        <f aca="false">IF($AC25=1,$AD25/(1+AU$6)^1+$AE25/(1+AU$6)^2+$AF25/(1+AU$6)^3+$AG25/(1+AU$6)^4+$AH25/(1+AU$6)^5+$AI25/(1+AU$6)^6+$U25/AU$6/(1+AU$6)^6,"")</f>
        <v>534.879058955765</v>
      </c>
      <c r="AV25" s="17" t="n">
        <f aca="false">IF($AC25=1,$AD25/(1+AV$6)^1+$AE25/(1+AV$6)^2+$AF25/(1+AV$6)^3+$AG25/(1+AV$6)^4+$AH25/(1+AV$6)^5+$AI25/(1+AV$6)^6+$U25/AV$6/(1+AV$6)^6,"")</f>
        <v>392.353073559671</v>
      </c>
      <c r="AW25" s="17" t="n">
        <f aca="false">IF($AC25=1,$AD25/(1+AW$6)^1+$AE25/(1+AW$6)^2+$AF25/(1+AW$6)^3+$AG25/(1+AW$6)^4+$AH25/(1+AW$6)^5+$AI25/(1+AW$6)^6+$U25/AW$6/(1+AW$6)^6,"")</f>
        <v>262.928676067356</v>
      </c>
      <c r="AX25" s="17" t="n">
        <f aca="false">IF($AC25=1,$AD25/(1+AX$6)^1+$AE25/(1+AX$6)^2+$AF25/(1+AX$6)^3+$AG25/(1+AX$6)^4+$AH25/(1+AX$6)^5+$AI25/(1+AX$6)^6+$U25/AX$6/(1+AX$6)^6,"")</f>
        <v>5454.10806811032</v>
      </c>
      <c r="AY25" s="17" t="n">
        <f aca="false">IF($AC25=1,$AD25/(1+AY$6)^1+$AE25/(1+AY$6)^2+$AF25/(1+AY$6)^3+$AG25/(1+AY$6)^4+$AH25/(1+AY$6)^5+$AI25/(1+AY$6)^6+$U25/AY$6/(1+AY$6)^6,"")</f>
        <v>2600.26040620373</v>
      </c>
      <c r="AZ25" s="17" t="n">
        <f aca="false">IF($AC25=1,$AD25/(1+AZ$6)^1+$AE25/(1+AZ$6)^2+$AF25/(1+AZ$6)^3+$AG25/(1+AZ$6)^4+$AH25/(1+AZ$6)^5+$AI25/(1+AZ$6)^6+$U25/AZ$6/(1+AZ$6)^6,"")</f>
        <v>1205.0520025749</v>
      </c>
      <c r="BA25" s="17" t="n">
        <f aca="false">IF($AC25=1,$AD25/(1+BA$6)^1+$AE25/(1+BA$6)^2+$AF25/(1+BA$6)^3+$AG25/(1+BA$6)^4+$AH25/(1+BA$6)^5+$AI25/(1+BA$6)^6+$U25/BA$6/(1+BA$6)^6,"")</f>
        <v>553.195574976944</v>
      </c>
      <c r="BB25" s="17" t="n">
        <f aca="false">IF($AC25=1,$AD25/(1+BB$6)^1+$AE25/(1+BB$6)^2+$AF25/(1+BB$6)^3+$AG25/(1+BB$6)^4+$AH25/(1+BB$6)^5+$AI25/(1+BB$6)^6+$U25/BB$6/(1+BB$6)^6,"")</f>
        <v>263.975224183929</v>
      </c>
    </row>
    <row r="26" customFormat="false" ht="15" hidden="false" customHeight="false" outlineLevel="0" collapsed="false">
      <c r="A26" s="2" t="n">
        <v>18</v>
      </c>
      <c r="B26" s="2" t="str">
        <f aca="false">D26&amp;E26&amp;F26&amp;G26&amp;H26&amp;I26</f>
        <v>010010</v>
      </c>
      <c r="C26" s="15" t="n">
        <f aca="false">SUM(D26:I26)</f>
        <v>2</v>
      </c>
      <c r="D26" s="15" t="n">
        <f aca="false">MOD(INT($A26/32),2)</f>
        <v>0</v>
      </c>
      <c r="E26" s="15" t="n">
        <f aca="false">MOD(INT($A26/16),2)</f>
        <v>1</v>
      </c>
      <c r="F26" s="15" t="n">
        <f aca="false">MOD(INT($A26/8),2)</f>
        <v>0</v>
      </c>
      <c r="G26" s="15" t="n">
        <f aca="false">MOD(INT($A26/4),2)</f>
        <v>0</v>
      </c>
      <c r="H26" s="15" t="n">
        <f aca="false">MOD(INT($A26/2),2)</f>
        <v>1</v>
      </c>
      <c r="I26" s="15" t="n">
        <f aca="false">MOD(INT($A26/1),2)</f>
        <v>0</v>
      </c>
      <c r="J26" s="14" t="n">
        <f aca="false">E_zero+D26*(Half_gap*(Ceiling_e-E_zero)-$F$4)</f>
        <v>71</v>
      </c>
      <c r="K26" s="14" t="n">
        <f aca="false">J26+E26*(Half_gap*(Ceiling_e-J26)-$F$4)</f>
        <v>78</v>
      </c>
      <c r="L26" s="14" t="n">
        <f aca="false">K26+F26*(Half_gap*(Ceiling_e-K26)-$F$4)</f>
        <v>78</v>
      </c>
      <c r="M26" s="14" t="n">
        <f aca="false">L26+G26*(Half_gap*(Ceiling_e-L26)-$F$4)</f>
        <v>78</v>
      </c>
      <c r="N26" s="14" t="n">
        <f aca="false">M26+H26*(Half_gap*(Ceiling_e-M26)-$F$4)</f>
        <v>81.5</v>
      </c>
      <c r="O26" s="14" t="n">
        <f aca="false">N26+I26*(Half_gap*(Ceiling_e-N26)-$F$4)</f>
        <v>81.5</v>
      </c>
      <c r="P26" s="14" t="n">
        <f aca="false">Val_pt*(J26-E_zero)</f>
        <v>0</v>
      </c>
      <c r="Q26" s="14" t="n">
        <f aca="false">Val_pt*(K26-E_zero)</f>
        <v>70</v>
      </c>
      <c r="R26" s="14" t="n">
        <f aca="false">Val_pt*(L26-E_zero)</f>
        <v>70</v>
      </c>
      <c r="S26" s="14" t="n">
        <f aca="false">Val_pt*(M26-E_zero)</f>
        <v>70</v>
      </c>
      <c r="T26" s="14" t="n">
        <f aca="false">Val_pt*(N26-E_zero)</f>
        <v>105</v>
      </c>
      <c r="U26" s="14" t="n">
        <f aca="false">Val_pt*(O26-E_zero)</f>
        <v>105</v>
      </c>
      <c r="V26" s="14" t="n">
        <f aca="false">MAX(W26+Cost_round*D26-P26,IF(D26=1,Pre_q,0))</f>
        <v>470</v>
      </c>
      <c r="W26" s="14" t="n">
        <f aca="false">MAX(X26+Cost_round*E26-Q26,IF(E26=1,Pre_q,0),Floor_q)</f>
        <v>470</v>
      </c>
      <c r="X26" s="14" t="n">
        <f aca="false">MAX(Y26+Cost_round*F26-R26,IF(F26=1,Pre_q,0),Floor_q)</f>
        <v>350</v>
      </c>
      <c r="Y26" s="14" t="n">
        <f aca="false">MAX(Z26+Cost_round*G26-S26,IF(G26=1,Pre_q,0),Floor_q)</f>
        <v>400</v>
      </c>
      <c r="Z26" s="14" t="n">
        <f aca="false">MAX(AA26+Cost_round*H26-T26,IF(H26=1,Pre_q,0),Floor_q)</f>
        <v>470</v>
      </c>
      <c r="AA26" s="14" t="n">
        <f aca="false">MAX(AB26+Cost_round*I26-U26,IF(I26=1,Pre_q,0),Floor_q)</f>
        <v>365</v>
      </c>
      <c r="AB26" s="14" t="n">
        <f aca="false">MAX(End_q,Floor_q)</f>
        <v>470</v>
      </c>
      <c r="AC26" s="15" t="n">
        <f aca="false">IF(Q_zero&gt;=V26-0.000000001,1,0)</f>
        <v>1</v>
      </c>
      <c r="AD26" s="14" t="n">
        <f aca="false">IF($AC26=1,Q_zero-Cost_round*D26+P26-W26,"")</f>
        <v>150</v>
      </c>
      <c r="AE26" s="14" t="n">
        <f aca="false">IF($AC26=1,W26-Cost_round*E26+Q26-X26,"")</f>
        <v>70</v>
      </c>
      <c r="AF26" s="14" t="n">
        <f aca="false">IF($AC26=1,X26-Cost_round*F26+R26-Y26,"")</f>
        <v>20</v>
      </c>
      <c r="AG26" s="14" t="n">
        <f aca="false">IF($AC26=1,Y26-Cost_round*G26+S26-Z26,"")</f>
        <v>0</v>
      </c>
      <c r="AH26" s="14" t="n">
        <f aca="false">IF($AC26=1,Z26-Cost_round*H26+T26-AA26,"")</f>
        <v>90</v>
      </c>
      <c r="AI26" s="14" t="n">
        <f aca="false">IF($AC26=1,AA26-Cost_round*I26+U26-AB26,"")</f>
        <v>0</v>
      </c>
      <c r="AJ26" s="14" t="n">
        <f aca="false">IF($AC26=1,SUM(AD26:AI26),"")</f>
        <v>330</v>
      </c>
      <c r="AK26" s="17" t="n">
        <f aca="false">IF($AC26=1,AD26*Beta_y^1+AE26*Beta_y^2+AF26*Beta_y^3+AG26*Beta_y^4+AH26*Beta_y^5+AI26*Beta_y^6,"")</f>
        <v>265.124091126413</v>
      </c>
      <c r="AL26" s="17" t="n">
        <f aca="false">IF($AC26=1,AK26+Beta_y^6*U26/Hurdle_r,"")</f>
        <v>857.82171768288</v>
      </c>
      <c r="AM26" s="17" t="n">
        <f aca="false">IF($AC26=1,AK26,"")</f>
        <v>265.124091126413</v>
      </c>
      <c r="AN26" s="17" t="n">
        <f aca="false">IF($AC26=1,AK26+Beta_y^6*U26*(1-(1+Hurdle_r)^(-Life_yrs))/Hurdle_r,"")</f>
        <v>769.720992150228</v>
      </c>
      <c r="AO26" s="17" t="n">
        <f aca="false">IF($AC26=1,AJ26+Credit_yrs*U26,"")</f>
        <v>1380</v>
      </c>
      <c r="AP26" s="17" t="n">
        <f aca="false">IF($AC26=1,$AD26/(1+AP$6)^1+$AE26/(1+AP$6)^2+$AF26/(1+AP$6)^3+$AG26/(1+AP$6)^4+$AH26/(1+AP$6)^5+$AI26/(1+AP$6)^6+$U26/AP$6/(1+AP$6)^6,"")</f>
        <v>3238.74530377496</v>
      </c>
      <c r="AQ26" s="17" t="n">
        <f aca="false">IF($AC26=1,$AD26/(1+AQ$6)^1+$AE26/(1+AQ$6)^2+$AF26/(1+AQ$6)^3+$AG26/(1+AQ$6)^4+$AH26/(1+AQ$6)^5+$AI26/(1+AQ$6)^6+$U26/AQ$6/(1+AQ$6)^6,"")</f>
        <v>1861.19564623891</v>
      </c>
      <c r="AR26" s="17" t="n">
        <f aca="false">IF($AC26=1,$AD26/(1+AR$6)^1+$AE26/(1+AR$6)^2+$AF26/(1+AR$6)^3+$AG26/(1+AR$6)^4+$AH26/(1+AR$6)^5+$AI26/(1+AR$6)^6+$U26/AR$6/(1+AR$6)^6,"")</f>
        <v>1103.12937414753</v>
      </c>
      <c r="AS26" s="17" t="n">
        <f aca="false">IF($AC26=1,$AD26/(1+AS$6)^1+$AE26/(1+AS$6)^2+$AF26/(1+AS$6)^3+$AG26/(1+AS$6)^4+$AH26/(1+AS$6)^5+$AI26/(1+AS$6)^6+$U26/AS$6/(1+AS$6)^6,"")</f>
        <v>857.821717682879</v>
      </c>
      <c r="AT26" s="17" t="n">
        <f aca="false">IF($AC26=1,$AD26/(1+AT$6)^1+$AE26/(1+AT$6)^2+$AF26/(1+AT$6)^3+$AG26/(1+AT$6)^4+$AH26/(1+AT$6)^5+$AI26/(1+AT$6)^6+$U26/AT$6/(1+AT$6)^6,"")</f>
        <v>698.338395858241</v>
      </c>
      <c r="AU26" s="17" t="n">
        <f aca="false">IF($AC26=1,$AD26/(1+AU$6)^1+$AE26/(1+AU$6)^2+$AF26/(1+AU$6)^3+$AG26/(1+AU$6)^4+$AH26/(1+AU$6)^5+$AI26/(1+AU$6)^6+$U26/AU$6/(1+AU$6)^6,"")</f>
        <v>543.890387283046</v>
      </c>
      <c r="AV26" s="17" t="n">
        <f aca="false">IF($AC26=1,$AD26/(1+AV$6)^1+$AE26/(1+AV$6)^2+$AF26/(1+AV$6)^3+$AG26/(1+AV$6)^4+$AH26/(1+AV$6)^5+$AI26/(1+AV$6)^6+$U26/AV$6/(1+AV$6)^6,"")</f>
        <v>397.175604423868</v>
      </c>
      <c r="AW26" s="17" t="n">
        <f aca="false">IF($AC26=1,$AD26/(1+AW$6)^1+$AE26/(1+AW$6)^2+$AF26/(1+AW$6)^3+$AG26/(1+AW$6)^4+$AH26/(1+AW$6)^5+$AI26/(1+AW$6)^6+$U26/AW$6/(1+AW$6)^6,"")</f>
        <v>262.659346993013</v>
      </c>
      <c r="AX26" s="17" t="n">
        <f aca="false">IF($AC26=1,$AD26/(1+AX$6)^1+$AE26/(1+AX$6)^2+$AF26/(1+AX$6)^3+$AG26/(1+AX$6)^4+$AH26/(1+AX$6)^5+$AI26/(1+AX$6)^6+$U26/AX$6/(1+AX$6)^6,"")</f>
        <v>5484.32133107969</v>
      </c>
      <c r="AY26" s="17" t="n">
        <f aca="false">IF($AC26=1,$AD26/(1+AY$6)^1+$AE26/(1+AY$6)^2+$AF26/(1+AY$6)^3+$AG26/(1+AY$6)^4+$AH26/(1+AY$6)^5+$AI26/(1+AY$6)^6+$U26/AY$6/(1+AY$6)^6,"")</f>
        <v>2626.2665975953</v>
      </c>
      <c r="AZ26" s="17" t="n">
        <f aca="false">IF($AC26=1,$AD26/(1+AZ$6)^1+$AE26/(1+AZ$6)^2+$AF26/(1+AZ$6)^3+$AG26/(1+AZ$6)^4+$AH26/(1+AZ$6)^5+$AI26/(1+AZ$6)^6+$U26/AZ$6/(1+AZ$6)^6,"")</f>
        <v>1224.0971855645</v>
      </c>
      <c r="BA26" s="17" t="n">
        <f aca="false">IF($AC26=1,$AD26/(1+BA$6)^1+$AE26/(1+BA$6)^2+$AF26/(1+BA$6)^3+$AG26/(1+BA$6)^4+$AH26/(1+BA$6)^5+$AI26/(1+BA$6)^6+$U26/BA$6/(1+BA$6)^6,"")</f>
        <v>562.65886064198</v>
      </c>
      <c r="BB26" s="17" t="n">
        <f aca="false">IF($AC26=1,$AD26/(1+BB$6)^1+$AE26/(1+BB$6)^2+$AF26/(1+BB$6)^3+$AG26/(1+BB$6)^4+$AH26/(1+BB$6)^5+$AI26/(1+BB$6)^6+$U26/BB$6/(1+BB$6)^6,"")</f>
        <v>263.751641562354</v>
      </c>
    </row>
    <row r="27" customFormat="false" ht="15" hidden="false" customHeight="false" outlineLevel="0" collapsed="false">
      <c r="A27" s="2" t="n">
        <v>19</v>
      </c>
      <c r="B27" s="2" t="str">
        <f aca="false">D27&amp;E27&amp;F27&amp;G27&amp;H27&amp;I27</f>
        <v>010011</v>
      </c>
      <c r="C27" s="15" t="n">
        <f aca="false">SUM(D27:I27)</f>
        <v>3</v>
      </c>
      <c r="D27" s="15" t="n">
        <f aca="false">MOD(INT($A27/32),2)</f>
        <v>0</v>
      </c>
      <c r="E27" s="15" t="n">
        <f aca="false">MOD(INT($A27/16),2)</f>
        <v>1</v>
      </c>
      <c r="F27" s="15" t="n">
        <f aca="false">MOD(INT($A27/8),2)</f>
        <v>0</v>
      </c>
      <c r="G27" s="15" t="n">
        <f aca="false">MOD(INT($A27/4),2)</f>
        <v>0</v>
      </c>
      <c r="H27" s="15" t="n">
        <f aca="false">MOD(INT($A27/2),2)</f>
        <v>1</v>
      </c>
      <c r="I27" s="15" t="n">
        <f aca="false">MOD(INT($A27/1),2)</f>
        <v>1</v>
      </c>
      <c r="J27" s="14" t="n">
        <f aca="false">E_zero+D27*(Half_gap*(Ceiling_e-E_zero)-$F$4)</f>
        <v>71</v>
      </c>
      <c r="K27" s="14" t="n">
        <f aca="false">J27+E27*(Half_gap*(Ceiling_e-J27)-$F$4)</f>
        <v>78</v>
      </c>
      <c r="L27" s="14" t="n">
        <f aca="false">K27+F27*(Half_gap*(Ceiling_e-K27)-$F$4)</f>
        <v>78</v>
      </c>
      <c r="M27" s="14" t="n">
        <f aca="false">L27+G27*(Half_gap*(Ceiling_e-L27)-$F$4)</f>
        <v>78</v>
      </c>
      <c r="N27" s="14" t="n">
        <f aca="false">M27+H27*(Half_gap*(Ceiling_e-M27)-$F$4)</f>
        <v>81.5</v>
      </c>
      <c r="O27" s="14" t="n">
        <f aca="false">N27+I27*(Half_gap*(Ceiling_e-N27)-$F$4)</f>
        <v>83.25</v>
      </c>
      <c r="P27" s="14" t="n">
        <f aca="false">Val_pt*(J27-E_zero)</f>
        <v>0</v>
      </c>
      <c r="Q27" s="14" t="n">
        <f aca="false">Val_pt*(K27-E_zero)</f>
        <v>70</v>
      </c>
      <c r="R27" s="14" t="n">
        <f aca="false">Val_pt*(L27-E_zero)</f>
        <v>70</v>
      </c>
      <c r="S27" s="14" t="n">
        <f aca="false">Val_pt*(M27-E_zero)</f>
        <v>70</v>
      </c>
      <c r="T27" s="14" t="n">
        <f aca="false">Val_pt*(N27-E_zero)</f>
        <v>105</v>
      </c>
      <c r="U27" s="14" t="n">
        <f aca="false">Val_pt*(O27-E_zero)</f>
        <v>122.5</v>
      </c>
      <c r="V27" s="14" t="n">
        <f aca="false">MAX(W27+Cost_round*D27-P27,IF(D27=1,Pre_q,0))</f>
        <v>470</v>
      </c>
      <c r="W27" s="14" t="n">
        <f aca="false">MAX(X27+Cost_round*E27-Q27,IF(E27=1,Pre_q,0),Floor_q)</f>
        <v>470</v>
      </c>
      <c r="X27" s="14" t="n">
        <f aca="false">MAX(Y27+Cost_round*F27-R27,IF(F27=1,Pre_q,0),Floor_q)</f>
        <v>350</v>
      </c>
      <c r="Y27" s="14" t="n">
        <f aca="false">MAX(Z27+Cost_round*G27-S27,IF(G27=1,Pre_q,0),Floor_q)</f>
        <v>415</v>
      </c>
      <c r="Z27" s="14" t="n">
        <f aca="false">MAX(AA27+Cost_round*H27-T27,IF(H27=1,Pre_q,0),Floor_q)</f>
        <v>485</v>
      </c>
      <c r="AA27" s="14" t="n">
        <f aca="false">MAX(AB27+Cost_round*I27-U27,IF(I27=1,Pre_q,0),Floor_q)</f>
        <v>470</v>
      </c>
      <c r="AB27" s="14" t="n">
        <f aca="false">MAX(End_q,Floor_q)</f>
        <v>470</v>
      </c>
      <c r="AC27" s="15" t="n">
        <f aca="false">IF(Q_zero&gt;=V27-0.000000001,1,0)</f>
        <v>1</v>
      </c>
      <c r="AD27" s="14" t="n">
        <f aca="false">IF($AC27=1,Q_zero-Cost_round*D27+P27-W27,"")</f>
        <v>150</v>
      </c>
      <c r="AE27" s="14" t="n">
        <f aca="false">IF($AC27=1,W27-Cost_round*E27+Q27-X27,"")</f>
        <v>70</v>
      </c>
      <c r="AF27" s="14" t="n">
        <f aca="false">IF($AC27=1,X27-Cost_round*F27+R27-Y27,"")</f>
        <v>5</v>
      </c>
      <c r="AG27" s="14" t="n">
        <f aca="false">IF($AC27=1,Y27-Cost_round*G27+S27-Z27,"")</f>
        <v>0</v>
      </c>
      <c r="AH27" s="14" t="n">
        <f aca="false">IF($AC27=1,Z27-Cost_round*H27+T27-AA27,"")</f>
        <v>0</v>
      </c>
      <c r="AI27" s="14" t="n">
        <f aca="false">IF($AC27=1,AA27-Cost_round*I27+U27-AB27,"")</f>
        <v>2.5</v>
      </c>
      <c r="AJ27" s="14" t="n">
        <f aca="false">IF($AC27=1,SUM(AD27:AI27),"")</f>
        <v>227.5</v>
      </c>
      <c r="AK27" s="17" t="n">
        <f aca="false">IF($AC27=1,AD27*Beta_y^1+AE27*Beta_y^2+AF27*Beta_y^3+AG27*Beta_y^4+AH27*Beta_y^5+AI27*Beta_y^6,"")</f>
        <v>199.3826348627</v>
      </c>
      <c r="AL27" s="17" t="n">
        <f aca="false">IF($AC27=1,AK27+Beta_y^6*U27/Hurdle_r,"")</f>
        <v>890.863199178577</v>
      </c>
      <c r="AM27" s="17" t="n">
        <f aca="false">IF($AC27=1,AK27,"")</f>
        <v>199.3826348627</v>
      </c>
      <c r="AN27" s="17" t="n">
        <f aca="false">IF($AC27=1,AK27+Beta_y^6*U27*(1-(1+Hurdle_r)^(-Life_yrs))/Hurdle_r,"")</f>
        <v>788.079019390483</v>
      </c>
      <c r="AO27" s="17" t="n">
        <f aca="false">IF($AC27=1,AJ27+Credit_yrs*U27,"")</f>
        <v>1452.5</v>
      </c>
      <c r="AP27" s="17" t="n">
        <f aca="false">IF($AC27=1,$AD27/(1+AP$6)^1+$AE27/(1+AP$6)^2+$AF27/(1+AP$6)^3+$AG27/(1+AP$6)^4+$AH27/(1+AP$6)^5+$AI27/(1+AP$6)^6+$U27/AP$6/(1+AP$6)^6,"")</f>
        <v>3638.00958199726</v>
      </c>
      <c r="AQ27" s="17" t="n">
        <f aca="false">IF($AC27=1,$AD27/(1+AQ$6)^1+$AE27/(1+AQ$6)^2+$AF27/(1+AQ$6)^3+$AG27/(1+AQ$6)^4+$AH27/(1+AQ$6)^5+$AI27/(1+AQ$6)^6+$U27/AQ$6/(1+AQ$6)^6,"")</f>
        <v>2040.76165459319</v>
      </c>
      <c r="AR27" s="17" t="n">
        <f aca="false">IF($AC27=1,$AD27/(1+AR$6)^1+$AE27/(1+AR$6)^2+$AF27/(1+AR$6)^3+$AG27/(1+AR$6)^4+$AH27/(1+AR$6)^5+$AI27/(1+AR$6)^6+$U27/AR$6/(1+AR$6)^6,"")</f>
        <v>1169.39443274708</v>
      </c>
      <c r="AS27" s="17" t="n">
        <f aca="false">IF($AC27=1,$AD27/(1+AS$6)^1+$AE27/(1+AS$6)^2+$AF27/(1+AS$6)^3+$AG27/(1+AS$6)^4+$AH27/(1+AS$6)^5+$AI27/(1+AS$6)^6+$U27/AS$6/(1+AS$6)^6,"")</f>
        <v>890.863199178577</v>
      </c>
      <c r="AT27" s="17" t="n">
        <f aca="false">IF($AC27=1,$AD27/(1+AT$6)^1+$AE27/(1+AT$6)^2+$AF27/(1+AT$6)^3+$AG27/(1+AT$6)^4+$AH27/(1+AT$6)^5+$AI27/(1+AT$6)^6+$U27/AT$6/(1+AT$6)^6,"")</f>
        <v>711.743558101001</v>
      </c>
      <c r="AU27" s="17" t="n">
        <f aca="false">IF($AC27=1,$AD27/(1+AU$6)^1+$AE27/(1+AU$6)^2+$AF27/(1+AU$6)^3+$AG27/(1+AU$6)^4+$AH27/(1+AU$6)^5+$AI27/(1+AU$6)^6+$U27/AU$6/(1+AU$6)^6,"")</f>
        <v>540.800776132514</v>
      </c>
      <c r="AV27" s="17" t="n">
        <f aca="false">IF($AC27=1,$AD27/(1+AV$6)^1+$AE27/(1+AV$6)^2+$AF27/(1+AV$6)^3+$AG27/(1+AV$6)^4+$AH27/(1+AV$6)^5+$AI27/(1+AV$6)^6+$U27/AV$6/(1+AV$6)^6,"")</f>
        <v>382.466885288066</v>
      </c>
      <c r="AW27" s="17" t="n">
        <f aca="false">IF($AC27=1,$AD27/(1+AW$6)^1+$AE27/(1+AW$6)^2+$AF27/(1+AW$6)^3+$AG27/(1+AW$6)^4+$AH27/(1+AW$6)^5+$AI27/(1+AW$6)^6+$U27/AW$6/(1+AW$6)^6,"")</f>
        <v>244.195457772067</v>
      </c>
      <c r="AX27" s="17" t="n">
        <f aca="false">IF($AC27=1,$AD27/(1+AX$6)^1+$AE27/(1+AX$6)^2+$AF27/(1+AX$6)^3+$AG27/(1+AX$6)^4+$AH27/(1+AX$6)^5+$AI27/(1+AX$6)^6+$U27/AX$6/(1+AX$6)^6,"")</f>
        <v>6251.51518725398</v>
      </c>
      <c r="AY27" s="17" t="n">
        <f aca="false">IF($AC27=1,$AD27/(1+AY$6)^1+$AE27/(1+AY$6)^2+$AF27/(1+AY$6)^3+$AG27/(1+AY$6)^4+$AH27/(1+AY$6)^5+$AI27/(1+AY$6)^6+$U27/AY$6/(1+AY$6)^6,"")</f>
        <v>2926.7605188285</v>
      </c>
      <c r="AZ27" s="17" t="n">
        <f aca="false">IF($AC27=1,$AD27/(1+AZ$6)^1+$AE27/(1+AZ$6)^2+$AF27/(1+AZ$6)^3+$AG27/(1+AZ$6)^4+$AH27/(1+AZ$6)^5+$AI27/(1+AZ$6)^6+$U27/AZ$6/(1+AZ$6)^6,"")</f>
        <v>1307.62124183911</v>
      </c>
      <c r="BA27" s="17" t="n">
        <f aca="false">IF($AC27=1,$AD27/(1+BA$6)^1+$AE27/(1+BA$6)^2+$AF27/(1+BA$6)^3+$AG27/(1+BA$6)^4+$AH27/(1+BA$6)^5+$AI27/(1+BA$6)^6+$U27/BA$6/(1+BA$6)^6,"")</f>
        <v>561.391296916277</v>
      </c>
      <c r="BB27" s="17" t="n">
        <f aca="false">IF($AC27=1,$AD27/(1+BB$6)^1+$AE27/(1+BB$6)^2+$AF27/(1+BB$6)^3+$AG27/(1+BB$6)^4+$AH27/(1+BB$6)^5+$AI27/(1+BB$6)^6+$U27/BB$6/(1+BB$6)^6,"")</f>
        <v>245.27457198592</v>
      </c>
    </row>
    <row r="28" customFormat="false" ht="15" hidden="false" customHeight="false" outlineLevel="0" collapsed="false">
      <c r="A28" s="2" t="n">
        <v>20</v>
      </c>
      <c r="B28" s="2" t="str">
        <f aca="false">D28&amp;E28&amp;F28&amp;G28&amp;H28&amp;I28</f>
        <v>010100</v>
      </c>
      <c r="C28" s="15" t="n">
        <f aca="false">SUM(D28:I28)</f>
        <v>2</v>
      </c>
      <c r="D28" s="15" t="n">
        <f aca="false">MOD(INT($A28/32),2)</f>
        <v>0</v>
      </c>
      <c r="E28" s="15" t="n">
        <f aca="false">MOD(INT($A28/16),2)</f>
        <v>1</v>
      </c>
      <c r="F28" s="15" t="n">
        <f aca="false">MOD(INT($A28/8),2)</f>
        <v>0</v>
      </c>
      <c r="G28" s="15" t="n">
        <f aca="false">MOD(INT($A28/4),2)</f>
        <v>1</v>
      </c>
      <c r="H28" s="15" t="n">
        <f aca="false">MOD(INT($A28/2),2)</f>
        <v>0</v>
      </c>
      <c r="I28" s="15" t="n">
        <f aca="false">MOD(INT($A28/1),2)</f>
        <v>0</v>
      </c>
      <c r="J28" s="14" t="n">
        <f aca="false">E_zero+D28*(Half_gap*(Ceiling_e-E_zero)-$F$4)</f>
        <v>71</v>
      </c>
      <c r="K28" s="14" t="n">
        <f aca="false">J28+E28*(Half_gap*(Ceiling_e-J28)-$F$4)</f>
        <v>78</v>
      </c>
      <c r="L28" s="14" t="n">
        <f aca="false">K28+F28*(Half_gap*(Ceiling_e-K28)-$F$4)</f>
        <v>78</v>
      </c>
      <c r="M28" s="14" t="n">
        <f aca="false">L28+G28*(Half_gap*(Ceiling_e-L28)-$F$4)</f>
        <v>81.5</v>
      </c>
      <c r="N28" s="14" t="n">
        <f aca="false">M28+H28*(Half_gap*(Ceiling_e-M28)-$F$4)</f>
        <v>81.5</v>
      </c>
      <c r="O28" s="14" t="n">
        <f aca="false">N28+I28*(Half_gap*(Ceiling_e-N28)-$F$4)</f>
        <v>81.5</v>
      </c>
      <c r="P28" s="14" t="n">
        <f aca="false">Val_pt*(J28-E_zero)</f>
        <v>0</v>
      </c>
      <c r="Q28" s="14" t="n">
        <f aca="false">Val_pt*(K28-E_zero)</f>
        <v>70</v>
      </c>
      <c r="R28" s="14" t="n">
        <f aca="false">Val_pt*(L28-E_zero)</f>
        <v>70</v>
      </c>
      <c r="S28" s="14" t="n">
        <f aca="false">Val_pt*(M28-E_zero)</f>
        <v>105</v>
      </c>
      <c r="T28" s="14" t="n">
        <f aca="false">Val_pt*(N28-E_zero)</f>
        <v>105</v>
      </c>
      <c r="U28" s="14" t="n">
        <f aca="false">Val_pt*(O28-E_zero)</f>
        <v>105</v>
      </c>
      <c r="V28" s="14" t="n">
        <f aca="false">MAX(W28+Cost_round*D28-P28,IF(D28=1,Pre_q,0))</f>
        <v>470</v>
      </c>
      <c r="W28" s="14" t="n">
        <f aca="false">MAX(X28+Cost_round*E28-Q28,IF(E28=1,Pre_q,0),Floor_q)</f>
        <v>470</v>
      </c>
      <c r="X28" s="14" t="n">
        <f aca="false">MAX(Y28+Cost_round*F28-R28,IF(F28=1,Pre_q,0),Floor_q)</f>
        <v>400</v>
      </c>
      <c r="Y28" s="14" t="n">
        <f aca="false">MAX(Z28+Cost_round*G28-S28,IF(G28=1,Pre_q,0),Floor_q)</f>
        <v>470</v>
      </c>
      <c r="Z28" s="14" t="n">
        <f aca="false">MAX(AA28+Cost_round*H28-T28,IF(H28=1,Pre_q,0),Floor_q)</f>
        <v>350</v>
      </c>
      <c r="AA28" s="14" t="n">
        <f aca="false">MAX(AB28+Cost_round*I28-U28,IF(I28=1,Pre_q,0),Floor_q)</f>
        <v>365</v>
      </c>
      <c r="AB28" s="14" t="n">
        <f aca="false">MAX(End_q,Floor_q)</f>
        <v>470</v>
      </c>
      <c r="AC28" s="15" t="n">
        <f aca="false">IF(Q_zero&gt;=V28-0.000000001,1,0)</f>
        <v>1</v>
      </c>
      <c r="AD28" s="14" t="n">
        <f aca="false">IF($AC28=1,Q_zero-Cost_round*D28+P28-W28,"")</f>
        <v>150</v>
      </c>
      <c r="AE28" s="14" t="n">
        <f aca="false">IF($AC28=1,W28-Cost_round*E28+Q28-X28,"")</f>
        <v>20</v>
      </c>
      <c r="AF28" s="14" t="n">
        <f aca="false">IF($AC28=1,X28-Cost_round*F28+R28-Y28,"")</f>
        <v>0</v>
      </c>
      <c r="AG28" s="14" t="n">
        <f aca="false">IF($AC28=1,Y28-Cost_round*G28+S28-Z28,"")</f>
        <v>105</v>
      </c>
      <c r="AH28" s="14" t="n">
        <f aca="false">IF($AC28=1,Z28-Cost_round*H28+T28-AA28,"")</f>
        <v>90</v>
      </c>
      <c r="AI28" s="14" t="n">
        <f aca="false">IF($AC28=1,AA28-Cost_round*I28+U28-AB28,"")</f>
        <v>0</v>
      </c>
      <c r="AJ28" s="14" t="n">
        <f aca="false">IF($AC28=1,SUM(AD28:AI28),"")</f>
        <v>365</v>
      </c>
      <c r="AK28" s="17" t="n">
        <f aca="false">IF($AC28=1,AD28*Beta_y^1+AE28*Beta_y^2+AF28*Beta_y^3+AG28*Beta_y^4+AH28*Beta_y^5+AI28*Beta_y^6,"")</f>
        <v>280.491893872127</v>
      </c>
      <c r="AL28" s="17" t="n">
        <f aca="false">IF($AC28=1,AK28+Beta_y^6*U28/Hurdle_r,"")</f>
        <v>873.189520428594</v>
      </c>
      <c r="AM28" s="17" t="n">
        <f aca="false">IF($AC28=1,AK28,"")</f>
        <v>280.491893872127</v>
      </c>
      <c r="AN28" s="17" t="n">
        <f aca="false">IF($AC28=1,AK28+Beta_y^6*U28*(1-(1+Hurdle_r)^(-Life_yrs))/Hurdle_r,"")</f>
        <v>785.088794895942</v>
      </c>
      <c r="AO28" s="17" t="n">
        <f aca="false">IF($AC28=1,AJ28+Credit_yrs*U28,"")</f>
        <v>1415</v>
      </c>
      <c r="AP28" s="17" t="n">
        <f aca="false">IF($AC28=1,$AD28/(1+AP$6)^1+$AE28/(1+AP$6)^2+$AF28/(1+AP$6)^3+$AG28/(1+AP$6)^4+$AH28/(1+AP$6)^5+$AI28/(1+AP$6)^6+$U28/AP$6/(1+AP$6)^6,"")</f>
        <v>3266.60381516235</v>
      </c>
      <c r="AQ28" s="17" t="n">
        <f aca="false">IF($AC28=1,$AD28/(1+AQ$6)^1+$AE28/(1+AQ$6)^2+$AF28/(1+AQ$6)^3+$AG28/(1+AQ$6)^4+$AH28/(1+AQ$6)^5+$AI28/(1+AQ$6)^6+$U28/AQ$6/(1+AQ$6)^6,"")</f>
        <v>1884.95118019853</v>
      </c>
      <c r="AR28" s="17" t="n">
        <f aca="false">IF($AC28=1,$AD28/(1+AR$6)^1+$AE28/(1+AR$6)^2+$AF28/(1+AR$6)^3+$AG28/(1+AR$6)^4+$AH28/(1+AR$6)^5+$AI28/(1+AR$6)^6+$U28/AR$6/(1+AR$6)^6,"")</f>
        <v>1121.56392285566</v>
      </c>
      <c r="AS28" s="17" t="n">
        <f aca="false">IF($AC28=1,$AD28/(1+AS$6)^1+$AE28/(1+AS$6)^2+$AF28/(1+AS$6)^3+$AG28/(1+AS$6)^4+$AH28/(1+AS$6)^5+$AI28/(1+AS$6)^6+$U28/AS$6/(1+AS$6)^6,"")</f>
        <v>873.189520428594</v>
      </c>
      <c r="AT28" s="17" t="n">
        <f aca="false">IF($AC28=1,$AD28/(1+AT$6)^1+$AE28/(1+AT$6)^2+$AF28/(1+AT$6)^3+$AG28/(1+AT$6)^4+$AH28/(1+AT$6)^5+$AI28/(1+AT$6)^6+$U28/AT$6/(1+AT$6)^6,"")</f>
        <v>710.972495256929</v>
      </c>
      <c r="AU28" s="17" t="n">
        <f aca="false">IF($AC28=1,$AD28/(1+AU$6)^1+$AE28/(1+AU$6)^2+$AF28/(1+AU$6)^3+$AG28/(1+AU$6)^4+$AH28/(1+AU$6)^5+$AI28/(1+AU$6)^6+$U28/AU$6/(1+AU$6)^6,"")</f>
        <v>552.966970056836</v>
      </c>
      <c r="AV28" s="17" t="n">
        <f aca="false">IF($AC28=1,$AD28/(1+AV$6)^1+$AE28/(1+AV$6)^2+$AF28/(1+AV$6)^3+$AG28/(1+AV$6)^4+$AH28/(1+AV$6)^5+$AI28/(1+AV$6)^6+$U28/AV$6/(1+AV$6)^6,"")</f>
        <v>401.515882201646</v>
      </c>
      <c r="AW28" s="17" t="n">
        <f aca="false">IF($AC28=1,$AD28/(1+AW$6)^1+$AE28/(1+AW$6)^2+$AF28/(1+AW$6)^3+$AG28/(1+AW$6)^4+$AH28/(1+AW$6)^5+$AI28/(1+AW$6)^6+$U28/AW$6/(1+AW$6)^6,"")</f>
        <v>260.733644111462</v>
      </c>
      <c r="AX28" s="17" t="n">
        <f aca="false">IF($AC28=1,$AD28/(1+AX$6)^1+$AE28/(1+AX$6)^2+$AF28/(1+AX$6)^3+$AG28/(1+AX$6)^4+$AH28/(1+AX$6)^5+$AI28/(1+AX$6)^6+$U28/AX$6/(1+AX$6)^6,"")</f>
        <v>5514.83098076731</v>
      </c>
      <c r="AY28" s="17" t="n">
        <f aca="false">IF($AC28=1,$AD28/(1+AY$6)^1+$AE28/(1+AY$6)^2+$AF28/(1+AY$6)^3+$AG28/(1+AY$6)^4+$AH28/(1+AY$6)^5+$AI28/(1+AY$6)^6+$U28/AY$6/(1+AY$6)^6,"")</f>
        <v>2652.74703796028</v>
      </c>
      <c r="AZ28" s="17" t="n">
        <f aca="false">IF($AC28=1,$AD28/(1+AZ$6)^1+$AE28/(1+AZ$6)^2+$AF28/(1+AZ$6)^3+$AG28/(1+AZ$6)^4+$AH28/(1+AZ$6)^5+$AI28/(1+AZ$6)^6+$U28/AZ$6/(1+AZ$6)^6,"")</f>
        <v>1243.70569951309</v>
      </c>
      <c r="BA28" s="17" t="n">
        <f aca="false">IF($AC28=1,$AD28/(1+BA$6)^1+$AE28/(1+BA$6)^2+$AF28/(1+BA$6)^3+$AG28/(1+BA$6)^4+$AH28/(1+BA$6)^5+$AI28/(1+BA$6)^6+$U28/BA$6/(1+BA$6)^6,"")</f>
        <v>572.231464377953</v>
      </c>
      <c r="BB28" s="17" t="n">
        <f aca="false">IF($AC28=1,$AD28/(1+BB$6)^1+$AE28/(1+BB$6)^2+$AF28/(1+BB$6)^3+$AG28/(1+BB$6)^4+$AH28/(1+BB$6)^5+$AI28/(1+BB$6)^6+$U28/BB$6/(1+BB$6)^6,"")</f>
        <v>261.886229552257</v>
      </c>
    </row>
    <row r="29" customFormat="false" ht="15" hidden="false" customHeight="false" outlineLevel="0" collapsed="false">
      <c r="A29" s="2" t="n">
        <v>21</v>
      </c>
      <c r="B29" s="2" t="str">
        <f aca="false">D29&amp;E29&amp;F29&amp;G29&amp;H29&amp;I29</f>
        <v>010101</v>
      </c>
      <c r="C29" s="15" t="n">
        <f aca="false">SUM(D29:I29)</f>
        <v>3</v>
      </c>
      <c r="D29" s="15" t="n">
        <f aca="false">MOD(INT($A29/32),2)</f>
        <v>0</v>
      </c>
      <c r="E29" s="15" t="n">
        <f aca="false">MOD(INT($A29/16),2)</f>
        <v>1</v>
      </c>
      <c r="F29" s="15" t="n">
        <f aca="false">MOD(INT($A29/8),2)</f>
        <v>0</v>
      </c>
      <c r="G29" s="15" t="n">
        <f aca="false">MOD(INT($A29/4),2)</f>
        <v>1</v>
      </c>
      <c r="H29" s="15" t="n">
        <f aca="false">MOD(INT($A29/2),2)</f>
        <v>0</v>
      </c>
      <c r="I29" s="15" t="n">
        <f aca="false">MOD(INT($A29/1),2)</f>
        <v>1</v>
      </c>
      <c r="J29" s="14" t="n">
        <f aca="false">E_zero+D29*(Half_gap*(Ceiling_e-E_zero)-$F$4)</f>
        <v>71</v>
      </c>
      <c r="K29" s="14" t="n">
        <f aca="false">J29+E29*(Half_gap*(Ceiling_e-J29)-$F$4)</f>
        <v>78</v>
      </c>
      <c r="L29" s="14" t="n">
        <f aca="false">K29+F29*(Half_gap*(Ceiling_e-K29)-$F$4)</f>
        <v>78</v>
      </c>
      <c r="M29" s="14" t="n">
        <f aca="false">L29+G29*(Half_gap*(Ceiling_e-L29)-$F$4)</f>
        <v>81.5</v>
      </c>
      <c r="N29" s="14" t="n">
        <f aca="false">M29+H29*(Half_gap*(Ceiling_e-M29)-$F$4)</f>
        <v>81.5</v>
      </c>
      <c r="O29" s="14" t="n">
        <f aca="false">N29+I29*(Half_gap*(Ceiling_e-N29)-$F$4)</f>
        <v>83.25</v>
      </c>
      <c r="P29" s="14" t="n">
        <f aca="false">Val_pt*(J29-E_zero)</f>
        <v>0</v>
      </c>
      <c r="Q29" s="14" t="n">
        <f aca="false">Val_pt*(K29-E_zero)</f>
        <v>70</v>
      </c>
      <c r="R29" s="14" t="n">
        <f aca="false">Val_pt*(L29-E_zero)</f>
        <v>70</v>
      </c>
      <c r="S29" s="14" t="n">
        <f aca="false">Val_pt*(M29-E_zero)</f>
        <v>105</v>
      </c>
      <c r="T29" s="14" t="n">
        <f aca="false">Val_pt*(N29-E_zero)</f>
        <v>105</v>
      </c>
      <c r="U29" s="14" t="n">
        <f aca="false">Val_pt*(O29-E_zero)</f>
        <v>122.5</v>
      </c>
      <c r="V29" s="14" t="n">
        <f aca="false">MAX(W29+Cost_round*D29-P29,IF(D29=1,Pre_q,0))</f>
        <v>470</v>
      </c>
      <c r="W29" s="14" t="n">
        <f aca="false">MAX(X29+Cost_round*E29-Q29,IF(E29=1,Pre_q,0),Floor_q)</f>
        <v>470</v>
      </c>
      <c r="X29" s="14" t="n">
        <f aca="false">MAX(Y29+Cost_round*F29-R29,IF(F29=1,Pre_q,0),Floor_q)</f>
        <v>400</v>
      </c>
      <c r="Y29" s="14" t="n">
        <f aca="false">MAX(Z29+Cost_round*G29-S29,IF(G29=1,Pre_q,0),Floor_q)</f>
        <v>470</v>
      </c>
      <c r="Z29" s="14" t="n">
        <f aca="false">MAX(AA29+Cost_round*H29-T29,IF(H29=1,Pre_q,0),Floor_q)</f>
        <v>365</v>
      </c>
      <c r="AA29" s="14" t="n">
        <f aca="false">MAX(AB29+Cost_round*I29-U29,IF(I29=1,Pre_q,0),Floor_q)</f>
        <v>470</v>
      </c>
      <c r="AB29" s="14" t="n">
        <f aca="false">MAX(End_q,Floor_q)</f>
        <v>470</v>
      </c>
      <c r="AC29" s="15" t="n">
        <f aca="false">IF(Q_zero&gt;=V29-0.000000001,1,0)</f>
        <v>1</v>
      </c>
      <c r="AD29" s="14" t="n">
        <f aca="false">IF($AC29=1,Q_zero-Cost_round*D29+P29-W29,"")</f>
        <v>150</v>
      </c>
      <c r="AE29" s="14" t="n">
        <f aca="false">IF($AC29=1,W29-Cost_round*E29+Q29-X29,"")</f>
        <v>20</v>
      </c>
      <c r="AF29" s="14" t="n">
        <f aca="false">IF($AC29=1,X29-Cost_round*F29+R29-Y29,"")</f>
        <v>0</v>
      </c>
      <c r="AG29" s="14" t="n">
        <f aca="false">IF($AC29=1,Y29-Cost_round*G29+S29-Z29,"")</f>
        <v>90</v>
      </c>
      <c r="AH29" s="14" t="n">
        <f aca="false">IF($AC29=1,Z29-Cost_round*H29+T29-AA29,"")</f>
        <v>0</v>
      </c>
      <c r="AI29" s="14" t="n">
        <f aca="false">IF($AC29=1,AA29-Cost_round*I29+U29-AB29,"")</f>
        <v>2.5</v>
      </c>
      <c r="AJ29" s="14" t="n">
        <f aca="false">IF($AC29=1,SUM(AD29:AI29),"")</f>
        <v>262.5</v>
      </c>
      <c r="AK29" s="17" t="n">
        <f aca="false">IF($AC29=1,AD29*Beta_y^1+AE29*Beta_y^2+AF29*Beta_y^3+AG29*Beta_y^4+AH29*Beta_y^5+AI29*Beta_y^6,"")</f>
        <v>215.774957791462</v>
      </c>
      <c r="AL29" s="17" t="n">
        <f aca="false">IF($AC29=1,AK29+Beta_y^6*U29/Hurdle_r,"")</f>
        <v>907.255522107339</v>
      </c>
      <c r="AM29" s="17" t="n">
        <f aca="false">IF($AC29=1,AK29,"")</f>
        <v>215.774957791462</v>
      </c>
      <c r="AN29" s="17" t="n">
        <f aca="false">IF($AC29=1,AK29+Beta_y^6*U29*(1-(1+Hurdle_r)^(-Life_yrs))/Hurdle_r,"")</f>
        <v>804.471342319245</v>
      </c>
      <c r="AO29" s="17" t="n">
        <f aca="false">IF($AC29=1,AJ29+Credit_yrs*U29,"")</f>
        <v>1487.5</v>
      </c>
      <c r="AP29" s="17" t="n">
        <f aca="false">IF($AC29=1,$AD29/(1+AP$6)^1+$AE29/(1+AP$6)^2+$AF29/(1+AP$6)^3+$AG29/(1+AP$6)^4+$AH29/(1+AP$6)^5+$AI29/(1+AP$6)^6+$U29/AP$6/(1+AP$6)^6,"")</f>
        <v>3666.26791255622</v>
      </c>
      <c r="AQ29" s="17" t="n">
        <f aca="false">IF($AC29=1,$AD29/(1+AQ$6)^1+$AE29/(1+AQ$6)^2+$AF29/(1+AQ$6)^3+$AG29/(1+AQ$6)^4+$AH29/(1+AQ$6)^5+$AI29/(1+AQ$6)^6+$U29/AQ$6/(1+AQ$6)^6,"")</f>
        <v>2065.1342154089</v>
      </c>
      <c r="AR29" s="17" t="n">
        <f aca="false">IF($AC29=1,$AD29/(1+AR$6)^1+$AE29/(1+AR$6)^2+$AF29/(1+AR$6)^3+$AG29/(1+AR$6)^4+$AH29/(1+AR$6)^5+$AI29/(1+AR$6)^6+$U29/AR$6/(1+AR$6)^6,"")</f>
        <v>1188.71101727857</v>
      </c>
      <c r="AS29" s="17" t="n">
        <f aca="false">IF($AC29=1,$AD29/(1+AS$6)^1+$AE29/(1+AS$6)^2+$AF29/(1+AS$6)^3+$AG29/(1+AS$6)^4+$AH29/(1+AS$6)^5+$AI29/(1+AS$6)^6+$U29/AS$6/(1+AS$6)^6,"")</f>
        <v>907.255522107339</v>
      </c>
      <c r="AT29" s="17" t="n">
        <f aca="false">IF($AC29=1,$AD29/(1+AT$6)^1+$AE29/(1+AT$6)^2+$AF29/(1+AT$6)^3+$AG29/(1+AT$6)^4+$AH29/(1+AT$6)^5+$AI29/(1+AT$6)^6+$U29/AT$6/(1+AT$6)^6,"")</f>
        <v>725.521590040818</v>
      </c>
      <c r="AU29" s="17" t="n">
        <f aca="false">IF($AC29=1,$AD29/(1+AU$6)^1+$AE29/(1+AU$6)^2+$AF29/(1+AU$6)^3+$AG29/(1+AU$6)^4+$AH29/(1+AU$6)^5+$AI29/(1+AU$6)^6+$U29/AU$6/(1+AU$6)^6,"")</f>
        <v>551.163803708888</v>
      </c>
      <c r="AV29" s="17" t="n">
        <f aca="false">IF($AC29=1,$AD29/(1+AV$6)^1+$AE29/(1+AV$6)^2+$AF29/(1+AV$6)^3+$AG29/(1+AV$6)^4+$AH29/(1+AV$6)^5+$AI29/(1+AV$6)^6+$U29/AV$6/(1+AV$6)^6,"")</f>
        <v>388.253922325103</v>
      </c>
      <c r="AW29" s="17" t="n">
        <f aca="false">IF($AC29=1,$AD29/(1+AW$6)^1+$AE29/(1+AW$6)^2+$AF29/(1+AW$6)^3+$AG29/(1+AW$6)^4+$AH29/(1+AW$6)^5+$AI29/(1+AW$6)^6+$U29/AW$6/(1+AW$6)^6,"")</f>
        <v>243.845329975421</v>
      </c>
      <c r="AX29" s="17" t="n">
        <f aca="false">IF($AC29=1,$AD29/(1+AX$6)^1+$AE29/(1+AX$6)^2+$AF29/(1+AX$6)^3+$AG29/(1+AX$6)^4+$AH29/(1+AX$6)^5+$AI29/(1+AX$6)^6+$U29/AX$6/(1+AX$6)^6,"")</f>
        <v>6282.27921282956</v>
      </c>
      <c r="AY29" s="17" t="n">
        <f aca="false">IF($AC29=1,$AD29/(1+AY$6)^1+$AE29/(1+AY$6)^2+$AF29/(1+AY$6)^3+$AG29/(1+AY$6)^4+$AH29/(1+AY$6)^5+$AI29/(1+AY$6)^6+$U29/AY$6/(1+AY$6)^6,"")</f>
        <v>2953.71485261454</v>
      </c>
      <c r="AZ29" s="17" t="n">
        <f aca="false">IF($AC29=1,$AD29/(1+AZ$6)^1+$AE29/(1+AZ$6)^2+$AF29/(1+AZ$6)^3+$AG29/(1+AZ$6)^4+$AH29/(1+AZ$6)^5+$AI29/(1+AZ$6)^6+$U29/AZ$6/(1+AZ$6)^6,"")</f>
        <v>1328.05513608836</v>
      </c>
      <c r="BA29" s="17" t="n">
        <f aca="false">IF($AC29=1,$AD29/(1+BA$6)^1+$AE29/(1+BA$6)^2+$AF29/(1+BA$6)^3+$AG29/(1+BA$6)^4+$AH29/(1+BA$6)^5+$AI29/(1+BA$6)^6+$U29/BA$6/(1+BA$6)^6,"")</f>
        <v>572.231464378953</v>
      </c>
      <c r="BB29" s="17" t="n">
        <f aca="false">IF($AC29=1,$AD29/(1+BB$6)^1+$AE29/(1+BB$6)^2+$AF29/(1+BB$6)^3+$AG29/(1+BB$6)^4+$AH29/(1+BB$6)^5+$AI29/(1+BB$6)^6+$U29/BB$6/(1+BB$6)^6,"")</f>
        <v>244.984202824956</v>
      </c>
    </row>
    <row r="30" customFormat="false" ht="15" hidden="false" customHeight="false" outlineLevel="0" collapsed="false">
      <c r="A30" s="2" t="n">
        <v>22</v>
      </c>
      <c r="B30" s="2" t="str">
        <f aca="false">D30&amp;E30&amp;F30&amp;G30&amp;H30&amp;I30</f>
        <v>010110</v>
      </c>
      <c r="C30" s="15" t="n">
        <f aca="false">SUM(D30:I30)</f>
        <v>3</v>
      </c>
      <c r="D30" s="15" t="n">
        <f aca="false">MOD(INT($A30/32),2)</f>
        <v>0</v>
      </c>
      <c r="E30" s="15" t="n">
        <f aca="false">MOD(INT($A30/16),2)</f>
        <v>1</v>
      </c>
      <c r="F30" s="15" t="n">
        <f aca="false">MOD(INT($A30/8),2)</f>
        <v>0</v>
      </c>
      <c r="G30" s="15" t="n">
        <f aca="false">MOD(INT($A30/4),2)</f>
        <v>1</v>
      </c>
      <c r="H30" s="15" t="n">
        <f aca="false">MOD(INT($A30/2),2)</f>
        <v>1</v>
      </c>
      <c r="I30" s="15" t="n">
        <f aca="false">MOD(INT($A30/1),2)</f>
        <v>0</v>
      </c>
      <c r="J30" s="14" t="n">
        <f aca="false">E_zero+D30*(Half_gap*(Ceiling_e-E_zero)-$F$4)</f>
        <v>71</v>
      </c>
      <c r="K30" s="14" t="n">
        <f aca="false">J30+E30*(Half_gap*(Ceiling_e-J30)-$F$4)</f>
        <v>78</v>
      </c>
      <c r="L30" s="14" t="n">
        <f aca="false">K30+F30*(Half_gap*(Ceiling_e-K30)-$F$4)</f>
        <v>78</v>
      </c>
      <c r="M30" s="14" t="n">
        <f aca="false">L30+G30*(Half_gap*(Ceiling_e-L30)-$F$4)</f>
        <v>81.5</v>
      </c>
      <c r="N30" s="14" t="n">
        <f aca="false">M30+H30*(Half_gap*(Ceiling_e-M30)-$F$4)</f>
        <v>83.25</v>
      </c>
      <c r="O30" s="14" t="n">
        <f aca="false">N30+I30*(Half_gap*(Ceiling_e-N30)-$F$4)</f>
        <v>83.25</v>
      </c>
      <c r="P30" s="14" t="n">
        <f aca="false">Val_pt*(J30-E_zero)</f>
        <v>0</v>
      </c>
      <c r="Q30" s="14" t="n">
        <f aca="false">Val_pt*(K30-E_zero)</f>
        <v>70</v>
      </c>
      <c r="R30" s="14" t="n">
        <f aca="false">Val_pt*(L30-E_zero)</f>
        <v>70</v>
      </c>
      <c r="S30" s="14" t="n">
        <f aca="false">Val_pt*(M30-E_zero)</f>
        <v>105</v>
      </c>
      <c r="T30" s="14" t="n">
        <f aca="false">Val_pt*(N30-E_zero)</f>
        <v>122.5</v>
      </c>
      <c r="U30" s="14" t="n">
        <f aca="false">Val_pt*(O30-E_zero)</f>
        <v>122.5</v>
      </c>
      <c r="V30" s="14" t="n">
        <f aca="false">MAX(W30+Cost_round*D30-P30,IF(D30=1,Pre_q,0))</f>
        <v>470</v>
      </c>
      <c r="W30" s="14" t="n">
        <f aca="false">MAX(X30+Cost_round*E30-Q30,IF(E30=1,Pre_q,0),Floor_q)</f>
        <v>470</v>
      </c>
      <c r="X30" s="14" t="n">
        <f aca="false">MAX(Y30+Cost_round*F30-R30,IF(F30=1,Pre_q,0),Floor_q)</f>
        <v>415</v>
      </c>
      <c r="Y30" s="14" t="n">
        <f aca="false">MAX(Z30+Cost_round*G30-S30,IF(G30=1,Pre_q,0),Floor_q)</f>
        <v>485</v>
      </c>
      <c r="Z30" s="14" t="n">
        <f aca="false">MAX(AA30+Cost_round*H30-T30,IF(H30=1,Pre_q,0),Floor_q)</f>
        <v>470</v>
      </c>
      <c r="AA30" s="14" t="n">
        <f aca="false">MAX(AB30+Cost_round*I30-U30,IF(I30=1,Pre_q,0),Floor_q)</f>
        <v>350</v>
      </c>
      <c r="AB30" s="14" t="n">
        <f aca="false">MAX(End_q,Floor_q)</f>
        <v>470</v>
      </c>
      <c r="AC30" s="15" t="n">
        <f aca="false">IF(Q_zero&gt;=V30-0.000000001,1,0)</f>
        <v>1</v>
      </c>
      <c r="AD30" s="14" t="n">
        <f aca="false">IF($AC30=1,Q_zero-Cost_round*D30+P30-W30,"")</f>
        <v>150</v>
      </c>
      <c r="AE30" s="14" t="n">
        <f aca="false">IF($AC30=1,W30-Cost_round*E30+Q30-X30,"")</f>
        <v>5</v>
      </c>
      <c r="AF30" s="14" t="n">
        <f aca="false">IF($AC30=1,X30-Cost_round*F30+R30-Y30,"")</f>
        <v>0</v>
      </c>
      <c r="AG30" s="14" t="n">
        <f aca="false">IF($AC30=1,Y30-Cost_round*G30+S30-Z30,"")</f>
        <v>0</v>
      </c>
      <c r="AH30" s="14" t="n">
        <f aca="false">IF($AC30=1,Z30-Cost_round*H30+T30-AA30,"")</f>
        <v>122.5</v>
      </c>
      <c r="AI30" s="14" t="n">
        <f aca="false">IF($AC30=1,AA30-Cost_round*I30+U30-AB30,"")</f>
        <v>2.5</v>
      </c>
      <c r="AJ30" s="14" t="n">
        <f aca="false">IF($AC30=1,SUM(AD30:AI30),"")</f>
        <v>280</v>
      </c>
      <c r="AK30" s="17" t="n">
        <f aca="false">IF($AC30=1,AD30*Beta_y^1+AE30*Beta_y^2+AF30*Beta_y^3+AG30*Beta_y^4+AH30*Beta_y^5+AI30*Beta_y^6,"")</f>
        <v>217.969914668476</v>
      </c>
      <c r="AL30" s="17" t="n">
        <f aca="false">IF($AC30=1,AK30+Beta_y^6*U30/Hurdle_r,"")</f>
        <v>909.450478984353</v>
      </c>
      <c r="AM30" s="17" t="n">
        <f aca="false">IF($AC30=1,AK30,"")</f>
        <v>217.969914668476</v>
      </c>
      <c r="AN30" s="17" t="n">
        <f aca="false">IF($AC30=1,AK30+Beta_y^6*U30*(1-(1+Hurdle_r)^(-Life_yrs))/Hurdle_r,"")</f>
        <v>806.666299196259</v>
      </c>
      <c r="AO30" s="17" t="n">
        <f aca="false">IF($AC30=1,AJ30+Credit_yrs*U30,"")</f>
        <v>1505</v>
      </c>
      <c r="AP30" s="17" t="n">
        <f aca="false">IF($AC30=1,$AD30/(1+AP$6)^1+$AE30/(1+AP$6)^2+$AF30/(1+AP$6)^3+$AG30/(1+AP$6)^4+$AH30/(1+AP$6)^5+$AI30/(1+AP$6)^6+$U30/AP$6/(1+AP$6)^6,"")</f>
        <v>3677.83471569386</v>
      </c>
      <c r="AQ30" s="17" t="n">
        <f aca="false">IF($AC30=1,$AD30/(1+AQ$6)^1+$AE30/(1+AQ$6)^2+$AF30/(1+AQ$6)^3+$AG30/(1+AQ$6)^4+$AH30/(1+AQ$6)^5+$AI30/(1+AQ$6)^6+$U30/AQ$6/(1+AQ$6)^6,"")</f>
        <v>2073.46750589315</v>
      </c>
      <c r="AR30" s="17" t="n">
        <f aca="false">IF($AC30=1,$AD30/(1+AR$6)^1+$AE30/(1+AR$6)^2+$AF30/(1+AR$6)^3+$AG30/(1+AR$6)^4+$AH30/(1+AR$6)^5+$AI30/(1+AR$6)^6+$U30/AR$6/(1+AR$6)^6,"")</f>
        <v>1193.06968985899</v>
      </c>
      <c r="AS30" s="17" t="n">
        <f aca="false">IF($AC30=1,$AD30/(1+AS$6)^1+$AE30/(1+AS$6)^2+$AF30/(1+AS$6)^3+$AG30/(1+AS$6)^4+$AH30/(1+AS$6)^5+$AI30/(1+AS$6)^6+$U30/AS$6/(1+AS$6)^6,"")</f>
        <v>909.450478984353</v>
      </c>
      <c r="AT30" s="17" t="n">
        <f aca="false">IF($AC30=1,$AD30/(1+AT$6)^1+$AE30/(1+AT$6)^2+$AF30/(1+AT$6)^3+$AG30/(1+AT$6)^4+$AH30/(1+AT$6)^5+$AI30/(1+AT$6)^6+$U30/AT$6/(1+AT$6)^6,"")</f>
        <v>725.876844646646</v>
      </c>
      <c r="AU30" s="17" t="n">
        <f aca="false">IF($AC30=1,$AD30/(1+AU$6)^1+$AE30/(1+AU$6)^2+$AF30/(1+AU$6)^3+$AG30/(1+AU$6)^4+$AH30/(1+AU$6)^5+$AI30/(1+AU$6)^6+$U30/AU$6/(1+AU$6)^6,"")</f>
        <v>549.268006670103</v>
      </c>
      <c r="AV30" s="17" t="n">
        <f aca="false">IF($AC30=1,$AD30/(1+AV$6)^1+$AE30/(1+AV$6)^2+$AF30/(1+AV$6)^3+$AG30/(1+AV$6)^4+$AH30/(1+AV$6)^5+$AI30/(1+AV$6)^6+$U30/AV$6/(1+AV$6)^6,"")</f>
        <v>383.664480452675</v>
      </c>
      <c r="AW30" s="17" t="n">
        <f aca="false">IF($AC30=1,$AD30/(1+AW$6)^1+$AE30/(1+AW$6)^2+$AF30/(1+AW$6)^3+$AG30/(1+AW$6)^4+$AH30/(1+AW$6)^5+$AI30/(1+AW$6)^6+$U30/AW$6/(1+AW$6)^6,"")</f>
        <v>236.450900239337</v>
      </c>
      <c r="AX30" s="17" t="n">
        <f aca="false">IF($AC30=1,$AD30/(1+AX$6)^1+$AE30/(1+AX$6)^2+$AF30/(1+AX$6)^3+$AG30/(1+AX$6)^4+$AH30/(1+AX$6)^5+$AI30/(1+AX$6)^6+$U30/AX$6/(1+AX$6)^6,"")</f>
        <v>6296.00566909748</v>
      </c>
      <c r="AY30" s="17" t="n">
        <f aca="false">IF($AC30=1,$AD30/(1+AY$6)^1+$AE30/(1+AY$6)^2+$AF30/(1+AY$6)^3+$AG30/(1+AY$6)^4+$AH30/(1+AY$6)^5+$AI30/(1+AY$6)^6+$U30/AY$6/(1+AY$6)^6,"")</f>
        <v>2964.18038348898</v>
      </c>
      <c r="AZ30" s="17" t="n">
        <f aca="false">IF($AC30=1,$AD30/(1+AZ$6)^1+$AE30/(1+AZ$6)^2+$AF30/(1+AZ$6)^3+$AG30/(1+AZ$6)^4+$AH30/(1+AZ$6)^5+$AI30/(1+AZ$6)^6+$U30/AZ$6/(1+AZ$6)^6,"")</f>
        <v>1333.26776995128</v>
      </c>
      <c r="BA30" s="17" t="n">
        <f aca="false">IF($AC30=1,$AD30/(1+BA$6)^1+$AE30/(1+BA$6)^2+$AF30/(1+BA$6)^3+$AG30/(1+BA$6)^4+$AH30/(1+BA$6)^5+$AI30/(1+BA$6)^6+$U30/BA$6/(1+BA$6)^6,"")</f>
        <v>570.638921842995</v>
      </c>
      <c r="BB30" s="17" t="n">
        <f aca="false">IF($AC30=1,$AD30/(1+BB$6)^1+$AE30/(1+BB$6)^2+$AF30/(1+BB$6)^3+$AG30/(1+BB$6)^4+$AH30/(1+BB$6)^5+$AI30/(1+BB$6)^6+$U30/BB$6/(1+BB$6)^6,"")</f>
        <v>237.610915232056</v>
      </c>
    </row>
    <row r="31" customFormat="false" ht="15" hidden="false" customHeight="false" outlineLevel="0" collapsed="false">
      <c r="A31" s="2" t="n">
        <v>23</v>
      </c>
      <c r="B31" s="2" t="str">
        <f aca="false">D31&amp;E31&amp;F31&amp;G31&amp;H31&amp;I31</f>
        <v>010111</v>
      </c>
      <c r="C31" s="15" t="n">
        <f aca="false">SUM(D31:I31)</f>
        <v>4</v>
      </c>
      <c r="D31" s="15" t="n">
        <f aca="false">MOD(INT($A31/32),2)</f>
        <v>0</v>
      </c>
      <c r="E31" s="15" t="n">
        <f aca="false">MOD(INT($A31/16),2)</f>
        <v>1</v>
      </c>
      <c r="F31" s="15" t="n">
        <f aca="false">MOD(INT($A31/8),2)</f>
        <v>0</v>
      </c>
      <c r="G31" s="15" t="n">
        <f aca="false">MOD(INT($A31/4),2)</f>
        <v>1</v>
      </c>
      <c r="H31" s="15" t="n">
        <f aca="false">MOD(INT($A31/2),2)</f>
        <v>1</v>
      </c>
      <c r="I31" s="15" t="n">
        <f aca="false">MOD(INT($A31/1),2)</f>
        <v>1</v>
      </c>
      <c r="J31" s="14" t="n">
        <f aca="false">E_zero+D31*(Half_gap*(Ceiling_e-E_zero)-$F$4)</f>
        <v>71</v>
      </c>
      <c r="K31" s="14" t="n">
        <f aca="false">J31+E31*(Half_gap*(Ceiling_e-J31)-$F$4)</f>
        <v>78</v>
      </c>
      <c r="L31" s="14" t="n">
        <f aca="false">K31+F31*(Half_gap*(Ceiling_e-K31)-$F$4)</f>
        <v>78</v>
      </c>
      <c r="M31" s="14" t="n">
        <f aca="false">L31+G31*(Half_gap*(Ceiling_e-L31)-$F$4)</f>
        <v>81.5</v>
      </c>
      <c r="N31" s="14" t="n">
        <f aca="false">M31+H31*(Half_gap*(Ceiling_e-M31)-$F$4)</f>
        <v>83.25</v>
      </c>
      <c r="O31" s="14" t="n">
        <f aca="false">N31+I31*(Half_gap*(Ceiling_e-N31)-$F$4)</f>
        <v>84.125</v>
      </c>
      <c r="P31" s="14" t="n">
        <f aca="false">Val_pt*(J31-E_zero)</f>
        <v>0</v>
      </c>
      <c r="Q31" s="14" t="n">
        <f aca="false">Val_pt*(K31-E_zero)</f>
        <v>70</v>
      </c>
      <c r="R31" s="14" t="n">
        <f aca="false">Val_pt*(L31-E_zero)</f>
        <v>70</v>
      </c>
      <c r="S31" s="14" t="n">
        <f aca="false">Val_pt*(M31-E_zero)</f>
        <v>105</v>
      </c>
      <c r="T31" s="14" t="n">
        <f aca="false">Val_pt*(N31-E_zero)</f>
        <v>122.5</v>
      </c>
      <c r="U31" s="14" t="n">
        <f aca="false">Val_pt*(O31-E_zero)</f>
        <v>131.25</v>
      </c>
      <c r="V31" s="14" t="n">
        <f aca="false">MAX(W31+Cost_round*D31-P31,IF(D31=1,Pre_q,0))</f>
        <v>470</v>
      </c>
      <c r="W31" s="14" t="n">
        <f aca="false">MAX(X31+Cost_round*E31-Q31,IF(E31=1,Pre_q,0),Floor_q)</f>
        <v>470</v>
      </c>
      <c r="X31" s="14" t="n">
        <f aca="false">MAX(Y31+Cost_round*F31-R31,IF(F31=1,Pre_q,0),Floor_q)</f>
        <v>415</v>
      </c>
      <c r="Y31" s="14" t="n">
        <f aca="false">MAX(Z31+Cost_round*G31-S31,IF(G31=1,Pre_q,0),Floor_q)</f>
        <v>485</v>
      </c>
      <c r="Z31" s="14" t="n">
        <f aca="false">MAX(AA31+Cost_round*H31-T31,IF(H31=1,Pre_q,0),Floor_q)</f>
        <v>470</v>
      </c>
      <c r="AA31" s="14" t="n">
        <f aca="false">MAX(AB31+Cost_round*I31-U31,IF(I31=1,Pre_q,0),Floor_q)</f>
        <v>470</v>
      </c>
      <c r="AB31" s="14" t="n">
        <f aca="false">MAX(End_q,Floor_q)</f>
        <v>470</v>
      </c>
      <c r="AC31" s="15" t="n">
        <f aca="false">IF(Q_zero&gt;=V31-0.000000001,1,0)</f>
        <v>1</v>
      </c>
      <c r="AD31" s="14" t="n">
        <f aca="false">IF($AC31=1,Q_zero-Cost_round*D31+P31-W31,"")</f>
        <v>150</v>
      </c>
      <c r="AE31" s="14" t="n">
        <f aca="false">IF($AC31=1,W31-Cost_round*E31+Q31-X31,"")</f>
        <v>5</v>
      </c>
      <c r="AF31" s="14" t="n">
        <f aca="false">IF($AC31=1,X31-Cost_round*F31+R31-Y31,"")</f>
        <v>0</v>
      </c>
      <c r="AG31" s="14" t="n">
        <f aca="false">IF($AC31=1,Y31-Cost_round*G31+S31-Z31,"")</f>
        <v>0</v>
      </c>
      <c r="AH31" s="14" t="n">
        <f aca="false">IF($AC31=1,Z31-Cost_round*H31+T31-AA31,"")</f>
        <v>2.5</v>
      </c>
      <c r="AI31" s="14" t="n">
        <f aca="false">IF($AC31=1,AA31-Cost_round*I31+U31-AB31,"")</f>
        <v>11.25</v>
      </c>
      <c r="AJ31" s="14" t="n">
        <f aca="false">IF($AC31=1,SUM(AD31:AI31),"")</f>
        <v>168.75</v>
      </c>
      <c r="AK31" s="17" t="n">
        <f aca="false">IF($AC31=1,AD31*Beta_y^1+AE31*Beta_y^2+AF31*Beta_y^3+AG31*Beta_y^4+AH31*Beta_y^5+AI31*Beta_y^6,"")</f>
        <v>148.398502789348</v>
      </c>
      <c r="AL31" s="17" t="n">
        <f aca="false">IF($AC31=1,AK31+Beta_y^6*U31/Hurdle_r,"")</f>
        <v>889.270535984931</v>
      </c>
      <c r="AM31" s="17" t="n">
        <f aca="false">IF($AC31=1,AK31,"")</f>
        <v>148.398502789348</v>
      </c>
      <c r="AN31" s="17" t="n">
        <f aca="false">IF($AC31=1,AK31+Beta_y^6*U31*(1-(1+Hurdle_r)^(-Life_yrs))/Hurdle_r,"")</f>
        <v>779.144629069116</v>
      </c>
      <c r="AO31" s="17" t="n">
        <f aca="false">IF($AC31=1,AJ31+Credit_yrs*U31,"")</f>
        <v>1481.25</v>
      </c>
      <c r="AP31" s="17" t="n">
        <f aca="false">IF($AC31=1,$AD31/(1+AP$6)^1+$AE31/(1+AP$6)^2+$AF31/(1+AP$6)^3+$AG31/(1+AP$6)^4+$AH31/(1+AP$6)^5+$AI31/(1+AP$6)^6+$U31/AP$6/(1+AP$6)^6,"")</f>
        <v>3825.91589034647</v>
      </c>
      <c r="AQ31" s="17" t="n">
        <f aca="false">IF($AC31=1,$AD31/(1+AQ$6)^1+$AE31/(1+AQ$6)^2+$AF31/(1+AQ$6)^3+$AG31/(1+AQ$6)^4+$AH31/(1+AQ$6)^5+$AI31/(1+AQ$6)^6+$U31/AQ$6/(1+AQ$6)^6,"")</f>
        <v>2116.56144504891</v>
      </c>
      <c r="AR31" s="17" t="n">
        <f aca="false">IF($AC31=1,$AD31/(1+AR$6)^1+$AE31/(1+AR$6)^2+$AF31/(1+AR$6)^3+$AG31/(1+AR$6)^4+$AH31/(1+AR$6)^5+$AI31/(1+AR$6)^6+$U31/AR$6/(1+AR$6)^6,"")</f>
        <v>1185.83849339051</v>
      </c>
      <c r="AS31" s="17" t="n">
        <f aca="false">IF($AC31=1,$AD31/(1+AS$6)^1+$AE31/(1+AS$6)^2+$AF31/(1+AS$6)^3+$AG31/(1+AS$6)^4+$AH31/(1+AS$6)^5+$AI31/(1+AS$6)^6+$U31/AS$6/(1+AS$6)^6,"")</f>
        <v>889.27053598493</v>
      </c>
      <c r="AT31" s="17" t="n">
        <f aca="false">IF($AC31=1,$AD31/(1+AT$6)^1+$AE31/(1+AT$6)^2+$AF31/(1+AT$6)^3+$AG31/(1+AT$6)^4+$AH31/(1+AT$6)^5+$AI31/(1+AT$6)^6+$U31/AT$6/(1+AT$6)^6,"")</f>
        <v>699.160496856562</v>
      </c>
      <c r="AU31" s="17" t="n">
        <f aca="false">IF($AC31=1,$AD31/(1+AU$6)^1+$AE31/(1+AU$6)^2+$AF31/(1+AU$6)^3+$AG31/(1+AU$6)^4+$AH31/(1+AU$6)^5+$AI31/(1+AU$6)^6+$U31/AU$6/(1+AU$6)^6,"")</f>
        <v>518.608774660042</v>
      </c>
      <c r="AV31" s="17" t="n">
        <f aca="false">IF($AC31=1,$AD31/(1+AV$6)^1+$AE31/(1+AV$6)^2+$AF31/(1+AV$6)^3+$AG31/(1+AV$6)^4+$AH31/(1+AV$6)^5+$AI31/(1+AV$6)^6+$U31/AV$6/(1+AV$6)^6,"")</f>
        <v>353.02131558642</v>
      </c>
      <c r="AW31" s="17" t="n">
        <f aca="false">IF($AC31=1,$AD31/(1+AW$6)^1+$AE31/(1+AW$6)^2+$AF31/(1+AW$6)^3+$AG31/(1+AW$6)^4+$AH31/(1+AW$6)^5+$AI31/(1+AW$6)^6+$U31/AW$6/(1+AW$6)^6,"")</f>
        <v>211.98684265319</v>
      </c>
      <c r="AX31" s="17" t="n">
        <f aca="false">IF($AC31=1,$AD31/(1+AX$6)^1+$AE31/(1+AX$6)^2+$AF31/(1+AX$6)^3+$AG31/(1+AX$6)^4+$AH31/(1+AX$6)^5+$AI31/(1+AX$6)^6+$U31/AX$6/(1+AX$6)^6,"")</f>
        <v>6624.91397105923</v>
      </c>
      <c r="AY31" s="17" t="n">
        <f aca="false">IF($AC31=1,$AD31/(1+AY$6)^1+$AE31/(1+AY$6)^2+$AF31/(1+AY$6)^3+$AG31/(1+AY$6)^4+$AH31/(1+AY$6)^5+$AI31/(1+AY$6)^6+$U31/AY$6/(1+AY$6)^6,"")</f>
        <v>3064.50834945749</v>
      </c>
      <c r="AZ31" s="17" t="n">
        <f aca="false">IF($AC31=1,$AD31/(1+AZ$6)^1+$AE31/(1+AZ$6)^2+$AF31/(1+AZ$6)^3+$AG31/(1+AZ$6)^4+$AH31/(1+AZ$6)^5+$AI31/(1+AZ$6)^6+$U31/AZ$6/(1+AZ$6)^6,"")</f>
        <v>1333.26776995215</v>
      </c>
      <c r="BA31" s="17" t="n">
        <f aca="false">IF($AC31=1,$AD31/(1+BA$6)^1+$AE31/(1+BA$6)^2+$AF31/(1+BA$6)^3+$AG31/(1+BA$6)^4+$AH31/(1+BA$6)^5+$AI31/(1+BA$6)^6+$U31/BA$6/(1+BA$6)^6,"")</f>
        <v>540.287668304783</v>
      </c>
      <c r="BB31" s="17" t="n">
        <f aca="false">IF($AC31=1,$AD31/(1+BB$6)^1+$AE31/(1+BB$6)^2+$AF31/(1+BB$6)^3+$AG31/(1+BB$6)^4+$AH31/(1+BB$6)^5+$AI31/(1+BB$6)^6+$U31/BB$6/(1+BB$6)^6,"")</f>
        <v>213.059262211805</v>
      </c>
    </row>
    <row r="32" customFormat="false" ht="15" hidden="false" customHeight="false" outlineLevel="0" collapsed="false">
      <c r="A32" s="2" t="n">
        <v>24</v>
      </c>
      <c r="B32" s="2" t="str">
        <f aca="false">D32&amp;E32&amp;F32&amp;G32&amp;H32&amp;I32</f>
        <v>011000</v>
      </c>
      <c r="C32" s="15" t="n">
        <f aca="false">SUM(D32:I32)</f>
        <v>2</v>
      </c>
      <c r="D32" s="15" t="n">
        <f aca="false">MOD(INT($A32/32),2)</f>
        <v>0</v>
      </c>
      <c r="E32" s="15" t="n">
        <f aca="false">MOD(INT($A32/16),2)</f>
        <v>1</v>
      </c>
      <c r="F32" s="15" t="n">
        <f aca="false">MOD(INT($A32/8),2)</f>
        <v>1</v>
      </c>
      <c r="G32" s="15" t="n">
        <f aca="false">MOD(INT($A32/4),2)</f>
        <v>0</v>
      </c>
      <c r="H32" s="15" t="n">
        <f aca="false">MOD(INT($A32/2),2)</f>
        <v>0</v>
      </c>
      <c r="I32" s="15" t="n">
        <f aca="false">MOD(INT($A32/1),2)</f>
        <v>0</v>
      </c>
      <c r="J32" s="14" t="n">
        <f aca="false">E_zero+D32*(Half_gap*(Ceiling_e-E_zero)-$F$4)</f>
        <v>71</v>
      </c>
      <c r="K32" s="14" t="n">
        <f aca="false">J32+E32*(Half_gap*(Ceiling_e-J32)-$F$4)</f>
        <v>78</v>
      </c>
      <c r="L32" s="14" t="n">
        <f aca="false">K32+F32*(Half_gap*(Ceiling_e-K32)-$F$4)</f>
        <v>81.5</v>
      </c>
      <c r="M32" s="14" t="n">
        <f aca="false">L32+G32*(Half_gap*(Ceiling_e-L32)-$F$4)</f>
        <v>81.5</v>
      </c>
      <c r="N32" s="14" t="n">
        <f aca="false">M32+H32*(Half_gap*(Ceiling_e-M32)-$F$4)</f>
        <v>81.5</v>
      </c>
      <c r="O32" s="14" t="n">
        <f aca="false">N32+I32*(Half_gap*(Ceiling_e-N32)-$F$4)</f>
        <v>81.5</v>
      </c>
      <c r="P32" s="14" t="n">
        <f aca="false">Val_pt*(J32-E_zero)</f>
        <v>0</v>
      </c>
      <c r="Q32" s="14" t="n">
        <f aca="false">Val_pt*(K32-E_zero)</f>
        <v>70</v>
      </c>
      <c r="R32" s="14" t="n">
        <f aca="false">Val_pt*(L32-E_zero)</f>
        <v>105</v>
      </c>
      <c r="S32" s="14" t="n">
        <f aca="false">Val_pt*(M32-E_zero)</f>
        <v>105</v>
      </c>
      <c r="T32" s="14" t="n">
        <f aca="false">Val_pt*(N32-E_zero)</f>
        <v>105</v>
      </c>
      <c r="U32" s="14" t="n">
        <f aca="false">Val_pt*(O32-E_zero)</f>
        <v>105</v>
      </c>
      <c r="V32" s="14" t="n">
        <f aca="false">MAX(W32+Cost_round*D32-P32,IF(D32=1,Pre_q,0))</f>
        <v>520</v>
      </c>
      <c r="W32" s="14" t="n">
        <f aca="false">MAX(X32+Cost_round*E32-Q32,IF(E32=1,Pre_q,0),Floor_q)</f>
        <v>520</v>
      </c>
      <c r="X32" s="14" t="n">
        <f aca="false">MAX(Y32+Cost_round*F32-R32,IF(F32=1,Pre_q,0),Floor_q)</f>
        <v>470</v>
      </c>
      <c r="Y32" s="14" t="n">
        <f aca="false">MAX(Z32+Cost_round*G32-S32,IF(G32=1,Pre_q,0),Floor_q)</f>
        <v>350</v>
      </c>
      <c r="Z32" s="14" t="n">
        <f aca="false">MAX(AA32+Cost_round*H32-T32,IF(H32=1,Pre_q,0),Floor_q)</f>
        <v>350</v>
      </c>
      <c r="AA32" s="14" t="n">
        <f aca="false">MAX(AB32+Cost_round*I32-U32,IF(I32=1,Pre_q,0),Floor_q)</f>
        <v>365</v>
      </c>
      <c r="AB32" s="14" t="n">
        <f aca="false">MAX(End_q,Floor_q)</f>
        <v>470</v>
      </c>
      <c r="AC32" s="15" t="n">
        <f aca="false">IF(Q_zero&gt;=V32-0.000000001,1,0)</f>
        <v>1</v>
      </c>
      <c r="AD32" s="14" t="n">
        <f aca="false">IF($AC32=1,Q_zero-Cost_round*D32+P32-W32,"")</f>
        <v>100</v>
      </c>
      <c r="AE32" s="14" t="n">
        <f aca="false">IF($AC32=1,W32-Cost_round*E32+Q32-X32,"")</f>
        <v>0</v>
      </c>
      <c r="AF32" s="14" t="n">
        <f aca="false">IF($AC32=1,X32-Cost_round*F32+R32-Y32,"")</f>
        <v>105</v>
      </c>
      <c r="AG32" s="14" t="n">
        <f aca="false">IF($AC32=1,Y32-Cost_round*G32+S32-Z32,"")</f>
        <v>105</v>
      </c>
      <c r="AH32" s="14" t="n">
        <f aca="false">IF($AC32=1,Z32-Cost_round*H32+T32-AA32,"")</f>
        <v>90</v>
      </c>
      <c r="AI32" s="14" t="n">
        <f aca="false">IF($AC32=1,AA32-Cost_round*I32+U32-AB32,"")</f>
        <v>0</v>
      </c>
      <c r="AJ32" s="14" t="n">
        <f aca="false">IF($AC32=1,SUM(AD32:AI32),"")</f>
        <v>400</v>
      </c>
      <c r="AK32" s="17" t="n">
        <f aca="false">IF($AC32=1,AD32*Beta_y^1+AE32*Beta_y^2+AF32*Beta_y^3+AG32*Beta_y^4+AH32*Beta_y^5+AI32*Beta_y^6,"")</f>
        <v>297.396476892413</v>
      </c>
      <c r="AL32" s="17" t="n">
        <f aca="false">IF($AC32=1,AK32+Beta_y^6*U32/Hurdle_r,"")</f>
        <v>890.094103448879</v>
      </c>
      <c r="AM32" s="17" t="n">
        <f aca="false">IF($AC32=1,AK32,"")</f>
        <v>297.396476892413</v>
      </c>
      <c r="AN32" s="17" t="n">
        <f aca="false">IF($AC32=1,AK32+Beta_y^6*U32*(1-(1+Hurdle_r)^(-Life_yrs))/Hurdle_r,"")</f>
        <v>801.993377916227</v>
      </c>
      <c r="AO32" s="17" t="n">
        <f aca="false">IF($AC32=1,AJ32+Credit_yrs*U32,"")</f>
        <v>1450</v>
      </c>
      <c r="AP32" s="17" t="n">
        <f aca="false">IF($AC32=1,$AD32/(1+AP$6)^1+$AE32/(1+AP$6)^2+$AF32/(1+AP$6)^3+$AG32/(1+AP$6)^4+$AH32/(1+AP$6)^5+$AI32/(1+AP$6)^6+$U32/AP$6/(1+AP$6)^6,"")</f>
        <v>3295.29808189137</v>
      </c>
      <c r="AQ32" s="17" t="n">
        <f aca="false">IF($AC32=1,$AD32/(1+AQ$6)^1+$AE32/(1+AQ$6)^2+$AF32/(1+AQ$6)^3+$AG32/(1+AQ$6)^4+$AH32/(1+AQ$6)^5+$AI32/(1+AQ$6)^6+$U32/AQ$6/(1+AQ$6)^6,"")</f>
        <v>1909.89449085613</v>
      </c>
      <c r="AR32" s="17" t="n">
        <f aca="false">IF($AC32=1,$AD32/(1+AR$6)^1+$AE32/(1+AR$6)^2+$AF32/(1+AR$6)^3+$AG32/(1+AR$6)^4+$AH32/(1+AR$6)^5+$AI32/(1+AR$6)^6+$U32/AR$6/(1+AR$6)^6,"")</f>
        <v>1141.47323546045</v>
      </c>
      <c r="AS32" s="17" t="n">
        <f aca="false">IF($AC32=1,$AD32/(1+AS$6)^1+$AE32/(1+AS$6)^2+$AF32/(1+AS$6)^3+$AG32/(1+AS$6)^4+$AH32/(1+AS$6)^5+$AI32/(1+AS$6)^6+$U32/AS$6/(1+AS$6)^6,"")</f>
        <v>890.094103448879</v>
      </c>
      <c r="AT32" s="17" t="n">
        <f aca="false">IF($AC32=1,$AD32/(1+AT$6)^1+$AE32/(1+AT$6)^2+$AF32/(1+AT$6)^3+$AG32/(1+AT$6)^4+$AH32/(1+AT$6)^5+$AI32/(1+AT$6)^6+$U32/AT$6/(1+AT$6)^6,"")</f>
        <v>725.122686583459</v>
      </c>
      <c r="AU32" s="17" t="n">
        <f aca="false">IF($AC32=1,$AD32/(1+AU$6)^1+$AE32/(1+AU$6)^2+$AF32/(1+AU$6)^3+$AG32/(1+AU$6)^4+$AH32/(1+AU$6)^5+$AI32/(1+AU$6)^6+$U32/AU$6/(1+AU$6)^6,"")</f>
        <v>563.405040246693</v>
      </c>
      <c r="AV32" s="17" t="n">
        <f aca="false">IF($AC32=1,$AD32/(1+AV$6)^1+$AE32/(1+AV$6)^2+$AF32/(1+AV$6)^3+$AG32/(1+AV$6)^4+$AH32/(1+AV$6)^5+$AI32/(1+AV$6)^6+$U32/AV$6/(1+AV$6)^6,"")</f>
        <v>406.72421553498</v>
      </c>
      <c r="AW32" s="17" t="n">
        <f aca="false">IF($AC32=1,$AD32/(1+AW$6)^1+$AE32/(1+AW$6)^2+$AF32/(1+AW$6)^3+$AG32/(1+AW$6)^4+$AH32/(1+AW$6)^5+$AI32/(1+AW$6)^6+$U32/AW$6/(1+AW$6)^6,"")</f>
        <v>258.230230365444</v>
      </c>
      <c r="AX32" s="17" t="n">
        <f aca="false">IF($AC32=1,$AD32/(1+AX$6)^1+$AE32/(1+AX$6)^2+$AF32/(1+AX$6)^3+$AG32/(1+AX$6)^4+$AH32/(1+AX$6)^5+$AI32/(1+AX$6)^6+$U32/AX$6/(1+AX$6)^6,"")</f>
        <v>5545.89679594402</v>
      </c>
      <c r="AY32" s="17" t="n">
        <f aca="false">IF($AC32=1,$AD32/(1+AY$6)^1+$AE32/(1+AY$6)^2+$AF32/(1+AY$6)^3+$AG32/(1+AY$6)^4+$AH32/(1+AY$6)^5+$AI32/(1+AY$6)^6+$U32/AY$6/(1+AY$6)^6,"")</f>
        <v>2680.1929110469</v>
      </c>
      <c r="AZ32" s="17" t="n">
        <f aca="false">IF($AC32=1,$AD32/(1+AZ$6)^1+$AE32/(1+AZ$6)^2+$AF32/(1+AZ$6)^3+$AG32/(1+AZ$6)^4+$AH32/(1+AZ$6)^5+$AI32/(1+AZ$6)^6+$U32/AZ$6/(1+AZ$6)^6,"")</f>
        <v>1264.74400093708</v>
      </c>
      <c r="BA32" s="17" t="n">
        <f aca="false">IF($AC32=1,$AD32/(1+BA$6)^1+$AE32/(1+BA$6)^2+$AF32/(1+BA$6)^3+$AG32/(1+BA$6)^4+$AH32/(1+BA$6)^5+$AI32/(1+BA$6)^6+$U32/BA$6/(1+BA$6)^6,"")</f>
        <v>583.196855387462</v>
      </c>
      <c r="BB32" s="17" t="n">
        <f aca="false">IF($AC32=1,$AD32/(1+BB$6)^1+$AE32/(1+BB$6)^2+$AF32/(1+BB$6)^3+$AG32/(1+BB$6)^4+$AH32/(1+BB$6)^5+$AI32/(1+BB$6)^6+$U32/BB$6/(1+BB$6)^6,"")</f>
        <v>259.463598864738</v>
      </c>
    </row>
    <row r="33" customFormat="false" ht="15" hidden="false" customHeight="false" outlineLevel="0" collapsed="false">
      <c r="A33" s="2" t="n">
        <v>25</v>
      </c>
      <c r="B33" s="2" t="str">
        <f aca="false">D33&amp;E33&amp;F33&amp;G33&amp;H33&amp;I33</f>
        <v>011001</v>
      </c>
      <c r="C33" s="15" t="n">
        <f aca="false">SUM(D33:I33)</f>
        <v>3</v>
      </c>
      <c r="D33" s="15" t="n">
        <f aca="false">MOD(INT($A33/32),2)</f>
        <v>0</v>
      </c>
      <c r="E33" s="15" t="n">
        <f aca="false">MOD(INT($A33/16),2)</f>
        <v>1</v>
      </c>
      <c r="F33" s="15" t="n">
        <f aca="false">MOD(INT($A33/8),2)</f>
        <v>1</v>
      </c>
      <c r="G33" s="15" t="n">
        <f aca="false">MOD(INT($A33/4),2)</f>
        <v>0</v>
      </c>
      <c r="H33" s="15" t="n">
        <f aca="false">MOD(INT($A33/2),2)</f>
        <v>0</v>
      </c>
      <c r="I33" s="15" t="n">
        <f aca="false">MOD(INT($A33/1),2)</f>
        <v>1</v>
      </c>
      <c r="J33" s="14" t="n">
        <f aca="false">E_zero+D33*(Half_gap*(Ceiling_e-E_zero)-$F$4)</f>
        <v>71</v>
      </c>
      <c r="K33" s="14" t="n">
        <f aca="false">J33+E33*(Half_gap*(Ceiling_e-J33)-$F$4)</f>
        <v>78</v>
      </c>
      <c r="L33" s="14" t="n">
        <f aca="false">K33+F33*(Half_gap*(Ceiling_e-K33)-$F$4)</f>
        <v>81.5</v>
      </c>
      <c r="M33" s="14" t="n">
        <f aca="false">L33+G33*(Half_gap*(Ceiling_e-L33)-$F$4)</f>
        <v>81.5</v>
      </c>
      <c r="N33" s="14" t="n">
        <f aca="false">M33+H33*(Half_gap*(Ceiling_e-M33)-$F$4)</f>
        <v>81.5</v>
      </c>
      <c r="O33" s="14" t="n">
        <f aca="false">N33+I33*(Half_gap*(Ceiling_e-N33)-$F$4)</f>
        <v>83.25</v>
      </c>
      <c r="P33" s="14" t="n">
        <f aca="false">Val_pt*(J33-E_zero)</f>
        <v>0</v>
      </c>
      <c r="Q33" s="14" t="n">
        <f aca="false">Val_pt*(K33-E_zero)</f>
        <v>70</v>
      </c>
      <c r="R33" s="14" t="n">
        <f aca="false">Val_pt*(L33-E_zero)</f>
        <v>105</v>
      </c>
      <c r="S33" s="14" t="n">
        <f aca="false">Val_pt*(M33-E_zero)</f>
        <v>105</v>
      </c>
      <c r="T33" s="14" t="n">
        <f aca="false">Val_pt*(N33-E_zero)</f>
        <v>105</v>
      </c>
      <c r="U33" s="14" t="n">
        <f aca="false">Val_pt*(O33-E_zero)</f>
        <v>122.5</v>
      </c>
      <c r="V33" s="14" t="n">
        <f aca="false">MAX(W33+Cost_round*D33-P33,IF(D33=1,Pre_q,0))</f>
        <v>520</v>
      </c>
      <c r="W33" s="14" t="n">
        <f aca="false">MAX(X33+Cost_round*E33-Q33,IF(E33=1,Pre_q,0),Floor_q)</f>
        <v>520</v>
      </c>
      <c r="X33" s="14" t="n">
        <f aca="false">MAX(Y33+Cost_round*F33-R33,IF(F33=1,Pre_q,0),Floor_q)</f>
        <v>470</v>
      </c>
      <c r="Y33" s="14" t="n">
        <f aca="false">MAX(Z33+Cost_round*G33-S33,IF(G33=1,Pre_q,0),Floor_q)</f>
        <v>350</v>
      </c>
      <c r="Z33" s="14" t="n">
        <f aca="false">MAX(AA33+Cost_round*H33-T33,IF(H33=1,Pre_q,0),Floor_q)</f>
        <v>365</v>
      </c>
      <c r="AA33" s="14" t="n">
        <f aca="false">MAX(AB33+Cost_round*I33-U33,IF(I33=1,Pre_q,0),Floor_q)</f>
        <v>470</v>
      </c>
      <c r="AB33" s="14" t="n">
        <f aca="false">MAX(End_q,Floor_q)</f>
        <v>470</v>
      </c>
      <c r="AC33" s="15" t="n">
        <f aca="false">IF(Q_zero&gt;=V33-0.000000001,1,0)</f>
        <v>1</v>
      </c>
      <c r="AD33" s="14" t="n">
        <f aca="false">IF($AC33=1,Q_zero-Cost_round*D33+P33-W33,"")</f>
        <v>100</v>
      </c>
      <c r="AE33" s="14" t="n">
        <f aca="false">IF($AC33=1,W33-Cost_round*E33+Q33-X33,"")</f>
        <v>0</v>
      </c>
      <c r="AF33" s="14" t="n">
        <f aca="false">IF($AC33=1,X33-Cost_round*F33+R33-Y33,"")</f>
        <v>105</v>
      </c>
      <c r="AG33" s="14" t="n">
        <f aca="false">IF($AC33=1,Y33-Cost_round*G33+S33-Z33,"")</f>
        <v>90</v>
      </c>
      <c r="AH33" s="14" t="n">
        <f aca="false">IF($AC33=1,Z33-Cost_round*H33+T33-AA33,"")</f>
        <v>0</v>
      </c>
      <c r="AI33" s="14" t="n">
        <f aca="false">IF($AC33=1,AA33-Cost_round*I33+U33-AB33,"")</f>
        <v>2.5</v>
      </c>
      <c r="AJ33" s="14" t="n">
        <f aca="false">IF($AC33=1,SUM(AD33:AI33),"")</f>
        <v>297.5</v>
      </c>
      <c r="AK33" s="17" t="n">
        <f aca="false">IF($AC33=1,AD33*Beta_y^1+AE33*Beta_y^2+AF33*Beta_y^3+AG33*Beta_y^4+AH33*Beta_y^5+AI33*Beta_y^6,"")</f>
        <v>232.679540811747</v>
      </c>
      <c r="AL33" s="17" t="n">
        <f aca="false">IF($AC33=1,AK33+Beta_y^6*U33/Hurdle_r,"")</f>
        <v>924.160105127625</v>
      </c>
      <c r="AM33" s="17" t="n">
        <f aca="false">IF($AC33=1,AK33,"")</f>
        <v>232.679540811747</v>
      </c>
      <c r="AN33" s="17" t="n">
        <f aca="false">IF($AC33=1,AK33+Beta_y^6*U33*(1-(1+Hurdle_r)^(-Life_yrs))/Hurdle_r,"")</f>
        <v>821.375925339531</v>
      </c>
      <c r="AO33" s="17" t="n">
        <f aca="false">IF($AC33=1,AJ33+Credit_yrs*U33,"")</f>
        <v>1522.5</v>
      </c>
      <c r="AP33" s="17" t="n">
        <f aca="false">IF($AC33=1,$AD33/(1+AP$6)^1+$AE33/(1+AP$6)^2+$AF33/(1+AP$6)^3+$AG33/(1+AP$6)^4+$AH33/(1+AP$6)^5+$AI33/(1+AP$6)^6+$U33/AP$6/(1+AP$6)^6,"")</f>
        <v>3694.96217928523</v>
      </c>
      <c r="AQ33" s="17" t="n">
        <f aca="false">IF($AC33=1,$AD33/(1+AQ$6)^1+$AE33/(1+AQ$6)^2+$AF33/(1+AQ$6)^3+$AG33/(1+AQ$6)^4+$AH33/(1+AQ$6)^5+$AI33/(1+AQ$6)^6+$U33/AQ$6/(1+AQ$6)^6,"")</f>
        <v>2090.0775260665</v>
      </c>
      <c r="AR33" s="17" t="n">
        <f aca="false">IF($AC33=1,$AD33/(1+AR$6)^1+$AE33/(1+AR$6)^2+$AF33/(1+AR$6)^3+$AG33/(1+AR$6)^4+$AH33/(1+AR$6)^5+$AI33/(1+AR$6)^6+$U33/AR$6/(1+AR$6)^6,"")</f>
        <v>1208.62032988335</v>
      </c>
      <c r="AS33" s="17" t="n">
        <f aca="false">IF($AC33=1,$AD33/(1+AS$6)^1+$AE33/(1+AS$6)^2+$AF33/(1+AS$6)^3+$AG33/(1+AS$6)^4+$AH33/(1+AS$6)^5+$AI33/(1+AS$6)^6+$U33/AS$6/(1+AS$6)^6,"")</f>
        <v>924.160105127624</v>
      </c>
      <c r="AT33" s="17" t="n">
        <f aca="false">IF($AC33=1,$AD33/(1+AT$6)^1+$AE33/(1+AT$6)^2+$AF33/(1+AT$6)^3+$AG33/(1+AT$6)^4+$AH33/(1+AT$6)^5+$AI33/(1+AT$6)^6+$U33/AT$6/(1+AT$6)^6,"")</f>
        <v>739.671781367349</v>
      </c>
      <c r="AU33" s="17" t="n">
        <f aca="false">IF($AC33=1,$AD33/(1+AU$6)^1+$AE33/(1+AU$6)^2+$AF33/(1+AU$6)^3+$AG33/(1+AU$6)^4+$AH33/(1+AU$6)^5+$AI33/(1+AU$6)^6+$U33/AU$6/(1+AU$6)^6,"")</f>
        <v>561.601873898746</v>
      </c>
      <c r="AV33" s="17" t="n">
        <f aca="false">IF($AC33=1,$AD33/(1+AV$6)^1+$AE33/(1+AV$6)^2+$AF33/(1+AV$6)^3+$AG33/(1+AV$6)^4+$AH33/(1+AV$6)^5+$AI33/(1+AV$6)^6+$U33/AV$6/(1+AV$6)^6,"")</f>
        <v>393.462255658436</v>
      </c>
      <c r="AW33" s="17" t="n">
        <f aca="false">IF($AC33=1,$AD33/(1+AW$6)^1+$AE33/(1+AW$6)^2+$AF33/(1+AW$6)^3+$AG33/(1+AW$6)^4+$AH33/(1+AW$6)^5+$AI33/(1+AW$6)^6+$U33/AW$6/(1+AW$6)^6,"")</f>
        <v>241.341916229404</v>
      </c>
      <c r="AX33" s="17" t="n">
        <f aca="false">IF($AC33=1,$AD33/(1+AX$6)^1+$AE33/(1+AX$6)^2+$AF33/(1+AX$6)^3+$AG33/(1+AX$6)^4+$AH33/(1+AX$6)^5+$AI33/(1+AX$6)^6+$U33/AX$6/(1+AX$6)^6,"")</f>
        <v>6313.34502800627</v>
      </c>
      <c r="AY33" s="17" t="n">
        <f aca="false">IF($AC33=1,$AD33/(1+AY$6)^1+$AE33/(1+AY$6)^2+$AF33/(1+AY$6)^3+$AG33/(1+AY$6)^4+$AH33/(1+AY$6)^5+$AI33/(1+AY$6)^6+$U33/AY$6/(1+AY$6)^6,"")</f>
        <v>2981.16072570116</v>
      </c>
      <c r="AZ33" s="17" t="n">
        <f aca="false">IF($AC33=1,$AD33/(1+AZ$6)^1+$AE33/(1+AZ$6)^2+$AF33/(1+AZ$6)^3+$AG33/(1+AZ$6)^4+$AH33/(1+AZ$6)^5+$AI33/(1+AZ$6)^6+$U33/AZ$6/(1+AZ$6)^6,"")</f>
        <v>1349.09343751235</v>
      </c>
      <c r="BA33" s="17" t="n">
        <f aca="false">IF($AC33=1,$AD33/(1+BA$6)^1+$AE33/(1+BA$6)^2+$AF33/(1+BA$6)^3+$AG33/(1+BA$6)^4+$AH33/(1+BA$6)^5+$AI33/(1+BA$6)^6+$U33/BA$6/(1+BA$6)^6,"")</f>
        <v>583.196855388462</v>
      </c>
      <c r="BB33" s="17" t="n">
        <f aca="false">IF($AC33=1,$AD33/(1+BB$6)^1+$AE33/(1+BB$6)^2+$AF33/(1+BB$6)^3+$AG33/(1+BB$6)^4+$AH33/(1+BB$6)^5+$AI33/(1+BB$6)^6+$U33/BB$6/(1+BB$6)^6,"")</f>
        <v>242.561572137437</v>
      </c>
    </row>
    <row r="34" customFormat="false" ht="15" hidden="false" customHeight="false" outlineLevel="0" collapsed="false">
      <c r="A34" s="2" t="n">
        <v>26</v>
      </c>
      <c r="B34" s="2" t="str">
        <f aca="false">D34&amp;E34&amp;F34&amp;G34&amp;H34&amp;I34</f>
        <v>011010</v>
      </c>
      <c r="C34" s="15" t="n">
        <f aca="false">SUM(D34:I34)</f>
        <v>3</v>
      </c>
      <c r="D34" s="15" t="n">
        <f aca="false">MOD(INT($A34/32),2)</f>
        <v>0</v>
      </c>
      <c r="E34" s="15" t="n">
        <f aca="false">MOD(INT($A34/16),2)</f>
        <v>1</v>
      </c>
      <c r="F34" s="15" t="n">
        <f aca="false">MOD(INT($A34/8),2)</f>
        <v>1</v>
      </c>
      <c r="G34" s="15" t="n">
        <f aca="false">MOD(INT($A34/4),2)</f>
        <v>0</v>
      </c>
      <c r="H34" s="15" t="n">
        <f aca="false">MOD(INT($A34/2),2)</f>
        <v>1</v>
      </c>
      <c r="I34" s="15" t="n">
        <f aca="false">MOD(INT($A34/1),2)</f>
        <v>0</v>
      </c>
      <c r="J34" s="14" t="n">
        <f aca="false">E_zero+D34*(Half_gap*(Ceiling_e-E_zero)-$F$4)</f>
        <v>71</v>
      </c>
      <c r="K34" s="14" t="n">
        <f aca="false">J34+E34*(Half_gap*(Ceiling_e-J34)-$F$4)</f>
        <v>78</v>
      </c>
      <c r="L34" s="14" t="n">
        <f aca="false">K34+F34*(Half_gap*(Ceiling_e-K34)-$F$4)</f>
        <v>81.5</v>
      </c>
      <c r="M34" s="14" t="n">
        <f aca="false">L34+G34*(Half_gap*(Ceiling_e-L34)-$F$4)</f>
        <v>81.5</v>
      </c>
      <c r="N34" s="14" t="n">
        <f aca="false">M34+H34*(Half_gap*(Ceiling_e-M34)-$F$4)</f>
        <v>83.25</v>
      </c>
      <c r="O34" s="14" t="n">
        <f aca="false">N34+I34*(Half_gap*(Ceiling_e-N34)-$F$4)</f>
        <v>83.25</v>
      </c>
      <c r="P34" s="14" t="n">
        <f aca="false">Val_pt*(J34-E_zero)</f>
        <v>0</v>
      </c>
      <c r="Q34" s="14" t="n">
        <f aca="false">Val_pt*(K34-E_zero)</f>
        <v>70</v>
      </c>
      <c r="R34" s="14" t="n">
        <f aca="false">Val_pt*(L34-E_zero)</f>
        <v>105</v>
      </c>
      <c r="S34" s="14" t="n">
        <f aca="false">Val_pt*(M34-E_zero)</f>
        <v>105</v>
      </c>
      <c r="T34" s="14" t="n">
        <f aca="false">Val_pt*(N34-E_zero)</f>
        <v>122.5</v>
      </c>
      <c r="U34" s="14" t="n">
        <f aca="false">Val_pt*(O34-E_zero)</f>
        <v>122.5</v>
      </c>
      <c r="V34" s="14" t="n">
        <f aca="false">MAX(W34+Cost_round*D34-P34,IF(D34=1,Pre_q,0))</f>
        <v>520</v>
      </c>
      <c r="W34" s="14" t="n">
        <f aca="false">MAX(X34+Cost_round*E34-Q34,IF(E34=1,Pre_q,0),Floor_q)</f>
        <v>520</v>
      </c>
      <c r="X34" s="14" t="n">
        <f aca="false">MAX(Y34+Cost_round*F34-R34,IF(F34=1,Pre_q,0),Floor_q)</f>
        <v>470</v>
      </c>
      <c r="Y34" s="14" t="n">
        <f aca="false">MAX(Z34+Cost_round*G34-S34,IF(G34=1,Pre_q,0),Floor_q)</f>
        <v>365</v>
      </c>
      <c r="Z34" s="14" t="n">
        <f aca="false">MAX(AA34+Cost_round*H34-T34,IF(H34=1,Pre_q,0),Floor_q)</f>
        <v>470</v>
      </c>
      <c r="AA34" s="14" t="n">
        <f aca="false">MAX(AB34+Cost_round*I34-U34,IF(I34=1,Pre_q,0),Floor_q)</f>
        <v>350</v>
      </c>
      <c r="AB34" s="14" t="n">
        <f aca="false">MAX(End_q,Floor_q)</f>
        <v>470</v>
      </c>
      <c r="AC34" s="15" t="n">
        <f aca="false">IF(Q_zero&gt;=V34-0.000000001,1,0)</f>
        <v>1</v>
      </c>
      <c r="AD34" s="14" t="n">
        <f aca="false">IF($AC34=1,Q_zero-Cost_round*D34+P34-W34,"")</f>
        <v>100</v>
      </c>
      <c r="AE34" s="14" t="n">
        <f aca="false">IF($AC34=1,W34-Cost_round*E34+Q34-X34,"")</f>
        <v>0</v>
      </c>
      <c r="AF34" s="14" t="n">
        <f aca="false">IF($AC34=1,X34-Cost_round*F34+R34-Y34,"")</f>
        <v>90</v>
      </c>
      <c r="AG34" s="14" t="n">
        <f aca="false">IF($AC34=1,Y34-Cost_round*G34+S34-Z34,"")</f>
        <v>0</v>
      </c>
      <c r="AH34" s="14" t="n">
        <f aca="false">IF($AC34=1,Z34-Cost_round*H34+T34-AA34,"")</f>
        <v>122.5</v>
      </c>
      <c r="AI34" s="14" t="n">
        <f aca="false">IF($AC34=1,AA34-Cost_round*I34+U34-AB34,"")</f>
        <v>2.5</v>
      </c>
      <c r="AJ34" s="14" t="n">
        <f aca="false">IF($AC34=1,SUM(AD34:AI34),"")</f>
        <v>315</v>
      </c>
      <c r="AK34" s="17" t="n">
        <f aca="false">IF($AC34=1,AD34*Beta_y^1+AE34*Beta_y^2+AF34*Beta_y^3+AG34*Beta_y^4+AH34*Beta_y^5+AI34*Beta_y^6,"")</f>
        <v>236.001469890114</v>
      </c>
      <c r="AL34" s="17" t="n">
        <f aca="false">IF($AC34=1,AK34+Beta_y^6*U34/Hurdle_r,"")</f>
        <v>927.482034205991</v>
      </c>
      <c r="AM34" s="17" t="n">
        <f aca="false">IF($AC34=1,AK34,"")</f>
        <v>236.001469890114</v>
      </c>
      <c r="AN34" s="17" t="n">
        <f aca="false">IF($AC34=1,AK34+Beta_y^6*U34*(1-(1+Hurdle_r)^(-Life_yrs))/Hurdle_r,"")</f>
        <v>824.697854417897</v>
      </c>
      <c r="AO34" s="17" t="n">
        <f aca="false">IF($AC34=1,AJ34+Credit_yrs*U34,"")</f>
        <v>1540</v>
      </c>
      <c r="AP34" s="17" t="n">
        <f aca="false">IF($AC34=1,$AD34/(1+AP$6)^1+$AE34/(1+AP$6)^2+$AF34/(1+AP$6)^3+$AG34/(1+AP$6)^4+$AH34/(1+AP$6)^5+$AI34/(1+AP$6)^6+$U34/AP$6/(1+AP$6)^6,"")</f>
        <v>3706.94079616959</v>
      </c>
      <c r="AQ34" s="17" t="n">
        <f aca="false">IF($AC34=1,$AD34/(1+AQ$6)^1+$AE34/(1+AQ$6)^2+$AF34/(1+AQ$6)^3+$AG34/(1+AQ$6)^4+$AH34/(1+AQ$6)^5+$AI34/(1+AQ$6)^6+$U34/AQ$6/(1+AQ$6)^6,"")</f>
        <v>2099.05869474964</v>
      </c>
      <c r="AR34" s="17" t="n">
        <f aca="false">IF($AC34=1,$AD34/(1+AR$6)^1+$AE34/(1+AR$6)^2+$AF34/(1+AR$6)^3+$AG34/(1+AR$6)^4+$AH34/(1+AR$6)^5+$AI34/(1+AR$6)^6+$U34/AR$6/(1+AR$6)^6,"")</f>
        <v>1213.931601153</v>
      </c>
      <c r="AS34" s="17" t="n">
        <f aca="false">IF($AC34=1,$AD34/(1+AS$6)^1+$AE34/(1+AS$6)^2+$AF34/(1+AS$6)^3+$AG34/(1+AS$6)^4+$AH34/(1+AS$6)^5+$AI34/(1+AS$6)^6+$U34/AS$6/(1+AS$6)^6,"")</f>
        <v>927.482034205991</v>
      </c>
      <c r="AT34" s="17" t="n">
        <f aca="false">IF($AC34=1,$AD34/(1+AT$6)^1+$AE34/(1+AT$6)^2+$AF34/(1+AT$6)^3+$AG34/(1+AT$6)^4+$AH34/(1+AT$6)^5+$AI34/(1+AT$6)^6+$U34/AT$6/(1+AT$6)^6,"")</f>
        <v>741.308240419241</v>
      </c>
      <c r="AU34" s="17" t="n">
        <f aca="false">IF($AC34=1,$AD34/(1+AU$6)^1+$AE34/(1+AU$6)^2+$AF34/(1+AU$6)^3+$AG34/(1+AU$6)^4+$AH34/(1+AU$6)^5+$AI34/(1+AU$6)^6+$U34/AU$6/(1+AU$6)^6,"")</f>
        <v>561.185488382933</v>
      </c>
      <c r="AV34" s="17" t="n">
        <f aca="false">IF($AC34=1,$AD34/(1+AV$6)^1+$AE34/(1+AV$6)^2+$AF34/(1+AV$6)^3+$AG34/(1+AV$6)^4+$AH34/(1+AV$6)^5+$AI34/(1+AV$6)^6+$U34/AV$6/(1+AV$6)^6,"")</f>
        <v>390.608924897119</v>
      </c>
      <c r="AW34" s="17" t="n">
        <f aca="false">IF($AC34=1,$AD34/(1+AW$6)^1+$AE34/(1+AW$6)^2+$AF34/(1+AW$6)^3+$AG34/(1+AW$6)^4+$AH34/(1+AW$6)^5+$AI34/(1+AW$6)^6+$U34/AW$6/(1+AW$6)^6,"")</f>
        <v>235.995734103697</v>
      </c>
      <c r="AX34" s="17" t="n">
        <f aca="false">IF($AC34=1,$AD34/(1+AX$6)^1+$AE34/(1+AX$6)^2+$AF34/(1+AX$6)^3+$AG34/(1+AX$6)^4+$AH34/(1+AX$6)^5+$AI34/(1+AX$6)^6+$U34/AX$6/(1+AX$6)^6,"")</f>
        <v>6327.33049722261</v>
      </c>
      <c r="AY34" s="17" t="n">
        <f aca="false">IF($AC34=1,$AD34/(1+AY$6)^1+$AE34/(1+AY$6)^2+$AF34/(1+AY$6)^3+$AG34/(1+AY$6)^4+$AH34/(1+AY$6)^5+$AI34/(1+AY$6)^6+$U34/AY$6/(1+AY$6)^6,"")</f>
        <v>2992.11742736096</v>
      </c>
      <c r="AZ34" s="17" t="n">
        <f aca="false">IF($AC34=1,$AD34/(1+AZ$6)^1+$AE34/(1+AZ$6)^2+$AF34/(1+AZ$6)^3+$AG34/(1+AZ$6)^4+$AH34/(1+AZ$6)^5+$AI34/(1+AZ$6)^6+$U34/AZ$6/(1+AZ$6)^6,"")</f>
        <v>1355.19163565619</v>
      </c>
      <c r="BA34" s="17" t="n">
        <f aca="false">IF($AC34=1,$AD34/(1+BA$6)^1+$AE34/(1+BA$6)^2+$AF34/(1+BA$6)^3+$AG34/(1+BA$6)^4+$AH34/(1+BA$6)^5+$AI34/(1+BA$6)^6+$U34/BA$6/(1+BA$6)^6,"")</f>
        <v>583.056303583149</v>
      </c>
      <c r="BB34" s="17" t="n">
        <f aca="false">IF($AC34=1,$AD34/(1+BB$6)^1+$AE34/(1+BB$6)^2+$AF34/(1+BB$6)^3+$AG34/(1+BB$6)^4+$AH34/(1+BB$6)^5+$AI34/(1+BB$6)^6+$U34/BB$6/(1+BB$6)^6,"")</f>
        <v>237.233809672398</v>
      </c>
    </row>
    <row r="35" customFormat="false" ht="15" hidden="false" customHeight="false" outlineLevel="0" collapsed="false">
      <c r="A35" s="2" t="n">
        <v>27</v>
      </c>
      <c r="B35" s="2" t="str">
        <f aca="false">D35&amp;E35&amp;F35&amp;G35&amp;H35&amp;I35</f>
        <v>011011</v>
      </c>
      <c r="C35" s="15" t="n">
        <f aca="false">SUM(D35:I35)</f>
        <v>4</v>
      </c>
      <c r="D35" s="15" t="n">
        <f aca="false">MOD(INT($A35/32),2)</f>
        <v>0</v>
      </c>
      <c r="E35" s="15" t="n">
        <f aca="false">MOD(INT($A35/16),2)</f>
        <v>1</v>
      </c>
      <c r="F35" s="15" t="n">
        <f aca="false">MOD(INT($A35/8),2)</f>
        <v>1</v>
      </c>
      <c r="G35" s="15" t="n">
        <f aca="false">MOD(INT($A35/4),2)</f>
        <v>0</v>
      </c>
      <c r="H35" s="15" t="n">
        <f aca="false">MOD(INT($A35/2),2)</f>
        <v>1</v>
      </c>
      <c r="I35" s="15" t="n">
        <f aca="false">MOD(INT($A35/1),2)</f>
        <v>1</v>
      </c>
      <c r="J35" s="14" t="n">
        <f aca="false">E_zero+D35*(Half_gap*(Ceiling_e-E_zero)-$F$4)</f>
        <v>71</v>
      </c>
      <c r="K35" s="14" t="n">
        <f aca="false">J35+E35*(Half_gap*(Ceiling_e-J35)-$F$4)</f>
        <v>78</v>
      </c>
      <c r="L35" s="14" t="n">
        <f aca="false">K35+F35*(Half_gap*(Ceiling_e-K35)-$F$4)</f>
        <v>81.5</v>
      </c>
      <c r="M35" s="14" t="n">
        <f aca="false">L35+G35*(Half_gap*(Ceiling_e-L35)-$F$4)</f>
        <v>81.5</v>
      </c>
      <c r="N35" s="14" t="n">
        <f aca="false">M35+H35*(Half_gap*(Ceiling_e-M35)-$F$4)</f>
        <v>83.25</v>
      </c>
      <c r="O35" s="14" t="n">
        <f aca="false">N35+I35*(Half_gap*(Ceiling_e-N35)-$F$4)</f>
        <v>84.125</v>
      </c>
      <c r="P35" s="14" t="n">
        <f aca="false">Val_pt*(J35-E_zero)</f>
        <v>0</v>
      </c>
      <c r="Q35" s="14" t="n">
        <f aca="false">Val_pt*(K35-E_zero)</f>
        <v>70</v>
      </c>
      <c r="R35" s="14" t="n">
        <f aca="false">Val_pt*(L35-E_zero)</f>
        <v>105</v>
      </c>
      <c r="S35" s="14" t="n">
        <f aca="false">Val_pt*(M35-E_zero)</f>
        <v>105</v>
      </c>
      <c r="T35" s="14" t="n">
        <f aca="false">Val_pt*(N35-E_zero)</f>
        <v>122.5</v>
      </c>
      <c r="U35" s="14" t="n">
        <f aca="false">Val_pt*(O35-E_zero)</f>
        <v>131.25</v>
      </c>
      <c r="V35" s="14" t="n">
        <f aca="false">MAX(W35+Cost_round*D35-P35,IF(D35=1,Pre_q,0))</f>
        <v>520</v>
      </c>
      <c r="W35" s="14" t="n">
        <f aca="false">MAX(X35+Cost_round*E35-Q35,IF(E35=1,Pre_q,0),Floor_q)</f>
        <v>520</v>
      </c>
      <c r="X35" s="14" t="n">
        <f aca="false">MAX(Y35+Cost_round*F35-R35,IF(F35=1,Pre_q,0),Floor_q)</f>
        <v>470</v>
      </c>
      <c r="Y35" s="14" t="n">
        <f aca="false">MAX(Z35+Cost_round*G35-S35,IF(G35=1,Pre_q,0),Floor_q)</f>
        <v>365</v>
      </c>
      <c r="Z35" s="14" t="n">
        <f aca="false">MAX(AA35+Cost_round*H35-T35,IF(H35=1,Pre_q,0),Floor_q)</f>
        <v>470</v>
      </c>
      <c r="AA35" s="14" t="n">
        <f aca="false">MAX(AB35+Cost_round*I35-U35,IF(I35=1,Pre_q,0),Floor_q)</f>
        <v>470</v>
      </c>
      <c r="AB35" s="14" t="n">
        <f aca="false">MAX(End_q,Floor_q)</f>
        <v>470</v>
      </c>
      <c r="AC35" s="15" t="n">
        <f aca="false">IF(Q_zero&gt;=V35-0.000000001,1,0)</f>
        <v>1</v>
      </c>
      <c r="AD35" s="14" t="n">
        <f aca="false">IF($AC35=1,Q_zero-Cost_round*D35+P35-W35,"")</f>
        <v>100</v>
      </c>
      <c r="AE35" s="14" t="n">
        <f aca="false">IF($AC35=1,W35-Cost_round*E35+Q35-X35,"")</f>
        <v>0</v>
      </c>
      <c r="AF35" s="14" t="n">
        <f aca="false">IF($AC35=1,X35-Cost_round*F35+R35-Y35,"")</f>
        <v>90</v>
      </c>
      <c r="AG35" s="14" t="n">
        <f aca="false">IF($AC35=1,Y35-Cost_round*G35+S35-Z35,"")</f>
        <v>0</v>
      </c>
      <c r="AH35" s="14" t="n">
        <f aca="false">IF($AC35=1,Z35-Cost_round*H35+T35-AA35,"")</f>
        <v>2.5</v>
      </c>
      <c r="AI35" s="14" t="n">
        <f aca="false">IF($AC35=1,AA35-Cost_round*I35+U35-AB35,"")</f>
        <v>11.25</v>
      </c>
      <c r="AJ35" s="14" t="n">
        <f aca="false">IF($AC35=1,SUM(AD35:AI35),"")</f>
        <v>203.75</v>
      </c>
      <c r="AK35" s="17" t="n">
        <f aca="false">IF($AC35=1,AD35*Beta_y^1+AE35*Beta_y^2+AF35*Beta_y^3+AG35*Beta_y^4+AH35*Beta_y^5+AI35*Beta_y^6,"")</f>
        <v>166.430058010986</v>
      </c>
      <c r="AL35" s="17" t="n">
        <f aca="false">IF($AC35=1,AK35+Beta_y^6*U35/Hurdle_r,"")</f>
        <v>907.302091206568</v>
      </c>
      <c r="AM35" s="17" t="n">
        <f aca="false">IF($AC35=1,AK35,"")</f>
        <v>166.430058010986</v>
      </c>
      <c r="AN35" s="17" t="n">
        <f aca="false">IF($AC35=1,AK35+Beta_y^6*U35*(1-(1+Hurdle_r)^(-Life_yrs))/Hurdle_r,"")</f>
        <v>797.176184290753</v>
      </c>
      <c r="AO35" s="17" t="n">
        <f aca="false">IF($AC35=1,AJ35+Credit_yrs*U35,"")</f>
        <v>1516.25</v>
      </c>
      <c r="AP35" s="17" t="n">
        <f aca="false">IF($AC35=1,$AD35/(1+AP$6)^1+$AE35/(1+AP$6)^2+$AF35/(1+AP$6)^3+$AG35/(1+AP$6)^4+$AH35/(1+AP$6)^5+$AI35/(1+AP$6)^6+$U35/AP$6/(1+AP$6)^6,"")</f>
        <v>3855.0219708222</v>
      </c>
      <c r="AQ35" s="17" t="n">
        <f aca="false">IF($AC35=1,$AD35/(1+AQ$6)^1+$AE35/(1+AQ$6)^2+$AF35/(1+AQ$6)^3+$AG35/(1+AQ$6)^4+$AH35/(1+AQ$6)^5+$AI35/(1+AQ$6)^6+$U35/AQ$6/(1+AQ$6)^6,"")</f>
        <v>2142.15263390541</v>
      </c>
      <c r="AR35" s="17" t="n">
        <f aca="false">IF($AC35=1,$AD35/(1+AR$6)^1+$AE35/(1+AR$6)^2+$AF35/(1+AR$6)^3+$AG35/(1+AR$6)^4+$AH35/(1+AR$6)^5+$AI35/(1+AR$6)^6+$U35/AR$6/(1+AR$6)^6,"")</f>
        <v>1206.70040468452</v>
      </c>
      <c r="AS35" s="17" t="n">
        <f aca="false">IF($AC35=1,$AD35/(1+AS$6)^1+$AE35/(1+AS$6)^2+$AF35/(1+AS$6)^3+$AG35/(1+AS$6)^4+$AH35/(1+AS$6)^5+$AI35/(1+AS$6)^6+$U35/AS$6/(1+AS$6)^6,"")</f>
        <v>907.302091206568</v>
      </c>
      <c r="AT35" s="17" t="n">
        <f aca="false">IF($AC35=1,$AD35/(1+AT$6)^1+$AE35/(1+AT$6)^2+$AF35/(1+AT$6)^3+$AG35/(1+AT$6)^4+$AH35/(1+AT$6)^5+$AI35/(1+AT$6)^6+$U35/AT$6/(1+AT$6)^6,"")</f>
        <v>714.591892629157</v>
      </c>
      <c r="AU35" s="17" t="n">
        <f aca="false">IF($AC35=1,$AD35/(1+AU$6)^1+$AE35/(1+AU$6)^2+$AF35/(1+AU$6)^3+$AG35/(1+AU$6)^4+$AH35/(1+AU$6)^5+$AI35/(1+AU$6)^6+$U35/AU$6/(1+AU$6)^6,"")</f>
        <v>530.526256372872</v>
      </c>
      <c r="AV35" s="17" t="n">
        <f aca="false">IF($AC35=1,$AD35/(1+AV$6)^1+$AE35/(1+AV$6)^2+$AF35/(1+AV$6)^3+$AG35/(1+AV$6)^4+$AH35/(1+AV$6)^5+$AI35/(1+AV$6)^6+$U35/AV$6/(1+AV$6)^6,"")</f>
        <v>359.965760030864</v>
      </c>
      <c r="AW35" s="17" t="n">
        <f aca="false">IF($AC35=1,$AD35/(1+AW$6)^1+$AE35/(1+AW$6)^2+$AF35/(1+AW$6)^3+$AG35/(1+AW$6)^4+$AH35/(1+AW$6)^5+$AI35/(1+AW$6)^6+$U35/AW$6/(1+AW$6)^6,"")</f>
        <v>211.53167651755</v>
      </c>
      <c r="AX35" s="17" t="n">
        <f aca="false">IF($AC35=1,$AD35/(1+AX$6)^1+$AE35/(1+AX$6)^2+$AF35/(1+AX$6)^3+$AG35/(1+AX$6)^4+$AH35/(1+AX$6)^5+$AI35/(1+AX$6)^6+$U35/AX$6/(1+AX$6)^6,"")</f>
        <v>6656.23879918436</v>
      </c>
      <c r="AY35" s="17" t="n">
        <f aca="false">IF($AC35=1,$AD35/(1+AY$6)^1+$AE35/(1+AY$6)^2+$AF35/(1+AY$6)^3+$AG35/(1+AY$6)^4+$AH35/(1+AY$6)^5+$AI35/(1+AY$6)^6+$U35/AY$6/(1+AY$6)^6,"")</f>
        <v>3092.44539332948</v>
      </c>
      <c r="AZ35" s="17" t="n">
        <f aca="false">IF($AC35=1,$AD35/(1+AZ$6)^1+$AE35/(1+AZ$6)^2+$AF35/(1+AZ$6)^3+$AG35/(1+AZ$6)^4+$AH35/(1+AZ$6)^5+$AI35/(1+AZ$6)^6+$U35/AZ$6/(1+AZ$6)^6,"")</f>
        <v>1355.19163565706</v>
      </c>
      <c r="BA35" s="17" t="n">
        <f aca="false">IF($AC35=1,$AD35/(1+BA$6)^1+$AE35/(1+BA$6)^2+$AF35/(1+BA$6)^3+$AG35/(1+BA$6)^4+$AH35/(1+BA$6)^5+$AI35/(1+BA$6)^6+$U35/BA$6/(1+BA$6)^6,"")</f>
        <v>552.705050044937</v>
      </c>
      <c r="BB35" s="17" t="n">
        <f aca="false">IF($AC35=1,$AD35/(1+BB$6)^1+$AE35/(1+BB$6)^2+$AF35/(1+BB$6)^3+$AG35/(1+BB$6)^4+$AH35/(1+BB$6)^5+$AI35/(1+BB$6)^6+$U35/BB$6/(1+BB$6)^6,"")</f>
        <v>212.682156652146</v>
      </c>
    </row>
    <row r="36" customFormat="false" ht="15" hidden="false" customHeight="false" outlineLevel="0" collapsed="false">
      <c r="A36" s="2" t="n">
        <v>28</v>
      </c>
      <c r="B36" s="2" t="str">
        <f aca="false">D36&amp;E36&amp;F36&amp;G36&amp;H36&amp;I36</f>
        <v>011100</v>
      </c>
      <c r="C36" s="15" t="n">
        <f aca="false">SUM(D36:I36)</f>
        <v>3</v>
      </c>
      <c r="D36" s="15" t="n">
        <f aca="false">MOD(INT($A36/32),2)</f>
        <v>0</v>
      </c>
      <c r="E36" s="15" t="n">
        <f aca="false">MOD(INT($A36/16),2)</f>
        <v>1</v>
      </c>
      <c r="F36" s="15" t="n">
        <f aca="false">MOD(INT($A36/8),2)</f>
        <v>1</v>
      </c>
      <c r="G36" s="15" t="n">
        <f aca="false">MOD(INT($A36/4),2)</f>
        <v>1</v>
      </c>
      <c r="H36" s="15" t="n">
        <f aca="false">MOD(INT($A36/2),2)</f>
        <v>0</v>
      </c>
      <c r="I36" s="15" t="n">
        <f aca="false">MOD(INT($A36/1),2)</f>
        <v>0</v>
      </c>
      <c r="J36" s="14" t="n">
        <f aca="false">E_zero+D36*(Half_gap*(Ceiling_e-E_zero)-$F$4)</f>
        <v>71</v>
      </c>
      <c r="K36" s="14" t="n">
        <f aca="false">J36+E36*(Half_gap*(Ceiling_e-J36)-$F$4)</f>
        <v>78</v>
      </c>
      <c r="L36" s="14" t="n">
        <f aca="false">K36+F36*(Half_gap*(Ceiling_e-K36)-$F$4)</f>
        <v>81.5</v>
      </c>
      <c r="M36" s="14" t="n">
        <f aca="false">L36+G36*(Half_gap*(Ceiling_e-L36)-$F$4)</f>
        <v>83.25</v>
      </c>
      <c r="N36" s="14" t="n">
        <f aca="false">M36+H36*(Half_gap*(Ceiling_e-M36)-$F$4)</f>
        <v>83.25</v>
      </c>
      <c r="O36" s="14" t="n">
        <f aca="false">N36+I36*(Half_gap*(Ceiling_e-N36)-$F$4)</f>
        <v>83.25</v>
      </c>
      <c r="P36" s="14" t="n">
        <f aca="false">Val_pt*(J36-E_zero)</f>
        <v>0</v>
      </c>
      <c r="Q36" s="14" t="n">
        <f aca="false">Val_pt*(K36-E_zero)</f>
        <v>70</v>
      </c>
      <c r="R36" s="14" t="n">
        <f aca="false">Val_pt*(L36-E_zero)</f>
        <v>105</v>
      </c>
      <c r="S36" s="14" t="n">
        <f aca="false">Val_pt*(M36-E_zero)</f>
        <v>122.5</v>
      </c>
      <c r="T36" s="14" t="n">
        <f aca="false">Val_pt*(N36-E_zero)</f>
        <v>122.5</v>
      </c>
      <c r="U36" s="14" t="n">
        <f aca="false">Val_pt*(O36-E_zero)</f>
        <v>122.5</v>
      </c>
      <c r="V36" s="14" t="n">
        <f aca="false">MAX(W36+Cost_round*D36-P36,IF(D36=1,Pre_q,0))</f>
        <v>535</v>
      </c>
      <c r="W36" s="14" t="n">
        <f aca="false">MAX(X36+Cost_round*E36-Q36,IF(E36=1,Pre_q,0),Floor_q)</f>
        <v>535</v>
      </c>
      <c r="X36" s="14" t="n">
        <f aca="false">MAX(Y36+Cost_round*F36-R36,IF(F36=1,Pre_q,0),Floor_q)</f>
        <v>485</v>
      </c>
      <c r="Y36" s="14" t="n">
        <f aca="false">MAX(Z36+Cost_round*G36-S36,IF(G36=1,Pre_q,0),Floor_q)</f>
        <v>470</v>
      </c>
      <c r="Z36" s="14" t="n">
        <f aca="false">MAX(AA36+Cost_round*H36-T36,IF(H36=1,Pre_q,0),Floor_q)</f>
        <v>350</v>
      </c>
      <c r="AA36" s="14" t="n">
        <f aca="false">MAX(AB36+Cost_round*I36-U36,IF(I36=1,Pre_q,0),Floor_q)</f>
        <v>350</v>
      </c>
      <c r="AB36" s="14" t="n">
        <f aca="false">MAX(End_q,Floor_q)</f>
        <v>470</v>
      </c>
      <c r="AC36" s="15" t="n">
        <f aca="false">IF(Q_zero&gt;=V36-0.000000001,1,0)</f>
        <v>1</v>
      </c>
      <c r="AD36" s="14" t="n">
        <f aca="false">IF($AC36=1,Q_zero-Cost_round*D36+P36-W36,"")</f>
        <v>85</v>
      </c>
      <c r="AE36" s="14" t="n">
        <f aca="false">IF($AC36=1,W36-Cost_round*E36+Q36-X36,"")</f>
        <v>0</v>
      </c>
      <c r="AF36" s="14" t="n">
        <f aca="false">IF($AC36=1,X36-Cost_round*F36+R36-Y36,"")</f>
        <v>0</v>
      </c>
      <c r="AG36" s="14" t="n">
        <f aca="false">IF($AC36=1,Y36-Cost_round*G36+S36-Z36,"")</f>
        <v>122.5</v>
      </c>
      <c r="AH36" s="14" t="n">
        <f aca="false">IF($AC36=1,Z36-Cost_round*H36+T36-AA36,"")</f>
        <v>122.5</v>
      </c>
      <c r="AI36" s="14" t="n">
        <f aca="false">IF($AC36=1,AA36-Cost_round*I36+U36-AB36,"")</f>
        <v>2.5</v>
      </c>
      <c r="AJ36" s="14" t="n">
        <f aca="false">IF($AC36=1,SUM(AD36:AI36),"")</f>
        <v>332.5</v>
      </c>
      <c r="AK36" s="17" t="n">
        <f aca="false">IF($AC36=1,AD36*Beta_y^1+AE36*Beta_y^2+AF36*Beta_y^3+AG36*Beta_y^4+AH36*Beta_y^5+AI36*Beta_y^6,"")</f>
        <v>238.415922454829</v>
      </c>
      <c r="AL36" s="17" t="n">
        <f aca="false">IF($AC36=1,AK36+Beta_y^6*U36/Hurdle_r,"")</f>
        <v>929.896486770707</v>
      </c>
      <c r="AM36" s="17" t="n">
        <f aca="false">IF($AC36=1,AK36,"")</f>
        <v>238.415922454829</v>
      </c>
      <c r="AN36" s="17" t="n">
        <f aca="false">IF($AC36=1,AK36+Beta_y^6*U36*(1-(1+Hurdle_r)^(-Life_yrs))/Hurdle_r,"")</f>
        <v>827.112306982613</v>
      </c>
      <c r="AO36" s="17" t="n">
        <f aca="false">IF($AC36=1,AJ36+Credit_yrs*U36,"")</f>
        <v>1557.5</v>
      </c>
      <c r="AP36" s="17" t="n">
        <f aca="false">IF($AC36=1,$AD36/(1+AP$6)^1+$AE36/(1+AP$6)^2+$AF36/(1+AP$6)^3+$AG36/(1+AP$6)^4+$AH36/(1+AP$6)^5+$AI36/(1+AP$6)^6+$U36/AP$6/(1+AP$6)^6,"")</f>
        <v>3718.85460340136</v>
      </c>
      <c r="AQ36" s="17" t="n">
        <f aca="false">IF($AC36=1,$AD36/(1+AQ$6)^1+$AE36/(1+AQ$6)^2+$AF36/(1+AQ$6)^3+$AG36/(1+AQ$6)^4+$AH36/(1+AQ$6)^5+$AI36/(1+AQ$6)^6+$U36/AQ$6/(1+AQ$6)^6,"")</f>
        <v>2107.8086497581</v>
      </c>
      <c r="AR36" s="17" t="n">
        <f aca="false">IF($AC36=1,$AD36/(1+AR$6)^1+$AE36/(1+AR$6)^2+$AF36/(1+AR$6)^3+$AG36/(1+AR$6)^4+$AH36/(1+AR$6)^5+$AI36/(1+AR$6)^6+$U36/AR$6/(1+AR$6)^6,"")</f>
        <v>1218.63896753987</v>
      </c>
      <c r="AS36" s="17" t="n">
        <f aca="false">IF($AC36=1,$AD36/(1+AS$6)^1+$AE36/(1+AS$6)^2+$AF36/(1+AS$6)^3+$AG36/(1+AS$6)^4+$AH36/(1+AS$6)^5+$AI36/(1+AS$6)^6+$U36/AS$6/(1+AS$6)^6,"")</f>
        <v>929.896486770706</v>
      </c>
      <c r="AT36" s="17" t="n">
        <f aca="false">IF($AC36=1,$AD36/(1+AT$6)^1+$AE36/(1+AT$6)^2+$AF36/(1+AT$6)^3+$AG36/(1+AT$6)^4+$AH36/(1+AT$6)^5+$AI36/(1+AT$6)^6+$U36/AT$6/(1+AT$6)^6,"")</f>
        <v>741.706125577769</v>
      </c>
      <c r="AU36" s="17" t="n">
        <f aca="false">IF($AC36=1,$AD36/(1+AU$6)^1+$AE36/(1+AU$6)^2+$AF36/(1+AU$6)^3+$AG36/(1+AU$6)^4+$AH36/(1+AU$6)^5+$AI36/(1+AU$6)^6+$U36/AU$6/(1+AU$6)^6,"")</f>
        <v>559.005321788331</v>
      </c>
      <c r="AV36" s="17" t="n">
        <f aca="false">IF($AC36=1,$AD36/(1+AV$6)^1+$AE36/(1+AV$6)^2+$AF36/(1+AV$6)^3+$AG36/(1+AV$6)^4+$AH36/(1+AV$6)^5+$AI36/(1+AV$6)^6+$U36/AV$6/(1+AV$6)^6,"")</f>
        <v>385.101594650206</v>
      </c>
      <c r="AW36" s="17" t="n">
        <f aca="false">IF($AC36=1,$AD36/(1+AW$6)^1+$AE36/(1+AW$6)^2+$AF36/(1+AW$6)^3+$AG36/(1+AW$6)^4+$AH36/(1+AW$6)^5+$AI36/(1+AW$6)^6+$U36/AW$6/(1+AW$6)^6,"")</f>
        <v>226.382975446788</v>
      </c>
      <c r="AX36" s="17" t="n">
        <f aca="false">IF($AC36=1,$AD36/(1+AX$6)^1+$AE36/(1+AX$6)^2+$AF36/(1+AX$6)^3+$AG36/(1+AX$6)^4+$AH36/(1+AX$6)^5+$AI36/(1+AX$6)^6+$U36/AX$6/(1+AX$6)^6,"")</f>
        <v>6341.30717534959</v>
      </c>
      <c r="AY36" s="17" t="n">
        <f aca="false">IF($AC36=1,$AD36/(1+AY$6)^1+$AE36/(1+AY$6)^2+$AF36/(1+AY$6)^3+$AG36/(1+AY$6)^4+$AH36/(1+AY$6)^5+$AI36/(1+AY$6)^6+$U36/AY$6/(1+AY$6)^6,"")</f>
        <v>3002.96451404853</v>
      </c>
      <c r="AZ36" s="17" t="n">
        <f aca="false">IF($AC36=1,$AD36/(1+AZ$6)^1+$AE36/(1+AZ$6)^2+$AF36/(1+AZ$6)^3+$AG36/(1+AZ$6)^4+$AH36/(1+AZ$6)^5+$AI36/(1+AZ$6)^6+$U36/AZ$6/(1+AZ$6)^6,"")</f>
        <v>1360.78435740495</v>
      </c>
      <c r="BA36" s="17" t="n">
        <f aca="false">IF($AC36=1,$AD36/(1+BA$6)^1+$AE36/(1+BA$6)^2+$AF36/(1+BA$6)^3+$AG36/(1+BA$6)^4+$AH36/(1+BA$6)^5+$AI36/(1+BA$6)^6+$U36/BA$6/(1+BA$6)^6,"")</f>
        <v>581.232050528525</v>
      </c>
      <c r="BB36" s="17" t="n">
        <f aca="false">IF($AC36=1,$AD36/(1+BB$6)^1+$AE36/(1+BB$6)^2+$AF36/(1+BB$6)^3+$AG36/(1+BB$6)^4+$AH36/(1+BB$6)^5+$AI36/(1+BB$6)^6+$U36/BB$6/(1+BB$6)^6,"")</f>
        <v>227.658041588042</v>
      </c>
    </row>
    <row r="37" customFormat="false" ht="15" hidden="false" customHeight="false" outlineLevel="0" collapsed="false">
      <c r="A37" s="2" t="n">
        <v>29</v>
      </c>
      <c r="B37" s="2" t="str">
        <f aca="false">D37&amp;E37&amp;F37&amp;G37&amp;H37&amp;I37</f>
        <v>011101</v>
      </c>
      <c r="C37" s="15" t="n">
        <f aca="false">SUM(D37:I37)</f>
        <v>4</v>
      </c>
      <c r="D37" s="15" t="n">
        <f aca="false">MOD(INT($A37/32),2)</f>
        <v>0</v>
      </c>
      <c r="E37" s="15" t="n">
        <f aca="false">MOD(INT($A37/16),2)</f>
        <v>1</v>
      </c>
      <c r="F37" s="15" t="n">
        <f aca="false">MOD(INT($A37/8),2)</f>
        <v>1</v>
      </c>
      <c r="G37" s="15" t="n">
        <f aca="false">MOD(INT($A37/4),2)</f>
        <v>1</v>
      </c>
      <c r="H37" s="15" t="n">
        <f aca="false">MOD(INT($A37/2),2)</f>
        <v>0</v>
      </c>
      <c r="I37" s="15" t="n">
        <f aca="false">MOD(INT($A37/1),2)</f>
        <v>1</v>
      </c>
      <c r="J37" s="14" t="n">
        <f aca="false">E_zero+D37*(Half_gap*(Ceiling_e-E_zero)-$F$4)</f>
        <v>71</v>
      </c>
      <c r="K37" s="14" t="n">
        <f aca="false">J37+E37*(Half_gap*(Ceiling_e-J37)-$F$4)</f>
        <v>78</v>
      </c>
      <c r="L37" s="14" t="n">
        <f aca="false">K37+F37*(Half_gap*(Ceiling_e-K37)-$F$4)</f>
        <v>81.5</v>
      </c>
      <c r="M37" s="14" t="n">
        <f aca="false">L37+G37*(Half_gap*(Ceiling_e-L37)-$F$4)</f>
        <v>83.25</v>
      </c>
      <c r="N37" s="14" t="n">
        <f aca="false">M37+H37*(Half_gap*(Ceiling_e-M37)-$F$4)</f>
        <v>83.25</v>
      </c>
      <c r="O37" s="14" t="n">
        <f aca="false">N37+I37*(Half_gap*(Ceiling_e-N37)-$F$4)</f>
        <v>84.125</v>
      </c>
      <c r="P37" s="14" t="n">
        <f aca="false">Val_pt*(J37-E_zero)</f>
        <v>0</v>
      </c>
      <c r="Q37" s="14" t="n">
        <f aca="false">Val_pt*(K37-E_zero)</f>
        <v>70</v>
      </c>
      <c r="R37" s="14" t="n">
        <f aca="false">Val_pt*(L37-E_zero)</f>
        <v>105</v>
      </c>
      <c r="S37" s="14" t="n">
        <f aca="false">Val_pt*(M37-E_zero)</f>
        <v>122.5</v>
      </c>
      <c r="T37" s="14" t="n">
        <f aca="false">Val_pt*(N37-E_zero)</f>
        <v>122.5</v>
      </c>
      <c r="U37" s="14" t="n">
        <f aca="false">Val_pt*(O37-E_zero)</f>
        <v>131.25</v>
      </c>
      <c r="V37" s="14" t="n">
        <f aca="false">MAX(W37+Cost_round*D37-P37,IF(D37=1,Pre_q,0))</f>
        <v>535</v>
      </c>
      <c r="W37" s="14" t="n">
        <f aca="false">MAX(X37+Cost_round*E37-Q37,IF(E37=1,Pre_q,0),Floor_q)</f>
        <v>535</v>
      </c>
      <c r="X37" s="14" t="n">
        <f aca="false">MAX(Y37+Cost_round*F37-R37,IF(F37=1,Pre_q,0),Floor_q)</f>
        <v>485</v>
      </c>
      <c r="Y37" s="14" t="n">
        <f aca="false">MAX(Z37+Cost_round*G37-S37,IF(G37=1,Pre_q,0),Floor_q)</f>
        <v>470</v>
      </c>
      <c r="Z37" s="14" t="n">
        <f aca="false">MAX(AA37+Cost_round*H37-T37,IF(H37=1,Pre_q,0),Floor_q)</f>
        <v>350</v>
      </c>
      <c r="AA37" s="14" t="n">
        <f aca="false">MAX(AB37+Cost_round*I37-U37,IF(I37=1,Pre_q,0),Floor_q)</f>
        <v>470</v>
      </c>
      <c r="AB37" s="14" t="n">
        <f aca="false">MAX(End_q,Floor_q)</f>
        <v>470</v>
      </c>
      <c r="AC37" s="15" t="n">
        <f aca="false">IF(Q_zero&gt;=V37-0.000000001,1,0)</f>
        <v>1</v>
      </c>
      <c r="AD37" s="14" t="n">
        <f aca="false">IF($AC37=1,Q_zero-Cost_round*D37+P37-W37,"")</f>
        <v>85</v>
      </c>
      <c r="AE37" s="14" t="n">
        <f aca="false">IF($AC37=1,W37-Cost_round*E37+Q37-X37,"")</f>
        <v>0</v>
      </c>
      <c r="AF37" s="14" t="n">
        <f aca="false">IF($AC37=1,X37-Cost_round*F37+R37-Y37,"")</f>
        <v>0</v>
      </c>
      <c r="AG37" s="14" t="n">
        <f aca="false">IF($AC37=1,Y37-Cost_round*G37+S37-Z37,"")</f>
        <v>122.5</v>
      </c>
      <c r="AH37" s="14" t="n">
        <f aca="false">IF($AC37=1,Z37-Cost_round*H37+T37-AA37,"")</f>
        <v>2.5</v>
      </c>
      <c r="AI37" s="14" t="n">
        <f aca="false">IF($AC37=1,AA37-Cost_round*I37+U37-AB37,"")</f>
        <v>11.25</v>
      </c>
      <c r="AJ37" s="14" t="n">
        <f aca="false">IF($AC37=1,SUM(AD37:AI37),"")</f>
        <v>221.25</v>
      </c>
      <c r="AK37" s="17" t="n">
        <f aca="false">IF($AC37=1,AD37*Beta_y^1+AE37*Beta_y^2+AF37*Beta_y^3+AG37*Beta_y^4+AH37*Beta_y^5+AI37*Beta_y^6,"")</f>
        <v>168.844510575701</v>
      </c>
      <c r="AL37" s="17" t="n">
        <f aca="false">IF($AC37=1,AK37+Beta_y^6*U37/Hurdle_r,"")</f>
        <v>909.716543771284</v>
      </c>
      <c r="AM37" s="17" t="n">
        <f aca="false">IF($AC37=1,AK37,"")</f>
        <v>168.844510575701</v>
      </c>
      <c r="AN37" s="17" t="n">
        <f aca="false">IF($AC37=1,AK37+Beta_y^6*U37*(1-(1+Hurdle_r)^(-Life_yrs))/Hurdle_r,"")</f>
        <v>799.590636855469</v>
      </c>
      <c r="AO37" s="17" t="n">
        <f aca="false">IF($AC37=1,AJ37+Credit_yrs*U37,"")</f>
        <v>1533.75</v>
      </c>
      <c r="AP37" s="17" t="n">
        <f aca="false">IF($AC37=1,$AD37/(1+AP$6)^1+$AE37/(1+AP$6)^2+$AF37/(1+AP$6)^3+$AG37/(1+AP$6)^4+$AH37/(1+AP$6)^5+$AI37/(1+AP$6)^6+$U37/AP$6/(1+AP$6)^6,"")</f>
        <v>3866.93577805397</v>
      </c>
      <c r="AQ37" s="17" t="n">
        <f aca="false">IF($AC37=1,$AD37/(1+AQ$6)^1+$AE37/(1+AQ$6)^2+$AF37/(1+AQ$6)^3+$AG37/(1+AQ$6)^4+$AH37/(1+AQ$6)^5+$AI37/(1+AQ$6)^6+$U37/AQ$6/(1+AQ$6)^6,"")</f>
        <v>2150.90258891387</v>
      </c>
      <c r="AR37" s="17" t="n">
        <f aca="false">IF($AC37=1,$AD37/(1+AR$6)^1+$AE37/(1+AR$6)^2+$AF37/(1+AR$6)^3+$AG37/(1+AR$6)^4+$AH37/(1+AR$6)^5+$AI37/(1+AR$6)^6+$U37/AR$6/(1+AR$6)^6,"")</f>
        <v>1211.40777107138</v>
      </c>
      <c r="AS37" s="17" t="n">
        <f aca="false">IF($AC37=1,$AD37/(1+AS$6)^1+$AE37/(1+AS$6)^2+$AF37/(1+AS$6)^3+$AG37/(1+AS$6)^4+$AH37/(1+AS$6)^5+$AI37/(1+AS$6)^6+$U37/AS$6/(1+AS$6)^6,"")</f>
        <v>909.716543771284</v>
      </c>
      <c r="AT37" s="17" t="n">
        <f aca="false">IF($AC37=1,$AD37/(1+AT$6)^1+$AE37/(1+AT$6)^2+$AF37/(1+AT$6)^3+$AG37/(1+AT$6)^4+$AH37/(1+AT$6)^5+$AI37/(1+AT$6)^6+$U37/AT$6/(1+AT$6)^6,"")</f>
        <v>714.989777787685</v>
      </c>
      <c r="AU37" s="17" t="n">
        <f aca="false">IF($AC37=1,$AD37/(1+AU$6)^1+$AE37/(1+AU$6)^2+$AF37/(1+AU$6)^3+$AG37/(1+AU$6)^4+$AH37/(1+AU$6)^5+$AI37/(1+AU$6)^6+$U37/AU$6/(1+AU$6)^6,"")</f>
        <v>528.34608977827</v>
      </c>
      <c r="AV37" s="17" t="n">
        <f aca="false">IF($AC37=1,$AD37/(1+AV$6)^1+$AE37/(1+AV$6)^2+$AF37/(1+AV$6)^3+$AG37/(1+AV$6)^4+$AH37/(1+AV$6)^5+$AI37/(1+AV$6)^6+$U37/AV$6/(1+AV$6)^6,"")</f>
        <v>354.458429783951</v>
      </c>
      <c r="AW37" s="17" t="n">
        <f aca="false">IF($AC37=1,$AD37/(1+AW$6)^1+$AE37/(1+AW$6)^2+$AF37/(1+AW$6)^3+$AG37/(1+AW$6)^4+$AH37/(1+AW$6)^5+$AI37/(1+AW$6)^6+$U37/AW$6/(1+AW$6)^6,"")</f>
        <v>201.91891786064</v>
      </c>
      <c r="AX37" s="17" t="n">
        <f aca="false">IF($AC37=1,$AD37/(1+AX$6)^1+$AE37/(1+AX$6)^2+$AF37/(1+AX$6)^3+$AG37/(1+AX$6)^4+$AH37/(1+AX$6)^5+$AI37/(1+AX$6)^6+$U37/AX$6/(1+AX$6)^6,"")</f>
        <v>6670.21547731134</v>
      </c>
      <c r="AY37" s="17" t="n">
        <f aca="false">IF($AC37=1,$AD37/(1+AY$6)^1+$AE37/(1+AY$6)^2+$AF37/(1+AY$6)^3+$AG37/(1+AY$6)^4+$AH37/(1+AY$6)^5+$AI37/(1+AY$6)^6+$U37/AY$6/(1+AY$6)^6,"")</f>
        <v>3103.29248001704</v>
      </c>
      <c r="AZ37" s="17" t="n">
        <f aca="false">IF($AC37=1,$AD37/(1+AZ$6)^1+$AE37/(1+AZ$6)^2+$AF37/(1+AZ$6)^3+$AG37/(1+AZ$6)^4+$AH37/(1+AZ$6)^5+$AI37/(1+AZ$6)^6+$U37/AZ$6/(1+AZ$6)^6,"")</f>
        <v>1360.78435740582</v>
      </c>
      <c r="BA37" s="17" t="n">
        <f aca="false">IF($AC37=1,$AD37/(1+BA$6)^1+$AE37/(1+BA$6)^2+$AF37/(1+BA$6)^3+$AG37/(1+BA$6)^4+$AH37/(1+BA$6)^5+$AI37/(1+BA$6)^6+$U37/BA$6/(1+BA$6)^6,"")</f>
        <v>550.880796990313</v>
      </c>
      <c r="BB37" s="17" t="n">
        <f aca="false">IF($AC37=1,$AD37/(1+BB$6)^1+$AE37/(1+BB$6)^2+$AF37/(1+BB$6)^3+$AG37/(1+BB$6)^4+$AH37/(1+BB$6)^5+$AI37/(1+BB$6)^6+$U37/BB$6/(1+BB$6)^6,"")</f>
        <v>203.106388567791</v>
      </c>
    </row>
    <row r="38" customFormat="false" ht="15" hidden="false" customHeight="false" outlineLevel="0" collapsed="false">
      <c r="A38" s="2" t="n">
        <v>30</v>
      </c>
      <c r="B38" s="2" t="str">
        <f aca="false">D38&amp;E38&amp;F38&amp;G38&amp;H38&amp;I38</f>
        <v>011110</v>
      </c>
      <c r="C38" s="15" t="n">
        <f aca="false">SUM(D38:I38)</f>
        <v>4</v>
      </c>
      <c r="D38" s="15" t="n">
        <f aca="false">MOD(INT($A38/32),2)</f>
        <v>0</v>
      </c>
      <c r="E38" s="15" t="n">
        <f aca="false">MOD(INT($A38/16),2)</f>
        <v>1</v>
      </c>
      <c r="F38" s="15" t="n">
        <f aca="false">MOD(INT($A38/8),2)</f>
        <v>1</v>
      </c>
      <c r="G38" s="15" t="n">
        <f aca="false">MOD(INT($A38/4),2)</f>
        <v>1</v>
      </c>
      <c r="H38" s="15" t="n">
        <f aca="false">MOD(INT($A38/2),2)</f>
        <v>1</v>
      </c>
      <c r="I38" s="15" t="n">
        <f aca="false">MOD(INT($A38/1),2)</f>
        <v>0</v>
      </c>
      <c r="J38" s="14" t="n">
        <f aca="false">E_zero+D38*(Half_gap*(Ceiling_e-E_zero)-$F$4)</f>
        <v>71</v>
      </c>
      <c r="K38" s="14" t="n">
        <f aca="false">J38+E38*(Half_gap*(Ceiling_e-J38)-$F$4)</f>
        <v>78</v>
      </c>
      <c r="L38" s="14" t="n">
        <f aca="false">K38+F38*(Half_gap*(Ceiling_e-K38)-$F$4)</f>
        <v>81.5</v>
      </c>
      <c r="M38" s="14" t="n">
        <f aca="false">L38+G38*(Half_gap*(Ceiling_e-L38)-$F$4)</f>
        <v>83.25</v>
      </c>
      <c r="N38" s="14" t="n">
        <f aca="false">M38+H38*(Half_gap*(Ceiling_e-M38)-$F$4)</f>
        <v>84.125</v>
      </c>
      <c r="O38" s="14" t="n">
        <f aca="false">N38+I38*(Half_gap*(Ceiling_e-N38)-$F$4)</f>
        <v>84.125</v>
      </c>
      <c r="P38" s="14" t="n">
        <f aca="false">Val_pt*(J38-E_zero)</f>
        <v>0</v>
      </c>
      <c r="Q38" s="14" t="n">
        <f aca="false">Val_pt*(K38-E_zero)</f>
        <v>70</v>
      </c>
      <c r="R38" s="14" t="n">
        <f aca="false">Val_pt*(L38-E_zero)</f>
        <v>105</v>
      </c>
      <c r="S38" s="14" t="n">
        <f aca="false">Val_pt*(M38-E_zero)</f>
        <v>122.5</v>
      </c>
      <c r="T38" s="14" t="n">
        <f aca="false">Val_pt*(N38-E_zero)</f>
        <v>131.25</v>
      </c>
      <c r="U38" s="14" t="n">
        <f aca="false">Val_pt*(O38-E_zero)</f>
        <v>131.25</v>
      </c>
      <c r="V38" s="14" t="n">
        <f aca="false">MAX(W38+Cost_round*D38-P38,IF(D38=1,Pre_q,0))</f>
        <v>535</v>
      </c>
      <c r="W38" s="14" t="n">
        <f aca="false">MAX(X38+Cost_round*E38-Q38,IF(E38=1,Pre_q,0),Floor_q)</f>
        <v>535</v>
      </c>
      <c r="X38" s="14" t="n">
        <f aca="false">MAX(Y38+Cost_round*F38-R38,IF(F38=1,Pre_q,0),Floor_q)</f>
        <v>485</v>
      </c>
      <c r="Y38" s="14" t="n">
        <f aca="false">MAX(Z38+Cost_round*G38-S38,IF(G38=1,Pre_q,0),Floor_q)</f>
        <v>470</v>
      </c>
      <c r="Z38" s="14" t="n">
        <f aca="false">MAX(AA38+Cost_round*H38-T38,IF(H38=1,Pre_q,0),Floor_q)</f>
        <v>470</v>
      </c>
      <c r="AA38" s="14" t="n">
        <f aca="false">MAX(AB38+Cost_round*I38-U38,IF(I38=1,Pre_q,0),Floor_q)</f>
        <v>350</v>
      </c>
      <c r="AB38" s="14" t="n">
        <f aca="false">MAX(End_q,Floor_q)</f>
        <v>470</v>
      </c>
      <c r="AC38" s="15" t="n">
        <f aca="false">IF(Q_zero&gt;=V38-0.000000001,1,0)</f>
        <v>1</v>
      </c>
      <c r="AD38" s="14" t="n">
        <f aca="false">IF($AC38=1,Q_zero-Cost_round*D38+P38-W38,"")</f>
        <v>85</v>
      </c>
      <c r="AE38" s="14" t="n">
        <f aca="false">IF($AC38=1,W38-Cost_round*E38+Q38-X38,"")</f>
        <v>0</v>
      </c>
      <c r="AF38" s="14" t="n">
        <f aca="false">IF($AC38=1,X38-Cost_round*F38+R38-Y38,"")</f>
        <v>0</v>
      </c>
      <c r="AG38" s="14" t="n">
        <f aca="false">IF($AC38=1,Y38-Cost_round*G38+S38-Z38,"")</f>
        <v>2.5</v>
      </c>
      <c r="AH38" s="14" t="n">
        <f aca="false">IF($AC38=1,Z38-Cost_round*H38+T38-AA38,"")</f>
        <v>131.25</v>
      </c>
      <c r="AI38" s="14" t="n">
        <f aca="false">IF($AC38=1,AA38-Cost_round*I38+U38-AB38,"")</f>
        <v>11.25</v>
      </c>
      <c r="AJ38" s="14" t="n">
        <f aca="false">IF($AC38=1,SUM(AD38:AI38),"")</f>
        <v>230</v>
      </c>
      <c r="AK38" s="17" t="n">
        <f aca="false">IF($AC38=1,AD38*Beta_y^1+AE38*Beta_y^2+AF38*Beta_y^3+AG38*Beta_y^4+AH38*Beta_y^5+AI38*Beta_y^6,"")</f>
        <v>166.826516275759</v>
      </c>
      <c r="AL38" s="17" t="n">
        <f aca="false">IF($AC38=1,AK38+Beta_y^6*U38/Hurdle_r,"")</f>
        <v>907.698549471342</v>
      </c>
      <c r="AM38" s="17" t="n">
        <f aca="false">IF($AC38=1,AK38,"")</f>
        <v>166.826516275759</v>
      </c>
      <c r="AN38" s="17" t="n">
        <f aca="false">IF($AC38=1,AK38+Beta_y^6*U38*(1-(1+Hurdle_r)^(-Life_yrs))/Hurdle_r,"")</f>
        <v>797.572642555527</v>
      </c>
      <c r="AO38" s="17" t="n">
        <f aca="false">IF($AC38=1,AJ38+Credit_yrs*U38,"")</f>
        <v>1542.5</v>
      </c>
      <c r="AP38" s="17" t="n">
        <f aca="false">IF($AC38=1,$AD38/(1+AP$6)^1+$AE38/(1+AP$6)^2+$AF38/(1+AP$6)^3+$AG38/(1+AP$6)^4+$AH38/(1+AP$6)^5+$AI38/(1+AP$6)^6+$U38/AP$6/(1+AP$6)^6,"")</f>
        <v>3871.37821329355</v>
      </c>
      <c r="AQ38" s="17" t="n">
        <f aca="false">IF($AC38=1,$AD38/(1+AQ$6)^1+$AE38/(1+AQ$6)^2+$AF38/(1+AQ$6)^3+$AG38/(1+AQ$6)^4+$AH38/(1+AQ$6)^5+$AI38/(1+AQ$6)^6+$U38/AQ$6/(1+AQ$6)^6,"")</f>
        <v>2153.05728587166</v>
      </c>
      <c r="AR38" s="17" t="n">
        <f aca="false">IF($AC38=1,$AD38/(1+AR$6)^1+$AE38/(1+AR$6)^2+$AF38/(1+AR$6)^3+$AG38/(1+AR$6)^4+$AH38/(1+AR$6)^5+$AI38/(1+AR$6)^6+$U38/AR$6/(1+AR$6)^6,"")</f>
        <v>1210.8292753539</v>
      </c>
      <c r="AS38" s="17" t="n">
        <f aca="false">IF($AC38=1,$AD38/(1+AS$6)^1+$AE38/(1+AS$6)^2+$AF38/(1+AS$6)^3+$AG38/(1+AS$6)^4+$AH38/(1+AS$6)^5+$AI38/(1+AS$6)^6+$U38/AS$6/(1+AS$6)^6,"")</f>
        <v>907.698549471342</v>
      </c>
      <c r="AT38" s="17" t="n">
        <f aca="false">IF($AC38=1,$AD38/(1+AT$6)^1+$AE38/(1+AT$6)^2+$AF38/(1+AT$6)^3+$AG38/(1+AT$6)^4+$AH38/(1+AT$6)^5+$AI38/(1+AT$6)^6+$U38/AT$6/(1+AT$6)^6,"")</f>
        <v>711.783816052875</v>
      </c>
      <c r="AU38" s="17" t="n">
        <f aca="false">IF($AC38=1,$AD38/(1+AU$6)^1+$AE38/(1+AU$6)^2+$AF38/(1+AU$6)^3+$AG38/(1+AU$6)^4+$AH38/(1+AU$6)^5+$AI38/(1+AU$6)^6+$U38/AU$6/(1+AU$6)^6,"")</f>
        <v>523.747204976761</v>
      </c>
      <c r="AV38" s="17" t="n">
        <f aca="false">IF($AC38=1,$AD38/(1+AV$6)^1+$AE38/(1+AV$6)^2+$AF38/(1+AV$6)^3+$AG38/(1+AV$6)^4+$AH38/(1+AV$6)^5+$AI38/(1+AV$6)^6+$U38/AV$6/(1+AV$6)^6,"")</f>
        <v>348.3297968107</v>
      </c>
      <c r="AW38" s="17" t="n">
        <f aca="false">IF($AC38=1,$AD38/(1+AW$6)^1+$AE38/(1+AW$6)^2+$AF38/(1+AW$6)^3+$AG38/(1+AW$6)^4+$AH38/(1+AW$6)^5+$AI38/(1+AW$6)^6+$U38/AW$6/(1+AW$6)^6,"")</f>
        <v>194.579700584796</v>
      </c>
      <c r="AX38" s="17" t="n">
        <f aca="false">IF($AC38=1,$AD38/(1+AX$6)^1+$AE38/(1+AX$6)^2+$AF38/(1+AX$6)^3+$AG38/(1+AX$6)^4+$AH38/(1+AX$6)^5+$AI38/(1+AX$6)^6+$U38/AX$6/(1+AX$6)^6,"")</f>
        <v>6676.21120156579</v>
      </c>
      <c r="AY38" s="17" t="n">
        <f aca="false">IF($AC38=1,$AD38/(1+AY$6)^1+$AE38/(1+AY$6)^2+$AF38/(1+AY$6)^3+$AG38/(1+AY$6)^4+$AH38/(1+AY$6)^5+$AI38/(1+AY$6)^6+$U38/AY$6/(1+AY$6)^6,"")</f>
        <v>3106.95027044294</v>
      </c>
      <c r="AZ38" s="17" t="n">
        <f aca="false">IF($AC38=1,$AD38/(1+AZ$6)^1+$AE38/(1+AZ$6)^2+$AF38/(1+AZ$6)^3+$AG38/(1+AZ$6)^4+$AH38/(1+AZ$6)^5+$AI38/(1+AZ$6)^6+$U38/AZ$6/(1+AZ$6)^6,"")</f>
        <v>1360.78435740588</v>
      </c>
      <c r="BA38" s="17" t="n">
        <f aca="false">IF($AC38=1,$AD38/(1+BA$6)^1+$AE38/(1+BA$6)^2+$AF38/(1+BA$6)^3+$AG38/(1+BA$6)^4+$AH38/(1+BA$6)^5+$AI38/(1+BA$6)^6+$U38/BA$6/(1+BA$6)^6,"")</f>
        <v>546.464773844488</v>
      </c>
      <c r="BB38" s="17" t="n">
        <f aca="false">IF($AC38=1,$AD38/(1+BB$6)^1+$AE38/(1+BB$6)^2+$AF38/(1+BB$6)^3+$AG38/(1+BB$6)^4+$AH38/(1+BB$6)^5+$AI38/(1+BB$6)^6+$U38/BB$6/(1+BB$6)^6,"")</f>
        <v>195.772545132445</v>
      </c>
    </row>
    <row r="39" customFormat="false" ht="15" hidden="false" customHeight="false" outlineLevel="0" collapsed="false">
      <c r="A39" s="2" t="n">
        <v>31</v>
      </c>
      <c r="B39" s="2" t="str">
        <f aca="false">D39&amp;E39&amp;F39&amp;G39&amp;H39&amp;I39</f>
        <v>011111</v>
      </c>
      <c r="C39" s="15" t="n">
        <f aca="false">SUM(D39:I39)</f>
        <v>5</v>
      </c>
      <c r="D39" s="15" t="n">
        <f aca="false">MOD(INT($A39/32),2)</f>
        <v>0</v>
      </c>
      <c r="E39" s="15" t="n">
        <f aca="false">MOD(INT($A39/16),2)</f>
        <v>1</v>
      </c>
      <c r="F39" s="15" t="n">
        <f aca="false">MOD(INT($A39/8),2)</f>
        <v>1</v>
      </c>
      <c r="G39" s="15" t="n">
        <f aca="false">MOD(INT($A39/4),2)</f>
        <v>1</v>
      </c>
      <c r="H39" s="15" t="n">
        <f aca="false">MOD(INT($A39/2),2)</f>
        <v>1</v>
      </c>
      <c r="I39" s="15" t="n">
        <f aca="false">MOD(INT($A39/1),2)</f>
        <v>1</v>
      </c>
      <c r="J39" s="14" t="n">
        <f aca="false">E_zero+D39*(Half_gap*(Ceiling_e-E_zero)-$F$4)</f>
        <v>71</v>
      </c>
      <c r="K39" s="14" t="n">
        <f aca="false">J39+E39*(Half_gap*(Ceiling_e-J39)-$F$4)</f>
        <v>78</v>
      </c>
      <c r="L39" s="14" t="n">
        <f aca="false">K39+F39*(Half_gap*(Ceiling_e-K39)-$F$4)</f>
        <v>81.5</v>
      </c>
      <c r="M39" s="14" t="n">
        <f aca="false">L39+G39*(Half_gap*(Ceiling_e-L39)-$F$4)</f>
        <v>83.25</v>
      </c>
      <c r="N39" s="14" t="n">
        <f aca="false">M39+H39*(Half_gap*(Ceiling_e-M39)-$F$4)</f>
        <v>84.125</v>
      </c>
      <c r="O39" s="14" t="n">
        <f aca="false">N39+I39*(Half_gap*(Ceiling_e-N39)-$F$4)</f>
        <v>84.5625</v>
      </c>
      <c r="P39" s="14" t="n">
        <f aca="false">Val_pt*(J39-E_zero)</f>
        <v>0</v>
      </c>
      <c r="Q39" s="14" t="n">
        <f aca="false">Val_pt*(K39-E_zero)</f>
        <v>70</v>
      </c>
      <c r="R39" s="14" t="n">
        <f aca="false">Val_pt*(L39-E_zero)</f>
        <v>105</v>
      </c>
      <c r="S39" s="14" t="n">
        <f aca="false">Val_pt*(M39-E_zero)</f>
        <v>122.5</v>
      </c>
      <c r="T39" s="14" t="n">
        <f aca="false">Val_pt*(N39-E_zero)</f>
        <v>131.25</v>
      </c>
      <c r="U39" s="14" t="n">
        <f aca="false">Val_pt*(O39-E_zero)</f>
        <v>135.625</v>
      </c>
      <c r="V39" s="14" t="n">
        <f aca="false">MAX(W39+Cost_round*D39-P39,IF(D39=1,Pre_q,0))</f>
        <v>535</v>
      </c>
      <c r="W39" s="14" t="n">
        <f aca="false">MAX(X39+Cost_round*E39-Q39,IF(E39=1,Pre_q,0),Floor_q)</f>
        <v>535</v>
      </c>
      <c r="X39" s="14" t="n">
        <f aca="false">MAX(Y39+Cost_round*F39-R39,IF(F39=1,Pre_q,0),Floor_q)</f>
        <v>485</v>
      </c>
      <c r="Y39" s="14" t="n">
        <f aca="false">MAX(Z39+Cost_round*G39-S39,IF(G39=1,Pre_q,0),Floor_q)</f>
        <v>470</v>
      </c>
      <c r="Z39" s="14" t="n">
        <f aca="false">MAX(AA39+Cost_round*H39-T39,IF(H39=1,Pre_q,0),Floor_q)</f>
        <v>470</v>
      </c>
      <c r="AA39" s="14" t="n">
        <f aca="false">MAX(AB39+Cost_round*I39-U39,IF(I39=1,Pre_q,0),Floor_q)</f>
        <v>470</v>
      </c>
      <c r="AB39" s="14" t="n">
        <f aca="false">MAX(End_q,Floor_q)</f>
        <v>470</v>
      </c>
      <c r="AC39" s="15" t="n">
        <f aca="false">IF(Q_zero&gt;=V39-0.000000001,1,0)</f>
        <v>1</v>
      </c>
      <c r="AD39" s="14" t="n">
        <f aca="false">IF($AC39=1,Q_zero-Cost_round*D39+P39-W39,"")</f>
        <v>85</v>
      </c>
      <c r="AE39" s="14" t="n">
        <f aca="false">IF($AC39=1,W39-Cost_round*E39+Q39-X39,"")</f>
        <v>0</v>
      </c>
      <c r="AF39" s="14" t="n">
        <f aca="false">IF($AC39=1,X39-Cost_round*F39+R39-Y39,"")</f>
        <v>0</v>
      </c>
      <c r="AG39" s="14" t="n">
        <f aca="false">IF($AC39=1,Y39-Cost_round*G39+S39-Z39,"")</f>
        <v>2.5</v>
      </c>
      <c r="AH39" s="14" t="n">
        <f aca="false">IF($AC39=1,Z39-Cost_round*H39+T39-AA39,"")</f>
        <v>11.25</v>
      </c>
      <c r="AI39" s="14" t="n">
        <f aca="false">IF($AC39=1,AA39-Cost_round*I39+U39-AB39,"")</f>
        <v>15.625</v>
      </c>
      <c r="AJ39" s="14" t="n">
        <f aca="false">IF($AC39=1,SUM(AD39:AI39),"")</f>
        <v>114.375</v>
      </c>
      <c r="AK39" s="17" t="n">
        <f aca="false">IF($AC39=1,AD39*Beta_y^1+AE39*Beta_y^2+AF39*Beta_y^3+AG39*Beta_y^4+AH39*Beta_y^5+AI39*Beta_y^6,"")</f>
        <v>94.7855309526457</v>
      </c>
      <c r="AL39" s="17" t="n">
        <f aca="false">IF($AC39=1,AK39+Beta_y^6*U39/Hurdle_r,"")</f>
        <v>860.353298588081</v>
      </c>
      <c r="AM39" s="17" t="n">
        <f aca="false">IF($AC39=1,AK39,"")</f>
        <v>94.7855309526457</v>
      </c>
      <c r="AN39" s="17" t="n">
        <f aca="false">IF($AC39=1,AK39+Beta_y^6*U39*(1-(1+Hurdle_r)^(-Life_yrs))/Hurdle_r,"")</f>
        <v>746.556528108406</v>
      </c>
      <c r="AO39" s="17" t="n">
        <f aca="false">IF($AC39=1,AJ39+Credit_yrs*U39,"")</f>
        <v>1470.625</v>
      </c>
      <c r="AP39" s="17" t="n">
        <f aca="false">IF($AC39=1,$AD39/(1+AP$6)^1+$AE39/(1+AP$6)^2+$AF39/(1+AP$6)^3+$AG39/(1+AP$6)^4+$AH39/(1+AP$6)^5+$AI39/(1+AP$6)^6+$U39/AP$6/(1+AP$6)^6,"")</f>
        <v>3893.66227355681</v>
      </c>
      <c r="AQ39" s="17" t="n">
        <f aca="false">IF($AC39=1,$AD39/(1+AQ$6)^1+$AE39/(1+AQ$6)^2+$AF39/(1+AQ$6)^3+$AG39/(1+AQ$6)^4+$AH39/(1+AQ$6)^5+$AI39/(1+AQ$6)^6+$U39/AQ$6/(1+AQ$6)^6,"")</f>
        <v>2127.59268546143</v>
      </c>
      <c r="AR39" s="17" t="n">
        <f aca="false">IF($AC39=1,$AD39/(1+AR$6)^1+$AE39/(1+AR$6)^2+$AF39/(1+AR$6)^3+$AG39/(1+AR$6)^4+$AH39/(1+AR$6)^5+$AI39/(1+AR$6)^6+$U39/AR$6/(1+AR$6)^6,"")</f>
        <v>1166.37868529764</v>
      </c>
      <c r="AS39" s="17" t="n">
        <f aca="false">IF($AC39=1,$AD39/(1+AS$6)^1+$AE39/(1+AS$6)^2+$AF39/(1+AS$6)^3+$AG39/(1+AS$6)^4+$AH39/(1+AS$6)^5+$AI39/(1+AS$6)^6+$U39/AS$6/(1+AS$6)^6,"")</f>
        <v>860.353298588081</v>
      </c>
      <c r="AT39" s="17" t="n">
        <f aca="false">IF($AC39=1,$AD39/(1+AT$6)^1+$AE39/(1+AT$6)^2+$AF39/(1+AT$6)^3+$AG39/(1+AT$6)^4+$AH39/(1+AT$6)^5+$AI39/(1+AT$6)^6+$U39/AT$6/(1+AT$6)^6,"")</f>
        <v>664.380030814717</v>
      </c>
      <c r="AU39" s="17" t="n">
        <f aca="false">IF($AC39=1,$AD39/(1+AU$6)^1+$AE39/(1+AU$6)^2+$AF39/(1+AU$6)^3+$AG39/(1+AU$6)^4+$AH39/(1+AU$6)^5+$AI39/(1+AU$6)^6+$U39/AU$6/(1+AU$6)^6,"")</f>
        <v>478.586984853833</v>
      </c>
      <c r="AV39" s="17" t="n">
        <f aca="false">IF($AC39=1,$AD39/(1+AV$6)^1+$AE39/(1+AV$6)^2+$AF39/(1+AV$6)^3+$AG39/(1+AV$6)^4+$AH39/(1+AV$6)^5+$AI39/(1+AV$6)^6+$U39/AV$6/(1+AV$6)^6,"")</f>
        <v>308.895560056584</v>
      </c>
      <c r="AW39" s="17" t="n">
        <f aca="false">IF($AC39=1,$AD39/(1+AW$6)^1+$AE39/(1+AW$6)^2+$AF39/(1+AW$6)^3+$AG39/(1+AW$6)^4+$AH39/(1+AW$6)^5+$AI39/(1+AW$6)^6+$U39/AW$6/(1+AW$6)^6,"")</f>
        <v>166.187927331148</v>
      </c>
      <c r="AX39" s="17" t="n">
        <f aca="false">IF($AC39=1,$AD39/(1+AX$6)^1+$AE39/(1+AX$6)^2+$AF39/(1+AX$6)^3+$AG39/(1+AX$6)^4+$AH39/(1+AX$6)^5+$AI39/(1+AX$6)^6+$U39/AX$6/(1+AX$6)^6,"")</f>
        <v>6785.84730222038</v>
      </c>
      <c r="AY39" s="17" t="n">
        <f aca="false">IF($AC39=1,$AD39/(1+AY$6)^1+$AE39/(1+AY$6)^2+$AF39/(1+AY$6)^3+$AG39/(1+AY$6)^4+$AH39/(1+AY$6)^5+$AI39/(1+AY$6)^6+$U39/AY$6/(1+AY$6)^6,"")</f>
        <v>3106.95027044391</v>
      </c>
      <c r="AZ39" s="17" t="n">
        <f aca="false">IF($AC39=1,$AD39/(1+AZ$6)^1+$AE39/(1+AZ$6)^2+$AF39/(1+AZ$6)^3+$AG39/(1+AZ$6)^4+$AH39/(1+AZ$6)^5+$AI39/(1+AZ$6)^6+$U39/AZ$6/(1+AZ$6)^6,"")</f>
        <v>1318.58349831636</v>
      </c>
      <c r="BA39" s="17" t="n">
        <f aca="false">IF($AC39=1,$AD39/(1+BA$6)^1+$AE39/(1+BA$6)^2+$AF39/(1+BA$6)^3+$AG39/(1+BA$6)^4+$AH39/(1+BA$6)^5+$AI39/(1+BA$6)^6+$U39/BA$6/(1+BA$6)^6,"")</f>
        <v>500.867617633941</v>
      </c>
      <c r="BB39" s="17" t="n">
        <f aca="false">IF($AC39=1,$AD39/(1+BB$6)^1+$AE39/(1+BB$6)^2+$AF39/(1+BB$6)^3+$AG39/(1+BB$6)^4+$AH39/(1+BB$6)^5+$AI39/(1+BB$6)^6+$U39/BB$6/(1+BB$6)^6,"")</f>
        <v>167.256606530761</v>
      </c>
    </row>
    <row r="40" customFormat="false" ht="15" hidden="false" customHeight="false" outlineLevel="0" collapsed="false">
      <c r="A40" s="2" t="n">
        <v>32</v>
      </c>
      <c r="B40" s="2" t="str">
        <f aca="false">D40&amp;E40&amp;F40&amp;G40&amp;H40&amp;I40</f>
        <v>100000</v>
      </c>
      <c r="C40" s="15" t="n">
        <f aca="false">SUM(D40:I40)</f>
        <v>1</v>
      </c>
      <c r="D40" s="15" t="n">
        <f aca="false">MOD(INT($A40/32),2)</f>
        <v>1</v>
      </c>
      <c r="E40" s="15" t="n">
        <f aca="false">MOD(INT($A40/16),2)</f>
        <v>0</v>
      </c>
      <c r="F40" s="15" t="n">
        <f aca="false">MOD(INT($A40/8),2)</f>
        <v>0</v>
      </c>
      <c r="G40" s="15" t="n">
        <f aca="false">MOD(INT($A40/4),2)</f>
        <v>0</v>
      </c>
      <c r="H40" s="15" t="n">
        <f aca="false">MOD(INT($A40/2),2)</f>
        <v>0</v>
      </c>
      <c r="I40" s="15" t="n">
        <f aca="false">MOD(INT($A40/1),2)</f>
        <v>0</v>
      </c>
      <c r="J40" s="14" t="n">
        <f aca="false">E_zero+D40*(Half_gap*(Ceiling_e-E_zero)-$F$4)</f>
        <v>78</v>
      </c>
      <c r="K40" s="14" t="n">
        <f aca="false">J40+E40*(Half_gap*(Ceiling_e-J40)-$F$4)</f>
        <v>78</v>
      </c>
      <c r="L40" s="14" t="n">
        <f aca="false">K40+F40*(Half_gap*(Ceiling_e-K40)-$F$4)</f>
        <v>78</v>
      </c>
      <c r="M40" s="14" t="n">
        <f aca="false">L40+G40*(Half_gap*(Ceiling_e-L40)-$F$4)</f>
        <v>78</v>
      </c>
      <c r="N40" s="14" t="n">
        <f aca="false">M40+H40*(Half_gap*(Ceiling_e-M40)-$F$4)</f>
        <v>78</v>
      </c>
      <c r="O40" s="14" t="n">
        <f aca="false">N40+I40*(Half_gap*(Ceiling_e-N40)-$F$4)</f>
        <v>78</v>
      </c>
      <c r="P40" s="14" t="n">
        <f aca="false">Val_pt*(J40-E_zero)</f>
        <v>70</v>
      </c>
      <c r="Q40" s="14" t="n">
        <f aca="false">Val_pt*(K40-E_zero)</f>
        <v>70</v>
      </c>
      <c r="R40" s="14" t="n">
        <f aca="false">Val_pt*(L40-E_zero)</f>
        <v>70</v>
      </c>
      <c r="S40" s="14" t="n">
        <f aca="false">Val_pt*(M40-E_zero)</f>
        <v>70</v>
      </c>
      <c r="T40" s="14" t="n">
        <f aca="false">Val_pt*(N40-E_zero)</f>
        <v>70</v>
      </c>
      <c r="U40" s="14" t="n">
        <f aca="false">Val_pt*(O40-E_zero)</f>
        <v>70</v>
      </c>
      <c r="V40" s="14" t="n">
        <f aca="false">MAX(W40+Cost_round*D40-P40,IF(D40=1,Pre_q,0))</f>
        <v>470</v>
      </c>
      <c r="W40" s="14" t="n">
        <f aca="false">MAX(X40+Cost_round*E40-Q40,IF(E40=1,Pre_q,0),Floor_q)</f>
        <v>350</v>
      </c>
      <c r="X40" s="14" t="n">
        <f aca="false">MAX(Y40+Cost_round*F40-R40,IF(F40=1,Pre_q,0),Floor_q)</f>
        <v>350</v>
      </c>
      <c r="Y40" s="14" t="n">
        <f aca="false">MAX(Z40+Cost_round*G40-S40,IF(G40=1,Pre_q,0),Floor_q)</f>
        <v>350</v>
      </c>
      <c r="Z40" s="14" t="n">
        <f aca="false">MAX(AA40+Cost_round*H40-T40,IF(H40=1,Pre_q,0),Floor_q)</f>
        <v>350</v>
      </c>
      <c r="AA40" s="14" t="n">
        <f aca="false">MAX(AB40+Cost_round*I40-U40,IF(I40=1,Pre_q,0),Floor_q)</f>
        <v>400</v>
      </c>
      <c r="AB40" s="14" t="n">
        <f aca="false">MAX(End_q,Floor_q)</f>
        <v>470</v>
      </c>
      <c r="AC40" s="15" t="n">
        <f aca="false">IF(Q_zero&gt;=V40-0.000000001,1,0)</f>
        <v>1</v>
      </c>
      <c r="AD40" s="14" t="n">
        <f aca="false">IF($AC40=1,Q_zero-Cost_round*D40+P40-W40,"")</f>
        <v>220</v>
      </c>
      <c r="AE40" s="14" t="n">
        <f aca="false">IF($AC40=1,W40-Cost_round*E40+Q40-X40,"")</f>
        <v>70</v>
      </c>
      <c r="AF40" s="14" t="n">
        <f aca="false">IF($AC40=1,X40-Cost_round*F40+R40-Y40,"")</f>
        <v>70</v>
      </c>
      <c r="AG40" s="14" t="n">
        <f aca="false">IF($AC40=1,Y40-Cost_round*G40+S40-Z40,"")</f>
        <v>70</v>
      </c>
      <c r="AH40" s="14" t="n">
        <f aca="false">IF($AC40=1,Z40-Cost_round*H40+T40-AA40,"")</f>
        <v>20</v>
      </c>
      <c r="AI40" s="14" t="n">
        <f aca="false">IF($AC40=1,AA40-Cost_round*I40+U40-AB40,"")</f>
        <v>0</v>
      </c>
      <c r="AJ40" s="14" t="n">
        <f aca="false">IF($AC40=1,SUM(AD40:AI40),"")</f>
        <v>450</v>
      </c>
      <c r="AK40" s="17" t="n">
        <f aca="false">IF($AC40=1,AD40*Beta_y^1+AE40*Beta_y^2+AF40*Beta_y^3+AG40*Beta_y^4+AH40*Beta_y^5+AI40*Beta_y^6,"")</f>
        <v>370.67264406927</v>
      </c>
      <c r="AL40" s="17" t="n">
        <f aca="false">IF($AC40=1,AK40+Beta_y^6*U40/Hurdle_r,"")</f>
        <v>765.804395106914</v>
      </c>
      <c r="AM40" s="17" t="n">
        <f aca="false">IF($AC40=1,AK40,"")</f>
        <v>370.67264406927</v>
      </c>
      <c r="AN40" s="17" t="n">
        <f aca="false">IF($AC40=1,AK40+Beta_y^6*U40*(1-(1+Hurdle_r)^(-Life_yrs))/Hurdle_r,"")</f>
        <v>707.070578085146</v>
      </c>
      <c r="AO40" s="17" t="n">
        <f aca="false">IF($AC40=1,AJ40+Credit_yrs*U40,"")</f>
        <v>1150</v>
      </c>
      <c r="AP40" s="17" t="n">
        <f aca="false">IF($AC40=1,$AD40/(1+AP$6)^1+$AE40/(1+AP$6)^2+$AF40/(1+AP$6)^3+$AG40/(1+AP$6)^4+$AH40/(1+AP$6)^5+$AI40/(1+AP$6)^6+$U40/AP$6/(1+AP$6)^6,"")</f>
        <v>2377.21006410743</v>
      </c>
      <c r="AQ40" s="17" t="n">
        <f aca="false">IF($AC40=1,$AD40/(1+AQ$6)^1+$AE40/(1+AQ$6)^2+$AF40/(1+AQ$6)^3+$AG40/(1+AQ$6)^4+$AH40/(1+AQ$6)^5+$AI40/(1+AQ$6)^6+$U40/AQ$6/(1+AQ$6)^6,"")</f>
        <v>1451.44575676916</v>
      </c>
      <c r="AR40" s="17" t="n">
        <f aca="false">IF($AC40=1,$AD40/(1+AR$6)^1+$AE40/(1+AR$6)^2+$AF40/(1+AR$6)^3+$AG40/(1+AR$6)^4+$AH40/(1+AR$6)^5+$AI40/(1+AR$6)^6+$U40/AR$6/(1+AR$6)^6,"")</f>
        <v>935.747855155384</v>
      </c>
      <c r="AS40" s="17" t="n">
        <f aca="false">IF($AC40=1,$AD40/(1+AS$6)^1+$AE40/(1+AS$6)^2+$AF40/(1+AS$6)^3+$AG40/(1+AS$6)^4+$AH40/(1+AS$6)^5+$AI40/(1+AS$6)^6+$U40/AS$6/(1+AS$6)^6,"")</f>
        <v>765.804395106914</v>
      </c>
      <c r="AT40" s="17" t="n">
        <f aca="false">IF($AC40=1,$AD40/(1+AT$6)^1+$AE40/(1+AT$6)^2+$AF40/(1+AT$6)^3+$AG40/(1+AT$6)^4+$AH40/(1+AT$6)^5+$AI40/(1+AT$6)^6+$U40/AT$6/(1+AT$6)^6,"")</f>
        <v>653.426383493562</v>
      </c>
      <c r="AU40" s="17" t="n">
        <f aca="false">IF($AC40=1,$AD40/(1+AU$6)^1+$AE40/(1+AU$6)^2+$AF40/(1+AU$6)^3+$AG40/(1+AU$6)^4+$AH40/(1+AU$6)^5+$AI40/(1+AU$6)^6+$U40/AU$6/(1+AU$6)^6,"")</f>
        <v>541.979680796639</v>
      </c>
      <c r="AV40" s="17" t="n">
        <f aca="false">IF($AC40=1,$AD40/(1+AV$6)^1+$AE40/(1+AV$6)^2+$AF40/(1+AV$6)^3+$AG40/(1+AV$6)^4+$AH40/(1+AV$6)^5+$AI40/(1+AV$6)^6+$U40/AV$6/(1+AV$6)^6,"")</f>
        <v>431.46326303155</v>
      </c>
      <c r="AW40" s="17" t="n">
        <f aca="false">IF($AC40=1,$AD40/(1+AW$6)^1+$AE40/(1+AW$6)^2+$AF40/(1+AW$6)^3+$AG40/(1+AW$6)^4+$AH40/(1+AW$6)^5+$AI40/(1+AW$6)^6+$U40/AW$6/(1+AW$6)^6,"")</f>
        <v>320.749160228493</v>
      </c>
      <c r="AX40" s="17" t="n">
        <f aca="false">IF($AC40=1,$AD40/(1+AX$6)^1+$AE40/(1+AX$6)^2+$AF40/(1+AX$6)^3+$AG40/(1+AX$6)^4+$AH40/(1+AX$6)^5+$AI40/(1+AX$6)^6+$U40/AX$6/(1+AX$6)^6,"")</f>
        <v>3878.82344092811</v>
      </c>
      <c r="AY40" s="17" t="n">
        <f aca="false">IF($AC40=1,$AD40/(1+AY$6)^1+$AE40/(1+AY$6)^2+$AF40/(1+AY$6)^3+$AG40/(1+AY$6)^4+$AH40/(1+AY$6)^5+$AI40/(1+AY$6)^6+$U40/AY$6/(1+AY$6)^6,"")</f>
        <v>1966.45430806045</v>
      </c>
      <c r="AZ40" s="17" t="n">
        <f aca="false">IF($AC40=1,$AD40/(1+AZ$6)^1+$AE40/(1+AZ$6)^2+$AF40/(1+AZ$6)^3+$AG40/(1+AZ$6)^4+$AH40/(1+AZ$6)^5+$AI40/(1+AZ$6)^6+$U40/AZ$6/(1+AZ$6)^6,"")</f>
        <v>1018.75012988086</v>
      </c>
      <c r="BA40" s="17" t="n">
        <f aca="false">IF($AC40=1,$AD40/(1+BA$6)^1+$AE40/(1+BA$6)^2+$AF40/(1+BA$6)^3+$AG40/(1+BA$6)^4+$AH40/(1+BA$6)^5+$AI40/(1+BA$6)^6+$U40/BA$6/(1+BA$6)^6,"")</f>
        <v>555.721324975868</v>
      </c>
      <c r="BB40" s="17" t="n">
        <f aca="false">IF($AC40=1,$AD40/(1+BB$6)^1+$AE40/(1+BB$6)^2+$AF40/(1+BB$6)^3+$AG40/(1+BB$6)^4+$AH40/(1+BB$6)^5+$AI40/(1+BB$6)^6+$U40/BB$6/(1+BB$6)^6,"")</f>
        <v>321.717189838861</v>
      </c>
    </row>
    <row r="41" customFormat="false" ht="15" hidden="false" customHeight="false" outlineLevel="0" collapsed="false">
      <c r="A41" s="2" t="n">
        <v>33</v>
      </c>
      <c r="B41" s="2" t="str">
        <f aca="false">D41&amp;E41&amp;F41&amp;G41&amp;H41&amp;I41</f>
        <v>100001</v>
      </c>
      <c r="C41" s="15" t="n">
        <f aca="false">SUM(D41:I41)</f>
        <v>2</v>
      </c>
      <c r="D41" s="15" t="n">
        <f aca="false">MOD(INT($A41/32),2)</f>
        <v>1</v>
      </c>
      <c r="E41" s="15" t="n">
        <f aca="false">MOD(INT($A41/16),2)</f>
        <v>0</v>
      </c>
      <c r="F41" s="15" t="n">
        <f aca="false">MOD(INT($A41/8),2)</f>
        <v>0</v>
      </c>
      <c r="G41" s="15" t="n">
        <f aca="false">MOD(INT($A41/4),2)</f>
        <v>0</v>
      </c>
      <c r="H41" s="15" t="n">
        <f aca="false">MOD(INT($A41/2),2)</f>
        <v>0</v>
      </c>
      <c r="I41" s="15" t="n">
        <f aca="false">MOD(INT($A41/1),2)</f>
        <v>1</v>
      </c>
      <c r="J41" s="14" t="n">
        <f aca="false">E_zero+D41*(Half_gap*(Ceiling_e-E_zero)-$F$4)</f>
        <v>78</v>
      </c>
      <c r="K41" s="14" t="n">
        <f aca="false">J41+E41*(Half_gap*(Ceiling_e-J41)-$F$4)</f>
        <v>78</v>
      </c>
      <c r="L41" s="14" t="n">
        <f aca="false">K41+F41*(Half_gap*(Ceiling_e-K41)-$F$4)</f>
        <v>78</v>
      </c>
      <c r="M41" s="14" t="n">
        <f aca="false">L41+G41*(Half_gap*(Ceiling_e-L41)-$F$4)</f>
        <v>78</v>
      </c>
      <c r="N41" s="14" t="n">
        <f aca="false">M41+H41*(Half_gap*(Ceiling_e-M41)-$F$4)</f>
        <v>78</v>
      </c>
      <c r="O41" s="14" t="n">
        <f aca="false">N41+I41*(Half_gap*(Ceiling_e-N41)-$F$4)</f>
        <v>81.5</v>
      </c>
      <c r="P41" s="14" t="n">
        <f aca="false">Val_pt*(J41-E_zero)</f>
        <v>70</v>
      </c>
      <c r="Q41" s="14" t="n">
        <f aca="false">Val_pt*(K41-E_zero)</f>
        <v>70</v>
      </c>
      <c r="R41" s="14" t="n">
        <f aca="false">Val_pt*(L41-E_zero)</f>
        <v>70</v>
      </c>
      <c r="S41" s="14" t="n">
        <f aca="false">Val_pt*(M41-E_zero)</f>
        <v>70</v>
      </c>
      <c r="T41" s="14" t="n">
        <f aca="false">Val_pt*(N41-E_zero)</f>
        <v>70</v>
      </c>
      <c r="U41" s="14" t="n">
        <f aca="false">Val_pt*(O41-E_zero)</f>
        <v>105</v>
      </c>
      <c r="V41" s="14" t="n">
        <f aca="false">MAX(W41+Cost_round*D41-P41,IF(D41=1,Pre_q,0))</f>
        <v>470</v>
      </c>
      <c r="W41" s="14" t="n">
        <f aca="false">MAX(X41+Cost_round*E41-Q41,IF(E41=1,Pre_q,0),Floor_q)</f>
        <v>350</v>
      </c>
      <c r="X41" s="14" t="n">
        <f aca="false">MAX(Y41+Cost_round*F41-R41,IF(F41=1,Pre_q,0),Floor_q)</f>
        <v>350</v>
      </c>
      <c r="Y41" s="14" t="n">
        <f aca="false">MAX(Z41+Cost_round*G41-S41,IF(G41=1,Pre_q,0),Floor_q)</f>
        <v>350</v>
      </c>
      <c r="Z41" s="14" t="n">
        <f aca="false">MAX(AA41+Cost_round*H41-T41,IF(H41=1,Pre_q,0),Floor_q)</f>
        <v>415</v>
      </c>
      <c r="AA41" s="14" t="n">
        <f aca="false">MAX(AB41+Cost_round*I41-U41,IF(I41=1,Pre_q,0),Floor_q)</f>
        <v>485</v>
      </c>
      <c r="AB41" s="14" t="n">
        <f aca="false">MAX(End_q,Floor_q)</f>
        <v>470</v>
      </c>
      <c r="AC41" s="15" t="n">
        <f aca="false">IF(Q_zero&gt;=V41-0.000000001,1,0)</f>
        <v>1</v>
      </c>
      <c r="AD41" s="14" t="n">
        <f aca="false">IF($AC41=1,Q_zero-Cost_round*D41+P41-W41,"")</f>
        <v>220</v>
      </c>
      <c r="AE41" s="14" t="n">
        <f aca="false">IF($AC41=1,W41-Cost_round*E41+Q41-X41,"")</f>
        <v>70</v>
      </c>
      <c r="AF41" s="14" t="n">
        <f aca="false">IF($AC41=1,X41-Cost_round*F41+R41-Y41,"")</f>
        <v>70</v>
      </c>
      <c r="AG41" s="14" t="n">
        <f aca="false">IF($AC41=1,Y41-Cost_round*G41+S41-Z41,"")</f>
        <v>5</v>
      </c>
      <c r="AH41" s="14" t="n">
        <f aca="false">IF($AC41=1,Z41-Cost_round*H41+T41-AA41,"")</f>
        <v>0</v>
      </c>
      <c r="AI41" s="14" t="n">
        <f aca="false">IF($AC41=1,AA41-Cost_round*I41+U41-AB41,"")</f>
        <v>0</v>
      </c>
      <c r="AJ41" s="14" t="n">
        <f aca="false">IF($AC41=1,SUM(AD41:AI41),"")</f>
        <v>365</v>
      </c>
      <c r="AK41" s="17" t="n">
        <f aca="false">IF($AC41=1,AD41*Beta_y^1+AE41*Beta_y^2+AF41*Beta_y^3+AG41*Beta_y^4+AH41*Beta_y^5+AI41*Beta_y^6,"")</f>
        <v>313.858343009357</v>
      </c>
      <c r="AL41" s="17" t="n">
        <f aca="false">IF($AC41=1,AK41+Beta_y^6*U41/Hurdle_r,"")</f>
        <v>906.555969565824</v>
      </c>
      <c r="AM41" s="17" t="n">
        <f aca="false">IF($AC41=1,AK41,"")</f>
        <v>313.858343009357</v>
      </c>
      <c r="AN41" s="17" t="n">
        <f aca="false">IF($AC41=1,AK41+Beta_y^6*U41*(1-(1+Hurdle_r)^(-Life_yrs))/Hurdle_r,"")</f>
        <v>818.455244033171</v>
      </c>
      <c r="AO41" s="17" t="n">
        <f aca="false">IF($AC41=1,AJ41+Credit_yrs*U41,"")</f>
        <v>1415</v>
      </c>
      <c r="AP41" s="17" t="n">
        <f aca="false">IF($AC41=1,$AD41/(1+AP$6)^1+$AE41/(1+AP$6)^2+$AF41/(1+AP$6)^3+$AG41/(1+AP$6)^4+$AH41/(1+AP$6)^5+$AI41/(1+AP$6)^6+$U41/AP$6/(1+AP$6)^6,"")</f>
        <v>3279.27119643616</v>
      </c>
      <c r="AQ41" s="17" t="n">
        <f aca="false">IF($AC41=1,$AD41/(1+AQ$6)^1+$AE41/(1+AQ$6)^2+$AF41/(1+AQ$6)^3+$AG41/(1+AQ$6)^4+$AH41/(1+AQ$6)^5+$AI41/(1+AQ$6)^6+$U41/AQ$6/(1+AQ$6)^6,"")</f>
        <v>1904.65035022395</v>
      </c>
      <c r="AR41" s="17" t="n">
        <f aca="false">IF($AC41=1,$AD41/(1+AR$6)^1+$AE41/(1+AR$6)^2+$AF41/(1+AR$6)^3+$AG41/(1+AR$6)^4+$AH41/(1+AR$6)^5+$AI41/(1+AR$6)^6+$U41/AR$6/(1+AR$6)^6,"")</f>
        <v>1150.0584625443</v>
      </c>
      <c r="AS41" s="17" t="n">
        <f aca="false">IF($AC41=1,$AD41/(1+AS$6)^1+$AE41/(1+AS$6)^2+$AF41/(1+AS$6)^3+$AG41/(1+AS$6)^4+$AH41/(1+AS$6)^5+$AI41/(1+AS$6)^6+$U41/AS$6/(1+AS$6)^6,"")</f>
        <v>906.555969565823</v>
      </c>
      <c r="AT41" s="17" t="n">
        <f aca="false">IF($AC41=1,$AD41/(1+AT$6)^1+$AE41/(1+AT$6)^2+$AF41/(1+AT$6)^3+$AG41/(1+AT$6)^4+$AH41/(1+AT$6)^5+$AI41/(1+AT$6)^6+$U41/AT$6/(1+AT$6)^6,"")</f>
        <v>748.536581626261</v>
      </c>
      <c r="AU41" s="17" t="n">
        <f aca="false">IF($AC41=1,$AD41/(1+AU$6)^1+$AE41/(1+AU$6)^2+$AF41/(1+AU$6)^3+$AG41/(1+AU$6)^4+$AH41/(1+AU$6)^5+$AI41/(1+AU$6)^6+$U41/AU$6/(1+AU$6)^6,"")</f>
        <v>595.748624173156</v>
      </c>
      <c r="AV41" s="17" t="n">
        <f aca="false">IF($AC41=1,$AD41/(1+AV$6)^1+$AE41/(1+AV$6)^2+$AF41/(1+AV$6)^3+$AG41/(1+AV$6)^4+$AH41/(1+AV$6)^5+$AI41/(1+AV$6)^6+$U41/AV$6/(1+AV$6)^6,"")</f>
        <v>450.686406893004</v>
      </c>
      <c r="AW41" s="17" t="n">
        <f aca="false">IF($AC41=1,$AD41/(1+AW$6)^1+$AE41/(1+AW$6)^2+$AF41/(1+AW$6)^3+$AG41/(1+AW$6)^4+$AH41/(1+AW$6)^5+$AI41/(1+AW$6)^6+$U41/AW$6/(1+AW$6)^6,"")</f>
        <v>316.77482991351</v>
      </c>
      <c r="AX41" s="17" t="n">
        <f aca="false">IF($AC41=1,$AD41/(1+AX$6)^1+$AE41/(1+AX$6)^2+$AF41/(1+AX$6)^3+$AG41/(1+AX$6)^4+$AH41/(1+AX$6)^5+$AI41/(1+AX$6)^6+$U41/AX$6/(1+AX$6)^6,"")</f>
        <v>5522.85487117938</v>
      </c>
      <c r="AY41" s="17" t="n">
        <f aca="false">IF($AC41=1,$AD41/(1+AY$6)^1+$AE41/(1+AY$6)^2+$AF41/(1+AY$6)^3+$AG41/(1+AY$6)^4+$AH41/(1+AY$6)^5+$AI41/(1+AY$6)^6+$U41/AY$6/(1+AY$6)^6,"")</f>
        <v>2667.79809464596</v>
      </c>
      <c r="AZ41" s="17" t="n">
        <f aca="false">IF($AC41=1,$AD41/(1+AZ$6)^1+$AE41/(1+AZ$6)^2+$AF41/(1+AZ$6)^3+$AG41/(1+AZ$6)^4+$AH41/(1+AZ$6)^5+$AI41/(1+AZ$6)^6+$U41/AZ$6/(1+AZ$6)^6,"")</f>
        <v>1270.29472102154</v>
      </c>
      <c r="BA41" s="17" t="n">
        <f aca="false">IF($AC41=1,$AD41/(1+BA$6)^1+$AE41/(1+BA$6)^2+$AF41/(1+BA$6)^3+$AG41/(1+BA$6)^4+$AH41/(1+BA$6)^5+$AI41/(1+BA$6)^6+$U41/BA$6/(1+BA$6)^6,"")</f>
        <v>614.30440921159</v>
      </c>
      <c r="BB41" s="17" t="n">
        <f aca="false">IF($AC41=1,$AD41/(1+BB$6)^1+$AE41/(1+BB$6)^2+$AF41/(1+BB$6)^3+$AG41/(1+BB$6)^4+$AH41/(1+BB$6)^5+$AI41/(1+BB$6)^6+$U41/BB$6/(1+BB$6)^6,"")</f>
        <v>317.87483066523</v>
      </c>
    </row>
    <row r="42" customFormat="false" ht="15" hidden="false" customHeight="false" outlineLevel="0" collapsed="false">
      <c r="A42" s="2" t="n">
        <v>34</v>
      </c>
      <c r="B42" s="2" t="str">
        <f aca="false">D42&amp;E42&amp;F42&amp;G42&amp;H42&amp;I42</f>
        <v>100010</v>
      </c>
      <c r="C42" s="15" t="n">
        <f aca="false">SUM(D42:I42)</f>
        <v>2</v>
      </c>
      <c r="D42" s="15" t="n">
        <f aca="false">MOD(INT($A42/32),2)</f>
        <v>1</v>
      </c>
      <c r="E42" s="15" t="n">
        <f aca="false">MOD(INT($A42/16),2)</f>
        <v>0</v>
      </c>
      <c r="F42" s="15" t="n">
        <f aca="false">MOD(INT($A42/8),2)</f>
        <v>0</v>
      </c>
      <c r="G42" s="15" t="n">
        <f aca="false">MOD(INT($A42/4),2)</f>
        <v>0</v>
      </c>
      <c r="H42" s="15" t="n">
        <f aca="false">MOD(INT($A42/2),2)</f>
        <v>1</v>
      </c>
      <c r="I42" s="15" t="n">
        <f aca="false">MOD(INT($A42/1),2)</f>
        <v>0</v>
      </c>
      <c r="J42" s="14" t="n">
        <f aca="false">E_zero+D42*(Half_gap*(Ceiling_e-E_zero)-$F$4)</f>
        <v>78</v>
      </c>
      <c r="K42" s="14" t="n">
        <f aca="false">J42+E42*(Half_gap*(Ceiling_e-J42)-$F$4)</f>
        <v>78</v>
      </c>
      <c r="L42" s="14" t="n">
        <f aca="false">K42+F42*(Half_gap*(Ceiling_e-K42)-$F$4)</f>
        <v>78</v>
      </c>
      <c r="M42" s="14" t="n">
        <f aca="false">L42+G42*(Half_gap*(Ceiling_e-L42)-$F$4)</f>
        <v>78</v>
      </c>
      <c r="N42" s="14" t="n">
        <f aca="false">M42+H42*(Half_gap*(Ceiling_e-M42)-$F$4)</f>
        <v>81.5</v>
      </c>
      <c r="O42" s="14" t="n">
        <f aca="false">N42+I42*(Half_gap*(Ceiling_e-N42)-$F$4)</f>
        <v>81.5</v>
      </c>
      <c r="P42" s="14" t="n">
        <f aca="false">Val_pt*(J42-E_zero)</f>
        <v>70</v>
      </c>
      <c r="Q42" s="14" t="n">
        <f aca="false">Val_pt*(K42-E_zero)</f>
        <v>70</v>
      </c>
      <c r="R42" s="14" t="n">
        <f aca="false">Val_pt*(L42-E_zero)</f>
        <v>70</v>
      </c>
      <c r="S42" s="14" t="n">
        <f aca="false">Val_pt*(M42-E_zero)</f>
        <v>70</v>
      </c>
      <c r="T42" s="14" t="n">
        <f aca="false">Val_pt*(N42-E_zero)</f>
        <v>105</v>
      </c>
      <c r="U42" s="14" t="n">
        <f aca="false">Val_pt*(O42-E_zero)</f>
        <v>105</v>
      </c>
      <c r="V42" s="14" t="n">
        <f aca="false">MAX(W42+Cost_round*D42-P42,IF(D42=1,Pre_q,0))</f>
        <v>470</v>
      </c>
      <c r="W42" s="14" t="n">
        <f aca="false">MAX(X42+Cost_round*E42-Q42,IF(E42=1,Pre_q,0),Floor_q)</f>
        <v>350</v>
      </c>
      <c r="X42" s="14" t="n">
        <f aca="false">MAX(Y42+Cost_round*F42-R42,IF(F42=1,Pre_q,0),Floor_q)</f>
        <v>350</v>
      </c>
      <c r="Y42" s="14" t="n">
        <f aca="false">MAX(Z42+Cost_round*G42-S42,IF(G42=1,Pre_q,0),Floor_q)</f>
        <v>400</v>
      </c>
      <c r="Z42" s="14" t="n">
        <f aca="false">MAX(AA42+Cost_round*H42-T42,IF(H42=1,Pre_q,0),Floor_q)</f>
        <v>470</v>
      </c>
      <c r="AA42" s="14" t="n">
        <f aca="false">MAX(AB42+Cost_round*I42-U42,IF(I42=1,Pre_q,0),Floor_q)</f>
        <v>365</v>
      </c>
      <c r="AB42" s="14" t="n">
        <f aca="false">MAX(End_q,Floor_q)</f>
        <v>470</v>
      </c>
      <c r="AC42" s="15" t="n">
        <f aca="false">IF(Q_zero&gt;=V42-0.000000001,1,0)</f>
        <v>1</v>
      </c>
      <c r="AD42" s="14" t="n">
        <f aca="false">IF($AC42=1,Q_zero-Cost_round*D42+P42-W42,"")</f>
        <v>220</v>
      </c>
      <c r="AE42" s="14" t="n">
        <f aca="false">IF($AC42=1,W42-Cost_round*E42+Q42-X42,"")</f>
        <v>70</v>
      </c>
      <c r="AF42" s="14" t="n">
        <f aca="false">IF($AC42=1,X42-Cost_round*F42+R42-Y42,"")</f>
        <v>20</v>
      </c>
      <c r="AG42" s="14" t="n">
        <f aca="false">IF($AC42=1,Y42-Cost_round*G42+S42-Z42,"")</f>
        <v>0</v>
      </c>
      <c r="AH42" s="14" t="n">
        <f aca="false">IF($AC42=1,Z42-Cost_round*H42+T42-AA42,"")</f>
        <v>90</v>
      </c>
      <c r="AI42" s="14" t="n">
        <f aca="false">IF($AC42=1,AA42-Cost_round*I42+U42-AB42,"")</f>
        <v>0</v>
      </c>
      <c r="AJ42" s="14" t="n">
        <f aca="false">IF($AC42=1,SUM(AD42:AI42),"")</f>
        <v>400</v>
      </c>
      <c r="AK42" s="17" t="n">
        <f aca="false">IF($AC42=1,AD42*Beta_y^1+AE42*Beta_y^2+AF42*Beta_y^3+AG42*Beta_y^4+AH42*Beta_y^5+AI42*Beta_y^6,"")</f>
        <v>328.760454762777</v>
      </c>
      <c r="AL42" s="17" t="n">
        <f aca="false">IF($AC42=1,AK42+Beta_y^6*U42/Hurdle_r,"")</f>
        <v>921.458081319243</v>
      </c>
      <c r="AM42" s="17" t="n">
        <f aca="false">IF($AC42=1,AK42,"")</f>
        <v>328.760454762777</v>
      </c>
      <c r="AN42" s="17" t="n">
        <f aca="false">IF($AC42=1,AK42+Beta_y^6*U42*(1-(1+Hurdle_r)^(-Life_yrs))/Hurdle_r,"")</f>
        <v>833.357355786591</v>
      </c>
      <c r="AO42" s="17" t="n">
        <f aca="false">IF($AC42=1,AJ42+Credit_yrs*U42,"")</f>
        <v>1450</v>
      </c>
      <c r="AP42" s="17" t="n">
        <f aca="false">IF($AC42=1,$AD42/(1+AP$6)^1+$AE42/(1+AP$6)^2+$AF42/(1+AP$6)^3+$AG42/(1+AP$6)^4+$AH42/(1+AP$6)^5+$AI42/(1+AP$6)^6+$U42/AP$6/(1+AP$6)^6,"")</f>
        <v>3306.7064688235</v>
      </c>
      <c r="AQ42" s="17" t="n">
        <f aca="false">IF($AC42=1,$AD42/(1+AQ$6)^1+$AE42/(1+AQ$6)^2+$AF42/(1+AQ$6)^3+$AG42/(1+AQ$6)^4+$AH42/(1+AQ$6)^5+$AI42/(1+AQ$6)^6+$U42/AQ$6/(1+AQ$6)^6,"")</f>
        <v>1927.86231290558</v>
      </c>
      <c r="AR42" s="17" t="n">
        <f aca="false">IF($AC42=1,$AD42/(1+AR$6)^1+$AE42/(1+AR$6)^2+$AF42/(1+AR$6)^3+$AG42/(1+AR$6)^4+$AH42/(1+AR$6)^5+$AI42/(1+AR$6)^6+$U42/AR$6/(1+AR$6)^6,"")</f>
        <v>1167.94418896234</v>
      </c>
      <c r="AS42" s="17" t="n">
        <f aca="false">IF($AC42=1,$AD42/(1+AS$6)^1+$AE42/(1+AS$6)^2+$AF42/(1+AS$6)^3+$AG42/(1+AS$6)^4+$AH42/(1+AS$6)^5+$AI42/(1+AS$6)^6+$U42/AS$6/(1+AS$6)^6,"")</f>
        <v>921.458081319243</v>
      </c>
      <c r="AT42" s="17" t="n">
        <f aca="false">IF($AC42=1,$AD42/(1+AT$6)^1+$AE42/(1+AT$6)^2+$AF42/(1+AT$6)^3+$AG42/(1+AT$6)^4+$AH42/(1+AT$6)^5+$AI42/(1+AT$6)^6+$U42/AT$6/(1+AT$6)^6,"")</f>
        <v>760.838395858241</v>
      </c>
      <c r="AU42" s="17" t="n">
        <f aca="false">IF($AC42=1,$AD42/(1+AU$6)^1+$AE42/(1+AU$6)^2+$AF42/(1+AU$6)^3+$AG42/(1+AU$6)^4+$AH42/(1+AU$6)^5+$AI42/(1+AU$6)^6+$U42/AU$6/(1+AU$6)^6,"")</f>
        <v>604.759952500437</v>
      </c>
      <c r="AV42" s="17" t="n">
        <f aca="false">IF($AC42=1,$AD42/(1+AV$6)^1+$AE42/(1+AV$6)^2+$AF42/(1+AV$6)^3+$AG42/(1+AV$6)^4+$AH42/(1+AV$6)^5+$AI42/(1+AV$6)^6+$U42/AV$6/(1+AV$6)^6,"")</f>
        <v>455.508937757202</v>
      </c>
      <c r="AW42" s="17" t="n">
        <f aca="false">IF($AC42=1,$AD42/(1+AW$6)^1+$AE42/(1+AW$6)^2+$AF42/(1+AW$6)^3+$AG42/(1+AW$6)^4+$AH42/(1+AW$6)^5+$AI42/(1+AW$6)^6+$U42/AW$6/(1+AW$6)^6,"")</f>
        <v>316.505500839167</v>
      </c>
      <c r="AX42" s="17" t="n">
        <f aca="false">IF($AC42=1,$AD42/(1+AX$6)^1+$AE42/(1+AX$6)^2+$AF42/(1+AX$6)^3+$AG42/(1+AX$6)^4+$AH42/(1+AX$6)^5+$AI42/(1+AX$6)^6+$U42/AX$6/(1+AX$6)^6,"")</f>
        <v>5553.06813414875</v>
      </c>
      <c r="AY42" s="17" t="n">
        <f aca="false">IF($AC42=1,$AD42/(1+AY$6)^1+$AE42/(1+AY$6)^2+$AF42/(1+AY$6)^3+$AG42/(1+AY$6)^4+$AH42/(1+AY$6)^5+$AI42/(1+AY$6)^6+$U42/AY$6/(1+AY$6)^6,"")</f>
        <v>2693.80428603753</v>
      </c>
      <c r="AZ42" s="17" t="n">
        <f aca="false">IF($AC42=1,$AD42/(1+AZ$6)^1+$AE42/(1+AZ$6)^2+$AF42/(1+AZ$6)^3+$AG42/(1+AZ$6)^4+$AH42/(1+AZ$6)^5+$AI42/(1+AZ$6)^6+$U42/AZ$6/(1+AZ$6)^6,"")</f>
        <v>1289.33990401115</v>
      </c>
      <c r="BA42" s="17" t="n">
        <f aca="false">IF($AC42=1,$AD42/(1+BA$6)^1+$AE42/(1+BA$6)^2+$AF42/(1+BA$6)^3+$AG42/(1+BA$6)^4+$AH42/(1+BA$6)^5+$AI42/(1+BA$6)^6+$U42/BA$6/(1+BA$6)^6,"")</f>
        <v>623.767694876626</v>
      </c>
      <c r="BB42" s="17" t="n">
        <f aca="false">IF($AC42=1,$AD42/(1+BB$6)^1+$AE42/(1+BB$6)^2+$AF42/(1+BB$6)^3+$AG42/(1+BB$6)^4+$AH42/(1+BB$6)^5+$AI42/(1+BB$6)^6+$U42/BB$6/(1+BB$6)^6,"")</f>
        <v>317.651248043655</v>
      </c>
    </row>
    <row r="43" customFormat="false" ht="15" hidden="false" customHeight="false" outlineLevel="0" collapsed="false">
      <c r="A43" s="2" t="n">
        <v>35</v>
      </c>
      <c r="B43" s="2" t="str">
        <f aca="false">D43&amp;E43&amp;F43&amp;G43&amp;H43&amp;I43</f>
        <v>100011</v>
      </c>
      <c r="C43" s="15" t="n">
        <f aca="false">SUM(D43:I43)</f>
        <v>3</v>
      </c>
      <c r="D43" s="15" t="n">
        <f aca="false">MOD(INT($A43/32),2)</f>
        <v>1</v>
      </c>
      <c r="E43" s="15" t="n">
        <f aca="false">MOD(INT($A43/16),2)</f>
        <v>0</v>
      </c>
      <c r="F43" s="15" t="n">
        <f aca="false">MOD(INT($A43/8),2)</f>
        <v>0</v>
      </c>
      <c r="G43" s="15" t="n">
        <f aca="false">MOD(INT($A43/4),2)</f>
        <v>0</v>
      </c>
      <c r="H43" s="15" t="n">
        <f aca="false">MOD(INT($A43/2),2)</f>
        <v>1</v>
      </c>
      <c r="I43" s="15" t="n">
        <f aca="false">MOD(INT($A43/1),2)</f>
        <v>1</v>
      </c>
      <c r="J43" s="14" t="n">
        <f aca="false">E_zero+D43*(Half_gap*(Ceiling_e-E_zero)-$F$4)</f>
        <v>78</v>
      </c>
      <c r="K43" s="14" t="n">
        <f aca="false">J43+E43*(Half_gap*(Ceiling_e-J43)-$F$4)</f>
        <v>78</v>
      </c>
      <c r="L43" s="14" t="n">
        <f aca="false">K43+F43*(Half_gap*(Ceiling_e-K43)-$F$4)</f>
        <v>78</v>
      </c>
      <c r="M43" s="14" t="n">
        <f aca="false">L43+G43*(Half_gap*(Ceiling_e-L43)-$F$4)</f>
        <v>78</v>
      </c>
      <c r="N43" s="14" t="n">
        <f aca="false">M43+H43*(Half_gap*(Ceiling_e-M43)-$F$4)</f>
        <v>81.5</v>
      </c>
      <c r="O43" s="14" t="n">
        <f aca="false">N43+I43*(Half_gap*(Ceiling_e-N43)-$F$4)</f>
        <v>83.25</v>
      </c>
      <c r="P43" s="14" t="n">
        <f aca="false">Val_pt*(J43-E_zero)</f>
        <v>70</v>
      </c>
      <c r="Q43" s="14" t="n">
        <f aca="false">Val_pt*(K43-E_zero)</f>
        <v>70</v>
      </c>
      <c r="R43" s="14" t="n">
        <f aca="false">Val_pt*(L43-E_zero)</f>
        <v>70</v>
      </c>
      <c r="S43" s="14" t="n">
        <f aca="false">Val_pt*(M43-E_zero)</f>
        <v>70</v>
      </c>
      <c r="T43" s="14" t="n">
        <f aca="false">Val_pt*(N43-E_zero)</f>
        <v>105</v>
      </c>
      <c r="U43" s="14" t="n">
        <f aca="false">Val_pt*(O43-E_zero)</f>
        <v>122.5</v>
      </c>
      <c r="V43" s="14" t="n">
        <f aca="false">MAX(W43+Cost_round*D43-P43,IF(D43=1,Pre_q,0))</f>
        <v>470</v>
      </c>
      <c r="W43" s="14" t="n">
        <f aca="false">MAX(X43+Cost_round*E43-Q43,IF(E43=1,Pre_q,0),Floor_q)</f>
        <v>350</v>
      </c>
      <c r="X43" s="14" t="n">
        <f aca="false">MAX(Y43+Cost_round*F43-R43,IF(F43=1,Pre_q,0),Floor_q)</f>
        <v>350</v>
      </c>
      <c r="Y43" s="14" t="n">
        <f aca="false">MAX(Z43+Cost_round*G43-S43,IF(G43=1,Pre_q,0),Floor_q)</f>
        <v>415</v>
      </c>
      <c r="Z43" s="14" t="n">
        <f aca="false">MAX(AA43+Cost_round*H43-T43,IF(H43=1,Pre_q,0),Floor_q)</f>
        <v>485</v>
      </c>
      <c r="AA43" s="14" t="n">
        <f aca="false">MAX(AB43+Cost_round*I43-U43,IF(I43=1,Pre_q,0),Floor_q)</f>
        <v>470</v>
      </c>
      <c r="AB43" s="14" t="n">
        <f aca="false">MAX(End_q,Floor_q)</f>
        <v>470</v>
      </c>
      <c r="AC43" s="15" t="n">
        <f aca="false">IF(Q_zero&gt;=V43-0.000000001,1,0)</f>
        <v>1</v>
      </c>
      <c r="AD43" s="14" t="n">
        <f aca="false">IF($AC43=1,Q_zero-Cost_round*D43+P43-W43,"")</f>
        <v>220</v>
      </c>
      <c r="AE43" s="14" t="n">
        <f aca="false">IF($AC43=1,W43-Cost_round*E43+Q43-X43,"")</f>
        <v>70</v>
      </c>
      <c r="AF43" s="14" t="n">
        <f aca="false">IF($AC43=1,X43-Cost_round*F43+R43-Y43,"")</f>
        <v>5</v>
      </c>
      <c r="AG43" s="14" t="n">
        <f aca="false">IF($AC43=1,Y43-Cost_round*G43+S43-Z43,"")</f>
        <v>0</v>
      </c>
      <c r="AH43" s="14" t="n">
        <f aca="false">IF($AC43=1,Z43-Cost_round*H43+T43-AA43,"")</f>
        <v>0</v>
      </c>
      <c r="AI43" s="14" t="n">
        <f aca="false">IF($AC43=1,AA43-Cost_round*I43+U43-AB43,"")</f>
        <v>2.5</v>
      </c>
      <c r="AJ43" s="14" t="n">
        <f aca="false">IF($AC43=1,SUM(AD43:AI43),"")</f>
        <v>297.5</v>
      </c>
      <c r="AK43" s="17" t="n">
        <f aca="false">IF($AC43=1,AD43*Beta_y^1+AE43*Beta_y^2+AF43*Beta_y^3+AG43*Beta_y^4+AH43*Beta_y^5+AI43*Beta_y^6,"")</f>
        <v>263.018998499064</v>
      </c>
      <c r="AL43" s="17" t="n">
        <f aca="false">IF($AC43=1,AK43+Beta_y^6*U43/Hurdle_r,"")</f>
        <v>954.499562814941</v>
      </c>
      <c r="AM43" s="17" t="n">
        <f aca="false">IF($AC43=1,AK43,"")</f>
        <v>263.018998499064</v>
      </c>
      <c r="AN43" s="17" t="n">
        <f aca="false">IF($AC43=1,AK43+Beta_y^6*U43*(1-(1+Hurdle_r)^(-Life_yrs))/Hurdle_r,"")</f>
        <v>851.715383026847</v>
      </c>
      <c r="AO43" s="17" t="n">
        <f aca="false">IF($AC43=1,AJ43+Credit_yrs*U43,"")</f>
        <v>1522.5</v>
      </c>
      <c r="AP43" s="17" t="n">
        <f aca="false">IF($AC43=1,$AD43/(1+AP$6)^1+$AE43/(1+AP$6)^2+$AF43/(1+AP$6)^3+$AG43/(1+AP$6)^4+$AH43/(1+AP$6)^5+$AI43/(1+AP$6)^6+$U43/AP$6/(1+AP$6)^6,"")</f>
        <v>3705.9707470458</v>
      </c>
      <c r="AQ43" s="17" t="n">
        <f aca="false">IF($AC43=1,$AD43/(1+AQ$6)^1+$AE43/(1+AQ$6)^2+$AF43/(1+AQ$6)^3+$AG43/(1+AQ$6)^4+$AH43/(1+AQ$6)^5+$AI43/(1+AQ$6)^6+$U43/AQ$6/(1+AQ$6)^6,"")</f>
        <v>2107.42832125986</v>
      </c>
      <c r="AR43" s="17" t="n">
        <f aca="false">IF($AC43=1,$AD43/(1+AR$6)^1+$AE43/(1+AR$6)^2+$AF43/(1+AR$6)^3+$AG43/(1+AR$6)^4+$AH43/(1+AR$6)^5+$AI43/(1+AR$6)^6+$U43/AR$6/(1+AR$6)^6,"")</f>
        <v>1234.20924756189</v>
      </c>
      <c r="AS43" s="17" t="n">
        <f aca="false">IF($AC43=1,$AD43/(1+AS$6)^1+$AE43/(1+AS$6)^2+$AF43/(1+AS$6)^3+$AG43/(1+AS$6)^4+$AH43/(1+AS$6)^5+$AI43/(1+AS$6)^6+$U43/AS$6/(1+AS$6)^6,"")</f>
        <v>954.499562814941</v>
      </c>
      <c r="AT43" s="17" t="n">
        <f aca="false">IF($AC43=1,$AD43/(1+AT$6)^1+$AE43/(1+AT$6)^2+$AF43/(1+AT$6)^3+$AG43/(1+AT$6)^4+$AH43/(1+AT$6)^5+$AI43/(1+AT$6)^6+$U43/AT$6/(1+AT$6)^6,"")</f>
        <v>774.243558101001</v>
      </c>
      <c r="AU43" s="17" t="n">
        <f aca="false">IF($AC43=1,$AD43/(1+AU$6)^1+$AE43/(1+AU$6)^2+$AF43/(1+AU$6)^3+$AG43/(1+AU$6)^4+$AH43/(1+AU$6)^5+$AI43/(1+AU$6)^6+$U43/AU$6/(1+AU$6)^6,"")</f>
        <v>601.670341349905</v>
      </c>
      <c r="AV43" s="17" t="n">
        <f aca="false">IF($AC43=1,$AD43/(1+AV$6)^1+$AE43/(1+AV$6)^2+$AF43/(1+AV$6)^3+$AG43/(1+AV$6)^4+$AH43/(1+AV$6)^5+$AI43/(1+AV$6)^6+$U43/AV$6/(1+AV$6)^6,"")</f>
        <v>440.800218621399</v>
      </c>
      <c r="AW43" s="17" t="n">
        <f aca="false">IF($AC43=1,$AD43/(1+AW$6)^1+$AE43/(1+AW$6)^2+$AF43/(1+AW$6)^3+$AG43/(1+AW$6)^4+$AH43/(1+AW$6)^5+$AI43/(1+AW$6)^6+$U43/AW$6/(1+AW$6)^6,"")</f>
        <v>298.041611618221</v>
      </c>
      <c r="AX43" s="17" t="n">
        <f aca="false">IF($AC43=1,$AD43/(1+AX$6)^1+$AE43/(1+AX$6)^2+$AF43/(1+AX$6)^3+$AG43/(1+AX$6)^4+$AH43/(1+AX$6)^5+$AI43/(1+AX$6)^6+$U43/AX$6/(1+AX$6)^6,"")</f>
        <v>6320.26199032304</v>
      </c>
      <c r="AY43" s="17" t="n">
        <f aca="false">IF($AC43=1,$AD43/(1+AY$6)^1+$AE43/(1+AY$6)^2+$AF43/(1+AY$6)^3+$AG43/(1+AY$6)^4+$AH43/(1+AY$6)^5+$AI43/(1+AY$6)^6+$U43/AY$6/(1+AY$6)^6,"")</f>
        <v>2994.29820727073</v>
      </c>
      <c r="AZ43" s="17" t="n">
        <f aca="false">IF($AC43=1,$AD43/(1+AZ$6)^1+$AE43/(1+AZ$6)^2+$AF43/(1+AZ$6)^3+$AG43/(1+AZ$6)^4+$AH43/(1+AZ$6)^5+$AI43/(1+AZ$6)^6+$U43/AZ$6/(1+AZ$6)^6,"")</f>
        <v>1372.86396028576</v>
      </c>
      <c r="BA43" s="17" t="n">
        <f aca="false">IF($AC43=1,$AD43/(1+BA$6)^1+$AE43/(1+BA$6)^2+$AF43/(1+BA$6)^3+$AG43/(1+BA$6)^4+$AH43/(1+BA$6)^5+$AI43/(1+BA$6)^6+$U43/BA$6/(1+BA$6)^6,"")</f>
        <v>622.500131150923</v>
      </c>
      <c r="BB43" s="17" t="n">
        <f aca="false">IF($AC43=1,$AD43/(1+BB$6)^1+$AE43/(1+BB$6)^2+$AF43/(1+BB$6)^3+$AG43/(1+BB$6)^4+$AH43/(1+BB$6)^5+$AI43/(1+BB$6)^6+$U43/BB$6/(1+BB$6)^6,"")</f>
        <v>299.174178467221</v>
      </c>
    </row>
    <row r="44" customFormat="false" ht="15" hidden="false" customHeight="false" outlineLevel="0" collapsed="false">
      <c r="A44" s="2" t="n">
        <v>36</v>
      </c>
      <c r="B44" s="2" t="str">
        <f aca="false">D44&amp;E44&amp;F44&amp;G44&amp;H44&amp;I44</f>
        <v>100100</v>
      </c>
      <c r="C44" s="15" t="n">
        <f aca="false">SUM(D44:I44)</f>
        <v>2</v>
      </c>
      <c r="D44" s="15" t="n">
        <f aca="false">MOD(INT($A44/32),2)</f>
        <v>1</v>
      </c>
      <c r="E44" s="15" t="n">
        <f aca="false">MOD(INT($A44/16),2)</f>
        <v>0</v>
      </c>
      <c r="F44" s="15" t="n">
        <f aca="false">MOD(INT($A44/8),2)</f>
        <v>0</v>
      </c>
      <c r="G44" s="15" t="n">
        <f aca="false">MOD(INT($A44/4),2)</f>
        <v>1</v>
      </c>
      <c r="H44" s="15" t="n">
        <f aca="false">MOD(INT($A44/2),2)</f>
        <v>0</v>
      </c>
      <c r="I44" s="15" t="n">
        <f aca="false">MOD(INT($A44/1),2)</f>
        <v>0</v>
      </c>
      <c r="J44" s="14" t="n">
        <f aca="false">E_zero+D44*(Half_gap*(Ceiling_e-E_zero)-$F$4)</f>
        <v>78</v>
      </c>
      <c r="K44" s="14" t="n">
        <f aca="false">J44+E44*(Half_gap*(Ceiling_e-J44)-$F$4)</f>
        <v>78</v>
      </c>
      <c r="L44" s="14" t="n">
        <f aca="false">K44+F44*(Half_gap*(Ceiling_e-K44)-$F$4)</f>
        <v>78</v>
      </c>
      <c r="M44" s="14" t="n">
        <f aca="false">L44+G44*(Half_gap*(Ceiling_e-L44)-$F$4)</f>
        <v>81.5</v>
      </c>
      <c r="N44" s="14" t="n">
        <f aca="false">M44+H44*(Half_gap*(Ceiling_e-M44)-$F$4)</f>
        <v>81.5</v>
      </c>
      <c r="O44" s="14" t="n">
        <f aca="false">N44+I44*(Half_gap*(Ceiling_e-N44)-$F$4)</f>
        <v>81.5</v>
      </c>
      <c r="P44" s="14" t="n">
        <f aca="false">Val_pt*(J44-E_zero)</f>
        <v>70</v>
      </c>
      <c r="Q44" s="14" t="n">
        <f aca="false">Val_pt*(K44-E_zero)</f>
        <v>70</v>
      </c>
      <c r="R44" s="14" t="n">
        <f aca="false">Val_pt*(L44-E_zero)</f>
        <v>70</v>
      </c>
      <c r="S44" s="14" t="n">
        <f aca="false">Val_pt*(M44-E_zero)</f>
        <v>105</v>
      </c>
      <c r="T44" s="14" t="n">
        <f aca="false">Val_pt*(N44-E_zero)</f>
        <v>105</v>
      </c>
      <c r="U44" s="14" t="n">
        <f aca="false">Val_pt*(O44-E_zero)</f>
        <v>105</v>
      </c>
      <c r="V44" s="14" t="n">
        <f aca="false">MAX(W44+Cost_round*D44-P44,IF(D44=1,Pre_q,0))</f>
        <v>470</v>
      </c>
      <c r="W44" s="14" t="n">
        <f aca="false">MAX(X44+Cost_round*E44-Q44,IF(E44=1,Pre_q,0),Floor_q)</f>
        <v>350</v>
      </c>
      <c r="X44" s="14" t="n">
        <f aca="false">MAX(Y44+Cost_round*F44-R44,IF(F44=1,Pre_q,0),Floor_q)</f>
        <v>400</v>
      </c>
      <c r="Y44" s="14" t="n">
        <f aca="false">MAX(Z44+Cost_round*G44-S44,IF(G44=1,Pre_q,0),Floor_q)</f>
        <v>470</v>
      </c>
      <c r="Z44" s="14" t="n">
        <f aca="false">MAX(AA44+Cost_round*H44-T44,IF(H44=1,Pre_q,0),Floor_q)</f>
        <v>350</v>
      </c>
      <c r="AA44" s="14" t="n">
        <f aca="false">MAX(AB44+Cost_round*I44-U44,IF(I44=1,Pre_q,0),Floor_q)</f>
        <v>365</v>
      </c>
      <c r="AB44" s="14" t="n">
        <f aca="false">MAX(End_q,Floor_q)</f>
        <v>470</v>
      </c>
      <c r="AC44" s="15" t="n">
        <f aca="false">IF(Q_zero&gt;=V44-0.000000001,1,0)</f>
        <v>1</v>
      </c>
      <c r="AD44" s="14" t="n">
        <f aca="false">IF($AC44=1,Q_zero-Cost_round*D44+P44-W44,"")</f>
        <v>220</v>
      </c>
      <c r="AE44" s="14" t="n">
        <f aca="false">IF($AC44=1,W44-Cost_round*E44+Q44-X44,"")</f>
        <v>20</v>
      </c>
      <c r="AF44" s="14" t="n">
        <f aca="false">IF($AC44=1,X44-Cost_round*F44+R44-Y44,"")</f>
        <v>0</v>
      </c>
      <c r="AG44" s="14" t="n">
        <f aca="false">IF($AC44=1,Y44-Cost_round*G44+S44-Z44,"")</f>
        <v>105</v>
      </c>
      <c r="AH44" s="14" t="n">
        <f aca="false">IF($AC44=1,Z44-Cost_round*H44+T44-AA44,"")</f>
        <v>90</v>
      </c>
      <c r="AI44" s="14" t="n">
        <f aca="false">IF($AC44=1,AA44-Cost_round*I44+U44-AB44,"")</f>
        <v>0</v>
      </c>
      <c r="AJ44" s="14" t="n">
        <f aca="false">IF($AC44=1,SUM(AD44:AI44),"")</f>
        <v>435</v>
      </c>
      <c r="AK44" s="17" t="n">
        <f aca="false">IF($AC44=1,AD44*Beta_y^1+AE44*Beta_y^2+AF44*Beta_y^3+AG44*Beta_y^4+AH44*Beta_y^5+AI44*Beta_y^6,"")</f>
        <v>344.128257508491</v>
      </c>
      <c r="AL44" s="17" t="n">
        <f aca="false">IF($AC44=1,AK44+Beta_y^6*U44/Hurdle_r,"")</f>
        <v>936.825884064957</v>
      </c>
      <c r="AM44" s="17" t="n">
        <f aca="false">IF($AC44=1,AK44,"")</f>
        <v>344.128257508491</v>
      </c>
      <c r="AN44" s="17" t="n">
        <f aca="false">IF($AC44=1,AK44+Beta_y^6*U44*(1-(1+Hurdle_r)^(-Life_yrs))/Hurdle_r,"")</f>
        <v>848.725158532305</v>
      </c>
      <c r="AO44" s="17" t="n">
        <f aca="false">IF($AC44=1,AJ44+Credit_yrs*U44,"")</f>
        <v>1485</v>
      </c>
      <c r="AP44" s="17" t="n">
        <f aca="false">IF($AC44=1,$AD44/(1+AP$6)^1+$AE44/(1+AP$6)^2+$AF44/(1+AP$6)^3+$AG44/(1+AP$6)^4+$AH44/(1+AP$6)^5+$AI44/(1+AP$6)^6+$U44/AP$6/(1+AP$6)^6,"")</f>
        <v>3334.5649802109</v>
      </c>
      <c r="AQ44" s="17" t="n">
        <f aca="false">IF($AC44=1,$AD44/(1+AQ$6)^1+$AE44/(1+AQ$6)^2+$AF44/(1+AQ$6)^3+$AG44/(1+AQ$6)^4+$AH44/(1+AQ$6)^5+$AI44/(1+AQ$6)^6+$U44/AQ$6/(1+AQ$6)^6,"")</f>
        <v>1951.6178468652</v>
      </c>
      <c r="AR44" s="17" t="n">
        <f aca="false">IF($AC44=1,$AD44/(1+AR$6)^1+$AE44/(1+AR$6)^2+$AF44/(1+AR$6)^3+$AG44/(1+AR$6)^4+$AH44/(1+AR$6)^5+$AI44/(1+AR$6)^6+$U44/AR$6/(1+AR$6)^6,"")</f>
        <v>1186.37873767048</v>
      </c>
      <c r="AS44" s="17" t="n">
        <f aca="false">IF($AC44=1,$AD44/(1+AS$6)^1+$AE44/(1+AS$6)^2+$AF44/(1+AS$6)^3+$AG44/(1+AS$6)^4+$AH44/(1+AS$6)^5+$AI44/(1+AS$6)^6+$U44/AS$6/(1+AS$6)^6,"")</f>
        <v>936.825884064957</v>
      </c>
      <c r="AT44" s="17" t="n">
        <f aca="false">IF($AC44=1,$AD44/(1+AT$6)^1+$AE44/(1+AT$6)^2+$AF44/(1+AT$6)^3+$AG44/(1+AT$6)^4+$AH44/(1+AT$6)^5+$AI44/(1+AT$6)^6+$U44/AT$6/(1+AT$6)^6,"")</f>
        <v>773.472495256929</v>
      </c>
      <c r="AU44" s="17" t="n">
        <f aca="false">IF($AC44=1,$AD44/(1+AU$6)^1+$AE44/(1+AU$6)^2+$AF44/(1+AU$6)^3+$AG44/(1+AU$6)^4+$AH44/(1+AU$6)^5+$AI44/(1+AU$6)^6+$U44/AU$6/(1+AU$6)^6,"")</f>
        <v>613.836535274227</v>
      </c>
      <c r="AV44" s="17" t="n">
        <f aca="false">IF($AC44=1,$AD44/(1+AV$6)^1+$AE44/(1+AV$6)^2+$AF44/(1+AV$6)^3+$AG44/(1+AV$6)^4+$AH44/(1+AV$6)^5+$AI44/(1+AV$6)^6+$U44/AV$6/(1+AV$6)^6,"")</f>
        <v>459.849215534979</v>
      </c>
      <c r="AW44" s="17" t="n">
        <f aca="false">IF($AC44=1,$AD44/(1+AW$6)^1+$AE44/(1+AW$6)^2+$AF44/(1+AW$6)^3+$AG44/(1+AW$6)^4+$AH44/(1+AW$6)^5+$AI44/(1+AW$6)^6+$U44/AW$6/(1+AW$6)^6,"")</f>
        <v>314.579797957616</v>
      </c>
      <c r="AX44" s="17" t="n">
        <f aca="false">IF($AC44=1,$AD44/(1+AX$6)^1+$AE44/(1+AX$6)^2+$AF44/(1+AX$6)^3+$AG44/(1+AX$6)^4+$AH44/(1+AX$6)^5+$AI44/(1+AX$6)^6+$U44/AX$6/(1+AX$6)^6,"")</f>
        <v>5583.57778383637</v>
      </c>
      <c r="AY44" s="17" t="n">
        <f aca="false">IF($AC44=1,$AD44/(1+AY$6)^1+$AE44/(1+AY$6)^2+$AF44/(1+AY$6)^3+$AG44/(1+AY$6)^4+$AH44/(1+AY$6)^5+$AI44/(1+AY$6)^6+$U44/AY$6/(1+AY$6)^6,"")</f>
        <v>2720.28472640252</v>
      </c>
      <c r="AZ44" s="17" t="n">
        <f aca="false">IF($AC44=1,$AD44/(1+AZ$6)^1+$AE44/(1+AZ$6)^2+$AF44/(1+AZ$6)^3+$AG44/(1+AZ$6)^4+$AH44/(1+AZ$6)^5+$AI44/(1+AZ$6)^6+$U44/AZ$6/(1+AZ$6)^6,"")</f>
        <v>1308.94841795973</v>
      </c>
      <c r="BA44" s="17" t="n">
        <f aca="false">IF($AC44=1,$AD44/(1+BA$6)^1+$AE44/(1+BA$6)^2+$AF44/(1+BA$6)^3+$AG44/(1+BA$6)^4+$AH44/(1+BA$6)^5+$AI44/(1+BA$6)^6+$U44/BA$6/(1+BA$6)^6,"")</f>
        <v>633.340298612599</v>
      </c>
      <c r="BB44" s="17" t="n">
        <f aca="false">IF($AC44=1,$AD44/(1+BB$6)^1+$AE44/(1+BB$6)^2+$AF44/(1+BB$6)^3+$AG44/(1+BB$6)^4+$AH44/(1+BB$6)^5+$AI44/(1+BB$6)^6+$U44/BB$6/(1+BB$6)^6,"")</f>
        <v>315.785836033558</v>
      </c>
    </row>
    <row r="45" customFormat="false" ht="15" hidden="false" customHeight="false" outlineLevel="0" collapsed="false">
      <c r="A45" s="2" t="n">
        <v>37</v>
      </c>
      <c r="B45" s="2" t="str">
        <f aca="false">D45&amp;E45&amp;F45&amp;G45&amp;H45&amp;I45</f>
        <v>100101</v>
      </c>
      <c r="C45" s="15" t="n">
        <f aca="false">SUM(D45:I45)</f>
        <v>3</v>
      </c>
      <c r="D45" s="15" t="n">
        <f aca="false">MOD(INT($A45/32),2)</f>
        <v>1</v>
      </c>
      <c r="E45" s="15" t="n">
        <f aca="false">MOD(INT($A45/16),2)</f>
        <v>0</v>
      </c>
      <c r="F45" s="15" t="n">
        <f aca="false">MOD(INT($A45/8),2)</f>
        <v>0</v>
      </c>
      <c r="G45" s="15" t="n">
        <f aca="false">MOD(INT($A45/4),2)</f>
        <v>1</v>
      </c>
      <c r="H45" s="15" t="n">
        <f aca="false">MOD(INT($A45/2),2)</f>
        <v>0</v>
      </c>
      <c r="I45" s="15" t="n">
        <f aca="false">MOD(INT($A45/1),2)</f>
        <v>1</v>
      </c>
      <c r="J45" s="14" t="n">
        <f aca="false">E_zero+D45*(Half_gap*(Ceiling_e-E_zero)-$F$4)</f>
        <v>78</v>
      </c>
      <c r="K45" s="14" t="n">
        <f aca="false">J45+E45*(Half_gap*(Ceiling_e-J45)-$F$4)</f>
        <v>78</v>
      </c>
      <c r="L45" s="14" t="n">
        <f aca="false">K45+F45*(Half_gap*(Ceiling_e-K45)-$F$4)</f>
        <v>78</v>
      </c>
      <c r="M45" s="14" t="n">
        <f aca="false">L45+G45*(Half_gap*(Ceiling_e-L45)-$F$4)</f>
        <v>81.5</v>
      </c>
      <c r="N45" s="14" t="n">
        <f aca="false">M45+H45*(Half_gap*(Ceiling_e-M45)-$F$4)</f>
        <v>81.5</v>
      </c>
      <c r="O45" s="14" t="n">
        <f aca="false">N45+I45*(Half_gap*(Ceiling_e-N45)-$F$4)</f>
        <v>83.25</v>
      </c>
      <c r="P45" s="14" t="n">
        <f aca="false">Val_pt*(J45-E_zero)</f>
        <v>70</v>
      </c>
      <c r="Q45" s="14" t="n">
        <f aca="false">Val_pt*(K45-E_zero)</f>
        <v>70</v>
      </c>
      <c r="R45" s="14" t="n">
        <f aca="false">Val_pt*(L45-E_zero)</f>
        <v>70</v>
      </c>
      <c r="S45" s="14" t="n">
        <f aca="false">Val_pt*(M45-E_zero)</f>
        <v>105</v>
      </c>
      <c r="T45" s="14" t="n">
        <f aca="false">Val_pt*(N45-E_zero)</f>
        <v>105</v>
      </c>
      <c r="U45" s="14" t="n">
        <f aca="false">Val_pt*(O45-E_zero)</f>
        <v>122.5</v>
      </c>
      <c r="V45" s="14" t="n">
        <f aca="false">MAX(W45+Cost_round*D45-P45,IF(D45=1,Pre_q,0))</f>
        <v>470</v>
      </c>
      <c r="W45" s="14" t="n">
        <f aca="false">MAX(X45+Cost_round*E45-Q45,IF(E45=1,Pre_q,0),Floor_q)</f>
        <v>350</v>
      </c>
      <c r="X45" s="14" t="n">
        <f aca="false">MAX(Y45+Cost_round*F45-R45,IF(F45=1,Pre_q,0),Floor_q)</f>
        <v>400</v>
      </c>
      <c r="Y45" s="14" t="n">
        <f aca="false">MAX(Z45+Cost_round*G45-S45,IF(G45=1,Pre_q,0),Floor_q)</f>
        <v>470</v>
      </c>
      <c r="Z45" s="14" t="n">
        <f aca="false">MAX(AA45+Cost_round*H45-T45,IF(H45=1,Pre_q,0),Floor_q)</f>
        <v>365</v>
      </c>
      <c r="AA45" s="14" t="n">
        <f aca="false">MAX(AB45+Cost_round*I45-U45,IF(I45=1,Pre_q,0),Floor_q)</f>
        <v>470</v>
      </c>
      <c r="AB45" s="14" t="n">
        <f aca="false">MAX(End_q,Floor_q)</f>
        <v>470</v>
      </c>
      <c r="AC45" s="15" t="n">
        <f aca="false">IF(Q_zero&gt;=V45-0.000000001,1,0)</f>
        <v>1</v>
      </c>
      <c r="AD45" s="14" t="n">
        <f aca="false">IF($AC45=1,Q_zero-Cost_round*D45+P45-W45,"")</f>
        <v>220</v>
      </c>
      <c r="AE45" s="14" t="n">
        <f aca="false">IF($AC45=1,W45-Cost_round*E45+Q45-X45,"")</f>
        <v>20</v>
      </c>
      <c r="AF45" s="14" t="n">
        <f aca="false">IF($AC45=1,X45-Cost_round*F45+R45-Y45,"")</f>
        <v>0</v>
      </c>
      <c r="AG45" s="14" t="n">
        <f aca="false">IF($AC45=1,Y45-Cost_round*G45+S45-Z45,"")</f>
        <v>90</v>
      </c>
      <c r="AH45" s="14" t="n">
        <f aca="false">IF($AC45=1,Z45-Cost_round*H45+T45-AA45,"")</f>
        <v>0</v>
      </c>
      <c r="AI45" s="14" t="n">
        <f aca="false">IF($AC45=1,AA45-Cost_round*I45+U45-AB45,"")</f>
        <v>2.5</v>
      </c>
      <c r="AJ45" s="14" t="n">
        <f aca="false">IF($AC45=1,SUM(AD45:AI45),"")</f>
        <v>332.5</v>
      </c>
      <c r="AK45" s="17" t="n">
        <f aca="false">IF($AC45=1,AD45*Beta_y^1+AE45*Beta_y^2+AF45*Beta_y^3+AG45*Beta_y^4+AH45*Beta_y^5+AI45*Beta_y^6,"")</f>
        <v>279.411321427826</v>
      </c>
      <c r="AL45" s="17" t="n">
        <f aca="false">IF($AC45=1,AK45+Beta_y^6*U45/Hurdle_r,"")</f>
        <v>970.891885743703</v>
      </c>
      <c r="AM45" s="17" t="n">
        <f aca="false">IF($AC45=1,AK45,"")</f>
        <v>279.411321427826</v>
      </c>
      <c r="AN45" s="17" t="n">
        <f aca="false">IF($AC45=1,AK45+Beta_y^6*U45*(1-(1+Hurdle_r)^(-Life_yrs))/Hurdle_r,"")</f>
        <v>868.107705955609</v>
      </c>
      <c r="AO45" s="17" t="n">
        <f aca="false">IF($AC45=1,AJ45+Credit_yrs*U45,"")</f>
        <v>1557.5</v>
      </c>
      <c r="AP45" s="17" t="n">
        <f aca="false">IF($AC45=1,$AD45/(1+AP$6)^1+$AE45/(1+AP$6)^2+$AF45/(1+AP$6)^3+$AG45/(1+AP$6)^4+$AH45/(1+AP$6)^5+$AI45/(1+AP$6)^6+$U45/AP$6/(1+AP$6)^6,"")</f>
        <v>3734.22907760476</v>
      </c>
      <c r="AQ45" s="17" t="n">
        <f aca="false">IF($AC45=1,$AD45/(1+AQ$6)^1+$AE45/(1+AQ$6)^2+$AF45/(1+AQ$6)^3+$AG45/(1+AQ$6)^4+$AH45/(1+AQ$6)^5+$AI45/(1+AQ$6)^6+$U45/AQ$6/(1+AQ$6)^6,"")</f>
        <v>2131.80088207557</v>
      </c>
      <c r="AR45" s="17" t="n">
        <f aca="false">IF($AC45=1,$AD45/(1+AR$6)^1+$AE45/(1+AR$6)^2+$AF45/(1+AR$6)^3+$AG45/(1+AR$6)^4+$AH45/(1+AR$6)^5+$AI45/(1+AR$6)^6+$U45/AR$6/(1+AR$6)^6,"")</f>
        <v>1253.52583209338</v>
      </c>
      <c r="AS45" s="17" t="n">
        <f aca="false">IF($AC45=1,$AD45/(1+AS$6)^1+$AE45/(1+AS$6)^2+$AF45/(1+AS$6)^3+$AG45/(1+AS$6)^4+$AH45/(1+AS$6)^5+$AI45/(1+AS$6)^6+$U45/AS$6/(1+AS$6)^6,"")</f>
        <v>970.891885743703</v>
      </c>
      <c r="AT45" s="17" t="n">
        <f aca="false">IF($AC45=1,$AD45/(1+AT$6)^1+$AE45/(1+AT$6)^2+$AF45/(1+AT$6)^3+$AG45/(1+AT$6)^4+$AH45/(1+AT$6)^5+$AI45/(1+AT$6)^6+$U45/AT$6/(1+AT$6)^6,"")</f>
        <v>788.021590040818</v>
      </c>
      <c r="AU45" s="17" t="n">
        <f aca="false">IF($AC45=1,$AD45/(1+AU$6)^1+$AE45/(1+AU$6)^2+$AF45/(1+AU$6)^3+$AG45/(1+AU$6)^4+$AH45/(1+AU$6)^5+$AI45/(1+AU$6)^6+$U45/AU$6/(1+AU$6)^6,"")</f>
        <v>612.033368926279</v>
      </c>
      <c r="AV45" s="17" t="n">
        <f aca="false">IF($AC45=1,$AD45/(1+AV$6)^1+$AE45/(1+AV$6)^2+$AF45/(1+AV$6)^3+$AG45/(1+AV$6)^4+$AH45/(1+AV$6)^5+$AI45/(1+AV$6)^6+$U45/AV$6/(1+AV$6)^6,"")</f>
        <v>446.587255658436</v>
      </c>
      <c r="AW45" s="17" t="n">
        <f aca="false">IF($AC45=1,$AD45/(1+AW$6)^1+$AE45/(1+AW$6)^2+$AF45/(1+AW$6)^3+$AG45/(1+AW$6)^4+$AH45/(1+AW$6)^5+$AI45/(1+AW$6)^6+$U45/AW$6/(1+AW$6)^6,"")</f>
        <v>297.691483821575</v>
      </c>
      <c r="AX45" s="17" t="n">
        <f aca="false">IF($AC45=1,$AD45/(1+AX$6)^1+$AE45/(1+AX$6)^2+$AF45/(1+AX$6)^3+$AG45/(1+AX$6)^4+$AH45/(1+AX$6)^5+$AI45/(1+AX$6)^6+$U45/AX$6/(1+AX$6)^6,"")</f>
        <v>6351.02601589862</v>
      </c>
      <c r="AY45" s="17" t="n">
        <f aca="false">IF($AC45=1,$AD45/(1+AY$6)^1+$AE45/(1+AY$6)^2+$AF45/(1+AY$6)^3+$AG45/(1+AY$6)^4+$AH45/(1+AY$6)^5+$AI45/(1+AY$6)^6+$U45/AY$6/(1+AY$6)^6,"")</f>
        <v>3021.25254105677</v>
      </c>
      <c r="AZ45" s="17" t="n">
        <f aca="false">IF($AC45=1,$AD45/(1+AZ$6)^1+$AE45/(1+AZ$6)^2+$AF45/(1+AZ$6)^3+$AG45/(1+AZ$6)^4+$AH45/(1+AZ$6)^5+$AI45/(1+AZ$6)^6+$U45/AZ$6/(1+AZ$6)^6,"")</f>
        <v>1393.297854535</v>
      </c>
      <c r="BA45" s="17" t="n">
        <f aca="false">IF($AC45=1,$AD45/(1+BA$6)^1+$AE45/(1+BA$6)^2+$AF45/(1+BA$6)^3+$AG45/(1+BA$6)^4+$AH45/(1+BA$6)^5+$AI45/(1+BA$6)^6+$U45/BA$6/(1+BA$6)^6,"")</f>
        <v>633.340298613599</v>
      </c>
      <c r="BB45" s="17" t="n">
        <f aca="false">IF($AC45=1,$AD45/(1+BB$6)^1+$AE45/(1+BB$6)^2+$AF45/(1+BB$6)^3+$AG45/(1+BB$6)^4+$AH45/(1+BB$6)^5+$AI45/(1+BB$6)^6+$U45/BB$6/(1+BB$6)^6,"")</f>
        <v>298.883809306257</v>
      </c>
    </row>
    <row r="46" customFormat="false" ht="15" hidden="false" customHeight="false" outlineLevel="0" collapsed="false">
      <c r="A46" s="2" t="n">
        <v>38</v>
      </c>
      <c r="B46" s="2" t="str">
        <f aca="false">D46&amp;E46&amp;F46&amp;G46&amp;H46&amp;I46</f>
        <v>100110</v>
      </c>
      <c r="C46" s="15" t="n">
        <f aca="false">SUM(D46:I46)</f>
        <v>3</v>
      </c>
      <c r="D46" s="15" t="n">
        <f aca="false">MOD(INT($A46/32),2)</f>
        <v>1</v>
      </c>
      <c r="E46" s="15" t="n">
        <f aca="false">MOD(INT($A46/16),2)</f>
        <v>0</v>
      </c>
      <c r="F46" s="15" t="n">
        <f aca="false">MOD(INT($A46/8),2)</f>
        <v>0</v>
      </c>
      <c r="G46" s="15" t="n">
        <f aca="false">MOD(INT($A46/4),2)</f>
        <v>1</v>
      </c>
      <c r="H46" s="15" t="n">
        <f aca="false">MOD(INT($A46/2),2)</f>
        <v>1</v>
      </c>
      <c r="I46" s="15" t="n">
        <f aca="false">MOD(INT($A46/1),2)</f>
        <v>0</v>
      </c>
      <c r="J46" s="14" t="n">
        <f aca="false">E_zero+D46*(Half_gap*(Ceiling_e-E_zero)-$F$4)</f>
        <v>78</v>
      </c>
      <c r="K46" s="14" t="n">
        <f aca="false">J46+E46*(Half_gap*(Ceiling_e-J46)-$F$4)</f>
        <v>78</v>
      </c>
      <c r="L46" s="14" t="n">
        <f aca="false">K46+F46*(Half_gap*(Ceiling_e-K46)-$F$4)</f>
        <v>78</v>
      </c>
      <c r="M46" s="14" t="n">
        <f aca="false">L46+G46*(Half_gap*(Ceiling_e-L46)-$F$4)</f>
        <v>81.5</v>
      </c>
      <c r="N46" s="14" t="n">
        <f aca="false">M46+H46*(Half_gap*(Ceiling_e-M46)-$F$4)</f>
        <v>83.25</v>
      </c>
      <c r="O46" s="14" t="n">
        <f aca="false">N46+I46*(Half_gap*(Ceiling_e-N46)-$F$4)</f>
        <v>83.25</v>
      </c>
      <c r="P46" s="14" t="n">
        <f aca="false">Val_pt*(J46-E_zero)</f>
        <v>70</v>
      </c>
      <c r="Q46" s="14" t="n">
        <f aca="false">Val_pt*(K46-E_zero)</f>
        <v>70</v>
      </c>
      <c r="R46" s="14" t="n">
        <f aca="false">Val_pt*(L46-E_zero)</f>
        <v>70</v>
      </c>
      <c r="S46" s="14" t="n">
        <f aca="false">Val_pt*(M46-E_zero)</f>
        <v>105</v>
      </c>
      <c r="T46" s="14" t="n">
        <f aca="false">Val_pt*(N46-E_zero)</f>
        <v>122.5</v>
      </c>
      <c r="U46" s="14" t="n">
        <f aca="false">Val_pt*(O46-E_zero)</f>
        <v>122.5</v>
      </c>
      <c r="V46" s="14" t="n">
        <f aca="false">MAX(W46+Cost_round*D46-P46,IF(D46=1,Pre_q,0))</f>
        <v>470</v>
      </c>
      <c r="W46" s="14" t="n">
        <f aca="false">MAX(X46+Cost_round*E46-Q46,IF(E46=1,Pre_q,0),Floor_q)</f>
        <v>350</v>
      </c>
      <c r="X46" s="14" t="n">
        <f aca="false">MAX(Y46+Cost_round*F46-R46,IF(F46=1,Pre_q,0),Floor_q)</f>
        <v>415</v>
      </c>
      <c r="Y46" s="14" t="n">
        <f aca="false">MAX(Z46+Cost_round*G46-S46,IF(G46=1,Pre_q,0),Floor_q)</f>
        <v>485</v>
      </c>
      <c r="Z46" s="14" t="n">
        <f aca="false">MAX(AA46+Cost_round*H46-T46,IF(H46=1,Pre_q,0),Floor_q)</f>
        <v>470</v>
      </c>
      <c r="AA46" s="14" t="n">
        <f aca="false">MAX(AB46+Cost_round*I46-U46,IF(I46=1,Pre_q,0),Floor_q)</f>
        <v>350</v>
      </c>
      <c r="AB46" s="14" t="n">
        <f aca="false">MAX(End_q,Floor_q)</f>
        <v>470</v>
      </c>
      <c r="AC46" s="15" t="n">
        <f aca="false">IF(Q_zero&gt;=V46-0.000000001,1,0)</f>
        <v>1</v>
      </c>
      <c r="AD46" s="14" t="n">
        <f aca="false">IF($AC46=1,Q_zero-Cost_round*D46+P46-W46,"")</f>
        <v>220</v>
      </c>
      <c r="AE46" s="14" t="n">
        <f aca="false">IF($AC46=1,W46-Cost_round*E46+Q46-X46,"")</f>
        <v>5</v>
      </c>
      <c r="AF46" s="14" t="n">
        <f aca="false">IF($AC46=1,X46-Cost_round*F46+R46-Y46,"")</f>
        <v>0</v>
      </c>
      <c r="AG46" s="14" t="n">
        <f aca="false">IF($AC46=1,Y46-Cost_round*G46+S46-Z46,"")</f>
        <v>0</v>
      </c>
      <c r="AH46" s="14" t="n">
        <f aca="false">IF($AC46=1,Z46-Cost_round*H46+T46-AA46,"")</f>
        <v>122.5</v>
      </c>
      <c r="AI46" s="14" t="n">
        <f aca="false">IF($AC46=1,AA46-Cost_round*I46+U46-AB46,"")</f>
        <v>2.5</v>
      </c>
      <c r="AJ46" s="14" t="n">
        <f aca="false">IF($AC46=1,SUM(AD46:AI46),"")</f>
        <v>350</v>
      </c>
      <c r="AK46" s="17" t="n">
        <f aca="false">IF($AC46=1,AD46*Beta_y^1+AE46*Beta_y^2+AF46*Beta_y^3+AG46*Beta_y^4+AH46*Beta_y^5+AI46*Beta_y^6,"")</f>
        <v>281.60627830484</v>
      </c>
      <c r="AL46" s="17" t="n">
        <f aca="false">IF($AC46=1,AK46+Beta_y^6*U46/Hurdle_r,"")</f>
        <v>973.086842620717</v>
      </c>
      <c r="AM46" s="17" t="n">
        <f aca="false">IF($AC46=1,AK46,"")</f>
        <v>281.60627830484</v>
      </c>
      <c r="AN46" s="17" t="n">
        <f aca="false">IF($AC46=1,AK46+Beta_y^6*U46*(1-(1+Hurdle_r)^(-Life_yrs))/Hurdle_r,"")</f>
        <v>870.302662832623</v>
      </c>
      <c r="AO46" s="17" t="n">
        <f aca="false">IF($AC46=1,AJ46+Credit_yrs*U46,"")</f>
        <v>1575</v>
      </c>
      <c r="AP46" s="17" t="n">
        <f aca="false">IF($AC46=1,$AD46/(1+AP$6)^1+$AE46/(1+AP$6)^2+$AF46/(1+AP$6)^3+$AG46/(1+AP$6)^4+$AH46/(1+AP$6)^5+$AI46/(1+AP$6)^6+$U46/AP$6/(1+AP$6)^6,"")</f>
        <v>3745.7958807424</v>
      </c>
      <c r="AQ46" s="17" t="n">
        <f aca="false">IF($AC46=1,$AD46/(1+AQ$6)^1+$AE46/(1+AQ$6)^2+$AF46/(1+AQ$6)^3+$AG46/(1+AQ$6)^4+$AH46/(1+AQ$6)^5+$AI46/(1+AQ$6)^6+$U46/AQ$6/(1+AQ$6)^6,"")</f>
        <v>2140.13417255982</v>
      </c>
      <c r="AR46" s="17" t="n">
        <f aca="false">IF($AC46=1,$AD46/(1+AR$6)^1+$AE46/(1+AR$6)^2+$AF46/(1+AR$6)^3+$AG46/(1+AR$6)^4+$AH46/(1+AR$6)^5+$AI46/(1+AR$6)^6+$U46/AR$6/(1+AR$6)^6,"")</f>
        <v>1257.88450467381</v>
      </c>
      <c r="AS46" s="17" t="n">
        <f aca="false">IF($AC46=1,$AD46/(1+AS$6)^1+$AE46/(1+AS$6)^2+$AF46/(1+AS$6)^3+$AG46/(1+AS$6)^4+$AH46/(1+AS$6)^5+$AI46/(1+AS$6)^6+$U46/AS$6/(1+AS$6)^6,"")</f>
        <v>973.086842620717</v>
      </c>
      <c r="AT46" s="17" t="n">
        <f aca="false">IF($AC46=1,$AD46/(1+AT$6)^1+$AE46/(1+AT$6)^2+$AF46/(1+AT$6)^3+$AG46/(1+AT$6)^4+$AH46/(1+AT$6)^5+$AI46/(1+AT$6)^6+$U46/AT$6/(1+AT$6)^6,"")</f>
        <v>788.376844646646</v>
      </c>
      <c r="AU46" s="17" t="n">
        <f aca="false">IF($AC46=1,$AD46/(1+AU$6)^1+$AE46/(1+AU$6)^2+$AF46/(1+AU$6)^3+$AG46/(1+AU$6)^4+$AH46/(1+AU$6)^5+$AI46/(1+AU$6)^6+$U46/AU$6/(1+AU$6)^6,"")</f>
        <v>610.137571887495</v>
      </c>
      <c r="AV46" s="17" t="n">
        <f aca="false">IF($AC46=1,$AD46/(1+AV$6)^1+$AE46/(1+AV$6)^2+$AF46/(1+AV$6)^3+$AG46/(1+AV$6)^4+$AH46/(1+AV$6)^5+$AI46/(1+AV$6)^6+$U46/AV$6/(1+AV$6)^6,"")</f>
        <v>441.997813786008</v>
      </c>
      <c r="AW46" s="17" t="n">
        <f aca="false">IF($AC46=1,$AD46/(1+AW$6)^1+$AE46/(1+AW$6)^2+$AF46/(1+AW$6)^3+$AG46/(1+AW$6)^4+$AH46/(1+AW$6)^5+$AI46/(1+AW$6)^6+$U46/AW$6/(1+AW$6)^6,"")</f>
        <v>290.297054085491</v>
      </c>
      <c r="AX46" s="17" t="n">
        <f aca="false">IF($AC46=1,$AD46/(1+AX$6)^1+$AE46/(1+AX$6)^2+$AF46/(1+AX$6)^3+$AG46/(1+AX$6)^4+$AH46/(1+AX$6)^5+$AI46/(1+AX$6)^6+$U46/AX$6/(1+AX$6)^6,"")</f>
        <v>6364.75247216655</v>
      </c>
      <c r="AY46" s="17" t="n">
        <f aca="false">IF($AC46=1,$AD46/(1+AY$6)^1+$AE46/(1+AY$6)^2+$AF46/(1+AY$6)^3+$AG46/(1+AY$6)^4+$AH46/(1+AY$6)^5+$AI46/(1+AY$6)^6+$U46/AY$6/(1+AY$6)^6,"")</f>
        <v>3031.71807193121</v>
      </c>
      <c r="AZ46" s="17" t="n">
        <f aca="false">IF($AC46=1,$AD46/(1+AZ$6)^1+$AE46/(1+AZ$6)^2+$AF46/(1+AZ$6)^3+$AG46/(1+AZ$6)^4+$AH46/(1+AZ$6)^5+$AI46/(1+AZ$6)^6+$U46/AZ$6/(1+AZ$6)^6,"")</f>
        <v>1398.51048839793</v>
      </c>
      <c r="BA46" s="17" t="n">
        <f aca="false">IF($AC46=1,$AD46/(1+BA$6)^1+$AE46/(1+BA$6)^2+$AF46/(1+BA$6)^3+$AG46/(1+BA$6)^4+$AH46/(1+BA$6)^5+$AI46/(1+BA$6)^6+$U46/BA$6/(1+BA$6)^6,"")</f>
        <v>631.747756077641</v>
      </c>
      <c r="BB46" s="17" t="n">
        <f aca="false">IF($AC46=1,$AD46/(1+BB$6)^1+$AE46/(1+BB$6)^2+$AF46/(1+BB$6)^3+$AG46/(1+BB$6)^4+$AH46/(1+BB$6)^5+$AI46/(1+BB$6)^6+$U46/BB$6/(1+BB$6)^6,"")</f>
        <v>291.510521713357</v>
      </c>
    </row>
    <row r="47" customFormat="false" ht="15" hidden="false" customHeight="false" outlineLevel="0" collapsed="false">
      <c r="A47" s="2" t="n">
        <v>39</v>
      </c>
      <c r="B47" s="2" t="str">
        <f aca="false">D47&amp;E47&amp;F47&amp;G47&amp;H47&amp;I47</f>
        <v>100111</v>
      </c>
      <c r="C47" s="15" t="n">
        <f aca="false">SUM(D47:I47)</f>
        <v>4</v>
      </c>
      <c r="D47" s="15" t="n">
        <f aca="false">MOD(INT($A47/32),2)</f>
        <v>1</v>
      </c>
      <c r="E47" s="15" t="n">
        <f aca="false">MOD(INT($A47/16),2)</f>
        <v>0</v>
      </c>
      <c r="F47" s="15" t="n">
        <f aca="false">MOD(INT($A47/8),2)</f>
        <v>0</v>
      </c>
      <c r="G47" s="15" t="n">
        <f aca="false">MOD(INT($A47/4),2)</f>
        <v>1</v>
      </c>
      <c r="H47" s="15" t="n">
        <f aca="false">MOD(INT($A47/2),2)</f>
        <v>1</v>
      </c>
      <c r="I47" s="15" t="n">
        <f aca="false">MOD(INT($A47/1),2)</f>
        <v>1</v>
      </c>
      <c r="J47" s="14" t="n">
        <f aca="false">E_zero+D47*(Half_gap*(Ceiling_e-E_zero)-$F$4)</f>
        <v>78</v>
      </c>
      <c r="K47" s="14" t="n">
        <f aca="false">J47+E47*(Half_gap*(Ceiling_e-J47)-$F$4)</f>
        <v>78</v>
      </c>
      <c r="L47" s="14" t="n">
        <f aca="false">K47+F47*(Half_gap*(Ceiling_e-K47)-$F$4)</f>
        <v>78</v>
      </c>
      <c r="M47" s="14" t="n">
        <f aca="false">L47+G47*(Half_gap*(Ceiling_e-L47)-$F$4)</f>
        <v>81.5</v>
      </c>
      <c r="N47" s="14" t="n">
        <f aca="false">M47+H47*(Half_gap*(Ceiling_e-M47)-$F$4)</f>
        <v>83.25</v>
      </c>
      <c r="O47" s="14" t="n">
        <f aca="false">N47+I47*(Half_gap*(Ceiling_e-N47)-$F$4)</f>
        <v>84.125</v>
      </c>
      <c r="P47" s="14" t="n">
        <f aca="false">Val_pt*(J47-E_zero)</f>
        <v>70</v>
      </c>
      <c r="Q47" s="14" t="n">
        <f aca="false">Val_pt*(K47-E_zero)</f>
        <v>70</v>
      </c>
      <c r="R47" s="14" t="n">
        <f aca="false">Val_pt*(L47-E_zero)</f>
        <v>70</v>
      </c>
      <c r="S47" s="14" t="n">
        <f aca="false">Val_pt*(M47-E_zero)</f>
        <v>105</v>
      </c>
      <c r="T47" s="14" t="n">
        <f aca="false">Val_pt*(N47-E_zero)</f>
        <v>122.5</v>
      </c>
      <c r="U47" s="14" t="n">
        <f aca="false">Val_pt*(O47-E_zero)</f>
        <v>131.25</v>
      </c>
      <c r="V47" s="14" t="n">
        <f aca="false">MAX(W47+Cost_round*D47-P47,IF(D47=1,Pre_q,0))</f>
        <v>470</v>
      </c>
      <c r="W47" s="14" t="n">
        <f aca="false">MAX(X47+Cost_round*E47-Q47,IF(E47=1,Pre_q,0),Floor_q)</f>
        <v>350</v>
      </c>
      <c r="X47" s="14" t="n">
        <f aca="false">MAX(Y47+Cost_round*F47-R47,IF(F47=1,Pre_q,0),Floor_q)</f>
        <v>415</v>
      </c>
      <c r="Y47" s="14" t="n">
        <f aca="false">MAX(Z47+Cost_round*G47-S47,IF(G47=1,Pre_q,0),Floor_q)</f>
        <v>485</v>
      </c>
      <c r="Z47" s="14" t="n">
        <f aca="false">MAX(AA47+Cost_round*H47-T47,IF(H47=1,Pre_q,0),Floor_q)</f>
        <v>470</v>
      </c>
      <c r="AA47" s="14" t="n">
        <f aca="false">MAX(AB47+Cost_round*I47-U47,IF(I47=1,Pre_q,0),Floor_q)</f>
        <v>470</v>
      </c>
      <c r="AB47" s="14" t="n">
        <f aca="false">MAX(End_q,Floor_q)</f>
        <v>470</v>
      </c>
      <c r="AC47" s="15" t="n">
        <f aca="false">IF(Q_zero&gt;=V47-0.000000001,1,0)</f>
        <v>1</v>
      </c>
      <c r="AD47" s="14" t="n">
        <f aca="false">IF($AC47=1,Q_zero-Cost_round*D47+P47-W47,"")</f>
        <v>220</v>
      </c>
      <c r="AE47" s="14" t="n">
        <f aca="false">IF($AC47=1,W47-Cost_round*E47+Q47-X47,"")</f>
        <v>5</v>
      </c>
      <c r="AF47" s="14" t="n">
        <f aca="false">IF($AC47=1,X47-Cost_round*F47+R47-Y47,"")</f>
        <v>0</v>
      </c>
      <c r="AG47" s="14" t="n">
        <f aca="false">IF($AC47=1,Y47-Cost_round*G47+S47-Z47,"")</f>
        <v>0</v>
      </c>
      <c r="AH47" s="14" t="n">
        <f aca="false">IF($AC47=1,Z47-Cost_round*H47+T47-AA47,"")</f>
        <v>2.5</v>
      </c>
      <c r="AI47" s="14" t="n">
        <f aca="false">IF($AC47=1,AA47-Cost_round*I47+U47-AB47,"")</f>
        <v>11.25</v>
      </c>
      <c r="AJ47" s="14" t="n">
        <f aca="false">IF($AC47=1,SUM(AD47:AI47),"")</f>
        <v>238.75</v>
      </c>
      <c r="AK47" s="17" t="n">
        <f aca="false">IF($AC47=1,AD47*Beta_y^1+AE47*Beta_y^2+AF47*Beta_y^3+AG47*Beta_y^4+AH47*Beta_y^5+AI47*Beta_y^6,"")</f>
        <v>212.034866425712</v>
      </c>
      <c r="AL47" s="17" t="n">
        <f aca="false">IF($AC47=1,AK47+Beta_y^6*U47/Hurdle_r,"")</f>
        <v>952.906899621294</v>
      </c>
      <c r="AM47" s="17" t="n">
        <f aca="false">IF($AC47=1,AK47,"")</f>
        <v>212.034866425712</v>
      </c>
      <c r="AN47" s="17" t="n">
        <f aca="false">IF($AC47=1,AK47+Beta_y^6*U47*(1-(1+Hurdle_r)^(-Life_yrs))/Hurdle_r,"")</f>
        <v>842.780992705479</v>
      </c>
      <c r="AO47" s="17" t="n">
        <f aca="false">IF($AC47=1,AJ47+Credit_yrs*U47,"")</f>
        <v>1551.25</v>
      </c>
      <c r="AP47" s="17" t="n">
        <f aca="false">IF($AC47=1,$AD47/(1+AP$6)^1+$AE47/(1+AP$6)^2+$AF47/(1+AP$6)^3+$AG47/(1+AP$6)^4+$AH47/(1+AP$6)^5+$AI47/(1+AP$6)^6+$U47/AP$6/(1+AP$6)^6,"")</f>
        <v>3893.87705539502</v>
      </c>
      <c r="AQ47" s="17" t="n">
        <f aca="false">IF($AC47=1,$AD47/(1+AQ$6)^1+$AE47/(1+AQ$6)^2+$AF47/(1+AQ$6)^3+$AG47/(1+AQ$6)^4+$AH47/(1+AQ$6)^5+$AI47/(1+AQ$6)^6+$U47/AQ$6/(1+AQ$6)^6,"")</f>
        <v>2183.22811171558</v>
      </c>
      <c r="AR47" s="17" t="n">
        <f aca="false">IF($AC47=1,$AD47/(1+AR$6)^1+$AE47/(1+AR$6)^2+$AF47/(1+AR$6)^3+$AG47/(1+AR$6)^4+$AH47/(1+AR$6)^5+$AI47/(1+AR$6)^6+$U47/AR$6/(1+AR$6)^6,"")</f>
        <v>1250.65330820533</v>
      </c>
      <c r="AS47" s="17" t="n">
        <f aca="false">IF($AC47=1,$AD47/(1+AS$6)^1+$AE47/(1+AS$6)^2+$AF47/(1+AS$6)^3+$AG47/(1+AS$6)^4+$AH47/(1+AS$6)^5+$AI47/(1+AS$6)^6+$U47/AS$6/(1+AS$6)^6,"")</f>
        <v>952.906899621294</v>
      </c>
      <c r="AT47" s="17" t="n">
        <f aca="false">IF($AC47=1,$AD47/(1+AT$6)^1+$AE47/(1+AT$6)^2+$AF47/(1+AT$6)^3+$AG47/(1+AT$6)^4+$AH47/(1+AT$6)^5+$AI47/(1+AT$6)^6+$U47/AT$6/(1+AT$6)^6,"")</f>
        <v>761.660496856562</v>
      </c>
      <c r="AU47" s="17" t="n">
        <f aca="false">IF($AC47=1,$AD47/(1+AU$6)^1+$AE47/(1+AU$6)^2+$AF47/(1+AU$6)^3+$AG47/(1+AU$6)^4+$AH47/(1+AU$6)^5+$AI47/(1+AU$6)^6+$U47/AU$6/(1+AU$6)^6,"")</f>
        <v>579.478339877434</v>
      </c>
      <c r="AV47" s="17" t="n">
        <f aca="false">IF($AC47=1,$AD47/(1+AV$6)^1+$AE47/(1+AV$6)^2+$AF47/(1+AV$6)^3+$AG47/(1+AV$6)^4+$AH47/(1+AV$6)^5+$AI47/(1+AV$6)^6+$U47/AV$6/(1+AV$6)^6,"")</f>
        <v>411.354648919753</v>
      </c>
      <c r="AW47" s="17" t="n">
        <f aca="false">IF($AC47=1,$AD47/(1+AW$6)^1+$AE47/(1+AW$6)^2+$AF47/(1+AW$6)^3+$AG47/(1+AW$6)^4+$AH47/(1+AW$6)^5+$AI47/(1+AW$6)^6+$U47/AW$6/(1+AW$6)^6,"")</f>
        <v>265.832996499344</v>
      </c>
      <c r="AX47" s="17" t="n">
        <f aca="false">IF($AC47=1,$AD47/(1+AX$6)^1+$AE47/(1+AX$6)^2+$AF47/(1+AX$6)^3+$AG47/(1+AX$6)^4+$AH47/(1+AX$6)^5+$AI47/(1+AX$6)^6+$U47/AX$6/(1+AX$6)^6,"")</f>
        <v>6693.6607741283</v>
      </c>
      <c r="AY47" s="17" t="n">
        <f aca="false">IF($AC47=1,$AD47/(1+AY$6)^1+$AE47/(1+AY$6)^2+$AF47/(1+AY$6)^3+$AG47/(1+AY$6)^4+$AH47/(1+AY$6)^5+$AI47/(1+AY$6)^6+$U47/AY$6/(1+AY$6)^6,"")</f>
        <v>3132.04603789973</v>
      </c>
      <c r="AZ47" s="17" t="n">
        <f aca="false">IF($AC47=1,$AD47/(1+AZ$6)^1+$AE47/(1+AZ$6)^2+$AF47/(1+AZ$6)^3+$AG47/(1+AZ$6)^4+$AH47/(1+AZ$6)^5+$AI47/(1+AZ$6)^6+$U47/AZ$6/(1+AZ$6)^6,"")</f>
        <v>1398.5104883988</v>
      </c>
      <c r="BA47" s="17" t="n">
        <f aca="false">IF($AC47=1,$AD47/(1+BA$6)^1+$AE47/(1+BA$6)^2+$AF47/(1+BA$6)^3+$AG47/(1+BA$6)^4+$AH47/(1+BA$6)^5+$AI47/(1+BA$6)^6+$U47/BA$6/(1+BA$6)^6,"")</f>
        <v>601.396502539429</v>
      </c>
      <c r="BB47" s="17" t="n">
        <f aca="false">IF($AC47=1,$AD47/(1+BB$6)^1+$AE47/(1+BB$6)^2+$AF47/(1+BB$6)^3+$AG47/(1+BB$6)^4+$AH47/(1+BB$6)^5+$AI47/(1+BB$6)^6+$U47/BB$6/(1+BB$6)^6,"")</f>
        <v>266.958868693106</v>
      </c>
    </row>
    <row r="48" customFormat="false" ht="15" hidden="false" customHeight="false" outlineLevel="0" collapsed="false">
      <c r="A48" s="2" t="n">
        <v>40</v>
      </c>
      <c r="B48" s="2" t="str">
        <f aca="false">D48&amp;E48&amp;F48&amp;G48&amp;H48&amp;I48</f>
        <v>101000</v>
      </c>
      <c r="C48" s="15" t="n">
        <f aca="false">SUM(D48:I48)</f>
        <v>2</v>
      </c>
      <c r="D48" s="15" t="n">
        <f aca="false">MOD(INT($A48/32),2)</f>
        <v>1</v>
      </c>
      <c r="E48" s="15" t="n">
        <f aca="false">MOD(INT($A48/16),2)</f>
        <v>0</v>
      </c>
      <c r="F48" s="15" t="n">
        <f aca="false">MOD(INT($A48/8),2)</f>
        <v>1</v>
      </c>
      <c r="G48" s="15" t="n">
        <f aca="false">MOD(INT($A48/4),2)</f>
        <v>0</v>
      </c>
      <c r="H48" s="15" t="n">
        <f aca="false">MOD(INT($A48/2),2)</f>
        <v>0</v>
      </c>
      <c r="I48" s="15" t="n">
        <f aca="false">MOD(INT($A48/1),2)</f>
        <v>0</v>
      </c>
      <c r="J48" s="14" t="n">
        <f aca="false">E_zero+D48*(Half_gap*(Ceiling_e-E_zero)-$F$4)</f>
        <v>78</v>
      </c>
      <c r="K48" s="14" t="n">
        <f aca="false">J48+E48*(Half_gap*(Ceiling_e-J48)-$F$4)</f>
        <v>78</v>
      </c>
      <c r="L48" s="14" t="n">
        <f aca="false">K48+F48*(Half_gap*(Ceiling_e-K48)-$F$4)</f>
        <v>81.5</v>
      </c>
      <c r="M48" s="14" t="n">
        <f aca="false">L48+G48*(Half_gap*(Ceiling_e-L48)-$F$4)</f>
        <v>81.5</v>
      </c>
      <c r="N48" s="14" t="n">
        <f aca="false">M48+H48*(Half_gap*(Ceiling_e-M48)-$F$4)</f>
        <v>81.5</v>
      </c>
      <c r="O48" s="14" t="n">
        <f aca="false">N48+I48*(Half_gap*(Ceiling_e-N48)-$F$4)</f>
        <v>81.5</v>
      </c>
      <c r="P48" s="14" t="n">
        <f aca="false">Val_pt*(J48-E_zero)</f>
        <v>70</v>
      </c>
      <c r="Q48" s="14" t="n">
        <f aca="false">Val_pt*(K48-E_zero)</f>
        <v>70</v>
      </c>
      <c r="R48" s="14" t="n">
        <f aca="false">Val_pt*(L48-E_zero)</f>
        <v>105</v>
      </c>
      <c r="S48" s="14" t="n">
        <f aca="false">Val_pt*(M48-E_zero)</f>
        <v>105</v>
      </c>
      <c r="T48" s="14" t="n">
        <f aca="false">Val_pt*(N48-E_zero)</f>
        <v>105</v>
      </c>
      <c r="U48" s="14" t="n">
        <f aca="false">Val_pt*(O48-E_zero)</f>
        <v>105</v>
      </c>
      <c r="V48" s="14" t="n">
        <f aca="false">MAX(W48+Cost_round*D48-P48,IF(D48=1,Pre_q,0))</f>
        <v>470</v>
      </c>
      <c r="W48" s="14" t="n">
        <f aca="false">MAX(X48+Cost_round*E48-Q48,IF(E48=1,Pre_q,0),Floor_q)</f>
        <v>400</v>
      </c>
      <c r="X48" s="14" t="n">
        <f aca="false">MAX(Y48+Cost_round*F48-R48,IF(F48=1,Pre_q,0),Floor_q)</f>
        <v>470</v>
      </c>
      <c r="Y48" s="14" t="n">
        <f aca="false">MAX(Z48+Cost_round*G48-S48,IF(G48=1,Pre_q,0),Floor_q)</f>
        <v>350</v>
      </c>
      <c r="Z48" s="14" t="n">
        <f aca="false">MAX(AA48+Cost_round*H48-T48,IF(H48=1,Pre_q,0),Floor_q)</f>
        <v>350</v>
      </c>
      <c r="AA48" s="14" t="n">
        <f aca="false">MAX(AB48+Cost_round*I48-U48,IF(I48=1,Pre_q,0),Floor_q)</f>
        <v>365</v>
      </c>
      <c r="AB48" s="14" t="n">
        <f aca="false">MAX(End_q,Floor_q)</f>
        <v>470</v>
      </c>
      <c r="AC48" s="15" t="n">
        <f aca="false">IF(Q_zero&gt;=V48-0.000000001,1,0)</f>
        <v>1</v>
      </c>
      <c r="AD48" s="14" t="n">
        <f aca="false">IF($AC48=1,Q_zero-Cost_round*D48+P48-W48,"")</f>
        <v>170</v>
      </c>
      <c r="AE48" s="14" t="n">
        <f aca="false">IF($AC48=1,W48-Cost_round*E48+Q48-X48,"")</f>
        <v>0</v>
      </c>
      <c r="AF48" s="14" t="n">
        <f aca="false">IF($AC48=1,X48-Cost_round*F48+R48-Y48,"")</f>
        <v>105</v>
      </c>
      <c r="AG48" s="14" t="n">
        <f aca="false">IF($AC48=1,Y48-Cost_round*G48+S48-Z48,"")</f>
        <v>105</v>
      </c>
      <c r="AH48" s="14" t="n">
        <f aca="false">IF($AC48=1,Z48-Cost_round*H48+T48-AA48,"")</f>
        <v>90</v>
      </c>
      <c r="AI48" s="14" t="n">
        <f aca="false">IF($AC48=1,AA48-Cost_round*I48+U48-AB48,"")</f>
        <v>0</v>
      </c>
      <c r="AJ48" s="14" t="n">
        <f aca="false">IF($AC48=1,SUM(AD48:AI48),"")</f>
        <v>470</v>
      </c>
      <c r="AK48" s="17" t="n">
        <f aca="false">IF($AC48=1,AD48*Beta_y^1+AE48*Beta_y^2+AF48*Beta_y^3+AG48*Beta_y^4+AH48*Beta_y^5+AI48*Beta_y^6,"")</f>
        <v>361.032840528777</v>
      </c>
      <c r="AL48" s="17" t="n">
        <f aca="false">IF($AC48=1,AK48+Beta_y^6*U48/Hurdle_r,"")</f>
        <v>953.730467085243</v>
      </c>
      <c r="AM48" s="17" t="n">
        <f aca="false">IF($AC48=1,AK48,"")</f>
        <v>361.032840528777</v>
      </c>
      <c r="AN48" s="17" t="n">
        <f aca="false">IF($AC48=1,AK48+Beta_y^6*U48*(1-(1+Hurdle_r)^(-Life_yrs))/Hurdle_r,"")</f>
        <v>865.629741552591</v>
      </c>
      <c r="AO48" s="17" t="n">
        <f aca="false">IF($AC48=1,AJ48+Credit_yrs*U48,"")</f>
        <v>1520</v>
      </c>
      <c r="AP48" s="17" t="n">
        <f aca="false">IF($AC48=1,$AD48/(1+AP$6)^1+$AE48/(1+AP$6)^2+$AF48/(1+AP$6)^3+$AG48/(1+AP$6)^4+$AH48/(1+AP$6)^5+$AI48/(1+AP$6)^6+$U48/AP$6/(1+AP$6)^6,"")</f>
        <v>3363.25924693991</v>
      </c>
      <c r="AQ48" s="17" t="n">
        <f aca="false">IF($AC48=1,$AD48/(1+AQ$6)^1+$AE48/(1+AQ$6)^2+$AF48/(1+AQ$6)^3+$AG48/(1+AQ$6)^4+$AH48/(1+AQ$6)^5+$AI48/(1+AQ$6)^6+$U48/AQ$6/(1+AQ$6)^6,"")</f>
        <v>1976.56115752279</v>
      </c>
      <c r="AR48" s="17" t="n">
        <f aca="false">IF($AC48=1,$AD48/(1+AR$6)^1+$AE48/(1+AR$6)^2+$AF48/(1+AR$6)^3+$AG48/(1+AR$6)^4+$AH48/(1+AR$6)^5+$AI48/(1+AR$6)^6+$U48/AR$6/(1+AR$6)^6,"")</f>
        <v>1206.28805027527</v>
      </c>
      <c r="AS48" s="17" t="n">
        <f aca="false">IF($AC48=1,$AD48/(1+AS$6)^1+$AE48/(1+AS$6)^2+$AF48/(1+AS$6)^3+$AG48/(1+AS$6)^4+$AH48/(1+AS$6)^5+$AI48/(1+AS$6)^6+$U48/AS$6/(1+AS$6)^6,"")</f>
        <v>953.730467085243</v>
      </c>
      <c r="AT48" s="17" t="n">
        <f aca="false">IF($AC48=1,$AD48/(1+AT$6)^1+$AE48/(1+AT$6)^2+$AF48/(1+AT$6)^3+$AG48/(1+AT$6)^4+$AH48/(1+AT$6)^5+$AI48/(1+AT$6)^6+$U48/AT$6/(1+AT$6)^6,"")</f>
        <v>787.622686583459</v>
      </c>
      <c r="AU48" s="17" t="n">
        <f aca="false">IF($AC48=1,$AD48/(1+AU$6)^1+$AE48/(1+AU$6)^2+$AF48/(1+AU$6)^3+$AG48/(1+AU$6)^4+$AH48/(1+AU$6)^5+$AI48/(1+AU$6)^6+$U48/AU$6/(1+AU$6)^6,"")</f>
        <v>624.274605464085</v>
      </c>
      <c r="AV48" s="17" t="n">
        <f aca="false">IF($AC48=1,$AD48/(1+AV$6)^1+$AE48/(1+AV$6)^2+$AF48/(1+AV$6)^3+$AG48/(1+AV$6)^4+$AH48/(1+AV$6)^5+$AI48/(1+AV$6)^6+$U48/AV$6/(1+AV$6)^6,"")</f>
        <v>465.057548868313</v>
      </c>
      <c r="AW48" s="17" t="n">
        <f aca="false">IF($AC48=1,$AD48/(1+AW$6)^1+$AE48/(1+AW$6)^2+$AF48/(1+AW$6)^3+$AG48/(1+AW$6)^4+$AH48/(1+AW$6)^5+$AI48/(1+AW$6)^6+$U48/AW$6/(1+AW$6)^6,"")</f>
        <v>312.076384211598</v>
      </c>
      <c r="AX48" s="17" t="n">
        <f aca="false">IF($AC48=1,$AD48/(1+AX$6)^1+$AE48/(1+AX$6)^2+$AF48/(1+AX$6)^3+$AG48/(1+AX$6)^4+$AH48/(1+AX$6)^5+$AI48/(1+AX$6)^6+$U48/AX$6/(1+AX$6)^6,"")</f>
        <v>5614.64359901309</v>
      </c>
      <c r="AY48" s="17" t="n">
        <f aca="false">IF($AC48=1,$AD48/(1+AY$6)^1+$AE48/(1+AY$6)^2+$AF48/(1+AY$6)^3+$AG48/(1+AY$6)^4+$AH48/(1+AY$6)^5+$AI48/(1+AY$6)^6+$U48/AY$6/(1+AY$6)^6,"")</f>
        <v>2747.73059948913</v>
      </c>
      <c r="AZ48" s="17" t="n">
        <f aca="false">IF($AC48=1,$AD48/(1+AZ$6)^1+$AE48/(1+AZ$6)^2+$AF48/(1+AZ$6)^3+$AG48/(1+AZ$6)^4+$AH48/(1+AZ$6)^5+$AI48/(1+AZ$6)^6+$U48/AZ$6/(1+AZ$6)^6,"")</f>
        <v>1329.98671938372</v>
      </c>
      <c r="BA48" s="17" t="n">
        <f aca="false">IF($AC48=1,$AD48/(1+BA$6)^1+$AE48/(1+BA$6)^2+$AF48/(1+BA$6)^3+$AG48/(1+BA$6)^4+$AH48/(1+BA$6)^5+$AI48/(1+BA$6)^6+$U48/BA$6/(1+BA$6)^6,"")</f>
        <v>644.305689622108</v>
      </c>
      <c r="BB48" s="17" t="n">
        <f aca="false">IF($AC48=1,$AD48/(1+BB$6)^1+$AE48/(1+BB$6)^2+$AF48/(1+BB$6)^3+$AG48/(1+BB$6)^4+$AH48/(1+BB$6)^5+$AI48/(1+BB$6)^6+$U48/BB$6/(1+BB$6)^6,"")</f>
        <v>313.363205346038</v>
      </c>
    </row>
    <row r="49" customFormat="false" ht="15" hidden="false" customHeight="false" outlineLevel="0" collapsed="false">
      <c r="A49" s="2" t="n">
        <v>41</v>
      </c>
      <c r="B49" s="2" t="str">
        <f aca="false">D49&amp;E49&amp;F49&amp;G49&amp;H49&amp;I49</f>
        <v>101001</v>
      </c>
      <c r="C49" s="15" t="n">
        <f aca="false">SUM(D49:I49)</f>
        <v>3</v>
      </c>
      <c r="D49" s="15" t="n">
        <f aca="false">MOD(INT($A49/32),2)</f>
        <v>1</v>
      </c>
      <c r="E49" s="15" t="n">
        <f aca="false">MOD(INT($A49/16),2)</f>
        <v>0</v>
      </c>
      <c r="F49" s="15" t="n">
        <f aca="false">MOD(INT($A49/8),2)</f>
        <v>1</v>
      </c>
      <c r="G49" s="15" t="n">
        <f aca="false">MOD(INT($A49/4),2)</f>
        <v>0</v>
      </c>
      <c r="H49" s="15" t="n">
        <f aca="false">MOD(INT($A49/2),2)</f>
        <v>0</v>
      </c>
      <c r="I49" s="15" t="n">
        <f aca="false">MOD(INT($A49/1),2)</f>
        <v>1</v>
      </c>
      <c r="J49" s="14" t="n">
        <f aca="false">E_zero+D49*(Half_gap*(Ceiling_e-E_zero)-$F$4)</f>
        <v>78</v>
      </c>
      <c r="K49" s="14" t="n">
        <f aca="false">J49+E49*(Half_gap*(Ceiling_e-J49)-$F$4)</f>
        <v>78</v>
      </c>
      <c r="L49" s="14" t="n">
        <f aca="false">K49+F49*(Half_gap*(Ceiling_e-K49)-$F$4)</f>
        <v>81.5</v>
      </c>
      <c r="M49" s="14" t="n">
        <f aca="false">L49+G49*(Half_gap*(Ceiling_e-L49)-$F$4)</f>
        <v>81.5</v>
      </c>
      <c r="N49" s="14" t="n">
        <f aca="false">M49+H49*(Half_gap*(Ceiling_e-M49)-$F$4)</f>
        <v>81.5</v>
      </c>
      <c r="O49" s="14" t="n">
        <f aca="false">N49+I49*(Half_gap*(Ceiling_e-N49)-$F$4)</f>
        <v>83.25</v>
      </c>
      <c r="P49" s="14" t="n">
        <f aca="false">Val_pt*(J49-E_zero)</f>
        <v>70</v>
      </c>
      <c r="Q49" s="14" t="n">
        <f aca="false">Val_pt*(K49-E_zero)</f>
        <v>70</v>
      </c>
      <c r="R49" s="14" t="n">
        <f aca="false">Val_pt*(L49-E_zero)</f>
        <v>105</v>
      </c>
      <c r="S49" s="14" t="n">
        <f aca="false">Val_pt*(M49-E_zero)</f>
        <v>105</v>
      </c>
      <c r="T49" s="14" t="n">
        <f aca="false">Val_pt*(N49-E_zero)</f>
        <v>105</v>
      </c>
      <c r="U49" s="14" t="n">
        <f aca="false">Val_pt*(O49-E_zero)</f>
        <v>122.5</v>
      </c>
      <c r="V49" s="14" t="n">
        <f aca="false">MAX(W49+Cost_round*D49-P49,IF(D49=1,Pre_q,0))</f>
        <v>470</v>
      </c>
      <c r="W49" s="14" t="n">
        <f aca="false">MAX(X49+Cost_round*E49-Q49,IF(E49=1,Pre_q,0),Floor_q)</f>
        <v>400</v>
      </c>
      <c r="X49" s="14" t="n">
        <f aca="false">MAX(Y49+Cost_round*F49-R49,IF(F49=1,Pre_q,0),Floor_q)</f>
        <v>470</v>
      </c>
      <c r="Y49" s="14" t="n">
        <f aca="false">MAX(Z49+Cost_round*G49-S49,IF(G49=1,Pre_q,0),Floor_q)</f>
        <v>350</v>
      </c>
      <c r="Z49" s="14" t="n">
        <f aca="false">MAX(AA49+Cost_round*H49-T49,IF(H49=1,Pre_q,0),Floor_q)</f>
        <v>365</v>
      </c>
      <c r="AA49" s="14" t="n">
        <f aca="false">MAX(AB49+Cost_round*I49-U49,IF(I49=1,Pre_q,0),Floor_q)</f>
        <v>470</v>
      </c>
      <c r="AB49" s="14" t="n">
        <f aca="false">MAX(End_q,Floor_q)</f>
        <v>470</v>
      </c>
      <c r="AC49" s="15" t="n">
        <f aca="false">IF(Q_zero&gt;=V49-0.000000001,1,0)</f>
        <v>1</v>
      </c>
      <c r="AD49" s="14" t="n">
        <f aca="false">IF($AC49=1,Q_zero-Cost_round*D49+P49-W49,"")</f>
        <v>170</v>
      </c>
      <c r="AE49" s="14" t="n">
        <f aca="false">IF($AC49=1,W49-Cost_round*E49+Q49-X49,"")</f>
        <v>0</v>
      </c>
      <c r="AF49" s="14" t="n">
        <f aca="false">IF($AC49=1,X49-Cost_round*F49+R49-Y49,"")</f>
        <v>105</v>
      </c>
      <c r="AG49" s="14" t="n">
        <f aca="false">IF($AC49=1,Y49-Cost_round*G49+S49-Z49,"")</f>
        <v>90</v>
      </c>
      <c r="AH49" s="14" t="n">
        <f aca="false">IF($AC49=1,Z49-Cost_round*H49+T49-AA49,"")</f>
        <v>0</v>
      </c>
      <c r="AI49" s="14" t="n">
        <f aca="false">IF($AC49=1,AA49-Cost_round*I49+U49-AB49,"")</f>
        <v>2.5</v>
      </c>
      <c r="AJ49" s="14" t="n">
        <f aca="false">IF($AC49=1,SUM(AD49:AI49),"")</f>
        <v>367.5</v>
      </c>
      <c r="AK49" s="17" t="n">
        <f aca="false">IF($AC49=1,AD49*Beta_y^1+AE49*Beta_y^2+AF49*Beta_y^3+AG49*Beta_y^4+AH49*Beta_y^5+AI49*Beta_y^6,"")</f>
        <v>296.315904448111</v>
      </c>
      <c r="AL49" s="17" t="n">
        <f aca="false">IF($AC49=1,AK49+Beta_y^6*U49/Hurdle_r,"")</f>
        <v>987.796468763988</v>
      </c>
      <c r="AM49" s="17" t="n">
        <f aca="false">IF($AC49=1,AK49,"")</f>
        <v>296.315904448111</v>
      </c>
      <c r="AN49" s="17" t="n">
        <f aca="false">IF($AC49=1,AK49+Beta_y^6*U49*(1-(1+Hurdle_r)^(-Life_yrs))/Hurdle_r,"")</f>
        <v>885.012288975894</v>
      </c>
      <c r="AO49" s="17" t="n">
        <f aca="false">IF($AC49=1,AJ49+Credit_yrs*U49,"")</f>
        <v>1592.5</v>
      </c>
      <c r="AP49" s="17" t="n">
        <f aca="false">IF($AC49=1,$AD49/(1+AP$6)^1+$AE49/(1+AP$6)^2+$AF49/(1+AP$6)^3+$AG49/(1+AP$6)^4+$AH49/(1+AP$6)^5+$AI49/(1+AP$6)^6+$U49/AP$6/(1+AP$6)^6,"")</f>
        <v>3762.92334433378</v>
      </c>
      <c r="AQ49" s="17" t="n">
        <f aca="false">IF($AC49=1,$AD49/(1+AQ$6)^1+$AE49/(1+AQ$6)^2+$AF49/(1+AQ$6)^3+$AG49/(1+AQ$6)^4+$AH49/(1+AQ$6)^5+$AI49/(1+AQ$6)^6+$U49/AQ$6/(1+AQ$6)^6,"")</f>
        <v>2156.74419273317</v>
      </c>
      <c r="AR49" s="17" t="n">
        <f aca="false">IF($AC49=1,$AD49/(1+AR$6)^1+$AE49/(1+AR$6)^2+$AF49/(1+AR$6)^3+$AG49/(1+AR$6)^4+$AH49/(1+AR$6)^5+$AI49/(1+AR$6)^6+$U49/AR$6/(1+AR$6)^6,"")</f>
        <v>1273.43514469817</v>
      </c>
      <c r="AS49" s="17" t="n">
        <f aca="false">IF($AC49=1,$AD49/(1+AS$6)^1+$AE49/(1+AS$6)^2+$AF49/(1+AS$6)^3+$AG49/(1+AS$6)^4+$AH49/(1+AS$6)^5+$AI49/(1+AS$6)^6+$U49/AS$6/(1+AS$6)^6,"")</f>
        <v>987.796468763988</v>
      </c>
      <c r="AT49" s="17" t="n">
        <f aca="false">IF($AC49=1,$AD49/(1+AT$6)^1+$AE49/(1+AT$6)^2+$AF49/(1+AT$6)^3+$AG49/(1+AT$6)^4+$AH49/(1+AT$6)^5+$AI49/(1+AT$6)^6+$U49/AT$6/(1+AT$6)^6,"")</f>
        <v>802.171781367349</v>
      </c>
      <c r="AU49" s="17" t="n">
        <f aca="false">IF($AC49=1,$AD49/(1+AU$6)^1+$AE49/(1+AU$6)^2+$AF49/(1+AU$6)^3+$AG49/(1+AU$6)^4+$AH49/(1+AU$6)^5+$AI49/(1+AU$6)^6+$U49/AU$6/(1+AU$6)^6,"")</f>
        <v>622.471439116137</v>
      </c>
      <c r="AV49" s="17" t="n">
        <f aca="false">IF($AC49=1,$AD49/(1+AV$6)^1+$AE49/(1+AV$6)^2+$AF49/(1+AV$6)^3+$AG49/(1+AV$6)^4+$AH49/(1+AV$6)^5+$AI49/(1+AV$6)^6+$U49/AV$6/(1+AV$6)^6,"")</f>
        <v>451.79558899177</v>
      </c>
      <c r="AW49" s="17" t="n">
        <f aca="false">IF($AC49=1,$AD49/(1+AW$6)^1+$AE49/(1+AW$6)^2+$AF49/(1+AW$6)^3+$AG49/(1+AW$6)^4+$AH49/(1+AW$6)^5+$AI49/(1+AW$6)^6+$U49/AW$6/(1+AW$6)^6,"")</f>
        <v>295.188070075558</v>
      </c>
      <c r="AX49" s="17" t="n">
        <f aca="false">IF($AC49=1,$AD49/(1+AX$6)^1+$AE49/(1+AX$6)^2+$AF49/(1+AX$6)^3+$AG49/(1+AX$6)^4+$AH49/(1+AX$6)^5+$AI49/(1+AX$6)^6+$U49/AX$6/(1+AX$6)^6,"")</f>
        <v>6382.09183107534</v>
      </c>
      <c r="AY49" s="17" t="n">
        <f aca="false">IF($AC49=1,$AD49/(1+AY$6)^1+$AE49/(1+AY$6)^2+$AF49/(1+AY$6)^3+$AG49/(1+AY$6)^4+$AH49/(1+AY$6)^5+$AI49/(1+AY$6)^6+$U49/AY$6/(1+AY$6)^6,"")</f>
        <v>3048.69841414339</v>
      </c>
      <c r="AZ49" s="17" t="n">
        <f aca="false">IF($AC49=1,$AD49/(1+AZ$6)^1+$AE49/(1+AZ$6)^2+$AF49/(1+AZ$6)^3+$AG49/(1+AZ$6)^4+$AH49/(1+AZ$6)^5+$AI49/(1+AZ$6)^6+$U49/AZ$6/(1+AZ$6)^6,"")</f>
        <v>1414.33615595899</v>
      </c>
      <c r="BA49" s="17" t="n">
        <f aca="false">IF($AC49=1,$AD49/(1+BA$6)^1+$AE49/(1+BA$6)^2+$AF49/(1+BA$6)^3+$AG49/(1+BA$6)^4+$AH49/(1+BA$6)^5+$AI49/(1+BA$6)^6+$U49/BA$6/(1+BA$6)^6,"")</f>
        <v>644.305689623108</v>
      </c>
      <c r="BB49" s="17" t="n">
        <f aca="false">IF($AC49=1,$AD49/(1+BB$6)^1+$AE49/(1+BB$6)^2+$AF49/(1+BB$6)^3+$AG49/(1+BB$6)^4+$AH49/(1+BB$6)^5+$AI49/(1+BB$6)^6+$U49/BB$6/(1+BB$6)^6,"")</f>
        <v>296.461178618738</v>
      </c>
    </row>
    <row r="50" customFormat="false" ht="15" hidden="false" customHeight="false" outlineLevel="0" collapsed="false">
      <c r="A50" s="2" t="n">
        <v>42</v>
      </c>
      <c r="B50" s="2" t="str">
        <f aca="false">D50&amp;E50&amp;F50&amp;G50&amp;H50&amp;I50</f>
        <v>101010</v>
      </c>
      <c r="C50" s="15" t="n">
        <f aca="false">SUM(D50:I50)</f>
        <v>3</v>
      </c>
      <c r="D50" s="15" t="n">
        <f aca="false">MOD(INT($A50/32),2)</f>
        <v>1</v>
      </c>
      <c r="E50" s="15" t="n">
        <f aca="false">MOD(INT($A50/16),2)</f>
        <v>0</v>
      </c>
      <c r="F50" s="15" t="n">
        <f aca="false">MOD(INT($A50/8),2)</f>
        <v>1</v>
      </c>
      <c r="G50" s="15" t="n">
        <f aca="false">MOD(INT($A50/4),2)</f>
        <v>0</v>
      </c>
      <c r="H50" s="15" t="n">
        <f aca="false">MOD(INT($A50/2),2)</f>
        <v>1</v>
      </c>
      <c r="I50" s="15" t="n">
        <f aca="false">MOD(INT($A50/1),2)</f>
        <v>0</v>
      </c>
      <c r="J50" s="14" t="n">
        <f aca="false">E_zero+D50*(Half_gap*(Ceiling_e-E_zero)-$F$4)</f>
        <v>78</v>
      </c>
      <c r="K50" s="14" t="n">
        <f aca="false">J50+E50*(Half_gap*(Ceiling_e-J50)-$F$4)</f>
        <v>78</v>
      </c>
      <c r="L50" s="14" t="n">
        <f aca="false">K50+F50*(Half_gap*(Ceiling_e-K50)-$F$4)</f>
        <v>81.5</v>
      </c>
      <c r="M50" s="14" t="n">
        <f aca="false">L50+G50*(Half_gap*(Ceiling_e-L50)-$F$4)</f>
        <v>81.5</v>
      </c>
      <c r="N50" s="14" t="n">
        <f aca="false">M50+H50*(Half_gap*(Ceiling_e-M50)-$F$4)</f>
        <v>83.25</v>
      </c>
      <c r="O50" s="14" t="n">
        <f aca="false">N50+I50*(Half_gap*(Ceiling_e-N50)-$F$4)</f>
        <v>83.25</v>
      </c>
      <c r="P50" s="14" t="n">
        <f aca="false">Val_pt*(J50-E_zero)</f>
        <v>70</v>
      </c>
      <c r="Q50" s="14" t="n">
        <f aca="false">Val_pt*(K50-E_zero)</f>
        <v>70</v>
      </c>
      <c r="R50" s="14" t="n">
        <f aca="false">Val_pt*(L50-E_zero)</f>
        <v>105</v>
      </c>
      <c r="S50" s="14" t="n">
        <f aca="false">Val_pt*(M50-E_zero)</f>
        <v>105</v>
      </c>
      <c r="T50" s="14" t="n">
        <f aca="false">Val_pt*(N50-E_zero)</f>
        <v>122.5</v>
      </c>
      <c r="U50" s="14" t="n">
        <f aca="false">Val_pt*(O50-E_zero)</f>
        <v>122.5</v>
      </c>
      <c r="V50" s="14" t="n">
        <f aca="false">MAX(W50+Cost_round*D50-P50,IF(D50=1,Pre_q,0))</f>
        <v>470</v>
      </c>
      <c r="W50" s="14" t="n">
        <f aca="false">MAX(X50+Cost_round*E50-Q50,IF(E50=1,Pre_q,0),Floor_q)</f>
        <v>400</v>
      </c>
      <c r="X50" s="14" t="n">
        <f aca="false">MAX(Y50+Cost_round*F50-R50,IF(F50=1,Pre_q,0),Floor_q)</f>
        <v>470</v>
      </c>
      <c r="Y50" s="14" t="n">
        <f aca="false">MAX(Z50+Cost_round*G50-S50,IF(G50=1,Pre_q,0),Floor_q)</f>
        <v>365</v>
      </c>
      <c r="Z50" s="14" t="n">
        <f aca="false">MAX(AA50+Cost_round*H50-T50,IF(H50=1,Pre_q,0),Floor_q)</f>
        <v>470</v>
      </c>
      <c r="AA50" s="14" t="n">
        <f aca="false">MAX(AB50+Cost_round*I50-U50,IF(I50=1,Pre_q,0),Floor_q)</f>
        <v>350</v>
      </c>
      <c r="AB50" s="14" t="n">
        <f aca="false">MAX(End_q,Floor_q)</f>
        <v>470</v>
      </c>
      <c r="AC50" s="15" t="n">
        <f aca="false">IF(Q_zero&gt;=V50-0.000000001,1,0)</f>
        <v>1</v>
      </c>
      <c r="AD50" s="14" t="n">
        <f aca="false">IF($AC50=1,Q_zero-Cost_round*D50+P50-W50,"")</f>
        <v>170</v>
      </c>
      <c r="AE50" s="14" t="n">
        <f aca="false">IF($AC50=1,W50-Cost_round*E50+Q50-X50,"")</f>
        <v>0</v>
      </c>
      <c r="AF50" s="14" t="n">
        <f aca="false">IF($AC50=1,X50-Cost_round*F50+R50-Y50,"")</f>
        <v>90</v>
      </c>
      <c r="AG50" s="14" t="n">
        <f aca="false">IF($AC50=1,Y50-Cost_round*G50+S50-Z50,"")</f>
        <v>0</v>
      </c>
      <c r="AH50" s="14" t="n">
        <f aca="false">IF($AC50=1,Z50-Cost_round*H50+T50-AA50,"")</f>
        <v>122.5</v>
      </c>
      <c r="AI50" s="14" t="n">
        <f aca="false">IF($AC50=1,AA50-Cost_round*I50+U50-AB50,"")</f>
        <v>2.5</v>
      </c>
      <c r="AJ50" s="14" t="n">
        <f aca="false">IF($AC50=1,SUM(AD50:AI50),"")</f>
        <v>385</v>
      </c>
      <c r="AK50" s="17" t="n">
        <f aca="false">IF($AC50=1,AD50*Beta_y^1+AE50*Beta_y^2+AF50*Beta_y^3+AG50*Beta_y^4+AH50*Beta_y^5+AI50*Beta_y^6,"")</f>
        <v>299.637833526477</v>
      </c>
      <c r="AL50" s="17" t="n">
        <f aca="false">IF($AC50=1,AK50+Beta_y^6*U50/Hurdle_r,"")</f>
        <v>991.118397842355</v>
      </c>
      <c r="AM50" s="17" t="n">
        <f aca="false">IF($AC50=1,AK50,"")</f>
        <v>299.637833526477</v>
      </c>
      <c r="AN50" s="17" t="n">
        <f aca="false">IF($AC50=1,AK50+Beta_y^6*U50*(1-(1+Hurdle_r)^(-Life_yrs))/Hurdle_r,"")</f>
        <v>888.334218054261</v>
      </c>
      <c r="AO50" s="17" t="n">
        <f aca="false">IF($AC50=1,AJ50+Credit_yrs*U50,"")</f>
        <v>1610</v>
      </c>
      <c r="AP50" s="17" t="n">
        <f aca="false">IF($AC50=1,$AD50/(1+AP$6)^1+$AE50/(1+AP$6)^2+$AF50/(1+AP$6)^3+$AG50/(1+AP$6)^4+$AH50/(1+AP$6)^5+$AI50/(1+AP$6)^6+$U50/AP$6/(1+AP$6)^6,"")</f>
        <v>3774.90196121813</v>
      </c>
      <c r="AQ50" s="17" t="n">
        <f aca="false">IF($AC50=1,$AD50/(1+AQ$6)^1+$AE50/(1+AQ$6)^2+$AF50/(1+AQ$6)^3+$AG50/(1+AQ$6)^4+$AH50/(1+AQ$6)^5+$AI50/(1+AQ$6)^6+$U50/AQ$6/(1+AQ$6)^6,"")</f>
        <v>2165.72536141631</v>
      </c>
      <c r="AR50" s="17" t="n">
        <f aca="false">IF($AC50=1,$AD50/(1+AR$6)^1+$AE50/(1+AR$6)^2+$AF50/(1+AR$6)^3+$AG50/(1+AR$6)^4+$AH50/(1+AR$6)^5+$AI50/(1+AR$6)^6+$U50/AR$6/(1+AR$6)^6,"")</f>
        <v>1278.74641596782</v>
      </c>
      <c r="AS50" s="17" t="n">
        <f aca="false">IF($AC50=1,$AD50/(1+AS$6)^1+$AE50/(1+AS$6)^2+$AF50/(1+AS$6)^3+$AG50/(1+AS$6)^4+$AH50/(1+AS$6)^5+$AI50/(1+AS$6)^6+$U50/AS$6/(1+AS$6)^6,"")</f>
        <v>991.118397842354</v>
      </c>
      <c r="AT50" s="17" t="n">
        <f aca="false">IF($AC50=1,$AD50/(1+AT$6)^1+$AE50/(1+AT$6)^2+$AF50/(1+AT$6)^3+$AG50/(1+AT$6)^4+$AH50/(1+AT$6)^5+$AI50/(1+AT$6)^6+$U50/AT$6/(1+AT$6)^6,"")</f>
        <v>803.808240419241</v>
      </c>
      <c r="AU50" s="17" t="n">
        <f aca="false">IF($AC50=1,$AD50/(1+AU$6)^1+$AE50/(1+AU$6)^2+$AF50/(1+AU$6)^3+$AG50/(1+AU$6)^4+$AH50/(1+AU$6)^5+$AI50/(1+AU$6)^6+$U50/AU$6/(1+AU$6)^6,"")</f>
        <v>622.055053600325</v>
      </c>
      <c r="AV50" s="17" t="n">
        <f aca="false">IF($AC50=1,$AD50/(1+AV$6)^1+$AE50/(1+AV$6)^2+$AF50/(1+AV$6)^3+$AG50/(1+AV$6)^4+$AH50/(1+AV$6)^5+$AI50/(1+AV$6)^6+$U50/AV$6/(1+AV$6)^6,"")</f>
        <v>448.942258230453</v>
      </c>
      <c r="AW50" s="17" t="n">
        <f aca="false">IF($AC50=1,$AD50/(1+AW$6)^1+$AE50/(1+AW$6)^2+$AF50/(1+AW$6)^3+$AG50/(1+AW$6)^4+$AH50/(1+AW$6)^5+$AI50/(1+AW$6)^6+$U50/AW$6/(1+AW$6)^6,"")</f>
        <v>289.841887949851</v>
      </c>
      <c r="AX50" s="17" t="n">
        <f aca="false">IF($AC50=1,$AD50/(1+AX$6)^1+$AE50/(1+AX$6)^2+$AF50/(1+AX$6)^3+$AG50/(1+AX$6)^4+$AH50/(1+AX$6)^5+$AI50/(1+AX$6)^6+$U50/AX$6/(1+AX$6)^6,"")</f>
        <v>6396.07730029168</v>
      </c>
      <c r="AY50" s="17" t="n">
        <f aca="false">IF($AC50=1,$AD50/(1+AY$6)^1+$AE50/(1+AY$6)^2+$AF50/(1+AY$6)^3+$AG50/(1+AY$6)^4+$AH50/(1+AY$6)^5+$AI50/(1+AY$6)^6+$U50/AY$6/(1+AY$6)^6,"")</f>
        <v>3059.65511580319</v>
      </c>
      <c r="AZ50" s="17" t="n">
        <f aca="false">IF($AC50=1,$AD50/(1+AZ$6)^1+$AE50/(1+AZ$6)^2+$AF50/(1+AZ$6)^3+$AG50/(1+AZ$6)^4+$AH50/(1+AZ$6)^5+$AI50/(1+AZ$6)^6+$U50/AZ$6/(1+AZ$6)^6,"")</f>
        <v>1420.43435410283</v>
      </c>
      <c r="BA50" s="17" t="n">
        <f aca="false">IF($AC50=1,$AD50/(1+BA$6)^1+$AE50/(1+BA$6)^2+$AF50/(1+BA$6)^3+$AG50/(1+BA$6)^4+$AH50/(1+BA$6)^5+$AI50/(1+BA$6)^6+$U50/BA$6/(1+BA$6)^6,"")</f>
        <v>644.165137817795</v>
      </c>
      <c r="BB50" s="17" t="n">
        <f aca="false">IF($AC50=1,$AD50/(1+BB$6)^1+$AE50/(1+BB$6)^2+$AF50/(1+BB$6)^3+$AG50/(1+BB$6)^4+$AH50/(1+BB$6)^5+$AI50/(1+BB$6)^6+$U50/BB$6/(1+BB$6)^6,"")</f>
        <v>291.133416153699</v>
      </c>
    </row>
    <row r="51" customFormat="false" ht="15" hidden="false" customHeight="false" outlineLevel="0" collapsed="false">
      <c r="A51" s="2" t="n">
        <v>43</v>
      </c>
      <c r="B51" s="2" t="str">
        <f aca="false">D51&amp;E51&amp;F51&amp;G51&amp;H51&amp;I51</f>
        <v>101011</v>
      </c>
      <c r="C51" s="15" t="n">
        <f aca="false">SUM(D51:I51)</f>
        <v>4</v>
      </c>
      <c r="D51" s="15" t="n">
        <f aca="false">MOD(INT($A51/32),2)</f>
        <v>1</v>
      </c>
      <c r="E51" s="15" t="n">
        <f aca="false">MOD(INT($A51/16),2)</f>
        <v>0</v>
      </c>
      <c r="F51" s="15" t="n">
        <f aca="false">MOD(INT($A51/8),2)</f>
        <v>1</v>
      </c>
      <c r="G51" s="15" t="n">
        <f aca="false">MOD(INT($A51/4),2)</f>
        <v>0</v>
      </c>
      <c r="H51" s="15" t="n">
        <f aca="false">MOD(INT($A51/2),2)</f>
        <v>1</v>
      </c>
      <c r="I51" s="15" t="n">
        <f aca="false">MOD(INT($A51/1),2)</f>
        <v>1</v>
      </c>
      <c r="J51" s="14" t="n">
        <f aca="false">E_zero+D51*(Half_gap*(Ceiling_e-E_zero)-$F$4)</f>
        <v>78</v>
      </c>
      <c r="K51" s="14" t="n">
        <f aca="false">J51+E51*(Half_gap*(Ceiling_e-J51)-$F$4)</f>
        <v>78</v>
      </c>
      <c r="L51" s="14" t="n">
        <f aca="false">K51+F51*(Half_gap*(Ceiling_e-K51)-$F$4)</f>
        <v>81.5</v>
      </c>
      <c r="M51" s="14" t="n">
        <f aca="false">L51+G51*(Half_gap*(Ceiling_e-L51)-$F$4)</f>
        <v>81.5</v>
      </c>
      <c r="N51" s="14" t="n">
        <f aca="false">M51+H51*(Half_gap*(Ceiling_e-M51)-$F$4)</f>
        <v>83.25</v>
      </c>
      <c r="O51" s="14" t="n">
        <f aca="false">N51+I51*(Half_gap*(Ceiling_e-N51)-$F$4)</f>
        <v>84.125</v>
      </c>
      <c r="P51" s="14" t="n">
        <f aca="false">Val_pt*(J51-E_zero)</f>
        <v>70</v>
      </c>
      <c r="Q51" s="14" t="n">
        <f aca="false">Val_pt*(K51-E_zero)</f>
        <v>70</v>
      </c>
      <c r="R51" s="14" t="n">
        <f aca="false">Val_pt*(L51-E_zero)</f>
        <v>105</v>
      </c>
      <c r="S51" s="14" t="n">
        <f aca="false">Val_pt*(M51-E_zero)</f>
        <v>105</v>
      </c>
      <c r="T51" s="14" t="n">
        <f aca="false">Val_pt*(N51-E_zero)</f>
        <v>122.5</v>
      </c>
      <c r="U51" s="14" t="n">
        <f aca="false">Val_pt*(O51-E_zero)</f>
        <v>131.25</v>
      </c>
      <c r="V51" s="14" t="n">
        <f aca="false">MAX(W51+Cost_round*D51-P51,IF(D51=1,Pre_q,0))</f>
        <v>470</v>
      </c>
      <c r="W51" s="14" t="n">
        <f aca="false">MAX(X51+Cost_round*E51-Q51,IF(E51=1,Pre_q,0),Floor_q)</f>
        <v>400</v>
      </c>
      <c r="X51" s="14" t="n">
        <f aca="false">MAX(Y51+Cost_round*F51-R51,IF(F51=1,Pre_q,0),Floor_q)</f>
        <v>470</v>
      </c>
      <c r="Y51" s="14" t="n">
        <f aca="false">MAX(Z51+Cost_round*G51-S51,IF(G51=1,Pre_q,0),Floor_q)</f>
        <v>365</v>
      </c>
      <c r="Z51" s="14" t="n">
        <f aca="false">MAX(AA51+Cost_round*H51-T51,IF(H51=1,Pre_q,0),Floor_q)</f>
        <v>470</v>
      </c>
      <c r="AA51" s="14" t="n">
        <f aca="false">MAX(AB51+Cost_round*I51-U51,IF(I51=1,Pre_q,0),Floor_q)</f>
        <v>470</v>
      </c>
      <c r="AB51" s="14" t="n">
        <f aca="false">MAX(End_q,Floor_q)</f>
        <v>470</v>
      </c>
      <c r="AC51" s="15" t="n">
        <f aca="false">IF(Q_zero&gt;=V51-0.000000001,1,0)</f>
        <v>1</v>
      </c>
      <c r="AD51" s="14" t="n">
        <f aca="false">IF($AC51=1,Q_zero-Cost_round*D51+P51-W51,"")</f>
        <v>170</v>
      </c>
      <c r="AE51" s="14" t="n">
        <f aca="false">IF($AC51=1,W51-Cost_round*E51+Q51-X51,"")</f>
        <v>0</v>
      </c>
      <c r="AF51" s="14" t="n">
        <f aca="false">IF($AC51=1,X51-Cost_round*F51+R51-Y51,"")</f>
        <v>90</v>
      </c>
      <c r="AG51" s="14" t="n">
        <f aca="false">IF($AC51=1,Y51-Cost_round*G51+S51-Z51,"")</f>
        <v>0</v>
      </c>
      <c r="AH51" s="14" t="n">
        <f aca="false">IF($AC51=1,Z51-Cost_round*H51+T51-AA51,"")</f>
        <v>2.5</v>
      </c>
      <c r="AI51" s="14" t="n">
        <f aca="false">IF($AC51=1,AA51-Cost_round*I51+U51-AB51,"")</f>
        <v>11.25</v>
      </c>
      <c r="AJ51" s="14" t="n">
        <f aca="false">IF($AC51=1,SUM(AD51:AI51),"")</f>
        <v>273.75</v>
      </c>
      <c r="AK51" s="17" t="n">
        <f aca="false">IF($AC51=1,AD51*Beta_y^1+AE51*Beta_y^2+AF51*Beta_y^3+AG51*Beta_y^4+AH51*Beta_y^5+AI51*Beta_y^6,"")</f>
        <v>230.066421647349</v>
      </c>
      <c r="AL51" s="17" t="n">
        <f aca="false">IF($AC51=1,AK51+Beta_y^6*U51/Hurdle_r,"")</f>
        <v>970.938454842932</v>
      </c>
      <c r="AM51" s="17" t="n">
        <f aca="false">IF($AC51=1,AK51,"")</f>
        <v>230.066421647349</v>
      </c>
      <c r="AN51" s="17" t="n">
        <f aca="false">IF($AC51=1,AK51+Beta_y^6*U51*(1-(1+Hurdle_r)^(-Life_yrs))/Hurdle_r,"")</f>
        <v>860.812547927117</v>
      </c>
      <c r="AO51" s="17" t="n">
        <f aca="false">IF($AC51=1,AJ51+Credit_yrs*U51,"")</f>
        <v>1586.25</v>
      </c>
      <c r="AP51" s="17" t="n">
        <f aca="false">IF($AC51=1,$AD51/(1+AP$6)^1+$AE51/(1+AP$6)^2+$AF51/(1+AP$6)^3+$AG51/(1+AP$6)^4+$AH51/(1+AP$6)^5+$AI51/(1+AP$6)^6+$U51/AP$6/(1+AP$6)^6,"")</f>
        <v>3922.98313587074</v>
      </c>
      <c r="AQ51" s="17" t="n">
        <f aca="false">IF($AC51=1,$AD51/(1+AQ$6)^1+$AE51/(1+AQ$6)^2+$AF51/(1+AQ$6)^3+$AG51/(1+AQ$6)^4+$AH51/(1+AQ$6)^5+$AI51/(1+AQ$6)^6+$U51/AQ$6/(1+AQ$6)^6,"")</f>
        <v>2208.81930057208</v>
      </c>
      <c r="AR51" s="17" t="n">
        <f aca="false">IF($AC51=1,$AD51/(1+AR$6)^1+$AE51/(1+AR$6)^2+$AF51/(1+AR$6)^3+$AG51/(1+AR$6)^4+$AH51/(1+AR$6)^5+$AI51/(1+AR$6)^6+$U51/AR$6/(1+AR$6)^6,"")</f>
        <v>1271.51521949934</v>
      </c>
      <c r="AS51" s="17" t="n">
        <f aca="false">IF($AC51=1,$AD51/(1+AS$6)^1+$AE51/(1+AS$6)^2+$AF51/(1+AS$6)^3+$AG51/(1+AS$6)^4+$AH51/(1+AS$6)^5+$AI51/(1+AS$6)^6+$U51/AS$6/(1+AS$6)^6,"")</f>
        <v>970.938454842932</v>
      </c>
      <c r="AT51" s="17" t="n">
        <f aca="false">IF($AC51=1,$AD51/(1+AT$6)^1+$AE51/(1+AT$6)^2+$AF51/(1+AT$6)^3+$AG51/(1+AT$6)^4+$AH51/(1+AT$6)^5+$AI51/(1+AT$6)^6+$U51/AT$6/(1+AT$6)^6,"")</f>
        <v>777.091892629157</v>
      </c>
      <c r="AU51" s="17" t="n">
        <f aca="false">IF($AC51=1,$AD51/(1+AU$6)^1+$AE51/(1+AU$6)^2+$AF51/(1+AU$6)^3+$AG51/(1+AU$6)^4+$AH51/(1+AU$6)^5+$AI51/(1+AU$6)^6+$U51/AU$6/(1+AU$6)^6,"")</f>
        <v>591.395821590263</v>
      </c>
      <c r="AV51" s="17" t="n">
        <f aca="false">IF($AC51=1,$AD51/(1+AV$6)^1+$AE51/(1+AV$6)^2+$AF51/(1+AV$6)^3+$AG51/(1+AV$6)^4+$AH51/(1+AV$6)^5+$AI51/(1+AV$6)^6+$U51/AV$6/(1+AV$6)^6,"")</f>
        <v>418.299093364198</v>
      </c>
      <c r="AW51" s="17" t="n">
        <f aca="false">IF($AC51=1,$AD51/(1+AW$6)^1+$AE51/(1+AW$6)^2+$AF51/(1+AW$6)^3+$AG51/(1+AW$6)^4+$AH51/(1+AW$6)^5+$AI51/(1+AW$6)^6+$U51/AW$6/(1+AW$6)^6,"")</f>
        <v>265.377830363704</v>
      </c>
      <c r="AX51" s="17" t="n">
        <f aca="false">IF($AC51=1,$AD51/(1+AX$6)^1+$AE51/(1+AX$6)^2+$AF51/(1+AX$6)^3+$AG51/(1+AX$6)^4+$AH51/(1+AX$6)^5+$AI51/(1+AX$6)^6+$U51/AX$6/(1+AX$6)^6,"")</f>
        <v>6724.98560225343</v>
      </c>
      <c r="AY51" s="17" t="n">
        <f aca="false">IF($AC51=1,$AD51/(1+AY$6)^1+$AE51/(1+AY$6)^2+$AF51/(1+AY$6)^3+$AG51/(1+AY$6)^4+$AH51/(1+AY$6)^5+$AI51/(1+AY$6)^6+$U51/AY$6/(1+AY$6)^6,"")</f>
        <v>3159.98308177171</v>
      </c>
      <c r="AZ51" s="17" t="n">
        <f aca="false">IF($AC51=1,$AD51/(1+AZ$6)^1+$AE51/(1+AZ$6)^2+$AF51/(1+AZ$6)^3+$AG51/(1+AZ$6)^4+$AH51/(1+AZ$6)^5+$AI51/(1+AZ$6)^6+$U51/AZ$6/(1+AZ$6)^6,"")</f>
        <v>1420.4343541037</v>
      </c>
      <c r="BA51" s="17" t="n">
        <f aca="false">IF($AC51=1,$AD51/(1+BA$6)^1+$AE51/(1+BA$6)^2+$AF51/(1+BA$6)^3+$AG51/(1+BA$6)^4+$AH51/(1+BA$6)^5+$AI51/(1+BA$6)^6+$U51/BA$6/(1+BA$6)^6,"")</f>
        <v>613.813884279583</v>
      </c>
      <c r="BB51" s="17" t="n">
        <f aca="false">IF($AC51=1,$AD51/(1+BB$6)^1+$AE51/(1+BB$6)^2+$AF51/(1+BB$6)^3+$AG51/(1+BB$6)^4+$AH51/(1+BB$6)^5+$AI51/(1+BB$6)^6+$U51/BB$6/(1+BB$6)^6,"")</f>
        <v>266.581763133447</v>
      </c>
    </row>
    <row r="52" customFormat="false" ht="15" hidden="false" customHeight="false" outlineLevel="0" collapsed="false">
      <c r="A52" s="2" t="n">
        <v>44</v>
      </c>
      <c r="B52" s="2" t="str">
        <f aca="false">D52&amp;E52&amp;F52&amp;G52&amp;H52&amp;I52</f>
        <v>101100</v>
      </c>
      <c r="C52" s="15" t="n">
        <f aca="false">SUM(D52:I52)</f>
        <v>3</v>
      </c>
      <c r="D52" s="15" t="n">
        <f aca="false">MOD(INT($A52/32),2)</f>
        <v>1</v>
      </c>
      <c r="E52" s="15" t="n">
        <f aca="false">MOD(INT($A52/16),2)</f>
        <v>0</v>
      </c>
      <c r="F52" s="15" t="n">
        <f aca="false">MOD(INT($A52/8),2)</f>
        <v>1</v>
      </c>
      <c r="G52" s="15" t="n">
        <f aca="false">MOD(INT($A52/4),2)</f>
        <v>1</v>
      </c>
      <c r="H52" s="15" t="n">
        <f aca="false">MOD(INT($A52/2),2)</f>
        <v>0</v>
      </c>
      <c r="I52" s="15" t="n">
        <f aca="false">MOD(INT($A52/1),2)</f>
        <v>0</v>
      </c>
      <c r="J52" s="14" t="n">
        <f aca="false">E_zero+D52*(Half_gap*(Ceiling_e-E_zero)-$F$4)</f>
        <v>78</v>
      </c>
      <c r="K52" s="14" t="n">
        <f aca="false">J52+E52*(Half_gap*(Ceiling_e-J52)-$F$4)</f>
        <v>78</v>
      </c>
      <c r="L52" s="14" t="n">
        <f aca="false">K52+F52*(Half_gap*(Ceiling_e-K52)-$F$4)</f>
        <v>81.5</v>
      </c>
      <c r="M52" s="14" t="n">
        <f aca="false">L52+G52*(Half_gap*(Ceiling_e-L52)-$F$4)</f>
        <v>83.25</v>
      </c>
      <c r="N52" s="14" t="n">
        <f aca="false">M52+H52*(Half_gap*(Ceiling_e-M52)-$F$4)</f>
        <v>83.25</v>
      </c>
      <c r="O52" s="14" t="n">
        <f aca="false">N52+I52*(Half_gap*(Ceiling_e-N52)-$F$4)</f>
        <v>83.25</v>
      </c>
      <c r="P52" s="14" t="n">
        <f aca="false">Val_pt*(J52-E_zero)</f>
        <v>70</v>
      </c>
      <c r="Q52" s="14" t="n">
        <f aca="false">Val_pt*(K52-E_zero)</f>
        <v>70</v>
      </c>
      <c r="R52" s="14" t="n">
        <f aca="false">Val_pt*(L52-E_zero)</f>
        <v>105</v>
      </c>
      <c r="S52" s="14" t="n">
        <f aca="false">Val_pt*(M52-E_zero)</f>
        <v>122.5</v>
      </c>
      <c r="T52" s="14" t="n">
        <f aca="false">Val_pt*(N52-E_zero)</f>
        <v>122.5</v>
      </c>
      <c r="U52" s="14" t="n">
        <f aca="false">Val_pt*(O52-E_zero)</f>
        <v>122.5</v>
      </c>
      <c r="V52" s="14" t="n">
        <f aca="false">MAX(W52+Cost_round*D52-P52,IF(D52=1,Pre_q,0))</f>
        <v>470</v>
      </c>
      <c r="W52" s="14" t="n">
        <f aca="false">MAX(X52+Cost_round*E52-Q52,IF(E52=1,Pre_q,0),Floor_q)</f>
        <v>415</v>
      </c>
      <c r="X52" s="14" t="n">
        <f aca="false">MAX(Y52+Cost_round*F52-R52,IF(F52=1,Pre_q,0),Floor_q)</f>
        <v>485</v>
      </c>
      <c r="Y52" s="14" t="n">
        <f aca="false">MAX(Z52+Cost_round*G52-S52,IF(G52=1,Pre_q,0),Floor_q)</f>
        <v>470</v>
      </c>
      <c r="Z52" s="14" t="n">
        <f aca="false">MAX(AA52+Cost_round*H52-T52,IF(H52=1,Pre_q,0),Floor_q)</f>
        <v>350</v>
      </c>
      <c r="AA52" s="14" t="n">
        <f aca="false">MAX(AB52+Cost_round*I52-U52,IF(I52=1,Pre_q,0),Floor_q)</f>
        <v>350</v>
      </c>
      <c r="AB52" s="14" t="n">
        <f aca="false">MAX(End_q,Floor_q)</f>
        <v>470</v>
      </c>
      <c r="AC52" s="15" t="n">
        <f aca="false">IF(Q_zero&gt;=V52-0.000000001,1,0)</f>
        <v>1</v>
      </c>
      <c r="AD52" s="14" t="n">
        <f aca="false">IF($AC52=1,Q_zero-Cost_round*D52+P52-W52,"")</f>
        <v>155</v>
      </c>
      <c r="AE52" s="14" t="n">
        <f aca="false">IF($AC52=1,W52-Cost_round*E52+Q52-X52,"")</f>
        <v>0</v>
      </c>
      <c r="AF52" s="14" t="n">
        <f aca="false">IF($AC52=1,X52-Cost_round*F52+R52-Y52,"")</f>
        <v>0</v>
      </c>
      <c r="AG52" s="14" t="n">
        <f aca="false">IF($AC52=1,Y52-Cost_round*G52+S52-Z52,"")</f>
        <v>122.5</v>
      </c>
      <c r="AH52" s="14" t="n">
        <f aca="false">IF($AC52=1,Z52-Cost_round*H52+T52-AA52,"")</f>
        <v>122.5</v>
      </c>
      <c r="AI52" s="14" t="n">
        <f aca="false">IF($AC52=1,AA52-Cost_round*I52+U52-AB52,"")</f>
        <v>2.5</v>
      </c>
      <c r="AJ52" s="14" t="n">
        <f aca="false">IF($AC52=1,SUM(AD52:AI52),"")</f>
        <v>402.5</v>
      </c>
      <c r="AK52" s="17" t="n">
        <f aca="false">IF($AC52=1,AD52*Beta_y^1+AE52*Beta_y^2+AF52*Beta_y^3+AG52*Beta_y^4+AH52*Beta_y^5+AI52*Beta_y^6,"")</f>
        <v>302.052286091193</v>
      </c>
      <c r="AL52" s="17" t="n">
        <f aca="false">IF($AC52=1,AK52+Beta_y^6*U52/Hurdle_r,"")</f>
        <v>993.53285040707</v>
      </c>
      <c r="AM52" s="17" t="n">
        <f aca="false">IF($AC52=1,AK52,"")</f>
        <v>302.052286091193</v>
      </c>
      <c r="AN52" s="17" t="n">
        <f aca="false">IF($AC52=1,AK52+Beta_y^6*U52*(1-(1+Hurdle_r)^(-Life_yrs))/Hurdle_r,"")</f>
        <v>890.748670618976</v>
      </c>
      <c r="AO52" s="17" t="n">
        <f aca="false">IF($AC52=1,AJ52+Credit_yrs*U52,"")</f>
        <v>1627.5</v>
      </c>
      <c r="AP52" s="17" t="n">
        <f aca="false">IF($AC52=1,$AD52/(1+AP$6)^1+$AE52/(1+AP$6)^2+$AF52/(1+AP$6)^3+$AG52/(1+AP$6)^4+$AH52/(1+AP$6)^5+$AI52/(1+AP$6)^6+$U52/AP$6/(1+AP$6)^6,"")</f>
        <v>3786.8157684499</v>
      </c>
      <c r="AQ52" s="17" t="n">
        <f aca="false">IF($AC52=1,$AD52/(1+AQ$6)^1+$AE52/(1+AQ$6)^2+$AF52/(1+AQ$6)^3+$AG52/(1+AQ$6)^4+$AH52/(1+AQ$6)^5+$AI52/(1+AQ$6)^6+$U52/AQ$6/(1+AQ$6)^6,"")</f>
        <v>2174.47531642477</v>
      </c>
      <c r="AR52" s="17" t="n">
        <f aca="false">IF($AC52=1,$AD52/(1+AR$6)^1+$AE52/(1+AR$6)^2+$AF52/(1+AR$6)^3+$AG52/(1+AR$6)^4+$AH52/(1+AR$6)^5+$AI52/(1+AR$6)^6+$U52/AR$6/(1+AR$6)^6,"")</f>
        <v>1283.45378235468</v>
      </c>
      <c r="AS52" s="17" t="n">
        <f aca="false">IF($AC52=1,$AD52/(1+AS$6)^1+$AE52/(1+AS$6)^2+$AF52/(1+AS$6)^3+$AG52/(1+AS$6)^4+$AH52/(1+AS$6)^5+$AI52/(1+AS$6)^6+$U52/AS$6/(1+AS$6)^6,"")</f>
        <v>993.53285040707</v>
      </c>
      <c r="AT52" s="17" t="n">
        <f aca="false">IF($AC52=1,$AD52/(1+AT$6)^1+$AE52/(1+AT$6)^2+$AF52/(1+AT$6)^3+$AG52/(1+AT$6)^4+$AH52/(1+AT$6)^5+$AI52/(1+AT$6)^6+$U52/AT$6/(1+AT$6)^6,"")</f>
        <v>804.206125577769</v>
      </c>
      <c r="AU52" s="17" t="n">
        <f aca="false">IF($AC52=1,$AD52/(1+AU$6)^1+$AE52/(1+AU$6)^2+$AF52/(1+AU$6)^3+$AG52/(1+AU$6)^4+$AH52/(1+AU$6)^5+$AI52/(1+AU$6)^6+$U52/AU$6/(1+AU$6)^6,"")</f>
        <v>619.874887005723</v>
      </c>
      <c r="AV52" s="17" t="n">
        <f aca="false">IF($AC52=1,$AD52/(1+AV$6)^1+$AE52/(1+AV$6)^2+$AF52/(1+AV$6)^3+$AG52/(1+AV$6)^4+$AH52/(1+AV$6)^5+$AI52/(1+AV$6)^6+$U52/AV$6/(1+AV$6)^6,"")</f>
        <v>443.434927983539</v>
      </c>
      <c r="AW52" s="17" t="n">
        <f aca="false">IF($AC52=1,$AD52/(1+AW$6)^1+$AE52/(1+AW$6)^2+$AF52/(1+AW$6)^3+$AG52/(1+AW$6)^4+$AH52/(1+AW$6)^5+$AI52/(1+AW$6)^6+$U52/AW$6/(1+AW$6)^6,"")</f>
        <v>280.229129292941</v>
      </c>
      <c r="AX52" s="17" t="n">
        <f aca="false">IF($AC52=1,$AD52/(1+AX$6)^1+$AE52/(1+AX$6)^2+$AF52/(1+AX$6)^3+$AG52/(1+AX$6)^4+$AH52/(1+AX$6)^5+$AI52/(1+AX$6)^6+$U52/AX$6/(1+AX$6)^6,"")</f>
        <v>6410.05397841865</v>
      </c>
      <c r="AY52" s="17" t="n">
        <f aca="false">IF($AC52=1,$AD52/(1+AY$6)^1+$AE52/(1+AY$6)^2+$AF52/(1+AY$6)^3+$AG52/(1+AY$6)^4+$AH52/(1+AY$6)^5+$AI52/(1+AY$6)^6+$U52/AY$6/(1+AY$6)^6,"")</f>
        <v>3070.50220249076</v>
      </c>
      <c r="AZ52" s="17" t="n">
        <f aca="false">IF($AC52=1,$AD52/(1+AZ$6)^1+$AE52/(1+AZ$6)^2+$AF52/(1+AZ$6)^3+$AG52/(1+AZ$6)^4+$AH52/(1+AZ$6)^5+$AI52/(1+AZ$6)^6+$U52/AZ$6/(1+AZ$6)^6,"")</f>
        <v>1426.02707585159</v>
      </c>
      <c r="BA52" s="17" t="n">
        <f aca="false">IF($AC52=1,$AD52/(1+BA$6)^1+$AE52/(1+BA$6)^2+$AF52/(1+BA$6)^3+$AG52/(1+BA$6)^4+$AH52/(1+BA$6)^5+$AI52/(1+BA$6)^6+$U52/BA$6/(1+BA$6)^6,"")</f>
        <v>642.34088476317</v>
      </c>
      <c r="BB52" s="17" t="n">
        <f aca="false">IF($AC52=1,$AD52/(1+BB$6)^1+$AE52/(1+BB$6)^2+$AF52/(1+BB$6)^3+$AG52/(1+BB$6)^4+$AH52/(1+BB$6)^5+$AI52/(1+BB$6)^6+$U52/BB$6/(1+BB$6)^6,"")</f>
        <v>281.557648069343</v>
      </c>
    </row>
    <row r="53" customFormat="false" ht="15" hidden="false" customHeight="false" outlineLevel="0" collapsed="false">
      <c r="A53" s="2" t="n">
        <v>45</v>
      </c>
      <c r="B53" s="2" t="str">
        <f aca="false">D53&amp;E53&amp;F53&amp;G53&amp;H53&amp;I53</f>
        <v>101101</v>
      </c>
      <c r="C53" s="15" t="n">
        <f aca="false">SUM(D53:I53)</f>
        <v>4</v>
      </c>
      <c r="D53" s="15" t="n">
        <f aca="false">MOD(INT($A53/32),2)</f>
        <v>1</v>
      </c>
      <c r="E53" s="15" t="n">
        <f aca="false">MOD(INT($A53/16),2)</f>
        <v>0</v>
      </c>
      <c r="F53" s="15" t="n">
        <f aca="false">MOD(INT($A53/8),2)</f>
        <v>1</v>
      </c>
      <c r="G53" s="15" t="n">
        <f aca="false">MOD(INT($A53/4),2)</f>
        <v>1</v>
      </c>
      <c r="H53" s="15" t="n">
        <f aca="false">MOD(INT($A53/2),2)</f>
        <v>0</v>
      </c>
      <c r="I53" s="15" t="n">
        <f aca="false">MOD(INT($A53/1),2)</f>
        <v>1</v>
      </c>
      <c r="J53" s="14" t="n">
        <f aca="false">E_zero+D53*(Half_gap*(Ceiling_e-E_zero)-$F$4)</f>
        <v>78</v>
      </c>
      <c r="K53" s="14" t="n">
        <f aca="false">J53+E53*(Half_gap*(Ceiling_e-J53)-$F$4)</f>
        <v>78</v>
      </c>
      <c r="L53" s="14" t="n">
        <f aca="false">K53+F53*(Half_gap*(Ceiling_e-K53)-$F$4)</f>
        <v>81.5</v>
      </c>
      <c r="M53" s="14" t="n">
        <f aca="false">L53+G53*(Half_gap*(Ceiling_e-L53)-$F$4)</f>
        <v>83.25</v>
      </c>
      <c r="N53" s="14" t="n">
        <f aca="false">M53+H53*(Half_gap*(Ceiling_e-M53)-$F$4)</f>
        <v>83.25</v>
      </c>
      <c r="O53" s="14" t="n">
        <f aca="false">N53+I53*(Half_gap*(Ceiling_e-N53)-$F$4)</f>
        <v>84.125</v>
      </c>
      <c r="P53" s="14" t="n">
        <f aca="false">Val_pt*(J53-E_zero)</f>
        <v>70</v>
      </c>
      <c r="Q53" s="14" t="n">
        <f aca="false">Val_pt*(K53-E_zero)</f>
        <v>70</v>
      </c>
      <c r="R53" s="14" t="n">
        <f aca="false">Val_pt*(L53-E_zero)</f>
        <v>105</v>
      </c>
      <c r="S53" s="14" t="n">
        <f aca="false">Val_pt*(M53-E_zero)</f>
        <v>122.5</v>
      </c>
      <c r="T53" s="14" t="n">
        <f aca="false">Val_pt*(N53-E_zero)</f>
        <v>122.5</v>
      </c>
      <c r="U53" s="14" t="n">
        <f aca="false">Val_pt*(O53-E_zero)</f>
        <v>131.25</v>
      </c>
      <c r="V53" s="14" t="n">
        <f aca="false">MAX(W53+Cost_round*D53-P53,IF(D53=1,Pre_q,0))</f>
        <v>470</v>
      </c>
      <c r="W53" s="14" t="n">
        <f aca="false">MAX(X53+Cost_round*E53-Q53,IF(E53=1,Pre_q,0),Floor_q)</f>
        <v>415</v>
      </c>
      <c r="X53" s="14" t="n">
        <f aca="false">MAX(Y53+Cost_round*F53-R53,IF(F53=1,Pre_q,0),Floor_q)</f>
        <v>485</v>
      </c>
      <c r="Y53" s="14" t="n">
        <f aca="false">MAX(Z53+Cost_round*G53-S53,IF(G53=1,Pre_q,0),Floor_q)</f>
        <v>470</v>
      </c>
      <c r="Z53" s="14" t="n">
        <f aca="false">MAX(AA53+Cost_round*H53-T53,IF(H53=1,Pre_q,0),Floor_q)</f>
        <v>350</v>
      </c>
      <c r="AA53" s="14" t="n">
        <f aca="false">MAX(AB53+Cost_round*I53-U53,IF(I53=1,Pre_q,0),Floor_q)</f>
        <v>470</v>
      </c>
      <c r="AB53" s="14" t="n">
        <f aca="false">MAX(End_q,Floor_q)</f>
        <v>470</v>
      </c>
      <c r="AC53" s="15" t="n">
        <f aca="false">IF(Q_zero&gt;=V53-0.000000001,1,0)</f>
        <v>1</v>
      </c>
      <c r="AD53" s="14" t="n">
        <f aca="false">IF($AC53=1,Q_zero-Cost_round*D53+P53-W53,"")</f>
        <v>155</v>
      </c>
      <c r="AE53" s="14" t="n">
        <f aca="false">IF($AC53=1,W53-Cost_round*E53+Q53-X53,"")</f>
        <v>0</v>
      </c>
      <c r="AF53" s="14" t="n">
        <f aca="false">IF($AC53=1,X53-Cost_round*F53+R53-Y53,"")</f>
        <v>0</v>
      </c>
      <c r="AG53" s="14" t="n">
        <f aca="false">IF($AC53=1,Y53-Cost_round*G53+S53-Z53,"")</f>
        <v>122.5</v>
      </c>
      <c r="AH53" s="14" t="n">
        <f aca="false">IF($AC53=1,Z53-Cost_round*H53+T53-AA53,"")</f>
        <v>2.5</v>
      </c>
      <c r="AI53" s="14" t="n">
        <f aca="false">IF($AC53=1,AA53-Cost_round*I53+U53-AB53,"")</f>
        <v>11.25</v>
      </c>
      <c r="AJ53" s="14" t="n">
        <f aca="false">IF($AC53=1,SUM(AD53:AI53),"")</f>
        <v>291.25</v>
      </c>
      <c r="AK53" s="17" t="n">
        <f aca="false">IF($AC53=1,AD53*Beta_y^1+AE53*Beta_y^2+AF53*Beta_y^3+AG53*Beta_y^4+AH53*Beta_y^5+AI53*Beta_y^6,"")</f>
        <v>232.480874212065</v>
      </c>
      <c r="AL53" s="17" t="n">
        <f aca="false">IF($AC53=1,AK53+Beta_y^6*U53/Hurdle_r,"")</f>
        <v>973.352907407648</v>
      </c>
      <c r="AM53" s="17" t="n">
        <f aca="false">IF($AC53=1,AK53,"")</f>
        <v>232.480874212065</v>
      </c>
      <c r="AN53" s="17" t="n">
        <f aca="false">IF($AC53=1,AK53+Beta_y^6*U53*(1-(1+Hurdle_r)^(-Life_yrs))/Hurdle_r,"")</f>
        <v>863.227000491833</v>
      </c>
      <c r="AO53" s="17" t="n">
        <f aca="false">IF($AC53=1,AJ53+Credit_yrs*U53,"")</f>
        <v>1603.75</v>
      </c>
      <c r="AP53" s="17" t="n">
        <f aca="false">IF($AC53=1,$AD53/(1+AP$6)^1+$AE53/(1+AP$6)^2+$AF53/(1+AP$6)^3+$AG53/(1+AP$6)^4+$AH53/(1+AP$6)^5+$AI53/(1+AP$6)^6+$U53/AP$6/(1+AP$6)^6,"")</f>
        <v>3934.89694310251</v>
      </c>
      <c r="AQ53" s="17" t="n">
        <f aca="false">IF($AC53=1,$AD53/(1+AQ$6)^1+$AE53/(1+AQ$6)^2+$AF53/(1+AQ$6)^3+$AG53/(1+AQ$6)^4+$AH53/(1+AQ$6)^5+$AI53/(1+AQ$6)^6+$U53/AQ$6/(1+AQ$6)^6,"")</f>
        <v>2217.56925558053</v>
      </c>
      <c r="AR53" s="17" t="n">
        <f aca="false">IF($AC53=1,$AD53/(1+AR$6)^1+$AE53/(1+AR$6)^2+$AF53/(1+AR$6)^3+$AG53/(1+AR$6)^4+$AH53/(1+AR$6)^5+$AI53/(1+AR$6)^6+$U53/AR$6/(1+AR$6)^6,"")</f>
        <v>1276.2225858862</v>
      </c>
      <c r="AS53" s="17" t="n">
        <f aca="false">IF($AC53=1,$AD53/(1+AS$6)^1+$AE53/(1+AS$6)^2+$AF53/(1+AS$6)^3+$AG53/(1+AS$6)^4+$AH53/(1+AS$6)^5+$AI53/(1+AS$6)^6+$U53/AS$6/(1+AS$6)^6,"")</f>
        <v>973.352907407647</v>
      </c>
      <c r="AT53" s="17" t="n">
        <f aca="false">IF($AC53=1,$AD53/(1+AT$6)^1+$AE53/(1+AT$6)^2+$AF53/(1+AT$6)^3+$AG53/(1+AT$6)^4+$AH53/(1+AT$6)^5+$AI53/(1+AT$6)^6+$U53/AT$6/(1+AT$6)^6,"")</f>
        <v>777.489777787685</v>
      </c>
      <c r="AU53" s="17" t="n">
        <f aca="false">IF($AC53=1,$AD53/(1+AU$6)^1+$AE53/(1+AU$6)^2+$AF53/(1+AU$6)^3+$AG53/(1+AU$6)^4+$AH53/(1+AU$6)^5+$AI53/(1+AU$6)^6+$U53/AU$6/(1+AU$6)^6,"")</f>
        <v>589.215654995662</v>
      </c>
      <c r="AV53" s="17" t="n">
        <f aca="false">IF($AC53=1,$AD53/(1+AV$6)^1+$AE53/(1+AV$6)^2+$AF53/(1+AV$6)^3+$AG53/(1+AV$6)^4+$AH53/(1+AV$6)^5+$AI53/(1+AV$6)^6+$U53/AV$6/(1+AV$6)^6,"")</f>
        <v>412.791763117284</v>
      </c>
      <c r="AW53" s="17" t="n">
        <f aca="false">IF($AC53=1,$AD53/(1+AW$6)^1+$AE53/(1+AW$6)^2+$AF53/(1+AW$6)^3+$AG53/(1+AW$6)^4+$AH53/(1+AW$6)^5+$AI53/(1+AW$6)^6+$U53/AW$6/(1+AW$6)^6,"")</f>
        <v>255.765071706794</v>
      </c>
      <c r="AX53" s="17" t="n">
        <f aca="false">IF($AC53=1,$AD53/(1+AX$6)^1+$AE53/(1+AX$6)^2+$AF53/(1+AX$6)^3+$AG53/(1+AX$6)^4+$AH53/(1+AX$6)^5+$AI53/(1+AX$6)^6+$U53/AX$6/(1+AX$6)^6,"")</f>
        <v>6738.9622803804</v>
      </c>
      <c r="AY53" s="17" t="n">
        <f aca="false">IF($AC53=1,$AD53/(1+AY$6)^1+$AE53/(1+AY$6)^2+$AF53/(1+AY$6)^3+$AG53/(1+AY$6)^4+$AH53/(1+AY$6)^5+$AI53/(1+AY$6)^6+$U53/AY$6/(1+AY$6)^6,"")</f>
        <v>3170.83016845928</v>
      </c>
      <c r="AZ53" s="17" t="n">
        <f aca="false">IF($AC53=1,$AD53/(1+AZ$6)^1+$AE53/(1+AZ$6)^2+$AF53/(1+AZ$6)^3+$AG53/(1+AZ$6)^4+$AH53/(1+AZ$6)^5+$AI53/(1+AZ$6)^6+$U53/AZ$6/(1+AZ$6)^6,"")</f>
        <v>1426.02707585246</v>
      </c>
      <c r="BA53" s="17" t="n">
        <f aca="false">IF($AC53=1,$AD53/(1+BA$6)^1+$AE53/(1+BA$6)^2+$AF53/(1+BA$6)^3+$AG53/(1+BA$6)^4+$AH53/(1+BA$6)^5+$AI53/(1+BA$6)^6+$U53/BA$6/(1+BA$6)^6,"")</f>
        <v>611.989631224958</v>
      </c>
      <c r="BB53" s="17" t="n">
        <f aca="false">IF($AC53=1,$AD53/(1+BB$6)^1+$AE53/(1+BB$6)^2+$AF53/(1+BB$6)^3+$AG53/(1+BB$6)^4+$AH53/(1+BB$6)^5+$AI53/(1+BB$6)^6+$U53/BB$6/(1+BB$6)^6,"")</f>
        <v>257.005995049092</v>
      </c>
    </row>
    <row r="54" customFormat="false" ht="15" hidden="false" customHeight="false" outlineLevel="0" collapsed="false">
      <c r="A54" s="2" t="n">
        <v>46</v>
      </c>
      <c r="B54" s="2" t="str">
        <f aca="false">D54&amp;E54&amp;F54&amp;G54&amp;H54&amp;I54</f>
        <v>101110</v>
      </c>
      <c r="C54" s="15" t="n">
        <f aca="false">SUM(D54:I54)</f>
        <v>4</v>
      </c>
      <c r="D54" s="15" t="n">
        <f aca="false">MOD(INT($A54/32),2)</f>
        <v>1</v>
      </c>
      <c r="E54" s="15" t="n">
        <f aca="false">MOD(INT($A54/16),2)</f>
        <v>0</v>
      </c>
      <c r="F54" s="15" t="n">
        <f aca="false">MOD(INT($A54/8),2)</f>
        <v>1</v>
      </c>
      <c r="G54" s="15" t="n">
        <f aca="false">MOD(INT($A54/4),2)</f>
        <v>1</v>
      </c>
      <c r="H54" s="15" t="n">
        <f aca="false">MOD(INT($A54/2),2)</f>
        <v>1</v>
      </c>
      <c r="I54" s="15" t="n">
        <f aca="false">MOD(INT($A54/1),2)</f>
        <v>0</v>
      </c>
      <c r="J54" s="14" t="n">
        <f aca="false">E_zero+D54*(Half_gap*(Ceiling_e-E_zero)-$F$4)</f>
        <v>78</v>
      </c>
      <c r="K54" s="14" t="n">
        <f aca="false">J54+E54*(Half_gap*(Ceiling_e-J54)-$F$4)</f>
        <v>78</v>
      </c>
      <c r="L54" s="14" t="n">
        <f aca="false">K54+F54*(Half_gap*(Ceiling_e-K54)-$F$4)</f>
        <v>81.5</v>
      </c>
      <c r="M54" s="14" t="n">
        <f aca="false">L54+G54*(Half_gap*(Ceiling_e-L54)-$F$4)</f>
        <v>83.25</v>
      </c>
      <c r="N54" s="14" t="n">
        <f aca="false">M54+H54*(Half_gap*(Ceiling_e-M54)-$F$4)</f>
        <v>84.125</v>
      </c>
      <c r="O54" s="14" t="n">
        <f aca="false">N54+I54*(Half_gap*(Ceiling_e-N54)-$F$4)</f>
        <v>84.125</v>
      </c>
      <c r="P54" s="14" t="n">
        <f aca="false">Val_pt*(J54-E_zero)</f>
        <v>70</v>
      </c>
      <c r="Q54" s="14" t="n">
        <f aca="false">Val_pt*(K54-E_zero)</f>
        <v>70</v>
      </c>
      <c r="R54" s="14" t="n">
        <f aca="false">Val_pt*(L54-E_zero)</f>
        <v>105</v>
      </c>
      <c r="S54" s="14" t="n">
        <f aca="false">Val_pt*(M54-E_zero)</f>
        <v>122.5</v>
      </c>
      <c r="T54" s="14" t="n">
        <f aca="false">Val_pt*(N54-E_zero)</f>
        <v>131.25</v>
      </c>
      <c r="U54" s="14" t="n">
        <f aca="false">Val_pt*(O54-E_zero)</f>
        <v>131.25</v>
      </c>
      <c r="V54" s="14" t="n">
        <f aca="false">MAX(W54+Cost_round*D54-P54,IF(D54=1,Pre_q,0))</f>
        <v>470</v>
      </c>
      <c r="W54" s="14" t="n">
        <f aca="false">MAX(X54+Cost_round*E54-Q54,IF(E54=1,Pre_q,0),Floor_q)</f>
        <v>415</v>
      </c>
      <c r="X54" s="14" t="n">
        <f aca="false">MAX(Y54+Cost_round*F54-R54,IF(F54=1,Pre_q,0),Floor_q)</f>
        <v>485</v>
      </c>
      <c r="Y54" s="14" t="n">
        <f aca="false">MAX(Z54+Cost_round*G54-S54,IF(G54=1,Pre_q,0),Floor_q)</f>
        <v>470</v>
      </c>
      <c r="Z54" s="14" t="n">
        <f aca="false">MAX(AA54+Cost_round*H54-T54,IF(H54=1,Pre_q,0),Floor_q)</f>
        <v>470</v>
      </c>
      <c r="AA54" s="14" t="n">
        <f aca="false">MAX(AB54+Cost_round*I54-U54,IF(I54=1,Pre_q,0),Floor_q)</f>
        <v>350</v>
      </c>
      <c r="AB54" s="14" t="n">
        <f aca="false">MAX(End_q,Floor_q)</f>
        <v>470</v>
      </c>
      <c r="AC54" s="15" t="n">
        <f aca="false">IF(Q_zero&gt;=V54-0.000000001,1,0)</f>
        <v>1</v>
      </c>
      <c r="AD54" s="14" t="n">
        <f aca="false">IF($AC54=1,Q_zero-Cost_round*D54+P54-W54,"")</f>
        <v>155</v>
      </c>
      <c r="AE54" s="14" t="n">
        <f aca="false">IF($AC54=1,W54-Cost_round*E54+Q54-X54,"")</f>
        <v>0</v>
      </c>
      <c r="AF54" s="14" t="n">
        <f aca="false">IF($AC54=1,X54-Cost_round*F54+R54-Y54,"")</f>
        <v>0</v>
      </c>
      <c r="AG54" s="14" t="n">
        <f aca="false">IF($AC54=1,Y54-Cost_round*G54+S54-Z54,"")</f>
        <v>2.5</v>
      </c>
      <c r="AH54" s="14" t="n">
        <f aca="false">IF($AC54=1,Z54-Cost_round*H54+T54-AA54,"")</f>
        <v>131.25</v>
      </c>
      <c r="AI54" s="14" t="n">
        <f aca="false">IF($AC54=1,AA54-Cost_round*I54+U54-AB54,"")</f>
        <v>11.25</v>
      </c>
      <c r="AJ54" s="14" t="n">
        <f aca="false">IF($AC54=1,SUM(AD54:AI54),"")</f>
        <v>300</v>
      </c>
      <c r="AK54" s="17" t="n">
        <f aca="false">IF($AC54=1,AD54*Beta_y^1+AE54*Beta_y^2+AF54*Beta_y^3+AG54*Beta_y^4+AH54*Beta_y^5+AI54*Beta_y^6,"")</f>
        <v>230.462879912123</v>
      </c>
      <c r="AL54" s="17" t="n">
        <f aca="false">IF($AC54=1,AK54+Beta_y^6*U54/Hurdle_r,"")</f>
        <v>971.334913107705</v>
      </c>
      <c r="AM54" s="17" t="n">
        <f aca="false">IF($AC54=1,AK54,"")</f>
        <v>230.462879912123</v>
      </c>
      <c r="AN54" s="17" t="n">
        <f aca="false">IF($AC54=1,AK54+Beta_y^6*U54*(1-(1+Hurdle_r)^(-Life_yrs))/Hurdle_r,"")</f>
        <v>861.20900619189</v>
      </c>
      <c r="AO54" s="17" t="n">
        <f aca="false">IF($AC54=1,AJ54+Credit_yrs*U54,"")</f>
        <v>1612.5</v>
      </c>
      <c r="AP54" s="17" t="n">
        <f aca="false">IF($AC54=1,$AD54/(1+AP$6)^1+$AE54/(1+AP$6)^2+$AF54/(1+AP$6)^3+$AG54/(1+AP$6)^4+$AH54/(1+AP$6)^5+$AI54/(1+AP$6)^6+$U54/AP$6/(1+AP$6)^6,"")</f>
        <v>3939.33937834209</v>
      </c>
      <c r="AQ54" s="17" t="n">
        <f aca="false">IF($AC54=1,$AD54/(1+AQ$6)^1+$AE54/(1+AQ$6)^2+$AF54/(1+AQ$6)^3+$AG54/(1+AQ$6)^4+$AH54/(1+AQ$6)^5+$AI54/(1+AQ$6)^6+$U54/AQ$6/(1+AQ$6)^6,"")</f>
        <v>2219.72395253832</v>
      </c>
      <c r="AR54" s="17" t="n">
        <f aca="false">IF($AC54=1,$AD54/(1+AR$6)^1+$AE54/(1+AR$6)^2+$AF54/(1+AR$6)^3+$AG54/(1+AR$6)^4+$AH54/(1+AR$6)^5+$AI54/(1+AR$6)^6+$U54/AR$6/(1+AR$6)^6,"")</f>
        <v>1275.64409016872</v>
      </c>
      <c r="AS54" s="17" t="n">
        <f aca="false">IF($AC54=1,$AD54/(1+AS$6)^1+$AE54/(1+AS$6)^2+$AF54/(1+AS$6)^3+$AG54/(1+AS$6)^4+$AH54/(1+AS$6)^5+$AI54/(1+AS$6)^6+$U54/AS$6/(1+AS$6)^6,"")</f>
        <v>971.334913107705</v>
      </c>
      <c r="AT54" s="17" t="n">
        <f aca="false">IF($AC54=1,$AD54/(1+AT$6)^1+$AE54/(1+AT$6)^2+$AF54/(1+AT$6)^3+$AG54/(1+AT$6)^4+$AH54/(1+AT$6)^5+$AI54/(1+AT$6)^6+$U54/AT$6/(1+AT$6)^6,"")</f>
        <v>774.283816052875</v>
      </c>
      <c r="AU54" s="17" t="n">
        <f aca="false">IF($AC54=1,$AD54/(1+AU$6)^1+$AE54/(1+AU$6)^2+$AF54/(1+AU$6)^3+$AG54/(1+AU$6)^4+$AH54/(1+AU$6)^5+$AI54/(1+AU$6)^6+$U54/AU$6/(1+AU$6)^6,"")</f>
        <v>584.616770194152</v>
      </c>
      <c r="AV54" s="17" t="n">
        <f aca="false">IF($AC54=1,$AD54/(1+AV$6)^1+$AE54/(1+AV$6)^2+$AF54/(1+AV$6)^3+$AG54/(1+AV$6)^4+$AH54/(1+AV$6)^5+$AI54/(1+AV$6)^6+$U54/AV$6/(1+AV$6)^6,"")</f>
        <v>406.663130144033</v>
      </c>
      <c r="AW54" s="17" t="n">
        <f aca="false">IF($AC54=1,$AD54/(1+AW$6)^1+$AE54/(1+AW$6)^2+$AF54/(1+AW$6)^3+$AG54/(1+AW$6)^4+$AH54/(1+AW$6)^5+$AI54/(1+AW$6)^6+$U54/AW$6/(1+AW$6)^6,"")</f>
        <v>248.42585443095</v>
      </c>
      <c r="AX54" s="17" t="n">
        <f aca="false">IF($AC54=1,$AD54/(1+AX$6)^1+$AE54/(1+AX$6)^2+$AF54/(1+AX$6)^3+$AG54/(1+AX$6)^4+$AH54/(1+AX$6)^5+$AI54/(1+AX$6)^6+$U54/AX$6/(1+AX$6)^6,"")</f>
        <v>6744.95800463486</v>
      </c>
      <c r="AY54" s="17" t="n">
        <f aca="false">IF($AC54=1,$AD54/(1+AY$6)^1+$AE54/(1+AY$6)^2+$AF54/(1+AY$6)^3+$AG54/(1+AY$6)^4+$AH54/(1+AY$6)^5+$AI54/(1+AY$6)^6+$U54/AY$6/(1+AY$6)^6,"")</f>
        <v>3174.48795888518</v>
      </c>
      <c r="AZ54" s="17" t="n">
        <f aca="false">IF($AC54=1,$AD54/(1+AZ$6)^1+$AE54/(1+AZ$6)^2+$AF54/(1+AZ$6)^3+$AG54/(1+AZ$6)^4+$AH54/(1+AZ$6)^5+$AI54/(1+AZ$6)^6+$U54/AZ$6/(1+AZ$6)^6,"")</f>
        <v>1426.02707585253</v>
      </c>
      <c r="BA54" s="17" t="n">
        <f aca="false">IF($AC54=1,$AD54/(1+BA$6)^1+$AE54/(1+BA$6)^2+$AF54/(1+BA$6)^3+$AG54/(1+BA$6)^4+$AH54/(1+BA$6)^5+$AI54/(1+BA$6)^6+$U54/BA$6/(1+BA$6)^6,"")</f>
        <v>607.573608079134</v>
      </c>
      <c r="BB54" s="17" t="n">
        <f aca="false">IF($AC54=1,$AD54/(1+BB$6)^1+$AE54/(1+BB$6)^2+$AF54/(1+BB$6)^3+$AG54/(1+BB$6)^4+$AH54/(1+BB$6)^5+$AI54/(1+BB$6)^6+$U54/BB$6/(1+BB$6)^6,"")</f>
        <v>249.672151613746</v>
      </c>
    </row>
    <row r="55" customFormat="false" ht="15" hidden="false" customHeight="false" outlineLevel="0" collapsed="false">
      <c r="A55" s="2" t="n">
        <v>47</v>
      </c>
      <c r="B55" s="2" t="str">
        <f aca="false">D55&amp;E55&amp;F55&amp;G55&amp;H55&amp;I55</f>
        <v>101111</v>
      </c>
      <c r="C55" s="15" t="n">
        <f aca="false">SUM(D55:I55)</f>
        <v>5</v>
      </c>
      <c r="D55" s="15" t="n">
        <f aca="false">MOD(INT($A55/32),2)</f>
        <v>1</v>
      </c>
      <c r="E55" s="15" t="n">
        <f aca="false">MOD(INT($A55/16),2)</f>
        <v>0</v>
      </c>
      <c r="F55" s="15" t="n">
        <f aca="false">MOD(INT($A55/8),2)</f>
        <v>1</v>
      </c>
      <c r="G55" s="15" t="n">
        <f aca="false">MOD(INT($A55/4),2)</f>
        <v>1</v>
      </c>
      <c r="H55" s="15" t="n">
        <f aca="false">MOD(INT($A55/2),2)</f>
        <v>1</v>
      </c>
      <c r="I55" s="15" t="n">
        <f aca="false">MOD(INT($A55/1),2)</f>
        <v>1</v>
      </c>
      <c r="J55" s="14" t="n">
        <f aca="false">E_zero+D55*(Half_gap*(Ceiling_e-E_zero)-$F$4)</f>
        <v>78</v>
      </c>
      <c r="K55" s="14" t="n">
        <f aca="false">J55+E55*(Half_gap*(Ceiling_e-J55)-$F$4)</f>
        <v>78</v>
      </c>
      <c r="L55" s="14" t="n">
        <f aca="false">K55+F55*(Half_gap*(Ceiling_e-K55)-$F$4)</f>
        <v>81.5</v>
      </c>
      <c r="M55" s="14" t="n">
        <f aca="false">L55+G55*(Half_gap*(Ceiling_e-L55)-$F$4)</f>
        <v>83.25</v>
      </c>
      <c r="N55" s="14" t="n">
        <f aca="false">M55+H55*(Half_gap*(Ceiling_e-M55)-$F$4)</f>
        <v>84.125</v>
      </c>
      <c r="O55" s="14" t="n">
        <f aca="false">N55+I55*(Half_gap*(Ceiling_e-N55)-$F$4)</f>
        <v>84.5625</v>
      </c>
      <c r="P55" s="14" t="n">
        <f aca="false">Val_pt*(J55-E_zero)</f>
        <v>70</v>
      </c>
      <c r="Q55" s="14" t="n">
        <f aca="false">Val_pt*(K55-E_zero)</f>
        <v>70</v>
      </c>
      <c r="R55" s="14" t="n">
        <f aca="false">Val_pt*(L55-E_zero)</f>
        <v>105</v>
      </c>
      <c r="S55" s="14" t="n">
        <f aca="false">Val_pt*(M55-E_zero)</f>
        <v>122.5</v>
      </c>
      <c r="T55" s="14" t="n">
        <f aca="false">Val_pt*(N55-E_zero)</f>
        <v>131.25</v>
      </c>
      <c r="U55" s="14" t="n">
        <f aca="false">Val_pt*(O55-E_zero)</f>
        <v>135.625</v>
      </c>
      <c r="V55" s="14" t="n">
        <f aca="false">MAX(W55+Cost_round*D55-P55,IF(D55=1,Pre_q,0))</f>
        <v>470</v>
      </c>
      <c r="W55" s="14" t="n">
        <f aca="false">MAX(X55+Cost_round*E55-Q55,IF(E55=1,Pre_q,0),Floor_q)</f>
        <v>415</v>
      </c>
      <c r="X55" s="14" t="n">
        <f aca="false">MAX(Y55+Cost_round*F55-R55,IF(F55=1,Pre_q,0),Floor_q)</f>
        <v>485</v>
      </c>
      <c r="Y55" s="14" t="n">
        <f aca="false">MAX(Z55+Cost_round*G55-S55,IF(G55=1,Pre_q,0),Floor_q)</f>
        <v>470</v>
      </c>
      <c r="Z55" s="14" t="n">
        <f aca="false">MAX(AA55+Cost_round*H55-T55,IF(H55=1,Pre_q,0),Floor_q)</f>
        <v>470</v>
      </c>
      <c r="AA55" s="14" t="n">
        <f aca="false">MAX(AB55+Cost_round*I55-U55,IF(I55=1,Pre_q,0),Floor_q)</f>
        <v>470</v>
      </c>
      <c r="AB55" s="14" t="n">
        <f aca="false">MAX(End_q,Floor_q)</f>
        <v>470</v>
      </c>
      <c r="AC55" s="15" t="n">
        <f aca="false">IF(Q_zero&gt;=V55-0.000000001,1,0)</f>
        <v>1</v>
      </c>
      <c r="AD55" s="14" t="n">
        <f aca="false">IF($AC55=1,Q_zero-Cost_round*D55+P55-W55,"")</f>
        <v>155</v>
      </c>
      <c r="AE55" s="14" t="n">
        <f aca="false">IF($AC55=1,W55-Cost_round*E55+Q55-X55,"")</f>
        <v>0</v>
      </c>
      <c r="AF55" s="14" t="n">
        <f aca="false">IF($AC55=1,X55-Cost_round*F55+R55-Y55,"")</f>
        <v>0</v>
      </c>
      <c r="AG55" s="14" t="n">
        <f aca="false">IF($AC55=1,Y55-Cost_round*G55+S55-Z55,"")</f>
        <v>2.5</v>
      </c>
      <c r="AH55" s="14" t="n">
        <f aca="false">IF($AC55=1,Z55-Cost_round*H55+T55-AA55,"")</f>
        <v>11.25</v>
      </c>
      <c r="AI55" s="14" t="n">
        <f aca="false">IF($AC55=1,AA55-Cost_round*I55+U55-AB55,"")</f>
        <v>15.625</v>
      </c>
      <c r="AJ55" s="14" t="n">
        <f aca="false">IF($AC55=1,SUM(AD55:AI55),"")</f>
        <v>184.375</v>
      </c>
      <c r="AK55" s="17" t="n">
        <f aca="false">IF($AC55=1,AD55*Beta_y^1+AE55*Beta_y^2+AF55*Beta_y^3+AG55*Beta_y^4+AH55*Beta_y^5+AI55*Beta_y^6,"")</f>
        <v>158.421894589009</v>
      </c>
      <c r="AL55" s="17" t="n">
        <f aca="false">IF($AC55=1,AK55+Beta_y^6*U55/Hurdle_r,"")</f>
        <v>923.989662224445</v>
      </c>
      <c r="AM55" s="17" t="n">
        <f aca="false">IF($AC55=1,AK55,"")</f>
        <v>158.421894589009</v>
      </c>
      <c r="AN55" s="17" t="n">
        <f aca="false">IF($AC55=1,AK55+Beta_y^6*U55*(1-(1+Hurdle_r)^(-Life_yrs))/Hurdle_r,"")</f>
        <v>810.192891744769</v>
      </c>
      <c r="AO55" s="17" t="n">
        <f aca="false">IF($AC55=1,AJ55+Credit_yrs*U55,"")</f>
        <v>1540.625</v>
      </c>
      <c r="AP55" s="17" t="n">
        <f aca="false">IF($AC55=1,$AD55/(1+AP$6)^1+$AE55/(1+AP$6)^2+$AF55/(1+AP$6)^3+$AG55/(1+AP$6)^4+$AH55/(1+AP$6)^5+$AI55/(1+AP$6)^6+$U55/AP$6/(1+AP$6)^6,"")</f>
        <v>3961.62343860535</v>
      </c>
      <c r="AQ55" s="17" t="n">
        <f aca="false">IF($AC55=1,$AD55/(1+AQ$6)^1+$AE55/(1+AQ$6)^2+$AF55/(1+AQ$6)^3+$AG55/(1+AQ$6)^4+$AH55/(1+AQ$6)^5+$AI55/(1+AQ$6)^6+$U55/AQ$6/(1+AQ$6)^6,"")</f>
        <v>2194.2593521281</v>
      </c>
      <c r="AR55" s="17" t="n">
        <f aca="false">IF($AC55=1,$AD55/(1+AR$6)^1+$AE55/(1+AR$6)^2+$AF55/(1+AR$6)^3+$AG55/(1+AR$6)^4+$AH55/(1+AR$6)^5+$AI55/(1+AR$6)^6+$U55/AR$6/(1+AR$6)^6,"")</f>
        <v>1231.19350011245</v>
      </c>
      <c r="AS55" s="17" t="n">
        <f aca="false">IF($AC55=1,$AD55/(1+AS$6)^1+$AE55/(1+AS$6)^2+$AF55/(1+AS$6)^3+$AG55/(1+AS$6)^4+$AH55/(1+AS$6)^5+$AI55/(1+AS$6)^6+$U55/AS$6/(1+AS$6)^6,"")</f>
        <v>923.989662224445</v>
      </c>
      <c r="AT55" s="17" t="n">
        <f aca="false">IF($AC55=1,$AD55/(1+AT$6)^1+$AE55/(1+AT$6)^2+$AF55/(1+AT$6)^3+$AG55/(1+AT$6)^4+$AH55/(1+AT$6)^5+$AI55/(1+AT$6)^6+$U55/AT$6/(1+AT$6)^6,"")</f>
        <v>726.880030814717</v>
      </c>
      <c r="AU55" s="17" t="n">
        <f aca="false">IF($AC55=1,$AD55/(1+AU$6)^1+$AE55/(1+AU$6)^2+$AF55/(1+AU$6)^3+$AG55/(1+AU$6)^4+$AH55/(1+AU$6)^5+$AI55/(1+AU$6)^6+$U55/AU$6/(1+AU$6)^6,"")</f>
        <v>539.456550071224</v>
      </c>
      <c r="AV55" s="17" t="n">
        <f aca="false">IF($AC55=1,$AD55/(1+AV$6)^1+$AE55/(1+AV$6)^2+$AF55/(1+AV$6)^3+$AG55/(1+AV$6)^4+$AH55/(1+AV$6)^5+$AI55/(1+AV$6)^6+$U55/AV$6/(1+AV$6)^6,"")</f>
        <v>367.228893389918</v>
      </c>
      <c r="AW55" s="17" t="n">
        <f aca="false">IF($AC55=1,$AD55/(1+AW$6)^1+$AE55/(1+AW$6)^2+$AF55/(1+AW$6)^3+$AG55/(1+AW$6)^4+$AH55/(1+AW$6)^5+$AI55/(1+AW$6)^6+$U55/AW$6/(1+AW$6)^6,"")</f>
        <v>220.034081177302</v>
      </c>
      <c r="AX55" s="17" t="n">
        <f aca="false">IF($AC55=1,$AD55/(1+AX$6)^1+$AE55/(1+AX$6)^2+$AF55/(1+AX$6)^3+$AG55/(1+AX$6)^4+$AH55/(1+AX$6)^5+$AI55/(1+AX$6)^6+$U55/AX$6/(1+AX$6)^6,"")</f>
        <v>6854.59410528944</v>
      </c>
      <c r="AY55" s="17" t="n">
        <f aca="false">IF($AC55=1,$AD55/(1+AY$6)^1+$AE55/(1+AY$6)^2+$AF55/(1+AY$6)^3+$AG55/(1+AY$6)^4+$AH55/(1+AY$6)^5+$AI55/(1+AY$6)^6+$U55/AY$6/(1+AY$6)^6,"")</f>
        <v>3174.48795888614</v>
      </c>
      <c r="AZ55" s="17" t="n">
        <f aca="false">IF($AC55=1,$AD55/(1+AZ$6)^1+$AE55/(1+AZ$6)^2+$AF55/(1+AZ$6)^3+$AG55/(1+AZ$6)^4+$AH55/(1+AZ$6)^5+$AI55/(1+AZ$6)^6+$U55/AZ$6/(1+AZ$6)^6,"")</f>
        <v>1383.82621676301</v>
      </c>
      <c r="BA55" s="17" t="n">
        <f aca="false">IF($AC55=1,$AD55/(1+BA$6)^1+$AE55/(1+BA$6)^2+$AF55/(1+BA$6)^3+$AG55/(1+BA$6)^4+$AH55/(1+BA$6)^5+$AI55/(1+BA$6)^6+$U55/BA$6/(1+BA$6)^6,"")</f>
        <v>561.976451868587</v>
      </c>
      <c r="BB55" s="17" t="n">
        <f aca="false">IF($AC55=1,$AD55/(1+BB$6)^1+$AE55/(1+BB$6)^2+$AF55/(1+BB$6)^3+$AG55/(1+BB$6)^4+$AH55/(1+BB$6)^5+$AI55/(1+BB$6)^6+$U55/BB$6/(1+BB$6)^6,"")</f>
        <v>221.156213012062</v>
      </c>
    </row>
    <row r="56" customFormat="false" ht="15" hidden="false" customHeight="false" outlineLevel="0" collapsed="false">
      <c r="A56" s="2" t="n">
        <v>48</v>
      </c>
      <c r="B56" s="2" t="str">
        <f aca="false">D56&amp;E56&amp;F56&amp;G56&amp;H56&amp;I56</f>
        <v>110000</v>
      </c>
      <c r="C56" s="15" t="n">
        <f aca="false">SUM(D56:I56)</f>
        <v>2</v>
      </c>
      <c r="D56" s="15" t="n">
        <f aca="false">MOD(INT($A56/32),2)</f>
        <v>1</v>
      </c>
      <c r="E56" s="15" t="n">
        <f aca="false">MOD(INT($A56/16),2)</f>
        <v>1</v>
      </c>
      <c r="F56" s="15" t="n">
        <f aca="false">MOD(INT($A56/8),2)</f>
        <v>0</v>
      </c>
      <c r="G56" s="15" t="n">
        <f aca="false">MOD(INT($A56/4),2)</f>
        <v>0</v>
      </c>
      <c r="H56" s="15" t="n">
        <f aca="false">MOD(INT($A56/2),2)</f>
        <v>0</v>
      </c>
      <c r="I56" s="15" t="n">
        <f aca="false">MOD(INT($A56/1),2)</f>
        <v>0</v>
      </c>
      <c r="J56" s="14" t="n">
        <f aca="false">E_zero+D56*(Half_gap*(Ceiling_e-E_zero)-$F$4)</f>
        <v>78</v>
      </c>
      <c r="K56" s="14" t="n">
        <f aca="false">J56+E56*(Half_gap*(Ceiling_e-J56)-$F$4)</f>
        <v>81.5</v>
      </c>
      <c r="L56" s="14" t="n">
        <f aca="false">K56+F56*(Half_gap*(Ceiling_e-K56)-$F$4)</f>
        <v>81.5</v>
      </c>
      <c r="M56" s="14" t="n">
        <f aca="false">L56+G56*(Half_gap*(Ceiling_e-L56)-$F$4)</f>
        <v>81.5</v>
      </c>
      <c r="N56" s="14" t="n">
        <f aca="false">M56+H56*(Half_gap*(Ceiling_e-M56)-$F$4)</f>
        <v>81.5</v>
      </c>
      <c r="O56" s="14" t="n">
        <f aca="false">N56+I56*(Half_gap*(Ceiling_e-N56)-$F$4)</f>
        <v>81.5</v>
      </c>
      <c r="P56" s="14" t="n">
        <f aca="false">Val_pt*(J56-E_zero)</f>
        <v>70</v>
      </c>
      <c r="Q56" s="14" t="n">
        <f aca="false">Val_pt*(K56-E_zero)</f>
        <v>105</v>
      </c>
      <c r="R56" s="14" t="n">
        <f aca="false">Val_pt*(L56-E_zero)</f>
        <v>105</v>
      </c>
      <c r="S56" s="14" t="n">
        <f aca="false">Val_pt*(M56-E_zero)</f>
        <v>105</v>
      </c>
      <c r="T56" s="14" t="n">
        <f aca="false">Val_pt*(N56-E_zero)</f>
        <v>105</v>
      </c>
      <c r="U56" s="14" t="n">
        <f aca="false">Val_pt*(O56-E_zero)</f>
        <v>105</v>
      </c>
      <c r="V56" s="14" t="n">
        <f aca="false">MAX(W56+Cost_round*D56-P56,IF(D56=1,Pre_q,0))</f>
        <v>520</v>
      </c>
      <c r="W56" s="14" t="n">
        <f aca="false">MAX(X56+Cost_round*E56-Q56,IF(E56=1,Pre_q,0),Floor_q)</f>
        <v>470</v>
      </c>
      <c r="X56" s="14" t="n">
        <f aca="false">MAX(Y56+Cost_round*F56-R56,IF(F56=1,Pre_q,0),Floor_q)</f>
        <v>350</v>
      </c>
      <c r="Y56" s="14" t="n">
        <f aca="false">MAX(Z56+Cost_round*G56-S56,IF(G56=1,Pre_q,0),Floor_q)</f>
        <v>350</v>
      </c>
      <c r="Z56" s="14" t="n">
        <f aca="false">MAX(AA56+Cost_round*H56-T56,IF(H56=1,Pre_q,0),Floor_q)</f>
        <v>350</v>
      </c>
      <c r="AA56" s="14" t="n">
        <f aca="false">MAX(AB56+Cost_round*I56-U56,IF(I56=1,Pre_q,0),Floor_q)</f>
        <v>365</v>
      </c>
      <c r="AB56" s="14" t="n">
        <f aca="false">MAX(End_q,Floor_q)</f>
        <v>470</v>
      </c>
      <c r="AC56" s="15" t="n">
        <f aca="false">IF(Q_zero&gt;=V56-0.000000001,1,0)</f>
        <v>1</v>
      </c>
      <c r="AD56" s="14" t="n">
        <f aca="false">IF($AC56=1,Q_zero-Cost_round*D56+P56-W56,"")</f>
        <v>100</v>
      </c>
      <c r="AE56" s="14" t="n">
        <f aca="false">IF($AC56=1,W56-Cost_round*E56+Q56-X56,"")</f>
        <v>105</v>
      </c>
      <c r="AF56" s="14" t="n">
        <f aca="false">IF($AC56=1,X56-Cost_round*F56+R56-Y56,"")</f>
        <v>105</v>
      </c>
      <c r="AG56" s="14" t="n">
        <f aca="false">IF($AC56=1,Y56-Cost_round*G56+S56-Z56,"")</f>
        <v>105</v>
      </c>
      <c r="AH56" s="14" t="n">
        <f aca="false">IF($AC56=1,Z56-Cost_round*H56+T56-AA56,"")</f>
        <v>90</v>
      </c>
      <c r="AI56" s="14" t="n">
        <f aca="false">IF($AC56=1,AA56-Cost_round*I56+U56-AB56,"")</f>
        <v>0</v>
      </c>
      <c r="AJ56" s="14" t="n">
        <f aca="false">IF($AC56=1,SUM(AD56:AI56),"")</f>
        <v>505</v>
      </c>
      <c r="AK56" s="17" t="n">
        <f aca="false">IF($AC56=1,AD56*Beta_y^1+AE56*Beta_y^2+AF56*Beta_y^3+AG56*Beta_y^4+AH56*Beta_y^5+AI56*Beta_y^6,"")</f>
        <v>384.173336396545</v>
      </c>
      <c r="AL56" s="17" t="n">
        <f aca="false">IF($AC56=1,AK56+Beta_y^6*U56/Hurdle_r,"")</f>
        <v>976.870962953011</v>
      </c>
      <c r="AM56" s="17" t="n">
        <f aca="false">IF($AC56=1,AK56,"")</f>
        <v>384.173336396545</v>
      </c>
      <c r="AN56" s="17" t="n">
        <f aca="false">IF($AC56=1,AK56+Beta_y^6*U56*(1-(1+Hurdle_r)^(-Life_yrs))/Hurdle_r,"")</f>
        <v>888.770237420359</v>
      </c>
      <c r="AO56" s="17" t="n">
        <f aca="false">IF($AC56=1,AJ56+Credit_yrs*U56,"")</f>
        <v>1555</v>
      </c>
      <c r="AP56" s="17" t="n">
        <f aca="false">IF($AC56=1,$AD56/(1+AP$6)^1+$AE56/(1+AP$6)^2+$AF56/(1+AP$6)^3+$AG56/(1+AP$6)^4+$AH56/(1+AP$6)^5+$AI56/(1+AP$6)^6+$U56/AP$6/(1+AP$6)^6,"")</f>
        <v>3394.27065235042</v>
      </c>
      <c r="AQ56" s="17" t="n">
        <f aca="false">IF($AC56=1,$AD56/(1+AQ$6)^1+$AE56/(1+AQ$6)^2+$AF56/(1+AQ$6)^3+$AG56/(1+AQ$6)^4+$AH56/(1+AQ$6)^5+$AI56/(1+AQ$6)^6+$U56/AQ$6/(1+AQ$6)^6,"")</f>
        <v>2005.13258609422</v>
      </c>
      <c r="AR56" s="17" t="n">
        <f aca="false">IF($AC56=1,$AD56/(1+AR$6)^1+$AE56/(1+AR$6)^2+$AF56/(1+AR$6)^3+$AG56/(1+AR$6)^4+$AH56/(1+AR$6)^5+$AI56/(1+AR$6)^6+$U56/AR$6/(1+AR$6)^6,"")</f>
        <v>1231.49381159214</v>
      </c>
      <c r="AS56" s="17" t="n">
        <f aca="false">IF($AC56=1,$AD56/(1+AS$6)^1+$AE56/(1+AS$6)^2+$AF56/(1+AS$6)^3+$AG56/(1+AS$6)^4+$AH56/(1+AS$6)^5+$AI56/(1+AS$6)^6+$U56/AS$6/(1+AS$6)^6,"")</f>
        <v>976.870962953011</v>
      </c>
      <c r="AT56" s="17" t="n">
        <f aca="false">IF($AC56=1,$AD56/(1+AT$6)^1+$AE56/(1+AT$6)^2+$AF56/(1+AT$6)^3+$AG56/(1+AT$6)^4+$AH56/(1+AT$6)^5+$AI56/(1+AT$6)^6+$U56/AT$6/(1+AT$6)^6,"")</f>
        <v>808.828043726316</v>
      </c>
      <c r="AU56" s="17" t="n">
        <f aca="false">IF($AC56=1,$AD56/(1+AU$6)^1+$AE56/(1+AU$6)^2+$AF56/(1+AU$6)^3+$AG56/(1+AU$6)^4+$AH56/(1+AU$6)^5+$AI56/(1+AU$6)^6+$U56/AU$6/(1+AU$6)^6,"")</f>
        <v>642.800125312856</v>
      </c>
      <c r="AV56" s="17" t="n">
        <f aca="false">IF($AC56=1,$AD56/(1+AV$6)^1+$AE56/(1+AV$6)^2+$AF56/(1+AV$6)^3+$AG56/(1+AV$6)^4+$AH56/(1+AV$6)^5+$AI56/(1+AV$6)^6+$U56/AV$6/(1+AV$6)^6,"")</f>
        <v>479.640882201646</v>
      </c>
      <c r="AW56" s="17" t="n">
        <f aca="false">IF($AC56=1,$AD56/(1+AW$6)^1+$AE56/(1+AW$6)^2+$AF56/(1+AW$6)^3+$AG56/(1+AW$6)^4+$AH56/(1+AW$6)^5+$AI56/(1+AW$6)^6+$U56/AW$6/(1+AW$6)^6,"")</f>
        <v>320.360407880237</v>
      </c>
      <c r="AX56" s="17" t="n">
        <f aca="false">IF($AC56=1,$AD56/(1+AX$6)^1+$AE56/(1+AX$6)^2+$AF56/(1+AX$6)^3+$AG56/(1+AX$6)^4+$AH56/(1+AX$6)^5+$AI56/(1+AX$6)^6+$U56/AX$6/(1+AX$6)^6,"")</f>
        <v>5647.17085877724</v>
      </c>
      <c r="AY56" s="17" t="n">
        <f aca="false">IF($AC56=1,$AD56/(1+AY$6)^1+$AE56/(1+AY$6)^2+$AF56/(1+AY$6)^3+$AG56/(1+AY$6)^4+$AH56/(1+AY$6)^5+$AI56/(1+AY$6)^6+$U56/AY$6/(1+AY$6)^6,"")</f>
        <v>2777.93589733519</v>
      </c>
      <c r="AZ56" s="17" t="n">
        <f aca="false">IF($AC56=1,$AD56/(1+AZ$6)^1+$AE56/(1+AZ$6)^2+$AF56/(1+AZ$6)^3+$AG56/(1+AZ$6)^4+$AH56/(1+AZ$6)^5+$AI56/(1+AZ$6)^6+$U56/AZ$6/(1+AZ$6)^6,"")</f>
        <v>1355.95712187226</v>
      </c>
      <c r="BA56" s="17" t="n">
        <f aca="false">IF($AC56=1,$AD56/(1+BA$6)^1+$AE56/(1+BA$6)^2+$AF56/(1+BA$6)^3+$AG56/(1+BA$6)^4+$AH56/(1+BA$6)^5+$AI56/(1+BA$6)^6+$U56/BA$6/(1+BA$6)^6,"")</f>
        <v>663.217347277121</v>
      </c>
      <c r="BB56" s="17" t="n">
        <f aca="false">IF($AC56=1,$AD56/(1+BB$6)^1+$AE56/(1+BB$6)^2+$AF56/(1+BB$6)^3+$AG56/(1+BB$6)^4+$AH56/(1+BB$6)^5+$AI56/(1+BB$6)^6+$U56/BB$6/(1+BB$6)^6,"")</f>
        <v>321.717189839861</v>
      </c>
    </row>
    <row r="57" customFormat="false" ht="15" hidden="false" customHeight="false" outlineLevel="0" collapsed="false">
      <c r="A57" s="2" t="n">
        <v>49</v>
      </c>
      <c r="B57" s="2" t="str">
        <f aca="false">D57&amp;E57&amp;F57&amp;G57&amp;H57&amp;I57</f>
        <v>110001</v>
      </c>
      <c r="C57" s="15" t="n">
        <f aca="false">SUM(D57:I57)</f>
        <v>3</v>
      </c>
      <c r="D57" s="15" t="n">
        <f aca="false">MOD(INT($A57/32),2)</f>
        <v>1</v>
      </c>
      <c r="E57" s="15" t="n">
        <f aca="false">MOD(INT($A57/16),2)</f>
        <v>1</v>
      </c>
      <c r="F57" s="15" t="n">
        <f aca="false">MOD(INT($A57/8),2)</f>
        <v>0</v>
      </c>
      <c r="G57" s="15" t="n">
        <f aca="false">MOD(INT($A57/4),2)</f>
        <v>0</v>
      </c>
      <c r="H57" s="15" t="n">
        <f aca="false">MOD(INT($A57/2),2)</f>
        <v>0</v>
      </c>
      <c r="I57" s="15" t="n">
        <f aca="false">MOD(INT($A57/1),2)</f>
        <v>1</v>
      </c>
      <c r="J57" s="14" t="n">
        <f aca="false">E_zero+D57*(Half_gap*(Ceiling_e-E_zero)-$F$4)</f>
        <v>78</v>
      </c>
      <c r="K57" s="14" t="n">
        <f aca="false">J57+E57*(Half_gap*(Ceiling_e-J57)-$F$4)</f>
        <v>81.5</v>
      </c>
      <c r="L57" s="14" t="n">
        <f aca="false">K57+F57*(Half_gap*(Ceiling_e-K57)-$F$4)</f>
        <v>81.5</v>
      </c>
      <c r="M57" s="14" t="n">
        <f aca="false">L57+G57*(Half_gap*(Ceiling_e-L57)-$F$4)</f>
        <v>81.5</v>
      </c>
      <c r="N57" s="14" t="n">
        <f aca="false">M57+H57*(Half_gap*(Ceiling_e-M57)-$F$4)</f>
        <v>81.5</v>
      </c>
      <c r="O57" s="14" t="n">
        <f aca="false">N57+I57*(Half_gap*(Ceiling_e-N57)-$F$4)</f>
        <v>83.25</v>
      </c>
      <c r="P57" s="14" t="n">
        <f aca="false">Val_pt*(J57-E_zero)</f>
        <v>70</v>
      </c>
      <c r="Q57" s="14" t="n">
        <f aca="false">Val_pt*(K57-E_zero)</f>
        <v>105</v>
      </c>
      <c r="R57" s="14" t="n">
        <f aca="false">Val_pt*(L57-E_zero)</f>
        <v>105</v>
      </c>
      <c r="S57" s="14" t="n">
        <f aca="false">Val_pt*(M57-E_zero)</f>
        <v>105</v>
      </c>
      <c r="T57" s="14" t="n">
        <f aca="false">Val_pt*(N57-E_zero)</f>
        <v>105</v>
      </c>
      <c r="U57" s="14" t="n">
        <f aca="false">Val_pt*(O57-E_zero)</f>
        <v>122.5</v>
      </c>
      <c r="V57" s="14" t="n">
        <f aca="false">MAX(W57+Cost_round*D57-P57,IF(D57=1,Pre_q,0))</f>
        <v>520</v>
      </c>
      <c r="W57" s="14" t="n">
        <f aca="false">MAX(X57+Cost_round*E57-Q57,IF(E57=1,Pre_q,0),Floor_q)</f>
        <v>470</v>
      </c>
      <c r="X57" s="14" t="n">
        <f aca="false">MAX(Y57+Cost_round*F57-R57,IF(F57=1,Pre_q,0),Floor_q)</f>
        <v>350</v>
      </c>
      <c r="Y57" s="14" t="n">
        <f aca="false">MAX(Z57+Cost_round*G57-S57,IF(G57=1,Pre_q,0),Floor_q)</f>
        <v>350</v>
      </c>
      <c r="Z57" s="14" t="n">
        <f aca="false">MAX(AA57+Cost_round*H57-T57,IF(H57=1,Pre_q,0),Floor_q)</f>
        <v>365</v>
      </c>
      <c r="AA57" s="14" t="n">
        <f aca="false">MAX(AB57+Cost_round*I57-U57,IF(I57=1,Pre_q,0),Floor_q)</f>
        <v>470</v>
      </c>
      <c r="AB57" s="14" t="n">
        <f aca="false">MAX(End_q,Floor_q)</f>
        <v>470</v>
      </c>
      <c r="AC57" s="15" t="n">
        <f aca="false">IF(Q_zero&gt;=V57-0.000000001,1,0)</f>
        <v>1</v>
      </c>
      <c r="AD57" s="14" t="n">
        <f aca="false">IF($AC57=1,Q_zero-Cost_round*D57+P57-W57,"")</f>
        <v>100</v>
      </c>
      <c r="AE57" s="14" t="n">
        <f aca="false">IF($AC57=1,W57-Cost_round*E57+Q57-X57,"")</f>
        <v>105</v>
      </c>
      <c r="AF57" s="14" t="n">
        <f aca="false">IF($AC57=1,X57-Cost_round*F57+R57-Y57,"")</f>
        <v>105</v>
      </c>
      <c r="AG57" s="14" t="n">
        <f aca="false">IF($AC57=1,Y57-Cost_round*G57+S57-Z57,"")</f>
        <v>90</v>
      </c>
      <c r="AH57" s="14" t="n">
        <f aca="false">IF($AC57=1,Z57-Cost_round*H57+T57-AA57,"")</f>
        <v>0</v>
      </c>
      <c r="AI57" s="14" t="n">
        <f aca="false">IF($AC57=1,AA57-Cost_round*I57+U57-AB57,"")</f>
        <v>2.5</v>
      </c>
      <c r="AJ57" s="14" t="n">
        <f aca="false">IF($AC57=1,SUM(AD57:AI57),"")</f>
        <v>402.5</v>
      </c>
      <c r="AK57" s="17" t="n">
        <f aca="false">IF($AC57=1,AD57*Beta_y^1+AE57*Beta_y^2+AF57*Beta_y^3+AG57*Beta_y^4+AH57*Beta_y^5+AI57*Beta_y^6,"")</f>
        <v>319.45640031588</v>
      </c>
      <c r="AL57" s="17" t="n">
        <f aca="false">IF($AC57=1,AK57+Beta_y^6*U57/Hurdle_r,"")</f>
        <v>1010.93696463176</v>
      </c>
      <c r="AM57" s="17" t="n">
        <f aca="false">IF($AC57=1,AK57,"")</f>
        <v>319.45640031588</v>
      </c>
      <c r="AN57" s="17" t="n">
        <f aca="false">IF($AC57=1,AK57+Beta_y^6*U57*(1-(1+Hurdle_r)^(-Life_yrs))/Hurdle_r,"")</f>
        <v>908.152784843663</v>
      </c>
      <c r="AO57" s="17" t="n">
        <f aca="false">IF($AC57=1,AJ57+Credit_yrs*U57,"")</f>
        <v>1627.5</v>
      </c>
      <c r="AP57" s="17" t="n">
        <f aca="false">IF($AC57=1,$AD57/(1+AP$6)^1+$AE57/(1+AP$6)^2+$AF57/(1+AP$6)^3+$AG57/(1+AP$6)^4+$AH57/(1+AP$6)^5+$AI57/(1+AP$6)^6+$U57/AP$6/(1+AP$6)^6,"")</f>
        <v>3793.93474974428</v>
      </c>
      <c r="AQ57" s="17" t="n">
        <f aca="false">IF($AC57=1,$AD57/(1+AQ$6)^1+$AE57/(1+AQ$6)^2+$AF57/(1+AQ$6)^3+$AG57/(1+AQ$6)^4+$AH57/(1+AQ$6)^5+$AI57/(1+AQ$6)^6+$U57/AQ$6/(1+AQ$6)^6,"")</f>
        <v>2185.31562130459</v>
      </c>
      <c r="AR57" s="17" t="n">
        <f aca="false">IF($AC57=1,$AD57/(1+AR$6)^1+$AE57/(1+AR$6)^2+$AF57/(1+AR$6)^3+$AG57/(1+AR$6)^4+$AH57/(1+AR$6)^5+$AI57/(1+AR$6)^6+$U57/AR$6/(1+AR$6)^6,"")</f>
        <v>1298.64090601504</v>
      </c>
      <c r="AS57" s="17" t="n">
        <f aca="false">IF($AC57=1,$AD57/(1+AS$6)^1+$AE57/(1+AS$6)^2+$AF57/(1+AS$6)^3+$AG57/(1+AS$6)^4+$AH57/(1+AS$6)^5+$AI57/(1+AS$6)^6+$U57/AS$6/(1+AS$6)^6,"")</f>
        <v>1010.93696463176</v>
      </c>
      <c r="AT57" s="17" t="n">
        <f aca="false">IF($AC57=1,$AD57/(1+AT$6)^1+$AE57/(1+AT$6)^2+$AF57/(1+AT$6)^3+$AG57/(1+AT$6)^4+$AH57/(1+AT$6)^5+$AI57/(1+AT$6)^6+$U57/AT$6/(1+AT$6)^6,"")</f>
        <v>823.377138510206</v>
      </c>
      <c r="AU57" s="17" t="n">
        <f aca="false">IF($AC57=1,$AD57/(1+AU$6)^1+$AE57/(1+AU$6)^2+$AF57/(1+AU$6)^3+$AG57/(1+AU$6)^4+$AH57/(1+AU$6)^5+$AI57/(1+AU$6)^6+$U57/AU$6/(1+AU$6)^6,"")</f>
        <v>640.996958964908</v>
      </c>
      <c r="AV57" s="17" t="n">
        <f aca="false">IF($AC57=1,$AD57/(1+AV$6)^1+$AE57/(1+AV$6)^2+$AF57/(1+AV$6)^3+$AG57/(1+AV$6)^4+$AH57/(1+AV$6)^5+$AI57/(1+AV$6)^6+$U57/AV$6/(1+AV$6)^6,"")</f>
        <v>466.378922325103</v>
      </c>
      <c r="AW57" s="17" t="n">
        <f aca="false">IF($AC57=1,$AD57/(1+AW$6)^1+$AE57/(1+AW$6)^2+$AF57/(1+AW$6)^3+$AG57/(1+AW$6)^4+$AH57/(1+AW$6)^5+$AI57/(1+AW$6)^6+$U57/AW$6/(1+AW$6)^6,"")</f>
        <v>303.472093744197</v>
      </c>
      <c r="AX57" s="17" t="n">
        <f aca="false">IF($AC57=1,$AD57/(1+AX$6)^1+$AE57/(1+AX$6)^2+$AF57/(1+AX$6)^3+$AG57/(1+AX$6)^4+$AH57/(1+AX$6)^5+$AI57/(1+AX$6)^6+$U57/AX$6/(1+AX$6)^6,"")</f>
        <v>6414.61909083949</v>
      </c>
      <c r="AY57" s="17" t="n">
        <f aca="false">IF($AC57=1,$AD57/(1+AY$6)^1+$AE57/(1+AY$6)^2+$AF57/(1+AY$6)^3+$AG57/(1+AY$6)^4+$AH57/(1+AY$6)^5+$AI57/(1+AY$6)^6+$U57/AY$6/(1+AY$6)^6,"")</f>
        <v>3078.90371198945</v>
      </c>
      <c r="AZ57" s="17" t="n">
        <f aca="false">IF($AC57=1,$AD57/(1+AZ$6)^1+$AE57/(1+AZ$6)^2+$AF57/(1+AZ$6)^3+$AG57/(1+AZ$6)^4+$AH57/(1+AZ$6)^5+$AI57/(1+AZ$6)^6+$U57/AZ$6/(1+AZ$6)^6,"")</f>
        <v>1440.30655844753</v>
      </c>
      <c r="BA57" s="17" t="n">
        <f aca="false">IF($AC57=1,$AD57/(1+BA$6)^1+$AE57/(1+BA$6)^2+$AF57/(1+BA$6)^3+$AG57/(1+BA$6)^4+$AH57/(1+BA$6)^5+$AI57/(1+BA$6)^6+$U57/BA$6/(1+BA$6)^6,"")</f>
        <v>663.217347278121</v>
      </c>
      <c r="BB57" s="17" t="n">
        <f aca="false">IF($AC57=1,$AD57/(1+BB$6)^1+$AE57/(1+BB$6)^2+$AF57/(1+BB$6)^3+$AG57/(1+BB$6)^4+$AH57/(1+BB$6)^5+$AI57/(1+BB$6)^6+$U57/BB$6/(1+BB$6)^6,"")</f>
        <v>304.81516311256</v>
      </c>
    </row>
    <row r="58" customFormat="false" ht="15" hidden="false" customHeight="false" outlineLevel="0" collapsed="false">
      <c r="A58" s="2" t="n">
        <v>50</v>
      </c>
      <c r="B58" s="2" t="str">
        <f aca="false">D58&amp;E58&amp;F58&amp;G58&amp;H58&amp;I58</f>
        <v>110010</v>
      </c>
      <c r="C58" s="15" t="n">
        <f aca="false">SUM(D58:I58)</f>
        <v>3</v>
      </c>
      <c r="D58" s="15" t="n">
        <f aca="false">MOD(INT($A58/32),2)</f>
        <v>1</v>
      </c>
      <c r="E58" s="15" t="n">
        <f aca="false">MOD(INT($A58/16),2)</f>
        <v>1</v>
      </c>
      <c r="F58" s="15" t="n">
        <f aca="false">MOD(INT($A58/8),2)</f>
        <v>0</v>
      </c>
      <c r="G58" s="15" t="n">
        <f aca="false">MOD(INT($A58/4),2)</f>
        <v>0</v>
      </c>
      <c r="H58" s="15" t="n">
        <f aca="false">MOD(INT($A58/2),2)</f>
        <v>1</v>
      </c>
      <c r="I58" s="15" t="n">
        <f aca="false">MOD(INT($A58/1),2)</f>
        <v>0</v>
      </c>
      <c r="J58" s="14" t="n">
        <f aca="false">E_zero+D58*(Half_gap*(Ceiling_e-E_zero)-$F$4)</f>
        <v>78</v>
      </c>
      <c r="K58" s="14" t="n">
        <f aca="false">J58+E58*(Half_gap*(Ceiling_e-J58)-$F$4)</f>
        <v>81.5</v>
      </c>
      <c r="L58" s="14" t="n">
        <f aca="false">K58+F58*(Half_gap*(Ceiling_e-K58)-$F$4)</f>
        <v>81.5</v>
      </c>
      <c r="M58" s="14" t="n">
        <f aca="false">L58+G58*(Half_gap*(Ceiling_e-L58)-$F$4)</f>
        <v>81.5</v>
      </c>
      <c r="N58" s="14" t="n">
        <f aca="false">M58+H58*(Half_gap*(Ceiling_e-M58)-$F$4)</f>
        <v>83.25</v>
      </c>
      <c r="O58" s="14" t="n">
        <f aca="false">N58+I58*(Half_gap*(Ceiling_e-N58)-$F$4)</f>
        <v>83.25</v>
      </c>
      <c r="P58" s="14" t="n">
        <f aca="false">Val_pt*(J58-E_zero)</f>
        <v>70</v>
      </c>
      <c r="Q58" s="14" t="n">
        <f aca="false">Val_pt*(K58-E_zero)</f>
        <v>105</v>
      </c>
      <c r="R58" s="14" t="n">
        <f aca="false">Val_pt*(L58-E_zero)</f>
        <v>105</v>
      </c>
      <c r="S58" s="14" t="n">
        <f aca="false">Val_pt*(M58-E_zero)</f>
        <v>105</v>
      </c>
      <c r="T58" s="14" t="n">
        <f aca="false">Val_pt*(N58-E_zero)</f>
        <v>122.5</v>
      </c>
      <c r="U58" s="14" t="n">
        <f aca="false">Val_pt*(O58-E_zero)</f>
        <v>122.5</v>
      </c>
      <c r="V58" s="14" t="n">
        <f aca="false">MAX(W58+Cost_round*D58-P58,IF(D58=1,Pre_q,0))</f>
        <v>520</v>
      </c>
      <c r="W58" s="14" t="n">
        <f aca="false">MAX(X58+Cost_round*E58-Q58,IF(E58=1,Pre_q,0),Floor_q)</f>
        <v>470</v>
      </c>
      <c r="X58" s="14" t="n">
        <f aca="false">MAX(Y58+Cost_round*F58-R58,IF(F58=1,Pre_q,0),Floor_q)</f>
        <v>350</v>
      </c>
      <c r="Y58" s="14" t="n">
        <f aca="false">MAX(Z58+Cost_round*G58-S58,IF(G58=1,Pre_q,0),Floor_q)</f>
        <v>365</v>
      </c>
      <c r="Z58" s="14" t="n">
        <f aca="false">MAX(AA58+Cost_round*H58-T58,IF(H58=1,Pre_q,0),Floor_q)</f>
        <v>470</v>
      </c>
      <c r="AA58" s="14" t="n">
        <f aca="false">MAX(AB58+Cost_round*I58-U58,IF(I58=1,Pre_q,0),Floor_q)</f>
        <v>350</v>
      </c>
      <c r="AB58" s="14" t="n">
        <f aca="false">MAX(End_q,Floor_q)</f>
        <v>470</v>
      </c>
      <c r="AC58" s="15" t="n">
        <f aca="false">IF(Q_zero&gt;=V58-0.000000001,1,0)</f>
        <v>1</v>
      </c>
      <c r="AD58" s="14" t="n">
        <f aca="false">IF($AC58=1,Q_zero-Cost_round*D58+P58-W58,"")</f>
        <v>100</v>
      </c>
      <c r="AE58" s="14" t="n">
        <f aca="false">IF($AC58=1,W58-Cost_round*E58+Q58-X58,"")</f>
        <v>105</v>
      </c>
      <c r="AF58" s="14" t="n">
        <f aca="false">IF($AC58=1,X58-Cost_round*F58+R58-Y58,"")</f>
        <v>90</v>
      </c>
      <c r="AG58" s="14" t="n">
        <f aca="false">IF($AC58=1,Y58-Cost_round*G58+S58-Z58,"")</f>
        <v>0</v>
      </c>
      <c r="AH58" s="14" t="n">
        <f aca="false">IF($AC58=1,Z58-Cost_round*H58+T58-AA58,"")</f>
        <v>122.5</v>
      </c>
      <c r="AI58" s="14" t="n">
        <f aca="false">IF($AC58=1,AA58-Cost_round*I58+U58-AB58,"")</f>
        <v>2.5</v>
      </c>
      <c r="AJ58" s="14" t="n">
        <f aca="false">IF($AC58=1,SUM(AD58:AI58),"")</f>
        <v>420</v>
      </c>
      <c r="AK58" s="17" t="n">
        <f aca="false">IF($AC58=1,AD58*Beta_y^1+AE58*Beta_y^2+AF58*Beta_y^3+AG58*Beta_y^4+AH58*Beta_y^5+AI58*Beta_y^6,"")</f>
        <v>322.778329394246</v>
      </c>
      <c r="AL58" s="17" t="n">
        <f aca="false">IF($AC58=1,AK58+Beta_y^6*U58/Hurdle_r,"")</f>
        <v>1014.25889371012</v>
      </c>
      <c r="AM58" s="17" t="n">
        <f aca="false">IF($AC58=1,AK58,"")</f>
        <v>322.778329394246</v>
      </c>
      <c r="AN58" s="17" t="n">
        <f aca="false">IF($AC58=1,AK58+Beta_y^6*U58*(1-(1+Hurdle_r)^(-Life_yrs))/Hurdle_r,"")</f>
        <v>911.474713922029</v>
      </c>
      <c r="AO58" s="17" t="n">
        <f aca="false">IF($AC58=1,AJ58+Credit_yrs*U58,"")</f>
        <v>1645</v>
      </c>
      <c r="AP58" s="17" t="n">
        <f aca="false">IF($AC58=1,$AD58/(1+AP$6)^1+$AE58/(1+AP$6)^2+$AF58/(1+AP$6)^3+$AG58/(1+AP$6)^4+$AH58/(1+AP$6)^5+$AI58/(1+AP$6)^6+$U58/AP$6/(1+AP$6)^6,"")</f>
        <v>3805.91336662863</v>
      </c>
      <c r="AQ58" s="17" t="n">
        <f aca="false">IF($AC58=1,$AD58/(1+AQ$6)^1+$AE58/(1+AQ$6)^2+$AF58/(1+AQ$6)^3+$AG58/(1+AQ$6)^4+$AH58/(1+AQ$6)^5+$AI58/(1+AQ$6)^6+$U58/AQ$6/(1+AQ$6)^6,"")</f>
        <v>2194.29678998774</v>
      </c>
      <c r="AR58" s="17" t="n">
        <f aca="false">IF($AC58=1,$AD58/(1+AR$6)^1+$AE58/(1+AR$6)^2+$AF58/(1+AR$6)^3+$AG58/(1+AR$6)^4+$AH58/(1+AR$6)^5+$AI58/(1+AR$6)^6+$U58/AR$6/(1+AR$6)^6,"")</f>
        <v>1303.95217728469</v>
      </c>
      <c r="AS58" s="17" t="n">
        <f aca="false">IF($AC58=1,$AD58/(1+AS$6)^1+$AE58/(1+AS$6)^2+$AF58/(1+AS$6)^3+$AG58/(1+AS$6)^4+$AH58/(1+AS$6)^5+$AI58/(1+AS$6)^6+$U58/AS$6/(1+AS$6)^6,"")</f>
        <v>1014.25889371012</v>
      </c>
      <c r="AT58" s="17" t="n">
        <f aca="false">IF($AC58=1,$AD58/(1+AT$6)^1+$AE58/(1+AT$6)^2+$AF58/(1+AT$6)^3+$AG58/(1+AT$6)^4+$AH58/(1+AT$6)^5+$AI58/(1+AT$6)^6+$U58/AT$6/(1+AT$6)^6,"")</f>
        <v>825.013597562098</v>
      </c>
      <c r="AU58" s="17" t="n">
        <f aca="false">IF($AC58=1,$AD58/(1+AU$6)^1+$AE58/(1+AU$6)^2+$AF58/(1+AU$6)^3+$AG58/(1+AU$6)^4+$AH58/(1+AU$6)^5+$AI58/(1+AU$6)^6+$U58/AU$6/(1+AU$6)^6,"")</f>
        <v>640.580573449096</v>
      </c>
      <c r="AV58" s="17" t="n">
        <f aca="false">IF($AC58=1,$AD58/(1+AV$6)^1+$AE58/(1+AV$6)^2+$AF58/(1+AV$6)^3+$AG58/(1+AV$6)^4+$AH58/(1+AV$6)^5+$AI58/(1+AV$6)^6+$U58/AV$6/(1+AV$6)^6,"")</f>
        <v>463.525591563786</v>
      </c>
      <c r="AW58" s="17" t="n">
        <f aca="false">IF($AC58=1,$AD58/(1+AW$6)^1+$AE58/(1+AW$6)^2+$AF58/(1+AW$6)^3+$AG58/(1+AW$6)^4+$AH58/(1+AW$6)^5+$AI58/(1+AW$6)^6+$U58/AW$6/(1+AW$6)^6,"")</f>
        <v>298.12591161849</v>
      </c>
      <c r="AX58" s="17" t="n">
        <f aca="false">IF($AC58=1,$AD58/(1+AX$6)^1+$AE58/(1+AX$6)^2+$AF58/(1+AX$6)^3+$AG58/(1+AX$6)^4+$AH58/(1+AX$6)^5+$AI58/(1+AX$6)^6+$U58/AX$6/(1+AX$6)^6,"")</f>
        <v>6428.60456005583</v>
      </c>
      <c r="AY58" s="17" t="n">
        <f aca="false">IF($AC58=1,$AD58/(1+AY$6)^1+$AE58/(1+AY$6)^2+$AF58/(1+AY$6)^3+$AG58/(1+AY$6)^4+$AH58/(1+AY$6)^5+$AI58/(1+AY$6)^6+$U58/AY$6/(1+AY$6)^6,"")</f>
        <v>3089.86041364925</v>
      </c>
      <c r="AZ58" s="17" t="n">
        <f aca="false">IF($AC58=1,$AD58/(1+AZ$6)^1+$AE58/(1+AZ$6)^2+$AF58/(1+AZ$6)^3+$AG58/(1+AZ$6)^4+$AH58/(1+AZ$6)^5+$AI58/(1+AZ$6)^6+$U58/AZ$6/(1+AZ$6)^6,"")</f>
        <v>1446.40475659137</v>
      </c>
      <c r="BA58" s="17" t="n">
        <f aca="false">IF($AC58=1,$AD58/(1+BA$6)^1+$AE58/(1+BA$6)^2+$AF58/(1+BA$6)^3+$AG58/(1+BA$6)^4+$AH58/(1+BA$6)^5+$AI58/(1+BA$6)^6+$U58/BA$6/(1+BA$6)^6,"")</f>
        <v>663.076795472808</v>
      </c>
      <c r="BB58" s="17" t="n">
        <f aca="false">IF($AC58=1,$AD58/(1+BB$6)^1+$AE58/(1+BB$6)^2+$AF58/(1+BB$6)^3+$AG58/(1+BB$6)^4+$AH58/(1+BB$6)^5+$AI58/(1+BB$6)^6+$U58/BB$6/(1+BB$6)^6,"")</f>
        <v>299.487400647521</v>
      </c>
    </row>
    <row r="59" customFormat="false" ht="15" hidden="false" customHeight="false" outlineLevel="0" collapsed="false">
      <c r="A59" s="2" t="n">
        <v>51</v>
      </c>
      <c r="B59" s="2" t="str">
        <f aca="false">D59&amp;E59&amp;F59&amp;G59&amp;H59&amp;I59</f>
        <v>110011</v>
      </c>
      <c r="C59" s="15" t="n">
        <f aca="false">SUM(D59:I59)</f>
        <v>4</v>
      </c>
      <c r="D59" s="15" t="n">
        <f aca="false">MOD(INT($A59/32),2)</f>
        <v>1</v>
      </c>
      <c r="E59" s="15" t="n">
        <f aca="false">MOD(INT($A59/16),2)</f>
        <v>1</v>
      </c>
      <c r="F59" s="15" t="n">
        <f aca="false">MOD(INT($A59/8),2)</f>
        <v>0</v>
      </c>
      <c r="G59" s="15" t="n">
        <f aca="false">MOD(INT($A59/4),2)</f>
        <v>0</v>
      </c>
      <c r="H59" s="15" t="n">
        <f aca="false">MOD(INT($A59/2),2)</f>
        <v>1</v>
      </c>
      <c r="I59" s="15" t="n">
        <f aca="false">MOD(INT($A59/1),2)</f>
        <v>1</v>
      </c>
      <c r="J59" s="14" t="n">
        <f aca="false">E_zero+D59*(Half_gap*(Ceiling_e-E_zero)-$F$4)</f>
        <v>78</v>
      </c>
      <c r="K59" s="14" t="n">
        <f aca="false">J59+E59*(Half_gap*(Ceiling_e-J59)-$F$4)</f>
        <v>81.5</v>
      </c>
      <c r="L59" s="14" t="n">
        <f aca="false">K59+F59*(Half_gap*(Ceiling_e-K59)-$F$4)</f>
        <v>81.5</v>
      </c>
      <c r="M59" s="14" t="n">
        <f aca="false">L59+G59*(Half_gap*(Ceiling_e-L59)-$F$4)</f>
        <v>81.5</v>
      </c>
      <c r="N59" s="14" t="n">
        <f aca="false">M59+H59*(Half_gap*(Ceiling_e-M59)-$F$4)</f>
        <v>83.25</v>
      </c>
      <c r="O59" s="14" t="n">
        <f aca="false">N59+I59*(Half_gap*(Ceiling_e-N59)-$F$4)</f>
        <v>84.125</v>
      </c>
      <c r="P59" s="14" t="n">
        <f aca="false">Val_pt*(J59-E_zero)</f>
        <v>70</v>
      </c>
      <c r="Q59" s="14" t="n">
        <f aca="false">Val_pt*(K59-E_zero)</f>
        <v>105</v>
      </c>
      <c r="R59" s="14" t="n">
        <f aca="false">Val_pt*(L59-E_zero)</f>
        <v>105</v>
      </c>
      <c r="S59" s="14" t="n">
        <f aca="false">Val_pt*(M59-E_zero)</f>
        <v>105</v>
      </c>
      <c r="T59" s="14" t="n">
        <f aca="false">Val_pt*(N59-E_zero)</f>
        <v>122.5</v>
      </c>
      <c r="U59" s="14" t="n">
        <f aca="false">Val_pt*(O59-E_zero)</f>
        <v>131.25</v>
      </c>
      <c r="V59" s="14" t="n">
        <f aca="false">MAX(W59+Cost_round*D59-P59,IF(D59=1,Pre_q,0))</f>
        <v>520</v>
      </c>
      <c r="W59" s="14" t="n">
        <f aca="false">MAX(X59+Cost_round*E59-Q59,IF(E59=1,Pre_q,0),Floor_q)</f>
        <v>470</v>
      </c>
      <c r="X59" s="14" t="n">
        <f aca="false">MAX(Y59+Cost_round*F59-R59,IF(F59=1,Pre_q,0),Floor_q)</f>
        <v>350</v>
      </c>
      <c r="Y59" s="14" t="n">
        <f aca="false">MAX(Z59+Cost_round*G59-S59,IF(G59=1,Pre_q,0),Floor_q)</f>
        <v>365</v>
      </c>
      <c r="Z59" s="14" t="n">
        <f aca="false">MAX(AA59+Cost_round*H59-T59,IF(H59=1,Pre_q,0),Floor_q)</f>
        <v>470</v>
      </c>
      <c r="AA59" s="14" t="n">
        <f aca="false">MAX(AB59+Cost_round*I59-U59,IF(I59=1,Pre_q,0),Floor_q)</f>
        <v>470</v>
      </c>
      <c r="AB59" s="14" t="n">
        <f aca="false">MAX(End_q,Floor_q)</f>
        <v>470</v>
      </c>
      <c r="AC59" s="15" t="n">
        <f aca="false">IF(Q_zero&gt;=V59-0.000000001,1,0)</f>
        <v>1</v>
      </c>
      <c r="AD59" s="14" t="n">
        <f aca="false">IF($AC59=1,Q_zero-Cost_round*D59+P59-W59,"")</f>
        <v>100</v>
      </c>
      <c r="AE59" s="14" t="n">
        <f aca="false">IF($AC59=1,W59-Cost_round*E59+Q59-X59,"")</f>
        <v>105</v>
      </c>
      <c r="AF59" s="14" t="n">
        <f aca="false">IF($AC59=1,X59-Cost_round*F59+R59-Y59,"")</f>
        <v>90</v>
      </c>
      <c r="AG59" s="14" t="n">
        <f aca="false">IF($AC59=1,Y59-Cost_round*G59+S59-Z59,"")</f>
        <v>0</v>
      </c>
      <c r="AH59" s="14" t="n">
        <f aca="false">IF($AC59=1,Z59-Cost_round*H59+T59-AA59,"")</f>
        <v>2.5</v>
      </c>
      <c r="AI59" s="14" t="n">
        <f aca="false">IF($AC59=1,AA59-Cost_round*I59+U59-AB59,"")</f>
        <v>11.25</v>
      </c>
      <c r="AJ59" s="14" t="n">
        <f aca="false">IF($AC59=1,SUM(AD59:AI59),"")</f>
        <v>308.75</v>
      </c>
      <c r="AK59" s="17" t="n">
        <f aca="false">IF($AC59=1,AD59*Beta_y^1+AE59*Beta_y^2+AF59*Beta_y^3+AG59*Beta_y^4+AH59*Beta_y^5+AI59*Beta_y^6,"")</f>
        <v>253.206917515118</v>
      </c>
      <c r="AL59" s="17" t="n">
        <f aca="false">IF($AC59=1,AK59+Beta_y^6*U59/Hurdle_r,"")</f>
        <v>994.078950710701</v>
      </c>
      <c r="AM59" s="17" t="n">
        <f aca="false">IF($AC59=1,AK59,"")</f>
        <v>253.206917515118</v>
      </c>
      <c r="AN59" s="17" t="n">
        <f aca="false">IF($AC59=1,AK59+Beta_y^6*U59*(1-(1+Hurdle_r)^(-Life_yrs))/Hurdle_r,"")</f>
        <v>883.953043794886</v>
      </c>
      <c r="AO59" s="17" t="n">
        <f aca="false">IF($AC59=1,AJ59+Credit_yrs*U59,"")</f>
        <v>1621.25</v>
      </c>
      <c r="AP59" s="17" t="n">
        <f aca="false">IF($AC59=1,$AD59/(1+AP$6)^1+$AE59/(1+AP$6)^2+$AF59/(1+AP$6)^3+$AG59/(1+AP$6)^4+$AH59/(1+AP$6)^5+$AI59/(1+AP$6)^6+$U59/AP$6/(1+AP$6)^6,"")</f>
        <v>3953.99454128124</v>
      </c>
      <c r="AQ59" s="17" t="n">
        <f aca="false">IF($AC59=1,$AD59/(1+AQ$6)^1+$AE59/(1+AQ$6)^2+$AF59/(1+AQ$6)^3+$AG59/(1+AQ$6)^4+$AH59/(1+AQ$6)^5+$AI59/(1+AQ$6)^6+$U59/AQ$6/(1+AQ$6)^6,"")</f>
        <v>2237.3907291435</v>
      </c>
      <c r="AR59" s="17" t="n">
        <f aca="false">IF($AC59=1,$AD59/(1+AR$6)^1+$AE59/(1+AR$6)^2+$AF59/(1+AR$6)^3+$AG59/(1+AR$6)^4+$AH59/(1+AR$6)^5+$AI59/(1+AR$6)^6+$U59/AR$6/(1+AR$6)^6,"")</f>
        <v>1296.72098081621</v>
      </c>
      <c r="AS59" s="17" t="n">
        <f aca="false">IF($AC59=1,$AD59/(1+AS$6)^1+$AE59/(1+AS$6)^2+$AF59/(1+AS$6)^3+$AG59/(1+AS$6)^4+$AH59/(1+AS$6)^5+$AI59/(1+AS$6)^6+$U59/AS$6/(1+AS$6)^6,"")</f>
        <v>994.078950710701</v>
      </c>
      <c r="AT59" s="17" t="n">
        <f aca="false">IF($AC59=1,$AD59/(1+AT$6)^1+$AE59/(1+AT$6)^2+$AF59/(1+AT$6)^3+$AG59/(1+AT$6)^4+$AH59/(1+AT$6)^5+$AI59/(1+AT$6)^6+$U59/AT$6/(1+AT$6)^6,"")</f>
        <v>798.297249772014</v>
      </c>
      <c r="AU59" s="17" t="n">
        <f aca="false">IF($AC59=1,$AD59/(1+AU$6)^1+$AE59/(1+AU$6)^2+$AF59/(1+AU$6)^3+$AG59/(1+AU$6)^4+$AH59/(1+AU$6)^5+$AI59/(1+AU$6)^6+$U59/AU$6/(1+AU$6)^6,"")</f>
        <v>609.921341439035</v>
      </c>
      <c r="AV59" s="17" t="n">
        <f aca="false">IF($AC59=1,$AD59/(1+AV$6)^1+$AE59/(1+AV$6)^2+$AF59/(1+AV$6)^3+$AG59/(1+AV$6)^4+$AH59/(1+AV$6)^5+$AI59/(1+AV$6)^6+$U59/AV$6/(1+AV$6)^6,"")</f>
        <v>432.882426697531</v>
      </c>
      <c r="AW59" s="17" t="n">
        <f aca="false">IF($AC59=1,$AD59/(1+AW$6)^1+$AE59/(1+AW$6)^2+$AF59/(1+AW$6)^3+$AG59/(1+AW$6)^4+$AH59/(1+AW$6)^5+$AI59/(1+AW$6)^6+$U59/AW$6/(1+AW$6)^6,"")</f>
        <v>273.661854032343</v>
      </c>
      <c r="AX59" s="17" t="n">
        <f aca="false">IF($AC59=1,$AD59/(1+AX$6)^1+$AE59/(1+AX$6)^2+$AF59/(1+AX$6)^3+$AG59/(1+AX$6)^4+$AH59/(1+AX$6)^5+$AI59/(1+AX$6)^6+$U59/AX$6/(1+AX$6)^6,"")</f>
        <v>6757.51286201758</v>
      </c>
      <c r="AY59" s="17" t="n">
        <f aca="false">IF($AC59=1,$AD59/(1+AY$6)^1+$AE59/(1+AY$6)^2+$AF59/(1+AY$6)^3+$AG59/(1+AY$6)^4+$AH59/(1+AY$6)^5+$AI59/(1+AY$6)^6+$U59/AY$6/(1+AY$6)^6,"")</f>
        <v>3190.18837961777</v>
      </c>
      <c r="AZ59" s="17" t="n">
        <f aca="false">IF($AC59=1,$AD59/(1+AZ$6)^1+$AE59/(1+AZ$6)^2+$AF59/(1+AZ$6)^3+$AG59/(1+AZ$6)^4+$AH59/(1+AZ$6)^5+$AI59/(1+AZ$6)^6+$U59/AZ$6/(1+AZ$6)^6,"")</f>
        <v>1446.40475659224</v>
      </c>
      <c r="BA59" s="17" t="n">
        <f aca="false">IF($AC59=1,$AD59/(1+BA$6)^1+$AE59/(1+BA$6)^2+$AF59/(1+BA$6)^3+$AG59/(1+BA$6)^4+$AH59/(1+BA$6)^5+$AI59/(1+BA$6)^6+$U59/BA$6/(1+BA$6)^6,"")</f>
        <v>632.725541934596</v>
      </c>
      <c r="BB59" s="17" t="n">
        <f aca="false">IF($AC59=1,$AD59/(1+BB$6)^1+$AE59/(1+BB$6)^2+$AF59/(1+BB$6)^3+$AG59/(1+BB$6)^4+$AH59/(1+BB$6)^5+$AI59/(1+BB$6)^6+$U59/BB$6/(1+BB$6)^6,"")</f>
        <v>274.93574762727</v>
      </c>
    </row>
    <row r="60" customFormat="false" ht="15" hidden="false" customHeight="false" outlineLevel="0" collapsed="false">
      <c r="A60" s="2" t="n">
        <v>52</v>
      </c>
      <c r="B60" s="2" t="str">
        <f aca="false">D60&amp;E60&amp;F60&amp;G60&amp;H60&amp;I60</f>
        <v>110100</v>
      </c>
      <c r="C60" s="15" t="n">
        <f aca="false">SUM(D60:I60)</f>
        <v>3</v>
      </c>
      <c r="D60" s="15" t="n">
        <f aca="false">MOD(INT($A60/32),2)</f>
        <v>1</v>
      </c>
      <c r="E60" s="15" t="n">
        <f aca="false">MOD(INT($A60/16),2)</f>
        <v>1</v>
      </c>
      <c r="F60" s="15" t="n">
        <f aca="false">MOD(INT($A60/8),2)</f>
        <v>0</v>
      </c>
      <c r="G60" s="15" t="n">
        <f aca="false">MOD(INT($A60/4),2)</f>
        <v>1</v>
      </c>
      <c r="H60" s="15" t="n">
        <f aca="false">MOD(INT($A60/2),2)</f>
        <v>0</v>
      </c>
      <c r="I60" s="15" t="n">
        <f aca="false">MOD(INT($A60/1),2)</f>
        <v>0</v>
      </c>
      <c r="J60" s="14" t="n">
        <f aca="false">E_zero+D60*(Half_gap*(Ceiling_e-E_zero)-$F$4)</f>
        <v>78</v>
      </c>
      <c r="K60" s="14" t="n">
        <f aca="false">J60+E60*(Half_gap*(Ceiling_e-J60)-$F$4)</f>
        <v>81.5</v>
      </c>
      <c r="L60" s="14" t="n">
        <f aca="false">K60+F60*(Half_gap*(Ceiling_e-K60)-$F$4)</f>
        <v>81.5</v>
      </c>
      <c r="M60" s="14" t="n">
        <f aca="false">L60+G60*(Half_gap*(Ceiling_e-L60)-$F$4)</f>
        <v>83.25</v>
      </c>
      <c r="N60" s="14" t="n">
        <f aca="false">M60+H60*(Half_gap*(Ceiling_e-M60)-$F$4)</f>
        <v>83.25</v>
      </c>
      <c r="O60" s="14" t="n">
        <f aca="false">N60+I60*(Half_gap*(Ceiling_e-N60)-$F$4)</f>
        <v>83.25</v>
      </c>
      <c r="P60" s="14" t="n">
        <f aca="false">Val_pt*(J60-E_zero)</f>
        <v>70</v>
      </c>
      <c r="Q60" s="14" t="n">
        <f aca="false">Val_pt*(K60-E_zero)</f>
        <v>105</v>
      </c>
      <c r="R60" s="14" t="n">
        <f aca="false">Val_pt*(L60-E_zero)</f>
        <v>105</v>
      </c>
      <c r="S60" s="14" t="n">
        <f aca="false">Val_pt*(M60-E_zero)</f>
        <v>122.5</v>
      </c>
      <c r="T60" s="14" t="n">
        <f aca="false">Val_pt*(N60-E_zero)</f>
        <v>122.5</v>
      </c>
      <c r="U60" s="14" t="n">
        <f aca="false">Val_pt*(O60-E_zero)</f>
        <v>122.5</v>
      </c>
      <c r="V60" s="14" t="n">
        <f aca="false">MAX(W60+Cost_round*D60-P60,IF(D60=1,Pre_q,0))</f>
        <v>520</v>
      </c>
      <c r="W60" s="14" t="n">
        <f aca="false">MAX(X60+Cost_round*E60-Q60,IF(E60=1,Pre_q,0),Floor_q)</f>
        <v>470</v>
      </c>
      <c r="X60" s="14" t="n">
        <f aca="false">MAX(Y60+Cost_round*F60-R60,IF(F60=1,Pre_q,0),Floor_q)</f>
        <v>365</v>
      </c>
      <c r="Y60" s="14" t="n">
        <f aca="false">MAX(Z60+Cost_round*G60-S60,IF(G60=1,Pre_q,0),Floor_q)</f>
        <v>470</v>
      </c>
      <c r="Z60" s="14" t="n">
        <f aca="false">MAX(AA60+Cost_round*H60-T60,IF(H60=1,Pre_q,0),Floor_q)</f>
        <v>350</v>
      </c>
      <c r="AA60" s="14" t="n">
        <f aca="false">MAX(AB60+Cost_round*I60-U60,IF(I60=1,Pre_q,0),Floor_q)</f>
        <v>350</v>
      </c>
      <c r="AB60" s="14" t="n">
        <f aca="false">MAX(End_q,Floor_q)</f>
        <v>470</v>
      </c>
      <c r="AC60" s="15" t="n">
        <f aca="false">IF(Q_zero&gt;=V60-0.000000001,1,0)</f>
        <v>1</v>
      </c>
      <c r="AD60" s="14" t="n">
        <f aca="false">IF($AC60=1,Q_zero-Cost_round*D60+P60-W60,"")</f>
        <v>100</v>
      </c>
      <c r="AE60" s="14" t="n">
        <f aca="false">IF($AC60=1,W60-Cost_round*E60+Q60-X60,"")</f>
        <v>90</v>
      </c>
      <c r="AF60" s="14" t="n">
        <f aca="false">IF($AC60=1,X60-Cost_round*F60+R60-Y60,"")</f>
        <v>0</v>
      </c>
      <c r="AG60" s="14" t="n">
        <f aca="false">IF($AC60=1,Y60-Cost_round*G60+S60-Z60,"")</f>
        <v>122.5</v>
      </c>
      <c r="AH60" s="14" t="n">
        <f aca="false">IF($AC60=1,Z60-Cost_round*H60+T60-AA60,"")</f>
        <v>122.5</v>
      </c>
      <c r="AI60" s="14" t="n">
        <f aca="false">IF($AC60=1,AA60-Cost_round*I60+U60-AB60,"")</f>
        <v>2.5</v>
      </c>
      <c r="AJ60" s="14" t="n">
        <f aca="false">IF($AC60=1,SUM(AD60:AI60),"")</f>
        <v>437.5</v>
      </c>
      <c r="AK60" s="17" t="n">
        <f aca="false">IF($AC60=1,AD60*Beta_y^1+AE60*Beta_y^2+AF60*Beta_y^3+AG60*Beta_y^4+AH60*Beta_y^5+AI60*Beta_y^6,"")</f>
        <v>326.432451380449</v>
      </c>
      <c r="AL60" s="17" t="n">
        <f aca="false">IF($AC60=1,AK60+Beta_y^6*U60/Hurdle_r,"")</f>
        <v>1017.91301569633</v>
      </c>
      <c r="AM60" s="17" t="n">
        <f aca="false">IF($AC60=1,AK60,"")</f>
        <v>326.432451380449</v>
      </c>
      <c r="AN60" s="17" t="n">
        <f aca="false">IF($AC60=1,AK60+Beta_y^6*U60*(1-(1+Hurdle_r)^(-Life_yrs))/Hurdle_r,"")</f>
        <v>915.128835908232</v>
      </c>
      <c r="AO60" s="17" t="n">
        <f aca="false">IF($AC60=1,AJ60+Credit_yrs*U60,"")</f>
        <v>1662.5</v>
      </c>
      <c r="AP60" s="17" t="n">
        <f aca="false">IF($AC60=1,$AD60/(1+AP$6)^1+$AE60/(1+AP$6)^2+$AF60/(1+AP$6)^3+$AG60/(1+AP$6)^4+$AH60/(1+AP$6)^5+$AI60/(1+AP$6)^6+$U60/AP$6/(1+AP$6)^6,"")</f>
        <v>3818.25134201951</v>
      </c>
      <c r="AQ60" s="17" t="n">
        <f aca="false">IF($AC60=1,$AD60/(1+AQ$6)^1+$AE60/(1+AQ$6)^2+$AF60/(1+AQ$6)^3+$AG60/(1+AQ$6)^4+$AH60/(1+AQ$6)^5+$AI60/(1+AQ$6)^6+$U60/AQ$6/(1+AQ$6)^6,"")</f>
        <v>2203.72701710504</v>
      </c>
      <c r="AR60" s="17" t="n">
        <f aca="false">IF($AC60=1,$AD60/(1+AR$6)^1+$AE60/(1+AR$6)^2+$AF60/(1+AR$6)^3+$AG60/(1+AR$6)^4+$AH60/(1+AR$6)^5+$AI60/(1+AR$6)^6+$U60/AR$6/(1+AR$6)^6,"")</f>
        <v>1309.68835025591</v>
      </c>
      <c r="AS60" s="17" t="n">
        <f aca="false">IF($AC60=1,$AD60/(1+AS$6)^1+$AE60/(1+AS$6)^2+$AF60/(1+AS$6)^3+$AG60/(1+AS$6)^4+$AH60/(1+AS$6)^5+$AI60/(1+AS$6)^6+$U60/AS$6/(1+AS$6)^6,"")</f>
        <v>1017.91301569633</v>
      </c>
      <c r="AT60" s="17" t="n">
        <f aca="false">IF($AC60=1,$AD60/(1+AT$6)^1+$AE60/(1+AT$6)^2+$AF60/(1+AT$6)^3+$AG60/(1+AT$6)^4+$AH60/(1+AT$6)^5+$AI60/(1+AT$6)^6+$U60/AT$6/(1+AT$6)^6,"")</f>
        <v>826.846431700218</v>
      </c>
      <c r="AU60" s="17" t="n">
        <f aca="false">IF($AC60=1,$AD60/(1+AU$6)^1+$AE60/(1+AU$6)^2+$AF60/(1+AU$6)^3+$AG60/(1+AU$6)^4+$AH60/(1+AU$6)^5+$AI60/(1+AU$6)^6+$U60/AU$6/(1+AU$6)^6,"")</f>
        <v>640.101730105912</v>
      </c>
      <c r="AV60" s="17" t="n">
        <f aca="false">IF($AC60=1,$AD60/(1+AV$6)^1+$AE60/(1+AV$6)^2+$AF60/(1+AV$6)^3+$AG60/(1+AV$6)^4+$AH60/(1+AV$6)^5+$AI60/(1+AV$6)^6+$U60/AV$6/(1+AV$6)^6,"")</f>
        <v>460.101594650206</v>
      </c>
      <c r="AW60" s="17" t="n">
        <f aca="false">IF($AC60=1,$AD60/(1+AW$6)^1+$AE60/(1+AW$6)^2+$AF60/(1+AW$6)^3+$AG60/(1+AW$6)^4+$AH60/(1+AW$6)^5+$AI60/(1+AW$6)^6+$U60/AW$6/(1+AW$6)^6,"")</f>
        <v>291.175874855072</v>
      </c>
      <c r="AX60" s="17" t="n">
        <f aca="false">IF($AC60=1,$AD60/(1+AX$6)^1+$AE60/(1+AX$6)^2+$AF60/(1+AX$6)^3+$AG60/(1+AX$6)^4+$AH60/(1+AX$6)^5+$AI60/(1+AX$6)^6+$U60/AX$6/(1+AX$6)^6,"")</f>
        <v>6442.84497272143</v>
      </c>
      <c r="AY60" s="17" t="n">
        <f aca="false">IF($AC60=1,$AD60/(1+AY$6)^1+$AE60/(1+AY$6)^2+$AF60/(1+AY$6)^3+$AG60/(1+AY$6)^4+$AH60/(1+AY$6)^5+$AI60/(1+AY$6)^6+$U60/AY$6/(1+AY$6)^6,"")</f>
        <v>3101.2165783904</v>
      </c>
      <c r="AZ60" s="17" t="n">
        <f aca="false">IF($AC60=1,$AD60/(1+AZ$6)^1+$AE60/(1+AZ$6)^2+$AF60/(1+AZ$6)^3+$AG60/(1+AZ$6)^4+$AH60/(1+AZ$6)^5+$AI60/(1+AZ$6)^6+$U60/AZ$6/(1+AZ$6)^6,"")</f>
        <v>1452.94761501653</v>
      </c>
      <c r="BA60" s="17" t="n">
        <f aca="false">IF($AC60=1,$AD60/(1+BA$6)^1+$AE60/(1+BA$6)^2+$AF60/(1+BA$6)^3+$AG60/(1+BA$6)^4+$AH60/(1+BA$6)^5+$AI60/(1+BA$6)^6+$U60/BA$6/(1+BA$6)^6,"")</f>
        <v>662.915793769942</v>
      </c>
      <c r="BB60" s="17" t="n">
        <f aca="false">IF($AC60=1,$AD60/(1+BB$6)^1+$AE60/(1+BB$6)^2+$AF60/(1+BB$6)^3+$AG60/(1+BB$6)^4+$AH60/(1+BB$6)^5+$AI60/(1+BB$6)^6+$U60/BB$6/(1+BB$6)^6,"")</f>
        <v>292.568178098427</v>
      </c>
    </row>
    <row r="61" customFormat="false" ht="15" hidden="false" customHeight="false" outlineLevel="0" collapsed="false">
      <c r="A61" s="2" t="n">
        <v>53</v>
      </c>
      <c r="B61" s="2" t="str">
        <f aca="false">D61&amp;E61&amp;F61&amp;G61&amp;H61&amp;I61</f>
        <v>110101</v>
      </c>
      <c r="C61" s="15" t="n">
        <f aca="false">SUM(D61:I61)</f>
        <v>4</v>
      </c>
      <c r="D61" s="15" t="n">
        <f aca="false">MOD(INT($A61/32),2)</f>
        <v>1</v>
      </c>
      <c r="E61" s="15" t="n">
        <f aca="false">MOD(INT($A61/16),2)</f>
        <v>1</v>
      </c>
      <c r="F61" s="15" t="n">
        <f aca="false">MOD(INT($A61/8),2)</f>
        <v>0</v>
      </c>
      <c r="G61" s="15" t="n">
        <f aca="false">MOD(INT($A61/4),2)</f>
        <v>1</v>
      </c>
      <c r="H61" s="15" t="n">
        <f aca="false">MOD(INT($A61/2),2)</f>
        <v>0</v>
      </c>
      <c r="I61" s="15" t="n">
        <f aca="false">MOD(INT($A61/1),2)</f>
        <v>1</v>
      </c>
      <c r="J61" s="14" t="n">
        <f aca="false">E_zero+D61*(Half_gap*(Ceiling_e-E_zero)-$F$4)</f>
        <v>78</v>
      </c>
      <c r="K61" s="14" t="n">
        <f aca="false">J61+E61*(Half_gap*(Ceiling_e-J61)-$F$4)</f>
        <v>81.5</v>
      </c>
      <c r="L61" s="14" t="n">
        <f aca="false">K61+F61*(Half_gap*(Ceiling_e-K61)-$F$4)</f>
        <v>81.5</v>
      </c>
      <c r="M61" s="14" t="n">
        <f aca="false">L61+G61*(Half_gap*(Ceiling_e-L61)-$F$4)</f>
        <v>83.25</v>
      </c>
      <c r="N61" s="14" t="n">
        <f aca="false">M61+H61*(Half_gap*(Ceiling_e-M61)-$F$4)</f>
        <v>83.25</v>
      </c>
      <c r="O61" s="14" t="n">
        <f aca="false">N61+I61*(Half_gap*(Ceiling_e-N61)-$F$4)</f>
        <v>84.125</v>
      </c>
      <c r="P61" s="14" t="n">
        <f aca="false">Val_pt*(J61-E_zero)</f>
        <v>70</v>
      </c>
      <c r="Q61" s="14" t="n">
        <f aca="false">Val_pt*(K61-E_zero)</f>
        <v>105</v>
      </c>
      <c r="R61" s="14" t="n">
        <f aca="false">Val_pt*(L61-E_zero)</f>
        <v>105</v>
      </c>
      <c r="S61" s="14" t="n">
        <f aca="false">Val_pt*(M61-E_zero)</f>
        <v>122.5</v>
      </c>
      <c r="T61" s="14" t="n">
        <f aca="false">Val_pt*(N61-E_zero)</f>
        <v>122.5</v>
      </c>
      <c r="U61" s="14" t="n">
        <f aca="false">Val_pt*(O61-E_zero)</f>
        <v>131.25</v>
      </c>
      <c r="V61" s="14" t="n">
        <f aca="false">MAX(W61+Cost_round*D61-P61,IF(D61=1,Pre_q,0))</f>
        <v>520</v>
      </c>
      <c r="W61" s="14" t="n">
        <f aca="false">MAX(X61+Cost_round*E61-Q61,IF(E61=1,Pre_q,0),Floor_q)</f>
        <v>470</v>
      </c>
      <c r="X61" s="14" t="n">
        <f aca="false">MAX(Y61+Cost_round*F61-R61,IF(F61=1,Pre_q,0),Floor_q)</f>
        <v>365</v>
      </c>
      <c r="Y61" s="14" t="n">
        <f aca="false">MAX(Z61+Cost_round*G61-S61,IF(G61=1,Pre_q,0),Floor_q)</f>
        <v>470</v>
      </c>
      <c r="Z61" s="14" t="n">
        <f aca="false">MAX(AA61+Cost_round*H61-T61,IF(H61=1,Pre_q,0),Floor_q)</f>
        <v>350</v>
      </c>
      <c r="AA61" s="14" t="n">
        <f aca="false">MAX(AB61+Cost_round*I61-U61,IF(I61=1,Pre_q,0),Floor_q)</f>
        <v>470</v>
      </c>
      <c r="AB61" s="14" t="n">
        <f aca="false">MAX(End_q,Floor_q)</f>
        <v>470</v>
      </c>
      <c r="AC61" s="15" t="n">
        <f aca="false">IF(Q_zero&gt;=V61-0.000000001,1,0)</f>
        <v>1</v>
      </c>
      <c r="AD61" s="14" t="n">
        <f aca="false">IF($AC61=1,Q_zero-Cost_round*D61+P61-W61,"")</f>
        <v>100</v>
      </c>
      <c r="AE61" s="14" t="n">
        <f aca="false">IF($AC61=1,W61-Cost_round*E61+Q61-X61,"")</f>
        <v>90</v>
      </c>
      <c r="AF61" s="14" t="n">
        <f aca="false">IF($AC61=1,X61-Cost_round*F61+R61-Y61,"")</f>
        <v>0</v>
      </c>
      <c r="AG61" s="14" t="n">
        <f aca="false">IF($AC61=1,Y61-Cost_round*G61+S61-Z61,"")</f>
        <v>122.5</v>
      </c>
      <c r="AH61" s="14" t="n">
        <f aca="false">IF($AC61=1,Z61-Cost_round*H61+T61-AA61,"")</f>
        <v>2.5</v>
      </c>
      <c r="AI61" s="14" t="n">
        <f aca="false">IF($AC61=1,AA61-Cost_round*I61+U61-AB61,"")</f>
        <v>11.25</v>
      </c>
      <c r="AJ61" s="14" t="n">
        <f aca="false">IF($AC61=1,SUM(AD61:AI61),"")</f>
        <v>326.25</v>
      </c>
      <c r="AK61" s="17" t="n">
        <f aca="false">IF($AC61=1,AD61*Beta_y^1+AE61*Beta_y^2+AF61*Beta_y^3+AG61*Beta_y^4+AH61*Beta_y^5+AI61*Beta_y^6,"")</f>
        <v>256.861039501321</v>
      </c>
      <c r="AL61" s="17" t="n">
        <f aca="false">IF($AC61=1,AK61+Beta_y^6*U61/Hurdle_r,"")</f>
        <v>997.733072696904</v>
      </c>
      <c r="AM61" s="17" t="n">
        <f aca="false">IF($AC61=1,AK61,"")</f>
        <v>256.861039501321</v>
      </c>
      <c r="AN61" s="17" t="n">
        <f aca="false">IF($AC61=1,AK61+Beta_y^6*U61*(1-(1+Hurdle_r)^(-Life_yrs))/Hurdle_r,"")</f>
        <v>887.607165781089</v>
      </c>
      <c r="AO61" s="17" t="n">
        <f aca="false">IF($AC61=1,AJ61+Credit_yrs*U61,"")</f>
        <v>1638.75</v>
      </c>
      <c r="AP61" s="17" t="n">
        <f aca="false">IF($AC61=1,$AD61/(1+AP$6)^1+$AE61/(1+AP$6)^2+$AF61/(1+AP$6)^3+$AG61/(1+AP$6)^4+$AH61/(1+AP$6)^5+$AI61/(1+AP$6)^6+$U61/AP$6/(1+AP$6)^6,"")</f>
        <v>3966.33251667213</v>
      </c>
      <c r="AQ61" s="17" t="n">
        <f aca="false">IF($AC61=1,$AD61/(1+AQ$6)^1+$AE61/(1+AQ$6)^2+$AF61/(1+AQ$6)^3+$AG61/(1+AQ$6)^4+$AH61/(1+AQ$6)^5+$AI61/(1+AQ$6)^6+$U61/AQ$6/(1+AQ$6)^6,"")</f>
        <v>2246.82095626081</v>
      </c>
      <c r="AR61" s="17" t="n">
        <f aca="false">IF($AC61=1,$AD61/(1+AR$6)^1+$AE61/(1+AR$6)^2+$AF61/(1+AR$6)^3+$AG61/(1+AR$6)^4+$AH61/(1+AR$6)^5+$AI61/(1+AR$6)^6+$U61/AR$6/(1+AR$6)^6,"")</f>
        <v>1302.45715378743</v>
      </c>
      <c r="AS61" s="17" t="n">
        <f aca="false">IF($AC61=1,$AD61/(1+AS$6)^1+$AE61/(1+AS$6)^2+$AF61/(1+AS$6)^3+$AG61/(1+AS$6)^4+$AH61/(1+AS$6)^5+$AI61/(1+AS$6)^6+$U61/AS$6/(1+AS$6)^6,"")</f>
        <v>997.733072696904</v>
      </c>
      <c r="AT61" s="17" t="n">
        <f aca="false">IF($AC61=1,$AD61/(1+AT$6)^1+$AE61/(1+AT$6)^2+$AF61/(1+AT$6)^3+$AG61/(1+AT$6)^4+$AH61/(1+AT$6)^5+$AI61/(1+AT$6)^6+$U61/AT$6/(1+AT$6)^6,"")</f>
        <v>800.130083910134</v>
      </c>
      <c r="AU61" s="17" t="n">
        <f aca="false">IF($AC61=1,$AD61/(1+AU$6)^1+$AE61/(1+AU$6)^2+$AF61/(1+AU$6)^3+$AG61/(1+AU$6)^4+$AH61/(1+AU$6)^5+$AI61/(1+AU$6)^6+$U61/AU$6/(1+AU$6)^6,"")</f>
        <v>609.44249809585</v>
      </c>
      <c r="AV61" s="17" t="n">
        <f aca="false">IF($AC61=1,$AD61/(1+AV$6)^1+$AE61/(1+AV$6)^2+$AF61/(1+AV$6)^3+$AG61/(1+AV$6)^4+$AH61/(1+AV$6)^5+$AI61/(1+AV$6)^6+$U61/AV$6/(1+AV$6)^6,"")</f>
        <v>429.458429783951</v>
      </c>
      <c r="AW61" s="17" t="n">
        <f aca="false">IF($AC61=1,$AD61/(1+AW$6)^1+$AE61/(1+AW$6)^2+$AF61/(1+AW$6)^3+$AG61/(1+AW$6)^4+$AH61/(1+AW$6)^5+$AI61/(1+AW$6)^6+$U61/AW$6/(1+AW$6)^6,"")</f>
        <v>266.711817268924</v>
      </c>
      <c r="AX61" s="17" t="n">
        <f aca="false">IF($AC61=1,$AD61/(1+AX$6)^1+$AE61/(1+AX$6)^2+$AF61/(1+AX$6)^3+$AG61/(1+AX$6)^4+$AH61/(1+AX$6)^5+$AI61/(1+AX$6)^6+$U61/AX$6/(1+AX$6)^6,"")</f>
        <v>6771.75327468318</v>
      </c>
      <c r="AY61" s="17" t="n">
        <f aca="false">IF($AC61=1,$AD61/(1+AY$6)^1+$AE61/(1+AY$6)^2+$AF61/(1+AY$6)^3+$AG61/(1+AY$6)^4+$AH61/(1+AY$6)^5+$AI61/(1+AY$6)^6+$U61/AY$6/(1+AY$6)^6,"")</f>
        <v>3201.54454435891</v>
      </c>
      <c r="AZ61" s="17" t="n">
        <f aca="false">IF($AC61=1,$AD61/(1+AZ$6)^1+$AE61/(1+AZ$6)^2+$AF61/(1+AZ$6)^3+$AG61/(1+AZ$6)^4+$AH61/(1+AZ$6)^5+$AI61/(1+AZ$6)^6+$U61/AZ$6/(1+AZ$6)^6,"")</f>
        <v>1452.9476150174</v>
      </c>
      <c r="BA61" s="17" t="n">
        <f aca="false">IF($AC61=1,$AD61/(1+BA$6)^1+$AE61/(1+BA$6)^2+$AF61/(1+BA$6)^3+$AG61/(1+BA$6)^4+$AH61/(1+BA$6)^5+$AI61/(1+BA$6)^6+$U61/BA$6/(1+BA$6)^6,"")</f>
        <v>632.56454023173</v>
      </c>
      <c r="BB61" s="17" t="n">
        <f aca="false">IF($AC61=1,$AD61/(1+BB$6)^1+$AE61/(1+BB$6)^2+$AF61/(1+BB$6)^3+$AG61/(1+BB$6)^4+$AH61/(1+BB$6)^5+$AI61/(1+BB$6)^6+$U61/BB$6/(1+BB$6)^6,"")</f>
        <v>268.016525078175</v>
      </c>
    </row>
    <row r="62" customFormat="false" ht="15" hidden="false" customHeight="false" outlineLevel="0" collapsed="false">
      <c r="A62" s="2" t="n">
        <v>54</v>
      </c>
      <c r="B62" s="2" t="str">
        <f aca="false">D62&amp;E62&amp;F62&amp;G62&amp;H62&amp;I62</f>
        <v>110110</v>
      </c>
      <c r="C62" s="15" t="n">
        <f aca="false">SUM(D62:I62)</f>
        <v>4</v>
      </c>
      <c r="D62" s="15" t="n">
        <f aca="false">MOD(INT($A62/32),2)</f>
        <v>1</v>
      </c>
      <c r="E62" s="15" t="n">
        <f aca="false">MOD(INT($A62/16),2)</f>
        <v>1</v>
      </c>
      <c r="F62" s="15" t="n">
        <f aca="false">MOD(INT($A62/8),2)</f>
        <v>0</v>
      </c>
      <c r="G62" s="15" t="n">
        <f aca="false">MOD(INT($A62/4),2)</f>
        <v>1</v>
      </c>
      <c r="H62" s="15" t="n">
        <f aca="false">MOD(INT($A62/2),2)</f>
        <v>1</v>
      </c>
      <c r="I62" s="15" t="n">
        <f aca="false">MOD(INT($A62/1),2)</f>
        <v>0</v>
      </c>
      <c r="J62" s="14" t="n">
        <f aca="false">E_zero+D62*(Half_gap*(Ceiling_e-E_zero)-$F$4)</f>
        <v>78</v>
      </c>
      <c r="K62" s="14" t="n">
        <f aca="false">J62+E62*(Half_gap*(Ceiling_e-J62)-$F$4)</f>
        <v>81.5</v>
      </c>
      <c r="L62" s="14" t="n">
        <f aca="false">K62+F62*(Half_gap*(Ceiling_e-K62)-$F$4)</f>
        <v>81.5</v>
      </c>
      <c r="M62" s="14" t="n">
        <f aca="false">L62+G62*(Half_gap*(Ceiling_e-L62)-$F$4)</f>
        <v>83.25</v>
      </c>
      <c r="N62" s="14" t="n">
        <f aca="false">M62+H62*(Half_gap*(Ceiling_e-M62)-$F$4)</f>
        <v>84.125</v>
      </c>
      <c r="O62" s="14" t="n">
        <f aca="false">N62+I62*(Half_gap*(Ceiling_e-N62)-$F$4)</f>
        <v>84.125</v>
      </c>
      <c r="P62" s="14" t="n">
        <f aca="false">Val_pt*(J62-E_zero)</f>
        <v>70</v>
      </c>
      <c r="Q62" s="14" t="n">
        <f aca="false">Val_pt*(K62-E_zero)</f>
        <v>105</v>
      </c>
      <c r="R62" s="14" t="n">
        <f aca="false">Val_pt*(L62-E_zero)</f>
        <v>105</v>
      </c>
      <c r="S62" s="14" t="n">
        <f aca="false">Val_pt*(M62-E_zero)</f>
        <v>122.5</v>
      </c>
      <c r="T62" s="14" t="n">
        <f aca="false">Val_pt*(N62-E_zero)</f>
        <v>131.25</v>
      </c>
      <c r="U62" s="14" t="n">
        <f aca="false">Val_pt*(O62-E_zero)</f>
        <v>131.25</v>
      </c>
      <c r="V62" s="14" t="n">
        <f aca="false">MAX(W62+Cost_round*D62-P62,IF(D62=1,Pre_q,0))</f>
        <v>520</v>
      </c>
      <c r="W62" s="14" t="n">
        <f aca="false">MAX(X62+Cost_round*E62-Q62,IF(E62=1,Pre_q,0),Floor_q)</f>
        <v>470</v>
      </c>
      <c r="X62" s="14" t="n">
        <f aca="false">MAX(Y62+Cost_round*F62-R62,IF(F62=1,Pre_q,0),Floor_q)</f>
        <v>365</v>
      </c>
      <c r="Y62" s="14" t="n">
        <f aca="false">MAX(Z62+Cost_round*G62-S62,IF(G62=1,Pre_q,0),Floor_q)</f>
        <v>470</v>
      </c>
      <c r="Z62" s="14" t="n">
        <f aca="false">MAX(AA62+Cost_round*H62-T62,IF(H62=1,Pre_q,0),Floor_q)</f>
        <v>470</v>
      </c>
      <c r="AA62" s="14" t="n">
        <f aca="false">MAX(AB62+Cost_round*I62-U62,IF(I62=1,Pre_q,0),Floor_q)</f>
        <v>350</v>
      </c>
      <c r="AB62" s="14" t="n">
        <f aca="false">MAX(End_q,Floor_q)</f>
        <v>470</v>
      </c>
      <c r="AC62" s="15" t="n">
        <f aca="false">IF(Q_zero&gt;=V62-0.000000001,1,0)</f>
        <v>1</v>
      </c>
      <c r="AD62" s="14" t="n">
        <f aca="false">IF($AC62=1,Q_zero-Cost_round*D62+P62-W62,"")</f>
        <v>100</v>
      </c>
      <c r="AE62" s="14" t="n">
        <f aca="false">IF($AC62=1,W62-Cost_round*E62+Q62-X62,"")</f>
        <v>90</v>
      </c>
      <c r="AF62" s="14" t="n">
        <f aca="false">IF($AC62=1,X62-Cost_round*F62+R62-Y62,"")</f>
        <v>0</v>
      </c>
      <c r="AG62" s="14" t="n">
        <f aca="false">IF($AC62=1,Y62-Cost_round*G62+S62-Z62,"")</f>
        <v>2.5</v>
      </c>
      <c r="AH62" s="14" t="n">
        <f aca="false">IF($AC62=1,Z62-Cost_round*H62+T62-AA62,"")</f>
        <v>131.25</v>
      </c>
      <c r="AI62" s="14" t="n">
        <f aca="false">IF($AC62=1,AA62-Cost_round*I62+U62-AB62,"")</f>
        <v>11.25</v>
      </c>
      <c r="AJ62" s="14" t="n">
        <f aca="false">IF($AC62=1,SUM(AD62:AI62),"")</f>
        <v>335</v>
      </c>
      <c r="AK62" s="17" t="n">
        <f aca="false">IF($AC62=1,AD62*Beta_y^1+AE62*Beta_y^2+AF62*Beta_y^3+AG62*Beta_y^4+AH62*Beta_y^5+AI62*Beta_y^6,"")</f>
        <v>254.843045201379</v>
      </c>
      <c r="AL62" s="17" t="n">
        <f aca="false">IF($AC62=1,AK62+Beta_y^6*U62/Hurdle_r,"")</f>
        <v>995.715078396961</v>
      </c>
      <c r="AM62" s="17" t="n">
        <f aca="false">IF($AC62=1,AK62,"")</f>
        <v>254.843045201379</v>
      </c>
      <c r="AN62" s="17" t="n">
        <f aca="false">IF($AC62=1,AK62+Beta_y^6*U62*(1-(1+Hurdle_r)^(-Life_yrs))/Hurdle_r,"")</f>
        <v>885.589171481146</v>
      </c>
      <c r="AO62" s="17" t="n">
        <f aca="false">IF($AC62=1,AJ62+Credit_yrs*U62,"")</f>
        <v>1647.5</v>
      </c>
      <c r="AP62" s="17" t="n">
        <f aca="false">IF($AC62=1,$AD62/(1+AP$6)^1+$AE62/(1+AP$6)^2+$AF62/(1+AP$6)^3+$AG62/(1+AP$6)^4+$AH62/(1+AP$6)^5+$AI62/(1+AP$6)^6+$U62/AP$6/(1+AP$6)^6,"")</f>
        <v>3970.7749519117</v>
      </c>
      <c r="AQ62" s="17" t="n">
        <f aca="false">IF($AC62=1,$AD62/(1+AQ$6)^1+$AE62/(1+AQ$6)^2+$AF62/(1+AQ$6)^3+$AG62/(1+AQ$6)^4+$AH62/(1+AQ$6)^5+$AI62/(1+AQ$6)^6+$U62/AQ$6/(1+AQ$6)^6,"")</f>
        <v>2248.97565321859</v>
      </c>
      <c r="AR62" s="17" t="n">
        <f aca="false">IF($AC62=1,$AD62/(1+AR$6)^1+$AE62/(1+AR$6)^2+$AF62/(1+AR$6)^3+$AG62/(1+AR$6)^4+$AH62/(1+AR$6)^5+$AI62/(1+AR$6)^6+$U62/AR$6/(1+AR$6)^6,"")</f>
        <v>1301.87865806995</v>
      </c>
      <c r="AS62" s="17" t="n">
        <f aca="false">IF($AC62=1,$AD62/(1+AS$6)^1+$AE62/(1+AS$6)^2+$AF62/(1+AS$6)^3+$AG62/(1+AS$6)^4+$AH62/(1+AS$6)^5+$AI62/(1+AS$6)^6+$U62/AS$6/(1+AS$6)^6,"")</f>
        <v>995.715078396961</v>
      </c>
      <c r="AT62" s="17" t="n">
        <f aca="false">IF($AC62=1,$AD62/(1+AT$6)^1+$AE62/(1+AT$6)^2+$AF62/(1+AT$6)^3+$AG62/(1+AT$6)^4+$AH62/(1+AT$6)^5+$AI62/(1+AT$6)^6+$U62/AT$6/(1+AT$6)^6,"")</f>
        <v>796.924122175324</v>
      </c>
      <c r="AU62" s="17" t="n">
        <f aca="false">IF($AC62=1,$AD62/(1+AU$6)^1+$AE62/(1+AU$6)^2+$AF62/(1+AU$6)^3+$AG62/(1+AU$6)^4+$AH62/(1+AU$6)^5+$AI62/(1+AU$6)^6+$U62/AU$6/(1+AU$6)^6,"")</f>
        <v>604.843613294341</v>
      </c>
      <c r="AV62" s="17" t="n">
        <f aca="false">IF($AC62=1,$AD62/(1+AV$6)^1+$AE62/(1+AV$6)^2+$AF62/(1+AV$6)^3+$AG62/(1+AV$6)^4+$AH62/(1+AV$6)^5+$AI62/(1+AV$6)^6+$U62/AV$6/(1+AV$6)^6,"")</f>
        <v>423.3297968107</v>
      </c>
      <c r="AW62" s="17" t="n">
        <f aca="false">IF($AC62=1,$AD62/(1+AW$6)^1+$AE62/(1+AW$6)^2+$AF62/(1+AW$6)^3+$AG62/(1+AW$6)^4+$AH62/(1+AW$6)^5+$AI62/(1+AW$6)^6+$U62/AW$6/(1+AW$6)^6,"")</f>
        <v>259.37259999308</v>
      </c>
      <c r="AX62" s="17" t="n">
        <f aca="false">IF($AC62=1,$AD62/(1+AX$6)^1+$AE62/(1+AX$6)^2+$AF62/(1+AX$6)^3+$AG62/(1+AX$6)^4+$AH62/(1+AX$6)^5+$AI62/(1+AX$6)^6+$U62/AX$6/(1+AX$6)^6,"")</f>
        <v>6777.74899893763</v>
      </c>
      <c r="AY62" s="17" t="n">
        <f aca="false">IF($AC62=1,$AD62/(1+AY$6)^1+$AE62/(1+AY$6)^2+$AF62/(1+AY$6)^3+$AG62/(1+AY$6)^4+$AH62/(1+AY$6)^5+$AI62/(1+AY$6)^6+$U62/AY$6/(1+AY$6)^6,"")</f>
        <v>3205.20233478481</v>
      </c>
      <c r="AZ62" s="17" t="n">
        <f aca="false">IF($AC62=1,$AD62/(1+AZ$6)^1+$AE62/(1+AZ$6)^2+$AF62/(1+AZ$6)^3+$AG62/(1+AZ$6)^4+$AH62/(1+AZ$6)^5+$AI62/(1+AZ$6)^6+$U62/AZ$6/(1+AZ$6)^6,"")</f>
        <v>1452.94761501746</v>
      </c>
      <c r="BA62" s="17" t="n">
        <f aca="false">IF($AC62=1,$AD62/(1+BA$6)^1+$AE62/(1+BA$6)^2+$AF62/(1+BA$6)^3+$AG62/(1+BA$6)^4+$AH62/(1+BA$6)^5+$AI62/(1+BA$6)^6+$U62/BA$6/(1+BA$6)^6,"")</f>
        <v>628.148517085906</v>
      </c>
      <c r="BB62" s="17" t="n">
        <f aca="false">IF($AC62=1,$AD62/(1+BB$6)^1+$AE62/(1+BB$6)^2+$AF62/(1+BB$6)^3+$AG62/(1+BB$6)^4+$AH62/(1+BB$6)^5+$AI62/(1+BB$6)^6+$U62/BB$6/(1+BB$6)^6,"")</f>
        <v>260.682681642829</v>
      </c>
    </row>
    <row r="63" customFormat="false" ht="15" hidden="false" customHeight="false" outlineLevel="0" collapsed="false">
      <c r="A63" s="2" t="n">
        <v>55</v>
      </c>
      <c r="B63" s="2" t="str">
        <f aca="false">D63&amp;E63&amp;F63&amp;G63&amp;H63&amp;I63</f>
        <v>110111</v>
      </c>
      <c r="C63" s="15" t="n">
        <f aca="false">SUM(D63:I63)</f>
        <v>5</v>
      </c>
      <c r="D63" s="15" t="n">
        <f aca="false">MOD(INT($A63/32),2)</f>
        <v>1</v>
      </c>
      <c r="E63" s="15" t="n">
        <f aca="false">MOD(INT($A63/16),2)</f>
        <v>1</v>
      </c>
      <c r="F63" s="15" t="n">
        <f aca="false">MOD(INT($A63/8),2)</f>
        <v>0</v>
      </c>
      <c r="G63" s="15" t="n">
        <f aca="false">MOD(INT($A63/4),2)</f>
        <v>1</v>
      </c>
      <c r="H63" s="15" t="n">
        <f aca="false">MOD(INT($A63/2),2)</f>
        <v>1</v>
      </c>
      <c r="I63" s="15" t="n">
        <f aca="false">MOD(INT($A63/1),2)</f>
        <v>1</v>
      </c>
      <c r="J63" s="14" t="n">
        <f aca="false">E_zero+D63*(Half_gap*(Ceiling_e-E_zero)-$F$4)</f>
        <v>78</v>
      </c>
      <c r="K63" s="14" t="n">
        <f aca="false">J63+E63*(Half_gap*(Ceiling_e-J63)-$F$4)</f>
        <v>81.5</v>
      </c>
      <c r="L63" s="14" t="n">
        <f aca="false">K63+F63*(Half_gap*(Ceiling_e-K63)-$F$4)</f>
        <v>81.5</v>
      </c>
      <c r="M63" s="14" t="n">
        <f aca="false">L63+G63*(Half_gap*(Ceiling_e-L63)-$F$4)</f>
        <v>83.25</v>
      </c>
      <c r="N63" s="14" t="n">
        <f aca="false">M63+H63*(Half_gap*(Ceiling_e-M63)-$F$4)</f>
        <v>84.125</v>
      </c>
      <c r="O63" s="14" t="n">
        <f aca="false">N63+I63*(Half_gap*(Ceiling_e-N63)-$F$4)</f>
        <v>84.5625</v>
      </c>
      <c r="P63" s="14" t="n">
        <f aca="false">Val_pt*(J63-E_zero)</f>
        <v>70</v>
      </c>
      <c r="Q63" s="14" t="n">
        <f aca="false">Val_pt*(K63-E_zero)</f>
        <v>105</v>
      </c>
      <c r="R63" s="14" t="n">
        <f aca="false">Val_pt*(L63-E_zero)</f>
        <v>105</v>
      </c>
      <c r="S63" s="14" t="n">
        <f aca="false">Val_pt*(M63-E_zero)</f>
        <v>122.5</v>
      </c>
      <c r="T63" s="14" t="n">
        <f aca="false">Val_pt*(N63-E_zero)</f>
        <v>131.25</v>
      </c>
      <c r="U63" s="14" t="n">
        <f aca="false">Val_pt*(O63-E_zero)</f>
        <v>135.625</v>
      </c>
      <c r="V63" s="14" t="n">
        <f aca="false">MAX(W63+Cost_round*D63-P63,IF(D63=1,Pre_q,0))</f>
        <v>520</v>
      </c>
      <c r="W63" s="14" t="n">
        <f aca="false">MAX(X63+Cost_round*E63-Q63,IF(E63=1,Pre_q,0),Floor_q)</f>
        <v>470</v>
      </c>
      <c r="X63" s="14" t="n">
        <f aca="false">MAX(Y63+Cost_round*F63-R63,IF(F63=1,Pre_q,0),Floor_q)</f>
        <v>365</v>
      </c>
      <c r="Y63" s="14" t="n">
        <f aca="false">MAX(Z63+Cost_round*G63-S63,IF(G63=1,Pre_q,0),Floor_q)</f>
        <v>470</v>
      </c>
      <c r="Z63" s="14" t="n">
        <f aca="false">MAX(AA63+Cost_round*H63-T63,IF(H63=1,Pre_q,0),Floor_q)</f>
        <v>470</v>
      </c>
      <c r="AA63" s="14" t="n">
        <f aca="false">MAX(AB63+Cost_round*I63-U63,IF(I63=1,Pre_q,0),Floor_q)</f>
        <v>470</v>
      </c>
      <c r="AB63" s="14" t="n">
        <f aca="false">MAX(End_q,Floor_q)</f>
        <v>470</v>
      </c>
      <c r="AC63" s="15" t="n">
        <f aca="false">IF(Q_zero&gt;=V63-0.000000001,1,0)</f>
        <v>1</v>
      </c>
      <c r="AD63" s="14" t="n">
        <f aca="false">IF($AC63=1,Q_zero-Cost_round*D63+P63-W63,"")</f>
        <v>100</v>
      </c>
      <c r="AE63" s="14" t="n">
        <f aca="false">IF($AC63=1,W63-Cost_round*E63+Q63-X63,"")</f>
        <v>90</v>
      </c>
      <c r="AF63" s="14" t="n">
        <f aca="false">IF($AC63=1,X63-Cost_round*F63+R63-Y63,"")</f>
        <v>0</v>
      </c>
      <c r="AG63" s="14" t="n">
        <f aca="false">IF($AC63=1,Y63-Cost_round*G63+S63-Z63,"")</f>
        <v>2.5</v>
      </c>
      <c r="AH63" s="14" t="n">
        <f aca="false">IF($AC63=1,Z63-Cost_round*H63+T63-AA63,"")</f>
        <v>11.25</v>
      </c>
      <c r="AI63" s="14" t="n">
        <f aca="false">IF($AC63=1,AA63-Cost_round*I63+U63-AB63,"")</f>
        <v>15.625</v>
      </c>
      <c r="AJ63" s="14" t="n">
        <f aca="false">IF($AC63=1,SUM(AD63:AI63),"")</f>
        <v>219.375</v>
      </c>
      <c r="AK63" s="17" t="n">
        <f aca="false">IF($AC63=1,AD63*Beta_y^1+AE63*Beta_y^2+AF63*Beta_y^3+AG63*Beta_y^4+AH63*Beta_y^5+AI63*Beta_y^6,"")</f>
        <v>182.802059878266</v>
      </c>
      <c r="AL63" s="17" t="n">
        <f aca="false">IF($AC63=1,AK63+Beta_y^6*U63/Hurdle_r,"")</f>
        <v>948.369827513701</v>
      </c>
      <c r="AM63" s="17" t="n">
        <f aca="false">IF($AC63=1,AK63,"")</f>
        <v>182.802059878266</v>
      </c>
      <c r="AN63" s="17" t="n">
        <f aca="false">IF($AC63=1,AK63+Beta_y^6*U63*(1-(1+Hurdle_r)^(-Life_yrs))/Hurdle_r,"")</f>
        <v>834.573057034025</v>
      </c>
      <c r="AO63" s="17" t="n">
        <f aca="false">IF($AC63=1,AJ63+Credit_yrs*U63,"")</f>
        <v>1575.625</v>
      </c>
      <c r="AP63" s="17" t="n">
        <f aca="false">IF($AC63=1,$AD63/(1+AP$6)^1+$AE63/(1+AP$6)^2+$AF63/(1+AP$6)^3+$AG63/(1+AP$6)^4+$AH63/(1+AP$6)^5+$AI63/(1+AP$6)^6+$U63/AP$6/(1+AP$6)^6,"")</f>
        <v>3993.05901217496</v>
      </c>
      <c r="AQ63" s="17" t="n">
        <f aca="false">IF($AC63=1,$AD63/(1+AQ$6)^1+$AE63/(1+AQ$6)^2+$AF63/(1+AQ$6)^3+$AG63/(1+AQ$6)^4+$AH63/(1+AQ$6)^5+$AI63/(1+AQ$6)^6+$U63/AQ$6/(1+AQ$6)^6,"")</f>
        <v>2223.51105280837</v>
      </c>
      <c r="AR63" s="17" t="n">
        <f aca="false">IF($AC63=1,$AD63/(1+AR$6)^1+$AE63/(1+AR$6)^2+$AF63/(1+AR$6)^3+$AG63/(1+AR$6)^4+$AH63/(1+AR$6)^5+$AI63/(1+AR$6)^6+$U63/AR$6/(1+AR$6)^6,"")</f>
        <v>1257.42806801369</v>
      </c>
      <c r="AS63" s="17" t="n">
        <f aca="false">IF($AC63=1,$AD63/(1+AS$6)^1+$AE63/(1+AS$6)^2+$AF63/(1+AS$6)^3+$AG63/(1+AS$6)^4+$AH63/(1+AS$6)^5+$AI63/(1+AS$6)^6+$U63/AS$6/(1+AS$6)^6,"")</f>
        <v>948.369827513701</v>
      </c>
      <c r="AT63" s="17" t="n">
        <f aca="false">IF($AC63=1,$AD63/(1+AT$6)^1+$AE63/(1+AT$6)^2+$AF63/(1+AT$6)^3+$AG63/(1+AT$6)^4+$AH63/(1+AT$6)^5+$AI63/(1+AT$6)^6+$U63/AT$6/(1+AT$6)^6,"")</f>
        <v>749.520336937166</v>
      </c>
      <c r="AU63" s="17" t="n">
        <f aca="false">IF($AC63=1,$AD63/(1+AU$6)^1+$AE63/(1+AU$6)^2+$AF63/(1+AU$6)^3+$AG63/(1+AU$6)^4+$AH63/(1+AU$6)^5+$AI63/(1+AU$6)^6+$U63/AU$6/(1+AU$6)^6,"")</f>
        <v>559.683393171413</v>
      </c>
      <c r="AV63" s="17" t="n">
        <f aca="false">IF($AC63=1,$AD63/(1+AV$6)^1+$AE63/(1+AV$6)^2+$AF63/(1+AV$6)^3+$AG63/(1+AV$6)^4+$AH63/(1+AV$6)^5+$AI63/(1+AV$6)^6+$U63/AV$6/(1+AV$6)^6,"")</f>
        <v>383.895560056584</v>
      </c>
      <c r="AW63" s="17" t="n">
        <f aca="false">IF($AC63=1,$AD63/(1+AW$6)^1+$AE63/(1+AW$6)^2+$AF63/(1+AW$6)^3+$AG63/(1+AW$6)^4+$AH63/(1+AW$6)^5+$AI63/(1+AW$6)^6+$U63/AW$6/(1+AW$6)^6,"")</f>
        <v>230.980826739432</v>
      </c>
      <c r="AX63" s="17" t="n">
        <f aca="false">IF($AC63=1,$AD63/(1+AX$6)^1+$AE63/(1+AX$6)^2+$AF63/(1+AX$6)^3+$AG63/(1+AX$6)^4+$AH63/(1+AX$6)^5+$AI63/(1+AX$6)^6+$U63/AX$6/(1+AX$6)^6,"")</f>
        <v>6887.38509959222</v>
      </c>
      <c r="AY63" s="17" t="n">
        <f aca="false">IF($AC63=1,$AD63/(1+AY$6)^1+$AE63/(1+AY$6)^2+$AF63/(1+AY$6)^3+$AG63/(1+AY$6)^4+$AH63/(1+AY$6)^5+$AI63/(1+AY$6)^6+$U63/AY$6/(1+AY$6)^6,"")</f>
        <v>3205.20233478578</v>
      </c>
      <c r="AZ63" s="17" t="n">
        <f aca="false">IF($AC63=1,$AD63/(1+AZ$6)^1+$AE63/(1+AZ$6)^2+$AF63/(1+AZ$6)^3+$AG63/(1+AZ$6)^4+$AH63/(1+AZ$6)^5+$AI63/(1+AZ$6)^6+$U63/AZ$6/(1+AZ$6)^6,"")</f>
        <v>1410.74675592794</v>
      </c>
      <c r="BA63" s="17" t="n">
        <f aca="false">IF($AC63=1,$AD63/(1+BA$6)^1+$AE63/(1+BA$6)^2+$AF63/(1+BA$6)^3+$AG63/(1+BA$6)^4+$AH63/(1+BA$6)^5+$AI63/(1+BA$6)^6+$U63/BA$6/(1+BA$6)^6,"")</f>
        <v>582.551360875359</v>
      </c>
      <c r="BB63" s="17" t="n">
        <f aca="false">IF($AC63=1,$AD63/(1+BB$6)^1+$AE63/(1+BB$6)^2+$AF63/(1+BB$6)^3+$AG63/(1+BB$6)^4+$AH63/(1+BB$6)^5+$AI63/(1+BB$6)^6+$U63/BB$6/(1+BB$6)^6,"")</f>
        <v>232.166743041145</v>
      </c>
    </row>
    <row r="64" customFormat="false" ht="15" hidden="false" customHeight="false" outlineLevel="0" collapsed="false">
      <c r="A64" s="2" t="n">
        <v>56</v>
      </c>
      <c r="B64" s="2" t="str">
        <f aca="false">D64&amp;E64&amp;F64&amp;G64&amp;H64&amp;I64</f>
        <v>111000</v>
      </c>
      <c r="C64" s="15" t="n">
        <f aca="false">SUM(D64:I64)</f>
        <v>3</v>
      </c>
      <c r="D64" s="15" t="n">
        <f aca="false">MOD(INT($A64/32),2)</f>
        <v>1</v>
      </c>
      <c r="E64" s="15" t="n">
        <f aca="false">MOD(INT($A64/16),2)</f>
        <v>1</v>
      </c>
      <c r="F64" s="15" t="n">
        <f aca="false">MOD(INT($A64/8),2)</f>
        <v>1</v>
      </c>
      <c r="G64" s="15" t="n">
        <f aca="false">MOD(INT($A64/4),2)</f>
        <v>0</v>
      </c>
      <c r="H64" s="15" t="n">
        <f aca="false">MOD(INT($A64/2),2)</f>
        <v>0</v>
      </c>
      <c r="I64" s="15" t="n">
        <f aca="false">MOD(INT($A64/1),2)</f>
        <v>0</v>
      </c>
      <c r="J64" s="14" t="n">
        <f aca="false">E_zero+D64*(Half_gap*(Ceiling_e-E_zero)-$F$4)</f>
        <v>78</v>
      </c>
      <c r="K64" s="14" t="n">
        <f aca="false">J64+E64*(Half_gap*(Ceiling_e-J64)-$F$4)</f>
        <v>81.5</v>
      </c>
      <c r="L64" s="14" t="n">
        <f aca="false">K64+F64*(Half_gap*(Ceiling_e-K64)-$F$4)</f>
        <v>83.25</v>
      </c>
      <c r="M64" s="14" t="n">
        <f aca="false">L64+G64*(Half_gap*(Ceiling_e-L64)-$F$4)</f>
        <v>83.25</v>
      </c>
      <c r="N64" s="14" t="n">
        <f aca="false">M64+H64*(Half_gap*(Ceiling_e-M64)-$F$4)</f>
        <v>83.25</v>
      </c>
      <c r="O64" s="14" t="n">
        <f aca="false">N64+I64*(Half_gap*(Ceiling_e-N64)-$F$4)</f>
        <v>83.25</v>
      </c>
      <c r="P64" s="14" t="n">
        <f aca="false">Val_pt*(J64-E_zero)</f>
        <v>70</v>
      </c>
      <c r="Q64" s="14" t="n">
        <f aca="false">Val_pt*(K64-E_zero)</f>
        <v>105</v>
      </c>
      <c r="R64" s="14" t="n">
        <f aca="false">Val_pt*(L64-E_zero)</f>
        <v>122.5</v>
      </c>
      <c r="S64" s="14" t="n">
        <f aca="false">Val_pt*(M64-E_zero)</f>
        <v>122.5</v>
      </c>
      <c r="T64" s="14" t="n">
        <f aca="false">Val_pt*(N64-E_zero)</f>
        <v>122.5</v>
      </c>
      <c r="U64" s="14" t="n">
        <f aca="false">Val_pt*(O64-E_zero)</f>
        <v>122.5</v>
      </c>
      <c r="V64" s="14" t="n">
        <f aca="false">MAX(W64+Cost_round*D64-P64,IF(D64=1,Pre_q,0))</f>
        <v>535</v>
      </c>
      <c r="W64" s="14" t="n">
        <f aca="false">MAX(X64+Cost_round*E64-Q64,IF(E64=1,Pre_q,0),Floor_q)</f>
        <v>485</v>
      </c>
      <c r="X64" s="14" t="n">
        <f aca="false">MAX(Y64+Cost_round*F64-R64,IF(F64=1,Pre_q,0),Floor_q)</f>
        <v>470</v>
      </c>
      <c r="Y64" s="14" t="n">
        <f aca="false">MAX(Z64+Cost_round*G64-S64,IF(G64=1,Pre_q,0),Floor_q)</f>
        <v>350</v>
      </c>
      <c r="Z64" s="14" t="n">
        <f aca="false">MAX(AA64+Cost_round*H64-T64,IF(H64=1,Pre_q,0),Floor_q)</f>
        <v>350</v>
      </c>
      <c r="AA64" s="14" t="n">
        <f aca="false">MAX(AB64+Cost_round*I64-U64,IF(I64=1,Pre_q,0),Floor_q)</f>
        <v>350</v>
      </c>
      <c r="AB64" s="14" t="n">
        <f aca="false">MAX(End_q,Floor_q)</f>
        <v>470</v>
      </c>
      <c r="AC64" s="15" t="n">
        <f aca="false">IF(Q_zero&gt;=V64-0.000000001,1,0)</f>
        <v>1</v>
      </c>
      <c r="AD64" s="14" t="n">
        <f aca="false">IF($AC64=1,Q_zero-Cost_round*D64+P64-W64,"")</f>
        <v>85</v>
      </c>
      <c r="AE64" s="14" t="n">
        <f aca="false">IF($AC64=1,W64-Cost_round*E64+Q64-X64,"")</f>
        <v>0</v>
      </c>
      <c r="AF64" s="14" t="n">
        <f aca="false">IF($AC64=1,X64-Cost_round*F64+R64-Y64,"")</f>
        <v>122.5</v>
      </c>
      <c r="AG64" s="14" t="n">
        <f aca="false">IF($AC64=1,Y64-Cost_round*G64+S64-Z64,"")</f>
        <v>122.5</v>
      </c>
      <c r="AH64" s="14" t="n">
        <f aca="false">IF($AC64=1,Z64-Cost_round*H64+T64-AA64,"")</f>
        <v>122.5</v>
      </c>
      <c r="AI64" s="14" t="n">
        <f aca="false">IF($AC64=1,AA64-Cost_round*I64+U64-AB64,"")</f>
        <v>2.5</v>
      </c>
      <c r="AJ64" s="14" t="n">
        <f aca="false">IF($AC64=1,SUM(AD64:AI64),"")</f>
        <v>455</v>
      </c>
      <c r="AK64" s="17" t="n">
        <f aca="false">IF($AC64=1,AD64*Beta_y^1+AE64*Beta_y^2+AF64*Beta_y^3+AG64*Beta_y^4+AH64*Beta_y^5+AI64*Beta_y^6,"")</f>
        <v>330.451985565273</v>
      </c>
      <c r="AL64" s="17" t="n">
        <f aca="false">IF($AC64=1,AK64+Beta_y^6*U64/Hurdle_r,"")</f>
        <v>1021.93254988115</v>
      </c>
      <c r="AM64" s="17" t="n">
        <f aca="false">IF($AC64=1,AK64,"")</f>
        <v>330.451985565273</v>
      </c>
      <c r="AN64" s="17" t="n">
        <f aca="false">IF($AC64=1,AK64+Beta_y^6*U64*(1-(1+Hurdle_r)^(-Life_yrs))/Hurdle_r,"")</f>
        <v>919.148370093056</v>
      </c>
      <c r="AO64" s="17" t="n">
        <f aca="false">IF($AC64=1,AJ64+Credit_yrs*U64,"")</f>
        <v>1680</v>
      </c>
      <c r="AP64" s="17" t="n">
        <f aca="false">IF($AC64=1,$AD64/(1+AP$6)^1+$AE64/(1+AP$6)^2+$AF64/(1+AP$6)^3+$AG64/(1+AP$6)^4+$AH64/(1+AP$6)^5+$AI64/(1+AP$6)^6+$U64/AP$6/(1+AP$6)^6,"")</f>
        <v>3830.95945667212</v>
      </c>
      <c r="AQ64" s="17" t="n">
        <f aca="false">IF($AC64=1,$AD64/(1+AQ$6)^1+$AE64/(1+AQ$6)^2+$AF64/(1+AQ$6)^3+$AG64/(1+AQ$6)^4+$AH64/(1+AQ$6)^5+$AI64/(1+AQ$6)^6+$U64/AQ$6/(1+AQ$6)^6,"")</f>
        <v>2213.62875557821</v>
      </c>
      <c r="AR64" s="17" t="n">
        <f aca="false">IF($AC64=1,$AD64/(1+AR$6)^1+$AE64/(1+AR$6)^2+$AF64/(1+AR$6)^3+$AG64/(1+AR$6)^4+$AH64/(1+AR$6)^5+$AI64/(1+AR$6)^6+$U64/AR$6/(1+AR$6)^6,"")</f>
        <v>1315.88341706484</v>
      </c>
      <c r="AS64" s="17" t="n">
        <f aca="false">IF($AC64=1,$AD64/(1+AS$6)^1+$AE64/(1+AS$6)^2+$AF64/(1+AS$6)^3+$AG64/(1+AS$6)^4+$AH64/(1+AS$6)^5+$AI64/(1+AS$6)^6+$U64/AS$6/(1+AS$6)^6,"")</f>
        <v>1021.93254988115</v>
      </c>
      <c r="AT64" s="17" t="n">
        <f aca="false">IF($AC64=1,$AD64/(1+AT$6)^1+$AE64/(1+AT$6)^2+$AF64/(1+AT$6)^3+$AG64/(1+AT$6)^4+$AH64/(1+AT$6)^5+$AI64/(1+AT$6)^6+$U64/AT$6/(1+AT$6)^6,"")</f>
        <v>828.899205934912</v>
      </c>
      <c r="AU64" s="17" t="n">
        <f aca="false">IF($AC64=1,$AD64/(1+AU$6)^1+$AE64/(1+AU$6)^2+$AF64/(1+AU$6)^3+$AG64/(1+AU$6)^4+$AH64/(1+AU$6)^5+$AI64/(1+AU$6)^6+$U64/AU$6/(1+AU$6)^6,"")</f>
        <v>639.55106026125</v>
      </c>
      <c r="AV64" s="17" t="n">
        <f aca="false">IF($AC64=1,$AD64/(1+AV$6)^1+$AE64/(1+AV$6)^2+$AF64/(1+AV$6)^3+$AG64/(1+AV$6)^4+$AH64/(1+AV$6)^5+$AI64/(1+AV$6)^6+$U64/AV$6/(1+AV$6)^6,"")</f>
        <v>455.99279835391</v>
      </c>
      <c r="AW64" s="17" t="n">
        <f aca="false">IF($AC64=1,$AD64/(1+AW$6)^1+$AE64/(1+AW$6)^2+$AF64/(1+AW$6)^3+$AG64/(1+AW$6)^4+$AH64/(1+AW$6)^5+$AI64/(1+AW$6)^6+$U64/AW$6/(1+AW$6)^6,"")</f>
        <v>282.140827062627</v>
      </c>
      <c r="AX64" s="17" t="n">
        <f aca="false">IF($AC64=1,$AD64/(1+AX$6)^1+$AE64/(1+AX$6)^2+$AF64/(1+AX$6)^3+$AG64/(1+AX$6)^4+$AH64/(1+AX$6)^5+$AI64/(1+AX$6)^6+$U64/AX$6/(1+AX$6)^6,"")</f>
        <v>6457.34497624291</v>
      </c>
      <c r="AY64" s="17" t="n">
        <f aca="false">IF($AC64=1,$AD64/(1+AY$6)^1+$AE64/(1+AY$6)^2+$AF64/(1+AY$6)^3+$AG64/(1+AY$6)^4+$AH64/(1+AY$6)^5+$AI64/(1+AY$6)^6+$U64/AY$6/(1+AY$6)^6,"")</f>
        <v>3112.98676997106</v>
      </c>
      <c r="AZ64" s="17" t="n">
        <f aca="false">IF($AC64=1,$AD64/(1+AZ$6)^1+$AE64/(1+AZ$6)^2+$AF64/(1+AZ$6)^3+$AG64/(1+AZ$6)^4+$AH64/(1+AZ$6)^5+$AI64/(1+AZ$6)^6+$U64/AZ$6/(1+AZ$6)^6,"")</f>
        <v>1459.96755686852</v>
      </c>
      <c r="BA64" s="17" t="n">
        <f aca="false">IF($AC64=1,$AD64/(1+BA$6)^1+$AE64/(1+BA$6)^2+$AF64/(1+BA$6)^3+$AG64/(1+BA$6)^4+$AH64/(1+BA$6)^5+$AI64/(1+BA$6)^6+$U64/BA$6/(1+BA$6)^6,"")</f>
        <v>662.731366766192</v>
      </c>
      <c r="BB64" s="17" t="n">
        <f aca="false">IF($AC64=1,$AD64/(1+BB$6)^1+$AE64/(1+BB$6)^2+$AF64/(1+BB$6)^3+$AG64/(1+BB$6)^4+$AH64/(1+BB$6)^5+$AI64/(1+BB$6)^6+$U64/BB$6/(1+BB$6)^6,"")</f>
        <v>283.582109181493</v>
      </c>
    </row>
    <row r="65" customFormat="false" ht="15" hidden="false" customHeight="false" outlineLevel="0" collapsed="false">
      <c r="A65" s="2" t="n">
        <v>57</v>
      </c>
      <c r="B65" s="2" t="str">
        <f aca="false">D65&amp;E65&amp;F65&amp;G65&amp;H65&amp;I65</f>
        <v>111001</v>
      </c>
      <c r="C65" s="15" t="n">
        <f aca="false">SUM(D65:I65)</f>
        <v>4</v>
      </c>
      <c r="D65" s="15" t="n">
        <f aca="false">MOD(INT($A65/32),2)</f>
        <v>1</v>
      </c>
      <c r="E65" s="15" t="n">
        <f aca="false">MOD(INT($A65/16),2)</f>
        <v>1</v>
      </c>
      <c r="F65" s="15" t="n">
        <f aca="false">MOD(INT($A65/8),2)</f>
        <v>1</v>
      </c>
      <c r="G65" s="15" t="n">
        <f aca="false">MOD(INT($A65/4),2)</f>
        <v>0</v>
      </c>
      <c r="H65" s="15" t="n">
        <f aca="false">MOD(INT($A65/2),2)</f>
        <v>0</v>
      </c>
      <c r="I65" s="15" t="n">
        <f aca="false">MOD(INT($A65/1),2)</f>
        <v>1</v>
      </c>
      <c r="J65" s="14" t="n">
        <f aca="false">E_zero+D65*(Half_gap*(Ceiling_e-E_zero)-$F$4)</f>
        <v>78</v>
      </c>
      <c r="K65" s="14" t="n">
        <f aca="false">J65+E65*(Half_gap*(Ceiling_e-J65)-$F$4)</f>
        <v>81.5</v>
      </c>
      <c r="L65" s="14" t="n">
        <f aca="false">K65+F65*(Half_gap*(Ceiling_e-K65)-$F$4)</f>
        <v>83.25</v>
      </c>
      <c r="M65" s="14" t="n">
        <f aca="false">L65+G65*(Half_gap*(Ceiling_e-L65)-$F$4)</f>
        <v>83.25</v>
      </c>
      <c r="N65" s="14" t="n">
        <f aca="false">M65+H65*(Half_gap*(Ceiling_e-M65)-$F$4)</f>
        <v>83.25</v>
      </c>
      <c r="O65" s="14" t="n">
        <f aca="false">N65+I65*(Half_gap*(Ceiling_e-N65)-$F$4)</f>
        <v>84.125</v>
      </c>
      <c r="P65" s="14" t="n">
        <f aca="false">Val_pt*(J65-E_zero)</f>
        <v>70</v>
      </c>
      <c r="Q65" s="14" t="n">
        <f aca="false">Val_pt*(K65-E_zero)</f>
        <v>105</v>
      </c>
      <c r="R65" s="14" t="n">
        <f aca="false">Val_pt*(L65-E_zero)</f>
        <v>122.5</v>
      </c>
      <c r="S65" s="14" t="n">
        <f aca="false">Val_pt*(M65-E_zero)</f>
        <v>122.5</v>
      </c>
      <c r="T65" s="14" t="n">
        <f aca="false">Val_pt*(N65-E_zero)</f>
        <v>122.5</v>
      </c>
      <c r="U65" s="14" t="n">
        <f aca="false">Val_pt*(O65-E_zero)</f>
        <v>131.25</v>
      </c>
      <c r="V65" s="14" t="n">
        <f aca="false">MAX(W65+Cost_round*D65-P65,IF(D65=1,Pre_q,0))</f>
        <v>535</v>
      </c>
      <c r="W65" s="14" t="n">
        <f aca="false">MAX(X65+Cost_round*E65-Q65,IF(E65=1,Pre_q,0),Floor_q)</f>
        <v>485</v>
      </c>
      <c r="X65" s="14" t="n">
        <f aca="false">MAX(Y65+Cost_round*F65-R65,IF(F65=1,Pre_q,0),Floor_q)</f>
        <v>470</v>
      </c>
      <c r="Y65" s="14" t="n">
        <f aca="false">MAX(Z65+Cost_round*G65-S65,IF(G65=1,Pre_q,0),Floor_q)</f>
        <v>350</v>
      </c>
      <c r="Z65" s="14" t="n">
        <f aca="false">MAX(AA65+Cost_round*H65-T65,IF(H65=1,Pre_q,0),Floor_q)</f>
        <v>350</v>
      </c>
      <c r="AA65" s="14" t="n">
        <f aca="false">MAX(AB65+Cost_round*I65-U65,IF(I65=1,Pre_q,0),Floor_q)</f>
        <v>470</v>
      </c>
      <c r="AB65" s="14" t="n">
        <f aca="false">MAX(End_q,Floor_q)</f>
        <v>470</v>
      </c>
      <c r="AC65" s="15" t="n">
        <f aca="false">IF(Q_zero&gt;=V65-0.000000001,1,0)</f>
        <v>1</v>
      </c>
      <c r="AD65" s="14" t="n">
        <f aca="false">IF($AC65=1,Q_zero-Cost_round*D65+P65-W65,"")</f>
        <v>85</v>
      </c>
      <c r="AE65" s="14" t="n">
        <f aca="false">IF($AC65=1,W65-Cost_round*E65+Q65-X65,"")</f>
        <v>0</v>
      </c>
      <c r="AF65" s="14" t="n">
        <f aca="false">IF($AC65=1,X65-Cost_round*F65+R65-Y65,"")</f>
        <v>122.5</v>
      </c>
      <c r="AG65" s="14" t="n">
        <f aca="false">IF($AC65=1,Y65-Cost_round*G65+S65-Z65,"")</f>
        <v>122.5</v>
      </c>
      <c r="AH65" s="14" t="n">
        <f aca="false">IF($AC65=1,Z65-Cost_round*H65+T65-AA65,"")</f>
        <v>2.5</v>
      </c>
      <c r="AI65" s="14" t="n">
        <f aca="false">IF($AC65=1,AA65-Cost_round*I65+U65-AB65,"")</f>
        <v>11.25</v>
      </c>
      <c r="AJ65" s="14" t="n">
        <f aca="false">IF($AC65=1,SUM(AD65:AI65),"")</f>
        <v>343.75</v>
      </c>
      <c r="AK65" s="17" t="n">
        <f aca="false">IF($AC65=1,AD65*Beta_y^1+AE65*Beta_y^2+AF65*Beta_y^3+AG65*Beta_y^4+AH65*Beta_y^5+AI65*Beta_y^6,"")</f>
        <v>260.880573686145</v>
      </c>
      <c r="AL65" s="17" t="n">
        <f aca="false">IF($AC65=1,AK65+Beta_y^6*U65/Hurdle_r,"")</f>
        <v>1001.75260688173</v>
      </c>
      <c r="AM65" s="17" t="n">
        <f aca="false">IF($AC65=1,AK65,"")</f>
        <v>260.880573686145</v>
      </c>
      <c r="AN65" s="17" t="n">
        <f aca="false">IF($AC65=1,AK65+Beta_y^6*U65*(1-(1+Hurdle_r)^(-Life_yrs))/Hurdle_r,"")</f>
        <v>891.626699965912</v>
      </c>
      <c r="AO65" s="17" t="n">
        <f aca="false">IF($AC65=1,AJ65+Credit_yrs*U65,"")</f>
        <v>1656.25</v>
      </c>
      <c r="AP65" s="17" t="n">
        <f aca="false">IF($AC65=1,$AD65/(1+AP$6)^1+$AE65/(1+AP$6)^2+$AF65/(1+AP$6)^3+$AG65/(1+AP$6)^4+$AH65/(1+AP$6)^5+$AI65/(1+AP$6)^6+$U65/AP$6/(1+AP$6)^6,"")</f>
        <v>3979.04063132473</v>
      </c>
      <c r="AQ65" s="17" t="n">
        <f aca="false">IF($AC65=1,$AD65/(1+AQ$6)^1+$AE65/(1+AQ$6)^2+$AF65/(1+AQ$6)^3+$AG65/(1+AQ$6)^4+$AH65/(1+AQ$6)^5+$AI65/(1+AQ$6)^6+$U65/AQ$6/(1+AQ$6)^6,"")</f>
        <v>2256.72269473397</v>
      </c>
      <c r="AR65" s="17" t="n">
        <f aca="false">IF($AC65=1,$AD65/(1+AR$6)^1+$AE65/(1+AR$6)^2+$AF65/(1+AR$6)^3+$AG65/(1+AR$6)^4+$AH65/(1+AR$6)^5+$AI65/(1+AR$6)^6+$U65/AR$6/(1+AR$6)^6,"")</f>
        <v>1308.65222059635</v>
      </c>
      <c r="AS65" s="17" t="n">
        <f aca="false">IF($AC65=1,$AD65/(1+AS$6)^1+$AE65/(1+AS$6)^2+$AF65/(1+AS$6)^3+$AG65/(1+AS$6)^4+$AH65/(1+AS$6)^5+$AI65/(1+AS$6)^6+$U65/AS$6/(1+AS$6)^6,"")</f>
        <v>1001.75260688173</v>
      </c>
      <c r="AT65" s="17" t="n">
        <f aca="false">IF($AC65=1,$AD65/(1+AT$6)^1+$AE65/(1+AT$6)^2+$AF65/(1+AT$6)^3+$AG65/(1+AT$6)^4+$AH65/(1+AT$6)^5+$AI65/(1+AT$6)^6+$U65/AT$6/(1+AT$6)^6,"")</f>
        <v>802.182858144828</v>
      </c>
      <c r="AU65" s="17" t="n">
        <f aca="false">IF($AC65=1,$AD65/(1+AU$6)^1+$AE65/(1+AU$6)^2+$AF65/(1+AU$6)^3+$AG65/(1+AU$6)^4+$AH65/(1+AU$6)^5+$AI65/(1+AU$6)^6+$U65/AU$6/(1+AU$6)^6,"")</f>
        <v>608.891828251189</v>
      </c>
      <c r="AV65" s="17" t="n">
        <f aca="false">IF($AC65=1,$AD65/(1+AV$6)^1+$AE65/(1+AV$6)^2+$AF65/(1+AV$6)^3+$AG65/(1+AV$6)^4+$AH65/(1+AV$6)^5+$AI65/(1+AV$6)^6+$U65/AV$6/(1+AV$6)^6,"")</f>
        <v>425.349633487654</v>
      </c>
      <c r="AW65" s="17" t="n">
        <f aca="false">IF($AC65=1,$AD65/(1+AW$6)^1+$AE65/(1+AW$6)^2+$AF65/(1+AW$6)^3+$AG65/(1+AW$6)^4+$AH65/(1+AW$6)^5+$AI65/(1+AW$6)^6+$U65/AW$6/(1+AW$6)^6,"")</f>
        <v>257.67676947648</v>
      </c>
      <c r="AX65" s="17" t="n">
        <f aca="false">IF($AC65=1,$AD65/(1+AX$6)^1+$AE65/(1+AX$6)^2+$AF65/(1+AX$6)^3+$AG65/(1+AX$6)^4+$AH65/(1+AX$6)^5+$AI65/(1+AX$6)^6+$U65/AX$6/(1+AX$6)^6,"")</f>
        <v>6786.25327820466</v>
      </c>
      <c r="AY65" s="17" t="n">
        <f aca="false">IF($AC65=1,$AD65/(1+AY$6)^1+$AE65/(1+AY$6)^2+$AF65/(1+AY$6)^3+$AG65/(1+AY$6)^4+$AH65/(1+AY$6)^5+$AI65/(1+AY$6)^6+$U65/AY$6/(1+AY$6)^6,"")</f>
        <v>3213.31473593958</v>
      </c>
      <c r="AZ65" s="17" t="n">
        <f aca="false">IF($AC65=1,$AD65/(1+AZ$6)^1+$AE65/(1+AZ$6)^2+$AF65/(1+AZ$6)^3+$AG65/(1+AZ$6)^4+$AH65/(1+AZ$6)^5+$AI65/(1+AZ$6)^6+$U65/AZ$6/(1+AZ$6)^6,"")</f>
        <v>1459.96755686938</v>
      </c>
      <c r="BA65" s="17" t="n">
        <f aca="false">IF($AC65=1,$AD65/(1+BA$6)^1+$AE65/(1+BA$6)^2+$AF65/(1+BA$6)^3+$AG65/(1+BA$6)^4+$AH65/(1+BA$6)^5+$AI65/(1+BA$6)^6+$U65/BA$6/(1+BA$6)^6,"")</f>
        <v>632.38011322798</v>
      </c>
      <c r="BB65" s="17" t="n">
        <f aca="false">IF($AC65=1,$AD65/(1+BB$6)^1+$AE65/(1+BB$6)^2+$AF65/(1+BB$6)^3+$AG65/(1+BB$6)^4+$AH65/(1+BB$6)^5+$AI65/(1+BB$6)^6+$U65/BB$6/(1+BB$6)^6,"")</f>
        <v>259.030456161241</v>
      </c>
    </row>
    <row r="66" customFormat="false" ht="15" hidden="false" customHeight="false" outlineLevel="0" collapsed="false">
      <c r="A66" s="2" t="n">
        <v>58</v>
      </c>
      <c r="B66" s="2" t="str">
        <f aca="false">D66&amp;E66&amp;F66&amp;G66&amp;H66&amp;I66</f>
        <v>111010</v>
      </c>
      <c r="C66" s="15" t="n">
        <f aca="false">SUM(D66:I66)</f>
        <v>4</v>
      </c>
      <c r="D66" s="15" t="n">
        <f aca="false">MOD(INT($A66/32),2)</f>
        <v>1</v>
      </c>
      <c r="E66" s="15" t="n">
        <f aca="false">MOD(INT($A66/16),2)</f>
        <v>1</v>
      </c>
      <c r="F66" s="15" t="n">
        <f aca="false">MOD(INT($A66/8),2)</f>
        <v>1</v>
      </c>
      <c r="G66" s="15" t="n">
        <f aca="false">MOD(INT($A66/4),2)</f>
        <v>0</v>
      </c>
      <c r="H66" s="15" t="n">
        <f aca="false">MOD(INT($A66/2),2)</f>
        <v>1</v>
      </c>
      <c r="I66" s="15" t="n">
        <f aca="false">MOD(INT($A66/1),2)</f>
        <v>0</v>
      </c>
      <c r="J66" s="14" t="n">
        <f aca="false">E_zero+D66*(Half_gap*(Ceiling_e-E_zero)-$F$4)</f>
        <v>78</v>
      </c>
      <c r="K66" s="14" t="n">
        <f aca="false">J66+E66*(Half_gap*(Ceiling_e-J66)-$F$4)</f>
        <v>81.5</v>
      </c>
      <c r="L66" s="14" t="n">
        <f aca="false">K66+F66*(Half_gap*(Ceiling_e-K66)-$F$4)</f>
        <v>83.25</v>
      </c>
      <c r="M66" s="14" t="n">
        <f aca="false">L66+G66*(Half_gap*(Ceiling_e-L66)-$F$4)</f>
        <v>83.25</v>
      </c>
      <c r="N66" s="14" t="n">
        <f aca="false">M66+H66*(Half_gap*(Ceiling_e-M66)-$F$4)</f>
        <v>84.125</v>
      </c>
      <c r="O66" s="14" t="n">
        <f aca="false">N66+I66*(Half_gap*(Ceiling_e-N66)-$F$4)</f>
        <v>84.125</v>
      </c>
      <c r="P66" s="14" t="n">
        <f aca="false">Val_pt*(J66-E_zero)</f>
        <v>70</v>
      </c>
      <c r="Q66" s="14" t="n">
        <f aca="false">Val_pt*(K66-E_zero)</f>
        <v>105</v>
      </c>
      <c r="R66" s="14" t="n">
        <f aca="false">Val_pt*(L66-E_zero)</f>
        <v>122.5</v>
      </c>
      <c r="S66" s="14" t="n">
        <f aca="false">Val_pt*(M66-E_zero)</f>
        <v>122.5</v>
      </c>
      <c r="T66" s="14" t="n">
        <f aca="false">Val_pt*(N66-E_zero)</f>
        <v>131.25</v>
      </c>
      <c r="U66" s="14" t="n">
        <f aca="false">Val_pt*(O66-E_zero)</f>
        <v>131.25</v>
      </c>
      <c r="V66" s="14" t="n">
        <f aca="false">MAX(W66+Cost_round*D66-P66,IF(D66=1,Pre_q,0))</f>
        <v>535</v>
      </c>
      <c r="W66" s="14" t="n">
        <f aca="false">MAX(X66+Cost_round*E66-Q66,IF(E66=1,Pre_q,0),Floor_q)</f>
        <v>485</v>
      </c>
      <c r="X66" s="14" t="n">
        <f aca="false">MAX(Y66+Cost_round*F66-R66,IF(F66=1,Pre_q,0),Floor_q)</f>
        <v>470</v>
      </c>
      <c r="Y66" s="14" t="n">
        <f aca="false">MAX(Z66+Cost_round*G66-S66,IF(G66=1,Pre_q,0),Floor_q)</f>
        <v>350</v>
      </c>
      <c r="Z66" s="14" t="n">
        <f aca="false">MAX(AA66+Cost_round*H66-T66,IF(H66=1,Pre_q,0),Floor_q)</f>
        <v>470</v>
      </c>
      <c r="AA66" s="14" t="n">
        <f aca="false">MAX(AB66+Cost_round*I66-U66,IF(I66=1,Pre_q,0),Floor_q)</f>
        <v>350</v>
      </c>
      <c r="AB66" s="14" t="n">
        <f aca="false">MAX(End_q,Floor_q)</f>
        <v>470</v>
      </c>
      <c r="AC66" s="15" t="n">
        <f aca="false">IF(Q_zero&gt;=V66-0.000000001,1,0)</f>
        <v>1</v>
      </c>
      <c r="AD66" s="14" t="n">
        <f aca="false">IF($AC66=1,Q_zero-Cost_round*D66+P66-W66,"")</f>
        <v>85</v>
      </c>
      <c r="AE66" s="14" t="n">
        <f aca="false">IF($AC66=1,W66-Cost_round*E66+Q66-X66,"")</f>
        <v>0</v>
      </c>
      <c r="AF66" s="14" t="n">
        <f aca="false">IF($AC66=1,X66-Cost_round*F66+R66-Y66,"")</f>
        <v>122.5</v>
      </c>
      <c r="AG66" s="14" t="n">
        <f aca="false">IF($AC66=1,Y66-Cost_round*G66+S66-Z66,"")</f>
        <v>2.5</v>
      </c>
      <c r="AH66" s="14" t="n">
        <f aca="false">IF($AC66=1,Z66-Cost_round*H66+T66-AA66,"")</f>
        <v>131.25</v>
      </c>
      <c r="AI66" s="14" t="n">
        <f aca="false">IF($AC66=1,AA66-Cost_round*I66+U66-AB66,"")</f>
        <v>11.25</v>
      </c>
      <c r="AJ66" s="14" t="n">
        <f aca="false">IF($AC66=1,SUM(AD66:AI66),"")</f>
        <v>352.5</v>
      </c>
      <c r="AK66" s="17" t="n">
        <f aca="false">IF($AC66=1,AD66*Beta_y^1+AE66*Beta_y^2+AF66*Beta_y^3+AG66*Beta_y^4+AH66*Beta_y^5+AI66*Beta_y^6,"")</f>
        <v>258.862579386202</v>
      </c>
      <c r="AL66" s="17" t="n">
        <f aca="false">IF($AC66=1,AK66+Beta_y^6*U66/Hurdle_r,"")</f>
        <v>999.734612581785</v>
      </c>
      <c r="AM66" s="17" t="n">
        <f aca="false">IF($AC66=1,AK66,"")</f>
        <v>258.862579386202</v>
      </c>
      <c r="AN66" s="17" t="n">
        <f aca="false">IF($AC66=1,AK66+Beta_y^6*U66*(1-(1+Hurdle_r)^(-Life_yrs))/Hurdle_r,"")</f>
        <v>889.60870566597</v>
      </c>
      <c r="AO66" s="17" t="n">
        <f aca="false">IF($AC66=1,AJ66+Credit_yrs*U66,"")</f>
        <v>1665</v>
      </c>
      <c r="AP66" s="17" t="n">
        <f aca="false">IF($AC66=1,$AD66/(1+AP$6)^1+$AE66/(1+AP$6)^2+$AF66/(1+AP$6)^3+$AG66/(1+AP$6)^4+$AH66/(1+AP$6)^5+$AI66/(1+AP$6)^6+$U66/AP$6/(1+AP$6)^6,"")</f>
        <v>3983.48306656431</v>
      </c>
      <c r="AQ66" s="17" t="n">
        <f aca="false">IF($AC66=1,$AD66/(1+AQ$6)^1+$AE66/(1+AQ$6)^2+$AF66/(1+AQ$6)^3+$AG66/(1+AQ$6)^4+$AH66/(1+AQ$6)^5+$AI66/(1+AQ$6)^6+$U66/AQ$6/(1+AQ$6)^6,"")</f>
        <v>2258.87739169176</v>
      </c>
      <c r="AR66" s="17" t="n">
        <f aca="false">IF($AC66=1,$AD66/(1+AR$6)^1+$AE66/(1+AR$6)^2+$AF66/(1+AR$6)^3+$AG66/(1+AR$6)^4+$AH66/(1+AR$6)^5+$AI66/(1+AR$6)^6+$U66/AR$6/(1+AR$6)^6,"")</f>
        <v>1308.07372487887</v>
      </c>
      <c r="AS66" s="17" t="n">
        <f aca="false">IF($AC66=1,$AD66/(1+AS$6)^1+$AE66/(1+AS$6)^2+$AF66/(1+AS$6)^3+$AG66/(1+AS$6)^4+$AH66/(1+AS$6)^5+$AI66/(1+AS$6)^6+$U66/AS$6/(1+AS$6)^6,"")</f>
        <v>999.734612581785</v>
      </c>
      <c r="AT66" s="17" t="n">
        <f aca="false">IF($AC66=1,$AD66/(1+AT$6)^1+$AE66/(1+AT$6)^2+$AF66/(1+AT$6)^3+$AG66/(1+AT$6)^4+$AH66/(1+AT$6)^5+$AI66/(1+AT$6)^6+$U66/AT$6/(1+AT$6)^6,"")</f>
        <v>798.976896410017</v>
      </c>
      <c r="AU66" s="17" t="n">
        <f aca="false">IF($AC66=1,$AD66/(1+AU$6)^1+$AE66/(1+AU$6)^2+$AF66/(1+AU$6)^3+$AG66/(1+AU$6)^4+$AH66/(1+AU$6)^5+$AI66/(1+AU$6)^6+$U66/AU$6/(1+AU$6)^6,"")</f>
        <v>604.29294344968</v>
      </c>
      <c r="AV66" s="17" t="n">
        <f aca="false">IF($AC66=1,$AD66/(1+AV$6)^1+$AE66/(1+AV$6)^2+$AF66/(1+AV$6)^3+$AG66/(1+AV$6)^4+$AH66/(1+AV$6)^5+$AI66/(1+AV$6)^6+$U66/AV$6/(1+AV$6)^6,"")</f>
        <v>419.221000514403</v>
      </c>
      <c r="AW66" s="17" t="n">
        <f aca="false">IF($AC66=1,$AD66/(1+AW$6)^1+$AE66/(1+AW$6)^2+$AF66/(1+AW$6)^3+$AG66/(1+AW$6)^4+$AH66/(1+AW$6)^5+$AI66/(1+AW$6)^6+$U66/AW$6/(1+AW$6)^6,"")</f>
        <v>250.337552200636</v>
      </c>
      <c r="AX66" s="17" t="n">
        <f aca="false">IF($AC66=1,$AD66/(1+AX$6)^1+$AE66/(1+AX$6)^2+$AF66/(1+AX$6)^3+$AG66/(1+AX$6)^4+$AH66/(1+AX$6)^5+$AI66/(1+AX$6)^6+$U66/AX$6/(1+AX$6)^6,"")</f>
        <v>6792.24900245911</v>
      </c>
      <c r="AY66" s="17" t="n">
        <f aca="false">IF($AC66=1,$AD66/(1+AY$6)^1+$AE66/(1+AY$6)^2+$AF66/(1+AY$6)^3+$AG66/(1+AY$6)^4+$AH66/(1+AY$6)^5+$AI66/(1+AY$6)^6+$U66/AY$6/(1+AY$6)^6,"")</f>
        <v>3216.97252636548</v>
      </c>
      <c r="AZ66" s="17" t="n">
        <f aca="false">IF($AC66=1,$AD66/(1+AZ$6)^1+$AE66/(1+AZ$6)^2+$AF66/(1+AZ$6)^3+$AG66/(1+AZ$6)^4+$AH66/(1+AZ$6)^5+$AI66/(1+AZ$6)^6+$U66/AZ$6/(1+AZ$6)^6,"")</f>
        <v>1459.96755686945</v>
      </c>
      <c r="BA66" s="17" t="n">
        <f aca="false">IF($AC66=1,$AD66/(1+BA$6)^1+$AE66/(1+BA$6)^2+$AF66/(1+BA$6)^3+$AG66/(1+BA$6)^4+$AH66/(1+BA$6)^5+$AI66/(1+BA$6)^6+$U66/BA$6/(1+BA$6)^6,"")</f>
        <v>627.964090082155</v>
      </c>
      <c r="BB66" s="17" t="n">
        <f aca="false">IF($AC66=1,$AD66/(1+BB$6)^1+$AE66/(1+BB$6)^2+$AF66/(1+BB$6)^3+$AG66/(1+BB$6)^4+$AH66/(1+BB$6)^5+$AI66/(1+BB$6)^6+$U66/BB$6/(1+BB$6)^6,"")</f>
        <v>251.696612725895</v>
      </c>
    </row>
    <row r="67" customFormat="false" ht="15" hidden="false" customHeight="false" outlineLevel="0" collapsed="false">
      <c r="A67" s="2" t="n">
        <v>59</v>
      </c>
      <c r="B67" s="2" t="str">
        <f aca="false">D67&amp;E67&amp;F67&amp;G67&amp;H67&amp;I67</f>
        <v>111011</v>
      </c>
      <c r="C67" s="15" t="n">
        <f aca="false">SUM(D67:I67)</f>
        <v>5</v>
      </c>
      <c r="D67" s="15" t="n">
        <f aca="false">MOD(INT($A67/32),2)</f>
        <v>1</v>
      </c>
      <c r="E67" s="15" t="n">
        <f aca="false">MOD(INT($A67/16),2)</f>
        <v>1</v>
      </c>
      <c r="F67" s="15" t="n">
        <f aca="false">MOD(INT($A67/8),2)</f>
        <v>1</v>
      </c>
      <c r="G67" s="15" t="n">
        <f aca="false">MOD(INT($A67/4),2)</f>
        <v>0</v>
      </c>
      <c r="H67" s="15" t="n">
        <f aca="false">MOD(INT($A67/2),2)</f>
        <v>1</v>
      </c>
      <c r="I67" s="15" t="n">
        <f aca="false">MOD(INT($A67/1),2)</f>
        <v>1</v>
      </c>
      <c r="J67" s="14" t="n">
        <f aca="false">E_zero+D67*(Half_gap*(Ceiling_e-E_zero)-$F$4)</f>
        <v>78</v>
      </c>
      <c r="K67" s="14" t="n">
        <f aca="false">J67+E67*(Half_gap*(Ceiling_e-J67)-$F$4)</f>
        <v>81.5</v>
      </c>
      <c r="L67" s="14" t="n">
        <f aca="false">K67+F67*(Half_gap*(Ceiling_e-K67)-$F$4)</f>
        <v>83.25</v>
      </c>
      <c r="M67" s="14" t="n">
        <f aca="false">L67+G67*(Half_gap*(Ceiling_e-L67)-$F$4)</f>
        <v>83.25</v>
      </c>
      <c r="N67" s="14" t="n">
        <f aca="false">M67+H67*(Half_gap*(Ceiling_e-M67)-$F$4)</f>
        <v>84.125</v>
      </c>
      <c r="O67" s="14" t="n">
        <f aca="false">N67+I67*(Half_gap*(Ceiling_e-N67)-$F$4)</f>
        <v>84.5625</v>
      </c>
      <c r="P67" s="14" t="n">
        <f aca="false">Val_pt*(J67-E_zero)</f>
        <v>70</v>
      </c>
      <c r="Q67" s="14" t="n">
        <f aca="false">Val_pt*(K67-E_zero)</f>
        <v>105</v>
      </c>
      <c r="R67" s="14" t="n">
        <f aca="false">Val_pt*(L67-E_zero)</f>
        <v>122.5</v>
      </c>
      <c r="S67" s="14" t="n">
        <f aca="false">Val_pt*(M67-E_zero)</f>
        <v>122.5</v>
      </c>
      <c r="T67" s="14" t="n">
        <f aca="false">Val_pt*(N67-E_zero)</f>
        <v>131.25</v>
      </c>
      <c r="U67" s="14" t="n">
        <f aca="false">Val_pt*(O67-E_zero)</f>
        <v>135.625</v>
      </c>
      <c r="V67" s="14" t="n">
        <f aca="false">MAX(W67+Cost_round*D67-P67,IF(D67=1,Pre_q,0))</f>
        <v>535</v>
      </c>
      <c r="W67" s="14" t="n">
        <f aca="false">MAX(X67+Cost_round*E67-Q67,IF(E67=1,Pre_q,0),Floor_q)</f>
        <v>485</v>
      </c>
      <c r="X67" s="14" t="n">
        <f aca="false">MAX(Y67+Cost_round*F67-R67,IF(F67=1,Pre_q,0),Floor_q)</f>
        <v>470</v>
      </c>
      <c r="Y67" s="14" t="n">
        <f aca="false">MAX(Z67+Cost_round*G67-S67,IF(G67=1,Pre_q,0),Floor_q)</f>
        <v>350</v>
      </c>
      <c r="Z67" s="14" t="n">
        <f aca="false">MAX(AA67+Cost_round*H67-T67,IF(H67=1,Pre_q,0),Floor_q)</f>
        <v>470</v>
      </c>
      <c r="AA67" s="14" t="n">
        <f aca="false">MAX(AB67+Cost_round*I67-U67,IF(I67=1,Pre_q,0),Floor_q)</f>
        <v>470</v>
      </c>
      <c r="AB67" s="14" t="n">
        <f aca="false">MAX(End_q,Floor_q)</f>
        <v>470</v>
      </c>
      <c r="AC67" s="15" t="n">
        <f aca="false">IF(Q_zero&gt;=V67-0.000000001,1,0)</f>
        <v>1</v>
      </c>
      <c r="AD67" s="14" t="n">
        <f aca="false">IF($AC67=1,Q_zero-Cost_round*D67+P67-W67,"")</f>
        <v>85</v>
      </c>
      <c r="AE67" s="14" t="n">
        <f aca="false">IF($AC67=1,W67-Cost_round*E67+Q67-X67,"")</f>
        <v>0</v>
      </c>
      <c r="AF67" s="14" t="n">
        <f aca="false">IF($AC67=1,X67-Cost_round*F67+R67-Y67,"")</f>
        <v>122.5</v>
      </c>
      <c r="AG67" s="14" t="n">
        <f aca="false">IF($AC67=1,Y67-Cost_round*G67+S67-Z67,"")</f>
        <v>2.5</v>
      </c>
      <c r="AH67" s="14" t="n">
        <f aca="false">IF($AC67=1,Z67-Cost_round*H67+T67-AA67,"")</f>
        <v>11.25</v>
      </c>
      <c r="AI67" s="14" t="n">
        <f aca="false">IF($AC67=1,AA67-Cost_round*I67+U67-AB67,"")</f>
        <v>15.625</v>
      </c>
      <c r="AJ67" s="14" t="n">
        <f aca="false">IF($AC67=1,SUM(AD67:AI67),"")</f>
        <v>236.875</v>
      </c>
      <c r="AK67" s="17" t="n">
        <f aca="false">IF($AC67=1,AD67*Beta_y^1+AE67*Beta_y^2+AF67*Beta_y^3+AG67*Beta_y^4+AH67*Beta_y^5+AI67*Beta_y^6,"")</f>
        <v>186.821594063089</v>
      </c>
      <c r="AL67" s="17" t="n">
        <f aca="false">IF($AC67=1,AK67+Beta_y^6*U67/Hurdle_r,"")</f>
        <v>952.389361698525</v>
      </c>
      <c r="AM67" s="17" t="n">
        <f aca="false">IF($AC67=1,AK67,"")</f>
        <v>186.821594063089</v>
      </c>
      <c r="AN67" s="17" t="n">
        <f aca="false">IF($AC67=1,AK67+Beta_y^6*U67*(1-(1+Hurdle_r)^(-Life_yrs))/Hurdle_r,"")</f>
        <v>838.592591218849</v>
      </c>
      <c r="AO67" s="17" t="n">
        <f aca="false">IF($AC67=1,AJ67+Credit_yrs*U67,"")</f>
        <v>1593.125</v>
      </c>
      <c r="AP67" s="17" t="n">
        <f aca="false">IF($AC67=1,$AD67/(1+AP$6)^1+$AE67/(1+AP$6)^2+$AF67/(1+AP$6)^3+$AG67/(1+AP$6)^4+$AH67/(1+AP$6)^5+$AI67/(1+AP$6)^6+$U67/AP$6/(1+AP$6)^6,"")</f>
        <v>4005.76712682757</v>
      </c>
      <c r="AQ67" s="17" t="n">
        <f aca="false">IF($AC67=1,$AD67/(1+AQ$6)^1+$AE67/(1+AQ$6)^2+$AF67/(1+AQ$6)^3+$AG67/(1+AQ$6)^4+$AH67/(1+AQ$6)^5+$AI67/(1+AQ$6)^6+$U67/AQ$6/(1+AQ$6)^6,"")</f>
        <v>2233.41279128154</v>
      </c>
      <c r="AR67" s="17" t="n">
        <f aca="false">IF($AC67=1,$AD67/(1+AR$6)^1+$AE67/(1+AR$6)^2+$AF67/(1+AR$6)^3+$AG67/(1+AR$6)^4+$AH67/(1+AR$6)^5+$AI67/(1+AR$6)^6+$U67/AR$6/(1+AR$6)^6,"")</f>
        <v>1263.62313482261</v>
      </c>
      <c r="AS67" s="17" t="n">
        <f aca="false">IF($AC67=1,$AD67/(1+AS$6)^1+$AE67/(1+AS$6)^2+$AF67/(1+AS$6)^3+$AG67/(1+AS$6)^4+$AH67/(1+AS$6)^5+$AI67/(1+AS$6)^6+$U67/AS$6/(1+AS$6)^6,"")</f>
        <v>952.389361698524</v>
      </c>
      <c r="AT67" s="17" t="n">
        <f aca="false">IF($AC67=1,$AD67/(1+AT$6)^1+$AE67/(1+AT$6)^2+$AF67/(1+AT$6)^3+$AG67/(1+AT$6)^4+$AH67/(1+AT$6)^5+$AI67/(1+AT$6)^6+$U67/AT$6/(1+AT$6)^6,"")</f>
        <v>751.57311117186</v>
      </c>
      <c r="AU67" s="17" t="n">
        <f aca="false">IF($AC67=1,$AD67/(1+AU$6)^1+$AE67/(1+AU$6)^2+$AF67/(1+AU$6)^3+$AG67/(1+AU$6)^4+$AH67/(1+AU$6)^5+$AI67/(1+AU$6)^6+$U67/AU$6/(1+AU$6)^6,"")</f>
        <v>559.132723326752</v>
      </c>
      <c r="AV67" s="17" t="n">
        <f aca="false">IF($AC67=1,$AD67/(1+AV$6)^1+$AE67/(1+AV$6)^2+$AF67/(1+AV$6)^3+$AG67/(1+AV$6)^4+$AH67/(1+AV$6)^5+$AI67/(1+AV$6)^6+$U67/AV$6/(1+AV$6)^6,"")</f>
        <v>379.786763760288</v>
      </c>
      <c r="AW67" s="17" t="n">
        <f aca="false">IF($AC67=1,$AD67/(1+AW$6)^1+$AE67/(1+AW$6)^2+$AF67/(1+AW$6)^3+$AG67/(1+AW$6)^4+$AH67/(1+AW$6)^5+$AI67/(1+AW$6)^6+$U67/AW$6/(1+AW$6)^6,"")</f>
        <v>221.945778946988</v>
      </c>
      <c r="AX67" s="17" t="n">
        <f aca="false">IF($AC67=1,$AD67/(1+AX$6)^1+$AE67/(1+AX$6)^2+$AF67/(1+AX$6)^3+$AG67/(1+AX$6)^4+$AH67/(1+AX$6)^5+$AI67/(1+AX$6)^6+$U67/AX$6/(1+AX$6)^6,"")</f>
        <v>6901.8851031137</v>
      </c>
      <c r="AY67" s="17" t="n">
        <f aca="false">IF($AC67=1,$AD67/(1+AY$6)^1+$AE67/(1+AY$6)^2+$AF67/(1+AY$6)^3+$AG67/(1+AY$6)^4+$AH67/(1+AY$6)^5+$AI67/(1+AY$6)^6+$U67/AY$6/(1+AY$6)^6,"")</f>
        <v>3216.97252636644</v>
      </c>
      <c r="AZ67" s="17" t="n">
        <f aca="false">IF($AC67=1,$AD67/(1+AZ$6)^1+$AE67/(1+AZ$6)^2+$AF67/(1+AZ$6)^3+$AG67/(1+AZ$6)^4+$AH67/(1+AZ$6)^5+$AI67/(1+AZ$6)^6+$U67/AZ$6/(1+AZ$6)^6,"")</f>
        <v>1417.76669777993</v>
      </c>
      <c r="BA67" s="17" t="n">
        <f aca="false">IF($AC67=1,$AD67/(1+BA$6)^1+$AE67/(1+BA$6)^2+$AF67/(1+BA$6)^3+$AG67/(1+BA$6)^4+$AH67/(1+BA$6)^5+$AI67/(1+BA$6)^6+$U67/BA$6/(1+BA$6)^6,"")</f>
        <v>582.366933871608</v>
      </c>
      <c r="BB67" s="17" t="n">
        <f aca="false">IF($AC67=1,$AD67/(1+BB$6)^1+$AE67/(1+BB$6)^2+$AF67/(1+BB$6)^3+$AG67/(1+BB$6)^4+$AH67/(1+BB$6)^5+$AI67/(1+BB$6)^6+$U67/BB$6/(1+BB$6)^6,"")</f>
        <v>223.180674124211</v>
      </c>
    </row>
    <row r="68" customFormat="false" ht="15" hidden="false" customHeight="false" outlineLevel="0" collapsed="false">
      <c r="A68" s="2" t="n">
        <v>60</v>
      </c>
      <c r="B68" s="2" t="str">
        <f aca="false">D68&amp;E68&amp;F68&amp;G68&amp;H68&amp;I68</f>
        <v>111100</v>
      </c>
      <c r="C68" s="15" t="n">
        <f aca="false">SUM(D68:I68)</f>
        <v>4</v>
      </c>
      <c r="D68" s="15" t="n">
        <f aca="false">MOD(INT($A68/32),2)</f>
        <v>1</v>
      </c>
      <c r="E68" s="15" t="n">
        <f aca="false">MOD(INT($A68/16),2)</f>
        <v>1</v>
      </c>
      <c r="F68" s="15" t="n">
        <f aca="false">MOD(INT($A68/8),2)</f>
        <v>1</v>
      </c>
      <c r="G68" s="15" t="n">
        <f aca="false">MOD(INT($A68/4),2)</f>
        <v>1</v>
      </c>
      <c r="H68" s="15" t="n">
        <f aca="false">MOD(INT($A68/2),2)</f>
        <v>0</v>
      </c>
      <c r="I68" s="15" t="n">
        <f aca="false">MOD(INT($A68/1),2)</f>
        <v>0</v>
      </c>
      <c r="J68" s="14" t="n">
        <f aca="false">E_zero+D68*(Half_gap*(Ceiling_e-E_zero)-$F$4)</f>
        <v>78</v>
      </c>
      <c r="K68" s="14" t="n">
        <f aca="false">J68+E68*(Half_gap*(Ceiling_e-J68)-$F$4)</f>
        <v>81.5</v>
      </c>
      <c r="L68" s="14" t="n">
        <f aca="false">K68+F68*(Half_gap*(Ceiling_e-K68)-$F$4)</f>
        <v>83.25</v>
      </c>
      <c r="M68" s="14" t="n">
        <f aca="false">L68+G68*(Half_gap*(Ceiling_e-L68)-$F$4)</f>
        <v>84.125</v>
      </c>
      <c r="N68" s="14" t="n">
        <f aca="false">M68+H68*(Half_gap*(Ceiling_e-M68)-$F$4)</f>
        <v>84.125</v>
      </c>
      <c r="O68" s="14" t="n">
        <f aca="false">N68+I68*(Half_gap*(Ceiling_e-N68)-$F$4)</f>
        <v>84.125</v>
      </c>
      <c r="P68" s="14" t="n">
        <f aca="false">Val_pt*(J68-E_zero)</f>
        <v>70</v>
      </c>
      <c r="Q68" s="14" t="n">
        <f aca="false">Val_pt*(K68-E_zero)</f>
        <v>105</v>
      </c>
      <c r="R68" s="14" t="n">
        <f aca="false">Val_pt*(L68-E_zero)</f>
        <v>122.5</v>
      </c>
      <c r="S68" s="14" t="n">
        <f aca="false">Val_pt*(M68-E_zero)</f>
        <v>131.25</v>
      </c>
      <c r="T68" s="14" t="n">
        <f aca="false">Val_pt*(N68-E_zero)</f>
        <v>131.25</v>
      </c>
      <c r="U68" s="14" t="n">
        <f aca="false">Val_pt*(O68-E_zero)</f>
        <v>131.25</v>
      </c>
      <c r="V68" s="14" t="n">
        <f aca="false">MAX(W68+Cost_round*D68-P68,IF(D68=1,Pre_q,0))</f>
        <v>535</v>
      </c>
      <c r="W68" s="14" t="n">
        <f aca="false">MAX(X68+Cost_round*E68-Q68,IF(E68=1,Pre_q,0),Floor_q)</f>
        <v>485</v>
      </c>
      <c r="X68" s="14" t="n">
        <f aca="false">MAX(Y68+Cost_round*F68-R68,IF(F68=1,Pre_q,0),Floor_q)</f>
        <v>470</v>
      </c>
      <c r="Y68" s="14" t="n">
        <f aca="false">MAX(Z68+Cost_round*G68-S68,IF(G68=1,Pre_q,0),Floor_q)</f>
        <v>470</v>
      </c>
      <c r="Z68" s="14" t="n">
        <f aca="false">MAX(AA68+Cost_round*H68-T68,IF(H68=1,Pre_q,0),Floor_q)</f>
        <v>350</v>
      </c>
      <c r="AA68" s="14" t="n">
        <f aca="false">MAX(AB68+Cost_round*I68-U68,IF(I68=1,Pre_q,0),Floor_q)</f>
        <v>350</v>
      </c>
      <c r="AB68" s="14" t="n">
        <f aca="false">MAX(End_q,Floor_q)</f>
        <v>470</v>
      </c>
      <c r="AC68" s="15" t="n">
        <f aca="false">IF(Q_zero&gt;=V68-0.000000001,1,0)</f>
        <v>1</v>
      </c>
      <c r="AD68" s="14" t="n">
        <f aca="false">IF($AC68=1,Q_zero-Cost_round*D68+P68-W68,"")</f>
        <v>85</v>
      </c>
      <c r="AE68" s="14" t="n">
        <f aca="false">IF($AC68=1,W68-Cost_round*E68+Q68-X68,"")</f>
        <v>0</v>
      </c>
      <c r="AF68" s="14" t="n">
        <f aca="false">IF($AC68=1,X68-Cost_round*F68+R68-Y68,"")</f>
        <v>2.5</v>
      </c>
      <c r="AG68" s="14" t="n">
        <f aca="false">IF($AC68=1,Y68-Cost_round*G68+S68-Z68,"")</f>
        <v>131.25</v>
      </c>
      <c r="AH68" s="14" t="n">
        <f aca="false">IF($AC68=1,Z68-Cost_round*H68+T68-AA68,"")</f>
        <v>131.25</v>
      </c>
      <c r="AI68" s="14" t="n">
        <f aca="false">IF($AC68=1,AA68-Cost_round*I68+U68-AB68,"")</f>
        <v>11.25</v>
      </c>
      <c r="AJ68" s="14" t="n">
        <f aca="false">IF($AC68=1,SUM(AD68:AI68),"")</f>
        <v>361.25</v>
      </c>
      <c r="AK68" s="17" t="n">
        <f aca="false">IF($AC68=1,AD68*Beta_y^1+AE68*Beta_y^2+AF68*Beta_y^3+AG68*Beta_y^4+AH68*Beta_y^5+AI68*Beta_y^6,"")</f>
        <v>256.642785656266</v>
      </c>
      <c r="AL68" s="17" t="n">
        <f aca="false">IF($AC68=1,AK68+Beta_y^6*U68/Hurdle_r,"")</f>
        <v>997.514818851848</v>
      </c>
      <c r="AM68" s="17" t="n">
        <f aca="false">IF($AC68=1,AK68,"")</f>
        <v>256.642785656266</v>
      </c>
      <c r="AN68" s="17" t="n">
        <f aca="false">IF($AC68=1,AK68+Beta_y^6*U68*(1-(1+Hurdle_r)^(-Life_yrs))/Hurdle_r,"")</f>
        <v>887.388911936033</v>
      </c>
      <c r="AO68" s="17" t="n">
        <f aca="false">IF($AC68=1,AJ68+Credit_yrs*U68,"")</f>
        <v>1673.75</v>
      </c>
      <c r="AP68" s="17" t="n">
        <f aca="false">IF($AC68=1,$AD68/(1+AP$6)^1+$AE68/(1+AP$6)^2+$AF68/(1+AP$6)^3+$AG68/(1+AP$6)^4+$AH68/(1+AP$6)^5+$AI68/(1+AP$6)^6+$U68/AP$6/(1+AP$6)^6,"")</f>
        <v>3988.05877486108</v>
      </c>
      <c r="AQ68" s="17" t="n">
        <f aca="false">IF($AC68=1,$AD68/(1+AQ$6)^1+$AE68/(1+AQ$6)^2+$AF68/(1+AQ$6)^3+$AG68/(1+AQ$6)^4+$AH68/(1+AQ$6)^5+$AI68/(1+AQ$6)^6+$U68/AQ$6/(1+AQ$6)^6,"")</f>
        <v>2261.13982349744</v>
      </c>
      <c r="AR68" s="17" t="n">
        <f aca="false">IF($AC68=1,$AD68/(1+AR$6)^1+$AE68/(1+AR$6)^2+$AF68/(1+AR$6)^3+$AG68/(1+AR$6)^4+$AH68/(1+AR$6)^5+$AI68/(1+AR$6)^6+$U68/AR$6/(1+AR$6)^6,"")</f>
        <v>1307.448949504</v>
      </c>
      <c r="AS68" s="17" t="n">
        <f aca="false">IF($AC68=1,$AD68/(1+AS$6)^1+$AE68/(1+AS$6)^2+$AF68/(1+AS$6)^3+$AG68/(1+AS$6)^4+$AH68/(1+AS$6)^5+$AI68/(1+AS$6)^6+$U68/AS$6/(1+AS$6)^6,"")</f>
        <v>997.514818851848</v>
      </c>
      <c r="AT68" s="17" t="n">
        <f aca="false">IF($AC68=1,$AD68/(1+AT$6)^1+$AE68/(1+AT$6)^2+$AF68/(1+AT$6)^3+$AG68/(1+AT$6)^4+$AH68/(1+AT$6)^5+$AI68/(1+AT$6)^6+$U68/AT$6/(1+AT$6)^6,"")</f>
        <v>795.38621926703</v>
      </c>
      <c r="AU68" s="17" t="n">
        <f aca="false">IF($AC68=1,$AD68/(1+AU$6)^1+$AE68/(1+AU$6)^2+$AF68/(1+AU$6)^3+$AG68/(1+AU$6)^4+$AH68/(1+AU$6)^5+$AI68/(1+AU$6)^6+$U68/AU$6/(1+AU$6)^6,"")</f>
        <v>599.004225927944</v>
      </c>
      <c r="AV68" s="17" t="n">
        <f aca="false">IF($AC68=1,$AD68/(1+AV$6)^1+$AE68/(1+AV$6)^2+$AF68/(1+AV$6)^3+$AG68/(1+AV$6)^4+$AH68/(1+AV$6)^5+$AI68/(1+AV$6)^6+$U68/AV$6/(1+AV$6)^6,"")</f>
        <v>411.866640946502</v>
      </c>
      <c r="AW68" s="17" t="n">
        <f aca="false">IF($AC68=1,$AD68/(1+AW$6)^1+$AE68/(1+AW$6)^2+$AF68/(1+AW$6)^3+$AG68/(1+AW$6)^4+$AH68/(1+AW$6)^5+$AI68/(1+AW$6)^6+$U68/AW$6/(1+AW$6)^6,"")</f>
        <v>240.796569742039</v>
      </c>
      <c r="AX68" s="17" t="n">
        <f aca="false">IF($AC68=1,$AD68/(1+AX$6)^1+$AE68/(1+AX$6)^2+$AF68/(1+AX$6)^3+$AG68/(1+AX$6)^4+$AH68/(1+AX$6)^5+$AI68/(1+AX$6)^6+$U68/AX$6/(1+AX$6)^6,"")</f>
        <v>6798.35402377029</v>
      </c>
      <c r="AY68" s="17" t="n">
        <f aca="false">IF($AC68=1,$AD68/(1+AY$6)^1+$AE68/(1+AY$6)^2+$AF68/(1+AY$6)^3+$AG68/(1+AY$6)^4+$AH68/(1+AY$6)^5+$AI68/(1+AY$6)^6+$U68/AY$6/(1+AY$6)^6,"")</f>
        <v>3220.76367373399</v>
      </c>
      <c r="AZ68" s="17" t="n">
        <f aca="false">IF($AC68=1,$AD68/(1+AZ$6)^1+$AE68/(1+AZ$6)^2+$AF68/(1+AZ$6)^3+$AG68/(1+AZ$6)^4+$AH68/(1+AZ$6)^5+$AI68/(1+AZ$6)^6+$U68/AZ$6/(1+AZ$6)^6,"")</f>
        <v>1459.96755686952</v>
      </c>
      <c r="BA68" s="17" t="n">
        <f aca="false">IF($AC68=1,$AD68/(1+BA$6)^1+$AE68/(1+BA$6)^2+$AF68/(1+BA$6)^3+$AG68/(1+BA$6)^4+$AH68/(1+BA$6)^5+$AI68/(1+BA$6)^6+$U68/BA$6/(1+BA$6)^6,"")</f>
        <v>622.90554782588</v>
      </c>
      <c r="BB68" s="17" t="n">
        <f aca="false">IF($AC68=1,$AD68/(1+BB$6)^1+$AE68/(1+BB$6)^2+$AF68/(1+BB$6)^3+$AG68/(1+BB$6)^4+$AH68/(1+BB$6)^5+$AI68/(1+BB$6)^6+$U68/BB$6/(1+BB$6)^6,"")</f>
        <v>242.172071194181</v>
      </c>
    </row>
    <row r="69" customFormat="false" ht="15" hidden="false" customHeight="false" outlineLevel="0" collapsed="false">
      <c r="A69" s="2" t="n">
        <v>61</v>
      </c>
      <c r="B69" s="2" t="str">
        <f aca="false">D69&amp;E69&amp;F69&amp;G69&amp;H69&amp;I69</f>
        <v>111101</v>
      </c>
      <c r="C69" s="15" t="n">
        <f aca="false">SUM(D69:I69)</f>
        <v>5</v>
      </c>
      <c r="D69" s="15" t="n">
        <f aca="false">MOD(INT($A69/32),2)</f>
        <v>1</v>
      </c>
      <c r="E69" s="15" t="n">
        <f aca="false">MOD(INT($A69/16),2)</f>
        <v>1</v>
      </c>
      <c r="F69" s="15" t="n">
        <f aca="false">MOD(INT($A69/8),2)</f>
        <v>1</v>
      </c>
      <c r="G69" s="15" t="n">
        <f aca="false">MOD(INT($A69/4),2)</f>
        <v>1</v>
      </c>
      <c r="H69" s="15" t="n">
        <f aca="false">MOD(INT($A69/2),2)</f>
        <v>0</v>
      </c>
      <c r="I69" s="15" t="n">
        <f aca="false">MOD(INT($A69/1),2)</f>
        <v>1</v>
      </c>
      <c r="J69" s="14" t="n">
        <f aca="false">E_zero+D69*(Half_gap*(Ceiling_e-E_zero)-$F$4)</f>
        <v>78</v>
      </c>
      <c r="K69" s="14" t="n">
        <f aca="false">J69+E69*(Half_gap*(Ceiling_e-J69)-$F$4)</f>
        <v>81.5</v>
      </c>
      <c r="L69" s="14" t="n">
        <f aca="false">K69+F69*(Half_gap*(Ceiling_e-K69)-$F$4)</f>
        <v>83.25</v>
      </c>
      <c r="M69" s="14" t="n">
        <f aca="false">L69+G69*(Half_gap*(Ceiling_e-L69)-$F$4)</f>
        <v>84.125</v>
      </c>
      <c r="N69" s="14" t="n">
        <f aca="false">M69+H69*(Half_gap*(Ceiling_e-M69)-$F$4)</f>
        <v>84.125</v>
      </c>
      <c r="O69" s="14" t="n">
        <f aca="false">N69+I69*(Half_gap*(Ceiling_e-N69)-$F$4)</f>
        <v>84.5625</v>
      </c>
      <c r="P69" s="14" t="n">
        <f aca="false">Val_pt*(J69-E_zero)</f>
        <v>70</v>
      </c>
      <c r="Q69" s="14" t="n">
        <f aca="false">Val_pt*(K69-E_zero)</f>
        <v>105</v>
      </c>
      <c r="R69" s="14" t="n">
        <f aca="false">Val_pt*(L69-E_zero)</f>
        <v>122.5</v>
      </c>
      <c r="S69" s="14" t="n">
        <f aca="false">Val_pt*(M69-E_zero)</f>
        <v>131.25</v>
      </c>
      <c r="T69" s="14" t="n">
        <f aca="false">Val_pt*(N69-E_zero)</f>
        <v>131.25</v>
      </c>
      <c r="U69" s="14" t="n">
        <f aca="false">Val_pt*(O69-E_zero)</f>
        <v>135.625</v>
      </c>
      <c r="V69" s="14" t="n">
        <f aca="false">MAX(W69+Cost_round*D69-P69,IF(D69=1,Pre_q,0))</f>
        <v>535</v>
      </c>
      <c r="W69" s="14" t="n">
        <f aca="false">MAX(X69+Cost_round*E69-Q69,IF(E69=1,Pre_q,0),Floor_q)</f>
        <v>485</v>
      </c>
      <c r="X69" s="14" t="n">
        <f aca="false">MAX(Y69+Cost_round*F69-R69,IF(F69=1,Pre_q,0),Floor_q)</f>
        <v>470</v>
      </c>
      <c r="Y69" s="14" t="n">
        <f aca="false">MAX(Z69+Cost_round*G69-S69,IF(G69=1,Pre_q,0),Floor_q)</f>
        <v>470</v>
      </c>
      <c r="Z69" s="14" t="n">
        <f aca="false">MAX(AA69+Cost_round*H69-T69,IF(H69=1,Pre_q,0),Floor_q)</f>
        <v>350</v>
      </c>
      <c r="AA69" s="14" t="n">
        <f aca="false">MAX(AB69+Cost_round*I69-U69,IF(I69=1,Pre_q,0),Floor_q)</f>
        <v>470</v>
      </c>
      <c r="AB69" s="14" t="n">
        <f aca="false">MAX(End_q,Floor_q)</f>
        <v>470</v>
      </c>
      <c r="AC69" s="15" t="n">
        <f aca="false">IF(Q_zero&gt;=V69-0.000000001,1,0)</f>
        <v>1</v>
      </c>
      <c r="AD69" s="14" t="n">
        <f aca="false">IF($AC69=1,Q_zero-Cost_round*D69+P69-W69,"")</f>
        <v>85</v>
      </c>
      <c r="AE69" s="14" t="n">
        <f aca="false">IF($AC69=1,W69-Cost_round*E69+Q69-X69,"")</f>
        <v>0</v>
      </c>
      <c r="AF69" s="14" t="n">
        <f aca="false">IF($AC69=1,X69-Cost_round*F69+R69-Y69,"")</f>
        <v>2.5</v>
      </c>
      <c r="AG69" s="14" t="n">
        <f aca="false">IF($AC69=1,Y69-Cost_round*G69+S69-Z69,"")</f>
        <v>131.25</v>
      </c>
      <c r="AH69" s="14" t="n">
        <f aca="false">IF($AC69=1,Z69-Cost_round*H69+T69-AA69,"")</f>
        <v>11.25</v>
      </c>
      <c r="AI69" s="14" t="n">
        <f aca="false">IF($AC69=1,AA69-Cost_round*I69+U69-AB69,"")</f>
        <v>15.625</v>
      </c>
      <c r="AJ69" s="14" t="n">
        <f aca="false">IF($AC69=1,SUM(AD69:AI69),"")</f>
        <v>245.625</v>
      </c>
      <c r="AK69" s="17" t="n">
        <f aca="false">IF($AC69=1,AD69*Beta_y^1+AE69*Beta_y^2+AF69*Beta_y^3+AG69*Beta_y^4+AH69*Beta_y^5+AI69*Beta_y^6,"")</f>
        <v>184.601800333152</v>
      </c>
      <c r="AL69" s="17" t="n">
        <f aca="false">IF($AC69=1,AK69+Beta_y^6*U69/Hurdle_r,"")</f>
        <v>950.169567968588</v>
      </c>
      <c r="AM69" s="17" t="n">
        <f aca="false">IF($AC69=1,AK69,"")</f>
        <v>184.601800333152</v>
      </c>
      <c r="AN69" s="17" t="n">
        <f aca="false">IF($AC69=1,AK69+Beta_y^6*U69*(1-(1+Hurdle_r)^(-Life_yrs))/Hurdle_r,"")</f>
        <v>836.372797488912</v>
      </c>
      <c r="AO69" s="17" t="n">
        <f aca="false">IF($AC69=1,AJ69+Credit_yrs*U69,"")</f>
        <v>1601.875</v>
      </c>
      <c r="AP69" s="17" t="n">
        <f aca="false">IF($AC69=1,$AD69/(1+AP$6)^1+$AE69/(1+AP$6)^2+$AF69/(1+AP$6)^3+$AG69/(1+AP$6)^4+$AH69/(1+AP$6)^5+$AI69/(1+AP$6)^6+$U69/AP$6/(1+AP$6)^6,"")</f>
        <v>4010.34283512434</v>
      </c>
      <c r="AQ69" s="17" t="n">
        <f aca="false">IF($AC69=1,$AD69/(1+AQ$6)^1+$AE69/(1+AQ$6)^2+$AF69/(1+AQ$6)^3+$AG69/(1+AQ$6)^4+$AH69/(1+AQ$6)^5+$AI69/(1+AQ$6)^6+$U69/AQ$6/(1+AQ$6)^6,"")</f>
        <v>2235.67522308721</v>
      </c>
      <c r="AR69" s="17" t="n">
        <f aca="false">IF($AC69=1,$AD69/(1+AR$6)^1+$AE69/(1+AR$6)^2+$AF69/(1+AR$6)^3+$AG69/(1+AR$6)^4+$AH69/(1+AR$6)^5+$AI69/(1+AR$6)^6+$U69/AR$6/(1+AR$6)^6,"")</f>
        <v>1262.99835944773</v>
      </c>
      <c r="AS69" s="17" t="n">
        <f aca="false">IF($AC69=1,$AD69/(1+AS$6)^1+$AE69/(1+AS$6)^2+$AF69/(1+AS$6)^3+$AG69/(1+AS$6)^4+$AH69/(1+AS$6)^5+$AI69/(1+AS$6)^6+$U69/AS$6/(1+AS$6)^6,"")</f>
        <v>950.169567968588</v>
      </c>
      <c r="AT69" s="17" t="n">
        <f aca="false">IF($AC69=1,$AD69/(1+AT$6)^1+$AE69/(1+AT$6)^2+$AF69/(1+AT$6)^3+$AG69/(1+AT$6)^4+$AH69/(1+AT$6)^5+$AI69/(1+AT$6)^6+$U69/AT$6/(1+AT$6)^6,"")</f>
        <v>747.982434028872</v>
      </c>
      <c r="AU69" s="17" t="n">
        <f aca="false">IF($AC69=1,$AD69/(1+AU$6)^1+$AE69/(1+AU$6)^2+$AF69/(1+AU$6)^3+$AG69/(1+AU$6)^4+$AH69/(1+AU$6)^5+$AI69/(1+AU$6)^6+$U69/AU$6/(1+AU$6)^6,"")</f>
        <v>553.844005805016</v>
      </c>
      <c r="AV69" s="17" t="n">
        <f aca="false">IF($AC69=1,$AD69/(1+AV$6)^1+$AE69/(1+AV$6)^2+$AF69/(1+AV$6)^3+$AG69/(1+AV$6)^4+$AH69/(1+AV$6)^5+$AI69/(1+AV$6)^6+$U69/AV$6/(1+AV$6)^6,"")</f>
        <v>372.432404192387</v>
      </c>
      <c r="AW69" s="17" t="n">
        <f aca="false">IF($AC69=1,$AD69/(1+AW$6)^1+$AE69/(1+AW$6)^2+$AF69/(1+AW$6)^3+$AG69/(1+AW$6)^4+$AH69/(1+AW$6)^5+$AI69/(1+AW$6)^6+$U69/AW$6/(1+AW$6)^6,"")</f>
        <v>212.404796488391</v>
      </c>
      <c r="AX69" s="17" t="n">
        <f aca="false">IF($AC69=1,$AD69/(1+AX$6)^1+$AE69/(1+AX$6)^2+$AF69/(1+AX$6)^3+$AG69/(1+AX$6)^4+$AH69/(1+AX$6)^5+$AI69/(1+AX$6)^6+$U69/AX$6/(1+AX$6)^6,"")</f>
        <v>6907.99012442487</v>
      </c>
      <c r="AY69" s="17" t="n">
        <f aca="false">IF($AC69=1,$AD69/(1+AY$6)^1+$AE69/(1+AY$6)^2+$AF69/(1+AY$6)^3+$AG69/(1+AY$6)^4+$AH69/(1+AY$6)^5+$AI69/(1+AY$6)^6+$U69/AY$6/(1+AY$6)^6,"")</f>
        <v>3220.76367373495</v>
      </c>
      <c r="AZ69" s="17" t="n">
        <f aca="false">IF($AC69=1,$AD69/(1+AZ$6)^1+$AE69/(1+AZ$6)^2+$AF69/(1+AZ$6)^3+$AG69/(1+AZ$6)^4+$AH69/(1+AZ$6)^5+$AI69/(1+AZ$6)^6+$U69/AZ$6/(1+AZ$6)^6,"")</f>
        <v>1417.76669778</v>
      </c>
      <c r="BA69" s="17" t="n">
        <f aca="false">IF($AC69=1,$AD69/(1+BA$6)^1+$AE69/(1+BA$6)^2+$AF69/(1+BA$6)^3+$AG69/(1+BA$6)^4+$AH69/(1+BA$6)^5+$AI69/(1+BA$6)^6+$U69/BA$6/(1+BA$6)^6,"")</f>
        <v>577.308391615332</v>
      </c>
      <c r="BB69" s="17" t="n">
        <f aca="false">IF($AC69=1,$AD69/(1+BB$6)^1+$AE69/(1+BB$6)^2+$AF69/(1+BB$6)^3+$AG69/(1+BB$6)^4+$AH69/(1+BB$6)^5+$AI69/(1+BB$6)^6+$U69/BB$6/(1+BB$6)^6,"")</f>
        <v>213.656132592497</v>
      </c>
    </row>
    <row r="70" customFormat="false" ht="15" hidden="false" customHeight="false" outlineLevel="0" collapsed="false">
      <c r="A70" s="2" t="n">
        <v>62</v>
      </c>
      <c r="B70" s="2" t="str">
        <f aca="false">D70&amp;E70&amp;F70&amp;G70&amp;H70&amp;I70</f>
        <v>111110</v>
      </c>
      <c r="C70" s="15" t="n">
        <f aca="false">SUM(D70:I70)</f>
        <v>5</v>
      </c>
      <c r="D70" s="15" t="n">
        <f aca="false">MOD(INT($A70/32),2)</f>
        <v>1</v>
      </c>
      <c r="E70" s="15" t="n">
        <f aca="false">MOD(INT($A70/16),2)</f>
        <v>1</v>
      </c>
      <c r="F70" s="15" t="n">
        <f aca="false">MOD(INT($A70/8),2)</f>
        <v>1</v>
      </c>
      <c r="G70" s="15" t="n">
        <f aca="false">MOD(INT($A70/4),2)</f>
        <v>1</v>
      </c>
      <c r="H70" s="15" t="n">
        <f aca="false">MOD(INT($A70/2),2)</f>
        <v>1</v>
      </c>
      <c r="I70" s="15" t="n">
        <f aca="false">MOD(INT($A70/1),2)</f>
        <v>0</v>
      </c>
      <c r="J70" s="14" t="n">
        <f aca="false">E_zero+D70*(Half_gap*(Ceiling_e-E_zero)-$F$4)</f>
        <v>78</v>
      </c>
      <c r="K70" s="14" t="n">
        <f aca="false">J70+E70*(Half_gap*(Ceiling_e-J70)-$F$4)</f>
        <v>81.5</v>
      </c>
      <c r="L70" s="14" t="n">
        <f aca="false">K70+F70*(Half_gap*(Ceiling_e-K70)-$F$4)</f>
        <v>83.25</v>
      </c>
      <c r="M70" s="14" t="n">
        <f aca="false">L70+G70*(Half_gap*(Ceiling_e-L70)-$F$4)</f>
        <v>84.125</v>
      </c>
      <c r="N70" s="14" t="n">
        <f aca="false">M70+H70*(Half_gap*(Ceiling_e-M70)-$F$4)</f>
        <v>84.5625</v>
      </c>
      <c r="O70" s="14" t="n">
        <f aca="false">N70+I70*(Half_gap*(Ceiling_e-N70)-$F$4)</f>
        <v>84.5625</v>
      </c>
      <c r="P70" s="14" t="n">
        <f aca="false">Val_pt*(J70-E_zero)</f>
        <v>70</v>
      </c>
      <c r="Q70" s="14" t="n">
        <f aca="false">Val_pt*(K70-E_zero)</f>
        <v>105</v>
      </c>
      <c r="R70" s="14" t="n">
        <f aca="false">Val_pt*(L70-E_zero)</f>
        <v>122.5</v>
      </c>
      <c r="S70" s="14" t="n">
        <f aca="false">Val_pt*(M70-E_zero)</f>
        <v>131.25</v>
      </c>
      <c r="T70" s="14" t="n">
        <f aca="false">Val_pt*(N70-E_zero)</f>
        <v>135.625</v>
      </c>
      <c r="U70" s="14" t="n">
        <f aca="false">Val_pt*(O70-E_zero)</f>
        <v>135.625</v>
      </c>
      <c r="V70" s="14" t="n">
        <f aca="false">MAX(W70+Cost_round*D70-P70,IF(D70=1,Pre_q,0))</f>
        <v>535</v>
      </c>
      <c r="W70" s="14" t="n">
        <f aca="false">MAX(X70+Cost_round*E70-Q70,IF(E70=1,Pre_q,0),Floor_q)</f>
        <v>485</v>
      </c>
      <c r="X70" s="14" t="n">
        <f aca="false">MAX(Y70+Cost_round*F70-R70,IF(F70=1,Pre_q,0),Floor_q)</f>
        <v>470</v>
      </c>
      <c r="Y70" s="14" t="n">
        <f aca="false">MAX(Z70+Cost_round*G70-S70,IF(G70=1,Pre_q,0),Floor_q)</f>
        <v>470</v>
      </c>
      <c r="Z70" s="14" t="n">
        <f aca="false">MAX(AA70+Cost_round*H70-T70,IF(H70=1,Pre_q,0),Floor_q)</f>
        <v>470</v>
      </c>
      <c r="AA70" s="14" t="n">
        <f aca="false">MAX(AB70+Cost_round*I70-U70,IF(I70=1,Pre_q,0),Floor_q)</f>
        <v>350</v>
      </c>
      <c r="AB70" s="14" t="n">
        <f aca="false">MAX(End_q,Floor_q)</f>
        <v>470</v>
      </c>
      <c r="AC70" s="15" t="n">
        <f aca="false">IF(Q_zero&gt;=V70-0.000000001,1,0)</f>
        <v>1</v>
      </c>
      <c r="AD70" s="14" t="n">
        <f aca="false">IF($AC70=1,Q_zero-Cost_round*D70+P70-W70,"")</f>
        <v>85</v>
      </c>
      <c r="AE70" s="14" t="n">
        <f aca="false">IF($AC70=1,W70-Cost_round*E70+Q70-X70,"")</f>
        <v>0</v>
      </c>
      <c r="AF70" s="14" t="n">
        <f aca="false">IF($AC70=1,X70-Cost_round*F70+R70-Y70,"")</f>
        <v>2.5</v>
      </c>
      <c r="AG70" s="14" t="n">
        <f aca="false">IF($AC70=1,Y70-Cost_round*G70+S70-Z70,"")</f>
        <v>11.25</v>
      </c>
      <c r="AH70" s="14" t="n">
        <f aca="false">IF($AC70=1,Z70-Cost_round*H70+T70-AA70,"")</f>
        <v>135.625</v>
      </c>
      <c r="AI70" s="14" t="n">
        <f aca="false">IF($AC70=1,AA70-Cost_round*I70+U70-AB70,"")</f>
        <v>15.625</v>
      </c>
      <c r="AJ70" s="14" t="n">
        <f aca="false">IF($AC70=1,SUM(AD70:AI70),"")</f>
        <v>250</v>
      </c>
      <c r="AK70" s="17" t="n">
        <f aca="false">IF($AC70=1,AD70*Beta_y^1+AE70*Beta_y^2+AF70*Beta_y^3+AG70*Beta_y^4+AH70*Beta_y^5+AI70*Beta_y^6,"")</f>
        <v>179.867275244826</v>
      </c>
      <c r="AL70" s="17" t="n">
        <f aca="false">IF($AC70=1,AK70+Beta_y^6*U70/Hurdle_r,"")</f>
        <v>945.435042880262</v>
      </c>
      <c r="AM70" s="17" t="n">
        <f aca="false">IF($AC70=1,AK70,"")</f>
        <v>179.867275244826</v>
      </c>
      <c r="AN70" s="17" t="n">
        <f aca="false">IF($AC70=1,AK70+Beta_y^6*U70*(1-(1+Hurdle_r)^(-Life_yrs))/Hurdle_r,"")</f>
        <v>831.638272400586</v>
      </c>
      <c r="AO70" s="17" t="n">
        <f aca="false">IF($AC70=1,AJ70+Credit_yrs*U70,"")</f>
        <v>1606.25</v>
      </c>
      <c r="AP70" s="17" t="n">
        <f aca="false">IF($AC70=1,$AD70/(1+AP$6)^1+$AE70/(1+AP$6)^2+$AF70/(1+AP$6)^3+$AG70/(1+AP$6)^4+$AH70/(1+AP$6)^5+$AI70/(1+AP$6)^6+$U70/AP$6/(1+AP$6)^6,"")</f>
        <v>4011.01135693223</v>
      </c>
      <c r="AQ70" s="17" t="n">
        <f aca="false">IF($AC70=1,$AD70/(1+AQ$6)^1+$AE70/(1+AQ$6)^2+$AF70/(1+AQ$6)^3+$AG70/(1+AQ$6)^4+$AH70/(1+AQ$6)^5+$AI70/(1+AQ$6)^6+$U70/AQ$6/(1+AQ$6)^6,"")</f>
        <v>2234.4019930667</v>
      </c>
      <c r="AR70" s="17" t="n">
        <f aca="false">IF($AC70=1,$AD70/(1+AR$6)^1+$AE70/(1+AR$6)^2+$AF70/(1+AR$6)^3+$AG70/(1+AR$6)^4+$AH70/(1+AR$6)^5+$AI70/(1+AR$6)^6+$U70/AR$6/(1+AR$6)^6,"")</f>
        <v>1259.44231224323</v>
      </c>
      <c r="AS70" s="17" t="n">
        <f aca="false">IF($AC70=1,$AD70/(1+AS$6)^1+$AE70/(1+AS$6)^2+$AF70/(1+AS$6)^3+$AG70/(1+AS$6)^4+$AH70/(1+AS$6)^5+$AI70/(1+AS$6)^6+$U70/AS$6/(1+AS$6)^6,"")</f>
        <v>945.435042880262</v>
      </c>
      <c r="AT70" s="17" t="n">
        <f aca="false">IF($AC70=1,$AD70/(1+AT$6)^1+$AE70/(1+AT$6)^2+$AF70/(1+AT$6)^3+$AG70/(1+AT$6)^4+$AH70/(1+AT$6)^5+$AI70/(1+AT$6)^6+$U70/AT$6/(1+AT$6)^6,"")</f>
        <v>742.293979800293</v>
      </c>
      <c r="AU70" s="17" t="n">
        <f aca="false">IF($AC70=1,$AD70/(1+AU$6)^1+$AE70/(1+AU$6)^2+$AF70/(1+AU$6)^3+$AG70/(1+AU$6)^4+$AH70/(1+AU$6)^5+$AI70/(1+AU$6)^6+$U70/AU$6/(1+AU$6)^6,"")</f>
        <v>547.069972786577</v>
      </c>
      <c r="AV70" s="17" t="n">
        <f aca="false">IF($AC70=1,$AD70/(1+AV$6)^1+$AE70/(1+AV$6)^2+$AF70/(1+AV$6)^3+$AG70/(1+AV$6)^4+$AH70/(1+AV$6)^5+$AI70/(1+AV$6)^6+$U70/AV$6/(1+AV$6)^6,"")</f>
        <v>364.545556841564</v>
      </c>
      <c r="AW70" s="17" t="n">
        <f aca="false">IF($AC70=1,$AD70/(1+AW$6)^1+$AE70/(1+AW$6)^2+$AF70/(1+AW$6)^3+$AG70/(1+AW$6)^4+$AH70/(1+AW$6)^5+$AI70/(1+AW$6)^6+$U70/AW$6/(1+AW$6)^6,"")</f>
        <v>203.887264512297</v>
      </c>
      <c r="AX70" s="17" t="n">
        <f aca="false">IF($AC70=1,$AD70/(1+AX$6)^1+$AE70/(1+AX$6)^2+$AF70/(1+AX$6)^3+$AG70/(1+AX$6)^4+$AH70/(1+AX$6)^5+$AI70/(1+AX$6)^6+$U70/AX$6/(1+AX$6)^6,"")</f>
        <v>6909.98869917637</v>
      </c>
      <c r="AY70" s="17" t="n">
        <f aca="false">IF($AC70=1,$AD70/(1+AY$6)^1+$AE70/(1+AY$6)^2+$AF70/(1+AY$6)^3+$AG70/(1+AY$6)^4+$AH70/(1+AY$6)^5+$AI70/(1+AY$6)^6+$U70/AY$6/(1+AY$6)^6,"")</f>
        <v>3220.76367373499</v>
      </c>
      <c r="AZ70" s="17" t="n">
        <f aca="false">IF($AC70=1,$AD70/(1+AZ$6)^1+$AE70/(1+AZ$6)^2+$AF70/(1+AZ$6)^3+$AG70/(1+AZ$6)^4+$AH70/(1+AZ$6)^5+$AI70/(1+AZ$6)^6+$U70/AZ$6/(1+AZ$6)^6,"")</f>
        <v>1414.68955180475</v>
      </c>
      <c r="BA70" s="17" t="n">
        <f aca="false">IF($AC70=1,$AD70/(1+BA$6)^1+$AE70/(1+BA$6)^2+$AF70/(1+BA$6)^3+$AG70/(1+BA$6)^4+$AH70/(1+BA$6)^5+$AI70/(1+BA$6)^6+$U70/BA$6/(1+BA$6)^6,"")</f>
        <v>570.674131947736</v>
      </c>
      <c r="BB70" s="17" t="n">
        <f aca="false">IF($AC70=1,$AD70/(1+BB$6)^1+$AE70/(1+BB$6)^2+$AF70/(1+BB$6)^3+$AG70/(1+BB$6)^4+$AH70/(1+BB$6)^5+$AI70/(1+BB$6)^6+$U70/BB$6/(1+BB$6)^6,"")</f>
        <v>205.138114317141</v>
      </c>
    </row>
    <row r="71" customFormat="false" ht="15" hidden="false" customHeight="false" outlineLevel="0" collapsed="false">
      <c r="A71" s="2" t="n">
        <v>63</v>
      </c>
      <c r="B71" s="2" t="str">
        <f aca="false">D71&amp;E71&amp;F71&amp;G71&amp;H71&amp;I71</f>
        <v>111111</v>
      </c>
      <c r="C71" s="15" t="n">
        <f aca="false">SUM(D71:I71)</f>
        <v>6</v>
      </c>
      <c r="D71" s="15" t="n">
        <f aca="false">MOD(INT($A71/32),2)</f>
        <v>1</v>
      </c>
      <c r="E71" s="15" t="n">
        <f aca="false">MOD(INT($A71/16),2)</f>
        <v>1</v>
      </c>
      <c r="F71" s="15" t="n">
        <f aca="false">MOD(INT($A71/8),2)</f>
        <v>1</v>
      </c>
      <c r="G71" s="15" t="n">
        <f aca="false">MOD(INT($A71/4),2)</f>
        <v>1</v>
      </c>
      <c r="H71" s="15" t="n">
        <f aca="false">MOD(INT($A71/2),2)</f>
        <v>1</v>
      </c>
      <c r="I71" s="15" t="n">
        <f aca="false">MOD(INT($A71/1),2)</f>
        <v>1</v>
      </c>
      <c r="J71" s="14" t="n">
        <f aca="false">E_zero+D71*(Half_gap*(Ceiling_e-E_zero)-$F$4)</f>
        <v>78</v>
      </c>
      <c r="K71" s="14" t="n">
        <f aca="false">J71+E71*(Half_gap*(Ceiling_e-J71)-$F$4)</f>
        <v>81.5</v>
      </c>
      <c r="L71" s="14" t="n">
        <f aca="false">K71+F71*(Half_gap*(Ceiling_e-K71)-$F$4)</f>
        <v>83.25</v>
      </c>
      <c r="M71" s="14" t="n">
        <f aca="false">L71+G71*(Half_gap*(Ceiling_e-L71)-$F$4)</f>
        <v>84.125</v>
      </c>
      <c r="N71" s="14" t="n">
        <f aca="false">M71+H71*(Half_gap*(Ceiling_e-M71)-$F$4)</f>
        <v>84.5625</v>
      </c>
      <c r="O71" s="14" t="n">
        <f aca="false">N71+I71*(Half_gap*(Ceiling_e-N71)-$F$4)</f>
        <v>84.78125</v>
      </c>
      <c r="P71" s="14" t="n">
        <f aca="false">Val_pt*(J71-E_zero)</f>
        <v>70</v>
      </c>
      <c r="Q71" s="14" t="n">
        <f aca="false">Val_pt*(K71-E_zero)</f>
        <v>105</v>
      </c>
      <c r="R71" s="14" t="n">
        <f aca="false">Val_pt*(L71-E_zero)</f>
        <v>122.5</v>
      </c>
      <c r="S71" s="14" t="n">
        <f aca="false">Val_pt*(M71-E_zero)</f>
        <v>131.25</v>
      </c>
      <c r="T71" s="14" t="n">
        <f aca="false">Val_pt*(N71-E_zero)</f>
        <v>135.625</v>
      </c>
      <c r="U71" s="14" t="n">
        <f aca="false">Val_pt*(O71-E_zero)</f>
        <v>137.8125</v>
      </c>
      <c r="V71" s="14" t="n">
        <f aca="false">MAX(W71+Cost_round*D71-P71,IF(D71=1,Pre_q,0))</f>
        <v>535</v>
      </c>
      <c r="W71" s="14" t="n">
        <f aca="false">MAX(X71+Cost_round*E71-Q71,IF(E71=1,Pre_q,0),Floor_q)</f>
        <v>485</v>
      </c>
      <c r="X71" s="14" t="n">
        <f aca="false">MAX(Y71+Cost_round*F71-R71,IF(F71=1,Pre_q,0),Floor_q)</f>
        <v>470</v>
      </c>
      <c r="Y71" s="14" t="n">
        <f aca="false">MAX(Z71+Cost_round*G71-S71,IF(G71=1,Pre_q,0),Floor_q)</f>
        <v>470</v>
      </c>
      <c r="Z71" s="14" t="n">
        <f aca="false">MAX(AA71+Cost_round*H71-T71,IF(H71=1,Pre_q,0),Floor_q)</f>
        <v>470</v>
      </c>
      <c r="AA71" s="14" t="n">
        <f aca="false">MAX(AB71+Cost_round*I71-U71,IF(I71=1,Pre_q,0),Floor_q)</f>
        <v>470</v>
      </c>
      <c r="AB71" s="14" t="n">
        <f aca="false">MAX(End_q,Floor_q)</f>
        <v>470</v>
      </c>
      <c r="AC71" s="15" t="n">
        <f aca="false">IF(Q_zero&gt;=V71-0.000000001,1,0)</f>
        <v>1</v>
      </c>
      <c r="AD71" s="14" t="n">
        <f aca="false">IF($AC71=1,Q_zero-Cost_round*D71+P71-W71,"")</f>
        <v>85</v>
      </c>
      <c r="AE71" s="14" t="n">
        <f aca="false">IF($AC71=1,W71-Cost_round*E71+Q71-X71,"")</f>
        <v>0</v>
      </c>
      <c r="AF71" s="14" t="n">
        <f aca="false">IF($AC71=1,X71-Cost_round*F71+R71-Y71,"")</f>
        <v>2.5</v>
      </c>
      <c r="AG71" s="14" t="n">
        <f aca="false">IF($AC71=1,Y71-Cost_round*G71+S71-Z71,"")</f>
        <v>11.25</v>
      </c>
      <c r="AH71" s="14" t="n">
        <f aca="false">IF($AC71=1,Z71-Cost_round*H71+T71-AA71,"")</f>
        <v>15.625</v>
      </c>
      <c r="AI71" s="14" t="n">
        <f aca="false">IF($AC71=1,AA71-Cost_round*I71+U71-AB71,"")</f>
        <v>17.8125</v>
      </c>
      <c r="AJ71" s="14" t="n">
        <f aca="false">IF($AC71=1,SUM(AD71:AI71),"")</f>
        <v>132.1875</v>
      </c>
      <c r="AK71" s="17" t="n">
        <f aca="false">IF($AC71=1,AD71*Beta_y^1+AE71*Beta_y^2+AF71*Beta_y^3+AG71*Beta_y^4+AH71*Beta_y^5+AI71*Beta_y^6,"")</f>
        <v>106.59150319972</v>
      </c>
      <c r="AL71" s="17" t="n">
        <f aca="false">IF($AC71=1,AK71+Beta_y^6*U71/Hurdle_r,"")</f>
        <v>884.507138055082</v>
      </c>
      <c r="AM71" s="17" t="n">
        <f aca="false">IF($AC71=1,AK71,"")</f>
        <v>106.59150319972</v>
      </c>
      <c r="AN71" s="17" t="n">
        <f aca="false">IF($AC71=1,AK71+Beta_y^6*U71*(1-(1+Hurdle_r)^(-Life_yrs))/Hurdle_r,"")</f>
        <v>768.874935793477</v>
      </c>
      <c r="AO71" s="17" t="n">
        <f aca="false">IF($AC71=1,AJ71+Credit_yrs*U71,"")</f>
        <v>1510.3125</v>
      </c>
      <c r="AP71" s="17" t="n">
        <f aca="false">IF($AC71=1,$AD71/(1+AP$6)^1+$AE71/(1+AP$6)^2+$AF71/(1+AP$6)^3+$AG71/(1+AP$6)^4+$AH71/(1+AP$6)^5+$AI71/(1+AP$6)^6+$U71/AP$6/(1+AP$6)^6,"")</f>
        <v>3970.39686000081</v>
      </c>
      <c r="AQ71" s="17" t="n">
        <f aca="false">IF($AC71=1,$AD71/(1+AQ$6)^1+$AE71/(1+AQ$6)^2+$AF71/(1+AQ$6)^3+$AG71/(1+AQ$6)^4+$AH71/(1+AQ$6)^5+$AI71/(1+AQ$6)^6+$U71/AQ$6/(1+AQ$6)^6,"")</f>
        <v>2174.65812287348</v>
      </c>
      <c r="AR71" s="17" t="n">
        <f aca="false">IF($AC71=1,$AD71/(1+AR$6)^1+$AE71/(1+AR$6)^2+$AF71/(1+AR$6)^3+$AG71/(1+AR$6)^4+$AH71/(1+AR$6)^5+$AI71/(1+AR$6)^6+$U71/AR$6/(1+AR$6)^6,"")</f>
        <v>1196.38202539307</v>
      </c>
      <c r="AS71" s="17" t="n">
        <f aca="false">IF($AC71=1,$AD71/(1+AS$6)^1+$AE71/(1+AS$6)^2+$AF71/(1+AS$6)^3+$AG71/(1+AS$6)^4+$AH71/(1+AS$6)^5+$AI71/(1+AS$6)^6+$U71/AS$6/(1+AS$6)^6,"")</f>
        <v>884.507138055082</v>
      </c>
      <c r="AT71" s="17" t="n">
        <f aca="false">IF($AC71=1,$AD71/(1+AT$6)^1+$AE71/(1+AT$6)^2+$AF71/(1+AT$6)^3+$AG71/(1+AT$6)^4+$AH71/(1+AT$6)^5+$AI71/(1+AT$6)^6+$U71/AT$6/(1+AT$6)^6,"")</f>
        <v>684.546475838098</v>
      </c>
      <c r="AU71" s="17" t="n">
        <f aca="false">IF($AC71=1,$AD71/(1+AU$6)^1+$AE71/(1+AU$6)^2+$AF71/(1+AU$6)^3+$AG71/(1+AU$6)^4+$AH71/(1+AU$6)^5+$AI71/(1+AU$6)^6+$U71/AU$6/(1+AU$6)^6,"")</f>
        <v>494.659258607215</v>
      </c>
      <c r="AV71" s="17" t="n">
        <f aca="false">IF($AC71=1,$AD71/(1+AV$6)^1+$AE71/(1+AV$6)^2+$AF71/(1+AV$6)^3+$AG71/(1+AV$6)^4+$AH71/(1+AV$6)^5+$AI71/(1+AV$6)^6+$U71/AV$6/(1+AV$6)^6,"")</f>
        <v>320.715784143519</v>
      </c>
      <c r="AW71" s="17" t="n">
        <f aca="false">IF($AC71=1,$AD71/(1+AW$6)^1+$AE71/(1+AW$6)^2+$AF71/(1+AW$6)^3+$AG71/(1+AW$6)^4+$AH71/(1+AW$6)^5+$AI71/(1+AW$6)^6+$U71/AW$6/(1+AW$6)^6,"")</f>
        <v>173.531633424898</v>
      </c>
      <c r="AX71" s="17" t="n">
        <f aca="false">IF($AC71=1,$AD71/(1+AX$6)^1+$AE71/(1+AX$6)^2+$AF71/(1+AX$6)^3+$AG71/(1+AX$6)^4+$AH71/(1+AX$6)^5+$AI71/(1+AX$6)^6+$U71/AX$6/(1+AX$6)^6,"")</f>
        <v>6909.98869917737</v>
      </c>
      <c r="AY71" s="17" t="n">
        <f aca="false">IF($AC71=1,$AD71/(1+AY$6)^1+$AE71/(1+AY$6)^2+$AF71/(1+AY$6)^3+$AG71/(1+AY$6)^4+$AH71/(1+AY$6)^5+$AI71/(1+AY$6)^6+$U71/AY$6/(1+AY$6)^6,"")</f>
        <v>3170.59969075218</v>
      </c>
      <c r="AZ71" s="17" t="n">
        <f aca="false">IF($AC71=1,$AD71/(1+AZ$6)^1+$AE71/(1+AZ$6)^2+$AF71/(1+AZ$6)^3+$AG71/(1+AZ$6)^4+$AH71/(1+AZ$6)^5+$AI71/(1+AZ$6)^6+$U71/AZ$6/(1+AZ$6)^6,"")</f>
        <v>1351.38826317004</v>
      </c>
      <c r="BA71" s="17" t="n">
        <f aca="false">IF($AC71=1,$AD71/(1+BA$6)^1+$AE71/(1+BA$6)^2+$AF71/(1+BA$6)^3+$AG71/(1+BA$6)^4+$AH71/(1+BA$6)^5+$AI71/(1+BA$6)^6+$U71/BA$6/(1+BA$6)^6,"")</f>
        <v>517.454024401021</v>
      </c>
      <c r="BB71" s="17" t="n">
        <f aca="false">IF($AC71=1,$AD71/(1+BB$6)^1+$AE71/(1+BB$6)^2+$AF71/(1+BB$6)^3+$AG71/(1+BB$6)^4+$AH71/(1+BB$6)^5+$AI71/(1+BB$6)^6+$U71/BB$6/(1+BB$6)^6,"")</f>
        <v>174.640032924741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7" min="7" style="0" width="13"/>
    <col collapsed="false" customWidth="true" hidden="false" outlineLevel="0" max="8" min="8" style="0" width="14"/>
    <col collapsed="false" customWidth="true" hidden="false" outlineLevel="0" max="9" min="9" style="0" width="12"/>
  </cols>
  <sheetData>
    <row r="1" customFormat="false" ht="15" hidden="false" customHeight="false" outlineLevel="0" collapsed="false">
      <c r="A1" s="1" t="s">
        <v>132</v>
      </c>
    </row>
    <row r="2" customFormat="false" ht="15" hidden="false" customHeight="false" outlineLevel="0" collapsed="false">
      <c r="A2" s="10" t="s">
        <v>133</v>
      </c>
    </row>
    <row r="4" customFormat="false" ht="15" hidden="false" customHeight="false" outlineLevel="0" collapsed="false">
      <c r="A4" s="2" t="s">
        <v>134</v>
      </c>
      <c r="H4" s="17" t="n">
        <f aca="false">MAX(Transcribe!$AL$8:$AL$71)</f>
        <v>1021.93254988115</v>
      </c>
    </row>
    <row r="5" customFormat="false" ht="15" hidden="false" customHeight="false" outlineLevel="0" collapsed="false">
      <c r="A5" s="2" t="s">
        <v>135</v>
      </c>
      <c r="H5" s="15" t="n">
        <f aca="false">MATCH(H4,Transcribe!$AL$8:$AL$71,0)</f>
        <v>57</v>
      </c>
    </row>
    <row r="6" customFormat="false" ht="15" hidden="false" customHeight="false" outlineLevel="0" collapsed="false">
      <c r="A6" s="2" t="s">
        <v>136</v>
      </c>
      <c r="H6" s="2" t="str">
        <f aca="false">INDEX(Transcribe!$B$8:$B$71,H5)</f>
        <v>111000</v>
      </c>
    </row>
    <row r="7" customFormat="false" ht="15" hidden="false" customHeight="false" outlineLevel="0" collapsed="false">
      <c r="A7" s="2" t="s">
        <v>137</v>
      </c>
      <c r="H7" s="15" t="n">
        <f aca="false">INDEX(Transcribe!$C$8:$C$71,H5)</f>
        <v>3</v>
      </c>
    </row>
    <row r="8" customFormat="false" ht="15" hidden="false" customHeight="false" outlineLevel="0" collapsed="false">
      <c r="A8" s="2" t="s">
        <v>138</v>
      </c>
      <c r="H8" s="15" t="n">
        <f aca="false">SUM(Transcribe!$AC$8:$AC$71)</f>
        <v>64</v>
      </c>
    </row>
    <row r="10" customFormat="false" ht="15" hidden="false" customHeight="false" outlineLevel="0" collapsed="false">
      <c r="A10" s="8" t="s">
        <v>50</v>
      </c>
      <c r="B10" s="8" t="s">
        <v>139</v>
      </c>
      <c r="C10" s="8" t="s">
        <v>54</v>
      </c>
      <c r="D10" s="8" t="s">
        <v>55</v>
      </c>
      <c r="E10" s="8" t="s">
        <v>140</v>
      </c>
      <c r="F10" s="8" t="s">
        <v>56</v>
      </c>
      <c r="G10" s="8" t="s">
        <v>57</v>
      </c>
      <c r="H10" s="8" t="s">
        <v>58</v>
      </c>
      <c r="I10" s="8" t="s">
        <v>59</v>
      </c>
    </row>
    <row r="11" customFormat="false" ht="15" hidden="false" customHeight="false" outlineLevel="0" collapsed="false">
      <c r="A11" s="0" t="n">
        <v>0</v>
      </c>
      <c r="C11" s="18" t="n">
        <f aca="false">E_zero</f>
        <v>71</v>
      </c>
      <c r="E11" s="14" t="n">
        <f aca="false">INDEX(Transcribe!$V$8:$V$71,$H$5)</f>
        <v>535</v>
      </c>
      <c r="G11" s="18" t="n">
        <f aca="false">Q_zero</f>
        <v>620</v>
      </c>
    </row>
    <row r="12" customFormat="false" ht="15" hidden="false" customHeight="false" outlineLevel="0" collapsed="false">
      <c r="A12" s="2" t="n">
        <v>1</v>
      </c>
      <c r="B12" s="15" t="n">
        <f aca="false">INDEX(Transcribe!$D$8:$D$71,$H$5)</f>
        <v>1</v>
      </c>
      <c r="C12" s="14" t="n">
        <f aca="false">INDEX(Transcribe!$J$8:$J$71,$H$5)</f>
        <v>78</v>
      </c>
      <c r="D12" s="14" t="n">
        <f aca="false">INDEX(Transcribe!$P$8:$P$71,$H$5)</f>
        <v>70</v>
      </c>
      <c r="E12" s="14" t="n">
        <f aca="false">INDEX(Transcribe!$W$8:$W$71,$H$5)</f>
        <v>485</v>
      </c>
      <c r="F12" s="14" t="n">
        <f aca="false">INDEX(Transcribe!$AD$8:$AD$71,$H$5)</f>
        <v>85</v>
      </c>
      <c r="G12" s="14" t="n">
        <f aca="false">G11-Cost_round*B12+D12-F12</f>
        <v>485</v>
      </c>
      <c r="H12" s="16" t="n">
        <f aca="false">Beta_y^A12</f>
        <v>0.909090909090909</v>
      </c>
      <c r="I12" s="17" t="n">
        <f aca="false">F12*H12</f>
        <v>77.2727272727273</v>
      </c>
    </row>
    <row r="13" customFormat="false" ht="15" hidden="false" customHeight="false" outlineLevel="0" collapsed="false">
      <c r="A13" s="2" t="n">
        <v>2</v>
      </c>
      <c r="B13" s="15" t="n">
        <f aca="false">INDEX(Transcribe!$E$8:$E$71,$H$5)</f>
        <v>1</v>
      </c>
      <c r="C13" s="14" t="n">
        <f aca="false">INDEX(Transcribe!$K$8:$K$71,$H$5)</f>
        <v>81.5</v>
      </c>
      <c r="D13" s="14" t="n">
        <f aca="false">INDEX(Transcribe!$Q$8:$Q$71,$H$5)</f>
        <v>105</v>
      </c>
      <c r="E13" s="14" t="n">
        <f aca="false">INDEX(Transcribe!$X$8:$X$71,$H$5)</f>
        <v>470</v>
      </c>
      <c r="F13" s="14" t="n">
        <f aca="false">INDEX(Transcribe!$AE$8:$AE$71,$H$5)</f>
        <v>0</v>
      </c>
      <c r="G13" s="14" t="n">
        <f aca="false">G12-Cost_round*B13+D13-F13</f>
        <v>470</v>
      </c>
      <c r="H13" s="16" t="n">
        <f aca="false">Beta_y^A13</f>
        <v>0.826446280991735</v>
      </c>
      <c r="I13" s="17" t="n">
        <f aca="false">F13*H13</f>
        <v>0</v>
      </c>
    </row>
    <row r="14" customFormat="false" ht="15" hidden="false" customHeight="false" outlineLevel="0" collapsed="false">
      <c r="A14" s="2" t="n">
        <v>3</v>
      </c>
      <c r="B14" s="15" t="n">
        <f aca="false">INDEX(Transcribe!$F$8:$F$71,$H$5)</f>
        <v>1</v>
      </c>
      <c r="C14" s="14" t="n">
        <f aca="false">INDEX(Transcribe!$L$8:$L$71,$H$5)</f>
        <v>83.25</v>
      </c>
      <c r="D14" s="14" t="n">
        <f aca="false">INDEX(Transcribe!$R$8:$R$71,$H$5)</f>
        <v>122.5</v>
      </c>
      <c r="E14" s="14" t="n">
        <f aca="false">INDEX(Transcribe!$Y$8:$Y$71,$H$5)</f>
        <v>350</v>
      </c>
      <c r="F14" s="14" t="n">
        <f aca="false">INDEX(Transcribe!$AF$8:$AF$71,$H$5)</f>
        <v>122.5</v>
      </c>
      <c r="G14" s="14" t="n">
        <f aca="false">G13-Cost_round*B14+D14-F14</f>
        <v>350</v>
      </c>
      <c r="H14" s="16" t="n">
        <f aca="false">Beta_y^A14</f>
        <v>0.751314800901578</v>
      </c>
      <c r="I14" s="17" t="n">
        <f aca="false">F14*H14</f>
        <v>92.0360631104433</v>
      </c>
    </row>
    <row r="15" customFormat="false" ht="15" hidden="false" customHeight="false" outlineLevel="0" collapsed="false">
      <c r="A15" s="2" t="n">
        <v>4</v>
      </c>
      <c r="B15" s="15" t="n">
        <f aca="false">INDEX(Transcribe!$G$8:$G$71,$H$5)</f>
        <v>0</v>
      </c>
      <c r="C15" s="14" t="n">
        <f aca="false">INDEX(Transcribe!$M$8:$M$71,$H$5)</f>
        <v>83.25</v>
      </c>
      <c r="D15" s="14" t="n">
        <f aca="false">INDEX(Transcribe!$S$8:$S$71,$H$5)</f>
        <v>122.5</v>
      </c>
      <c r="E15" s="14" t="n">
        <f aca="false">INDEX(Transcribe!$Z$8:$Z$71,$H$5)</f>
        <v>350</v>
      </c>
      <c r="F15" s="14" t="n">
        <f aca="false">INDEX(Transcribe!$AG$8:$AG$71,$H$5)</f>
        <v>122.5</v>
      </c>
      <c r="G15" s="14" t="n">
        <f aca="false">G14-Cost_round*B15+D15-F15</f>
        <v>350</v>
      </c>
      <c r="H15" s="16" t="n">
        <f aca="false">Beta_y^A15</f>
        <v>0.683013455365071</v>
      </c>
      <c r="I15" s="17" t="n">
        <f aca="false">F15*H15</f>
        <v>83.6691482822212</v>
      </c>
    </row>
    <row r="16" customFormat="false" ht="15" hidden="false" customHeight="false" outlineLevel="0" collapsed="false">
      <c r="A16" s="2" t="n">
        <v>5</v>
      </c>
      <c r="B16" s="15" t="n">
        <f aca="false">INDEX(Transcribe!$H$8:$H$71,$H$5)</f>
        <v>0</v>
      </c>
      <c r="C16" s="14" t="n">
        <f aca="false">INDEX(Transcribe!$N$8:$N$71,$H$5)</f>
        <v>83.25</v>
      </c>
      <c r="D16" s="14" t="n">
        <f aca="false">INDEX(Transcribe!$T$8:$T$71,$H$5)</f>
        <v>122.5</v>
      </c>
      <c r="E16" s="14" t="n">
        <f aca="false">INDEX(Transcribe!$AA$8:$AA$71,$H$5)</f>
        <v>350</v>
      </c>
      <c r="F16" s="14" t="n">
        <f aca="false">INDEX(Transcribe!$AH$8:$AH$71,$H$5)</f>
        <v>122.5</v>
      </c>
      <c r="G16" s="14" t="n">
        <f aca="false">G15-Cost_round*B16+D16-F16</f>
        <v>350</v>
      </c>
      <c r="H16" s="16" t="n">
        <f aca="false">Beta_y^A16</f>
        <v>0.620921323059155</v>
      </c>
      <c r="I16" s="17" t="n">
        <f aca="false">F16*H16</f>
        <v>76.0628620747465</v>
      </c>
    </row>
    <row r="17" customFormat="false" ht="15" hidden="false" customHeight="false" outlineLevel="0" collapsed="false">
      <c r="A17" s="2" t="n">
        <v>6</v>
      </c>
      <c r="B17" s="15" t="n">
        <f aca="false">INDEX(Transcribe!$I$8:$I$71,$H$5)</f>
        <v>0</v>
      </c>
      <c r="C17" s="14" t="n">
        <f aca="false">INDEX(Transcribe!$O$8:$O$71,$H$5)</f>
        <v>83.25</v>
      </c>
      <c r="D17" s="14" t="n">
        <f aca="false">INDEX(Transcribe!$U$8:$U$71,$H$5)</f>
        <v>122.5</v>
      </c>
      <c r="E17" s="14" t="n">
        <f aca="false">INDEX(Transcribe!$AB$8:$AB$71,$H$5)</f>
        <v>470</v>
      </c>
      <c r="F17" s="14" t="n">
        <f aca="false">INDEX(Transcribe!$AI$8:$AI$71,$H$5)</f>
        <v>2.5</v>
      </c>
      <c r="G17" s="14" t="n">
        <f aca="false">G16-Cost_round*B17+D17-F17</f>
        <v>470</v>
      </c>
      <c r="H17" s="16" t="n">
        <f aca="false">Beta_y^A17</f>
        <v>0.564473930053777</v>
      </c>
      <c r="I17" s="17" t="n">
        <f aca="false">F17*H17</f>
        <v>1.41118482513444</v>
      </c>
    </row>
    <row r="19" customFormat="false" ht="15" hidden="false" customHeight="false" outlineLevel="0" collapsed="false">
      <c r="A19" s="2" t="s">
        <v>66</v>
      </c>
      <c r="H19" s="17" t="n">
        <f aca="false">SUM(I12:I17)</f>
        <v>330.451985565273</v>
      </c>
    </row>
    <row r="20" customFormat="false" ht="15" hidden="false" customHeight="false" outlineLevel="0" collapsed="false">
      <c r="A20" s="2" t="s">
        <v>141</v>
      </c>
      <c r="H20" s="17" t="n">
        <f aca="false">D17/Hurdle_r</f>
        <v>1225</v>
      </c>
    </row>
    <row r="21" customFormat="false" ht="15" hidden="false" customHeight="false" outlineLevel="0" collapsed="false">
      <c r="A21" s="2" t="s">
        <v>142</v>
      </c>
      <c r="H21" s="17" t="n">
        <f aca="false">H17*D17/Hurdle_r</f>
        <v>691.480564315877</v>
      </c>
    </row>
    <row r="22" customFormat="false" ht="15" hidden="false" customHeight="false" outlineLevel="0" collapsed="false">
      <c r="A22" s="2" t="s">
        <v>17</v>
      </c>
      <c r="H22" s="17" t="n">
        <f aca="false">H19+H21</f>
        <v>1021.93254988115</v>
      </c>
    </row>
    <row r="23" customFormat="false" ht="15" hidden="false" customHeight="false" outlineLevel="0" collapsed="false">
      <c r="A23" s="2" t="s">
        <v>143</v>
      </c>
      <c r="H23" s="17" t="n">
        <f aca="false">SUM(F12:F17)</f>
        <v>455</v>
      </c>
    </row>
    <row r="24" customFormat="false" ht="15" hidden="false" customHeight="false" outlineLevel="0" collapsed="false">
      <c r="A24" s="2" t="s">
        <v>144</v>
      </c>
      <c r="H24" s="17" t="n">
        <f aca="false">H17*H23+H21</f>
        <v>948.316202490346</v>
      </c>
    </row>
    <row r="25" customFormat="false" ht="15" hidden="false" customHeight="false" outlineLevel="0" collapsed="false">
      <c r="A25" s="2" t="s">
        <v>145</v>
      </c>
      <c r="H25" s="17" t="n">
        <f aca="false">H22-H24</f>
        <v>73.6163473908039</v>
      </c>
    </row>
    <row r="26" customFormat="false" ht="15" hidden="false" customHeight="false" outlineLevel="0" collapsed="false">
      <c r="A26" s="2" t="s">
        <v>146</v>
      </c>
      <c r="H26" s="17" t="n">
        <f aca="false">H22-Simulate!H20</f>
        <v>185.568913517513</v>
      </c>
    </row>
    <row r="27" customFormat="false" ht="15" hidden="false" customHeight="false" outlineLevel="0" collapsed="false">
      <c r="A27" s="2" t="s">
        <v>147</v>
      </c>
      <c r="H27" s="2" t="str">
        <f aca="false">IF(SUMPRODUCT(ABS(G12:G17-E12:E17))&lt;0.000000001,"yes","no")</f>
        <v>yes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
    <col collapsed="false" customWidth="true" hidden="false" outlineLevel="0" max="3" min="3" style="0" width="11"/>
    <col collapsed="false" customWidth="true" hidden="false" outlineLevel="0" max="5" min="4" style="0" width="13"/>
    <col collapsed="false" customWidth="true" hidden="false" outlineLevel="0" max="6" min="6" style="0" width="11"/>
    <col collapsed="false" customWidth="true" hidden="false" outlineLevel="0" max="7" min="7" style="0" width="9"/>
    <col collapsed="false" customWidth="true" hidden="false" outlineLevel="0" max="9" min="8" style="0" width="12"/>
    <col collapsed="false" customWidth="true" hidden="false" outlineLevel="0" max="10" min="10" style="0" width="9"/>
    <col collapsed="false" customWidth="true" hidden="false" outlineLevel="0" max="11" min="11" style="0" width="11"/>
    <col collapsed="false" customWidth="true" hidden="false" outlineLevel="0" max="12" min="12" style="0" width="9"/>
    <col collapsed="false" customWidth="true" hidden="false" outlineLevel="0" max="13" min="13" style="0" width="11"/>
    <col collapsed="false" customWidth="true" hidden="false" outlineLevel="0" max="15" min="14" style="0" width="12"/>
    <col collapsed="false" customWidth="true" hidden="false" outlineLevel="0" max="23" min="16" style="0" width="9"/>
    <col collapsed="false" customWidth="true" hidden="false" outlineLevel="0" max="24" min="24" style="0" width="11"/>
    <col collapsed="false" customWidth="true" hidden="false" outlineLevel="0" max="30" min="25" style="0" width="9"/>
    <col collapsed="false" customWidth="true" hidden="false" outlineLevel="0" max="31" min="31" style="0" width="12"/>
    <col collapsed="false" customWidth="true" hidden="false" outlineLevel="0" max="33" min="32" style="0" width="13"/>
    <col collapsed="false" customWidth="true" hidden="false" outlineLevel="0" max="34" min="34" style="0" width="11"/>
  </cols>
  <sheetData>
    <row r="1" customFormat="false" ht="15" hidden="false" customHeight="false" outlineLevel="0" collapsed="false">
      <c r="A1" s="1" t="s">
        <v>148</v>
      </c>
    </row>
    <row r="2" customFormat="false" ht="15" hidden="false" customHeight="false" outlineLevel="0" collapsed="false">
      <c r="A2" s="10" t="s">
        <v>149</v>
      </c>
    </row>
    <row r="3" customFormat="false" ht="15" hidden="false" customHeight="false" outlineLevel="0" collapsed="false">
      <c r="A3" s="10" t="s">
        <v>150</v>
      </c>
    </row>
    <row r="5" customFormat="false" ht="35.05" hidden="false" customHeight="false" outlineLevel="0" collapsed="false">
      <c r="A5" s="8" t="s">
        <v>151</v>
      </c>
      <c r="B5" s="8" t="s">
        <v>152</v>
      </c>
      <c r="C5" s="8" t="s">
        <v>153</v>
      </c>
      <c r="D5" s="8" t="s">
        <v>154</v>
      </c>
      <c r="E5" s="8" t="s">
        <v>155</v>
      </c>
      <c r="F5" s="8" t="s">
        <v>156</v>
      </c>
      <c r="G5" s="8" t="s">
        <v>157</v>
      </c>
      <c r="H5" s="8" t="s">
        <v>158</v>
      </c>
      <c r="I5" s="8" t="s">
        <v>159</v>
      </c>
      <c r="J5" s="8" t="s">
        <v>160</v>
      </c>
      <c r="K5" s="8" t="s">
        <v>161</v>
      </c>
      <c r="L5" s="8" t="s">
        <v>162</v>
      </c>
      <c r="M5" s="8" t="s">
        <v>163</v>
      </c>
      <c r="N5" s="8" t="s">
        <v>164</v>
      </c>
      <c r="O5" s="8" t="s">
        <v>165</v>
      </c>
    </row>
    <row r="6" customFormat="false" ht="15" hidden="false" customHeight="false" outlineLevel="0" collapsed="false">
      <c r="A6" s="2" t="n">
        <v>1</v>
      </c>
      <c r="B6" s="20" t="n">
        <f aca="false">BestPlan!B12</f>
        <v>1</v>
      </c>
      <c r="C6" s="18" t="n">
        <f aca="false">BestPlan!D12</f>
        <v>70</v>
      </c>
      <c r="D6" s="18" t="n">
        <f aca="false">BestPlan!E11</f>
        <v>535</v>
      </c>
      <c r="E6" s="14" t="n">
        <f aca="false">BestPlan!E12+Cost_round*B6-C6</f>
        <v>535</v>
      </c>
      <c r="F6" s="14" t="n">
        <f aca="false">IF(B6=1,Pre_q,0)</f>
        <v>470</v>
      </c>
      <c r="G6" s="14" t="n">
        <v>0</v>
      </c>
      <c r="H6" s="2" t="str">
        <f aca="false">IF(E6&gt;MAX(F6,G6)+0.000000001,"carry",IF(F6&gt;=G6,"round's cash","floor"))</f>
        <v>carry</v>
      </c>
      <c r="I6" s="16" t="n">
        <f aca="false">Beta_y^A6</f>
        <v>0.909090909090909</v>
      </c>
      <c r="J6" s="16" t="n">
        <f aca="false">Beta_y^A6</f>
        <v>0.909090909090909</v>
      </c>
      <c r="K6" s="14" t="n">
        <f aca="false">MAX(Floor_q,IF(B7=1,Pre_q,0))</f>
        <v>470</v>
      </c>
      <c r="L6" s="2" t="str">
        <f aca="false">IF(ABS(BestPlan!G12-K6)&lt;0.000000001,"binding","slack")</f>
        <v>slack</v>
      </c>
      <c r="M6" s="16" t="n">
        <f aca="false">IF(L6="binding",I6-I7,0)</f>
        <v>0</v>
      </c>
      <c r="N6" s="14" t="n">
        <f aca="false">Val_pt*I6+(1-Half_gap*B7)*N7</f>
        <v>34.297520661157</v>
      </c>
      <c r="O6" s="14" t="n">
        <f aca="false">N6/J6</f>
        <v>37.7272727272727</v>
      </c>
    </row>
    <row r="7" customFormat="false" ht="15" hidden="false" customHeight="false" outlineLevel="0" collapsed="false">
      <c r="A7" s="2" t="n">
        <v>2</v>
      </c>
      <c r="B7" s="20" t="n">
        <f aca="false">BestPlan!B13</f>
        <v>1</v>
      </c>
      <c r="C7" s="18" t="n">
        <f aca="false">BestPlan!D13</f>
        <v>105</v>
      </c>
      <c r="D7" s="18" t="n">
        <f aca="false">BestPlan!E12</f>
        <v>485</v>
      </c>
      <c r="E7" s="14" t="n">
        <f aca="false">BestPlan!E13+Cost_round*B7-C7</f>
        <v>485</v>
      </c>
      <c r="F7" s="14" t="n">
        <f aca="false">IF(B7=1,Pre_q,0)</f>
        <v>470</v>
      </c>
      <c r="G7" s="14" t="n">
        <f aca="false">Floor_q</f>
        <v>350</v>
      </c>
      <c r="H7" s="2" t="str">
        <f aca="false">IF(E7&gt;MAX(F7,G7)+0.000000001,"carry",IF(F7&gt;=G7,"round's cash","floor"))</f>
        <v>carry</v>
      </c>
      <c r="I7" s="16" t="n">
        <f aca="false">IF(H7="carry",I6,Beta_y^A7)</f>
        <v>0.909090909090909</v>
      </c>
      <c r="J7" s="16" t="n">
        <f aca="false">Beta_y^A7</f>
        <v>0.826446280991735</v>
      </c>
      <c r="K7" s="14" t="n">
        <f aca="false">MAX(Floor_q,IF(B8=1,Pre_q,0))</f>
        <v>470</v>
      </c>
      <c r="L7" s="2" t="str">
        <f aca="false">IF(ABS(BestPlan!G13-K7)&lt;0.000000001,"binding","slack")</f>
        <v>binding</v>
      </c>
      <c r="M7" s="16" t="n">
        <f aca="false">IF(L7="binding",I7-I8,0)</f>
        <v>0.157776108189331</v>
      </c>
      <c r="N7" s="14" t="n">
        <f aca="false">Val_pt*I7+(1-Half_gap*B8)*N8</f>
        <v>50.4132231404959</v>
      </c>
      <c r="O7" s="14" t="n">
        <f aca="false">N7/J7</f>
        <v>61</v>
      </c>
    </row>
    <row r="8" customFormat="false" ht="15" hidden="false" customHeight="false" outlineLevel="0" collapsed="false">
      <c r="A8" s="2" t="n">
        <v>3</v>
      </c>
      <c r="B8" s="20" t="n">
        <f aca="false">BestPlan!B14</f>
        <v>1</v>
      </c>
      <c r="C8" s="18" t="n">
        <f aca="false">BestPlan!D14</f>
        <v>122.5</v>
      </c>
      <c r="D8" s="18" t="n">
        <f aca="false">BestPlan!E13</f>
        <v>470</v>
      </c>
      <c r="E8" s="14" t="n">
        <f aca="false">BestPlan!E14+Cost_round*B8-C8</f>
        <v>347.5</v>
      </c>
      <c r="F8" s="14" t="n">
        <f aca="false">IF(B8=1,Pre_q,0)</f>
        <v>470</v>
      </c>
      <c r="G8" s="14" t="n">
        <f aca="false">Floor_q</f>
        <v>350</v>
      </c>
      <c r="H8" s="2" t="str">
        <f aca="false">IF(E8&gt;MAX(F8,G8)+0.000000001,"carry",IF(F8&gt;=G8,"round's cash","floor"))</f>
        <v>round's cash</v>
      </c>
      <c r="I8" s="16" t="n">
        <f aca="false">IF(H8="carry",I7,Beta_y^A8)</f>
        <v>0.751314800901578</v>
      </c>
      <c r="J8" s="16" t="n">
        <f aca="false">Beta_y^A8</f>
        <v>0.751314800901578</v>
      </c>
      <c r="K8" s="14" t="n">
        <f aca="false">MAX(Floor_q,IF(B9=1,Pre_q,0))</f>
        <v>350</v>
      </c>
      <c r="L8" s="2" t="str">
        <f aca="false">IF(ABS(BestPlan!G14-K8)&lt;0.000000001,"binding","slack")</f>
        <v>binding</v>
      </c>
      <c r="M8" s="16" t="n">
        <f aca="false">IF(L8="binding",I8-I9,0)</f>
        <v>0.068301345536507</v>
      </c>
      <c r="N8" s="14" t="n">
        <f aca="false">Val_pt*I8+(1-Half_gap*B9)*N9</f>
        <v>82.6446280991735</v>
      </c>
      <c r="O8" s="14" t="n">
        <f aca="false">N8/J8</f>
        <v>110</v>
      </c>
    </row>
    <row r="9" customFormat="false" ht="15" hidden="false" customHeight="false" outlineLevel="0" collapsed="false">
      <c r="A9" s="2" t="n">
        <v>4</v>
      </c>
      <c r="B9" s="20" t="n">
        <f aca="false">BestPlan!B15</f>
        <v>0</v>
      </c>
      <c r="C9" s="18" t="n">
        <f aca="false">BestPlan!D15</f>
        <v>122.5</v>
      </c>
      <c r="D9" s="18" t="n">
        <f aca="false">BestPlan!E14</f>
        <v>350</v>
      </c>
      <c r="E9" s="14" t="n">
        <f aca="false">BestPlan!E15+Cost_round*B9-C9</f>
        <v>227.5</v>
      </c>
      <c r="F9" s="14" t="n">
        <f aca="false">IF(B9=1,Pre_q,0)</f>
        <v>0</v>
      </c>
      <c r="G9" s="14" t="n">
        <f aca="false">Floor_q</f>
        <v>350</v>
      </c>
      <c r="H9" s="2" t="str">
        <f aca="false">IF(E9&gt;MAX(F9,G9)+0.000000001,"carry",IF(F9&gt;=G9,"round's cash","floor"))</f>
        <v>floor</v>
      </c>
      <c r="I9" s="16" t="n">
        <f aca="false">IF(H9="carry",I8,Beta_y^A9)</f>
        <v>0.683013455365071</v>
      </c>
      <c r="J9" s="16" t="n">
        <f aca="false">Beta_y^A9</f>
        <v>0.683013455365071</v>
      </c>
      <c r="K9" s="14" t="n">
        <f aca="false">MAX(Floor_q,IF(B10=1,Pre_q,0))</f>
        <v>350</v>
      </c>
      <c r="L9" s="2" t="str">
        <f aca="false">IF(ABS(BestPlan!G15-K9)&lt;0.000000001,"binding","slack")</f>
        <v>binding</v>
      </c>
      <c r="M9" s="16" t="n">
        <f aca="false">IF(L9="binding",I9-I10,0)</f>
        <v>0.0620921323059156</v>
      </c>
      <c r="N9" s="14" t="n">
        <f aca="false">Val_pt*I9+(1-Half_gap*B10)*N10</f>
        <v>75.1314800901578</v>
      </c>
      <c r="O9" s="14" t="n">
        <f aca="false">N9/J9</f>
        <v>110</v>
      </c>
    </row>
    <row r="10" customFormat="false" ht="15" hidden="false" customHeight="false" outlineLevel="0" collapsed="false">
      <c r="A10" s="2" t="n">
        <v>5</v>
      </c>
      <c r="B10" s="20" t="n">
        <f aca="false">BestPlan!B16</f>
        <v>0</v>
      </c>
      <c r="C10" s="18" t="n">
        <f aca="false">BestPlan!D16</f>
        <v>122.5</v>
      </c>
      <c r="D10" s="18" t="n">
        <f aca="false">BestPlan!E15</f>
        <v>350</v>
      </c>
      <c r="E10" s="14" t="n">
        <f aca="false">BestPlan!E16+Cost_round*B10-C10</f>
        <v>227.5</v>
      </c>
      <c r="F10" s="14" t="n">
        <f aca="false">IF(B10=1,Pre_q,0)</f>
        <v>0</v>
      </c>
      <c r="G10" s="14" t="n">
        <f aca="false">Floor_q</f>
        <v>350</v>
      </c>
      <c r="H10" s="2" t="str">
        <f aca="false">IF(E10&gt;MAX(F10,G10)+0.000000001,"carry",IF(F10&gt;=G10,"round's cash","floor"))</f>
        <v>floor</v>
      </c>
      <c r="I10" s="16" t="n">
        <f aca="false">IF(H10="carry",I9,Beta_y^A10)</f>
        <v>0.620921323059155</v>
      </c>
      <c r="J10" s="16" t="n">
        <f aca="false">Beta_y^A10</f>
        <v>0.620921323059155</v>
      </c>
      <c r="K10" s="14" t="n">
        <f aca="false">MAX(Floor_q,IF(B11=1,Pre_q,0))</f>
        <v>350</v>
      </c>
      <c r="L10" s="2" t="str">
        <f aca="false">IF(ABS(BestPlan!G16-K10)&lt;0.000000001,"binding","slack")</f>
        <v>binding</v>
      </c>
      <c r="M10" s="16" t="n">
        <f aca="false">IF(L10="binding",I10-I11,0)</f>
        <v>0.0564473930053777</v>
      </c>
      <c r="N10" s="14" t="n">
        <f aca="false">Val_pt*I10+(1-Half_gap*B11)*N11</f>
        <v>68.3013455365071</v>
      </c>
      <c r="O10" s="14" t="n">
        <f aca="false">N10/J10</f>
        <v>110</v>
      </c>
    </row>
    <row r="11" customFormat="false" ht="15" hidden="false" customHeight="false" outlineLevel="0" collapsed="false">
      <c r="A11" s="2" t="n">
        <v>6</v>
      </c>
      <c r="B11" s="20" t="n">
        <f aca="false">BestPlan!B17</f>
        <v>0</v>
      </c>
      <c r="C11" s="18" t="n">
        <f aca="false">BestPlan!D17</f>
        <v>122.5</v>
      </c>
      <c r="D11" s="18" t="n">
        <f aca="false">BestPlan!E16</f>
        <v>350</v>
      </c>
      <c r="E11" s="14" t="n">
        <f aca="false">BestPlan!E17+Cost_round*B11-C11</f>
        <v>347.5</v>
      </c>
      <c r="F11" s="14" t="n">
        <f aca="false">IF(B11=1,Pre_q,0)</f>
        <v>0</v>
      </c>
      <c r="G11" s="14" t="n">
        <f aca="false">Floor_q</f>
        <v>350</v>
      </c>
      <c r="H11" s="2" t="str">
        <f aca="false">IF(E11&gt;MAX(F11,G11)+0.000000001,"carry",IF(F11&gt;=G11,"round's cash","floor"))</f>
        <v>floor</v>
      </c>
      <c r="I11" s="16" t="n">
        <f aca="false">IF(H11="carry",I10,Beta_y^A11)</f>
        <v>0.564473930053777</v>
      </c>
      <c r="J11" s="16" t="n">
        <f aca="false">Beta_y^A11</f>
        <v>0.564473930053777</v>
      </c>
      <c r="K11" s="14" t="n">
        <f aca="false">MAX(End_q,Floor_q)</f>
        <v>470</v>
      </c>
      <c r="L11" s="2" t="str">
        <f aca="false">IF(ABS(BestPlan!G17-K11)&lt;0.000000001,"binding","slack")</f>
        <v>binding</v>
      </c>
      <c r="M11" s="16" t="n">
        <f aca="false">IF(L11="binding",I11,0)</f>
        <v>0.564473930053777</v>
      </c>
      <c r="N11" s="14" t="n">
        <f aca="false">Val_pt*I11+Val_pt*Beta_y^6/Hurdle_r</f>
        <v>62.0921323059155</v>
      </c>
      <c r="O11" s="14" t="n">
        <f aca="false">N11/J11</f>
        <v>110</v>
      </c>
    </row>
    <row r="13" customFormat="false" ht="15" hidden="false" customHeight="false" outlineLevel="0" collapsed="false">
      <c r="A13" s="2" t="s">
        <v>166</v>
      </c>
      <c r="H13" s="14" t="n">
        <f aca="false">(End_q-Floor_q)*M11</f>
        <v>67.7368716064533</v>
      </c>
    </row>
    <row r="14" customFormat="false" ht="15" hidden="false" customHeight="false" outlineLevel="0" collapsed="false">
      <c r="A14" s="2" t="s">
        <v>167</v>
      </c>
      <c r="H14" s="16" t="n">
        <f aca="false">M7</f>
        <v>0.157776108189331</v>
      </c>
    </row>
    <row r="16" customFormat="false" ht="15" hidden="false" customHeight="false" outlineLevel="0" collapsed="false">
      <c r="A16" s="4" t="s">
        <v>168</v>
      </c>
    </row>
    <row r="17" customFormat="false" ht="46.25" hidden="false" customHeight="false" outlineLevel="0" collapsed="false">
      <c r="A17" s="8" t="s">
        <v>169</v>
      </c>
      <c r="B17" s="8" t="s">
        <v>50</v>
      </c>
      <c r="C17" s="8" t="s">
        <v>170</v>
      </c>
      <c r="D17" s="8" t="s">
        <v>171</v>
      </c>
      <c r="E17" s="8" t="s">
        <v>87</v>
      </c>
      <c r="F17" s="8" t="s">
        <v>88</v>
      </c>
      <c r="G17" s="8" t="s">
        <v>89</v>
      </c>
      <c r="H17" s="8" t="s">
        <v>90</v>
      </c>
      <c r="I17" s="8" t="s">
        <v>91</v>
      </c>
      <c r="J17" s="8" t="s">
        <v>92</v>
      </c>
      <c r="K17" s="8" t="s">
        <v>172</v>
      </c>
      <c r="L17" s="8" t="s">
        <v>173</v>
      </c>
      <c r="M17" s="8" t="s">
        <v>174</v>
      </c>
      <c r="N17" s="8" t="s">
        <v>175</v>
      </c>
      <c r="O17" s="8" t="s">
        <v>176</v>
      </c>
      <c r="P17" s="8" t="s">
        <v>177</v>
      </c>
      <c r="Q17" s="8" t="s">
        <v>99</v>
      </c>
      <c r="R17" s="8" t="s">
        <v>100</v>
      </c>
      <c r="S17" s="8" t="s">
        <v>101</v>
      </c>
      <c r="T17" s="8" t="s">
        <v>102</v>
      </c>
      <c r="U17" s="8" t="s">
        <v>103</v>
      </c>
      <c r="V17" s="8" t="s">
        <v>104</v>
      </c>
      <c r="W17" s="8" t="s">
        <v>105</v>
      </c>
      <c r="X17" s="8" t="s">
        <v>106</v>
      </c>
      <c r="Y17" s="8" t="s">
        <v>107</v>
      </c>
      <c r="Z17" s="8" t="s">
        <v>108</v>
      </c>
      <c r="AA17" s="8" t="s">
        <v>109</v>
      </c>
      <c r="AB17" s="8" t="s">
        <v>110</v>
      </c>
      <c r="AC17" s="8" t="s">
        <v>111</v>
      </c>
      <c r="AD17" s="8" t="s">
        <v>112</v>
      </c>
      <c r="AE17" s="8" t="s">
        <v>17</v>
      </c>
      <c r="AF17" s="8" t="s">
        <v>178</v>
      </c>
      <c r="AG17" s="8" t="s">
        <v>179</v>
      </c>
      <c r="AH17" s="8" t="s">
        <v>180</v>
      </c>
    </row>
    <row r="18" customFormat="false" ht="15" hidden="false" customHeight="false" outlineLevel="0" collapsed="false">
      <c r="A18" s="2" t="s">
        <v>181</v>
      </c>
      <c r="B18" s="2" t="n">
        <v>0</v>
      </c>
      <c r="C18" s="2" t="s">
        <v>182</v>
      </c>
      <c r="D18" s="12" t="n">
        <v>0</v>
      </c>
      <c r="E18" s="16" t="n">
        <f aca="false">IF(AND($C18="efficiency",1&gt;=$B18),IF(1=$B18,BestPlan!$C$12+$D18,E_zero+BestPlan!$B$12*(Half_gap*(Ceiling_e-E_zero)-Transcribe!$F$4)),BestPlan!$C$12)</f>
        <v>78</v>
      </c>
      <c r="F18" s="16" t="n">
        <f aca="false">IF(AND($C18="efficiency",2&gt;=$B18),IF(2=$B18,BestPlan!$C$13+$D18,E18+BestPlan!$B$13*(Half_gap*(Ceiling_e-E18)-Transcribe!$F$4)),BestPlan!$C$13)</f>
        <v>81.5</v>
      </c>
      <c r="G18" s="16" t="n">
        <f aca="false">IF(AND($C18="efficiency",3&gt;=$B18),IF(3=$B18,BestPlan!$C$14+$D18,F18+BestPlan!$B$14*(Half_gap*(Ceiling_e-F18)-Transcribe!$F$4)),BestPlan!$C$14)</f>
        <v>83.25</v>
      </c>
      <c r="H18" s="16" t="n">
        <f aca="false">IF(AND($C18="efficiency",4&gt;=$B18),IF(4=$B18,BestPlan!$C$15+$D18,G18+BestPlan!$B$15*(Half_gap*(Ceiling_e-G18)-Transcribe!$F$4)),BestPlan!$C$15)</f>
        <v>83.25</v>
      </c>
      <c r="I18" s="16" t="n">
        <f aca="false">IF(AND($C18="efficiency",5&gt;=$B18),IF(5=$B18,BestPlan!$C$16+$D18,H18+BestPlan!$B$16*(Half_gap*(Ceiling_e-H18)-Transcribe!$F$4)),BestPlan!$C$16)</f>
        <v>83.25</v>
      </c>
      <c r="J18" s="16" t="n">
        <f aca="false">IF(AND($C18="efficiency",6&gt;=$B18),IF(6=$B18,BestPlan!$C$17+$D18,I18+BestPlan!$B$17*(Half_gap*(Ceiling_e-I18)-Transcribe!$F$4)),BestPlan!$C$17)</f>
        <v>83.25</v>
      </c>
      <c r="K18" s="14" t="n">
        <f aca="false">Val_pt*(E18-E_zero)+IF(AND($C18="cash",$B18=1),$D18,0)</f>
        <v>70</v>
      </c>
      <c r="L18" s="14" t="n">
        <f aca="false">Val_pt*(F18-E_zero)+IF(AND($C18="cash",$B18=2),$D18,0)</f>
        <v>105</v>
      </c>
      <c r="M18" s="14" t="n">
        <f aca="false">Val_pt*(G18-E_zero)+IF(AND($C18="cash",$B18=3),$D18,0)</f>
        <v>122.5</v>
      </c>
      <c r="N18" s="14" t="n">
        <f aca="false">Val_pt*(H18-E_zero)+IF(AND($C18="cash",$B18=4),$D18,0)</f>
        <v>122.5</v>
      </c>
      <c r="O18" s="14" t="n">
        <f aca="false">Val_pt*(I18-E_zero)+IF(AND($C18="cash",$B18=5),$D18,0)</f>
        <v>122.5</v>
      </c>
      <c r="P18" s="14" t="n">
        <f aca="false">Val_pt*(J18-E_zero)+IF(AND($C18="cash",$B18=6),$D18,0)</f>
        <v>122.5</v>
      </c>
      <c r="Q18" s="14" t="n">
        <f aca="false">MAX(R18+Cost_round*BestPlan!$B$12-K18,IF(BestPlan!$B$12=1,Pre_q,0))</f>
        <v>535</v>
      </c>
      <c r="R18" s="14" t="n">
        <f aca="false">MAX(S18+Cost_round*BestPlan!$B$13-L18,IF(BestPlan!$B$13=1,Pre_q,0),Floor_q)</f>
        <v>485</v>
      </c>
      <c r="S18" s="14" t="n">
        <f aca="false">MAX(T18+Cost_round*BestPlan!$B$14-M18,IF(BestPlan!$B$14=1,Pre_q,0),Floor_q)</f>
        <v>470</v>
      </c>
      <c r="T18" s="14" t="n">
        <f aca="false">MAX(U18+Cost_round*BestPlan!$B$15-N18,IF(BestPlan!$B$15=1,Pre_q,0),Floor_q)</f>
        <v>350</v>
      </c>
      <c r="U18" s="14" t="n">
        <f aca="false">MAX(V18+Cost_round*BestPlan!$B$16-O18,IF(BestPlan!$B$16=1,Pre_q,0),Floor_q)</f>
        <v>350</v>
      </c>
      <c r="V18" s="14" t="n">
        <f aca="false">MAX(W18+Cost_round*BestPlan!$B$17-P18,IF(BestPlan!$B$17=1,Pre_q,0),Floor_q)</f>
        <v>350</v>
      </c>
      <c r="W18" s="14" t="n">
        <f aca="false">MAX(End_q,Floor_q)</f>
        <v>470</v>
      </c>
      <c r="X18" s="15" t="n">
        <f aca="false">IF(Q_zero&gt;=Q18-0.000000001,1,0)</f>
        <v>1</v>
      </c>
      <c r="Y18" s="14" t="n">
        <f aca="false">Q_zero-Cost_round*BestPlan!$B$12+K18-R18</f>
        <v>85</v>
      </c>
      <c r="Z18" s="14" t="n">
        <f aca="false">R18-Cost_round*BestPlan!$B$13+L18-S18</f>
        <v>0</v>
      </c>
      <c r="AA18" s="14" t="n">
        <f aca="false">S18-Cost_round*BestPlan!$B$14+M18-T18</f>
        <v>122.5</v>
      </c>
      <c r="AB18" s="14" t="n">
        <f aca="false">T18-Cost_round*BestPlan!$B$15+N18-U18</f>
        <v>122.5</v>
      </c>
      <c r="AC18" s="14" t="n">
        <f aca="false">U18-Cost_round*BestPlan!$B$16+O18-V18</f>
        <v>122.5</v>
      </c>
      <c r="AD18" s="14" t="n">
        <f aca="false">V18-Cost_round*BestPlan!$B$17+P18-W18</f>
        <v>2.5</v>
      </c>
      <c r="AE18" s="21" t="n">
        <f aca="false">Y18*Beta_y^1+Z18*Beta_y^2+AA18*Beta_y^3+AB18*Beta_y^4+AC18*Beta_y^5+AD18*Beta_y^6+Beta_y^6*Val_pt*(J18-E_zero)/Hurdle_r</f>
        <v>1021.93254988115</v>
      </c>
    </row>
    <row r="19" customFormat="false" ht="15" hidden="false" customHeight="false" outlineLevel="0" collapsed="false">
      <c r="A19" s="2" t="s">
        <v>183</v>
      </c>
      <c r="B19" s="2" t="n">
        <v>1</v>
      </c>
      <c r="C19" s="2" t="s">
        <v>184</v>
      </c>
      <c r="D19" s="12" t="n">
        <v>1</v>
      </c>
      <c r="E19" s="16" t="n">
        <f aca="false">IF(AND($C19="efficiency",1&gt;=$B19),IF(1=$B19,BestPlan!$C$12+$D19,E_zero+BestPlan!$B$12*(Half_gap*(Ceiling_e-E_zero)-Transcribe!$F$4)),BestPlan!$C$12)</f>
        <v>78</v>
      </c>
      <c r="F19" s="16" t="n">
        <f aca="false">IF(AND($C19="efficiency",2&gt;=$B19),IF(2=$B19,BestPlan!$C$13+$D19,E19+BestPlan!$B$13*(Half_gap*(Ceiling_e-E19)-Transcribe!$F$4)),BestPlan!$C$13)</f>
        <v>81.5</v>
      </c>
      <c r="G19" s="16" t="n">
        <f aca="false">IF(AND($C19="efficiency",3&gt;=$B19),IF(3=$B19,BestPlan!$C$14+$D19,F19+BestPlan!$B$14*(Half_gap*(Ceiling_e-F19)-Transcribe!$F$4)),BestPlan!$C$14)</f>
        <v>83.25</v>
      </c>
      <c r="H19" s="16" t="n">
        <f aca="false">IF(AND($C19="efficiency",4&gt;=$B19),IF(4=$B19,BestPlan!$C$15+$D19,G19+BestPlan!$B$15*(Half_gap*(Ceiling_e-G19)-Transcribe!$F$4)),BestPlan!$C$15)</f>
        <v>83.25</v>
      </c>
      <c r="I19" s="16" t="n">
        <f aca="false">IF(AND($C19="efficiency",5&gt;=$B19),IF(5=$B19,BestPlan!$C$16+$D19,H19+BestPlan!$B$16*(Half_gap*(Ceiling_e-H19)-Transcribe!$F$4)),BestPlan!$C$16)</f>
        <v>83.25</v>
      </c>
      <c r="J19" s="16" t="n">
        <f aca="false">IF(AND($C19="efficiency",6&gt;=$B19),IF(6=$B19,BestPlan!$C$17+$D19,I19+BestPlan!$B$17*(Half_gap*(Ceiling_e-I19)-Transcribe!$F$4)),BestPlan!$C$17)</f>
        <v>83.25</v>
      </c>
      <c r="K19" s="14" t="n">
        <f aca="false">Val_pt*(E19-E_zero)+IF(AND($C19="cash",$B19=1),$D19,0)</f>
        <v>71</v>
      </c>
      <c r="L19" s="14" t="n">
        <f aca="false">Val_pt*(F19-E_zero)+IF(AND($C19="cash",$B19=2),$D19,0)</f>
        <v>105</v>
      </c>
      <c r="M19" s="14" t="n">
        <f aca="false">Val_pt*(G19-E_zero)+IF(AND($C19="cash",$B19=3),$D19,0)</f>
        <v>122.5</v>
      </c>
      <c r="N19" s="14" t="n">
        <f aca="false">Val_pt*(H19-E_zero)+IF(AND($C19="cash",$B19=4),$D19,0)</f>
        <v>122.5</v>
      </c>
      <c r="O19" s="14" t="n">
        <f aca="false">Val_pt*(I19-E_zero)+IF(AND($C19="cash",$B19=5),$D19,0)</f>
        <v>122.5</v>
      </c>
      <c r="P19" s="14" t="n">
        <f aca="false">Val_pt*(J19-E_zero)+IF(AND($C19="cash",$B19=6),$D19,0)</f>
        <v>122.5</v>
      </c>
      <c r="Q19" s="14" t="n">
        <f aca="false">MAX(R19+Cost_round*BestPlan!$B$12-K19,IF(BestPlan!$B$12=1,Pre_q,0))</f>
        <v>534</v>
      </c>
      <c r="R19" s="14" t="n">
        <f aca="false">MAX(S19+Cost_round*BestPlan!$B$13-L19,IF(BestPlan!$B$13=1,Pre_q,0),Floor_q)</f>
        <v>485</v>
      </c>
      <c r="S19" s="14" t="n">
        <f aca="false">MAX(T19+Cost_round*BestPlan!$B$14-M19,IF(BestPlan!$B$14=1,Pre_q,0),Floor_q)</f>
        <v>470</v>
      </c>
      <c r="T19" s="14" t="n">
        <f aca="false">MAX(U19+Cost_round*BestPlan!$B$15-N19,IF(BestPlan!$B$15=1,Pre_q,0),Floor_q)</f>
        <v>350</v>
      </c>
      <c r="U19" s="14" t="n">
        <f aca="false">MAX(V19+Cost_round*BestPlan!$B$16-O19,IF(BestPlan!$B$16=1,Pre_q,0),Floor_q)</f>
        <v>350</v>
      </c>
      <c r="V19" s="14" t="n">
        <f aca="false">MAX(W19+Cost_round*BestPlan!$B$17-P19,IF(BestPlan!$B$17=1,Pre_q,0),Floor_q)</f>
        <v>350</v>
      </c>
      <c r="W19" s="14" t="n">
        <f aca="false">MAX(End_q,Floor_q)</f>
        <v>470</v>
      </c>
      <c r="X19" s="15" t="n">
        <f aca="false">IF(Q_zero&gt;=Q19-0.000000001,1,0)</f>
        <v>1</v>
      </c>
      <c r="Y19" s="14" t="n">
        <f aca="false">Q_zero-Cost_round*BestPlan!$B$12+K19-R19</f>
        <v>86</v>
      </c>
      <c r="Z19" s="14" t="n">
        <f aca="false">R19-Cost_round*BestPlan!$B$13+L19-S19</f>
        <v>0</v>
      </c>
      <c r="AA19" s="14" t="n">
        <f aca="false">S19-Cost_round*BestPlan!$B$14+M19-T19</f>
        <v>122.5</v>
      </c>
      <c r="AB19" s="14" t="n">
        <f aca="false">T19-Cost_round*BestPlan!$B$15+N19-U19</f>
        <v>122.5</v>
      </c>
      <c r="AC19" s="14" t="n">
        <f aca="false">U19-Cost_round*BestPlan!$B$16+O19-V19</f>
        <v>122.5</v>
      </c>
      <c r="AD19" s="14" t="n">
        <f aca="false">V19-Cost_round*BestPlan!$B$17+P19-W19</f>
        <v>2.5</v>
      </c>
      <c r="AE19" s="21" t="n">
        <f aca="false">Y19*Beta_y^1+Z19*Beta_y^2+AA19*Beta_y^3+AB19*Beta_y^4+AC19*Beta_y^5+AD19*Beta_y^6+Beta_y^6*Val_pt*(J19-E_zero)/Hurdle_r</f>
        <v>1022.84164079024</v>
      </c>
      <c r="AF19" s="16" t="n">
        <f aca="false">(AE19-$AE$18)/$D19</f>
        <v>0.909090909090764</v>
      </c>
      <c r="AG19" s="22" t="n">
        <f aca="false">I6</f>
        <v>0.909090909090909</v>
      </c>
      <c r="AH19" s="23" t="n">
        <f aca="false">ABS(AF19-AG19)</f>
        <v>1.44662060108658E-013</v>
      </c>
    </row>
    <row r="20" customFormat="false" ht="15" hidden="false" customHeight="false" outlineLevel="0" collapsed="false">
      <c r="A20" s="2" t="s">
        <v>185</v>
      </c>
      <c r="B20" s="2" t="n">
        <v>2</v>
      </c>
      <c r="C20" s="2" t="s">
        <v>184</v>
      </c>
      <c r="D20" s="12" t="n">
        <v>1</v>
      </c>
      <c r="E20" s="16" t="n">
        <f aca="false">IF(AND($C20="efficiency",1&gt;=$B20),IF(1=$B20,BestPlan!$C$12+$D20,E_zero+BestPlan!$B$12*(Half_gap*(Ceiling_e-E_zero)-Transcribe!$F$4)),BestPlan!$C$12)</f>
        <v>78</v>
      </c>
      <c r="F20" s="16" t="n">
        <f aca="false">IF(AND($C20="efficiency",2&gt;=$B20),IF(2=$B20,BestPlan!$C$13+$D20,E20+BestPlan!$B$13*(Half_gap*(Ceiling_e-E20)-Transcribe!$F$4)),BestPlan!$C$13)</f>
        <v>81.5</v>
      </c>
      <c r="G20" s="16" t="n">
        <f aca="false">IF(AND($C20="efficiency",3&gt;=$B20),IF(3=$B20,BestPlan!$C$14+$D20,F20+BestPlan!$B$14*(Half_gap*(Ceiling_e-F20)-Transcribe!$F$4)),BestPlan!$C$14)</f>
        <v>83.25</v>
      </c>
      <c r="H20" s="16" t="n">
        <f aca="false">IF(AND($C20="efficiency",4&gt;=$B20),IF(4=$B20,BestPlan!$C$15+$D20,G20+BestPlan!$B$15*(Half_gap*(Ceiling_e-G20)-Transcribe!$F$4)),BestPlan!$C$15)</f>
        <v>83.25</v>
      </c>
      <c r="I20" s="16" t="n">
        <f aca="false">IF(AND($C20="efficiency",5&gt;=$B20),IF(5=$B20,BestPlan!$C$16+$D20,H20+BestPlan!$B$16*(Half_gap*(Ceiling_e-H20)-Transcribe!$F$4)),BestPlan!$C$16)</f>
        <v>83.25</v>
      </c>
      <c r="J20" s="16" t="n">
        <f aca="false">IF(AND($C20="efficiency",6&gt;=$B20),IF(6=$B20,BestPlan!$C$17+$D20,I20+BestPlan!$B$17*(Half_gap*(Ceiling_e-I20)-Transcribe!$F$4)),BestPlan!$C$17)</f>
        <v>83.25</v>
      </c>
      <c r="K20" s="14" t="n">
        <f aca="false">Val_pt*(E20-E_zero)+IF(AND($C20="cash",$B20=1),$D20,0)</f>
        <v>70</v>
      </c>
      <c r="L20" s="14" t="n">
        <f aca="false">Val_pt*(F20-E_zero)+IF(AND($C20="cash",$B20=2),$D20,0)</f>
        <v>106</v>
      </c>
      <c r="M20" s="14" t="n">
        <f aca="false">Val_pt*(G20-E_zero)+IF(AND($C20="cash",$B20=3),$D20,0)</f>
        <v>122.5</v>
      </c>
      <c r="N20" s="14" t="n">
        <f aca="false">Val_pt*(H20-E_zero)+IF(AND($C20="cash",$B20=4),$D20,0)</f>
        <v>122.5</v>
      </c>
      <c r="O20" s="14" t="n">
        <f aca="false">Val_pt*(I20-E_zero)+IF(AND($C20="cash",$B20=5),$D20,0)</f>
        <v>122.5</v>
      </c>
      <c r="P20" s="14" t="n">
        <f aca="false">Val_pt*(J20-E_zero)+IF(AND($C20="cash",$B20=6),$D20,0)</f>
        <v>122.5</v>
      </c>
      <c r="Q20" s="14" t="n">
        <f aca="false">MAX(R20+Cost_round*BestPlan!$B$12-K20,IF(BestPlan!$B$12=1,Pre_q,0))</f>
        <v>534</v>
      </c>
      <c r="R20" s="14" t="n">
        <f aca="false">MAX(S20+Cost_round*BestPlan!$B$13-L20,IF(BestPlan!$B$13=1,Pre_q,0),Floor_q)</f>
        <v>484</v>
      </c>
      <c r="S20" s="14" t="n">
        <f aca="false">MAX(T20+Cost_round*BestPlan!$B$14-M20,IF(BestPlan!$B$14=1,Pre_q,0),Floor_q)</f>
        <v>470</v>
      </c>
      <c r="T20" s="14" t="n">
        <f aca="false">MAX(U20+Cost_round*BestPlan!$B$15-N20,IF(BestPlan!$B$15=1,Pre_q,0),Floor_q)</f>
        <v>350</v>
      </c>
      <c r="U20" s="14" t="n">
        <f aca="false">MAX(V20+Cost_round*BestPlan!$B$16-O20,IF(BestPlan!$B$16=1,Pre_q,0),Floor_q)</f>
        <v>350</v>
      </c>
      <c r="V20" s="14" t="n">
        <f aca="false">MAX(W20+Cost_round*BestPlan!$B$17-P20,IF(BestPlan!$B$17=1,Pre_q,0),Floor_q)</f>
        <v>350</v>
      </c>
      <c r="W20" s="14" t="n">
        <f aca="false">MAX(End_q,Floor_q)</f>
        <v>470</v>
      </c>
      <c r="X20" s="15" t="n">
        <f aca="false">IF(Q_zero&gt;=Q20-0.000000001,1,0)</f>
        <v>1</v>
      </c>
      <c r="Y20" s="14" t="n">
        <f aca="false">Q_zero-Cost_round*BestPlan!$B$12+K20-R20</f>
        <v>86</v>
      </c>
      <c r="Z20" s="14" t="n">
        <f aca="false">R20-Cost_round*BestPlan!$B$13+L20-S20</f>
        <v>0</v>
      </c>
      <c r="AA20" s="14" t="n">
        <f aca="false">S20-Cost_round*BestPlan!$B$14+M20-T20</f>
        <v>122.5</v>
      </c>
      <c r="AB20" s="14" t="n">
        <f aca="false">T20-Cost_round*BestPlan!$B$15+N20-U20</f>
        <v>122.5</v>
      </c>
      <c r="AC20" s="14" t="n">
        <f aca="false">U20-Cost_round*BestPlan!$B$16+O20-V20</f>
        <v>122.5</v>
      </c>
      <c r="AD20" s="14" t="n">
        <f aca="false">V20-Cost_round*BestPlan!$B$17+P20-W20</f>
        <v>2.5</v>
      </c>
      <c r="AE20" s="21" t="n">
        <f aca="false">Y20*Beta_y^1+Z20*Beta_y^2+AA20*Beta_y^3+AB20*Beta_y^4+AC20*Beta_y^5+AD20*Beta_y^6+Beta_y^6*Val_pt*(J20-E_zero)/Hurdle_r</f>
        <v>1022.84164079024</v>
      </c>
      <c r="AF20" s="16" t="n">
        <f aca="false">(AE20-$AE$18)/$D20</f>
        <v>0.909090909090764</v>
      </c>
      <c r="AG20" s="22" t="n">
        <f aca="false">I7</f>
        <v>0.909090909090909</v>
      </c>
      <c r="AH20" s="23" t="n">
        <f aca="false">ABS(AF20-AG20)</f>
        <v>1.44662060108658E-013</v>
      </c>
    </row>
    <row r="21" customFormat="false" ht="15" hidden="false" customHeight="false" outlineLevel="0" collapsed="false">
      <c r="A21" s="2" t="s">
        <v>186</v>
      </c>
      <c r="B21" s="2" t="n">
        <v>3</v>
      </c>
      <c r="C21" s="2" t="s">
        <v>184</v>
      </c>
      <c r="D21" s="12" t="n">
        <v>1</v>
      </c>
      <c r="E21" s="16" t="n">
        <f aca="false">IF(AND($C21="efficiency",1&gt;=$B21),IF(1=$B21,BestPlan!$C$12+$D21,E_zero+BestPlan!$B$12*(Half_gap*(Ceiling_e-E_zero)-Transcribe!$F$4)),BestPlan!$C$12)</f>
        <v>78</v>
      </c>
      <c r="F21" s="16" t="n">
        <f aca="false">IF(AND($C21="efficiency",2&gt;=$B21),IF(2=$B21,BestPlan!$C$13+$D21,E21+BestPlan!$B$13*(Half_gap*(Ceiling_e-E21)-Transcribe!$F$4)),BestPlan!$C$13)</f>
        <v>81.5</v>
      </c>
      <c r="G21" s="16" t="n">
        <f aca="false">IF(AND($C21="efficiency",3&gt;=$B21),IF(3=$B21,BestPlan!$C$14+$D21,F21+BestPlan!$B$14*(Half_gap*(Ceiling_e-F21)-Transcribe!$F$4)),BestPlan!$C$14)</f>
        <v>83.25</v>
      </c>
      <c r="H21" s="16" t="n">
        <f aca="false">IF(AND($C21="efficiency",4&gt;=$B21),IF(4=$B21,BestPlan!$C$15+$D21,G21+BestPlan!$B$15*(Half_gap*(Ceiling_e-G21)-Transcribe!$F$4)),BestPlan!$C$15)</f>
        <v>83.25</v>
      </c>
      <c r="I21" s="16" t="n">
        <f aca="false">IF(AND($C21="efficiency",5&gt;=$B21),IF(5=$B21,BestPlan!$C$16+$D21,H21+BestPlan!$B$16*(Half_gap*(Ceiling_e-H21)-Transcribe!$F$4)),BestPlan!$C$16)</f>
        <v>83.25</v>
      </c>
      <c r="J21" s="16" t="n">
        <f aca="false">IF(AND($C21="efficiency",6&gt;=$B21),IF(6=$B21,BestPlan!$C$17+$D21,I21+BestPlan!$B$17*(Half_gap*(Ceiling_e-I21)-Transcribe!$F$4)),BestPlan!$C$17)</f>
        <v>83.25</v>
      </c>
      <c r="K21" s="14" t="n">
        <f aca="false">Val_pt*(E21-E_zero)+IF(AND($C21="cash",$B21=1),$D21,0)</f>
        <v>70</v>
      </c>
      <c r="L21" s="14" t="n">
        <f aca="false">Val_pt*(F21-E_zero)+IF(AND($C21="cash",$B21=2),$D21,0)</f>
        <v>105</v>
      </c>
      <c r="M21" s="14" t="n">
        <f aca="false">Val_pt*(G21-E_zero)+IF(AND($C21="cash",$B21=3),$D21,0)</f>
        <v>123.5</v>
      </c>
      <c r="N21" s="14" t="n">
        <f aca="false">Val_pt*(H21-E_zero)+IF(AND($C21="cash",$B21=4),$D21,0)</f>
        <v>122.5</v>
      </c>
      <c r="O21" s="14" t="n">
        <f aca="false">Val_pt*(I21-E_zero)+IF(AND($C21="cash",$B21=5),$D21,0)</f>
        <v>122.5</v>
      </c>
      <c r="P21" s="14" t="n">
        <f aca="false">Val_pt*(J21-E_zero)+IF(AND($C21="cash",$B21=6),$D21,0)</f>
        <v>122.5</v>
      </c>
      <c r="Q21" s="14" t="n">
        <f aca="false">MAX(R21+Cost_round*BestPlan!$B$12-K21,IF(BestPlan!$B$12=1,Pre_q,0))</f>
        <v>535</v>
      </c>
      <c r="R21" s="14" t="n">
        <f aca="false">MAX(S21+Cost_round*BestPlan!$B$13-L21,IF(BestPlan!$B$13=1,Pre_q,0),Floor_q)</f>
        <v>485</v>
      </c>
      <c r="S21" s="14" t="n">
        <f aca="false">MAX(T21+Cost_round*BestPlan!$B$14-M21,IF(BestPlan!$B$14=1,Pre_q,0),Floor_q)</f>
        <v>470</v>
      </c>
      <c r="T21" s="14" t="n">
        <f aca="false">MAX(U21+Cost_round*BestPlan!$B$15-N21,IF(BestPlan!$B$15=1,Pre_q,0),Floor_q)</f>
        <v>350</v>
      </c>
      <c r="U21" s="14" t="n">
        <f aca="false">MAX(V21+Cost_round*BestPlan!$B$16-O21,IF(BestPlan!$B$16=1,Pre_q,0),Floor_q)</f>
        <v>350</v>
      </c>
      <c r="V21" s="14" t="n">
        <f aca="false">MAX(W21+Cost_round*BestPlan!$B$17-P21,IF(BestPlan!$B$17=1,Pre_q,0),Floor_q)</f>
        <v>350</v>
      </c>
      <c r="W21" s="14" t="n">
        <f aca="false">MAX(End_q,Floor_q)</f>
        <v>470</v>
      </c>
      <c r="X21" s="15" t="n">
        <f aca="false">IF(Q_zero&gt;=Q21-0.000000001,1,0)</f>
        <v>1</v>
      </c>
      <c r="Y21" s="14" t="n">
        <f aca="false">Q_zero-Cost_round*BestPlan!$B$12+K21-R21</f>
        <v>85</v>
      </c>
      <c r="Z21" s="14" t="n">
        <f aca="false">R21-Cost_round*BestPlan!$B$13+L21-S21</f>
        <v>0</v>
      </c>
      <c r="AA21" s="14" t="n">
        <f aca="false">S21-Cost_round*BestPlan!$B$14+M21-T21</f>
        <v>123.5</v>
      </c>
      <c r="AB21" s="14" t="n">
        <f aca="false">T21-Cost_round*BestPlan!$B$15+N21-U21</f>
        <v>122.5</v>
      </c>
      <c r="AC21" s="14" t="n">
        <f aca="false">U21-Cost_round*BestPlan!$B$16+O21-V21</f>
        <v>122.5</v>
      </c>
      <c r="AD21" s="14" t="n">
        <f aca="false">V21-Cost_round*BestPlan!$B$17+P21-W21</f>
        <v>2.5</v>
      </c>
      <c r="AE21" s="21" t="n">
        <f aca="false">Y21*Beta_y^1+Z21*Beta_y^2+AA21*Beta_y^3+AB21*Beta_y^4+AC21*Beta_y^5+AD21*Beta_y^6+Beta_y^6*Val_pt*(J21-E_zero)/Hurdle_r</f>
        <v>1022.68386468205</v>
      </c>
      <c r="AF21" s="16" t="n">
        <f aca="false">(AE21-$AE$18)/$D21</f>
        <v>0.751314800901469</v>
      </c>
      <c r="AG21" s="22" t="n">
        <f aca="false">I8</f>
        <v>0.751314800901578</v>
      </c>
      <c r="AH21" s="23" t="n">
        <f aca="false">ABS(AF21-AG21)</f>
        <v>1.09134923320653E-013</v>
      </c>
    </row>
    <row r="22" customFormat="false" ht="15" hidden="false" customHeight="false" outlineLevel="0" collapsed="false">
      <c r="A22" s="2" t="s">
        <v>187</v>
      </c>
      <c r="B22" s="2" t="n">
        <v>4</v>
      </c>
      <c r="C22" s="2" t="s">
        <v>184</v>
      </c>
      <c r="D22" s="12" t="n">
        <v>1</v>
      </c>
      <c r="E22" s="16" t="n">
        <f aca="false">IF(AND($C22="efficiency",1&gt;=$B22),IF(1=$B22,BestPlan!$C$12+$D22,E_zero+BestPlan!$B$12*(Half_gap*(Ceiling_e-E_zero)-Transcribe!$F$4)),BestPlan!$C$12)</f>
        <v>78</v>
      </c>
      <c r="F22" s="16" t="n">
        <f aca="false">IF(AND($C22="efficiency",2&gt;=$B22),IF(2=$B22,BestPlan!$C$13+$D22,E22+BestPlan!$B$13*(Half_gap*(Ceiling_e-E22)-Transcribe!$F$4)),BestPlan!$C$13)</f>
        <v>81.5</v>
      </c>
      <c r="G22" s="16" t="n">
        <f aca="false">IF(AND($C22="efficiency",3&gt;=$B22),IF(3=$B22,BestPlan!$C$14+$D22,F22+BestPlan!$B$14*(Half_gap*(Ceiling_e-F22)-Transcribe!$F$4)),BestPlan!$C$14)</f>
        <v>83.25</v>
      </c>
      <c r="H22" s="16" t="n">
        <f aca="false">IF(AND($C22="efficiency",4&gt;=$B22),IF(4=$B22,BestPlan!$C$15+$D22,G22+BestPlan!$B$15*(Half_gap*(Ceiling_e-G22)-Transcribe!$F$4)),BestPlan!$C$15)</f>
        <v>83.25</v>
      </c>
      <c r="I22" s="16" t="n">
        <f aca="false">IF(AND($C22="efficiency",5&gt;=$B22),IF(5=$B22,BestPlan!$C$16+$D22,H22+BestPlan!$B$16*(Half_gap*(Ceiling_e-H22)-Transcribe!$F$4)),BestPlan!$C$16)</f>
        <v>83.25</v>
      </c>
      <c r="J22" s="16" t="n">
        <f aca="false">IF(AND($C22="efficiency",6&gt;=$B22),IF(6=$B22,BestPlan!$C$17+$D22,I22+BestPlan!$B$17*(Half_gap*(Ceiling_e-I22)-Transcribe!$F$4)),BestPlan!$C$17)</f>
        <v>83.25</v>
      </c>
      <c r="K22" s="14" t="n">
        <f aca="false">Val_pt*(E22-E_zero)+IF(AND($C22="cash",$B22=1),$D22,0)</f>
        <v>70</v>
      </c>
      <c r="L22" s="14" t="n">
        <f aca="false">Val_pt*(F22-E_zero)+IF(AND($C22="cash",$B22=2),$D22,0)</f>
        <v>105</v>
      </c>
      <c r="M22" s="14" t="n">
        <f aca="false">Val_pt*(G22-E_zero)+IF(AND($C22="cash",$B22=3),$D22,0)</f>
        <v>122.5</v>
      </c>
      <c r="N22" s="14" t="n">
        <f aca="false">Val_pt*(H22-E_zero)+IF(AND($C22="cash",$B22=4),$D22,0)</f>
        <v>123.5</v>
      </c>
      <c r="O22" s="14" t="n">
        <f aca="false">Val_pt*(I22-E_zero)+IF(AND($C22="cash",$B22=5),$D22,0)</f>
        <v>122.5</v>
      </c>
      <c r="P22" s="14" t="n">
        <f aca="false">Val_pt*(J22-E_zero)+IF(AND($C22="cash",$B22=6),$D22,0)</f>
        <v>122.5</v>
      </c>
      <c r="Q22" s="14" t="n">
        <f aca="false">MAX(R22+Cost_round*BestPlan!$B$12-K22,IF(BestPlan!$B$12=1,Pre_q,0))</f>
        <v>535</v>
      </c>
      <c r="R22" s="14" t="n">
        <f aca="false">MAX(S22+Cost_round*BestPlan!$B$13-L22,IF(BestPlan!$B$13=1,Pre_q,0),Floor_q)</f>
        <v>485</v>
      </c>
      <c r="S22" s="14" t="n">
        <f aca="false">MAX(T22+Cost_round*BestPlan!$B$14-M22,IF(BestPlan!$B$14=1,Pre_q,0),Floor_q)</f>
        <v>470</v>
      </c>
      <c r="T22" s="14" t="n">
        <f aca="false">MAX(U22+Cost_round*BestPlan!$B$15-N22,IF(BestPlan!$B$15=1,Pre_q,0),Floor_q)</f>
        <v>350</v>
      </c>
      <c r="U22" s="14" t="n">
        <f aca="false">MAX(V22+Cost_round*BestPlan!$B$16-O22,IF(BestPlan!$B$16=1,Pre_q,0),Floor_q)</f>
        <v>350</v>
      </c>
      <c r="V22" s="14" t="n">
        <f aca="false">MAX(W22+Cost_round*BestPlan!$B$17-P22,IF(BestPlan!$B$17=1,Pre_q,0),Floor_q)</f>
        <v>350</v>
      </c>
      <c r="W22" s="14" t="n">
        <f aca="false">MAX(End_q,Floor_q)</f>
        <v>470</v>
      </c>
      <c r="X22" s="15" t="n">
        <f aca="false">IF(Q_zero&gt;=Q22-0.000000001,1,0)</f>
        <v>1</v>
      </c>
      <c r="Y22" s="14" t="n">
        <f aca="false">Q_zero-Cost_round*BestPlan!$B$12+K22-R22</f>
        <v>85</v>
      </c>
      <c r="Z22" s="14" t="n">
        <f aca="false">R22-Cost_round*BestPlan!$B$13+L22-S22</f>
        <v>0</v>
      </c>
      <c r="AA22" s="14" t="n">
        <f aca="false">S22-Cost_round*BestPlan!$B$14+M22-T22</f>
        <v>122.5</v>
      </c>
      <c r="AB22" s="14" t="n">
        <f aca="false">T22-Cost_round*BestPlan!$B$15+N22-U22</f>
        <v>123.5</v>
      </c>
      <c r="AC22" s="14" t="n">
        <f aca="false">U22-Cost_round*BestPlan!$B$16+O22-V22</f>
        <v>122.5</v>
      </c>
      <c r="AD22" s="14" t="n">
        <f aca="false">V22-Cost_round*BestPlan!$B$17+P22-W22</f>
        <v>2.5</v>
      </c>
      <c r="AE22" s="21" t="n">
        <f aca="false">Y22*Beta_y^1+Z22*Beta_y^2+AA22*Beta_y^3+AB22*Beta_y^4+AC22*Beta_y^5+AD22*Beta_y^6+Beta_y^6*Val_pt*(J22-E_zero)/Hurdle_r</f>
        <v>1022.61556333651</v>
      </c>
      <c r="AF22" s="16" t="n">
        <f aca="false">(AE22-$AE$18)/$D22</f>
        <v>0.683013455364971</v>
      </c>
      <c r="AG22" s="22" t="n">
        <f aca="false">I9</f>
        <v>0.683013455365071</v>
      </c>
      <c r="AH22" s="23" t="n">
        <f aca="false">ABS(AF22-AG22)</f>
        <v>9.9253938401489E-014</v>
      </c>
    </row>
    <row r="23" customFormat="false" ht="15" hidden="false" customHeight="false" outlineLevel="0" collapsed="false">
      <c r="A23" s="2" t="s">
        <v>188</v>
      </c>
      <c r="B23" s="2" t="n">
        <v>5</v>
      </c>
      <c r="C23" s="2" t="s">
        <v>184</v>
      </c>
      <c r="D23" s="12" t="n">
        <v>1</v>
      </c>
      <c r="E23" s="16" t="n">
        <f aca="false">IF(AND($C23="efficiency",1&gt;=$B23),IF(1=$B23,BestPlan!$C$12+$D23,E_zero+BestPlan!$B$12*(Half_gap*(Ceiling_e-E_zero)-Transcribe!$F$4)),BestPlan!$C$12)</f>
        <v>78</v>
      </c>
      <c r="F23" s="16" t="n">
        <f aca="false">IF(AND($C23="efficiency",2&gt;=$B23),IF(2=$B23,BestPlan!$C$13+$D23,E23+BestPlan!$B$13*(Half_gap*(Ceiling_e-E23)-Transcribe!$F$4)),BestPlan!$C$13)</f>
        <v>81.5</v>
      </c>
      <c r="G23" s="16" t="n">
        <f aca="false">IF(AND($C23="efficiency",3&gt;=$B23),IF(3=$B23,BestPlan!$C$14+$D23,F23+BestPlan!$B$14*(Half_gap*(Ceiling_e-F23)-Transcribe!$F$4)),BestPlan!$C$14)</f>
        <v>83.25</v>
      </c>
      <c r="H23" s="16" t="n">
        <f aca="false">IF(AND($C23="efficiency",4&gt;=$B23),IF(4=$B23,BestPlan!$C$15+$D23,G23+BestPlan!$B$15*(Half_gap*(Ceiling_e-G23)-Transcribe!$F$4)),BestPlan!$C$15)</f>
        <v>83.25</v>
      </c>
      <c r="I23" s="16" t="n">
        <f aca="false">IF(AND($C23="efficiency",5&gt;=$B23),IF(5=$B23,BestPlan!$C$16+$D23,H23+BestPlan!$B$16*(Half_gap*(Ceiling_e-H23)-Transcribe!$F$4)),BestPlan!$C$16)</f>
        <v>83.25</v>
      </c>
      <c r="J23" s="16" t="n">
        <f aca="false">IF(AND($C23="efficiency",6&gt;=$B23),IF(6=$B23,BestPlan!$C$17+$D23,I23+BestPlan!$B$17*(Half_gap*(Ceiling_e-I23)-Transcribe!$F$4)),BestPlan!$C$17)</f>
        <v>83.25</v>
      </c>
      <c r="K23" s="14" t="n">
        <f aca="false">Val_pt*(E23-E_zero)+IF(AND($C23="cash",$B23=1),$D23,0)</f>
        <v>70</v>
      </c>
      <c r="L23" s="14" t="n">
        <f aca="false">Val_pt*(F23-E_zero)+IF(AND($C23="cash",$B23=2),$D23,0)</f>
        <v>105</v>
      </c>
      <c r="M23" s="14" t="n">
        <f aca="false">Val_pt*(G23-E_zero)+IF(AND($C23="cash",$B23=3),$D23,0)</f>
        <v>122.5</v>
      </c>
      <c r="N23" s="14" t="n">
        <f aca="false">Val_pt*(H23-E_zero)+IF(AND($C23="cash",$B23=4),$D23,0)</f>
        <v>122.5</v>
      </c>
      <c r="O23" s="14" t="n">
        <f aca="false">Val_pt*(I23-E_zero)+IF(AND($C23="cash",$B23=5),$D23,0)</f>
        <v>123.5</v>
      </c>
      <c r="P23" s="14" t="n">
        <f aca="false">Val_pt*(J23-E_zero)+IF(AND($C23="cash",$B23=6),$D23,0)</f>
        <v>122.5</v>
      </c>
      <c r="Q23" s="14" t="n">
        <f aca="false">MAX(R23+Cost_round*BestPlan!$B$12-K23,IF(BestPlan!$B$12=1,Pre_q,0))</f>
        <v>535</v>
      </c>
      <c r="R23" s="14" t="n">
        <f aca="false">MAX(S23+Cost_round*BestPlan!$B$13-L23,IF(BestPlan!$B$13=1,Pre_q,0),Floor_q)</f>
        <v>485</v>
      </c>
      <c r="S23" s="14" t="n">
        <f aca="false">MAX(T23+Cost_round*BestPlan!$B$14-M23,IF(BestPlan!$B$14=1,Pre_q,0),Floor_q)</f>
        <v>470</v>
      </c>
      <c r="T23" s="14" t="n">
        <f aca="false">MAX(U23+Cost_round*BestPlan!$B$15-N23,IF(BestPlan!$B$15=1,Pre_q,0),Floor_q)</f>
        <v>350</v>
      </c>
      <c r="U23" s="14" t="n">
        <f aca="false">MAX(V23+Cost_round*BestPlan!$B$16-O23,IF(BestPlan!$B$16=1,Pre_q,0),Floor_q)</f>
        <v>350</v>
      </c>
      <c r="V23" s="14" t="n">
        <f aca="false">MAX(W23+Cost_round*BestPlan!$B$17-P23,IF(BestPlan!$B$17=1,Pre_q,0),Floor_q)</f>
        <v>350</v>
      </c>
      <c r="W23" s="14" t="n">
        <f aca="false">MAX(End_q,Floor_q)</f>
        <v>470</v>
      </c>
      <c r="X23" s="15" t="n">
        <f aca="false">IF(Q_zero&gt;=Q23-0.000000001,1,0)</f>
        <v>1</v>
      </c>
      <c r="Y23" s="14" t="n">
        <f aca="false">Q_zero-Cost_round*BestPlan!$B$12+K23-R23</f>
        <v>85</v>
      </c>
      <c r="Z23" s="14" t="n">
        <f aca="false">R23-Cost_round*BestPlan!$B$13+L23-S23</f>
        <v>0</v>
      </c>
      <c r="AA23" s="14" t="n">
        <f aca="false">S23-Cost_round*BestPlan!$B$14+M23-T23</f>
        <v>122.5</v>
      </c>
      <c r="AB23" s="14" t="n">
        <f aca="false">T23-Cost_round*BestPlan!$B$15+N23-U23</f>
        <v>122.5</v>
      </c>
      <c r="AC23" s="14" t="n">
        <f aca="false">U23-Cost_round*BestPlan!$B$16+O23-V23</f>
        <v>123.5</v>
      </c>
      <c r="AD23" s="14" t="n">
        <f aca="false">V23-Cost_round*BestPlan!$B$17+P23-W23</f>
        <v>2.5</v>
      </c>
      <c r="AE23" s="21" t="n">
        <f aca="false">Y23*Beta_y^1+Z23*Beta_y^2+AA23*Beta_y^3+AB23*Beta_y^4+AC23*Beta_y^5+AD23*Beta_y^6+Beta_y^6*Val_pt*(J23-E_zero)/Hurdle_r</f>
        <v>1022.55347120421</v>
      </c>
      <c r="AF23" s="16" t="n">
        <f aca="false">(AE23-$AE$18)/$D23</f>
        <v>0.620921323059065</v>
      </c>
      <c r="AG23" s="22" t="n">
        <f aca="false">I10</f>
        <v>0.620921323059155</v>
      </c>
      <c r="AH23" s="23" t="n">
        <f aca="false">ABS(AF23-AG23)</f>
        <v>9.01501095995627E-014</v>
      </c>
    </row>
    <row r="24" customFormat="false" ht="15" hidden="false" customHeight="false" outlineLevel="0" collapsed="false">
      <c r="A24" s="2" t="s">
        <v>189</v>
      </c>
      <c r="B24" s="2" t="n">
        <v>6</v>
      </c>
      <c r="C24" s="2" t="s">
        <v>184</v>
      </c>
      <c r="D24" s="12" t="n">
        <v>1</v>
      </c>
      <c r="E24" s="16" t="n">
        <f aca="false">IF(AND($C24="efficiency",1&gt;=$B24),IF(1=$B24,BestPlan!$C$12+$D24,E_zero+BestPlan!$B$12*(Half_gap*(Ceiling_e-E_zero)-Transcribe!$F$4)),BestPlan!$C$12)</f>
        <v>78</v>
      </c>
      <c r="F24" s="16" t="n">
        <f aca="false">IF(AND($C24="efficiency",2&gt;=$B24),IF(2=$B24,BestPlan!$C$13+$D24,E24+BestPlan!$B$13*(Half_gap*(Ceiling_e-E24)-Transcribe!$F$4)),BestPlan!$C$13)</f>
        <v>81.5</v>
      </c>
      <c r="G24" s="16" t="n">
        <f aca="false">IF(AND($C24="efficiency",3&gt;=$B24),IF(3=$B24,BestPlan!$C$14+$D24,F24+BestPlan!$B$14*(Half_gap*(Ceiling_e-F24)-Transcribe!$F$4)),BestPlan!$C$14)</f>
        <v>83.25</v>
      </c>
      <c r="H24" s="16" t="n">
        <f aca="false">IF(AND($C24="efficiency",4&gt;=$B24),IF(4=$B24,BestPlan!$C$15+$D24,G24+BestPlan!$B$15*(Half_gap*(Ceiling_e-G24)-Transcribe!$F$4)),BestPlan!$C$15)</f>
        <v>83.25</v>
      </c>
      <c r="I24" s="16" t="n">
        <f aca="false">IF(AND($C24="efficiency",5&gt;=$B24),IF(5=$B24,BestPlan!$C$16+$D24,H24+BestPlan!$B$16*(Half_gap*(Ceiling_e-H24)-Transcribe!$F$4)),BestPlan!$C$16)</f>
        <v>83.25</v>
      </c>
      <c r="J24" s="16" t="n">
        <f aca="false">IF(AND($C24="efficiency",6&gt;=$B24),IF(6=$B24,BestPlan!$C$17+$D24,I24+BestPlan!$B$17*(Half_gap*(Ceiling_e-I24)-Transcribe!$F$4)),BestPlan!$C$17)</f>
        <v>83.25</v>
      </c>
      <c r="K24" s="14" t="n">
        <f aca="false">Val_pt*(E24-E_zero)+IF(AND($C24="cash",$B24=1),$D24,0)</f>
        <v>70</v>
      </c>
      <c r="L24" s="14" t="n">
        <f aca="false">Val_pt*(F24-E_zero)+IF(AND($C24="cash",$B24=2),$D24,0)</f>
        <v>105</v>
      </c>
      <c r="M24" s="14" t="n">
        <f aca="false">Val_pt*(G24-E_zero)+IF(AND($C24="cash",$B24=3),$D24,0)</f>
        <v>122.5</v>
      </c>
      <c r="N24" s="14" t="n">
        <f aca="false">Val_pt*(H24-E_zero)+IF(AND($C24="cash",$B24=4),$D24,0)</f>
        <v>122.5</v>
      </c>
      <c r="O24" s="14" t="n">
        <f aca="false">Val_pt*(I24-E_zero)+IF(AND($C24="cash",$B24=5),$D24,0)</f>
        <v>122.5</v>
      </c>
      <c r="P24" s="14" t="n">
        <f aca="false">Val_pt*(J24-E_zero)+IF(AND($C24="cash",$B24=6),$D24,0)</f>
        <v>123.5</v>
      </c>
      <c r="Q24" s="14" t="n">
        <f aca="false">MAX(R24+Cost_round*BestPlan!$B$12-K24,IF(BestPlan!$B$12=1,Pre_q,0))</f>
        <v>535</v>
      </c>
      <c r="R24" s="14" t="n">
        <f aca="false">MAX(S24+Cost_round*BestPlan!$B$13-L24,IF(BestPlan!$B$13=1,Pre_q,0),Floor_q)</f>
        <v>485</v>
      </c>
      <c r="S24" s="14" t="n">
        <f aca="false">MAX(T24+Cost_round*BestPlan!$B$14-M24,IF(BestPlan!$B$14=1,Pre_q,0),Floor_q)</f>
        <v>470</v>
      </c>
      <c r="T24" s="14" t="n">
        <f aca="false">MAX(U24+Cost_round*BestPlan!$B$15-N24,IF(BestPlan!$B$15=1,Pre_q,0),Floor_q)</f>
        <v>350</v>
      </c>
      <c r="U24" s="14" t="n">
        <f aca="false">MAX(V24+Cost_round*BestPlan!$B$16-O24,IF(BestPlan!$B$16=1,Pre_q,0),Floor_q)</f>
        <v>350</v>
      </c>
      <c r="V24" s="14" t="n">
        <f aca="false">MAX(W24+Cost_round*BestPlan!$B$17-P24,IF(BestPlan!$B$17=1,Pre_q,0),Floor_q)</f>
        <v>350</v>
      </c>
      <c r="W24" s="14" t="n">
        <f aca="false">MAX(End_q,Floor_q)</f>
        <v>470</v>
      </c>
      <c r="X24" s="15" t="n">
        <f aca="false">IF(Q_zero&gt;=Q24-0.000000001,1,0)</f>
        <v>1</v>
      </c>
      <c r="Y24" s="14" t="n">
        <f aca="false">Q_zero-Cost_round*BestPlan!$B$12+K24-R24</f>
        <v>85</v>
      </c>
      <c r="Z24" s="14" t="n">
        <f aca="false">R24-Cost_round*BestPlan!$B$13+L24-S24</f>
        <v>0</v>
      </c>
      <c r="AA24" s="14" t="n">
        <f aca="false">S24-Cost_round*BestPlan!$B$14+M24-T24</f>
        <v>122.5</v>
      </c>
      <c r="AB24" s="14" t="n">
        <f aca="false">T24-Cost_round*BestPlan!$B$15+N24-U24</f>
        <v>122.5</v>
      </c>
      <c r="AC24" s="14" t="n">
        <f aca="false">U24-Cost_round*BestPlan!$B$16+O24-V24</f>
        <v>122.5</v>
      </c>
      <c r="AD24" s="14" t="n">
        <f aca="false">V24-Cost_round*BestPlan!$B$17+P24-W24</f>
        <v>3.5</v>
      </c>
      <c r="AE24" s="21" t="n">
        <f aca="false">Y24*Beta_y^1+Z24*Beta_y^2+AA24*Beta_y^3+AB24*Beta_y^4+AC24*Beta_y^5+AD24*Beta_y^6+Beta_y^6*Val_pt*(J24-E_zero)/Hurdle_r</f>
        <v>1022.4970238112</v>
      </c>
      <c r="AF24" s="16" t="n">
        <f aca="false">(AE24-$AE$18)/$D24</f>
        <v>0.564473930053737</v>
      </c>
      <c r="AG24" s="22" t="n">
        <f aca="false">I11</f>
        <v>0.564473930053777</v>
      </c>
      <c r="AH24" s="23" t="n">
        <f aca="false">ABS(AF24-AG24)</f>
        <v>4.06341627012807E-014</v>
      </c>
    </row>
    <row r="25" customFormat="false" ht="15" hidden="false" customHeight="false" outlineLevel="0" collapsed="false">
      <c r="A25" s="2" t="s">
        <v>190</v>
      </c>
      <c r="B25" s="2" t="n">
        <v>1</v>
      </c>
      <c r="C25" s="2" t="s">
        <v>191</v>
      </c>
      <c r="D25" s="12" t="n">
        <v>0.01</v>
      </c>
      <c r="E25" s="16" t="n">
        <f aca="false">IF(AND($C25="efficiency",1&gt;=$B25),IF(1=$B25,BestPlan!$C$12+$D25,E_zero+BestPlan!$B$12*(Half_gap*(Ceiling_e-E_zero)-Transcribe!$F$4)),BestPlan!$C$12)</f>
        <v>78.01</v>
      </c>
      <c r="F25" s="16" t="n">
        <f aca="false">IF(AND($C25="efficiency",2&gt;=$B25),IF(2=$B25,BestPlan!$C$13+$D25,E25+BestPlan!$B$13*(Half_gap*(Ceiling_e-E25)-Transcribe!$F$4)),BestPlan!$C$13)</f>
        <v>81.505</v>
      </c>
      <c r="G25" s="16" t="n">
        <f aca="false">IF(AND($C25="efficiency",3&gt;=$B25),IF(3=$B25,BestPlan!$C$14+$D25,F25+BestPlan!$B$14*(Half_gap*(Ceiling_e-F25)-Transcribe!$F$4)),BestPlan!$C$14)</f>
        <v>83.2525</v>
      </c>
      <c r="H25" s="16" t="n">
        <f aca="false">IF(AND($C25="efficiency",4&gt;=$B25),IF(4=$B25,BestPlan!$C$15+$D25,G25+BestPlan!$B$15*(Half_gap*(Ceiling_e-G25)-Transcribe!$F$4)),BestPlan!$C$15)</f>
        <v>83.2525</v>
      </c>
      <c r="I25" s="16" t="n">
        <f aca="false">IF(AND($C25="efficiency",5&gt;=$B25),IF(5=$B25,BestPlan!$C$16+$D25,H25+BestPlan!$B$16*(Half_gap*(Ceiling_e-H25)-Transcribe!$F$4)),BestPlan!$C$16)</f>
        <v>83.2525</v>
      </c>
      <c r="J25" s="16" t="n">
        <f aca="false">IF(AND($C25="efficiency",6&gt;=$B25),IF(6=$B25,BestPlan!$C$17+$D25,I25+BestPlan!$B$17*(Half_gap*(Ceiling_e-I25)-Transcribe!$F$4)),BestPlan!$C$17)</f>
        <v>83.2525</v>
      </c>
      <c r="K25" s="14" t="n">
        <f aca="false">Val_pt*(E25-E_zero)+IF(AND($C25="cash",$B25=1),$D25,0)</f>
        <v>70.1000000000001</v>
      </c>
      <c r="L25" s="14" t="n">
        <f aca="false">Val_pt*(F25-E_zero)+IF(AND($C25="cash",$B25=2),$D25,0)</f>
        <v>105.05</v>
      </c>
      <c r="M25" s="14" t="n">
        <f aca="false">Val_pt*(G25-E_zero)+IF(AND($C25="cash",$B25=3),$D25,0)</f>
        <v>122.525</v>
      </c>
      <c r="N25" s="14" t="n">
        <f aca="false">Val_pt*(H25-E_zero)+IF(AND($C25="cash",$B25=4),$D25,0)</f>
        <v>122.525</v>
      </c>
      <c r="O25" s="14" t="n">
        <f aca="false">Val_pt*(I25-E_zero)+IF(AND($C25="cash",$B25=5),$D25,0)</f>
        <v>122.525</v>
      </c>
      <c r="P25" s="14" t="n">
        <f aca="false">Val_pt*(J25-E_zero)+IF(AND($C25="cash",$B25=6),$D25,0)</f>
        <v>122.525</v>
      </c>
      <c r="Q25" s="14" t="n">
        <f aca="false">MAX(R25+Cost_round*BestPlan!$B$12-K25,IF(BestPlan!$B$12=1,Pre_q,0))</f>
        <v>534.85</v>
      </c>
      <c r="R25" s="14" t="n">
        <f aca="false">MAX(S25+Cost_round*BestPlan!$B$13-L25,IF(BestPlan!$B$13=1,Pre_q,0),Floor_q)</f>
        <v>484.95</v>
      </c>
      <c r="S25" s="14" t="n">
        <f aca="false">MAX(T25+Cost_round*BestPlan!$B$14-M25,IF(BestPlan!$B$14=1,Pre_q,0),Floor_q)</f>
        <v>470</v>
      </c>
      <c r="T25" s="14" t="n">
        <f aca="false">MAX(U25+Cost_round*BestPlan!$B$15-N25,IF(BestPlan!$B$15=1,Pre_q,0),Floor_q)</f>
        <v>350</v>
      </c>
      <c r="U25" s="14" t="n">
        <f aca="false">MAX(V25+Cost_round*BestPlan!$B$16-O25,IF(BestPlan!$B$16=1,Pre_q,0),Floor_q)</f>
        <v>350</v>
      </c>
      <c r="V25" s="14" t="n">
        <f aca="false">MAX(W25+Cost_round*BestPlan!$B$17-P25,IF(BestPlan!$B$17=1,Pre_q,0),Floor_q)</f>
        <v>350</v>
      </c>
      <c r="W25" s="14" t="n">
        <f aca="false">MAX(End_q,Floor_q)</f>
        <v>470</v>
      </c>
      <c r="X25" s="15" t="n">
        <f aca="false">IF(Q_zero&gt;=Q25-0.000000001,1,0)</f>
        <v>1</v>
      </c>
      <c r="Y25" s="14" t="n">
        <f aca="false">Q_zero-Cost_round*BestPlan!$B$12+K25-R25</f>
        <v>85.15</v>
      </c>
      <c r="Z25" s="14" t="n">
        <f aca="false">R25-Cost_round*BestPlan!$B$13+L25-S25</f>
        <v>0</v>
      </c>
      <c r="AA25" s="14" t="n">
        <f aca="false">S25-Cost_round*BestPlan!$B$14+M25-T25</f>
        <v>122.525</v>
      </c>
      <c r="AB25" s="14" t="n">
        <f aca="false">T25-Cost_round*BestPlan!$B$15+N25-U25</f>
        <v>122.525</v>
      </c>
      <c r="AC25" s="14" t="n">
        <f aca="false">U25-Cost_round*BestPlan!$B$16+O25-V25</f>
        <v>122.525</v>
      </c>
      <c r="AD25" s="14" t="n">
        <f aca="false">V25-Cost_round*BestPlan!$B$17+P25-W25</f>
        <v>2.52499999999998</v>
      </c>
      <c r="AE25" s="21" t="n">
        <f aca="false">Y25*Beta_y^1+Z25*Beta_y^2+AA25*Beta_y^3+AB25*Beta_y^4+AC25*Beta_y^5+AD25*Beta_y^6+Beta_y^6*Val_pt*(J25-E_zero)/Hurdle_r</f>
        <v>1022.27552508776</v>
      </c>
      <c r="AF25" s="16" t="n">
        <f aca="false">(AE25-$AE$18)/$D25</f>
        <v>34.29752066113</v>
      </c>
      <c r="AG25" s="22" t="n">
        <f aca="false">N6</f>
        <v>34.297520661157</v>
      </c>
      <c r="AH25" s="23" t="n">
        <f aca="false">ABS(AF25-AG25)</f>
        <v>2.70574673777446E-011</v>
      </c>
    </row>
    <row r="26" customFormat="false" ht="15" hidden="false" customHeight="false" outlineLevel="0" collapsed="false">
      <c r="A26" s="2" t="s">
        <v>192</v>
      </c>
      <c r="B26" s="2" t="n">
        <v>2</v>
      </c>
      <c r="C26" s="2" t="s">
        <v>191</v>
      </c>
      <c r="D26" s="12" t="n">
        <v>0.01</v>
      </c>
      <c r="E26" s="16" t="n">
        <f aca="false">IF(AND($C26="efficiency",1&gt;=$B26),IF(1=$B26,BestPlan!$C$12+$D26,E_zero+BestPlan!$B$12*(Half_gap*(Ceiling_e-E_zero)-Transcribe!$F$4)),BestPlan!$C$12)</f>
        <v>78</v>
      </c>
      <c r="F26" s="16" t="n">
        <f aca="false">IF(AND($C26="efficiency",2&gt;=$B26),IF(2=$B26,BestPlan!$C$13+$D26,E26+BestPlan!$B$13*(Half_gap*(Ceiling_e-E26)-Transcribe!$F$4)),BestPlan!$C$13)</f>
        <v>81.51</v>
      </c>
      <c r="G26" s="16" t="n">
        <f aca="false">IF(AND($C26="efficiency",3&gt;=$B26),IF(3=$B26,BestPlan!$C$14+$D26,F26+BestPlan!$B$14*(Half_gap*(Ceiling_e-F26)-Transcribe!$F$4)),BestPlan!$C$14)</f>
        <v>83.255</v>
      </c>
      <c r="H26" s="16" t="n">
        <f aca="false">IF(AND($C26="efficiency",4&gt;=$B26),IF(4=$B26,BestPlan!$C$15+$D26,G26+BestPlan!$B$15*(Half_gap*(Ceiling_e-G26)-Transcribe!$F$4)),BestPlan!$C$15)</f>
        <v>83.255</v>
      </c>
      <c r="I26" s="16" t="n">
        <f aca="false">IF(AND($C26="efficiency",5&gt;=$B26),IF(5=$B26,BestPlan!$C$16+$D26,H26+BestPlan!$B$16*(Half_gap*(Ceiling_e-H26)-Transcribe!$F$4)),BestPlan!$C$16)</f>
        <v>83.255</v>
      </c>
      <c r="J26" s="16" t="n">
        <f aca="false">IF(AND($C26="efficiency",6&gt;=$B26),IF(6=$B26,BestPlan!$C$17+$D26,I26+BestPlan!$B$17*(Half_gap*(Ceiling_e-I26)-Transcribe!$F$4)),BestPlan!$C$17)</f>
        <v>83.255</v>
      </c>
      <c r="K26" s="14" t="n">
        <f aca="false">Val_pt*(E26-E_zero)+IF(AND($C26="cash",$B26=1),$D26,0)</f>
        <v>70</v>
      </c>
      <c r="L26" s="14" t="n">
        <f aca="false">Val_pt*(F26-E_zero)+IF(AND($C26="cash",$B26=2),$D26,0)</f>
        <v>105.1</v>
      </c>
      <c r="M26" s="14" t="n">
        <f aca="false">Val_pt*(G26-E_zero)+IF(AND($C26="cash",$B26=3),$D26,0)</f>
        <v>122.55</v>
      </c>
      <c r="N26" s="14" t="n">
        <f aca="false">Val_pt*(H26-E_zero)+IF(AND($C26="cash",$B26=4),$D26,0)</f>
        <v>122.55</v>
      </c>
      <c r="O26" s="14" t="n">
        <f aca="false">Val_pt*(I26-E_zero)+IF(AND($C26="cash",$B26=5),$D26,0)</f>
        <v>122.55</v>
      </c>
      <c r="P26" s="14" t="n">
        <f aca="false">Val_pt*(J26-E_zero)+IF(AND($C26="cash",$B26=6),$D26,0)</f>
        <v>122.55</v>
      </c>
      <c r="Q26" s="14" t="n">
        <f aca="false">MAX(R26+Cost_round*BestPlan!$B$12-K26,IF(BestPlan!$B$12=1,Pre_q,0))</f>
        <v>534.9</v>
      </c>
      <c r="R26" s="14" t="n">
        <f aca="false">MAX(S26+Cost_round*BestPlan!$B$13-L26,IF(BestPlan!$B$13=1,Pre_q,0),Floor_q)</f>
        <v>484.9</v>
      </c>
      <c r="S26" s="14" t="n">
        <f aca="false">MAX(T26+Cost_round*BestPlan!$B$14-M26,IF(BestPlan!$B$14=1,Pre_q,0),Floor_q)</f>
        <v>470</v>
      </c>
      <c r="T26" s="14" t="n">
        <f aca="false">MAX(U26+Cost_round*BestPlan!$B$15-N26,IF(BestPlan!$B$15=1,Pre_q,0),Floor_q)</f>
        <v>350</v>
      </c>
      <c r="U26" s="14" t="n">
        <f aca="false">MAX(V26+Cost_round*BestPlan!$B$16-O26,IF(BestPlan!$B$16=1,Pre_q,0),Floor_q)</f>
        <v>350</v>
      </c>
      <c r="V26" s="14" t="n">
        <f aca="false">MAX(W26+Cost_round*BestPlan!$B$17-P26,IF(BestPlan!$B$17=1,Pre_q,0),Floor_q)</f>
        <v>350</v>
      </c>
      <c r="W26" s="14" t="n">
        <f aca="false">MAX(End_q,Floor_q)</f>
        <v>470</v>
      </c>
      <c r="X26" s="15" t="n">
        <f aca="false">IF(Q_zero&gt;=Q26-0.000000001,1,0)</f>
        <v>1</v>
      </c>
      <c r="Y26" s="14" t="n">
        <f aca="false">Q_zero-Cost_round*BestPlan!$B$12+K26-R26</f>
        <v>85.1</v>
      </c>
      <c r="Z26" s="14" t="n">
        <f aca="false">R26-Cost_round*BestPlan!$B$13+L26-S26</f>
        <v>0</v>
      </c>
      <c r="AA26" s="14" t="n">
        <f aca="false">S26-Cost_round*BestPlan!$B$14+M26-T26</f>
        <v>122.55</v>
      </c>
      <c r="AB26" s="14" t="n">
        <f aca="false">T26-Cost_round*BestPlan!$B$15+N26-U26</f>
        <v>122.55</v>
      </c>
      <c r="AC26" s="14" t="n">
        <f aca="false">U26-Cost_round*BestPlan!$B$16+O26-V26</f>
        <v>122.55</v>
      </c>
      <c r="AD26" s="14" t="n">
        <f aca="false">V26-Cost_round*BestPlan!$B$17+P26-W26</f>
        <v>2.54999999999995</v>
      </c>
      <c r="AE26" s="21" t="n">
        <f aca="false">Y26*Beta_y^1+Z26*Beta_y^2+AA26*Beta_y^3+AB26*Beta_y^4+AC26*Beta_y^5+AD26*Beta_y^6+Beta_y^6*Val_pt*(J26-E_zero)/Hurdle_r</f>
        <v>1022.43668211255</v>
      </c>
      <c r="AF26" s="16" t="n">
        <f aca="false">(AE26-$AE$18)/$D26</f>
        <v>50.4132231404583</v>
      </c>
      <c r="AG26" s="22" t="n">
        <f aca="false">N7</f>
        <v>50.4132231404959</v>
      </c>
      <c r="AH26" s="23" t="n">
        <f aca="false">ABS(AF26-AG26)</f>
        <v>3.75734998669941E-011</v>
      </c>
    </row>
    <row r="27" customFormat="false" ht="15" hidden="false" customHeight="false" outlineLevel="0" collapsed="false">
      <c r="A27" s="2" t="s">
        <v>193</v>
      </c>
      <c r="B27" s="2" t="n">
        <v>3</v>
      </c>
      <c r="C27" s="2" t="s">
        <v>191</v>
      </c>
      <c r="D27" s="12" t="n">
        <v>0.01</v>
      </c>
      <c r="E27" s="16" t="n">
        <f aca="false">IF(AND($C27="efficiency",1&gt;=$B27),IF(1=$B27,BestPlan!$C$12+$D27,E_zero+BestPlan!$B$12*(Half_gap*(Ceiling_e-E_zero)-Transcribe!$F$4)),BestPlan!$C$12)</f>
        <v>78</v>
      </c>
      <c r="F27" s="16" t="n">
        <f aca="false">IF(AND($C27="efficiency",2&gt;=$B27),IF(2=$B27,BestPlan!$C$13+$D27,E27+BestPlan!$B$13*(Half_gap*(Ceiling_e-E27)-Transcribe!$F$4)),BestPlan!$C$13)</f>
        <v>81.5</v>
      </c>
      <c r="G27" s="16" t="n">
        <f aca="false">IF(AND($C27="efficiency",3&gt;=$B27),IF(3=$B27,BestPlan!$C$14+$D27,F27+BestPlan!$B$14*(Half_gap*(Ceiling_e-F27)-Transcribe!$F$4)),BestPlan!$C$14)</f>
        <v>83.26</v>
      </c>
      <c r="H27" s="16" t="n">
        <f aca="false">IF(AND($C27="efficiency",4&gt;=$B27),IF(4=$B27,BestPlan!$C$15+$D27,G27+BestPlan!$B$15*(Half_gap*(Ceiling_e-G27)-Transcribe!$F$4)),BestPlan!$C$15)</f>
        <v>83.26</v>
      </c>
      <c r="I27" s="16" t="n">
        <f aca="false">IF(AND($C27="efficiency",5&gt;=$B27),IF(5=$B27,BestPlan!$C$16+$D27,H27+BestPlan!$B$16*(Half_gap*(Ceiling_e-H27)-Transcribe!$F$4)),BestPlan!$C$16)</f>
        <v>83.26</v>
      </c>
      <c r="J27" s="16" t="n">
        <f aca="false">IF(AND($C27="efficiency",6&gt;=$B27),IF(6=$B27,BestPlan!$C$17+$D27,I27+BestPlan!$B$17*(Half_gap*(Ceiling_e-I27)-Transcribe!$F$4)),BestPlan!$C$17)</f>
        <v>83.26</v>
      </c>
      <c r="K27" s="14" t="n">
        <f aca="false">Val_pt*(E27-E_zero)+IF(AND($C27="cash",$B27=1),$D27,0)</f>
        <v>70</v>
      </c>
      <c r="L27" s="14" t="n">
        <f aca="false">Val_pt*(F27-E_zero)+IF(AND($C27="cash",$B27=2),$D27,0)</f>
        <v>105</v>
      </c>
      <c r="M27" s="14" t="n">
        <f aca="false">Val_pt*(G27-E_zero)+IF(AND($C27="cash",$B27=3),$D27,0)</f>
        <v>122.6</v>
      </c>
      <c r="N27" s="14" t="n">
        <f aca="false">Val_pt*(H27-E_zero)+IF(AND($C27="cash",$B27=4),$D27,0)</f>
        <v>122.6</v>
      </c>
      <c r="O27" s="14" t="n">
        <f aca="false">Val_pt*(I27-E_zero)+IF(AND($C27="cash",$B27=5),$D27,0)</f>
        <v>122.6</v>
      </c>
      <c r="P27" s="14" t="n">
        <f aca="false">Val_pt*(J27-E_zero)+IF(AND($C27="cash",$B27=6),$D27,0)</f>
        <v>122.6</v>
      </c>
      <c r="Q27" s="14" t="n">
        <f aca="false">MAX(R27+Cost_round*BestPlan!$B$12-K27,IF(BestPlan!$B$12=1,Pre_q,0))</f>
        <v>535</v>
      </c>
      <c r="R27" s="14" t="n">
        <f aca="false">MAX(S27+Cost_round*BestPlan!$B$13-L27,IF(BestPlan!$B$13=1,Pre_q,0),Floor_q)</f>
        <v>485</v>
      </c>
      <c r="S27" s="14" t="n">
        <f aca="false">MAX(T27+Cost_round*BestPlan!$B$14-M27,IF(BestPlan!$B$14=1,Pre_q,0),Floor_q)</f>
        <v>470</v>
      </c>
      <c r="T27" s="14" t="n">
        <f aca="false">MAX(U27+Cost_round*BestPlan!$B$15-N27,IF(BestPlan!$B$15=1,Pre_q,0),Floor_q)</f>
        <v>350</v>
      </c>
      <c r="U27" s="14" t="n">
        <f aca="false">MAX(V27+Cost_round*BestPlan!$B$16-O27,IF(BestPlan!$B$16=1,Pre_q,0),Floor_q)</f>
        <v>350</v>
      </c>
      <c r="V27" s="14" t="n">
        <f aca="false">MAX(W27+Cost_round*BestPlan!$B$17-P27,IF(BestPlan!$B$17=1,Pre_q,0),Floor_q)</f>
        <v>350</v>
      </c>
      <c r="W27" s="14" t="n">
        <f aca="false">MAX(End_q,Floor_q)</f>
        <v>470</v>
      </c>
      <c r="X27" s="15" t="n">
        <f aca="false">IF(Q_zero&gt;=Q27-0.000000001,1,0)</f>
        <v>1</v>
      </c>
      <c r="Y27" s="14" t="n">
        <f aca="false">Q_zero-Cost_round*BestPlan!$B$12+K27-R27</f>
        <v>85</v>
      </c>
      <c r="Z27" s="14" t="n">
        <f aca="false">R27-Cost_round*BestPlan!$B$13+L27-S27</f>
        <v>0</v>
      </c>
      <c r="AA27" s="14" t="n">
        <f aca="false">S27-Cost_round*BestPlan!$B$14+M27-T27</f>
        <v>122.6</v>
      </c>
      <c r="AB27" s="14" t="n">
        <f aca="false">T27-Cost_round*BestPlan!$B$15+N27-U27</f>
        <v>122.6</v>
      </c>
      <c r="AC27" s="14" t="n">
        <f aca="false">U27-Cost_round*BestPlan!$B$16+O27-V27</f>
        <v>122.6</v>
      </c>
      <c r="AD27" s="14" t="n">
        <f aca="false">V27-Cost_round*BestPlan!$B$17+P27-W27</f>
        <v>2.60000000000002</v>
      </c>
      <c r="AE27" s="21" t="n">
        <f aca="false">Y27*Beta_y^1+Z27*Beta_y^2+AA27*Beta_y^3+AB27*Beta_y^4+AC27*Beta_y^5+AD27*Beta_y^6+Beta_y^6*Val_pt*(J27-E_zero)/Hurdle_r</f>
        <v>1022.75899616214</v>
      </c>
      <c r="AF27" s="16" t="n">
        <f aca="false">(AE27-$AE$18)/$D27</f>
        <v>82.6446280992059</v>
      </c>
      <c r="AG27" s="22" t="n">
        <f aca="false">N8</f>
        <v>82.6446280991735</v>
      </c>
      <c r="AH27" s="23" t="n">
        <f aca="false">ABS(AF27-AG27)</f>
        <v>3.23296944770846E-011</v>
      </c>
    </row>
    <row r="28" customFormat="false" ht="15" hidden="false" customHeight="false" outlineLevel="0" collapsed="false">
      <c r="A28" s="2" t="s">
        <v>194</v>
      </c>
      <c r="B28" s="2" t="n">
        <v>4</v>
      </c>
      <c r="C28" s="2" t="s">
        <v>191</v>
      </c>
      <c r="D28" s="12" t="n">
        <v>0.01</v>
      </c>
      <c r="E28" s="16" t="n">
        <f aca="false">IF(AND($C28="efficiency",1&gt;=$B28),IF(1=$B28,BestPlan!$C$12+$D28,E_zero+BestPlan!$B$12*(Half_gap*(Ceiling_e-E_zero)-Transcribe!$F$4)),BestPlan!$C$12)</f>
        <v>78</v>
      </c>
      <c r="F28" s="16" t="n">
        <f aca="false">IF(AND($C28="efficiency",2&gt;=$B28),IF(2=$B28,BestPlan!$C$13+$D28,E28+BestPlan!$B$13*(Half_gap*(Ceiling_e-E28)-Transcribe!$F$4)),BestPlan!$C$13)</f>
        <v>81.5</v>
      </c>
      <c r="G28" s="16" t="n">
        <f aca="false">IF(AND($C28="efficiency",3&gt;=$B28),IF(3=$B28,BestPlan!$C$14+$D28,F28+BestPlan!$B$14*(Half_gap*(Ceiling_e-F28)-Transcribe!$F$4)),BestPlan!$C$14)</f>
        <v>83.25</v>
      </c>
      <c r="H28" s="16" t="n">
        <f aca="false">IF(AND($C28="efficiency",4&gt;=$B28),IF(4=$B28,BestPlan!$C$15+$D28,G28+BestPlan!$B$15*(Half_gap*(Ceiling_e-G28)-Transcribe!$F$4)),BestPlan!$C$15)</f>
        <v>83.26</v>
      </c>
      <c r="I28" s="16" t="n">
        <f aca="false">IF(AND($C28="efficiency",5&gt;=$B28),IF(5=$B28,BestPlan!$C$16+$D28,H28+BestPlan!$B$16*(Half_gap*(Ceiling_e-H28)-Transcribe!$F$4)),BestPlan!$C$16)</f>
        <v>83.26</v>
      </c>
      <c r="J28" s="16" t="n">
        <f aca="false">IF(AND($C28="efficiency",6&gt;=$B28),IF(6=$B28,BestPlan!$C$17+$D28,I28+BestPlan!$B$17*(Half_gap*(Ceiling_e-I28)-Transcribe!$F$4)),BestPlan!$C$17)</f>
        <v>83.26</v>
      </c>
      <c r="K28" s="14" t="n">
        <f aca="false">Val_pt*(E28-E_zero)+IF(AND($C28="cash",$B28=1),$D28,0)</f>
        <v>70</v>
      </c>
      <c r="L28" s="14" t="n">
        <f aca="false">Val_pt*(F28-E_zero)+IF(AND($C28="cash",$B28=2),$D28,0)</f>
        <v>105</v>
      </c>
      <c r="M28" s="14" t="n">
        <f aca="false">Val_pt*(G28-E_zero)+IF(AND($C28="cash",$B28=3),$D28,0)</f>
        <v>122.5</v>
      </c>
      <c r="N28" s="14" t="n">
        <f aca="false">Val_pt*(H28-E_zero)+IF(AND($C28="cash",$B28=4),$D28,0)</f>
        <v>122.6</v>
      </c>
      <c r="O28" s="14" t="n">
        <f aca="false">Val_pt*(I28-E_zero)+IF(AND($C28="cash",$B28=5),$D28,0)</f>
        <v>122.6</v>
      </c>
      <c r="P28" s="14" t="n">
        <f aca="false">Val_pt*(J28-E_zero)+IF(AND($C28="cash",$B28=6),$D28,0)</f>
        <v>122.6</v>
      </c>
      <c r="Q28" s="14" t="n">
        <f aca="false">MAX(R28+Cost_round*BestPlan!$B$12-K28,IF(BestPlan!$B$12=1,Pre_q,0))</f>
        <v>535</v>
      </c>
      <c r="R28" s="14" t="n">
        <f aca="false">MAX(S28+Cost_round*BestPlan!$B$13-L28,IF(BestPlan!$B$13=1,Pre_q,0),Floor_q)</f>
        <v>485</v>
      </c>
      <c r="S28" s="14" t="n">
        <f aca="false">MAX(T28+Cost_round*BestPlan!$B$14-M28,IF(BestPlan!$B$14=1,Pre_q,0),Floor_q)</f>
        <v>470</v>
      </c>
      <c r="T28" s="14" t="n">
        <f aca="false">MAX(U28+Cost_round*BestPlan!$B$15-N28,IF(BestPlan!$B$15=1,Pre_q,0),Floor_q)</f>
        <v>350</v>
      </c>
      <c r="U28" s="14" t="n">
        <f aca="false">MAX(V28+Cost_round*BestPlan!$B$16-O28,IF(BestPlan!$B$16=1,Pre_q,0),Floor_q)</f>
        <v>350</v>
      </c>
      <c r="V28" s="14" t="n">
        <f aca="false">MAX(W28+Cost_round*BestPlan!$B$17-P28,IF(BestPlan!$B$17=1,Pre_q,0),Floor_q)</f>
        <v>350</v>
      </c>
      <c r="W28" s="14" t="n">
        <f aca="false">MAX(End_q,Floor_q)</f>
        <v>470</v>
      </c>
      <c r="X28" s="15" t="n">
        <f aca="false">IF(Q_zero&gt;=Q28-0.000000001,1,0)</f>
        <v>1</v>
      </c>
      <c r="Y28" s="14" t="n">
        <f aca="false">Q_zero-Cost_round*BestPlan!$B$12+K28-R28</f>
        <v>85</v>
      </c>
      <c r="Z28" s="14" t="n">
        <f aca="false">R28-Cost_round*BestPlan!$B$13+L28-S28</f>
        <v>0</v>
      </c>
      <c r="AA28" s="14" t="n">
        <f aca="false">S28-Cost_round*BestPlan!$B$14+M28-T28</f>
        <v>122.5</v>
      </c>
      <c r="AB28" s="14" t="n">
        <f aca="false">T28-Cost_round*BestPlan!$B$15+N28-U28</f>
        <v>122.6</v>
      </c>
      <c r="AC28" s="14" t="n">
        <f aca="false">U28-Cost_round*BestPlan!$B$16+O28-V28</f>
        <v>122.6</v>
      </c>
      <c r="AD28" s="14" t="n">
        <f aca="false">V28-Cost_round*BestPlan!$B$17+P28-W28</f>
        <v>2.60000000000002</v>
      </c>
      <c r="AE28" s="21" t="n">
        <f aca="false">Y28*Beta_y^1+Z28*Beta_y^2+AA28*Beta_y^3+AB28*Beta_y^4+AC28*Beta_y^5+AD28*Beta_y^6+Beta_y^6*Val_pt*(J28-E_zero)/Hurdle_r</f>
        <v>1022.68386468205</v>
      </c>
      <c r="AF28" s="16" t="n">
        <f aca="false">(AE28-$AE$18)/$D28</f>
        <v>75.131480090181</v>
      </c>
      <c r="AG28" s="22" t="n">
        <f aca="false">N9</f>
        <v>75.1314800901578</v>
      </c>
      <c r="AH28" s="23" t="n">
        <f aca="false">ABS(AF28-AG28)</f>
        <v>2.31921148952097E-011</v>
      </c>
    </row>
    <row r="29" customFormat="false" ht="15" hidden="false" customHeight="false" outlineLevel="0" collapsed="false">
      <c r="A29" s="2" t="s">
        <v>195</v>
      </c>
      <c r="B29" s="2" t="n">
        <v>5</v>
      </c>
      <c r="C29" s="2" t="s">
        <v>191</v>
      </c>
      <c r="D29" s="12" t="n">
        <v>0.01</v>
      </c>
      <c r="E29" s="16" t="n">
        <f aca="false">IF(AND($C29="efficiency",1&gt;=$B29),IF(1=$B29,BestPlan!$C$12+$D29,E_zero+BestPlan!$B$12*(Half_gap*(Ceiling_e-E_zero)-Transcribe!$F$4)),BestPlan!$C$12)</f>
        <v>78</v>
      </c>
      <c r="F29" s="16" t="n">
        <f aca="false">IF(AND($C29="efficiency",2&gt;=$B29),IF(2=$B29,BestPlan!$C$13+$D29,E29+BestPlan!$B$13*(Half_gap*(Ceiling_e-E29)-Transcribe!$F$4)),BestPlan!$C$13)</f>
        <v>81.5</v>
      </c>
      <c r="G29" s="16" t="n">
        <f aca="false">IF(AND($C29="efficiency",3&gt;=$B29),IF(3=$B29,BestPlan!$C$14+$D29,F29+BestPlan!$B$14*(Half_gap*(Ceiling_e-F29)-Transcribe!$F$4)),BestPlan!$C$14)</f>
        <v>83.25</v>
      </c>
      <c r="H29" s="16" t="n">
        <f aca="false">IF(AND($C29="efficiency",4&gt;=$B29),IF(4=$B29,BestPlan!$C$15+$D29,G29+BestPlan!$B$15*(Half_gap*(Ceiling_e-G29)-Transcribe!$F$4)),BestPlan!$C$15)</f>
        <v>83.25</v>
      </c>
      <c r="I29" s="16" t="n">
        <f aca="false">IF(AND($C29="efficiency",5&gt;=$B29),IF(5=$B29,BestPlan!$C$16+$D29,H29+BestPlan!$B$16*(Half_gap*(Ceiling_e-H29)-Transcribe!$F$4)),BestPlan!$C$16)</f>
        <v>83.26</v>
      </c>
      <c r="J29" s="16" t="n">
        <f aca="false">IF(AND($C29="efficiency",6&gt;=$B29),IF(6=$B29,BestPlan!$C$17+$D29,I29+BestPlan!$B$17*(Half_gap*(Ceiling_e-I29)-Transcribe!$F$4)),BestPlan!$C$17)</f>
        <v>83.26</v>
      </c>
      <c r="K29" s="14" t="n">
        <f aca="false">Val_pt*(E29-E_zero)+IF(AND($C29="cash",$B29=1),$D29,0)</f>
        <v>70</v>
      </c>
      <c r="L29" s="14" t="n">
        <f aca="false">Val_pt*(F29-E_zero)+IF(AND($C29="cash",$B29=2),$D29,0)</f>
        <v>105</v>
      </c>
      <c r="M29" s="14" t="n">
        <f aca="false">Val_pt*(G29-E_zero)+IF(AND($C29="cash",$B29=3),$D29,0)</f>
        <v>122.5</v>
      </c>
      <c r="N29" s="14" t="n">
        <f aca="false">Val_pt*(H29-E_zero)+IF(AND($C29="cash",$B29=4),$D29,0)</f>
        <v>122.5</v>
      </c>
      <c r="O29" s="14" t="n">
        <f aca="false">Val_pt*(I29-E_zero)+IF(AND($C29="cash",$B29=5),$D29,0)</f>
        <v>122.6</v>
      </c>
      <c r="P29" s="14" t="n">
        <f aca="false">Val_pt*(J29-E_zero)+IF(AND($C29="cash",$B29=6),$D29,0)</f>
        <v>122.6</v>
      </c>
      <c r="Q29" s="14" t="n">
        <f aca="false">MAX(R29+Cost_round*BestPlan!$B$12-K29,IF(BestPlan!$B$12=1,Pre_q,0))</f>
        <v>535</v>
      </c>
      <c r="R29" s="14" t="n">
        <f aca="false">MAX(S29+Cost_round*BestPlan!$B$13-L29,IF(BestPlan!$B$13=1,Pre_q,0),Floor_q)</f>
        <v>485</v>
      </c>
      <c r="S29" s="14" t="n">
        <f aca="false">MAX(T29+Cost_round*BestPlan!$B$14-M29,IF(BestPlan!$B$14=1,Pre_q,0),Floor_q)</f>
        <v>470</v>
      </c>
      <c r="T29" s="14" t="n">
        <f aca="false">MAX(U29+Cost_round*BestPlan!$B$15-N29,IF(BestPlan!$B$15=1,Pre_q,0),Floor_q)</f>
        <v>350</v>
      </c>
      <c r="U29" s="14" t="n">
        <f aca="false">MAX(V29+Cost_round*BestPlan!$B$16-O29,IF(BestPlan!$B$16=1,Pre_q,0),Floor_q)</f>
        <v>350</v>
      </c>
      <c r="V29" s="14" t="n">
        <f aca="false">MAX(W29+Cost_round*BestPlan!$B$17-P29,IF(BestPlan!$B$17=1,Pre_q,0),Floor_q)</f>
        <v>350</v>
      </c>
      <c r="W29" s="14" t="n">
        <f aca="false">MAX(End_q,Floor_q)</f>
        <v>470</v>
      </c>
      <c r="X29" s="15" t="n">
        <f aca="false">IF(Q_zero&gt;=Q29-0.000000001,1,0)</f>
        <v>1</v>
      </c>
      <c r="Y29" s="14" t="n">
        <f aca="false">Q_zero-Cost_round*BestPlan!$B$12+K29-R29</f>
        <v>85</v>
      </c>
      <c r="Z29" s="14" t="n">
        <f aca="false">R29-Cost_round*BestPlan!$B$13+L29-S29</f>
        <v>0</v>
      </c>
      <c r="AA29" s="14" t="n">
        <f aca="false">S29-Cost_round*BestPlan!$B$14+M29-T29</f>
        <v>122.5</v>
      </c>
      <c r="AB29" s="14" t="n">
        <f aca="false">T29-Cost_round*BestPlan!$B$15+N29-U29</f>
        <v>122.5</v>
      </c>
      <c r="AC29" s="14" t="n">
        <f aca="false">U29-Cost_round*BestPlan!$B$16+O29-V29</f>
        <v>122.6</v>
      </c>
      <c r="AD29" s="14" t="n">
        <f aca="false">V29-Cost_round*BestPlan!$B$17+P29-W29</f>
        <v>2.60000000000002</v>
      </c>
      <c r="AE29" s="21" t="n">
        <f aca="false">Y29*Beta_y^1+Z29*Beta_y^2+AA29*Beta_y^3+AB29*Beta_y^4+AC29*Beta_y^5+AD29*Beta_y^6+Beta_y^6*Val_pt*(J29-E_zero)/Hurdle_r</f>
        <v>1022.61556333652</v>
      </c>
      <c r="AF29" s="16" t="n">
        <f aca="false">(AE29-$AE$18)/$D29</f>
        <v>68.3013455365312</v>
      </c>
      <c r="AG29" s="22" t="n">
        <f aca="false">N10</f>
        <v>68.3013455365071</v>
      </c>
      <c r="AH29" s="23" t="n">
        <f aca="false">ABS(AF29-AG29)</f>
        <v>2.41868747252738E-011</v>
      </c>
    </row>
    <row r="30" customFormat="false" ht="15" hidden="false" customHeight="false" outlineLevel="0" collapsed="false">
      <c r="A30" s="2" t="s">
        <v>196</v>
      </c>
      <c r="B30" s="2" t="n">
        <v>6</v>
      </c>
      <c r="C30" s="2" t="s">
        <v>191</v>
      </c>
      <c r="D30" s="12" t="n">
        <v>0.01</v>
      </c>
      <c r="E30" s="16" t="n">
        <f aca="false">IF(AND($C30="efficiency",1&gt;=$B30),IF(1=$B30,BestPlan!$C$12+$D30,E_zero+BestPlan!$B$12*(Half_gap*(Ceiling_e-E_zero)-Transcribe!$F$4)),BestPlan!$C$12)</f>
        <v>78</v>
      </c>
      <c r="F30" s="16" t="n">
        <f aca="false">IF(AND($C30="efficiency",2&gt;=$B30),IF(2=$B30,BestPlan!$C$13+$D30,E30+BestPlan!$B$13*(Half_gap*(Ceiling_e-E30)-Transcribe!$F$4)),BestPlan!$C$13)</f>
        <v>81.5</v>
      </c>
      <c r="G30" s="16" t="n">
        <f aca="false">IF(AND($C30="efficiency",3&gt;=$B30),IF(3=$B30,BestPlan!$C$14+$D30,F30+BestPlan!$B$14*(Half_gap*(Ceiling_e-F30)-Transcribe!$F$4)),BestPlan!$C$14)</f>
        <v>83.25</v>
      </c>
      <c r="H30" s="16" t="n">
        <f aca="false">IF(AND($C30="efficiency",4&gt;=$B30),IF(4=$B30,BestPlan!$C$15+$D30,G30+BestPlan!$B$15*(Half_gap*(Ceiling_e-G30)-Transcribe!$F$4)),BestPlan!$C$15)</f>
        <v>83.25</v>
      </c>
      <c r="I30" s="16" t="n">
        <f aca="false">IF(AND($C30="efficiency",5&gt;=$B30),IF(5=$B30,BestPlan!$C$16+$D30,H30+BestPlan!$B$16*(Half_gap*(Ceiling_e-H30)-Transcribe!$F$4)),BestPlan!$C$16)</f>
        <v>83.25</v>
      </c>
      <c r="J30" s="16" t="n">
        <f aca="false">IF(AND($C30="efficiency",6&gt;=$B30),IF(6=$B30,BestPlan!$C$17+$D30,I30+BestPlan!$B$17*(Half_gap*(Ceiling_e-I30)-Transcribe!$F$4)),BestPlan!$C$17)</f>
        <v>83.26</v>
      </c>
      <c r="K30" s="14" t="n">
        <f aca="false">Val_pt*(E30-E_zero)+IF(AND($C30="cash",$B30=1),$D30,0)</f>
        <v>70</v>
      </c>
      <c r="L30" s="14" t="n">
        <f aca="false">Val_pt*(F30-E_zero)+IF(AND($C30="cash",$B30=2),$D30,0)</f>
        <v>105</v>
      </c>
      <c r="M30" s="14" t="n">
        <f aca="false">Val_pt*(G30-E_zero)+IF(AND($C30="cash",$B30=3),$D30,0)</f>
        <v>122.5</v>
      </c>
      <c r="N30" s="14" t="n">
        <f aca="false">Val_pt*(H30-E_zero)+IF(AND($C30="cash",$B30=4),$D30,0)</f>
        <v>122.5</v>
      </c>
      <c r="O30" s="14" t="n">
        <f aca="false">Val_pt*(I30-E_zero)+IF(AND($C30="cash",$B30=5),$D30,0)</f>
        <v>122.5</v>
      </c>
      <c r="P30" s="14" t="n">
        <f aca="false">Val_pt*(J30-E_zero)+IF(AND($C30="cash",$B30=6),$D30,0)</f>
        <v>122.6</v>
      </c>
      <c r="Q30" s="14" t="n">
        <f aca="false">MAX(R30+Cost_round*BestPlan!$B$12-K30,IF(BestPlan!$B$12=1,Pre_q,0))</f>
        <v>535</v>
      </c>
      <c r="R30" s="14" t="n">
        <f aca="false">MAX(S30+Cost_round*BestPlan!$B$13-L30,IF(BestPlan!$B$13=1,Pre_q,0),Floor_q)</f>
        <v>485</v>
      </c>
      <c r="S30" s="14" t="n">
        <f aca="false">MAX(T30+Cost_round*BestPlan!$B$14-M30,IF(BestPlan!$B$14=1,Pre_q,0),Floor_q)</f>
        <v>470</v>
      </c>
      <c r="T30" s="14" t="n">
        <f aca="false">MAX(U30+Cost_round*BestPlan!$B$15-N30,IF(BestPlan!$B$15=1,Pre_q,0),Floor_q)</f>
        <v>350</v>
      </c>
      <c r="U30" s="14" t="n">
        <f aca="false">MAX(V30+Cost_round*BestPlan!$B$16-O30,IF(BestPlan!$B$16=1,Pre_q,0),Floor_q)</f>
        <v>350</v>
      </c>
      <c r="V30" s="14" t="n">
        <f aca="false">MAX(W30+Cost_round*BestPlan!$B$17-P30,IF(BestPlan!$B$17=1,Pre_q,0),Floor_q)</f>
        <v>350</v>
      </c>
      <c r="W30" s="14" t="n">
        <f aca="false">MAX(End_q,Floor_q)</f>
        <v>470</v>
      </c>
      <c r="X30" s="15" t="n">
        <f aca="false">IF(Q_zero&gt;=Q30-0.000000001,1,0)</f>
        <v>1</v>
      </c>
      <c r="Y30" s="14" t="n">
        <f aca="false">Q_zero-Cost_round*BestPlan!$B$12+K30-R30</f>
        <v>85</v>
      </c>
      <c r="Z30" s="14" t="n">
        <f aca="false">R30-Cost_round*BestPlan!$B$13+L30-S30</f>
        <v>0</v>
      </c>
      <c r="AA30" s="14" t="n">
        <f aca="false">S30-Cost_round*BestPlan!$B$14+M30-T30</f>
        <v>122.5</v>
      </c>
      <c r="AB30" s="14" t="n">
        <f aca="false">T30-Cost_round*BestPlan!$B$15+N30-U30</f>
        <v>122.5</v>
      </c>
      <c r="AC30" s="14" t="n">
        <f aca="false">U30-Cost_round*BestPlan!$B$16+O30-V30</f>
        <v>122.5</v>
      </c>
      <c r="AD30" s="14" t="n">
        <f aca="false">V30-Cost_round*BestPlan!$B$17+P30-W30</f>
        <v>2.60000000000002</v>
      </c>
      <c r="AE30" s="21" t="n">
        <f aca="false">Y30*Beta_y^1+Z30*Beta_y^2+AA30*Beta_y^3+AB30*Beta_y^4+AC30*Beta_y^5+AD30*Beta_y^6+Beta_y^6*Val_pt*(J30-E_zero)/Hurdle_r</f>
        <v>1022.55347120421</v>
      </c>
      <c r="AF30" s="16" t="n">
        <f aca="false">(AE30-$AE$18)/$D30</f>
        <v>62.0921323059406</v>
      </c>
      <c r="AG30" s="22" t="n">
        <f aca="false">N11</f>
        <v>62.0921323059155</v>
      </c>
      <c r="AH30" s="23" t="n">
        <f aca="false">ABS(AF30-AG30)</f>
        <v>2.50892639996891E-011</v>
      </c>
    </row>
    <row r="31" customFormat="false" ht="15" hidden="false" customHeight="false" outlineLevel="0" collapsed="false">
      <c r="A31" s="2" t="s">
        <v>197</v>
      </c>
      <c r="AH31" s="23" t="n">
        <f aca="false">MAX(AH19:AH30)</f>
        <v>3.75734998669941E-011</v>
      </c>
    </row>
    <row r="33" customFormat="false" ht="15" hidden="false" customHeight="false" outlineLevel="0" collapsed="false">
      <c r="A33" s="4" t="s">
        <v>198</v>
      </c>
    </row>
    <row r="34" customFormat="false" ht="35.05" hidden="false" customHeight="false" outlineLevel="0" collapsed="false">
      <c r="A34" s="8" t="s">
        <v>199</v>
      </c>
      <c r="B34" s="8" t="s">
        <v>200</v>
      </c>
      <c r="C34" s="8" t="s">
        <v>201</v>
      </c>
      <c r="D34" s="8" t="s">
        <v>202</v>
      </c>
      <c r="E34" s="8" t="s">
        <v>203</v>
      </c>
      <c r="F34" s="8" t="s">
        <v>204</v>
      </c>
    </row>
    <row r="35" customFormat="false" ht="15" hidden="false" customHeight="false" outlineLevel="0" collapsed="false">
      <c r="A35" s="2" t="n">
        <v>1</v>
      </c>
      <c r="B35" s="16" t="n">
        <f aca="false">(Ceiling_e-E_zero)*(1-Half_gap)^(A35-1)</f>
        <v>14</v>
      </c>
      <c r="C35" s="16" t="n">
        <f aca="false">Val_pt*Half_gap*B35</f>
        <v>70</v>
      </c>
      <c r="D35" s="14" t="n">
        <f aca="false">C35/Hurdle_r</f>
        <v>700</v>
      </c>
      <c r="E35" s="2" t="str">
        <f aca="false">IF(D35&gt;=Cost_round,"pays","does not pay")</f>
        <v>pays</v>
      </c>
      <c r="F35" s="24" t="n">
        <f aca="false">C35/Cost_round</f>
        <v>0.583333333333333</v>
      </c>
    </row>
    <row r="36" customFormat="false" ht="15" hidden="false" customHeight="false" outlineLevel="0" collapsed="false">
      <c r="A36" s="2" t="n">
        <v>2</v>
      </c>
      <c r="B36" s="16" t="n">
        <f aca="false">(Ceiling_e-E_zero)*(1-Half_gap)^(A36-1)</f>
        <v>7</v>
      </c>
      <c r="C36" s="16" t="n">
        <f aca="false">Val_pt*Half_gap*B36</f>
        <v>35</v>
      </c>
      <c r="D36" s="14" t="n">
        <f aca="false">C36/Hurdle_r</f>
        <v>350</v>
      </c>
      <c r="E36" s="2" t="str">
        <f aca="false">IF(D36&gt;=Cost_round,"pays","does not pay")</f>
        <v>pays</v>
      </c>
      <c r="F36" s="24" t="n">
        <f aca="false">C36/Cost_round</f>
        <v>0.291666666666667</v>
      </c>
    </row>
    <row r="37" customFormat="false" ht="15" hidden="false" customHeight="false" outlineLevel="0" collapsed="false">
      <c r="A37" s="2" t="n">
        <v>3</v>
      </c>
      <c r="B37" s="16" t="n">
        <f aca="false">(Ceiling_e-E_zero)*(1-Half_gap)^(A37-1)</f>
        <v>3.5</v>
      </c>
      <c r="C37" s="16" t="n">
        <f aca="false">Val_pt*Half_gap*B37</f>
        <v>17.5</v>
      </c>
      <c r="D37" s="14" t="n">
        <f aca="false">C37/Hurdle_r</f>
        <v>175</v>
      </c>
      <c r="E37" s="2" t="str">
        <f aca="false">IF(D37&gt;=Cost_round,"pays","does not pay")</f>
        <v>pays</v>
      </c>
      <c r="F37" s="24" t="n">
        <f aca="false">C37/Cost_round</f>
        <v>0.145833333333333</v>
      </c>
    </row>
    <row r="38" customFormat="false" ht="15" hidden="false" customHeight="false" outlineLevel="0" collapsed="false">
      <c r="A38" s="2" t="n">
        <v>4</v>
      </c>
      <c r="B38" s="16" t="n">
        <f aca="false">(Ceiling_e-E_zero)*(1-Half_gap)^(A38-1)</f>
        <v>1.75</v>
      </c>
      <c r="C38" s="16" t="n">
        <f aca="false">Val_pt*Half_gap*B38</f>
        <v>8.75</v>
      </c>
      <c r="D38" s="14" t="n">
        <f aca="false">C38/Hurdle_r</f>
        <v>87.5</v>
      </c>
      <c r="E38" s="2" t="str">
        <f aca="false">IF(D38&gt;=Cost_round,"pays","does not pay")</f>
        <v>does not pay</v>
      </c>
      <c r="F38" s="24" t="n">
        <f aca="false">C38/Cost_round</f>
        <v>0.0729166666666667</v>
      </c>
    </row>
    <row r="39" customFormat="false" ht="15" hidden="false" customHeight="false" outlineLevel="0" collapsed="false">
      <c r="A39" s="2" t="n">
        <v>5</v>
      </c>
      <c r="B39" s="16" t="n">
        <f aca="false">(Ceiling_e-E_zero)*(1-Half_gap)^(A39-1)</f>
        <v>0.875</v>
      </c>
      <c r="C39" s="16" t="n">
        <f aca="false">Val_pt*Half_gap*B39</f>
        <v>4.375</v>
      </c>
      <c r="D39" s="14" t="n">
        <f aca="false">C39/Hurdle_r</f>
        <v>43.75</v>
      </c>
      <c r="E39" s="2" t="str">
        <f aca="false">IF(D39&gt;=Cost_round,"pays","does not pay")</f>
        <v>does not pay</v>
      </c>
      <c r="F39" s="24" t="n">
        <f aca="false">C39/Cost_round</f>
        <v>0.0364583333333333</v>
      </c>
    </row>
    <row r="40" customFormat="false" ht="15" hidden="false" customHeight="false" outlineLevel="0" collapsed="false">
      <c r="A40" s="2" t="n">
        <v>6</v>
      </c>
      <c r="B40" s="16" t="n">
        <f aca="false">(Ceiling_e-E_zero)*(1-Half_gap)^(A40-1)</f>
        <v>0.4375</v>
      </c>
      <c r="C40" s="16" t="n">
        <f aca="false">Val_pt*Half_gap*B40</f>
        <v>2.1875</v>
      </c>
      <c r="D40" s="14" t="n">
        <f aca="false">C40/Hurdle_r</f>
        <v>21.875</v>
      </c>
      <c r="E40" s="2" t="str">
        <f aca="false">IF(D40&gt;=Cost_round,"pays","does not pay")</f>
        <v>does not pay</v>
      </c>
      <c r="F40" s="24" t="n">
        <f aca="false">C40/Cost_round</f>
        <v>0.0182291666666667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12"/>
    <col collapsed="false" customWidth="true" hidden="false" outlineLevel="0" max="5" min="4" style="0" width="18"/>
    <col collapsed="false" customWidth="true" hidden="false" outlineLevel="0" max="6" min="6" style="0" width="12"/>
    <col collapsed="false" customWidth="true" hidden="false" outlineLevel="0" max="7" min="7" style="0" width="16"/>
    <col collapsed="false" customWidth="true" hidden="false" outlineLevel="0" max="8" min="8" style="0" width="14"/>
    <col collapsed="false" customWidth="true" hidden="false" outlineLevel="0" max="9" min="9" style="0" width="12"/>
  </cols>
  <sheetData>
    <row r="1" customFormat="false" ht="15" hidden="false" customHeight="false" outlineLevel="0" collapsed="false">
      <c r="A1" s="1" t="s">
        <v>205</v>
      </c>
    </row>
    <row r="2" customFormat="false" ht="15" hidden="false" customHeight="false" outlineLevel="0" collapsed="false">
      <c r="A2" s="10" t="s">
        <v>206</v>
      </c>
    </row>
    <row r="4" customFormat="false" ht="23.85" hidden="false" customHeight="false" outlineLevel="0" collapsed="false">
      <c r="A4" s="8" t="s">
        <v>207</v>
      </c>
      <c r="B4" s="8" t="s">
        <v>208</v>
      </c>
      <c r="C4" s="8" t="s">
        <v>209</v>
      </c>
      <c r="D4" s="8" t="s">
        <v>79</v>
      </c>
      <c r="E4" s="8" t="s">
        <v>80</v>
      </c>
      <c r="F4" s="8" t="s">
        <v>210</v>
      </c>
    </row>
    <row r="5" customFormat="false" ht="15" hidden="false" customHeight="false" outlineLevel="0" collapsed="false">
      <c r="A5" s="25" t="n">
        <f aca="false">Transcribe!AP$6</f>
        <v>0.03</v>
      </c>
      <c r="B5" s="17" t="n">
        <f aca="false">MAX(Transcribe!$AP$8:$AP$71)</f>
        <v>4011.01135693223</v>
      </c>
      <c r="C5" s="15" t="n">
        <f aca="false">MATCH(B5,Transcribe!$AP$8:$AP$71,0)</f>
        <v>63</v>
      </c>
      <c r="D5" s="2" t="str">
        <f aca="false">INDEX(Transcribe!$B$8:$B$71,C5)</f>
        <v>111110</v>
      </c>
      <c r="E5" s="15" t="n">
        <f aca="false">INDEX(Transcribe!$C$8:$C$71,C5)</f>
        <v>5</v>
      </c>
      <c r="F5" s="14" t="n">
        <f aca="false">1/A5</f>
        <v>33.3333333333333</v>
      </c>
    </row>
    <row r="6" customFormat="false" ht="15" hidden="false" customHeight="false" outlineLevel="0" collapsed="false">
      <c r="A6" s="25" t="n">
        <f aca="false">Transcribe!AQ$6</f>
        <v>0.05</v>
      </c>
      <c r="B6" s="17" t="n">
        <f aca="false">MAX(Transcribe!$AQ$8:$AQ$71)</f>
        <v>2261.13982349744</v>
      </c>
      <c r="C6" s="15" t="n">
        <f aca="false">MATCH(B6,Transcribe!$AQ$8:$AQ$71,0)</f>
        <v>61</v>
      </c>
      <c r="D6" s="2" t="str">
        <f aca="false">INDEX(Transcribe!$B$8:$B$71,C6)</f>
        <v>111100</v>
      </c>
      <c r="E6" s="15" t="n">
        <f aca="false">INDEX(Transcribe!$C$8:$C$71,C6)</f>
        <v>4</v>
      </c>
      <c r="F6" s="14" t="n">
        <f aca="false">1/A6</f>
        <v>20</v>
      </c>
    </row>
    <row r="7" customFormat="false" ht="15" hidden="false" customHeight="false" outlineLevel="0" collapsed="false">
      <c r="A7" s="25" t="n">
        <f aca="false">Transcribe!AR$6</f>
        <v>0.08</v>
      </c>
      <c r="B7" s="17" t="n">
        <f aca="false">MAX(Transcribe!$AR$8:$AR$71)</f>
        <v>1315.88341706484</v>
      </c>
      <c r="C7" s="15" t="n">
        <f aca="false">MATCH(B7,Transcribe!$AR$8:$AR$71,0)</f>
        <v>57</v>
      </c>
      <c r="D7" s="2" t="str">
        <f aca="false">INDEX(Transcribe!$B$8:$B$71,C7)</f>
        <v>111000</v>
      </c>
      <c r="E7" s="15" t="n">
        <f aca="false">INDEX(Transcribe!$C$8:$C$71,C7)</f>
        <v>3</v>
      </c>
      <c r="F7" s="14" t="n">
        <f aca="false">1/A7</f>
        <v>12.5</v>
      </c>
    </row>
    <row r="8" customFormat="false" ht="15" hidden="false" customHeight="false" outlineLevel="0" collapsed="false">
      <c r="A8" s="25" t="n">
        <f aca="false">Transcribe!AS$6</f>
        <v>0.1</v>
      </c>
      <c r="B8" s="17" t="n">
        <f aca="false">MAX(Transcribe!$AS$8:$AS$71)</f>
        <v>1021.93254988115</v>
      </c>
      <c r="C8" s="15" t="n">
        <f aca="false">MATCH(B8,Transcribe!$AS$8:$AS$71,0)</f>
        <v>57</v>
      </c>
      <c r="D8" s="2" t="str">
        <f aca="false">INDEX(Transcribe!$B$8:$B$71,C8)</f>
        <v>111000</v>
      </c>
      <c r="E8" s="15" t="n">
        <f aca="false">INDEX(Transcribe!$C$8:$C$71,C8)</f>
        <v>3</v>
      </c>
      <c r="F8" s="14" t="n">
        <f aca="false">1/A8</f>
        <v>10</v>
      </c>
    </row>
    <row r="9" customFormat="false" ht="15" hidden="false" customHeight="false" outlineLevel="0" collapsed="false">
      <c r="A9" s="25" t="n">
        <f aca="false">Transcribe!AT$6</f>
        <v>0.12</v>
      </c>
      <c r="B9" s="17" t="n">
        <f aca="false">MAX(Transcribe!$AT$8:$AT$71)</f>
        <v>828.899205934912</v>
      </c>
      <c r="C9" s="15" t="n">
        <f aca="false">MATCH(B9,Transcribe!$AT$8:$AT$71,0)</f>
        <v>57</v>
      </c>
      <c r="D9" s="2" t="str">
        <f aca="false">INDEX(Transcribe!$B$8:$B$71,C9)</f>
        <v>111000</v>
      </c>
      <c r="E9" s="15" t="n">
        <f aca="false">INDEX(Transcribe!$C$8:$C$71,C9)</f>
        <v>3</v>
      </c>
      <c r="F9" s="14" t="n">
        <f aca="false">1/A9</f>
        <v>8.33333333333333</v>
      </c>
    </row>
    <row r="10" customFormat="false" ht="15" hidden="false" customHeight="false" outlineLevel="0" collapsed="false">
      <c r="A10" s="25" t="n">
        <f aca="false">Transcribe!AU$6</f>
        <v>0.15</v>
      </c>
      <c r="B10" s="17" t="n">
        <f aca="false">MAX(Transcribe!$AU$8:$AU$71)</f>
        <v>642.800125312856</v>
      </c>
      <c r="C10" s="15" t="n">
        <f aca="false">MATCH(B10,Transcribe!$AU$8:$AU$71,0)</f>
        <v>49</v>
      </c>
      <c r="D10" s="2" t="str">
        <f aca="false">INDEX(Transcribe!$B$8:$B$71,C10)</f>
        <v>110000</v>
      </c>
      <c r="E10" s="15" t="n">
        <f aca="false">INDEX(Transcribe!$C$8:$C$71,C10)</f>
        <v>2</v>
      </c>
      <c r="F10" s="14" t="n">
        <f aca="false">1/A10</f>
        <v>6.66666666666667</v>
      </c>
    </row>
    <row r="11" customFormat="false" ht="15" hidden="false" customHeight="false" outlineLevel="0" collapsed="false">
      <c r="A11" s="25" t="n">
        <f aca="false">Transcribe!AV$6</f>
        <v>0.2</v>
      </c>
      <c r="B11" s="17" t="n">
        <f aca="false">MAX(Transcribe!$AV$8:$AV$71)</f>
        <v>479.640882201646</v>
      </c>
      <c r="C11" s="15" t="n">
        <f aca="false">MATCH(B11,Transcribe!$AV$8:$AV$71,0)</f>
        <v>49</v>
      </c>
      <c r="D11" s="2" t="str">
        <f aca="false">INDEX(Transcribe!$B$8:$B$71,C11)</f>
        <v>110000</v>
      </c>
      <c r="E11" s="15" t="n">
        <f aca="false">INDEX(Transcribe!$C$8:$C$71,C11)</f>
        <v>2</v>
      </c>
      <c r="F11" s="14" t="n">
        <f aca="false">1/A11</f>
        <v>5</v>
      </c>
    </row>
    <row r="12" customFormat="false" ht="15" hidden="false" customHeight="false" outlineLevel="0" collapsed="false">
      <c r="A12" s="25" t="n">
        <f aca="false">Transcribe!AW$6</f>
        <v>0.3</v>
      </c>
      <c r="B12" s="17" t="n">
        <f aca="false">MAX(Transcribe!$AW$8:$AW$71)</f>
        <v>320.749160228493</v>
      </c>
      <c r="C12" s="15" t="n">
        <f aca="false">MATCH(B12,Transcribe!$AW$8:$AW$71,0)</f>
        <v>33</v>
      </c>
      <c r="D12" s="2" t="str">
        <f aca="false">INDEX(Transcribe!$B$8:$B$71,C12)</f>
        <v>100000</v>
      </c>
      <c r="E12" s="15" t="n">
        <f aca="false">INDEX(Transcribe!$C$8:$C$71,C12)</f>
        <v>1</v>
      </c>
      <c r="F12" s="14" t="n">
        <f aca="false">1/A12</f>
        <v>3.33333333333333</v>
      </c>
    </row>
    <row r="14" customFormat="false" ht="15" hidden="false" customHeight="false" outlineLevel="0" collapsed="false">
      <c r="A14" s="2" t="s">
        <v>211</v>
      </c>
    </row>
    <row r="15" customFormat="false" ht="15" hidden="false" customHeight="false" outlineLevel="0" collapsed="false">
      <c r="B15" s="14" t="n">
        <f aca="false">INDEX(Transcribe!$AD$8:$AD$71,$C$6)</f>
        <v>85</v>
      </c>
      <c r="C15" s="14" t="n">
        <f aca="false">INDEX(Transcribe!$AE$8:$AE$71,$C$6)</f>
        <v>0</v>
      </c>
      <c r="D15" s="14" t="n">
        <f aca="false">INDEX(Transcribe!$AF$8:$AF$71,$C$6)</f>
        <v>2.5</v>
      </c>
      <c r="E15" s="14" t="n">
        <f aca="false">INDEX(Transcribe!$AG$8:$AG$71,$C$6)</f>
        <v>131.25</v>
      </c>
      <c r="F15" s="14" t="n">
        <f aca="false">INDEX(Transcribe!$AH$8:$AH$71,$C$6)</f>
        <v>131.25</v>
      </c>
      <c r="G15" s="14" t="n">
        <f aca="false">INDEX(Transcribe!$AI$8:$AI$71,$C$6)</f>
        <v>11.25</v>
      </c>
    </row>
    <row r="18" customFormat="false" ht="35.05" hidden="false" customHeight="false" outlineLevel="0" collapsed="false">
      <c r="A18" s="8" t="s">
        <v>212</v>
      </c>
      <c r="B18" s="8" t="s">
        <v>213</v>
      </c>
      <c r="C18" s="8" t="s">
        <v>214</v>
      </c>
      <c r="D18" s="8" t="s">
        <v>215</v>
      </c>
      <c r="E18" s="8" t="s">
        <v>216</v>
      </c>
      <c r="F18" s="8" t="s">
        <v>180</v>
      </c>
      <c r="G18" s="8" t="s">
        <v>217</v>
      </c>
      <c r="H18" s="8" t="s">
        <v>218</v>
      </c>
      <c r="I18" s="8" t="s">
        <v>219</v>
      </c>
    </row>
    <row r="19" customFormat="false" ht="15" hidden="false" customHeight="false" outlineLevel="0" collapsed="false">
      <c r="A19" s="2" t="s">
        <v>220</v>
      </c>
      <c r="B19" s="26" t="n">
        <f aca="false">Transcribe!AX$6</f>
        <v>0.0182291666665002</v>
      </c>
      <c r="C19" s="2" t="n">
        <v>6</v>
      </c>
      <c r="D19" s="27" t="n">
        <f aca="false">_xlfn.MAXIFS(Transcribe!$AX$8:$AX$71,Transcribe!$C$8:$C$71,C19)</f>
        <v>6909.98869917737</v>
      </c>
      <c r="E19" s="27" t="n">
        <f aca="false">_xlfn.MAXIFS(Transcribe!$AX$8:$AX$71,Transcribe!$C$8:$C$71,C19-1)</f>
        <v>6909.98869917637</v>
      </c>
      <c r="F19" s="23" t="n">
        <f aca="false">ABS(D19-E19)</f>
        <v>1.00135366665199E-009</v>
      </c>
      <c r="G19" s="27" t="n">
        <f aca="false">MAX(Transcribe!$AX$8:$AX$71)</f>
        <v>6909.98869917737</v>
      </c>
      <c r="H19" s="28" t="n">
        <f aca="false">Prices!C40/Cost_round</f>
        <v>0.0182291666666667</v>
      </c>
      <c r="I19" s="23" t="n">
        <f aca="false">B19-H19</f>
        <v>-1.66488350883398E-013</v>
      </c>
    </row>
    <row r="20" customFormat="false" ht="15" hidden="false" customHeight="false" outlineLevel="0" collapsed="false">
      <c r="A20" s="2" t="s">
        <v>221</v>
      </c>
      <c r="B20" s="26" t="n">
        <f aca="false">Transcribe!AY$6</f>
        <v>0.0364583333329825</v>
      </c>
      <c r="C20" s="2" t="n">
        <v>5</v>
      </c>
      <c r="D20" s="27" t="n">
        <f aca="false">_xlfn.MAXIFS(Transcribe!$AY$8:$AY$71,Transcribe!$C$8:$C$71,C20)</f>
        <v>3220.76367373499</v>
      </c>
      <c r="E20" s="27" t="n">
        <f aca="false">_xlfn.MAXIFS(Transcribe!$AY$8:$AY$71,Transcribe!$C$8:$C$71,C20-1)</f>
        <v>3220.76367373399</v>
      </c>
      <c r="F20" s="23" t="n">
        <f aca="false">ABS(D20-E20)</f>
        <v>1.00044417195022E-009</v>
      </c>
      <c r="G20" s="27" t="n">
        <f aca="false">MAX(Transcribe!$AY$8:$AY$71)</f>
        <v>3220.76367373499</v>
      </c>
      <c r="H20" s="28" t="n">
        <f aca="false">Prices!C39/Cost_round</f>
        <v>0.0364583333333333</v>
      </c>
      <c r="I20" s="23" t="n">
        <f aca="false">B20-H20</f>
        <v>-3.5079578131203E-013</v>
      </c>
    </row>
    <row r="21" customFormat="false" ht="15" hidden="false" customHeight="false" outlineLevel="0" collapsed="false">
      <c r="A21" s="2" t="s">
        <v>222</v>
      </c>
      <c r="B21" s="26" t="n">
        <f aca="false">Transcribe!AZ$6</f>
        <v>0.0729166666659162</v>
      </c>
      <c r="C21" s="2" t="n">
        <v>4</v>
      </c>
      <c r="D21" s="27" t="n">
        <f aca="false">_xlfn.MAXIFS(Transcribe!$AZ$8:$AZ$71,Transcribe!$C$8:$C$71,C21)</f>
        <v>1459.96755686952</v>
      </c>
      <c r="E21" s="27" t="n">
        <f aca="false">_xlfn.MAXIFS(Transcribe!$AZ$8:$AZ$71,Transcribe!$C$8:$C$71,C21-1)</f>
        <v>1459.96755686852</v>
      </c>
      <c r="F21" s="23" t="n">
        <f aca="false">ABS(D21-E21)</f>
        <v>9.99989424599335E-010</v>
      </c>
      <c r="G21" s="27" t="n">
        <f aca="false">MAX(Transcribe!$AZ$8:$AZ$71)</f>
        <v>1459.96755686952</v>
      </c>
      <c r="H21" s="28" t="n">
        <f aca="false">Prices!C38/Cost_round</f>
        <v>0.0729166666666667</v>
      </c>
      <c r="I21" s="23" t="n">
        <f aca="false">B21-H21</f>
        <v>-7.50469131283182E-013</v>
      </c>
    </row>
    <row r="22" customFormat="false" ht="15" hidden="false" customHeight="false" outlineLevel="0" collapsed="false">
      <c r="A22" s="2" t="s">
        <v>223</v>
      </c>
      <c r="B22" s="26" t="n">
        <f aca="false">Transcribe!BA$6</f>
        <v>0.145497224365527</v>
      </c>
      <c r="C22" s="2" t="n">
        <v>3</v>
      </c>
      <c r="D22" s="27" t="n">
        <f aca="false">_xlfn.MAXIFS(Transcribe!$BA$8:$BA$71,Transcribe!$C$8:$C$71,C22)</f>
        <v>663.217347278121</v>
      </c>
      <c r="E22" s="27" t="n">
        <f aca="false">_xlfn.MAXIFS(Transcribe!$BA$8:$BA$71,Transcribe!$C$8:$C$71,C22-1)</f>
        <v>663.217347277121</v>
      </c>
      <c r="F22" s="23" t="n">
        <f aca="false">ABS(D22-E22)</f>
        <v>1.00021679827478E-009</v>
      </c>
      <c r="G22" s="27" t="n">
        <f aca="false">MAX(Transcribe!$BA$8:$BA$71)</f>
        <v>663.217347278121</v>
      </c>
      <c r="H22" s="28" t="n">
        <f aca="false">Prices!C37/Cost_round</f>
        <v>0.145833333333333</v>
      </c>
      <c r="I22" s="23" t="n">
        <f aca="false">B22-H22</f>
        <v>-0.000336108967806531</v>
      </c>
    </row>
    <row r="23" customFormat="false" ht="15" hidden="false" customHeight="false" outlineLevel="0" collapsed="false">
      <c r="A23" s="2" t="s">
        <v>224</v>
      </c>
      <c r="B23" s="26" t="n">
        <f aca="false">Transcribe!BB$6</f>
        <v>0.298710780463392</v>
      </c>
      <c r="C23" s="2" t="n">
        <v>2</v>
      </c>
      <c r="D23" s="27" t="n">
        <f aca="false">_xlfn.MAXIFS(Transcribe!$BB$8:$BB$71,Transcribe!$C$8:$C$71,C23)</f>
        <v>321.717189839861</v>
      </c>
      <c r="E23" s="27" t="n">
        <f aca="false">_xlfn.MAXIFS(Transcribe!$BB$8:$BB$71,Transcribe!$C$8:$C$71,C23-1)</f>
        <v>321.717189838861</v>
      </c>
      <c r="F23" s="23" t="n">
        <f aca="false">ABS(D23-E23)</f>
        <v>1.00010311143706E-009</v>
      </c>
      <c r="G23" s="27" t="n">
        <f aca="false">MAX(Transcribe!$BB$8:$BB$71)</f>
        <v>321.717189839861</v>
      </c>
      <c r="H23" s="28" t="n">
        <f aca="false">Prices!C36/Cost_round</f>
        <v>0.291666666666667</v>
      </c>
      <c r="I23" s="23" t="n">
        <f aca="false">B23-H23</f>
        <v>0.0070441137967252</v>
      </c>
    </row>
    <row r="25" customFormat="false" ht="15" hidden="false" customHeight="false" outlineLevel="0" collapsed="false">
      <c r="A25" s="10"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4" min="6" style="0" width="8"/>
    <col collapsed="false" customWidth="true" hidden="false" outlineLevel="0" max="66" min="65" style="0" width="14"/>
  </cols>
  <sheetData>
    <row r="1" customFormat="false" ht="15" hidden="false" customHeight="false" outlineLevel="0" collapsed="false">
      <c r="A1" s="1" t="s">
        <v>226</v>
      </c>
    </row>
    <row r="3" customFormat="false" ht="23.85" hidden="false" customHeight="false" outlineLevel="0" collapsed="false">
      <c r="A3" s="8" t="s">
        <v>227</v>
      </c>
      <c r="B3" s="8" t="s">
        <v>228</v>
      </c>
      <c r="C3" s="8" t="s">
        <v>209</v>
      </c>
      <c r="D3" s="8" t="s">
        <v>79</v>
      </c>
      <c r="E3" s="8" t="s">
        <v>229</v>
      </c>
    </row>
    <row r="4" customFormat="false" ht="15" hidden="false" customHeight="false" outlineLevel="0" collapsed="false">
      <c r="A4" s="2" t="s">
        <v>230</v>
      </c>
      <c r="B4" s="17" t="n">
        <f aca="false">MAX(Transcribe!$AL$8:$AL$71)</f>
        <v>1021.93254988115</v>
      </c>
      <c r="C4" s="15" t="n">
        <f aca="false">MATCH(B4,Transcribe!$AL$8:$AL$71,0)</f>
        <v>57</v>
      </c>
      <c r="D4" s="2" t="str">
        <f aca="false">INDEX(Transcribe!$B$8:$B$71,C4)</f>
        <v>111000</v>
      </c>
      <c r="E4" s="17" t="n">
        <f aca="false">INDEX(Transcribe!$AL$8:$AL$71,C4)</f>
        <v>1021.93254988115</v>
      </c>
    </row>
    <row r="5" customFormat="false" ht="15" hidden="false" customHeight="false" outlineLevel="0" collapsed="false">
      <c r="A5" s="2" t="s">
        <v>231</v>
      </c>
      <c r="B5" s="17" t="n">
        <f aca="false">MAX(Transcribe!$AM$8:$AM$71)</f>
        <v>384.173336396545</v>
      </c>
      <c r="C5" s="15" t="n">
        <f aca="false">MATCH(B5,Transcribe!$AM$8:$AM$71,0)</f>
        <v>49</v>
      </c>
      <c r="D5" s="2" t="str">
        <f aca="false">INDEX(Transcribe!$B$8:$B$71,C5)</f>
        <v>110000</v>
      </c>
      <c r="E5" s="17" t="n">
        <f aca="false">INDEX(Transcribe!$AL$8:$AL$71,C5)</f>
        <v>976.870962953011</v>
      </c>
    </row>
    <row r="6" customFormat="false" ht="15" hidden="false" customHeight="false" outlineLevel="0" collapsed="false">
      <c r="A6" s="2" t="s">
        <v>232</v>
      </c>
      <c r="B6" s="17" t="n">
        <f aca="false">MAX(Transcribe!$AN$8:$AN$71)</f>
        <v>919.148370093056</v>
      </c>
      <c r="C6" s="15" t="n">
        <f aca="false">MATCH(B6,Transcribe!$AN$8:$AN$71,0)</f>
        <v>57</v>
      </c>
      <c r="D6" s="2" t="str">
        <f aca="false">INDEX(Transcribe!$B$8:$B$71,C6)</f>
        <v>111000</v>
      </c>
      <c r="E6" s="17" t="n">
        <f aca="false">INDEX(Transcribe!$AL$8:$AL$71,C6)</f>
        <v>1021.93254988115</v>
      </c>
    </row>
    <row r="7" customFormat="false" ht="15" hidden="false" customHeight="false" outlineLevel="0" collapsed="false">
      <c r="A7" s="2" t="s">
        <v>233</v>
      </c>
      <c r="B7" s="17" t="n">
        <f aca="false">MAX(Transcribe!$AO$8:$AO$71)</f>
        <v>1680</v>
      </c>
      <c r="C7" s="15" t="n">
        <f aca="false">MATCH(B7,Transcribe!$AO$8:$AO$71,0)</f>
        <v>57</v>
      </c>
      <c r="D7" s="2" t="str">
        <f aca="false">INDEX(Transcribe!$B$8:$B$71,C7)</f>
        <v>111000</v>
      </c>
      <c r="E7" s="17" t="n">
        <f aca="false">INDEX(Transcribe!$AL$8:$AL$71,C7)</f>
        <v>1021.93254988115</v>
      </c>
    </row>
    <row r="9" customFormat="false" ht="15" hidden="false" customHeight="false" outlineLevel="0" collapsed="false">
      <c r="A9" s="2" t="s">
        <v>234</v>
      </c>
      <c r="E9" s="17" t="n">
        <f aca="false">E4-E5</f>
        <v>45.0615869281385</v>
      </c>
    </row>
    <row r="10" customFormat="false" ht="15" hidden="false" customHeight="false" outlineLevel="0" collapsed="false">
      <c r="A10" s="2" t="s">
        <v>235</v>
      </c>
      <c r="D10" s="14" t="n">
        <f aca="false">1/Hurdle_r</f>
        <v>10</v>
      </c>
      <c r="E10" s="14" t="n">
        <f aca="false">1/0.05</f>
        <v>20</v>
      </c>
    </row>
    <row r="12" customFormat="false" ht="15" hidden="false" customHeight="false" outlineLevel="0" collapsed="false">
      <c r="A12" s="4" t="s">
        <v>236</v>
      </c>
    </row>
    <row r="13" customFormat="false" ht="35.05" hidden="false" customHeight="false" outlineLevel="0" collapsed="false">
      <c r="A13" s="8" t="s">
        <v>237</v>
      </c>
      <c r="B13" s="8" t="s">
        <v>238</v>
      </c>
      <c r="C13" s="8" t="s">
        <v>239</v>
      </c>
      <c r="D13" s="8" t="s">
        <v>240</v>
      </c>
      <c r="E13" s="8" t="s">
        <v>241</v>
      </c>
    </row>
    <row r="14" customFormat="false" ht="15" hidden="false" customHeight="false" outlineLevel="0" collapsed="false">
      <c r="A14" s="2" t="n">
        <v>1</v>
      </c>
      <c r="B14" s="17" t="n">
        <f aca="false">_xlfn.MAXIFS($BM$40:$BM$133,$A$40:$A$133,A14)</f>
        <v>136.363636363636</v>
      </c>
      <c r="C14" s="15" t="n">
        <f aca="false">_xlfn.MINIFS($B$40:$B$133,$A$40:$A$133,A14,$BM$40:$BM$133,"&gt;="&amp;(B14-0.000000001))</f>
        <v>0</v>
      </c>
      <c r="D14" s="17" t="n">
        <f aca="false">_xlfn.MAXIFS($BN$40:$BN$133,$A$40:$A$133,A14)</f>
        <v>727.272727272727</v>
      </c>
      <c r="E14" s="15" t="n">
        <f aca="false">_xlfn.MINIFS($B$40:$B$133,$A$40:$A$133,A14,$BN$40:$BN$133,"&gt;="&amp;(D14-0.000000001))</f>
        <v>1</v>
      </c>
    </row>
    <row r="15" customFormat="false" ht="15" hidden="false" customHeight="false" outlineLevel="0" collapsed="false">
      <c r="A15" s="2" t="n">
        <v>2</v>
      </c>
      <c r="B15" s="17" t="n">
        <f aca="false">_xlfn.MAXIFS($BM$40:$BM$133,$A$40:$A$133,A15)</f>
        <v>154.545454545455</v>
      </c>
      <c r="C15" s="15" t="n">
        <f aca="false">_xlfn.MINIFS($B$40:$B$133,$A$40:$A$133,A15,$BM$40:$BM$133,"&gt;="&amp;(B15-0.000000001))</f>
        <v>1</v>
      </c>
      <c r="D15" s="17" t="n">
        <f aca="false">_xlfn.MAXIFS($BN$40:$BN$133,$A$40:$A$133,A15)</f>
        <v>945.041322314049</v>
      </c>
      <c r="E15" s="15" t="n">
        <f aca="false">_xlfn.MINIFS($B$40:$B$133,$A$40:$A$133,A15,$BN$40:$BN$133,"&gt;="&amp;(D15-0.000000001))</f>
        <v>2</v>
      </c>
    </row>
    <row r="16" customFormat="false" ht="15" hidden="false" customHeight="false" outlineLevel="0" collapsed="false">
      <c r="A16" s="2" t="n">
        <v>3</v>
      </c>
      <c r="B16" s="17" t="n">
        <f aca="false">_xlfn.MAXIFS($BM$40:$BM$133,$A$40:$A$133,A16)</f>
        <v>216.528925619835</v>
      </c>
      <c r="C16" s="15" t="n">
        <f aca="false">_xlfn.MINIFS($B$40:$B$133,$A$40:$A$133,A16,$BM$40:$BM$133,"&gt;="&amp;(B16-0.000000001))</f>
        <v>1</v>
      </c>
      <c r="D16" s="17" t="n">
        <f aca="false">_xlfn.MAXIFS($BN$40:$BN$133,$A$40:$A$133,A16)</f>
        <v>999.511645379414</v>
      </c>
      <c r="E16" s="15" t="n">
        <f aca="false">_xlfn.MINIFS($B$40:$B$133,$A$40:$A$133,A16,$BN$40:$BN$133,"&gt;="&amp;(D16-0.000000001))</f>
        <v>3</v>
      </c>
    </row>
    <row r="17" customFormat="false" ht="15" hidden="false" customHeight="false" outlineLevel="0" collapsed="false">
      <c r="A17" s="2" t="n">
        <v>4</v>
      </c>
      <c r="B17" s="17" t="n">
        <f aca="false">_xlfn.MAXIFS($BM$40:$BM$133,$A$40:$A$133,A17)</f>
        <v>272.877535687453</v>
      </c>
      <c r="C17" s="15" t="n">
        <f aca="false">_xlfn.MINIFS($B$40:$B$133,$A$40:$A$133,A17,$BM$40:$BM$133,"&gt;="&amp;(B17-0.000000001))</f>
        <v>1</v>
      </c>
      <c r="D17" s="17" t="n">
        <f aca="false">_xlfn.MAXIFS($BN$40:$BN$133,$A$40:$A$133,A17)</f>
        <v>1007.70780684379</v>
      </c>
      <c r="E17" s="15" t="n">
        <f aca="false">_xlfn.MINIFS($B$40:$B$133,$A$40:$A$133,A17,$BN$40:$BN$133,"&gt;="&amp;(D17-0.000000001))</f>
        <v>3</v>
      </c>
    </row>
    <row r="18" customFormat="false" ht="15" hidden="false" customHeight="false" outlineLevel="0" collapsed="false">
      <c r="A18" s="2" t="n">
        <v>5</v>
      </c>
      <c r="B18" s="17" t="n">
        <f aca="false">_xlfn.MAXIFS($BM$40:$BM$133,$A$40:$A$133,A18)</f>
        <v>324.103544839833</v>
      </c>
      <c r="C18" s="15" t="n">
        <f aca="false">_xlfn.MINIFS($B$40:$B$133,$A$40:$A$133,A18,$BM$40:$BM$133,"&gt;="&amp;(B18-0.000000001))</f>
        <v>1</v>
      </c>
      <c r="D18" s="17" t="n">
        <f aca="false">_xlfn.MAXIFS($BN$40:$BN$133,$A$40:$A$133,A18)</f>
        <v>1015.1588627205</v>
      </c>
      <c r="E18" s="15" t="n">
        <f aca="false">_xlfn.MINIFS($B$40:$B$133,$A$40:$A$133,A18,$BN$40:$BN$133,"&gt;="&amp;(D18-0.000000001))</f>
        <v>3</v>
      </c>
    </row>
    <row r="19" customFormat="false" ht="15" hidden="false" customHeight="false" outlineLevel="0" collapsed="false">
      <c r="A19" s="2" t="n">
        <v>6</v>
      </c>
      <c r="B19" s="17" t="n">
        <f aca="false">_xlfn.MAXIFS($BM$40:$BM$133,$A$40:$A$133,A19)</f>
        <v>384.173336396545</v>
      </c>
      <c r="C19" s="15" t="n">
        <f aca="false">_xlfn.MINIFS($B$40:$B$133,$A$40:$A$133,A19,$BM$40:$BM$133,"&gt;="&amp;(B19-0.000000001))</f>
        <v>2</v>
      </c>
      <c r="D19" s="17" t="n">
        <f aca="false">_xlfn.MAXIFS($BN$40:$BN$133,$A$40:$A$133,A19)</f>
        <v>1021.93254988115</v>
      </c>
      <c r="E19" s="15" t="n">
        <f aca="false">_xlfn.MINIFS($B$40:$B$133,$A$40:$A$133,A19,$BN$40:$BN$133,"&gt;="&amp;(D19-0.000000001))</f>
        <v>3</v>
      </c>
    </row>
    <row r="20" customFormat="false" ht="15" hidden="false" customHeight="false" outlineLevel="0" collapsed="false">
      <c r="A20" s="2" t="n">
        <v>7</v>
      </c>
      <c r="B20" s="17" t="n">
        <f aca="false">_xlfn.MAXIFS($BM$40:$BM$133,$A$40:$A$133,A20)</f>
        <v>444.289809947272</v>
      </c>
      <c r="C20" s="15" t="n">
        <f aca="false">_xlfn.MINIFS($B$40:$B$133,$A$40:$A$133,A20,$BM$40:$BM$133,"&gt;="&amp;(B20-0.000000001))</f>
        <v>2</v>
      </c>
      <c r="D20" s="17" t="n">
        <f aca="false">_xlfn.MAXIFS($BN$40:$BN$133,$A$40:$A$133,A20)</f>
        <v>1028.09044729992</v>
      </c>
      <c r="E20" s="15" t="n">
        <f aca="false">_xlfn.MINIFS($B$40:$B$133,$A$40:$A$133,A20,$BN$40:$BN$133,"&gt;="&amp;(D20-0.000000001))</f>
        <v>3</v>
      </c>
    </row>
    <row r="21" customFormat="false" ht="15" hidden="false" customHeight="false" outlineLevel="0" collapsed="false">
      <c r="A21" s="2" t="n">
        <v>8</v>
      </c>
      <c r="B21" s="17" t="n">
        <f aca="false">_xlfn.MAXIFS($BM$40:$BM$133,$A$40:$A$133,A21)</f>
        <v>498.941149538843</v>
      </c>
      <c r="C21" s="15" t="n">
        <f aca="false">_xlfn.MINIFS($B$40:$B$133,$A$40:$A$133,A21,$BM$40:$BM$133,"&gt;="&amp;(B21-0.000000001))</f>
        <v>2</v>
      </c>
      <c r="D21" s="17" t="n">
        <f aca="false">_xlfn.MAXIFS($BN$40:$BN$133,$A$40:$A$133,A21)</f>
        <v>1033.68853586244</v>
      </c>
      <c r="E21" s="15" t="n">
        <f aca="false">_xlfn.MINIFS($B$40:$B$133,$A$40:$A$133,A21,$BN$40:$BN$133,"&gt;="&amp;(D21-0.000000001))</f>
        <v>3</v>
      </c>
    </row>
    <row r="22" customFormat="false" ht="15" hidden="false" customHeight="false" outlineLevel="0" collapsed="false">
      <c r="A22" s="2" t="n">
        <v>9</v>
      </c>
      <c r="B22" s="17" t="n">
        <f aca="false">_xlfn.MAXIFS($BM$40:$BM$133,$A$40:$A$133,A22)</f>
        <v>548.624185531179</v>
      </c>
      <c r="C22" s="15" t="n">
        <f aca="false">_xlfn.MINIFS($B$40:$B$133,$A$40:$A$133,A22,$BM$40:$BM$133,"&gt;="&amp;(B22-0.000000001))</f>
        <v>2</v>
      </c>
      <c r="D22" s="17" t="n">
        <f aca="false">_xlfn.MAXIFS($BN$40:$BN$133,$A$40:$A$133,A22)</f>
        <v>1038.7777072829</v>
      </c>
      <c r="E22" s="15" t="n">
        <f aca="false">_xlfn.MINIFS($B$40:$B$133,$A$40:$A$133,A22,$BN$40:$BN$133,"&gt;="&amp;(D22-0.000000001))</f>
        <v>3</v>
      </c>
    </row>
    <row r="23" customFormat="false" ht="15" hidden="false" customHeight="false" outlineLevel="0" collapsed="false">
      <c r="A23" s="2" t="n">
        <v>10</v>
      </c>
      <c r="B23" s="17" t="n">
        <f aca="false">_xlfn.MAXIFS($BM$40:$BM$133,$A$40:$A$133,A23)</f>
        <v>593.790581887849</v>
      </c>
      <c r="C23" s="15" t="n">
        <f aca="false">_xlfn.MINIFS($B$40:$B$133,$A$40:$A$133,A23,$BM$40:$BM$133,"&gt;="&amp;(B23-0.000000001))</f>
        <v>2</v>
      </c>
      <c r="D23" s="17" t="n">
        <f aca="false">_xlfn.MAXIFS($BN$40:$BN$133,$A$40:$A$133,A23)</f>
        <v>1043.40422675606</v>
      </c>
      <c r="E23" s="15" t="n">
        <f aca="false">_xlfn.MINIFS($B$40:$B$133,$A$40:$A$133,A23,$BN$40:$BN$133,"&gt;="&amp;(D23-0.000000001))</f>
        <v>3</v>
      </c>
    </row>
    <row r="24" customFormat="false" ht="15" hidden="false" customHeight="false" outlineLevel="0" collapsed="false">
      <c r="A24" s="2" t="n">
        <v>11</v>
      </c>
      <c r="B24" s="17" t="n">
        <f aca="false">_xlfn.MAXIFS($BM$40:$BM$133,$A$40:$A$133,A24)</f>
        <v>634.850942212094</v>
      </c>
      <c r="C24" s="15" t="n">
        <f aca="false">_xlfn.MINIFS($B$40:$B$133,$A$40:$A$133,A24,$BM$40:$BM$133,"&gt;="&amp;(B24-0.000000001))</f>
        <v>2</v>
      </c>
      <c r="D24" s="17" t="n">
        <f aca="false">_xlfn.MAXIFS($BN$40:$BN$133,$A$40:$A$133,A24)</f>
        <v>1047.61015354984</v>
      </c>
      <c r="E24" s="15" t="n">
        <f aca="false">_xlfn.MINIFS($B$40:$B$133,$A$40:$A$133,A24,$BN$40:$BN$133,"&gt;="&amp;(D24-0.000000001))</f>
        <v>3</v>
      </c>
    </row>
    <row r="25" customFormat="false" ht="15" hidden="false" customHeight="false" outlineLevel="0" collapsed="false">
      <c r="A25" s="2" t="n">
        <v>12</v>
      </c>
      <c r="B25" s="17" t="n">
        <f aca="false">_xlfn.MAXIFS($BM$40:$BM$133,$A$40:$A$133,A25)</f>
        <v>672.178542506862</v>
      </c>
      <c r="C25" s="15" t="n">
        <f aca="false">_xlfn.MINIFS($B$40:$B$133,$A$40:$A$133,A25,$BM$40:$BM$133,"&gt;="&amp;(B25-0.000000001))</f>
        <v>2</v>
      </c>
      <c r="D25" s="17" t="n">
        <f aca="false">_xlfn.MAXIFS($BN$40:$BN$133,$A$40:$A$133,A25)</f>
        <v>1051.43372336236</v>
      </c>
      <c r="E25" s="15" t="n">
        <f aca="false">_xlfn.MINIFS($B$40:$B$133,$A$40:$A$133,A25,$BN$40:$BN$133,"&gt;="&amp;(D25-0.000000001))</f>
        <v>3</v>
      </c>
    </row>
    <row r="26" customFormat="false" ht="15" hidden="false" customHeight="false" outlineLevel="0" collapsed="false">
      <c r="A26" s="2" t="n">
        <v>13</v>
      </c>
      <c r="B26" s="17" t="n">
        <f aca="false">_xlfn.MAXIFS($BM$40:$BM$133,$A$40:$A$133,A26)</f>
        <v>706.112724593015</v>
      </c>
      <c r="C26" s="15" t="n">
        <f aca="false">_xlfn.MINIFS($B$40:$B$133,$A$40:$A$133,A26,$BM$40:$BM$133,"&gt;="&amp;(B26-0.000000001))</f>
        <v>2</v>
      </c>
      <c r="D26" s="17" t="n">
        <f aca="false">_xlfn.MAXIFS($BN$40:$BN$133,$A$40:$A$133,A26)</f>
        <v>1054.9096959192</v>
      </c>
      <c r="E26" s="15" t="n">
        <f aca="false">_xlfn.MINIFS($B$40:$B$133,$A$40:$A$133,A26,$BN$40:$BN$133,"&gt;="&amp;(D26-0.000000001))</f>
        <v>3</v>
      </c>
    </row>
    <row r="27" customFormat="false" ht="15" hidden="false" customHeight="false" outlineLevel="0" collapsed="false">
      <c r="A27" s="2" t="n">
        <v>14</v>
      </c>
      <c r="B27" s="17" t="n">
        <f aca="false">_xlfn.MAXIFS($BM$40:$BM$133,$A$40:$A$133,A27)</f>
        <v>736.961981034973</v>
      </c>
      <c r="C27" s="15" t="n">
        <f aca="false">_xlfn.MINIFS($B$40:$B$133,$A$40:$A$133,A27,$BM$40:$BM$133,"&gt;="&amp;(B27-0.000000001))</f>
        <v>2</v>
      </c>
      <c r="D27" s="17" t="n">
        <f aca="false">_xlfn.MAXIFS($BN$40:$BN$133,$A$40:$A$133,A27)</f>
        <v>1058.06967097087</v>
      </c>
      <c r="E27" s="15" t="n">
        <f aca="false">_xlfn.MINIFS($B$40:$B$133,$A$40:$A$133,A27,$BN$40:$BN$133,"&gt;="&amp;(D27-0.000000001))</f>
        <v>3</v>
      </c>
    </row>
    <row r="28" customFormat="false" ht="15" hidden="false" customHeight="false" outlineLevel="0" collapsed="false">
      <c r="A28" s="2" t="n">
        <v>15</v>
      </c>
      <c r="B28" s="17" t="n">
        <f aca="false">_xlfn.MAXIFS($BM$40:$BM$133,$A$40:$A$133,A28)</f>
        <v>767.687115086078</v>
      </c>
      <c r="C28" s="15" t="n">
        <f aca="false">_xlfn.MINIFS($B$40:$B$133,$A$40:$A$133,A28,$BM$40:$BM$133,"&gt;="&amp;(B28-0.000000001))</f>
        <v>3</v>
      </c>
      <c r="D28" s="17" t="n">
        <f aca="false">_xlfn.MAXIFS($BN$40:$BN$133,$A$40:$A$133,A28)</f>
        <v>1060.9423755633</v>
      </c>
      <c r="E28" s="15" t="n">
        <f aca="false">_xlfn.MINIFS($B$40:$B$133,$A$40:$A$133,A28,$BN$40:$BN$133,"&gt;="&amp;(D28-0.000000001))</f>
        <v>3</v>
      </c>
    </row>
    <row r="29" customFormat="false" ht="15" hidden="false" customHeight="false" outlineLevel="0" collapsed="false">
      <c r="A29" s="2" t="n">
        <v>16</v>
      </c>
      <c r="B29" s="17" t="n">
        <f aca="false">_xlfn.MAXIFS($BM$40:$BM$133,$A$40:$A$133,A29)</f>
        <v>796.958233849853</v>
      </c>
      <c r="C29" s="15" t="n">
        <f aca="false">_xlfn.MINIFS($B$40:$B$133,$A$40:$A$133,A29,$BM$40:$BM$133,"&gt;="&amp;(B29-0.000000001))</f>
        <v>3</v>
      </c>
      <c r="D29" s="17" t="n">
        <f aca="false">_xlfn.MAXIFS($BN$40:$BN$133,$A$40:$A$133,A29)</f>
        <v>1063.55392519279</v>
      </c>
      <c r="E29" s="15" t="n">
        <f aca="false">_xlfn.MINIFS($B$40:$B$133,$A$40:$A$133,A29,$BN$40:$BN$133,"&gt;="&amp;(D29-0.000000001))</f>
        <v>3</v>
      </c>
    </row>
    <row r="30" customFormat="false" ht="15" hidden="false" customHeight="false" outlineLevel="0" collapsed="false">
      <c r="A30" s="2" t="n">
        <v>17</v>
      </c>
      <c r="B30" s="17" t="n">
        <f aca="false">_xlfn.MAXIFS($BM$40:$BM$133,$A$40:$A$133,A30)</f>
        <v>823.568341816921</v>
      </c>
      <c r="C30" s="15" t="n">
        <f aca="false">_xlfn.MINIFS($B$40:$B$133,$A$40:$A$133,A30,$BM$40:$BM$133,"&gt;="&amp;(B30-0.000000001))</f>
        <v>3</v>
      </c>
      <c r="D30" s="17" t="n">
        <f aca="false">_xlfn.MAXIFS($BN$40:$BN$133,$A$40:$A$133,A30)</f>
        <v>1065.92806121959</v>
      </c>
      <c r="E30" s="15" t="n">
        <f aca="false">_xlfn.MINIFS($B$40:$B$133,$A$40:$A$133,A30,$BN$40:$BN$133,"&gt;="&amp;(D30-0.000000001))</f>
        <v>3</v>
      </c>
    </row>
    <row r="31" customFormat="false" ht="15" hidden="false" customHeight="false" outlineLevel="0" collapsed="false">
      <c r="A31" s="2" t="n">
        <v>18</v>
      </c>
      <c r="B31" s="17" t="n">
        <f aca="false">_xlfn.MAXIFS($BM$40:$BM$133,$A$40:$A$133,A31)</f>
        <v>847.75934905971</v>
      </c>
      <c r="C31" s="15" t="n">
        <f aca="false">_xlfn.MINIFS($B$40:$B$133,$A$40:$A$133,A31,$BM$40:$BM$133,"&gt;="&amp;(B31-0.000000001))</f>
        <v>3</v>
      </c>
      <c r="D31" s="17" t="n">
        <f aca="false">_xlfn.MAXIFS($BN$40:$BN$133,$A$40:$A$133,A31)</f>
        <v>1068.0863666985</v>
      </c>
      <c r="E31" s="15" t="n">
        <f aca="false">_xlfn.MINIFS($B$40:$B$133,$A$40:$A$133,A31,$BN$40:$BN$133,"&gt;="&amp;(D31-0.000000001))</f>
        <v>3</v>
      </c>
    </row>
    <row r="32" customFormat="false" ht="15" hidden="false" customHeight="false" outlineLevel="0" collapsed="false">
      <c r="A32" s="2" t="n">
        <v>19</v>
      </c>
      <c r="B32" s="17" t="n">
        <f aca="false">_xlfn.MAXIFS($BM$40:$BM$133,$A$40:$A$133,A32)</f>
        <v>869.751173825883</v>
      </c>
      <c r="C32" s="15" t="n">
        <f aca="false">_xlfn.MINIFS($B$40:$B$133,$A$40:$A$133,A32,$BM$40:$BM$133,"&gt;="&amp;(B32-0.000000001))</f>
        <v>3</v>
      </c>
      <c r="D32" s="17" t="n">
        <f aca="false">_xlfn.MAXIFS($BN$40:$BN$133,$A$40:$A$133,A32)</f>
        <v>1070.04846258842</v>
      </c>
      <c r="E32" s="15" t="n">
        <f aca="false">_xlfn.MINIFS($B$40:$B$133,$A$40:$A$133,A32,$BN$40:$BN$133,"&gt;="&amp;(D32-0.000000001))</f>
        <v>3</v>
      </c>
    </row>
    <row r="33" customFormat="false" ht="15" hidden="false" customHeight="false" outlineLevel="0" collapsed="false">
      <c r="A33" s="2" t="n">
        <v>20</v>
      </c>
      <c r="B33" s="17" t="n">
        <f aca="false">_xlfn.MAXIFS($BM$40:$BM$133,$A$40:$A$133,A33)</f>
        <v>889.74374179513</v>
      </c>
      <c r="C33" s="15" t="n">
        <f aca="false">_xlfn.MINIFS($B$40:$B$133,$A$40:$A$133,A33,$BM$40:$BM$133,"&gt;="&amp;(B33-0.000000001))</f>
        <v>3</v>
      </c>
      <c r="D33" s="17" t="n">
        <f aca="false">_xlfn.MAXIFS($BN$40:$BN$133,$A$40:$A$133,A33)</f>
        <v>1071.83218612471</v>
      </c>
      <c r="E33" s="15" t="n">
        <f aca="false">_xlfn.MINIFS($B$40:$B$133,$A$40:$A$133,A33,$BN$40:$BN$133,"&gt;="&amp;(D33-0.000000001))</f>
        <v>3</v>
      </c>
    </row>
    <row r="35" customFormat="false" ht="15" hidden="false" customHeight="false" outlineLevel="0" collapsed="false">
      <c r="A35" s="2" t="s">
        <v>242</v>
      </c>
      <c r="E35" s="15" t="n">
        <f aca="false">_xlfn.MINIFS(A14:A33,C14:C33,"&gt;=3")</f>
        <v>15</v>
      </c>
    </row>
    <row r="36" customFormat="false" ht="15" hidden="false" customHeight="false" outlineLevel="0" collapsed="false">
      <c r="A36" s="2" t="s">
        <v>243</v>
      </c>
      <c r="E36" s="15" t="n">
        <f aca="false">_xlfn.MINIFS(A14:A33,E14:E33,"&gt;=3")</f>
        <v>3</v>
      </c>
    </row>
    <row r="37" customFormat="false" ht="15" hidden="false" customHeight="false" outlineLevel="0" collapsed="false">
      <c r="A37" s="10" t="s">
        <v>244</v>
      </c>
    </row>
    <row r="38" customFormat="false" ht="15" hidden="false" customHeight="false" outlineLevel="0" collapsed="false">
      <c r="A38" s="10" t="s">
        <v>58</v>
      </c>
      <c r="AS38" s="16" t="n">
        <f aca="false">Beta_y^1</f>
        <v>0.909090909090909</v>
      </c>
      <c r="AT38" s="16" t="n">
        <f aca="false">Beta_y^2</f>
        <v>0.826446280991735</v>
      </c>
      <c r="AU38" s="16" t="n">
        <f aca="false">Beta_y^3</f>
        <v>0.751314800901578</v>
      </c>
      <c r="AV38" s="16" t="n">
        <f aca="false">Beta_y^4</f>
        <v>0.683013455365071</v>
      </c>
      <c r="AW38" s="16" t="n">
        <f aca="false">Beta_y^5</f>
        <v>0.620921323059155</v>
      </c>
      <c r="AX38" s="16" t="n">
        <f aca="false">Beta_y^6</f>
        <v>0.564473930053777</v>
      </c>
      <c r="AY38" s="16" t="n">
        <f aca="false">Beta_y^7</f>
        <v>0.513158118230707</v>
      </c>
      <c r="AZ38" s="16" t="n">
        <f aca="false">Beta_y^8</f>
        <v>0.466507380209733</v>
      </c>
      <c r="BA38" s="16" t="n">
        <f aca="false">Beta_y^9</f>
        <v>0.424097618372485</v>
      </c>
      <c r="BB38" s="16" t="n">
        <f aca="false">Beta_y^10</f>
        <v>0.385543289429532</v>
      </c>
      <c r="BC38" s="16" t="n">
        <f aca="false">Beta_y^11</f>
        <v>0.350493899481392</v>
      </c>
      <c r="BD38" s="16" t="n">
        <f aca="false">Beta_y^12</f>
        <v>0.318630817710357</v>
      </c>
      <c r="BE38" s="16" t="n">
        <f aca="false">Beta_y^13</f>
        <v>0.289664379736688</v>
      </c>
      <c r="BF38" s="16" t="n">
        <f aca="false">Beta_y^14</f>
        <v>0.26333125430608</v>
      </c>
      <c r="BG38" s="16" t="n">
        <f aca="false">Beta_y^15</f>
        <v>0.239392049369164</v>
      </c>
      <c r="BH38" s="16" t="n">
        <f aca="false">Beta_y^16</f>
        <v>0.217629135790149</v>
      </c>
      <c r="BI38" s="16" t="n">
        <f aca="false">Beta_y^17</f>
        <v>0.197844668900135</v>
      </c>
      <c r="BJ38" s="16" t="n">
        <f aca="false">Beta_y^18</f>
        <v>0.179858789909214</v>
      </c>
      <c r="BK38" s="16" t="n">
        <f aca="false">Beta_y^19</f>
        <v>0.163507990826558</v>
      </c>
      <c r="BL38" s="16" t="n">
        <f aca="false">Beta_y^20</f>
        <v>0.148643628024144</v>
      </c>
    </row>
    <row r="39" customFormat="false" ht="46.25" hidden="false" customHeight="false" outlineLevel="0" collapsed="false">
      <c r="A39" s="8" t="s">
        <v>245</v>
      </c>
      <c r="B39" s="8" t="s">
        <v>246</v>
      </c>
      <c r="C39" s="8" t="s">
        <v>93</v>
      </c>
      <c r="D39" s="8" t="s">
        <v>94</v>
      </c>
      <c r="E39" s="8" t="s">
        <v>95</v>
      </c>
      <c r="F39" s="8" t="s">
        <v>96</v>
      </c>
      <c r="G39" s="8" t="s">
        <v>97</v>
      </c>
      <c r="H39" s="8" t="s">
        <v>98</v>
      </c>
      <c r="I39" s="8" t="s">
        <v>247</v>
      </c>
      <c r="J39" s="8" t="s">
        <v>248</v>
      </c>
      <c r="K39" s="8" t="s">
        <v>249</v>
      </c>
      <c r="L39" s="8" t="s">
        <v>250</v>
      </c>
      <c r="M39" s="8" t="s">
        <v>251</v>
      </c>
      <c r="N39" s="8" t="s">
        <v>252</v>
      </c>
      <c r="O39" s="8" t="s">
        <v>253</v>
      </c>
      <c r="P39" s="8" t="s">
        <v>254</v>
      </c>
      <c r="Q39" s="8" t="s">
        <v>255</v>
      </c>
      <c r="R39" s="8" t="s">
        <v>256</v>
      </c>
      <c r="S39" s="8" t="s">
        <v>257</v>
      </c>
      <c r="T39" s="8" t="s">
        <v>258</v>
      </c>
      <c r="U39" s="8" t="s">
        <v>259</v>
      </c>
      <c r="V39" s="8" t="s">
        <v>260</v>
      </c>
      <c r="W39" s="8" t="s">
        <v>99</v>
      </c>
      <c r="X39" s="8" t="s">
        <v>100</v>
      </c>
      <c r="Y39" s="8" t="s">
        <v>101</v>
      </c>
      <c r="Z39" s="8" t="s">
        <v>102</v>
      </c>
      <c r="AA39" s="8" t="s">
        <v>103</v>
      </c>
      <c r="AB39" s="8" t="s">
        <v>104</v>
      </c>
      <c r="AC39" s="8" t="s">
        <v>105</v>
      </c>
      <c r="AD39" s="8" t="s">
        <v>261</v>
      </c>
      <c r="AE39" s="8" t="s">
        <v>262</v>
      </c>
      <c r="AF39" s="8" t="s">
        <v>263</v>
      </c>
      <c r="AG39" s="8" t="s">
        <v>264</v>
      </c>
      <c r="AH39" s="8" t="s">
        <v>265</v>
      </c>
      <c r="AI39" s="8" t="s">
        <v>266</v>
      </c>
      <c r="AJ39" s="8" t="s">
        <v>267</v>
      </c>
      <c r="AK39" s="8" t="s">
        <v>268</v>
      </c>
      <c r="AL39" s="8" t="s">
        <v>269</v>
      </c>
      <c r="AM39" s="8" t="s">
        <v>270</v>
      </c>
      <c r="AN39" s="8" t="s">
        <v>271</v>
      </c>
      <c r="AO39" s="8" t="s">
        <v>272</v>
      </c>
      <c r="AP39" s="8" t="s">
        <v>273</v>
      </c>
      <c r="AQ39" s="8" t="s">
        <v>274</v>
      </c>
      <c r="AR39" s="8" t="s">
        <v>106</v>
      </c>
      <c r="AS39" s="8" t="s">
        <v>107</v>
      </c>
      <c r="AT39" s="8" t="s">
        <v>108</v>
      </c>
      <c r="AU39" s="8" t="s">
        <v>109</v>
      </c>
      <c r="AV39" s="8" t="s">
        <v>110</v>
      </c>
      <c r="AW39" s="8" t="s">
        <v>111</v>
      </c>
      <c r="AX39" s="8" t="s">
        <v>112</v>
      </c>
      <c r="AY39" s="8" t="s">
        <v>275</v>
      </c>
      <c r="AZ39" s="8" t="s">
        <v>276</v>
      </c>
      <c r="BA39" s="8" t="s">
        <v>277</v>
      </c>
      <c r="BB39" s="8" t="s">
        <v>278</v>
      </c>
      <c r="BC39" s="8" t="s">
        <v>279</v>
      </c>
      <c r="BD39" s="8" t="s">
        <v>280</v>
      </c>
      <c r="BE39" s="8" t="s">
        <v>281</v>
      </c>
      <c r="BF39" s="8" t="s">
        <v>282</v>
      </c>
      <c r="BG39" s="8" t="s">
        <v>283</v>
      </c>
      <c r="BH39" s="8" t="s">
        <v>284</v>
      </c>
      <c r="BI39" s="8" t="s">
        <v>285</v>
      </c>
      <c r="BJ39" s="8" t="s">
        <v>286</v>
      </c>
      <c r="BK39" s="8" t="s">
        <v>287</v>
      </c>
      <c r="BL39" s="8" t="s">
        <v>288</v>
      </c>
      <c r="BM39" s="8" t="s">
        <v>289</v>
      </c>
      <c r="BN39" s="8" t="s">
        <v>290</v>
      </c>
    </row>
    <row r="40" customFormat="false" ht="15" hidden="false" customHeight="false" outlineLevel="0" collapsed="false">
      <c r="A40" s="2" t="n">
        <v>1</v>
      </c>
      <c r="B40" s="2" t="n">
        <v>0</v>
      </c>
      <c r="C40" s="14" t="n">
        <f aca="false">IF(1&gt;$A40,0,Val_pt*(Ceiling_e-E_zero)*(1-(1-Half_gap)^MIN(1,$B40)))</f>
        <v>0</v>
      </c>
      <c r="D40" s="14" t="n">
        <f aca="false">IF(2&gt;$A40,0,Val_pt*(Ceiling_e-E_zero)*(1-(1-Half_gap)^MIN(2,$B40)))</f>
        <v>0</v>
      </c>
      <c r="E40" s="14" t="n">
        <f aca="false">IF(3&gt;$A40,0,Val_pt*(Ceiling_e-E_zero)*(1-(1-Half_gap)^MIN(3,$B40)))</f>
        <v>0</v>
      </c>
      <c r="F40" s="14" t="n">
        <f aca="false">IF(4&gt;$A40,0,Val_pt*(Ceiling_e-E_zero)*(1-(1-Half_gap)^MIN(4,$B40)))</f>
        <v>0</v>
      </c>
      <c r="G40" s="14" t="n">
        <f aca="false">IF(5&gt;$A40,0,Val_pt*(Ceiling_e-E_zero)*(1-(1-Half_gap)^MIN(5,$B40)))</f>
        <v>0</v>
      </c>
      <c r="H40" s="14" t="n">
        <f aca="false">IF(6&gt;$A40,0,Val_pt*(Ceiling_e-E_zero)*(1-(1-Half_gap)^MIN(6,$B40)))</f>
        <v>0</v>
      </c>
      <c r="I40" s="14" t="n">
        <f aca="false">IF(7&gt;$A40,0,Val_pt*(Ceiling_e-E_zero)*(1-(1-Half_gap)^MIN(7,$B40)))</f>
        <v>0</v>
      </c>
      <c r="J40" s="14" t="n">
        <f aca="false">IF(8&gt;$A40,0,Val_pt*(Ceiling_e-E_zero)*(1-(1-Half_gap)^MIN(8,$B40)))</f>
        <v>0</v>
      </c>
      <c r="K40" s="14" t="n">
        <f aca="false">IF(9&gt;$A40,0,Val_pt*(Ceiling_e-E_zero)*(1-(1-Half_gap)^MIN(9,$B40)))</f>
        <v>0</v>
      </c>
      <c r="L40" s="14" t="n">
        <f aca="false">IF(10&gt;$A40,0,Val_pt*(Ceiling_e-E_zero)*(1-(1-Half_gap)^MIN(10,$B40)))</f>
        <v>0</v>
      </c>
      <c r="M40" s="14" t="n">
        <f aca="false">IF(11&gt;$A40,0,Val_pt*(Ceiling_e-E_zero)*(1-(1-Half_gap)^MIN(11,$B40)))</f>
        <v>0</v>
      </c>
      <c r="N40" s="14" t="n">
        <f aca="false">IF(12&gt;$A40,0,Val_pt*(Ceiling_e-E_zero)*(1-(1-Half_gap)^MIN(12,$B40)))</f>
        <v>0</v>
      </c>
      <c r="O40" s="14" t="n">
        <f aca="false">IF(13&gt;$A40,0,Val_pt*(Ceiling_e-E_zero)*(1-(1-Half_gap)^MIN(13,$B40)))</f>
        <v>0</v>
      </c>
      <c r="P40" s="14" t="n">
        <f aca="false">IF(14&gt;$A40,0,Val_pt*(Ceiling_e-E_zero)*(1-(1-Half_gap)^MIN(14,$B40)))</f>
        <v>0</v>
      </c>
      <c r="Q40" s="14" t="n">
        <f aca="false">IF(15&gt;$A40,0,Val_pt*(Ceiling_e-E_zero)*(1-(1-Half_gap)^MIN(15,$B40)))</f>
        <v>0</v>
      </c>
      <c r="R40" s="14" t="n">
        <f aca="false">IF(16&gt;$A40,0,Val_pt*(Ceiling_e-E_zero)*(1-(1-Half_gap)^MIN(16,$B40)))</f>
        <v>0</v>
      </c>
      <c r="S40" s="14" t="n">
        <f aca="false">IF(17&gt;$A40,0,Val_pt*(Ceiling_e-E_zero)*(1-(1-Half_gap)^MIN(17,$B40)))</f>
        <v>0</v>
      </c>
      <c r="T40" s="14" t="n">
        <f aca="false">IF(18&gt;$A40,0,Val_pt*(Ceiling_e-E_zero)*(1-(1-Half_gap)^MIN(18,$B40)))</f>
        <v>0</v>
      </c>
      <c r="U40" s="14" t="n">
        <f aca="false">IF(19&gt;$A40,0,Val_pt*(Ceiling_e-E_zero)*(1-(1-Half_gap)^MIN(19,$B40)))</f>
        <v>0</v>
      </c>
      <c r="V40" s="14" t="n">
        <f aca="false">IF(20&gt;$A40,0,Val_pt*(Ceiling_e-E_zero)*(1-(1-Half_gap)^MIN(20,$B40)))</f>
        <v>0</v>
      </c>
      <c r="W40" s="14" t="n">
        <f aca="false">IF(0&gt;$A40,0,IF(0=$A40,MAX(End_q,Floor_q),MAX(X40+Cost_round*IF(1&lt;=$B40,1,0)-C40,IF(1&lt;=$B40,1,0)*Pre_q)))</f>
        <v>470</v>
      </c>
      <c r="X40" s="14" t="n">
        <f aca="false">IF(1&gt;$A40,0,IF(1=$A40,MAX(End_q,Floor_q),MAX(Y40+Cost_round*IF(2&lt;=$B40,1,0)-D40,IF(2&lt;=$B40,1,0)*Pre_q,Floor_q)))</f>
        <v>470</v>
      </c>
      <c r="Y40" s="14" t="n">
        <f aca="false">IF(2&gt;$A40,0,IF(2=$A40,MAX(End_q,Floor_q),MAX(Z40+Cost_round*IF(3&lt;=$B40,1,0)-E40,IF(3&lt;=$B40,1,0)*Pre_q,Floor_q)))</f>
        <v>0</v>
      </c>
      <c r="Z40" s="14" t="n">
        <f aca="false">IF(3&gt;$A40,0,IF(3=$A40,MAX(End_q,Floor_q),MAX(AA40+Cost_round*IF(4&lt;=$B40,1,0)-F40,IF(4&lt;=$B40,1,0)*Pre_q,Floor_q)))</f>
        <v>0</v>
      </c>
      <c r="AA40" s="14" t="n">
        <f aca="false">IF(4&gt;$A40,0,IF(4=$A40,MAX(End_q,Floor_q),MAX(AB40+Cost_round*IF(5&lt;=$B40,1,0)-G40,IF(5&lt;=$B40,1,0)*Pre_q,Floor_q)))</f>
        <v>0</v>
      </c>
      <c r="AB40" s="14" t="n">
        <f aca="false">IF(5&gt;$A40,0,IF(5=$A40,MAX(End_q,Floor_q),MAX(AC40+Cost_round*IF(6&lt;=$B40,1,0)-H40,IF(6&lt;=$B40,1,0)*Pre_q,Floor_q)))</f>
        <v>0</v>
      </c>
      <c r="AC40" s="14" t="n">
        <f aca="false">IF(6&gt;$A40,0,IF(6=$A40,MAX(End_q,Floor_q),MAX(AD40+Cost_round*IF(7&lt;=$B40,1,0)-I40,IF(7&lt;=$B40,1,0)*Pre_q,Floor_q)))</f>
        <v>0</v>
      </c>
      <c r="AD40" s="14" t="n">
        <f aca="false">IF(7&gt;$A40,0,IF(7=$A40,MAX(End_q,Floor_q),MAX(AE40+Cost_round*IF(8&lt;=$B40,1,0)-J40,IF(8&lt;=$B40,1,0)*Pre_q,Floor_q)))</f>
        <v>0</v>
      </c>
      <c r="AE40" s="14" t="n">
        <f aca="false">IF(8&gt;$A40,0,IF(8=$A40,MAX(End_q,Floor_q),MAX(AF40+Cost_round*IF(9&lt;=$B40,1,0)-K40,IF(9&lt;=$B40,1,0)*Pre_q,Floor_q)))</f>
        <v>0</v>
      </c>
      <c r="AF40" s="14" t="n">
        <f aca="false">IF(9&gt;$A40,0,IF(9=$A40,MAX(End_q,Floor_q),MAX(AG40+Cost_round*IF(10&lt;=$B40,1,0)-L40,IF(10&lt;=$B40,1,0)*Pre_q,Floor_q)))</f>
        <v>0</v>
      </c>
      <c r="AG40" s="14" t="n">
        <f aca="false">IF(10&gt;$A40,0,IF(10=$A40,MAX(End_q,Floor_q),MAX(AH40+Cost_round*IF(11&lt;=$B40,1,0)-M40,IF(11&lt;=$B40,1,0)*Pre_q,Floor_q)))</f>
        <v>0</v>
      </c>
      <c r="AH40" s="14" t="n">
        <f aca="false">IF(11&gt;$A40,0,IF(11=$A40,MAX(End_q,Floor_q),MAX(AI40+Cost_round*IF(12&lt;=$B40,1,0)-N40,IF(12&lt;=$B40,1,0)*Pre_q,Floor_q)))</f>
        <v>0</v>
      </c>
      <c r="AI40" s="14" t="n">
        <f aca="false">IF(12&gt;$A40,0,IF(12=$A40,MAX(End_q,Floor_q),MAX(AJ40+Cost_round*IF(13&lt;=$B40,1,0)-O40,IF(13&lt;=$B40,1,0)*Pre_q,Floor_q)))</f>
        <v>0</v>
      </c>
      <c r="AJ40" s="14" t="n">
        <f aca="false">IF(13&gt;$A40,0,IF(13=$A40,MAX(End_q,Floor_q),MAX(AK40+Cost_round*IF(14&lt;=$B40,1,0)-P40,IF(14&lt;=$B40,1,0)*Pre_q,Floor_q)))</f>
        <v>0</v>
      </c>
      <c r="AK40" s="14" t="n">
        <f aca="false">IF(14&gt;$A40,0,IF(14=$A40,MAX(End_q,Floor_q),MAX(AL40+Cost_round*IF(15&lt;=$B40,1,0)-Q40,IF(15&lt;=$B40,1,0)*Pre_q,Floor_q)))</f>
        <v>0</v>
      </c>
      <c r="AL40" s="14" t="n">
        <f aca="false">IF(15&gt;$A40,0,IF(15=$A40,MAX(End_q,Floor_q),MAX(AM40+Cost_round*IF(16&lt;=$B40,1,0)-R40,IF(16&lt;=$B40,1,0)*Pre_q,Floor_q)))</f>
        <v>0</v>
      </c>
      <c r="AM40" s="14" t="n">
        <f aca="false">IF(16&gt;$A40,0,IF(16=$A40,MAX(End_q,Floor_q),MAX(AN40+Cost_round*IF(17&lt;=$B40,1,0)-S40,IF(17&lt;=$B40,1,0)*Pre_q,Floor_q)))</f>
        <v>0</v>
      </c>
      <c r="AN40" s="14" t="n">
        <f aca="false">IF(17&gt;$A40,0,IF(17=$A40,MAX(End_q,Floor_q),MAX(AO40+Cost_round*IF(18&lt;=$B40,1,0)-T40,IF(18&lt;=$B40,1,0)*Pre_q,Floor_q)))</f>
        <v>0</v>
      </c>
      <c r="AO40" s="14" t="n">
        <f aca="false">IF(18&gt;$A40,0,IF(18=$A40,MAX(End_q,Floor_q),MAX(AP40+Cost_round*IF(19&lt;=$B40,1,0)-U40,IF(19&lt;=$B40,1,0)*Pre_q,Floor_q)))</f>
        <v>0</v>
      </c>
      <c r="AP40" s="14" t="n">
        <f aca="false">IF(19&gt;$A40,0,IF(19=$A40,MAX(End_q,Floor_q),MAX(AQ40+Cost_round*IF(20&lt;=$B40,1,0)-V40,IF(20&lt;=$B40,1,0)*Pre_q,Floor_q)))</f>
        <v>0</v>
      </c>
      <c r="AQ40" s="14" t="n">
        <f aca="false">IF(20&gt;$A40,0,MAX(End_q,Floor_q))</f>
        <v>0</v>
      </c>
      <c r="AR40" s="15" t="n">
        <f aca="false">IF(Q_zero&gt;=W40-0.000000001,1,0)</f>
        <v>1</v>
      </c>
      <c r="AS40" s="14" t="n">
        <f aca="false">IF(1&gt;$A40,0,Q_zero-Cost_round*IF(1&lt;=$B40,1,0)+C40-X40)</f>
        <v>150</v>
      </c>
      <c r="AT40" s="14" t="n">
        <f aca="false">IF(2&gt;$A40,0,X40-Cost_round*IF(2&lt;=$B40,1,0)+D40-Y40)</f>
        <v>0</v>
      </c>
      <c r="AU40" s="14" t="n">
        <f aca="false">IF(3&gt;$A40,0,Y40-Cost_round*IF(3&lt;=$B40,1,0)+E40-Z40)</f>
        <v>0</v>
      </c>
      <c r="AV40" s="14" t="n">
        <f aca="false">IF(4&gt;$A40,0,Z40-Cost_round*IF(4&lt;=$B40,1,0)+F40-AA40)</f>
        <v>0</v>
      </c>
      <c r="AW40" s="14" t="n">
        <f aca="false">IF(5&gt;$A40,0,AA40-Cost_round*IF(5&lt;=$B40,1,0)+G40-AB40)</f>
        <v>0</v>
      </c>
      <c r="AX40" s="14" t="n">
        <f aca="false">IF(6&gt;$A40,0,AB40-Cost_round*IF(6&lt;=$B40,1,0)+H40-AC40)</f>
        <v>0</v>
      </c>
      <c r="AY40" s="14" t="n">
        <f aca="false">IF(7&gt;$A40,0,AC40-Cost_round*IF(7&lt;=$B40,1,0)+I40-AD40)</f>
        <v>0</v>
      </c>
      <c r="AZ40" s="14" t="n">
        <f aca="false">IF(8&gt;$A40,0,AD40-Cost_round*IF(8&lt;=$B40,1,0)+J40-AE40)</f>
        <v>0</v>
      </c>
      <c r="BA40" s="14" t="n">
        <f aca="false">IF(9&gt;$A40,0,AE40-Cost_round*IF(9&lt;=$B40,1,0)+K40-AF40)</f>
        <v>0</v>
      </c>
      <c r="BB40" s="14" t="n">
        <f aca="false">IF(10&gt;$A40,0,AF40-Cost_round*IF(10&lt;=$B40,1,0)+L40-AG40)</f>
        <v>0</v>
      </c>
      <c r="BC40" s="14" t="n">
        <f aca="false">IF(11&gt;$A40,0,AG40-Cost_round*IF(11&lt;=$B40,1,0)+M40-AH40)</f>
        <v>0</v>
      </c>
      <c r="BD40" s="14" t="n">
        <f aca="false">IF(12&gt;$A40,0,AH40-Cost_round*IF(12&lt;=$B40,1,0)+N40-AI40)</f>
        <v>0</v>
      </c>
      <c r="BE40" s="14" t="n">
        <f aca="false">IF(13&gt;$A40,0,AI40-Cost_round*IF(13&lt;=$B40,1,0)+O40-AJ40)</f>
        <v>0</v>
      </c>
      <c r="BF40" s="14" t="n">
        <f aca="false">IF(14&gt;$A40,0,AJ40-Cost_round*IF(14&lt;=$B40,1,0)+P40-AK40)</f>
        <v>0</v>
      </c>
      <c r="BG40" s="14" t="n">
        <f aca="false">IF(15&gt;$A40,0,AK40-Cost_round*IF(15&lt;=$B40,1,0)+Q40-AL40)</f>
        <v>0</v>
      </c>
      <c r="BH40" s="14" t="n">
        <f aca="false">IF(16&gt;$A40,0,AL40-Cost_round*IF(16&lt;=$B40,1,0)+R40-AM40)</f>
        <v>0</v>
      </c>
      <c r="BI40" s="14" t="n">
        <f aca="false">IF(17&gt;$A40,0,AM40-Cost_round*IF(17&lt;=$B40,1,0)+S40-AN40)</f>
        <v>0</v>
      </c>
      <c r="BJ40" s="14" t="n">
        <f aca="false">IF(18&gt;$A40,0,AN40-Cost_round*IF(18&lt;=$B40,1,0)+T40-AO40)</f>
        <v>0</v>
      </c>
      <c r="BK40" s="14" t="n">
        <f aca="false">IF(19&gt;$A40,0,AO40-Cost_round*IF(19&lt;=$B40,1,0)+U40-AP40)</f>
        <v>0</v>
      </c>
      <c r="BL40" s="14" t="n">
        <f aca="false">IF(20&gt;$A40,0,AP40-Cost_round*IF(20&lt;=$B40,1,0)+V40-AQ40)</f>
        <v>0</v>
      </c>
      <c r="BM40" s="17" t="n">
        <f aca="false">IF($AR40=1,SUMPRODUCT(AS40:BL40,$AS$38:$BL$38),"")</f>
        <v>136.363636363636</v>
      </c>
      <c r="BN40" s="17" t="n">
        <f aca="false">IF($AR40=1,BM40+INDEX($AS$38:$BL$38,$A40)*INDEX(C40:V40,$A40)/Hurdle_r,"")</f>
        <v>136.363636363636</v>
      </c>
    </row>
    <row r="41" customFormat="false" ht="15" hidden="false" customHeight="false" outlineLevel="0" collapsed="false">
      <c r="A41" s="2" t="n">
        <v>1</v>
      </c>
      <c r="B41" s="2" t="n">
        <v>1</v>
      </c>
      <c r="C41" s="14" t="n">
        <f aca="false">IF(1&gt;$A41,0,Val_pt*(Ceiling_e-E_zero)*(1-(1-Half_gap)^MIN(1,$B41)))</f>
        <v>70</v>
      </c>
      <c r="D41" s="14" t="n">
        <f aca="false">IF(2&gt;$A41,0,Val_pt*(Ceiling_e-E_zero)*(1-(1-Half_gap)^MIN(2,$B41)))</f>
        <v>0</v>
      </c>
      <c r="E41" s="14" t="n">
        <f aca="false">IF(3&gt;$A41,0,Val_pt*(Ceiling_e-E_zero)*(1-(1-Half_gap)^MIN(3,$B41)))</f>
        <v>0</v>
      </c>
      <c r="F41" s="14" t="n">
        <f aca="false">IF(4&gt;$A41,0,Val_pt*(Ceiling_e-E_zero)*(1-(1-Half_gap)^MIN(4,$B41)))</f>
        <v>0</v>
      </c>
      <c r="G41" s="14" t="n">
        <f aca="false">IF(5&gt;$A41,0,Val_pt*(Ceiling_e-E_zero)*(1-(1-Half_gap)^MIN(5,$B41)))</f>
        <v>0</v>
      </c>
      <c r="H41" s="14" t="n">
        <f aca="false">IF(6&gt;$A41,0,Val_pt*(Ceiling_e-E_zero)*(1-(1-Half_gap)^MIN(6,$B41)))</f>
        <v>0</v>
      </c>
      <c r="I41" s="14" t="n">
        <f aca="false">IF(7&gt;$A41,0,Val_pt*(Ceiling_e-E_zero)*(1-(1-Half_gap)^MIN(7,$B41)))</f>
        <v>0</v>
      </c>
      <c r="J41" s="14" t="n">
        <f aca="false">IF(8&gt;$A41,0,Val_pt*(Ceiling_e-E_zero)*(1-(1-Half_gap)^MIN(8,$B41)))</f>
        <v>0</v>
      </c>
      <c r="K41" s="14" t="n">
        <f aca="false">IF(9&gt;$A41,0,Val_pt*(Ceiling_e-E_zero)*(1-(1-Half_gap)^MIN(9,$B41)))</f>
        <v>0</v>
      </c>
      <c r="L41" s="14" t="n">
        <f aca="false">IF(10&gt;$A41,0,Val_pt*(Ceiling_e-E_zero)*(1-(1-Half_gap)^MIN(10,$B41)))</f>
        <v>0</v>
      </c>
      <c r="M41" s="14" t="n">
        <f aca="false">IF(11&gt;$A41,0,Val_pt*(Ceiling_e-E_zero)*(1-(1-Half_gap)^MIN(11,$B41)))</f>
        <v>0</v>
      </c>
      <c r="N41" s="14" t="n">
        <f aca="false">IF(12&gt;$A41,0,Val_pt*(Ceiling_e-E_zero)*(1-(1-Half_gap)^MIN(12,$B41)))</f>
        <v>0</v>
      </c>
      <c r="O41" s="14" t="n">
        <f aca="false">IF(13&gt;$A41,0,Val_pt*(Ceiling_e-E_zero)*(1-(1-Half_gap)^MIN(13,$B41)))</f>
        <v>0</v>
      </c>
      <c r="P41" s="14" t="n">
        <f aca="false">IF(14&gt;$A41,0,Val_pt*(Ceiling_e-E_zero)*(1-(1-Half_gap)^MIN(14,$B41)))</f>
        <v>0</v>
      </c>
      <c r="Q41" s="14" t="n">
        <f aca="false">IF(15&gt;$A41,0,Val_pt*(Ceiling_e-E_zero)*(1-(1-Half_gap)^MIN(15,$B41)))</f>
        <v>0</v>
      </c>
      <c r="R41" s="14" t="n">
        <f aca="false">IF(16&gt;$A41,0,Val_pt*(Ceiling_e-E_zero)*(1-(1-Half_gap)^MIN(16,$B41)))</f>
        <v>0</v>
      </c>
      <c r="S41" s="14" t="n">
        <f aca="false">IF(17&gt;$A41,0,Val_pt*(Ceiling_e-E_zero)*(1-(1-Half_gap)^MIN(17,$B41)))</f>
        <v>0</v>
      </c>
      <c r="T41" s="14" t="n">
        <f aca="false">IF(18&gt;$A41,0,Val_pt*(Ceiling_e-E_zero)*(1-(1-Half_gap)^MIN(18,$B41)))</f>
        <v>0</v>
      </c>
      <c r="U41" s="14" t="n">
        <f aca="false">IF(19&gt;$A41,0,Val_pt*(Ceiling_e-E_zero)*(1-(1-Half_gap)^MIN(19,$B41)))</f>
        <v>0</v>
      </c>
      <c r="V41" s="14" t="n">
        <f aca="false">IF(20&gt;$A41,0,Val_pt*(Ceiling_e-E_zero)*(1-(1-Half_gap)^MIN(20,$B41)))</f>
        <v>0</v>
      </c>
      <c r="W41" s="14" t="n">
        <f aca="false">IF(0&gt;$A41,0,IF(0=$A41,MAX(End_q,Floor_q),MAX(X41+Cost_round*IF(1&lt;=$B41,1,0)-C41,IF(1&lt;=$B41,1,0)*Pre_q)))</f>
        <v>520</v>
      </c>
      <c r="X41" s="14" t="n">
        <f aca="false">IF(1&gt;$A41,0,IF(1=$A41,MAX(End_q,Floor_q),MAX(Y41+Cost_round*IF(2&lt;=$B41,1,0)-D41,IF(2&lt;=$B41,1,0)*Pre_q,Floor_q)))</f>
        <v>470</v>
      </c>
      <c r="Y41" s="14" t="n">
        <f aca="false">IF(2&gt;$A41,0,IF(2=$A41,MAX(End_q,Floor_q),MAX(Z41+Cost_round*IF(3&lt;=$B41,1,0)-E41,IF(3&lt;=$B41,1,0)*Pre_q,Floor_q)))</f>
        <v>0</v>
      </c>
      <c r="Z41" s="14" t="n">
        <f aca="false">IF(3&gt;$A41,0,IF(3=$A41,MAX(End_q,Floor_q),MAX(AA41+Cost_round*IF(4&lt;=$B41,1,0)-F41,IF(4&lt;=$B41,1,0)*Pre_q,Floor_q)))</f>
        <v>0</v>
      </c>
      <c r="AA41" s="14" t="n">
        <f aca="false">IF(4&gt;$A41,0,IF(4=$A41,MAX(End_q,Floor_q),MAX(AB41+Cost_round*IF(5&lt;=$B41,1,0)-G41,IF(5&lt;=$B41,1,0)*Pre_q,Floor_q)))</f>
        <v>0</v>
      </c>
      <c r="AB41" s="14" t="n">
        <f aca="false">IF(5&gt;$A41,0,IF(5=$A41,MAX(End_q,Floor_q),MAX(AC41+Cost_round*IF(6&lt;=$B41,1,0)-H41,IF(6&lt;=$B41,1,0)*Pre_q,Floor_q)))</f>
        <v>0</v>
      </c>
      <c r="AC41" s="14" t="n">
        <f aca="false">IF(6&gt;$A41,0,IF(6=$A41,MAX(End_q,Floor_q),MAX(AD41+Cost_round*IF(7&lt;=$B41,1,0)-I41,IF(7&lt;=$B41,1,0)*Pre_q,Floor_q)))</f>
        <v>0</v>
      </c>
      <c r="AD41" s="14" t="n">
        <f aca="false">IF(7&gt;$A41,0,IF(7=$A41,MAX(End_q,Floor_q),MAX(AE41+Cost_round*IF(8&lt;=$B41,1,0)-J41,IF(8&lt;=$B41,1,0)*Pre_q,Floor_q)))</f>
        <v>0</v>
      </c>
      <c r="AE41" s="14" t="n">
        <f aca="false">IF(8&gt;$A41,0,IF(8=$A41,MAX(End_q,Floor_q),MAX(AF41+Cost_round*IF(9&lt;=$B41,1,0)-K41,IF(9&lt;=$B41,1,0)*Pre_q,Floor_q)))</f>
        <v>0</v>
      </c>
      <c r="AF41" s="14" t="n">
        <f aca="false">IF(9&gt;$A41,0,IF(9=$A41,MAX(End_q,Floor_q),MAX(AG41+Cost_round*IF(10&lt;=$B41,1,0)-L41,IF(10&lt;=$B41,1,0)*Pre_q,Floor_q)))</f>
        <v>0</v>
      </c>
      <c r="AG41" s="14" t="n">
        <f aca="false">IF(10&gt;$A41,0,IF(10=$A41,MAX(End_q,Floor_q),MAX(AH41+Cost_round*IF(11&lt;=$B41,1,0)-M41,IF(11&lt;=$B41,1,0)*Pre_q,Floor_q)))</f>
        <v>0</v>
      </c>
      <c r="AH41" s="14" t="n">
        <f aca="false">IF(11&gt;$A41,0,IF(11=$A41,MAX(End_q,Floor_q),MAX(AI41+Cost_round*IF(12&lt;=$B41,1,0)-N41,IF(12&lt;=$B41,1,0)*Pre_q,Floor_q)))</f>
        <v>0</v>
      </c>
      <c r="AI41" s="14" t="n">
        <f aca="false">IF(12&gt;$A41,0,IF(12=$A41,MAX(End_q,Floor_q),MAX(AJ41+Cost_round*IF(13&lt;=$B41,1,0)-O41,IF(13&lt;=$B41,1,0)*Pre_q,Floor_q)))</f>
        <v>0</v>
      </c>
      <c r="AJ41" s="14" t="n">
        <f aca="false">IF(13&gt;$A41,0,IF(13=$A41,MAX(End_q,Floor_q),MAX(AK41+Cost_round*IF(14&lt;=$B41,1,0)-P41,IF(14&lt;=$B41,1,0)*Pre_q,Floor_q)))</f>
        <v>0</v>
      </c>
      <c r="AK41" s="14" t="n">
        <f aca="false">IF(14&gt;$A41,0,IF(14=$A41,MAX(End_q,Floor_q),MAX(AL41+Cost_round*IF(15&lt;=$B41,1,0)-Q41,IF(15&lt;=$B41,1,0)*Pre_q,Floor_q)))</f>
        <v>0</v>
      </c>
      <c r="AL41" s="14" t="n">
        <f aca="false">IF(15&gt;$A41,0,IF(15=$A41,MAX(End_q,Floor_q),MAX(AM41+Cost_round*IF(16&lt;=$B41,1,0)-R41,IF(16&lt;=$B41,1,0)*Pre_q,Floor_q)))</f>
        <v>0</v>
      </c>
      <c r="AM41" s="14" t="n">
        <f aca="false">IF(16&gt;$A41,0,IF(16=$A41,MAX(End_q,Floor_q),MAX(AN41+Cost_round*IF(17&lt;=$B41,1,0)-S41,IF(17&lt;=$B41,1,0)*Pre_q,Floor_q)))</f>
        <v>0</v>
      </c>
      <c r="AN41" s="14" t="n">
        <f aca="false">IF(17&gt;$A41,0,IF(17=$A41,MAX(End_q,Floor_q),MAX(AO41+Cost_round*IF(18&lt;=$B41,1,0)-T41,IF(18&lt;=$B41,1,0)*Pre_q,Floor_q)))</f>
        <v>0</v>
      </c>
      <c r="AO41" s="14" t="n">
        <f aca="false">IF(18&gt;$A41,0,IF(18=$A41,MAX(End_q,Floor_q),MAX(AP41+Cost_round*IF(19&lt;=$B41,1,0)-U41,IF(19&lt;=$B41,1,0)*Pre_q,Floor_q)))</f>
        <v>0</v>
      </c>
      <c r="AP41" s="14" t="n">
        <f aca="false">IF(19&gt;$A41,0,IF(19=$A41,MAX(End_q,Floor_q),MAX(AQ41+Cost_round*IF(20&lt;=$B41,1,0)-V41,IF(20&lt;=$B41,1,0)*Pre_q,Floor_q)))</f>
        <v>0</v>
      </c>
      <c r="AQ41" s="14" t="n">
        <f aca="false">IF(20&gt;$A41,0,MAX(End_q,Floor_q))</f>
        <v>0</v>
      </c>
      <c r="AR41" s="15" t="n">
        <f aca="false">IF(Q_zero&gt;=W41-0.000000001,1,0)</f>
        <v>1</v>
      </c>
      <c r="AS41" s="14" t="n">
        <f aca="false">IF(1&gt;$A41,0,Q_zero-Cost_round*IF(1&lt;=$B41,1,0)+C41-X41)</f>
        <v>100</v>
      </c>
      <c r="AT41" s="14" t="n">
        <f aca="false">IF(2&gt;$A41,0,X41-Cost_round*IF(2&lt;=$B41,1,0)+D41-Y41)</f>
        <v>0</v>
      </c>
      <c r="AU41" s="14" t="n">
        <f aca="false">IF(3&gt;$A41,0,Y41-Cost_round*IF(3&lt;=$B41,1,0)+E41-Z41)</f>
        <v>0</v>
      </c>
      <c r="AV41" s="14" t="n">
        <f aca="false">IF(4&gt;$A41,0,Z41-Cost_round*IF(4&lt;=$B41,1,0)+F41-AA41)</f>
        <v>0</v>
      </c>
      <c r="AW41" s="14" t="n">
        <f aca="false">IF(5&gt;$A41,0,AA41-Cost_round*IF(5&lt;=$B41,1,0)+G41-AB41)</f>
        <v>0</v>
      </c>
      <c r="AX41" s="14" t="n">
        <f aca="false">IF(6&gt;$A41,0,AB41-Cost_round*IF(6&lt;=$B41,1,0)+H41-AC41)</f>
        <v>0</v>
      </c>
      <c r="AY41" s="14" t="n">
        <f aca="false">IF(7&gt;$A41,0,AC41-Cost_round*IF(7&lt;=$B41,1,0)+I41-AD41)</f>
        <v>0</v>
      </c>
      <c r="AZ41" s="14" t="n">
        <f aca="false">IF(8&gt;$A41,0,AD41-Cost_round*IF(8&lt;=$B41,1,0)+J41-AE41)</f>
        <v>0</v>
      </c>
      <c r="BA41" s="14" t="n">
        <f aca="false">IF(9&gt;$A41,0,AE41-Cost_round*IF(9&lt;=$B41,1,0)+K41-AF41)</f>
        <v>0</v>
      </c>
      <c r="BB41" s="14" t="n">
        <f aca="false">IF(10&gt;$A41,0,AF41-Cost_round*IF(10&lt;=$B41,1,0)+L41-AG41)</f>
        <v>0</v>
      </c>
      <c r="BC41" s="14" t="n">
        <f aca="false">IF(11&gt;$A41,0,AG41-Cost_round*IF(11&lt;=$B41,1,0)+M41-AH41)</f>
        <v>0</v>
      </c>
      <c r="BD41" s="14" t="n">
        <f aca="false">IF(12&gt;$A41,0,AH41-Cost_round*IF(12&lt;=$B41,1,0)+N41-AI41)</f>
        <v>0</v>
      </c>
      <c r="BE41" s="14" t="n">
        <f aca="false">IF(13&gt;$A41,0,AI41-Cost_round*IF(13&lt;=$B41,1,0)+O41-AJ41)</f>
        <v>0</v>
      </c>
      <c r="BF41" s="14" t="n">
        <f aca="false">IF(14&gt;$A41,0,AJ41-Cost_round*IF(14&lt;=$B41,1,0)+P41-AK41)</f>
        <v>0</v>
      </c>
      <c r="BG41" s="14" t="n">
        <f aca="false">IF(15&gt;$A41,0,AK41-Cost_round*IF(15&lt;=$B41,1,0)+Q41-AL41)</f>
        <v>0</v>
      </c>
      <c r="BH41" s="14" t="n">
        <f aca="false">IF(16&gt;$A41,0,AL41-Cost_round*IF(16&lt;=$B41,1,0)+R41-AM41)</f>
        <v>0</v>
      </c>
      <c r="BI41" s="14" t="n">
        <f aca="false">IF(17&gt;$A41,0,AM41-Cost_round*IF(17&lt;=$B41,1,0)+S41-AN41)</f>
        <v>0</v>
      </c>
      <c r="BJ41" s="14" t="n">
        <f aca="false">IF(18&gt;$A41,0,AN41-Cost_round*IF(18&lt;=$B41,1,0)+T41-AO41)</f>
        <v>0</v>
      </c>
      <c r="BK41" s="14" t="n">
        <f aca="false">IF(19&gt;$A41,0,AO41-Cost_round*IF(19&lt;=$B41,1,0)+U41-AP41)</f>
        <v>0</v>
      </c>
      <c r="BL41" s="14" t="n">
        <f aca="false">IF(20&gt;$A41,0,AP41-Cost_round*IF(20&lt;=$B41,1,0)+V41-AQ41)</f>
        <v>0</v>
      </c>
      <c r="BM41" s="17" t="n">
        <f aca="false">IF($AR41=1,SUMPRODUCT(AS41:BL41,$AS$38:$BL$38),"")</f>
        <v>90.9090909090909</v>
      </c>
      <c r="BN41" s="17" t="n">
        <f aca="false">IF($AR41=1,BM41+INDEX($AS$38:$BL$38,$A41)*INDEX(C41:V41,$A41)/Hurdle_r,"")</f>
        <v>727.272727272727</v>
      </c>
    </row>
    <row r="42" customFormat="false" ht="15" hidden="false" customHeight="false" outlineLevel="0" collapsed="false">
      <c r="A42" s="2" t="n">
        <v>2</v>
      </c>
      <c r="B42" s="2" t="n">
        <v>0</v>
      </c>
      <c r="C42" s="14" t="n">
        <f aca="false">IF(1&gt;$A42,0,Val_pt*(Ceiling_e-E_zero)*(1-(1-Half_gap)^MIN(1,$B42)))</f>
        <v>0</v>
      </c>
      <c r="D42" s="14" t="n">
        <f aca="false">IF(2&gt;$A42,0,Val_pt*(Ceiling_e-E_zero)*(1-(1-Half_gap)^MIN(2,$B42)))</f>
        <v>0</v>
      </c>
      <c r="E42" s="14" t="n">
        <f aca="false">IF(3&gt;$A42,0,Val_pt*(Ceiling_e-E_zero)*(1-(1-Half_gap)^MIN(3,$B42)))</f>
        <v>0</v>
      </c>
      <c r="F42" s="14" t="n">
        <f aca="false">IF(4&gt;$A42,0,Val_pt*(Ceiling_e-E_zero)*(1-(1-Half_gap)^MIN(4,$B42)))</f>
        <v>0</v>
      </c>
      <c r="G42" s="14" t="n">
        <f aca="false">IF(5&gt;$A42,0,Val_pt*(Ceiling_e-E_zero)*(1-(1-Half_gap)^MIN(5,$B42)))</f>
        <v>0</v>
      </c>
      <c r="H42" s="14" t="n">
        <f aca="false">IF(6&gt;$A42,0,Val_pt*(Ceiling_e-E_zero)*(1-(1-Half_gap)^MIN(6,$B42)))</f>
        <v>0</v>
      </c>
      <c r="I42" s="14" t="n">
        <f aca="false">IF(7&gt;$A42,0,Val_pt*(Ceiling_e-E_zero)*(1-(1-Half_gap)^MIN(7,$B42)))</f>
        <v>0</v>
      </c>
      <c r="J42" s="14" t="n">
        <f aca="false">IF(8&gt;$A42,0,Val_pt*(Ceiling_e-E_zero)*(1-(1-Half_gap)^MIN(8,$B42)))</f>
        <v>0</v>
      </c>
      <c r="K42" s="14" t="n">
        <f aca="false">IF(9&gt;$A42,0,Val_pt*(Ceiling_e-E_zero)*(1-(1-Half_gap)^MIN(9,$B42)))</f>
        <v>0</v>
      </c>
      <c r="L42" s="14" t="n">
        <f aca="false">IF(10&gt;$A42,0,Val_pt*(Ceiling_e-E_zero)*(1-(1-Half_gap)^MIN(10,$B42)))</f>
        <v>0</v>
      </c>
      <c r="M42" s="14" t="n">
        <f aca="false">IF(11&gt;$A42,0,Val_pt*(Ceiling_e-E_zero)*(1-(1-Half_gap)^MIN(11,$B42)))</f>
        <v>0</v>
      </c>
      <c r="N42" s="14" t="n">
        <f aca="false">IF(12&gt;$A42,0,Val_pt*(Ceiling_e-E_zero)*(1-(1-Half_gap)^MIN(12,$B42)))</f>
        <v>0</v>
      </c>
      <c r="O42" s="14" t="n">
        <f aca="false">IF(13&gt;$A42,0,Val_pt*(Ceiling_e-E_zero)*(1-(1-Half_gap)^MIN(13,$B42)))</f>
        <v>0</v>
      </c>
      <c r="P42" s="14" t="n">
        <f aca="false">IF(14&gt;$A42,0,Val_pt*(Ceiling_e-E_zero)*(1-(1-Half_gap)^MIN(14,$B42)))</f>
        <v>0</v>
      </c>
      <c r="Q42" s="14" t="n">
        <f aca="false">IF(15&gt;$A42,0,Val_pt*(Ceiling_e-E_zero)*(1-(1-Half_gap)^MIN(15,$B42)))</f>
        <v>0</v>
      </c>
      <c r="R42" s="14" t="n">
        <f aca="false">IF(16&gt;$A42,0,Val_pt*(Ceiling_e-E_zero)*(1-(1-Half_gap)^MIN(16,$B42)))</f>
        <v>0</v>
      </c>
      <c r="S42" s="14" t="n">
        <f aca="false">IF(17&gt;$A42,0,Val_pt*(Ceiling_e-E_zero)*(1-(1-Half_gap)^MIN(17,$B42)))</f>
        <v>0</v>
      </c>
      <c r="T42" s="14" t="n">
        <f aca="false">IF(18&gt;$A42,0,Val_pt*(Ceiling_e-E_zero)*(1-(1-Half_gap)^MIN(18,$B42)))</f>
        <v>0</v>
      </c>
      <c r="U42" s="14" t="n">
        <f aca="false">IF(19&gt;$A42,0,Val_pt*(Ceiling_e-E_zero)*(1-(1-Half_gap)^MIN(19,$B42)))</f>
        <v>0</v>
      </c>
      <c r="V42" s="14" t="n">
        <f aca="false">IF(20&gt;$A42,0,Val_pt*(Ceiling_e-E_zero)*(1-(1-Half_gap)^MIN(20,$B42)))</f>
        <v>0</v>
      </c>
      <c r="W42" s="14" t="n">
        <f aca="false">IF(0&gt;$A42,0,IF(0=$A42,MAX(End_q,Floor_q),MAX(X42+Cost_round*IF(1&lt;=$B42,1,0)-C42,IF(1&lt;=$B42,1,0)*Pre_q)))</f>
        <v>470</v>
      </c>
      <c r="X42" s="14" t="n">
        <f aca="false">IF(1&gt;$A42,0,IF(1=$A42,MAX(End_q,Floor_q),MAX(Y42+Cost_round*IF(2&lt;=$B42,1,0)-D42,IF(2&lt;=$B42,1,0)*Pre_q,Floor_q)))</f>
        <v>470</v>
      </c>
      <c r="Y42" s="14" t="n">
        <f aca="false">IF(2&gt;$A42,0,IF(2=$A42,MAX(End_q,Floor_q),MAX(Z42+Cost_round*IF(3&lt;=$B42,1,0)-E42,IF(3&lt;=$B42,1,0)*Pre_q,Floor_q)))</f>
        <v>470</v>
      </c>
      <c r="Z42" s="14" t="n">
        <f aca="false">IF(3&gt;$A42,0,IF(3=$A42,MAX(End_q,Floor_q),MAX(AA42+Cost_round*IF(4&lt;=$B42,1,0)-F42,IF(4&lt;=$B42,1,0)*Pre_q,Floor_q)))</f>
        <v>0</v>
      </c>
      <c r="AA42" s="14" t="n">
        <f aca="false">IF(4&gt;$A42,0,IF(4=$A42,MAX(End_q,Floor_q),MAX(AB42+Cost_round*IF(5&lt;=$B42,1,0)-G42,IF(5&lt;=$B42,1,0)*Pre_q,Floor_q)))</f>
        <v>0</v>
      </c>
      <c r="AB42" s="14" t="n">
        <f aca="false">IF(5&gt;$A42,0,IF(5=$A42,MAX(End_q,Floor_q),MAX(AC42+Cost_round*IF(6&lt;=$B42,1,0)-H42,IF(6&lt;=$B42,1,0)*Pre_q,Floor_q)))</f>
        <v>0</v>
      </c>
      <c r="AC42" s="14" t="n">
        <f aca="false">IF(6&gt;$A42,0,IF(6=$A42,MAX(End_q,Floor_q),MAX(AD42+Cost_round*IF(7&lt;=$B42,1,0)-I42,IF(7&lt;=$B42,1,0)*Pre_q,Floor_q)))</f>
        <v>0</v>
      </c>
      <c r="AD42" s="14" t="n">
        <f aca="false">IF(7&gt;$A42,0,IF(7=$A42,MAX(End_q,Floor_q),MAX(AE42+Cost_round*IF(8&lt;=$B42,1,0)-J42,IF(8&lt;=$B42,1,0)*Pre_q,Floor_q)))</f>
        <v>0</v>
      </c>
      <c r="AE42" s="14" t="n">
        <f aca="false">IF(8&gt;$A42,0,IF(8=$A42,MAX(End_q,Floor_q),MAX(AF42+Cost_round*IF(9&lt;=$B42,1,0)-K42,IF(9&lt;=$B42,1,0)*Pre_q,Floor_q)))</f>
        <v>0</v>
      </c>
      <c r="AF42" s="14" t="n">
        <f aca="false">IF(9&gt;$A42,0,IF(9=$A42,MAX(End_q,Floor_q),MAX(AG42+Cost_round*IF(10&lt;=$B42,1,0)-L42,IF(10&lt;=$B42,1,0)*Pre_q,Floor_q)))</f>
        <v>0</v>
      </c>
      <c r="AG42" s="14" t="n">
        <f aca="false">IF(10&gt;$A42,0,IF(10=$A42,MAX(End_q,Floor_q),MAX(AH42+Cost_round*IF(11&lt;=$B42,1,0)-M42,IF(11&lt;=$B42,1,0)*Pre_q,Floor_q)))</f>
        <v>0</v>
      </c>
      <c r="AH42" s="14" t="n">
        <f aca="false">IF(11&gt;$A42,0,IF(11=$A42,MAX(End_q,Floor_q),MAX(AI42+Cost_round*IF(12&lt;=$B42,1,0)-N42,IF(12&lt;=$B42,1,0)*Pre_q,Floor_q)))</f>
        <v>0</v>
      </c>
      <c r="AI42" s="14" t="n">
        <f aca="false">IF(12&gt;$A42,0,IF(12=$A42,MAX(End_q,Floor_q),MAX(AJ42+Cost_round*IF(13&lt;=$B42,1,0)-O42,IF(13&lt;=$B42,1,0)*Pre_q,Floor_q)))</f>
        <v>0</v>
      </c>
      <c r="AJ42" s="14" t="n">
        <f aca="false">IF(13&gt;$A42,0,IF(13=$A42,MAX(End_q,Floor_q),MAX(AK42+Cost_round*IF(14&lt;=$B42,1,0)-P42,IF(14&lt;=$B42,1,0)*Pre_q,Floor_q)))</f>
        <v>0</v>
      </c>
      <c r="AK42" s="14" t="n">
        <f aca="false">IF(14&gt;$A42,0,IF(14=$A42,MAX(End_q,Floor_q),MAX(AL42+Cost_round*IF(15&lt;=$B42,1,0)-Q42,IF(15&lt;=$B42,1,0)*Pre_q,Floor_q)))</f>
        <v>0</v>
      </c>
      <c r="AL42" s="14" t="n">
        <f aca="false">IF(15&gt;$A42,0,IF(15=$A42,MAX(End_q,Floor_q),MAX(AM42+Cost_round*IF(16&lt;=$B42,1,0)-R42,IF(16&lt;=$B42,1,0)*Pre_q,Floor_q)))</f>
        <v>0</v>
      </c>
      <c r="AM42" s="14" t="n">
        <f aca="false">IF(16&gt;$A42,0,IF(16=$A42,MAX(End_q,Floor_q),MAX(AN42+Cost_round*IF(17&lt;=$B42,1,0)-S42,IF(17&lt;=$B42,1,0)*Pre_q,Floor_q)))</f>
        <v>0</v>
      </c>
      <c r="AN42" s="14" t="n">
        <f aca="false">IF(17&gt;$A42,0,IF(17=$A42,MAX(End_q,Floor_q),MAX(AO42+Cost_round*IF(18&lt;=$B42,1,0)-T42,IF(18&lt;=$B42,1,0)*Pre_q,Floor_q)))</f>
        <v>0</v>
      </c>
      <c r="AO42" s="14" t="n">
        <f aca="false">IF(18&gt;$A42,0,IF(18=$A42,MAX(End_q,Floor_q),MAX(AP42+Cost_round*IF(19&lt;=$B42,1,0)-U42,IF(19&lt;=$B42,1,0)*Pre_q,Floor_q)))</f>
        <v>0</v>
      </c>
      <c r="AP42" s="14" t="n">
        <f aca="false">IF(19&gt;$A42,0,IF(19=$A42,MAX(End_q,Floor_q),MAX(AQ42+Cost_round*IF(20&lt;=$B42,1,0)-V42,IF(20&lt;=$B42,1,0)*Pre_q,Floor_q)))</f>
        <v>0</v>
      </c>
      <c r="AQ42" s="14" t="n">
        <f aca="false">IF(20&gt;$A42,0,MAX(End_q,Floor_q))</f>
        <v>0</v>
      </c>
      <c r="AR42" s="15" t="n">
        <f aca="false">IF(Q_zero&gt;=W42-0.000000001,1,0)</f>
        <v>1</v>
      </c>
      <c r="AS42" s="14" t="n">
        <f aca="false">IF(1&gt;$A42,0,Q_zero-Cost_round*IF(1&lt;=$B42,1,0)+C42-X42)</f>
        <v>150</v>
      </c>
      <c r="AT42" s="14" t="n">
        <f aca="false">IF(2&gt;$A42,0,X42-Cost_round*IF(2&lt;=$B42,1,0)+D42-Y42)</f>
        <v>0</v>
      </c>
      <c r="AU42" s="14" t="n">
        <f aca="false">IF(3&gt;$A42,0,Y42-Cost_round*IF(3&lt;=$B42,1,0)+E42-Z42)</f>
        <v>0</v>
      </c>
      <c r="AV42" s="14" t="n">
        <f aca="false">IF(4&gt;$A42,0,Z42-Cost_round*IF(4&lt;=$B42,1,0)+F42-AA42)</f>
        <v>0</v>
      </c>
      <c r="AW42" s="14" t="n">
        <f aca="false">IF(5&gt;$A42,0,AA42-Cost_round*IF(5&lt;=$B42,1,0)+G42-AB42)</f>
        <v>0</v>
      </c>
      <c r="AX42" s="14" t="n">
        <f aca="false">IF(6&gt;$A42,0,AB42-Cost_round*IF(6&lt;=$B42,1,0)+H42-AC42)</f>
        <v>0</v>
      </c>
      <c r="AY42" s="14" t="n">
        <f aca="false">IF(7&gt;$A42,0,AC42-Cost_round*IF(7&lt;=$B42,1,0)+I42-AD42)</f>
        <v>0</v>
      </c>
      <c r="AZ42" s="14" t="n">
        <f aca="false">IF(8&gt;$A42,0,AD42-Cost_round*IF(8&lt;=$B42,1,0)+J42-AE42)</f>
        <v>0</v>
      </c>
      <c r="BA42" s="14" t="n">
        <f aca="false">IF(9&gt;$A42,0,AE42-Cost_round*IF(9&lt;=$B42,1,0)+K42-AF42)</f>
        <v>0</v>
      </c>
      <c r="BB42" s="14" t="n">
        <f aca="false">IF(10&gt;$A42,0,AF42-Cost_round*IF(10&lt;=$B42,1,0)+L42-AG42)</f>
        <v>0</v>
      </c>
      <c r="BC42" s="14" t="n">
        <f aca="false">IF(11&gt;$A42,0,AG42-Cost_round*IF(11&lt;=$B42,1,0)+M42-AH42)</f>
        <v>0</v>
      </c>
      <c r="BD42" s="14" t="n">
        <f aca="false">IF(12&gt;$A42,0,AH42-Cost_round*IF(12&lt;=$B42,1,0)+N42-AI42)</f>
        <v>0</v>
      </c>
      <c r="BE42" s="14" t="n">
        <f aca="false">IF(13&gt;$A42,0,AI42-Cost_round*IF(13&lt;=$B42,1,0)+O42-AJ42)</f>
        <v>0</v>
      </c>
      <c r="BF42" s="14" t="n">
        <f aca="false">IF(14&gt;$A42,0,AJ42-Cost_round*IF(14&lt;=$B42,1,0)+P42-AK42)</f>
        <v>0</v>
      </c>
      <c r="BG42" s="14" t="n">
        <f aca="false">IF(15&gt;$A42,0,AK42-Cost_round*IF(15&lt;=$B42,1,0)+Q42-AL42)</f>
        <v>0</v>
      </c>
      <c r="BH42" s="14" t="n">
        <f aca="false">IF(16&gt;$A42,0,AL42-Cost_round*IF(16&lt;=$B42,1,0)+R42-AM42)</f>
        <v>0</v>
      </c>
      <c r="BI42" s="14" t="n">
        <f aca="false">IF(17&gt;$A42,0,AM42-Cost_round*IF(17&lt;=$B42,1,0)+S42-AN42)</f>
        <v>0</v>
      </c>
      <c r="BJ42" s="14" t="n">
        <f aca="false">IF(18&gt;$A42,0,AN42-Cost_round*IF(18&lt;=$B42,1,0)+T42-AO42)</f>
        <v>0</v>
      </c>
      <c r="BK42" s="14" t="n">
        <f aca="false">IF(19&gt;$A42,0,AO42-Cost_round*IF(19&lt;=$B42,1,0)+U42-AP42)</f>
        <v>0</v>
      </c>
      <c r="BL42" s="14" t="n">
        <f aca="false">IF(20&gt;$A42,0,AP42-Cost_round*IF(20&lt;=$B42,1,0)+V42-AQ42)</f>
        <v>0</v>
      </c>
      <c r="BM42" s="17" t="n">
        <f aca="false">IF($AR42=1,SUMPRODUCT(AS42:BL42,$AS$38:$BL$38),"")</f>
        <v>136.363636363636</v>
      </c>
      <c r="BN42" s="17" t="n">
        <f aca="false">IF($AR42=1,BM42+INDEX($AS$38:$BL$38,$A42)*INDEX(C42:V42,$A42)/Hurdle_r,"")</f>
        <v>136.363636363636</v>
      </c>
    </row>
    <row r="43" customFormat="false" ht="15" hidden="false" customHeight="false" outlineLevel="0" collapsed="false">
      <c r="A43" s="2" t="n">
        <v>2</v>
      </c>
      <c r="B43" s="2" t="n">
        <v>1</v>
      </c>
      <c r="C43" s="14" t="n">
        <f aca="false">IF(1&gt;$A43,0,Val_pt*(Ceiling_e-E_zero)*(1-(1-Half_gap)^MIN(1,$B43)))</f>
        <v>70</v>
      </c>
      <c r="D43" s="14" t="n">
        <f aca="false">IF(2&gt;$A43,0,Val_pt*(Ceiling_e-E_zero)*(1-(1-Half_gap)^MIN(2,$B43)))</f>
        <v>70</v>
      </c>
      <c r="E43" s="14" t="n">
        <f aca="false">IF(3&gt;$A43,0,Val_pt*(Ceiling_e-E_zero)*(1-(1-Half_gap)^MIN(3,$B43)))</f>
        <v>0</v>
      </c>
      <c r="F43" s="14" t="n">
        <f aca="false">IF(4&gt;$A43,0,Val_pt*(Ceiling_e-E_zero)*(1-(1-Half_gap)^MIN(4,$B43)))</f>
        <v>0</v>
      </c>
      <c r="G43" s="14" t="n">
        <f aca="false">IF(5&gt;$A43,0,Val_pt*(Ceiling_e-E_zero)*(1-(1-Half_gap)^MIN(5,$B43)))</f>
        <v>0</v>
      </c>
      <c r="H43" s="14" t="n">
        <f aca="false">IF(6&gt;$A43,0,Val_pt*(Ceiling_e-E_zero)*(1-(1-Half_gap)^MIN(6,$B43)))</f>
        <v>0</v>
      </c>
      <c r="I43" s="14" t="n">
        <f aca="false">IF(7&gt;$A43,0,Val_pt*(Ceiling_e-E_zero)*(1-(1-Half_gap)^MIN(7,$B43)))</f>
        <v>0</v>
      </c>
      <c r="J43" s="14" t="n">
        <f aca="false">IF(8&gt;$A43,0,Val_pt*(Ceiling_e-E_zero)*(1-(1-Half_gap)^MIN(8,$B43)))</f>
        <v>0</v>
      </c>
      <c r="K43" s="14" t="n">
        <f aca="false">IF(9&gt;$A43,0,Val_pt*(Ceiling_e-E_zero)*(1-(1-Half_gap)^MIN(9,$B43)))</f>
        <v>0</v>
      </c>
      <c r="L43" s="14" t="n">
        <f aca="false">IF(10&gt;$A43,0,Val_pt*(Ceiling_e-E_zero)*(1-(1-Half_gap)^MIN(10,$B43)))</f>
        <v>0</v>
      </c>
      <c r="M43" s="14" t="n">
        <f aca="false">IF(11&gt;$A43,0,Val_pt*(Ceiling_e-E_zero)*(1-(1-Half_gap)^MIN(11,$B43)))</f>
        <v>0</v>
      </c>
      <c r="N43" s="14" t="n">
        <f aca="false">IF(12&gt;$A43,0,Val_pt*(Ceiling_e-E_zero)*(1-(1-Half_gap)^MIN(12,$B43)))</f>
        <v>0</v>
      </c>
      <c r="O43" s="14" t="n">
        <f aca="false">IF(13&gt;$A43,0,Val_pt*(Ceiling_e-E_zero)*(1-(1-Half_gap)^MIN(13,$B43)))</f>
        <v>0</v>
      </c>
      <c r="P43" s="14" t="n">
        <f aca="false">IF(14&gt;$A43,0,Val_pt*(Ceiling_e-E_zero)*(1-(1-Half_gap)^MIN(14,$B43)))</f>
        <v>0</v>
      </c>
      <c r="Q43" s="14" t="n">
        <f aca="false">IF(15&gt;$A43,0,Val_pt*(Ceiling_e-E_zero)*(1-(1-Half_gap)^MIN(15,$B43)))</f>
        <v>0</v>
      </c>
      <c r="R43" s="14" t="n">
        <f aca="false">IF(16&gt;$A43,0,Val_pt*(Ceiling_e-E_zero)*(1-(1-Half_gap)^MIN(16,$B43)))</f>
        <v>0</v>
      </c>
      <c r="S43" s="14" t="n">
        <f aca="false">IF(17&gt;$A43,0,Val_pt*(Ceiling_e-E_zero)*(1-(1-Half_gap)^MIN(17,$B43)))</f>
        <v>0</v>
      </c>
      <c r="T43" s="14" t="n">
        <f aca="false">IF(18&gt;$A43,0,Val_pt*(Ceiling_e-E_zero)*(1-(1-Half_gap)^MIN(18,$B43)))</f>
        <v>0</v>
      </c>
      <c r="U43" s="14" t="n">
        <f aca="false">IF(19&gt;$A43,0,Val_pt*(Ceiling_e-E_zero)*(1-(1-Half_gap)^MIN(19,$B43)))</f>
        <v>0</v>
      </c>
      <c r="V43" s="14" t="n">
        <f aca="false">IF(20&gt;$A43,0,Val_pt*(Ceiling_e-E_zero)*(1-(1-Half_gap)^MIN(20,$B43)))</f>
        <v>0</v>
      </c>
      <c r="W43" s="14" t="n">
        <f aca="false">IF(0&gt;$A43,0,IF(0=$A43,MAX(End_q,Floor_q),MAX(X43+Cost_round*IF(1&lt;=$B43,1,0)-C43,IF(1&lt;=$B43,1,0)*Pre_q)))</f>
        <v>470</v>
      </c>
      <c r="X43" s="14" t="n">
        <f aca="false">IF(1&gt;$A43,0,IF(1=$A43,MAX(End_q,Floor_q),MAX(Y43+Cost_round*IF(2&lt;=$B43,1,0)-D43,IF(2&lt;=$B43,1,0)*Pre_q,Floor_q)))</f>
        <v>400</v>
      </c>
      <c r="Y43" s="14" t="n">
        <f aca="false">IF(2&gt;$A43,0,IF(2=$A43,MAX(End_q,Floor_q),MAX(Z43+Cost_round*IF(3&lt;=$B43,1,0)-E43,IF(3&lt;=$B43,1,0)*Pre_q,Floor_q)))</f>
        <v>470</v>
      </c>
      <c r="Z43" s="14" t="n">
        <f aca="false">IF(3&gt;$A43,0,IF(3=$A43,MAX(End_q,Floor_q),MAX(AA43+Cost_round*IF(4&lt;=$B43,1,0)-F43,IF(4&lt;=$B43,1,0)*Pre_q,Floor_q)))</f>
        <v>0</v>
      </c>
      <c r="AA43" s="14" t="n">
        <f aca="false">IF(4&gt;$A43,0,IF(4=$A43,MAX(End_q,Floor_q),MAX(AB43+Cost_round*IF(5&lt;=$B43,1,0)-G43,IF(5&lt;=$B43,1,0)*Pre_q,Floor_q)))</f>
        <v>0</v>
      </c>
      <c r="AB43" s="14" t="n">
        <f aca="false">IF(5&gt;$A43,0,IF(5=$A43,MAX(End_q,Floor_q),MAX(AC43+Cost_round*IF(6&lt;=$B43,1,0)-H43,IF(6&lt;=$B43,1,0)*Pre_q,Floor_q)))</f>
        <v>0</v>
      </c>
      <c r="AC43" s="14" t="n">
        <f aca="false">IF(6&gt;$A43,0,IF(6=$A43,MAX(End_q,Floor_q),MAX(AD43+Cost_round*IF(7&lt;=$B43,1,0)-I43,IF(7&lt;=$B43,1,0)*Pre_q,Floor_q)))</f>
        <v>0</v>
      </c>
      <c r="AD43" s="14" t="n">
        <f aca="false">IF(7&gt;$A43,0,IF(7=$A43,MAX(End_q,Floor_q),MAX(AE43+Cost_round*IF(8&lt;=$B43,1,0)-J43,IF(8&lt;=$B43,1,0)*Pre_q,Floor_q)))</f>
        <v>0</v>
      </c>
      <c r="AE43" s="14" t="n">
        <f aca="false">IF(8&gt;$A43,0,IF(8=$A43,MAX(End_q,Floor_q),MAX(AF43+Cost_round*IF(9&lt;=$B43,1,0)-K43,IF(9&lt;=$B43,1,0)*Pre_q,Floor_q)))</f>
        <v>0</v>
      </c>
      <c r="AF43" s="14" t="n">
        <f aca="false">IF(9&gt;$A43,0,IF(9=$A43,MAX(End_q,Floor_q),MAX(AG43+Cost_round*IF(10&lt;=$B43,1,0)-L43,IF(10&lt;=$B43,1,0)*Pre_q,Floor_q)))</f>
        <v>0</v>
      </c>
      <c r="AG43" s="14" t="n">
        <f aca="false">IF(10&gt;$A43,0,IF(10=$A43,MAX(End_q,Floor_q),MAX(AH43+Cost_round*IF(11&lt;=$B43,1,0)-M43,IF(11&lt;=$B43,1,0)*Pre_q,Floor_q)))</f>
        <v>0</v>
      </c>
      <c r="AH43" s="14" t="n">
        <f aca="false">IF(11&gt;$A43,0,IF(11=$A43,MAX(End_q,Floor_q),MAX(AI43+Cost_round*IF(12&lt;=$B43,1,0)-N43,IF(12&lt;=$B43,1,0)*Pre_q,Floor_q)))</f>
        <v>0</v>
      </c>
      <c r="AI43" s="14" t="n">
        <f aca="false">IF(12&gt;$A43,0,IF(12=$A43,MAX(End_q,Floor_q),MAX(AJ43+Cost_round*IF(13&lt;=$B43,1,0)-O43,IF(13&lt;=$B43,1,0)*Pre_q,Floor_q)))</f>
        <v>0</v>
      </c>
      <c r="AJ43" s="14" t="n">
        <f aca="false">IF(13&gt;$A43,0,IF(13=$A43,MAX(End_q,Floor_q),MAX(AK43+Cost_round*IF(14&lt;=$B43,1,0)-P43,IF(14&lt;=$B43,1,0)*Pre_q,Floor_q)))</f>
        <v>0</v>
      </c>
      <c r="AK43" s="14" t="n">
        <f aca="false">IF(14&gt;$A43,0,IF(14=$A43,MAX(End_q,Floor_q),MAX(AL43+Cost_round*IF(15&lt;=$B43,1,0)-Q43,IF(15&lt;=$B43,1,0)*Pre_q,Floor_q)))</f>
        <v>0</v>
      </c>
      <c r="AL43" s="14" t="n">
        <f aca="false">IF(15&gt;$A43,0,IF(15=$A43,MAX(End_q,Floor_q),MAX(AM43+Cost_round*IF(16&lt;=$B43,1,0)-R43,IF(16&lt;=$B43,1,0)*Pre_q,Floor_q)))</f>
        <v>0</v>
      </c>
      <c r="AM43" s="14" t="n">
        <f aca="false">IF(16&gt;$A43,0,IF(16=$A43,MAX(End_q,Floor_q),MAX(AN43+Cost_round*IF(17&lt;=$B43,1,0)-S43,IF(17&lt;=$B43,1,0)*Pre_q,Floor_q)))</f>
        <v>0</v>
      </c>
      <c r="AN43" s="14" t="n">
        <f aca="false">IF(17&gt;$A43,0,IF(17=$A43,MAX(End_q,Floor_q),MAX(AO43+Cost_round*IF(18&lt;=$B43,1,0)-T43,IF(18&lt;=$B43,1,0)*Pre_q,Floor_q)))</f>
        <v>0</v>
      </c>
      <c r="AO43" s="14" t="n">
        <f aca="false">IF(18&gt;$A43,0,IF(18=$A43,MAX(End_q,Floor_q),MAX(AP43+Cost_round*IF(19&lt;=$B43,1,0)-U43,IF(19&lt;=$B43,1,0)*Pre_q,Floor_q)))</f>
        <v>0</v>
      </c>
      <c r="AP43" s="14" t="n">
        <f aca="false">IF(19&gt;$A43,0,IF(19=$A43,MAX(End_q,Floor_q),MAX(AQ43+Cost_round*IF(20&lt;=$B43,1,0)-V43,IF(20&lt;=$B43,1,0)*Pre_q,Floor_q)))</f>
        <v>0</v>
      </c>
      <c r="AQ43" s="14" t="n">
        <f aca="false">IF(20&gt;$A43,0,MAX(End_q,Floor_q))</f>
        <v>0</v>
      </c>
      <c r="AR43" s="15" t="n">
        <f aca="false">IF(Q_zero&gt;=W43-0.000000001,1,0)</f>
        <v>1</v>
      </c>
      <c r="AS43" s="14" t="n">
        <f aca="false">IF(1&gt;$A43,0,Q_zero-Cost_round*IF(1&lt;=$B43,1,0)+C43-X43)</f>
        <v>170</v>
      </c>
      <c r="AT43" s="14" t="n">
        <f aca="false">IF(2&gt;$A43,0,X43-Cost_round*IF(2&lt;=$B43,1,0)+D43-Y43)</f>
        <v>0</v>
      </c>
      <c r="AU43" s="14" t="n">
        <f aca="false">IF(3&gt;$A43,0,Y43-Cost_round*IF(3&lt;=$B43,1,0)+E43-Z43)</f>
        <v>0</v>
      </c>
      <c r="AV43" s="14" t="n">
        <f aca="false">IF(4&gt;$A43,0,Z43-Cost_round*IF(4&lt;=$B43,1,0)+F43-AA43)</f>
        <v>0</v>
      </c>
      <c r="AW43" s="14" t="n">
        <f aca="false">IF(5&gt;$A43,0,AA43-Cost_round*IF(5&lt;=$B43,1,0)+G43-AB43)</f>
        <v>0</v>
      </c>
      <c r="AX43" s="14" t="n">
        <f aca="false">IF(6&gt;$A43,0,AB43-Cost_round*IF(6&lt;=$B43,1,0)+H43-AC43)</f>
        <v>0</v>
      </c>
      <c r="AY43" s="14" t="n">
        <f aca="false">IF(7&gt;$A43,0,AC43-Cost_round*IF(7&lt;=$B43,1,0)+I43-AD43)</f>
        <v>0</v>
      </c>
      <c r="AZ43" s="14" t="n">
        <f aca="false">IF(8&gt;$A43,0,AD43-Cost_round*IF(8&lt;=$B43,1,0)+J43-AE43)</f>
        <v>0</v>
      </c>
      <c r="BA43" s="14" t="n">
        <f aca="false">IF(9&gt;$A43,0,AE43-Cost_round*IF(9&lt;=$B43,1,0)+K43-AF43)</f>
        <v>0</v>
      </c>
      <c r="BB43" s="14" t="n">
        <f aca="false">IF(10&gt;$A43,0,AF43-Cost_round*IF(10&lt;=$B43,1,0)+L43-AG43)</f>
        <v>0</v>
      </c>
      <c r="BC43" s="14" t="n">
        <f aca="false">IF(11&gt;$A43,0,AG43-Cost_round*IF(11&lt;=$B43,1,0)+M43-AH43)</f>
        <v>0</v>
      </c>
      <c r="BD43" s="14" t="n">
        <f aca="false">IF(12&gt;$A43,0,AH43-Cost_round*IF(12&lt;=$B43,1,0)+N43-AI43)</f>
        <v>0</v>
      </c>
      <c r="BE43" s="14" t="n">
        <f aca="false">IF(13&gt;$A43,0,AI43-Cost_round*IF(13&lt;=$B43,1,0)+O43-AJ43)</f>
        <v>0</v>
      </c>
      <c r="BF43" s="14" t="n">
        <f aca="false">IF(14&gt;$A43,0,AJ43-Cost_round*IF(14&lt;=$B43,1,0)+P43-AK43)</f>
        <v>0</v>
      </c>
      <c r="BG43" s="14" t="n">
        <f aca="false">IF(15&gt;$A43,0,AK43-Cost_round*IF(15&lt;=$B43,1,0)+Q43-AL43)</f>
        <v>0</v>
      </c>
      <c r="BH43" s="14" t="n">
        <f aca="false">IF(16&gt;$A43,0,AL43-Cost_round*IF(16&lt;=$B43,1,0)+R43-AM43)</f>
        <v>0</v>
      </c>
      <c r="BI43" s="14" t="n">
        <f aca="false">IF(17&gt;$A43,0,AM43-Cost_round*IF(17&lt;=$B43,1,0)+S43-AN43)</f>
        <v>0</v>
      </c>
      <c r="BJ43" s="14" t="n">
        <f aca="false">IF(18&gt;$A43,0,AN43-Cost_round*IF(18&lt;=$B43,1,0)+T43-AO43)</f>
        <v>0</v>
      </c>
      <c r="BK43" s="14" t="n">
        <f aca="false">IF(19&gt;$A43,0,AO43-Cost_round*IF(19&lt;=$B43,1,0)+U43-AP43)</f>
        <v>0</v>
      </c>
      <c r="BL43" s="14" t="n">
        <f aca="false">IF(20&gt;$A43,0,AP43-Cost_round*IF(20&lt;=$B43,1,0)+V43-AQ43)</f>
        <v>0</v>
      </c>
      <c r="BM43" s="17" t="n">
        <f aca="false">IF($AR43=1,SUMPRODUCT(AS43:BL43,$AS$38:$BL$38),"")</f>
        <v>154.545454545455</v>
      </c>
      <c r="BN43" s="17" t="n">
        <f aca="false">IF($AR43=1,BM43+INDEX($AS$38:$BL$38,$A43)*INDEX(C43:V43,$A43)/Hurdle_r,"")</f>
        <v>733.057851239669</v>
      </c>
    </row>
    <row r="44" customFormat="false" ht="15" hidden="false" customHeight="false" outlineLevel="0" collapsed="false">
      <c r="A44" s="2" t="n">
        <v>2</v>
      </c>
      <c r="B44" s="2" t="n">
        <v>2</v>
      </c>
      <c r="C44" s="14" t="n">
        <f aca="false">IF(1&gt;$A44,0,Val_pt*(Ceiling_e-E_zero)*(1-(1-Half_gap)^MIN(1,$B44)))</f>
        <v>70</v>
      </c>
      <c r="D44" s="14" t="n">
        <f aca="false">IF(2&gt;$A44,0,Val_pt*(Ceiling_e-E_zero)*(1-(1-Half_gap)^MIN(2,$B44)))</f>
        <v>105</v>
      </c>
      <c r="E44" s="14" t="n">
        <f aca="false">IF(3&gt;$A44,0,Val_pt*(Ceiling_e-E_zero)*(1-(1-Half_gap)^MIN(3,$B44)))</f>
        <v>0</v>
      </c>
      <c r="F44" s="14" t="n">
        <f aca="false">IF(4&gt;$A44,0,Val_pt*(Ceiling_e-E_zero)*(1-(1-Half_gap)^MIN(4,$B44)))</f>
        <v>0</v>
      </c>
      <c r="G44" s="14" t="n">
        <f aca="false">IF(5&gt;$A44,0,Val_pt*(Ceiling_e-E_zero)*(1-(1-Half_gap)^MIN(5,$B44)))</f>
        <v>0</v>
      </c>
      <c r="H44" s="14" t="n">
        <f aca="false">IF(6&gt;$A44,0,Val_pt*(Ceiling_e-E_zero)*(1-(1-Half_gap)^MIN(6,$B44)))</f>
        <v>0</v>
      </c>
      <c r="I44" s="14" t="n">
        <f aca="false">IF(7&gt;$A44,0,Val_pt*(Ceiling_e-E_zero)*(1-(1-Half_gap)^MIN(7,$B44)))</f>
        <v>0</v>
      </c>
      <c r="J44" s="14" t="n">
        <f aca="false">IF(8&gt;$A44,0,Val_pt*(Ceiling_e-E_zero)*(1-(1-Half_gap)^MIN(8,$B44)))</f>
        <v>0</v>
      </c>
      <c r="K44" s="14" t="n">
        <f aca="false">IF(9&gt;$A44,0,Val_pt*(Ceiling_e-E_zero)*(1-(1-Half_gap)^MIN(9,$B44)))</f>
        <v>0</v>
      </c>
      <c r="L44" s="14" t="n">
        <f aca="false">IF(10&gt;$A44,0,Val_pt*(Ceiling_e-E_zero)*(1-(1-Half_gap)^MIN(10,$B44)))</f>
        <v>0</v>
      </c>
      <c r="M44" s="14" t="n">
        <f aca="false">IF(11&gt;$A44,0,Val_pt*(Ceiling_e-E_zero)*(1-(1-Half_gap)^MIN(11,$B44)))</f>
        <v>0</v>
      </c>
      <c r="N44" s="14" t="n">
        <f aca="false">IF(12&gt;$A44,0,Val_pt*(Ceiling_e-E_zero)*(1-(1-Half_gap)^MIN(12,$B44)))</f>
        <v>0</v>
      </c>
      <c r="O44" s="14" t="n">
        <f aca="false">IF(13&gt;$A44,0,Val_pt*(Ceiling_e-E_zero)*(1-(1-Half_gap)^MIN(13,$B44)))</f>
        <v>0</v>
      </c>
      <c r="P44" s="14" t="n">
        <f aca="false">IF(14&gt;$A44,0,Val_pt*(Ceiling_e-E_zero)*(1-(1-Half_gap)^MIN(14,$B44)))</f>
        <v>0</v>
      </c>
      <c r="Q44" s="14" t="n">
        <f aca="false">IF(15&gt;$A44,0,Val_pt*(Ceiling_e-E_zero)*(1-(1-Half_gap)^MIN(15,$B44)))</f>
        <v>0</v>
      </c>
      <c r="R44" s="14" t="n">
        <f aca="false">IF(16&gt;$A44,0,Val_pt*(Ceiling_e-E_zero)*(1-(1-Half_gap)^MIN(16,$B44)))</f>
        <v>0</v>
      </c>
      <c r="S44" s="14" t="n">
        <f aca="false">IF(17&gt;$A44,0,Val_pt*(Ceiling_e-E_zero)*(1-(1-Half_gap)^MIN(17,$B44)))</f>
        <v>0</v>
      </c>
      <c r="T44" s="14" t="n">
        <f aca="false">IF(18&gt;$A44,0,Val_pt*(Ceiling_e-E_zero)*(1-(1-Half_gap)^MIN(18,$B44)))</f>
        <v>0</v>
      </c>
      <c r="U44" s="14" t="n">
        <f aca="false">IF(19&gt;$A44,0,Val_pt*(Ceiling_e-E_zero)*(1-(1-Half_gap)^MIN(19,$B44)))</f>
        <v>0</v>
      </c>
      <c r="V44" s="14" t="n">
        <f aca="false">IF(20&gt;$A44,0,Val_pt*(Ceiling_e-E_zero)*(1-(1-Half_gap)^MIN(20,$B44)))</f>
        <v>0</v>
      </c>
      <c r="W44" s="14" t="n">
        <f aca="false">IF(0&gt;$A44,0,IF(0=$A44,MAX(End_q,Floor_q),MAX(X44+Cost_round*IF(1&lt;=$B44,1,0)-C44,IF(1&lt;=$B44,1,0)*Pre_q)))</f>
        <v>535</v>
      </c>
      <c r="X44" s="14" t="n">
        <f aca="false">IF(1&gt;$A44,0,IF(1=$A44,MAX(End_q,Floor_q),MAX(Y44+Cost_round*IF(2&lt;=$B44,1,0)-D44,IF(2&lt;=$B44,1,0)*Pre_q,Floor_q)))</f>
        <v>485</v>
      </c>
      <c r="Y44" s="14" t="n">
        <f aca="false">IF(2&gt;$A44,0,IF(2=$A44,MAX(End_q,Floor_q),MAX(Z44+Cost_round*IF(3&lt;=$B44,1,0)-E44,IF(3&lt;=$B44,1,0)*Pre_q,Floor_q)))</f>
        <v>470</v>
      </c>
      <c r="Z44" s="14" t="n">
        <f aca="false">IF(3&gt;$A44,0,IF(3=$A44,MAX(End_q,Floor_q),MAX(AA44+Cost_round*IF(4&lt;=$B44,1,0)-F44,IF(4&lt;=$B44,1,0)*Pre_q,Floor_q)))</f>
        <v>0</v>
      </c>
      <c r="AA44" s="14" t="n">
        <f aca="false">IF(4&gt;$A44,0,IF(4=$A44,MAX(End_q,Floor_q),MAX(AB44+Cost_round*IF(5&lt;=$B44,1,0)-G44,IF(5&lt;=$B44,1,0)*Pre_q,Floor_q)))</f>
        <v>0</v>
      </c>
      <c r="AB44" s="14" t="n">
        <f aca="false">IF(5&gt;$A44,0,IF(5=$A44,MAX(End_q,Floor_q),MAX(AC44+Cost_round*IF(6&lt;=$B44,1,0)-H44,IF(6&lt;=$B44,1,0)*Pre_q,Floor_q)))</f>
        <v>0</v>
      </c>
      <c r="AC44" s="14" t="n">
        <f aca="false">IF(6&gt;$A44,0,IF(6=$A44,MAX(End_q,Floor_q),MAX(AD44+Cost_round*IF(7&lt;=$B44,1,0)-I44,IF(7&lt;=$B44,1,0)*Pre_q,Floor_q)))</f>
        <v>0</v>
      </c>
      <c r="AD44" s="14" t="n">
        <f aca="false">IF(7&gt;$A44,0,IF(7=$A44,MAX(End_q,Floor_q),MAX(AE44+Cost_round*IF(8&lt;=$B44,1,0)-J44,IF(8&lt;=$B44,1,0)*Pre_q,Floor_q)))</f>
        <v>0</v>
      </c>
      <c r="AE44" s="14" t="n">
        <f aca="false">IF(8&gt;$A44,0,IF(8=$A44,MAX(End_q,Floor_q),MAX(AF44+Cost_round*IF(9&lt;=$B44,1,0)-K44,IF(9&lt;=$B44,1,0)*Pre_q,Floor_q)))</f>
        <v>0</v>
      </c>
      <c r="AF44" s="14" t="n">
        <f aca="false">IF(9&gt;$A44,0,IF(9=$A44,MAX(End_q,Floor_q),MAX(AG44+Cost_round*IF(10&lt;=$B44,1,0)-L44,IF(10&lt;=$B44,1,0)*Pre_q,Floor_q)))</f>
        <v>0</v>
      </c>
      <c r="AG44" s="14" t="n">
        <f aca="false">IF(10&gt;$A44,0,IF(10=$A44,MAX(End_q,Floor_q),MAX(AH44+Cost_round*IF(11&lt;=$B44,1,0)-M44,IF(11&lt;=$B44,1,0)*Pre_q,Floor_q)))</f>
        <v>0</v>
      </c>
      <c r="AH44" s="14" t="n">
        <f aca="false">IF(11&gt;$A44,0,IF(11=$A44,MAX(End_q,Floor_q),MAX(AI44+Cost_round*IF(12&lt;=$B44,1,0)-N44,IF(12&lt;=$B44,1,0)*Pre_q,Floor_q)))</f>
        <v>0</v>
      </c>
      <c r="AI44" s="14" t="n">
        <f aca="false">IF(12&gt;$A44,0,IF(12=$A44,MAX(End_q,Floor_q),MAX(AJ44+Cost_round*IF(13&lt;=$B44,1,0)-O44,IF(13&lt;=$B44,1,0)*Pre_q,Floor_q)))</f>
        <v>0</v>
      </c>
      <c r="AJ44" s="14" t="n">
        <f aca="false">IF(13&gt;$A44,0,IF(13=$A44,MAX(End_q,Floor_q),MAX(AK44+Cost_round*IF(14&lt;=$B44,1,0)-P44,IF(14&lt;=$B44,1,0)*Pre_q,Floor_q)))</f>
        <v>0</v>
      </c>
      <c r="AK44" s="14" t="n">
        <f aca="false">IF(14&gt;$A44,0,IF(14=$A44,MAX(End_q,Floor_q),MAX(AL44+Cost_round*IF(15&lt;=$B44,1,0)-Q44,IF(15&lt;=$B44,1,0)*Pre_q,Floor_q)))</f>
        <v>0</v>
      </c>
      <c r="AL44" s="14" t="n">
        <f aca="false">IF(15&gt;$A44,0,IF(15=$A44,MAX(End_q,Floor_q),MAX(AM44+Cost_round*IF(16&lt;=$B44,1,0)-R44,IF(16&lt;=$B44,1,0)*Pre_q,Floor_q)))</f>
        <v>0</v>
      </c>
      <c r="AM44" s="14" t="n">
        <f aca="false">IF(16&gt;$A44,0,IF(16=$A44,MAX(End_q,Floor_q),MAX(AN44+Cost_round*IF(17&lt;=$B44,1,0)-S44,IF(17&lt;=$B44,1,0)*Pre_q,Floor_q)))</f>
        <v>0</v>
      </c>
      <c r="AN44" s="14" t="n">
        <f aca="false">IF(17&gt;$A44,0,IF(17=$A44,MAX(End_q,Floor_q),MAX(AO44+Cost_round*IF(18&lt;=$B44,1,0)-T44,IF(18&lt;=$B44,1,0)*Pre_q,Floor_q)))</f>
        <v>0</v>
      </c>
      <c r="AO44" s="14" t="n">
        <f aca="false">IF(18&gt;$A44,0,IF(18=$A44,MAX(End_q,Floor_q),MAX(AP44+Cost_round*IF(19&lt;=$B44,1,0)-U44,IF(19&lt;=$B44,1,0)*Pre_q,Floor_q)))</f>
        <v>0</v>
      </c>
      <c r="AP44" s="14" t="n">
        <f aca="false">IF(19&gt;$A44,0,IF(19=$A44,MAX(End_q,Floor_q),MAX(AQ44+Cost_round*IF(20&lt;=$B44,1,0)-V44,IF(20&lt;=$B44,1,0)*Pre_q,Floor_q)))</f>
        <v>0</v>
      </c>
      <c r="AQ44" s="14" t="n">
        <f aca="false">IF(20&gt;$A44,0,MAX(End_q,Floor_q))</f>
        <v>0</v>
      </c>
      <c r="AR44" s="15" t="n">
        <f aca="false">IF(Q_zero&gt;=W44-0.000000001,1,0)</f>
        <v>1</v>
      </c>
      <c r="AS44" s="14" t="n">
        <f aca="false">IF(1&gt;$A44,0,Q_zero-Cost_round*IF(1&lt;=$B44,1,0)+C44-X44)</f>
        <v>85</v>
      </c>
      <c r="AT44" s="14" t="n">
        <f aca="false">IF(2&gt;$A44,0,X44-Cost_round*IF(2&lt;=$B44,1,0)+D44-Y44)</f>
        <v>0</v>
      </c>
      <c r="AU44" s="14" t="n">
        <f aca="false">IF(3&gt;$A44,0,Y44-Cost_round*IF(3&lt;=$B44,1,0)+E44-Z44)</f>
        <v>0</v>
      </c>
      <c r="AV44" s="14" t="n">
        <f aca="false">IF(4&gt;$A44,0,Z44-Cost_round*IF(4&lt;=$B44,1,0)+F44-AA44)</f>
        <v>0</v>
      </c>
      <c r="AW44" s="14" t="n">
        <f aca="false">IF(5&gt;$A44,0,AA44-Cost_round*IF(5&lt;=$B44,1,0)+G44-AB44)</f>
        <v>0</v>
      </c>
      <c r="AX44" s="14" t="n">
        <f aca="false">IF(6&gt;$A44,0,AB44-Cost_round*IF(6&lt;=$B44,1,0)+H44-AC44)</f>
        <v>0</v>
      </c>
      <c r="AY44" s="14" t="n">
        <f aca="false">IF(7&gt;$A44,0,AC44-Cost_round*IF(7&lt;=$B44,1,0)+I44-AD44)</f>
        <v>0</v>
      </c>
      <c r="AZ44" s="14" t="n">
        <f aca="false">IF(8&gt;$A44,0,AD44-Cost_round*IF(8&lt;=$B44,1,0)+J44-AE44)</f>
        <v>0</v>
      </c>
      <c r="BA44" s="14" t="n">
        <f aca="false">IF(9&gt;$A44,0,AE44-Cost_round*IF(9&lt;=$B44,1,0)+K44-AF44)</f>
        <v>0</v>
      </c>
      <c r="BB44" s="14" t="n">
        <f aca="false">IF(10&gt;$A44,0,AF44-Cost_round*IF(10&lt;=$B44,1,0)+L44-AG44)</f>
        <v>0</v>
      </c>
      <c r="BC44" s="14" t="n">
        <f aca="false">IF(11&gt;$A44,0,AG44-Cost_round*IF(11&lt;=$B44,1,0)+M44-AH44)</f>
        <v>0</v>
      </c>
      <c r="BD44" s="14" t="n">
        <f aca="false">IF(12&gt;$A44,0,AH44-Cost_round*IF(12&lt;=$B44,1,0)+N44-AI44)</f>
        <v>0</v>
      </c>
      <c r="BE44" s="14" t="n">
        <f aca="false">IF(13&gt;$A44,0,AI44-Cost_round*IF(13&lt;=$B44,1,0)+O44-AJ44)</f>
        <v>0</v>
      </c>
      <c r="BF44" s="14" t="n">
        <f aca="false">IF(14&gt;$A44,0,AJ44-Cost_round*IF(14&lt;=$B44,1,0)+P44-AK44)</f>
        <v>0</v>
      </c>
      <c r="BG44" s="14" t="n">
        <f aca="false">IF(15&gt;$A44,0,AK44-Cost_round*IF(15&lt;=$B44,1,0)+Q44-AL44)</f>
        <v>0</v>
      </c>
      <c r="BH44" s="14" t="n">
        <f aca="false">IF(16&gt;$A44,0,AL44-Cost_round*IF(16&lt;=$B44,1,0)+R44-AM44)</f>
        <v>0</v>
      </c>
      <c r="BI44" s="14" t="n">
        <f aca="false">IF(17&gt;$A44,0,AM44-Cost_round*IF(17&lt;=$B44,1,0)+S44-AN44)</f>
        <v>0</v>
      </c>
      <c r="BJ44" s="14" t="n">
        <f aca="false">IF(18&gt;$A44,0,AN44-Cost_round*IF(18&lt;=$B44,1,0)+T44-AO44)</f>
        <v>0</v>
      </c>
      <c r="BK44" s="14" t="n">
        <f aca="false">IF(19&gt;$A44,0,AO44-Cost_round*IF(19&lt;=$B44,1,0)+U44-AP44)</f>
        <v>0</v>
      </c>
      <c r="BL44" s="14" t="n">
        <f aca="false">IF(20&gt;$A44,0,AP44-Cost_round*IF(20&lt;=$B44,1,0)+V44-AQ44)</f>
        <v>0</v>
      </c>
      <c r="BM44" s="17" t="n">
        <f aca="false">IF($AR44=1,SUMPRODUCT(AS44:BL44,$AS$38:$BL$38),"")</f>
        <v>77.2727272727273</v>
      </c>
      <c r="BN44" s="17" t="n">
        <f aca="false">IF($AR44=1,BM44+INDEX($AS$38:$BL$38,$A44)*INDEX(C44:V44,$A44)/Hurdle_r,"")</f>
        <v>945.041322314049</v>
      </c>
    </row>
    <row r="45" customFormat="false" ht="15" hidden="false" customHeight="false" outlineLevel="0" collapsed="false">
      <c r="A45" s="2" t="n">
        <v>3</v>
      </c>
      <c r="B45" s="2" t="n">
        <v>0</v>
      </c>
      <c r="C45" s="14" t="n">
        <f aca="false">IF(1&gt;$A45,0,Val_pt*(Ceiling_e-E_zero)*(1-(1-Half_gap)^MIN(1,$B45)))</f>
        <v>0</v>
      </c>
      <c r="D45" s="14" t="n">
        <f aca="false">IF(2&gt;$A45,0,Val_pt*(Ceiling_e-E_zero)*(1-(1-Half_gap)^MIN(2,$B45)))</f>
        <v>0</v>
      </c>
      <c r="E45" s="14" t="n">
        <f aca="false">IF(3&gt;$A45,0,Val_pt*(Ceiling_e-E_zero)*(1-(1-Half_gap)^MIN(3,$B45)))</f>
        <v>0</v>
      </c>
      <c r="F45" s="14" t="n">
        <f aca="false">IF(4&gt;$A45,0,Val_pt*(Ceiling_e-E_zero)*(1-(1-Half_gap)^MIN(4,$B45)))</f>
        <v>0</v>
      </c>
      <c r="G45" s="14" t="n">
        <f aca="false">IF(5&gt;$A45,0,Val_pt*(Ceiling_e-E_zero)*(1-(1-Half_gap)^MIN(5,$B45)))</f>
        <v>0</v>
      </c>
      <c r="H45" s="14" t="n">
        <f aca="false">IF(6&gt;$A45,0,Val_pt*(Ceiling_e-E_zero)*(1-(1-Half_gap)^MIN(6,$B45)))</f>
        <v>0</v>
      </c>
      <c r="I45" s="14" t="n">
        <f aca="false">IF(7&gt;$A45,0,Val_pt*(Ceiling_e-E_zero)*(1-(1-Half_gap)^MIN(7,$B45)))</f>
        <v>0</v>
      </c>
      <c r="J45" s="14" t="n">
        <f aca="false">IF(8&gt;$A45,0,Val_pt*(Ceiling_e-E_zero)*(1-(1-Half_gap)^MIN(8,$B45)))</f>
        <v>0</v>
      </c>
      <c r="K45" s="14" t="n">
        <f aca="false">IF(9&gt;$A45,0,Val_pt*(Ceiling_e-E_zero)*(1-(1-Half_gap)^MIN(9,$B45)))</f>
        <v>0</v>
      </c>
      <c r="L45" s="14" t="n">
        <f aca="false">IF(10&gt;$A45,0,Val_pt*(Ceiling_e-E_zero)*(1-(1-Half_gap)^MIN(10,$B45)))</f>
        <v>0</v>
      </c>
      <c r="M45" s="14" t="n">
        <f aca="false">IF(11&gt;$A45,0,Val_pt*(Ceiling_e-E_zero)*(1-(1-Half_gap)^MIN(11,$B45)))</f>
        <v>0</v>
      </c>
      <c r="N45" s="14" t="n">
        <f aca="false">IF(12&gt;$A45,0,Val_pt*(Ceiling_e-E_zero)*(1-(1-Half_gap)^MIN(12,$B45)))</f>
        <v>0</v>
      </c>
      <c r="O45" s="14" t="n">
        <f aca="false">IF(13&gt;$A45,0,Val_pt*(Ceiling_e-E_zero)*(1-(1-Half_gap)^MIN(13,$B45)))</f>
        <v>0</v>
      </c>
      <c r="P45" s="14" t="n">
        <f aca="false">IF(14&gt;$A45,0,Val_pt*(Ceiling_e-E_zero)*(1-(1-Half_gap)^MIN(14,$B45)))</f>
        <v>0</v>
      </c>
      <c r="Q45" s="14" t="n">
        <f aca="false">IF(15&gt;$A45,0,Val_pt*(Ceiling_e-E_zero)*(1-(1-Half_gap)^MIN(15,$B45)))</f>
        <v>0</v>
      </c>
      <c r="R45" s="14" t="n">
        <f aca="false">IF(16&gt;$A45,0,Val_pt*(Ceiling_e-E_zero)*(1-(1-Half_gap)^MIN(16,$B45)))</f>
        <v>0</v>
      </c>
      <c r="S45" s="14" t="n">
        <f aca="false">IF(17&gt;$A45,0,Val_pt*(Ceiling_e-E_zero)*(1-(1-Half_gap)^MIN(17,$B45)))</f>
        <v>0</v>
      </c>
      <c r="T45" s="14" t="n">
        <f aca="false">IF(18&gt;$A45,0,Val_pt*(Ceiling_e-E_zero)*(1-(1-Half_gap)^MIN(18,$B45)))</f>
        <v>0</v>
      </c>
      <c r="U45" s="14" t="n">
        <f aca="false">IF(19&gt;$A45,0,Val_pt*(Ceiling_e-E_zero)*(1-(1-Half_gap)^MIN(19,$B45)))</f>
        <v>0</v>
      </c>
      <c r="V45" s="14" t="n">
        <f aca="false">IF(20&gt;$A45,0,Val_pt*(Ceiling_e-E_zero)*(1-(1-Half_gap)^MIN(20,$B45)))</f>
        <v>0</v>
      </c>
      <c r="W45" s="14" t="n">
        <f aca="false">IF(0&gt;$A45,0,IF(0=$A45,MAX(End_q,Floor_q),MAX(X45+Cost_round*IF(1&lt;=$B45,1,0)-C45,IF(1&lt;=$B45,1,0)*Pre_q)))</f>
        <v>470</v>
      </c>
      <c r="X45" s="14" t="n">
        <f aca="false">IF(1&gt;$A45,0,IF(1=$A45,MAX(End_q,Floor_q),MAX(Y45+Cost_round*IF(2&lt;=$B45,1,0)-D45,IF(2&lt;=$B45,1,0)*Pre_q,Floor_q)))</f>
        <v>470</v>
      </c>
      <c r="Y45" s="14" t="n">
        <f aca="false">IF(2&gt;$A45,0,IF(2=$A45,MAX(End_q,Floor_q),MAX(Z45+Cost_round*IF(3&lt;=$B45,1,0)-E45,IF(3&lt;=$B45,1,0)*Pre_q,Floor_q)))</f>
        <v>470</v>
      </c>
      <c r="Z45" s="14" t="n">
        <f aca="false">IF(3&gt;$A45,0,IF(3=$A45,MAX(End_q,Floor_q),MAX(AA45+Cost_round*IF(4&lt;=$B45,1,0)-F45,IF(4&lt;=$B45,1,0)*Pre_q,Floor_q)))</f>
        <v>470</v>
      </c>
      <c r="AA45" s="14" t="n">
        <f aca="false">IF(4&gt;$A45,0,IF(4=$A45,MAX(End_q,Floor_q),MAX(AB45+Cost_round*IF(5&lt;=$B45,1,0)-G45,IF(5&lt;=$B45,1,0)*Pre_q,Floor_q)))</f>
        <v>0</v>
      </c>
      <c r="AB45" s="14" t="n">
        <f aca="false">IF(5&gt;$A45,0,IF(5=$A45,MAX(End_q,Floor_q),MAX(AC45+Cost_round*IF(6&lt;=$B45,1,0)-H45,IF(6&lt;=$B45,1,0)*Pre_q,Floor_q)))</f>
        <v>0</v>
      </c>
      <c r="AC45" s="14" t="n">
        <f aca="false">IF(6&gt;$A45,0,IF(6=$A45,MAX(End_q,Floor_q),MAX(AD45+Cost_round*IF(7&lt;=$B45,1,0)-I45,IF(7&lt;=$B45,1,0)*Pre_q,Floor_q)))</f>
        <v>0</v>
      </c>
      <c r="AD45" s="14" t="n">
        <f aca="false">IF(7&gt;$A45,0,IF(7=$A45,MAX(End_q,Floor_q),MAX(AE45+Cost_round*IF(8&lt;=$B45,1,0)-J45,IF(8&lt;=$B45,1,0)*Pre_q,Floor_q)))</f>
        <v>0</v>
      </c>
      <c r="AE45" s="14" t="n">
        <f aca="false">IF(8&gt;$A45,0,IF(8=$A45,MAX(End_q,Floor_q),MAX(AF45+Cost_round*IF(9&lt;=$B45,1,0)-K45,IF(9&lt;=$B45,1,0)*Pre_q,Floor_q)))</f>
        <v>0</v>
      </c>
      <c r="AF45" s="14" t="n">
        <f aca="false">IF(9&gt;$A45,0,IF(9=$A45,MAX(End_q,Floor_q),MAX(AG45+Cost_round*IF(10&lt;=$B45,1,0)-L45,IF(10&lt;=$B45,1,0)*Pre_q,Floor_q)))</f>
        <v>0</v>
      </c>
      <c r="AG45" s="14" t="n">
        <f aca="false">IF(10&gt;$A45,0,IF(10=$A45,MAX(End_q,Floor_q),MAX(AH45+Cost_round*IF(11&lt;=$B45,1,0)-M45,IF(11&lt;=$B45,1,0)*Pre_q,Floor_q)))</f>
        <v>0</v>
      </c>
      <c r="AH45" s="14" t="n">
        <f aca="false">IF(11&gt;$A45,0,IF(11=$A45,MAX(End_q,Floor_q),MAX(AI45+Cost_round*IF(12&lt;=$B45,1,0)-N45,IF(12&lt;=$B45,1,0)*Pre_q,Floor_q)))</f>
        <v>0</v>
      </c>
      <c r="AI45" s="14" t="n">
        <f aca="false">IF(12&gt;$A45,0,IF(12=$A45,MAX(End_q,Floor_q),MAX(AJ45+Cost_round*IF(13&lt;=$B45,1,0)-O45,IF(13&lt;=$B45,1,0)*Pre_q,Floor_q)))</f>
        <v>0</v>
      </c>
      <c r="AJ45" s="14" t="n">
        <f aca="false">IF(13&gt;$A45,0,IF(13=$A45,MAX(End_q,Floor_q),MAX(AK45+Cost_round*IF(14&lt;=$B45,1,0)-P45,IF(14&lt;=$B45,1,0)*Pre_q,Floor_q)))</f>
        <v>0</v>
      </c>
      <c r="AK45" s="14" t="n">
        <f aca="false">IF(14&gt;$A45,0,IF(14=$A45,MAX(End_q,Floor_q),MAX(AL45+Cost_round*IF(15&lt;=$B45,1,0)-Q45,IF(15&lt;=$B45,1,0)*Pre_q,Floor_q)))</f>
        <v>0</v>
      </c>
      <c r="AL45" s="14" t="n">
        <f aca="false">IF(15&gt;$A45,0,IF(15=$A45,MAX(End_q,Floor_q),MAX(AM45+Cost_round*IF(16&lt;=$B45,1,0)-R45,IF(16&lt;=$B45,1,0)*Pre_q,Floor_q)))</f>
        <v>0</v>
      </c>
      <c r="AM45" s="14" t="n">
        <f aca="false">IF(16&gt;$A45,0,IF(16=$A45,MAX(End_q,Floor_q),MAX(AN45+Cost_round*IF(17&lt;=$B45,1,0)-S45,IF(17&lt;=$B45,1,0)*Pre_q,Floor_q)))</f>
        <v>0</v>
      </c>
      <c r="AN45" s="14" t="n">
        <f aca="false">IF(17&gt;$A45,0,IF(17=$A45,MAX(End_q,Floor_q),MAX(AO45+Cost_round*IF(18&lt;=$B45,1,0)-T45,IF(18&lt;=$B45,1,0)*Pre_q,Floor_q)))</f>
        <v>0</v>
      </c>
      <c r="AO45" s="14" t="n">
        <f aca="false">IF(18&gt;$A45,0,IF(18=$A45,MAX(End_q,Floor_q),MAX(AP45+Cost_round*IF(19&lt;=$B45,1,0)-U45,IF(19&lt;=$B45,1,0)*Pre_q,Floor_q)))</f>
        <v>0</v>
      </c>
      <c r="AP45" s="14" t="n">
        <f aca="false">IF(19&gt;$A45,0,IF(19=$A45,MAX(End_q,Floor_q),MAX(AQ45+Cost_round*IF(20&lt;=$B45,1,0)-V45,IF(20&lt;=$B45,1,0)*Pre_q,Floor_q)))</f>
        <v>0</v>
      </c>
      <c r="AQ45" s="14" t="n">
        <f aca="false">IF(20&gt;$A45,0,MAX(End_q,Floor_q))</f>
        <v>0</v>
      </c>
      <c r="AR45" s="15" t="n">
        <f aca="false">IF(Q_zero&gt;=W45-0.000000001,1,0)</f>
        <v>1</v>
      </c>
      <c r="AS45" s="14" t="n">
        <f aca="false">IF(1&gt;$A45,0,Q_zero-Cost_round*IF(1&lt;=$B45,1,0)+C45-X45)</f>
        <v>150</v>
      </c>
      <c r="AT45" s="14" t="n">
        <f aca="false">IF(2&gt;$A45,0,X45-Cost_round*IF(2&lt;=$B45,1,0)+D45-Y45)</f>
        <v>0</v>
      </c>
      <c r="AU45" s="14" t="n">
        <f aca="false">IF(3&gt;$A45,0,Y45-Cost_round*IF(3&lt;=$B45,1,0)+E45-Z45)</f>
        <v>0</v>
      </c>
      <c r="AV45" s="14" t="n">
        <f aca="false">IF(4&gt;$A45,0,Z45-Cost_round*IF(4&lt;=$B45,1,0)+F45-AA45)</f>
        <v>0</v>
      </c>
      <c r="AW45" s="14" t="n">
        <f aca="false">IF(5&gt;$A45,0,AA45-Cost_round*IF(5&lt;=$B45,1,0)+G45-AB45)</f>
        <v>0</v>
      </c>
      <c r="AX45" s="14" t="n">
        <f aca="false">IF(6&gt;$A45,0,AB45-Cost_round*IF(6&lt;=$B45,1,0)+H45-AC45)</f>
        <v>0</v>
      </c>
      <c r="AY45" s="14" t="n">
        <f aca="false">IF(7&gt;$A45,0,AC45-Cost_round*IF(7&lt;=$B45,1,0)+I45-AD45)</f>
        <v>0</v>
      </c>
      <c r="AZ45" s="14" t="n">
        <f aca="false">IF(8&gt;$A45,0,AD45-Cost_round*IF(8&lt;=$B45,1,0)+J45-AE45)</f>
        <v>0</v>
      </c>
      <c r="BA45" s="14" t="n">
        <f aca="false">IF(9&gt;$A45,0,AE45-Cost_round*IF(9&lt;=$B45,1,0)+K45-AF45)</f>
        <v>0</v>
      </c>
      <c r="BB45" s="14" t="n">
        <f aca="false">IF(10&gt;$A45,0,AF45-Cost_round*IF(10&lt;=$B45,1,0)+L45-AG45)</f>
        <v>0</v>
      </c>
      <c r="BC45" s="14" t="n">
        <f aca="false">IF(11&gt;$A45,0,AG45-Cost_round*IF(11&lt;=$B45,1,0)+M45-AH45)</f>
        <v>0</v>
      </c>
      <c r="BD45" s="14" t="n">
        <f aca="false">IF(12&gt;$A45,0,AH45-Cost_round*IF(12&lt;=$B45,1,0)+N45-AI45)</f>
        <v>0</v>
      </c>
      <c r="BE45" s="14" t="n">
        <f aca="false">IF(13&gt;$A45,0,AI45-Cost_round*IF(13&lt;=$B45,1,0)+O45-AJ45)</f>
        <v>0</v>
      </c>
      <c r="BF45" s="14" t="n">
        <f aca="false">IF(14&gt;$A45,0,AJ45-Cost_round*IF(14&lt;=$B45,1,0)+P45-AK45)</f>
        <v>0</v>
      </c>
      <c r="BG45" s="14" t="n">
        <f aca="false">IF(15&gt;$A45,0,AK45-Cost_round*IF(15&lt;=$B45,1,0)+Q45-AL45)</f>
        <v>0</v>
      </c>
      <c r="BH45" s="14" t="n">
        <f aca="false">IF(16&gt;$A45,0,AL45-Cost_round*IF(16&lt;=$B45,1,0)+R45-AM45)</f>
        <v>0</v>
      </c>
      <c r="BI45" s="14" t="n">
        <f aca="false">IF(17&gt;$A45,0,AM45-Cost_round*IF(17&lt;=$B45,1,0)+S45-AN45)</f>
        <v>0</v>
      </c>
      <c r="BJ45" s="14" t="n">
        <f aca="false">IF(18&gt;$A45,0,AN45-Cost_round*IF(18&lt;=$B45,1,0)+T45-AO45)</f>
        <v>0</v>
      </c>
      <c r="BK45" s="14" t="n">
        <f aca="false">IF(19&gt;$A45,0,AO45-Cost_round*IF(19&lt;=$B45,1,0)+U45-AP45)</f>
        <v>0</v>
      </c>
      <c r="BL45" s="14" t="n">
        <f aca="false">IF(20&gt;$A45,0,AP45-Cost_round*IF(20&lt;=$B45,1,0)+V45-AQ45)</f>
        <v>0</v>
      </c>
      <c r="BM45" s="17" t="n">
        <f aca="false">IF($AR45=1,SUMPRODUCT(AS45:BL45,$AS$38:$BL$38),"")</f>
        <v>136.363636363636</v>
      </c>
      <c r="BN45" s="17" t="n">
        <f aca="false">IF($AR45=1,BM45+INDEX($AS$38:$BL$38,$A45)*INDEX(C45:V45,$A45)/Hurdle_r,"")</f>
        <v>136.363636363636</v>
      </c>
    </row>
    <row r="46" customFormat="false" ht="15" hidden="false" customHeight="false" outlineLevel="0" collapsed="false">
      <c r="A46" s="2" t="n">
        <v>3</v>
      </c>
      <c r="B46" s="2" t="n">
        <v>1</v>
      </c>
      <c r="C46" s="14" t="n">
        <f aca="false">IF(1&gt;$A46,0,Val_pt*(Ceiling_e-E_zero)*(1-(1-Half_gap)^MIN(1,$B46)))</f>
        <v>70</v>
      </c>
      <c r="D46" s="14" t="n">
        <f aca="false">IF(2&gt;$A46,0,Val_pt*(Ceiling_e-E_zero)*(1-(1-Half_gap)^MIN(2,$B46)))</f>
        <v>70</v>
      </c>
      <c r="E46" s="14" t="n">
        <f aca="false">IF(3&gt;$A46,0,Val_pt*(Ceiling_e-E_zero)*(1-(1-Half_gap)^MIN(3,$B46)))</f>
        <v>70</v>
      </c>
      <c r="F46" s="14" t="n">
        <f aca="false">IF(4&gt;$A46,0,Val_pt*(Ceiling_e-E_zero)*(1-(1-Half_gap)^MIN(4,$B46)))</f>
        <v>0</v>
      </c>
      <c r="G46" s="14" t="n">
        <f aca="false">IF(5&gt;$A46,0,Val_pt*(Ceiling_e-E_zero)*(1-(1-Half_gap)^MIN(5,$B46)))</f>
        <v>0</v>
      </c>
      <c r="H46" s="14" t="n">
        <f aca="false">IF(6&gt;$A46,0,Val_pt*(Ceiling_e-E_zero)*(1-(1-Half_gap)^MIN(6,$B46)))</f>
        <v>0</v>
      </c>
      <c r="I46" s="14" t="n">
        <f aca="false">IF(7&gt;$A46,0,Val_pt*(Ceiling_e-E_zero)*(1-(1-Half_gap)^MIN(7,$B46)))</f>
        <v>0</v>
      </c>
      <c r="J46" s="14" t="n">
        <f aca="false">IF(8&gt;$A46,0,Val_pt*(Ceiling_e-E_zero)*(1-(1-Half_gap)^MIN(8,$B46)))</f>
        <v>0</v>
      </c>
      <c r="K46" s="14" t="n">
        <f aca="false">IF(9&gt;$A46,0,Val_pt*(Ceiling_e-E_zero)*(1-(1-Half_gap)^MIN(9,$B46)))</f>
        <v>0</v>
      </c>
      <c r="L46" s="14" t="n">
        <f aca="false">IF(10&gt;$A46,0,Val_pt*(Ceiling_e-E_zero)*(1-(1-Half_gap)^MIN(10,$B46)))</f>
        <v>0</v>
      </c>
      <c r="M46" s="14" t="n">
        <f aca="false">IF(11&gt;$A46,0,Val_pt*(Ceiling_e-E_zero)*(1-(1-Half_gap)^MIN(11,$B46)))</f>
        <v>0</v>
      </c>
      <c r="N46" s="14" t="n">
        <f aca="false">IF(12&gt;$A46,0,Val_pt*(Ceiling_e-E_zero)*(1-(1-Half_gap)^MIN(12,$B46)))</f>
        <v>0</v>
      </c>
      <c r="O46" s="14" t="n">
        <f aca="false">IF(13&gt;$A46,0,Val_pt*(Ceiling_e-E_zero)*(1-(1-Half_gap)^MIN(13,$B46)))</f>
        <v>0</v>
      </c>
      <c r="P46" s="14" t="n">
        <f aca="false">IF(14&gt;$A46,0,Val_pt*(Ceiling_e-E_zero)*(1-(1-Half_gap)^MIN(14,$B46)))</f>
        <v>0</v>
      </c>
      <c r="Q46" s="14" t="n">
        <f aca="false">IF(15&gt;$A46,0,Val_pt*(Ceiling_e-E_zero)*(1-(1-Half_gap)^MIN(15,$B46)))</f>
        <v>0</v>
      </c>
      <c r="R46" s="14" t="n">
        <f aca="false">IF(16&gt;$A46,0,Val_pt*(Ceiling_e-E_zero)*(1-(1-Half_gap)^MIN(16,$B46)))</f>
        <v>0</v>
      </c>
      <c r="S46" s="14" t="n">
        <f aca="false">IF(17&gt;$A46,0,Val_pt*(Ceiling_e-E_zero)*(1-(1-Half_gap)^MIN(17,$B46)))</f>
        <v>0</v>
      </c>
      <c r="T46" s="14" t="n">
        <f aca="false">IF(18&gt;$A46,0,Val_pt*(Ceiling_e-E_zero)*(1-(1-Half_gap)^MIN(18,$B46)))</f>
        <v>0</v>
      </c>
      <c r="U46" s="14" t="n">
        <f aca="false">IF(19&gt;$A46,0,Val_pt*(Ceiling_e-E_zero)*(1-(1-Half_gap)^MIN(19,$B46)))</f>
        <v>0</v>
      </c>
      <c r="V46" s="14" t="n">
        <f aca="false">IF(20&gt;$A46,0,Val_pt*(Ceiling_e-E_zero)*(1-(1-Half_gap)^MIN(20,$B46)))</f>
        <v>0</v>
      </c>
      <c r="W46" s="14" t="n">
        <f aca="false">IF(0&gt;$A46,0,IF(0=$A46,MAX(End_q,Floor_q),MAX(X46+Cost_round*IF(1&lt;=$B46,1,0)-C46,IF(1&lt;=$B46,1,0)*Pre_q)))</f>
        <v>470</v>
      </c>
      <c r="X46" s="14" t="n">
        <f aca="false">IF(1&gt;$A46,0,IF(1=$A46,MAX(End_q,Floor_q),MAX(Y46+Cost_round*IF(2&lt;=$B46,1,0)-D46,IF(2&lt;=$B46,1,0)*Pre_q,Floor_q)))</f>
        <v>350</v>
      </c>
      <c r="Y46" s="14" t="n">
        <f aca="false">IF(2&gt;$A46,0,IF(2=$A46,MAX(End_q,Floor_q),MAX(Z46+Cost_round*IF(3&lt;=$B46,1,0)-E46,IF(3&lt;=$B46,1,0)*Pre_q,Floor_q)))</f>
        <v>400</v>
      </c>
      <c r="Z46" s="14" t="n">
        <f aca="false">IF(3&gt;$A46,0,IF(3=$A46,MAX(End_q,Floor_q),MAX(AA46+Cost_round*IF(4&lt;=$B46,1,0)-F46,IF(4&lt;=$B46,1,0)*Pre_q,Floor_q)))</f>
        <v>470</v>
      </c>
      <c r="AA46" s="14" t="n">
        <f aca="false">IF(4&gt;$A46,0,IF(4=$A46,MAX(End_q,Floor_q),MAX(AB46+Cost_round*IF(5&lt;=$B46,1,0)-G46,IF(5&lt;=$B46,1,0)*Pre_q,Floor_q)))</f>
        <v>0</v>
      </c>
      <c r="AB46" s="14" t="n">
        <f aca="false">IF(5&gt;$A46,0,IF(5=$A46,MAX(End_q,Floor_q),MAX(AC46+Cost_round*IF(6&lt;=$B46,1,0)-H46,IF(6&lt;=$B46,1,0)*Pre_q,Floor_q)))</f>
        <v>0</v>
      </c>
      <c r="AC46" s="14" t="n">
        <f aca="false">IF(6&gt;$A46,0,IF(6=$A46,MAX(End_q,Floor_q),MAX(AD46+Cost_round*IF(7&lt;=$B46,1,0)-I46,IF(7&lt;=$B46,1,0)*Pre_q,Floor_q)))</f>
        <v>0</v>
      </c>
      <c r="AD46" s="14" t="n">
        <f aca="false">IF(7&gt;$A46,0,IF(7=$A46,MAX(End_q,Floor_q),MAX(AE46+Cost_round*IF(8&lt;=$B46,1,0)-J46,IF(8&lt;=$B46,1,0)*Pre_q,Floor_q)))</f>
        <v>0</v>
      </c>
      <c r="AE46" s="14" t="n">
        <f aca="false">IF(8&gt;$A46,0,IF(8=$A46,MAX(End_q,Floor_q),MAX(AF46+Cost_round*IF(9&lt;=$B46,1,0)-K46,IF(9&lt;=$B46,1,0)*Pre_q,Floor_q)))</f>
        <v>0</v>
      </c>
      <c r="AF46" s="14" t="n">
        <f aca="false">IF(9&gt;$A46,0,IF(9=$A46,MAX(End_q,Floor_q),MAX(AG46+Cost_round*IF(10&lt;=$B46,1,0)-L46,IF(10&lt;=$B46,1,0)*Pre_q,Floor_q)))</f>
        <v>0</v>
      </c>
      <c r="AG46" s="14" t="n">
        <f aca="false">IF(10&gt;$A46,0,IF(10=$A46,MAX(End_q,Floor_q),MAX(AH46+Cost_round*IF(11&lt;=$B46,1,0)-M46,IF(11&lt;=$B46,1,0)*Pre_q,Floor_q)))</f>
        <v>0</v>
      </c>
      <c r="AH46" s="14" t="n">
        <f aca="false">IF(11&gt;$A46,0,IF(11=$A46,MAX(End_q,Floor_q),MAX(AI46+Cost_round*IF(12&lt;=$B46,1,0)-N46,IF(12&lt;=$B46,1,0)*Pre_q,Floor_q)))</f>
        <v>0</v>
      </c>
      <c r="AI46" s="14" t="n">
        <f aca="false">IF(12&gt;$A46,0,IF(12=$A46,MAX(End_q,Floor_q),MAX(AJ46+Cost_round*IF(13&lt;=$B46,1,0)-O46,IF(13&lt;=$B46,1,0)*Pre_q,Floor_q)))</f>
        <v>0</v>
      </c>
      <c r="AJ46" s="14" t="n">
        <f aca="false">IF(13&gt;$A46,0,IF(13=$A46,MAX(End_q,Floor_q),MAX(AK46+Cost_round*IF(14&lt;=$B46,1,0)-P46,IF(14&lt;=$B46,1,0)*Pre_q,Floor_q)))</f>
        <v>0</v>
      </c>
      <c r="AK46" s="14" t="n">
        <f aca="false">IF(14&gt;$A46,0,IF(14=$A46,MAX(End_q,Floor_q),MAX(AL46+Cost_round*IF(15&lt;=$B46,1,0)-Q46,IF(15&lt;=$B46,1,0)*Pre_q,Floor_q)))</f>
        <v>0</v>
      </c>
      <c r="AL46" s="14" t="n">
        <f aca="false">IF(15&gt;$A46,0,IF(15=$A46,MAX(End_q,Floor_q),MAX(AM46+Cost_round*IF(16&lt;=$B46,1,0)-R46,IF(16&lt;=$B46,1,0)*Pre_q,Floor_q)))</f>
        <v>0</v>
      </c>
      <c r="AM46" s="14" t="n">
        <f aca="false">IF(16&gt;$A46,0,IF(16=$A46,MAX(End_q,Floor_q),MAX(AN46+Cost_round*IF(17&lt;=$B46,1,0)-S46,IF(17&lt;=$B46,1,0)*Pre_q,Floor_q)))</f>
        <v>0</v>
      </c>
      <c r="AN46" s="14" t="n">
        <f aca="false">IF(17&gt;$A46,0,IF(17=$A46,MAX(End_q,Floor_q),MAX(AO46+Cost_round*IF(18&lt;=$B46,1,0)-T46,IF(18&lt;=$B46,1,0)*Pre_q,Floor_q)))</f>
        <v>0</v>
      </c>
      <c r="AO46" s="14" t="n">
        <f aca="false">IF(18&gt;$A46,0,IF(18=$A46,MAX(End_q,Floor_q),MAX(AP46+Cost_round*IF(19&lt;=$B46,1,0)-U46,IF(19&lt;=$B46,1,0)*Pre_q,Floor_q)))</f>
        <v>0</v>
      </c>
      <c r="AP46" s="14" t="n">
        <f aca="false">IF(19&gt;$A46,0,IF(19=$A46,MAX(End_q,Floor_q),MAX(AQ46+Cost_round*IF(20&lt;=$B46,1,0)-V46,IF(20&lt;=$B46,1,0)*Pre_q,Floor_q)))</f>
        <v>0</v>
      </c>
      <c r="AQ46" s="14" t="n">
        <f aca="false">IF(20&gt;$A46,0,MAX(End_q,Floor_q))</f>
        <v>0</v>
      </c>
      <c r="AR46" s="15" t="n">
        <f aca="false">IF(Q_zero&gt;=W46-0.000000001,1,0)</f>
        <v>1</v>
      </c>
      <c r="AS46" s="14" t="n">
        <f aca="false">IF(1&gt;$A46,0,Q_zero-Cost_round*IF(1&lt;=$B46,1,0)+C46-X46)</f>
        <v>220</v>
      </c>
      <c r="AT46" s="14" t="n">
        <f aca="false">IF(2&gt;$A46,0,X46-Cost_round*IF(2&lt;=$B46,1,0)+D46-Y46)</f>
        <v>20</v>
      </c>
      <c r="AU46" s="14" t="n">
        <f aca="false">IF(3&gt;$A46,0,Y46-Cost_round*IF(3&lt;=$B46,1,0)+E46-Z46)</f>
        <v>0</v>
      </c>
      <c r="AV46" s="14" t="n">
        <f aca="false">IF(4&gt;$A46,0,Z46-Cost_round*IF(4&lt;=$B46,1,0)+F46-AA46)</f>
        <v>0</v>
      </c>
      <c r="AW46" s="14" t="n">
        <f aca="false">IF(5&gt;$A46,0,AA46-Cost_round*IF(5&lt;=$B46,1,0)+G46-AB46)</f>
        <v>0</v>
      </c>
      <c r="AX46" s="14" t="n">
        <f aca="false">IF(6&gt;$A46,0,AB46-Cost_round*IF(6&lt;=$B46,1,0)+H46-AC46)</f>
        <v>0</v>
      </c>
      <c r="AY46" s="14" t="n">
        <f aca="false">IF(7&gt;$A46,0,AC46-Cost_round*IF(7&lt;=$B46,1,0)+I46-AD46)</f>
        <v>0</v>
      </c>
      <c r="AZ46" s="14" t="n">
        <f aca="false">IF(8&gt;$A46,0,AD46-Cost_round*IF(8&lt;=$B46,1,0)+J46-AE46)</f>
        <v>0</v>
      </c>
      <c r="BA46" s="14" t="n">
        <f aca="false">IF(9&gt;$A46,0,AE46-Cost_round*IF(9&lt;=$B46,1,0)+K46-AF46)</f>
        <v>0</v>
      </c>
      <c r="BB46" s="14" t="n">
        <f aca="false">IF(10&gt;$A46,0,AF46-Cost_round*IF(10&lt;=$B46,1,0)+L46-AG46)</f>
        <v>0</v>
      </c>
      <c r="BC46" s="14" t="n">
        <f aca="false">IF(11&gt;$A46,0,AG46-Cost_round*IF(11&lt;=$B46,1,0)+M46-AH46)</f>
        <v>0</v>
      </c>
      <c r="BD46" s="14" t="n">
        <f aca="false">IF(12&gt;$A46,0,AH46-Cost_round*IF(12&lt;=$B46,1,0)+N46-AI46)</f>
        <v>0</v>
      </c>
      <c r="BE46" s="14" t="n">
        <f aca="false">IF(13&gt;$A46,0,AI46-Cost_round*IF(13&lt;=$B46,1,0)+O46-AJ46)</f>
        <v>0</v>
      </c>
      <c r="BF46" s="14" t="n">
        <f aca="false">IF(14&gt;$A46,0,AJ46-Cost_round*IF(14&lt;=$B46,1,0)+P46-AK46)</f>
        <v>0</v>
      </c>
      <c r="BG46" s="14" t="n">
        <f aca="false">IF(15&gt;$A46,0,AK46-Cost_round*IF(15&lt;=$B46,1,0)+Q46-AL46)</f>
        <v>0</v>
      </c>
      <c r="BH46" s="14" t="n">
        <f aca="false">IF(16&gt;$A46,0,AL46-Cost_round*IF(16&lt;=$B46,1,0)+R46-AM46)</f>
        <v>0</v>
      </c>
      <c r="BI46" s="14" t="n">
        <f aca="false">IF(17&gt;$A46,0,AM46-Cost_round*IF(17&lt;=$B46,1,0)+S46-AN46)</f>
        <v>0</v>
      </c>
      <c r="BJ46" s="14" t="n">
        <f aca="false">IF(18&gt;$A46,0,AN46-Cost_round*IF(18&lt;=$B46,1,0)+T46-AO46)</f>
        <v>0</v>
      </c>
      <c r="BK46" s="14" t="n">
        <f aca="false">IF(19&gt;$A46,0,AO46-Cost_round*IF(19&lt;=$B46,1,0)+U46-AP46)</f>
        <v>0</v>
      </c>
      <c r="BL46" s="14" t="n">
        <f aca="false">IF(20&gt;$A46,0,AP46-Cost_round*IF(20&lt;=$B46,1,0)+V46-AQ46)</f>
        <v>0</v>
      </c>
      <c r="BM46" s="17" t="n">
        <f aca="false">IF($AR46=1,SUMPRODUCT(AS46:BL46,$AS$38:$BL$38),"")</f>
        <v>216.528925619835</v>
      </c>
      <c r="BN46" s="17" t="n">
        <f aca="false">IF($AR46=1,BM46+INDEX($AS$38:$BL$38,$A46)*INDEX(C46:V46,$A46)/Hurdle_r,"")</f>
        <v>742.449286250939</v>
      </c>
    </row>
    <row r="47" customFormat="false" ht="15" hidden="false" customHeight="false" outlineLevel="0" collapsed="false">
      <c r="A47" s="2" t="n">
        <v>3</v>
      </c>
      <c r="B47" s="2" t="n">
        <v>2</v>
      </c>
      <c r="C47" s="14" t="n">
        <f aca="false">IF(1&gt;$A47,0,Val_pt*(Ceiling_e-E_zero)*(1-(1-Half_gap)^MIN(1,$B47)))</f>
        <v>70</v>
      </c>
      <c r="D47" s="14" t="n">
        <f aca="false">IF(2&gt;$A47,0,Val_pt*(Ceiling_e-E_zero)*(1-(1-Half_gap)^MIN(2,$B47)))</f>
        <v>105</v>
      </c>
      <c r="E47" s="14" t="n">
        <f aca="false">IF(3&gt;$A47,0,Val_pt*(Ceiling_e-E_zero)*(1-(1-Half_gap)^MIN(3,$B47)))</f>
        <v>105</v>
      </c>
      <c r="F47" s="14" t="n">
        <f aca="false">IF(4&gt;$A47,0,Val_pt*(Ceiling_e-E_zero)*(1-(1-Half_gap)^MIN(4,$B47)))</f>
        <v>0</v>
      </c>
      <c r="G47" s="14" t="n">
        <f aca="false">IF(5&gt;$A47,0,Val_pt*(Ceiling_e-E_zero)*(1-(1-Half_gap)^MIN(5,$B47)))</f>
        <v>0</v>
      </c>
      <c r="H47" s="14" t="n">
        <f aca="false">IF(6&gt;$A47,0,Val_pt*(Ceiling_e-E_zero)*(1-(1-Half_gap)^MIN(6,$B47)))</f>
        <v>0</v>
      </c>
      <c r="I47" s="14" t="n">
        <f aca="false">IF(7&gt;$A47,0,Val_pt*(Ceiling_e-E_zero)*(1-(1-Half_gap)^MIN(7,$B47)))</f>
        <v>0</v>
      </c>
      <c r="J47" s="14" t="n">
        <f aca="false">IF(8&gt;$A47,0,Val_pt*(Ceiling_e-E_zero)*(1-(1-Half_gap)^MIN(8,$B47)))</f>
        <v>0</v>
      </c>
      <c r="K47" s="14" t="n">
        <f aca="false">IF(9&gt;$A47,0,Val_pt*(Ceiling_e-E_zero)*(1-(1-Half_gap)^MIN(9,$B47)))</f>
        <v>0</v>
      </c>
      <c r="L47" s="14" t="n">
        <f aca="false">IF(10&gt;$A47,0,Val_pt*(Ceiling_e-E_zero)*(1-(1-Half_gap)^MIN(10,$B47)))</f>
        <v>0</v>
      </c>
      <c r="M47" s="14" t="n">
        <f aca="false">IF(11&gt;$A47,0,Val_pt*(Ceiling_e-E_zero)*(1-(1-Half_gap)^MIN(11,$B47)))</f>
        <v>0</v>
      </c>
      <c r="N47" s="14" t="n">
        <f aca="false">IF(12&gt;$A47,0,Val_pt*(Ceiling_e-E_zero)*(1-(1-Half_gap)^MIN(12,$B47)))</f>
        <v>0</v>
      </c>
      <c r="O47" s="14" t="n">
        <f aca="false">IF(13&gt;$A47,0,Val_pt*(Ceiling_e-E_zero)*(1-(1-Half_gap)^MIN(13,$B47)))</f>
        <v>0</v>
      </c>
      <c r="P47" s="14" t="n">
        <f aca="false">IF(14&gt;$A47,0,Val_pt*(Ceiling_e-E_zero)*(1-(1-Half_gap)^MIN(14,$B47)))</f>
        <v>0</v>
      </c>
      <c r="Q47" s="14" t="n">
        <f aca="false">IF(15&gt;$A47,0,Val_pt*(Ceiling_e-E_zero)*(1-(1-Half_gap)^MIN(15,$B47)))</f>
        <v>0</v>
      </c>
      <c r="R47" s="14" t="n">
        <f aca="false">IF(16&gt;$A47,0,Val_pt*(Ceiling_e-E_zero)*(1-(1-Half_gap)^MIN(16,$B47)))</f>
        <v>0</v>
      </c>
      <c r="S47" s="14" t="n">
        <f aca="false">IF(17&gt;$A47,0,Val_pt*(Ceiling_e-E_zero)*(1-(1-Half_gap)^MIN(17,$B47)))</f>
        <v>0</v>
      </c>
      <c r="T47" s="14" t="n">
        <f aca="false">IF(18&gt;$A47,0,Val_pt*(Ceiling_e-E_zero)*(1-(1-Half_gap)^MIN(18,$B47)))</f>
        <v>0</v>
      </c>
      <c r="U47" s="14" t="n">
        <f aca="false">IF(19&gt;$A47,0,Val_pt*(Ceiling_e-E_zero)*(1-(1-Half_gap)^MIN(19,$B47)))</f>
        <v>0</v>
      </c>
      <c r="V47" s="14" t="n">
        <f aca="false">IF(20&gt;$A47,0,Val_pt*(Ceiling_e-E_zero)*(1-(1-Half_gap)^MIN(20,$B47)))</f>
        <v>0</v>
      </c>
      <c r="W47" s="14" t="n">
        <f aca="false">IF(0&gt;$A47,0,IF(0=$A47,MAX(End_q,Floor_q),MAX(X47+Cost_round*IF(1&lt;=$B47,1,0)-C47,IF(1&lt;=$B47,1,0)*Pre_q)))</f>
        <v>520</v>
      </c>
      <c r="X47" s="14" t="n">
        <f aca="false">IF(1&gt;$A47,0,IF(1=$A47,MAX(End_q,Floor_q),MAX(Y47+Cost_round*IF(2&lt;=$B47,1,0)-D47,IF(2&lt;=$B47,1,0)*Pre_q,Floor_q)))</f>
        <v>470</v>
      </c>
      <c r="Y47" s="14" t="n">
        <f aca="false">IF(2&gt;$A47,0,IF(2=$A47,MAX(End_q,Floor_q),MAX(Z47+Cost_round*IF(3&lt;=$B47,1,0)-E47,IF(3&lt;=$B47,1,0)*Pre_q,Floor_q)))</f>
        <v>365</v>
      </c>
      <c r="Z47" s="14" t="n">
        <f aca="false">IF(3&gt;$A47,0,IF(3=$A47,MAX(End_q,Floor_q),MAX(AA47+Cost_round*IF(4&lt;=$B47,1,0)-F47,IF(4&lt;=$B47,1,0)*Pre_q,Floor_q)))</f>
        <v>470</v>
      </c>
      <c r="AA47" s="14" t="n">
        <f aca="false">IF(4&gt;$A47,0,IF(4=$A47,MAX(End_q,Floor_q),MAX(AB47+Cost_round*IF(5&lt;=$B47,1,0)-G47,IF(5&lt;=$B47,1,0)*Pre_q,Floor_q)))</f>
        <v>0</v>
      </c>
      <c r="AB47" s="14" t="n">
        <f aca="false">IF(5&gt;$A47,0,IF(5=$A47,MAX(End_q,Floor_q),MAX(AC47+Cost_round*IF(6&lt;=$B47,1,0)-H47,IF(6&lt;=$B47,1,0)*Pre_q,Floor_q)))</f>
        <v>0</v>
      </c>
      <c r="AC47" s="14" t="n">
        <f aca="false">IF(6&gt;$A47,0,IF(6=$A47,MAX(End_q,Floor_q),MAX(AD47+Cost_round*IF(7&lt;=$B47,1,0)-I47,IF(7&lt;=$B47,1,0)*Pre_q,Floor_q)))</f>
        <v>0</v>
      </c>
      <c r="AD47" s="14" t="n">
        <f aca="false">IF(7&gt;$A47,0,IF(7=$A47,MAX(End_q,Floor_q),MAX(AE47+Cost_round*IF(8&lt;=$B47,1,0)-J47,IF(8&lt;=$B47,1,0)*Pre_q,Floor_q)))</f>
        <v>0</v>
      </c>
      <c r="AE47" s="14" t="n">
        <f aca="false">IF(8&gt;$A47,0,IF(8=$A47,MAX(End_q,Floor_q),MAX(AF47+Cost_round*IF(9&lt;=$B47,1,0)-K47,IF(9&lt;=$B47,1,0)*Pre_q,Floor_q)))</f>
        <v>0</v>
      </c>
      <c r="AF47" s="14" t="n">
        <f aca="false">IF(9&gt;$A47,0,IF(9=$A47,MAX(End_q,Floor_q),MAX(AG47+Cost_round*IF(10&lt;=$B47,1,0)-L47,IF(10&lt;=$B47,1,0)*Pre_q,Floor_q)))</f>
        <v>0</v>
      </c>
      <c r="AG47" s="14" t="n">
        <f aca="false">IF(10&gt;$A47,0,IF(10=$A47,MAX(End_q,Floor_q),MAX(AH47+Cost_round*IF(11&lt;=$B47,1,0)-M47,IF(11&lt;=$B47,1,0)*Pre_q,Floor_q)))</f>
        <v>0</v>
      </c>
      <c r="AH47" s="14" t="n">
        <f aca="false">IF(11&gt;$A47,0,IF(11=$A47,MAX(End_q,Floor_q),MAX(AI47+Cost_round*IF(12&lt;=$B47,1,0)-N47,IF(12&lt;=$B47,1,0)*Pre_q,Floor_q)))</f>
        <v>0</v>
      </c>
      <c r="AI47" s="14" t="n">
        <f aca="false">IF(12&gt;$A47,0,IF(12=$A47,MAX(End_q,Floor_q),MAX(AJ47+Cost_round*IF(13&lt;=$B47,1,0)-O47,IF(13&lt;=$B47,1,0)*Pre_q,Floor_q)))</f>
        <v>0</v>
      </c>
      <c r="AJ47" s="14" t="n">
        <f aca="false">IF(13&gt;$A47,0,IF(13=$A47,MAX(End_q,Floor_q),MAX(AK47+Cost_round*IF(14&lt;=$B47,1,0)-P47,IF(14&lt;=$B47,1,0)*Pre_q,Floor_q)))</f>
        <v>0</v>
      </c>
      <c r="AK47" s="14" t="n">
        <f aca="false">IF(14&gt;$A47,0,IF(14=$A47,MAX(End_q,Floor_q),MAX(AL47+Cost_round*IF(15&lt;=$B47,1,0)-Q47,IF(15&lt;=$B47,1,0)*Pre_q,Floor_q)))</f>
        <v>0</v>
      </c>
      <c r="AL47" s="14" t="n">
        <f aca="false">IF(15&gt;$A47,0,IF(15=$A47,MAX(End_q,Floor_q),MAX(AM47+Cost_round*IF(16&lt;=$B47,1,0)-R47,IF(16&lt;=$B47,1,0)*Pre_q,Floor_q)))</f>
        <v>0</v>
      </c>
      <c r="AM47" s="14" t="n">
        <f aca="false">IF(16&gt;$A47,0,IF(16=$A47,MAX(End_q,Floor_q),MAX(AN47+Cost_round*IF(17&lt;=$B47,1,0)-S47,IF(17&lt;=$B47,1,0)*Pre_q,Floor_q)))</f>
        <v>0</v>
      </c>
      <c r="AN47" s="14" t="n">
        <f aca="false">IF(17&gt;$A47,0,IF(17=$A47,MAX(End_q,Floor_q),MAX(AO47+Cost_round*IF(18&lt;=$B47,1,0)-T47,IF(18&lt;=$B47,1,0)*Pre_q,Floor_q)))</f>
        <v>0</v>
      </c>
      <c r="AO47" s="14" t="n">
        <f aca="false">IF(18&gt;$A47,0,IF(18=$A47,MAX(End_q,Floor_q),MAX(AP47+Cost_round*IF(19&lt;=$B47,1,0)-U47,IF(19&lt;=$B47,1,0)*Pre_q,Floor_q)))</f>
        <v>0</v>
      </c>
      <c r="AP47" s="14" t="n">
        <f aca="false">IF(19&gt;$A47,0,IF(19=$A47,MAX(End_q,Floor_q),MAX(AQ47+Cost_round*IF(20&lt;=$B47,1,0)-V47,IF(20&lt;=$B47,1,0)*Pre_q,Floor_q)))</f>
        <v>0</v>
      </c>
      <c r="AQ47" s="14" t="n">
        <f aca="false">IF(20&gt;$A47,0,MAX(End_q,Floor_q))</f>
        <v>0</v>
      </c>
      <c r="AR47" s="15" t="n">
        <f aca="false">IF(Q_zero&gt;=W47-0.000000001,1,0)</f>
        <v>1</v>
      </c>
      <c r="AS47" s="14" t="n">
        <f aca="false">IF(1&gt;$A47,0,Q_zero-Cost_round*IF(1&lt;=$B47,1,0)+C47-X47)</f>
        <v>100</v>
      </c>
      <c r="AT47" s="14" t="n">
        <f aca="false">IF(2&gt;$A47,0,X47-Cost_round*IF(2&lt;=$B47,1,0)+D47-Y47)</f>
        <v>90</v>
      </c>
      <c r="AU47" s="14" t="n">
        <f aca="false">IF(3&gt;$A47,0,Y47-Cost_round*IF(3&lt;=$B47,1,0)+E47-Z47)</f>
        <v>0</v>
      </c>
      <c r="AV47" s="14" t="n">
        <f aca="false">IF(4&gt;$A47,0,Z47-Cost_round*IF(4&lt;=$B47,1,0)+F47-AA47)</f>
        <v>0</v>
      </c>
      <c r="AW47" s="14" t="n">
        <f aca="false">IF(5&gt;$A47,0,AA47-Cost_round*IF(5&lt;=$B47,1,0)+G47-AB47)</f>
        <v>0</v>
      </c>
      <c r="AX47" s="14" t="n">
        <f aca="false">IF(6&gt;$A47,0,AB47-Cost_round*IF(6&lt;=$B47,1,0)+H47-AC47)</f>
        <v>0</v>
      </c>
      <c r="AY47" s="14" t="n">
        <f aca="false">IF(7&gt;$A47,0,AC47-Cost_round*IF(7&lt;=$B47,1,0)+I47-AD47)</f>
        <v>0</v>
      </c>
      <c r="AZ47" s="14" t="n">
        <f aca="false">IF(8&gt;$A47,0,AD47-Cost_round*IF(8&lt;=$B47,1,0)+J47-AE47)</f>
        <v>0</v>
      </c>
      <c r="BA47" s="14" t="n">
        <f aca="false">IF(9&gt;$A47,0,AE47-Cost_round*IF(9&lt;=$B47,1,0)+K47-AF47)</f>
        <v>0</v>
      </c>
      <c r="BB47" s="14" t="n">
        <f aca="false">IF(10&gt;$A47,0,AF47-Cost_round*IF(10&lt;=$B47,1,0)+L47-AG47)</f>
        <v>0</v>
      </c>
      <c r="BC47" s="14" t="n">
        <f aca="false">IF(11&gt;$A47,0,AG47-Cost_round*IF(11&lt;=$B47,1,0)+M47-AH47)</f>
        <v>0</v>
      </c>
      <c r="BD47" s="14" t="n">
        <f aca="false">IF(12&gt;$A47,0,AH47-Cost_round*IF(12&lt;=$B47,1,0)+N47-AI47)</f>
        <v>0</v>
      </c>
      <c r="BE47" s="14" t="n">
        <f aca="false">IF(13&gt;$A47,0,AI47-Cost_round*IF(13&lt;=$B47,1,0)+O47-AJ47)</f>
        <v>0</v>
      </c>
      <c r="BF47" s="14" t="n">
        <f aca="false">IF(14&gt;$A47,0,AJ47-Cost_round*IF(14&lt;=$B47,1,0)+P47-AK47)</f>
        <v>0</v>
      </c>
      <c r="BG47" s="14" t="n">
        <f aca="false">IF(15&gt;$A47,0,AK47-Cost_round*IF(15&lt;=$B47,1,0)+Q47-AL47)</f>
        <v>0</v>
      </c>
      <c r="BH47" s="14" t="n">
        <f aca="false">IF(16&gt;$A47,0,AL47-Cost_round*IF(16&lt;=$B47,1,0)+R47-AM47)</f>
        <v>0</v>
      </c>
      <c r="BI47" s="14" t="n">
        <f aca="false">IF(17&gt;$A47,0,AM47-Cost_round*IF(17&lt;=$B47,1,0)+S47-AN47)</f>
        <v>0</v>
      </c>
      <c r="BJ47" s="14" t="n">
        <f aca="false">IF(18&gt;$A47,0,AN47-Cost_round*IF(18&lt;=$B47,1,0)+T47-AO47)</f>
        <v>0</v>
      </c>
      <c r="BK47" s="14" t="n">
        <f aca="false">IF(19&gt;$A47,0,AO47-Cost_round*IF(19&lt;=$B47,1,0)+U47-AP47)</f>
        <v>0</v>
      </c>
      <c r="BL47" s="14" t="n">
        <f aca="false">IF(20&gt;$A47,0,AP47-Cost_round*IF(20&lt;=$B47,1,0)+V47-AQ47)</f>
        <v>0</v>
      </c>
      <c r="BM47" s="17" t="n">
        <f aca="false">IF($AR47=1,SUMPRODUCT(AS47:BL47,$AS$38:$BL$38),"")</f>
        <v>165.289256198347</v>
      </c>
      <c r="BN47" s="17" t="n">
        <f aca="false">IF($AR47=1,BM47+INDEX($AS$38:$BL$38,$A47)*INDEX(C47:V47,$A47)/Hurdle_r,"")</f>
        <v>954.169797145004</v>
      </c>
    </row>
    <row r="48" customFormat="false" ht="15" hidden="false" customHeight="false" outlineLevel="0" collapsed="false">
      <c r="A48" s="2" t="n">
        <v>3</v>
      </c>
      <c r="B48" s="2" t="n">
        <v>3</v>
      </c>
      <c r="C48" s="14" t="n">
        <f aca="false">IF(1&gt;$A48,0,Val_pt*(Ceiling_e-E_zero)*(1-(1-Half_gap)^MIN(1,$B48)))</f>
        <v>70</v>
      </c>
      <c r="D48" s="14" t="n">
        <f aca="false">IF(2&gt;$A48,0,Val_pt*(Ceiling_e-E_zero)*(1-(1-Half_gap)^MIN(2,$B48)))</f>
        <v>105</v>
      </c>
      <c r="E48" s="14" t="n">
        <f aca="false">IF(3&gt;$A48,0,Val_pt*(Ceiling_e-E_zero)*(1-(1-Half_gap)^MIN(3,$B48)))</f>
        <v>122.5</v>
      </c>
      <c r="F48" s="14" t="n">
        <f aca="false">IF(4&gt;$A48,0,Val_pt*(Ceiling_e-E_zero)*(1-(1-Half_gap)^MIN(4,$B48)))</f>
        <v>0</v>
      </c>
      <c r="G48" s="14" t="n">
        <f aca="false">IF(5&gt;$A48,0,Val_pt*(Ceiling_e-E_zero)*(1-(1-Half_gap)^MIN(5,$B48)))</f>
        <v>0</v>
      </c>
      <c r="H48" s="14" t="n">
        <f aca="false">IF(6&gt;$A48,0,Val_pt*(Ceiling_e-E_zero)*(1-(1-Half_gap)^MIN(6,$B48)))</f>
        <v>0</v>
      </c>
      <c r="I48" s="14" t="n">
        <f aca="false">IF(7&gt;$A48,0,Val_pt*(Ceiling_e-E_zero)*(1-(1-Half_gap)^MIN(7,$B48)))</f>
        <v>0</v>
      </c>
      <c r="J48" s="14" t="n">
        <f aca="false">IF(8&gt;$A48,0,Val_pt*(Ceiling_e-E_zero)*(1-(1-Half_gap)^MIN(8,$B48)))</f>
        <v>0</v>
      </c>
      <c r="K48" s="14" t="n">
        <f aca="false">IF(9&gt;$A48,0,Val_pt*(Ceiling_e-E_zero)*(1-(1-Half_gap)^MIN(9,$B48)))</f>
        <v>0</v>
      </c>
      <c r="L48" s="14" t="n">
        <f aca="false">IF(10&gt;$A48,0,Val_pt*(Ceiling_e-E_zero)*(1-(1-Half_gap)^MIN(10,$B48)))</f>
        <v>0</v>
      </c>
      <c r="M48" s="14" t="n">
        <f aca="false">IF(11&gt;$A48,0,Val_pt*(Ceiling_e-E_zero)*(1-(1-Half_gap)^MIN(11,$B48)))</f>
        <v>0</v>
      </c>
      <c r="N48" s="14" t="n">
        <f aca="false">IF(12&gt;$A48,0,Val_pt*(Ceiling_e-E_zero)*(1-(1-Half_gap)^MIN(12,$B48)))</f>
        <v>0</v>
      </c>
      <c r="O48" s="14" t="n">
        <f aca="false">IF(13&gt;$A48,0,Val_pt*(Ceiling_e-E_zero)*(1-(1-Half_gap)^MIN(13,$B48)))</f>
        <v>0</v>
      </c>
      <c r="P48" s="14" t="n">
        <f aca="false">IF(14&gt;$A48,0,Val_pt*(Ceiling_e-E_zero)*(1-(1-Half_gap)^MIN(14,$B48)))</f>
        <v>0</v>
      </c>
      <c r="Q48" s="14" t="n">
        <f aca="false">IF(15&gt;$A48,0,Val_pt*(Ceiling_e-E_zero)*(1-(1-Half_gap)^MIN(15,$B48)))</f>
        <v>0</v>
      </c>
      <c r="R48" s="14" t="n">
        <f aca="false">IF(16&gt;$A48,0,Val_pt*(Ceiling_e-E_zero)*(1-(1-Half_gap)^MIN(16,$B48)))</f>
        <v>0</v>
      </c>
      <c r="S48" s="14" t="n">
        <f aca="false">IF(17&gt;$A48,0,Val_pt*(Ceiling_e-E_zero)*(1-(1-Half_gap)^MIN(17,$B48)))</f>
        <v>0</v>
      </c>
      <c r="T48" s="14" t="n">
        <f aca="false">IF(18&gt;$A48,0,Val_pt*(Ceiling_e-E_zero)*(1-(1-Half_gap)^MIN(18,$B48)))</f>
        <v>0</v>
      </c>
      <c r="U48" s="14" t="n">
        <f aca="false">IF(19&gt;$A48,0,Val_pt*(Ceiling_e-E_zero)*(1-(1-Half_gap)^MIN(19,$B48)))</f>
        <v>0</v>
      </c>
      <c r="V48" s="14" t="n">
        <f aca="false">IF(20&gt;$A48,0,Val_pt*(Ceiling_e-E_zero)*(1-(1-Half_gap)^MIN(20,$B48)))</f>
        <v>0</v>
      </c>
      <c r="W48" s="14" t="n">
        <f aca="false">IF(0&gt;$A48,0,IF(0=$A48,MAX(End_q,Floor_q),MAX(X48+Cost_round*IF(1&lt;=$B48,1,0)-C48,IF(1&lt;=$B48,1,0)*Pre_q)))</f>
        <v>535</v>
      </c>
      <c r="X48" s="14" t="n">
        <f aca="false">IF(1&gt;$A48,0,IF(1=$A48,MAX(End_q,Floor_q),MAX(Y48+Cost_round*IF(2&lt;=$B48,1,0)-D48,IF(2&lt;=$B48,1,0)*Pre_q,Floor_q)))</f>
        <v>485</v>
      </c>
      <c r="Y48" s="14" t="n">
        <f aca="false">IF(2&gt;$A48,0,IF(2=$A48,MAX(End_q,Floor_q),MAX(Z48+Cost_round*IF(3&lt;=$B48,1,0)-E48,IF(3&lt;=$B48,1,0)*Pre_q,Floor_q)))</f>
        <v>470</v>
      </c>
      <c r="Z48" s="14" t="n">
        <f aca="false">IF(3&gt;$A48,0,IF(3=$A48,MAX(End_q,Floor_q),MAX(AA48+Cost_round*IF(4&lt;=$B48,1,0)-F48,IF(4&lt;=$B48,1,0)*Pre_q,Floor_q)))</f>
        <v>470</v>
      </c>
      <c r="AA48" s="14" t="n">
        <f aca="false">IF(4&gt;$A48,0,IF(4=$A48,MAX(End_q,Floor_q),MAX(AB48+Cost_round*IF(5&lt;=$B48,1,0)-G48,IF(5&lt;=$B48,1,0)*Pre_q,Floor_q)))</f>
        <v>0</v>
      </c>
      <c r="AB48" s="14" t="n">
        <f aca="false">IF(5&gt;$A48,0,IF(5=$A48,MAX(End_q,Floor_q),MAX(AC48+Cost_round*IF(6&lt;=$B48,1,0)-H48,IF(6&lt;=$B48,1,0)*Pre_q,Floor_q)))</f>
        <v>0</v>
      </c>
      <c r="AC48" s="14" t="n">
        <f aca="false">IF(6&gt;$A48,0,IF(6=$A48,MAX(End_q,Floor_q),MAX(AD48+Cost_round*IF(7&lt;=$B48,1,0)-I48,IF(7&lt;=$B48,1,0)*Pre_q,Floor_q)))</f>
        <v>0</v>
      </c>
      <c r="AD48" s="14" t="n">
        <f aca="false">IF(7&gt;$A48,0,IF(7=$A48,MAX(End_q,Floor_q),MAX(AE48+Cost_round*IF(8&lt;=$B48,1,0)-J48,IF(8&lt;=$B48,1,0)*Pre_q,Floor_q)))</f>
        <v>0</v>
      </c>
      <c r="AE48" s="14" t="n">
        <f aca="false">IF(8&gt;$A48,0,IF(8=$A48,MAX(End_q,Floor_q),MAX(AF48+Cost_round*IF(9&lt;=$B48,1,0)-K48,IF(9&lt;=$B48,1,0)*Pre_q,Floor_q)))</f>
        <v>0</v>
      </c>
      <c r="AF48" s="14" t="n">
        <f aca="false">IF(9&gt;$A48,0,IF(9=$A48,MAX(End_q,Floor_q),MAX(AG48+Cost_round*IF(10&lt;=$B48,1,0)-L48,IF(10&lt;=$B48,1,0)*Pre_q,Floor_q)))</f>
        <v>0</v>
      </c>
      <c r="AG48" s="14" t="n">
        <f aca="false">IF(10&gt;$A48,0,IF(10=$A48,MAX(End_q,Floor_q),MAX(AH48+Cost_round*IF(11&lt;=$B48,1,0)-M48,IF(11&lt;=$B48,1,0)*Pre_q,Floor_q)))</f>
        <v>0</v>
      </c>
      <c r="AH48" s="14" t="n">
        <f aca="false">IF(11&gt;$A48,0,IF(11=$A48,MAX(End_q,Floor_q),MAX(AI48+Cost_round*IF(12&lt;=$B48,1,0)-N48,IF(12&lt;=$B48,1,0)*Pre_q,Floor_q)))</f>
        <v>0</v>
      </c>
      <c r="AI48" s="14" t="n">
        <f aca="false">IF(12&gt;$A48,0,IF(12=$A48,MAX(End_q,Floor_q),MAX(AJ48+Cost_round*IF(13&lt;=$B48,1,0)-O48,IF(13&lt;=$B48,1,0)*Pre_q,Floor_q)))</f>
        <v>0</v>
      </c>
      <c r="AJ48" s="14" t="n">
        <f aca="false">IF(13&gt;$A48,0,IF(13=$A48,MAX(End_q,Floor_q),MAX(AK48+Cost_round*IF(14&lt;=$B48,1,0)-P48,IF(14&lt;=$B48,1,0)*Pre_q,Floor_q)))</f>
        <v>0</v>
      </c>
      <c r="AK48" s="14" t="n">
        <f aca="false">IF(14&gt;$A48,0,IF(14=$A48,MAX(End_q,Floor_q),MAX(AL48+Cost_round*IF(15&lt;=$B48,1,0)-Q48,IF(15&lt;=$B48,1,0)*Pre_q,Floor_q)))</f>
        <v>0</v>
      </c>
      <c r="AL48" s="14" t="n">
        <f aca="false">IF(15&gt;$A48,0,IF(15=$A48,MAX(End_q,Floor_q),MAX(AM48+Cost_round*IF(16&lt;=$B48,1,0)-R48,IF(16&lt;=$B48,1,0)*Pre_q,Floor_q)))</f>
        <v>0</v>
      </c>
      <c r="AM48" s="14" t="n">
        <f aca="false">IF(16&gt;$A48,0,IF(16=$A48,MAX(End_q,Floor_q),MAX(AN48+Cost_round*IF(17&lt;=$B48,1,0)-S48,IF(17&lt;=$B48,1,0)*Pre_q,Floor_q)))</f>
        <v>0</v>
      </c>
      <c r="AN48" s="14" t="n">
        <f aca="false">IF(17&gt;$A48,0,IF(17=$A48,MAX(End_q,Floor_q),MAX(AO48+Cost_round*IF(18&lt;=$B48,1,0)-T48,IF(18&lt;=$B48,1,0)*Pre_q,Floor_q)))</f>
        <v>0</v>
      </c>
      <c r="AO48" s="14" t="n">
        <f aca="false">IF(18&gt;$A48,0,IF(18=$A48,MAX(End_q,Floor_q),MAX(AP48+Cost_round*IF(19&lt;=$B48,1,0)-U48,IF(19&lt;=$B48,1,0)*Pre_q,Floor_q)))</f>
        <v>0</v>
      </c>
      <c r="AP48" s="14" t="n">
        <f aca="false">IF(19&gt;$A48,0,IF(19=$A48,MAX(End_q,Floor_q),MAX(AQ48+Cost_round*IF(20&lt;=$B48,1,0)-V48,IF(20&lt;=$B48,1,0)*Pre_q,Floor_q)))</f>
        <v>0</v>
      </c>
      <c r="AQ48" s="14" t="n">
        <f aca="false">IF(20&gt;$A48,0,MAX(End_q,Floor_q))</f>
        <v>0</v>
      </c>
      <c r="AR48" s="15" t="n">
        <f aca="false">IF(Q_zero&gt;=W48-0.000000001,1,0)</f>
        <v>1</v>
      </c>
      <c r="AS48" s="14" t="n">
        <f aca="false">IF(1&gt;$A48,0,Q_zero-Cost_round*IF(1&lt;=$B48,1,0)+C48-X48)</f>
        <v>85</v>
      </c>
      <c r="AT48" s="14" t="n">
        <f aca="false">IF(2&gt;$A48,0,X48-Cost_round*IF(2&lt;=$B48,1,0)+D48-Y48)</f>
        <v>0</v>
      </c>
      <c r="AU48" s="14" t="n">
        <f aca="false">IF(3&gt;$A48,0,Y48-Cost_round*IF(3&lt;=$B48,1,0)+E48-Z48)</f>
        <v>2.5</v>
      </c>
      <c r="AV48" s="14" t="n">
        <f aca="false">IF(4&gt;$A48,0,Z48-Cost_round*IF(4&lt;=$B48,1,0)+F48-AA48)</f>
        <v>0</v>
      </c>
      <c r="AW48" s="14" t="n">
        <f aca="false">IF(5&gt;$A48,0,AA48-Cost_round*IF(5&lt;=$B48,1,0)+G48-AB48)</f>
        <v>0</v>
      </c>
      <c r="AX48" s="14" t="n">
        <f aca="false">IF(6&gt;$A48,0,AB48-Cost_round*IF(6&lt;=$B48,1,0)+H48-AC48)</f>
        <v>0</v>
      </c>
      <c r="AY48" s="14" t="n">
        <f aca="false">IF(7&gt;$A48,0,AC48-Cost_round*IF(7&lt;=$B48,1,0)+I48-AD48)</f>
        <v>0</v>
      </c>
      <c r="AZ48" s="14" t="n">
        <f aca="false">IF(8&gt;$A48,0,AD48-Cost_round*IF(8&lt;=$B48,1,0)+J48-AE48)</f>
        <v>0</v>
      </c>
      <c r="BA48" s="14" t="n">
        <f aca="false">IF(9&gt;$A48,0,AE48-Cost_round*IF(9&lt;=$B48,1,0)+K48-AF48)</f>
        <v>0</v>
      </c>
      <c r="BB48" s="14" t="n">
        <f aca="false">IF(10&gt;$A48,0,AF48-Cost_round*IF(10&lt;=$B48,1,0)+L48-AG48)</f>
        <v>0</v>
      </c>
      <c r="BC48" s="14" t="n">
        <f aca="false">IF(11&gt;$A48,0,AG48-Cost_round*IF(11&lt;=$B48,1,0)+M48-AH48)</f>
        <v>0</v>
      </c>
      <c r="BD48" s="14" t="n">
        <f aca="false">IF(12&gt;$A48,0,AH48-Cost_round*IF(12&lt;=$B48,1,0)+N48-AI48)</f>
        <v>0</v>
      </c>
      <c r="BE48" s="14" t="n">
        <f aca="false">IF(13&gt;$A48,0,AI48-Cost_round*IF(13&lt;=$B48,1,0)+O48-AJ48)</f>
        <v>0</v>
      </c>
      <c r="BF48" s="14" t="n">
        <f aca="false">IF(14&gt;$A48,0,AJ48-Cost_round*IF(14&lt;=$B48,1,0)+P48-AK48)</f>
        <v>0</v>
      </c>
      <c r="BG48" s="14" t="n">
        <f aca="false">IF(15&gt;$A48,0,AK48-Cost_round*IF(15&lt;=$B48,1,0)+Q48-AL48)</f>
        <v>0</v>
      </c>
      <c r="BH48" s="14" t="n">
        <f aca="false">IF(16&gt;$A48,0,AL48-Cost_round*IF(16&lt;=$B48,1,0)+R48-AM48)</f>
        <v>0</v>
      </c>
      <c r="BI48" s="14" t="n">
        <f aca="false">IF(17&gt;$A48,0,AM48-Cost_round*IF(17&lt;=$B48,1,0)+S48-AN48)</f>
        <v>0</v>
      </c>
      <c r="BJ48" s="14" t="n">
        <f aca="false">IF(18&gt;$A48,0,AN48-Cost_round*IF(18&lt;=$B48,1,0)+T48-AO48)</f>
        <v>0</v>
      </c>
      <c r="BK48" s="14" t="n">
        <f aca="false">IF(19&gt;$A48,0,AO48-Cost_round*IF(19&lt;=$B48,1,0)+U48-AP48)</f>
        <v>0</v>
      </c>
      <c r="BL48" s="14" t="n">
        <f aca="false">IF(20&gt;$A48,0,AP48-Cost_round*IF(20&lt;=$B48,1,0)+V48-AQ48)</f>
        <v>0</v>
      </c>
      <c r="BM48" s="17" t="n">
        <f aca="false">IF($AR48=1,SUMPRODUCT(AS48:BL48,$AS$38:$BL$38),"")</f>
        <v>79.1510142749812</v>
      </c>
      <c r="BN48" s="17" t="n">
        <f aca="false">IF($AR48=1,BM48+INDEX($AS$38:$BL$38,$A48)*INDEX(C48:V48,$A48)/Hurdle_r,"")</f>
        <v>999.511645379414</v>
      </c>
    </row>
    <row r="49" customFormat="false" ht="15" hidden="false" customHeight="false" outlineLevel="0" collapsed="false">
      <c r="A49" s="2" t="n">
        <v>4</v>
      </c>
      <c r="B49" s="2" t="n">
        <v>0</v>
      </c>
      <c r="C49" s="14" t="n">
        <f aca="false">IF(1&gt;$A49,0,Val_pt*(Ceiling_e-E_zero)*(1-(1-Half_gap)^MIN(1,$B49)))</f>
        <v>0</v>
      </c>
      <c r="D49" s="14" t="n">
        <f aca="false">IF(2&gt;$A49,0,Val_pt*(Ceiling_e-E_zero)*(1-(1-Half_gap)^MIN(2,$B49)))</f>
        <v>0</v>
      </c>
      <c r="E49" s="14" t="n">
        <f aca="false">IF(3&gt;$A49,0,Val_pt*(Ceiling_e-E_zero)*(1-(1-Half_gap)^MIN(3,$B49)))</f>
        <v>0</v>
      </c>
      <c r="F49" s="14" t="n">
        <f aca="false">IF(4&gt;$A49,0,Val_pt*(Ceiling_e-E_zero)*(1-(1-Half_gap)^MIN(4,$B49)))</f>
        <v>0</v>
      </c>
      <c r="G49" s="14" t="n">
        <f aca="false">IF(5&gt;$A49,0,Val_pt*(Ceiling_e-E_zero)*(1-(1-Half_gap)^MIN(5,$B49)))</f>
        <v>0</v>
      </c>
      <c r="H49" s="14" t="n">
        <f aca="false">IF(6&gt;$A49,0,Val_pt*(Ceiling_e-E_zero)*(1-(1-Half_gap)^MIN(6,$B49)))</f>
        <v>0</v>
      </c>
      <c r="I49" s="14" t="n">
        <f aca="false">IF(7&gt;$A49,0,Val_pt*(Ceiling_e-E_zero)*(1-(1-Half_gap)^MIN(7,$B49)))</f>
        <v>0</v>
      </c>
      <c r="J49" s="14" t="n">
        <f aca="false">IF(8&gt;$A49,0,Val_pt*(Ceiling_e-E_zero)*(1-(1-Half_gap)^MIN(8,$B49)))</f>
        <v>0</v>
      </c>
      <c r="K49" s="14" t="n">
        <f aca="false">IF(9&gt;$A49,0,Val_pt*(Ceiling_e-E_zero)*(1-(1-Half_gap)^MIN(9,$B49)))</f>
        <v>0</v>
      </c>
      <c r="L49" s="14" t="n">
        <f aca="false">IF(10&gt;$A49,0,Val_pt*(Ceiling_e-E_zero)*(1-(1-Half_gap)^MIN(10,$B49)))</f>
        <v>0</v>
      </c>
      <c r="M49" s="14" t="n">
        <f aca="false">IF(11&gt;$A49,0,Val_pt*(Ceiling_e-E_zero)*(1-(1-Half_gap)^MIN(11,$B49)))</f>
        <v>0</v>
      </c>
      <c r="N49" s="14" t="n">
        <f aca="false">IF(12&gt;$A49,0,Val_pt*(Ceiling_e-E_zero)*(1-(1-Half_gap)^MIN(12,$B49)))</f>
        <v>0</v>
      </c>
      <c r="O49" s="14" t="n">
        <f aca="false">IF(13&gt;$A49,0,Val_pt*(Ceiling_e-E_zero)*(1-(1-Half_gap)^MIN(13,$B49)))</f>
        <v>0</v>
      </c>
      <c r="P49" s="14" t="n">
        <f aca="false">IF(14&gt;$A49,0,Val_pt*(Ceiling_e-E_zero)*(1-(1-Half_gap)^MIN(14,$B49)))</f>
        <v>0</v>
      </c>
      <c r="Q49" s="14" t="n">
        <f aca="false">IF(15&gt;$A49,0,Val_pt*(Ceiling_e-E_zero)*(1-(1-Half_gap)^MIN(15,$B49)))</f>
        <v>0</v>
      </c>
      <c r="R49" s="14" t="n">
        <f aca="false">IF(16&gt;$A49,0,Val_pt*(Ceiling_e-E_zero)*(1-(1-Half_gap)^MIN(16,$B49)))</f>
        <v>0</v>
      </c>
      <c r="S49" s="14" t="n">
        <f aca="false">IF(17&gt;$A49,0,Val_pt*(Ceiling_e-E_zero)*(1-(1-Half_gap)^MIN(17,$B49)))</f>
        <v>0</v>
      </c>
      <c r="T49" s="14" t="n">
        <f aca="false">IF(18&gt;$A49,0,Val_pt*(Ceiling_e-E_zero)*(1-(1-Half_gap)^MIN(18,$B49)))</f>
        <v>0</v>
      </c>
      <c r="U49" s="14" t="n">
        <f aca="false">IF(19&gt;$A49,0,Val_pt*(Ceiling_e-E_zero)*(1-(1-Half_gap)^MIN(19,$B49)))</f>
        <v>0</v>
      </c>
      <c r="V49" s="14" t="n">
        <f aca="false">IF(20&gt;$A49,0,Val_pt*(Ceiling_e-E_zero)*(1-(1-Half_gap)^MIN(20,$B49)))</f>
        <v>0</v>
      </c>
      <c r="W49" s="14" t="n">
        <f aca="false">IF(0&gt;$A49,0,IF(0=$A49,MAX(End_q,Floor_q),MAX(X49+Cost_round*IF(1&lt;=$B49,1,0)-C49,IF(1&lt;=$B49,1,0)*Pre_q)))</f>
        <v>470</v>
      </c>
      <c r="X49" s="14" t="n">
        <f aca="false">IF(1&gt;$A49,0,IF(1=$A49,MAX(End_q,Floor_q),MAX(Y49+Cost_round*IF(2&lt;=$B49,1,0)-D49,IF(2&lt;=$B49,1,0)*Pre_q,Floor_q)))</f>
        <v>470</v>
      </c>
      <c r="Y49" s="14" t="n">
        <f aca="false">IF(2&gt;$A49,0,IF(2=$A49,MAX(End_q,Floor_q),MAX(Z49+Cost_round*IF(3&lt;=$B49,1,0)-E49,IF(3&lt;=$B49,1,0)*Pre_q,Floor_q)))</f>
        <v>470</v>
      </c>
      <c r="Z49" s="14" t="n">
        <f aca="false">IF(3&gt;$A49,0,IF(3=$A49,MAX(End_q,Floor_q),MAX(AA49+Cost_round*IF(4&lt;=$B49,1,0)-F49,IF(4&lt;=$B49,1,0)*Pre_q,Floor_q)))</f>
        <v>470</v>
      </c>
      <c r="AA49" s="14" t="n">
        <f aca="false">IF(4&gt;$A49,0,IF(4=$A49,MAX(End_q,Floor_q),MAX(AB49+Cost_round*IF(5&lt;=$B49,1,0)-G49,IF(5&lt;=$B49,1,0)*Pre_q,Floor_q)))</f>
        <v>470</v>
      </c>
      <c r="AB49" s="14" t="n">
        <f aca="false">IF(5&gt;$A49,0,IF(5=$A49,MAX(End_q,Floor_q),MAX(AC49+Cost_round*IF(6&lt;=$B49,1,0)-H49,IF(6&lt;=$B49,1,0)*Pre_q,Floor_q)))</f>
        <v>0</v>
      </c>
      <c r="AC49" s="14" t="n">
        <f aca="false">IF(6&gt;$A49,0,IF(6=$A49,MAX(End_q,Floor_q),MAX(AD49+Cost_round*IF(7&lt;=$B49,1,0)-I49,IF(7&lt;=$B49,1,0)*Pre_q,Floor_q)))</f>
        <v>0</v>
      </c>
      <c r="AD49" s="14" t="n">
        <f aca="false">IF(7&gt;$A49,0,IF(7=$A49,MAX(End_q,Floor_q),MAX(AE49+Cost_round*IF(8&lt;=$B49,1,0)-J49,IF(8&lt;=$B49,1,0)*Pre_q,Floor_q)))</f>
        <v>0</v>
      </c>
      <c r="AE49" s="14" t="n">
        <f aca="false">IF(8&gt;$A49,0,IF(8=$A49,MAX(End_q,Floor_q),MAX(AF49+Cost_round*IF(9&lt;=$B49,1,0)-K49,IF(9&lt;=$B49,1,0)*Pre_q,Floor_q)))</f>
        <v>0</v>
      </c>
      <c r="AF49" s="14" t="n">
        <f aca="false">IF(9&gt;$A49,0,IF(9=$A49,MAX(End_q,Floor_q),MAX(AG49+Cost_round*IF(10&lt;=$B49,1,0)-L49,IF(10&lt;=$B49,1,0)*Pre_q,Floor_q)))</f>
        <v>0</v>
      </c>
      <c r="AG49" s="14" t="n">
        <f aca="false">IF(10&gt;$A49,0,IF(10=$A49,MAX(End_q,Floor_q),MAX(AH49+Cost_round*IF(11&lt;=$B49,1,0)-M49,IF(11&lt;=$B49,1,0)*Pre_q,Floor_q)))</f>
        <v>0</v>
      </c>
      <c r="AH49" s="14" t="n">
        <f aca="false">IF(11&gt;$A49,0,IF(11=$A49,MAX(End_q,Floor_q),MAX(AI49+Cost_round*IF(12&lt;=$B49,1,0)-N49,IF(12&lt;=$B49,1,0)*Pre_q,Floor_q)))</f>
        <v>0</v>
      </c>
      <c r="AI49" s="14" t="n">
        <f aca="false">IF(12&gt;$A49,0,IF(12=$A49,MAX(End_q,Floor_q),MAX(AJ49+Cost_round*IF(13&lt;=$B49,1,0)-O49,IF(13&lt;=$B49,1,0)*Pre_q,Floor_q)))</f>
        <v>0</v>
      </c>
      <c r="AJ49" s="14" t="n">
        <f aca="false">IF(13&gt;$A49,0,IF(13=$A49,MAX(End_q,Floor_q),MAX(AK49+Cost_round*IF(14&lt;=$B49,1,0)-P49,IF(14&lt;=$B49,1,0)*Pre_q,Floor_q)))</f>
        <v>0</v>
      </c>
      <c r="AK49" s="14" t="n">
        <f aca="false">IF(14&gt;$A49,0,IF(14=$A49,MAX(End_q,Floor_q),MAX(AL49+Cost_round*IF(15&lt;=$B49,1,0)-Q49,IF(15&lt;=$B49,1,0)*Pre_q,Floor_q)))</f>
        <v>0</v>
      </c>
      <c r="AL49" s="14" t="n">
        <f aca="false">IF(15&gt;$A49,0,IF(15=$A49,MAX(End_q,Floor_q),MAX(AM49+Cost_round*IF(16&lt;=$B49,1,0)-R49,IF(16&lt;=$B49,1,0)*Pre_q,Floor_q)))</f>
        <v>0</v>
      </c>
      <c r="AM49" s="14" t="n">
        <f aca="false">IF(16&gt;$A49,0,IF(16=$A49,MAX(End_q,Floor_q),MAX(AN49+Cost_round*IF(17&lt;=$B49,1,0)-S49,IF(17&lt;=$B49,1,0)*Pre_q,Floor_q)))</f>
        <v>0</v>
      </c>
      <c r="AN49" s="14" t="n">
        <f aca="false">IF(17&gt;$A49,0,IF(17=$A49,MAX(End_q,Floor_q),MAX(AO49+Cost_round*IF(18&lt;=$B49,1,0)-T49,IF(18&lt;=$B49,1,0)*Pre_q,Floor_q)))</f>
        <v>0</v>
      </c>
      <c r="AO49" s="14" t="n">
        <f aca="false">IF(18&gt;$A49,0,IF(18=$A49,MAX(End_q,Floor_q),MAX(AP49+Cost_round*IF(19&lt;=$B49,1,0)-U49,IF(19&lt;=$B49,1,0)*Pre_q,Floor_q)))</f>
        <v>0</v>
      </c>
      <c r="AP49" s="14" t="n">
        <f aca="false">IF(19&gt;$A49,0,IF(19=$A49,MAX(End_q,Floor_q),MAX(AQ49+Cost_round*IF(20&lt;=$B49,1,0)-V49,IF(20&lt;=$B49,1,0)*Pre_q,Floor_q)))</f>
        <v>0</v>
      </c>
      <c r="AQ49" s="14" t="n">
        <f aca="false">IF(20&gt;$A49,0,MAX(End_q,Floor_q))</f>
        <v>0</v>
      </c>
      <c r="AR49" s="15" t="n">
        <f aca="false">IF(Q_zero&gt;=W49-0.000000001,1,0)</f>
        <v>1</v>
      </c>
      <c r="AS49" s="14" t="n">
        <f aca="false">IF(1&gt;$A49,0,Q_zero-Cost_round*IF(1&lt;=$B49,1,0)+C49-X49)</f>
        <v>150</v>
      </c>
      <c r="AT49" s="14" t="n">
        <f aca="false">IF(2&gt;$A49,0,X49-Cost_round*IF(2&lt;=$B49,1,0)+D49-Y49)</f>
        <v>0</v>
      </c>
      <c r="AU49" s="14" t="n">
        <f aca="false">IF(3&gt;$A49,0,Y49-Cost_round*IF(3&lt;=$B49,1,0)+E49-Z49)</f>
        <v>0</v>
      </c>
      <c r="AV49" s="14" t="n">
        <f aca="false">IF(4&gt;$A49,0,Z49-Cost_round*IF(4&lt;=$B49,1,0)+F49-AA49)</f>
        <v>0</v>
      </c>
      <c r="AW49" s="14" t="n">
        <f aca="false">IF(5&gt;$A49,0,AA49-Cost_round*IF(5&lt;=$B49,1,0)+G49-AB49)</f>
        <v>0</v>
      </c>
      <c r="AX49" s="14" t="n">
        <f aca="false">IF(6&gt;$A49,0,AB49-Cost_round*IF(6&lt;=$B49,1,0)+H49-AC49)</f>
        <v>0</v>
      </c>
      <c r="AY49" s="14" t="n">
        <f aca="false">IF(7&gt;$A49,0,AC49-Cost_round*IF(7&lt;=$B49,1,0)+I49-AD49)</f>
        <v>0</v>
      </c>
      <c r="AZ49" s="14" t="n">
        <f aca="false">IF(8&gt;$A49,0,AD49-Cost_round*IF(8&lt;=$B49,1,0)+J49-AE49)</f>
        <v>0</v>
      </c>
      <c r="BA49" s="14" t="n">
        <f aca="false">IF(9&gt;$A49,0,AE49-Cost_round*IF(9&lt;=$B49,1,0)+K49-AF49)</f>
        <v>0</v>
      </c>
      <c r="BB49" s="14" t="n">
        <f aca="false">IF(10&gt;$A49,0,AF49-Cost_round*IF(10&lt;=$B49,1,0)+L49-AG49)</f>
        <v>0</v>
      </c>
      <c r="BC49" s="14" t="n">
        <f aca="false">IF(11&gt;$A49,0,AG49-Cost_round*IF(11&lt;=$B49,1,0)+M49-AH49)</f>
        <v>0</v>
      </c>
      <c r="BD49" s="14" t="n">
        <f aca="false">IF(12&gt;$A49,0,AH49-Cost_round*IF(12&lt;=$B49,1,0)+N49-AI49)</f>
        <v>0</v>
      </c>
      <c r="BE49" s="14" t="n">
        <f aca="false">IF(13&gt;$A49,0,AI49-Cost_round*IF(13&lt;=$B49,1,0)+O49-AJ49)</f>
        <v>0</v>
      </c>
      <c r="BF49" s="14" t="n">
        <f aca="false">IF(14&gt;$A49,0,AJ49-Cost_round*IF(14&lt;=$B49,1,0)+P49-AK49)</f>
        <v>0</v>
      </c>
      <c r="BG49" s="14" t="n">
        <f aca="false">IF(15&gt;$A49,0,AK49-Cost_round*IF(15&lt;=$B49,1,0)+Q49-AL49)</f>
        <v>0</v>
      </c>
      <c r="BH49" s="14" t="n">
        <f aca="false">IF(16&gt;$A49,0,AL49-Cost_round*IF(16&lt;=$B49,1,0)+R49-AM49)</f>
        <v>0</v>
      </c>
      <c r="BI49" s="14" t="n">
        <f aca="false">IF(17&gt;$A49,0,AM49-Cost_round*IF(17&lt;=$B49,1,0)+S49-AN49)</f>
        <v>0</v>
      </c>
      <c r="BJ49" s="14" t="n">
        <f aca="false">IF(18&gt;$A49,0,AN49-Cost_round*IF(18&lt;=$B49,1,0)+T49-AO49)</f>
        <v>0</v>
      </c>
      <c r="BK49" s="14" t="n">
        <f aca="false">IF(19&gt;$A49,0,AO49-Cost_round*IF(19&lt;=$B49,1,0)+U49-AP49)</f>
        <v>0</v>
      </c>
      <c r="BL49" s="14" t="n">
        <f aca="false">IF(20&gt;$A49,0,AP49-Cost_round*IF(20&lt;=$B49,1,0)+V49-AQ49)</f>
        <v>0</v>
      </c>
      <c r="BM49" s="17" t="n">
        <f aca="false">IF($AR49=1,SUMPRODUCT(AS49:BL49,$AS$38:$BL$38),"")</f>
        <v>136.363636363636</v>
      </c>
      <c r="BN49" s="17" t="n">
        <f aca="false">IF($AR49=1,BM49+INDEX($AS$38:$BL$38,$A49)*INDEX(C49:V49,$A49)/Hurdle_r,"")</f>
        <v>136.363636363636</v>
      </c>
    </row>
    <row r="50" customFormat="false" ht="15" hidden="false" customHeight="false" outlineLevel="0" collapsed="false">
      <c r="A50" s="2" t="n">
        <v>4</v>
      </c>
      <c r="B50" s="2" t="n">
        <v>1</v>
      </c>
      <c r="C50" s="14" t="n">
        <f aca="false">IF(1&gt;$A50,0,Val_pt*(Ceiling_e-E_zero)*(1-(1-Half_gap)^MIN(1,$B50)))</f>
        <v>70</v>
      </c>
      <c r="D50" s="14" t="n">
        <f aca="false">IF(2&gt;$A50,0,Val_pt*(Ceiling_e-E_zero)*(1-(1-Half_gap)^MIN(2,$B50)))</f>
        <v>70</v>
      </c>
      <c r="E50" s="14" t="n">
        <f aca="false">IF(3&gt;$A50,0,Val_pt*(Ceiling_e-E_zero)*(1-(1-Half_gap)^MIN(3,$B50)))</f>
        <v>70</v>
      </c>
      <c r="F50" s="14" t="n">
        <f aca="false">IF(4&gt;$A50,0,Val_pt*(Ceiling_e-E_zero)*(1-(1-Half_gap)^MIN(4,$B50)))</f>
        <v>70</v>
      </c>
      <c r="G50" s="14" t="n">
        <f aca="false">IF(5&gt;$A50,0,Val_pt*(Ceiling_e-E_zero)*(1-(1-Half_gap)^MIN(5,$B50)))</f>
        <v>0</v>
      </c>
      <c r="H50" s="14" t="n">
        <f aca="false">IF(6&gt;$A50,0,Val_pt*(Ceiling_e-E_zero)*(1-(1-Half_gap)^MIN(6,$B50)))</f>
        <v>0</v>
      </c>
      <c r="I50" s="14" t="n">
        <f aca="false">IF(7&gt;$A50,0,Val_pt*(Ceiling_e-E_zero)*(1-(1-Half_gap)^MIN(7,$B50)))</f>
        <v>0</v>
      </c>
      <c r="J50" s="14" t="n">
        <f aca="false">IF(8&gt;$A50,0,Val_pt*(Ceiling_e-E_zero)*(1-(1-Half_gap)^MIN(8,$B50)))</f>
        <v>0</v>
      </c>
      <c r="K50" s="14" t="n">
        <f aca="false">IF(9&gt;$A50,0,Val_pt*(Ceiling_e-E_zero)*(1-(1-Half_gap)^MIN(9,$B50)))</f>
        <v>0</v>
      </c>
      <c r="L50" s="14" t="n">
        <f aca="false">IF(10&gt;$A50,0,Val_pt*(Ceiling_e-E_zero)*(1-(1-Half_gap)^MIN(10,$B50)))</f>
        <v>0</v>
      </c>
      <c r="M50" s="14" t="n">
        <f aca="false">IF(11&gt;$A50,0,Val_pt*(Ceiling_e-E_zero)*(1-(1-Half_gap)^MIN(11,$B50)))</f>
        <v>0</v>
      </c>
      <c r="N50" s="14" t="n">
        <f aca="false">IF(12&gt;$A50,0,Val_pt*(Ceiling_e-E_zero)*(1-(1-Half_gap)^MIN(12,$B50)))</f>
        <v>0</v>
      </c>
      <c r="O50" s="14" t="n">
        <f aca="false">IF(13&gt;$A50,0,Val_pt*(Ceiling_e-E_zero)*(1-(1-Half_gap)^MIN(13,$B50)))</f>
        <v>0</v>
      </c>
      <c r="P50" s="14" t="n">
        <f aca="false">IF(14&gt;$A50,0,Val_pt*(Ceiling_e-E_zero)*(1-(1-Half_gap)^MIN(14,$B50)))</f>
        <v>0</v>
      </c>
      <c r="Q50" s="14" t="n">
        <f aca="false">IF(15&gt;$A50,0,Val_pt*(Ceiling_e-E_zero)*(1-(1-Half_gap)^MIN(15,$B50)))</f>
        <v>0</v>
      </c>
      <c r="R50" s="14" t="n">
        <f aca="false">IF(16&gt;$A50,0,Val_pt*(Ceiling_e-E_zero)*(1-(1-Half_gap)^MIN(16,$B50)))</f>
        <v>0</v>
      </c>
      <c r="S50" s="14" t="n">
        <f aca="false">IF(17&gt;$A50,0,Val_pt*(Ceiling_e-E_zero)*(1-(1-Half_gap)^MIN(17,$B50)))</f>
        <v>0</v>
      </c>
      <c r="T50" s="14" t="n">
        <f aca="false">IF(18&gt;$A50,0,Val_pt*(Ceiling_e-E_zero)*(1-(1-Half_gap)^MIN(18,$B50)))</f>
        <v>0</v>
      </c>
      <c r="U50" s="14" t="n">
        <f aca="false">IF(19&gt;$A50,0,Val_pt*(Ceiling_e-E_zero)*(1-(1-Half_gap)^MIN(19,$B50)))</f>
        <v>0</v>
      </c>
      <c r="V50" s="14" t="n">
        <f aca="false">IF(20&gt;$A50,0,Val_pt*(Ceiling_e-E_zero)*(1-(1-Half_gap)^MIN(20,$B50)))</f>
        <v>0</v>
      </c>
      <c r="W50" s="14" t="n">
        <f aca="false">IF(0&gt;$A50,0,IF(0=$A50,MAX(End_q,Floor_q),MAX(X50+Cost_round*IF(1&lt;=$B50,1,0)-C50,IF(1&lt;=$B50,1,0)*Pre_q)))</f>
        <v>470</v>
      </c>
      <c r="X50" s="14" t="n">
        <f aca="false">IF(1&gt;$A50,0,IF(1=$A50,MAX(End_q,Floor_q),MAX(Y50+Cost_round*IF(2&lt;=$B50,1,0)-D50,IF(2&lt;=$B50,1,0)*Pre_q,Floor_q)))</f>
        <v>350</v>
      </c>
      <c r="Y50" s="14" t="n">
        <f aca="false">IF(2&gt;$A50,0,IF(2=$A50,MAX(End_q,Floor_q),MAX(Z50+Cost_round*IF(3&lt;=$B50,1,0)-E50,IF(3&lt;=$B50,1,0)*Pre_q,Floor_q)))</f>
        <v>350</v>
      </c>
      <c r="Z50" s="14" t="n">
        <f aca="false">IF(3&gt;$A50,0,IF(3=$A50,MAX(End_q,Floor_q),MAX(AA50+Cost_round*IF(4&lt;=$B50,1,0)-F50,IF(4&lt;=$B50,1,0)*Pre_q,Floor_q)))</f>
        <v>400</v>
      </c>
      <c r="AA50" s="14" t="n">
        <f aca="false">IF(4&gt;$A50,0,IF(4=$A50,MAX(End_q,Floor_q),MAX(AB50+Cost_round*IF(5&lt;=$B50,1,0)-G50,IF(5&lt;=$B50,1,0)*Pre_q,Floor_q)))</f>
        <v>470</v>
      </c>
      <c r="AB50" s="14" t="n">
        <f aca="false">IF(5&gt;$A50,0,IF(5=$A50,MAX(End_q,Floor_q),MAX(AC50+Cost_round*IF(6&lt;=$B50,1,0)-H50,IF(6&lt;=$B50,1,0)*Pre_q,Floor_q)))</f>
        <v>0</v>
      </c>
      <c r="AC50" s="14" t="n">
        <f aca="false">IF(6&gt;$A50,0,IF(6=$A50,MAX(End_q,Floor_q),MAX(AD50+Cost_round*IF(7&lt;=$B50,1,0)-I50,IF(7&lt;=$B50,1,0)*Pre_q,Floor_q)))</f>
        <v>0</v>
      </c>
      <c r="AD50" s="14" t="n">
        <f aca="false">IF(7&gt;$A50,0,IF(7=$A50,MAX(End_q,Floor_q),MAX(AE50+Cost_round*IF(8&lt;=$B50,1,0)-J50,IF(8&lt;=$B50,1,0)*Pre_q,Floor_q)))</f>
        <v>0</v>
      </c>
      <c r="AE50" s="14" t="n">
        <f aca="false">IF(8&gt;$A50,0,IF(8=$A50,MAX(End_q,Floor_q),MAX(AF50+Cost_round*IF(9&lt;=$B50,1,0)-K50,IF(9&lt;=$B50,1,0)*Pre_q,Floor_q)))</f>
        <v>0</v>
      </c>
      <c r="AF50" s="14" t="n">
        <f aca="false">IF(9&gt;$A50,0,IF(9=$A50,MAX(End_q,Floor_q),MAX(AG50+Cost_round*IF(10&lt;=$B50,1,0)-L50,IF(10&lt;=$B50,1,0)*Pre_q,Floor_q)))</f>
        <v>0</v>
      </c>
      <c r="AG50" s="14" t="n">
        <f aca="false">IF(10&gt;$A50,0,IF(10=$A50,MAX(End_q,Floor_q),MAX(AH50+Cost_round*IF(11&lt;=$B50,1,0)-M50,IF(11&lt;=$B50,1,0)*Pre_q,Floor_q)))</f>
        <v>0</v>
      </c>
      <c r="AH50" s="14" t="n">
        <f aca="false">IF(11&gt;$A50,0,IF(11=$A50,MAX(End_q,Floor_q),MAX(AI50+Cost_round*IF(12&lt;=$B50,1,0)-N50,IF(12&lt;=$B50,1,0)*Pre_q,Floor_q)))</f>
        <v>0</v>
      </c>
      <c r="AI50" s="14" t="n">
        <f aca="false">IF(12&gt;$A50,0,IF(12=$A50,MAX(End_q,Floor_q),MAX(AJ50+Cost_round*IF(13&lt;=$B50,1,0)-O50,IF(13&lt;=$B50,1,0)*Pre_q,Floor_q)))</f>
        <v>0</v>
      </c>
      <c r="AJ50" s="14" t="n">
        <f aca="false">IF(13&gt;$A50,0,IF(13=$A50,MAX(End_q,Floor_q),MAX(AK50+Cost_round*IF(14&lt;=$B50,1,0)-P50,IF(14&lt;=$B50,1,0)*Pre_q,Floor_q)))</f>
        <v>0</v>
      </c>
      <c r="AK50" s="14" t="n">
        <f aca="false">IF(14&gt;$A50,0,IF(14=$A50,MAX(End_q,Floor_q),MAX(AL50+Cost_round*IF(15&lt;=$B50,1,0)-Q50,IF(15&lt;=$B50,1,0)*Pre_q,Floor_q)))</f>
        <v>0</v>
      </c>
      <c r="AL50" s="14" t="n">
        <f aca="false">IF(15&gt;$A50,0,IF(15=$A50,MAX(End_q,Floor_q),MAX(AM50+Cost_round*IF(16&lt;=$B50,1,0)-R50,IF(16&lt;=$B50,1,0)*Pre_q,Floor_q)))</f>
        <v>0</v>
      </c>
      <c r="AM50" s="14" t="n">
        <f aca="false">IF(16&gt;$A50,0,IF(16=$A50,MAX(End_q,Floor_q),MAX(AN50+Cost_round*IF(17&lt;=$B50,1,0)-S50,IF(17&lt;=$B50,1,0)*Pre_q,Floor_q)))</f>
        <v>0</v>
      </c>
      <c r="AN50" s="14" t="n">
        <f aca="false">IF(17&gt;$A50,0,IF(17=$A50,MAX(End_q,Floor_q),MAX(AO50+Cost_round*IF(18&lt;=$B50,1,0)-T50,IF(18&lt;=$B50,1,0)*Pre_q,Floor_q)))</f>
        <v>0</v>
      </c>
      <c r="AO50" s="14" t="n">
        <f aca="false">IF(18&gt;$A50,0,IF(18=$A50,MAX(End_q,Floor_q),MAX(AP50+Cost_round*IF(19&lt;=$B50,1,0)-U50,IF(19&lt;=$B50,1,0)*Pre_q,Floor_q)))</f>
        <v>0</v>
      </c>
      <c r="AP50" s="14" t="n">
        <f aca="false">IF(19&gt;$A50,0,IF(19=$A50,MAX(End_q,Floor_q),MAX(AQ50+Cost_round*IF(20&lt;=$B50,1,0)-V50,IF(20&lt;=$B50,1,0)*Pre_q,Floor_q)))</f>
        <v>0</v>
      </c>
      <c r="AQ50" s="14" t="n">
        <f aca="false">IF(20&gt;$A50,0,MAX(End_q,Floor_q))</f>
        <v>0</v>
      </c>
      <c r="AR50" s="15" t="n">
        <f aca="false">IF(Q_zero&gt;=W50-0.000000001,1,0)</f>
        <v>1</v>
      </c>
      <c r="AS50" s="14" t="n">
        <f aca="false">IF(1&gt;$A50,0,Q_zero-Cost_round*IF(1&lt;=$B50,1,0)+C50-X50)</f>
        <v>220</v>
      </c>
      <c r="AT50" s="14" t="n">
        <f aca="false">IF(2&gt;$A50,0,X50-Cost_round*IF(2&lt;=$B50,1,0)+D50-Y50)</f>
        <v>70</v>
      </c>
      <c r="AU50" s="14" t="n">
        <f aca="false">IF(3&gt;$A50,0,Y50-Cost_round*IF(3&lt;=$B50,1,0)+E50-Z50)</f>
        <v>20</v>
      </c>
      <c r="AV50" s="14" t="n">
        <f aca="false">IF(4&gt;$A50,0,Z50-Cost_round*IF(4&lt;=$B50,1,0)+F50-AA50)</f>
        <v>0</v>
      </c>
      <c r="AW50" s="14" t="n">
        <f aca="false">IF(5&gt;$A50,0,AA50-Cost_round*IF(5&lt;=$B50,1,0)+G50-AB50)</f>
        <v>0</v>
      </c>
      <c r="AX50" s="14" t="n">
        <f aca="false">IF(6&gt;$A50,0,AB50-Cost_round*IF(6&lt;=$B50,1,0)+H50-AC50)</f>
        <v>0</v>
      </c>
      <c r="AY50" s="14" t="n">
        <f aca="false">IF(7&gt;$A50,0,AC50-Cost_round*IF(7&lt;=$B50,1,0)+I50-AD50)</f>
        <v>0</v>
      </c>
      <c r="AZ50" s="14" t="n">
        <f aca="false">IF(8&gt;$A50,0,AD50-Cost_round*IF(8&lt;=$B50,1,0)+J50-AE50)</f>
        <v>0</v>
      </c>
      <c r="BA50" s="14" t="n">
        <f aca="false">IF(9&gt;$A50,0,AE50-Cost_round*IF(9&lt;=$B50,1,0)+K50-AF50)</f>
        <v>0</v>
      </c>
      <c r="BB50" s="14" t="n">
        <f aca="false">IF(10&gt;$A50,0,AF50-Cost_round*IF(10&lt;=$B50,1,0)+L50-AG50)</f>
        <v>0</v>
      </c>
      <c r="BC50" s="14" t="n">
        <f aca="false">IF(11&gt;$A50,0,AG50-Cost_round*IF(11&lt;=$B50,1,0)+M50-AH50)</f>
        <v>0</v>
      </c>
      <c r="BD50" s="14" t="n">
        <f aca="false">IF(12&gt;$A50,0,AH50-Cost_round*IF(12&lt;=$B50,1,0)+N50-AI50)</f>
        <v>0</v>
      </c>
      <c r="BE50" s="14" t="n">
        <f aca="false">IF(13&gt;$A50,0,AI50-Cost_round*IF(13&lt;=$B50,1,0)+O50-AJ50)</f>
        <v>0</v>
      </c>
      <c r="BF50" s="14" t="n">
        <f aca="false">IF(14&gt;$A50,0,AJ50-Cost_round*IF(14&lt;=$B50,1,0)+P50-AK50)</f>
        <v>0</v>
      </c>
      <c r="BG50" s="14" t="n">
        <f aca="false">IF(15&gt;$A50,0,AK50-Cost_round*IF(15&lt;=$B50,1,0)+Q50-AL50)</f>
        <v>0</v>
      </c>
      <c r="BH50" s="14" t="n">
        <f aca="false">IF(16&gt;$A50,0,AL50-Cost_round*IF(16&lt;=$B50,1,0)+R50-AM50)</f>
        <v>0</v>
      </c>
      <c r="BI50" s="14" t="n">
        <f aca="false">IF(17&gt;$A50,0,AM50-Cost_round*IF(17&lt;=$B50,1,0)+S50-AN50)</f>
        <v>0</v>
      </c>
      <c r="BJ50" s="14" t="n">
        <f aca="false">IF(18&gt;$A50,0,AN50-Cost_round*IF(18&lt;=$B50,1,0)+T50-AO50)</f>
        <v>0</v>
      </c>
      <c r="BK50" s="14" t="n">
        <f aca="false">IF(19&gt;$A50,0,AO50-Cost_round*IF(19&lt;=$B50,1,0)+U50-AP50)</f>
        <v>0</v>
      </c>
      <c r="BL50" s="14" t="n">
        <f aca="false">IF(20&gt;$A50,0,AP50-Cost_round*IF(20&lt;=$B50,1,0)+V50-AQ50)</f>
        <v>0</v>
      </c>
      <c r="BM50" s="17" t="n">
        <f aca="false">IF($AR50=1,SUMPRODUCT(AS50:BL50,$AS$38:$BL$38),"")</f>
        <v>272.877535687453</v>
      </c>
      <c r="BN50" s="17" t="n">
        <f aca="false">IF($AR50=1,BM50+INDEX($AS$38:$BL$38,$A50)*INDEX(C50:V50,$A50)/Hurdle_r,"")</f>
        <v>750.986954443002</v>
      </c>
    </row>
    <row r="51" customFormat="false" ht="15" hidden="false" customHeight="false" outlineLevel="0" collapsed="false">
      <c r="A51" s="2" t="n">
        <v>4</v>
      </c>
      <c r="B51" s="2" t="n">
        <v>2</v>
      </c>
      <c r="C51" s="14" t="n">
        <f aca="false">IF(1&gt;$A51,0,Val_pt*(Ceiling_e-E_zero)*(1-(1-Half_gap)^MIN(1,$B51)))</f>
        <v>70</v>
      </c>
      <c r="D51" s="14" t="n">
        <f aca="false">IF(2&gt;$A51,0,Val_pt*(Ceiling_e-E_zero)*(1-(1-Half_gap)^MIN(2,$B51)))</f>
        <v>105</v>
      </c>
      <c r="E51" s="14" t="n">
        <f aca="false">IF(3&gt;$A51,0,Val_pt*(Ceiling_e-E_zero)*(1-(1-Half_gap)^MIN(3,$B51)))</f>
        <v>105</v>
      </c>
      <c r="F51" s="14" t="n">
        <f aca="false">IF(4&gt;$A51,0,Val_pt*(Ceiling_e-E_zero)*(1-(1-Half_gap)^MIN(4,$B51)))</f>
        <v>105</v>
      </c>
      <c r="G51" s="14" t="n">
        <f aca="false">IF(5&gt;$A51,0,Val_pt*(Ceiling_e-E_zero)*(1-(1-Half_gap)^MIN(5,$B51)))</f>
        <v>0</v>
      </c>
      <c r="H51" s="14" t="n">
        <f aca="false">IF(6&gt;$A51,0,Val_pt*(Ceiling_e-E_zero)*(1-(1-Half_gap)^MIN(6,$B51)))</f>
        <v>0</v>
      </c>
      <c r="I51" s="14" t="n">
        <f aca="false">IF(7&gt;$A51,0,Val_pt*(Ceiling_e-E_zero)*(1-(1-Half_gap)^MIN(7,$B51)))</f>
        <v>0</v>
      </c>
      <c r="J51" s="14" t="n">
        <f aca="false">IF(8&gt;$A51,0,Val_pt*(Ceiling_e-E_zero)*(1-(1-Half_gap)^MIN(8,$B51)))</f>
        <v>0</v>
      </c>
      <c r="K51" s="14" t="n">
        <f aca="false">IF(9&gt;$A51,0,Val_pt*(Ceiling_e-E_zero)*(1-(1-Half_gap)^MIN(9,$B51)))</f>
        <v>0</v>
      </c>
      <c r="L51" s="14" t="n">
        <f aca="false">IF(10&gt;$A51,0,Val_pt*(Ceiling_e-E_zero)*(1-(1-Half_gap)^MIN(10,$B51)))</f>
        <v>0</v>
      </c>
      <c r="M51" s="14" t="n">
        <f aca="false">IF(11&gt;$A51,0,Val_pt*(Ceiling_e-E_zero)*(1-(1-Half_gap)^MIN(11,$B51)))</f>
        <v>0</v>
      </c>
      <c r="N51" s="14" t="n">
        <f aca="false">IF(12&gt;$A51,0,Val_pt*(Ceiling_e-E_zero)*(1-(1-Half_gap)^MIN(12,$B51)))</f>
        <v>0</v>
      </c>
      <c r="O51" s="14" t="n">
        <f aca="false">IF(13&gt;$A51,0,Val_pt*(Ceiling_e-E_zero)*(1-(1-Half_gap)^MIN(13,$B51)))</f>
        <v>0</v>
      </c>
      <c r="P51" s="14" t="n">
        <f aca="false">IF(14&gt;$A51,0,Val_pt*(Ceiling_e-E_zero)*(1-(1-Half_gap)^MIN(14,$B51)))</f>
        <v>0</v>
      </c>
      <c r="Q51" s="14" t="n">
        <f aca="false">IF(15&gt;$A51,0,Val_pt*(Ceiling_e-E_zero)*(1-(1-Half_gap)^MIN(15,$B51)))</f>
        <v>0</v>
      </c>
      <c r="R51" s="14" t="n">
        <f aca="false">IF(16&gt;$A51,0,Val_pt*(Ceiling_e-E_zero)*(1-(1-Half_gap)^MIN(16,$B51)))</f>
        <v>0</v>
      </c>
      <c r="S51" s="14" t="n">
        <f aca="false">IF(17&gt;$A51,0,Val_pt*(Ceiling_e-E_zero)*(1-(1-Half_gap)^MIN(17,$B51)))</f>
        <v>0</v>
      </c>
      <c r="T51" s="14" t="n">
        <f aca="false">IF(18&gt;$A51,0,Val_pt*(Ceiling_e-E_zero)*(1-(1-Half_gap)^MIN(18,$B51)))</f>
        <v>0</v>
      </c>
      <c r="U51" s="14" t="n">
        <f aca="false">IF(19&gt;$A51,0,Val_pt*(Ceiling_e-E_zero)*(1-(1-Half_gap)^MIN(19,$B51)))</f>
        <v>0</v>
      </c>
      <c r="V51" s="14" t="n">
        <f aca="false">IF(20&gt;$A51,0,Val_pt*(Ceiling_e-E_zero)*(1-(1-Half_gap)^MIN(20,$B51)))</f>
        <v>0</v>
      </c>
      <c r="W51" s="14" t="n">
        <f aca="false">IF(0&gt;$A51,0,IF(0=$A51,MAX(End_q,Floor_q),MAX(X51+Cost_round*IF(1&lt;=$B51,1,0)-C51,IF(1&lt;=$B51,1,0)*Pre_q)))</f>
        <v>520</v>
      </c>
      <c r="X51" s="14" t="n">
        <f aca="false">IF(1&gt;$A51,0,IF(1=$A51,MAX(End_q,Floor_q),MAX(Y51+Cost_round*IF(2&lt;=$B51,1,0)-D51,IF(2&lt;=$B51,1,0)*Pre_q,Floor_q)))</f>
        <v>470</v>
      </c>
      <c r="Y51" s="14" t="n">
        <f aca="false">IF(2&gt;$A51,0,IF(2=$A51,MAX(End_q,Floor_q),MAX(Z51+Cost_round*IF(3&lt;=$B51,1,0)-E51,IF(3&lt;=$B51,1,0)*Pre_q,Floor_q)))</f>
        <v>350</v>
      </c>
      <c r="Z51" s="14" t="n">
        <f aca="false">IF(3&gt;$A51,0,IF(3=$A51,MAX(End_q,Floor_q),MAX(AA51+Cost_round*IF(4&lt;=$B51,1,0)-F51,IF(4&lt;=$B51,1,0)*Pre_q,Floor_q)))</f>
        <v>365</v>
      </c>
      <c r="AA51" s="14" t="n">
        <f aca="false">IF(4&gt;$A51,0,IF(4=$A51,MAX(End_q,Floor_q),MAX(AB51+Cost_round*IF(5&lt;=$B51,1,0)-G51,IF(5&lt;=$B51,1,0)*Pre_q,Floor_q)))</f>
        <v>470</v>
      </c>
      <c r="AB51" s="14" t="n">
        <f aca="false">IF(5&gt;$A51,0,IF(5=$A51,MAX(End_q,Floor_q),MAX(AC51+Cost_round*IF(6&lt;=$B51,1,0)-H51,IF(6&lt;=$B51,1,0)*Pre_q,Floor_q)))</f>
        <v>0</v>
      </c>
      <c r="AC51" s="14" t="n">
        <f aca="false">IF(6&gt;$A51,0,IF(6=$A51,MAX(End_q,Floor_q),MAX(AD51+Cost_round*IF(7&lt;=$B51,1,0)-I51,IF(7&lt;=$B51,1,0)*Pre_q,Floor_q)))</f>
        <v>0</v>
      </c>
      <c r="AD51" s="14" t="n">
        <f aca="false">IF(7&gt;$A51,0,IF(7=$A51,MAX(End_q,Floor_q),MAX(AE51+Cost_round*IF(8&lt;=$B51,1,0)-J51,IF(8&lt;=$B51,1,0)*Pre_q,Floor_q)))</f>
        <v>0</v>
      </c>
      <c r="AE51" s="14" t="n">
        <f aca="false">IF(8&gt;$A51,0,IF(8=$A51,MAX(End_q,Floor_q),MAX(AF51+Cost_round*IF(9&lt;=$B51,1,0)-K51,IF(9&lt;=$B51,1,0)*Pre_q,Floor_q)))</f>
        <v>0</v>
      </c>
      <c r="AF51" s="14" t="n">
        <f aca="false">IF(9&gt;$A51,0,IF(9=$A51,MAX(End_q,Floor_q),MAX(AG51+Cost_round*IF(10&lt;=$B51,1,0)-L51,IF(10&lt;=$B51,1,0)*Pre_q,Floor_q)))</f>
        <v>0</v>
      </c>
      <c r="AG51" s="14" t="n">
        <f aca="false">IF(10&gt;$A51,0,IF(10=$A51,MAX(End_q,Floor_q),MAX(AH51+Cost_round*IF(11&lt;=$B51,1,0)-M51,IF(11&lt;=$B51,1,0)*Pre_q,Floor_q)))</f>
        <v>0</v>
      </c>
      <c r="AH51" s="14" t="n">
        <f aca="false">IF(11&gt;$A51,0,IF(11=$A51,MAX(End_q,Floor_q),MAX(AI51+Cost_round*IF(12&lt;=$B51,1,0)-N51,IF(12&lt;=$B51,1,0)*Pre_q,Floor_q)))</f>
        <v>0</v>
      </c>
      <c r="AI51" s="14" t="n">
        <f aca="false">IF(12&gt;$A51,0,IF(12=$A51,MAX(End_q,Floor_q),MAX(AJ51+Cost_round*IF(13&lt;=$B51,1,0)-O51,IF(13&lt;=$B51,1,0)*Pre_q,Floor_q)))</f>
        <v>0</v>
      </c>
      <c r="AJ51" s="14" t="n">
        <f aca="false">IF(13&gt;$A51,0,IF(13=$A51,MAX(End_q,Floor_q),MAX(AK51+Cost_round*IF(14&lt;=$B51,1,0)-P51,IF(14&lt;=$B51,1,0)*Pre_q,Floor_q)))</f>
        <v>0</v>
      </c>
      <c r="AK51" s="14" t="n">
        <f aca="false">IF(14&gt;$A51,0,IF(14=$A51,MAX(End_q,Floor_q),MAX(AL51+Cost_round*IF(15&lt;=$B51,1,0)-Q51,IF(15&lt;=$B51,1,0)*Pre_q,Floor_q)))</f>
        <v>0</v>
      </c>
      <c r="AL51" s="14" t="n">
        <f aca="false">IF(15&gt;$A51,0,IF(15=$A51,MAX(End_q,Floor_q),MAX(AM51+Cost_round*IF(16&lt;=$B51,1,0)-R51,IF(16&lt;=$B51,1,0)*Pre_q,Floor_q)))</f>
        <v>0</v>
      </c>
      <c r="AM51" s="14" t="n">
        <f aca="false">IF(16&gt;$A51,0,IF(16=$A51,MAX(End_q,Floor_q),MAX(AN51+Cost_round*IF(17&lt;=$B51,1,0)-S51,IF(17&lt;=$B51,1,0)*Pre_q,Floor_q)))</f>
        <v>0</v>
      </c>
      <c r="AN51" s="14" t="n">
        <f aca="false">IF(17&gt;$A51,0,IF(17=$A51,MAX(End_q,Floor_q),MAX(AO51+Cost_round*IF(18&lt;=$B51,1,0)-T51,IF(18&lt;=$B51,1,0)*Pre_q,Floor_q)))</f>
        <v>0</v>
      </c>
      <c r="AO51" s="14" t="n">
        <f aca="false">IF(18&gt;$A51,0,IF(18=$A51,MAX(End_q,Floor_q),MAX(AP51+Cost_round*IF(19&lt;=$B51,1,0)-U51,IF(19&lt;=$B51,1,0)*Pre_q,Floor_q)))</f>
        <v>0</v>
      </c>
      <c r="AP51" s="14" t="n">
        <f aca="false">IF(19&gt;$A51,0,IF(19=$A51,MAX(End_q,Floor_q),MAX(AQ51+Cost_round*IF(20&lt;=$B51,1,0)-V51,IF(20&lt;=$B51,1,0)*Pre_q,Floor_q)))</f>
        <v>0</v>
      </c>
      <c r="AQ51" s="14" t="n">
        <f aca="false">IF(20&gt;$A51,0,MAX(End_q,Floor_q))</f>
        <v>0</v>
      </c>
      <c r="AR51" s="15" t="n">
        <f aca="false">IF(Q_zero&gt;=W51-0.000000001,1,0)</f>
        <v>1</v>
      </c>
      <c r="AS51" s="14" t="n">
        <f aca="false">IF(1&gt;$A51,0,Q_zero-Cost_round*IF(1&lt;=$B51,1,0)+C51-X51)</f>
        <v>100</v>
      </c>
      <c r="AT51" s="14" t="n">
        <f aca="false">IF(2&gt;$A51,0,X51-Cost_round*IF(2&lt;=$B51,1,0)+D51-Y51)</f>
        <v>105</v>
      </c>
      <c r="AU51" s="14" t="n">
        <f aca="false">IF(3&gt;$A51,0,Y51-Cost_round*IF(3&lt;=$B51,1,0)+E51-Z51)</f>
        <v>90</v>
      </c>
      <c r="AV51" s="14" t="n">
        <f aca="false">IF(4&gt;$A51,0,Z51-Cost_round*IF(4&lt;=$B51,1,0)+F51-AA51)</f>
        <v>0</v>
      </c>
      <c r="AW51" s="14" t="n">
        <f aca="false">IF(5&gt;$A51,0,AA51-Cost_round*IF(5&lt;=$B51,1,0)+G51-AB51)</f>
        <v>0</v>
      </c>
      <c r="AX51" s="14" t="n">
        <f aca="false">IF(6&gt;$A51,0,AB51-Cost_round*IF(6&lt;=$B51,1,0)+H51-AC51)</f>
        <v>0</v>
      </c>
      <c r="AY51" s="14" t="n">
        <f aca="false">IF(7&gt;$A51,0,AC51-Cost_round*IF(7&lt;=$B51,1,0)+I51-AD51)</f>
        <v>0</v>
      </c>
      <c r="AZ51" s="14" t="n">
        <f aca="false">IF(8&gt;$A51,0,AD51-Cost_round*IF(8&lt;=$B51,1,0)+J51-AE51)</f>
        <v>0</v>
      </c>
      <c r="BA51" s="14" t="n">
        <f aca="false">IF(9&gt;$A51,0,AE51-Cost_round*IF(9&lt;=$B51,1,0)+K51-AF51)</f>
        <v>0</v>
      </c>
      <c r="BB51" s="14" t="n">
        <f aca="false">IF(10&gt;$A51,0,AF51-Cost_round*IF(10&lt;=$B51,1,0)+L51-AG51)</f>
        <v>0</v>
      </c>
      <c r="BC51" s="14" t="n">
        <f aca="false">IF(11&gt;$A51,0,AG51-Cost_round*IF(11&lt;=$B51,1,0)+M51-AH51)</f>
        <v>0</v>
      </c>
      <c r="BD51" s="14" t="n">
        <f aca="false">IF(12&gt;$A51,0,AH51-Cost_round*IF(12&lt;=$B51,1,0)+N51-AI51)</f>
        <v>0</v>
      </c>
      <c r="BE51" s="14" t="n">
        <f aca="false">IF(13&gt;$A51,0,AI51-Cost_round*IF(13&lt;=$B51,1,0)+O51-AJ51)</f>
        <v>0</v>
      </c>
      <c r="BF51" s="14" t="n">
        <f aca="false">IF(14&gt;$A51,0,AJ51-Cost_round*IF(14&lt;=$B51,1,0)+P51-AK51)</f>
        <v>0</v>
      </c>
      <c r="BG51" s="14" t="n">
        <f aca="false">IF(15&gt;$A51,0,AK51-Cost_round*IF(15&lt;=$B51,1,0)+Q51-AL51)</f>
        <v>0</v>
      </c>
      <c r="BH51" s="14" t="n">
        <f aca="false">IF(16&gt;$A51,0,AL51-Cost_round*IF(16&lt;=$B51,1,0)+R51-AM51)</f>
        <v>0</v>
      </c>
      <c r="BI51" s="14" t="n">
        <f aca="false">IF(17&gt;$A51,0,AM51-Cost_round*IF(17&lt;=$B51,1,0)+S51-AN51)</f>
        <v>0</v>
      </c>
      <c r="BJ51" s="14" t="n">
        <f aca="false">IF(18&gt;$A51,0,AN51-Cost_round*IF(18&lt;=$B51,1,0)+T51-AO51)</f>
        <v>0</v>
      </c>
      <c r="BK51" s="14" t="n">
        <f aca="false">IF(19&gt;$A51,0,AO51-Cost_round*IF(19&lt;=$B51,1,0)+U51-AP51)</f>
        <v>0</v>
      </c>
      <c r="BL51" s="14" t="n">
        <f aca="false">IF(20&gt;$A51,0,AP51-Cost_round*IF(20&lt;=$B51,1,0)+V51-AQ51)</f>
        <v>0</v>
      </c>
      <c r="BM51" s="17" t="n">
        <f aca="false">IF($AR51=1,SUMPRODUCT(AS51:BL51,$AS$38:$BL$38),"")</f>
        <v>245.304282494365</v>
      </c>
      <c r="BN51" s="17" t="n">
        <f aca="false">IF($AR51=1,BM51+INDEX($AS$38:$BL$38,$A51)*INDEX(C51:V51,$A51)/Hurdle_r,"")</f>
        <v>962.468410627689</v>
      </c>
    </row>
    <row r="52" customFormat="false" ht="15" hidden="false" customHeight="false" outlineLevel="0" collapsed="false">
      <c r="A52" s="2" t="n">
        <v>4</v>
      </c>
      <c r="B52" s="2" t="n">
        <v>3</v>
      </c>
      <c r="C52" s="14" t="n">
        <f aca="false">IF(1&gt;$A52,0,Val_pt*(Ceiling_e-E_zero)*(1-(1-Half_gap)^MIN(1,$B52)))</f>
        <v>70</v>
      </c>
      <c r="D52" s="14" t="n">
        <f aca="false">IF(2&gt;$A52,0,Val_pt*(Ceiling_e-E_zero)*(1-(1-Half_gap)^MIN(2,$B52)))</f>
        <v>105</v>
      </c>
      <c r="E52" s="14" t="n">
        <f aca="false">IF(3&gt;$A52,0,Val_pt*(Ceiling_e-E_zero)*(1-(1-Half_gap)^MIN(3,$B52)))</f>
        <v>122.5</v>
      </c>
      <c r="F52" s="14" t="n">
        <f aca="false">IF(4&gt;$A52,0,Val_pt*(Ceiling_e-E_zero)*(1-(1-Half_gap)^MIN(4,$B52)))</f>
        <v>122.5</v>
      </c>
      <c r="G52" s="14" t="n">
        <f aca="false">IF(5&gt;$A52,0,Val_pt*(Ceiling_e-E_zero)*(1-(1-Half_gap)^MIN(5,$B52)))</f>
        <v>0</v>
      </c>
      <c r="H52" s="14" t="n">
        <f aca="false">IF(6&gt;$A52,0,Val_pt*(Ceiling_e-E_zero)*(1-(1-Half_gap)^MIN(6,$B52)))</f>
        <v>0</v>
      </c>
      <c r="I52" s="14" t="n">
        <f aca="false">IF(7&gt;$A52,0,Val_pt*(Ceiling_e-E_zero)*(1-(1-Half_gap)^MIN(7,$B52)))</f>
        <v>0</v>
      </c>
      <c r="J52" s="14" t="n">
        <f aca="false">IF(8&gt;$A52,0,Val_pt*(Ceiling_e-E_zero)*(1-(1-Half_gap)^MIN(8,$B52)))</f>
        <v>0</v>
      </c>
      <c r="K52" s="14" t="n">
        <f aca="false">IF(9&gt;$A52,0,Val_pt*(Ceiling_e-E_zero)*(1-(1-Half_gap)^MIN(9,$B52)))</f>
        <v>0</v>
      </c>
      <c r="L52" s="14" t="n">
        <f aca="false">IF(10&gt;$A52,0,Val_pt*(Ceiling_e-E_zero)*(1-(1-Half_gap)^MIN(10,$B52)))</f>
        <v>0</v>
      </c>
      <c r="M52" s="14" t="n">
        <f aca="false">IF(11&gt;$A52,0,Val_pt*(Ceiling_e-E_zero)*(1-(1-Half_gap)^MIN(11,$B52)))</f>
        <v>0</v>
      </c>
      <c r="N52" s="14" t="n">
        <f aca="false">IF(12&gt;$A52,0,Val_pt*(Ceiling_e-E_zero)*(1-(1-Half_gap)^MIN(12,$B52)))</f>
        <v>0</v>
      </c>
      <c r="O52" s="14" t="n">
        <f aca="false">IF(13&gt;$A52,0,Val_pt*(Ceiling_e-E_zero)*(1-(1-Half_gap)^MIN(13,$B52)))</f>
        <v>0</v>
      </c>
      <c r="P52" s="14" t="n">
        <f aca="false">IF(14&gt;$A52,0,Val_pt*(Ceiling_e-E_zero)*(1-(1-Half_gap)^MIN(14,$B52)))</f>
        <v>0</v>
      </c>
      <c r="Q52" s="14" t="n">
        <f aca="false">IF(15&gt;$A52,0,Val_pt*(Ceiling_e-E_zero)*(1-(1-Half_gap)^MIN(15,$B52)))</f>
        <v>0</v>
      </c>
      <c r="R52" s="14" t="n">
        <f aca="false">IF(16&gt;$A52,0,Val_pt*(Ceiling_e-E_zero)*(1-(1-Half_gap)^MIN(16,$B52)))</f>
        <v>0</v>
      </c>
      <c r="S52" s="14" t="n">
        <f aca="false">IF(17&gt;$A52,0,Val_pt*(Ceiling_e-E_zero)*(1-(1-Half_gap)^MIN(17,$B52)))</f>
        <v>0</v>
      </c>
      <c r="T52" s="14" t="n">
        <f aca="false">IF(18&gt;$A52,0,Val_pt*(Ceiling_e-E_zero)*(1-(1-Half_gap)^MIN(18,$B52)))</f>
        <v>0</v>
      </c>
      <c r="U52" s="14" t="n">
        <f aca="false">IF(19&gt;$A52,0,Val_pt*(Ceiling_e-E_zero)*(1-(1-Half_gap)^MIN(19,$B52)))</f>
        <v>0</v>
      </c>
      <c r="V52" s="14" t="n">
        <f aca="false">IF(20&gt;$A52,0,Val_pt*(Ceiling_e-E_zero)*(1-(1-Half_gap)^MIN(20,$B52)))</f>
        <v>0</v>
      </c>
      <c r="W52" s="14" t="n">
        <f aca="false">IF(0&gt;$A52,0,IF(0=$A52,MAX(End_q,Floor_q),MAX(X52+Cost_round*IF(1&lt;=$B52,1,0)-C52,IF(1&lt;=$B52,1,0)*Pre_q)))</f>
        <v>535</v>
      </c>
      <c r="X52" s="14" t="n">
        <f aca="false">IF(1&gt;$A52,0,IF(1=$A52,MAX(End_q,Floor_q),MAX(Y52+Cost_round*IF(2&lt;=$B52,1,0)-D52,IF(2&lt;=$B52,1,0)*Pre_q,Floor_q)))</f>
        <v>485</v>
      </c>
      <c r="Y52" s="14" t="n">
        <f aca="false">IF(2&gt;$A52,0,IF(2=$A52,MAX(End_q,Floor_q),MAX(Z52+Cost_round*IF(3&lt;=$B52,1,0)-E52,IF(3&lt;=$B52,1,0)*Pre_q,Floor_q)))</f>
        <v>470</v>
      </c>
      <c r="Z52" s="14" t="n">
        <f aca="false">IF(3&gt;$A52,0,IF(3=$A52,MAX(End_q,Floor_q),MAX(AA52+Cost_round*IF(4&lt;=$B52,1,0)-F52,IF(4&lt;=$B52,1,0)*Pre_q,Floor_q)))</f>
        <v>350</v>
      </c>
      <c r="AA52" s="14" t="n">
        <f aca="false">IF(4&gt;$A52,0,IF(4=$A52,MAX(End_q,Floor_q),MAX(AB52+Cost_round*IF(5&lt;=$B52,1,0)-G52,IF(5&lt;=$B52,1,0)*Pre_q,Floor_q)))</f>
        <v>470</v>
      </c>
      <c r="AB52" s="14" t="n">
        <f aca="false">IF(5&gt;$A52,0,IF(5=$A52,MAX(End_q,Floor_q),MAX(AC52+Cost_round*IF(6&lt;=$B52,1,0)-H52,IF(6&lt;=$B52,1,0)*Pre_q,Floor_q)))</f>
        <v>0</v>
      </c>
      <c r="AC52" s="14" t="n">
        <f aca="false">IF(6&gt;$A52,0,IF(6=$A52,MAX(End_q,Floor_q),MAX(AD52+Cost_round*IF(7&lt;=$B52,1,0)-I52,IF(7&lt;=$B52,1,0)*Pre_q,Floor_q)))</f>
        <v>0</v>
      </c>
      <c r="AD52" s="14" t="n">
        <f aca="false">IF(7&gt;$A52,0,IF(7=$A52,MAX(End_q,Floor_q),MAX(AE52+Cost_round*IF(8&lt;=$B52,1,0)-J52,IF(8&lt;=$B52,1,0)*Pre_q,Floor_q)))</f>
        <v>0</v>
      </c>
      <c r="AE52" s="14" t="n">
        <f aca="false">IF(8&gt;$A52,0,IF(8=$A52,MAX(End_q,Floor_q),MAX(AF52+Cost_round*IF(9&lt;=$B52,1,0)-K52,IF(9&lt;=$B52,1,0)*Pre_q,Floor_q)))</f>
        <v>0</v>
      </c>
      <c r="AF52" s="14" t="n">
        <f aca="false">IF(9&gt;$A52,0,IF(9=$A52,MAX(End_q,Floor_q),MAX(AG52+Cost_round*IF(10&lt;=$B52,1,0)-L52,IF(10&lt;=$B52,1,0)*Pre_q,Floor_q)))</f>
        <v>0</v>
      </c>
      <c r="AG52" s="14" t="n">
        <f aca="false">IF(10&gt;$A52,0,IF(10=$A52,MAX(End_q,Floor_q),MAX(AH52+Cost_round*IF(11&lt;=$B52,1,0)-M52,IF(11&lt;=$B52,1,0)*Pre_q,Floor_q)))</f>
        <v>0</v>
      </c>
      <c r="AH52" s="14" t="n">
        <f aca="false">IF(11&gt;$A52,0,IF(11=$A52,MAX(End_q,Floor_q),MAX(AI52+Cost_round*IF(12&lt;=$B52,1,0)-N52,IF(12&lt;=$B52,1,0)*Pre_q,Floor_q)))</f>
        <v>0</v>
      </c>
      <c r="AI52" s="14" t="n">
        <f aca="false">IF(12&gt;$A52,0,IF(12=$A52,MAX(End_q,Floor_q),MAX(AJ52+Cost_round*IF(13&lt;=$B52,1,0)-O52,IF(13&lt;=$B52,1,0)*Pre_q,Floor_q)))</f>
        <v>0</v>
      </c>
      <c r="AJ52" s="14" t="n">
        <f aca="false">IF(13&gt;$A52,0,IF(13=$A52,MAX(End_q,Floor_q),MAX(AK52+Cost_round*IF(14&lt;=$B52,1,0)-P52,IF(14&lt;=$B52,1,0)*Pre_q,Floor_q)))</f>
        <v>0</v>
      </c>
      <c r="AK52" s="14" t="n">
        <f aca="false">IF(14&gt;$A52,0,IF(14=$A52,MAX(End_q,Floor_q),MAX(AL52+Cost_round*IF(15&lt;=$B52,1,0)-Q52,IF(15&lt;=$B52,1,0)*Pre_q,Floor_q)))</f>
        <v>0</v>
      </c>
      <c r="AL52" s="14" t="n">
        <f aca="false">IF(15&gt;$A52,0,IF(15=$A52,MAX(End_q,Floor_q),MAX(AM52+Cost_round*IF(16&lt;=$B52,1,0)-R52,IF(16&lt;=$B52,1,0)*Pre_q,Floor_q)))</f>
        <v>0</v>
      </c>
      <c r="AM52" s="14" t="n">
        <f aca="false">IF(16&gt;$A52,0,IF(16=$A52,MAX(End_q,Floor_q),MAX(AN52+Cost_round*IF(17&lt;=$B52,1,0)-S52,IF(17&lt;=$B52,1,0)*Pre_q,Floor_q)))</f>
        <v>0</v>
      </c>
      <c r="AN52" s="14" t="n">
        <f aca="false">IF(17&gt;$A52,0,IF(17=$A52,MAX(End_q,Floor_q),MAX(AO52+Cost_round*IF(18&lt;=$B52,1,0)-T52,IF(18&lt;=$B52,1,0)*Pre_q,Floor_q)))</f>
        <v>0</v>
      </c>
      <c r="AO52" s="14" t="n">
        <f aca="false">IF(18&gt;$A52,0,IF(18=$A52,MAX(End_q,Floor_q),MAX(AP52+Cost_round*IF(19&lt;=$B52,1,0)-U52,IF(19&lt;=$B52,1,0)*Pre_q,Floor_q)))</f>
        <v>0</v>
      </c>
      <c r="AP52" s="14" t="n">
        <f aca="false">IF(19&gt;$A52,0,IF(19=$A52,MAX(End_q,Floor_q),MAX(AQ52+Cost_round*IF(20&lt;=$B52,1,0)-V52,IF(20&lt;=$B52,1,0)*Pre_q,Floor_q)))</f>
        <v>0</v>
      </c>
      <c r="AQ52" s="14" t="n">
        <f aca="false">IF(20&gt;$A52,0,MAX(End_q,Floor_q))</f>
        <v>0</v>
      </c>
      <c r="AR52" s="15" t="n">
        <f aca="false">IF(Q_zero&gt;=W52-0.000000001,1,0)</f>
        <v>1</v>
      </c>
      <c r="AS52" s="14" t="n">
        <f aca="false">IF(1&gt;$A52,0,Q_zero-Cost_round*IF(1&lt;=$B52,1,0)+C52-X52)</f>
        <v>85</v>
      </c>
      <c r="AT52" s="14" t="n">
        <f aca="false">IF(2&gt;$A52,0,X52-Cost_round*IF(2&lt;=$B52,1,0)+D52-Y52)</f>
        <v>0</v>
      </c>
      <c r="AU52" s="14" t="n">
        <f aca="false">IF(3&gt;$A52,0,Y52-Cost_round*IF(3&lt;=$B52,1,0)+E52-Z52)</f>
        <v>122.5</v>
      </c>
      <c r="AV52" s="14" t="n">
        <f aca="false">IF(4&gt;$A52,0,Z52-Cost_round*IF(4&lt;=$B52,1,0)+F52-AA52)</f>
        <v>2.5</v>
      </c>
      <c r="AW52" s="14" t="n">
        <f aca="false">IF(5&gt;$A52,0,AA52-Cost_round*IF(5&lt;=$B52,1,0)+G52-AB52)</f>
        <v>0</v>
      </c>
      <c r="AX52" s="14" t="n">
        <f aca="false">IF(6&gt;$A52,0,AB52-Cost_round*IF(6&lt;=$B52,1,0)+H52-AC52)</f>
        <v>0</v>
      </c>
      <c r="AY52" s="14" t="n">
        <f aca="false">IF(7&gt;$A52,0,AC52-Cost_round*IF(7&lt;=$B52,1,0)+I52-AD52)</f>
        <v>0</v>
      </c>
      <c r="AZ52" s="14" t="n">
        <f aca="false">IF(8&gt;$A52,0,AD52-Cost_round*IF(8&lt;=$B52,1,0)+J52-AE52)</f>
        <v>0</v>
      </c>
      <c r="BA52" s="14" t="n">
        <f aca="false">IF(9&gt;$A52,0,AE52-Cost_round*IF(9&lt;=$B52,1,0)+K52-AF52)</f>
        <v>0</v>
      </c>
      <c r="BB52" s="14" t="n">
        <f aca="false">IF(10&gt;$A52,0,AF52-Cost_round*IF(10&lt;=$B52,1,0)+L52-AG52)</f>
        <v>0</v>
      </c>
      <c r="BC52" s="14" t="n">
        <f aca="false">IF(11&gt;$A52,0,AG52-Cost_round*IF(11&lt;=$B52,1,0)+M52-AH52)</f>
        <v>0</v>
      </c>
      <c r="BD52" s="14" t="n">
        <f aca="false">IF(12&gt;$A52,0,AH52-Cost_round*IF(12&lt;=$B52,1,0)+N52-AI52)</f>
        <v>0</v>
      </c>
      <c r="BE52" s="14" t="n">
        <f aca="false">IF(13&gt;$A52,0,AI52-Cost_round*IF(13&lt;=$B52,1,0)+O52-AJ52)</f>
        <v>0</v>
      </c>
      <c r="BF52" s="14" t="n">
        <f aca="false">IF(14&gt;$A52,0,AJ52-Cost_round*IF(14&lt;=$B52,1,0)+P52-AK52)</f>
        <v>0</v>
      </c>
      <c r="BG52" s="14" t="n">
        <f aca="false">IF(15&gt;$A52,0,AK52-Cost_round*IF(15&lt;=$B52,1,0)+Q52-AL52)</f>
        <v>0</v>
      </c>
      <c r="BH52" s="14" t="n">
        <f aca="false">IF(16&gt;$A52,0,AL52-Cost_round*IF(16&lt;=$B52,1,0)+R52-AM52)</f>
        <v>0</v>
      </c>
      <c r="BI52" s="14" t="n">
        <f aca="false">IF(17&gt;$A52,0,AM52-Cost_round*IF(17&lt;=$B52,1,0)+S52-AN52)</f>
        <v>0</v>
      </c>
      <c r="BJ52" s="14" t="n">
        <f aca="false">IF(18&gt;$A52,0,AN52-Cost_round*IF(18&lt;=$B52,1,0)+T52-AO52)</f>
        <v>0</v>
      </c>
      <c r="BK52" s="14" t="n">
        <f aca="false">IF(19&gt;$A52,0,AO52-Cost_round*IF(19&lt;=$B52,1,0)+U52-AP52)</f>
        <v>0</v>
      </c>
      <c r="BL52" s="14" t="n">
        <f aca="false">IF(20&gt;$A52,0,AP52-Cost_round*IF(20&lt;=$B52,1,0)+V52-AQ52)</f>
        <v>0</v>
      </c>
      <c r="BM52" s="17" t="n">
        <f aca="false">IF($AR52=1,SUMPRODUCT(AS52:BL52,$AS$38:$BL$38),"")</f>
        <v>171.016324021583</v>
      </c>
      <c r="BN52" s="17" t="n">
        <f aca="false">IF($AR52=1,BM52+INDEX($AS$38:$BL$38,$A52)*INDEX(C52:V52,$A52)/Hurdle_r,"")</f>
        <v>1007.70780684379</v>
      </c>
    </row>
    <row r="53" customFormat="false" ht="15" hidden="false" customHeight="false" outlineLevel="0" collapsed="false">
      <c r="A53" s="2" t="n">
        <v>4</v>
      </c>
      <c r="B53" s="2" t="n">
        <v>4</v>
      </c>
      <c r="C53" s="14" t="n">
        <f aca="false">IF(1&gt;$A53,0,Val_pt*(Ceiling_e-E_zero)*(1-(1-Half_gap)^MIN(1,$B53)))</f>
        <v>70</v>
      </c>
      <c r="D53" s="14" t="n">
        <f aca="false">IF(2&gt;$A53,0,Val_pt*(Ceiling_e-E_zero)*(1-(1-Half_gap)^MIN(2,$B53)))</f>
        <v>105</v>
      </c>
      <c r="E53" s="14" t="n">
        <f aca="false">IF(3&gt;$A53,0,Val_pt*(Ceiling_e-E_zero)*(1-(1-Half_gap)^MIN(3,$B53)))</f>
        <v>122.5</v>
      </c>
      <c r="F53" s="14" t="n">
        <f aca="false">IF(4&gt;$A53,0,Val_pt*(Ceiling_e-E_zero)*(1-(1-Half_gap)^MIN(4,$B53)))</f>
        <v>131.25</v>
      </c>
      <c r="G53" s="14" t="n">
        <f aca="false">IF(5&gt;$A53,0,Val_pt*(Ceiling_e-E_zero)*(1-(1-Half_gap)^MIN(5,$B53)))</f>
        <v>0</v>
      </c>
      <c r="H53" s="14" t="n">
        <f aca="false">IF(6&gt;$A53,0,Val_pt*(Ceiling_e-E_zero)*(1-(1-Half_gap)^MIN(6,$B53)))</f>
        <v>0</v>
      </c>
      <c r="I53" s="14" t="n">
        <f aca="false">IF(7&gt;$A53,0,Val_pt*(Ceiling_e-E_zero)*(1-(1-Half_gap)^MIN(7,$B53)))</f>
        <v>0</v>
      </c>
      <c r="J53" s="14" t="n">
        <f aca="false">IF(8&gt;$A53,0,Val_pt*(Ceiling_e-E_zero)*(1-(1-Half_gap)^MIN(8,$B53)))</f>
        <v>0</v>
      </c>
      <c r="K53" s="14" t="n">
        <f aca="false">IF(9&gt;$A53,0,Val_pt*(Ceiling_e-E_zero)*(1-(1-Half_gap)^MIN(9,$B53)))</f>
        <v>0</v>
      </c>
      <c r="L53" s="14" t="n">
        <f aca="false">IF(10&gt;$A53,0,Val_pt*(Ceiling_e-E_zero)*(1-(1-Half_gap)^MIN(10,$B53)))</f>
        <v>0</v>
      </c>
      <c r="M53" s="14" t="n">
        <f aca="false">IF(11&gt;$A53,0,Val_pt*(Ceiling_e-E_zero)*(1-(1-Half_gap)^MIN(11,$B53)))</f>
        <v>0</v>
      </c>
      <c r="N53" s="14" t="n">
        <f aca="false">IF(12&gt;$A53,0,Val_pt*(Ceiling_e-E_zero)*(1-(1-Half_gap)^MIN(12,$B53)))</f>
        <v>0</v>
      </c>
      <c r="O53" s="14" t="n">
        <f aca="false">IF(13&gt;$A53,0,Val_pt*(Ceiling_e-E_zero)*(1-(1-Half_gap)^MIN(13,$B53)))</f>
        <v>0</v>
      </c>
      <c r="P53" s="14" t="n">
        <f aca="false">IF(14&gt;$A53,0,Val_pt*(Ceiling_e-E_zero)*(1-(1-Half_gap)^MIN(14,$B53)))</f>
        <v>0</v>
      </c>
      <c r="Q53" s="14" t="n">
        <f aca="false">IF(15&gt;$A53,0,Val_pt*(Ceiling_e-E_zero)*(1-(1-Half_gap)^MIN(15,$B53)))</f>
        <v>0</v>
      </c>
      <c r="R53" s="14" t="n">
        <f aca="false">IF(16&gt;$A53,0,Val_pt*(Ceiling_e-E_zero)*(1-(1-Half_gap)^MIN(16,$B53)))</f>
        <v>0</v>
      </c>
      <c r="S53" s="14" t="n">
        <f aca="false">IF(17&gt;$A53,0,Val_pt*(Ceiling_e-E_zero)*(1-(1-Half_gap)^MIN(17,$B53)))</f>
        <v>0</v>
      </c>
      <c r="T53" s="14" t="n">
        <f aca="false">IF(18&gt;$A53,0,Val_pt*(Ceiling_e-E_zero)*(1-(1-Half_gap)^MIN(18,$B53)))</f>
        <v>0</v>
      </c>
      <c r="U53" s="14" t="n">
        <f aca="false">IF(19&gt;$A53,0,Val_pt*(Ceiling_e-E_zero)*(1-(1-Half_gap)^MIN(19,$B53)))</f>
        <v>0</v>
      </c>
      <c r="V53" s="14" t="n">
        <f aca="false">IF(20&gt;$A53,0,Val_pt*(Ceiling_e-E_zero)*(1-(1-Half_gap)^MIN(20,$B53)))</f>
        <v>0</v>
      </c>
      <c r="W53" s="14" t="n">
        <f aca="false">IF(0&gt;$A53,0,IF(0=$A53,MAX(End_q,Floor_q),MAX(X53+Cost_round*IF(1&lt;=$B53,1,0)-C53,IF(1&lt;=$B53,1,0)*Pre_q)))</f>
        <v>535</v>
      </c>
      <c r="X53" s="14" t="n">
        <f aca="false">IF(1&gt;$A53,0,IF(1=$A53,MAX(End_q,Floor_q),MAX(Y53+Cost_round*IF(2&lt;=$B53,1,0)-D53,IF(2&lt;=$B53,1,0)*Pre_q,Floor_q)))</f>
        <v>485</v>
      </c>
      <c r="Y53" s="14" t="n">
        <f aca="false">IF(2&gt;$A53,0,IF(2=$A53,MAX(End_q,Floor_q),MAX(Z53+Cost_round*IF(3&lt;=$B53,1,0)-E53,IF(3&lt;=$B53,1,0)*Pre_q,Floor_q)))</f>
        <v>470</v>
      </c>
      <c r="Z53" s="14" t="n">
        <f aca="false">IF(3&gt;$A53,0,IF(3=$A53,MAX(End_q,Floor_q),MAX(AA53+Cost_round*IF(4&lt;=$B53,1,0)-F53,IF(4&lt;=$B53,1,0)*Pre_q,Floor_q)))</f>
        <v>470</v>
      </c>
      <c r="AA53" s="14" t="n">
        <f aca="false">IF(4&gt;$A53,0,IF(4=$A53,MAX(End_q,Floor_q),MAX(AB53+Cost_round*IF(5&lt;=$B53,1,0)-G53,IF(5&lt;=$B53,1,0)*Pre_q,Floor_q)))</f>
        <v>470</v>
      </c>
      <c r="AB53" s="14" t="n">
        <f aca="false">IF(5&gt;$A53,0,IF(5=$A53,MAX(End_q,Floor_q),MAX(AC53+Cost_round*IF(6&lt;=$B53,1,0)-H53,IF(6&lt;=$B53,1,0)*Pre_q,Floor_q)))</f>
        <v>0</v>
      </c>
      <c r="AC53" s="14" t="n">
        <f aca="false">IF(6&gt;$A53,0,IF(6=$A53,MAX(End_q,Floor_q),MAX(AD53+Cost_round*IF(7&lt;=$B53,1,0)-I53,IF(7&lt;=$B53,1,0)*Pre_q,Floor_q)))</f>
        <v>0</v>
      </c>
      <c r="AD53" s="14" t="n">
        <f aca="false">IF(7&gt;$A53,0,IF(7=$A53,MAX(End_q,Floor_q),MAX(AE53+Cost_round*IF(8&lt;=$B53,1,0)-J53,IF(8&lt;=$B53,1,0)*Pre_q,Floor_q)))</f>
        <v>0</v>
      </c>
      <c r="AE53" s="14" t="n">
        <f aca="false">IF(8&gt;$A53,0,IF(8=$A53,MAX(End_q,Floor_q),MAX(AF53+Cost_round*IF(9&lt;=$B53,1,0)-K53,IF(9&lt;=$B53,1,0)*Pre_q,Floor_q)))</f>
        <v>0</v>
      </c>
      <c r="AF53" s="14" t="n">
        <f aca="false">IF(9&gt;$A53,0,IF(9=$A53,MAX(End_q,Floor_q),MAX(AG53+Cost_round*IF(10&lt;=$B53,1,0)-L53,IF(10&lt;=$B53,1,0)*Pre_q,Floor_q)))</f>
        <v>0</v>
      </c>
      <c r="AG53" s="14" t="n">
        <f aca="false">IF(10&gt;$A53,0,IF(10=$A53,MAX(End_q,Floor_q),MAX(AH53+Cost_round*IF(11&lt;=$B53,1,0)-M53,IF(11&lt;=$B53,1,0)*Pre_q,Floor_q)))</f>
        <v>0</v>
      </c>
      <c r="AH53" s="14" t="n">
        <f aca="false">IF(11&gt;$A53,0,IF(11=$A53,MAX(End_q,Floor_q),MAX(AI53+Cost_round*IF(12&lt;=$B53,1,0)-N53,IF(12&lt;=$B53,1,0)*Pre_q,Floor_q)))</f>
        <v>0</v>
      </c>
      <c r="AI53" s="14" t="n">
        <f aca="false">IF(12&gt;$A53,0,IF(12=$A53,MAX(End_q,Floor_q),MAX(AJ53+Cost_round*IF(13&lt;=$B53,1,0)-O53,IF(13&lt;=$B53,1,0)*Pre_q,Floor_q)))</f>
        <v>0</v>
      </c>
      <c r="AJ53" s="14" t="n">
        <f aca="false">IF(13&gt;$A53,0,IF(13=$A53,MAX(End_q,Floor_q),MAX(AK53+Cost_round*IF(14&lt;=$B53,1,0)-P53,IF(14&lt;=$B53,1,0)*Pre_q,Floor_q)))</f>
        <v>0</v>
      </c>
      <c r="AK53" s="14" t="n">
        <f aca="false">IF(14&gt;$A53,0,IF(14=$A53,MAX(End_q,Floor_q),MAX(AL53+Cost_round*IF(15&lt;=$B53,1,0)-Q53,IF(15&lt;=$B53,1,0)*Pre_q,Floor_q)))</f>
        <v>0</v>
      </c>
      <c r="AL53" s="14" t="n">
        <f aca="false">IF(15&gt;$A53,0,IF(15=$A53,MAX(End_q,Floor_q),MAX(AM53+Cost_round*IF(16&lt;=$B53,1,0)-R53,IF(16&lt;=$B53,1,0)*Pre_q,Floor_q)))</f>
        <v>0</v>
      </c>
      <c r="AM53" s="14" t="n">
        <f aca="false">IF(16&gt;$A53,0,IF(16=$A53,MAX(End_q,Floor_q),MAX(AN53+Cost_round*IF(17&lt;=$B53,1,0)-S53,IF(17&lt;=$B53,1,0)*Pre_q,Floor_q)))</f>
        <v>0</v>
      </c>
      <c r="AN53" s="14" t="n">
        <f aca="false">IF(17&gt;$A53,0,IF(17=$A53,MAX(End_q,Floor_q),MAX(AO53+Cost_round*IF(18&lt;=$B53,1,0)-T53,IF(18&lt;=$B53,1,0)*Pre_q,Floor_q)))</f>
        <v>0</v>
      </c>
      <c r="AO53" s="14" t="n">
        <f aca="false">IF(18&gt;$A53,0,IF(18=$A53,MAX(End_q,Floor_q),MAX(AP53+Cost_round*IF(19&lt;=$B53,1,0)-U53,IF(19&lt;=$B53,1,0)*Pre_q,Floor_q)))</f>
        <v>0</v>
      </c>
      <c r="AP53" s="14" t="n">
        <f aca="false">IF(19&gt;$A53,0,IF(19=$A53,MAX(End_q,Floor_q),MAX(AQ53+Cost_round*IF(20&lt;=$B53,1,0)-V53,IF(20&lt;=$B53,1,0)*Pre_q,Floor_q)))</f>
        <v>0</v>
      </c>
      <c r="AQ53" s="14" t="n">
        <f aca="false">IF(20&gt;$A53,0,MAX(End_q,Floor_q))</f>
        <v>0</v>
      </c>
      <c r="AR53" s="15" t="n">
        <f aca="false">IF(Q_zero&gt;=W53-0.000000001,1,0)</f>
        <v>1</v>
      </c>
      <c r="AS53" s="14" t="n">
        <f aca="false">IF(1&gt;$A53,0,Q_zero-Cost_round*IF(1&lt;=$B53,1,0)+C53-X53)</f>
        <v>85</v>
      </c>
      <c r="AT53" s="14" t="n">
        <f aca="false">IF(2&gt;$A53,0,X53-Cost_round*IF(2&lt;=$B53,1,0)+D53-Y53)</f>
        <v>0</v>
      </c>
      <c r="AU53" s="14" t="n">
        <f aca="false">IF(3&gt;$A53,0,Y53-Cost_round*IF(3&lt;=$B53,1,0)+E53-Z53)</f>
        <v>2.5</v>
      </c>
      <c r="AV53" s="14" t="n">
        <f aca="false">IF(4&gt;$A53,0,Z53-Cost_round*IF(4&lt;=$B53,1,0)+F53-AA53)</f>
        <v>11.25</v>
      </c>
      <c r="AW53" s="14" t="n">
        <f aca="false">IF(5&gt;$A53,0,AA53-Cost_round*IF(5&lt;=$B53,1,0)+G53-AB53)</f>
        <v>0</v>
      </c>
      <c r="AX53" s="14" t="n">
        <f aca="false">IF(6&gt;$A53,0,AB53-Cost_round*IF(6&lt;=$B53,1,0)+H53-AC53)</f>
        <v>0</v>
      </c>
      <c r="AY53" s="14" t="n">
        <f aca="false">IF(7&gt;$A53,0,AC53-Cost_round*IF(7&lt;=$B53,1,0)+I53-AD53)</f>
        <v>0</v>
      </c>
      <c r="AZ53" s="14" t="n">
        <f aca="false">IF(8&gt;$A53,0,AD53-Cost_round*IF(8&lt;=$B53,1,0)+J53-AE53)</f>
        <v>0</v>
      </c>
      <c r="BA53" s="14" t="n">
        <f aca="false">IF(9&gt;$A53,0,AE53-Cost_round*IF(9&lt;=$B53,1,0)+K53-AF53)</f>
        <v>0</v>
      </c>
      <c r="BB53" s="14" t="n">
        <f aca="false">IF(10&gt;$A53,0,AF53-Cost_round*IF(10&lt;=$B53,1,0)+L53-AG53)</f>
        <v>0</v>
      </c>
      <c r="BC53" s="14" t="n">
        <f aca="false">IF(11&gt;$A53,0,AG53-Cost_round*IF(11&lt;=$B53,1,0)+M53-AH53)</f>
        <v>0</v>
      </c>
      <c r="BD53" s="14" t="n">
        <f aca="false">IF(12&gt;$A53,0,AH53-Cost_round*IF(12&lt;=$B53,1,0)+N53-AI53)</f>
        <v>0</v>
      </c>
      <c r="BE53" s="14" t="n">
        <f aca="false">IF(13&gt;$A53,0,AI53-Cost_round*IF(13&lt;=$B53,1,0)+O53-AJ53)</f>
        <v>0</v>
      </c>
      <c r="BF53" s="14" t="n">
        <f aca="false">IF(14&gt;$A53,0,AJ53-Cost_round*IF(14&lt;=$B53,1,0)+P53-AK53)</f>
        <v>0</v>
      </c>
      <c r="BG53" s="14" t="n">
        <f aca="false">IF(15&gt;$A53,0,AK53-Cost_round*IF(15&lt;=$B53,1,0)+Q53-AL53)</f>
        <v>0</v>
      </c>
      <c r="BH53" s="14" t="n">
        <f aca="false">IF(16&gt;$A53,0,AL53-Cost_round*IF(16&lt;=$B53,1,0)+R53-AM53)</f>
        <v>0</v>
      </c>
      <c r="BI53" s="14" t="n">
        <f aca="false">IF(17&gt;$A53,0,AM53-Cost_round*IF(17&lt;=$B53,1,0)+S53-AN53)</f>
        <v>0</v>
      </c>
      <c r="BJ53" s="14" t="n">
        <f aca="false">IF(18&gt;$A53,0,AN53-Cost_round*IF(18&lt;=$B53,1,0)+T53-AO53)</f>
        <v>0</v>
      </c>
      <c r="BK53" s="14" t="n">
        <f aca="false">IF(19&gt;$A53,0,AO53-Cost_round*IF(19&lt;=$B53,1,0)+U53-AP53)</f>
        <v>0</v>
      </c>
      <c r="BL53" s="14" t="n">
        <f aca="false">IF(20&gt;$A53,0,AP53-Cost_round*IF(20&lt;=$B53,1,0)+V53-AQ53)</f>
        <v>0</v>
      </c>
      <c r="BM53" s="17" t="n">
        <f aca="false">IF($AR53=1,SUMPRODUCT(AS53:BL53,$AS$38:$BL$38),"")</f>
        <v>86.8349156478383</v>
      </c>
      <c r="BN53" s="17" t="n">
        <f aca="false">IF($AR53=1,BM53+INDEX($AS$38:$BL$38,$A53)*INDEX(C53:V53,$A53)/Hurdle_r,"")</f>
        <v>983.290075814493</v>
      </c>
    </row>
    <row r="54" customFormat="false" ht="15" hidden="false" customHeight="false" outlineLevel="0" collapsed="false">
      <c r="A54" s="2" t="n">
        <v>5</v>
      </c>
      <c r="B54" s="2" t="n">
        <v>0</v>
      </c>
      <c r="C54" s="14" t="n">
        <f aca="false">IF(1&gt;$A54,0,Val_pt*(Ceiling_e-E_zero)*(1-(1-Half_gap)^MIN(1,$B54)))</f>
        <v>0</v>
      </c>
      <c r="D54" s="14" t="n">
        <f aca="false">IF(2&gt;$A54,0,Val_pt*(Ceiling_e-E_zero)*(1-(1-Half_gap)^MIN(2,$B54)))</f>
        <v>0</v>
      </c>
      <c r="E54" s="14" t="n">
        <f aca="false">IF(3&gt;$A54,0,Val_pt*(Ceiling_e-E_zero)*(1-(1-Half_gap)^MIN(3,$B54)))</f>
        <v>0</v>
      </c>
      <c r="F54" s="14" t="n">
        <f aca="false">IF(4&gt;$A54,0,Val_pt*(Ceiling_e-E_zero)*(1-(1-Half_gap)^MIN(4,$B54)))</f>
        <v>0</v>
      </c>
      <c r="G54" s="14" t="n">
        <f aca="false">IF(5&gt;$A54,0,Val_pt*(Ceiling_e-E_zero)*(1-(1-Half_gap)^MIN(5,$B54)))</f>
        <v>0</v>
      </c>
      <c r="H54" s="14" t="n">
        <f aca="false">IF(6&gt;$A54,0,Val_pt*(Ceiling_e-E_zero)*(1-(1-Half_gap)^MIN(6,$B54)))</f>
        <v>0</v>
      </c>
      <c r="I54" s="14" t="n">
        <f aca="false">IF(7&gt;$A54,0,Val_pt*(Ceiling_e-E_zero)*(1-(1-Half_gap)^MIN(7,$B54)))</f>
        <v>0</v>
      </c>
      <c r="J54" s="14" t="n">
        <f aca="false">IF(8&gt;$A54,0,Val_pt*(Ceiling_e-E_zero)*(1-(1-Half_gap)^MIN(8,$B54)))</f>
        <v>0</v>
      </c>
      <c r="K54" s="14" t="n">
        <f aca="false">IF(9&gt;$A54,0,Val_pt*(Ceiling_e-E_zero)*(1-(1-Half_gap)^MIN(9,$B54)))</f>
        <v>0</v>
      </c>
      <c r="L54" s="14" t="n">
        <f aca="false">IF(10&gt;$A54,0,Val_pt*(Ceiling_e-E_zero)*(1-(1-Half_gap)^MIN(10,$B54)))</f>
        <v>0</v>
      </c>
      <c r="M54" s="14" t="n">
        <f aca="false">IF(11&gt;$A54,0,Val_pt*(Ceiling_e-E_zero)*(1-(1-Half_gap)^MIN(11,$B54)))</f>
        <v>0</v>
      </c>
      <c r="N54" s="14" t="n">
        <f aca="false">IF(12&gt;$A54,0,Val_pt*(Ceiling_e-E_zero)*(1-(1-Half_gap)^MIN(12,$B54)))</f>
        <v>0</v>
      </c>
      <c r="O54" s="14" t="n">
        <f aca="false">IF(13&gt;$A54,0,Val_pt*(Ceiling_e-E_zero)*(1-(1-Half_gap)^MIN(13,$B54)))</f>
        <v>0</v>
      </c>
      <c r="P54" s="14" t="n">
        <f aca="false">IF(14&gt;$A54,0,Val_pt*(Ceiling_e-E_zero)*(1-(1-Half_gap)^MIN(14,$B54)))</f>
        <v>0</v>
      </c>
      <c r="Q54" s="14" t="n">
        <f aca="false">IF(15&gt;$A54,0,Val_pt*(Ceiling_e-E_zero)*(1-(1-Half_gap)^MIN(15,$B54)))</f>
        <v>0</v>
      </c>
      <c r="R54" s="14" t="n">
        <f aca="false">IF(16&gt;$A54,0,Val_pt*(Ceiling_e-E_zero)*(1-(1-Half_gap)^MIN(16,$B54)))</f>
        <v>0</v>
      </c>
      <c r="S54" s="14" t="n">
        <f aca="false">IF(17&gt;$A54,0,Val_pt*(Ceiling_e-E_zero)*(1-(1-Half_gap)^MIN(17,$B54)))</f>
        <v>0</v>
      </c>
      <c r="T54" s="14" t="n">
        <f aca="false">IF(18&gt;$A54,0,Val_pt*(Ceiling_e-E_zero)*(1-(1-Half_gap)^MIN(18,$B54)))</f>
        <v>0</v>
      </c>
      <c r="U54" s="14" t="n">
        <f aca="false">IF(19&gt;$A54,0,Val_pt*(Ceiling_e-E_zero)*(1-(1-Half_gap)^MIN(19,$B54)))</f>
        <v>0</v>
      </c>
      <c r="V54" s="14" t="n">
        <f aca="false">IF(20&gt;$A54,0,Val_pt*(Ceiling_e-E_zero)*(1-(1-Half_gap)^MIN(20,$B54)))</f>
        <v>0</v>
      </c>
      <c r="W54" s="14" t="n">
        <f aca="false">IF(0&gt;$A54,0,IF(0=$A54,MAX(End_q,Floor_q),MAX(X54+Cost_round*IF(1&lt;=$B54,1,0)-C54,IF(1&lt;=$B54,1,0)*Pre_q)))</f>
        <v>470</v>
      </c>
      <c r="X54" s="14" t="n">
        <f aca="false">IF(1&gt;$A54,0,IF(1=$A54,MAX(End_q,Floor_q),MAX(Y54+Cost_round*IF(2&lt;=$B54,1,0)-D54,IF(2&lt;=$B54,1,0)*Pre_q,Floor_q)))</f>
        <v>470</v>
      </c>
      <c r="Y54" s="14" t="n">
        <f aca="false">IF(2&gt;$A54,0,IF(2=$A54,MAX(End_q,Floor_q),MAX(Z54+Cost_round*IF(3&lt;=$B54,1,0)-E54,IF(3&lt;=$B54,1,0)*Pre_q,Floor_q)))</f>
        <v>470</v>
      </c>
      <c r="Z54" s="14" t="n">
        <f aca="false">IF(3&gt;$A54,0,IF(3=$A54,MAX(End_q,Floor_q),MAX(AA54+Cost_round*IF(4&lt;=$B54,1,0)-F54,IF(4&lt;=$B54,1,0)*Pre_q,Floor_q)))</f>
        <v>470</v>
      </c>
      <c r="AA54" s="14" t="n">
        <f aca="false">IF(4&gt;$A54,0,IF(4=$A54,MAX(End_q,Floor_q),MAX(AB54+Cost_round*IF(5&lt;=$B54,1,0)-G54,IF(5&lt;=$B54,1,0)*Pre_q,Floor_q)))</f>
        <v>470</v>
      </c>
      <c r="AB54" s="14" t="n">
        <f aca="false">IF(5&gt;$A54,0,IF(5=$A54,MAX(End_q,Floor_q),MAX(AC54+Cost_round*IF(6&lt;=$B54,1,0)-H54,IF(6&lt;=$B54,1,0)*Pre_q,Floor_q)))</f>
        <v>470</v>
      </c>
      <c r="AC54" s="14" t="n">
        <f aca="false">IF(6&gt;$A54,0,IF(6=$A54,MAX(End_q,Floor_q),MAX(AD54+Cost_round*IF(7&lt;=$B54,1,0)-I54,IF(7&lt;=$B54,1,0)*Pre_q,Floor_q)))</f>
        <v>0</v>
      </c>
      <c r="AD54" s="14" t="n">
        <f aca="false">IF(7&gt;$A54,0,IF(7=$A54,MAX(End_q,Floor_q),MAX(AE54+Cost_round*IF(8&lt;=$B54,1,0)-J54,IF(8&lt;=$B54,1,0)*Pre_q,Floor_q)))</f>
        <v>0</v>
      </c>
      <c r="AE54" s="14" t="n">
        <f aca="false">IF(8&gt;$A54,0,IF(8=$A54,MAX(End_q,Floor_q),MAX(AF54+Cost_round*IF(9&lt;=$B54,1,0)-K54,IF(9&lt;=$B54,1,0)*Pre_q,Floor_q)))</f>
        <v>0</v>
      </c>
      <c r="AF54" s="14" t="n">
        <f aca="false">IF(9&gt;$A54,0,IF(9=$A54,MAX(End_q,Floor_q),MAX(AG54+Cost_round*IF(10&lt;=$B54,1,0)-L54,IF(10&lt;=$B54,1,0)*Pre_q,Floor_q)))</f>
        <v>0</v>
      </c>
      <c r="AG54" s="14" t="n">
        <f aca="false">IF(10&gt;$A54,0,IF(10=$A54,MAX(End_q,Floor_q),MAX(AH54+Cost_round*IF(11&lt;=$B54,1,0)-M54,IF(11&lt;=$B54,1,0)*Pre_q,Floor_q)))</f>
        <v>0</v>
      </c>
      <c r="AH54" s="14" t="n">
        <f aca="false">IF(11&gt;$A54,0,IF(11=$A54,MAX(End_q,Floor_q),MAX(AI54+Cost_round*IF(12&lt;=$B54,1,0)-N54,IF(12&lt;=$B54,1,0)*Pre_q,Floor_q)))</f>
        <v>0</v>
      </c>
      <c r="AI54" s="14" t="n">
        <f aca="false">IF(12&gt;$A54,0,IF(12=$A54,MAX(End_q,Floor_q),MAX(AJ54+Cost_round*IF(13&lt;=$B54,1,0)-O54,IF(13&lt;=$B54,1,0)*Pre_q,Floor_q)))</f>
        <v>0</v>
      </c>
      <c r="AJ54" s="14" t="n">
        <f aca="false">IF(13&gt;$A54,0,IF(13=$A54,MAX(End_q,Floor_q),MAX(AK54+Cost_round*IF(14&lt;=$B54,1,0)-P54,IF(14&lt;=$B54,1,0)*Pre_q,Floor_q)))</f>
        <v>0</v>
      </c>
      <c r="AK54" s="14" t="n">
        <f aca="false">IF(14&gt;$A54,0,IF(14=$A54,MAX(End_q,Floor_q),MAX(AL54+Cost_round*IF(15&lt;=$B54,1,0)-Q54,IF(15&lt;=$B54,1,0)*Pre_q,Floor_q)))</f>
        <v>0</v>
      </c>
      <c r="AL54" s="14" t="n">
        <f aca="false">IF(15&gt;$A54,0,IF(15=$A54,MAX(End_q,Floor_q),MAX(AM54+Cost_round*IF(16&lt;=$B54,1,0)-R54,IF(16&lt;=$B54,1,0)*Pre_q,Floor_q)))</f>
        <v>0</v>
      </c>
      <c r="AM54" s="14" t="n">
        <f aca="false">IF(16&gt;$A54,0,IF(16=$A54,MAX(End_q,Floor_q),MAX(AN54+Cost_round*IF(17&lt;=$B54,1,0)-S54,IF(17&lt;=$B54,1,0)*Pre_q,Floor_q)))</f>
        <v>0</v>
      </c>
      <c r="AN54" s="14" t="n">
        <f aca="false">IF(17&gt;$A54,0,IF(17=$A54,MAX(End_q,Floor_q),MAX(AO54+Cost_round*IF(18&lt;=$B54,1,0)-T54,IF(18&lt;=$B54,1,0)*Pre_q,Floor_q)))</f>
        <v>0</v>
      </c>
      <c r="AO54" s="14" t="n">
        <f aca="false">IF(18&gt;$A54,0,IF(18=$A54,MAX(End_q,Floor_q),MAX(AP54+Cost_round*IF(19&lt;=$B54,1,0)-U54,IF(19&lt;=$B54,1,0)*Pre_q,Floor_q)))</f>
        <v>0</v>
      </c>
      <c r="AP54" s="14" t="n">
        <f aca="false">IF(19&gt;$A54,0,IF(19=$A54,MAX(End_q,Floor_q),MAX(AQ54+Cost_round*IF(20&lt;=$B54,1,0)-V54,IF(20&lt;=$B54,1,0)*Pre_q,Floor_q)))</f>
        <v>0</v>
      </c>
      <c r="AQ54" s="14" t="n">
        <f aca="false">IF(20&gt;$A54,0,MAX(End_q,Floor_q))</f>
        <v>0</v>
      </c>
      <c r="AR54" s="15" t="n">
        <f aca="false">IF(Q_zero&gt;=W54-0.000000001,1,0)</f>
        <v>1</v>
      </c>
      <c r="AS54" s="14" t="n">
        <f aca="false">IF(1&gt;$A54,0,Q_zero-Cost_round*IF(1&lt;=$B54,1,0)+C54-X54)</f>
        <v>150</v>
      </c>
      <c r="AT54" s="14" t="n">
        <f aca="false">IF(2&gt;$A54,0,X54-Cost_round*IF(2&lt;=$B54,1,0)+D54-Y54)</f>
        <v>0</v>
      </c>
      <c r="AU54" s="14" t="n">
        <f aca="false">IF(3&gt;$A54,0,Y54-Cost_round*IF(3&lt;=$B54,1,0)+E54-Z54)</f>
        <v>0</v>
      </c>
      <c r="AV54" s="14" t="n">
        <f aca="false">IF(4&gt;$A54,0,Z54-Cost_round*IF(4&lt;=$B54,1,0)+F54-AA54)</f>
        <v>0</v>
      </c>
      <c r="AW54" s="14" t="n">
        <f aca="false">IF(5&gt;$A54,0,AA54-Cost_round*IF(5&lt;=$B54,1,0)+G54-AB54)</f>
        <v>0</v>
      </c>
      <c r="AX54" s="14" t="n">
        <f aca="false">IF(6&gt;$A54,0,AB54-Cost_round*IF(6&lt;=$B54,1,0)+H54-AC54)</f>
        <v>0</v>
      </c>
      <c r="AY54" s="14" t="n">
        <f aca="false">IF(7&gt;$A54,0,AC54-Cost_round*IF(7&lt;=$B54,1,0)+I54-AD54)</f>
        <v>0</v>
      </c>
      <c r="AZ54" s="14" t="n">
        <f aca="false">IF(8&gt;$A54,0,AD54-Cost_round*IF(8&lt;=$B54,1,0)+J54-AE54)</f>
        <v>0</v>
      </c>
      <c r="BA54" s="14" t="n">
        <f aca="false">IF(9&gt;$A54,0,AE54-Cost_round*IF(9&lt;=$B54,1,0)+K54-AF54)</f>
        <v>0</v>
      </c>
      <c r="BB54" s="14" t="n">
        <f aca="false">IF(10&gt;$A54,0,AF54-Cost_round*IF(10&lt;=$B54,1,0)+L54-AG54)</f>
        <v>0</v>
      </c>
      <c r="BC54" s="14" t="n">
        <f aca="false">IF(11&gt;$A54,0,AG54-Cost_round*IF(11&lt;=$B54,1,0)+M54-AH54)</f>
        <v>0</v>
      </c>
      <c r="BD54" s="14" t="n">
        <f aca="false">IF(12&gt;$A54,0,AH54-Cost_round*IF(12&lt;=$B54,1,0)+N54-AI54)</f>
        <v>0</v>
      </c>
      <c r="BE54" s="14" t="n">
        <f aca="false">IF(13&gt;$A54,0,AI54-Cost_round*IF(13&lt;=$B54,1,0)+O54-AJ54)</f>
        <v>0</v>
      </c>
      <c r="BF54" s="14" t="n">
        <f aca="false">IF(14&gt;$A54,0,AJ54-Cost_round*IF(14&lt;=$B54,1,0)+P54-AK54)</f>
        <v>0</v>
      </c>
      <c r="BG54" s="14" t="n">
        <f aca="false">IF(15&gt;$A54,0,AK54-Cost_round*IF(15&lt;=$B54,1,0)+Q54-AL54)</f>
        <v>0</v>
      </c>
      <c r="BH54" s="14" t="n">
        <f aca="false">IF(16&gt;$A54,0,AL54-Cost_round*IF(16&lt;=$B54,1,0)+R54-AM54)</f>
        <v>0</v>
      </c>
      <c r="BI54" s="14" t="n">
        <f aca="false">IF(17&gt;$A54,0,AM54-Cost_round*IF(17&lt;=$B54,1,0)+S54-AN54)</f>
        <v>0</v>
      </c>
      <c r="BJ54" s="14" t="n">
        <f aca="false">IF(18&gt;$A54,0,AN54-Cost_round*IF(18&lt;=$B54,1,0)+T54-AO54)</f>
        <v>0</v>
      </c>
      <c r="BK54" s="14" t="n">
        <f aca="false">IF(19&gt;$A54,0,AO54-Cost_round*IF(19&lt;=$B54,1,0)+U54-AP54)</f>
        <v>0</v>
      </c>
      <c r="BL54" s="14" t="n">
        <f aca="false">IF(20&gt;$A54,0,AP54-Cost_round*IF(20&lt;=$B54,1,0)+V54-AQ54)</f>
        <v>0</v>
      </c>
      <c r="BM54" s="17" t="n">
        <f aca="false">IF($AR54=1,SUMPRODUCT(AS54:BL54,$AS$38:$BL$38),"")</f>
        <v>136.363636363636</v>
      </c>
      <c r="BN54" s="17" t="n">
        <f aca="false">IF($AR54=1,BM54+INDEX($AS$38:$BL$38,$A54)*INDEX(C54:V54,$A54)/Hurdle_r,"")</f>
        <v>136.363636363636</v>
      </c>
    </row>
    <row r="55" customFormat="false" ht="15" hidden="false" customHeight="false" outlineLevel="0" collapsed="false">
      <c r="A55" s="2" t="n">
        <v>5</v>
      </c>
      <c r="B55" s="2" t="n">
        <v>1</v>
      </c>
      <c r="C55" s="14" t="n">
        <f aca="false">IF(1&gt;$A55,0,Val_pt*(Ceiling_e-E_zero)*(1-(1-Half_gap)^MIN(1,$B55)))</f>
        <v>70</v>
      </c>
      <c r="D55" s="14" t="n">
        <f aca="false">IF(2&gt;$A55,0,Val_pt*(Ceiling_e-E_zero)*(1-(1-Half_gap)^MIN(2,$B55)))</f>
        <v>70</v>
      </c>
      <c r="E55" s="14" t="n">
        <f aca="false">IF(3&gt;$A55,0,Val_pt*(Ceiling_e-E_zero)*(1-(1-Half_gap)^MIN(3,$B55)))</f>
        <v>70</v>
      </c>
      <c r="F55" s="14" t="n">
        <f aca="false">IF(4&gt;$A55,0,Val_pt*(Ceiling_e-E_zero)*(1-(1-Half_gap)^MIN(4,$B55)))</f>
        <v>70</v>
      </c>
      <c r="G55" s="14" t="n">
        <f aca="false">IF(5&gt;$A55,0,Val_pt*(Ceiling_e-E_zero)*(1-(1-Half_gap)^MIN(5,$B55)))</f>
        <v>70</v>
      </c>
      <c r="H55" s="14" t="n">
        <f aca="false">IF(6&gt;$A55,0,Val_pt*(Ceiling_e-E_zero)*(1-(1-Half_gap)^MIN(6,$B55)))</f>
        <v>0</v>
      </c>
      <c r="I55" s="14" t="n">
        <f aca="false">IF(7&gt;$A55,0,Val_pt*(Ceiling_e-E_zero)*(1-(1-Half_gap)^MIN(7,$B55)))</f>
        <v>0</v>
      </c>
      <c r="J55" s="14" t="n">
        <f aca="false">IF(8&gt;$A55,0,Val_pt*(Ceiling_e-E_zero)*(1-(1-Half_gap)^MIN(8,$B55)))</f>
        <v>0</v>
      </c>
      <c r="K55" s="14" t="n">
        <f aca="false">IF(9&gt;$A55,0,Val_pt*(Ceiling_e-E_zero)*(1-(1-Half_gap)^MIN(9,$B55)))</f>
        <v>0</v>
      </c>
      <c r="L55" s="14" t="n">
        <f aca="false">IF(10&gt;$A55,0,Val_pt*(Ceiling_e-E_zero)*(1-(1-Half_gap)^MIN(10,$B55)))</f>
        <v>0</v>
      </c>
      <c r="M55" s="14" t="n">
        <f aca="false">IF(11&gt;$A55,0,Val_pt*(Ceiling_e-E_zero)*(1-(1-Half_gap)^MIN(11,$B55)))</f>
        <v>0</v>
      </c>
      <c r="N55" s="14" t="n">
        <f aca="false">IF(12&gt;$A55,0,Val_pt*(Ceiling_e-E_zero)*(1-(1-Half_gap)^MIN(12,$B55)))</f>
        <v>0</v>
      </c>
      <c r="O55" s="14" t="n">
        <f aca="false">IF(13&gt;$A55,0,Val_pt*(Ceiling_e-E_zero)*(1-(1-Half_gap)^MIN(13,$B55)))</f>
        <v>0</v>
      </c>
      <c r="P55" s="14" t="n">
        <f aca="false">IF(14&gt;$A55,0,Val_pt*(Ceiling_e-E_zero)*(1-(1-Half_gap)^MIN(14,$B55)))</f>
        <v>0</v>
      </c>
      <c r="Q55" s="14" t="n">
        <f aca="false">IF(15&gt;$A55,0,Val_pt*(Ceiling_e-E_zero)*(1-(1-Half_gap)^MIN(15,$B55)))</f>
        <v>0</v>
      </c>
      <c r="R55" s="14" t="n">
        <f aca="false">IF(16&gt;$A55,0,Val_pt*(Ceiling_e-E_zero)*(1-(1-Half_gap)^MIN(16,$B55)))</f>
        <v>0</v>
      </c>
      <c r="S55" s="14" t="n">
        <f aca="false">IF(17&gt;$A55,0,Val_pt*(Ceiling_e-E_zero)*(1-(1-Half_gap)^MIN(17,$B55)))</f>
        <v>0</v>
      </c>
      <c r="T55" s="14" t="n">
        <f aca="false">IF(18&gt;$A55,0,Val_pt*(Ceiling_e-E_zero)*(1-(1-Half_gap)^MIN(18,$B55)))</f>
        <v>0</v>
      </c>
      <c r="U55" s="14" t="n">
        <f aca="false">IF(19&gt;$A55,0,Val_pt*(Ceiling_e-E_zero)*(1-(1-Half_gap)^MIN(19,$B55)))</f>
        <v>0</v>
      </c>
      <c r="V55" s="14" t="n">
        <f aca="false">IF(20&gt;$A55,0,Val_pt*(Ceiling_e-E_zero)*(1-(1-Half_gap)^MIN(20,$B55)))</f>
        <v>0</v>
      </c>
      <c r="W55" s="14" t="n">
        <f aca="false">IF(0&gt;$A55,0,IF(0=$A55,MAX(End_q,Floor_q),MAX(X55+Cost_round*IF(1&lt;=$B55,1,0)-C55,IF(1&lt;=$B55,1,0)*Pre_q)))</f>
        <v>470</v>
      </c>
      <c r="X55" s="14" t="n">
        <f aca="false">IF(1&gt;$A55,0,IF(1=$A55,MAX(End_q,Floor_q),MAX(Y55+Cost_round*IF(2&lt;=$B55,1,0)-D55,IF(2&lt;=$B55,1,0)*Pre_q,Floor_q)))</f>
        <v>350</v>
      </c>
      <c r="Y55" s="14" t="n">
        <f aca="false">IF(2&gt;$A55,0,IF(2=$A55,MAX(End_q,Floor_q),MAX(Z55+Cost_round*IF(3&lt;=$B55,1,0)-E55,IF(3&lt;=$B55,1,0)*Pre_q,Floor_q)))</f>
        <v>350</v>
      </c>
      <c r="Z55" s="14" t="n">
        <f aca="false">IF(3&gt;$A55,0,IF(3=$A55,MAX(End_q,Floor_q),MAX(AA55+Cost_round*IF(4&lt;=$B55,1,0)-F55,IF(4&lt;=$B55,1,0)*Pre_q,Floor_q)))</f>
        <v>350</v>
      </c>
      <c r="AA55" s="14" t="n">
        <f aca="false">IF(4&gt;$A55,0,IF(4=$A55,MAX(End_q,Floor_q),MAX(AB55+Cost_round*IF(5&lt;=$B55,1,0)-G55,IF(5&lt;=$B55,1,0)*Pre_q,Floor_q)))</f>
        <v>400</v>
      </c>
      <c r="AB55" s="14" t="n">
        <f aca="false">IF(5&gt;$A55,0,IF(5=$A55,MAX(End_q,Floor_q),MAX(AC55+Cost_round*IF(6&lt;=$B55,1,0)-H55,IF(6&lt;=$B55,1,0)*Pre_q,Floor_q)))</f>
        <v>470</v>
      </c>
      <c r="AC55" s="14" t="n">
        <f aca="false">IF(6&gt;$A55,0,IF(6=$A55,MAX(End_q,Floor_q),MAX(AD55+Cost_round*IF(7&lt;=$B55,1,0)-I55,IF(7&lt;=$B55,1,0)*Pre_q,Floor_q)))</f>
        <v>0</v>
      </c>
      <c r="AD55" s="14" t="n">
        <f aca="false">IF(7&gt;$A55,0,IF(7=$A55,MAX(End_q,Floor_q),MAX(AE55+Cost_round*IF(8&lt;=$B55,1,0)-J55,IF(8&lt;=$B55,1,0)*Pre_q,Floor_q)))</f>
        <v>0</v>
      </c>
      <c r="AE55" s="14" t="n">
        <f aca="false">IF(8&gt;$A55,0,IF(8=$A55,MAX(End_q,Floor_q),MAX(AF55+Cost_round*IF(9&lt;=$B55,1,0)-K55,IF(9&lt;=$B55,1,0)*Pre_q,Floor_q)))</f>
        <v>0</v>
      </c>
      <c r="AF55" s="14" t="n">
        <f aca="false">IF(9&gt;$A55,0,IF(9=$A55,MAX(End_q,Floor_q),MAX(AG55+Cost_round*IF(10&lt;=$B55,1,0)-L55,IF(10&lt;=$B55,1,0)*Pre_q,Floor_q)))</f>
        <v>0</v>
      </c>
      <c r="AG55" s="14" t="n">
        <f aca="false">IF(10&gt;$A55,0,IF(10=$A55,MAX(End_q,Floor_q),MAX(AH55+Cost_round*IF(11&lt;=$B55,1,0)-M55,IF(11&lt;=$B55,1,0)*Pre_q,Floor_q)))</f>
        <v>0</v>
      </c>
      <c r="AH55" s="14" t="n">
        <f aca="false">IF(11&gt;$A55,0,IF(11=$A55,MAX(End_q,Floor_q),MAX(AI55+Cost_round*IF(12&lt;=$B55,1,0)-N55,IF(12&lt;=$B55,1,0)*Pre_q,Floor_q)))</f>
        <v>0</v>
      </c>
      <c r="AI55" s="14" t="n">
        <f aca="false">IF(12&gt;$A55,0,IF(12=$A55,MAX(End_q,Floor_q),MAX(AJ55+Cost_round*IF(13&lt;=$B55,1,0)-O55,IF(13&lt;=$B55,1,0)*Pre_q,Floor_q)))</f>
        <v>0</v>
      </c>
      <c r="AJ55" s="14" t="n">
        <f aca="false">IF(13&gt;$A55,0,IF(13=$A55,MAX(End_q,Floor_q),MAX(AK55+Cost_round*IF(14&lt;=$B55,1,0)-P55,IF(14&lt;=$B55,1,0)*Pre_q,Floor_q)))</f>
        <v>0</v>
      </c>
      <c r="AK55" s="14" t="n">
        <f aca="false">IF(14&gt;$A55,0,IF(14=$A55,MAX(End_q,Floor_q),MAX(AL55+Cost_round*IF(15&lt;=$B55,1,0)-Q55,IF(15&lt;=$B55,1,0)*Pre_q,Floor_q)))</f>
        <v>0</v>
      </c>
      <c r="AL55" s="14" t="n">
        <f aca="false">IF(15&gt;$A55,0,IF(15=$A55,MAX(End_q,Floor_q),MAX(AM55+Cost_round*IF(16&lt;=$B55,1,0)-R55,IF(16&lt;=$B55,1,0)*Pre_q,Floor_q)))</f>
        <v>0</v>
      </c>
      <c r="AM55" s="14" t="n">
        <f aca="false">IF(16&gt;$A55,0,IF(16=$A55,MAX(End_q,Floor_q),MAX(AN55+Cost_round*IF(17&lt;=$B55,1,0)-S55,IF(17&lt;=$B55,1,0)*Pre_q,Floor_q)))</f>
        <v>0</v>
      </c>
      <c r="AN55" s="14" t="n">
        <f aca="false">IF(17&gt;$A55,0,IF(17=$A55,MAX(End_q,Floor_q),MAX(AO55+Cost_round*IF(18&lt;=$B55,1,0)-T55,IF(18&lt;=$B55,1,0)*Pre_q,Floor_q)))</f>
        <v>0</v>
      </c>
      <c r="AO55" s="14" t="n">
        <f aca="false">IF(18&gt;$A55,0,IF(18=$A55,MAX(End_q,Floor_q),MAX(AP55+Cost_round*IF(19&lt;=$B55,1,0)-U55,IF(19&lt;=$B55,1,0)*Pre_q,Floor_q)))</f>
        <v>0</v>
      </c>
      <c r="AP55" s="14" t="n">
        <f aca="false">IF(19&gt;$A55,0,IF(19=$A55,MAX(End_q,Floor_q),MAX(AQ55+Cost_round*IF(20&lt;=$B55,1,0)-V55,IF(20&lt;=$B55,1,0)*Pre_q,Floor_q)))</f>
        <v>0</v>
      </c>
      <c r="AQ55" s="14" t="n">
        <f aca="false">IF(20&gt;$A55,0,MAX(End_q,Floor_q))</f>
        <v>0</v>
      </c>
      <c r="AR55" s="15" t="n">
        <f aca="false">IF(Q_zero&gt;=W55-0.000000001,1,0)</f>
        <v>1</v>
      </c>
      <c r="AS55" s="14" t="n">
        <f aca="false">IF(1&gt;$A55,0,Q_zero-Cost_round*IF(1&lt;=$B55,1,0)+C55-X55)</f>
        <v>220</v>
      </c>
      <c r="AT55" s="14" t="n">
        <f aca="false">IF(2&gt;$A55,0,X55-Cost_round*IF(2&lt;=$B55,1,0)+D55-Y55)</f>
        <v>70</v>
      </c>
      <c r="AU55" s="14" t="n">
        <f aca="false">IF(3&gt;$A55,0,Y55-Cost_round*IF(3&lt;=$B55,1,0)+E55-Z55)</f>
        <v>70</v>
      </c>
      <c r="AV55" s="14" t="n">
        <f aca="false">IF(4&gt;$A55,0,Z55-Cost_round*IF(4&lt;=$B55,1,0)+F55-AA55)</f>
        <v>20</v>
      </c>
      <c r="AW55" s="14" t="n">
        <f aca="false">IF(5&gt;$A55,0,AA55-Cost_round*IF(5&lt;=$B55,1,0)+G55-AB55)</f>
        <v>0</v>
      </c>
      <c r="AX55" s="14" t="n">
        <f aca="false">IF(6&gt;$A55,0,AB55-Cost_round*IF(6&lt;=$B55,1,0)+H55-AC55)</f>
        <v>0</v>
      </c>
      <c r="AY55" s="14" t="n">
        <f aca="false">IF(7&gt;$A55,0,AC55-Cost_round*IF(7&lt;=$B55,1,0)+I55-AD55)</f>
        <v>0</v>
      </c>
      <c r="AZ55" s="14" t="n">
        <f aca="false">IF(8&gt;$A55,0,AD55-Cost_round*IF(8&lt;=$B55,1,0)+J55-AE55)</f>
        <v>0</v>
      </c>
      <c r="BA55" s="14" t="n">
        <f aca="false">IF(9&gt;$A55,0,AE55-Cost_round*IF(9&lt;=$B55,1,0)+K55-AF55)</f>
        <v>0</v>
      </c>
      <c r="BB55" s="14" t="n">
        <f aca="false">IF(10&gt;$A55,0,AF55-Cost_round*IF(10&lt;=$B55,1,0)+L55-AG55)</f>
        <v>0</v>
      </c>
      <c r="BC55" s="14" t="n">
        <f aca="false">IF(11&gt;$A55,0,AG55-Cost_round*IF(11&lt;=$B55,1,0)+M55-AH55)</f>
        <v>0</v>
      </c>
      <c r="BD55" s="14" t="n">
        <f aca="false">IF(12&gt;$A55,0,AH55-Cost_round*IF(12&lt;=$B55,1,0)+N55-AI55)</f>
        <v>0</v>
      </c>
      <c r="BE55" s="14" t="n">
        <f aca="false">IF(13&gt;$A55,0,AI55-Cost_round*IF(13&lt;=$B55,1,0)+O55-AJ55)</f>
        <v>0</v>
      </c>
      <c r="BF55" s="14" t="n">
        <f aca="false">IF(14&gt;$A55,0,AJ55-Cost_round*IF(14&lt;=$B55,1,0)+P55-AK55)</f>
        <v>0</v>
      </c>
      <c r="BG55" s="14" t="n">
        <f aca="false">IF(15&gt;$A55,0,AK55-Cost_round*IF(15&lt;=$B55,1,0)+Q55-AL55)</f>
        <v>0</v>
      </c>
      <c r="BH55" s="14" t="n">
        <f aca="false">IF(16&gt;$A55,0,AL55-Cost_round*IF(16&lt;=$B55,1,0)+R55-AM55)</f>
        <v>0</v>
      </c>
      <c r="BI55" s="14" t="n">
        <f aca="false">IF(17&gt;$A55,0,AM55-Cost_round*IF(17&lt;=$B55,1,0)+S55-AN55)</f>
        <v>0</v>
      </c>
      <c r="BJ55" s="14" t="n">
        <f aca="false">IF(18&gt;$A55,0,AN55-Cost_round*IF(18&lt;=$B55,1,0)+T55-AO55)</f>
        <v>0</v>
      </c>
      <c r="BK55" s="14" t="n">
        <f aca="false">IF(19&gt;$A55,0,AO55-Cost_round*IF(19&lt;=$B55,1,0)+U55-AP55)</f>
        <v>0</v>
      </c>
      <c r="BL55" s="14" t="n">
        <f aca="false">IF(20&gt;$A55,0,AP55-Cost_round*IF(20&lt;=$B55,1,0)+V55-AQ55)</f>
        <v>0</v>
      </c>
      <c r="BM55" s="17" t="n">
        <f aca="false">IF($AR55=1,SUMPRODUCT(AS55:BL55,$AS$38:$BL$38),"")</f>
        <v>324.103544839833</v>
      </c>
      <c r="BN55" s="17" t="n">
        <f aca="false">IF($AR55=1,BM55+INDEX($AS$38:$BL$38,$A55)*INDEX(C55:V55,$A55)/Hurdle_r,"")</f>
        <v>758.748470981242</v>
      </c>
    </row>
    <row r="56" customFormat="false" ht="15" hidden="false" customHeight="false" outlineLevel="0" collapsed="false">
      <c r="A56" s="2" t="n">
        <v>5</v>
      </c>
      <c r="B56" s="2" t="n">
        <v>2</v>
      </c>
      <c r="C56" s="14" t="n">
        <f aca="false">IF(1&gt;$A56,0,Val_pt*(Ceiling_e-E_zero)*(1-(1-Half_gap)^MIN(1,$B56)))</f>
        <v>70</v>
      </c>
      <c r="D56" s="14" t="n">
        <f aca="false">IF(2&gt;$A56,0,Val_pt*(Ceiling_e-E_zero)*(1-(1-Half_gap)^MIN(2,$B56)))</f>
        <v>105</v>
      </c>
      <c r="E56" s="14" t="n">
        <f aca="false">IF(3&gt;$A56,0,Val_pt*(Ceiling_e-E_zero)*(1-(1-Half_gap)^MIN(3,$B56)))</f>
        <v>105</v>
      </c>
      <c r="F56" s="14" t="n">
        <f aca="false">IF(4&gt;$A56,0,Val_pt*(Ceiling_e-E_zero)*(1-(1-Half_gap)^MIN(4,$B56)))</f>
        <v>105</v>
      </c>
      <c r="G56" s="14" t="n">
        <f aca="false">IF(5&gt;$A56,0,Val_pt*(Ceiling_e-E_zero)*(1-(1-Half_gap)^MIN(5,$B56)))</f>
        <v>105</v>
      </c>
      <c r="H56" s="14" t="n">
        <f aca="false">IF(6&gt;$A56,0,Val_pt*(Ceiling_e-E_zero)*(1-(1-Half_gap)^MIN(6,$B56)))</f>
        <v>0</v>
      </c>
      <c r="I56" s="14" t="n">
        <f aca="false">IF(7&gt;$A56,0,Val_pt*(Ceiling_e-E_zero)*(1-(1-Half_gap)^MIN(7,$B56)))</f>
        <v>0</v>
      </c>
      <c r="J56" s="14" t="n">
        <f aca="false">IF(8&gt;$A56,0,Val_pt*(Ceiling_e-E_zero)*(1-(1-Half_gap)^MIN(8,$B56)))</f>
        <v>0</v>
      </c>
      <c r="K56" s="14" t="n">
        <f aca="false">IF(9&gt;$A56,0,Val_pt*(Ceiling_e-E_zero)*(1-(1-Half_gap)^MIN(9,$B56)))</f>
        <v>0</v>
      </c>
      <c r="L56" s="14" t="n">
        <f aca="false">IF(10&gt;$A56,0,Val_pt*(Ceiling_e-E_zero)*(1-(1-Half_gap)^MIN(10,$B56)))</f>
        <v>0</v>
      </c>
      <c r="M56" s="14" t="n">
        <f aca="false">IF(11&gt;$A56,0,Val_pt*(Ceiling_e-E_zero)*(1-(1-Half_gap)^MIN(11,$B56)))</f>
        <v>0</v>
      </c>
      <c r="N56" s="14" t="n">
        <f aca="false">IF(12&gt;$A56,0,Val_pt*(Ceiling_e-E_zero)*(1-(1-Half_gap)^MIN(12,$B56)))</f>
        <v>0</v>
      </c>
      <c r="O56" s="14" t="n">
        <f aca="false">IF(13&gt;$A56,0,Val_pt*(Ceiling_e-E_zero)*(1-(1-Half_gap)^MIN(13,$B56)))</f>
        <v>0</v>
      </c>
      <c r="P56" s="14" t="n">
        <f aca="false">IF(14&gt;$A56,0,Val_pt*(Ceiling_e-E_zero)*(1-(1-Half_gap)^MIN(14,$B56)))</f>
        <v>0</v>
      </c>
      <c r="Q56" s="14" t="n">
        <f aca="false">IF(15&gt;$A56,0,Val_pt*(Ceiling_e-E_zero)*(1-(1-Half_gap)^MIN(15,$B56)))</f>
        <v>0</v>
      </c>
      <c r="R56" s="14" t="n">
        <f aca="false">IF(16&gt;$A56,0,Val_pt*(Ceiling_e-E_zero)*(1-(1-Half_gap)^MIN(16,$B56)))</f>
        <v>0</v>
      </c>
      <c r="S56" s="14" t="n">
        <f aca="false">IF(17&gt;$A56,0,Val_pt*(Ceiling_e-E_zero)*(1-(1-Half_gap)^MIN(17,$B56)))</f>
        <v>0</v>
      </c>
      <c r="T56" s="14" t="n">
        <f aca="false">IF(18&gt;$A56,0,Val_pt*(Ceiling_e-E_zero)*(1-(1-Half_gap)^MIN(18,$B56)))</f>
        <v>0</v>
      </c>
      <c r="U56" s="14" t="n">
        <f aca="false">IF(19&gt;$A56,0,Val_pt*(Ceiling_e-E_zero)*(1-(1-Half_gap)^MIN(19,$B56)))</f>
        <v>0</v>
      </c>
      <c r="V56" s="14" t="n">
        <f aca="false">IF(20&gt;$A56,0,Val_pt*(Ceiling_e-E_zero)*(1-(1-Half_gap)^MIN(20,$B56)))</f>
        <v>0</v>
      </c>
      <c r="W56" s="14" t="n">
        <f aca="false">IF(0&gt;$A56,0,IF(0=$A56,MAX(End_q,Floor_q),MAX(X56+Cost_round*IF(1&lt;=$B56,1,0)-C56,IF(1&lt;=$B56,1,0)*Pre_q)))</f>
        <v>520</v>
      </c>
      <c r="X56" s="14" t="n">
        <f aca="false">IF(1&gt;$A56,0,IF(1=$A56,MAX(End_q,Floor_q),MAX(Y56+Cost_round*IF(2&lt;=$B56,1,0)-D56,IF(2&lt;=$B56,1,0)*Pre_q,Floor_q)))</f>
        <v>470</v>
      </c>
      <c r="Y56" s="14" t="n">
        <f aca="false">IF(2&gt;$A56,0,IF(2=$A56,MAX(End_q,Floor_q),MAX(Z56+Cost_round*IF(3&lt;=$B56,1,0)-E56,IF(3&lt;=$B56,1,0)*Pre_q,Floor_q)))</f>
        <v>350</v>
      </c>
      <c r="Z56" s="14" t="n">
        <f aca="false">IF(3&gt;$A56,0,IF(3=$A56,MAX(End_q,Floor_q),MAX(AA56+Cost_round*IF(4&lt;=$B56,1,0)-F56,IF(4&lt;=$B56,1,0)*Pre_q,Floor_q)))</f>
        <v>350</v>
      </c>
      <c r="AA56" s="14" t="n">
        <f aca="false">IF(4&gt;$A56,0,IF(4=$A56,MAX(End_q,Floor_q),MAX(AB56+Cost_round*IF(5&lt;=$B56,1,0)-G56,IF(5&lt;=$B56,1,0)*Pre_q,Floor_q)))</f>
        <v>365</v>
      </c>
      <c r="AB56" s="14" t="n">
        <f aca="false">IF(5&gt;$A56,0,IF(5=$A56,MAX(End_q,Floor_q),MAX(AC56+Cost_round*IF(6&lt;=$B56,1,0)-H56,IF(6&lt;=$B56,1,0)*Pre_q,Floor_q)))</f>
        <v>470</v>
      </c>
      <c r="AC56" s="14" t="n">
        <f aca="false">IF(6&gt;$A56,0,IF(6=$A56,MAX(End_q,Floor_q),MAX(AD56+Cost_round*IF(7&lt;=$B56,1,0)-I56,IF(7&lt;=$B56,1,0)*Pre_q,Floor_q)))</f>
        <v>0</v>
      </c>
      <c r="AD56" s="14" t="n">
        <f aca="false">IF(7&gt;$A56,0,IF(7=$A56,MAX(End_q,Floor_q),MAX(AE56+Cost_round*IF(8&lt;=$B56,1,0)-J56,IF(8&lt;=$B56,1,0)*Pre_q,Floor_q)))</f>
        <v>0</v>
      </c>
      <c r="AE56" s="14" t="n">
        <f aca="false">IF(8&gt;$A56,0,IF(8=$A56,MAX(End_q,Floor_q),MAX(AF56+Cost_round*IF(9&lt;=$B56,1,0)-K56,IF(9&lt;=$B56,1,0)*Pre_q,Floor_q)))</f>
        <v>0</v>
      </c>
      <c r="AF56" s="14" t="n">
        <f aca="false">IF(9&gt;$A56,0,IF(9=$A56,MAX(End_q,Floor_q),MAX(AG56+Cost_round*IF(10&lt;=$B56,1,0)-L56,IF(10&lt;=$B56,1,0)*Pre_q,Floor_q)))</f>
        <v>0</v>
      </c>
      <c r="AG56" s="14" t="n">
        <f aca="false">IF(10&gt;$A56,0,IF(10=$A56,MAX(End_q,Floor_q),MAX(AH56+Cost_round*IF(11&lt;=$B56,1,0)-M56,IF(11&lt;=$B56,1,0)*Pre_q,Floor_q)))</f>
        <v>0</v>
      </c>
      <c r="AH56" s="14" t="n">
        <f aca="false">IF(11&gt;$A56,0,IF(11=$A56,MAX(End_q,Floor_q),MAX(AI56+Cost_round*IF(12&lt;=$B56,1,0)-N56,IF(12&lt;=$B56,1,0)*Pre_q,Floor_q)))</f>
        <v>0</v>
      </c>
      <c r="AI56" s="14" t="n">
        <f aca="false">IF(12&gt;$A56,0,IF(12=$A56,MAX(End_q,Floor_q),MAX(AJ56+Cost_round*IF(13&lt;=$B56,1,0)-O56,IF(13&lt;=$B56,1,0)*Pre_q,Floor_q)))</f>
        <v>0</v>
      </c>
      <c r="AJ56" s="14" t="n">
        <f aca="false">IF(13&gt;$A56,0,IF(13=$A56,MAX(End_q,Floor_q),MAX(AK56+Cost_round*IF(14&lt;=$B56,1,0)-P56,IF(14&lt;=$B56,1,0)*Pre_q,Floor_q)))</f>
        <v>0</v>
      </c>
      <c r="AK56" s="14" t="n">
        <f aca="false">IF(14&gt;$A56,0,IF(14=$A56,MAX(End_q,Floor_q),MAX(AL56+Cost_round*IF(15&lt;=$B56,1,0)-Q56,IF(15&lt;=$B56,1,0)*Pre_q,Floor_q)))</f>
        <v>0</v>
      </c>
      <c r="AL56" s="14" t="n">
        <f aca="false">IF(15&gt;$A56,0,IF(15=$A56,MAX(End_q,Floor_q),MAX(AM56+Cost_round*IF(16&lt;=$B56,1,0)-R56,IF(16&lt;=$B56,1,0)*Pre_q,Floor_q)))</f>
        <v>0</v>
      </c>
      <c r="AM56" s="14" t="n">
        <f aca="false">IF(16&gt;$A56,0,IF(16=$A56,MAX(End_q,Floor_q),MAX(AN56+Cost_round*IF(17&lt;=$B56,1,0)-S56,IF(17&lt;=$B56,1,0)*Pre_q,Floor_q)))</f>
        <v>0</v>
      </c>
      <c r="AN56" s="14" t="n">
        <f aca="false">IF(17&gt;$A56,0,IF(17=$A56,MAX(End_q,Floor_q),MAX(AO56+Cost_round*IF(18&lt;=$B56,1,0)-T56,IF(18&lt;=$B56,1,0)*Pre_q,Floor_q)))</f>
        <v>0</v>
      </c>
      <c r="AO56" s="14" t="n">
        <f aca="false">IF(18&gt;$A56,0,IF(18=$A56,MAX(End_q,Floor_q),MAX(AP56+Cost_round*IF(19&lt;=$B56,1,0)-U56,IF(19&lt;=$B56,1,0)*Pre_q,Floor_q)))</f>
        <v>0</v>
      </c>
      <c r="AP56" s="14" t="n">
        <f aca="false">IF(19&gt;$A56,0,IF(19=$A56,MAX(End_q,Floor_q),MAX(AQ56+Cost_round*IF(20&lt;=$B56,1,0)-V56,IF(20&lt;=$B56,1,0)*Pre_q,Floor_q)))</f>
        <v>0</v>
      </c>
      <c r="AQ56" s="14" t="n">
        <f aca="false">IF(20&gt;$A56,0,MAX(End_q,Floor_q))</f>
        <v>0</v>
      </c>
      <c r="AR56" s="15" t="n">
        <f aca="false">IF(Q_zero&gt;=W56-0.000000001,1,0)</f>
        <v>1</v>
      </c>
      <c r="AS56" s="14" t="n">
        <f aca="false">IF(1&gt;$A56,0,Q_zero-Cost_round*IF(1&lt;=$B56,1,0)+C56-X56)</f>
        <v>100</v>
      </c>
      <c r="AT56" s="14" t="n">
        <f aca="false">IF(2&gt;$A56,0,X56-Cost_round*IF(2&lt;=$B56,1,0)+D56-Y56)</f>
        <v>105</v>
      </c>
      <c r="AU56" s="14" t="n">
        <f aca="false">IF(3&gt;$A56,0,Y56-Cost_round*IF(3&lt;=$B56,1,0)+E56-Z56)</f>
        <v>105</v>
      </c>
      <c r="AV56" s="14" t="n">
        <f aca="false">IF(4&gt;$A56,0,Z56-Cost_round*IF(4&lt;=$B56,1,0)+F56-AA56)</f>
        <v>90</v>
      </c>
      <c r="AW56" s="14" t="n">
        <f aca="false">IF(5&gt;$A56,0,AA56-Cost_round*IF(5&lt;=$B56,1,0)+G56-AB56)</f>
        <v>0</v>
      </c>
      <c r="AX56" s="14" t="n">
        <f aca="false">IF(6&gt;$A56,0,AB56-Cost_round*IF(6&lt;=$B56,1,0)+H56-AC56)</f>
        <v>0</v>
      </c>
      <c r="AY56" s="14" t="n">
        <f aca="false">IF(7&gt;$A56,0,AC56-Cost_round*IF(7&lt;=$B56,1,0)+I56-AD56)</f>
        <v>0</v>
      </c>
      <c r="AZ56" s="14" t="n">
        <f aca="false">IF(8&gt;$A56,0,AD56-Cost_round*IF(8&lt;=$B56,1,0)+J56-AE56)</f>
        <v>0</v>
      </c>
      <c r="BA56" s="14" t="n">
        <f aca="false">IF(9&gt;$A56,0,AE56-Cost_round*IF(9&lt;=$B56,1,0)+K56-AF56)</f>
        <v>0</v>
      </c>
      <c r="BB56" s="14" t="n">
        <f aca="false">IF(10&gt;$A56,0,AF56-Cost_round*IF(10&lt;=$B56,1,0)+L56-AG56)</f>
        <v>0</v>
      </c>
      <c r="BC56" s="14" t="n">
        <f aca="false">IF(11&gt;$A56,0,AG56-Cost_round*IF(11&lt;=$B56,1,0)+M56-AH56)</f>
        <v>0</v>
      </c>
      <c r="BD56" s="14" t="n">
        <f aca="false">IF(12&gt;$A56,0,AH56-Cost_round*IF(12&lt;=$B56,1,0)+N56-AI56)</f>
        <v>0</v>
      </c>
      <c r="BE56" s="14" t="n">
        <f aca="false">IF(13&gt;$A56,0,AI56-Cost_round*IF(13&lt;=$B56,1,0)+O56-AJ56)</f>
        <v>0</v>
      </c>
      <c r="BF56" s="14" t="n">
        <f aca="false">IF(14&gt;$A56,0,AJ56-Cost_round*IF(14&lt;=$B56,1,0)+P56-AK56)</f>
        <v>0</v>
      </c>
      <c r="BG56" s="14" t="n">
        <f aca="false">IF(15&gt;$A56,0,AK56-Cost_round*IF(15&lt;=$B56,1,0)+Q56-AL56)</f>
        <v>0</v>
      </c>
      <c r="BH56" s="14" t="n">
        <f aca="false">IF(16&gt;$A56,0,AL56-Cost_round*IF(16&lt;=$B56,1,0)+R56-AM56)</f>
        <v>0</v>
      </c>
      <c r="BI56" s="14" t="n">
        <f aca="false">IF(17&gt;$A56,0,AM56-Cost_round*IF(17&lt;=$B56,1,0)+S56-AN56)</f>
        <v>0</v>
      </c>
      <c r="BJ56" s="14" t="n">
        <f aca="false">IF(18&gt;$A56,0,AN56-Cost_round*IF(18&lt;=$B56,1,0)+T56-AO56)</f>
        <v>0</v>
      </c>
      <c r="BK56" s="14" t="n">
        <f aca="false">IF(19&gt;$A56,0,AO56-Cost_round*IF(19&lt;=$B56,1,0)+U56-AP56)</f>
        <v>0</v>
      </c>
      <c r="BL56" s="14" t="n">
        <f aca="false">IF(20&gt;$A56,0,AP56-Cost_round*IF(20&lt;=$B56,1,0)+V56-AQ56)</f>
        <v>0</v>
      </c>
      <c r="BM56" s="17" t="n">
        <f aca="false">IF($AR56=1,SUMPRODUCT(AS56:BL56,$AS$38:$BL$38),"")</f>
        <v>318.045215490745</v>
      </c>
      <c r="BN56" s="17" t="n">
        <f aca="false">IF($AR56=1,BM56+INDEX($AS$38:$BL$38,$A56)*INDEX(C56:V56,$A56)/Hurdle_r,"")</f>
        <v>970.012604702858</v>
      </c>
    </row>
    <row r="57" customFormat="false" ht="15" hidden="false" customHeight="false" outlineLevel="0" collapsed="false">
      <c r="A57" s="2" t="n">
        <v>5</v>
      </c>
      <c r="B57" s="2" t="n">
        <v>3</v>
      </c>
      <c r="C57" s="14" t="n">
        <f aca="false">IF(1&gt;$A57,0,Val_pt*(Ceiling_e-E_zero)*(1-(1-Half_gap)^MIN(1,$B57)))</f>
        <v>70</v>
      </c>
      <c r="D57" s="14" t="n">
        <f aca="false">IF(2&gt;$A57,0,Val_pt*(Ceiling_e-E_zero)*(1-(1-Half_gap)^MIN(2,$B57)))</f>
        <v>105</v>
      </c>
      <c r="E57" s="14" t="n">
        <f aca="false">IF(3&gt;$A57,0,Val_pt*(Ceiling_e-E_zero)*(1-(1-Half_gap)^MIN(3,$B57)))</f>
        <v>122.5</v>
      </c>
      <c r="F57" s="14" t="n">
        <f aca="false">IF(4&gt;$A57,0,Val_pt*(Ceiling_e-E_zero)*(1-(1-Half_gap)^MIN(4,$B57)))</f>
        <v>122.5</v>
      </c>
      <c r="G57" s="14" t="n">
        <f aca="false">IF(5&gt;$A57,0,Val_pt*(Ceiling_e-E_zero)*(1-(1-Half_gap)^MIN(5,$B57)))</f>
        <v>122.5</v>
      </c>
      <c r="H57" s="14" t="n">
        <f aca="false">IF(6&gt;$A57,0,Val_pt*(Ceiling_e-E_zero)*(1-(1-Half_gap)^MIN(6,$B57)))</f>
        <v>0</v>
      </c>
      <c r="I57" s="14" t="n">
        <f aca="false">IF(7&gt;$A57,0,Val_pt*(Ceiling_e-E_zero)*(1-(1-Half_gap)^MIN(7,$B57)))</f>
        <v>0</v>
      </c>
      <c r="J57" s="14" t="n">
        <f aca="false">IF(8&gt;$A57,0,Val_pt*(Ceiling_e-E_zero)*(1-(1-Half_gap)^MIN(8,$B57)))</f>
        <v>0</v>
      </c>
      <c r="K57" s="14" t="n">
        <f aca="false">IF(9&gt;$A57,0,Val_pt*(Ceiling_e-E_zero)*(1-(1-Half_gap)^MIN(9,$B57)))</f>
        <v>0</v>
      </c>
      <c r="L57" s="14" t="n">
        <f aca="false">IF(10&gt;$A57,0,Val_pt*(Ceiling_e-E_zero)*(1-(1-Half_gap)^MIN(10,$B57)))</f>
        <v>0</v>
      </c>
      <c r="M57" s="14" t="n">
        <f aca="false">IF(11&gt;$A57,0,Val_pt*(Ceiling_e-E_zero)*(1-(1-Half_gap)^MIN(11,$B57)))</f>
        <v>0</v>
      </c>
      <c r="N57" s="14" t="n">
        <f aca="false">IF(12&gt;$A57,0,Val_pt*(Ceiling_e-E_zero)*(1-(1-Half_gap)^MIN(12,$B57)))</f>
        <v>0</v>
      </c>
      <c r="O57" s="14" t="n">
        <f aca="false">IF(13&gt;$A57,0,Val_pt*(Ceiling_e-E_zero)*(1-(1-Half_gap)^MIN(13,$B57)))</f>
        <v>0</v>
      </c>
      <c r="P57" s="14" t="n">
        <f aca="false">IF(14&gt;$A57,0,Val_pt*(Ceiling_e-E_zero)*(1-(1-Half_gap)^MIN(14,$B57)))</f>
        <v>0</v>
      </c>
      <c r="Q57" s="14" t="n">
        <f aca="false">IF(15&gt;$A57,0,Val_pt*(Ceiling_e-E_zero)*(1-(1-Half_gap)^MIN(15,$B57)))</f>
        <v>0</v>
      </c>
      <c r="R57" s="14" t="n">
        <f aca="false">IF(16&gt;$A57,0,Val_pt*(Ceiling_e-E_zero)*(1-(1-Half_gap)^MIN(16,$B57)))</f>
        <v>0</v>
      </c>
      <c r="S57" s="14" t="n">
        <f aca="false">IF(17&gt;$A57,0,Val_pt*(Ceiling_e-E_zero)*(1-(1-Half_gap)^MIN(17,$B57)))</f>
        <v>0</v>
      </c>
      <c r="T57" s="14" t="n">
        <f aca="false">IF(18&gt;$A57,0,Val_pt*(Ceiling_e-E_zero)*(1-(1-Half_gap)^MIN(18,$B57)))</f>
        <v>0</v>
      </c>
      <c r="U57" s="14" t="n">
        <f aca="false">IF(19&gt;$A57,0,Val_pt*(Ceiling_e-E_zero)*(1-(1-Half_gap)^MIN(19,$B57)))</f>
        <v>0</v>
      </c>
      <c r="V57" s="14" t="n">
        <f aca="false">IF(20&gt;$A57,0,Val_pt*(Ceiling_e-E_zero)*(1-(1-Half_gap)^MIN(20,$B57)))</f>
        <v>0</v>
      </c>
      <c r="W57" s="14" t="n">
        <f aca="false">IF(0&gt;$A57,0,IF(0=$A57,MAX(End_q,Floor_q),MAX(X57+Cost_round*IF(1&lt;=$B57,1,0)-C57,IF(1&lt;=$B57,1,0)*Pre_q)))</f>
        <v>535</v>
      </c>
      <c r="X57" s="14" t="n">
        <f aca="false">IF(1&gt;$A57,0,IF(1=$A57,MAX(End_q,Floor_q),MAX(Y57+Cost_round*IF(2&lt;=$B57,1,0)-D57,IF(2&lt;=$B57,1,0)*Pre_q,Floor_q)))</f>
        <v>485</v>
      </c>
      <c r="Y57" s="14" t="n">
        <f aca="false">IF(2&gt;$A57,0,IF(2=$A57,MAX(End_q,Floor_q),MAX(Z57+Cost_round*IF(3&lt;=$B57,1,0)-E57,IF(3&lt;=$B57,1,0)*Pre_q,Floor_q)))</f>
        <v>470</v>
      </c>
      <c r="Z57" s="14" t="n">
        <f aca="false">IF(3&gt;$A57,0,IF(3=$A57,MAX(End_q,Floor_q),MAX(AA57+Cost_round*IF(4&lt;=$B57,1,0)-F57,IF(4&lt;=$B57,1,0)*Pre_q,Floor_q)))</f>
        <v>350</v>
      </c>
      <c r="AA57" s="14" t="n">
        <f aca="false">IF(4&gt;$A57,0,IF(4=$A57,MAX(End_q,Floor_q),MAX(AB57+Cost_round*IF(5&lt;=$B57,1,0)-G57,IF(5&lt;=$B57,1,0)*Pre_q,Floor_q)))</f>
        <v>350</v>
      </c>
      <c r="AB57" s="14" t="n">
        <f aca="false">IF(5&gt;$A57,0,IF(5=$A57,MAX(End_q,Floor_q),MAX(AC57+Cost_round*IF(6&lt;=$B57,1,0)-H57,IF(6&lt;=$B57,1,0)*Pre_q,Floor_q)))</f>
        <v>470</v>
      </c>
      <c r="AC57" s="14" t="n">
        <f aca="false">IF(6&gt;$A57,0,IF(6=$A57,MAX(End_q,Floor_q),MAX(AD57+Cost_round*IF(7&lt;=$B57,1,0)-I57,IF(7&lt;=$B57,1,0)*Pre_q,Floor_q)))</f>
        <v>0</v>
      </c>
      <c r="AD57" s="14" t="n">
        <f aca="false">IF(7&gt;$A57,0,IF(7=$A57,MAX(End_q,Floor_q),MAX(AE57+Cost_round*IF(8&lt;=$B57,1,0)-J57,IF(8&lt;=$B57,1,0)*Pre_q,Floor_q)))</f>
        <v>0</v>
      </c>
      <c r="AE57" s="14" t="n">
        <f aca="false">IF(8&gt;$A57,0,IF(8=$A57,MAX(End_q,Floor_q),MAX(AF57+Cost_round*IF(9&lt;=$B57,1,0)-K57,IF(9&lt;=$B57,1,0)*Pre_q,Floor_q)))</f>
        <v>0</v>
      </c>
      <c r="AF57" s="14" t="n">
        <f aca="false">IF(9&gt;$A57,0,IF(9=$A57,MAX(End_q,Floor_q),MAX(AG57+Cost_round*IF(10&lt;=$B57,1,0)-L57,IF(10&lt;=$B57,1,0)*Pre_q,Floor_q)))</f>
        <v>0</v>
      </c>
      <c r="AG57" s="14" t="n">
        <f aca="false">IF(10&gt;$A57,0,IF(10=$A57,MAX(End_q,Floor_q),MAX(AH57+Cost_round*IF(11&lt;=$B57,1,0)-M57,IF(11&lt;=$B57,1,0)*Pre_q,Floor_q)))</f>
        <v>0</v>
      </c>
      <c r="AH57" s="14" t="n">
        <f aca="false">IF(11&gt;$A57,0,IF(11=$A57,MAX(End_q,Floor_q),MAX(AI57+Cost_round*IF(12&lt;=$B57,1,0)-N57,IF(12&lt;=$B57,1,0)*Pre_q,Floor_q)))</f>
        <v>0</v>
      </c>
      <c r="AI57" s="14" t="n">
        <f aca="false">IF(12&gt;$A57,0,IF(12=$A57,MAX(End_q,Floor_q),MAX(AJ57+Cost_round*IF(13&lt;=$B57,1,0)-O57,IF(13&lt;=$B57,1,0)*Pre_q,Floor_q)))</f>
        <v>0</v>
      </c>
      <c r="AJ57" s="14" t="n">
        <f aca="false">IF(13&gt;$A57,0,IF(13=$A57,MAX(End_q,Floor_q),MAX(AK57+Cost_round*IF(14&lt;=$B57,1,0)-P57,IF(14&lt;=$B57,1,0)*Pre_q,Floor_q)))</f>
        <v>0</v>
      </c>
      <c r="AK57" s="14" t="n">
        <f aca="false">IF(14&gt;$A57,0,IF(14=$A57,MAX(End_q,Floor_q),MAX(AL57+Cost_round*IF(15&lt;=$B57,1,0)-Q57,IF(15&lt;=$B57,1,0)*Pre_q,Floor_q)))</f>
        <v>0</v>
      </c>
      <c r="AL57" s="14" t="n">
        <f aca="false">IF(15&gt;$A57,0,IF(15=$A57,MAX(End_q,Floor_q),MAX(AM57+Cost_round*IF(16&lt;=$B57,1,0)-R57,IF(16&lt;=$B57,1,0)*Pre_q,Floor_q)))</f>
        <v>0</v>
      </c>
      <c r="AM57" s="14" t="n">
        <f aca="false">IF(16&gt;$A57,0,IF(16=$A57,MAX(End_q,Floor_q),MAX(AN57+Cost_round*IF(17&lt;=$B57,1,0)-S57,IF(17&lt;=$B57,1,0)*Pre_q,Floor_q)))</f>
        <v>0</v>
      </c>
      <c r="AN57" s="14" t="n">
        <f aca="false">IF(17&gt;$A57,0,IF(17=$A57,MAX(End_q,Floor_q),MAX(AO57+Cost_round*IF(18&lt;=$B57,1,0)-T57,IF(18&lt;=$B57,1,0)*Pre_q,Floor_q)))</f>
        <v>0</v>
      </c>
      <c r="AO57" s="14" t="n">
        <f aca="false">IF(18&gt;$A57,0,IF(18=$A57,MAX(End_q,Floor_q),MAX(AP57+Cost_round*IF(19&lt;=$B57,1,0)-U57,IF(19&lt;=$B57,1,0)*Pre_q,Floor_q)))</f>
        <v>0</v>
      </c>
      <c r="AP57" s="14" t="n">
        <f aca="false">IF(19&gt;$A57,0,IF(19=$A57,MAX(End_q,Floor_q),MAX(AQ57+Cost_round*IF(20&lt;=$B57,1,0)-V57,IF(20&lt;=$B57,1,0)*Pre_q,Floor_q)))</f>
        <v>0</v>
      </c>
      <c r="AQ57" s="14" t="n">
        <f aca="false">IF(20&gt;$A57,0,MAX(End_q,Floor_q))</f>
        <v>0</v>
      </c>
      <c r="AR57" s="15" t="n">
        <f aca="false">IF(Q_zero&gt;=W57-0.000000001,1,0)</f>
        <v>1</v>
      </c>
      <c r="AS57" s="14" t="n">
        <f aca="false">IF(1&gt;$A57,0,Q_zero-Cost_round*IF(1&lt;=$B57,1,0)+C57-X57)</f>
        <v>85</v>
      </c>
      <c r="AT57" s="14" t="n">
        <f aca="false">IF(2&gt;$A57,0,X57-Cost_round*IF(2&lt;=$B57,1,0)+D57-Y57)</f>
        <v>0</v>
      </c>
      <c r="AU57" s="14" t="n">
        <f aca="false">IF(3&gt;$A57,0,Y57-Cost_round*IF(3&lt;=$B57,1,0)+E57-Z57)</f>
        <v>122.5</v>
      </c>
      <c r="AV57" s="14" t="n">
        <f aca="false">IF(4&gt;$A57,0,Z57-Cost_round*IF(4&lt;=$B57,1,0)+F57-AA57)</f>
        <v>122.5</v>
      </c>
      <c r="AW57" s="14" t="n">
        <f aca="false">IF(5&gt;$A57,0,AA57-Cost_round*IF(5&lt;=$B57,1,0)+G57-AB57)</f>
        <v>2.5</v>
      </c>
      <c r="AX57" s="14" t="n">
        <f aca="false">IF(6&gt;$A57,0,AB57-Cost_round*IF(6&lt;=$B57,1,0)+H57-AC57)</f>
        <v>0</v>
      </c>
      <c r="AY57" s="14" t="n">
        <f aca="false">IF(7&gt;$A57,0,AC57-Cost_round*IF(7&lt;=$B57,1,0)+I57-AD57)</f>
        <v>0</v>
      </c>
      <c r="AZ57" s="14" t="n">
        <f aca="false">IF(8&gt;$A57,0,AD57-Cost_round*IF(8&lt;=$B57,1,0)+J57-AE57)</f>
        <v>0</v>
      </c>
      <c r="BA57" s="14" t="n">
        <f aca="false">IF(9&gt;$A57,0,AE57-Cost_round*IF(9&lt;=$B57,1,0)+K57-AF57)</f>
        <v>0</v>
      </c>
      <c r="BB57" s="14" t="n">
        <f aca="false">IF(10&gt;$A57,0,AF57-Cost_round*IF(10&lt;=$B57,1,0)+L57-AG57)</f>
        <v>0</v>
      </c>
      <c r="BC57" s="14" t="n">
        <f aca="false">IF(11&gt;$A57,0,AG57-Cost_round*IF(11&lt;=$B57,1,0)+M57-AH57)</f>
        <v>0</v>
      </c>
      <c r="BD57" s="14" t="n">
        <f aca="false">IF(12&gt;$A57,0,AH57-Cost_round*IF(12&lt;=$B57,1,0)+N57-AI57)</f>
        <v>0</v>
      </c>
      <c r="BE57" s="14" t="n">
        <f aca="false">IF(13&gt;$A57,0,AI57-Cost_round*IF(13&lt;=$B57,1,0)+O57-AJ57)</f>
        <v>0</v>
      </c>
      <c r="BF57" s="14" t="n">
        <f aca="false">IF(14&gt;$A57,0,AJ57-Cost_round*IF(14&lt;=$B57,1,0)+P57-AK57)</f>
        <v>0</v>
      </c>
      <c r="BG57" s="14" t="n">
        <f aca="false">IF(15&gt;$A57,0,AK57-Cost_round*IF(15&lt;=$B57,1,0)+Q57-AL57)</f>
        <v>0</v>
      </c>
      <c r="BH57" s="14" t="n">
        <f aca="false">IF(16&gt;$A57,0,AL57-Cost_round*IF(16&lt;=$B57,1,0)+R57-AM57)</f>
        <v>0</v>
      </c>
      <c r="BI57" s="14" t="n">
        <f aca="false">IF(17&gt;$A57,0,AM57-Cost_round*IF(17&lt;=$B57,1,0)+S57-AN57)</f>
        <v>0</v>
      </c>
      <c r="BJ57" s="14" t="n">
        <f aca="false">IF(18&gt;$A57,0,AN57-Cost_round*IF(18&lt;=$B57,1,0)+T57-AO57)</f>
        <v>0</v>
      </c>
      <c r="BK57" s="14" t="n">
        <f aca="false">IF(19&gt;$A57,0,AO57-Cost_round*IF(19&lt;=$B57,1,0)+U57-AP57)</f>
        <v>0</v>
      </c>
      <c r="BL57" s="14" t="n">
        <f aca="false">IF(20&gt;$A57,0,AP57-Cost_round*IF(20&lt;=$B57,1,0)+V57-AQ57)</f>
        <v>0</v>
      </c>
      <c r="BM57" s="17" t="n">
        <f aca="false">IF($AR57=1,SUMPRODUCT(AS57:BL57,$AS$38:$BL$38),"")</f>
        <v>254.53024197304</v>
      </c>
      <c r="BN57" s="17" t="n">
        <f aca="false">IF($AR57=1,BM57+INDEX($AS$38:$BL$38,$A57)*INDEX(C57:V57,$A57)/Hurdle_r,"")</f>
        <v>1015.1588627205</v>
      </c>
    </row>
    <row r="58" customFormat="false" ht="15" hidden="false" customHeight="false" outlineLevel="0" collapsed="false">
      <c r="A58" s="2" t="n">
        <v>5</v>
      </c>
      <c r="B58" s="2" t="n">
        <v>4</v>
      </c>
      <c r="C58" s="14" t="n">
        <f aca="false">IF(1&gt;$A58,0,Val_pt*(Ceiling_e-E_zero)*(1-(1-Half_gap)^MIN(1,$B58)))</f>
        <v>70</v>
      </c>
      <c r="D58" s="14" t="n">
        <f aca="false">IF(2&gt;$A58,0,Val_pt*(Ceiling_e-E_zero)*(1-(1-Half_gap)^MIN(2,$B58)))</f>
        <v>105</v>
      </c>
      <c r="E58" s="14" t="n">
        <f aca="false">IF(3&gt;$A58,0,Val_pt*(Ceiling_e-E_zero)*(1-(1-Half_gap)^MIN(3,$B58)))</f>
        <v>122.5</v>
      </c>
      <c r="F58" s="14" t="n">
        <f aca="false">IF(4&gt;$A58,0,Val_pt*(Ceiling_e-E_zero)*(1-(1-Half_gap)^MIN(4,$B58)))</f>
        <v>131.25</v>
      </c>
      <c r="G58" s="14" t="n">
        <f aca="false">IF(5&gt;$A58,0,Val_pt*(Ceiling_e-E_zero)*(1-(1-Half_gap)^MIN(5,$B58)))</f>
        <v>131.25</v>
      </c>
      <c r="H58" s="14" t="n">
        <f aca="false">IF(6&gt;$A58,0,Val_pt*(Ceiling_e-E_zero)*(1-(1-Half_gap)^MIN(6,$B58)))</f>
        <v>0</v>
      </c>
      <c r="I58" s="14" t="n">
        <f aca="false">IF(7&gt;$A58,0,Val_pt*(Ceiling_e-E_zero)*(1-(1-Half_gap)^MIN(7,$B58)))</f>
        <v>0</v>
      </c>
      <c r="J58" s="14" t="n">
        <f aca="false">IF(8&gt;$A58,0,Val_pt*(Ceiling_e-E_zero)*(1-(1-Half_gap)^MIN(8,$B58)))</f>
        <v>0</v>
      </c>
      <c r="K58" s="14" t="n">
        <f aca="false">IF(9&gt;$A58,0,Val_pt*(Ceiling_e-E_zero)*(1-(1-Half_gap)^MIN(9,$B58)))</f>
        <v>0</v>
      </c>
      <c r="L58" s="14" t="n">
        <f aca="false">IF(10&gt;$A58,0,Val_pt*(Ceiling_e-E_zero)*(1-(1-Half_gap)^MIN(10,$B58)))</f>
        <v>0</v>
      </c>
      <c r="M58" s="14" t="n">
        <f aca="false">IF(11&gt;$A58,0,Val_pt*(Ceiling_e-E_zero)*(1-(1-Half_gap)^MIN(11,$B58)))</f>
        <v>0</v>
      </c>
      <c r="N58" s="14" t="n">
        <f aca="false">IF(12&gt;$A58,0,Val_pt*(Ceiling_e-E_zero)*(1-(1-Half_gap)^MIN(12,$B58)))</f>
        <v>0</v>
      </c>
      <c r="O58" s="14" t="n">
        <f aca="false">IF(13&gt;$A58,0,Val_pt*(Ceiling_e-E_zero)*(1-(1-Half_gap)^MIN(13,$B58)))</f>
        <v>0</v>
      </c>
      <c r="P58" s="14" t="n">
        <f aca="false">IF(14&gt;$A58,0,Val_pt*(Ceiling_e-E_zero)*(1-(1-Half_gap)^MIN(14,$B58)))</f>
        <v>0</v>
      </c>
      <c r="Q58" s="14" t="n">
        <f aca="false">IF(15&gt;$A58,0,Val_pt*(Ceiling_e-E_zero)*(1-(1-Half_gap)^MIN(15,$B58)))</f>
        <v>0</v>
      </c>
      <c r="R58" s="14" t="n">
        <f aca="false">IF(16&gt;$A58,0,Val_pt*(Ceiling_e-E_zero)*(1-(1-Half_gap)^MIN(16,$B58)))</f>
        <v>0</v>
      </c>
      <c r="S58" s="14" t="n">
        <f aca="false">IF(17&gt;$A58,0,Val_pt*(Ceiling_e-E_zero)*(1-(1-Half_gap)^MIN(17,$B58)))</f>
        <v>0</v>
      </c>
      <c r="T58" s="14" t="n">
        <f aca="false">IF(18&gt;$A58,0,Val_pt*(Ceiling_e-E_zero)*(1-(1-Half_gap)^MIN(18,$B58)))</f>
        <v>0</v>
      </c>
      <c r="U58" s="14" t="n">
        <f aca="false">IF(19&gt;$A58,0,Val_pt*(Ceiling_e-E_zero)*(1-(1-Half_gap)^MIN(19,$B58)))</f>
        <v>0</v>
      </c>
      <c r="V58" s="14" t="n">
        <f aca="false">IF(20&gt;$A58,0,Val_pt*(Ceiling_e-E_zero)*(1-(1-Half_gap)^MIN(20,$B58)))</f>
        <v>0</v>
      </c>
      <c r="W58" s="14" t="n">
        <f aca="false">IF(0&gt;$A58,0,IF(0=$A58,MAX(End_q,Floor_q),MAX(X58+Cost_round*IF(1&lt;=$B58,1,0)-C58,IF(1&lt;=$B58,1,0)*Pre_q)))</f>
        <v>535</v>
      </c>
      <c r="X58" s="14" t="n">
        <f aca="false">IF(1&gt;$A58,0,IF(1=$A58,MAX(End_q,Floor_q),MAX(Y58+Cost_round*IF(2&lt;=$B58,1,0)-D58,IF(2&lt;=$B58,1,0)*Pre_q,Floor_q)))</f>
        <v>485</v>
      </c>
      <c r="Y58" s="14" t="n">
        <f aca="false">IF(2&gt;$A58,0,IF(2=$A58,MAX(End_q,Floor_q),MAX(Z58+Cost_round*IF(3&lt;=$B58,1,0)-E58,IF(3&lt;=$B58,1,0)*Pre_q,Floor_q)))</f>
        <v>470</v>
      </c>
      <c r="Z58" s="14" t="n">
        <f aca="false">IF(3&gt;$A58,0,IF(3=$A58,MAX(End_q,Floor_q),MAX(AA58+Cost_round*IF(4&lt;=$B58,1,0)-F58,IF(4&lt;=$B58,1,0)*Pre_q,Floor_q)))</f>
        <v>470</v>
      </c>
      <c r="AA58" s="14" t="n">
        <f aca="false">IF(4&gt;$A58,0,IF(4=$A58,MAX(End_q,Floor_q),MAX(AB58+Cost_round*IF(5&lt;=$B58,1,0)-G58,IF(5&lt;=$B58,1,0)*Pre_q,Floor_q)))</f>
        <v>350</v>
      </c>
      <c r="AB58" s="14" t="n">
        <f aca="false">IF(5&gt;$A58,0,IF(5=$A58,MAX(End_q,Floor_q),MAX(AC58+Cost_round*IF(6&lt;=$B58,1,0)-H58,IF(6&lt;=$B58,1,0)*Pre_q,Floor_q)))</f>
        <v>470</v>
      </c>
      <c r="AC58" s="14" t="n">
        <f aca="false">IF(6&gt;$A58,0,IF(6=$A58,MAX(End_q,Floor_q),MAX(AD58+Cost_round*IF(7&lt;=$B58,1,0)-I58,IF(7&lt;=$B58,1,0)*Pre_q,Floor_q)))</f>
        <v>0</v>
      </c>
      <c r="AD58" s="14" t="n">
        <f aca="false">IF(7&gt;$A58,0,IF(7=$A58,MAX(End_q,Floor_q),MAX(AE58+Cost_round*IF(8&lt;=$B58,1,0)-J58,IF(8&lt;=$B58,1,0)*Pre_q,Floor_q)))</f>
        <v>0</v>
      </c>
      <c r="AE58" s="14" t="n">
        <f aca="false">IF(8&gt;$A58,0,IF(8=$A58,MAX(End_q,Floor_q),MAX(AF58+Cost_round*IF(9&lt;=$B58,1,0)-K58,IF(9&lt;=$B58,1,0)*Pre_q,Floor_q)))</f>
        <v>0</v>
      </c>
      <c r="AF58" s="14" t="n">
        <f aca="false">IF(9&gt;$A58,0,IF(9=$A58,MAX(End_q,Floor_q),MAX(AG58+Cost_round*IF(10&lt;=$B58,1,0)-L58,IF(10&lt;=$B58,1,0)*Pre_q,Floor_q)))</f>
        <v>0</v>
      </c>
      <c r="AG58" s="14" t="n">
        <f aca="false">IF(10&gt;$A58,0,IF(10=$A58,MAX(End_q,Floor_q),MAX(AH58+Cost_round*IF(11&lt;=$B58,1,0)-M58,IF(11&lt;=$B58,1,0)*Pre_q,Floor_q)))</f>
        <v>0</v>
      </c>
      <c r="AH58" s="14" t="n">
        <f aca="false">IF(11&gt;$A58,0,IF(11=$A58,MAX(End_q,Floor_q),MAX(AI58+Cost_round*IF(12&lt;=$B58,1,0)-N58,IF(12&lt;=$B58,1,0)*Pre_q,Floor_q)))</f>
        <v>0</v>
      </c>
      <c r="AI58" s="14" t="n">
        <f aca="false">IF(12&gt;$A58,0,IF(12=$A58,MAX(End_q,Floor_q),MAX(AJ58+Cost_round*IF(13&lt;=$B58,1,0)-O58,IF(13&lt;=$B58,1,0)*Pre_q,Floor_q)))</f>
        <v>0</v>
      </c>
      <c r="AJ58" s="14" t="n">
        <f aca="false">IF(13&gt;$A58,0,IF(13=$A58,MAX(End_q,Floor_q),MAX(AK58+Cost_round*IF(14&lt;=$B58,1,0)-P58,IF(14&lt;=$B58,1,0)*Pre_q,Floor_q)))</f>
        <v>0</v>
      </c>
      <c r="AK58" s="14" t="n">
        <f aca="false">IF(14&gt;$A58,0,IF(14=$A58,MAX(End_q,Floor_q),MAX(AL58+Cost_round*IF(15&lt;=$B58,1,0)-Q58,IF(15&lt;=$B58,1,0)*Pre_q,Floor_q)))</f>
        <v>0</v>
      </c>
      <c r="AL58" s="14" t="n">
        <f aca="false">IF(15&gt;$A58,0,IF(15=$A58,MAX(End_q,Floor_q),MAX(AM58+Cost_round*IF(16&lt;=$B58,1,0)-R58,IF(16&lt;=$B58,1,0)*Pre_q,Floor_q)))</f>
        <v>0</v>
      </c>
      <c r="AM58" s="14" t="n">
        <f aca="false">IF(16&gt;$A58,0,IF(16=$A58,MAX(End_q,Floor_q),MAX(AN58+Cost_round*IF(17&lt;=$B58,1,0)-S58,IF(17&lt;=$B58,1,0)*Pre_q,Floor_q)))</f>
        <v>0</v>
      </c>
      <c r="AN58" s="14" t="n">
        <f aca="false">IF(17&gt;$A58,0,IF(17=$A58,MAX(End_q,Floor_q),MAX(AO58+Cost_round*IF(18&lt;=$B58,1,0)-T58,IF(18&lt;=$B58,1,0)*Pre_q,Floor_q)))</f>
        <v>0</v>
      </c>
      <c r="AO58" s="14" t="n">
        <f aca="false">IF(18&gt;$A58,0,IF(18=$A58,MAX(End_q,Floor_q),MAX(AP58+Cost_round*IF(19&lt;=$B58,1,0)-U58,IF(19&lt;=$B58,1,0)*Pre_q,Floor_q)))</f>
        <v>0</v>
      </c>
      <c r="AP58" s="14" t="n">
        <f aca="false">IF(19&gt;$A58,0,IF(19=$A58,MAX(End_q,Floor_q),MAX(AQ58+Cost_round*IF(20&lt;=$B58,1,0)-V58,IF(20&lt;=$B58,1,0)*Pre_q,Floor_q)))</f>
        <v>0</v>
      </c>
      <c r="AQ58" s="14" t="n">
        <f aca="false">IF(20&gt;$A58,0,MAX(End_q,Floor_q))</f>
        <v>0</v>
      </c>
      <c r="AR58" s="15" t="n">
        <f aca="false">IF(Q_zero&gt;=W58-0.000000001,1,0)</f>
        <v>1</v>
      </c>
      <c r="AS58" s="14" t="n">
        <f aca="false">IF(1&gt;$A58,0,Q_zero-Cost_round*IF(1&lt;=$B58,1,0)+C58-X58)</f>
        <v>85</v>
      </c>
      <c r="AT58" s="14" t="n">
        <f aca="false">IF(2&gt;$A58,0,X58-Cost_round*IF(2&lt;=$B58,1,0)+D58-Y58)</f>
        <v>0</v>
      </c>
      <c r="AU58" s="14" t="n">
        <f aca="false">IF(3&gt;$A58,0,Y58-Cost_round*IF(3&lt;=$B58,1,0)+E58-Z58)</f>
        <v>2.5</v>
      </c>
      <c r="AV58" s="14" t="n">
        <f aca="false">IF(4&gt;$A58,0,Z58-Cost_round*IF(4&lt;=$B58,1,0)+F58-AA58)</f>
        <v>131.25</v>
      </c>
      <c r="AW58" s="14" t="n">
        <f aca="false">IF(5&gt;$A58,0,AA58-Cost_round*IF(5&lt;=$B58,1,0)+G58-AB58)</f>
        <v>11.25</v>
      </c>
      <c r="AX58" s="14" t="n">
        <f aca="false">IF(6&gt;$A58,0,AB58-Cost_round*IF(6&lt;=$B58,1,0)+H58-AC58)</f>
        <v>0</v>
      </c>
      <c r="AY58" s="14" t="n">
        <f aca="false">IF(7&gt;$A58,0,AC58-Cost_round*IF(7&lt;=$B58,1,0)+I58-AD58)</f>
        <v>0</v>
      </c>
      <c r="AZ58" s="14" t="n">
        <f aca="false">IF(8&gt;$A58,0,AD58-Cost_round*IF(8&lt;=$B58,1,0)+J58-AE58)</f>
        <v>0</v>
      </c>
      <c r="BA58" s="14" t="n">
        <f aca="false">IF(9&gt;$A58,0,AE58-Cost_round*IF(9&lt;=$B58,1,0)+K58-AF58)</f>
        <v>0</v>
      </c>
      <c r="BB58" s="14" t="n">
        <f aca="false">IF(10&gt;$A58,0,AF58-Cost_round*IF(10&lt;=$B58,1,0)+L58-AG58)</f>
        <v>0</v>
      </c>
      <c r="BC58" s="14" t="n">
        <f aca="false">IF(11&gt;$A58,0,AG58-Cost_round*IF(11&lt;=$B58,1,0)+M58-AH58)</f>
        <v>0</v>
      </c>
      <c r="BD58" s="14" t="n">
        <f aca="false">IF(12&gt;$A58,0,AH58-Cost_round*IF(12&lt;=$B58,1,0)+N58-AI58)</f>
        <v>0</v>
      </c>
      <c r="BE58" s="14" t="n">
        <f aca="false">IF(13&gt;$A58,0,AI58-Cost_round*IF(13&lt;=$B58,1,0)+O58-AJ58)</f>
        <v>0</v>
      </c>
      <c r="BF58" s="14" t="n">
        <f aca="false">IF(14&gt;$A58,0,AJ58-Cost_round*IF(14&lt;=$B58,1,0)+P58-AK58)</f>
        <v>0</v>
      </c>
      <c r="BG58" s="14" t="n">
        <f aca="false">IF(15&gt;$A58,0,AK58-Cost_round*IF(15&lt;=$B58,1,0)+Q58-AL58)</f>
        <v>0</v>
      </c>
      <c r="BH58" s="14" t="n">
        <f aca="false">IF(16&gt;$A58,0,AL58-Cost_round*IF(16&lt;=$B58,1,0)+R58-AM58)</f>
        <v>0</v>
      </c>
      <c r="BI58" s="14" t="n">
        <f aca="false">IF(17&gt;$A58,0,AM58-Cost_round*IF(17&lt;=$B58,1,0)+S58-AN58)</f>
        <v>0</v>
      </c>
      <c r="BJ58" s="14" t="n">
        <f aca="false">IF(18&gt;$A58,0,AN58-Cost_round*IF(18&lt;=$B58,1,0)+T58-AO58)</f>
        <v>0</v>
      </c>
      <c r="BK58" s="14" t="n">
        <f aca="false">IF(19&gt;$A58,0,AO58-Cost_round*IF(19&lt;=$B58,1,0)+U58-AP58)</f>
        <v>0</v>
      </c>
      <c r="BL58" s="14" t="n">
        <f aca="false">IF(20&gt;$A58,0,AP58-Cost_round*IF(20&lt;=$B58,1,0)+V58-AQ58)</f>
        <v>0</v>
      </c>
      <c r="BM58" s="17" t="n">
        <f aca="false">IF($AR58=1,SUMPRODUCT(AS58:BL58,$AS$38:$BL$38),"")</f>
        <v>175.781895176062</v>
      </c>
      <c r="BN58" s="17" t="n">
        <f aca="false">IF($AR58=1,BM58+INDEX($AS$38:$BL$38,$A58)*INDEX(C58:V58,$A58)/Hurdle_r,"")</f>
        <v>990.741131691203</v>
      </c>
    </row>
    <row r="59" customFormat="false" ht="15" hidden="false" customHeight="false" outlineLevel="0" collapsed="false">
      <c r="A59" s="2" t="n">
        <v>6</v>
      </c>
      <c r="B59" s="2" t="n">
        <v>0</v>
      </c>
      <c r="C59" s="14" t="n">
        <f aca="false">IF(1&gt;$A59,0,Val_pt*(Ceiling_e-E_zero)*(1-(1-Half_gap)^MIN(1,$B59)))</f>
        <v>0</v>
      </c>
      <c r="D59" s="14" t="n">
        <f aca="false">IF(2&gt;$A59,0,Val_pt*(Ceiling_e-E_zero)*(1-(1-Half_gap)^MIN(2,$B59)))</f>
        <v>0</v>
      </c>
      <c r="E59" s="14" t="n">
        <f aca="false">IF(3&gt;$A59,0,Val_pt*(Ceiling_e-E_zero)*(1-(1-Half_gap)^MIN(3,$B59)))</f>
        <v>0</v>
      </c>
      <c r="F59" s="14" t="n">
        <f aca="false">IF(4&gt;$A59,0,Val_pt*(Ceiling_e-E_zero)*(1-(1-Half_gap)^MIN(4,$B59)))</f>
        <v>0</v>
      </c>
      <c r="G59" s="14" t="n">
        <f aca="false">IF(5&gt;$A59,0,Val_pt*(Ceiling_e-E_zero)*(1-(1-Half_gap)^MIN(5,$B59)))</f>
        <v>0</v>
      </c>
      <c r="H59" s="14" t="n">
        <f aca="false">IF(6&gt;$A59,0,Val_pt*(Ceiling_e-E_zero)*(1-(1-Half_gap)^MIN(6,$B59)))</f>
        <v>0</v>
      </c>
      <c r="I59" s="14" t="n">
        <f aca="false">IF(7&gt;$A59,0,Val_pt*(Ceiling_e-E_zero)*(1-(1-Half_gap)^MIN(7,$B59)))</f>
        <v>0</v>
      </c>
      <c r="J59" s="14" t="n">
        <f aca="false">IF(8&gt;$A59,0,Val_pt*(Ceiling_e-E_zero)*(1-(1-Half_gap)^MIN(8,$B59)))</f>
        <v>0</v>
      </c>
      <c r="K59" s="14" t="n">
        <f aca="false">IF(9&gt;$A59,0,Val_pt*(Ceiling_e-E_zero)*(1-(1-Half_gap)^MIN(9,$B59)))</f>
        <v>0</v>
      </c>
      <c r="L59" s="14" t="n">
        <f aca="false">IF(10&gt;$A59,0,Val_pt*(Ceiling_e-E_zero)*(1-(1-Half_gap)^MIN(10,$B59)))</f>
        <v>0</v>
      </c>
      <c r="M59" s="14" t="n">
        <f aca="false">IF(11&gt;$A59,0,Val_pt*(Ceiling_e-E_zero)*(1-(1-Half_gap)^MIN(11,$B59)))</f>
        <v>0</v>
      </c>
      <c r="N59" s="14" t="n">
        <f aca="false">IF(12&gt;$A59,0,Val_pt*(Ceiling_e-E_zero)*(1-(1-Half_gap)^MIN(12,$B59)))</f>
        <v>0</v>
      </c>
      <c r="O59" s="14" t="n">
        <f aca="false">IF(13&gt;$A59,0,Val_pt*(Ceiling_e-E_zero)*(1-(1-Half_gap)^MIN(13,$B59)))</f>
        <v>0</v>
      </c>
      <c r="P59" s="14" t="n">
        <f aca="false">IF(14&gt;$A59,0,Val_pt*(Ceiling_e-E_zero)*(1-(1-Half_gap)^MIN(14,$B59)))</f>
        <v>0</v>
      </c>
      <c r="Q59" s="14" t="n">
        <f aca="false">IF(15&gt;$A59,0,Val_pt*(Ceiling_e-E_zero)*(1-(1-Half_gap)^MIN(15,$B59)))</f>
        <v>0</v>
      </c>
      <c r="R59" s="14" t="n">
        <f aca="false">IF(16&gt;$A59,0,Val_pt*(Ceiling_e-E_zero)*(1-(1-Half_gap)^MIN(16,$B59)))</f>
        <v>0</v>
      </c>
      <c r="S59" s="14" t="n">
        <f aca="false">IF(17&gt;$A59,0,Val_pt*(Ceiling_e-E_zero)*(1-(1-Half_gap)^MIN(17,$B59)))</f>
        <v>0</v>
      </c>
      <c r="T59" s="14" t="n">
        <f aca="false">IF(18&gt;$A59,0,Val_pt*(Ceiling_e-E_zero)*(1-(1-Half_gap)^MIN(18,$B59)))</f>
        <v>0</v>
      </c>
      <c r="U59" s="14" t="n">
        <f aca="false">IF(19&gt;$A59,0,Val_pt*(Ceiling_e-E_zero)*(1-(1-Half_gap)^MIN(19,$B59)))</f>
        <v>0</v>
      </c>
      <c r="V59" s="14" t="n">
        <f aca="false">IF(20&gt;$A59,0,Val_pt*(Ceiling_e-E_zero)*(1-(1-Half_gap)^MIN(20,$B59)))</f>
        <v>0</v>
      </c>
      <c r="W59" s="14" t="n">
        <f aca="false">IF(0&gt;$A59,0,IF(0=$A59,MAX(End_q,Floor_q),MAX(X59+Cost_round*IF(1&lt;=$B59,1,0)-C59,IF(1&lt;=$B59,1,0)*Pre_q)))</f>
        <v>470</v>
      </c>
      <c r="X59" s="14" t="n">
        <f aca="false">IF(1&gt;$A59,0,IF(1=$A59,MAX(End_q,Floor_q),MAX(Y59+Cost_round*IF(2&lt;=$B59,1,0)-D59,IF(2&lt;=$B59,1,0)*Pre_q,Floor_q)))</f>
        <v>470</v>
      </c>
      <c r="Y59" s="14" t="n">
        <f aca="false">IF(2&gt;$A59,0,IF(2=$A59,MAX(End_q,Floor_q),MAX(Z59+Cost_round*IF(3&lt;=$B59,1,0)-E59,IF(3&lt;=$B59,1,0)*Pre_q,Floor_q)))</f>
        <v>470</v>
      </c>
      <c r="Z59" s="14" t="n">
        <f aca="false">IF(3&gt;$A59,0,IF(3=$A59,MAX(End_q,Floor_q),MAX(AA59+Cost_round*IF(4&lt;=$B59,1,0)-F59,IF(4&lt;=$B59,1,0)*Pre_q,Floor_q)))</f>
        <v>470</v>
      </c>
      <c r="AA59" s="14" t="n">
        <f aca="false">IF(4&gt;$A59,0,IF(4=$A59,MAX(End_q,Floor_q),MAX(AB59+Cost_round*IF(5&lt;=$B59,1,0)-G59,IF(5&lt;=$B59,1,0)*Pre_q,Floor_q)))</f>
        <v>470</v>
      </c>
      <c r="AB59" s="14" t="n">
        <f aca="false">IF(5&gt;$A59,0,IF(5=$A59,MAX(End_q,Floor_q),MAX(AC59+Cost_round*IF(6&lt;=$B59,1,0)-H59,IF(6&lt;=$B59,1,0)*Pre_q,Floor_q)))</f>
        <v>470</v>
      </c>
      <c r="AC59" s="14" t="n">
        <f aca="false">IF(6&gt;$A59,0,IF(6=$A59,MAX(End_q,Floor_q),MAX(AD59+Cost_round*IF(7&lt;=$B59,1,0)-I59,IF(7&lt;=$B59,1,0)*Pre_q,Floor_q)))</f>
        <v>470</v>
      </c>
      <c r="AD59" s="14" t="n">
        <f aca="false">IF(7&gt;$A59,0,IF(7=$A59,MAX(End_q,Floor_q),MAX(AE59+Cost_round*IF(8&lt;=$B59,1,0)-J59,IF(8&lt;=$B59,1,0)*Pre_q,Floor_q)))</f>
        <v>0</v>
      </c>
      <c r="AE59" s="14" t="n">
        <f aca="false">IF(8&gt;$A59,0,IF(8=$A59,MAX(End_q,Floor_q),MAX(AF59+Cost_round*IF(9&lt;=$B59,1,0)-K59,IF(9&lt;=$B59,1,0)*Pre_q,Floor_q)))</f>
        <v>0</v>
      </c>
      <c r="AF59" s="14" t="n">
        <f aca="false">IF(9&gt;$A59,0,IF(9=$A59,MAX(End_q,Floor_q),MAX(AG59+Cost_round*IF(10&lt;=$B59,1,0)-L59,IF(10&lt;=$B59,1,0)*Pre_q,Floor_q)))</f>
        <v>0</v>
      </c>
      <c r="AG59" s="14" t="n">
        <f aca="false">IF(10&gt;$A59,0,IF(10=$A59,MAX(End_q,Floor_q),MAX(AH59+Cost_round*IF(11&lt;=$B59,1,0)-M59,IF(11&lt;=$B59,1,0)*Pre_q,Floor_q)))</f>
        <v>0</v>
      </c>
      <c r="AH59" s="14" t="n">
        <f aca="false">IF(11&gt;$A59,0,IF(11=$A59,MAX(End_q,Floor_q),MAX(AI59+Cost_round*IF(12&lt;=$B59,1,0)-N59,IF(12&lt;=$B59,1,0)*Pre_q,Floor_q)))</f>
        <v>0</v>
      </c>
      <c r="AI59" s="14" t="n">
        <f aca="false">IF(12&gt;$A59,0,IF(12=$A59,MAX(End_q,Floor_q),MAX(AJ59+Cost_round*IF(13&lt;=$B59,1,0)-O59,IF(13&lt;=$B59,1,0)*Pre_q,Floor_q)))</f>
        <v>0</v>
      </c>
      <c r="AJ59" s="14" t="n">
        <f aca="false">IF(13&gt;$A59,0,IF(13=$A59,MAX(End_q,Floor_q),MAX(AK59+Cost_round*IF(14&lt;=$B59,1,0)-P59,IF(14&lt;=$B59,1,0)*Pre_q,Floor_q)))</f>
        <v>0</v>
      </c>
      <c r="AK59" s="14" t="n">
        <f aca="false">IF(14&gt;$A59,0,IF(14=$A59,MAX(End_q,Floor_q),MAX(AL59+Cost_round*IF(15&lt;=$B59,1,0)-Q59,IF(15&lt;=$B59,1,0)*Pre_q,Floor_q)))</f>
        <v>0</v>
      </c>
      <c r="AL59" s="14" t="n">
        <f aca="false">IF(15&gt;$A59,0,IF(15=$A59,MAX(End_q,Floor_q),MAX(AM59+Cost_round*IF(16&lt;=$B59,1,0)-R59,IF(16&lt;=$B59,1,0)*Pre_q,Floor_q)))</f>
        <v>0</v>
      </c>
      <c r="AM59" s="14" t="n">
        <f aca="false">IF(16&gt;$A59,0,IF(16=$A59,MAX(End_q,Floor_q),MAX(AN59+Cost_round*IF(17&lt;=$B59,1,0)-S59,IF(17&lt;=$B59,1,0)*Pre_q,Floor_q)))</f>
        <v>0</v>
      </c>
      <c r="AN59" s="14" t="n">
        <f aca="false">IF(17&gt;$A59,0,IF(17=$A59,MAX(End_q,Floor_q),MAX(AO59+Cost_round*IF(18&lt;=$B59,1,0)-T59,IF(18&lt;=$B59,1,0)*Pre_q,Floor_q)))</f>
        <v>0</v>
      </c>
      <c r="AO59" s="14" t="n">
        <f aca="false">IF(18&gt;$A59,0,IF(18=$A59,MAX(End_q,Floor_q),MAX(AP59+Cost_round*IF(19&lt;=$B59,1,0)-U59,IF(19&lt;=$B59,1,0)*Pre_q,Floor_q)))</f>
        <v>0</v>
      </c>
      <c r="AP59" s="14" t="n">
        <f aca="false">IF(19&gt;$A59,0,IF(19=$A59,MAX(End_q,Floor_q),MAX(AQ59+Cost_round*IF(20&lt;=$B59,1,0)-V59,IF(20&lt;=$B59,1,0)*Pre_q,Floor_q)))</f>
        <v>0</v>
      </c>
      <c r="AQ59" s="14" t="n">
        <f aca="false">IF(20&gt;$A59,0,MAX(End_q,Floor_q))</f>
        <v>0</v>
      </c>
      <c r="AR59" s="15" t="n">
        <f aca="false">IF(Q_zero&gt;=W59-0.000000001,1,0)</f>
        <v>1</v>
      </c>
      <c r="AS59" s="14" t="n">
        <f aca="false">IF(1&gt;$A59,0,Q_zero-Cost_round*IF(1&lt;=$B59,1,0)+C59-X59)</f>
        <v>150</v>
      </c>
      <c r="AT59" s="14" t="n">
        <f aca="false">IF(2&gt;$A59,0,X59-Cost_round*IF(2&lt;=$B59,1,0)+D59-Y59)</f>
        <v>0</v>
      </c>
      <c r="AU59" s="14" t="n">
        <f aca="false">IF(3&gt;$A59,0,Y59-Cost_round*IF(3&lt;=$B59,1,0)+E59-Z59)</f>
        <v>0</v>
      </c>
      <c r="AV59" s="14" t="n">
        <f aca="false">IF(4&gt;$A59,0,Z59-Cost_round*IF(4&lt;=$B59,1,0)+F59-AA59)</f>
        <v>0</v>
      </c>
      <c r="AW59" s="14" t="n">
        <f aca="false">IF(5&gt;$A59,0,AA59-Cost_round*IF(5&lt;=$B59,1,0)+G59-AB59)</f>
        <v>0</v>
      </c>
      <c r="AX59" s="14" t="n">
        <f aca="false">IF(6&gt;$A59,0,AB59-Cost_round*IF(6&lt;=$B59,1,0)+H59-AC59)</f>
        <v>0</v>
      </c>
      <c r="AY59" s="14" t="n">
        <f aca="false">IF(7&gt;$A59,0,AC59-Cost_round*IF(7&lt;=$B59,1,0)+I59-AD59)</f>
        <v>0</v>
      </c>
      <c r="AZ59" s="14" t="n">
        <f aca="false">IF(8&gt;$A59,0,AD59-Cost_round*IF(8&lt;=$B59,1,0)+J59-AE59)</f>
        <v>0</v>
      </c>
      <c r="BA59" s="14" t="n">
        <f aca="false">IF(9&gt;$A59,0,AE59-Cost_round*IF(9&lt;=$B59,1,0)+K59-AF59)</f>
        <v>0</v>
      </c>
      <c r="BB59" s="14" t="n">
        <f aca="false">IF(10&gt;$A59,0,AF59-Cost_round*IF(10&lt;=$B59,1,0)+L59-AG59)</f>
        <v>0</v>
      </c>
      <c r="BC59" s="14" t="n">
        <f aca="false">IF(11&gt;$A59,0,AG59-Cost_round*IF(11&lt;=$B59,1,0)+M59-AH59)</f>
        <v>0</v>
      </c>
      <c r="BD59" s="14" t="n">
        <f aca="false">IF(12&gt;$A59,0,AH59-Cost_round*IF(12&lt;=$B59,1,0)+N59-AI59)</f>
        <v>0</v>
      </c>
      <c r="BE59" s="14" t="n">
        <f aca="false">IF(13&gt;$A59,0,AI59-Cost_round*IF(13&lt;=$B59,1,0)+O59-AJ59)</f>
        <v>0</v>
      </c>
      <c r="BF59" s="14" t="n">
        <f aca="false">IF(14&gt;$A59,0,AJ59-Cost_round*IF(14&lt;=$B59,1,0)+P59-AK59)</f>
        <v>0</v>
      </c>
      <c r="BG59" s="14" t="n">
        <f aca="false">IF(15&gt;$A59,0,AK59-Cost_round*IF(15&lt;=$B59,1,0)+Q59-AL59)</f>
        <v>0</v>
      </c>
      <c r="BH59" s="14" t="n">
        <f aca="false">IF(16&gt;$A59,0,AL59-Cost_round*IF(16&lt;=$B59,1,0)+R59-AM59)</f>
        <v>0</v>
      </c>
      <c r="BI59" s="14" t="n">
        <f aca="false">IF(17&gt;$A59,0,AM59-Cost_round*IF(17&lt;=$B59,1,0)+S59-AN59)</f>
        <v>0</v>
      </c>
      <c r="BJ59" s="14" t="n">
        <f aca="false">IF(18&gt;$A59,0,AN59-Cost_round*IF(18&lt;=$B59,1,0)+T59-AO59)</f>
        <v>0</v>
      </c>
      <c r="BK59" s="14" t="n">
        <f aca="false">IF(19&gt;$A59,0,AO59-Cost_round*IF(19&lt;=$B59,1,0)+U59-AP59)</f>
        <v>0</v>
      </c>
      <c r="BL59" s="14" t="n">
        <f aca="false">IF(20&gt;$A59,0,AP59-Cost_round*IF(20&lt;=$B59,1,0)+V59-AQ59)</f>
        <v>0</v>
      </c>
      <c r="BM59" s="17" t="n">
        <f aca="false">IF($AR59=1,SUMPRODUCT(AS59:BL59,$AS$38:$BL$38),"")</f>
        <v>136.363636363636</v>
      </c>
      <c r="BN59" s="17" t="n">
        <f aca="false">IF($AR59=1,BM59+INDEX($AS$38:$BL$38,$A59)*INDEX(C59:V59,$A59)/Hurdle_r,"")</f>
        <v>136.363636363636</v>
      </c>
    </row>
    <row r="60" customFormat="false" ht="15" hidden="false" customHeight="false" outlineLevel="0" collapsed="false">
      <c r="A60" s="2" t="n">
        <v>6</v>
      </c>
      <c r="B60" s="2" t="n">
        <v>1</v>
      </c>
      <c r="C60" s="14" t="n">
        <f aca="false">IF(1&gt;$A60,0,Val_pt*(Ceiling_e-E_zero)*(1-(1-Half_gap)^MIN(1,$B60)))</f>
        <v>70</v>
      </c>
      <c r="D60" s="14" t="n">
        <f aca="false">IF(2&gt;$A60,0,Val_pt*(Ceiling_e-E_zero)*(1-(1-Half_gap)^MIN(2,$B60)))</f>
        <v>70</v>
      </c>
      <c r="E60" s="14" t="n">
        <f aca="false">IF(3&gt;$A60,0,Val_pt*(Ceiling_e-E_zero)*(1-(1-Half_gap)^MIN(3,$B60)))</f>
        <v>70</v>
      </c>
      <c r="F60" s="14" t="n">
        <f aca="false">IF(4&gt;$A60,0,Val_pt*(Ceiling_e-E_zero)*(1-(1-Half_gap)^MIN(4,$B60)))</f>
        <v>70</v>
      </c>
      <c r="G60" s="14" t="n">
        <f aca="false">IF(5&gt;$A60,0,Val_pt*(Ceiling_e-E_zero)*(1-(1-Half_gap)^MIN(5,$B60)))</f>
        <v>70</v>
      </c>
      <c r="H60" s="14" t="n">
        <f aca="false">IF(6&gt;$A60,0,Val_pt*(Ceiling_e-E_zero)*(1-(1-Half_gap)^MIN(6,$B60)))</f>
        <v>70</v>
      </c>
      <c r="I60" s="14" t="n">
        <f aca="false">IF(7&gt;$A60,0,Val_pt*(Ceiling_e-E_zero)*(1-(1-Half_gap)^MIN(7,$B60)))</f>
        <v>0</v>
      </c>
      <c r="J60" s="14" t="n">
        <f aca="false">IF(8&gt;$A60,0,Val_pt*(Ceiling_e-E_zero)*(1-(1-Half_gap)^MIN(8,$B60)))</f>
        <v>0</v>
      </c>
      <c r="K60" s="14" t="n">
        <f aca="false">IF(9&gt;$A60,0,Val_pt*(Ceiling_e-E_zero)*(1-(1-Half_gap)^MIN(9,$B60)))</f>
        <v>0</v>
      </c>
      <c r="L60" s="14" t="n">
        <f aca="false">IF(10&gt;$A60,0,Val_pt*(Ceiling_e-E_zero)*(1-(1-Half_gap)^MIN(10,$B60)))</f>
        <v>0</v>
      </c>
      <c r="M60" s="14" t="n">
        <f aca="false">IF(11&gt;$A60,0,Val_pt*(Ceiling_e-E_zero)*(1-(1-Half_gap)^MIN(11,$B60)))</f>
        <v>0</v>
      </c>
      <c r="N60" s="14" t="n">
        <f aca="false">IF(12&gt;$A60,0,Val_pt*(Ceiling_e-E_zero)*(1-(1-Half_gap)^MIN(12,$B60)))</f>
        <v>0</v>
      </c>
      <c r="O60" s="14" t="n">
        <f aca="false">IF(13&gt;$A60,0,Val_pt*(Ceiling_e-E_zero)*(1-(1-Half_gap)^MIN(13,$B60)))</f>
        <v>0</v>
      </c>
      <c r="P60" s="14" t="n">
        <f aca="false">IF(14&gt;$A60,0,Val_pt*(Ceiling_e-E_zero)*(1-(1-Half_gap)^MIN(14,$B60)))</f>
        <v>0</v>
      </c>
      <c r="Q60" s="14" t="n">
        <f aca="false">IF(15&gt;$A60,0,Val_pt*(Ceiling_e-E_zero)*(1-(1-Half_gap)^MIN(15,$B60)))</f>
        <v>0</v>
      </c>
      <c r="R60" s="14" t="n">
        <f aca="false">IF(16&gt;$A60,0,Val_pt*(Ceiling_e-E_zero)*(1-(1-Half_gap)^MIN(16,$B60)))</f>
        <v>0</v>
      </c>
      <c r="S60" s="14" t="n">
        <f aca="false">IF(17&gt;$A60,0,Val_pt*(Ceiling_e-E_zero)*(1-(1-Half_gap)^MIN(17,$B60)))</f>
        <v>0</v>
      </c>
      <c r="T60" s="14" t="n">
        <f aca="false">IF(18&gt;$A60,0,Val_pt*(Ceiling_e-E_zero)*(1-(1-Half_gap)^MIN(18,$B60)))</f>
        <v>0</v>
      </c>
      <c r="U60" s="14" t="n">
        <f aca="false">IF(19&gt;$A60,0,Val_pt*(Ceiling_e-E_zero)*(1-(1-Half_gap)^MIN(19,$B60)))</f>
        <v>0</v>
      </c>
      <c r="V60" s="14" t="n">
        <f aca="false">IF(20&gt;$A60,0,Val_pt*(Ceiling_e-E_zero)*(1-(1-Half_gap)^MIN(20,$B60)))</f>
        <v>0</v>
      </c>
      <c r="W60" s="14" t="n">
        <f aca="false">IF(0&gt;$A60,0,IF(0=$A60,MAX(End_q,Floor_q),MAX(X60+Cost_round*IF(1&lt;=$B60,1,0)-C60,IF(1&lt;=$B60,1,0)*Pre_q)))</f>
        <v>470</v>
      </c>
      <c r="X60" s="14" t="n">
        <f aca="false">IF(1&gt;$A60,0,IF(1=$A60,MAX(End_q,Floor_q),MAX(Y60+Cost_round*IF(2&lt;=$B60,1,0)-D60,IF(2&lt;=$B60,1,0)*Pre_q,Floor_q)))</f>
        <v>350</v>
      </c>
      <c r="Y60" s="14" t="n">
        <f aca="false">IF(2&gt;$A60,0,IF(2=$A60,MAX(End_q,Floor_q),MAX(Z60+Cost_round*IF(3&lt;=$B60,1,0)-E60,IF(3&lt;=$B60,1,0)*Pre_q,Floor_q)))</f>
        <v>350</v>
      </c>
      <c r="Z60" s="14" t="n">
        <f aca="false">IF(3&gt;$A60,0,IF(3=$A60,MAX(End_q,Floor_q),MAX(AA60+Cost_round*IF(4&lt;=$B60,1,0)-F60,IF(4&lt;=$B60,1,0)*Pre_q,Floor_q)))</f>
        <v>350</v>
      </c>
      <c r="AA60" s="14" t="n">
        <f aca="false">IF(4&gt;$A60,0,IF(4=$A60,MAX(End_q,Floor_q),MAX(AB60+Cost_round*IF(5&lt;=$B60,1,0)-G60,IF(5&lt;=$B60,1,0)*Pre_q,Floor_q)))</f>
        <v>350</v>
      </c>
      <c r="AB60" s="14" t="n">
        <f aca="false">IF(5&gt;$A60,0,IF(5=$A60,MAX(End_q,Floor_q),MAX(AC60+Cost_round*IF(6&lt;=$B60,1,0)-H60,IF(6&lt;=$B60,1,0)*Pre_q,Floor_q)))</f>
        <v>400</v>
      </c>
      <c r="AC60" s="14" t="n">
        <f aca="false">IF(6&gt;$A60,0,IF(6=$A60,MAX(End_q,Floor_q),MAX(AD60+Cost_round*IF(7&lt;=$B60,1,0)-I60,IF(7&lt;=$B60,1,0)*Pre_q,Floor_q)))</f>
        <v>470</v>
      </c>
      <c r="AD60" s="14" t="n">
        <f aca="false">IF(7&gt;$A60,0,IF(7=$A60,MAX(End_q,Floor_q),MAX(AE60+Cost_round*IF(8&lt;=$B60,1,0)-J60,IF(8&lt;=$B60,1,0)*Pre_q,Floor_q)))</f>
        <v>0</v>
      </c>
      <c r="AE60" s="14" t="n">
        <f aca="false">IF(8&gt;$A60,0,IF(8=$A60,MAX(End_q,Floor_q),MAX(AF60+Cost_round*IF(9&lt;=$B60,1,0)-K60,IF(9&lt;=$B60,1,0)*Pre_q,Floor_q)))</f>
        <v>0</v>
      </c>
      <c r="AF60" s="14" t="n">
        <f aca="false">IF(9&gt;$A60,0,IF(9=$A60,MAX(End_q,Floor_q),MAX(AG60+Cost_round*IF(10&lt;=$B60,1,0)-L60,IF(10&lt;=$B60,1,0)*Pre_q,Floor_q)))</f>
        <v>0</v>
      </c>
      <c r="AG60" s="14" t="n">
        <f aca="false">IF(10&gt;$A60,0,IF(10=$A60,MAX(End_q,Floor_q),MAX(AH60+Cost_round*IF(11&lt;=$B60,1,0)-M60,IF(11&lt;=$B60,1,0)*Pre_q,Floor_q)))</f>
        <v>0</v>
      </c>
      <c r="AH60" s="14" t="n">
        <f aca="false">IF(11&gt;$A60,0,IF(11=$A60,MAX(End_q,Floor_q),MAX(AI60+Cost_round*IF(12&lt;=$B60,1,0)-N60,IF(12&lt;=$B60,1,0)*Pre_q,Floor_q)))</f>
        <v>0</v>
      </c>
      <c r="AI60" s="14" t="n">
        <f aca="false">IF(12&gt;$A60,0,IF(12=$A60,MAX(End_q,Floor_q),MAX(AJ60+Cost_round*IF(13&lt;=$B60,1,0)-O60,IF(13&lt;=$B60,1,0)*Pre_q,Floor_q)))</f>
        <v>0</v>
      </c>
      <c r="AJ60" s="14" t="n">
        <f aca="false">IF(13&gt;$A60,0,IF(13=$A60,MAX(End_q,Floor_q),MAX(AK60+Cost_round*IF(14&lt;=$B60,1,0)-P60,IF(14&lt;=$B60,1,0)*Pre_q,Floor_q)))</f>
        <v>0</v>
      </c>
      <c r="AK60" s="14" t="n">
        <f aca="false">IF(14&gt;$A60,0,IF(14=$A60,MAX(End_q,Floor_q),MAX(AL60+Cost_round*IF(15&lt;=$B60,1,0)-Q60,IF(15&lt;=$B60,1,0)*Pre_q,Floor_q)))</f>
        <v>0</v>
      </c>
      <c r="AL60" s="14" t="n">
        <f aca="false">IF(15&gt;$A60,0,IF(15=$A60,MAX(End_q,Floor_q),MAX(AM60+Cost_round*IF(16&lt;=$B60,1,0)-R60,IF(16&lt;=$B60,1,0)*Pre_q,Floor_q)))</f>
        <v>0</v>
      </c>
      <c r="AM60" s="14" t="n">
        <f aca="false">IF(16&gt;$A60,0,IF(16=$A60,MAX(End_q,Floor_q),MAX(AN60+Cost_round*IF(17&lt;=$B60,1,0)-S60,IF(17&lt;=$B60,1,0)*Pre_q,Floor_q)))</f>
        <v>0</v>
      </c>
      <c r="AN60" s="14" t="n">
        <f aca="false">IF(17&gt;$A60,0,IF(17=$A60,MAX(End_q,Floor_q),MAX(AO60+Cost_round*IF(18&lt;=$B60,1,0)-T60,IF(18&lt;=$B60,1,0)*Pre_q,Floor_q)))</f>
        <v>0</v>
      </c>
      <c r="AO60" s="14" t="n">
        <f aca="false">IF(18&gt;$A60,0,IF(18=$A60,MAX(End_q,Floor_q),MAX(AP60+Cost_round*IF(19&lt;=$B60,1,0)-U60,IF(19&lt;=$B60,1,0)*Pre_q,Floor_q)))</f>
        <v>0</v>
      </c>
      <c r="AP60" s="14" t="n">
        <f aca="false">IF(19&gt;$A60,0,IF(19=$A60,MAX(End_q,Floor_q),MAX(AQ60+Cost_round*IF(20&lt;=$B60,1,0)-V60,IF(20&lt;=$B60,1,0)*Pre_q,Floor_q)))</f>
        <v>0</v>
      </c>
      <c r="AQ60" s="14" t="n">
        <f aca="false">IF(20&gt;$A60,0,MAX(End_q,Floor_q))</f>
        <v>0</v>
      </c>
      <c r="AR60" s="15" t="n">
        <f aca="false">IF(Q_zero&gt;=W60-0.000000001,1,0)</f>
        <v>1</v>
      </c>
      <c r="AS60" s="14" t="n">
        <f aca="false">IF(1&gt;$A60,0,Q_zero-Cost_round*IF(1&lt;=$B60,1,0)+C60-X60)</f>
        <v>220</v>
      </c>
      <c r="AT60" s="14" t="n">
        <f aca="false">IF(2&gt;$A60,0,X60-Cost_round*IF(2&lt;=$B60,1,0)+D60-Y60)</f>
        <v>70</v>
      </c>
      <c r="AU60" s="14" t="n">
        <f aca="false">IF(3&gt;$A60,0,Y60-Cost_round*IF(3&lt;=$B60,1,0)+E60-Z60)</f>
        <v>70</v>
      </c>
      <c r="AV60" s="14" t="n">
        <f aca="false">IF(4&gt;$A60,0,Z60-Cost_round*IF(4&lt;=$B60,1,0)+F60-AA60)</f>
        <v>70</v>
      </c>
      <c r="AW60" s="14" t="n">
        <f aca="false">IF(5&gt;$A60,0,AA60-Cost_round*IF(5&lt;=$B60,1,0)+G60-AB60)</f>
        <v>20</v>
      </c>
      <c r="AX60" s="14" t="n">
        <f aca="false">IF(6&gt;$A60,0,AB60-Cost_round*IF(6&lt;=$B60,1,0)+H60-AC60)</f>
        <v>0</v>
      </c>
      <c r="AY60" s="14" t="n">
        <f aca="false">IF(7&gt;$A60,0,AC60-Cost_round*IF(7&lt;=$B60,1,0)+I60-AD60)</f>
        <v>0</v>
      </c>
      <c r="AZ60" s="14" t="n">
        <f aca="false">IF(8&gt;$A60,0,AD60-Cost_round*IF(8&lt;=$B60,1,0)+J60-AE60)</f>
        <v>0</v>
      </c>
      <c r="BA60" s="14" t="n">
        <f aca="false">IF(9&gt;$A60,0,AE60-Cost_round*IF(9&lt;=$B60,1,0)+K60-AF60)</f>
        <v>0</v>
      </c>
      <c r="BB60" s="14" t="n">
        <f aca="false">IF(10&gt;$A60,0,AF60-Cost_round*IF(10&lt;=$B60,1,0)+L60-AG60)</f>
        <v>0</v>
      </c>
      <c r="BC60" s="14" t="n">
        <f aca="false">IF(11&gt;$A60,0,AG60-Cost_round*IF(11&lt;=$B60,1,0)+M60-AH60)</f>
        <v>0</v>
      </c>
      <c r="BD60" s="14" t="n">
        <f aca="false">IF(12&gt;$A60,0,AH60-Cost_round*IF(12&lt;=$B60,1,0)+N60-AI60)</f>
        <v>0</v>
      </c>
      <c r="BE60" s="14" t="n">
        <f aca="false">IF(13&gt;$A60,0,AI60-Cost_round*IF(13&lt;=$B60,1,0)+O60-AJ60)</f>
        <v>0</v>
      </c>
      <c r="BF60" s="14" t="n">
        <f aca="false">IF(14&gt;$A60,0,AJ60-Cost_round*IF(14&lt;=$B60,1,0)+P60-AK60)</f>
        <v>0</v>
      </c>
      <c r="BG60" s="14" t="n">
        <f aca="false">IF(15&gt;$A60,0,AK60-Cost_round*IF(15&lt;=$B60,1,0)+Q60-AL60)</f>
        <v>0</v>
      </c>
      <c r="BH60" s="14" t="n">
        <f aca="false">IF(16&gt;$A60,0,AL60-Cost_round*IF(16&lt;=$B60,1,0)+R60-AM60)</f>
        <v>0</v>
      </c>
      <c r="BI60" s="14" t="n">
        <f aca="false">IF(17&gt;$A60,0,AM60-Cost_round*IF(17&lt;=$B60,1,0)+S60-AN60)</f>
        <v>0</v>
      </c>
      <c r="BJ60" s="14" t="n">
        <f aca="false">IF(18&gt;$A60,0,AN60-Cost_round*IF(18&lt;=$B60,1,0)+T60-AO60)</f>
        <v>0</v>
      </c>
      <c r="BK60" s="14" t="n">
        <f aca="false">IF(19&gt;$A60,0,AO60-Cost_round*IF(19&lt;=$B60,1,0)+U60-AP60)</f>
        <v>0</v>
      </c>
      <c r="BL60" s="14" t="n">
        <f aca="false">IF(20&gt;$A60,0,AP60-Cost_round*IF(20&lt;=$B60,1,0)+V60-AQ60)</f>
        <v>0</v>
      </c>
      <c r="BM60" s="17" t="n">
        <f aca="false">IF($AR60=1,SUMPRODUCT(AS60:BL60,$AS$38:$BL$38),"")</f>
        <v>370.67264406927</v>
      </c>
      <c r="BN60" s="17" t="n">
        <f aca="false">IF($AR60=1,BM60+INDEX($AS$38:$BL$38,$A60)*INDEX(C60:V60,$A60)/Hurdle_r,"")</f>
        <v>765.804395106914</v>
      </c>
    </row>
    <row r="61" customFormat="false" ht="15" hidden="false" customHeight="false" outlineLevel="0" collapsed="false">
      <c r="A61" s="2" t="n">
        <v>6</v>
      </c>
      <c r="B61" s="2" t="n">
        <v>2</v>
      </c>
      <c r="C61" s="14" t="n">
        <f aca="false">IF(1&gt;$A61,0,Val_pt*(Ceiling_e-E_zero)*(1-(1-Half_gap)^MIN(1,$B61)))</f>
        <v>70</v>
      </c>
      <c r="D61" s="14" t="n">
        <f aca="false">IF(2&gt;$A61,0,Val_pt*(Ceiling_e-E_zero)*(1-(1-Half_gap)^MIN(2,$B61)))</f>
        <v>105</v>
      </c>
      <c r="E61" s="14" t="n">
        <f aca="false">IF(3&gt;$A61,0,Val_pt*(Ceiling_e-E_zero)*(1-(1-Half_gap)^MIN(3,$B61)))</f>
        <v>105</v>
      </c>
      <c r="F61" s="14" t="n">
        <f aca="false">IF(4&gt;$A61,0,Val_pt*(Ceiling_e-E_zero)*(1-(1-Half_gap)^MIN(4,$B61)))</f>
        <v>105</v>
      </c>
      <c r="G61" s="14" t="n">
        <f aca="false">IF(5&gt;$A61,0,Val_pt*(Ceiling_e-E_zero)*(1-(1-Half_gap)^MIN(5,$B61)))</f>
        <v>105</v>
      </c>
      <c r="H61" s="14" t="n">
        <f aca="false">IF(6&gt;$A61,0,Val_pt*(Ceiling_e-E_zero)*(1-(1-Half_gap)^MIN(6,$B61)))</f>
        <v>105</v>
      </c>
      <c r="I61" s="14" t="n">
        <f aca="false">IF(7&gt;$A61,0,Val_pt*(Ceiling_e-E_zero)*(1-(1-Half_gap)^MIN(7,$B61)))</f>
        <v>0</v>
      </c>
      <c r="J61" s="14" t="n">
        <f aca="false">IF(8&gt;$A61,0,Val_pt*(Ceiling_e-E_zero)*(1-(1-Half_gap)^MIN(8,$B61)))</f>
        <v>0</v>
      </c>
      <c r="K61" s="14" t="n">
        <f aca="false">IF(9&gt;$A61,0,Val_pt*(Ceiling_e-E_zero)*(1-(1-Half_gap)^MIN(9,$B61)))</f>
        <v>0</v>
      </c>
      <c r="L61" s="14" t="n">
        <f aca="false">IF(10&gt;$A61,0,Val_pt*(Ceiling_e-E_zero)*(1-(1-Half_gap)^MIN(10,$B61)))</f>
        <v>0</v>
      </c>
      <c r="M61" s="14" t="n">
        <f aca="false">IF(11&gt;$A61,0,Val_pt*(Ceiling_e-E_zero)*(1-(1-Half_gap)^MIN(11,$B61)))</f>
        <v>0</v>
      </c>
      <c r="N61" s="14" t="n">
        <f aca="false">IF(12&gt;$A61,0,Val_pt*(Ceiling_e-E_zero)*(1-(1-Half_gap)^MIN(12,$B61)))</f>
        <v>0</v>
      </c>
      <c r="O61" s="14" t="n">
        <f aca="false">IF(13&gt;$A61,0,Val_pt*(Ceiling_e-E_zero)*(1-(1-Half_gap)^MIN(13,$B61)))</f>
        <v>0</v>
      </c>
      <c r="P61" s="14" t="n">
        <f aca="false">IF(14&gt;$A61,0,Val_pt*(Ceiling_e-E_zero)*(1-(1-Half_gap)^MIN(14,$B61)))</f>
        <v>0</v>
      </c>
      <c r="Q61" s="14" t="n">
        <f aca="false">IF(15&gt;$A61,0,Val_pt*(Ceiling_e-E_zero)*(1-(1-Half_gap)^MIN(15,$B61)))</f>
        <v>0</v>
      </c>
      <c r="R61" s="14" t="n">
        <f aca="false">IF(16&gt;$A61,0,Val_pt*(Ceiling_e-E_zero)*(1-(1-Half_gap)^MIN(16,$B61)))</f>
        <v>0</v>
      </c>
      <c r="S61" s="14" t="n">
        <f aca="false">IF(17&gt;$A61,0,Val_pt*(Ceiling_e-E_zero)*(1-(1-Half_gap)^MIN(17,$B61)))</f>
        <v>0</v>
      </c>
      <c r="T61" s="14" t="n">
        <f aca="false">IF(18&gt;$A61,0,Val_pt*(Ceiling_e-E_zero)*(1-(1-Half_gap)^MIN(18,$B61)))</f>
        <v>0</v>
      </c>
      <c r="U61" s="14" t="n">
        <f aca="false">IF(19&gt;$A61,0,Val_pt*(Ceiling_e-E_zero)*(1-(1-Half_gap)^MIN(19,$B61)))</f>
        <v>0</v>
      </c>
      <c r="V61" s="14" t="n">
        <f aca="false">IF(20&gt;$A61,0,Val_pt*(Ceiling_e-E_zero)*(1-(1-Half_gap)^MIN(20,$B61)))</f>
        <v>0</v>
      </c>
      <c r="W61" s="14" t="n">
        <f aca="false">IF(0&gt;$A61,0,IF(0=$A61,MAX(End_q,Floor_q),MAX(X61+Cost_round*IF(1&lt;=$B61,1,0)-C61,IF(1&lt;=$B61,1,0)*Pre_q)))</f>
        <v>520</v>
      </c>
      <c r="X61" s="14" t="n">
        <f aca="false">IF(1&gt;$A61,0,IF(1=$A61,MAX(End_q,Floor_q),MAX(Y61+Cost_round*IF(2&lt;=$B61,1,0)-D61,IF(2&lt;=$B61,1,0)*Pre_q,Floor_q)))</f>
        <v>470</v>
      </c>
      <c r="Y61" s="14" t="n">
        <f aca="false">IF(2&gt;$A61,0,IF(2=$A61,MAX(End_q,Floor_q),MAX(Z61+Cost_round*IF(3&lt;=$B61,1,0)-E61,IF(3&lt;=$B61,1,0)*Pre_q,Floor_q)))</f>
        <v>350</v>
      </c>
      <c r="Z61" s="14" t="n">
        <f aca="false">IF(3&gt;$A61,0,IF(3=$A61,MAX(End_q,Floor_q),MAX(AA61+Cost_round*IF(4&lt;=$B61,1,0)-F61,IF(4&lt;=$B61,1,0)*Pre_q,Floor_q)))</f>
        <v>350</v>
      </c>
      <c r="AA61" s="14" t="n">
        <f aca="false">IF(4&gt;$A61,0,IF(4=$A61,MAX(End_q,Floor_q),MAX(AB61+Cost_round*IF(5&lt;=$B61,1,0)-G61,IF(5&lt;=$B61,1,0)*Pre_q,Floor_q)))</f>
        <v>350</v>
      </c>
      <c r="AB61" s="14" t="n">
        <f aca="false">IF(5&gt;$A61,0,IF(5=$A61,MAX(End_q,Floor_q),MAX(AC61+Cost_round*IF(6&lt;=$B61,1,0)-H61,IF(6&lt;=$B61,1,0)*Pre_q,Floor_q)))</f>
        <v>365</v>
      </c>
      <c r="AC61" s="14" t="n">
        <f aca="false">IF(6&gt;$A61,0,IF(6=$A61,MAX(End_q,Floor_q),MAX(AD61+Cost_round*IF(7&lt;=$B61,1,0)-I61,IF(7&lt;=$B61,1,0)*Pre_q,Floor_q)))</f>
        <v>470</v>
      </c>
      <c r="AD61" s="14" t="n">
        <f aca="false">IF(7&gt;$A61,0,IF(7=$A61,MAX(End_q,Floor_q),MAX(AE61+Cost_round*IF(8&lt;=$B61,1,0)-J61,IF(8&lt;=$B61,1,0)*Pre_q,Floor_q)))</f>
        <v>0</v>
      </c>
      <c r="AE61" s="14" t="n">
        <f aca="false">IF(8&gt;$A61,0,IF(8=$A61,MAX(End_q,Floor_q),MAX(AF61+Cost_round*IF(9&lt;=$B61,1,0)-K61,IF(9&lt;=$B61,1,0)*Pre_q,Floor_q)))</f>
        <v>0</v>
      </c>
      <c r="AF61" s="14" t="n">
        <f aca="false">IF(9&gt;$A61,0,IF(9=$A61,MAX(End_q,Floor_q),MAX(AG61+Cost_round*IF(10&lt;=$B61,1,0)-L61,IF(10&lt;=$B61,1,0)*Pre_q,Floor_q)))</f>
        <v>0</v>
      </c>
      <c r="AG61" s="14" t="n">
        <f aca="false">IF(10&gt;$A61,0,IF(10=$A61,MAX(End_q,Floor_q),MAX(AH61+Cost_round*IF(11&lt;=$B61,1,0)-M61,IF(11&lt;=$B61,1,0)*Pre_q,Floor_q)))</f>
        <v>0</v>
      </c>
      <c r="AH61" s="14" t="n">
        <f aca="false">IF(11&gt;$A61,0,IF(11=$A61,MAX(End_q,Floor_q),MAX(AI61+Cost_round*IF(12&lt;=$B61,1,0)-N61,IF(12&lt;=$B61,1,0)*Pre_q,Floor_q)))</f>
        <v>0</v>
      </c>
      <c r="AI61" s="14" t="n">
        <f aca="false">IF(12&gt;$A61,0,IF(12=$A61,MAX(End_q,Floor_q),MAX(AJ61+Cost_round*IF(13&lt;=$B61,1,0)-O61,IF(13&lt;=$B61,1,0)*Pre_q,Floor_q)))</f>
        <v>0</v>
      </c>
      <c r="AJ61" s="14" t="n">
        <f aca="false">IF(13&gt;$A61,0,IF(13=$A61,MAX(End_q,Floor_q),MAX(AK61+Cost_round*IF(14&lt;=$B61,1,0)-P61,IF(14&lt;=$B61,1,0)*Pre_q,Floor_q)))</f>
        <v>0</v>
      </c>
      <c r="AK61" s="14" t="n">
        <f aca="false">IF(14&gt;$A61,0,IF(14=$A61,MAX(End_q,Floor_q),MAX(AL61+Cost_round*IF(15&lt;=$B61,1,0)-Q61,IF(15&lt;=$B61,1,0)*Pre_q,Floor_q)))</f>
        <v>0</v>
      </c>
      <c r="AL61" s="14" t="n">
        <f aca="false">IF(15&gt;$A61,0,IF(15=$A61,MAX(End_q,Floor_q),MAX(AM61+Cost_round*IF(16&lt;=$B61,1,0)-R61,IF(16&lt;=$B61,1,0)*Pre_q,Floor_q)))</f>
        <v>0</v>
      </c>
      <c r="AM61" s="14" t="n">
        <f aca="false">IF(16&gt;$A61,0,IF(16=$A61,MAX(End_q,Floor_q),MAX(AN61+Cost_round*IF(17&lt;=$B61,1,0)-S61,IF(17&lt;=$B61,1,0)*Pre_q,Floor_q)))</f>
        <v>0</v>
      </c>
      <c r="AN61" s="14" t="n">
        <f aca="false">IF(17&gt;$A61,0,IF(17=$A61,MAX(End_q,Floor_q),MAX(AO61+Cost_round*IF(18&lt;=$B61,1,0)-T61,IF(18&lt;=$B61,1,0)*Pre_q,Floor_q)))</f>
        <v>0</v>
      </c>
      <c r="AO61" s="14" t="n">
        <f aca="false">IF(18&gt;$A61,0,IF(18=$A61,MAX(End_q,Floor_q),MAX(AP61+Cost_round*IF(19&lt;=$B61,1,0)-U61,IF(19&lt;=$B61,1,0)*Pre_q,Floor_q)))</f>
        <v>0</v>
      </c>
      <c r="AP61" s="14" t="n">
        <f aca="false">IF(19&gt;$A61,0,IF(19=$A61,MAX(End_q,Floor_q),MAX(AQ61+Cost_round*IF(20&lt;=$B61,1,0)-V61,IF(20&lt;=$B61,1,0)*Pre_q,Floor_q)))</f>
        <v>0</v>
      </c>
      <c r="AQ61" s="14" t="n">
        <f aca="false">IF(20&gt;$A61,0,MAX(End_q,Floor_q))</f>
        <v>0</v>
      </c>
      <c r="AR61" s="15" t="n">
        <f aca="false">IF(Q_zero&gt;=W61-0.000000001,1,0)</f>
        <v>1</v>
      </c>
      <c r="AS61" s="14" t="n">
        <f aca="false">IF(1&gt;$A61,0,Q_zero-Cost_round*IF(1&lt;=$B61,1,0)+C61-X61)</f>
        <v>100</v>
      </c>
      <c r="AT61" s="14" t="n">
        <f aca="false">IF(2&gt;$A61,0,X61-Cost_round*IF(2&lt;=$B61,1,0)+D61-Y61)</f>
        <v>105</v>
      </c>
      <c r="AU61" s="14" t="n">
        <f aca="false">IF(3&gt;$A61,0,Y61-Cost_round*IF(3&lt;=$B61,1,0)+E61-Z61)</f>
        <v>105</v>
      </c>
      <c r="AV61" s="14" t="n">
        <f aca="false">IF(4&gt;$A61,0,Z61-Cost_round*IF(4&lt;=$B61,1,0)+F61-AA61)</f>
        <v>105</v>
      </c>
      <c r="AW61" s="14" t="n">
        <f aca="false">IF(5&gt;$A61,0,AA61-Cost_round*IF(5&lt;=$B61,1,0)+G61-AB61)</f>
        <v>90</v>
      </c>
      <c r="AX61" s="14" t="n">
        <f aca="false">IF(6&gt;$A61,0,AB61-Cost_round*IF(6&lt;=$B61,1,0)+H61-AC61)</f>
        <v>0</v>
      </c>
      <c r="AY61" s="14" t="n">
        <f aca="false">IF(7&gt;$A61,0,AC61-Cost_round*IF(7&lt;=$B61,1,0)+I61-AD61)</f>
        <v>0</v>
      </c>
      <c r="AZ61" s="14" t="n">
        <f aca="false">IF(8&gt;$A61,0,AD61-Cost_round*IF(8&lt;=$B61,1,0)+J61-AE61)</f>
        <v>0</v>
      </c>
      <c r="BA61" s="14" t="n">
        <f aca="false">IF(9&gt;$A61,0,AE61-Cost_round*IF(9&lt;=$B61,1,0)+K61-AF61)</f>
        <v>0</v>
      </c>
      <c r="BB61" s="14" t="n">
        <f aca="false">IF(10&gt;$A61,0,AF61-Cost_round*IF(10&lt;=$B61,1,0)+L61-AG61)</f>
        <v>0</v>
      </c>
      <c r="BC61" s="14" t="n">
        <f aca="false">IF(11&gt;$A61,0,AG61-Cost_round*IF(11&lt;=$B61,1,0)+M61-AH61)</f>
        <v>0</v>
      </c>
      <c r="BD61" s="14" t="n">
        <f aca="false">IF(12&gt;$A61,0,AH61-Cost_round*IF(12&lt;=$B61,1,0)+N61-AI61)</f>
        <v>0</v>
      </c>
      <c r="BE61" s="14" t="n">
        <f aca="false">IF(13&gt;$A61,0,AI61-Cost_round*IF(13&lt;=$B61,1,0)+O61-AJ61)</f>
        <v>0</v>
      </c>
      <c r="BF61" s="14" t="n">
        <f aca="false">IF(14&gt;$A61,0,AJ61-Cost_round*IF(14&lt;=$B61,1,0)+P61-AK61)</f>
        <v>0</v>
      </c>
      <c r="BG61" s="14" t="n">
        <f aca="false">IF(15&gt;$A61,0,AK61-Cost_round*IF(15&lt;=$B61,1,0)+Q61-AL61)</f>
        <v>0</v>
      </c>
      <c r="BH61" s="14" t="n">
        <f aca="false">IF(16&gt;$A61,0,AL61-Cost_round*IF(16&lt;=$B61,1,0)+R61-AM61)</f>
        <v>0</v>
      </c>
      <c r="BI61" s="14" t="n">
        <f aca="false">IF(17&gt;$A61,0,AM61-Cost_round*IF(17&lt;=$B61,1,0)+S61-AN61)</f>
        <v>0</v>
      </c>
      <c r="BJ61" s="14" t="n">
        <f aca="false">IF(18&gt;$A61,0,AN61-Cost_round*IF(18&lt;=$B61,1,0)+T61-AO61)</f>
        <v>0</v>
      </c>
      <c r="BK61" s="14" t="n">
        <f aca="false">IF(19&gt;$A61,0,AO61-Cost_round*IF(19&lt;=$B61,1,0)+U61-AP61)</f>
        <v>0</v>
      </c>
      <c r="BL61" s="14" t="n">
        <f aca="false">IF(20&gt;$A61,0,AP61-Cost_round*IF(20&lt;=$B61,1,0)+V61-AQ61)</f>
        <v>0</v>
      </c>
      <c r="BM61" s="17" t="n">
        <f aca="false">IF($AR61=1,SUMPRODUCT(AS61:BL61,$AS$38:$BL$38),"")</f>
        <v>384.173336396545</v>
      </c>
      <c r="BN61" s="17" t="n">
        <f aca="false">IF($AR61=1,BM61+INDEX($AS$38:$BL$38,$A61)*INDEX(C61:V61,$A61)/Hurdle_r,"")</f>
        <v>976.870962953011</v>
      </c>
    </row>
    <row r="62" customFormat="false" ht="15" hidden="false" customHeight="false" outlineLevel="0" collapsed="false">
      <c r="A62" s="2" t="n">
        <v>6</v>
      </c>
      <c r="B62" s="2" t="n">
        <v>3</v>
      </c>
      <c r="C62" s="14" t="n">
        <f aca="false">IF(1&gt;$A62,0,Val_pt*(Ceiling_e-E_zero)*(1-(1-Half_gap)^MIN(1,$B62)))</f>
        <v>70</v>
      </c>
      <c r="D62" s="14" t="n">
        <f aca="false">IF(2&gt;$A62,0,Val_pt*(Ceiling_e-E_zero)*(1-(1-Half_gap)^MIN(2,$B62)))</f>
        <v>105</v>
      </c>
      <c r="E62" s="14" t="n">
        <f aca="false">IF(3&gt;$A62,0,Val_pt*(Ceiling_e-E_zero)*(1-(1-Half_gap)^MIN(3,$B62)))</f>
        <v>122.5</v>
      </c>
      <c r="F62" s="14" t="n">
        <f aca="false">IF(4&gt;$A62,0,Val_pt*(Ceiling_e-E_zero)*(1-(1-Half_gap)^MIN(4,$B62)))</f>
        <v>122.5</v>
      </c>
      <c r="G62" s="14" t="n">
        <f aca="false">IF(5&gt;$A62,0,Val_pt*(Ceiling_e-E_zero)*(1-(1-Half_gap)^MIN(5,$B62)))</f>
        <v>122.5</v>
      </c>
      <c r="H62" s="14" t="n">
        <f aca="false">IF(6&gt;$A62,0,Val_pt*(Ceiling_e-E_zero)*(1-(1-Half_gap)^MIN(6,$B62)))</f>
        <v>122.5</v>
      </c>
      <c r="I62" s="14" t="n">
        <f aca="false">IF(7&gt;$A62,0,Val_pt*(Ceiling_e-E_zero)*(1-(1-Half_gap)^MIN(7,$B62)))</f>
        <v>0</v>
      </c>
      <c r="J62" s="14" t="n">
        <f aca="false">IF(8&gt;$A62,0,Val_pt*(Ceiling_e-E_zero)*(1-(1-Half_gap)^MIN(8,$B62)))</f>
        <v>0</v>
      </c>
      <c r="K62" s="14" t="n">
        <f aca="false">IF(9&gt;$A62,0,Val_pt*(Ceiling_e-E_zero)*(1-(1-Half_gap)^MIN(9,$B62)))</f>
        <v>0</v>
      </c>
      <c r="L62" s="14" t="n">
        <f aca="false">IF(10&gt;$A62,0,Val_pt*(Ceiling_e-E_zero)*(1-(1-Half_gap)^MIN(10,$B62)))</f>
        <v>0</v>
      </c>
      <c r="M62" s="14" t="n">
        <f aca="false">IF(11&gt;$A62,0,Val_pt*(Ceiling_e-E_zero)*(1-(1-Half_gap)^MIN(11,$B62)))</f>
        <v>0</v>
      </c>
      <c r="N62" s="14" t="n">
        <f aca="false">IF(12&gt;$A62,0,Val_pt*(Ceiling_e-E_zero)*(1-(1-Half_gap)^MIN(12,$B62)))</f>
        <v>0</v>
      </c>
      <c r="O62" s="14" t="n">
        <f aca="false">IF(13&gt;$A62,0,Val_pt*(Ceiling_e-E_zero)*(1-(1-Half_gap)^MIN(13,$B62)))</f>
        <v>0</v>
      </c>
      <c r="P62" s="14" t="n">
        <f aca="false">IF(14&gt;$A62,0,Val_pt*(Ceiling_e-E_zero)*(1-(1-Half_gap)^MIN(14,$B62)))</f>
        <v>0</v>
      </c>
      <c r="Q62" s="14" t="n">
        <f aca="false">IF(15&gt;$A62,0,Val_pt*(Ceiling_e-E_zero)*(1-(1-Half_gap)^MIN(15,$B62)))</f>
        <v>0</v>
      </c>
      <c r="R62" s="14" t="n">
        <f aca="false">IF(16&gt;$A62,0,Val_pt*(Ceiling_e-E_zero)*(1-(1-Half_gap)^MIN(16,$B62)))</f>
        <v>0</v>
      </c>
      <c r="S62" s="14" t="n">
        <f aca="false">IF(17&gt;$A62,0,Val_pt*(Ceiling_e-E_zero)*(1-(1-Half_gap)^MIN(17,$B62)))</f>
        <v>0</v>
      </c>
      <c r="T62" s="14" t="n">
        <f aca="false">IF(18&gt;$A62,0,Val_pt*(Ceiling_e-E_zero)*(1-(1-Half_gap)^MIN(18,$B62)))</f>
        <v>0</v>
      </c>
      <c r="U62" s="14" t="n">
        <f aca="false">IF(19&gt;$A62,0,Val_pt*(Ceiling_e-E_zero)*(1-(1-Half_gap)^MIN(19,$B62)))</f>
        <v>0</v>
      </c>
      <c r="V62" s="14" t="n">
        <f aca="false">IF(20&gt;$A62,0,Val_pt*(Ceiling_e-E_zero)*(1-(1-Half_gap)^MIN(20,$B62)))</f>
        <v>0</v>
      </c>
      <c r="W62" s="14" t="n">
        <f aca="false">IF(0&gt;$A62,0,IF(0=$A62,MAX(End_q,Floor_q),MAX(X62+Cost_round*IF(1&lt;=$B62,1,0)-C62,IF(1&lt;=$B62,1,0)*Pre_q)))</f>
        <v>535</v>
      </c>
      <c r="X62" s="14" t="n">
        <f aca="false">IF(1&gt;$A62,0,IF(1=$A62,MAX(End_q,Floor_q),MAX(Y62+Cost_round*IF(2&lt;=$B62,1,0)-D62,IF(2&lt;=$B62,1,0)*Pre_q,Floor_q)))</f>
        <v>485</v>
      </c>
      <c r="Y62" s="14" t="n">
        <f aca="false">IF(2&gt;$A62,0,IF(2=$A62,MAX(End_q,Floor_q),MAX(Z62+Cost_round*IF(3&lt;=$B62,1,0)-E62,IF(3&lt;=$B62,1,0)*Pre_q,Floor_q)))</f>
        <v>470</v>
      </c>
      <c r="Z62" s="14" t="n">
        <f aca="false">IF(3&gt;$A62,0,IF(3=$A62,MAX(End_q,Floor_q),MAX(AA62+Cost_round*IF(4&lt;=$B62,1,0)-F62,IF(4&lt;=$B62,1,0)*Pre_q,Floor_q)))</f>
        <v>350</v>
      </c>
      <c r="AA62" s="14" t="n">
        <f aca="false">IF(4&gt;$A62,0,IF(4=$A62,MAX(End_q,Floor_q),MAX(AB62+Cost_round*IF(5&lt;=$B62,1,0)-G62,IF(5&lt;=$B62,1,0)*Pre_q,Floor_q)))</f>
        <v>350</v>
      </c>
      <c r="AB62" s="14" t="n">
        <f aca="false">IF(5&gt;$A62,0,IF(5=$A62,MAX(End_q,Floor_q),MAX(AC62+Cost_round*IF(6&lt;=$B62,1,0)-H62,IF(6&lt;=$B62,1,0)*Pre_q,Floor_q)))</f>
        <v>350</v>
      </c>
      <c r="AC62" s="14" t="n">
        <f aca="false">IF(6&gt;$A62,0,IF(6=$A62,MAX(End_q,Floor_q),MAX(AD62+Cost_round*IF(7&lt;=$B62,1,0)-I62,IF(7&lt;=$B62,1,0)*Pre_q,Floor_q)))</f>
        <v>470</v>
      </c>
      <c r="AD62" s="14" t="n">
        <f aca="false">IF(7&gt;$A62,0,IF(7=$A62,MAX(End_q,Floor_q),MAX(AE62+Cost_round*IF(8&lt;=$B62,1,0)-J62,IF(8&lt;=$B62,1,0)*Pre_q,Floor_q)))</f>
        <v>0</v>
      </c>
      <c r="AE62" s="14" t="n">
        <f aca="false">IF(8&gt;$A62,0,IF(8=$A62,MAX(End_q,Floor_q),MAX(AF62+Cost_round*IF(9&lt;=$B62,1,0)-K62,IF(9&lt;=$B62,1,0)*Pre_q,Floor_q)))</f>
        <v>0</v>
      </c>
      <c r="AF62" s="14" t="n">
        <f aca="false">IF(9&gt;$A62,0,IF(9=$A62,MAX(End_q,Floor_q),MAX(AG62+Cost_round*IF(10&lt;=$B62,1,0)-L62,IF(10&lt;=$B62,1,0)*Pre_q,Floor_q)))</f>
        <v>0</v>
      </c>
      <c r="AG62" s="14" t="n">
        <f aca="false">IF(10&gt;$A62,0,IF(10=$A62,MAX(End_q,Floor_q),MAX(AH62+Cost_round*IF(11&lt;=$B62,1,0)-M62,IF(11&lt;=$B62,1,0)*Pre_q,Floor_q)))</f>
        <v>0</v>
      </c>
      <c r="AH62" s="14" t="n">
        <f aca="false">IF(11&gt;$A62,0,IF(11=$A62,MAX(End_q,Floor_q),MAX(AI62+Cost_round*IF(12&lt;=$B62,1,0)-N62,IF(12&lt;=$B62,1,0)*Pre_q,Floor_q)))</f>
        <v>0</v>
      </c>
      <c r="AI62" s="14" t="n">
        <f aca="false">IF(12&gt;$A62,0,IF(12=$A62,MAX(End_q,Floor_q),MAX(AJ62+Cost_round*IF(13&lt;=$B62,1,0)-O62,IF(13&lt;=$B62,1,0)*Pre_q,Floor_q)))</f>
        <v>0</v>
      </c>
      <c r="AJ62" s="14" t="n">
        <f aca="false">IF(13&gt;$A62,0,IF(13=$A62,MAX(End_q,Floor_q),MAX(AK62+Cost_round*IF(14&lt;=$B62,1,0)-P62,IF(14&lt;=$B62,1,0)*Pre_q,Floor_q)))</f>
        <v>0</v>
      </c>
      <c r="AK62" s="14" t="n">
        <f aca="false">IF(14&gt;$A62,0,IF(14=$A62,MAX(End_q,Floor_q),MAX(AL62+Cost_round*IF(15&lt;=$B62,1,0)-Q62,IF(15&lt;=$B62,1,0)*Pre_q,Floor_q)))</f>
        <v>0</v>
      </c>
      <c r="AL62" s="14" t="n">
        <f aca="false">IF(15&gt;$A62,0,IF(15=$A62,MAX(End_q,Floor_q),MAX(AM62+Cost_round*IF(16&lt;=$B62,1,0)-R62,IF(16&lt;=$B62,1,0)*Pre_q,Floor_q)))</f>
        <v>0</v>
      </c>
      <c r="AM62" s="14" t="n">
        <f aca="false">IF(16&gt;$A62,0,IF(16=$A62,MAX(End_q,Floor_q),MAX(AN62+Cost_round*IF(17&lt;=$B62,1,0)-S62,IF(17&lt;=$B62,1,0)*Pre_q,Floor_q)))</f>
        <v>0</v>
      </c>
      <c r="AN62" s="14" t="n">
        <f aca="false">IF(17&gt;$A62,0,IF(17=$A62,MAX(End_q,Floor_q),MAX(AO62+Cost_round*IF(18&lt;=$B62,1,0)-T62,IF(18&lt;=$B62,1,0)*Pre_q,Floor_q)))</f>
        <v>0</v>
      </c>
      <c r="AO62" s="14" t="n">
        <f aca="false">IF(18&gt;$A62,0,IF(18=$A62,MAX(End_q,Floor_q),MAX(AP62+Cost_round*IF(19&lt;=$B62,1,0)-U62,IF(19&lt;=$B62,1,0)*Pre_q,Floor_q)))</f>
        <v>0</v>
      </c>
      <c r="AP62" s="14" t="n">
        <f aca="false">IF(19&gt;$A62,0,IF(19=$A62,MAX(End_q,Floor_q),MAX(AQ62+Cost_round*IF(20&lt;=$B62,1,0)-V62,IF(20&lt;=$B62,1,0)*Pre_q,Floor_q)))</f>
        <v>0</v>
      </c>
      <c r="AQ62" s="14" t="n">
        <f aca="false">IF(20&gt;$A62,0,MAX(End_q,Floor_q))</f>
        <v>0</v>
      </c>
      <c r="AR62" s="15" t="n">
        <f aca="false">IF(Q_zero&gt;=W62-0.000000001,1,0)</f>
        <v>1</v>
      </c>
      <c r="AS62" s="14" t="n">
        <f aca="false">IF(1&gt;$A62,0,Q_zero-Cost_round*IF(1&lt;=$B62,1,0)+C62-X62)</f>
        <v>85</v>
      </c>
      <c r="AT62" s="14" t="n">
        <f aca="false">IF(2&gt;$A62,0,X62-Cost_round*IF(2&lt;=$B62,1,0)+D62-Y62)</f>
        <v>0</v>
      </c>
      <c r="AU62" s="14" t="n">
        <f aca="false">IF(3&gt;$A62,0,Y62-Cost_round*IF(3&lt;=$B62,1,0)+E62-Z62)</f>
        <v>122.5</v>
      </c>
      <c r="AV62" s="14" t="n">
        <f aca="false">IF(4&gt;$A62,0,Z62-Cost_round*IF(4&lt;=$B62,1,0)+F62-AA62)</f>
        <v>122.5</v>
      </c>
      <c r="AW62" s="14" t="n">
        <f aca="false">IF(5&gt;$A62,0,AA62-Cost_round*IF(5&lt;=$B62,1,0)+G62-AB62)</f>
        <v>122.5</v>
      </c>
      <c r="AX62" s="14" t="n">
        <f aca="false">IF(6&gt;$A62,0,AB62-Cost_round*IF(6&lt;=$B62,1,0)+H62-AC62)</f>
        <v>2.5</v>
      </c>
      <c r="AY62" s="14" t="n">
        <f aca="false">IF(7&gt;$A62,0,AC62-Cost_round*IF(7&lt;=$B62,1,0)+I62-AD62)</f>
        <v>0</v>
      </c>
      <c r="AZ62" s="14" t="n">
        <f aca="false">IF(8&gt;$A62,0,AD62-Cost_round*IF(8&lt;=$B62,1,0)+J62-AE62)</f>
        <v>0</v>
      </c>
      <c r="BA62" s="14" t="n">
        <f aca="false">IF(9&gt;$A62,0,AE62-Cost_round*IF(9&lt;=$B62,1,0)+K62-AF62)</f>
        <v>0</v>
      </c>
      <c r="BB62" s="14" t="n">
        <f aca="false">IF(10&gt;$A62,0,AF62-Cost_round*IF(10&lt;=$B62,1,0)+L62-AG62)</f>
        <v>0</v>
      </c>
      <c r="BC62" s="14" t="n">
        <f aca="false">IF(11&gt;$A62,0,AG62-Cost_round*IF(11&lt;=$B62,1,0)+M62-AH62)</f>
        <v>0</v>
      </c>
      <c r="BD62" s="14" t="n">
        <f aca="false">IF(12&gt;$A62,0,AH62-Cost_round*IF(12&lt;=$B62,1,0)+N62-AI62)</f>
        <v>0</v>
      </c>
      <c r="BE62" s="14" t="n">
        <f aca="false">IF(13&gt;$A62,0,AI62-Cost_round*IF(13&lt;=$B62,1,0)+O62-AJ62)</f>
        <v>0</v>
      </c>
      <c r="BF62" s="14" t="n">
        <f aca="false">IF(14&gt;$A62,0,AJ62-Cost_round*IF(14&lt;=$B62,1,0)+P62-AK62)</f>
        <v>0</v>
      </c>
      <c r="BG62" s="14" t="n">
        <f aca="false">IF(15&gt;$A62,0,AK62-Cost_round*IF(15&lt;=$B62,1,0)+Q62-AL62)</f>
        <v>0</v>
      </c>
      <c r="BH62" s="14" t="n">
        <f aca="false">IF(16&gt;$A62,0,AL62-Cost_round*IF(16&lt;=$B62,1,0)+R62-AM62)</f>
        <v>0</v>
      </c>
      <c r="BI62" s="14" t="n">
        <f aca="false">IF(17&gt;$A62,0,AM62-Cost_round*IF(17&lt;=$B62,1,0)+S62-AN62)</f>
        <v>0</v>
      </c>
      <c r="BJ62" s="14" t="n">
        <f aca="false">IF(18&gt;$A62,0,AN62-Cost_round*IF(18&lt;=$B62,1,0)+T62-AO62)</f>
        <v>0</v>
      </c>
      <c r="BK62" s="14" t="n">
        <f aca="false">IF(19&gt;$A62,0,AO62-Cost_round*IF(19&lt;=$B62,1,0)+U62-AP62)</f>
        <v>0</v>
      </c>
      <c r="BL62" s="14" t="n">
        <f aca="false">IF(20&gt;$A62,0,AP62-Cost_round*IF(20&lt;=$B62,1,0)+V62-AQ62)</f>
        <v>0</v>
      </c>
      <c r="BM62" s="17" t="n">
        <f aca="false">IF($AR62=1,SUMPRODUCT(AS62:BL62,$AS$38:$BL$38),"")</f>
        <v>330.451985565273</v>
      </c>
      <c r="BN62" s="17" t="n">
        <f aca="false">IF($AR62=1,BM62+INDEX($AS$38:$BL$38,$A62)*INDEX(C62:V62,$A62)/Hurdle_r,"")</f>
        <v>1021.93254988115</v>
      </c>
    </row>
    <row r="63" customFormat="false" ht="15" hidden="false" customHeight="false" outlineLevel="0" collapsed="false">
      <c r="A63" s="2" t="n">
        <v>6</v>
      </c>
      <c r="B63" s="2" t="n">
        <v>4</v>
      </c>
      <c r="C63" s="14" t="n">
        <f aca="false">IF(1&gt;$A63,0,Val_pt*(Ceiling_e-E_zero)*(1-(1-Half_gap)^MIN(1,$B63)))</f>
        <v>70</v>
      </c>
      <c r="D63" s="14" t="n">
        <f aca="false">IF(2&gt;$A63,0,Val_pt*(Ceiling_e-E_zero)*(1-(1-Half_gap)^MIN(2,$B63)))</f>
        <v>105</v>
      </c>
      <c r="E63" s="14" t="n">
        <f aca="false">IF(3&gt;$A63,0,Val_pt*(Ceiling_e-E_zero)*(1-(1-Half_gap)^MIN(3,$B63)))</f>
        <v>122.5</v>
      </c>
      <c r="F63" s="14" t="n">
        <f aca="false">IF(4&gt;$A63,0,Val_pt*(Ceiling_e-E_zero)*(1-(1-Half_gap)^MIN(4,$B63)))</f>
        <v>131.25</v>
      </c>
      <c r="G63" s="14" t="n">
        <f aca="false">IF(5&gt;$A63,0,Val_pt*(Ceiling_e-E_zero)*(1-(1-Half_gap)^MIN(5,$B63)))</f>
        <v>131.25</v>
      </c>
      <c r="H63" s="14" t="n">
        <f aca="false">IF(6&gt;$A63,0,Val_pt*(Ceiling_e-E_zero)*(1-(1-Half_gap)^MIN(6,$B63)))</f>
        <v>131.25</v>
      </c>
      <c r="I63" s="14" t="n">
        <f aca="false">IF(7&gt;$A63,0,Val_pt*(Ceiling_e-E_zero)*(1-(1-Half_gap)^MIN(7,$B63)))</f>
        <v>0</v>
      </c>
      <c r="J63" s="14" t="n">
        <f aca="false">IF(8&gt;$A63,0,Val_pt*(Ceiling_e-E_zero)*(1-(1-Half_gap)^MIN(8,$B63)))</f>
        <v>0</v>
      </c>
      <c r="K63" s="14" t="n">
        <f aca="false">IF(9&gt;$A63,0,Val_pt*(Ceiling_e-E_zero)*(1-(1-Half_gap)^MIN(9,$B63)))</f>
        <v>0</v>
      </c>
      <c r="L63" s="14" t="n">
        <f aca="false">IF(10&gt;$A63,0,Val_pt*(Ceiling_e-E_zero)*(1-(1-Half_gap)^MIN(10,$B63)))</f>
        <v>0</v>
      </c>
      <c r="M63" s="14" t="n">
        <f aca="false">IF(11&gt;$A63,0,Val_pt*(Ceiling_e-E_zero)*(1-(1-Half_gap)^MIN(11,$B63)))</f>
        <v>0</v>
      </c>
      <c r="N63" s="14" t="n">
        <f aca="false">IF(12&gt;$A63,0,Val_pt*(Ceiling_e-E_zero)*(1-(1-Half_gap)^MIN(12,$B63)))</f>
        <v>0</v>
      </c>
      <c r="O63" s="14" t="n">
        <f aca="false">IF(13&gt;$A63,0,Val_pt*(Ceiling_e-E_zero)*(1-(1-Half_gap)^MIN(13,$B63)))</f>
        <v>0</v>
      </c>
      <c r="P63" s="14" t="n">
        <f aca="false">IF(14&gt;$A63,0,Val_pt*(Ceiling_e-E_zero)*(1-(1-Half_gap)^MIN(14,$B63)))</f>
        <v>0</v>
      </c>
      <c r="Q63" s="14" t="n">
        <f aca="false">IF(15&gt;$A63,0,Val_pt*(Ceiling_e-E_zero)*(1-(1-Half_gap)^MIN(15,$B63)))</f>
        <v>0</v>
      </c>
      <c r="R63" s="14" t="n">
        <f aca="false">IF(16&gt;$A63,0,Val_pt*(Ceiling_e-E_zero)*(1-(1-Half_gap)^MIN(16,$B63)))</f>
        <v>0</v>
      </c>
      <c r="S63" s="14" t="n">
        <f aca="false">IF(17&gt;$A63,0,Val_pt*(Ceiling_e-E_zero)*(1-(1-Half_gap)^MIN(17,$B63)))</f>
        <v>0</v>
      </c>
      <c r="T63" s="14" t="n">
        <f aca="false">IF(18&gt;$A63,0,Val_pt*(Ceiling_e-E_zero)*(1-(1-Half_gap)^MIN(18,$B63)))</f>
        <v>0</v>
      </c>
      <c r="U63" s="14" t="n">
        <f aca="false">IF(19&gt;$A63,0,Val_pt*(Ceiling_e-E_zero)*(1-(1-Half_gap)^MIN(19,$B63)))</f>
        <v>0</v>
      </c>
      <c r="V63" s="14" t="n">
        <f aca="false">IF(20&gt;$A63,0,Val_pt*(Ceiling_e-E_zero)*(1-(1-Half_gap)^MIN(20,$B63)))</f>
        <v>0</v>
      </c>
      <c r="W63" s="14" t="n">
        <f aca="false">IF(0&gt;$A63,0,IF(0=$A63,MAX(End_q,Floor_q),MAX(X63+Cost_round*IF(1&lt;=$B63,1,0)-C63,IF(1&lt;=$B63,1,0)*Pre_q)))</f>
        <v>535</v>
      </c>
      <c r="X63" s="14" t="n">
        <f aca="false">IF(1&gt;$A63,0,IF(1=$A63,MAX(End_q,Floor_q),MAX(Y63+Cost_round*IF(2&lt;=$B63,1,0)-D63,IF(2&lt;=$B63,1,0)*Pre_q,Floor_q)))</f>
        <v>485</v>
      </c>
      <c r="Y63" s="14" t="n">
        <f aca="false">IF(2&gt;$A63,0,IF(2=$A63,MAX(End_q,Floor_q),MAX(Z63+Cost_round*IF(3&lt;=$B63,1,0)-E63,IF(3&lt;=$B63,1,0)*Pre_q,Floor_q)))</f>
        <v>470</v>
      </c>
      <c r="Z63" s="14" t="n">
        <f aca="false">IF(3&gt;$A63,0,IF(3=$A63,MAX(End_q,Floor_q),MAX(AA63+Cost_round*IF(4&lt;=$B63,1,0)-F63,IF(4&lt;=$B63,1,0)*Pre_q,Floor_q)))</f>
        <v>470</v>
      </c>
      <c r="AA63" s="14" t="n">
        <f aca="false">IF(4&gt;$A63,0,IF(4=$A63,MAX(End_q,Floor_q),MAX(AB63+Cost_round*IF(5&lt;=$B63,1,0)-G63,IF(5&lt;=$B63,1,0)*Pre_q,Floor_q)))</f>
        <v>350</v>
      </c>
      <c r="AB63" s="14" t="n">
        <f aca="false">IF(5&gt;$A63,0,IF(5=$A63,MAX(End_q,Floor_q),MAX(AC63+Cost_round*IF(6&lt;=$B63,1,0)-H63,IF(6&lt;=$B63,1,0)*Pre_q,Floor_q)))</f>
        <v>350</v>
      </c>
      <c r="AC63" s="14" t="n">
        <f aca="false">IF(6&gt;$A63,0,IF(6=$A63,MAX(End_q,Floor_q),MAX(AD63+Cost_round*IF(7&lt;=$B63,1,0)-I63,IF(7&lt;=$B63,1,0)*Pre_q,Floor_q)))</f>
        <v>470</v>
      </c>
      <c r="AD63" s="14" t="n">
        <f aca="false">IF(7&gt;$A63,0,IF(7=$A63,MAX(End_q,Floor_q),MAX(AE63+Cost_round*IF(8&lt;=$B63,1,0)-J63,IF(8&lt;=$B63,1,0)*Pre_q,Floor_q)))</f>
        <v>0</v>
      </c>
      <c r="AE63" s="14" t="n">
        <f aca="false">IF(8&gt;$A63,0,IF(8=$A63,MAX(End_q,Floor_q),MAX(AF63+Cost_round*IF(9&lt;=$B63,1,0)-K63,IF(9&lt;=$B63,1,0)*Pre_q,Floor_q)))</f>
        <v>0</v>
      </c>
      <c r="AF63" s="14" t="n">
        <f aca="false">IF(9&gt;$A63,0,IF(9=$A63,MAX(End_q,Floor_q),MAX(AG63+Cost_round*IF(10&lt;=$B63,1,0)-L63,IF(10&lt;=$B63,1,0)*Pre_q,Floor_q)))</f>
        <v>0</v>
      </c>
      <c r="AG63" s="14" t="n">
        <f aca="false">IF(10&gt;$A63,0,IF(10=$A63,MAX(End_q,Floor_q),MAX(AH63+Cost_round*IF(11&lt;=$B63,1,0)-M63,IF(11&lt;=$B63,1,0)*Pre_q,Floor_q)))</f>
        <v>0</v>
      </c>
      <c r="AH63" s="14" t="n">
        <f aca="false">IF(11&gt;$A63,0,IF(11=$A63,MAX(End_q,Floor_q),MAX(AI63+Cost_round*IF(12&lt;=$B63,1,0)-N63,IF(12&lt;=$B63,1,0)*Pre_q,Floor_q)))</f>
        <v>0</v>
      </c>
      <c r="AI63" s="14" t="n">
        <f aca="false">IF(12&gt;$A63,0,IF(12=$A63,MAX(End_q,Floor_q),MAX(AJ63+Cost_round*IF(13&lt;=$B63,1,0)-O63,IF(13&lt;=$B63,1,0)*Pre_q,Floor_q)))</f>
        <v>0</v>
      </c>
      <c r="AJ63" s="14" t="n">
        <f aca="false">IF(13&gt;$A63,0,IF(13=$A63,MAX(End_q,Floor_q),MAX(AK63+Cost_round*IF(14&lt;=$B63,1,0)-P63,IF(14&lt;=$B63,1,0)*Pre_q,Floor_q)))</f>
        <v>0</v>
      </c>
      <c r="AK63" s="14" t="n">
        <f aca="false">IF(14&gt;$A63,0,IF(14=$A63,MAX(End_q,Floor_q),MAX(AL63+Cost_round*IF(15&lt;=$B63,1,0)-Q63,IF(15&lt;=$B63,1,0)*Pre_q,Floor_q)))</f>
        <v>0</v>
      </c>
      <c r="AL63" s="14" t="n">
        <f aca="false">IF(15&gt;$A63,0,IF(15=$A63,MAX(End_q,Floor_q),MAX(AM63+Cost_round*IF(16&lt;=$B63,1,0)-R63,IF(16&lt;=$B63,1,0)*Pre_q,Floor_q)))</f>
        <v>0</v>
      </c>
      <c r="AM63" s="14" t="n">
        <f aca="false">IF(16&gt;$A63,0,IF(16=$A63,MAX(End_q,Floor_q),MAX(AN63+Cost_round*IF(17&lt;=$B63,1,0)-S63,IF(17&lt;=$B63,1,0)*Pre_q,Floor_q)))</f>
        <v>0</v>
      </c>
      <c r="AN63" s="14" t="n">
        <f aca="false">IF(17&gt;$A63,0,IF(17=$A63,MAX(End_q,Floor_q),MAX(AO63+Cost_round*IF(18&lt;=$B63,1,0)-T63,IF(18&lt;=$B63,1,0)*Pre_q,Floor_q)))</f>
        <v>0</v>
      </c>
      <c r="AO63" s="14" t="n">
        <f aca="false">IF(18&gt;$A63,0,IF(18=$A63,MAX(End_q,Floor_q),MAX(AP63+Cost_round*IF(19&lt;=$B63,1,0)-U63,IF(19&lt;=$B63,1,0)*Pre_q,Floor_q)))</f>
        <v>0</v>
      </c>
      <c r="AP63" s="14" t="n">
        <f aca="false">IF(19&gt;$A63,0,IF(19=$A63,MAX(End_q,Floor_q),MAX(AQ63+Cost_round*IF(20&lt;=$B63,1,0)-V63,IF(20&lt;=$B63,1,0)*Pre_q,Floor_q)))</f>
        <v>0</v>
      </c>
      <c r="AQ63" s="14" t="n">
        <f aca="false">IF(20&gt;$A63,0,MAX(End_q,Floor_q))</f>
        <v>0</v>
      </c>
      <c r="AR63" s="15" t="n">
        <f aca="false">IF(Q_zero&gt;=W63-0.000000001,1,0)</f>
        <v>1</v>
      </c>
      <c r="AS63" s="14" t="n">
        <f aca="false">IF(1&gt;$A63,0,Q_zero-Cost_round*IF(1&lt;=$B63,1,0)+C63-X63)</f>
        <v>85</v>
      </c>
      <c r="AT63" s="14" t="n">
        <f aca="false">IF(2&gt;$A63,0,X63-Cost_round*IF(2&lt;=$B63,1,0)+D63-Y63)</f>
        <v>0</v>
      </c>
      <c r="AU63" s="14" t="n">
        <f aca="false">IF(3&gt;$A63,0,Y63-Cost_round*IF(3&lt;=$B63,1,0)+E63-Z63)</f>
        <v>2.5</v>
      </c>
      <c r="AV63" s="14" t="n">
        <f aca="false">IF(4&gt;$A63,0,Z63-Cost_round*IF(4&lt;=$B63,1,0)+F63-AA63)</f>
        <v>131.25</v>
      </c>
      <c r="AW63" s="14" t="n">
        <f aca="false">IF(5&gt;$A63,0,AA63-Cost_round*IF(5&lt;=$B63,1,0)+G63-AB63)</f>
        <v>131.25</v>
      </c>
      <c r="AX63" s="14" t="n">
        <f aca="false">IF(6&gt;$A63,0,AB63-Cost_round*IF(6&lt;=$B63,1,0)+H63-AC63)</f>
        <v>11.25</v>
      </c>
      <c r="AY63" s="14" t="n">
        <f aca="false">IF(7&gt;$A63,0,AC63-Cost_round*IF(7&lt;=$B63,1,0)+I63-AD63)</f>
        <v>0</v>
      </c>
      <c r="AZ63" s="14" t="n">
        <f aca="false">IF(8&gt;$A63,0,AD63-Cost_round*IF(8&lt;=$B63,1,0)+J63-AE63)</f>
        <v>0</v>
      </c>
      <c r="BA63" s="14" t="n">
        <f aca="false">IF(9&gt;$A63,0,AE63-Cost_round*IF(9&lt;=$B63,1,0)+K63-AF63)</f>
        <v>0</v>
      </c>
      <c r="BB63" s="14" t="n">
        <f aca="false">IF(10&gt;$A63,0,AF63-Cost_round*IF(10&lt;=$B63,1,0)+L63-AG63)</f>
        <v>0</v>
      </c>
      <c r="BC63" s="14" t="n">
        <f aca="false">IF(11&gt;$A63,0,AG63-Cost_round*IF(11&lt;=$B63,1,0)+M63-AH63)</f>
        <v>0</v>
      </c>
      <c r="BD63" s="14" t="n">
        <f aca="false">IF(12&gt;$A63,0,AH63-Cost_round*IF(12&lt;=$B63,1,0)+N63-AI63)</f>
        <v>0</v>
      </c>
      <c r="BE63" s="14" t="n">
        <f aca="false">IF(13&gt;$A63,0,AI63-Cost_round*IF(13&lt;=$B63,1,0)+O63-AJ63)</f>
        <v>0</v>
      </c>
      <c r="BF63" s="14" t="n">
        <f aca="false">IF(14&gt;$A63,0,AJ63-Cost_round*IF(14&lt;=$B63,1,0)+P63-AK63)</f>
        <v>0</v>
      </c>
      <c r="BG63" s="14" t="n">
        <f aca="false">IF(15&gt;$A63,0,AK63-Cost_round*IF(15&lt;=$B63,1,0)+Q63-AL63)</f>
        <v>0</v>
      </c>
      <c r="BH63" s="14" t="n">
        <f aca="false">IF(16&gt;$A63,0,AL63-Cost_round*IF(16&lt;=$B63,1,0)+R63-AM63)</f>
        <v>0</v>
      </c>
      <c r="BI63" s="14" t="n">
        <f aca="false">IF(17&gt;$A63,0,AM63-Cost_round*IF(17&lt;=$B63,1,0)+S63-AN63)</f>
        <v>0</v>
      </c>
      <c r="BJ63" s="14" t="n">
        <f aca="false">IF(18&gt;$A63,0,AN63-Cost_round*IF(18&lt;=$B63,1,0)+T63-AO63)</f>
        <v>0</v>
      </c>
      <c r="BK63" s="14" t="n">
        <f aca="false">IF(19&gt;$A63,0,AO63-Cost_round*IF(19&lt;=$B63,1,0)+U63-AP63)</f>
        <v>0</v>
      </c>
      <c r="BL63" s="14" t="n">
        <f aca="false">IF(20&gt;$A63,0,AP63-Cost_round*IF(20&lt;=$B63,1,0)+V63-AQ63)</f>
        <v>0</v>
      </c>
      <c r="BM63" s="17" t="n">
        <f aca="false">IF($AR63=1,SUMPRODUCT(AS63:BL63,$AS$38:$BL$38),"")</f>
        <v>256.642785656266</v>
      </c>
      <c r="BN63" s="17" t="n">
        <f aca="false">IF($AR63=1,BM63+INDEX($AS$38:$BL$38,$A63)*INDEX(C63:V63,$A63)/Hurdle_r,"")</f>
        <v>997.514818851849</v>
      </c>
    </row>
    <row r="64" customFormat="false" ht="15" hidden="false" customHeight="false" outlineLevel="0" collapsed="false">
      <c r="A64" s="2" t="n">
        <v>7</v>
      </c>
      <c r="B64" s="2" t="n">
        <v>0</v>
      </c>
      <c r="C64" s="14" t="n">
        <f aca="false">IF(1&gt;$A64,0,Val_pt*(Ceiling_e-E_zero)*(1-(1-Half_gap)^MIN(1,$B64)))</f>
        <v>0</v>
      </c>
      <c r="D64" s="14" t="n">
        <f aca="false">IF(2&gt;$A64,0,Val_pt*(Ceiling_e-E_zero)*(1-(1-Half_gap)^MIN(2,$B64)))</f>
        <v>0</v>
      </c>
      <c r="E64" s="14" t="n">
        <f aca="false">IF(3&gt;$A64,0,Val_pt*(Ceiling_e-E_zero)*(1-(1-Half_gap)^MIN(3,$B64)))</f>
        <v>0</v>
      </c>
      <c r="F64" s="14" t="n">
        <f aca="false">IF(4&gt;$A64,0,Val_pt*(Ceiling_e-E_zero)*(1-(1-Half_gap)^MIN(4,$B64)))</f>
        <v>0</v>
      </c>
      <c r="G64" s="14" t="n">
        <f aca="false">IF(5&gt;$A64,0,Val_pt*(Ceiling_e-E_zero)*(1-(1-Half_gap)^MIN(5,$B64)))</f>
        <v>0</v>
      </c>
      <c r="H64" s="14" t="n">
        <f aca="false">IF(6&gt;$A64,0,Val_pt*(Ceiling_e-E_zero)*(1-(1-Half_gap)^MIN(6,$B64)))</f>
        <v>0</v>
      </c>
      <c r="I64" s="14" t="n">
        <f aca="false">IF(7&gt;$A64,0,Val_pt*(Ceiling_e-E_zero)*(1-(1-Half_gap)^MIN(7,$B64)))</f>
        <v>0</v>
      </c>
      <c r="J64" s="14" t="n">
        <f aca="false">IF(8&gt;$A64,0,Val_pt*(Ceiling_e-E_zero)*(1-(1-Half_gap)^MIN(8,$B64)))</f>
        <v>0</v>
      </c>
      <c r="K64" s="14" t="n">
        <f aca="false">IF(9&gt;$A64,0,Val_pt*(Ceiling_e-E_zero)*(1-(1-Half_gap)^MIN(9,$B64)))</f>
        <v>0</v>
      </c>
      <c r="L64" s="14" t="n">
        <f aca="false">IF(10&gt;$A64,0,Val_pt*(Ceiling_e-E_zero)*(1-(1-Half_gap)^MIN(10,$B64)))</f>
        <v>0</v>
      </c>
      <c r="M64" s="14" t="n">
        <f aca="false">IF(11&gt;$A64,0,Val_pt*(Ceiling_e-E_zero)*(1-(1-Half_gap)^MIN(11,$B64)))</f>
        <v>0</v>
      </c>
      <c r="N64" s="14" t="n">
        <f aca="false">IF(12&gt;$A64,0,Val_pt*(Ceiling_e-E_zero)*(1-(1-Half_gap)^MIN(12,$B64)))</f>
        <v>0</v>
      </c>
      <c r="O64" s="14" t="n">
        <f aca="false">IF(13&gt;$A64,0,Val_pt*(Ceiling_e-E_zero)*(1-(1-Half_gap)^MIN(13,$B64)))</f>
        <v>0</v>
      </c>
      <c r="P64" s="14" t="n">
        <f aca="false">IF(14&gt;$A64,0,Val_pt*(Ceiling_e-E_zero)*(1-(1-Half_gap)^MIN(14,$B64)))</f>
        <v>0</v>
      </c>
      <c r="Q64" s="14" t="n">
        <f aca="false">IF(15&gt;$A64,0,Val_pt*(Ceiling_e-E_zero)*(1-(1-Half_gap)^MIN(15,$B64)))</f>
        <v>0</v>
      </c>
      <c r="R64" s="14" t="n">
        <f aca="false">IF(16&gt;$A64,0,Val_pt*(Ceiling_e-E_zero)*(1-(1-Half_gap)^MIN(16,$B64)))</f>
        <v>0</v>
      </c>
      <c r="S64" s="14" t="n">
        <f aca="false">IF(17&gt;$A64,0,Val_pt*(Ceiling_e-E_zero)*(1-(1-Half_gap)^MIN(17,$B64)))</f>
        <v>0</v>
      </c>
      <c r="T64" s="14" t="n">
        <f aca="false">IF(18&gt;$A64,0,Val_pt*(Ceiling_e-E_zero)*(1-(1-Half_gap)^MIN(18,$B64)))</f>
        <v>0</v>
      </c>
      <c r="U64" s="14" t="n">
        <f aca="false">IF(19&gt;$A64,0,Val_pt*(Ceiling_e-E_zero)*(1-(1-Half_gap)^MIN(19,$B64)))</f>
        <v>0</v>
      </c>
      <c r="V64" s="14" t="n">
        <f aca="false">IF(20&gt;$A64,0,Val_pt*(Ceiling_e-E_zero)*(1-(1-Half_gap)^MIN(20,$B64)))</f>
        <v>0</v>
      </c>
      <c r="W64" s="14" t="n">
        <f aca="false">IF(0&gt;$A64,0,IF(0=$A64,MAX(End_q,Floor_q),MAX(X64+Cost_round*IF(1&lt;=$B64,1,0)-C64,IF(1&lt;=$B64,1,0)*Pre_q)))</f>
        <v>470</v>
      </c>
      <c r="X64" s="14" t="n">
        <f aca="false">IF(1&gt;$A64,0,IF(1=$A64,MAX(End_q,Floor_q),MAX(Y64+Cost_round*IF(2&lt;=$B64,1,0)-D64,IF(2&lt;=$B64,1,0)*Pre_q,Floor_q)))</f>
        <v>470</v>
      </c>
      <c r="Y64" s="14" t="n">
        <f aca="false">IF(2&gt;$A64,0,IF(2=$A64,MAX(End_q,Floor_q),MAX(Z64+Cost_round*IF(3&lt;=$B64,1,0)-E64,IF(3&lt;=$B64,1,0)*Pre_q,Floor_q)))</f>
        <v>470</v>
      </c>
      <c r="Z64" s="14" t="n">
        <f aca="false">IF(3&gt;$A64,0,IF(3=$A64,MAX(End_q,Floor_q),MAX(AA64+Cost_round*IF(4&lt;=$B64,1,0)-F64,IF(4&lt;=$B64,1,0)*Pre_q,Floor_q)))</f>
        <v>470</v>
      </c>
      <c r="AA64" s="14" t="n">
        <f aca="false">IF(4&gt;$A64,0,IF(4=$A64,MAX(End_q,Floor_q),MAX(AB64+Cost_round*IF(5&lt;=$B64,1,0)-G64,IF(5&lt;=$B64,1,0)*Pre_q,Floor_q)))</f>
        <v>470</v>
      </c>
      <c r="AB64" s="14" t="n">
        <f aca="false">IF(5&gt;$A64,0,IF(5=$A64,MAX(End_q,Floor_q),MAX(AC64+Cost_round*IF(6&lt;=$B64,1,0)-H64,IF(6&lt;=$B64,1,0)*Pre_q,Floor_q)))</f>
        <v>470</v>
      </c>
      <c r="AC64" s="14" t="n">
        <f aca="false">IF(6&gt;$A64,0,IF(6=$A64,MAX(End_q,Floor_q),MAX(AD64+Cost_round*IF(7&lt;=$B64,1,0)-I64,IF(7&lt;=$B64,1,0)*Pre_q,Floor_q)))</f>
        <v>470</v>
      </c>
      <c r="AD64" s="14" t="n">
        <f aca="false">IF(7&gt;$A64,0,IF(7=$A64,MAX(End_q,Floor_q),MAX(AE64+Cost_round*IF(8&lt;=$B64,1,0)-J64,IF(8&lt;=$B64,1,0)*Pre_q,Floor_q)))</f>
        <v>470</v>
      </c>
      <c r="AE64" s="14" t="n">
        <f aca="false">IF(8&gt;$A64,0,IF(8=$A64,MAX(End_q,Floor_q),MAX(AF64+Cost_round*IF(9&lt;=$B64,1,0)-K64,IF(9&lt;=$B64,1,0)*Pre_q,Floor_q)))</f>
        <v>0</v>
      </c>
      <c r="AF64" s="14" t="n">
        <f aca="false">IF(9&gt;$A64,0,IF(9=$A64,MAX(End_q,Floor_q),MAX(AG64+Cost_round*IF(10&lt;=$B64,1,0)-L64,IF(10&lt;=$B64,1,0)*Pre_q,Floor_q)))</f>
        <v>0</v>
      </c>
      <c r="AG64" s="14" t="n">
        <f aca="false">IF(10&gt;$A64,0,IF(10=$A64,MAX(End_q,Floor_q),MAX(AH64+Cost_round*IF(11&lt;=$B64,1,0)-M64,IF(11&lt;=$B64,1,0)*Pre_q,Floor_q)))</f>
        <v>0</v>
      </c>
      <c r="AH64" s="14" t="n">
        <f aca="false">IF(11&gt;$A64,0,IF(11=$A64,MAX(End_q,Floor_q),MAX(AI64+Cost_round*IF(12&lt;=$B64,1,0)-N64,IF(12&lt;=$B64,1,0)*Pre_q,Floor_q)))</f>
        <v>0</v>
      </c>
      <c r="AI64" s="14" t="n">
        <f aca="false">IF(12&gt;$A64,0,IF(12=$A64,MAX(End_q,Floor_q),MAX(AJ64+Cost_round*IF(13&lt;=$B64,1,0)-O64,IF(13&lt;=$B64,1,0)*Pre_q,Floor_q)))</f>
        <v>0</v>
      </c>
      <c r="AJ64" s="14" t="n">
        <f aca="false">IF(13&gt;$A64,0,IF(13=$A64,MAX(End_q,Floor_q),MAX(AK64+Cost_round*IF(14&lt;=$B64,1,0)-P64,IF(14&lt;=$B64,1,0)*Pre_q,Floor_q)))</f>
        <v>0</v>
      </c>
      <c r="AK64" s="14" t="n">
        <f aca="false">IF(14&gt;$A64,0,IF(14=$A64,MAX(End_q,Floor_q),MAX(AL64+Cost_round*IF(15&lt;=$B64,1,0)-Q64,IF(15&lt;=$B64,1,0)*Pre_q,Floor_q)))</f>
        <v>0</v>
      </c>
      <c r="AL64" s="14" t="n">
        <f aca="false">IF(15&gt;$A64,0,IF(15=$A64,MAX(End_q,Floor_q),MAX(AM64+Cost_round*IF(16&lt;=$B64,1,0)-R64,IF(16&lt;=$B64,1,0)*Pre_q,Floor_q)))</f>
        <v>0</v>
      </c>
      <c r="AM64" s="14" t="n">
        <f aca="false">IF(16&gt;$A64,0,IF(16=$A64,MAX(End_q,Floor_q),MAX(AN64+Cost_round*IF(17&lt;=$B64,1,0)-S64,IF(17&lt;=$B64,1,0)*Pre_q,Floor_q)))</f>
        <v>0</v>
      </c>
      <c r="AN64" s="14" t="n">
        <f aca="false">IF(17&gt;$A64,0,IF(17=$A64,MAX(End_q,Floor_q),MAX(AO64+Cost_round*IF(18&lt;=$B64,1,0)-T64,IF(18&lt;=$B64,1,0)*Pre_q,Floor_q)))</f>
        <v>0</v>
      </c>
      <c r="AO64" s="14" t="n">
        <f aca="false">IF(18&gt;$A64,0,IF(18=$A64,MAX(End_q,Floor_q),MAX(AP64+Cost_round*IF(19&lt;=$B64,1,0)-U64,IF(19&lt;=$B64,1,0)*Pre_q,Floor_q)))</f>
        <v>0</v>
      </c>
      <c r="AP64" s="14" t="n">
        <f aca="false">IF(19&gt;$A64,0,IF(19=$A64,MAX(End_q,Floor_q),MAX(AQ64+Cost_round*IF(20&lt;=$B64,1,0)-V64,IF(20&lt;=$B64,1,0)*Pre_q,Floor_q)))</f>
        <v>0</v>
      </c>
      <c r="AQ64" s="14" t="n">
        <f aca="false">IF(20&gt;$A64,0,MAX(End_q,Floor_q))</f>
        <v>0</v>
      </c>
      <c r="AR64" s="15" t="n">
        <f aca="false">IF(Q_zero&gt;=W64-0.000000001,1,0)</f>
        <v>1</v>
      </c>
      <c r="AS64" s="14" t="n">
        <f aca="false">IF(1&gt;$A64,0,Q_zero-Cost_round*IF(1&lt;=$B64,1,0)+C64-X64)</f>
        <v>150</v>
      </c>
      <c r="AT64" s="14" t="n">
        <f aca="false">IF(2&gt;$A64,0,X64-Cost_round*IF(2&lt;=$B64,1,0)+D64-Y64)</f>
        <v>0</v>
      </c>
      <c r="AU64" s="14" t="n">
        <f aca="false">IF(3&gt;$A64,0,Y64-Cost_round*IF(3&lt;=$B64,1,0)+E64-Z64)</f>
        <v>0</v>
      </c>
      <c r="AV64" s="14" t="n">
        <f aca="false">IF(4&gt;$A64,0,Z64-Cost_round*IF(4&lt;=$B64,1,0)+F64-AA64)</f>
        <v>0</v>
      </c>
      <c r="AW64" s="14" t="n">
        <f aca="false">IF(5&gt;$A64,0,AA64-Cost_round*IF(5&lt;=$B64,1,0)+G64-AB64)</f>
        <v>0</v>
      </c>
      <c r="AX64" s="14" t="n">
        <f aca="false">IF(6&gt;$A64,0,AB64-Cost_round*IF(6&lt;=$B64,1,0)+H64-AC64)</f>
        <v>0</v>
      </c>
      <c r="AY64" s="14" t="n">
        <f aca="false">IF(7&gt;$A64,0,AC64-Cost_round*IF(7&lt;=$B64,1,0)+I64-AD64)</f>
        <v>0</v>
      </c>
      <c r="AZ64" s="14" t="n">
        <f aca="false">IF(8&gt;$A64,0,AD64-Cost_round*IF(8&lt;=$B64,1,0)+J64-AE64)</f>
        <v>0</v>
      </c>
      <c r="BA64" s="14" t="n">
        <f aca="false">IF(9&gt;$A64,0,AE64-Cost_round*IF(9&lt;=$B64,1,0)+K64-AF64)</f>
        <v>0</v>
      </c>
      <c r="BB64" s="14" t="n">
        <f aca="false">IF(10&gt;$A64,0,AF64-Cost_round*IF(10&lt;=$B64,1,0)+L64-AG64)</f>
        <v>0</v>
      </c>
      <c r="BC64" s="14" t="n">
        <f aca="false">IF(11&gt;$A64,0,AG64-Cost_round*IF(11&lt;=$B64,1,0)+M64-AH64)</f>
        <v>0</v>
      </c>
      <c r="BD64" s="14" t="n">
        <f aca="false">IF(12&gt;$A64,0,AH64-Cost_round*IF(12&lt;=$B64,1,0)+N64-AI64)</f>
        <v>0</v>
      </c>
      <c r="BE64" s="14" t="n">
        <f aca="false">IF(13&gt;$A64,0,AI64-Cost_round*IF(13&lt;=$B64,1,0)+O64-AJ64)</f>
        <v>0</v>
      </c>
      <c r="BF64" s="14" t="n">
        <f aca="false">IF(14&gt;$A64,0,AJ64-Cost_round*IF(14&lt;=$B64,1,0)+P64-AK64)</f>
        <v>0</v>
      </c>
      <c r="BG64" s="14" t="n">
        <f aca="false">IF(15&gt;$A64,0,AK64-Cost_round*IF(15&lt;=$B64,1,0)+Q64-AL64)</f>
        <v>0</v>
      </c>
      <c r="BH64" s="14" t="n">
        <f aca="false">IF(16&gt;$A64,0,AL64-Cost_round*IF(16&lt;=$B64,1,0)+R64-AM64)</f>
        <v>0</v>
      </c>
      <c r="BI64" s="14" t="n">
        <f aca="false">IF(17&gt;$A64,0,AM64-Cost_round*IF(17&lt;=$B64,1,0)+S64-AN64)</f>
        <v>0</v>
      </c>
      <c r="BJ64" s="14" t="n">
        <f aca="false">IF(18&gt;$A64,0,AN64-Cost_round*IF(18&lt;=$B64,1,0)+T64-AO64)</f>
        <v>0</v>
      </c>
      <c r="BK64" s="14" t="n">
        <f aca="false">IF(19&gt;$A64,0,AO64-Cost_round*IF(19&lt;=$B64,1,0)+U64-AP64)</f>
        <v>0</v>
      </c>
      <c r="BL64" s="14" t="n">
        <f aca="false">IF(20&gt;$A64,0,AP64-Cost_round*IF(20&lt;=$B64,1,0)+V64-AQ64)</f>
        <v>0</v>
      </c>
      <c r="BM64" s="17" t="n">
        <f aca="false">IF($AR64=1,SUMPRODUCT(AS64:BL64,$AS$38:$BL$38),"")</f>
        <v>136.363636363636</v>
      </c>
      <c r="BN64" s="17" t="n">
        <f aca="false">IF($AR64=1,BM64+INDEX($AS$38:$BL$38,$A64)*INDEX(C64:V64,$A64)/Hurdle_r,"")</f>
        <v>136.363636363636</v>
      </c>
    </row>
    <row r="65" customFormat="false" ht="15" hidden="false" customHeight="false" outlineLevel="0" collapsed="false">
      <c r="A65" s="2" t="n">
        <v>7</v>
      </c>
      <c r="B65" s="2" t="n">
        <v>1</v>
      </c>
      <c r="C65" s="14" t="n">
        <f aca="false">IF(1&gt;$A65,0,Val_pt*(Ceiling_e-E_zero)*(1-(1-Half_gap)^MIN(1,$B65)))</f>
        <v>70</v>
      </c>
      <c r="D65" s="14" t="n">
        <f aca="false">IF(2&gt;$A65,0,Val_pt*(Ceiling_e-E_zero)*(1-(1-Half_gap)^MIN(2,$B65)))</f>
        <v>70</v>
      </c>
      <c r="E65" s="14" t="n">
        <f aca="false">IF(3&gt;$A65,0,Val_pt*(Ceiling_e-E_zero)*(1-(1-Half_gap)^MIN(3,$B65)))</f>
        <v>70</v>
      </c>
      <c r="F65" s="14" t="n">
        <f aca="false">IF(4&gt;$A65,0,Val_pt*(Ceiling_e-E_zero)*(1-(1-Half_gap)^MIN(4,$B65)))</f>
        <v>70</v>
      </c>
      <c r="G65" s="14" t="n">
        <f aca="false">IF(5&gt;$A65,0,Val_pt*(Ceiling_e-E_zero)*(1-(1-Half_gap)^MIN(5,$B65)))</f>
        <v>70</v>
      </c>
      <c r="H65" s="14" t="n">
        <f aca="false">IF(6&gt;$A65,0,Val_pt*(Ceiling_e-E_zero)*(1-(1-Half_gap)^MIN(6,$B65)))</f>
        <v>70</v>
      </c>
      <c r="I65" s="14" t="n">
        <f aca="false">IF(7&gt;$A65,0,Val_pt*(Ceiling_e-E_zero)*(1-(1-Half_gap)^MIN(7,$B65)))</f>
        <v>70</v>
      </c>
      <c r="J65" s="14" t="n">
        <f aca="false">IF(8&gt;$A65,0,Val_pt*(Ceiling_e-E_zero)*(1-(1-Half_gap)^MIN(8,$B65)))</f>
        <v>0</v>
      </c>
      <c r="K65" s="14" t="n">
        <f aca="false">IF(9&gt;$A65,0,Val_pt*(Ceiling_e-E_zero)*(1-(1-Half_gap)^MIN(9,$B65)))</f>
        <v>0</v>
      </c>
      <c r="L65" s="14" t="n">
        <f aca="false">IF(10&gt;$A65,0,Val_pt*(Ceiling_e-E_zero)*(1-(1-Half_gap)^MIN(10,$B65)))</f>
        <v>0</v>
      </c>
      <c r="M65" s="14" t="n">
        <f aca="false">IF(11&gt;$A65,0,Val_pt*(Ceiling_e-E_zero)*(1-(1-Half_gap)^MIN(11,$B65)))</f>
        <v>0</v>
      </c>
      <c r="N65" s="14" t="n">
        <f aca="false">IF(12&gt;$A65,0,Val_pt*(Ceiling_e-E_zero)*(1-(1-Half_gap)^MIN(12,$B65)))</f>
        <v>0</v>
      </c>
      <c r="O65" s="14" t="n">
        <f aca="false">IF(13&gt;$A65,0,Val_pt*(Ceiling_e-E_zero)*(1-(1-Half_gap)^MIN(13,$B65)))</f>
        <v>0</v>
      </c>
      <c r="P65" s="14" t="n">
        <f aca="false">IF(14&gt;$A65,0,Val_pt*(Ceiling_e-E_zero)*(1-(1-Half_gap)^MIN(14,$B65)))</f>
        <v>0</v>
      </c>
      <c r="Q65" s="14" t="n">
        <f aca="false">IF(15&gt;$A65,0,Val_pt*(Ceiling_e-E_zero)*(1-(1-Half_gap)^MIN(15,$B65)))</f>
        <v>0</v>
      </c>
      <c r="R65" s="14" t="n">
        <f aca="false">IF(16&gt;$A65,0,Val_pt*(Ceiling_e-E_zero)*(1-(1-Half_gap)^MIN(16,$B65)))</f>
        <v>0</v>
      </c>
      <c r="S65" s="14" t="n">
        <f aca="false">IF(17&gt;$A65,0,Val_pt*(Ceiling_e-E_zero)*(1-(1-Half_gap)^MIN(17,$B65)))</f>
        <v>0</v>
      </c>
      <c r="T65" s="14" t="n">
        <f aca="false">IF(18&gt;$A65,0,Val_pt*(Ceiling_e-E_zero)*(1-(1-Half_gap)^MIN(18,$B65)))</f>
        <v>0</v>
      </c>
      <c r="U65" s="14" t="n">
        <f aca="false">IF(19&gt;$A65,0,Val_pt*(Ceiling_e-E_zero)*(1-(1-Half_gap)^MIN(19,$B65)))</f>
        <v>0</v>
      </c>
      <c r="V65" s="14" t="n">
        <f aca="false">IF(20&gt;$A65,0,Val_pt*(Ceiling_e-E_zero)*(1-(1-Half_gap)^MIN(20,$B65)))</f>
        <v>0</v>
      </c>
      <c r="W65" s="14" t="n">
        <f aca="false">IF(0&gt;$A65,0,IF(0=$A65,MAX(End_q,Floor_q),MAX(X65+Cost_round*IF(1&lt;=$B65,1,0)-C65,IF(1&lt;=$B65,1,0)*Pre_q)))</f>
        <v>470</v>
      </c>
      <c r="X65" s="14" t="n">
        <f aca="false">IF(1&gt;$A65,0,IF(1=$A65,MAX(End_q,Floor_q),MAX(Y65+Cost_round*IF(2&lt;=$B65,1,0)-D65,IF(2&lt;=$B65,1,0)*Pre_q,Floor_q)))</f>
        <v>350</v>
      </c>
      <c r="Y65" s="14" t="n">
        <f aca="false">IF(2&gt;$A65,0,IF(2=$A65,MAX(End_q,Floor_q),MAX(Z65+Cost_round*IF(3&lt;=$B65,1,0)-E65,IF(3&lt;=$B65,1,0)*Pre_q,Floor_q)))</f>
        <v>350</v>
      </c>
      <c r="Z65" s="14" t="n">
        <f aca="false">IF(3&gt;$A65,0,IF(3=$A65,MAX(End_q,Floor_q),MAX(AA65+Cost_round*IF(4&lt;=$B65,1,0)-F65,IF(4&lt;=$B65,1,0)*Pre_q,Floor_q)))</f>
        <v>350</v>
      </c>
      <c r="AA65" s="14" t="n">
        <f aca="false">IF(4&gt;$A65,0,IF(4=$A65,MAX(End_q,Floor_q),MAX(AB65+Cost_round*IF(5&lt;=$B65,1,0)-G65,IF(5&lt;=$B65,1,0)*Pre_q,Floor_q)))</f>
        <v>350</v>
      </c>
      <c r="AB65" s="14" t="n">
        <f aca="false">IF(5&gt;$A65,0,IF(5=$A65,MAX(End_q,Floor_q),MAX(AC65+Cost_round*IF(6&lt;=$B65,1,0)-H65,IF(6&lt;=$B65,1,0)*Pre_q,Floor_q)))</f>
        <v>350</v>
      </c>
      <c r="AC65" s="14" t="n">
        <f aca="false">IF(6&gt;$A65,0,IF(6=$A65,MAX(End_q,Floor_q),MAX(AD65+Cost_round*IF(7&lt;=$B65,1,0)-I65,IF(7&lt;=$B65,1,0)*Pre_q,Floor_q)))</f>
        <v>400</v>
      </c>
      <c r="AD65" s="14" t="n">
        <f aca="false">IF(7&gt;$A65,0,IF(7=$A65,MAX(End_q,Floor_q),MAX(AE65+Cost_round*IF(8&lt;=$B65,1,0)-J65,IF(8&lt;=$B65,1,0)*Pre_q,Floor_q)))</f>
        <v>470</v>
      </c>
      <c r="AE65" s="14" t="n">
        <f aca="false">IF(8&gt;$A65,0,IF(8=$A65,MAX(End_q,Floor_q),MAX(AF65+Cost_round*IF(9&lt;=$B65,1,0)-K65,IF(9&lt;=$B65,1,0)*Pre_q,Floor_q)))</f>
        <v>0</v>
      </c>
      <c r="AF65" s="14" t="n">
        <f aca="false">IF(9&gt;$A65,0,IF(9=$A65,MAX(End_q,Floor_q),MAX(AG65+Cost_round*IF(10&lt;=$B65,1,0)-L65,IF(10&lt;=$B65,1,0)*Pre_q,Floor_q)))</f>
        <v>0</v>
      </c>
      <c r="AG65" s="14" t="n">
        <f aca="false">IF(10&gt;$A65,0,IF(10=$A65,MAX(End_q,Floor_q),MAX(AH65+Cost_round*IF(11&lt;=$B65,1,0)-M65,IF(11&lt;=$B65,1,0)*Pre_q,Floor_q)))</f>
        <v>0</v>
      </c>
      <c r="AH65" s="14" t="n">
        <f aca="false">IF(11&gt;$A65,0,IF(11=$A65,MAX(End_q,Floor_q),MAX(AI65+Cost_round*IF(12&lt;=$B65,1,0)-N65,IF(12&lt;=$B65,1,0)*Pre_q,Floor_q)))</f>
        <v>0</v>
      </c>
      <c r="AI65" s="14" t="n">
        <f aca="false">IF(12&gt;$A65,0,IF(12=$A65,MAX(End_q,Floor_q),MAX(AJ65+Cost_round*IF(13&lt;=$B65,1,0)-O65,IF(13&lt;=$B65,1,0)*Pre_q,Floor_q)))</f>
        <v>0</v>
      </c>
      <c r="AJ65" s="14" t="n">
        <f aca="false">IF(13&gt;$A65,0,IF(13=$A65,MAX(End_q,Floor_q),MAX(AK65+Cost_round*IF(14&lt;=$B65,1,0)-P65,IF(14&lt;=$B65,1,0)*Pre_q,Floor_q)))</f>
        <v>0</v>
      </c>
      <c r="AK65" s="14" t="n">
        <f aca="false">IF(14&gt;$A65,0,IF(14=$A65,MAX(End_q,Floor_q),MAX(AL65+Cost_round*IF(15&lt;=$B65,1,0)-Q65,IF(15&lt;=$B65,1,0)*Pre_q,Floor_q)))</f>
        <v>0</v>
      </c>
      <c r="AL65" s="14" t="n">
        <f aca="false">IF(15&gt;$A65,0,IF(15=$A65,MAX(End_q,Floor_q),MAX(AM65+Cost_round*IF(16&lt;=$B65,1,0)-R65,IF(16&lt;=$B65,1,0)*Pre_q,Floor_q)))</f>
        <v>0</v>
      </c>
      <c r="AM65" s="14" t="n">
        <f aca="false">IF(16&gt;$A65,0,IF(16=$A65,MAX(End_q,Floor_q),MAX(AN65+Cost_round*IF(17&lt;=$B65,1,0)-S65,IF(17&lt;=$B65,1,0)*Pre_q,Floor_q)))</f>
        <v>0</v>
      </c>
      <c r="AN65" s="14" t="n">
        <f aca="false">IF(17&gt;$A65,0,IF(17=$A65,MAX(End_q,Floor_q),MAX(AO65+Cost_round*IF(18&lt;=$B65,1,0)-T65,IF(18&lt;=$B65,1,0)*Pre_q,Floor_q)))</f>
        <v>0</v>
      </c>
      <c r="AO65" s="14" t="n">
        <f aca="false">IF(18&gt;$A65,0,IF(18=$A65,MAX(End_q,Floor_q),MAX(AP65+Cost_round*IF(19&lt;=$B65,1,0)-U65,IF(19&lt;=$B65,1,0)*Pre_q,Floor_q)))</f>
        <v>0</v>
      </c>
      <c r="AP65" s="14" t="n">
        <f aca="false">IF(19&gt;$A65,0,IF(19=$A65,MAX(End_q,Floor_q),MAX(AQ65+Cost_round*IF(20&lt;=$B65,1,0)-V65,IF(20&lt;=$B65,1,0)*Pre_q,Floor_q)))</f>
        <v>0</v>
      </c>
      <c r="AQ65" s="14" t="n">
        <f aca="false">IF(20&gt;$A65,0,MAX(End_q,Floor_q))</f>
        <v>0</v>
      </c>
      <c r="AR65" s="15" t="n">
        <f aca="false">IF(Q_zero&gt;=W65-0.000000001,1,0)</f>
        <v>1</v>
      </c>
      <c r="AS65" s="14" t="n">
        <f aca="false">IF(1&gt;$A65,0,Q_zero-Cost_round*IF(1&lt;=$B65,1,0)+C65-X65)</f>
        <v>220</v>
      </c>
      <c r="AT65" s="14" t="n">
        <f aca="false">IF(2&gt;$A65,0,X65-Cost_round*IF(2&lt;=$B65,1,0)+D65-Y65)</f>
        <v>70</v>
      </c>
      <c r="AU65" s="14" t="n">
        <f aca="false">IF(3&gt;$A65,0,Y65-Cost_round*IF(3&lt;=$B65,1,0)+E65-Z65)</f>
        <v>70</v>
      </c>
      <c r="AV65" s="14" t="n">
        <f aca="false">IF(4&gt;$A65,0,Z65-Cost_round*IF(4&lt;=$B65,1,0)+F65-AA65)</f>
        <v>70</v>
      </c>
      <c r="AW65" s="14" t="n">
        <f aca="false">IF(5&gt;$A65,0,AA65-Cost_round*IF(5&lt;=$B65,1,0)+G65-AB65)</f>
        <v>70</v>
      </c>
      <c r="AX65" s="14" t="n">
        <f aca="false">IF(6&gt;$A65,0,AB65-Cost_round*IF(6&lt;=$B65,1,0)+H65-AC65)</f>
        <v>20</v>
      </c>
      <c r="AY65" s="14" t="n">
        <f aca="false">IF(7&gt;$A65,0,AC65-Cost_round*IF(7&lt;=$B65,1,0)+I65-AD65)</f>
        <v>0</v>
      </c>
      <c r="AZ65" s="14" t="n">
        <f aca="false">IF(8&gt;$A65,0,AD65-Cost_round*IF(8&lt;=$B65,1,0)+J65-AE65)</f>
        <v>0</v>
      </c>
      <c r="BA65" s="14" t="n">
        <f aca="false">IF(9&gt;$A65,0,AE65-Cost_round*IF(9&lt;=$B65,1,0)+K65-AF65)</f>
        <v>0</v>
      </c>
      <c r="BB65" s="14" t="n">
        <f aca="false">IF(10&gt;$A65,0,AF65-Cost_round*IF(10&lt;=$B65,1,0)+L65-AG65)</f>
        <v>0</v>
      </c>
      <c r="BC65" s="14" t="n">
        <f aca="false">IF(11&gt;$A65,0,AG65-Cost_round*IF(11&lt;=$B65,1,0)+M65-AH65)</f>
        <v>0</v>
      </c>
      <c r="BD65" s="14" t="n">
        <f aca="false">IF(12&gt;$A65,0,AH65-Cost_round*IF(12&lt;=$B65,1,0)+N65-AI65)</f>
        <v>0</v>
      </c>
      <c r="BE65" s="14" t="n">
        <f aca="false">IF(13&gt;$A65,0,AI65-Cost_round*IF(13&lt;=$B65,1,0)+O65-AJ65)</f>
        <v>0</v>
      </c>
      <c r="BF65" s="14" t="n">
        <f aca="false">IF(14&gt;$A65,0,AJ65-Cost_round*IF(14&lt;=$B65,1,0)+P65-AK65)</f>
        <v>0</v>
      </c>
      <c r="BG65" s="14" t="n">
        <f aca="false">IF(15&gt;$A65,0,AK65-Cost_round*IF(15&lt;=$B65,1,0)+Q65-AL65)</f>
        <v>0</v>
      </c>
      <c r="BH65" s="14" t="n">
        <f aca="false">IF(16&gt;$A65,0,AL65-Cost_round*IF(16&lt;=$B65,1,0)+R65-AM65)</f>
        <v>0</v>
      </c>
      <c r="BI65" s="14" t="n">
        <f aca="false">IF(17&gt;$A65,0,AM65-Cost_round*IF(17&lt;=$B65,1,0)+S65-AN65)</f>
        <v>0</v>
      </c>
      <c r="BJ65" s="14" t="n">
        <f aca="false">IF(18&gt;$A65,0,AN65-Cost_round*IF(18&lt;=$B65,1,0)+T65-AO65)</f>
        <v>0</v>
      </c>
      <c r="BK65" s="14" t="n">
        <f aca="false">IF(19&gt;$A65,0,AO65-Cost_round*IF(19&lt;=$B65,1,0)+U65-AP65)</f>
        <v>0</v>
      </c>
      <c r="BL65" s="14" t="n">
        <f aca="false">IF(20&gt;$A65,0,AP65-Cost_round*IF(20&lt;=$B65,1,0)+V65-AQ65)</f>
        <v>0</v>
      </c>
      <c r="BM65" s="17" t="n">
        <f aca="false">IF($AR65=1,SUMPRODUCT(AS65:BL65,$AS$38:$BL$38),"")</f>
        <v>413.008188823303</v>
      </c>
      <c r="BN65" s="17" t="n">
        <f aca="false">IF($AR65=1,BM65+INDEX($AS$38:$BL$38,$A65)*INDEX(C65:V65,$A65)/Hurdle_r,"")</f>
        <v>772.218871584798</v>
      </c>
    </row>
    <row r="66" customFormat="false" ht="15" hidden="false" customHeight="false" outlineLevel="0" collapsed="false">
      <c r="A66" s="2" t="n">
        <v>7</v>
      </c>
      <c r="B66" s="2" t="n">
        <v>2</v>
      </c>
      <c r="C66" s="14" t="n">
        <f aca="false">IF(1&gt;$A66,0,Val_pt*(Ceiling_e-E_zero)*(1-(1-Half_gap)^MIN(1,$B66)))</f>
        <v>70</v>
      </c>
      <c r="D66" s="14" t="n">
        <f aca="false">IF(2&gt;$A66,0,Val_pt*(Ceiling_e-E_zero)*(1-(1-Half_gap)^MIN(2,$B66)))</f>
        <v>105</v>
      </c>
      <c r="E66" s="14" t="n">
        <f aca="false">IF(3&gt;$A66,0,Val_pt*(Ceiling_e-E_zero)*(1-(1-Half_gap)^MIN(3,$B66)))</f>
        <v>105</v>
      </c>
      <c r="F66" s="14" t="n">
        <f aca="false">IF(4&gt;$A66,0,Val_pt*(Ceiling_e-E_zero)*(1-(1-Half_gap)^MIN(4,$B66)))</f>
        <v>105</v>
      </c>
      <c r="G66" s="14" t="n">
        <f aca="false">IF(5&gt;$A66,0,Val_pt*(Ceiling_e-E_zero)*(1-(1-Half_gap)^MIN(5,$B66)))</f>
        <v>105</v>
      </c>
      <c r="H66" s="14" t="n">
        <f aca="false">IF(6&gt;$A66,0,Val_pt*(Ceiling_e-E_zero)*(1-(1-Half_gap)^MIN(6,$B66)))</f>
        <v>105</v>
      </c>
      <c r="I66" s="14" t="n">
        <f aca="false">IF(7&gt;$A66,0,Val_pt*(Ceiling_e-E_zero)*(1-(1-Half_gap)^MIN(7,$B66)))</f>
        <v>105</v>
      </c>
      <c r="J66" s="14" t="n">
        <f aca="false">IF(8&gt;$A66,0,Val_pt*(Ceiling_e-E_zero)*(1-(1-Half_gap)^MIN(8,$B66)))</f>
        <v>0</v>
      </c>
      <c r="K66" s="14" t="n">
        <f aca="false">IF(9&gt;$A66,0,Val_pt*(Ceiling_e-E_zero)*(1-(1-Half_gap)^MIN(9,$B66)))</f>
        <v>0</v>
      </c>
      <c r="L66" s="14" t="n">
        <f aca="false">IF(10&gt;$A66,0,Val_pt*(Ceiling_e-E_zero)*(1-(1-Half_gap)^MIN(10,$B66)))</f>
        <v>0</v>
      </c>
      <c r="M66" s="14" t="n">
        <f aca="false">IF(11&gt;$A66,0,Val_pt*(Ceiling_e-E_zero)*(1-(1-Half_gap)^MIN(11,$B66)))</f>
        <v>0</v>
      </c>
      <c r="N66" s="14" t="n">
        <f aca="false">IF(12&gt;$A66,0,Val_pt*(Ceiling_e-E_zero)*(1-(1-Half_gap)^MIN(12,$B66)))</f>
        <v>0</v>
      </c>
      <c r="O66" s="14" t="n">
        <f aca="false">IF(13&gt;$A66,0,Val_pt*(Ceiling_e-E_zero)*(1-(1-Half_gap)^MIN(13,$B66)))</f>
        <v>0</v>
      </c>
      <c r="P66" s="14" t="n">
        <f aca="false">IF(14&gt;$A66,0,Val_pt*(Ceiling_e-E_zero)*(1-(1-Half_gap)^MIN(14,$B66)))</f>
        <v>0</v>
      </c>
      <c r="Q66" s="14" t="n">
        <f aca="false">IF(15&gt;$A66,0,Val_pt*(Ceiling_e-E_zero)*(1-(1-Half_gap)^MIN(15,$B66)))</f>
        <v>0</v>
      </c>
      <c r="R66" s="14" t="n">
        <f aca="false">IF(16&gt;$A66,0,Val_pt*(Ceiling_e-E_zero)*(1-(1-Half_gap)^MIN(16,$B66)))</f>
        <v>0</v>
      </c>
      <c r="S66" s="14" t="n">
        <f aca="false">IF(17&gt;$A66,0,Val_pt*(Ceiling_e-E_zero)*(1-(1-Half_gap)^MIN(17,$B66)))</f>
        <v>0</v>
      </c>
      <c r="T66" s="14" t="n">
        <f aca="false">IF(18&gt;$A66,0,Val_pt*(Ceiling_e-E_zero)*(1-(1-Half_gap)^MIN(18,$B66)))</f>
        <v>0</v>
      </c>
      <c r="U66" s="14" t="n">
        <f aca="false">IF(19&gt;$A66,0,Val_pt*(Ceiling_e-E_zero)*(1-(1-Half_gap)^MIN(19,$B66)))</f>
        <v>0</v>
      </c>
      <c r="V66" s="14" t="n">
        <f aca="false">IF(20&gt;$A66,0,Val_pt*(Ceiling_e-E_zero)*(1-(1-Half_gap)^MIN(20,$B66)))</f>
        <v>0</v>
      </c>
      <c r="W66" s="14" t="n">
        <f aca="false">IF(0&gt;$A66,0,IF(0=$A66,MAX(End_q,Floor_q),MAX(X66+Cost_round*IF(1&lt;=$B66,1,0)-C66,IF(1&lt;=$B66,1,0)*Pre_q)))</f>
        <v>520</v>
      </c>
      <c r="X66" s="14" t="n">
        <f aca="false">IF(1&gt;$A66,0,IF(1=$A66,MAX(End_q,Floor_q),MAX(Y66+Cost_round*IF(2&lt;=$B66,1,0)-D66,IF(2&lt;=$B66,1,0)*Pre_q,Floor_q)))</f>
        <v>470</v>
      </c>
      <c r="Y66" s="14" t="n">
        <f aca="false">IF(2&gt;$A66,0,IF(2=$A66,MAX(End_q,Floor_q),MAX(Z66+Cost_round*IF(3&lt;=$B66,1,0)-E66,IF(3&lt;=$B66,1,0)*Pre_q,Floor_q)))</f>
        <v>350</v>
      </c>
      <c r="Z66" s="14" t="n">
        <f aca="false">IF(3&gt;$A66,0,IF(3=$A66,MAX(End_q,Floor_q),MAX(AA66+Cost_round*IF(4&lt;=$B66,1,0)-F66,IF(4&lt;=$B66,1,0)*Pre_q,Floor_q)))</f>
        <v>350</v>
      </c>
      <c r="AA66" s="14" t="n">
        <f aca="false">IF(4&gt;$A66,0,IF(4=$A66,MAX(End_q,Floor_q),MAX(AB66+Cost_round*IF(5&lt;=$B66,1,0)-G66,IF(5&lt;=$B66,1,0)*Pre_q,Floor_q)))</f>
        <v>350</v>
      </c>
      <c r="AB66" s="14" t="n">
        <f aca="false">IF(5&gt;$A66,0,IF(5=$A66,MAX(End_q,Floor_q),MAX(AC66+Cost_round*IF(6&lt;=$B66,1,0)-H66,IF(6&lt;=$B66,1,0)*Pre_q,Floor_q)))</f>
        <v>350</v>
      </c>
      <c r="AC66" s="14" t="n">
        <f aca="false">IF(6&gt;$A66,0,IF(6=$A66,MAX(End_q,Floor_q),MAX(AD66+Cost_round*IF(7&lt;=$B66,1,0)-I66,IF(7&lt;=$B66,1,0)*Pre_q,Floor_q)))</f>
        <v>365</v>
      </c>
      <c r="AD66" s="14" t="n">
        <f aca="false">IF(7&gt;$A66,0,IF(7=$A66,MAX(End_q,Floor_q),MAX(AE66+Cost_round*IF(8&lt;=$B66,1,0)-J66,IF(8&lt;=$B66,1,0)*Pre_q,Floor_q)))</f>
        <v>470</v>
      </c>
      <c r="AE66" s="14" t="n">
        <f aca="false">IF(8&gt;$A66,0,IF(8=$A66,MAX(End_q,Floor_q),MAX(AF66+Cost_round*IF(9&lt;=$B66,1,0)-K66,IF(9&lt;=$B66,1,0)*Pre_q,Floor_q)))</f>
        <v>0</v>
      </c>
      <c r="AF66" s="14" t="n">
        <f aca="false">IF(9&gt;$A66,0,IF(9=$A66,MAX(End_q,Floor_q),MAX(AG66+Cost_round*IF(10&lt;=$B66,1,0)-L66,IF(10&lt;=$B66,1,0)*Pre_q,Floor_q)))</f>
        <v>0</v>
      </c>
      <c r="AG66" s="14" t="n">
        <f aca="false">IF(10&gt;$A66,0,IF(10=$A66,MAX(End_q,Floor_q),MAX(AH66+Cost_round*IF(11&lt;=$B66,1,0)-M66,IF(11&lt;=$B66,1,0)*Pre_q,Floor_q)))</f>
        <v>0</v>
      </c>
      <c r="AH66" s="14" t="n">
        <f aca="false">IF(11&gt;$A66,0,IF(11=$A66,MAX(End_q,Floor_q),MAX(AI66+Cost_round*IF(12&lt;=$B66,1,0)-N66,IF(12&lt;=$B66,1,0)*Pre_q,Floor_q)))</f>
        <v>0</v>
      </c>
      <c r="AI66" s="14" t="n">
        <f aca="false">IF(12&gt;$A66,0,IF(12=$A66,MAX(End_q,Floor_q),MAX(AJ66+Cost_round*IF(13&lt;=$B66,1,0)-O66,IF(13&lt;=$B66,1,0)*Pre_q,Floor_q)))</f>
        <v>0</v>
      </c>
      <c r="AJ66" s="14" t="n">
        <f aca="false">IF(13&gt;$A66,0,IF(13=$A66,MAX(End_q,Floor_q),MAX(AK66+Cost_round*IF(14&lt;=$B66,1,0)-P66,IF(14&lt;=$B66,1,0)*Pre_q,Floor_q)))</f>
        <v>0</v>
      </c>
      <c r="AK66" s="14" t="n">
        <f aca="false">IF(14&gt;$A66,0,IF(14=$A66,MAX(End_q,Floor_q),MAX(AL66+Cost_round*IF(15&lt;=$B66,1,0)-Q66,IF(15&lt;=$B66,1,0)*Pre_q,Floor_q)))</f>
        <v>0</v>
      </c>
      <c r="AL66" s="14" t="n">
        <f aca="false">IF(15&gt;$A66,0,IF(15=$A66,MAX(End_q,Floor_q),MAX(AM66+Cost_round*IF(16&lt;=$B66,1,0)-R66,IF(16&lt;=$B66,1,0)*Pre_q,Floor_q)))</f>
        <v>0</v>
      </c>
      <c r="AM66" s="14" t="n">
        <f aca="false">IF(16&gt;$A66,0,IF(16=$A66,MAX(End_q,Floor_q),MAX(AN66+Cost_round*IF(17&lt;=$B66,1,0)-S66,IF(17&lt;=$B66,1,0)*Pre_q,Floor_q)))</f>
        <v>0</v>
      </c>
      <c r="AN66" s="14" t="n">
        <f aca="false">IF(17&gt;$A66,0,IF(17=$A66,MAX(End_q,Floor_q),MAX(AO66+Cost_round*IF(18&lt;=$B66,1,0)-T66,IF(18&lt;=$B66,1,0)*Pre_q,Floor_q)))</f>
        <v>0</v>
      </c>
      <c r="AO66" s="14" t="n">
        <f aca="false">IF(18&gt;$A66,0,IF(18=$A66,MAX(End_q,Floor_q),MAX(AP66+Cost_round*IF(19&lt;=$B66,1,0)-U66,IF(19&lt;=$B66,1,0)*Pre_q,Floor_q)))</f>
        <v>0</v>
      </c>
      <c r="AP66" s="14" t="n">
        <f aca="false">IF(19&gt;$A66,0,IF(19=$A66,MAX(End_q,Floor_q),MAX(AQ66+Cost_round*IF(20&lt;=$B66,1,0)-V66,IF(20&lt;=$B66,1,0)*Pre_q,Floor_q)))</f>
        <v>0</v>
      </c>
      <c r="AQ66" s="14" t="n">
        <f aca="false">IF(20&gt;$A66,0,MAX(End_q,Floor_q))</f>
        <v>0</v>
      </c>
      <c r="AR66" s="15" t="n">
        <f aca="false">IF(Q_zero&gt;=W66-0.000000001,1,0)</f>
        <v>1</v>
      </c>
      <c r="AS66" s="14" t="n">
        <f aca="false">IF(1&gt;$A66,0,Q_zero-Cost_round*IF(1&lt;=$B66,1,0)+C66-X66)</f>
        <v>100</v>
      </c>
      <c r="AT66" s="14" t="n">
        <f aca="false">IF(2&gt;$A66,0,X66-Cost_round*IF(2&lt;=$B66,1,0)+D66-Y66)</f>
        <v>105</v>
      </c>
      <c r="AU66" s="14" t="n">
        <f aca="false">IF(3&gt;$A66,0,Y66-Cost_round*IF(3&lt;=$B66,1,0)+E66-Z66)</f>
        <v>105</v>
      </c>
      <c r="AV66" s="14" t="n">
        <f aca="false">IF(4&gt;$A66,0,Z66-Cost_round*IF(4&lt;=$B66,1,0)+F66-AA66)</f>
        <v>105</v>
      </c>
      <c r="AW66" s="14" t="n">
        <f aca="false">IF(5&gt;$A66,0,AA66-Cost_round*IF(5&lt;=$B66,1,0)+G66-AB66)</f>
        <v>105</v>
      </c>
      <c r="AX66" s="14" t="n">
        <f aca="false">IF(6&gt;$A66,0,AB66-Cost_round*IF(6&lt;=$B66,1,0)+H66-AC66)</f>
        <v>90</v>
      </c>
      <c r="AY66" s="14" t="n">
        <f aca="false">IF(7&gt;$A66,0,AC66-Cost_round*IF(7&lt;=$B66,1,0)+I66-AD66)</f>
        <v>0</v>
      </c>
      <c r="AZ66" s="14" t="n">
        <f aca="false">IF(8&gt;$A66,0,AD66-Cost_round*IF(8&lt;=$B66,1,0)+J66-AE66)</f>
        <v>0</v>
      </c>
      <c r="BA66" s="14" t="n">
        <f aca="false">IF(9&gt;$A66,0,AE66-Cost_round*IF(9&lt;=$B66,1,0)+K66-AF66)</f>
        <v>0</v>
      </c>
      <c r="BB66" s="14" t="n">
        <f aca="false">IF(10&gt;$A66,0,AF66-Cost_round*IF(10&lt;=$B66,1,0)+L66-AG66)</f>
        <v>0</v>
      </c>
      <c r="BC66" s="14" t="n">
        <f aca="false">IF(11&gt;$A66,0,AG66-Cost_round*IF(11&lt;=$B66,1,0)+M66-AH66)</f>
        <v>0</v>
      </c>
      <c r="BD66" s="14" t="n">
        <f aca="false">IF(12&gt;$A66,0,AH66-Cost_round*IF(12&lt;=$B66,1,0)+N66-AI66)</f>
        <v>0</v>
      </c>
      <c r="BE66" s="14" t="n">
        <f aca="false">IF(13&gt;$A66,0,AI66-Cost_round*IF(13&lt;=$B66,1,0)+O66-AJ66)</f>
        <v>0</v>
      </c>
      <c r="BF66" s="14" t="n">
        <f aca="false">IF(14&gt;$A66,0,AJ66-Cost_round*IF(14&lt;=$B66,1,0)+P66-AK66)</f>
        <v>0</v>
      </c>
      <c r="BG66" s="14" t="n">
        <f aca="false">IF(15&gt;$A66,0,AK66-Cost_round*IF(15&lt;=$B66,1,0)+Q66-AL66)</f>
        <v>0</v>
      </c>
      <c r="BH66" s="14" t="n">
        <f aca="false">IF(16&gt;$A66,0,AL66-Cost_round*IF(16&lt;=$B66,1,0)+R66-AM66)</f>
        <v>0</v>
      </c>
      <c r="BI66" s="14" t="n">
        <f aca="false">IF(17&gt;$A66,0,AM66-Cost_round*IF(17&lt;=$B66,1,0)+S66-AN66)</f>
        <v>0</v>
      </c>
      <c r="BJ66" s="14" t="n">
        <f aca="false">IF(18&gt;$A66,0,AN66-Cost_round*IF(18&lt;=$B66,1,0)+T66-AO66)</f>
        <v>0</v>
      </c>
      <c r="BK66" s="14" t="n">
        <f aca="false">IF(19&gt;$A66,0,AO66-Cost_round*IF(19&lt;=$B66,1,0)+U66-AP66)</f>
        <v>0</v>
      </c>
      <c r="BL66" s="14" t="n">
        <f aca="false">IF(20&gt;$A66,0,AP66-Cost_round*IF(20&lt;=$B66,1,0)+V66-AQ66)</f>
        <v>0</v>
      </c>
      <c r="BM66" s="17" t="n">
        <f aca="false">IF($AR66=1,SUMPRODUCT(AS66:BL66,$AS$38:$BL$38),"")</f>
        <v>444.289809947272</v>
      </c>
      <c r="BN66" s="17" t="n">
        <f aca="false">IF($AR66=1,BM66+INDEX($AS$38:$BL$38,$A66)*INDEX(C66:V66,$A66)/Hurdle_r,"")</f>
        <v>983.105834089515</v>
      </c>
    </row>
    <row r="67" customFormat="false" ht="15" hidden="false" customHeight="false" outlineLevel="0" collapsed="false">
      <c r="A67" s="2" t="n">
        <v>7</v>
      </c>
      <c r="B67" s="2" t="n">
        <v>3</v>
      </c>
      <c r="C67" s="14" t="n">
        <f aca="false">IF(1&gt;$A67,0,Val_pt*(Ceiling_e-E_zero)*(1-(1-Half_gap)^MIN(1,$B67)))</f>
        <v>70</v>
      </c>
      <c r="D67" s="14" t="n">
        <f aca="false">IF(2&gt;$A67,0,Val_pt*(Ceiling_e-E_zero)*(1-(1-Half_gap)^MIN(2,$B67)))</f>
        <v>105</v>
      </c>
      <c r="E67" s="14" t="n">
        <f aca="false">IF(3&gt;$A67,0,Val_pt*(Ceiling_e-E_zero)*(1-(1-Half_gap)^MIN(3,$B67)))</f>
        <v>122.5</v>
      </c>
      <c r="F67" s="14" t="n">
        <f aca="false">IF(4&gt;$A67,0,Val_pt*(Ceiling_e-E_zero)*(1-(1-Half_gap)^MIN(4,$B67)))</f>
        <v>122.5</v>
      </c>
      <c r="G67" s="14" t="n">
        <f aca="false">IF(5&gt;$A67,0,Val_pt*(Ceiling_e-E_zero)*(1-(1-Half_gap)^MIN(5,$B67)))</f>
        <v>122.5</v>
      </c>
      <c r="H67" s="14" t="n">
        <f aca="false">IF(6&gt;$A67,0,Val_pt*(Ceiling_e-E_zero)*(1-(1-Half_gap)^MIN(6,$B67)))</f>
        <v>122.5</v>
      </c>
      <c r="I67" s="14" t="n">
        <f aca="false">IF(7&gt;$A67,0,Val_pt*(Ceiling_e-E_zero)*(1-(1-Half_gap)^MIN(7,$B67)))</f>
        <v>122.5</v>
      </c>
      <c r="J67" s="14" t="n">
        <f aca="false">IF(8&gt;$A67,0,Val_pt*(Ceiling_e-E_zero)*(1-(1-Half_gap)^MIN(8,$B67)))</f>
        <v>0</v>
      </c>
      <c r="K67" s="14" t="n">
        <f aca="false">IF(9&gt;$A67,0,Val_pt*(Ceiling_e-E_zero)*(1-(1-Half_gap)^MIN(9,$B67)))</f>
        <v>0</v>
      </c>
      <c r="L67" s="14" t="n">
        <f aca="false">IF(10&gt;$A67,0,Val_pt*(Ceiling_e-E_zero)*(1-(1-Half_gap)^MIN(10,$B67)))</f>
        <v>0</v>
      </c>
      <c r="M67" s="14" t="n">
        <f aca="false">IF(11&gt;$A67,0,Val_pt*(Ceiling_e-E_zero)*(1-(1-Half_gap)^MIN(11,$B67)))</f>
        <v>0</v>
      </c>
      <c r="N67" s="14" t="n">
        <f aca="false">IF(12&gt;$A67,0,Val_pt*(Ceiling_e-E_zero)*(1-(1-Half_gap)^MIN(12,$B67)))</f>
        <v>0</v>
      </c>
      <c r="O67" s="14" t="n">
        <f aca="false">IF(13&gt;$A67,0,Val_pt*(Ceiling_e-E_zero)*(1-(1-Half_gap)^MIN(13,$B67)))</f>
        <v>0</v>
      </c>
      <c r="P67" s="14" t="n">
        <f aca="false">IF(14&gt;$A67,0,Val_pt*(Ceiling_e-E_zero)*(1-(1-Half_gap)^MIN(14,$B67)))</f>
        <v>0</v>
      </c>
      <c r="Q67" s="14" t="n">
        <f aca="false">IF(15&gt;$A67,0,Val_pt*(Ceiling_e-E_zero)*(1-(1-Half_gap)^MIN(15,$B67)))</f>
        <v>0</v>
      </c>
      <c r="R67" s="14" t="n">
        <f aca="false">IF(16&gt;$A67,0,Val_pt*(Ceiling_e-E_zero)*(1-(1-Half_gap)^MIN(16,$B67)))</f>
        <v>0</v>
      </c>
      <c r="S67" s="14" t="n">
        <f aca="false">IF(17&gt;$A67,0,Val_pt*(Ceiling_e-E_zero)*(1-(1-Half_gap)^MIN(17,$B67)))</f>
        <v>0</v>
      </c>
      <c r="T67" s="14" t="n">
        <f aca="false">IF(18&gt;$A67,0,Val_pt*(Ceiling_e-E_zero)*(1-(1-Half_gap)^MIN(18,$B67)))</f>
        <v>0</v>
      </c>
      <c r="U67" s="14" t="n">
        <f aca="false">IF(19&gt;$A67,0,Val_pt*(Ceiling_e-E_zero)*(1-(1-Half_gap)^MIN(19,$B67)))</f>
        <v>0</v>
      </c>
      <c r="V67" s="14" t="n">
        <f aca="false">IF(20&gt;$A67,0,Val_pt*(Ceiling_e-E_zero)*(1-(1-Half_gap)^MIN(20,$B67)))</f>
        <v>0</v>
      </c>
      <c r="W67" s="14" t="n">
        <f aca="false">IF(0&gt;$A67,0,IF(0=$A67,MAX(End_q,Floor_q),MAX(X67+Cost_round*IF(1&lt;=$B67,1,0)-C67,IF(1&lt;=$B67,1,0)*Pre_q)))</f>
        <v>535</v>
      </c>
      <c r="X67" s="14" t="n">
        <f aca="false">IF(1&gt;$A67,0,IF(1=$A67,MAX(End_q,Floor_q),MAX(Y67+Cost_round*IF(2&lt;=$B67,1,0)-D67,IF(2&lt;=$B67,1,0)*Pre_q,Floor_q)))</f>
        <v>485</v>
      </c>
      <c r="Y67" s="14" t="n">
        <f aca="false">IF(2&gt;$A67,0,IF(2=$A67,MAX(End_q,Floor_q),MAX(Z67+Cost_round*IF(3&lt;=$B67,1,0)-E67,IF(3&lt;=$B67,1,0)*Pre_q,Floor_q)))</f>
        <v>470</v>
      </c>
      <c r="Z67" s="14" t="n">
        <f aca="false">IF(3&gt;$A67,0,IF(3=$A67,MAX(End_q,Floor_q),MAX(AA67+Cost_round*IF(4&lt;=$B67,1,0)-F67,IF(4&lt;=$B67,1,0)*Pre_q,Floor_q)))</f>
        <v>350</v>
      </c>
      <c r="AA67" s="14" t="n">
        <f aca="false">IF(4&gt;$A67,0,IF(4=$A67,MAX(End_q,Floor_q),MAX(AB67+Cost_round*IF(5&lt;=$B67,1,0)-G67,IF(5&lt;=$B67,1,0)*Pre_q,Floor_q)))</f>
        <v>350</v>
      </c>
      <c r="AB67" s="14" t="n">
        <f aca="false">IF(5&gt;$A67,0,IF(5=$A67,MAX(End_q,Floor_q),MAX(AC67+Cost_round*IF(6&lt;=$B67,1,0)-H67,IF(6&lt;=$B67,1,0)*Pre_q,Floor_q)))</f>
        <v>350</v>
      </c>
      <c r="AC67" s="14" t="n">
        <f aca="false">IF(6&gt;$A67,0,IF(6=$A67,MAX(End_q,Floor_q),MAX(AD67+Cost_round*IF(7&lt;=$B67,1,0)-I67,IF(7&lt;=$B67,1,0)*Pre_q,Floor_q)))</f>
        <v>350</v>
      </c>
      <c r="AD67" s="14" t="n">
        <f aca="false">IF(7&gt;$A67,0,IF(7=$A67,MAX(End_q,Floor_q),MAX(AE67+Cost_round*IF(8&lt;=$B67,1,0)-J67,IF(8&lt;=$B67,1,0)*Pre_q,Floor_q)))</f>
        <v>470</v>
      </c>
      <c r="AE67" s="14" t="n">
        <f aca="false">IF(8&gt;$A67,0,IF(8=$A67,MAX(End_q,Floor_q),MAX(AF67+Cost_round*IF(9&lt;=$B67,1,0)-K67,IF(9&lt;=$B67,1,0)*Pre_q,Floor_q)))</f>
        <v>0</v>
      </c>
      <c r="AF67" s="14" t="n">
        <f aca="false">IF(9&gt;$A67,0,IF(9=$A67,MAX(End_q,Floor_q),MAX(AG67+Cost_round*IF(10&lt;=$B67,1,0)-L67,IF(10&lt;=$B67,1,0)*Pre_q,Floor_q)))</f>
        <v>0</v>
      </c>
      <c r="AG67" s="14" t="n">
        <f aca="false">IF(10&gt;$A67,0,IF(10=$A67,MAX(End_q,Floor_q),MAX(AH67+Cost_round*IF(11&lt;=$B67,1,0)-M67,IF(11&lt;=$B67,1,0)*Pre_q,Floor_q)))</f>
        <v>0</v>
      </c>
      <c r="AH67" s="14" t="n">
        <f aca="false">IF(11&gt;$A67,0,IF(11=$A67,MAX(End_q,Floor_q),MAX(AI67+Cost_round*IF(12&lt;=$B67,1,0)-N67,IF(12&lt;=$B67,1,0)*Pre_q,Floor_q)))</f>
        <v>0</v>
      </c>
      <c r="AI67" s="14" t="n">
        <f aca="false">IF(12&gt;$A67,0,IF(12=$A67,MAX(End_q,Floor_q),MAX(AJ67+Cost_round*IF(13&lt;=$B67,1,0)-O67,IF(13&lt;=$B67,1,0)*Pre_q,Floor_q)))</f>
        <v>0</v>
      </c>
      <c r="AJ67" s="14" t="n">
        <f aca="false">IF(13&gt;$A67,0,IF(13=$A67,MAX(End_q,Floor_q),MAX(AK67+Cost_round*IF(14&lt;=$B67,1,0)-P67,IF(14&lt;=$B67,1,0)*Pre_q,Floor_q)))</f>
        <v>0</v>
      </c>
      <c r="AK67" s="14" t="n">
        <f aca="false">IF(14&gt;$A67,0,IF(14=$A67,MAX(End_q,Floor_q),MAX(AL67+Cost_round*IF(15&lt;=$B67,1,0)-Q67,IF(15&lt;=$B67,1,0)*Pre_q,Floor_q)))</f>
        <v>0</v>
      </c>
      <c r="AL67" s="14" t="n">
        <f aca="false">IF(15&gt;$A67,0,IF(15=$A67,MAX(End_q,Floor_q),MAX(AM67+Cost_round*IF(16&lt;=$B67,1,0)-R67,IF(16&lt;=$B67,1,0)*Pre_q,Floor_q)))</f>
        <v>0</v>
      </c>
      <c r="AM67" s="14" t="n">
        <f aca="false">IF(16&gt;$A67,0,IF(16=$A67,MAX(End_q,Floor_q),MAX(AN67+Cost_round*IF(17&lt;=$B67,1,0)-S67,IF(17&lt;=$B67,1,0)*Pre_q,Floor_q)))</f>
        <v>0</v>
      </c>
      <c r="AN67" s="14" t="n">
        <f aca="false">IF(17&gt;$A67,0,IF(17=$A67,MAX(End_q,Floor_q),MAX(AO67+Cost_round*IF(18&lt;=$B67,1,0)-T67,IF(18&lt;=$B67,1,0)*Pre_q,Floor_q)))</f>
        <v>0</v>
      </c>
      <c r="AO67" s="14" t="n">
        <f aca="false">IF(18&gt;$A67,0,IF(18=$A67,MAX(End_q,Floor_q),MAX(AP67+Cost_round*IF(19&lt;=$B67,1,0)-U67,IF(19&lt;=$B67,1,0)*Pre_q,Floor_q)))</f>
        <v>0</v>
      </c>
      <c r="AP67" s="14" t="n">
        <f aca="false">IF(19&gt;$A67,0,IF(19=$A67,MAX(End_q,Floor_q),MAX(AQ67+Cost_round*IF(20&lt;=$B67,1,0)-V67,IF(20&lt;=$B67,1,0)*Pre_q,Floor_q)))</f>
        <v>0</v>
      </c>
      <c r="AQ67" s="14" t="n">
        <f aca="false">IF(20&gt;$A67,0,MAX(End_q,Floor_q))</f>
        <v>0</v>
      </c>
      <c r="AR67" s="15" t="n">
        <f aca="false">IF(Q_zero&gt;=W67-0.000000001,1,0)</f>
        <v>1</v>
      </c>
      <c r="AS67" s="14" t="n">
        <f aca="false">IF(1&gt;$A67,0,Q_zero-Cost_round*IF(1&lt;=$B67,1,0)+C67-X67)</f>
        <v>85</v>
      </c>
      <c r="AT67" s="14" t="n">
        <f aca="false">IF(2&gt;$A67,0,X67-Cost_round*IF(2&lt;=$B67,1,0)+D67-Y67)</f>
        <v>0</v>
      </c>
      <c r="AU67" s="14" t="n">
        <f aca="false">IF(3&gt;$A67,0,Y67-Cost_round*IF(3&lt;=$B67,1,0)+E67-Z67)</f>
        <v>122.5</v>
      </c>
      <c r="AV67" s="14" t="n">
        <f aca="false">IF(4&gt;$A67,0,Z67-Cost_round*IF(4&lt;=$B67,1,0)+F67-AA67)</f>
        <v>122.5</v>
      </c>
      <c r="AW67" s="14" t="n">
        <f aca="false">IF(5&gt;$A67,0,AA67-Cost_round*IF(5&lt;=$B67,1,0)+G67-AB67)</f>
        <v>122.5</v>
      </c>
      <c r="AX67" s="14" t="n">
        <f aca="false">IF(6&gt;$A67,0,AB67-Cost_round*IF(6&lt;=$B67,1,0)+H67-AC67)</f>
        <v>122.5</v>
      </c>
      <c r="AY67" s="14" t="n">
        <f aca="false">IF(7&gt;$A67,0,AC67-Cost_round*IF(7&lt;=$B67,1,0)+I67-AD67)</f>
        <v>2.5</v>
      </c>
      <c r="AZ67" s="14" t="n">
        <f aca="false">IF(8&gt;$A67,0,AD67-Cost_round*IF(8&lt;=$B67,1,0)+J67-AE67)</f>
        <v>0</v>
      </c>
      <c r="BA67" s="14" t="n">
        <f aca="false">IF(9&gt;$A67,0,AE67-Cost_round*IF(9&lt;=$B67,1,0)+K67-AF67)</f>
        <v>0</v>
      </c>
      <c r="BB67" s="14" t="n">
        <f aca="false">IF(10&gt;$A67,0,AF67-Cost_round*IF(10&lt;=$B67,1,0)+L67-AG67)</f>
        <v>0</v>
      </c>
      <c r="BC67" s="14" t="n">
        <f aca="false">IF(11&gt;$A67,0,AG67-Cost_round*IF(11&lt;=$B67,1,0)+M67-AH67)</f>
        <v>0</v>
      </c>
      <c r="BD67" s="14" t="n">
        <f aca="false">IF(12&gt;$A67,0,AH67-Cost_round*IF(12&lt;=$B67,1,0)+N67-AI67)</f>
        <v>0</v>
      </c>
      <c r="BE67" s="14" t="n">
        <f aca="false">IF(13&gt;$A67,0,AI67-Cost_round*IF(13&lt;=$B67,1,0)+O67-AJ67)</f>
        <v>0</v>
      </c>
      <c r="BF67" s="14" t="n">
        <f aca="false">IF(14&gt;$A67,0,AJ67-Cost_round*IF(14&lt;=$B67,1,0)+P67-AK67)</f>
        <v>0</v>
      </c>
      <c r="BG67" s="14" t="n">
        <f aca="false">IF(15&gt;$A67,0,AK67-Cost_round*IF(15&lt;=$B67,1,0)+Q67-AL67)</f>
        <v>0</v>
      </c>
      <c r="BH67" s="14" t="n">
        <f aca="false">IF(16&gt;$A67,0,AL67-Cost_round*IF(16&lt;=$B67,1,0)+R67-AM67)</f>
        <v>0</v>
      </c>
      <c r="BI67" s="14" t="n">
        <f aca="false">IF(17&gt;$A67,0,AM67-Cost_round*IF(17&lt;=$B67,1,0)+S67-AN67)</f>
        <v>0</v>
      </c>
      <c r="BJ67" s="14" t="n">
        <f aca="false">IF(18&gt;$A67,0,AN67-Cost_round*IF(18&lt;=$B67,1,0)+T67-AO67)</f>
        <v>0</v>
      </c>
      <c r="BK67" s="14" t="n">
        <f aca="false">IF(19&gt;$A67,0,AO67-Cost_round*IF(19&lt;=$B67,1,0)+U67-AP67)</f>
        <v>0</v>
      </c>
      <c r="BL67" s="14" t="n">
        <f aca="false">IF(20&gt;$A67,0,AP67-Cost_round*IF(20&lt;=$B67,1,0)+V67-AQ67)</f>
        <v>0</v>
      </c>
      <c r="BM67" s="17" t="n">
        <f aca="false">IF($AR67=1,SUMPRODUCT(AS67:BL67,$AS$38:$BL$38),"")</f>
        <v>399.471752467303</v>
      </c>
      <c r="BN67" s="17" t="n">
        <f aca="false">IF($AR67=1,BM67+INDEX($AS$38:$BL$38,$A67)*INDEX(C67:V67,$A67)/Hurdle_r,"")</f>
        <v>1028.09044729992</v>
      </c>
    </row>
    <row r="68" customFormat="false" ht="15" hidden="false" customHeight="false" outlineLevel="0" collapsed="false">
      <c r="A68" s="2" t="n">
        <v>7</v>
      </c>
      <c r="B68" s="2" t="n">
        <v>4</v>
      </c>
      <c r="C68" s="14" t="n">
        <f aca="false">IF(1&gt;$A68,0,Val_pt*(Ceiling_e-E_zero)*(1-(1-Half_gap)^MIN(1,$B68)))</f>
        <v>70</v>
      </c>
      <c r="D68" s="14" t="n">
        <f aca="false">IF(2&gt;$A68,0,Val_pt*(Ceiling_e-E_zero)*(1-(1-Half_gap)^MIN(2,$B68)))</f>
        <v>105</v>
      </c>
      <c r="E68" s="14" t="n">
        <f aca="false">IF(3&gt;$A68,0,Val_pt*(Ceiling_e-E_zero)*(1-(1-Half_gap)^MIN(3,$B68)))</f>
        <v>122.5</v>
      </c>
      <c r="F68" s="14" t="n">
        <f aca="false">IF(4&gt;$A68,0,Val_pt*(Ceiling_e-E_zero)*(1-(1-Half_gap)^MIN(4,$B68)))</f>
        <v>131.25</v>
      </c>
      <c r="G68" s="14" t="n">
        <f aca="false">IF(5&gt;$A68,0,Val_pt*(Ceiling_e-E_zero)*(1-(1-Half_gap)^MIN(5,$B68)))</f>
        <v>131.25</v>
      </c>
      <c r="H68" s="14" t="n">
        <f aca="false">IF(6&gt;$A68,0,Val_pt*(Ceiling_e-E_zero)*(1-(1-Half_gap)^MIN(6,$B68)))</f>
        <v>131.25</v>
      </c>
      <c r="I68" s="14" t="n">
        <f aca="false">IF(7&gt;$A68,0,Val_pt*(Ceiling_e-E_zero)*(1-(1-Half_gap)^MIN(7,$B68)))</f>
        <v>131.25</v>
      </c>
      <c r="J68" s="14" t="n">
        <f aca="false">IF(8&gt;$A68,0,Val_pt*(Ceiling_e-E_zero)*(1-(1-Half_gap)^MIN(8,$B68)))</f>
        <v>0</v>
      </c>
      <c r="K68" s="14" t="n">
        <f aca="false">IF(9&gt;$A68,0,Val_pt*(Ceiling_e-E_zero)*(1-(1-Half_gap)^MIN(9,$B68)))</f>
        <v>0</v>
      </c>
      <c r="L68" s="14" t="n">
        <f aca="false">IF(10&gt;$A68,0,Val_pt*(Ceiling_e-E_zero)*(1-(1-Half_gap)^MIN(10,$B68)))</f>
        <v>0</v>
      </c>
      <c r="M68" s="14" t="n">
        <f aca="false">IF(11&gt;$A68,0,Val_pt*(Ceiling_e-E_zero)*(1-(1-Half_gap)^MIN(11,$B68)))</f>
        <v>0</v>
      </c>
      <c r="N68" s="14" t="n">
        <f aca="false">IF(12&gt;$A68,0,Val_pt*(Ceiling_e-E_zero)*(1-(1-Half_gap)^MIN(12,$B68)))</f>
        <v>0</v>
      </c>
      <c r="O68" s="14" t="n">
        <f aca="false">IF(13&gt;$A68,0,Val_pt*(Ceiling_e-E_zero)*(1-(1-Half_gap)^MIN(13,$B68)))</f>
        <v>0</v>
      </c>
      <c r="P68" s="14" t="n">
        <f aca="false">IF(14&gt;$A68,0,Val_pt*(Ceiling_e-E_zero)*(1-(1-Half_gap)^MIN(14,$B68)))</f>
        <v>0</v>
      </c>
      <c r="Q68" s="14" t="n">
        <f aca="false">IF(15&gt;$A68,0,Val_pt*(Ceiling_e-E_zero)*(1-(1-Half_gap)^MIN(15,$B68)))</f>
        <v>0</v>
      </c>
      <c r="R68" s="14" t="n">
        <f aca="false">IF(16&gt;$A68,0,Val_pt*(Ceiling_e-E_zero)*(1-(1-Half_gap)^MIN(16,$B68)))</f>
        <v>0</v>
      </c>
      <c r="S68" s="14" t="n">
        <f aca="false">IF(17&gt;$A68,0,Val_pt*(Ceiling_e-E_zero)*(1-(1-Half_gap)^MIN(17,$B68)))</f>
        <v>0</v>
      </c>
      <c r="T68" s="14" t="n">
        <f aca="false">IF(18&gt;$A68,0,Val_pt*(Ceiling_e-E_zero)*(1-(1-Half_gap)^MIN(18,$B68)))</f>
        <v>0</v>
      </c>
      <c r="U68" s="14" t="n">
        <f aca="false">IF(19&gt;$A68,0,Val_pt*(Ceiling_e-E_zero)*(1-(1-Half_gap)^MIN(19,$B68)))</f>
        <v>0</v>
      </c>
      <c r="V68" s="14" t="n">
        <f aca="false">IF(20&gt;$A68,0,Val_pt*(Ceiling_e-E_zero)*(1-(1-Half_gap)^MIN(20,$B68)))</f>
        <v>0</v>
      </c>
      <c r="W68" s="14" t="n">
        <f aca="false">IF(0&gt;$A68,0,IF(0=$A68,MAX(End_q,Floor_q),MAX(X68+Cost_round*IF(1&lt;=$B68,1,0)-C68,IF(1&lt;=$B68,1,0)*Pre_q)))</f>
        <v>535</v>
      </c>
      <c r="X68" s="14" t="n">
        <f aca="false">IF(1&gt;$A68,0,IF(1=$A68,MAX(End_q,Floor_q),MAX(Y68+Cost_round*IF(2&lt;=$B68,1,0)-D68,IF(2&lt;=$B68,1,0)*Pre_q,Floor_q)))</f>
        <v>485</v>
      </c>
      <c r="Y68" s="14" t="n">
        <f aca="false">IF(2&gt;$A68,0,IF(2=$A68,MAX(End_q,Floor_q),MAX(Z68+Cost_round*IF(3&lt;=$B68,1,0)-E68,IF(3&lt;=$B68,1,0)*Pre_q,Floor_q)))</f>
        <v>470</v>
      </c>
      <c r="Z68" s="14" t="n">
        <f aca="false">IF(3&gt;$A68,0,IF(3=$A68,MAX(End_q,Floor_q),MAX(AA68+Cost_round*IF(4&lt;=$B68,1,0)-F68,IF(4&lt;=$B68,1,0)*Pre_q,Floor_q)))</f>
        <v>470</v>
      </c>
      <c r="AA68" s="14" t="n">
        <f aca="false">IF(4&gt;$A68,0,IF(4=$A68,MAX(End_q,Floor_q),MAX(AB68+Cost_round*IF(5&lt;=$B68,1,0)-G68,IF(5&lt;=$B68,1,0)*Pre_q,Floor_q)))</f>
        <v>350</v>
      </c>
      <c r="AB68" s="14" t="n">
        <f aca="false">IF(5&gt;$A68,0,IF(5=$A68,MAX(End_q,Floor_q),MAX(AC68+Cost_round*IF(6&lt;=$B68,1,0)-H68,IF(6&lt;=$B68,1,0)*Pre_q,Floor_q)))</f>
        <v>350</v>
      </c>
      <c r="AC68" s="14" t="n">
        <f aca="false">IF(6&gt;$A68,0,IF(6=$A68,MAX(End_q,Floor_q),MAX(AD68+Cost_round*IF(7&lt;=$B68,1,0)-I68,IF(7&lt;=$B68,1,0)*Pre_q,Floor_q)))</f>
        <v>350</v>
      </c>
      <c r="AD68" s="14" t="n">
        <f aca="false">IF(7&gt;$A68,0,IF(7=$A68,MAX(End_q,Floor_q),MAX(AE68+Cost_round*IF(8&lt;=$B68,1,0)-J68,IF(8&lt;=$B68,1,0)*Pre_q,Floor_q)))</f>
        <v>470</v>
      </c>
      <c r="AE68" s="14" t="n">
        <f aca="false">IF(8&gt;$A68,0,IF(8=$A68,MAX(End_q,Floor_q),MAX(AF68+Cost_round*IF(9&lt;=$B68,1,0)-K68,IF(9&lt;=$B68,1,0)*Pre_q,Floor_q)))</f>
        <v>0</v>
      </c>
      <c r="AF68" s="14" t="n">
        <f aca="false">IF(9&gt;$A68,0,IF(9=$A68,MAX(End_q,Floor_q),MAX(AG68+Cost_round*IF(10&lt;=$B68,1,0)-L68,IF(10&lt;=$B68,1,0)*Pre_q,Floor_q)))</f>
        <v>0</v>
      </c>
      <c r="AG68" s="14" t="n">
        <f aca="false">IF(10&gt;$A68,0,IF(10=$A68,MAX(End_q,Floor_q),MAX(AH68+Cost_round*IF(11&lt;=$B68,1,0)-M68,IF(11&lt;=$B68,1,0)*Pre_q,Floor_q)))</f>
        <v>0</v>
      </c>
      <c r="AH68" s="14" t="n">
        <f aca="false">IF(11&gt;$A68,0,IF(11=$A68,MAX(End_q,Floor_q),MAX(AI68+Cost_round*IF(12&lt;=$B68,1,0)-N68,IF(12&lt;=$B68,1,0)*Pre_q,Floor_q)))</f>
        <v>0</v>
      </c>
      <c r="AI68" s="14" t="n">
        <f aca="false">IF(12&gt;$A68,0,IF(12=$A68,MAX(End_q,Floor_q),MAX(AJ68+Cost_round*IF(13&lt;=$B68,1,0)-O68,IF(13&lt;=$B68,1,0)*Pre_q,Floor_q)))</f>
        <v>0</v>
      </c>
      <c r="AJ68" s="14" t="n">
        <f aca="false">IF(13&gt;$A68,0,IF(13=$A68,MAX(End_q,Floor_q),MAX(AK68+Cost_round*IF(14&lt;=$B68,1,0)-P68,IF(14&lt;=$B68,1,0)*Pre_q,Floor_q)))</f>
        <v>0</v>
      </c>
      <c r="AK68" s="14" t="n">
        <f aca="false">IF(14&gt;$A68,0,IF(14=$A68,MAX(End_q,Floor_q),MAX(AL68+Cost_round*IF(15&lt;=$B68,1,0)-Q68,IF(15&lt;=$B68,1,0)*Pre_q,Floor_q)))</f>
        <v>0</v>
      </c>
      <c r="AL68" s="14" t="n">
        <f aca="false">IF(15&gt;$A68,0,IF(15=$A68,MAX(End_q,Floor_q),MAX(AM68+Cost_round*IF(16&lt;=$B68,1,0)-R68,IF(16&lt;=$B68,1,0)*Pre_q,Floor_q)))</f>
        <v>0</v>
      </c>
      <c r="AM68" s="14" t="n">
        <f aca="false">IF(16&gt;$A68,0,IF(16=$A68,MAX(End_q,Floor_q),MAX(AN68+Cost_round*IF(17&lt;=$B68,1,0)-S68,IF(17&lt;=$B68,1,0)*Pre_q,Floor_q)))</f>
        <v>0</v>
      </c>
      <c r="AN68" s="14" t="n">
        <f aca="false">IF(17&gt;$A68,0,IF(17=$A68,MAX(End_q,Floor_q),MAX(AO68+Cost_round*IF(18&lt;=$B68,1,0)-T68,IF(18&lt;=$B68,1,0)*Pre_q,Floor_q)))</f>
        <v>0</v>
      </c>
      <c r="AO68" s="14" t="n">
        <f aca="false">IF(18&gt;$A68,0,IF(18=$A68,MAX(End_q,Floor_q),MAX(AP68+Cost_round*IF(19&lt;=$B68,1,0)-U68,IF(19&lt;=$B68,1,0)*Pre_q,Floor_q)))</f>
        <v>0</v>
      </c>
      <c r="AP68" s="14" t="n">
        <f aca="false">IF(19&gt;$A68,0,IF(19=$A68,MAX(End_q,Floor_q),MAX(AQ68+Cost_round*IF(20&lt;=$B68,1,0)-V68,IF(20&lt;=$B68,1,0)*Pre_q,Floor_q)))</f>
        <v>0</v>
      </c>
      <c r="AQ68" s="14" t="n">
        <f aca="false">IF(20&gt;$A68,0,MAX(End_q,Floor_q))</f>
        <v>0</v>
      </c>
      <c r="AR68" s="15" t="n">
        <f aca="false">IF(Q_zero&gt;=W68-0.000000001,1,0)</f>
        <v>1</v>
      </c>
      <c r="AS68" s="14" t="n">
        <f aca="false">IF(1&gt;$A68,0,Q_zero-Cost_round*IF(1&lt;=$B68,1,0)+C68-X68)</f>
        <v>85</v>
      </c>
      <c r="AT68" s="14" t="n">
        <f aca="false">IF(2&gt;$A68,0,X68-Cost_round*IF(2&lt;=$B68,1,0)+D68-Y68)</f>
        <v>0</v>
      </c>
      <c r="AU68" s="14" t="n">
        <f aca="false">IF(3&gt;$A68,0,Y68-Cost_round*IF(3&lt;=$B68,1,0)+E68-Z68)</f>
        <v>2.5</v>
      </c>
      <c r="AV68" s="14" t="n">
        <f aca="false">IF(4&gt;$A68,0,Z68-Cost_round*IF(4&lt;=$B68,1,0)+F68-AA68)</f>
        <v>131.25</v>
      </c>
      <c r="AW68" s="14" t="n">
        <f aca="false">IF(5&gt;$A68,0,AA68-Cost_round*IF(5&lt;=$B68,1,0)+G68-AB68)</f>
        <v>131.25</v>
      </c>
      <c r="AX68" s="14" t="n">
        <f aca="false">IF(6&gt;$A68,0,AB68-Cost_round*IF(6&lt;=$B68,1,0)+H68-AC68)</f>
        <v>131.25</v>
      </c>
      <c r="AY68" s="14" t="n">
        <f aca="false">IF(7&gt;$A68,0,AC68-Cost_round*IF(7&lt;=$B68,1,0)+I68-AD68)</f>
        <v>11.25</v>
      </c>
      <c r="AZ68" s="14" t="n">
        <f aca="false">IF(8&gt;$A68,0,AD68-Cost_round*IF(8&lt;=$B68,1,0)+J68-AE68)</f>
        <v>0</v>
      </c>
      <c r="BA68" s="14" t="n">
        <f aca="false">IF(9&gt;$A68,0,AE68-Cost_round*IF(9&lt;=$B68,1,0)+K68-AF68)</f>
        <v>0</v>
      </c>
      <c r="BB68" s="14" t="n">
        <f aca="false">IF(10&gt;$A68,0,AF68-Cost_round*IF(10&lt;=$B68,1,0)+L68-AG68)</f>
        <v>0</v>
      </c>
      <c r="BC68" s="14" t="n">
        <f aca="false">IF(11&gt;$A68,0,AG68-Cost_round*IF(11&lt;=$B68,1,0)+M68-AH68)</f>
        <v>0</v>
      </c>
      <c r="BD68" s="14" t="n">
        <f aca="false">IF(12&gt;$A68,0,AH68-Cost_round*IF(12&lt;=$B68,1,0)+N68-AI68)</f>
        <v>0</v>
      </c>
      <c r="BE68" s="14" t="n">
        <f aca="false">IF(13&gt;$A68,0,AI68-Cost_round*IF(13&lt;=$B68,1,0)+O68-AJ68)</f>
        <v>0</v>
      </c>
      <c r="BF68" s="14" t="n">
        <f aca="false">IF(14&gt;$A68,0,AJ68-Cost_round*IF(14&lt;=$B68,1,0)+P68-AK68)</f>
        <v>0</v>
      </c>
      <c r="BG68" s="14" t="n">
        <f aca="false">IF(15&gt;$A68,0,AK68-Cost_round*IF(15&lt;=$B68,1,0)+Q68-AL68)</f>
        <v>0</v>
      </c>
      <c r="BH68" s="14" t="n">
        <f aca="false">IF(16&gt;$A68,0,AL68-Cost_round*IF(16&lt;=$B68,1,0)+R68-AM68)</f>
        <v>0</v>
      </c>
      <c r="BI68" s="14" t="n">
        <f aca="false">IF(17&gt;$A68,0,AM68-Cost_round*IF(17&lt;=$B68,1,0)+S68-AN68)</f>
        <v>0</v>
      </c>
      <c r="BJ68" s="14" t="n">
        <f aca="false">IF(18&gt;$A68,0,AN68-Cost_round*IF(18&lt;=$B68,1,0)+T68-AO68)</f>
        <v>0</v>
      </c>
      <c r="BK68" s="14" t="n">
        <f aca="false">IF(19&gt;$A68,0,AO68-Cost_round*IF(19&lt;=$B68,1,0)+U68-AP68)</f>
        <v>0</v>
      </c>
      <c r="BL68" s="14" t="n">
        <f aca="false">IF(20&gt;$A68,0,AP68-Cost_round*IF(20&lt;=$B68,1,0)+V68-AQ68)</f>
        <v>0</v>
      </c>
      <c r="BM68" s="17" t="n">
        <f aca="false">IF($AR68=1,SUMPRODUCT(AS68:BL68,$AS$38:$BL$38),"")</f>
        <v>330.152686092815</v>
      </c>
      <c r="BN68" s="17" t="n">
        <f aca="false">IF($AR68=1,BM68+INDEX($AS$38:$BL$38,$A68)*INDEX(C68:V68,$A68)/Hurdle_r,"")</f>
        <v>1003.67271627062</v>
      </c>
    </row>
    <row r="69" customFormat="false" ht="15" hidden="false" customHeight="false" outlineLevel="0" collapsed="false">
      <c r="A69" s="2" t="n">
        <v>8</v>
      </c>
      <c r="B69" s="2" t="n">
        <v>0</v>
      </c>
      <c r="C69" s="14" t="n">
        <f aca="false">IF(1&gt;$A69,0,Val_pt*(Ceiling_e-E_zero)*(1-(1-Half_gap)^MIN(1,$B69)))</f>
        <v>0</v>
      </c>
      <c r="D69" s="14" t="n">
        <f aca="false">IF(2&gt;$A69,0,Val_pt*(Ceiling_e-E_zero)*(1-(1-Half_gap)^MIN(2,$B69)))</f>
        <v>0</v>
      </c>
      <c r="E69" s="14" t="n">
        <f aca="false">IF(3&gt;$A69,0,Val_pt*(Ceiling_e-E_zero)*(1-(1-Half_gap)^MIN(3,$B69)))</f>
        <v>0</v>
      </c>
      <c r="F69" s="14" t="n">
        <f aca="false">IF(4&gt;$A69,0,Val_pt*(Ceiling_e-E_zero)*(1-(1-Half_gap)^MIN(4,$B69)))</f>
        <v>0</v>
      </c>
      <c r="G69" s="14" t="n">
        <f aca="false">IF(5&gt;$A69,0,Val_pt*(Ceiling_e-E_zero)*(1-(1-Half_gap)^MIN(5,$B69)))</f>
        <v>0</v>
      </c>
      <c r="H69" s="14" t="n">
        <f aca="false">IF(6&gt;$A69,0,Val_pt*(Ceiling_e-E_zero)*(1-(1-Half_gap)^MIN(6,$B69)))</f>
        <v>0</v>
      </c>
      <c r="I69" s="14" t="n">
        <f aca="false">IF(7&gt;$A69,0,Val_pt*(Ceiling_e-E_zero)*(1-(1-Half_gap)^MIN(7,$B69)))</f>
        <v>0</v>
      </c>
      <c r="J69" s="14" t="n">
        <f aca="false">IF(8&gt;$A69,0,Val_pt*(Ceiling_e-E_zero)*(1-(1-Half_gap)^MIN(8,$B69)))</f>
        <v>0</v>
      </c>
      <c r="K69" s="14" t="n">
        <f aca="false">IF(9&gt;$A69,0,Val_pt*(Ceiling_e-E_zero)*(1-(1-Half_gap)^MIN(9,$B69)))</f>
        <v>0</v>
      </c>
      <c r="L69" s="14" t="n">
        <f aca="false">IF(10&gt;$A69,0,Val_pt*(Ceiling_e-E_zero)*(1-(1-Half_gap)^MIN(10,$B69)))</f>
        <v>0</v>
      </c>
      <c r="M69" s="14" t="n">
        <f aca="false">IF(11&gt;$A69,0,Val_pt*(Ceiling_e-E_zero)*(1-(1-Half_gap)^MIN(11,$B69)))</f>
        <v>0</v>
      </c>
      <c r="N69" s="14" t="n">
        <f aca="false">IF(12&gt;$A69,0,Val_pt*(Ceiling_e-E_zero)*(1-(1-Half_gap)^MIN(12,$B69)))</f>
        <v>0</v>
      </c>
      <c r="O69" s="14" t="n">
        <f aca="false">IF(13&gt;$A69,0,Val_pt*(Ceiling_e-E_zero)*(1-(1-Half_gap)^MIN(13,$B69)))</f>
        <v>0</v>
      </c>
      <c r="P69" s="14" t="n">
        <f aca="false">IF(14&gt;$A69,0,Val_pt*(Ceiling_e-E_zero)*(1-(1-Half_gap)^MIN(14,$B69)))</f>
        <v>0</v>
      </c>
      <c r="Q69" s="14" t="n">
        <f aca="false">IF(15&gt;$A69,0,Val_pt*(Ceiling_e-E_zero)*(1-(1-Half_gap)^MIN(15,$B69)))</f>
        <v>0</v>
      </c>
      <c r="R69" s="14" t="n">
        <f aca="false">IF(16&gt;$A69,0,Val_pt*(Ceiling_e-E_zero)*(1-(1-Half_gap)^MIN(16,$B69)))</f>
        <v>0</v>
      </c>
      <c r="S69" s="14" t="n">
        <f aca="false">IF(17&gt;$A69,0,Val_pt*(Ceiling_e-E_zero)*(1-(1-Half_gap)^MIN(17,$B69)))</f>
        <v>0</v>
      </c>
      <c r="T69" s="14" t="n">
        <f aca="false">IF(18&gt;$A69,0,Val_pt*(Ceiling_e-E_zero)*(1-(1-Half_gap)^MIN(18,$B69)))</f>
        <v>0</v>
      </c>
      <c r="U69" s="14" t="n">
        <f aca="false">IF(19&gt;$A69,0,Val_pt*(Ceiling_e-E_zero)*(1-(1-Half_gap)^MIN(19,$B69)))</f>
        <v>0</v>
      </c>
      <c r="V69" s="14" t="n">
        <f aca="false">IF(20&gt;$A69,0,Val_pt*(Ceiling_e-E_zero)*(1-(1-Half_gap)^MIN(20,$B69)))</f>
        <v>0</v>
      </c>
      <c r="W69" s="14" t="n">
        <f aca="false">IF(0&gt;$A69,0,IF(0=$A69,MAX(End_q,Floor_q),MAX(X69+Cost_round*IF(1&lt;=$B69,1,0)-C69,IF(1&lt;=$B69,1,0)*Pre_q)))</f>
        <v>470</v>
      </c>
      <c r="X69" s="14" t="n">
        <f aca="false">IF(1&gt;$A69,0,IF(1=$A69,MAX(End_q,Floor_q),MAX(Y69+Cost_round*IF(2&lt;=$B69,1,0)-D69,IF(2&lt;=$B69,1,0)*Pre_q,Floor_q)))</f>
        <v>470</v>
      </c>
      <c r="Y69" s="14" t="n">
        <f aca="false">IF(2&gt;$A69,0,IF(2=$A69,MAX(End_q,Floor_q),MAX(Z69+Cost_round*IF(3&lt;=$B69,1,0)-E69,IF(3&lt;=$B69,1,0)*Pre_q,Floor_q)))</f>
        <v>470</v>
      </c>
      <c r="Z69" s="14" t="n">
        <f aca="false">IF(3&gt;$A69,0,IF(3=$A69,MAX(End_q,Floor_q),MAX(AA69+Cost_round*IF(4&lt;=$B69,1,0)-F69,IF(4&lt;=$B69,1,0)*Pre_q,Floor_q)))</f>
        <v>470</v>
      </c>
      <c r="AA69" s="14" t="n">
        <f aca="false">IF(4&gt;$A69,0,IF(4=$A69,MAX(End_q,Floor_q),MAX(AB69+Cost_round*IF(5&lt;=$B69,1,0)-G69,IF(5&lt;=$B69,1,0)*Pre_q,Floor_q)))</f>
        <v>470</v>
      </c>
      <c r="AB69" s="14" t="n">
        <f aca="false">IF(5&gt;$A69,0,IF(5=$A69,MAX(End_q,Floor_q),MAX(AC69+Cost_round*IF(6&lt;=$B69,1,0)-H69,IF(6&lt;=$B69,1,0)*Pre_q,Floor_q)))</f>
        <v>470</v>
      </c>
      <c r="AC69" s="14" t="n">
        <f aca="false">IF(6&gt;$A69,0,IF(6=$A69,MAX(End_q,Floor_q),MAX(AD69+Cost_round*IF(7&lt;=$B69,1,0)-I69,IF(7&lt;=$B69,1,0)*Pre_q,Floor_q)))</f>
        <v>470</v>
      </c>
      <c r="AD69" s="14" t="n">
        <f aca="false">IF(7&gt;$A69,0,IF(7=$A69,MAX(End_q,Floor_q),MAX(AE69+Cost_round*IF(8&lt;=$B69,1,0)-J69,IF(8&lt;=$B69,1,0)*Pre_q,Floor_q)))</f>
        <v>470</v>
      </c>
      <c r="AE69" s="14" t="n">
        <f aca="false">IF(8&gt;$A69,0,IF(8=$A69,MAX(End_q,Floor_q),MAX(AF69+Cost_round*IF(9&lt;=$B69,1,0)-K69,IF(9&lt;=$B69,1,0)*Pre_q,Floor_q)))</f>
        <v>470</v>
      </c>
      <c r="AF69" s="14" t="n">
        <f aca="false">IF(9&gt;$A69,0,IF(9=$A69,MAX(End_q,Floor_q),MAX(AG69+Cost_round*IF(10&lt;=$B69,1,0)-L69,IF(10&lt;=$B69,1,0)*Pre_q,Floor_q)))</f>
        <v>0</v>
      </c>
      <c r="AG69" s="14" t="n">
        <f aca="false">IF(10&gt;$A69,0,IF(10=$A69,MAX(End_q,Floor_q),MAX(AH69+Cost_round*IF(11&lt;=$B69,1,0)-M69,IF(11&lt;=$B69,1,0)*Pre_q,Floor_q)))</f>
        <v>0</v>
      </c>
      <c r="AH69" s="14" t="n">
        <f aca="false">IF(11&gt;$A69,0,IF(11=$A69,MAX(End_q,Floor_q),MAX(AI69+Cost_round*IF(12&lt;=$B69,1,0)-N69,IF(12&lt;=$B69,1,0)*Pre_q,Floor_q)))</f>
        <v>0</v>
      </c>
      <c r="AI69" s="14" t="n">
        <f aca="false">IF(12&gt;$A69,0,IF(12=$A69,MAX(End_q,Floor_q),MAX(AJ69+Cost_round*IF(13&lt;=$B69,1,0)-O69,IF(13&lt;=$B69,1,0)*Pre_q,Floor_q)))</f>
        <v>0</v>
      </c>
      <c r="AJ69" s="14" t="n">
        <f aca="false">IF(13&gt;$A69,0,IF(13=$A69,MAX(End_q,Floor_q),MAX(AK69+Cost_round*IF(14&lt;=$B69,1,0)-P69,IF(14&lt;=$B69,1,0)*Pre_q,Floor_q)))</f>
        <v>0</v>
      </c>
      <c r="AK69" s="14" t="n">
        <f aca="false">IF(14&gt;$A69,0,IF(14=$A69,MAX(End_q,Floor_q),MAX(AL69+Cost_round*IF(15&lt;=$B69,1,0)-Q69,IF(15&lt;=$B69,1,0)*Pre_q,Floor_q)))</f>
        <v>0</v>
      </c>
      <c r="AL69" s="14" t="n">
        <f aca="false">IF(15&gt;$A69,0,IF(15=$A69,MAX(End_q,Floor_q),MAX(AM69+Cost_round*IF(16&lt;=$B69,1,0)-R69,IF(16&lt;=$B69,1,0)*Pre_q,Floor_q)))</f>
        <v>0</v>
      </c>
      <c r="AM69" s="14" t="n">
        <f aca="false">IF(16&gt;$A69,0,IF(16=$A69,MAX(End_q,Floor_q),MAX(AN69+Cost_round*IF(17&lt;=$B69,1,0)-S69,IF(17&lt;=$B69,1,0)*Pre_q,Floor_q)))</f>
        <v>0</v>
      </c>
      <c r="AN69" s="14" t="n">
        <f aca="false">IF(17&gt;$A69,0,IF(17=$A69,MAX(End_q,Floor_q),MAX(AO69+Cost_round*IF(18&lt;=$B69,1,0)-T69,IF(18&lt;=$B69,1,0)*Pre_q,Floor_q)))</f>
        <v>0</v>
      </c>
      <c r="AO69" s="14" t="n">
        <f aca="false">IF(18&gt;$A69,0,IF(18=$A69,MAX(End_q,Floor_q),MAX(AP69+Cost_round*IF(19&lt;=$B69,1,0)-U69,IF(19&lt;=$B69,1,0)*Pre_q,Floor_q)))</f>
        <v>0</v>
      </c>
      <c r="AP69" s="14" t="n">
        <f aca="false">IF(19&gt;$A69,0,IF(19=$A69,MAX(End_q,Floor_q),MAX(AQ69+Cost_round*IF(20&lt;=$B69,1,0)-V69,IF(20&lt;=$B69,1,0)*Pre_q,Floor_q)))</f>
        <v>0</v>
      </c>
      <c r="AQ69" s="14" t="n">
        <f aca="false">IF(20&gt;$A69,0,MAX(End_q,Floor_q))</f>
        <v>0</v>
      </c>
      <c r="AR69" s="15" t="n">
        <f aca="false">IF(Q_zero&gt;=W69-0.000000001,1,0)</f>
        <v>1</v>
      </c>
      <c r="AS69" s="14" t="n">
        <f aca="false">IF(1&gt;$A69,0,Q_zero-Cost_round*IF(1&lt;=$B69,1,0)+C69-X69)</f>
        <v>150</v>
      </c>
      <c r="AT69" s="14" t="n">
        <f aca="false">IF(2&gt;$A69,0,X69-Cost_round*IF(2&lt;=$B69,1,0)+D69-Y69)</f>
        <v>0</v>
      </c>
      <c r="AU69" s="14" t="n">
        <f aca="false">IF(3&gt;$A69,0,Y69-Cost_round*IF(3&lt;=$B69,1,0)+E69-Z69)</f>
        <v>0</v>
      </c>
      <c r="AV69" s="14" t="n">
        <f aca="false">IF(4&gt;$A69,0,Z69-Cost_round*IF(4&lt;=$B69,1,0)+F69-AA69)</f>
        <v>0</v>
      </c>
      <c r="AW69" s="14" t="n">
        <f aca="false">IF(5&gt;$A69,0,AA69-Cost_round*IF(5&lt;=$B69,1,0)+G69-AB69)</f>
        <v>0</v>
      </c>
      <c r="AX69" s="14" t="n">
        <f aca="false">IF(6&gt;$A69,0,AB69-Cost_round*IF(6&lt;=$B69,1,0)+H69-AC69)</f>
        <v>0</v>
      </c>
      <c r="AY69" s="14" t="n">
        <f aca="false">IF(7&gt;$A69,0,AC69-Cost_round*IF(7&lt;=$B69,1,0)+I69-AD69)</f>
        <v>0</v>
      </c>
      <c r="AZ69" s="14" t="n">
        <f aca="false">IF(8&gt;$A69,0,AD69-Cost_round*IF(8&lt;=$B69,1,0)+J69-AE69)</f>
        <v>0</v>
      </c>
      <c r="BA69" s="14" t="n">
        <f aca="false">IF(9&gt;$A69,0,AE69-Cost_round*IF(9&lt;=$B69,1,0)+K69-AF69)</f>
        <v>0</v>
      </c>
      <c r="BB69" s="14" t="n">
        <f aca="false">IF(10&gt;$A69,0,AF69-Cost_round*IF(10&lt;=$B69,1,0)+L69-AG69)</f>
        <v>0</v>
      </c>
      <c r="BC69" s="14" t="n">
        <f aca="false">IF(11&gt;$A69,0,AG69-Cost_round*IF(11&lt;=$B69,1,0)+M69-AH69)</f>
        <v>0</v>
      </c>
      <c r="BD69" s="14" t="n">
        <f aca="false">IF(12&gt;$A69,0,AH69-Cost_round*IF(12&lt;=$B69,1,0)+N69-AI69)</f>
        <v>0</v>
      </c>
      <c r="BE69" s="14" t="n">
        <f aca="false">IF(13&gt;$A69,0,AI69-Cost_round*IF(13&lt;=$B69,1,0)+O69-AJ69)</f>
        <v>0</v>
      </c>
      <c r="BF69" s="14" t="n">
        <f aca="false">IF(14&gt;$A69,0,AJ69-Cost_round*IF(14&lt;=$B69,1,0)+P69-AK69)</f>
        <v>0</v>
      </c>
      <c r="BG69" s="14" t="n">
        <f aca="false">IF(15&gt;$A69,0,AK69-Cost_round*IF(15&lt;=$B69,1,0)+Q69-AL69)</f>
        <v>0</v>
      </c>
      <c r="BH69" s="14" t="n">
        <f aca="false">IF(16&gt;$A69,0,AL69-Cost_round*IF(16&lt;=$B69,1,0)+R69-AM69)</f>
        <v>0</v>
      </c>
      <c r="BI69" s="14" t="n">
        <f aca="false">IF(17&gt;$A69,0,AM69-Cost_round*IF(17&lt;=$B69,1,0)+S69-AN69)</f>
        <v>0</v>
      </c>
      <c r="BJ69" s="14" t="n">
        <f aca="false">IF(18&gt;$A69,0,AN69-Cost_round*IF(18&lt;=$B69,1,0)+T69-AO69)</f>
        <v>0</v>
      </c>
      <c r="BK69" s="14" t="n">
        <f aca="false">IF(19&gt;$A69,0,AO69-Cost_round*IF(19&lt;=$B69,1,0)+U69-AP69)</f>
        <v>0</v>
      </c>
      <c r="BL69" s="14" t="n">
        <f aca="false">IF(20&gt;$A69,0,AP69-Cost_round*IF(20&lt;=$B69,1,0)+V69-AQ69)</f>
        <v>0</v>
      </c>
      <c r="BM69" s="17" t="n">
        <f aca="false">IF($AR69=1,SUMPRODUCT(AS69:BL69,$AS$38:$BL$38),"")</f>
        <v>136.363636363636</v>
      </c>
      <c r="BN69" s="17" t="n">
        <f aca="false">IF($AR69=1,BM69+INDEX($AS$38:$BL$38,$A69)*INDEX(C69:V69,$A69)/Hurdle_r,"")</f>
        <v>136.363636363636</v>
      </c>
    </row>
    <row r="70" customFormat="false" ht="15" hidden="false" customHeight="false" outlineLevel="0" collapsed="false">
      <c r="A70" s="2" t="n">
        <v>8</v>
      </c>
      <c r="B70" s="2" t="n">
        <v>1</v>
      </c>
      <c r="C70" s="14" t="n">
        <f aca="false">IF(1&gt;$A70,0,Val_pt*(Ceiling_e-E_zero)*(1-(1-Half_gap)^MIN(1,$B70)))</f>
        <v>70</v>
      </c>
      <c r="D70" s="14" t="n">
        <f aca="false">IF(2&gt;$A70,0,Val_pt*(Ceiling_e-E_zero)*(1-(1-Half_gap)^MIN(2,$B70)))</f>
        <v>70</v>
      </c>
      <c r="E70" s="14" t="n">
        <f aca="false">IF(3&gt;$A70,0,Val_pt*(Ceiling_e-E_zero)*(1-(1-Half_gap)^MIN(3,$B70)))</f>
        <v>70</v>
      </c>
      <c r="F70" s="14" t="n">
        <f aca="false">IF(4&gt;$A70,0,Val_pt*(Ceiling_e-E_zero)*(1-(1-Half_gap)^MIN(4,$B70)))</f>
        <v>70</v>
      </c>
      <c r="G70" s="14" t="n">
        <f aca="false">IF(5&gt;$A70,0,Val_pt*(Ceiling_e-E_zero)*(1-(1-Half_gap)^MIN(5,$B70)))</f>
        <v>70</v>
      </c>
      <c r="H70" s="14" t="n">
        <f aca="false">IF(6&gt;$A70,0,Val_pt*(Ceiling_e-E_zero)*(1-(1-Half_gap)^MIN(6,$B70)))</f>
        <v>70</v>
      </c>
      <c r="I70" s="14" t="n">
        <f aca="false">IF(7&gt;$A70,0,Val_pt*(Ceiling_e-E_zero)*(1-(1-Half_gap)^MIN(7,$B70)))</f>
        <v>70</v>
      </c>
      <c r="J70" s="14" t="n">
        <f aca="false">IF(8&gt;$A70,0,Val_pt*(Ceiling_e-E_zero)*(1-(1-Half_gap)^MIN(8,$B70)))</f>
        <v>70</v>
      </c>
      <c r="K70" s="14" t="n">
        <f aca="false">IF(9&gt;$A70,0,Val_pt*(Ceiling_e-E_zero)*(1-(1-Half_gap)^MIN(9,$B70)))</f>
        <v>0</v>
      </c>
      <c r="L70" s="14" t="n">
        <f aca="false">IF(10&gt;$A70,0,Val_pt*(Ceiling_e-E_zero)*(1-(1-Half_gap)^MIN(10,$B70)))</f>
        <v>0</v>
      </c>
      <c r="M70" s="14" t="n">
        <f aca="false">IF(11&gt;$A70,0,Val_pt*(Ceiling_e-E_zero)*(1-(1-Half_gap)^MIN(11,$B70)))</f>
        <v>0</v>
      </c>
      <c r="N70" s="14" t="n">
        <f aca="false">IF(12&gt;$A70,0,Val_pt*(Ceiling_e-E_zero)*(1-(1-Half_gap)^MIN(12,$B70)))</f>
        <v>0</v>
      </c>
      <c r="O70" s="14" t="n">
        <f aca="false">IF(13&gt;$A70,0,Val_pt*(Ceiling_e-E_zero)*(1-(1-Half_gap)^MIN(13,$B70)))</f>
        <v>0</v>
      </c>
      <c r="P70" s="14" t="n">
        <f aca="false">IF(14&gt;$A70,0,Val_pt*(Ceiling_e-E_zero)*(1-(1-Half_gap)^MIN(14,$B70)))</f>
        <v>0</v>
      </c>
      <c r="Q70" s="14" t="n">
        <f aca="false">IF(15&gt;$A70,0,Val_pt*(Ceiling_e-E_zero)*(1-(1-Half_gap)^MIN(15,$B70)))</f>
        <v>0</v>
      </c>
      <c r="R70" s="14" t="n">
        <f aca="false">IF(16&gt;$A70,0,Val_pt*(Ceiling_e-E_zero)*(1-(1-Half_gap)^MIN(16,$B70)))</f>
        <v>0</v>
      </c>
      <c r="S70" s="14" t="n">
        <f aca="false">IF(17&gt;$A70,0,Val_pt*(Ceiling_e-E_zero)*(1-(1-Half_gap)^MIN(17,$B70)))</f>
        <v>0</v>
      </c>
      <c r="T70" s="14" t="n">
        <f aca="false">IF(18&gt;$A70,0,Val_pt*(Ceiling_e-E_zero)*(1-(1-Half_gap)^MIN(18,$B70)))</f>
        <v>0</v>
      </c>
      <c r="U70" s="14" t="n">
        <f aca="false">IF(19&gt;$A70,0,Val_pt*(Ceiling_e-E_zero)*(1-(1-Half_gap)^MIN(19,$B70)))</f>
        <v>0</v>
      </c>
      <c r="V70" s="14" t="n">
        <f aca="false">IF(20&gt;$A70,0,Val_pt*(Ceiling_e-E_zero)*(1-(1-Half_gap)^MIN(20,$B70)))</f>
        <v>0</v>
      </c>
      <c r="W70" s="14" t="n">
        <f aca="false">IF(0&gt;$A70,0,IF(0=$A70,MAX(End_q,Floor_q),MAX(X70+Cost_round*IF(1&lt;=$B70,1,0)-C70,IF(1&lt;=$B70,1,0)*Pre_q)))</f>
        <v>470</v>
      </c>
      <c r="X70" s="14" t="n">
        <f aca="false">IF(1&gt;$A70,0,IF(1=$A70,MAX(End_q,Floor_q),MAX(Y70+Cost_round*IF(2&lt;=$B70,1,0)-D70,IF(2&lt;=$B70,1,0)*Pre_q,Floor_q)))</f>
        <v>350</v>
      </c>
      <c r="Y70" s="14" t="n">
        <f aca="false">IF(2&gt;$A70,0,IF(2=$A70,MAX(End_q,Floor_q),MAX(Z70+Cost_round*IF(3&lt;=$B70,1,0)-E70,IF(3&lt;=$B70,1,0)*Pre_q,Floor_q)))</f>
        <v>350</v>
      </c>
      <c r="Z70" s="14" t="n">
        <f aca="false">IF(3&gt;$A70,0,IF(3=$A70,MAX(End_q,Floor_q),MAX(AA70+Cost_round*IF(4&lt;=$B70,1,0)-F70,IF(4&lt;=$B70,1,0)*Pre_q,Floor_q)))</f>
        <v>350</v>
      </c>
      <c r="AA70" s="14" t="n">
        <f aca="false">IF(4&gt;$A70,0,IF(4=$A70,MAX(End_q,Floor_q),MAX(AB70+Cost_round*IF(5&lt;=$B70,1,0)-G70,IF(5&lt;=$B70,1,0)*Pre_q,Floor_q)))</f>
        <v>350</v>
      </c>
      <c r="AB70" s="14" t="n">
        <f aca="false">IF(5&gt;$A70,0,IF(5=$A70,MAX(End_q,Floor_q),MAX(AC70+Cost_round*IF(6&lt;=$B70,1,0)-H70,IF(6&lt;=$B70,1,0)*Pre_q,Floor_q)))</f>
        <v>350</v>
      </c>
      <c r="AC70" s="14" t="n">
        <f aca="false">IF(6&gt;$A70,0,IF(6=$A70,MAX(End_q,Floor_q),MAX(AD70+Cost_round*IF(7&lt;=$B70,1,0)-I70,IF(7&lt;=$B70,1,0)*Pre_q,Floor_q)))</f>
        <v>350</v>
      </c>
      <c r="AD70" s="14" t="n">
        <f aca="false">IF(7&gt;$A70,0,IF(7=$A70,MAX(End_q,Floor_q),MAX(AE70+Cost_round*IF(8&lt;=$B70,1,0)-J70,IF(8&lt;=$B70,1,0)*Pre_q,Floor_q)))</f>
        <v>400</v>
      </c>
      <c r="AE70" s="14" t="n">
        <f aca="false">IF(8&gt;$A70,0,IF(8=$A70,MAX(End_q,Floor_q),MAX(AF70+Cost_round*IF(9&lt;=$B70,1,0)-K70,IF(9&lt;=$B70,1,0)*Pre_q,Floor_q)))</f>
        <v>470</v>
      </c>
      <c r="AF70" s="14" t="n">
        <f aca="false">IF(9&gt;$A70,0,IF(9=$A70,MAX(End_q,Floor_q),MAX(AG70+Cost_round*IF(10&lt;=$B70,1,0)-L70,IF(10&lt;=$B70,1,0)*Pre_q,Floor_q)))</f>
        <v>0</v>
      </c>
      <c r="AG70" s="14" t="n">
        <f aca="false">IF(10&gt;$A70,0,IF(10=$A70,MAX(End_q,Floor_q),MAX(AH70+Cost_round*IF(11&lt;=$B70,1,0)-M70,IF(11&lt;=$B70,1,0)*Pre_q,Floor_q)))</f>
        <v>0</v>
      </c>
      <c r="AH70" s="14" t="n">
        <f aca="false">IF(11&gt;$A70,0,IF(11=$A70,MAX(End_q,Floor_q),MAX(AI70+Cost_round*IF(12&lt;=$B70,1,0)-N70,IF(12&lt;=$B70,1,0)*Pre_q,Floor_q)))</f>
        <v>0</v>
      </c>
      <c r="AI70" s="14" t="n">
        <f aca="false">IF(12&gt;$A70,0,IF(12=$A70,MAX(End_q,Floor_q),MAX(AJ70+Cost_round*IF(13&lt;=$B70,1,0)-O70,IF(13&lt;=$B70,1,0)*Pre_q,Floor_q)))</f>
        <v>0</v>
      </c>
      <c r="AJ70" s="14" t="n">
        <f aca="false">IF(13&gt;$A70,0,IF(13=$A70,MAX(End_q,Floor_q),MAX(AK70+Cost_round*IF(14&lt;=$B70,1,0)-P70,IF(14&lt;=$B70,1,0)*Pre_q,Floor_q)))</f>
        <v>0</v>
      </c>
      <c r="AK70" s="14" t="n">
        <f aca="false">IF(14&gt;$A70,0,IF(14=$A70,MAX(End_q,Floor_q),MAX(AL70+Cost_round*IF(15&lt;=$B70,1,0)-Q70,IF(15&lt;=$B70,1,0)*Pre_q,Floor_q)))</f>
        <v>0</v>
      </c>
      <c r="AL70" s="14" t="n">
        <f aca="false">IF(15&gt;$A70,0,IF(15=$A70,MAX(End_q,Floor_q),MAX(AM70+Cost_round*IF(16&lt;=$B70,1,0)-R70,IF(16&lt;=$B70,1,0)*Pre_q,Floor_q)))</f>
        <v>0</v>
      </c>
      <c r="AM70" s="14" t="n">
        <f aca="false">IF(16&gt;$A70,0,IF(16=$A70,MAX(End_q,Floor_q),MAX(AN70+Cost_round*IF(17&lt;=$B70,1,0)-S70,IF(17&lt;=$B70,1,0)*Pre_q,Floor_q)))</f>
        <v>0</v>
      </c>
      <c r="AN70" s="14" t="n">
        <f aca="false">IF(17&gt;$A70,0,IF(17=$A70,MAX(End_q,Floor_q),MAX(AO70+Cost_round*IF(18&lt;=$B70,1,0)-T70,IF(18&lt;=$B70,1,0)*Pre_q,Floor_q)))</f>
        <v>0</v>
      </c>
      <c r="AO70" s="14" t="n">
        <f aca="false">IF(18&gt;$A70,0,IF(18=$A70,MAX(End_q,Floor_q),MAX(AP70+Cost_round*IF(19&lt;=$B70,1,0)-U70,IF(19&lt;=$B70,1,0)*Pre_q,Floor_q)))</f>
        <v>0</v>
      </c>
      <c r="AP70" s="14" t="n">
        <f aca="false">IF(19&gt;$A70,0,IF(19=$A70,MAX(End_q,Floor_q),MAX(AQ70+Cost_round*IF(20&lt;=$B70,1,0)-V70,IF(20&lt;=$B70,1,0)*Pre_q,Floor_q)))</f>
        <v>0</v>
      </c>
      <c r="AQ70" s="14" t="n">
        <f aca="false">IF(20&gt;$A70,0,MAX(End_q,Floor_q))</f>
        <v>0</v>
      </c>
      <c r="AR70" s="15" t="n">
        <f aca="false">IF(Q_zero&gt;=W70-0.000000001,1,0)</f>
        <v>1</v>
      </c>
      <c r="AS70" s="14" t="n">
        <f aca="false">IF(1&gt;$A70,0,Q_zero-Cost_round*IF(1&lt;=$B70,1,0)+C70-X70)</f>
        <v>220</v>
      </c>
      <c r="AT70" s="14" t="n">
        <f aca="false">IF(2&gt;$A70,0,X70-Cost_round*IF(2&lt;=$B70,1,0)+D70-Y70)</f>
        <v>70</v>
      </c>
      <c r="AU70" s="14" t="n">
        <f aca="false">IF(3&gt;$A70,0,Y70-Cost_round*IF(3&lt;=$B70,1,0)+E70-Z70)</f>
        <v>70</v>
      </c>
      <c r="AV70" s="14" t="n">
        <f aca="false">IF(4&gt;$A70,0,Z70-Cost_round*IF(4&lt;=$B70,1,0)+F70-AA70)</f>
        <v>70</v>
      </c>
      <c r="AW70" s="14" t="n">
        <f aca="false">IF(5&gt;$A70,0,AA70-Cost_round*IF(5&lt;=$B70,1,0)+G70-AB70)</f>
        <v>70</v>
      </c>
      <c r="AX70" s="14" t="n">
        <f aca="false">IF(6&gt;$A70,0,AB70-Cost_round*IF(6&lt;=$B70,1,0)+H70-AC70)</f>
        <v>70</v>
      </c>
      <c r="AY70" s="14" t="n">
        <f aca="false">IF(7&gt;$A70,0,AC70-Cost_round*IF(7&lt;=$B70,1,0)+I70-AD70)</f>
        <v>20</v>
      </c>
      <c r="AZ70" s="14" t="n">
        <f aca="false">IF(8&gt;$A70,0,AD70-Cost_round*IF(8&lt;=$B70,1,0)+J70-AE70)</f>
        <v>0</v>
      </c>
      <c r="BA70" s="14" t="n">
        <f aca="false">IF(9&gt;$A70,0,AE70-Cost_round*IF(9&lt;=$B70,1,0)+K70-AF70)</f>
        <v>0</v>
      </c>
      <c r="BB70" s="14" t="n">
        <f aca="false">IF(10&gt;$A70,0,AF70-Cost_round*IF(10&lt;=$B70,1,0)+L70-AG70)</f>
        <v>0</v>
      </c>
      <c r="BC70" s="14" t="n">
        <f aca="false">IF(11&gt;$A70,0,AG70-Cost_round*IF(11&lt;=$B70,1,0)+M70-AH70)</f>
        <v>0</v>
      </c>
      <c r="BD70" s="14" t="n">
        <f aca="false">IF(12&gt;$A70,0,AH70-Cost_round*IF(12&lt;=$B70,1,0)+N70-AI70)</f>
        <v>0</v>
      </c>
      <c r="BE70" s="14" t="n">
        <f aca="false">IF(13&gt;$A70,0,AI70-Cost_round*IF(13&lt;=$B70,1,0)+O70-AJ70)</f>
        <v>0</v>
      </c>
      <c r="BF70" s="14" t="n">
        <f aca="false">IF(14&gt;$A70,0,AJ70-Cost_round*IF(14&lt;=$B70,1,0)+P70-AK70)</f>
        <v>0</v>
      </c>
      <c r="BG70" s="14" t="n">
        <f aca="false">IF(15&gt;$A70,0,AK70-Cost_round*IF(15&lt;=$B70,1,0)+Q70-AL70)</f>
        <v>0</v>
      </c>
      <c r="BH70" s="14" t="n">
        <f aca="false">IF(16&gt;$A70,0,AL70-Cost_round*IF(16&lt;=$B70,1,0)+R70-AM70)</f>
        <v>0</v>
      </c>
      <c r="BI70" s="14" t="n">
        <f aca="false">IF(17&gt;$A70,0,AM70-Cost_round*IF(17&lt;=$B70,1,0)+S70-AN70)</f>
        <v>0</v>
      </c>
      <c r="BJ70" s="14" t="n">
        <f aca="false">IF(18&gt;$A70,0,AN70-Cost_round*IF(18&lt;=$B70,1,0)+T70-AO70)</f>
        <v>0</v>
      </c>
      <c r="BK70" s="14" t="n">
        <f aca="false">IF(19&gt;$A70,0,AO70-Cost_round*IF(19&lt;=$B70,1,0)+U70-AP70)</f>
        <v>0</v>
      </c>
      <c r="BL70" s="14" t="n">
        <f aca="false">IF(20&gt;$A70,0,AP70-Cost_round*IF(20&lt;=$B70,1,0)+V70-AQ70)</f>
        <v>0</v>
      </c>
      <c r="BM70" s="17" t="n">
        <f aca="false">IF($AR70=1,SUMPRODUCT(AS70:BL70,$AS$38:$BL$38),"")</f>
        <v>451.495047690606</v>
      </c>
      <c r="BN70" s="17" t="n">
        <f aca="false">IF($AR70=1,BM70+INDEX($AS$38:$BL$38,$A70)*INDEX(C70:V70,$A70)/Hurdle_r,"")</f>
        <v>778.05021383742</v>
      </c>
    </row>
    <row r="71" customFormat="false" ht="15" hidden="false" customHeight="false" outlineLevel="0" collapsed="false">
      <c r="A71" s="2" t="n">
        <v>8</v>
      </c>
      <c r="B71" s="2" t="n">
        <v>2</v>
      </c>
      <c r="C71" s="14" t="n">
        <f aca="false">IF(1&gt;$A71,0,Val_pt*(Ceiling_e-E_zero)*(1-(1-Half_gap)^MIN(1,$B71)))</f>
        <v>70</v>
      </c>
      <c r="D71" s="14" t="n">
        <f aca="false">IF(2&gt;$A71,0,Val_pt*(Ceiling_e-E_zero)*(1-(1-Half_gap)^MIN(2,$B71)))</f>
        <v>105</v>
      </c>
      <c r="E71" s="14" t="n">
        <f aca="false">IF(3&gt;$A71,0,Val_pt*(Ceiling_e-E_zero)*(1-(1-Half_gap)^MIN(3,$B71)))</f>
        <v>105</v>
      </c>
      <c r="F71" s="14" t="n">
        <f aca="false">IF(4&gt;$A71,0,Val_pt*(Ceiling_e-E_zero)*(1-(1-Half_gap)^MIN(4,$B71)))</f>
        <v>105</v>
      </c>
      <c r="G71" s="14" t="n">
        <f aca="false">IF(5&gt;$A71,0,Val_pt*(Ceiling_e-E_zero)*(1-(1-Half_gap)^MIN(5,$B71)))</f>
        <v>105</v>
      </c>
      <c r="H71" s="14" t="n">
        <f aca="false">IF(6&gt;$A71,0,Val_pt*(Ceiling_e-E_zero)*(1-(1-Half_gap)^MIN(6,$B71)))</f>
        <v>105</v>
      </c>
      <c r="I71" s="14" t="n">
        <f aca="false">IF(7&gt;$A71,0,Val_pt*(Ceiling_e-E_zero)*(1-(1-Half_gap)^MIN(7,$B71)))</f>
        <v>105</v>
      </c>
      <c r="J71" s="14" t="n">
        <f aca="false">IF(8&gt;$A71,0,Val_pt*(Ceiling_e-E_zero)*(1-(1-Half_gap)^MIN(8,$B71)))</f>
        <v>105</v>
      </c>
      <c r="K71" s="14" t="n">
        <f aca="false">IF(9&gt;$A71,0,Val_pt*(Ceiling_e-E_zero)*(1-(1-Half_gap)^MIN(9,$B71)))</f>
        <v>0</v>
      </c>
      <c r="L71" s="14" t="n">
        <f aca="false">IF(10&gt;$A71,0,Val_pt*(Ceiling_e-E_zero)*(1-(1-Half_gap)^MIN(10,$B71)))</f>
        <v>0</v>
      </c>
      <c r="M71" s="14" t="n">
        <f aca="false">IF(11&gt;$A71,0,Val_pt*(Ceiling_e-E_zero)*(1-(1-Half_gap)^MIN(11,$B71)))</f>
        <v>0</v>
      </c>
      <c r="N71" s="14" t="n">
        <f aca="false">IF(12&gt;$A71,0,Val_pt*(Ceiling_e-E_zero)*(1-(1-Half_gap)^MIN(12,$B71)))</f>
        <v>0</v>
      </c>
      <c r="O71" s="14" t="n">
        <f aca="false">IF(13&gt;$A71,0,Val_pt*(Ceiling_e-E_zero)*(1-(1-Half_gap)^MIN(13,$B71)))</f>
        <v>0</v>
      </c>
      <c r="P71" s="14" t="n">
        <f aca="false">IF(14&gt;$A71,0,Val_pt*(Ceiling_e-E_zero)*(1-(1-Half_gap)^MIN(14,$B71)))</f>
        <v>0</v>
      </c>
      <c r="Q71" s="14" t="n">
        <f aca="false">IF(15&gt;$A71,0,Val_pt*(Ceiling_e-E_zero)*(1-(1-Half_gap)^MIN(15,$B71)))</f>
        <v>0</v>
      </c>
      <c r="R71" s="14" t="n">
        <f aca="false">IF(16&gt;$A71,0,Val_pt*(Ceiling_e-E_zero)*(1-(1-Half_gap)^MIN(16,$B71)))</f>
        <v>0</v>
      </c>
      <c r="S71" s="14" t="n">
        <f aca="false">IF(17&gt;$A71,0,Val_pt*(Ceiling_e-E_zero)*(1-(1-Half_gap)^MIN(17,$B71)))</f>
        <v>0</v>
      </c>
      <c r="T71" s="14" t="n">
        <f aca="false">IF(18&gt;$A71,0,Val_pt*(Ceiling_e-E_zero)*(1-(1-Half_gap)^MIN(18,$B71)))</f>
        <v>0</v>
      </c>
      <c r="U71" s="14" t="n">
        <f aca="false">IF(19&gt;$A71,0,Val_pt*(Ceiling_e-E_zero)*(1-(1-Half_gap)^MIN(19,$B71)))</f>
        <v>0</v>
      </c>
      <c r="V71" s="14" t="n">
        <f aca="false">IF(20&gt;$A71,0,Val_pt*(Ceiling_e-E_zero)*(1-(1-Half_gap)^MIN(20,$B71)))</f>
        <v>0</v>
      </c>
      <c r="W71" s="14" t="n">
        <f aca="false">IF(0&gt;$A71,0,IF(0=$A71,MAX(End_q,Floor_q),MAX(X71+Cost_round*IF(1&lt;=$B71,1,0)-C71,IF(1&lt;=$B71,1,0)*Pre_q)))</f>
        <v>520</v>
      </c>
      <c r="X71" s="14" t="n">
        <f aca="false">IF(1&gt;$A71,0,IF(1=$A71,MAX(End_q,Floor_q),MAX(Y71+Cost_round*IF(2&lt;=$B71,1,0)-D71,IF(2&lt;=$B71,1,0)*Pre_q,Floor_q)))</f>
        <v>470</v>
      </c>
      <c r="Y71" s="14" t="n">
        <f aca="false">IF(2&gt;$A71,0,IF(2=$A71,MAX(End_q,Floor_q),MAX(Z71+Cost_round*IF(3&lt;=$B71,1,0)-E71,IF(3&lt;=$B71,1,0)*Pre_q,Floor_q)))</f>
        <v>350</v>
      </c>
      <c r="Z71" s="14" t="n">
        <f aca="false">IF(3&gt;$A71,0,IF(3=$A71,MAX(End_q,Floor_q),MAX(AA71+Cost_round*IF(4&lt;=$B71,1,0)-F71,IF(4&lt;=$B71,1,0)*Pre_q,Floor_q)))</f>
        <v>350</v>
      </c>
      <c r="AA71" s="14" t="n">
        <f aca="false">IF(4&gt;$A71,0,IF(4=$A71,MAX(End_q,Floor_q),MAX(AB71+Cost_round*IF(5&lt;=$B71,1,0)-G71,IF(5&lt;=$B71,1,0)*Pre_q,Floor_q)))</f>
        <v>350</v>
      </c>
      <c r="AB71" s="14" t="n">
        <f aca="false">IF(5&gt;$A71,0,IF(5=$A71,MAX(End_q,Floor_q),MAX(AC71+Cost_round*IF(6&lt;=$B71,1,0)-H71,IF(6&lt;=$B71,1,0)*Pre_q,Floor_q)))</f>
        <v>350</v>
      </c>
      <c r="AC71" s="14" t="n">
        <f aca="false">IF(6&gt;$A71,0,IF(6=$A71,MAX(End_q,Floor_q),MAX(AD71+Cost_round*IF(7&lt;=$B71,1,0)-I71,IF(7&lt;=$B71,1,0)*Pre_q,Floor_q)))</f>
        <v>350</v>
      </c>
      <c r="AD71" s="14" t="n">
        <f aca="false">IF(7&gt;$A71,0,IF(7=$A71,MAX(End_q,Floor_q),MAX(AE71+Cost_round*IF(8&lt;=$B71,1,0)-J71,IF(8&lt;=$B71,1,0)*Pre_q,Floor_q)))</f>
        <v>365</v>
      </c>
      <c r="AE71" s="14" t="n">
        <f aca="false">IF(8&gt;$A71,0,IF(8=$A71,MAX(End_q,Floor_q),MAX(AF71+Cost_round*IF(9&lt;=$B71,1,0)-K71,IF(9&lt;=$B71,1,0)*Pre_q,Floor_q)))</f>
        <v>470</v>
      </c>
      <c r="AF71" s="14" t="n">
        <f aca="false">IF(9&gt;$A71,0,IF(9=$A71,MAX(End_q,Floor_q),MAX(AG71+Cost_round*IF(10&lt;=$B71,1,0)-L71,IF(10&lt;=$B71,1,0)*Pre_q,Floor_q)))</f>
        <v>0</v>
      </c>
      <c r="AG71" s="14" t="n">
        <f aca="false">IF(10&gt;$A71,0,IF(10=$A71,MAX(End_q,Floor_q),MAX(AH71+Cost_round*IF(11&lt;=$B71,1,0)-M71,IF(11&lt;=$B71,1,0)*Pre_q,Floor_q)))</f>
        <v>0</v>
      </c>
      <c r="AH71" s="14" t="n">
        <f aca="false">IF(11&gt;$A71,0,IF(11=$A71,MAX(End_q,Floor_q),MAX(AI71+Cost_round*IF(12&lt;=$B71,1,0)-N71,IF(12&lt;=$B71,1,0)*Pre_q,Floor_q)))</f>
        <v>0</v>
      </c>
      <c r="AI71" s="14" t="n">
        <f aca="false">IF(12&gt;$A71,0,IF(12=$A71,MAX(End_q,Floor_q),MAX(AJ71+Cost_round*IF(13&lt;=$B71,1,0)-O71,IF(13&lt;=$B71,1,0)*Pre_q,Floor_q)))</f>
        <v>0</v>
      </c>
      <c r="AJ71" s="14" t="n">
        <f aca="false">IF(13&gt;$A71,0,IF(13=$A71,MAX(End_q,Floor_q),MAX(AK71+Cost_round*IF(14&lt;=$B71,1,0)-P71,IF(14&lt;=$B71,1,0)*Pre_q,Floor_q)))</f>
        <v>0</v>
      </c>
      <c r="AK71" s="14" t="n">
        <f aca="false">IF(14&gt;$A71,0,IF(14=$A71,MAX(End_q,Floor_q),MAX(AL71+Cost_round*IF(15&lt;=$B71,1,0)-Q71,IF(15&lt;=$B71,1,0)*Pre_q,Floor_q)))</f>
        <v>0</v>
      </c>
      <c r="AL71" s="14" t="n">
        <f aca="false">IF(15&gt;$A71,0,IF(15=$A71,MAX(End_q,Floor_q),MAX(AM71+Cost_round*IF(16&lt;=$B71,1,0)-R71,IF(16&lt;=$B71,1,0)*Pre_q,Floor_q)))</f>
        <v>0</v>
      </c>
      <c r="AM71" s="14" t="n">
        <f aca="false">IF(16&gt;$A71,0,IF(16=$A71,MAX(End_q,Floor_q),MAX(AN71+Cost_round*IF(17&lt;=$B71,1,0)-S71,IF(17&lt;=$B71,1,0)*Pre_q,Floor_q)))</f>
        <v>0</v>
      </c>
      <c r="AN71" s="14" t="n">
        <f aca="false">IF(17&gt;$A71,0,IF(17=$A71,MAX(End_q,Floor_q),MAX(AO71+Cost_round*IF(18&lt;=$B71,1,0)-T71,IF(18&lt;=$B71,1,0)*Pre_q,Floor_q)))</f>
        <v>0</v>
      </c>
      <c r="AO71" s="14" t="n">
        <f aca="false">IF(18&gt;$A71,0,IF(18=$A71,MAX(End_q,Floor_q),MAX(AP71+Cost_round*IF(19&lt;=$B71,1,0)-U71,IF(19&lt;=$B71,1,0)*Pre_q,Floor_q)))</f>
        <v>0</v>
      </c>
      <c r="AP71" s="14" t="n">
        <f aca="false">IF(19&gt;$A71,0,IF(19=$A71,MAX(End_q,Floor_q),MAX(AQ71+Cost_round*IF(20&lt;=$B71,1,0)-V71,IF(20&lt;=$B71,1,0)*Pre_q,Floor_q)))</f>
        <v>0</v>
      </c>
      <c r="AQ71" s="14" t="n">
        <f aca="false">IF(20&gt;$A71,0,MAX(End_q,Floor_q))</f>
        <v>0</v>
      </c>
      <c r="AR71" s="15" t="n">
        <f aca="false">IF(Q_zero&gt;=W71-0.000000001,1,0)</f>
        <v>1</v>
      </c>
      <c r="AS71" s="14" t="n">
        <f aca="false">IF(1&gt;$A71,0,Q_zero-Cost_round*IF(1&lt;=$B71,1,0)+C71-X71)</f>
        <v>100</v>
      </c>
      <c r="AT71" s="14" t="n">
        <f aca="false">IF(2&gt;$A71,0,X71-Cost_round*IF(2&lt;=$B71,1,0)+D71-Y71)</f>
        <v>105</v>
      </c>
      <c r="AU71" s="14" t="n">
        <f aca="false">IF(3&gt;$A71,0,Y71-Cost_round*IF(3&lt;=$B71,1,0)+E71-Z71)</f>
        <v>105</v>
      </c>
      <c r="AV71" s="14" t="n">
        <f aca="false">IF(4&gt;$A71,0,Z71-Cost_round*IF(4&lt;=$B71,1,0)+F71-AA71)</f>
        <v>105</v>
      </c>
      <c r="AW71" s="14" t="n">
        <f aca="false">IF(5&gt;$A71,0,AA71-Cost_round*IF(5&lt;=$B71,1,0)+G71-AB71)</f>
        <v>105</v>
      </c>
      <c r="AX71" s="14" t="n">
        <f aca="false">IF(6&gt;$A71,0,AB71-Cost_round*IF(6&lt;=$B71,1,0)+H71-AC71)</f>
        <v>105</v>
      </c>
      <c r="AY71" s="14" t="n">
        <f aca="false">IF(7&gt;$A71,0,AC71-Cost_round*IF(7&lt;=$B71,1,0)+I71-AD71)</f>
        <v>90</v>
      </c>
      <c r="AZ71" s="14" t="n">
        <f aca="false">IF(8&gt;$A71,0,AD71-Cost_round*IF(8&lt;=$B71,1,0)+J71-AE71)</f>
        <v>0</v>
      </c>
      <c r="BA71" s="14" t="n">
        <f aca="false">IF(9&gt;$A71,0,AE71-Cost_round*IF(9&lt;=$B71,1,0)+K71-AF71)</f>
        <v>0</v>
      </c>
      <c r="BB71" s="14" t="n">
        <f aca="false">IF(10&gt;$A71,0,AF71-Cost_round*IF(10&lt;=$B71,1,0)+L71-AG71)</f>
        <v>0</v>
      </c>
      <c r="BC71" s="14" t="n">
        <f aca="false">IF(11&gt;$A71,0,AG71-Cost_round*IF(11&lt;=$B71,1,0)+M71-AH71)</f>
        <v>0</v>
      </c>
      <c r="BD71" s="14" t="n">
        <f aca="false">IF(12&gt;$A71,0,AH71-Cost_round*IF(12&lt;=$B71,1,0)+N71-AI71)</f>
        <v>0</v>
      </c>
      <c r="BE71" s="14" t="n">
        <f aca="false">IF(13&gt;$A71,0,AI71-Cost_round*IF(13&lt;=$B71,1,0)+O71-AJ71)</f>
        <v>0</v>
      </c>
      <c r="BF71" s="14" t="n">
        <f aca="false">IF(14&gt;$A71,0,AJ71-Cost_round*IF(14&lt;=$B71,1,0)+P71-AK71)</f>
        <v>0</v>
      </c>
      <c r="BG71" s="14" t="n">
        <f aca="false">IF(15&gt;$A71,0,AK71-Cost_round*IF(15&lt;=$B71,1,0)+Q71-AL71)</f>
        <v>0</v>
      </c>
      <c r="BH71" s="14" t="n">
        <f aca="false">IF(16&gt;$A71,0,AL71-Cost_round*IF(16&lt;=$B71,1,0)+R71-AM71)</f>
        <v>0</v>
      </c>
      <c r="BI71" s="14" t="n">
        <f aca="false">IF(17&gt;$A71,0,AM71-Cost_round*IF(17&lt;=$B71,1,0)+S71-AN71)</f>
        <v>0</v>
      </c>
      <c r="BJ71" s="14" t="n">
        <f aca="false">IF(18&gt;$A71,0,AN71-Cost_round*IF(18&lt;=$B71,1,0)+T71-AO71)</f>
        <v>0</v>
      </c>
      <c r="BK71" s="14" t="n">
        <f aca="false">IF(19&gt;$A71,0,AO71-Cost_round*IF(19&lt;=$B71,1,0)+U71-AP71)</f>
        <v>0</v>
      </c>
      <c r="BL71" s="14" t="n">
        <f aca="false">IF(20&gt;$A71,0,AP71-Cost_round*IF(20&lt;=$B71,1,0)+V71-AQ71)</f>
        <v>0</v>
      </c>
      <c r="BM71" s="17" t="n">
        <f aca="false">IF($AR71=1,SUMPRODUCT(AS71:BL71,$AS$38:$BL$38),"")</f>
        <v>498.941149538843</v>
      </c>
      <c r="BN71" s="17" t="n">
        <f aca="false">IF($AR71=1,BM71+INDEX($AS$38:$BL$38,$A71)*INDEX(C71:V71,$A71)/Hurdle_r,"")</f>
        <v>988.773898759063</v>
      </c>
    </row>
    <row r="72" customFormat="false" ht="15" hidden="false" customHeight="false" outlineLevel="0" collapsed="false">
      <c r="A72" s="2" t="n">
        <v>8</v>
      </c>
      <c r="B72" s="2" t="n">
        <v>3</v>
      </c>
      <c r="C72" s="14" t="n">
        <f aca="false">IF(1&gt;$A72,0,Val_pt*(Ceiling_e-E_zero)*(1-(1-Half_gap)^MIN(1,$B72)))</f>
        <v>70</v>
      </c>
      <c r="D72" s="14" t="n">
        <f aca="false">IF(2&gt;$A72,0,Val_pt*(Ceiling_e-E_zero)*(1-(1-Half_gap)^MIN(2,$B72)))</f>
        <v>105</v>
      </c>
      <c r="E72" s="14" t="n">
        <f aca="false">IF(3&gt;$A72,0,Val_pt*(Ceiling_e-E_zero)*(1-(1-Half_gap)^MIN(3,$B72)))</f>
        <v>122.5</v>
      </c>
      <c r="F72" s="14" t="n">
        <f aca="false">IF(4&gt;$A72,0,Val_pt*(Ceiling_e-E_zero)*(1-(1-Half_gap)^MIN(4,$B72)))</f>
        <v>122.5</v>
      </c>
      <c r="G72" s="14" t="n">
        <f aca="false">IF(5&gt;$A72,0,Val_pt*(Ceiling_e-E_zero)*(1-(1-Half_gap)^MIN(5,$B72)))</f>
        <v>122.5</v>
      </c>
      <c r="H72" s="14" t="n">
        <f aca="false">IF(6&gt;$A72,0,Val_pt*(Ceiling_e-E_zero)*(1-(1-Half_gap)^MIN(6,$B72)))</f>
        <v>122.5</v>
      </c>
      <c r="I72" s="14" t="n">
        <f aca="false">IF(7&gt;$A72,0,Val_pt*(Ceiling_e-E_zero)*(1-(1-Half_gap)^MIN(7,$B72)))</f>
        <v>122.5</v>
      </c>
      <c r="J72" s="14" t="n">
        <f aca="false">IF(8&gt;$A72,0,Val_pt*(Ceiling_e-E_zero)*(1-(1-Half_gap)^MIN(8,$B72)))</f>
        <v>122.5</v>
      </c>
      <c r="K72" s="14" t="n">
        <f aca="false">IF(9&gt;$A72,0,Val_pt*(Ceiling_e-E_zero)*(1-(1-Half_gap)^MIN(9,$B72)))</f>
        <v>0</v>
      </c>
      <c r="L72" s="14" t="n">
        <f aca="false">IF(10&gt;$A72,0,Val_pt*(Ceiling_e-E_zero)*(1-(1-Half_gap)^MIN(10,$B72)))</f>
        <v>0</v>
      </c>
      <c r="M72" s="14" t="n">
        <f aca="false">IF(11&gt;$A72,0,Val_pt*(Ceiling_e-E_zero)*(1-(1-Half_gap)^MIN(11,$B72)))</f>
        <v>0</v>
      </c>
      <c r="N72" s="14" t="n">
        <f aca="false">IF(12&gt;$A72,0,Val_pt*(Ceiling_e-E_zero)*(1-(1-Half_gap)^MIN(12,$B72)))</f>
        <v>0</v>
      </c>
      <c r="O72" s="14" t="n">
        <f aca="false">IF(13&gt;$A72,0,Val_pt*(Ceiling_e-E_zero)*(1-(1-Half_gap)^MIN(13,$B72)))</f>
        <v>0</v>
      </c>
      <c r="P72" s="14" t="n">
        <f aca="false">IF(14&gt;$A72,0,Val_pt*(Ceiling_e-E_zero)*(1-(1-Half_gap)^MIN(14,$B72)))</f>
        <v>0</v>
      </c>
      <c r="Q72" s="14" t="n">
        <f aca="false">IF(15&gt;$A72,0,Val_pt*(Ceiling_e-E_zero)*(1-(1-Half_gap)^MIN(15,$B72)))</f>
        <v>0</v>
      </c>
      <c r="R72" s="14" t="n">
        <f aca="false">IF(16&gt;$A72,0,Val_pt*(Ceiling_e-E_zero)*(1-(1-Half_gap)^MIN(16,$B72)))</f>
        <v>0</v>
      </c>
      <c r="S72" s="14" t="n">
        <f aca="false">IF(17&gt;$A72,0,Val_pt*(Ceiling_e-E_zero)*(1-(1-Half_gap)^MIN(17,$B72)))</f>
        <v>0</v>
      </c>
      <c r="T72" s="14" t="n">
        <f aca="false">IF(18&gt;$A72,0,Val_pt*(Ceiling_e-E_zero)*(1-(1-Half_gap)^MIN(18,$B72)))</f>
        <v>0</v>
      </c>
      <c r="U72" s="14" t="n">
        <f aca="false">IF(19&gt;$A72,0,Val_pt*(Ceiling_e-E_zero)*(1-(1-Half_gap)^MIN(19,$B72)))</f>
        <v>0</v>
      </c>
      <c r="V72" s="14" t="n">
        <f aca="false">IF(20&gt;$A72,0,Val_pt*(Ceiling_e-E_zero)*(1-(1-Half_gap)^MIN(20,$B72)))</f>
        <v>0</v>
      </c>
      <c r="W72" s="14" t="n">
        <f aca="false">IF(0&gt;$A72,0,IF(0=$A72,MAX(End_q,Floor_q),MAX(X72+Cost_round*IF(1&lt;=$B72,1,0)-C72,IF(1&lt;=$B72,1,0)*Pre_q)))</f>
        <v>535</v>
      </c>
      <c r="X72" s="14" t="n">
        <f aca="false">IF(1&gt;$A72,0,IF(1=$A72,MAX(End_q,Floor_q),MAX(Y72+Cost_round*IF(2&lt;=$B72,1,0)-D72,IF(2&lt;=$B72,1,0)*Pre_q,Floor_q)))</f>
        <v>485</v>
      </c>
      <c r="Y72" s="14" t="n">
        <f aca="false">IF(2&gt;$A72,0,IF(2=$A72,MAX(End_q,Floor_q),MAX(Z72+Cost_round*IF(3&lt;=$B72,1,0)-E72,IF(3&lt;=$B72,1,0)*Pre_q,Floor_q)))</f>
        <v>470</v>
      </c>
      <c r="Z72" s="14" t="n">
        <f aca="false">IF(3&gt;$A72,0,IF(3=$A72,MAX(End_q,Floor_q),MAX(AA72+Cost_round*IF(4&lt;=$B72,1,0)-F72,IF(4&lt;=$B72,1,0)*Pre_q,Floor_q)))</f>
        <v>350</v>
      </c>
      <c r="AA72" s="14" t="n">
        <f aca="false">IF(4&gt;$A72,0,IF(4=$A72,MAX(End_q,Floor_q),MAX(AB72+Cost_round*IF(5&lt;=$B72,1,0)-G72,IF(5&lt;=$B72,1,0)*Pre_q,Floor_q)))</f>
        <v>350</v>
      </c>
      <c r="AB72" s="14" t="n">
        <f aca="false">IF(5&gt;$A72,0,IF(5=$A72,MAX(End_q,Floor_q),MAX(AC72+Cost_round*IF(6&lt;=$B72,1,0)-H72,IF(6&lt;=$B72,1,0)*Pre_q,Floor_q)))</f>
        <v>350</v>
      </c>
      <c r="AC72" s="14" t="n">
        <f aca="false">IF(6&gt;$A72,0,IF(6=$A72,MAX(End_q,Floor_q),MAX(AD72+Cost_round*IF(7&lt;=$B72,1,0)-I72,IF(7&lt;=$B72,1,0)*Pre_q,Floor_q)))</f>
        <v>350</v>
      </c>
      <c r="AD72" s="14" t="n">
        <f aca="false">IF(7&gt;$A72,0,IF(7=$A72,MAX(End_q,Floor_q),MAX(AE72+Cost_round*IF(8&lt;=$B72,1,0)-J72,IF(8&lt;=$B72,1,0)*Pre_q,Floor_q)))</f>
        <v>350</v>
      </c>
      <c r="AE72" s="14" t="n">
        <f aca="false">IF(8&gt;$A72,0,IF(8=$A72,MAX(End_q,Floor_q),MAX(AF72+Cost_round*IF(9&lt;=$B72,1,0)-K72,IF(9&lt;=$B72,1,0)*Pre_q,Floor_q)))</f>
        <v>470</v>
      </c>
      <c r="AF72" s="14" t="n">
        <f aca="false">IF(9&gt;$A72,0,IF(9=$A72,MAX(End_q,Floor_q),MAX(AG72+Cost_round*IF(10&lt;=$B72,1,0)-L72,IF(10&lt;=$B72,1,0)*Pre_q,Floor_q)))</f>
        <v>0</v>
      </c>
      <c r="AG72" s="14" t="n">
        <f aca="false">IF(10&gt;$A72,0,IF(10=$A72,MAX(End_q,Floor_q),MAX(AH72+Cost_round*IF(11&lt;=$B72,1,0)-M72,IF(11&lt;=$B72,1,0)*Pre_q,Floor_q)))</f>
        <v>0</v>
      </c>
      <c r="AH72" s="14" t="n">
        <f aca="false">IF(11&gt;$A72,0,IF(11=$A72,MAX(End_q,Floor_q),MAX(AI72+Cost_round*IF(12&lt;=$B72,1,0)-N72,IF(12&lt;=$B72,1,0)*Pre_q,Floor_q)))</f>
        <v>0</v>
      </c>
      <c r="AI72" s="14" t="n">
        <f aca="false">IF(12&gt;$A72,0,IF(12=$A72,MAX(End_q,Floor_q),MAX(AJ72+Cost_round*IF(13&lt;=$B72,1,0)-O72,IF(13&lt;=$B72,1,0)*Pre_q,Floor_q)))</f>
        <v>0</v>
      </c>
      <c r="AJ72" s="14" t="n">
        <f aca="false">IF(13&gt;$A72,0,IF(13=$A72,MAX(End_q,Floor_q),MAX(AK72+Cost_round*IF(14&lt;=$B72,1,0)-P72,IF(14&lt;=$B72,1,0)*Pre_q,Floor_q)))</f>
        <v>0</v>
      </c>
      <c r="AK72" s="14" t="n">
        <f aca="false">IF(14&gt;$A72,0,IF(14=$A72,MAX(End_q,Floor_q),MAX(AL72+Cost_round*IF(15&lt;=$B72,1,0)-Q72,IF(15&lt;=$B72,1,0)*Pre_q,Floor_q)))</f>
        <v>0</v>
      </c>
      <c r="AL72" s="14" t="n">
        <f aca="false">IF(15&gt;$A72,0,IF(15=$A72,MAX(End_q,Floor_q),MAX(AM72+Cost_round*IF(16&lt;=$B72,1,0)-R72,IF(16&lt;=$B72,1,0)*Pre_q,Floor_q)))</f>
        <v>0</v>
      </c>
      <c r="AM72" s="14" t="n">
        <f aca="false">IF(16&gt;$A72,0,IF(16=$A72,MAX(End_q,Floor_q),MAX(AN72+Cost_round*IF(17&lt;=$B72,1,0)-S72,IF(17&lt;=$B72,1,0)*Pre_q,Floor_q)))</f>
        <v>0</v>
      </c>
      <c r="AN72" s="14" t="n">
        <f aca="false">IF(17&gt;$A72,0,IF(17=$A72,MAX(End_q,Floor_q),MAX(AO72+Cost_round*IF(18&lt;=$B72,1,0)-T72,IF(18&lt;=$B72,1,0)*Pre_q,Floor_q)))</f>
        <v>0</v>
      </c>
      <c r="AO72" s="14" t="n">
        <f aca="false">IF(18&gt;$A72,0,IF(18=$A72,MAX(End_q,Floor_q),MAX(AP72+Cost_round*IF(19&lt;=$B72,1,0)-U72,IF(19&lt;=$B72,1,0)*Pre_q,Floor_q)))</f>
        <v>0</v>
      </c>
      <c r="AP72" s="14" t="n">
        <f aca="false">IF(19&gt;$A72,0,IF(19=$A72,MAX(End_q,Floor_q),MAX(AQ72+Cost_round*IF(20&lt;=$B72,1,0)-V72,IF(20&lt;=$B72,1,0)*Pre_q,Floor_q)))</f>
        <v>0</v>
      </c>
      <c r="AQ72" s="14" t="n">
        <f aca="false">IF(20&gt;$A72,0,MAX(End_q,Floor_q))</f>
        <v>0</v>
      </c>
      <c r="AR72" s="15" t="n">
        <f aca="false">IF(Q_zero&gt;=W72-0.000000001,1,0)</f>
        <v>1</v>
      </c>
      <c r="AS72" s="14" t="n">
        <f aca="false">IF(1&gt;$A72,0,Q_zero-Cost_round*IF(1&lt;=$B72,1,0)+C72-X72)</f>
        <v>85</v>
      </c>
      <c r="AT72" s="14" t="n">
        <f aca="false">IF(2&gt;$A72,0,X72-Cost_round*IF(2&lt;=$B72,1,0)+D72-Y72)</f>
        <v>0</v>
      </c>
      <c r="AU72" s="14" t="n">
        <f aca="false">IF(3&gt;$A72,0,Y72-Cost_round*IF(3&lt;=$B72,1,0)+E72-Z72)</f>
        <v>122.5</v>
      </c>
      <c r="AV72" s="14" t="n">
        <f aca="false">IF(4&gt;$A72,0,Z72-Cost_round*IF(4&lt;=$B72,1,0)+F72-AA72)</f>
        <v>122.5</v>
      </c>
      <c r="AW72" s="14" t="n">
        <f aca="false">IF(5&gt;$A72,0,AA72-Cost_round*IF(5&lt;=$B72,1,0)+G72-AB72)</f>
        <v>122.5</v>
      </c>
      <c r="AX72" s="14" t="n">
        <f aca="false">IF(6&gt;$A72,0,AB72-Cost_round*IF(6&lt;=$B72,1,0)+H72-AC72)</f>
        <v>122.5</v>
      </c>
      <c r="AY72" s="14" t="n">
        <f aca="false">IF(7&gt;$A72,0,AC72-Cost_round*IF(7&lt;=$B72,1,0)+I72-AD72)</f>
        <v>122.5</v>
      </c>
      <c r="AZ72" s="14" t="n">
        <f aca="false">IF(8&gt;$A72,0,AD72-Cost_round*IF(8&lt;=$B72,1,0)+J72-AE72)</f>
        <v>2.5</v>
      </c>
      <c r="BA72" s="14" t="n">
        <f aca="false">IF(9&gt;$A72,0,AE72-Cost_round*IF(9&lt;=$B72,1,0)+K72-AF72)</f>
        <v>0</v>
      </c>
      <c r="BB72" s="14" t="n">
        <f aca="false">IF(10&gt;$A72,0,AF72-Cost_round*IF(10&lt;=$B72,1,0)+L72-AG72)</f>
        <v>0</v>
      </c>
      <c r="BC72" s="14" t="n">
        <f aca="false">IF(11&gt;$A72,0,AG72-Cost_round*IF(11&lt;=$B72,1,0)+M72-AH72)</f>
        <v>0</v>
      </c>
      <c r="BD72" s="14" t="n">
        <f aca="false">IF(12&gt;$A72,0,AH72-Cost_round*IF(12&lt;=$B72,1,0)+N72-AI72)</f>
        <v>0</v>
      </c>
      <c r="BE72" s="14" t="n">
        <f aca="false">IF(13&gt;$A72,0,AI72-Cost_round*IF(13&lt;=$B72,1,0)+O72-AJ72)</f>
        <v>0</v>
      </c>
      <c r="BF72" s="14" t="n">
        <f aca="false">IF(14&gt;$A72,0,AJ72-Cost_round*IF(14&lt;=$B72,1,0)+P72-AK72)</f>
        <v>0</v>
      </c>
      <c r="BG72" s="14" t="n">
        <f aca="false">IF(15&gt;$A72,0,AK72-Cost_round*IF(15&lt;=$B72,1,0)+Q72-AL72)</f>
        <v>0</v>
      </c>
      <c r="BH72" s="14" t="n">
        <f aca="false">IF(16&gt;$A72,0,AL72-Cost_round*IF(16&lt;=$B72,1,0)+R72-AM72)</f>
        <v>0</v>
      </c>
      <c r="BI72" s="14" t="n">
        <f aca="false">IF(17&gt;$A72,0,AM72-Cost_round*IF(17&lt;=$B72,1,0)+S72-AN72)</f>
        <v>0</v>
      </c>
      <c r="BJ72" s="14" t="n">
        <f aca="false">IF(18&gt;$A72,0,AN72-Cost_round*IF(18&lt;=$B72,1,0)+T72-AO72)</f>
        <v>0</v>
      </c>
      <c r="BK72" s="14" t="n">
        <f aca="false">IF(19&gt;$A72,0,AO72-Cost_round*IF(19&lt;=$B72,1,0)+U72-AP72)</f>
        <v>0</v>
      </c>
      <c r="BL72" s="14" t="n">
        <f aca="false">IF(20&gt;$A72,0,AP72-Cost_round*IF(20&lt;=$B72,1,0)+V72-AQ72)</f>
        <v>0</v>
      </c>
      <c r="BM72" s="17" t="n">
        <f aca="false">IF($AR72=1,SUMPRODUCT(AS72:BL72,$AS$38:$BL$38),"")</f>
        <v>462.216995105512</v>
      </c>
      <c r="BN72" s="17" t="n">
        <f aca="false">IF($AR72=1,BM72+INDEX($AS$38:$BL$38,$A72)*INDEX(C72:V72,$A72)/Hurdle_r,"")</f>
        <v>1033.68853586244</v>
      </c>
    </row>
    <row r="73" customFormat="false" ht="15" hidden="false" customHeight="false" outlineLevel="0" collapsed="false">
      <c r="A73" s="2" t="n">
        <v>8</v>
      </c>
      <c r="B73" s="2" t="n">
        <v>4</v>
      </c>
      <c r="C73" s="14" t="n">
        <f aca="false">IF(1&gt;$A73,0,Val_pt*(Ceiling_e-E_zero)*(1-(1-Half_gap)^MIN(1,$B73)))</f>
        <v>70</v>
      </c>
      <c r="D73" s="14" t="n">
        <f aca="false">IF(2&gt;$A73,0,Val_pt*(Ceiling_e-E_zero)*(1-(1-Half_gap)^MIN(2,$B73)))</f>
        <v>105</v>
      </c>
      <c r="E73" s="14" t="n">
        <f aca="false">IF(3&gt;$A73,0,Val_pt*(Ceiling_e-E_zero)*(1-(1-Half_gap)^MIN(3,$B73)))</f>
        <v>122.5</v>
      </c>
      <c r="F73" s="14" t="n">
        <f aca="false">IF(4&gt;$A73,0,Val_pt*(Ceiling_e-E_zero)*(1-(1-Half_gap)^MIN(4,$B73)))</f>
        <v>131.25</v>
      </c>
      <c r="G73" s="14" t="n">
        <f aca="false">IF(5&gt;$A73,0,Val_pt*(Ceiling_e-E_zero)*(1-(1-Half_gap)^MIN(5,$B73)))</f>
        <v>131.25</v>
      </c>
      <c r="H73" s="14" t="n">
        <f aca="false">IF(6&gt;$A73,0,Val_pt*(Ceiling_e-E_zero)*(1-(1-Half_gap)^MIN(6,$B73)))</f>
        <v>131.25</v>
      </c>
      <c r="I73" s="14" t="n">
        <f aca="false">IF(7&gt;$A73,0,Val_pt*(Ceiling_e-E_zero)*(1-(1-Half_gap)^MIN(7,$B73)))</f>
        <v>131.25</v>
      </c>
      <c r="J73" s="14" t="n">
        <f aca="false">IF(8&gt;$A73,0,Val_pt*(Ceiling_e-E_zero)*(1-(1-Half_gap)^MIN(8,$B73)))</f>
        <v>131.25</v>
      </c>
      <c r="K73" s="14" t="n">
        <f aca="false">IF(9&gt;$A73,0,Val_pt*(Ceiling_e-E_zero)*(1-(1-Half_gap)^MIN(9,$B73)))</f>
        <v>0</v>
      </c>
      <c r="L73" s="14" t="n">
        <f aca="false">IF(10&gt;$A73,0,Val_pt*(Ceiling_e-E_zero)*(1-(1-Half_gap)^MIN(10,$B73)))</f>
        <v>0</v>
      </c>
      <c r="M73" s="14" t="n">
        <f aca="false">IF(11&gt;$A73,0,Val_pt*(Ceiling_e-E_zero)*(1-(1-Half_gap)^MIN(11,$B73)))</f>
        <v>0</v>
      </c>
      <c r="N73" s="14" t="n">
        <f aca="false">IF(12&gt;$A73,0,Val_pt*(Ceiling_e-E_zero)*(1-(1-Half_gap)^MIN(12,$B73)))</f>
        <v>0</v>
      </c>
      <c r="O73" s="14" t="n">
        <f aca="false">IF(13&gt;$A73,0,Val_pt*(Ceiling_e-E_zero)*(1-(1-Half_gap)^MIN(13,$B73)))</f>
        <v>0</v>
      </c>
      <c r="P73" s="14" t="n">
        <f aca="false">IF(14&gt;$A73,0,Val_pt*(Ceiling_e-E_zero)*(1-(1-Half_gap)^MIN(14,$B73)))</f>
        <v>0</v>
      </c>
      <c r="Q73" s="14" t="n">
        <f aca="false">IF(15&gt;$A73,0,Val_pt*(Ceiling_e-E_zero)*(1-(1-Half_gap)^MIN(15,$B73)))</f>
        <v>0</v>
      </c>
      <c r="R73" s="14" t="n">
        <f aca="false">IF(16&gt;$A73,0,Val_pt*(Ceiling_e-E_zero)*(1-(1-Half_gap)^MIN(16,$B73)))</f>
        <v>0</v>
      </c>
      <c r="S73" s="14" t="n">
        <f aca="false">IF(17&gt;$A73,0,Val_pt*(Ceiling_e-E_zero)*(1-(1-Half_gap)^MIN(17,$B73)))</f>
        <v>0</v>
      </c>
      <c r="T73" s="14" t="n">
        <f aca="false">IF(18&gt;$A73,0,Val_pt*(Ceiling_e-E_zero)*(1-(1-Half_gap)^MIN(18,$B73)))</f>
        <v>0</v>
      </c>
      <c r="U73" s="14" t="n">
        <f aca="false">IF(19&gt;$A73,0,Val_pt*(Ceiling_e-E_zero)*(1-(1-Half_gap)^MIN(19,$B73)))</f>
        <v>0</v>
      </c>
      <c r="V73" s="14" t="n">
        <f aca="false">IF(20&gt;$A73,0,Val_pt*(Ceiling_e-E_zero)*(1-(1-Half_gap)^MIN(20,$B73)))</f>
        <v>0</v>
      </c>
      <c r="W73" s="14" t="n">
        <f aca="false">IF(0&gt;$A73,0,IF(0=$A73,MAX(End_q,Floor_q),MAX(X73+Cost_round*IF(1&lt;=$B73,1,0)-C73,IF(1&lt;=$B73,1,0)*Pre_q)))</f>
        <v>535</v>
      </c>
      <c r="X73" s="14" t="n">
        <f aca="false">IF(1&gt;$A73,0,IF(1=$A73,MAX(End_q,Floor_q),MAX(Y73+Cost_round*IF(2&lt;=$B73,1,0)-D73,IF(2&lt;=$B73,1,0)*Pre_q,Floor_q)))</f>
        <v>485</v>
      </c>
      <c r="Y73" s="14" t="n">
        <f aca="false">IF(2&gt;$A73,0,IF(2=$A73,MAX(End_q,Floor_q),MAX(Z73+Cost_round*IF(3&lt;=$B73,1,0)-E73,IF(3&lt;=$B73,1,0)*Pre_q,Floor_q)))</f>
        <v>470</v>
      </c>
      <c r="Z73" s="14" t="n">
        <f aca="false">IF(3&gt;$A73,0,IF(3=$A73,MAX(End_q,Floor_q),MAX(AA73+Cost_round*IF(4&lt;=$B73,1,0)-F73,IF(4&lt;=$B73,1,0)*Pre_q,Floor_q)))</f>
        <v>470</v>
      </c>
      <c r="AA73" s="14" t="n">
        <f aca="false">IF(4&gt;$A73,0,IF(4=$A73,MAX(End_q,Floor_q),MAX(AB73+Cost_round*IF(5&lt;=$B73,1,0)-G73,IF(5&lt;=$B73,1,0)*Pre_q,Floor_q)))</f>
        <v>350</v>
      </c>
      <c r="AB73" s="14" t="n">
        <f aca="false">IF(5&gt;$A73,0,IF(5=$A73,MAX(End_q,Floor_q),MAX(AC73+Cost_round*IF(6&lt;=$B73,1,0)-H73,IF(6&lt;=$B73,1,0)*Pre_q,Floor_q)))</f>
        <v>350</v>
      </c>
      <c r="AC73" s="14" t="n">
        <f aca="false">IF(6&gt;$A73,0,IF(6=$A73,MAX(End_q,Floor_q),MAX(AD73+Cost_round*IF(7&lt;=$B73,1,0)-I73,IF(7&lt;=$B73,1,0)*Pre_q,Floor_q)))</f>
        <v>350</v>
      </c>
      <c r="AD73" s="14" t="n">
        <f aca="false">IF(7&gt;$A73,0,IF(7=$A73,MAX(End_q,Floor_q),MAX(AE73+Cost_round*IF(8&lt;=$B73,1,0)-J73,IF(8&lt;=$B73,1,0)*Pre_q,Floor_q)))</f>
        <v>350</v>
      </c>
      <c r="AE73" s="14" t="n">
        <f aca="false">IF(8&gt;$A73,0,IF(8=$A73,MAX(End_q,Floor_q),MAX(AF73+Cost_round*IF(9&lt;=$B73,1,0)-K73,IF(9&lt;=$B73,1,0)*Pre_q,Floor_q)))</f>
        <v>470</v>
      </c>
      <c r="AF73" s="14" t="n">
        <f aca="false">IF(9&gt;$A73,0,IF(9=$A73,MAX(End_q,Floor_q),MAX(AG73+Cost_round*IF(10&lt;=$B73,1,0)-L73,IF(10&lt;=$B73,1,0)*Pre_q,Floor_q)))</f>
        <v>0</v>
      </c>
      <c r="AG73" s="14" t="n">
        <f aca="false">IF(10&gt;$A73,0,IF(10=$A73,MAX(End_q,Floor_q),MAX(AH73+Cost_round*IF(11&lt;=$B73,1,0)-M73,IF(11&lt;=$B73,1,0)*Pre_q,Floor_q)))</f>
        <v>0</v>
      </c>
      <c r="AH73" s="14" t="n">
        <f aca="false">IF(11&gt;$A73,0,IF(11=$A73,MAX(End_q,Floor_q),MAX(AI73+Cost_round*IF(12&lt;=$B73,1,0)-N73,IF(12&lt;=$B73,1,0)*Pre_q,Floor_q)))</f>
        <v>0</v>
      </c>
      <c r="AI73" s="14" t="n">
        <f aca="false">IF(12&gt;$A73,0,IF(12=$A73,MAX(End_q,Floor_q),MAX(AJ73+Cost_round*IF(13&lt;=$B73,1,0)-O73,IF(13&lt;=$B73,1,0)*Pre_q,Floor_q)))</f>
        <v>0</v>
      </c>
      <c r="AJ73" s="14" t="n">
        <f aca="false">IF(13&gt;$A73,0,IF(13=$A73,MAX(End_q,Floor_q),MAX(AK73+Cost_round*IF(14&lt;=$B73,1,0)-P73,IF(14&lt;=$B73,1,0)*Pre_q,Floor_q)))</f>
        <v>0</v>
      </c>
      <c r="AK73" s="14" t="n">
        <f aca="false">IF(14&gt;$A73,0,IF(14=$A73,MAX(End_q,Floor_q),MAX(AL73+Cost_round*IF(15&lt;=$B73,1,0)-Q73,IF(15&lt;=$B73,1,0)*Pre_q,Floor_q)))</f>
        <v>0</v>
      </c>
      <c r="AL73" s="14" t="n">
        <f aca="false">IF(15&gt;$A73,0,IF(15=$A73,MAX(End_q,Floor_q),MAX(AM73+Cost_round*IF(16&lt;=$B73,1,0)-R73,IF(16&lt;=$B73,1,0)*Pre_q,Floor_q)))</f>
        <v>0</v>
      </c>
      <c r="AM73" s="14" t="n">
        <f aca="false">IF(16&gt;$A73,0,IF(16=$A73,MAX(End_q,Floor_q),MAX(AN73+Cost_round*IF(17&lt;=$B73,1,0)-S73,IF(17&lt;=$B73,1,0)*Pre_q,Floor_q)))</f>
        <v>0</v>
      </c>
      <c r="AN73" s="14" t="n">
        <f aca="false">IF(17&gt;$A73,0,IF(17=$A73,MAX(End_q,Floor_q),MAX(AO73+Cost_round*IF(18&lt;=$B73,1,0)-T73,IF(18&lt;=$B73,1,0)*Pre_q,Floor_q)))</f>
        <v>0</v>
      </c>
      <c r="AO73" s="14" t="n">
        <f aca="false">IF(18&gt;$A73,0,IF(18=$A73,MAX(End_q,Floor_q),MAX(AP73+Cost_round*IF(19&lt;=$B73,1,0)-U73,IF(19&lt;=$B73,1,0)*Pre_q,Floor_q)))</f>
        <v>0</v>
      </c>
      <c r="AP73" s="14" t="n">
        <f aca="false">IF(19&gt;$A73,0,IF(19=$A73,MAX(End_q,Floor_q),MAX(AQ73+Cost_round*IF(20&lt;=$B73,1,0)-V73,IF(20&lt;=$B73,1,0)*Pre_q,Floor_q)))</f>
        <v>0</v>
      </c>
      <c r="AQ73" s="14" t="n">
        <f aca="false">IF(20&gt;$A73,0,MAX(End_q,Floor_q))</f>
        <v>0</v>
      </c>
      <c r="AR73" s="15" t="n">
        <f aca="false">IF(Q_zero&gt;=W73-0.000000001,1,0)</f>
        <v>1</v>
      </c>
      <c r="AS73" s="14" t="n">
        <f aca="false">IF(1&gt;$A73,0,Q_zero-Cost_round*IF(1&lt;=$B73,1,0)+C73-X73)</f>
        <v>85</v>
      </c>
      <c r="AT73" s="14" t="n">
        <f aca="false">IF(2&gt;$A73,0,X73-Cost_round*IF(2&lt;=$B73,1,0)+D73-Y73)</f>
        <v>0</v>
      </c>
      <c r="AU73" s="14" t="n">
        <f aca="false">IF(3&gt;$A73,0,Y73-Cost_round*IF(3&lt;=$B73,1,0)+E73-Z73)</f>
        <v>2.5</v>
      </c>
      <c r="AV73" s="14" t="n">
        <f aca="false">IF(4&gt;$A73,0,Z73-Cost_round*IF(4&lt;=$B73,1,0)+F73-AA73)</f>
        <v>131.25</v>
      </c>
      <c r="AW73" s="14" t="n">
        <f aca="false">IF(5&gt;$A73,0,AA73-Cost_round*IF(5&lt;=$B73,1,0)+G73-AB73)</f>
        <v>131.25</v>
      </c>
      <c r="AX73" s="14" t="n">
        <f aca="false">IF(6&gt;$A73,0,AB73-Cost_round*IF(6&lt;=$B73,1,0)+H73-AC73)</f>
        <v>131.25</v>
      </c>
      <c r="AY73" s="14" t="n">
        <f aca="false">IF(7&gt;$A73,0,AC73-Cost_round*IF(7&lt;=$B73,1,0)+I73-AD73)</f>
        <v>131.25</v>
      </c>
      <c r="AZ73" s="14" t="n">
        <f aca="false">IF(8&gt;$A73,0,AD73-Cost_round*IF(8&lt;=$B73,1,0)+J73-AE73)</f>
        <v>11.25</v>
      </c>
      <c r="BA73" s="14" t="n">
        <f aca="false">IF(9&gt;$A73,0,AE73-Cost_round*IF(9&lt;=$B73,1,0)+K73-AF73)</f>
        <v>0</v>
      </c>
      <c r="BB73" s="14" t="n">
        <f aca="false">IF(10&gt;$A73,0,AF73-Cost_round*IF(10&lt;=$B73,1,0)+L73-AG73)</f>
        <v>0</v>
      </c>
      <c r="BC73" s="14" t="n">
        <f aca="false">IF(11&gt;$A73,0,AG73-Cost_round*IF(11&lt;=$B73,1,0)+M73-AH73)</f>
        <v>0</v>
      </c>
      <c r="BD73" s="14" t="n">
        <f aca="false">IF(12&gt;$A73,0,AH73-Cost_round*IF(12&lt;=$B73,1,0)+N73-AI73)</f>
        <v>0</v>
      </c>
      <c r="BE73" s="14" t="n">
        <f aca="false">IF(13&gt;$A73,0,AI73-Cost_round*IF(13&lt;=$B73,1,0)+O73-AJ73)</f>
        <v>0</v>
      </c>
      <c r="BF73" s="14" t="n">
        <f aca="false">IF(14&gt;$A73,0,AJ73-Cost_round*IF(14&lt;=$B73,1,0)+P73-AK73)</f>
        <v>0</v>
      </c>
      <c r="BG73" s="14" t="n">
        <f aca="false">IF(15&gt;$A73,0,AK73-Cost_round*IF(15&lt;=$B73,1,0)+Q73-AL73)</f>
        <v>0</v>
      </c>
      <c r="BH73" s="14" t="n">
        <f aca="false">IF(16&gt;$A73,0,AL73-Cost_round*IF(16&lt;=$B73,1,0)+R73-AM73)</f>
        <v>0</v>
      </c>
      <c r="BI73" s="14" t="n">
        <f aca="false">IF(17&gt;$A73,0,AM73-Cost_round*IF(17&lt;=$B73,1,0)+S73-AN73)</f>
        <v>0</v>
      </c>
      <c r="BJ73" s="14" t="n">
        <f aca="false">IF(18&gt;$A73,0,AN73-Cost_round*IF(18&lt;=$B73,1,0)+T73-AO73)</f>
        <v>0</v>
      </c>
      <c r="BK73" s="14" t="n">
        <f aca="false">IF(19&gt;$A73,0,AO73-Cost_round*IF(19&lt;=$B73,1,0)+U73-AP73)</f>
        <v>0</v>
      </c>
      <c r="BL73" s="14" t="n">
        <f aca="false">IF(20&gt;$A73,0,AP73-Cost_round*IF(20&lt;=$B73,1,0)+V73-AQ73)</f>
        <v>0</v>
      </c>
      <c r="BM73" s="17" t="n">
        <f aca="false">IF($AR73=1,SUMPRODUCT(AS73:BL73,$AS$38:$BL$38),"")</f>
        <v>396.979868307859</v>
      </c>
      <c r="BN73" s="17" t="n">
        <f aca="false">IF($AR73=1,BM73+INDEX($AS$38:$BL$38,$A73)*INDEX(C73:V73,$A73)/Hurdle_r,"")</f>
        <v>1009.27080483313</v>
      </c>
    </row>
    <row r="74" customFormat="false" ht="15" hidden="false" customHeight="false" outlineLevel="0" collapsed="false">
      <c r="A74" s="2" t="n">
        <v>9</v>
      </c>
      <c r="B74" s="2" t="n">
        <v>0</v>
      </c>
      <c r="C74" s="14" t="n">
        <f aca="false">IF(1&gt;$A74,0,Val_pt*(Ceiling_e-E_zero)*(1-(1-Half_gap)^MIN(1,$B74)))</f>
        <v>0</v>
      </c>
      <c r="D74" s="14" t="n">
        <f aca="false">IF(2&gt;$A74,0,Val_pt*(Ceiling_e-E_zero)*(1-(1-Half_gap)^MIN(2,$B74)))</f>
        <v>0</v>
      </c>
      <c r="E74" s="14" t="n">
        <f aca="false">IF(3&gt;$A74,0,Val_pt*(Ceiling_e-E_zero)*(1-(1-Half_gap)^MIN(3,$B74)))</f>
        <v>0</v>
      </c>
      <c r="F74" s="14" t="n">
        <f aca="false">IF(4&gt;$A74,0,Val_pt*(Ceiling_e-E_zero)*(1-(1-Half_gap)^MIN(4,$B74)))</f>
        <v>0</v>
      </c>
      <c r="G74" s="14" t="n">
        <f aca="false">IF(5&gt;$A74,0,Val_pt*(Ceiling_e-E_zero)*(1-(1-Half_gap)^MIN(5,$B74)))</f>
        <v>0</v>
      </c>
      <c r="H74" s="14" t="n">
        <f aca="false">IF(6&gt;$A74,0,Val_pt*(Ceiling_e-E_zero)*(1-(1-Half_gap)^MIN(6,$B74)))</f>
        <v>0</v>
      </c>
      <c r="I74" s="14" t="n">
        <f aca="false">IF(7&gt;$A74,0,Val_pt*(Ceiling_e-E_zero)*(1-(1-Half_gap)^MIN(7,$B74)))</f>
        <v>0</v>
      </c>
      <c r="J74" s="14" t="n">
        <f aca="false">IF(8&gt;$A74,0,Val_pt*(Ceiling_e-E_zero)*(1-(1-Half_gap)^MIN(8,$B74)))</f>
        <v>0</v>
      </c>
      <c r="K74" s="14" t="n">
        <f aca="false">IF(9&gt;$A74,0,Val_pt*(Ceiling_e-E_zero)*(1-(1-Half_gap)^MIN(9,$B74)))</f>
        <v>0</v>
      </c>
      <c r="L74" s="14" t="n">
        <f aca="false">IF(10&gt;$A74,0,Val_pt*(Ceiling_e-E_zero)*(1-(1-Half_gap)^MIN(10,$B74)))</f>
        <v>0</v>
      </c>
      <c r="M74" s="14" t="n">
        <f aca="false">IF(11&gt;$A74,0,Val_pt*(Ceiling_e-E_zero)*(1-(1-Half_gap)^MIN(11,$B74)))</f>
        <v>0</v>
      </c>
      <c r="N74" s="14" t="n">
        <f aca="false">IF(12&gt;$A74,0,Val_pt*(Ceiling_e-E_zero)*(1-(1-Half_gap)^MIN(12,$B74)))</f>
        <v>0</v>
      </c>
      <c r="O74" s="14" t="n">
        <f aca="false">IF(13&gt;$A74,0,Val_pt*(Ceiling_e-E_zero)*(1-(1-Half_gap)^MIN(13,$B74)))</f>
        <v>0</v>
      </c>
      <c r="P74" s="14" t="n">
        <f aca="false">IF(14&gt;$A74,0,Val_pt*(Ceiling_e-E_zero)*(1-(1-Half_gap)^MIN(14,$B74)))</f>
        <v>0</v>
      </c>
      <c r="Q74" s="14" t="n">
        <f aca="false">IF(15&gt;$A74,0,Val_pt*(Ceiling_e-E_zero)*(1-(1-Half_gap)^MIN(15,$B74)))</f>
        <v>0</v>
      </c>
      <c r="R74" s="14" t="n">
        <f aca="false">IF(16&gt;$A74,0,Val_pt*(Ceiling_e-E_zero)*(1-(1-Half_gap)^MIN(16,$B74)))</f>
        <v>0</v>
      </c>
      <c r="S74" s="14" t="n">
        <f aca="false">IF(17&gt;$A74,0,Val_pt*(Ceiling_e-E_zero)*(1-(1-Half_gap)^MIN(17,$B74)))</f>
        <v>0</v>
      </c>
      <c r="T74" s="14" t="n">
        <f aca="false">IF(18&gt;$A74,0,Val_pt*(Ceiling_e-E_zero)*(1-(1-Half_gap)^MIN(18,$B74)))</f>
        <v>0</v>
      </c>
      <c r="U74" s="14" t="n">
        <f aca="false">IF(19&gt;$A74,0,Val_pt*(Ceiling_e-E_zero)*(1-(1-Half_gap)^MIN(19,$B74)))</f>
        <v>0</v>
      </c>
      <c r="V74" s="14" t="n">
        <f aca="false">IF(20&gt;$A74,0,Val_pt*(Ceiling_e-E_zero)*(1-(1-Half_gap)^MIN(20,$B74)))</f>
        <v>0</v>
      </c>
      <c r="W74" s="14" t="n">
        <f aca="false">IF(0&gt;$A74,0,IF(0=$A74,MAX(End_q,Floor_q),MAX(X74+Cost_round*IF(1&lt;=$B74,1,0)-C74,IF(1&lt;=$B74,1,0)*Pre_q)))</f>
        <v>470</v>
      </c>
      <c r="X74" s="14" t="n">
        <f aca="false">IF(1&gt;$A74,0,IF(1=$A74,MAX(End_q,Floor_q),MAX(Y74+Cost_round*IF(2&lt;=$B74,1,0)-D74,IF(2&lt;=$B74,1,0)*Pre_q,Floor_q)))</f>
        <v>470</v>
      </c>
      <c r="Y74" s="14" t="n">
        <f aca="false">IF(2&gt;$A74,0,IF(2=$A74,MAX(End_q,Floor_q),MAX(Z74+Cost_round*IF(3&lt;=$B74,1,0)-E74,IF(3&lt;=$B74,1,0)*Pre_q,Floor_q)))</f>
        <v>470</v>
      </c>
      <c r="Z74" s="14" t="n">
        <f aca="false">IF(3&gt;$A74,0,IF(3=$A74,MAX(End_q,Floor_q),MAX(AA74+Cost_round*IF(4&lt;=$B74,1,0)-F74,IF(4&lt;=$B74,1,0)*Pre_q,Floor_q)))</f>
        <v>470</v>
      </c>
      <c r="AA74" s="14" t="n">
        <f aca="false">IF(4&gt;$A74,0,IF(4=$A74,MAX(End_q,Floor_q),MAX(AB74+Cost_round*IF(5&lt;=$B74,1,0)-G74,IF(5&lt;=$B74,1,0)*Pre_q,Floor_q)))</f>
        <v>470</v>
      </c>
      <c r="AB74" s="14" t="n">
        <f aca="false">IF(5&gt;$A74,0,IF(5=$A74,MAX(End_q,Floor_q),MAX(AC74+Cost_round*IF(6&lt;=$B74,1,0)-H74,IF(6&lt;=$B74,1,0)*Pre_q,Floor_q)))</f>
        <v>470</v>
      </c>
      <c r="AC74" s="14" t="n">
        <f aca="false">IF(6&gt;$A74,0,IF(6=$A74,MAX(End_q,Floor_q),MAX(AD74+Cost_round*IF(7&lt;=$B74,1,0)-I74,IF(7&lt;=$B74,1,0)*Pre_q,Floor_q)))</f>
        <v>470</v>
      </c>
      <c r="AD74" s="14" t="n">
        <f aca="false">IF(7&gt;$A74,0,IF(7=$A74,MAX(End_q,Floor_q),MAX(AE74+Cost_round*IF(8&lt;=$B74,1,0)-J74,IF(8&lt;=$B74,1,0)*Pre_q,Floor_q)))</f>
        <v>470</v>
      </c>
      <c r="AE74" s="14" t="n">
        <f aca="false">IF(8&gt;$A74,0,IF(8=$A74,MAX(End_q,Floor_q),MAX(AF74+Cost_round*IF(9&lt;=$B74,1,0)-K74,IF(9&lt;=$B74,1,0)*Pre_q,Floor_q)))</f>
        <v>470</v>
      </c>
      <c r="AF74" s="14" t="n">
        <f aca="false">IF(9&gt;$A74,0,IF(9=$A74,MAX(End_q,Floor_q),MAX(AG74+Cost_round*IF(10&lt;=$B74,1,0)-L74,IF(10&lt;=$B74,1,0)*Pre_q,Floor_q)))</f>
        <v>470</v>
      </c>
      <c r="AG74" s="14" t="n">
        <f aca="false">IF(10&gt;$A74,0,IF(10=$A74,MAX(End_q,Floor_q),MAX(AH74+Cost_round*IF(11&lt;=$B74,1,0)-M74,IF(11&lt;=$B74,1,0)*Pre_q,Floor_q)))</f>
        <v>0</v>
      </c>
      <c r="AH74" s="14" t="n">
        <f aca="false">IF(11&gt;$A74,0,IF(11=$A74,MAX(End_q,Floor_q),MAX(AI74+Cost_round*IF(12&lt;=$B74,1,0)-N74,IF(12&lt;=$B74,1,0)*Pre_q,Floor_q)))</f>
        <v>0</v>
      </c>
      <c r="AI74" s="14" t="n">
        <f aca="false">IF(12&gt;$A74,0,IF(12=$A74,MAX(End_q,Floor_q),MAX(AJ74+Cost_round*IF(13&lt;=$B74,1,0)-O74,IF(13&lt;=$B74,1,0)*Pre_q,Floor_q)))</f>
        <v>0</v>
      </c>
      <c r="AJ74" s="14" t="n">
        <f aca="false">IF(13&gt;$A74,0,IF(13=$A74,MAX(End_q,Floor_q),MAX(AK74+Cost_round*IF(14&lt;=$B74,1,0)-P74,IF(14&lt;=$B74,1,0)*Pre_q,Floor_q)))</f>
        <v>0</v>
      </c>
      <c r="AK74" s="14" t="n">
        <f aca="false">IF(14&gt;$A74,0,IF(14=$A74,MAX(End_q,Floor_q),MAX(AL74+Cost_round*IF(15&lt;=$B74,1,0)-Q74,IF(15&lt;=$B74,1,0)*Pre_q,Floor_q)))</f>
        <v>0</v>
      </c>
      <c r="AL74" s="14" t="n">
        <f aca="false">IF(15&gt;$A74,0,IF(15=$A74,MAX(End_q,Floor_q),MAX(AM74+Cost_round*IF(16&lt;=$B74,1,0)-R74,IF(16&lt;=$B74,1,0)*Pre_q,Floor_q)))</f>
        <v>0</v>
      </c>
      <c r="AM74" s="14" t="n">
        <f aca="false">IF(16&gt;$A74,0,IF(16=$A74,MAX(End_q,Floor_q),MAX(AN74+Cost_round*IF(17&lt;=$B74,1,0)-S74,IF(17&lt;=$B74,1,0)*Pre_q,Floor_q)))</f>
        <v>0</v>
      </c>
      <c r="AN74" s="14" t="n">
        <f aca="false">IF(17&gt;$A74,0,IF(17=$A74,MAX(End_q,Floor_q),MAX(AO74+Cost_round*IF(18&lt;=$B74,1,0)-T74,IF(18&lt;=$B74,1,0)*Pre_q,Floor_q)))</f>
        <v>0</v>
      </c>
      <c r="AO74" s="14" t="n">
        <f aca="false">IF(18&gt;$A74,0,IF(18=$A74,MAX(End_q,Floor_q),MAX(AP74+Cost_round*IF(19&lt;=$B74,1,0)-U74,IF(19&lt;=$B74,1,0)*Pre_q,Floor_q)))</f>
        <v>0</v>
      </c>
      <c r="AP74" s="14" t="n">
        <f aca="false">IF(19&gt;$A74,0,IF(19=$A74,MAX(End_q,Floor_q),MAX(AQ74+Cost_round*IF(20&lt;=$B74,1,0)-V74,IF(20&lt;=$B74,1,0)*Pre_q,Floor_q)))</f>
        <v>0</v>
      </c>
      <c r="AQ74" s="14" t="n">
        <f aca="false">IF(20&gt;$A74,0,MAX(End_q,Floor_q))</f>
        <v>0</v>
      </c>
      <c r="AR74" s="15" t="n">
        <f aca="false">IF(Q_zero&gt;=W74-0.000000001,1,0)</f>
        <v>1</v>
      </c>
      <c r="AS74" s="14" t="n">
        <f aca="false">IF(1&gt;$A74,0,Q_zero-Cost_round*IF(1&lt;=$B74,1,0)+C74-X74)</f>
        <v>150</v>
      </c>
      <c r="AT74" s="14" t="n">
        <f aca="false">IF(2&gt;$A74,0,X74-Cost_round*IF(2&lt;=$B74,1,0)+D74-Y74)</f>
        <v>0</v>
      </c>
      <c r="AU74" s="14" t="n">
        <f aca="false">IF(3&gt;$A74,0,Y74-Cost_round*IF(3&lt;=$B74,1,0)+E74-Z74)</f>
        <v>0</v>
      </c>
      <c r="AV74" s="14" t="n">
        <f aca="false">IF(4&gt;$A74,0,Z74-Cost_round*IF(4&lt;=$B74,1,0)+F74-AA74)</f>
        <v>0</v>
      </c>
      <c r="AW74" s="14" t="n">
        <f aca="false">IF(5&gt;$A74,0,AA74-Cost_round*IF(5&lt;=$B74,1,0)+G74-AB74)</f>
        <v>0</v>
      </c>
      <c r="AX74" s="14" t="n">
        <f aca="false">IF(6&gt;$A74,0,AB74-Cost_round*IF(6&lt;=$B74,1,0)+H74-AC74)</f>
        <v>0</v>
      </c>
      <c r="AY74" s="14" t="n">
        <f aca="false">IF(7&gt;$A74,0,AC74-Cost_round*IF(7&lt;=$B74,1,0)+I74-AD74)</f>
        <v>0</v>
      </c>
      <c r="AZ74" s="14" t="n">
        <f aca="false">IF(8&gt;$A74,0,AD74-Cost_round*IF(8&lt;=$B74,1,0)+J74-AE74)</f>
        <v>0</v>
      </c>
      <c r="BA74" s="14" t="n">
        <f aca="false">IF(9&gt;$A74,0,AE74-Cost_round*IF(9&lt;=$B74,1,0)+K74-AF74)</f>
        <v>0</v>
      </c>
      <c r="BB74" s="14" t="n">
        <f aca="false">IF(10&gt;$A74,0,AF74-Cost_round*IF(10&lt;=$B74,1,0)+L74-AG74)</f>
        <v>0</v>
      </c>
      <c r="BC74" s="14" t="n">
        <f aca="false">IF(11&gt;$A74,0,AG74-Cost_round*IF(11&lt;=$B74,1,0)+M74-AH74)</f>
        <v>0</v>
      </c>
      <c r="BD74" s="14" t="n">
        <f aca="false">IF(12&gt;$A74,0,AH74-Cost_round*IF(12&lt;=$B74,1,0)+N74-AI74)</f>
        <v>0</v>
      </c>
      <c r="BE74" s="14" t="n">
        <f aca="false">IF(13&gt;$A74,0,AI74-Cost_round*IF(13&lt;=$B74,1,0)+O74-AJ74)</f>
        <v>0</v>
      </c>
      <c r="BF74" s="14" t="n">
        <f aca="false">IF(14&gt;$A74,0,AJ74-Cost_round*IF(14&lt;=$B74,1,0)+P74-AK74)</f>
        <v>0</v>
      </c>
      <c r="BG74" s="14" t="n">
        <f aca="false">IF(15&gt;$A74,0,AK74-Cost_round*IF(15&lt;=$B74,1,0)+Q74-AL74)</f>
        <v>0</v>
      </c>
      <c r="BH74" s="14" t="n">
        <f aca="false">IF(16&gt;$A74,0,AL74-Cost_round*IF(16&lt;=$B74,1,0)+R74-AM74)</f>
        <v>0</v>
      </c>
      <c r="BI74" s="14" t="n">
        <f aca="false">IF(17&gt;$A74,0,AM74-Cost_round*IF(17&lt;=$B74,1,0)+S74-AN74)</f>
        <v>0</v>
      </c>
      <c r="BJ74" s="14" t="n">
        <f aca="false">IF(18&gt;$A74,0,AN74-Cost_round*IF(18&lt;=$B74,1,0)+T74-AO74)</f>
        <v>0</v>
      </c>
      <c r="BK74" s="14" t="n">
        <f aca="false">IF(19&gt;$A74,0,AO74-Cost_round*IF(19&lt;=$B74,1,0)+U74-AP74)</f>
        <v>0</v>
      </c>
      <c r="BL74" s="14" t="n">
        <f aca="false">IF(20&gt;$A74,0,AP74-Cost_round*IF(20&lt;=$B74,1,0)+V74-AQ74)</f>
        <v>0</v>
      </c>
      <c r="BM74" s="17" t="n">
        <f aca="false">IF($AR74=1,SUMPRODUCT(AS74:BL74,$AS$38:$BL$38),"")</f>
        <v>136.363636363636</v>
      </c>
      <c r="BN74" s="17" t="n">
        <f aca="false">IF($AR74=1,BM74+INDEX($AS$38:$BL$38,$A74)*INDEX(C74:V74,$A74)/Hurdle_r,"")</f>
        <v>136.363636363636</v>
      </c>
    </row>
    <row r="75" customFormat="false" ht="15" hidden="false" customHeight="false" outlineLevel="0" collapsed="false">
      <c r="A75" s="2" t="n">
        <v>9</v>
      </c>
      <c r="B75" s="2" t="n">
        <v>1</v>
      </c>
      <c r="C75" s="14" t="n">
        <f aca="false">IF(1&gt;$A75,0,Val_pt*(Ceiling_e-E_zero)*(1-(1-Half_gap)^MIN(1,$B75)))</f>
        <v>70</v>
      </c>
      <c r="D75" s="14" t="n">
        <f aca="false">IF(2&gt;$A75,0,Val_pt*(Ceiling_e-E_zero)*(1-(1-Half_gap)^MIN(2,$B75)))</f>
        <v>70</v>
      </c>
      <c r="E75" s="14" t="n">
        <f aca="false">IF(3&gt;$A75,0,Val_pt*(Ceiling_e-E_zero)*(1-(1-Half_gap)^MIN(3,$B75)))</f>
        <v>70</v>
      </c>
      <c r="F75" s="14" t="n">
        <f aca="false">IF(4&gt;$A75,0,Val_pt*(Ceiling_e-E_zero)*(1-(1-Half_gap)^MIN(4,$B75)))</f>
        <v>70</v>
      </c>
      <c r="G75" s="14" t="n">
        <f aca="false">IF(5&gt;$A75,0,Val_pt*(Ceiling_e-E_zero)*(1-(1-Half_gap)^MIN(5,$B75)))</f>
        <v>70</v>
      </c>
      <c r="H75" s="14" t="n">
        <f aca="false">IF(6&gt;$A75,0,Val_pt*(Ceiling_e-E_zero)*(1-(1-Half_gap)^MIN(6,$B75)))</f>
        <v>70</v>
      </c>
      <c r="I75" s="14" t="n">
        <f aca="false">IF(7&gt;$A75,0,Val_pt*(Ceiling_e-E_zero)*(1-(1-Half_gap)^MIN(7,$B75)))</f>
        <v>70</v>
      </c>
      <c r="J75" s="14" t="n">
        <f aca="false">IF(8&gt;$A75,0,Val_pt*(Ceiling_e-E_zero)*(1-(1-Half_gap)^MIN(8,$B75)))</f>
        <v>70</v>
      </c>
      <c r="K75" s="14" t="n">
        <f aca="false">IF(9&gt;$A75,0,Val_pt*(Ceiling_e-E_zero)*(1-(1-Half_gap)^MIN(9,$B75)))</f>
        <v>70</v>
      </c>
      <c r="L75" s="14" t="n">
        <f aca="false">IF(10&gt;$A75,0,Val_pt*(Ceiling_e-E_zero)*(1-(1-Half_gap)^MIN(10,$B75)))</f>
        <v>0</v>
      </c>
      <c r="M75" s="14" t="n">
        <f aca="false">IF(11&gt;$A75,0,Val_pt*(Ceiling_e-E_zero)*(1-(1-Half_gap)^MIN(11,$B75)))</f>
        <v>0</v>
      </c>
      <c r="N75" s="14" t="n">
        <f aca="false">IF(12&gt;$A75,0,Val_pt*(Ceiling_e-E_zero)*(1-(1-Half_gap)^MIN(12,$B75)))</f>
        <v>0</v>
      </c>
      <c r="O75" s="14" t="n">
        <f aca="false">IF(13&gt;$A75,0,Val_pt*(Ceiling_e-E_zero)*(1-(1-Half_gap)^MIN(13,$B75)))</f>
        <v>0</v>
      </c>
      <c r="P75" s="14" t="n">
        <f aca="false">IF(14&gt;$A75,0,Val_pt*(Ceiling_e-E_zero)*(1-(1-Half_gap)^MIN(14,$B75)))</f>
        <v>0</v>
      </c>
      <c r="Q75" s="14" t="n">
        <f aca="false">IF(15&gt;$A75,0,Val_pt*(Ceiling_e-E_zero)*(1-(1-Half_gap)^MIN(15,$B75)))</f>
        <v>0</v>
      </c>
      <c r="R75" s="14" t="n">
        <f aca="false">IF(16&gt;$A75,0,Val_pt*(Ceiling_e-E_zero)*(1-(1-Half_gap)^MIN(16,$B75)))</f>
        <v>0</v>
      </c>
      <c r="S75" s="14" t="n">
        <f aca="false">IF(17&gt;$A75,0,Val_pt*(Ceiling_e-E_zero)*(1-(1-Half_gap)^MIN(17,$B75)))</f>
        <v>0</v>
      </c>
      <c r="T75" s="14" t="n">
        <f aca="false">IF(18&gt;$A75,0,Val_pt*(Ceiling_e-E_zero)*(1-(1-Half_gap)^MIN(18,$B75)))</f>
        <v>0</v>
      </c>
      <c r="U75" s="14" t="n">
        <f aca="false">IF(19&gt;$A75,0,Val_pt*(Ceiling_e-E_zero)*(1-(1-Half_gap)^MIN(19,$B75)))</f>
        <v>0</v>
      </c>
      <c r="V75" s="14" t="n">
        <f aca="false">IF(20&gt;$A75,0,Val_pt*(Ceiling_e-E_zero)*(1-(1-Half_gap)^MIN(20,$B75)))</f>
        <v>0</v>
      </c>
      <c r="W75" s="14" t="n">
        <f aca="false">IF(0&gt;$A75,0,IF(0=$A75,MAX(End_q,Floor_q),MAX(X75+Cost_round*IF(1&lt;=$B75,1,0)-C75,IF(1&lt;=$B75,1,0)*Pre_q)))</f>
        <v>470</v>
      </c>
      <c r="X75" s="14" t="n">
        <f aca="false">IF(1&gt;$A75,0,IF(1=$A75,MAX(End_q,Floor_q),MAX(Y75+Cost_round*IF(2&lt;=$B75,1,0)-D75,IF(2&lt;=$B75,1,0)*Pre_q,Floor_q)))</f>
        <v>350</v>
      </c>
      <c r="Y75" s="14" t="n">
        <f aca="false">IF(2&gt;$A75,0,IF(2=$A75,MAX(End_q,Floor_q),MAX(Z75+Cost_round*IF(3&lt;=$B75,1,0)-E75,IF(3&lt;=$B75,1,0)*Pre_q,Floor_q)))</f>
        <v>350</v>
      </c>
      <c r="Z75" s="14" t="n">
        <f aca="false">IF(3&gt;$A75,0,IF(3=$A75,MAX(End_q,Floor_q),MAX(AA75+Cost_round*IF(4&lt;=$B75,1,0)-F75,IF(4&lt;=$B75,1,0)*Pre_q,Floor_q)))</f>
        <v>350</v>
      </c>
      <c r="AA75" s="14" t="n">
        <f aca="false">IF(4&gt;$A75,0,IF(4=$A75,MAX(End_q,Floor_q),MAX(AB75+Cost_round*IF(5&lt;=$B75,1,0)-G75,IF(5&lt;=$B75,1,0)*Pre_q,Floor_q)))</f>
        <v>350</v>
      </c>
      <c r="AB75" s="14" t="n">
        <f aca="false">IF(5&gt;$A75,0,IF(5=$A75,MAX(End_q,Floor_q),MAX(AC75+Cost_round*IF(6&lt;=$B75,1,0)-H75,IF(6&lt;=$B75,1,0)*Pre_q,Floor_q)))</f>
        <v>350</v>
      </c>
      <c r="AC75" s="14" t="n">
        <f aca="false">IF(6&gt;$A75,0,IF(6=$A75,MAX(End_q,Floor_q),MAX(AD75+Cost_round*IF(7&lt;=$B75,1,0)-I75,IF(7&lt;=$B75,1,0)*Pre_q,Floor_q)))</f>
        <v>350</v>
      </c>
      <c r="AD75" s="14" t="n">
        <f aca="false">IF(7&gt;$A75,0,IF(7=$A75,MAX(End_q,Floor_q),MAX(AE75+Cost_round*IF(8&lt;=$B75,1,0)-J75,IF(8&lt;=$B75,1,0)*Pre_q,Floor_q)))</f>
        <v>350</v>
      </c>
      <c r="AE75" s="14" t="n">
        <f aca="false">IF(8&gt;$A75,0,IF(8=$A75,MAX(End_q,Floor_q),MAX(AF75+Cost_round*IF(9&lt;=$B75,1,0)-K75,IF(9&lt;=$B75,1,0)*Pre_q,Floor_q)))</f>
        <v>400</v>
      </c>
      <c r="AF75" s="14" t="n">
        <f aca="false">IF(9&gt;$A75,0,IF(9=$A75,MAX(End_q,Floor_q),MAX(AG75+Cost_round*IF(10&lt;=$B75,1,0)-L75,IF(10&lt;=$B75,1,0)*Pre_q,Floor_q)))</f>
        <v>470</v>
      </c>
      <c r="AG75" s="14" t="n">
        <f aca="false">IF(10&gt;$A75,0,IF(10=$A75,MAX(End_q,Floor_q),MAX(AH75+Cost_round*IF(11&lt;=$B75,1,0)-M75,IF(11&lt;=$B75,1,0)*Pre_q,Floor_q)))</f>
        <v>0</v>
      </c>
      <c r="AH75" s="14" t="n">
        <f aca="false">IF(11&gt;$A75,0,IF(11=$A75,MAX(End_q,Floor_q),MAX(AI75+Cost_round*IF(12&lt;=$B75,1,0)-N75,IF(12&lt;=$B75,1,0)*Pre_q,Floor_q)))</f>
        <v>0</v>
      </c>
      <c r="AI75" s="14" t="n">
        <f aca="false">IF(12&gt;$A75,0,IF(12=$A75,MAX(End_q,Floor_q),MAX(AJ75+Cost_round*IF(13&lt;=$B75,1,0)-O75,IF(13&lt;=$B75,1,0)*Pre_q,Floor_q)))</f>
        <v>0</v>
      </c>
      <c r="AJ75" s="14" t="n">
        <f aca="false">IF(13&gt;$A75,0,IF(13=$A75,MAX(End_q,Floor_q),MAX(AK75+Cost_round*IF(14&lt;=$B75,1,0)-P75,IF(14&lt;=$B75,1,0)*Pre_q,Floor_q)))</f>
        <v>0</v>
      </c>
      <c r="AK75" s="14" t="n">
        <f aca="false">IF(14&gt;$A75,0,IF(14=$A75,MAX(End_q,Floor_q),MAX(AL75+Cost_round*IF(15&lt;=$B75,1,0)-Q75,IF(15&lt;=$B75,1,0)*Pre_q,Floor_q)))</f>
        <v>0</v>
      </c>
      <c r="AL75" s="14" t="n">
        <f aca="false">IF(15&gt;$A75,0,IF(15=$A75,MAX(End_q,Floor_q),MAX(AM75+Cost_round*IF(16&lt;=$B75,1,0)-R75,IF(16&lt;=$B75,1,0)*Pre_q,Floor_q)))</f>
        <v>0</v>
      </c>
      <c r="AM75" s="14" t="n">
        <f aca="false">IF(16&gt;$A75,0,IF(16=$A75,MAX(End_q,Floor_q),MAX(AN75+Cost_round*IF(17&lt;=$B75,1,0)-S75,IF(17&lt;=$B75,1,0)*Pre_q,Floor_q)))</f>
        <v>0</v>
      </c>
      <c r="AN75" s="14" t="n">
        <f aca="false">IF(17&gt;$A75,0,IF(17=$A75,MAX(End_q,Floor_q),MAX(AO75+Cost_round*IF(18&lt;=$B75,1,0)-T75,IF(18&lt;=$B75,1,0)*Pre_q,Floor_q)))</f>
        <v>0</v>
      </c>
      <c r="AO75" s="14" t="n">
        <f aca="false">IF(18&gt;$A75,0,IF(18=$A75,MAX(End_q,Floor_q),MAX(AP75+Cost_round*IF(19&lt;=$B75,1,0)-U75,IF(19&lt;=$B75,1,0)*Pre_q,Floor_q)))</f>
        <v>0</v>
      </c>
      <c r="AP75" s="14" t="n">
        <f aca="false">IF(19&gt;$A75,0,IF(19=$A75,MAX(End_q,Floor_q),MAX(AQ75+Cost_round*IF(20&lt;=$B75,1,0)-V75,IF(20&lt;=$B75,1,0)*Pre_q,Floor_q)))</f>
        <v>0</v>
      </c>
      <c r="AQ75" s="14" t="n">
        <f aca="false">IF(20&gt;$A75,0,MAX(End_q,Floor_q))</f>
        <v>0</v>
      </c>
      <c r="AR75" s="15" t="n">
        <f aca="false">IF(Q_zero&gt;=W75-0.000000001,1,0)</f>
        <v>1</v>
      </c>
      <c r="AS75" s="14" t="n">
        <f aca="false">IF(1&gt;$A75,0,Q_zero-Cost_round*IF(1&lt;=$B75,1,0)+C75-X75)</f>
        <v>220</v>
      </c>
      <c r="AT75" s="14" t="n">
        <f aca="false">IF(2&gt;$A75,0,X75-Cost_round*IF(2&lt;=$B75,1,0)+D75-Y75)</f>
        <v>70</v>
      </c>
      <c r="AU75" s="14" t="n">
        <f aca="false">IF(3&gt;$A75,0,Y75-Cost_round*IF(3&lt;=$B75,1,0)+E75-Z75)</f>
        <v>70</v>
      </c>
      <c r="AV75" s="14" t="n">
        <f aca="false">IF(4&gt;$A75,0,Z75-Cost_round*IF(4&lt;=$B75,1,0)+F75-AA75)</f>
        <v>70</v>
      </c>
      <c r="AW75" s="14" t="n">
        <f aca="false">IF(5&gt;$A75,0,AA75-Cost_round*IF(5&lt;=$B75,1,0)+G75-AB75)</f>
        <v>70</v>
      </c>
      <c r="AX75" s="14" t="n">
        <f aca="false">IF(6&gt;$A75,0,AB75-Cost_round*IF(6&lt;=$B75,1,0)+H75-AC75)</f>
        <v>70</v>
      </c>
      <c r="AY75" s="14" t="n">
        <f aca="false">IF(7&gt;$A75,0,AC75-Cost_round*IF(7&lt;=$B75,1,0)+I75-AD75)</f>
        <v>70</v>
      </c>
      <c r="AZ75" s="14" t="n">
        <f aca="false">IF(8&gt;$A75,0,AD75-Cost_round*IF(8&lt;=$B75,1,0)+J75-AE75)</f>
        <v>20</v>
      </c>
      <c r="BA75" s="14" t="n">
        <f aca="false">IF(9&gt;$A75,0,AE75-Cost_round*IF(9&lt;=$B75,1,0)+K75-AF75)</f>
        <v>0</v>
      </c>
      <c r="BB75" s="14" t="n">
        <f aca="false">IF(10&gt;$A75,0,AF75-Cost_round*IF(10&lt;=$B75,1,0)+L75-AG75)</f>
        <v>0</v>
      </c>
      <c r="BC75" s="14" t="n">
        <f aca="false">IF(11&gt;$A75,0,AG75-Cost_round*IF(11&lt;=$B75,1,0)+M75-AH75)</f>
        <v>0</v>
      </c>
      <c r="BD75" s="14" t="n">
        <f aca="false">IF(12&gt;$A75,0,AH75-Cost_round*IF(12&lt;=$B75,1,0)+N75-AI75)</f>
        <v>0</v>
      </c>
      <c r="BE75" s="14" t="n">
        <f aca="false">IF(13&gt;$A75,0,AI75-Cost_round*IF(13&lt;=$B75,1,0)+O75-AJ75)</f>
        <v>0</v>
      </c>
      <c r="BF75" s="14" t="n">
        <f aca="false">IF(14&gt;$A75,0,AJ75-Cost_round*IF(14&lt;=$B75,1,0)+P75-AK75)</f>
        <v>0</v>
      </c>
      <c r="BG75" s="14" t="n">
        <f aca="false">IF(15&gt;$A75,0,AK75-Cost_round*IF(15&lt;=$B75,1,0)+Q75-AL75)</f>
        <v>0</v>
      </c>
      <c r="BH75" s="14" t="n">
        <f aca="false">IF(16&gt;$A75,0,AL75-Cost_round*IF(16&lt;=$B75,1,0)+R75-AM75)</f>
        <v>0</v>
      </c>
      <c r="BI75" s="14" t="n">
        <f aca="false">IF(17&gt;$A75,0,AM75-Cost_round*IF(17&lt;=$B75,1,0)+S75-AN75)</f>
        <v>0</v>
      </c>
      <c r="BJ75" s="14" t="n">
        <f aca="false">IF(18&gt;$A75,0,AN75-Cost_round*IF(18&lt;=$B75,1,0)+T75-AO75)</f>
        <v>0</v>
      </c>
      <c r="BK75" s="14" t="n">
        <f aca="false">IF(19&gt;$A75,0,AO75-Cost_round*IF(19&lt;=$B75,1,0)+U75-AP75)</f>
        <v>0</v>
      </c>
      <c r="BL75" s="14" t="n">
        <f aca="false">IF(20&gt;$A75,0,AP75-Cost_round*IF(20&lt;=$B75,1,0)+V75-AQ75)</f>
        <v>0</v>
      </c>
      <c r="BM75" s="17" t="n">
        <f aca="false">IF($AR75=1,SUMPRODUCT(AS75:BL75,$AS$38:$BL$38),"")</f>
        <v>486.483101206336</v>
      </c>
      <c r="BN75" s="17" t="n">
        <f aca="false">IF($AR75=1,BM75+INDEX($AS$38:$BL$38,$A75)*INDEX(C75:V75,$A75)/Hurdle_r,"")</f>
        <v>783.351434067076</v>
      </c>
    </row>
    <row r="76" customFormat="false" ht="15" hidden="false" customHeight="false" outlineLevel="0" collapsed="false">
      <c r="A76" s="2" t="n">
        <v>9</v>
      </c>
      <c r="B76" s="2" t="n">
        <v>2</v>
      </c>
      <c r="C76" s="14" t="n">
        <f aca="false">IF(1&gt;$A76,0,Val_pt*(Ceiling_e-E_zero)*(1-(1-Half_gap)^MIN(1,$B76)))</f>
        <v>70</v>
      </c>
      <c r="D76" s="14" t="n">
        <f aca="false">IF(2&gt;$A76,0,Val_pt*(Ceiling_e-E_zero)*(1-(1-Half_gap)^MIN(2,$B76)))</f>
        <v>105</v>
      </c>
      <c r="E76" s="14" t="n">
        <f aca="false">IF(3&gt;$A76,0,Val_pt*(Ceiling_e-E_zero)*(1-(1-Half_gap)^MIN(3,$B76)))</f>
        <v>105</v>
      </c>
      <c r="F76" s="14" t="n">
        <f aca="false">IF(4&gt;$A76,0,Val_pt*(Ceiling_e-E_zero)*(1-(1-Half_gap)^MIN(4,$B76)))</f>
        <v>105</v>
      </c>
      <c r="G76" s="14" t="n">
        <f aca="false">IF(5&gt;$A76,0,Val_pt*(Ceiling_e-E_zero)*(1-(1-Half_gap)^MIN(5,$B76)))</f>
        <v>105</v>
      </c>
      <c r="H76" s="14" t="n">
        <f aca="false">IF(6&gt;$A76,0,Val_pt*(Ceiling_e-E_zero)*(1-(1-Half_gap)^MIN(6,$B76)))</f>
        <v>105</v>
      </c>
      <c r="I76" s="14" t="n">
        <f aca="false">IF(7&gt;$A76,0,Val_pt*(Ceiling_e-E_zero)*(1-(1-Half_gap)^MIN(7,$B76)))</f>
        <v>105</v>
      </c>
      <c r="J76" s="14" t="n">
        <f aca="false">IF(8&gt;$A76,0,Val_pt*(Ceiling_e-E_zero)*(1-(1-Half_gap)^MIN(8,$B76)))</f>
        <v>105</v>
      </c>
      <c r="K76" s="14" t="n">
        <f aca="false">IF(9&gt;$A76,0,Val_pt*(Ceiling_e-E_zero)*(1-(1-Half_gap)^MIN(9,$B76)))</f>
        <v>105</v>
      </c>
      <c r="L76" s="14" t="n">
        <f aca="false">IF(10&gt;$A76,0,Val_pt*(Ceiling_e-E_zero)*(1-(1-Half_gap)^MIN(10,$B76)))</f>
        <v>0</v>
      </c>
      <c r="M76" s="14" t="n">
        <f aca="false">IF(11&gt;$A76,0,Val_pt*(Ceiling_e-E_zero)*(1-(1-Half_gap)^MIN(11,$B76)))</f>
        <v>0</v>
      </c>
      <c r="N76" s="14" t="n">
        <f aca="false">IF(12&gt;$A76,0,Val_pt*(Ceiling_e-E_zero)*(1-(1-Half_gap)^MIN(12,$B76)))</f>
        <v>0</v>
      </c>
      <c r="O76" s="14" t="n">
        <f aca="false">IF(13&gt;$A76,0,Val_pt*(Ceiling_e-E_zero)*(1-(1-Half_gap)^MIN(13,$B76)))</f>
        <v>0</v>
      </c>
      <c r="P76" s="14" t="n">
        <f aca="false">IF(14&gt;$A76,0,Val_pt*(Ceiling_e-E_zero)*(1-(1-Half_gap)^MIN(14,$B76)))</f>
        <v>0</v>
      </c>
      <c r="Q76" s="14" t="n">
        <f aca="false">IF(15&gt;$A76,0,Val_pt*(Ceiling_e-E_zero)*(1-(1-Half_gap)^MIN(15,$B76)))</f>
        <v>0</v>
      </c>
      <c r="R76" s="14" t="n">
        <f aca="false">IF(16&gt;$A76,0,Val_pt*(Ceiling_e-E_zero)*(1-(1-Half_gap)^MIN(16,$B76)))</f>
        <v>0</v>
      </c>
      <c r="S76" s="14" t="n">
        <f aca="false">IF(17&gt;$A76,0,Val_pt*(Ceiling_e-E_zero)*(1-(1-Half_gap)^MIN(17,$B76)))</f>
        <v>0</v>
      </c>
      <c r="T76" s="14" t="n">
        <f aca="false">IF(18&gt;$A76,0,Val_pt*(Ceiling_e-E_zero)*(1-(1-Half_gap)^MIN(18,$B76)))</f>
        <v>0</v>
      </c>
      <c r="U76" s="14" t="n">
        <f aca="false">IF(19&gt;$A76,0,Val_pt*(Ceiling_e-E_zero)*(1-(1-Half_gap)^MIN(19,$B76)))</f>
        <v>0</v>
      </c>
      <c r="V76" s="14" t="n">
        <f aca="false">IF(20&gt;$A76,0,Val_pt*(Ceiling_e-E_zero)*(1-(1-Half_gap)^MIN(20,$B76)))</f>
        <v>0</v>
      </c>
      <c r="W76" s="14" t="n">
        <f aca="false">IF(0&gt;$A76,0,IF(0=$A76,MAX(End_q,Floor_q),MAX(X76+Cost_round*IF(1&lt;=$B76,1,0)-C76,IF(1&lt;=$B76,1,0)*Pre_q)))</f>
        <v>520</v>
      </c>
      <c r="X76" s="14" t="n">
        <f aca="false">IF(1&gt;$A76,0,IF(1=$A76,MAX(End_q,Floor_q),MAX(Y76+Cost_round*IF(2&lt;=$B76,1,0)-D76,IF(2&lt;=$B76,1,0)*Pre_q,Floor_q)))</f>
        <v>470</v>
      </c>
      <c r="Y76" s="14" t="n">
        <f aca="false">IF(2&gt;$A76,0,IF(2=$A76,MAX(End_q,Floor_q),MAX(Z76+Cost_round*IF(3&lt;=$B76,1,0)-E76,IF(3&lt;=$B76,1,0)*Pre_q,Floor_q)))</f>
        <v>350</v>
      </c>
      <c r="Z76" s="14" t="n">
        <f aca="false">IF(3&gt;$A76,0,IF(3=$A76,MAX(End_q,Floor_q),MAX(AA76+Cost_round*IF(4&lt;=$B76,1,0)-F76,IF(4&lt;=$B76,1,0)*Pre_q,Floor_q)))</f>
        <v>350</v>
      </c>
      <c r="AA76" s="14" t="n">
        <f aca="false">IF(4&gt;$A76,0,IF(4=$A76,MAX(End_q,Floor_q),MAX(AB76+Cost_round*IF(5&lt;=$B76,1,0)-G76,IF(5&lt;=$B76,1,0)*Pre_q,Floor_q)))</f>
        <v>350</v>
      </c>
      <c r="AB76" s="14" t="n">
        <f aca="false">IF(5&gt;$A76,0,IF(5=$A76,MAX(End_q,Floor_q),MAX(AC76+Cost_round*IF(6&lt;=$B76,1,0)-H76,IF(6&lt;=$B76,1,0)*Pre_q,Floor_q)))</f>
        <v>350</v>
      </c>
      <c r="AC76" s="14" t="n">
        <f aca="false">IF(6&gt;$A76,0,IF(6=$A76,MAX(End_q,Floor_q),MAX(AD76+Cost_round*IF(7&lt;=$B76,1,0)-I76,IF(7&lt;=$B76,1,0)*Pre_q,Floor_q)))</f>
        <v>350</v>
      </c>
      <c r="AD76" s="14" t="n">
        <f aca="false">IF(7&gt;$A76,0,IF(7=$A76,MAX(End_q,Floor_q),MAX(AE76+Cost_round*IF(8&lt;=$B76,1,0)-J76,IF(8&lt;=$B76,1,0)*Pre_q,Floor_q)))</f>
        <v>350</v>
      </c>
      <c r="AE76" s="14" t="n">
        <f aca="false">IF(8&gt;$A76,0,IF(8=$A76,MAX(End_q,Floor_q),MAX(AF76+Cost_round*IF(9&lt;=$B76,1,0)-K76,IF(9&lt;=$B76,1,0)*Pre_q,Floor_q)))</f>
        <v>365</v>
      </c>
      <c r="AF76" s="14" t="n">
        <f aca="false">IF(9&gt;$A76,0,IF(9=$A76,MAX(End_q,Floor_q),MAX(AG76+Cost_round*IF(10&lt;=$B76,1,0)-L76,IF(10&lt;=$B76,1,0)*Pre_q,Floor_q)))</f>
        <v>470</v>
      </c>
      <c r="AG76" s="14" t="n">
        <f aca="false">IF(10&gt;$A76,0,IF(10=$A76,MAX(End_q,Floor_q),MAX(AH76+Cost_round*IF(11&lt;=$B76,1,0)-M76,IF(11&lt;=$B76,1,0)*Pre_q,Floor_q)))</f>
        <v>0</v>
      </c>
      <c r="AH76" s="14" t="n">
        <f aca="false">IF(11&gt;$A76,0,IF(11=$A76,MAX(End_q,Floor_q),MAX(AI76+Cost_round*IF(12&lt;=$B76,1,0)-N76,IF(12&lt;=$B76,1,0)*Pre_q,Floor_q)))</f>
        <v>0</v>
      </c>
      <c r="AI76" s="14" t="n">
        <f aca="false">IF(12&gt;$A76,0,IF(12=$A76,MAX(End_q,Floor_q),MAX(AJ76+Cost_round*IF(13&lt;=$B76,1,0)-O76,IF(13&lt;=$B76,1,0)*Pre_q,Floor_q)))</f>
        <v>0</v>
      </c>
      <c r="AJ76" s="14" t="n">
        <f aca="false">IF(13&gt;$A76,0,IF(13=$A76,MAX(End_q,Floor_q),MAX(AK76+Cost_round*IF(14&lt;=$B76,1,0)-P76,IF(14&lt;=$B76,1,0)*Pre_q,Floor_q)))</f>
        <v>0</v>
      </c>
      <c r="AK76" s="14" t="n">
        <f aca="false">IF(14&gt;$A76,0,IF(14=$A76,MAX(End_q,Floor_q),MAX(AL76+Cost_round*IF(15&lt;=$B76,1,0)-Q76,IF(15&lt;=$B76,1,0)*Pre_q,Floor_q)))</f>
        <v>0</v>
      </c>
      <c r="AL76" s="14" t="n">
        <f aca="false">IF(15&gt;$A76,0,IF(15=$A76,MAX(End_q,Floor_q),MAX(AM76+Cost_round*IF(16&lt;=$B76,1,0)-R76,IF(16&lt;=$B76,1,0)*Pre_q,Floor_q)))</f>
        <v>0</v>
      </c>
      <c r="AM76" s="14" t="n">
        <f aca="false">IF(16&gt;$A76,0,IF(16=$A76,MAX(End_q,Floor_q),MAX(AN76+Cost_round*IF(17&lt;=$B76,1,0)-S76,IF(17&lt;=$B76,1,0)*Pre_q,Floor_q)))</f>
        <v>0</v>
      </c>
      <c r="AN76" s="14" t="n">
        <f aca="false">IF(17&gt;$A76,0,IF(17=$A76,MAX(End_q,Floor_q),MAX(AO76+Cost_round*IF(18&lt;=$B76,1,0)-T76,IF(18&lt;=$B76,1,0)*Pre_q,Floor_q)))</f>
        <v>0</v>
      </c>
      <c r="AO76" s="14" t="n">
        <f aca="false">IF(18&gt;$A76,0,IF(18=$A76,MAX(End_q,Floor_q),MAX(AP76+Cost_round*IF(19&lt;=$B76,1,0)-U76,IF(19&lt;=$B76,1,0)*Pre_q,Floor_q)))</f>
        <v>0</v>
      </c>
      <c r="AP76" s="14" t="n">
        <f aca="false">IF(19&gt;$A76,0,IF(19=$A76,MAX(End_q,Floor_q),MAX(AQ76+Cost_round*IF(20&lt;=$B76,1,0)-V76,IF(20&lt;=$B76,1,0)*Pre_q,Floor_q)))</f>
        <v>0</v>
      </c>
      <c r="AQ76" s="14" t="n">
        <f aca="false">IF(20&gt;$A76,0,MAX(End_q,Floor_q))</f>
        <v>0</v>
      </c>
      <c r="AR76" s="15" t="n">
        <f aca="false">IF(Q_zero&gt;=W76-0.000000001,1,0)</f>
        <v>1</v>
      </c>
      <c r="AS76" s="14" t="n">
        <f aca="false">IF(1&gt;$A76,0,Q_zero-Cost_round*IF(1&lt;=$B76,1,0)+C76-X76)</f>
        <v>100</v>
      </c>
      <c r="AT76" s="14" t="n">
        <f aca="false">IF(2&gt;$A76,0,X76-Cost_round*IF(2&lt;=$B76,1,0)+D76-Y76)</f>
        <v>105</v>
      </c>
      <c r="AU76" s="14" t="n">
        <f aca="false">IF(3&gt;$A76,0,Y76-Cost_round*IF(3&lt;=$B76,1,0)+E76-Z76)</f>
        <v>105</v>
      </c>
      <c r="AV76" s="14" t="n">
        <f aca="false">IF(4&gt;$A76,0,Z76-Cost_round*IF(4&lt;=$B76,1,0)+F76-AA76)</f>
        <v>105</v>
      </c>
      <c r="AW76" s="14" t="n">
        <f aca="false">IF(5&gt;$A76,0,AA76-Cost_round*IF(5&lt;=$B76,1,0)+G76-AB76)</f>
        <v>105</v>
      </c>
      <c r="AX76" s="14" t="n">
        <f aca="false">IF(6&gt;$A76,0,AB76-Cost_round*IF(6&lt;=$B76,1,0)+H76-AC76)</f>
        <v>105</v>
      </c>
      <c r="AY76" s="14" t="n">
        <f aca="false">IF(7&gt;$A76,0,AC76-Cost_round*IF(7&lt;=$B76,1,0)+I76-AD76)</f>
        <v>105</v>
      </c>
      <c r="AZ76" s="14" t="n">
        <f aca="false">IF(8&gt;$A76,0,AD76-Cost_round*IF(8&lt;=$B76,1,0)+J76-AE76)</f>
        <v>90</v>
      </c>
      <c r="BA76" s="14" t="n">
        <f aca="false">IF(9&gt;$A76,0,AE76-Cost_round*IF(9&lt;=$B76,1,0)+K76-AF76)</f>
        <v>0</v>
      </c>
      <c r="BB76" s="14" t="n">
        <f aca="false">IF(10&gt;$A76,0,AF76-Cost_round*IF(10&lt;=$B76,1,0)+L76-AG76)</f>
        <v>0</v>
      </c>
      <c r="BC76" s="14" t="n">
        <f aca="false">IF(11&gt;$A76,0,AG76-Cost_round*IF(11&lt;=$B76,1,0)+M76-AH76)</f>
        <v>0</v>
      </c>
      <c r="BD76" s="14" t="n">
        <f aca="false">IF(12&gt;$A76,0,AH76-Cost_round*IF(12&lt;=$B76,1,0)+N76-AI76)</f>
        <v>0</v>
      </c>
      <c r="BE76" s="14" t="n">
        <f aca="false">IF(13&gt;$A76,0,AI76-Cost_round*IF(13&lt;=$B76,1,0)+O76-AJ76)</f>
        <v>0</v>
      </c>
      <c r="BF76" s="14" t="n">
        <f aca="false">IF(14&gt;$A76,0,AJ76-Cost_round*IF(14&lt;=$B76,1,0)+P76-AK76)</f>
        <v>0</v>
      </c>
      <c r="BG76" s="14" t="n">
        <f aca="false">IF(15&gt;$A76,0,AK76-Cost_round*IF(15&lt;=$B76,1,0)+Q76-AL76)</f>
        <v>0</v>
      </c>
      <c r="BH76" s="14" t="n">
        <f aca="false">IF(16&gt;$A76,0,AL76-Cost_round*IF(16&lt;=$B76,1,0)+R76-AM76)</f>
        <v>0</v>
      </c>
      <c r="BI76" s="14" t="n">
        <f aca="false">IF(17&gt;$A76,0,AM76-Cost_round*IF(17&lt;=$B76,1,0)+S76-AN76)</f>
        <v>0</v>
      </c>
      <c r="BJ76" s="14" t="n">
        <f aca="false">IF(18&gt;$A76,0,AN76-Cost_round*IF(18&lt;=$B76,1,0)+T76-AO76)</f>
        <v>0</v>
      </c>
      <c r="BK76" s="14" t="n">
        <f aca="false">IF(19&gt;$A76,0,AO76-Cost_round*IF(19&lt;=$B76,1,0)+U76-AP76)</f>
        <v>0</v>
      </c>
      <c r="BL76" s="14" t="n">
        <f aca="false">IF(20&gt;$A76,0,AP76-Cost_round*IF(20&lt;=$B76,1,0)+V76-AQ76)</f>
        <v>0</v>
      </c>
      <c r="BM76" s="17" t="n">
        <f aca="false">IF($AR76=1,SUMPRODUCT(AS76:BL76,$AS$38:$BL$38),"")</f>
        <v>548.624185531179</v>
      </c>
      <c r="BN76" s="17" t="n">
        <f aca="false">IF($AR76=1,BM76+INDEX($AS$38:$BL$38,$A76)*INDEX(C76:V76,$A76)/Hurdle_r,"")</f>
        <v>993.926684822288</v>
      </c>
    </row>
    <row r="77" customFormat="false" ht="15" hidden="false" customHeight="false" outlineLevel="0" collapsed="false">
      <c r="A77" s="2" t="n">
        <v>9</v>
      </c>
      <c r="B77" s="2" t="n">
        <v>3</v>
      </c>
      <c r="C77" s="14" t="n">
        <f aca="false">IF(1&gt;$A77,0,Val_pt*(Ceiling_e-E_zero)*(1-(1-Half_gap)^MIN(1,$B77)))</f>
        <v>70</v>
      </c>
      <c r="D77" s="14" t="n">
        <f aca="false">IF(2&gt;$A77,0,Val_pt*(Ceiling_e-E_zero)*(1-(1-Half_gap)^MIN(2,$B77)))</f>
        <v>105</v>
      </c>
      <c r="E77" s="14" t="n">
        <f aca="false">IF(3&gt;$A77,0,Val_pt*(Ceiling_e-E_zero)*(1-(1-Half_gap)^MIN(3,$B77)))</f>
        <v>122.5</v>
      </c>
      <c r="F77" s="14" t="n">
        <f aca="false">IF(4&gt;$A77,0,Val_pt*(Ceiling_e-E_zero)*(1-(1-Half_gap)^MIN(4,$B77)))</f>
        <v>122.5</v>
      </c>
      <c r="G77" s="14" t="n">
        <f aca="false">IF(5&gt;$A77,0,Val_pt*(Ceiling_e-E_zero)*(1-(1-Half_gap)^MIN(5,$B77)))</f>
        <v>122.5</v>
      </c>
      <c r="H77" s="14" t="n">
        <f aca="false">IF(6&gt;$A77,0,Val_pt*(Ceiling_e-E_zero)*(1-(1-Half_gap)^MIN(6,$B77)))</f>
        <v>122.5</v>
      </c>
      <c r="I77" s="14" t="n">
        <f aca="false">IF(7&gt;$A77,0,Val_pt*(Ceiling_e-E_zero)*(1-(1-Half_gap)^MIN(7,$B77)))</f>
        <v>122.5</v>
      </c>
      <c r="J77" s="14" t="n">
        <f aca="false">IF(8&gt;$A77,0,Val_pt*(Ceiling_e-E_zero)*(1-(1-Half_gap)^MIN(8,$B77)))</f>
        <v>122.5</v>
      </c>
      <c r="K77" s="14" t="n">
        <f aca="false">IF(9&gt;$A77,0,Val_pt*(Ceiling_e-E_zero)*(1-(1-Half_gap)^MIN(9,$B77)))</f>
        <v>122.5</v>
      </c>
      <c r="L77" s="14" t="n">
        <f aca="false">IF(10&gt;$A77,0,Val_pt*(Ceiling_e-E_zero)*(1-(1-Half_gap)^MIN(10,$B77)))</f>
        <v>0</v>
      </c>
      <c r="M77" s="14" t="n">
        <f aca="false">IF(11&gt;$A77,0,Val_pt*(Ceiling_e-E_zero)*(1-(1-Half_gap)^MIN(11,$B77)))</f>
        <v>0</v>
      </c>
      <c r="N77" s="14" t="n">
        <f aca="false">IF(12&gt;$A77,0,Val_pt*(Ceiling_e-E_zero)*(1-(1-Half_gap)^MIN(12,$B77)))</f>
        <v>0</v>
      </c>
      <c r="O77" s="14" t="n">
        <f aca="false">IF(13&gt;$A77,0,Val_pt*(Ceiling_e-E_zero)*(1-(1-Half_gap)^MIN(13,$B77)))</f>
        <v>0</v>
      </c>
      <c r="P77" s="14" t="n">
        <f aca="false">IF(14&gt;$A77,0,Val_pt*(Ceiling_e-E_zero)*(1-(1-Half_gap)^MIN(14,$B77)))</f>
        <v>0</v>
      </c>
      <c r="Q77" s="14" t="n">
        <f aca="false">IF(15&gt;$A77,0,Val_pt*(Ceiling_e-E_zero)*(1-(1-Half_gap)^MIN(15,$B77)))</f>
        <v>0</v>
      </c>
      <c r="R77" s="14" t="n">
        <f aca="false">IF(16&gt;$A77,0,Val_pt*(Ceiling_e-E_zero)*(1-(1-Half_gap)^MIN(16,$B77)))</f>
        <v>0</v>
      </c>
      <c r="S77" s="14" t="n">
        <f aca="false">IF(17&gt;$A77,0,Val_pt*(Ceiling_e-E_zero)*(1-(1-Half_gap)^MIN(17,$B77)))</f>
        <v>0</v>
      </c>
      <c r="T77" s="14" t="n">
        <f aca="false">IF(18&gt;$A77,0,Val_pt*(Ceiling_e-E_zero)*(1-(1-Half_gap)^MIN(18,$B77)))</f>
        <v>0</v>
      </c>
      <c r="U77" s="14" t="n">
        <f aca="false">IF(19&gt;$A77,0,Val_pt*(Ceiling_e-E_zero)*(1-(1-Half_gap)^MIN(19,$B77)))</f>
        <v>0</v>
      </c>
      <c r="V77" s="14" t="n">
        <f aca="false">IF(20&gt;$A77,0,Val_pt*(Ceiling_e-E_zero)*(1-(1-Half_gap)^MIN(20,$B77)))</f>
        <v>0</v>
      </c>
      <c r="W77" s="14" t="n">
        <f aca="false">IF(0&gt;$A77,0,IF(0=$A77,MAX(End_q,Floor_q),MAX(X77+Cost_round*IF(1&lt;=$B77,1,0)-C77,IF(1&lt;=$B77,1,0)*Pre_q)))</f>
        <v>535</v>
      </c>
      <c r="X77" s="14" t="n">
        <f aca="false">IF(1&gt;$A77,0,IF(1=$A77,MAX(End_q,Floor_q),MAX(Y77+Cost_round*IF(2&lt;=$B77,1,0)-D77,IF(2&lt;=$B77,1,0)*Pre_q,Floor_q)))</f>
        <v>485</v>
      </c>
      <c r="Y77" s="14" t="n">
        <f aca="false">IF(2&gt;$A77,0,IF(2=$A77,MAX(End_q,Floor_q),MAX(Z77+Cost_round*IF(3&lt;=$B77,1,0)-E77,IF(3&lt;=$B77,1,0)*Pre_q,Floor_q)))</f>
        <v>470</v>
      </c>
      <c r="Z77" s="14" t="n">
        <f aca="false">IF(3&gt;$A77,0,IF(3=$A77,MAX(End_q,Floor_q),MAX(AA77+Cost_round*IF(4&lt;=$B77,1,0)-F77,IF(4&lt;=$B77,1,0)*Pre_q,Floor_q)))</f>
        <v>350</v>
      </c>
      <c r="AA77" s="14" t="n">
        <f aca="false">IF(4&gt;$A77,0,IF(4=$A77,MAX(End_q,Floor_q),MAX(AB77+Cost_round*IF(5&lt;=$B77,1,0)-G77,IF(5&lt;=$B77,1,0)*Pre_q,Floor_q)))</f>
        <v>350</v>
      </c>
      <c r="AB77" s="14" t="n">
        <f aca="false">IF(5&gt;$A77,0,IF(5=$A77,MAX(End_q,Floor_q),MAX(AC77+Cost_round*IF(6&lt;=$B77,1,0)-H77,IF(6&lt;=$B77,1,0)*Pre_q,Floor_q)))</f>
        <v>350</v>
      </c>
      <c r="AC77" s="14" t="n">
        <f aca="false">IF(6&gt;$A77,0,IF(6=$A77,MAX(End_q,Floor_q),MAX(AD77+Cost_round*IF(7&lt;=$B77,1,0)-I77,IF(7&lt;=$B77,1,0)*Pre_q,Floor_q)))</f>
        <v>350</v>
      </c>
      <c r="AD77" s="14" t="n">
        <f aca="false">IF(7&gt;$A77,0,IF(7=$A77,MAX(End_q,Floor_q),MAX(AE77+Cost_round*IF(8&lt;=$B77,1,0)-J77,IF(8&lt;=$B77,1,0)*Pre_q,Floor_q)))</f>
        <v>350</v>
      </c>
      <c r="AE77" s="14" t="n">
        <f aca="false">IF(8&gt;$A77,0,IF(8=$A77,MAX(End_q,Floor_q),MAX(AF77+Cost_round*IF(9&lt;=$B77,1,0)-K77,IF(9&lt;=$B77,1,0)*Pre_q,Floor_q)))</f>
        <v>350</v>
      </c>
      <c r="AF77" s="14" t="n">
        <f aca="false">IF(9&gt;$A77,0,IF(9=$A77,MAX(End_q,Floor_q),MAX(AG77+Cost_round*IF(10&lt;=$B77,1,0)-L77,IF(10&lt;=$B77,1,0)*Pre_q,Floor_q)))</f>
        <v>470</v>
      </c>
      <c r="AG77" s="14" t="n">
        <f aca="false">IF(10&gt;$A77,0,IF(10=$A77,MAX(End_q,Floor_q),MAX(AH77+Cost_round*IF(11&lt;=$B77,1,0)-M77,IF(11&lt;=$B77,1,0)*Pre_q,Floor_q)))</f>
        <v>0</v>
      </c>
      <c r="AH77" s="14" t="n">
        <f aca="false">IF(11&gt;$A77,0,IF(11=$A77,MAX(End_q,Floor_q),MAX(AI77+Cost_round*IF(12&lt;=$B77,1,0)-N77,IF(12&lt;=$B77,1,0)*Pre_q,Floor_q)))</f>
        <v>0</v>
      </c>
      <c r="AI77" s="14" t="n">
        <f aca="false">IF(12&gt;$A77,0,IF(12=$A77,MAX(End_q,Floor_q),MAX(AJ77+Cost_round*IF(13&lt;=$B77,1,0)-O77,IF(13&lt;=$B77,1,0)*Pre_q,Floor_q)))</f>
        <v>0</v>
      </c>
      <c r="AJ77" s="14" t="n">
        <f aca="false">IF(13&gt;$A77,0,IF(13=$A77,MAX(End_q,Floor_q),MAX(AK77+Cost_round*IF(14&lt;=$B77,1,0)-P77,IF(14&lt;=$B77,1,0)*Pre_q,Floor_q)))</f>
        <v>0</v>
      </c>
      <c r="AK77" s="14" t="n">
        <f aca="false">IF(14&gt;$A77,0,IF(14=$A77,MAX(End_q,Floor_q),MAX(AL77+Cost_round*IF(15&lt;=$B77,1,0)-Q77,IF(15&lt;=$B77,1,0)*Pre_q,Floor_q)))</f>
        <v>0</v>
      </c>
      <c r="AL77" s="14" t="n">
        <f aca="false">IF(15&gt;$A77,0,IF(15=$A77,MAX(End_q,Floor_q),MAX(AM77+Cost_round*IF(16&lt;=$B77,1,0)-R77,IF(16&lt;=$B77,1,0)*Pre_q,Floor_q)))</f>
        <v>0</v>
      </c>
      <c r="AM77" s="14" t="n">
        <f aca="false">IF(16&gt;$A77,0,IF(16=$A77,MAX(End_q,Floor_q),MAX(AN77+Cost_round*IF(17&lt;=$B77,1,0)-S77,IF(17&lt;=$B77,1,0)*Pre_q,Floor_q)))</f>
        <v>0</v>
      </c>
      <c r="AN77" s="14" t="n">
        <f aca="false">IF(17&gt;$A77,0,IF(17=$A77,MAX(End_q,Floor_q),MAX(AO77+Cost_round*IF(18&lt;=$B77,1,0)-T77,IF(18&lt;=$B77,1,0)*Pre_q,Floor_q)))</f>
        <v>0</v>
      </c>
      <c r="AO77" s="14" t="n">
        <f aca="false">IF(18&gt;$A77,0,IF(18=$A77,MAX(End_q,Floor_q),MAX(AP77+Cost_round*IF(19&lt;=$B77,1,0)-U77,IF(19&lt;=$B77,1,0)*Pre_q,Floor_q)))</f>
        <v>0</v>
      </c>
      <c r="AP77" s="14" t="n">
        <f aca="false">IF(19&gt;$A77,0,IF(19=$A77,MAX(End_q,Floor_q),MAX(AQ77+Cost_round*IF(20&lt;=$B77,1,0)-V77,IF(20&lt;=$B77,1,0)*Pre_q,Floor_q)))</f>
        <v>0</v>
      </c>
      <c r="AQ77" s="14" t="n">
        <f aca="false">IF(20&gt;$A77,0,MAX(End_q,Floor_q))</f>
        <v>0</v>
      </c>
      <c r="AR77" s="15" t="n">
        <f aca="false">IF(Q_zero&gt;=W77-0.000000001,1,0)</f>
        <v>1</v>
      </c>
      <c r="AS77" s="14" t="n">
        <f aca="false">IF(1&gt;$A77,0,Q_zero-Cost_round*IF(1&lt;=$B77,1,0)+C77-X77)</f>
        <v>85</v>
      </c>
      <c r="AT77" s="14" t="n">
        <f aca="false">IF(2&gt;$A77,0,X77-Cost_round*IF(2&lt;=$B77,1,0)+D77-Y77)</f>
        <v>0</v>
      </c>
      <c r="AU77" s="14" t="n">
        <f aca="false">IF(3&gt;$A77,0,Y77-Cost_round*IF(3&lt;=$B77,1,0)+E77-Z77)</f>
        <v>122.5</v>
      </c>
      <c r="AV77" s="14" t="n">
        <f aca="false">IF(4&gt;$A77,0,Z77-Cost_round*IF(4&lt;=$B77,1,0)+F77-AA77)</f>
        <v>122.5</v>
      </c>
      <c r="AW77" s="14" t="n">
        <f aca="false">IF(5&gt;$A77,0,AA77-Cost_round*IF(5&lt;=$B77,1,0)+G77-AB77)</f>
        <v>122.5</v>
      </c>
      <c r="AX77" s="14" t="n">
        <f aca="false">IF(6&gt;$A77,0,AB77-Cost_round*IF(6&lt;=$B77,1,0)+H77-AC77)</f>
        <v>122.5</v>
      </c>
      <c r="AY77" s="14" t="n">
        <f aca="false">IF(7&gt;$A77,0,AC77-Cost_round*IF(7&lt;=$B77,1,0)+I77-AD77)</f>
        <v>122.5</v>
      </c>
      <c r="AZ77" s="14" t="n">
        <f aca="false">IF(8&gt;$A77,0,AD77-Cost_round*IF(8&lt;=$B77,1,0)+J77-AE77)</f>
        <v>122.5</v>
      </c>
      <c r="BA77" s="14" t="n">
        <f aca="false">IF(9&gt;$A77,0,AE77-Cost_round*IF(9&lt;=$B77,1,0)+K77-AF77)</f>
        <v>2.5</v>
      </c>
      <c r="BB77" s="14" t="n">
        <f aca="false">IF(10&gt;$A77,0,AF77-Cost_round*IF(10&lt;=$B77,1,0)+L77-AG77)</f>
        <v>0</v>
      </c>
      <c r="BC77" s="14" t="n">
        <f aca="false">IF(11&gt;$A77,0,AG77-Cost_round*IF(11&lt;=$B77,1,0)+M77-AH77)</f>
        <v>0</v>
      </c>
      <c r="BD77" s="14" t="n">
        <f aca="false">IF(12&gt;$A77,0,AH77-Cost_round*IF(12&lt;=$B77,1,0)+N77-AI77)</f>
        <v>0</v>
      </c>
      <c r="BE77" s="14" t="n">
        <f aca="false">IF(13&gt;$A77,0,AI77-Cost_round*IF(13&lt;=$B77,1,0)+O77-AJ77)</f>
        <v>0</v>
      </c>
      <c r="BF77" s="14" t="n">
        <f aca="false">IF(14&gt;$A77,0,AJ77-Cost_round*IF(14&lt;=$B77,1,0)+P77-AK77)</f>
        <v>0</v>
      </c>
      <c r="BG77" s="14" t="n">
        <f aca="false">IF(15&gt;$A77,0,AK77-Cost_round*IF(15&lt;=$B77,1,0)+Q77-AL77)</f>
        <v>0</v>
      </c>
      <c r="BH77" s="14" t="n">
        <f aca="false">IF(16&gt;$A77,0,AL77-Cost_round*IF(16&lt;=$B77,1,0)+R77-AM77)</f>
        <v>0</v>
      </c>
      <c r="BI77" s="14" t="n">
        <f aca="false">IF(17&gt;$A77,0,AM77-Cost_round*IF(17&lt;=$B77,1,0)+S77-AN77)</f>
        <v>0</v>
      </c>
      <c r="BJ77" s="14" t="n">
        <f aca="false">IF(18&gt;$A77,0,AN77-Cost_round*IF(18&lt;=$B77,1,0)+T77-AO77)</f>
        <v>0</v>
      </c>
      <c r="BK77" s="14" t="n">
        <f aca="false">IF(19&gt;$A77,0,AO77-Cost_round*IF(19&lt;=$B77,1,0)+U77-AP77)</f>
        <v>0</v>
      </c>
      <c r="BL77" s="14" t="n">
        <f aca="false">IF(20&gt;$A77,0,AP77-Cost_round*IF(20&lt;=$B77,1,0)+V77-AQ77)</f>
        <v>0</v>
      </c>
      <c r="BM77" s="17" t="n">
        <f aca="false">IF($AR77=1,SUMPRODUCT(AS77:BL77,$AS$38:$BL$38),"")</f>
        <v>519.258124776611</v>
      </c>
      <c r="BN77" s="17" t="n">
        <f aca="false">IF($AR77=1,BM77+INDEX($AS$38:$BL$38,$A77)*INDEX(C77:V77,$A77)/Hurdle_r,"")</f>
        <v>1038.7777072829</v>
      </c>
    </row>
    <row r="78" customFormat="false" ht="15" hidden="false" customHeight="false" outlineLevel="0" collapsed="false">
      <c r="A78" s="2" t="n">
        <v>9</v>
      </c>
      <c r="B78" s="2" t="n">
        <v>4</v>
      </c>
      <c r="C78" s="14" t="n">
        <f aca="false">IF(1&gt;$A78,0,Val_pt*(Ceiling_e-E_zero)*(1-(1-Half_gap)^MIN(1,$B78)))</f>
        <v>70</v>
      </c>
      <c r="D78" s="14" t="n">
        <f aca="false">IF(2&gt;$A78,0,Val_pt*(Ceiling_e-E_zero)*(1-(1-Half_gap)^MIN(2,$B78)))</f>
        <v>105</v>
      </c>
      <c r="E78" s="14" t="n">
        <f aca="false">IF(3&gt;$A78,0,Val_pt*(Ceiling_e-E_zero)*(1-(1-Half_gap)^MIN(3,$B78)))</f>
        <v>122.5</v>
      </c>
      <c r="F78" s="14" t="n">
        <f aca="false">IF(4&gt;$A78,0,Val_pt*(Ceiling_e-E_zero)*(1-(1-Half_gap)^MIN(4,$B78)))</f>
        <v>131.25</v>
      </c>
      <c r="G78" s="14" t="n">
        <f aca="false">IF(5&gt;$A78,0,Val_pt*(Ceiling_e-E_zero)*(1-(1-Half_gap)^MIN(5,$B78)))</f>
        <v>131.25</v>
      </c>
      <c r="H78" s="14" t="n">
        <f aca="false">IF(6&gt;$A78,0,Val_pt*(Ceiling_e-E_zero)*(1-(1-Half_gap)^MIN(6,$B78)))</f>
        <v>131.25</v>
      </c>
      <c r="I78" s="14" t="n">
        <f aca="false">IF(7&gt;$A78,0,Val_pt*(Ceiling_e-E_zero)*(1-(1-Half_gap)^MIN(7,$B78)))</f>
        <v>131.25</v>
      </c>
      <c r="J78" s="14" t="n">
        <f aca="false">IF(8&gt;$A78,0,Val_pt*(Ceiling_e-E_zero)*(1-(1-Half_gap)^MIN(8,$B78)))</f>
        <v>131.25</v>
      </c>
      <c r="K78" s="14" t="n">
        <f aca="false">IF(9&gt;$A78,0,Val_pt*(Ceiling_e-E_zero)*(1-(1-Half_gap)^MIN(9,$B78)))</f>
        <v>131.25</v>
      </c>
      <c r="L78" s="14" t="n">
        <f aca="false">IF(10&gt;$A78,0,Val_pt*(Ceiling_e-E_zero)*(1-(1-Half_gap)^MIN(10,$B78)))</f>
        <v>0</v>
      </c>
      <c r="M78" s="14" t="n">
        <f aca="false">IF(11&gt;$A78,0,Val_pt*(Ceiling_e-E_zero)*(1-(1-Half_gap)^MIN(11,$B78)))</f>
        <v>0</v>
      </c>
      <c r="N78" s="14" t="n">
        <f aca="false">IF(12&gt;$A78,0,Val_pt*(Ceiling_e-E_zero)*(1-(1-Half_gap)^MIN(12,$B78)))</f>
        <v>0</v>
      </c>
      <c r="O78" s="14" t="n">
        <f aca="false">IF(13&gt;$A78,0,Val_pt*(Ceiling_e-E_zero)*(1-(1-Half_gap)^MIN(13,$B78)))</f>
        <v>0</v>
      </c>
      <c r="P78" s="14" t="n">
        <f aca="false">IF(14&gt;$A78,0,Val_pt*(Ceiling_e-E_zero)*(1-(1-Half_gap)^MIN(14,$B78)))</f>
        <v>0</v>
      </c>
      <c r="Q78" s="14" t="n">
        <f aca="false">IF(15&gt;$A78,0,Val_pt*(Ceiling_e-E_zero)*(1-(1-Half_gap)^MIN(15,$B78)))</f>
        <v>0</v>
      </c>
      <c r="R78" s="14" t="n">
        <f aca="false">IF(16&gt;$A78,0,Val_pt*(Ceiling_e-E_zero)*(1-(1-Half_gap)^MIN(16,$B78)))</f>
        <v>0</v>
      </c>
      <c r="S78" s="14" t="n">
        <f aca="false">IF(17&gt;$A78,0,Val_pt*(Ceiling_e-E_zero)*(1-(1-Half_gap)^MIN(17,$B78)))</f>
        <v>0</v>
      </c>
      <c r="T78" s="14" t="n">
        <f aca="false">IF(18&gt;$A78,0,Val_pt*(Ceiling_e-E_zero)*(1-(1-Half_gap)^MIN(18,$B78)))</f>
        <v>0</v>
      </c>
      <c r="U78" s="14" t="n">
        <f aca="false">IF(19&gt;$A78,0,Val_pt*(Ceiling_e-E_zero)*(1-(1-Half_gap)^MIN(19,$B78)))</f>
        <v>0</v>
      </c>
      <c r="V78" s="14" t="n">
        <f aca="false">IF(20&gt;$A78,0,Val_pt*(Ceiling_e-E_zero)*(1-(1-Half_gap)^MIN(20,$B78)))</f>
        <v>0</v>
      </c>
      <c r="W78" s="14" t="n">
        <f aca="false">IF(0&gt;$A78,0,IF(0=$A78,MAX(End_q,Floor_q),MAX(X78+Cost_round*IF(1&lt;=$B78,1,0)-C78,IF(1&lt;=$B78,1,0)*Pre_q)))</f>
        <v>535</v>
      </c>
      <c r="X78" s="14" t="n">
        <f aca="false">IF(1&gt;$A78,0,IF(1=$A78,MAX(End_q,Floor_q),MAX(Y78+Cost_round*IF(2&lt;=$B78,1,0)-D78,IF(2&lt;=$B78,1,0)*Pre_q,Floor_q)))</f>
        <v>485</v>
      </c>
      <c r="Y78" s="14" t="n">
        <f aca="false">IF(2&gt;$A78,0,IF(2=$A78,MAX(End_q,Floor_q),MAX(Z78+Cost_round*IF(3&lt;=$B78,1,0)-E78,IF(3&lt;=$B78,1,0)*Pre_q,Floor_q)))</f>
        <v>470</v>
      </c>
      <c r="Z78" s="14" t="n">
        <f aca="false">IF(3&gt;$A78,0,IF(3=$A78,MAX(End_q,Floor_q),MAX(AA78+Cost_round*IF(4&lt;=$B78,1,0)-F78,IF(4&lt;=$B78,1,0)*Pre_q,Floor_q)))</f>
        <v>470</v>
      </c>
      <c r="AA78" s="14" t="n">
        <f aca="false">IF(4&gt;$A78,0,IF(4=$A78,MAX(End_q,Floor_q),MAX(AB78+Cost_round*IF(5&lt;=$B78,1,0)-G78,IF(5&lt;=$B78,1,0)*Pre_q,Floor_q)))</f>
        <v>350</v>
      </c>
      <c r="AB78" s="14" t="n">
        <f aca="false">IF(5&gt;$A78,0,IF(5=$A78,MAX(End_q,Floor_q),MAX(AC78+Cost_round*IF(6&lt;=$B78,1,0)-H78,IF(6&lt;=$B78,1,0)*Pre_q,Floor_q)))</f>
        <v>350</v>
      </c>
      <c r="AC78" s="14" t="n">
        <f aca="false">IF(6&gt;$A78,0,IF(6=$A78,MAX(End_q,Floor_q),MAX(AD78+Cost_round*IF(7&lt;=$B78,1,0)-I78,IF(7&lt;=$B78,1,0)*Pre_q,Floor_q)))</f>
        <v>350</v>
      </c>
      <c r="AD78" s="14" t="n">
        <f aca="false">IF(7&gt;$A78,0,IF(7=$A78,MAX(End_q,Floor_q),MAX(AE78+Cost_round*IF(8&lt;=$B78,1,0)-J78,IF(8&lt;=$B78,1,0)*Pre_q,Floor_q)))</f>
        <v>350</v>
      </c>
      <c r="AE78" s="14" t="n">
        <f aca="false">IF(8&gt;$A78,0,IF(8=$A78,MAX(End_q,Floor_q),MAX(AF78+Cost_round*IF(9&lt;=$B78,1,0)-K78,IF(9&lt;=$B78,1,0)*Pre_q,Floor_q)))</f>
        <v>350</v>
      </c>
      <c r="AF78" s="14" t="n">
        <f aca="false">IF(9&gt;$A78,0,IF(9=$A78,MAX(End_q,Floor_q),MAX(AG78+Cost_round*IF(10&lt;=$B78,1,0)-L78,IF(10&lt;=$B78,1,0)*Pre_q,Floor_q)))</f>
        <v>470</v>
      </c>
      <c r="AG78" s="14" t="n">
        <f aca="false">IF(10&gt;$A78,0,IF(10=$A78,MAX(End_q,Floor_q),MAX(AH78+Cost_round*IF(11&lt;=$B78,1,0)-M78,IF(11&lt;=$B78,1,0)*Pre_q,Floor_q)))</f>
        <v>0</v>
      </c>
      <c r="AH78" s="14" t="n">
        <f aca="false">IF(11&gt;$A78,0,IF(11=$A78,MAX(End_q,Floor_q),MAX(AI78+Cost_round*IF(12&lt;=$B78,1,0)-N78,IF(12&lt;=$B78,1,0)*Pre_q,Floor_q)))</f>
        <v>0</v>
      </c>
      <c r="AI78" s="14" t="n">
        <f aca="false">IF(12&gt;$A78,0,IF(12=$A78,MAX(End_q,Floor_q),MAX(AJ78+Cost_round*IF(13&lt;=$B78,1,0)-O78,IF(13&lt;=$B78,1,0)*Pre_q,Floor_q)))</f>
        <v>0</v>
      </c>
      <c r="AJ78" s="14" t="n">
        <f aca="false">IF(13&gt;$A78,0,IF(13=$A78,MAX(End_q,Floor_q),MAX(AK78+Cost_round*IF(14&lt;=$B78,1,0)-P78,IF(14&lt;=$B78,1,0)*Pre_q,Floor_q)))</f>
        <v>0</v>
      </c>
      <c r="AK78" s="14" t="n">
        <f aca="false">IF(14&gt;$A78,0,IF(14=$A78,MAX(End_q,Floor_q),MAX(AL78+Cost_round*IF(15&lt;=$B78,1,0)-Q78,IF(15&lt;=$B78,1,0)*Pre_q,Floor_q)))</f>
        <v>0</v>
      </c>
      <c r="AL78" s="14" t="n">
        <f aca="false">IF(15&gt;$A78,0,IF(15=$A78,MAX(End_q,Floor_q),MAX(AM78+Cost_round*IF(16&lt;=$B78,1,0)-R78,IF(16&lt;=$B78,1,0)*Pre_q,Floor_q)))</f>
        <v>0</v>
      </c>
      <c r="AM78" s="14" t="n">
        <f aca="false">IF(16&gt;$A78,0,IF(16=$A78,MAX(End_q,Floor_q),MAX(AN78+Cost_round*IF(17&lt;=$B78,1,0)-S78,IF(17&lt;=$B78,1,0)*Pre_q,Floor_q)))</f>
        <v>0</v>
      </c>
      <c r="AN78" s="14" t="n">
        <f aca="false">IF(17&gt;$A78,0,IF(17=$A78,MAX(End_q,Floor_q),MAX(AO78+Cost_round*IF(18&lt;=$B78,1,0)-T78,IF(18&lt;=$B78,1,0)*Pre_q,Floor_q)))</f>
        <v>0</v>
      </c>
      <c r="AO78" s="14" t="n">
        <f aca="false">IF(18&gt;$A78,0,IF(18=$A78,MAX(End_q,Floor_q),MAX(AP78+Cost_round*IF(19&lt;=$B78,1,0)-U78,IF(19&lt;=$B78,1,0)*Pre_q,Floor_q)))</f>
        <v>0</v>
      </c>
      <c r="AP78" s="14" t="n">
        <f aca="false">IF(19&gt;$A78,0,IF(19=$A78,MAX(End_q,Floor_q),MAX(AQ78+Cost_round*IF(20&lt;=$B78,1,0)-V78,IF(20&lt;=$B78,1,0)*Pre_q,Floor_q)))</f>
        <v>0</v>
      </c>
      <c r="AQ78" s="14" t="n">
        <f aca="false">IF(20&gt;$A78,0,MAX(End_q,Floor_q))</f>
        <v>0</v>
      </c>
      <c r="AR78" s="15" t="n">
        <f aca="false">IF(Q_zero&gt;=W78-0.000000001,1,0)</f>
        <v>1</v>
      </c>
      <c r="AS78" s="14" t="n">
        <f aca="false">IF(1&gt;$A78,0,Q_zero-Cost_round*IF(1&lt;=$B78,1,0)+C78-X78)</f>
        <v>85</v>
      </c>
      <c r="AT78" s="14" t="n">
        <f aca="false">IF(2&gt;$A78,0,X78-Cost_round*IF(2&lt;=$B78,1,0)+D78-Y78)</f>
        <v>0</v>
      </c>
      <c r="AU78" s="14" t="n">
        <f aca="false">IF(3&gt;$A78,0,Y78-Cost_round*IF(3&lt;=$B78,1,0)+E78-Z78)</f>
        <v>2.5</v>
      </c>
      <c r="AV78" s="14" t="n">
        <f aca="false">IF(4&gt;$A78,0,Z78-Cost_round*IF(4&lt;=$B78,1,0)+F78-AA78)</f>
        <v>131.25</v>
      </c>
      <c r="AW78" s="14" t="n">
        <f aca="false">IF(5&gt;$A78,0,AA78-Cost_round*IF(5&lt;=$B78,1,0)+G78-AB78)</f>
        <v>131.25</v>
      </c>
      <c r="AX78" s="14" t="n">
        <f aca="false">IF(6&gt;$A78,0,AB78-Cost_round*IF(6&lt;=$B78,1,0)+H78-AC78)</f>
        <v>131.25</v>
      </c>
      <c r="AY78" s="14" t="n">
        <f aca="false">IF(7&gt;$A78,0,AC78-Cost_round*IF(7&lt;=$B78,1,0)+I78-AD78)</f>
        <v>131.25</v>
      </c>
      <c r="AZ78" s="14" t="n">
        <f aca="false">IF(8&gt;$A78,0,AD78-Cost_round*IF(8&lt;=$B78,1,0)+J78-AE78)</f>
        <v>131.25</v>
      </c>
      <c r="BA78" s="14" t="n">
        <f aca="false">IF(9&gt;$A78,0,AE78-Cost_round*IF(9&lt;=$B78,1,0)+K78-AF78)</f>
        <v>11.25</v>
      </c>
      <c r="BB78" s="14" t="n">
        <f aca="false">IF(10&gt;$A78,0,AF78-Cost_round*IF(10&lt;=$B78,1,0)+L78-AG78)</f>
        <v>0</v>
      </c>
      <c r="BC78" s="14" t="n">
        <f aca="false">IF(11&gt;$A78,0,AG78-Cost_round*IF(11&lt;=$B78,1,0)+M78-AH78)</f>
        <v>0</v>
      </c>
      <c r="BD78" s="14" t="n">
        <f aca="false">IF(12&gt;$A78,0,AH78-Cost_round*IF(12&lt;=$B78,1,0)+N78-AI78)</f>
        <v>0</v>
      </c>
      <c r="BE78" s="14" t="n">
        <f aca="false">IF(13&gt;$A78,0,AI78-Cost_round*IF(13&lt;=$B78,1,0)+O78-AJ78)</f>
        <v>0</v>
      </c>
      <c r="BF78" s="14" t="n">
        <f aca="false">IF(14&gt;$A78,0,AJ78-Cost_round*IF(14&lt;=$B78,1,0)+P78-AK78)</f>
        <v>0</v>
      </c>
      <c r="BG78" s="14" t="n">
        <f aca="false">IF(15&gt;$A78,0,AK78-Cost_round*IF(15&lt;=$B78,1,0)+Q78-AL78)</f>
        <v>0</v>
      </c>
      <c r="BH78" s="14" t="n">
        <f aca="false">IF(16&gt;$A78,0,AL78-Cost_round*IF(16&lt;=$B78,1,0)+R78-AM78)</f>
        <v>0</v>
      </c>
      <c r="BI78" s="14" t="n">
        <f aca="false">IF(17&gt;$A78,0,AM78-Cost_round*IF(17&lt;=$B78,1,0)+S78-AN78)</f>
        <v>0</v>
      </c>
      <c r="BJ78" s="14" t="n">
        <f aca="false">IF(18&gt;$A78,0,AN78-Cost_round*IF(18&lt;=$B78,1,0)+T78-AO78)</f>
        <v>0</v>
      </c>
      <c r="BK78" s="14" t="n">
        <f aca="false">IF(19&gt;$A78,0,AO78-Cost_round*IF(19&lt;=$B78,1,0)+U78-AP78)</f>
        <v>0</v>
      </c>
      <c r="BL78" s="14" t="n">
        <f aca="false">IF(20&gt;$A78,0,AP78-Cost_round*IF(20&lt;=$B78,1,0)+V78-AQ78)</f>
        <v>0</v>
      </c>
      <c r="BM78" s="17" t="n">
        <f aca="false">IF($AR78=1,SUMPRODUCT(AS78:BL78,$AS$38:$BL$38),"")</f>
        <v>457.731852139717</v>
      </c>
      <c r="BN78" s="17" t="n">
        <f aca="false">IF($AR78=1,BM78+INDEX($AS$38:$BL$38,$A78)*INDEX(C78:V78,$A78)/Hurdle_r,"")</f>
        <v>1014.3599762536</v>
      </c>
    </row>
    <row r="79" customFormat="false" ht="15" hidden="false" customHeight="false" outlineLevel="0" collapsed="false">
      <c r="A79" s="2" t="n">
        <v>10</v>
      </c>
      <c r="B79" s="2" t="n">
        <v>0</v>
      </c>
      <c r="C79" s="14" t="n">
        <f aca="false">IF(1&gt;$A79,0,Val_pt*(Ceiling_e-E_zero)*(1-(1-Half_gap)^MIN(1,$B79)))</f>
        <v>0</v>
      </c>
      <c r="D79" s="14" t="n">
        <f aca="false">IF(2&gt;$A79,0,Val_pt*(Ceiling_e-E_zero)*(1-(1-Half_gap)^MIN(2,$B79)))</f>
        <v>0</v>
      </c>
      <c r="E79" s="14" t="n">
        <f aca="false">IF(3&gt;$A79,0,Val_pt*(Ceiling_e-E_zero)*(1-(1-Half_gap)^MIN(3,$B79)))</f>
        <v>0</v>
      </c>
      <c r="F79" s="14" t="n">
        <f aca="false">IF(4&gt;$A79,0,Val_pt*(Ceiling_e-E_zero)*(1-(1-Half_gap)^MIN(4,$B79)))</f>
        <v>0</v>
      </c>
      <c r="G79" s="14" t="n">
        <f aca="false">IF(5&gt;$A79,0,Val_pt*(Ceiling_e-E_zero)*(1-(1-Half_gap)^MIN(5,$B79)))</f>
        <v>0</v>
      </c>
      <c r="H79" s="14" t="n">
        <f aca="false">IF(6&gt;$A79,0,Val_pt*(Ceiling_e-E_zero)*(1-(1-Half_gap)^MIN(6,$B79)))</f>
        <v>0</v>
      </c>
      <c r="I79" s="14" t="n">
        <f aca="false">IF(7&gt;$A79,0,Val_pt*(Ceiling_e-E_zero)*(1-(1-Half_gap)^MIN(7,$B79)))</f>
        <v>0</v>
      </c>
      <c r="J79" s="14" t="n">
        <f aca="false">IF(8&gt;$A79,0,Val_pt*(Ceiling_e-E_zero)*(1-(1-Half_gap)^MIN(8,$B79)))</f>
        <v>0</v>
      </c>
      <c r="K79" s="14" t="n">
        <f aca="false">IF(9&gt;$A79,0,Val_pt*(Ceiling_e-E_zero)*(1-(1-Half_gap)^MIN(9,$B79)))</f>
        <v>0</v>
      </c>
      <c r="L79" s="14" t="n">
        <f aca="false">IF(10&gt;$A79,0,Val_pt*(Ceiling_e-E_zero)*(1-(1-Half_gap)^MIN(10,$B79)))</f>
        <v>0</v>
      </c>
      <c r="M79" s="14" t="n">
        <f aca="false">IF(11&gt;$A79,0,Val_pt*(Ceiling_e-E_zero)*(1-(1-Half_gap)^MIN(11,$B79)))</f>
        <v>0</v>
      </c>
      <c r="N79" s="14" t="n">
        <f aca="false">IF(12&gt;$A79,0,Val_pt*(Ceiling_e-E_zero)*(1-(1-Half_gap)^MIN(12,$B79)))</f>
        <v>0</v>
      </c>
      <c r="O79" s="14" t="n">
        <f aca="false">IF(13&gt;$A79,0,Val_pt*(Ceiling_e-E_zero)*(1-(1-Half_gap)^MIN(13,$B79)))</f>
        <v>0</v>
      </c>
      <c r="P79" s="14" t="n">
        <f aca="false">IF(14&gt;$A79,0,Val_pt*(Ceiling_e-E_zero)*(1-(1-Half_gap)^MIN(14,$B79)))</f>
        <v>0</v>
      </c>
      <c r="Q79" s="14" t="n">
        <f aca="false">IF(15&gt;$A79,0,Val_pt*(Ceiling_e-E_zero)*(1-(1-Half_gap)^MIN(15,$B79)))</f>
        <v>0</v>
      </c>
      <c r="R79" s="14" t="n">
        <f aca="false">IF(16&gt;$A79,0,Val_pt*(Ceiling_e-E_zero)*(1-(1-Half_gap)^MIN(16,$B79)))</f>
        <v>0</v>
      </c>
      <c r="S79" s="14" t="n">
        <f aca="false">IF(17&gt;$A79,0,Val_pt*(Ceiling_e-E_zero)*(1-(1-Half_gap)^MIN(17,$B79)))</f>
        <v>0</v>
      </c>
      <c r="T79" s="14" t="n">
        <f aca="false">IF(18&gt;$A79,0,Val_pt*(Ceiling_e-E_zero)*(1-(1-Half_gap)^MIN(18,$B79)))</f>
        <v>0</v>
      </c>
      <c r="U79" s="14" t="n">
        <f aca="false">IF(19&gt;$A79,0,Val_pt*(Ceiling_e-E_zero)*(1-(1-Half_gap)^MIN(19,$B79)))</f>
        <v>0</v>
      </c>
      <c r="V79" s="14" t="n">
        <f aca="false">IF(20&gt;$A79,0,Val_pt*(Ceiling_e-E_zero)*(1-(1-Half_gap)^MIN(20,$B79)))</f>
        <v>0</v>
      </c>
      <c r="W79" s="14" t="n">
        <f aca="false">IF(0&gt;$A79,0,IF(0=$A79,MAX(End_q,Floor_q),MAX(X79+Cost_round*IF(1&lt;=$B79,1,0)-C79,IF(1&lt;=$B79,1,0)*Pre_q)))</f>
        <v>470</v>
      </c>
      <c r="X79" s="14" t="n">
        <f aca="false">IF(1&gt;$A79,0,IF(1=$A79,MAX(End_q,Floor_q),MAX(Y79+Cost_round*IF(2&lt;=$B79,1,0)-D79,IF(2&lt;=$B79,1,0)*Pre_q,Floor_q)))</f>
        <v>470</v>
      </c>
      <c r="Y79" s="14" t="n">
        <f aca="false">IF(2&gt;$A79,0,IF(2=$A79,MAX(End_q,Floor_q),MAX(Z79+Cost_round*IF(3&lt;=$B79,1,0)-E79,IF(3&lt;=$B79,1,0)*Pre_q,Floor_q)))</f>
        <v>470</v>
      </c>
      <c r="Z79" s="14" t="n">
        <f aca="false">IF(3&gt;$A79,0,IF(3=$A79,MAX(End_q,Floor_q),MAX(AA79+Cost_round*IF(4&lt;=$B79,1,0)-F79,IF(4&lt;=$B79,1,0)*Pre_q,Floor_q)))</f>
        <v>470</v>
      </c>
      <c r="AA79" s="14" t="n">
        <f aca="false">IF(4&gt;$A79,0,IF(4=$A79,MAX(End_q,Floor_q),MAX(AB79+Cost_round*IF(5&lt;=$B79,1,0)-G79,IF(5&lt;=$B79,1,0)*Pre_q,Floor_q)))</f>
        <v>470</v>
      </c>
      <c r="AB79" s="14" t="n">
        <f aca="false">IF(5&gt;$A79,0,IF(5=$A79,MAX(End_q,Floor_q),MAX(AC79+Cost_round*IF(6&lt;=$B79,1,0)-H79,IF(6&lt;=$B79,1,0)*Pre_q,Floor_q)))</f>
        <v>470</v>
      </c>
      <c r="AC79" s="14" t="n">
        <f aca="false">IF(6&gt;$A79,0,IF(6=$A79,MAX(End_q,Floor_q),MAX(AD79+Cost_round*IF(7&lt;=$B79,1,0)-I79,IF(7&lt;=$B79,1,0)*Pre_q,Floor_q)))</f>
        <v>470</v>
      </c>
      <c r="AD79" s="14" t="n">
        <f aca="false">IF(7&gt;$A79,0,IF(7=$A79,MAX(End_q,Floor_q),MAX(AE79+Cost_round*IF(8&lt;=$B79,1,0)-J79,IF(8&lt;=$B79,1,0)*Pre_q,Floor_q)))</f>
        <v>470</v>
      </c>
      <c r="AE79" s="14" t="n">
        <f aca="false">IF(8&gt;$A79,0,IF(8=$A79,MAX(End_q,Floor_q),MAX(AF79+Cost_round*IF(9&lt;=$B79,1,0)-K79,IF(9&lt;=$B79,1,0)*Pre_q,Floor_q)))</f>
        <v>470</v>
      </c>
      <c r="AF79" s="14" t="n">
        <f aca="false">IF(9&gt;$A79,0,IF(9=$A79,MAX(End_q,Floor_q),MAX(AG79+Cost_round*IF(10&lt;=$B79,1,0)-L79,IF(10&lt;=$B79,1,0)*Pre_q,Floor_q)))</f>
        <v>470</v>
      </c>
      <c r="AG79" s="14" t="n">
        <f aca="false">IF(10&gt;$A79,0,IF(10=$A79,MAX(End_q,Floor_q),MAX(AH79+Cost_round*IF(11&lt;=$B79,1,0)-M79,IF(11&lt;=$B79,1,0)*Pre_q,Floor_q)))</f>
        <v>470</v>
      </c>
      <c r="AH79" s="14" t="n">
        <f aca="false">IF(11&gt;$A79,0,IF(11=$A79,MAX(End_q,Floor_q),MAX(AI79+Cost_round*IF(12&lt;=$B79,1,0)-N79,IF(12&lt;=$B79,1,0)*Pre_q,Floor_q)))</f>
        <v>0</v>
      </c>
      <c r="AI79" s="14" t="n">
        <f aca="false">IF(12&gt;$A79,0,IF(12=$A79,MAX(End_q,Floor_q),MAX(AJ79+Cost_round*IF(13&lt;=$B79,1,0)-O79,IF(13&lt;=$B79,1,0)*Pre_q,Floor_q)))</f>
        <v>0</v>
      </c>
      <c r="AJ79" s="14" t="n">
        <f aca="false">IF(13&gt;$A79,0,IF(13=$A79,MAX(End_q,Floor_q),MAX(AK79+Cost_round*IF(14&lt;=$B79,1,0)-P79,IF(14&lt;=$B79,1,0)*Pre_q,Floor_q)))</f>
        <v>0</v>
      </c>
      <c r="AK79" s="14" t="n">
        <f aca="false">IF(14&gt;$A79,0,IF(14=$A79,MAX(End_q,Floor_q),MAX(AL79+Cost_round*IF(15&lt;=$B79,1,0)-Q79,IF(15&lt;=$B79,1,0)*Pre_q,Floor_q)))</f>
        <v>0</v>
      </c>
      <c r="AL79" s="14" t="n">
        <f aca="false">IF(15&gt;$A79,0,IF(15=$A79,MAX(End_q,Floor_q),MAX(AM79+Cost_round*IF(16&lt;=$B79,1,0)-R79,IF(16&lt;=$B79,1,0)*Pre_q,Floor_q)))</f>
        <v>0</v>
      </c>
      <c r="AM79" s="14" t="n">
        <f aca="false">IF(16&gt;$A79,0,IF(16=$A79,MAX(End_q,Floor_q),MAX(AN79+Cost_round*IF(17&lt;=$B79,1,0)-S79,IF(17&lt;=$B79,1,0)*Pre_q,Floor_q)))</f>
        <v>0</v>
      </c>
      <c r="AN79" s="14" t="n">
        <f aca="false">IF(17&gt;$A79,0,IF(17=$A79,MAX(End_q,Floor_q),MAX(AO79+Cost_round*IF(18&lt;=$B79,1,0)-T79,IF(18&lt;=$B79,1,0)*Pre_q,Floor_q)))</f>
        <v>0</v>
      </c>
      <c r="AO79" s="14" t="n">
        <f aca="false">IF(18&gt;$A79,0,IF(18=$A79,MAX(End_q,Floor_q),MAX(AP79+Cost_round*IF(19&lt;=$B79,1,0)-U79,IF(19&lt;=$B79,1,0)*Pre_q,Floor_q)))</f>
        <v>0</v>
      </c>
      <c r="AP79" s="14" t="n">
        <f aca="false">IF(19&gt;$A79,0,IF(19=$A79,MAX(End_q,Floor_q),MAX(AQ79+Cost_round*IF(20&lt;=$B79,1,0)-V79,IF(20&lt;=$B79,1,0)*Pre_q,Floor_q)))</f>
        <v>0</v>
      </c>
      <c r="AQ79" s="14" t="n">
        <f aca="false">IF(20&gt;$A79,0,MAX(End_q,Floor_q))</f>
        <v>0</v>
      </c>
      <c r="AR79" s="15" t="n">
        <f aca="false">IF(Q_zero&gt;=W79-0.000000001,1,0)</f>
        <v>1</v>
      </c>
      <c r="AS79" s="14" t="n">
        <f aca="false">IF(1&gt;$A79,0,Q_zero-Cost_round*IF(1&lt;=$B79,1,0)+C79-X79)</f>
        <v>150</v>
      </c>
      <c r="AT79" s="14" t="n">
        <f aca="false">IF(2&gt;$A79,0,X79-Cost_round*IF(2&lt;=$B79,1,0)+D79-Y79)</f>
        <v>0</v>
      </c>
      <c r="AU79" s="14" t="n">
        <f aca="false">IF(3&gt;$A79,0,Y79-Cost_round*IF(3&lt;=$B79,1,0)+E79-Z79)</f>
        <v>0</v>
      </c>
      <c r="AV79" s="14" t="n">
        <f aca="false">IF(4&gt;$A79,0,Z79-Cost_round*IF(4&lt;=$B79,1,0)+F79-AA79)</f>
        <v>0</v>
      </c>
      <c r="AW79" s="14" t="n">
        <f aca="false">IF(5&gt;$A79,0,AA79-Cost_round*IF(5&lt;=$B79,1,0)+G79-AB79)</f>
        <v>0</v>
      </c>
      <c r="AX79" s="14" t="n">
        <f aca="false">IF(6&gt;$A79,0,AB79-Cost_round*IF(6&lt;=$B79,1,0)+H79-AC79)</f>
        <v>0</v>
      </c>
      <c r="AY79" s="14" t="n">
        <f aca="false">IF(7&gt;$A79,0,AC79-Cost_round*IF(7&lt;=$B79,1,0)+I79-AD79)</f>
        <v>0</v>
      </c>
      <c r="AZ79" s="14" t="n">
        <f aca="false">IF(8&gt;$A79,0,AD79-Cost_round*IF(8&lt;=$B79,1,0)+J79-AE79)</f>
        <v>0</v>
      </c>
      <c r="BA79" s="14" t="n">
        <f aca="false">IF(9&gt;$A79,0,AE79-Cost_round*IF(9&lt;=$B79,1,0)+K79-AF79)</f>
        <v>0</v>
      </c>
      <c r="BB79" s="14" t="n">
        <f aca="false">IF(10&gt;$A79,0,AF79-Cost_round*IF(10&lt;=$B79,1,0)+L79-AG79)</f>
        <v>0</v>
      </c>
      <c r="BC79" s="14" t="n">
        <f aca="false">IF(11&gt;$A79,0,AG79-Cost_round*IF(11&lt;=$B79,1,0)+M79-AH79)</f>
        <v>0</v>
      </c>
      <c r="BD79" s="14" t="n">
        <f aca="false">IF(12&gt;$A79,0,AH79-Cost_round*IF(12&lt;=$B79,1,0)+N79-AI79)</f>
        <v>0</v>
      </c>
      <c r="BE79" s="14" t="n">
        <f aca="false">IF(13&gt;$A79,0,AI79-Cost_round*IF(13&lt;=$B79,1,0)+O79-AJ79)</f>
        <v>0</v>
      </c>
      <c r="BF79" s="14" t="n">
        <f aca="false">IF(14&gt;$A79,0,AJ79-Cost_round*IF(14&lt;=$B79,1,0)+P79-AK79)</f>
        <v>0</v>
      </c>
      <c r="BG79" s="14" t="n">
        <f aca="false">IF(15&gt;$A79,0,AK79-Cost_round*IF(15&lt;=$B79,1,0)+Q79-AL79)</f>
        <v>0</v>
      </c>
      <c r="BH79" s="14" t="n">
        <f aca="false">IF(16&gt;$A79,0,AL79-Cost_round*IF(16&lt;=$B79,1,0)+R79-AM79)</f>
        <v>0</v>
      </c>
      <c r="BI79" s="14" t="n">
        <f aca="false">IF(17&gt;$A79,0,AM79-Cost_round*IF(17&lt;=$B79,1,0)+S79-AN79)</f>
        <v>0</v>
      </c>
      <c r="BJ79" s="14" t="n">
        <f aca="false">IF(18&gt;$A79,0,AN79-Cost_round*IF(18&lt;=$B79,1,0)+T79-AO79)</f>
        <v>0</v>
      </c>
      <c r="BK79" s="14" t="n">
        <f aca="false">IF(19&gt;$A79,0,AO79-Cost_round*IF(19&lt;=$B79,1,0)+U79-AP79)</f>
        <v>0</v>
      </c>
      <c r="BL79" s="14" t="n">
        <f aca="false">IF(20&gt;$A79,0,AP79-Cost_round*IF(20&lt;=$B79,1,0)+V79-AQ79)</f>
        <v>0</v>
      </c>
      <c r="BM79" s="17" t="n">
        <f aca="false">IF($AR79=1,SUMPRODUCT(AS79:BL79,$AS$38:$BL$38),"")</f>
        <v>136.363636363636</v>
      </c>
      <c r="BN79" s="17" t="n">
        <f aca="false">IF($AR79=1,BM79+INDEX($AS$38:$BL$38,$A79)*INDEX(C79:V79,$A79)/Hurdle_r,"")</f>
        <v>136.363636363636</v>
      </c>
    </row>
    <row r="80" customFormat="false" ht="15" hidden="false" customHeight="false" outlineLevel="0" collapsed="false">
      <c r="A80" s="2" t="n">
        <v>10</v>
      </c>
      <c r="B80" s="2" t="n">
        <v>1</v>
      </c>
      <c r="C80" s="14" t="n">
        <f aca="false">IF(1&gt;$A80,0,Val_pt*(Ceiling_e-E_zero)*(1-(1-Half_gap)^MIN(1,$B80)))</f>
        <v>70</v>
      </c>
      <c r="D80" s="14" t="n">
        <f aca="false">IF(2&gt;$A80,0,Val_pt*(Ceiling_e-E_zero)*(1-(1-Half_gap)^MIN(2,$B80)))</f>
        <v>70</v>
      </c>
      <c r="E80" s="14" t="n">
        <f aca="false">IF(3&gt;$A80,0,Val_pt*(Ceiling_e-E_zero)*(1-(1-Half_gap)^MIN(3,$B80)))</f>
        <v>70</v>
      </c>
      <c r="F80" s="14" t="n">
        <f aca="false">IF(4&gt;$A80,0,Val_pt*(Ceiling_e-E_zero)*(1-(1-Half_gap)^MIN(4,$B80)))</f>
        <v>70</v>
      </c>
      <c r="G80" s="14" t="n">
        <f aca="false">IF(5&gt;$A80,0,Val_pt*(Ceiling_e-E_zero)*(1-(1-Half_gap)^MIN(5,$B80)))</f>
        <v>70</v>
      </c>
      <c r="H80" s="14" t="n">
        <f aca="false">IF(6&gt;$A80,0,Val_pt*(Ceiling_e-E_zero)*(1-(1-Half_gap)^MIN(6,$B80)))</f>
        <v>70</v>
      </c>
      <c r="I80" s="14" t="n">
        <f aca="false">IF(7&gt;$A80,0,Val_pt*(Ceiling_e-E_zero)*(1-(1-Half_gap)^MIN(7,$B80)))</f>
        <v>70</v>
      </c>
      <c r="J80" s="14" t="n">
        <f aca="false">IF(8&gt;$A80,0,Val_pt*(Ceiling_e-E_zero)*(1-(1-Half_gap)^MIN(8,$B80)))</f>
        <v>70</v>
      </c>
      <c r="K80" s="14" t="n">
        <f aca="false">IF(9&gt;$A80,0,Val_pt*(Ceiling_e-E_zero)*(1-(1-Half_gap)^MIN(9,$B80)))</f>
        <v>70</v>
      </c>
      <c r="L80" s="14" t="n">
        <f aca="false">IF(10&gt;$A80,0,Val_pt*(Ceiling_e-E_zero)*(1-(1-Half_gap)^MIN(10,$B80)))</f>
        <v>70</v>
      </c>
      <c r="M80" s="14" t="n">
        <f aca="false">IF(11&gt;$A80,0,Val_pt*(Ceiling_e-E_zero)*(1-(1-Half_gap)^MIN(11,$B80)))</f>
        <v>0</v>
      </c>
      <c r="N80" s="14" t="n">
        <f aca="false">IF(12&gt;$A80,0,Val_pt*(Ceiling_e-E_zero)*(1-(1-Half_gap)^MIN(12,$B80)))</f>
        <v>0</v>
      </c>
      <c r="O80" s="14" t="n">
        <f aca="false">IF(13&gt;$A80,0,Val_pt*(Ceiling_e-E_zero)*(1-(1-Half_gap)^MIN(13,$B80)))</f>
        <v>0</v>
      </c>
      <c r="P80" s="14" t="n">
        <f aca="false">IF(14&gt;$A80,0,Val_pt*(Ceiling_e-E_zero)*(1-(1-Half_gap)^MIN(14,$B80)))</f>
        <v>0</v>
      </c>
      <c r="Q80" s="14" t="n">
        <f aca="false">IF(15&gt;$A80,0,Val_pt*(Ceiling_e-E_zero)*(1-(1-Half_gap)^MIN(15,$B80)))</f>
        <v>0</v>
      </c>
      <c r="R80" s="14" t="n">
        <f aca="false">IF(16&gt;$A80,0,Val_pt*(Ceiling_e-E_zero)*(1-(1-Half_gap)^MIN(16,$B80)))</f>
        <v>0</v>
      </c>
      <c r="S80" s="14" t="n">
        <f aca="false">IF(17&gt;$A80,0,Val_pt*(Ceiling_e-E_zero)*(1-(1-Half_gap)^MIN(17,$B80)))</f>
        <v>0</v>
      </c>
      <c r="T80" s="14" t="n">
        <f aca="false">IF(18&gt;$A80,0,Val_pt*(Ceiling_e-E_zero)*(1-(1-Half_gap)^MIN(18,$B80)))</f>
        <v>0</v>
      </c>
      <c r="U80" s="14" t="n">
        <f aca="false">IF(19&gt;$A80,0,Val_pt*(Ceiling_e-E_zero)*(1-(1-Half_gap)^MIN(19,$B80)))</f>
        <v>0</v>
      </c>
      <c r="V80" s="14" t="n">
        <f aca="false">IF(20&gt;$A80,0,Val_pt*(Ceiling_e-E_zero)*(1-(1-Half_gap)^MIN(20,$B80)))</f>
        <v>0</v>
      </c>
      <c r="W80" s="14" t="n">
        <f aca="false">IF(0&gt;$A80,0,IF(0=$A80,MAX(End_q,Floor_q),MAX(X80+Cost_round*IF(1&lt;=$B80,1,0)-C80,IF(1&lt;=$B80,1,0)*Pre_q)))</f>
        <v>470</v>
      </c>
      <c r="X80" s="14" t="n">
        <f aca="false">IF(1&gt;$A80,0,IF(1=$A80,MAX(End_q,Floor_q),MAX(Y80+Cost_round*IF(2&lt;=$B80,1,0)-D80,IF(2&lt;=$B80,1,0)*Pre_q,Floor_q)))</f>
        <v>350</v>
      </c>
      <c r="Y80" s="14" t="n">
        <f aca="false">IF(2&gt;$A80,0,IF(2=$A80,MAX(End_q,Floor_q),MAX(Z80+Cost_round*IF(3&lt;=$B80,1,0)-E80,IF(3&lt;=$B80,1,0)*Pre_q,Floor_q)))</f>
        <v>350</v>
      </c>
      <c r="Z80" s="14" t="n">
        <f aca="false">IF(3&gt;$A80,0,IF(3=$A80,MAX(End_q,Floor_q),MAX(AA80+Cost_round*IF(4&lt;=$B80,1,0)-F80,IF(4&lt;=$B80,1,0)*Pre_q,Floor_q)))</f>
        <v>350</v>
      </c>
      <c r="AA80" s="14" t="n">
        <f aca="false">IF(4&gt;$A80,0,IF(4=$A80,MAX(End_q,Floor_q),MAX(AB80+Cost_round*IF(5&lt;=$B80,1,0)-G80,IF(5&lt;=$B80,1,0)*Pre_q,Floor_q)))</f>
        <v>350</v>
      </c>
      <c r="AB80" s="14" t="n">
        <f aca="false">IF(5&gt;$A80,0,IF(5=$A80,MAX(End_q,Floor_q),MAX(AC80+Cost_round*IF(6&lt;=$B80,1,0)-H80,IF(6&lt;=$B80,1,0)*Pre_q,Floor_q)))</f>
        <v>350</v>
      </c>
      <c r="AC80" s="14" t="n">
        <f aca="false">IF(6&gt;$A80,0,IF(6=$A80,MAX(End_q,Floor_q),MAX(AD80+Cost_round*IF(7&lt;=$B80,1,0)-I80,IF(7&lt;=$B80,1,0)*Pre_q,Floor_q)))</f>
        <v>350</v>
      </c>
      <c r="AD80" s="14" t="n">
        <f aca="false">IF(7&gt;$A80,0,IF(7=$A80,MAX(End_q,Floor_q),MAX(AE80+Cost_round*IF(8&lt;=$B80,1,0)-J80,IF(8&lt;=$B80,1,0)*Pre_q,Floor_q)))</f>
        <v>350</v>
      </c>
      <c r="AE80" s="14" t="n">
        <f aca="false">IF(8&gt;$A80,0,IF(8=$A80,MAX(End_q,Floor_q),MAX(AF80+Cost_round*IF(9&lt;=$B80,1,0)-K80,IF(9&lt;=$B80,1,0)*Pre_q,Floor_q)))</f>
        <v>350</v>
      </c>
      <c r="AF80" s="14" t="n">
        <f aca="false">IF(9&gt;$A80,0,IF(9=$A80,MAX(End_q,Floor_q),MAX(AG80+Cost_round*IF(10&lt;=$B80,1,0)-L80,IF(10&lt;=$B80,1,0)*Pre_q,Floor_q)))</f>
        <v>400</v>
      </c>
      <c r="AG80" s="14" t="n">
        <f aca="false">IF(10&gt;$A80,0,IF(10=$A80,MAX(End_q,Floor_q),MAX(AH80+Cost_round*IF(11&lt;=$B80,1,0)-M80,IF(11&lt;=$B80,1,0)*Pre_q,Floor_q)))</f>
        <v>470</v>
      </c>
      <c r="AH80" s="14" t="n">
        <f aca="false">IF(11&gt;$A80,0,IF(11=$A80,MAX(End_q,Floor_q),MAX(AI80+Cost_round*IF(12&lt;=$B80,1,0)-N80,IF(12&lt;=$B80,1,0)*Pre_q,Floor_q)))</f>
        <v>0</v>
      </c>
      <c r="AI80" s="14" t="n">
        <f aca="false">IF(12&gt;$A80,0,IF(12=$A80,MAX(End_q,Floor_q),MAX(AJ80+Cost_round*IF(13&lt;=$B80,1,0)-O80,IF(13&lt;=$B80,1,0)*Pre_q,Floor_q)))</f>
        <v>0</v>
      </c>
      <c r="AJ80" s="14" t="n">
        <f aca="false">IF(13&gt;$A80,0,IF(13=$A80,MAX(End_q,Floor_q),MAX(AK80+Cost_round*IF(14&lt;=$B80,1,0)-P80,IF(14&lt;=$B80,1,0)*Pre_q,Floor_q)))</f>
        <v>0</v>
      </c>
      <c r="AK80" s="14" t="n">
        <f aca="false">IF(14&gt;$A80,0,IF(14=$A80,MAX(End_q,Floor_q),MAX(AL80+Cost_round*IF(15&lt;=$B80,1,0)-Q80,IF(15&lt;=$B80,1,0)*Pre_q,Floor_q)))</f>
        <v>0</v>
      </c>
      <c r="AL80" s="14" t="n">
        <f aca="false">IF(15&gt;$A80,0,IF(15=$A80,MAX(End_q,Floor_q),MAX(AM80+Cost_round*IF(16&lt;=$B80,1,0)-R80,IF(16&lt;=$B80,1,0)*Pre_q,Floor_q)))</f>
        <v>0</v>
      </c>
      <c r="AM80" s="14" t="n">
        <f aca="false">IF(16&gt;$A80,0,IF(16=$A80,MAX(End_q,Floor_q),MAX(AN80+Cost_round*IF(17&lt;=$B80,1,0)-S80,IF(17&lt;=$B80,1,0)*Pre_q,Floor_q)))</f>
        <v>0</v>
      </c>
      <c r="AN80" s="14" t="n">
        <f aca="false">IF(17&gt;$A80,0,IF(17=$A80,MAX(End_q,Floor_q),MAX(AO80+Cost_round*IF(18&lt;=$B80,1,0)-T80,IF(18&lt;=$B80,1,0)*Pre_q,Floor_q)))</f>
        <v>0</v>
      </c>
      <c r="AO80" s="14" t="n">
        <f aca="false">IF(18&gt;$A80,0,IF(18=$A80,MAX(End_q,Floor_q),MAX(AP80+Cost_round*IF(19&lt;=$B80,1,0)-U80,IF(19&lt;=$B80,1,0)*Pre_q,Floor_q)))</f>
        <v>0</v>
      </c>
      <c r="AP80" s="14" t="n">
        <f aca="false">IF(19&gt;$A80,0,IF(19=$A80,MAX(End_q,Floor_q),MAX(AQ80+Cost_round*IF(20&lt;=$B80,1,0)-V80,IF(20&lt;=$B80,1,0)*Pre_q,Floor_q)))</f>
        <v>0</v>
      </c>
      <c r="AQ80" s="14" t="n">
        <f aca="false">IF(20&gt;$A80,0,MAX(End_q,Floor_q))</f>
        <v>0</v>
      </c>
      <c r="AR80" s="15" t="n">
        <f aca="false">IF(Q_zero&gt;=W80-0.000000001,1,0)</f>
        <v>1</v>
      </c>
      <c r="AS80" s="14" t="n">
        <f aca="false">IF(1&gt;$A80,0,Q_zero-Cost_round*IF(1&lt;=$B80,1,0)+C80-X80)</f>
        <v>220</v>
      </c>
      <c r="AT80" s="14" t="n">
        <f aca="false">IF(2&gt;$A80,0,X80-Cost_round*IF(2&lt;=$B80,1,0)+D80-Y80)</f>
        <v>70</v>
      </c>
      <c r="AU80" s="14" t="n">
        <f aca="false">IF(3&gt;$A80,0,Y80-Cost_round*IF(3&lt;=$B80,1,0)+E80-Z80)</f>
        <v>70</v>
      </c>
      <c r="AV80" s="14" t="n">
        <f aca="false">IF(4&gt;$A80,0,Z80-Cost_round*IF(4&lt;=$B80,1,0)+F80-AA80)</f>
        <v>70</v>
      </c>
      <c r="AW80" s="14" t="n">
        <f aca="false">IF(5&gt;$A80,0,AA80-Cost_round*IF(5&lt;=$B80,1,0)+G80-AB80)</f>
        <v>70</v>
      </c>
      <c r="AX80" s="14" t="n">
        <f aca="false">IF(6&gt;$A80,0,AB80-Cost_round*IF(6&lt;=$B80,1,0)+H80-AC80)</f>
        <v>70</v>
      </c>
      <c r="AY80" s="14" t="n">
        <f aca="false">IF(7&gt;$A80,0,AC80-Cost_round*IF(7&lt;=$B80,1,0)+I80-AD80)</f>
        <v>70</v>
      </c>
      <c r="AZ80" s="14" t="n">
        <f aca="false">IF(8&gt;$A80,0,AD80-Cost_round*IF(8&lt;=$B80,1,0)+J80-AE80)</f>
        <v>70</v>
      </c>
      <c r="BA80" s="14" t="n">
        <f aca="false">IF(9&gt;$A80,0,AE80-Cost_round*IF(9&lt;=$B80,1,0)+K80-AF80)</f>
        <v>20</v>
      </c>
      <c r="BB80" s="14" t="n">
        <f aca="false">IF(10&gt;$A80,0,AF80-Cost_round*IF(10&lt;=$B80,1,0)+L80-AG80)</f>
        <v>0</v>
      </c>
      <c r="BC80" s="14" t="n">
        <f aca="false">IF(11&gt;$A80,0,AG80-Cost_round*IF(11&lt;=$B80,1,0)+M80-AH80)</f>
        <v>0</v>
      </c>
      <c r="BD80" s="14" t="n">
        <f aca="false">IF(12&gt;$A80,0,AH80-Cost_round*IF(12&lt;=$B80,1,0)+N80-AI80)</f>
        <v>0</v>
      </c>
      <c r="BE80" s="14" t="n">
        <f aca="false">IF(13&gt;$A80,0,AI80-Cost_round*IF(13&lt;=$B80,1,0)+O80-AJ80)</f>
        <v>0</v>
      </c>
      <c r="BF80" s="14" t="n">
        <f aca="false">IF(14&gt;$A80,0,AJ80-Cost_round*IF(14&lt;=$B80,1,0)+P80-AK80)</f>
        <v>0</v>
      </c>
      <c r="BG80" s="14" t="n">
        <f aca="false">IF(15&gt;$A80,0,AK80-Cost_round*IF(15&lt;=$B80,1,0)+Q80-AL80)</f>
        <v>0</v>
      </c>
      <c r="BH80" s="14" t="n">
        <f aca="false">IF(16&gt;$A80,0,AL80-Cost_round*IF(16&lt;=$B80,1,0)+R80-AM80)</f>
        <v>0</v>
      </c>
      <c r="BI80" s="14" t="n">
        <f aca="false">IF(17&gt;$A80,0,AM80-Cost_round*IF(17&lt;=$B80,1,0)+S80-AN80)</f>
        <v>0</v>
      </c>
      <c r="BJ80" s="14" t="n">
        <f aca="false">IF(18&gt;$A80,0,AN80-Cost_round*IF(18&lt;=$B80,1,0)+T80-AO80)</f>
        <v>0</v>
      </c>
      <c r="BK80" s="14" t="n">
        <f aca="false">IF(19&gt;$A80,0,AO80-Cost_round*IF(19&lt;=$B80,1,0)+U80-AP80)</f>
        <v>0</v>
      </c>
      <c r="BL80" s="14" t="n">
        <f aca="false">IF(20&gt;$A80,0,AP80-Cost_round*IF(20&lt;=$B80,1,0)+V80-AQ80)</f>
        <v>0</v>
      </c>
      <c r="BM80" s="17" t="n">
        <f aca="false">IF($AR80=1,SUMPRODUCT(AS80:BL80,$AS$38:$BL$38),"")</f>
        <v>518.290422584273</v>
      </c>
      <c r="BN80" s="17" t="n">
        <f aca="false">IF($AR80=1,BM80+INDEX($AS$38:$BL$38,$A80)*INDEX(C80:V80,$A80)/Hurdle_r,"")</f>
        <v>788.170725184945</v>
      </c>
    </row>
    <row r="81" customFormat="false" ht="15" hidden="false" customHeight="false" outlineLevel="0" collapsed="false">
      <c r="A81" s="2" t="n">
        <v>10</v>
      </c>
      <c r="B81" s="2" t="n">
        <v>2</v>
      </c>
      <c r="C81" s="14" t="n">
        <f aca="false">IF(1&gt;$A81,0,Val_pt*(Ceiling_e-E_zero)*(1-(1-Half_gap)^MIN(1,$B81)))</f>
        <v>70</v>
      </c>
      <c r="D81" s="14" t="n">
        <f aca="false">IF(2&gt;$A81,0,Val_pt*(Ceiling_e-E_zero)*(1-(1-Half_gap)^MIN(2,$B81)))</f>
        <v>105</v>
      </c>
      <c r="E81" s="14" t="n">
        <f aca="false">IF(3&gt;$A81,0,Val_pt*(Ceiling_e-E_zero)*(1-(1-Half_gap)^MIN(3,$B81)))</f>
        <v>105</v>
      </c>
      <c r="F81" s="14" t="n">
        <f aca="false">IF(4&gt;$A81,0,Val_pt*(Ceiling_e-E_zero)*(1-(1-Half_gap)^MIN(4,$B81)))</f>
        <v>105</v>
      </c>
      <c r="G81" s="14" t="n">
        <f aca="false">IF(5&gt;$A81,0,Val_pt*(Ceiling_e-E_zero)*(1-(1-Half_gap)^MIN(5,$B81)))</f>
        <v>105</v>
      </c>
      <c r="H81" s="14" t="n">
        <f aca="false">IF(6&gt;$A81,0,Val_pt*(Ceiling_e-E_zero)*(1-(1-Half_gap)^MIN(6,$B81)))</f>
        <v>105</v>
      </c>
      <c r="I81" s="14" t="n">
        <f aca="false">IF(7&gt;$A81,0,Val_pt*(Ceiling_e-E_zero)*(1-(1-Half_gap)^MIN(7,$B81)))</f>
        <v>105</v>
      </c>
      <c r="J81" s="14" t="n">
        <f aca="false">IF(8&gt;$A81,0,Val_pt*(Ceiling_e-E_zero)*(1-(1-Half_gap)^MIN(8,$B81)))</f>
        <v>105</v>
      </c>
      <c r="K81" s="14" t="n">
        <f aca="false">IF(9&gt;$A81,0,Val_pt*(Ceiling_e-E_zero)*(1-(1-Half_gap)^MIN(9,$B81)))</f>
        <v>105</v>
      </c>
      <c r="L81" s="14" t="n">
        <f aca="false">IF(10&gt;$A81,0,Val_pt*(Ceiling_e-E_zero)*(1-(1-Half_gap)^MIN(10,$B81)))</f>
        <v>105</v>
      </c>
      <c r="M81" s="14" t="n">
        <f aca="false">IF(11&gt;$A81,0,Val_pt*(Ceiling_e-E_zero)*(1-(1-Half_gap)^MIN(11,$B81)))</f>
        <v>0</v>
      </c>
      <c r="N81" s="14" t="n">
        <f aca="false">IF(12&gt;$A81,0,Val_pt*(Ceiling_e-E_zero)*(1-(1-Half_gap)^MIN(12,$B81)))</f>
        <v>0</v>
      </c>
      <c r="O81" s="14" t="n">
        <f aca="false">IF(13&gt;$A81,0,Val_pt*(Ceiling_e-E_zero)*(1-(1-Half_gap)^MIN(13,$B81)))</f>
        <v>0</v>
      </c>
      <c r="P81" s="14" t="n">
        <f aca="false">IF(14&gt;$A81,0,Val_pt*(Ceiling_e-E_zero)*(1-(1-Half_gap)^MIN(14,$B81)))</f>
        <v>0</v>
      </c>
      <c r="Q81" s="14" t="n">
        <f aca="false">IF(15&gt;$A81,0,Val_pt*(Ceiling_e-E_zero)*(1-(1-Half_gap)^MIN(15,$B81)))</f>
        <v>0</v>
      </c>
      <c r="R81" s="14" t="n">
        <f aca="false">IF(16&gt;$A81,0,Val_pt*(Ceiling_e-E_zero)*(1-(1-Half_gap)^MIN(16,$B81)))</f>
        <v>0</v>
      </c>
      <c r="S81" s="14" t="n">
        <f aca="false">IF(17&gt;$A81,0,Val_pt*(Ceiling_e-E_zero)*(1-(1-Half_gap)^MIN(17,$B81)))</f>
        <v>0</v>
      </c>
      <c r="T81" s="14" t="n">
        <f aca="false">IF(18&gt;$A81,0,Val_pt*(Ceiling_e-E_zero)*(1-(1-Half_gap)^MIN(18,$B81)))</f>
        <v>0</v>
      </c>
      <c r="U81" s="14" t="n">
        <f aca="false">IF(19&gt;$A81,0,Val_pt*(Ceiling_e-E_zero)*(1-(1-Half_gap)^MIN(19,$B81)))</f>
        <v>0</v>
      </c>
      <c r="V81" s="14" t="n">
        <f aca="false">IF(20&gt;$A81,0,Val_pt*(Ceiling_e-E_zero)*(1-(1-Half_gap)^MIN(20,$B81)))</f>
        <v>0</v>
      </c>
      <c r="W81" s="14" t="n">
        <f aca="false">IF(0&gt;$A81,0,IF(0=$A81,MAX(End_q,Floor_q),MAX(X81+Cost_round*IF(1&lt;=$B81,1,0)-C81,IF(1&lt;=$B81,1,0)*Pre_q)))</f>
        <v>520</v>
      </c>
      <c r="X81" s="14" t="n">
        <f aca="false">IF(1&gt;$A81,0,IF(1=$A81,MAX(End_q,Floor_q),MAX(Y81+Cost_round*IF(2&lt;=$B81,1,0)-D81,IF(2&lt;=$B81,1,0)*Pre_q,Floor_q)))</f>
        <v>470</v>
      </c>
      <c r="Y81" s="14" t="n">
        <f aca="false">IF(2&gt;$A81,0,IF(2=$A81,MAX(End_q,Floor_q),MAX(Z81+Cost_round*IF(3&lt;=$B81,1,0)-E81,IF(3&lt;=$B81,1,0)*Pre_q,Floor_q)))</f>
        <v>350</v>
      </c>
      <c r="Z81" s="14" t="n">
        <f aca="false">IF(3&gt;$A81,0,IF(3=$A81,MAX(End_q,Floor_q),MAX(AA81+Cost_round*IF(4&lt;=$B81,1,0)-F81,IF(4&lt;=$B81,1,0)*Pre_q,Floor_q)))</f>
        <v>350</v>
      </c>
      <c r="AA81" s="14" t="n">
        <f aca="false">IF(4&gt;$A81,0,IF(4=$A81,MAX(End_q,Floor_q),MAX(AB81+Cost_round*IF(5&lt;=$B81,1,0)-G81,IF(5&lt;=$B81,1,0)*Pre_q,Floor_q)))</f>
        <v>350</v>
      </c>
      <c r="AB81" s="14" t="n">
        <f aca="false">IF(5&gt;$A81,0,IF(5=$A81,MAX(End_q,Floor_q),MAX(AC81+Cost_round*IF(6&lt;=$B81,1,0)-H81,IF(6&lt;=$B81,1,0)*Pre_q,Floor_q)))</f>
        <v>350</v>
      </c>
      <c r="AC81" s="14" t="n">
        <f aca="false">IF(6&gt;$A81,0,IF(6=$A81,MAX(End_q,Floor_q),MAX(AD81+Cost_round*IF(7&lt;=$B81,1,0)-I81,IF(7&lt;=$B81,1,0)*Pre_q,Floor_q)))</f>
        <v>350</v>
      </c>
      <c r="AD81" s="14" t="n">
        <f aca="false">IF(7&gt;$A81,0,IF(7=$A81,MAX(End_q,Floor_q),MAX(AE81+Cost_round*IF(8&lt;=$B81,1,0)-J81,IF(8&lt;=$B81,1,0)*Pre_q,Floor_q)))</f>
        <v>350</v>
      </c>
      <c r="AE81" s="14" t="n">
        <f aca="false">IF(8&gt;$A81,0,IF(8=$A81,MAX(End_q,Floor_q),MAX(AF81+Cost_round*IF(9&lt;=$B81,1,0)-K81,IF(9&lt;=$B81,1,0)*Pre_q,Floor_q)))</f>
        <v>350</v>
      </c>
      <c r="AF81" s="14" t="n">
        <f aca="false">IF(9&gt;$A81,0,IF(9=$A81,MAX(End_q,Floor_q),MAX(AG81+Cost_round*IF(10&lt;=$B81,1,0)-L81,IF(10&lt;=$B81,1,0)*Pre_q,Floor_q)))</f>
        <v>365</v>
      </c>
      <c r="AG81" s="14" t="n">
        <f aca="false">IF(10&gt;$A81,0,IF(10=$A81,MAX(End_q,Floor_q),MAX(AH81+Cost_round*IF(11&lt;=$B81,1,0)-M81,IF(11&lt;=$B81,1,0)*Pre_q,Floor_q)))</f>
        <v>470</v>
      </c>
      <c r="AH81" s="14" t="n">
        <f aca="false">IF(11&gt;$A81,0,IF(11=$A81,MAX(End_q,Floor_q),MAX(AI81+Cost_round*IF(12&lt;=$B81,1,0)-N81,IF(12&lt;=$B81,1,0)*Pre_q,Floor_q)))</f>
        <v>0</v>
      </c>
      <c r="AI81" s="14" t="n">
        <f aca="false">IF(12&gt;$A81,0,IF(12=$A81,MAX(End_q,Floor_q),MAX(AJ81+Cost_round*IF(13&lt;=$B81,1,0)-O81,IF(13&lt;=$B81,1,0)*Pre_q,Floor_q)))</f>
        <v>0</v>
      </c>
      <c r="AJ81" s="14" t="n">
        <f aca="false">IF(13&gt;$A81,0,IF(13=$A81,MAX(End_q,Floor_q),MAX(AK81+Cost_round*IF(14&lt;=$B81,1,0)-P81,IF(14&lt;=$B81,1,0)*Pre_q,Floor_q)))</f>
        <v>0</v>
      </c>
      <c r="AK81" s="14" t="n">
        <f aca="false">IF(14&gt;$A81,0,IF(14=$A81,MAX(End_q,Floor_q),MAX(AL81+Cost_round*IF(15&lt;=$B81,1,0)-Q81,IF(15&lt;=$B81,1,0)*Pre_q,Floor_q)))</f>
        <v>0</v>
      </c>
      <c r="AL81" s="14" t="n">
        <f aca="false">IF(15&gt;$A81,0,IF(15=$A81,MAX(End_q,Floor_q),MAX(AM81+Cost_round*IF(16&lt;=$B81,1,0)-R81,IF(16&lt;=$B81,1,0)*Pre_q,Floor_q)))</f>
        <v>0</v>
      </c>
      <c r="AM81" s="14" t="n">
        <f aca="false">IF(16&gt;$A81,0,IF(16=$A81,MAX(End_q,Floor_q),MAX(AN81+Cost_round*IF(17&lt;=$B81,1,0)-S81,IF(17&lt;=$B81,1,0)*Pre_q,Floor_q)))</f>
        <v>0</v>
      </c>
      <c r="AN81" s="14" t="n">
        <f aca="false">IF(17&gt;$A81,0,IF(17=$A81,MAX(End_q,Floor_q),MAX(AO81+Cost_round*IF(18&lt;=$B81,1,0)-T81,IF(18&lt;=$B81,1,0)*Pre_q,Floor_q)))</f>
        <v>0</v>
      </c>
      <c r="AO81" s="14" t="n">
        <f aca="false">IF(18&gt;$A81,0,IF(18=$A81,MAX(End_q,Floor_q),MAX(AP81+Cost_round*IF(19&lt;=$B81,1,0)-U81,IF(19&lt;=$B81,1,0)*Pre_q,Floor_q)))</f>
        <v>0</v>
      </c>
      <c r="AP81" s="14" t="n">
        <f aca="false">IF(19&gt;$A81,0,IF(19=$A81,MAX(End_q,Floor_q),MAX(AQ81+Cost_round*IF(20&lt;=$B81,1,0)-V81,IF(20&lt;=$B81,1,0)*Pre_q,Floor_q)))</f>
        <v>0</v>
      </c>
      <c r="AQ81" s="14" t="n">
        <f aca="false">IF(20&gt;$A81,0,MAX(End_q,Floor_q))</f>
        <v>0</v>
      </c>
      <c r="AR81" s="15" t="n">
        <f aca="false">IF(Q_zero&gt;=W81-0.000000001,1,0)</f>
        <v>1</v>
      </c>
      <c r="AS81" s="14" t="n">
        <f aca="false">IF(1&gt;$A81,0,Q_zero-Cost_round*IF(1&lt;=$B81,1,0)+C81-X81)</f>
        <v>100</v>
      </c>
      <c r="AT81" s="14" t="n">
        <f aca="false">IF(2&gt;$A81,0,X81-Cost_round*IF(2&lt;=$B81,1,0)+D81-Y81)</f>
        <v>105</v>
      </c>
      <c r="AU81" s="14" t="n">
        <f aca="false">IF(3&gt;$A81,0,Y81-Cost_round*IF(3&lt;=$B81,1,0)+E81-Z81)</f>
        <v>105</v>
      </c>
      <c r="AV81" s="14" t="n">
        <f aca="false">IF(4&gt;$A81,0,Z81-Cost_round*IF(4&lt;=$B81,1,0)+F81-AA81)</f>
        <v>105</v>
      </c>
      <c r="AW81" s="14" t="n">
        <f aca="false">IF(5&gt;$A81,0,AA81-Cost_round*IF(5&lt;=$B81,1,0)+G81-AB81)</f>
        <v>105</v>
      </c>
      <c r="AX81" s="14" t="n">
        <f aca="false">IF(6&gt;$A81,0,AB81-Cost_round*IF(6&lt;=$B81,1,0)+H81-AC81)</f>
        <v>105</v>
      </c>
      <c r="AY81" s="14" t="n">
        <f aca="false">IF(7&gt;$A81,0,AC81-Cost_round*IF(7&lt;=$B81,1,0)+I81-AD81)</f>
        <v>105</v>
      </c>
      <c r="AZ81" s="14" t="n">
        <f aca="false">IF(8&gt;$A81,0,AD81-Cost_round*IF(8&lt;=$B81,1,0)+J81-AE81)</f>
        <v>105</v>
      </c>
      <c r="BA81" s="14" t="n">
        <f aca="false">IF(9&gt;$A81,0,AE81-Cost_round*IF(9&lt;=$B81,1,0)+K81-AF81)</f>
        <v>90</v>
      </c>
      <c r="BB81" s="14" t="n">
        <f aca="false">IF(10&gt;$A81,0,AF81-Cost_round*IF(10&lt;=$B81,1,0)+L81-AG81)</f>
        <v>0</v>
      </c>
      <c r="BC81" s="14" t="n">
        <f aca="false">IF(11&gt;$A81,0,AG81-Cost_round*IF(11&lt;=$B81,1,0)+M81-AH81)</f>
        <v>0</v>
      </c>
      <c r="BD81" s="14" t="n">
        <f aca="false">IF(12&gt;$A81,0,AH81-Cost_round*IF(12&lt;=$B81,1,0)+N81-AI81)</f>
        <v>0</v>
      </c>
      <c r="BE81" s="14" t="n">
        <f aca="false">IF(13&gt;$A81,0,AI81-Cost_round*IF(13&lt;=$B81,1,0)+O81-AJ81)</f>
        <v>0</v>
      </c>
      <c r="BF81" s="14" t="n">
        <f aca="false">IF(14&gt;$A81,0,AJ81-Cost_round*IF(14&lt;=$B81,1,0)+P81-AK81)</f>
        <v>0</v>
      </c>
      <c r="BG81" s="14" t="n">
        <f aca="false">IF(15&gt;$A81,0,AK81-Cost_round*IF(15&lt;=$B81,1,0)+Q81-AL81)</f>
        <v>0</v>
      </c>
      <c r="BH81" s="14" t="n">
        <f aca="false">IF(16&gt;$A81,0,AL81-Cost_round*IF(16&lt;=$B81,1,0)+R81-AM81)</f>
        <v>0</v>
      </c>
      <c r="BI81" s="14" t="n">
        <f aca="false">IF(17&gt;$A81,0,AM81-Cost_round*IF(17&lt;=$B81,1,0)+S81-AN81)</f>
        <v>0</v>
      </c>
      <c r="BJ81" s="14" t="n">
        <f aca="false">IF(18&gt;$A81,0,AN81-Cost_round*IF(18&lt;=$B81,1,0)+T81-AO81)</f>
        <v>0</v>
      </c>
      <c r="BK81" s="14" t="n">
        <f aca="false">IF(19&gt;$A81,0,AO81-Cost_round*IF(19&lt;=$B81,1,0)+U81-AP81)</f>
        <v>0</v>
      </c>
      <c r="BL81" s="14" t="n">
        <f aca="false">IF(20&gt;$A81,0,AP81-Cost_round*IF(20&lt;=$B81,1,0)+V81-AQ81)</f>
        <v>0</v>
      </c>
      <c r="BM81" s="17" t="n">
        <f aca="false">IF($AR81=1,SUMPRODUCT(AS81:BL81,$AS$38:$BL$38),"")</f>
        <v>593.790581887849</v>
      </c>
      <c r="BN81" s="17" t="n">
        <f aca="false">IF($AR81=1,BM81+INDEX($AS$38:$BL$38,$A81)*INDEX(C81:V81,$A81)/Hurdle_r,"")</f>
        <v>998.611035788857</v>
      </c>
    </row>
    <row r="82" customFormat="false" ht="15" hidden="false" customHeight="false" outlineLevel="0" collapsed="false">
      <c r="A82" s="2" t="n">
        <v>10</v>
      </c>
      <c r="B82" s="2" t="n">
        <v>3</v>
      </c>
      <c r="C82" s="14" t="n">
        <f aca="false">IF(1&gt;$A82,0,Val_pt*(Ceiling_e-E_zero)*(1-(1-Half_gap)^MIN(1,$B82)))</f>
        <v>70</v>
      </c>
      <c r="D82" s="14" t="n">
        <f aca="false">IF(2&gt;$A82,0,Val_pt*(Ceiling_e-E_zero)*(1-(1-Half_gap)^MIN(2,$B82)))</f>
        <v>105</v>
      </c>
      <c r="E82" s="14" t="n">
        <f aca="false">IF(3&gt;$A82,0,Val_pt*(Ceiling_e-E_zero)*(1-(1-Half_gap)^MIN(3,$B82)))</f>
        <v>122.5</v>
      </c>
      <c r="F82" s="14" t="n">
        <f aca="false">IF(4&gt;$A82,0,Val_pt*(Ceiling_e-E_zero)*(1-(1-Half_gap)^MIN(4,$B82)))</f>
        <v>122.5</v>
      </c>
      <c r="G82" s="14" t="n">
        <f aca="false">IF(5&gt;$A82,0,Val_pt*(Ceiling_e-E_zero)*(1-(1-Half_gap)^MIN(5,$B82)))</f>
        <v>122.5</v>
      </c>
      <c r="H82" s="14" t="n">
        <f aca="false">IF(6&gt;$A82,0,Val_pt*(Ceiling_e-E_zero)*(1-(1-Half_gap)^MIN(6,$B82)))</f>
        <v>122.5</v>
      </c>
      <c r="I82" s="14" t="n">
        <f aca="false">IF(7&gt;$A82,0,Val_pt*(Ceiling_e-E_zero)*(1-(1-Half_gap)^MIN(7,$B82)))</f>
        <v>122.5</v>
      </c>
      <c r="J82" s="14" t="n">
        <f aca="false">IF(8&gt;$A82,0,Val_pt*(Ceiling_e-E_zero)*(1-(1-Half_gap)^MIN(8,$B82)))</f>
        <v>122.5</v>
      </c>
      <c r="K82" s="14" t="n">
        <f aca="false">IF(9&gt;$A82,0,Val_pt*(Ceiling_e-E_zero)*(1-(1-Half_gap)^MIN(9,$B82)))</f>
        <v>122.5</v>
      </c>
      <c r="L82" s="14" t="n">
        <f aca="false">IF(10&gt;$A82,0,Val_pt*(Ceiling_e-E_zero)*(1-(1-Half_gap)^MIN(10,$B82)))</f>
        <v>122.5</v>
      </c>
      <c r="M82" s="14" t="n">
        <f aca="false">IF(11&gt;$A82,0,Val_pt*(Ceiling_e-E_zero)*(1-(1-Half_gap)^MIN(11,$B82)))</f>
        <v>0</v>
      </c>
      <c r="N82" s="14" t="n">
        <f aca="false">IF(12&gt;$A82,0,Val_pt*(Ceiling_e-E_zero)*(1-(1-Half_gap)^MIN(12,$B82)))</f>
        <v>0</v>
      </c>
      <c r="O82" s="14" t="n">
        <f aca="false">IF(13&gt;$A82,0,Val_pt*(Ceiling_e-E_zero)*(1-(1-Half_gap)^MIN(13,$B82)))</f>
        <v>0</v>
      </c>
      <c r="P82" s="14" t="n">
        <f aca="false">IF(14&gt;$A82,0,Val_pt*(Ceiling_e-E_zero)*(1-(1-Half_gap)^MIN(14,$B82)))</f>
        <v>0</v>
      </c>
      <c r="Q82" s="14" t="n">
        <f aca="false">IF(15&gt;$A82,0,Val_pt*(Ceiling_e-E_zero)*(1-(1-Half_gap)^MIN(15,$B82)))</f>
        <v>0</v>
      </c>
      <c r="R82" s="14" t="n">
        <f aca="false">IF(16&gt;$A82,0,Val_pt*(Ceiling_e-E_zero)*(1-(1-Half_gap)^MIN(16,$B82)))</f>
        <v>0</v>
      </c>
      <c r="S82" s="14" t="n">
        <f aca="false">IF(17&gt;$A82,0,Val_pt*(Ceiling_e-E_zero)*(1-(1-Half_gap)^MIN(17,$B82)))</f>
        <v>0</v>
      </c>
      <c r="T82" s="14" t="n">
        <f aca="false">IF(18&gt;$A82,0,Val_pt*(Ceiling_e-E_zero)*(1-(1-Half_gap)^MIN(18,$B82)))</f>
        <v>0</v>
      </c>
      <c r="U82" s="14" t="n">
        <f aca="false">IF(19&gt;$A82,0,Val_pt*(Ceiling_e-E_zero)*(1-(1-Half_gap)^MIN(19,$B82)))</f>
        <v>0</v>
      </c>
      <c r="V82" s="14" t="n">
        <f aca="false">IF(20&gt;$A82,0,Val_pt*(Ceiling_e-E_zero)*(1-(1-Half_gap)^MIN(20,$B82)))</f>
        <v>0</v>
      </c>
      <c r="W82" s="14" t="n">
        <f aca="false">IF(0&gt;$A82,0,IF(0=$A82,MAX(End_q,Floor_q),MAX(X82+Cost_round*IF(1&lt;=$B82,1,0)-C82,IF(1&lt;=$B82,1,0)*Pre_q)))</f>
        <v>535</v>
      </c>
      <c r="X82" s="14" t="n">
        <f aca="false">IF(1&gt;$A82,0,IF(1=$A82,MAX(End_q,Floor_q),MAX(Y82+Cost_round*IF(2&lt;=$B82,1,0)-D82,IF(2&lt;=$B82,1,0)*Pre_q,Floor_q)))</f>
        <v>485</v>
      </c>
      <c r="Y82" s="14" t="n">
        <f aca="false">IF(2&gt;$A82,0,IF(2=$A82,MAX(End_q,Floor_q),MAX(Z82+Cost_round*IF(3&lt;=$B82,1,0)-E82,IF(3&lt;=$B82,1,0)*Pre_q,Floor_q)))</f>
        <v>470</v>
      </c>
      <c r="Z82" s="14" t="n">
        <f aca="false">IF(3&gt;$A82,0,IF(3=$A82,MAX(End_q,Floor_q),MAX(AA82+Cost_round*IF(4&lt;=$B82,1,0)-F82,IF(4&lt;=$B82,1,0)*Pre_q,Floor_q)))</f>
        <v>350</v>
      </c>
      <c r="AA82" s="14" t="n">
        <f aca="false">IF(4&gt;$A82,0,IF(4=$A82,MAX(End_q,Floor_q),MAX(AB82+Cost_round*IF(5&lt;=$B82,1,0)-G82,IF(5&lt;=$B82,1,0)*Pre_q,Floor_q)))</f>
        <v>350</v>
      </c>
      <c r="AB82" s="14" t="n">
        <f aca="false">IF(5&gt;$A82,0,IF(5=$A82,MAX(End_q,Floor_q),MAX(AC82+Cost_round*IF(6&lt;=$B82,1,0)-H82,IF(6&lt;=$B82,1,0)*Pre_q,Floor_q)))</f>
        <v>350</v>
      </c>
      <c r="AC82" s="14" t="n">
        <f aca="false">IF(6&gt;$A82,0,IF(6=$A82,MAX(End_q,Floor_q),MAX(AD82+Cost_round*IF(7&lt;=$B82,1,0)-I82,IF(7&lt;=$B82,1,0)*Pre_q,Floor_q)))</f>
        <v>350</v>
      </c>
      <c r="AD82" s="14" t="n">
        <f aca="false">IF(7&gt;$A82,0,IF(7=$A82,MAX(End_q,Floor_q),MAX(AE82+Cost_round*IF(8&lt;=$B82,1,0)-J82,IF(8&lt;=$B82,1,0)*Pre_q,Floor_q)))</f>
        <v>350</v>
      </c>
      <c r="AE82" s="14" t="n">
        <f aca="false">IF(8&gt;$A82,0,IF(8=$A82,MAX(End_q,Floor_q),MAX(AF82+Cost_round*IF(9&lt;=$B82,1,0)-K82,IF(9&lt;=$B82,1,0)*Pre_q,Floor_q)))</f>
        <v>350</v>
      </c>
      <c r="AF82" s="14" t="n">
        <f aca="false">IF(9&gt;$A82,0,IF(9=$A82,MAX(End_q,Floor_q),MAX(AG82+Cost_round*IF(10&lt;=$B82,1,0)-L82,IF(10&lt;=$B82,1,0)*Pre_q,Floor_q)))</f>
        <v>350</v>
      </c>
      <c r="AG82" s="14" t="n">
        <f aca="false">IF(10&gt;$A82,0,IF(10=$A82,MAX(End_q,Floor_q),MAX(AH82+Cost_round*IF(11&lt;=$B82,1,0)-M82,IF(11&lt;=$B82,1,0)*Pre_q,Floor_q)))</f>
        <v>470</v>
      </c>
      <c r="AH82" s="14" t="n">
        <f aca="false">IF(11&gt;$A82,0,IF(11=$A82,MAX(End_q,Floor_q),MAX(AI82+Cost_round*IF(12&lt;=$B82,1,0)-N82,IF(12&lt;=$B82,1,0)*Pre_q,Floor_q)))</f>
        <v>0</v>
      </c>
      <c r="AI82" s="14" t="n">
        <f aca="false">IF(12&gt;$A82,0,IF(12=$A82,MAX(End_q,Floor_q),MAX(AJ82+Cost_round*IF(13&lt;=$B82,1,0)-O82,IF(13&lt;=$B82,1,0)*Pre_q,Floor_q)))</f>
        <v>0</v>
      </c>
      <c r="AJ82" s="14" t="n">
        <f aca="false">IF(13&gt;$A82,0,IF(13=$A82,MAX(End_q,Floor_q),MAX(AK82+Cost_round*IF(14&lt;=$B82,1,0)-P82,IF(14&lt;=$B82,1,0)*Pre_q,Floor_q)))</f>
        <v>0</v>
      </c>
      <c r="AK82" s="14" t="n">
        <f aca="false">IF(14&gt;$A82,0,IF(14=$A82,MAX(End_q,Floor_q),MAX(AL82+Cost_round*IF(15&lt;=$B82,1,0)-Q82,IF(15&lt;=$B82,1,0)*Pre_q,Floor_q)))</f>
        <v>0</v>
      </c>
      <c r="AL82" s="14" t="n">
        <f aca="false">IF(15&gt;$A82,0,IF(15=$A82,MAX(End_q,Floor_q),MAX(AM82+Cost_round*IF(16&lt;=$B82,1,0)-R82,IF(16&lt;=$B82,1,0)*Pre_q,Floor_q)))</f>
        <v>0</v>
      </c>
      <c r="AM82" s="14" t="n">
        <f aca="false">IF(16&gt;$A82,0,IF(16=$A82,MAX(End_q,Floor_q),MAX(AN82+Cost_round*IF(17&lt;=$B82,1,0)-S82,IF(17&lt;=$B82,1,0)*Pre_q,Floor_q)))</f>
        <v>0</v>
      </c>
      <c r="AN82" s="14" t="n">
        <f aca="false">IF(17&gt;$A82,0,IF(17=$A82,MAX(End_q,Floor_q),MAX(AO82+Cost_round*IF(18&lt;=$B82,1,0)-T82,IF(18&lt;=$B82,1,0)*Pre_q,Floor_q)))</f>
        <v>0</v>
      </c>
      <c r="AO82" s="14" t="n">
        <f aca="false">IF(18&gt;$A82,0,IF(18=$A82,MAX(End_q,Floor_q),MAX(AP82+Cost_round*IF(19&lt;=$B82,1,0)-U82,IF(19&lt;=$B82,1,0)*Pre_q,Floor_q)))</f>
        <v>0</v>
      </c>
      <c r="AP82" s="14" t="n">
        <f aca="false">IF(19&gt;$A82,0,IF(19=$A82,MAX(End_q,Floor_q),MAX(AQ82+Cost_round*IF(20&lt;=$B82,1,0)-V82,IF(20&lt;=$B82,1,0)*Pre_q,Floor_q)))</f>
        <v>0</v>
      </c>
      <c r="AQ82" s="14" t="n">
        <f aca="false">IF(20&gt;$A82,0,MAX(End_q,Floor_q))</f>
        <v>0</v>
      </c>
      <c r="AR82" s="15" t="n">
        <f aca="false">IF(Q_zero&gt;=W82-0.000000001,1,0)</f>
        <v>1</v>
      </c>
      <c r="AS82" s="14" t="n">
        <f aca="false">IF(1&gt;$A82,0,Q_zero-Cost_round*IF(1&lt;=$B82,1,0)+C82-X82)</f>
        <v>85</v>
      </c>
      <c r="AT82" s="14" t="n">
        <f aca="false">IF(2&gt;$A82,0,X82-Cost_round*IF(2&lt;=$B82,1,0)+D82-Y82)</f>
        <v>0</v>
      </c>
      <c r="AU82" s="14" t="n">
        <f aca="false">IF(3&gt;$A82,0,Y82-Cost_round*IF(3&lt;=$B82,1,0)+E82-Z82)</f>
        <v>122.5</v>
      </c>
      <c r="AV82" s="14" t="n">
        <f aca="false">IF(4&gt;$A82,0,Z82-Cost_round*IF(4&lt;=$B82,1,0)+F82-AA82)</f>
        <v>122.5</v>
      </c>
      <c r="AW82" s="14" t="n">
        <f aca="false">IF(5&gt;$A82,0,AA82-Cost_round*IF(5&lt;=$B82,1,0)+G82-AB82)</f>
        <v>122.5</v>
      </c>
      <c r="AX82" s="14" t="n">
        <f aca="false">IF(6&gt;$A82,0,AB82-Cost_round*IF(6&lt;=$B82,1,0)+H82-AC82)</f>
        <v>122.5</v>
      </c>
      <c r="AY82" s="14" t="n">
        <f aca="false">IF(7&gt;$A82,0,AC82-Cost_round*IF(7&lt;=$B82,1,0)+I82-AD82)</f>
        <v>122.5</v>
      </c>
      <c r="AZ82" s="14" t="n">
        <f aca="false">IF(8&gt;$A82,0,AD82-Cost_round*IF(8&lt;=$B82,1,0)+J82-AE82)</f>
        <v>122.5</v>
      </c>
      <c r="BA82" s="14" t="n">
        <f aca="false">IF(9&gt;$A82,0,AE82-Cost_round*IF(9&lt;=$B82,1,0)+K82-AF82)</f>
        <v>122.5</v>
      </c>
      <c r="BB82" s="14" t="n">
        <f aca="false">IF(10&gt;$A82,0,AF82-Cost_round*IF(10&lt;=$B82,1,0)+L82-AG82)</f>
        <v>2.5</v>
      </c>
      <c r="BC82" s="14" t="n">
        <f aca="false">IF(11&gt;$A82,0,AG82-Cost_round*IF(11&lt;=$B82,1,0)+M82-AH82)</f>
        <v>0</v>
      </c>
      <c r="BD82" s="14" t="n">
        <f aca="false">IF(12&gt;$A82,0,AH82-Cost_round*IF(12&lt;=$B82,1,0)+N82-AI82)</f>
        <v>0</v>
      </c>
      <c r="BE82" s="14" t="n">
        <f aca="false">IF(13&gt;$A82,0,AI82-Cost_round*IF(13&lt;=$B82,1,0)+O82-AJ82)</f>
        <v>0</v>
      </c>
      <c r="BF82" s="14" t="n">
        <f aca="false">IF(14&gt;$A82,0,AJ82-Cost_round*IF(14&lt;=$B82,1,0)+P82-AK82)</f>
        <v>0</v>
      </c>
      <c r="BG82" s="14" t="n">
        <f aca="false">IF(15&gt;$A82,0,AK82-Cost_round*IF(15&lt;=$B82,1,0)+Q82-AL82)</f>
        <v>0</v>
      </c>
      <c r="BH82" s="14" t="n">
        <f aca="false">IF(16&gt;$A82,0,AL82-Cost_round*IF(16&lt;=$B82,1,0)+R82-AM82)</f>
        <v>0</v>
      </c>
      <c r="BI82" s="14" t="n">
        <f aca="false">IF(17&gt;$A82,0,AM82-Cost_round*IF(17&lt;=$B82,1,0)+S82-AN82)</f>
        <v>0</v>
      </c>
      <c r="BJ82" s="14" t="n">
        <f aca="false">IF(18&gt;$A82,0,AN82-Cost_round*IF(18&lt;=$B82,1,0)+T82-AO82)</f>
        <v>0</v>
      </c>
      <c r="BK82" s="14" t="n">
        <f aca="false">IF(19&gt;$A82,0,AO82-Cost_round*IF(19&lt;=$B82,1,0)+U82-AP82)</f>
        <v>0</v>
      </c>
      <c r="BL82" s="14" t="n">
        <f aca="false">IF(20&gt;$A82,0,AP82-Cost_round*IF(20&lt;=$B82,1,0)+V82-AQ82)</f>
        <v>0</v>
      </c>
      <c r="BM82" s="17" t="n">
        <f aca="false">IF($AR82=1,SUMPRODUCT(AS82:BL82,$AS$38:$BL$38),"")</f>
        <v>571.113697204883</v>
      </c>
      <c r="BN82" s="17" t="n">
        <f aca="false">IF($AR82=1,BM82+INDEX($AS$38:$BL$38,$A82)*INDEX(C82:V82,$A82)/Hurdle_r,"")</f>
        <v>1043.40422675606</v>
      </c>
    </row>
    <row r="83" customFormat="false" ht="15" hidden="false" customHeight="false" outlineLevel="0" collapsed="false">
      <c r="A83" s="2" t="n">
        <v>10</v>
      </c>
      <c r="B83" s="2" t="n">
        <v>4</v>
      </c>
      <c r="C83" s="14" t="n">
        <f aca="false">IF(1&gt;$A83,0,Val_pt*(Ceiling_e-E_zero)*(1-(1-Half_gap)^MIN(1,$B83)))</f>
        <v>70</v>
      </c>
      <c r="D83" s="14" t="n">
        <f aca="false">IF(2&gt;$A83,0,Val_pt*(Ceiling_e-E_zero)*(1-(1-Half_gap)^MIN(2,$B83)))</f>
        <v>105</v>
      </c>
      <c r="E83" s="14" t="n">
        <f aca="false">IF(3&gt;$A83,0,Val_pt*(Ceiling_e-E_zero)*(1-(1-Half_gap)^MIN(3,$B83)))</f>
        <v>122.5</v>
      </c>
      <c r="F83" s="14" t="n">
        <f aca="false">IF(4&gt;$A83,0,Val_pt*(Ceiling_e-E_zero)*(1-(1-Half_gap)^MIN(4,$B83)))</f>
        <v>131.25</v>
      </c>
      <c r="G83" s="14" t="n">
        <f aca="false">IF(5&gt;$A83,0,Val_pt*(Ceiling_e-E_zero)*(1-(1-Half_gap)^MIN(5,$B83)))</f>
        <v>131.25</v>
      </c>
      <c r="H83" s="14" t="n">
        <f aca="false">IF(6&gt;$A83,0,Val_pt*(Ceiling_e-E_zero)*(1-(1-Half_gap)^MIN(6,$B83)))</f>
        <v>131.25</v>
      </c>
      <c r="I83" s="14" t="n">
        <f aca="false">IF(7&gt;$A83,0,Val_pt*(Ceiling_e-E_zero)*(1-(1-Half_gap)^MIN(7,$B83)))</f>
        <v>131.25</v>
      </c>
      <c r="J83" s="14" t="n">
        <f aca="false">IF(8&gt;$A83,0,Val_pt*(Ceiling_e-E_zero)*(1-(1-Half_gap)^MIN(8,$B83)))</f>
        <v>131.25</v>
      </c>
      <c r="K83" s="14" t="n">
        <f aca="false">IF(9&gt;$A83,0,Val_pt*(Ceiling_e-E_zero)*(1-(1-Half_gap)^MIN(9,$B83)))</f>
        <v>131.25</v>
      </c>
      <c r="L83" s="14" t="n">
        <f aca="false">IF(10&gt;$A83,0,Val_pt*(Ceiling_e-E_zero)*(1-(1-Half_gap)^MIN(10,$B83)))</f>
        <v>131.25</v>
      </c>
      <c r="M83" s="14" t="n">
        <f aca="false">IF(11&gt;$A83,0,Val_pt*(Ceiling_e-E_zero)*(1-(1-Half_gap)^MIN(11,$B83)))</f>
        <v>0</v>
      </c>
      <c r="N83" s="14" t="n">
        <f aca="false">IF(12&gt;$A83,0,Val_pt*(Ceiling_e-E_zero)*(1-(1-Half_gap)^MIN(12,$B83)))</f>
        <v>0</v>
      </c>
      <c r="O83" s="14" t="n">
        <f aca="false">IF(13&gt;$A83,0,Val_pt*(Ceiling_e-E_zero)*(1-(1-Half_gap)^MIN(13,$B83)))</f>
        <v>0</v>
      </c>
      <c r="P83" s="14" t="n">
        <f aca="false">IF(14&gt;$A83,0,Val_pt*(Ceiling_e-E_zero)*(1-(1-Half_gap)^MIN(14,$B83)))</f>
        <v>0</v>
      </c>
      <c r="Q83" s="14" t="n">
        <f aca="false">IF(15&gt;$A83,0,Val_pt*(Ceiling_e-E_zero)*(1-(1-Half_gap)^MIN(15,$B83)))</f>
        <v>0</v>
      </c>
      <c r="R83" s="14" t="n">
        <f aca="false">IF(16&gt;$A83,0,Val_pt*(Ceiling_e-E_zero)*(1-(1-Half_gap)^MIN(16,$B83)))</f>
        <v>0</v>
      </c>
      <c r="S83" s="14" t="n">
        <f aca="false">IF(17&gt;$A83,0,Val_pt*(Ceiling_e-E_zero)*(1-(1-Half_gap)^MIN(17,$B83)))</f>
        <v>0</v>
      </c>
      <c r="T83" s="14" t="n">
        <f aca="false">IF(18&gt;$A83,0,Val_pt*(Ceiling_e-E_zero)*(1-(1-Half_gap)^MIN(18,$B83)))</f>
        <v>0</v>
      </c>
      <c r="U83" s="14" t="n">
        <f aca="false">IF(19&gt;$A83,0,Val_pt*(Ceiling_e-E_zero)*(1-(1-Half_gap)^MIN(19,$B83)))</f>
        <v>0</v>
      </c>
      <c r="V83" s="14" t="n">
        <f aca="false">IF(20&gt;$A83,0,Val_pt*(Ceiling_e-E_zero)*(1-(1-Half_gap)^MIN(20,$B83)))</f>
        <v>0</v>
      </c>
      <c r="W83" s="14" t="n">
        <f aca="false">IF(0&gt;$A83,0,IF(0=$A83,MAX(End_q,Floor_q),MAX(X83+Cost_round*IF(1&lt;=$B83,1,0)-C83,IF(1&lt;=$B83,1,0)*Pre_q)))</f>
        <v>535</v>
      </c>
      <c r="X83" s="14" t="n">
        <f aca="false">IF(1&gt;$A83,0,IF(1=$A83,MAX(End_q,Floor_q),MAX(Y83+Cost_round*IF(2&lt;=$B83,1,0)-D83,IF(2&lt;=$B83,1,0)*Pre_q,Floor_q)))</f>
        <v>485</v>
      </c>
      <c r="Y83" s="14" t="n">
        <f aca="false">IF(2&gt;$A83,0,IF(2=$A83,MAX(End_q,Floor_q),MAX(Z83+Cost_round*IF(3&lt;=$B83,1,0)-E83,IF(3&lt;=$B83,1,0)*Pre_q,Floor_q)))</f>
        <v>470</v>
      </c>
      <c r="Z83" s="14" t="n">
        <f aca="false">IF(3&gt;$A83,0,IF(3=$A83,MAX(End_q,Floor_q),MAX(AA83+Cost_round*IF(4&lt;=$B83,1,0)-F83,IF(4&lt;=$B83,1,0)*Pre_q,Floor_q)))</f>
        <v>470</v>
      </c>
      <c r="AA83" s="14" t="n">
        <f aca="false">IF(4&gt;$A83,0,IF(4=$A83,MAX(End_q,Floor_q),MAX(AB83+Cost_round*IF(5&lt;=$B83,1,0)-G83,IF(5&lt;=$B83,1,0)*Pre_q,Floor_q)))</f>
        <v>350</v>
      </c>
      <c r="AB83" s="14" t="n">
        <f aca="false">IF(5&gt;$A83,0,IF(5=$A83,MAX(End_q,Floor_q),MAX(AC83+Cost_round*IF(6&lt;=$B83,1,0)-H83,IF(6&lt;=$B83,1,0)*Pre_q,Floor_q)))</f>
        <v>350</v>
      </c>
      <c r="AC83" s="14" t="n">
        <f aca="false">IF(6&gt;$A83,0,IF(6=$A83,MAX(End_q,Floor_q),MAX(AD83+Cost_round*IF(7&lt;=$B83,1,0)-I83,IF(7&lt;=$B83,1,0)*Pre_q,Floor_q)))</f>
        <v>350</v>
      </c>
      <c r="AD83" s="14" t="n">
        <f aca="false">IF(7&gt;$A83,0,IF(7=$A83,MAX(End_q,Floor_q),MAX(AE83+Cost_round*IF(8&lt;=$B83,1,0)-J83,IF(8&lt;=$B83,1,0)*Pre_q,Floor_q)))</f>
        <v>350</v>
      </c>
      <c r="AE83" s="14" t="n">
        <f aca="false">IF(8&gt;$A83,0,IF(8=$A83,MAX(End_q,Floor_q),MAX(AF83+Cost_round*IF(9&lt;=$B83,1,0)-K83,IF(9&lt;=$B83,1,0)*Pre_q,Floor_q)))</f>
        <v>350</v>
      </c>
      <c r="AF83" s="14" t="n">
        <f aca="false">IF(9&gt;$A83,0,IF(9=$A83,MAX(End_q,Floor_q),MAX(AG83+Cost_round*IF(10&lt;=$B83,1,0)-L83,IF(10&lt;=$B83,1,0)*Pre_q,Floor_q)))</f>
        <v>350</v>
      </c>
      <c r="AG83" s="14" t="n">
        <f aca="false">IF(10&gt;$A83,0,IF(10=$A83,MAX(End_q,Floor_q),MAX(AH83+Cost_round*IF(11&lt;=$B83,1,0)-M83,IF(11&lt;=$B83,1,0)*Pre_q,Floor_q)))</f>
        <v>470</v>
      </c>
      <c r="AH83" s="14" t="n">
        <f aca="false">IF(11&gt;$A83,0,IF(11=$A83,MAX(End_q,Floor_q),MAX(AI83+Cost_round*IF(12&lt;=$B83,1,0)-N83,IF(12&lt;=$B83,1,0)*Pre_q,Floor_q)))</f>
        <v>0</v>
      </c>
      <c r="AI83" s="14" t="n">
        <f aca="false">IF(12&gt;$A83,0,IF(12=$A83,MAX(End_q,Floor_q),MAX(AJ83+Cost_round*IF(13&lt;=$B83,1,0)-O83,IF(13&lt;=$B83,1,0)*Pre_q,Floor_q)))</f>
        <v>0</v>
      </c>
      <c r="AJ83" s="14" t="n">
        <f aca="false">IF(13&gt;$A83,0,IF(13=$A83,MAX(End_q,Floor_q),MAX(AK83+Cost_round*IF(14&lt;=$B83,1,0)-P83,IF(14&lt;=$B83,1,0)*Pre_q,Floor_q)))</f>
        <v>0</v>
      </c>
      <c r="AK83" s="14" t="n">
        <f aca="false">IF(14&gt;$A83,0,IF(14=$A83,MAX(End_q,Floor_q),MAX(AL83+Cost_round*IF(15&lt;=$B83,1,0)-Q83,IF(15&lt;=$B83,1,0)*Pre_q,Floor_q)))</f>
        <v>0</v>
      </c>
      <c r="AL83" s="14" t="n">
        <f aca="false">IF(15&gt;$A83,0,IF(15=$A83,MAX(End_q,Floor_q),MAX(AM83+Cost_round*IF(16&lt;=$B83,1,0)-R83,IF(16&lt;=$B83,1,0)*Pre_q,Floor_q)))</f>
        <v>0</v>
      </c>
      <c r="AM83" s="14" t="n">
        <f aca="false">IF(16&gt;$A83,0,IF(16=$A83,MAX(End_q,Floor_q),MAX(AN83+Cost_round*IF(17&lt;=$B83,1,0)-S83,IF(17&lt;=$B83,1,0)*Pre_q,Floor_q)))</f>
        <v>0</v>
      </c>
      <c r="AN83" s="14" t="n">
        <f aca="false">IF(17&gt;$A83,0,IF(17=$A83,MAX(End_q,Floor_q),MAX(AO83+Cost_round*IF(18&lt;=$B83,1,0)-T83,IF(18&lt;=$B83,1,0)*Pre_q,Floor_q)))</f>
        <v>0</v>
      </c>
      <c r="AO83" s="14" t="n">
        <f aca="false">IF(18&gt;$A83,0,IF(18=$A83,MAX(End_q,Floor_q),MAX(AP83+Cost_round*IF(19&lt;=$B83,1,0)-U83,IF(19&lt;=$B83,1,0)*Pre_q,Floor_q)))</f>
        <v>0</v>
      </c>
      <c r="AP83" s="14" t="n">
        <f aca="false">IF(19&gt;$A83,0,IF(19=$A83,MAX(End_q,Floor_q),MAX(AQ83+Cost_round*IF(20&lt;=$B83,1,0)-V83,IF(20&lt;=$B83,1,0)*Pre_q,Floor_q)))</f>
        <v>0</v>
      </c>
      <c r="AQ83" s="14" t="n">
        <f aca="false">IF(20&gt;$A83,0,MAX(End_q,Floor_q))</f>
        <v>0</v>
      </c>
      <c r="AR83" s="15" t="n">
        <f aca="false">IF(Q_zero&gt;=W83-0.000000001,1,0)</f>
        <v>1</v>
      </c>
      <c r="AS83" s="14" t="n">
        <f aca="false">IF(1&gt;$A83,0,Q_zero-Cost_round*IF(1&lt;=$B83,1,0)+C83-X83)</f>
        <v>85</v>
      </c>
      <c r="AT83" s="14" t="n">
        <f aca="false">IF(2&gt;$A83,0,X83-Cost_round*IF(2&lt;=$B83,1,0)+D83-Y83)</f>
        <v>0</v>
      </c>
      <c r="AU83" s="14" t="n">
        <f aca="false">IF(3&gt;$A83,0,Y83-Cost_round*IF(3&lt;=$B83,1,0)+E83-Z83)</f>
        <v>2.5</v>
      </c>
      <c r="AV83" s="14" t="n">
        <f aca="false">IF(4&gt;$A83,0,Z83-Cost_round*IF(4&lt;=$B83,1,0)+F83-AA83)</f>
        <v>131.25</v>
      </c>
      <c r="AW83" s="14" t="n">
        <f aca="false">IF(5&gt;$A83,0,AA83-Cost_round*IF(5&lt;=$B83,1,0)+G83-AB83)</f>
        <v>131.25</v>
      </c>
      <c r="AX83" s="14" t="n">
        <f aca="false">IF(6&gt;$A83,0,AB83-Cost_round*IF(6&lt;=$B83,1,0)+H83-AC83)</f>
        <v>131.25</v>
      </c>
      <c r="AY83" s="14" t="n">
        <f aca="false">IF(7&gt;$A83,0,AC83-Cost_round*IF(7&lt;=$B83,1,0)+I83-AD83)</f>
        <v>131.25</v>
      </c>
      <c r="AZ83" s="14" t="n">
        <f aca="false">IF(8&gt;$A83,0,AD83-Cost_round*IF(8&lt;=$B83,1,0)+J83-AE83)</f>
        <v>131.25</v>
      </c>
      <c r="BA83" s="14" t="n">
        <f aca="false">IF(9&gt;$A83,0,AE83-Cost_round*IF(9&lt;=$B83,1,0)+K83-AF83)</f>
        <v>131.25</v>
      </c>
      <c r="BB83" s="14" t="n">
        <f aca="false">IF(10&gt;$A83,0,AF83-Cost_round*IF(10&lt;=$B83,1,0)+L83-AG83)</f>
        <v>11.25</v>
      </c>
      <c r="BC83" s="14" t="n">
        <f aca="false">IF(11&gt;$A83,0,AG83-Cost_round*IF(11&lt;=$B83,1,0)+M83-AH83)</f>
        <v>0</v>
      </c>
      <c r="BD83" s="14" t="n">
        <f aca="false">IF(12&gt;$A83,0,AH83-Cost_round*IF(12&lt;=$B83,1,0)+N83-AI83)</f>
        <v>0</v>
      </c>
      <c r="BE83" s="14" t="n">
        <f aca="false">IF(13&gt;$A83,0,AI83-Cost_round*IF(13&lt;=$B83,1,0)+O83-AJ83)</f>
        <v>0</v>
      </c>
      <c r="BF83" s="14" t="n">
        <f aca="false">IF(14&gt;$A83,0,AJ83-Cost_round*IF(14&lt;=$B83,1,0)+P83-AK83)</f>
        <v>0</v>
      </c>
      <c r="BG83" s="14" t="n">
        <f aca="false">IF(15&gt;$A83,0,AK83-Cost_round*IF(15&lt;=$B83,1,0)+Q83-AL83)</f>
        <v>0</v>
      </c>
      <c r="BH83" s="14" t="n">
        <f aca="false">IF(16&gt;$A83,0,AL83-Cost_round*IF(16&lt;=$B83,1,0)+R83-AM83)</f>
        <v>0</v>
      </c>
      <c r="BI83" s="14" t="n">
        <f aca="false">IF(17&gt;$A83,0,AM83-Cost_round*IF(17&lt;=$B83,1,0)+S83-AN83)</f>
        <v>0</v>
      </c>
      <c r="BJ83" s="14" t="n">
        <f aca="false">IF(18&gt;$A83,0,AN83-Cost_round*IF(18&lt;=$B83,1,0)+T83-AO83)</f>
        <v>0</v>
      </c>
      <c r="BK83" s="14" t="n">
        <f aca="false">IF(19&gt;$A83,0,AO83-Cost_round*IF(19&lt;=$B83,1,0)+U83-AP83)</f>
        <v>0</v>
      </c>
      <c r="BL83" s="14" t="n">
        <f aca="false">IF(20&gt;$A83,0,AP83-Cost_round*IF(20&lt;=$B83,1,0)+V83-AQ83)</f>
        <v>0</v>
      </c>
      <c r="BM83" s="17" t="n">
        <f aca="false">IF($AR83=1,SUMPRODUCT(AS83:BL83,$AS$38:$BL$38),"")</f>
        <v>512.960928350498</v>
      </c>
      <c r="BN83" s="17" t="n">
        <f aca="false">IF($AR83=1,BM83+INDEX($AS$38:$BL$38,$A83)*INDEX(C83:V83,$A83)/Hurdle_r,"")</f>
        <v>1018.98649572676</v>
      </c>
    </row>
    <row r="84" customFormat="false" ht="15" hidden="false" customHeight="false" outlineLevel="0" collapsed="false">
      <c r="A84" s="2" t="n">
        <v>11</v>
      </c>
      <c r="B84" s="2" t="n">
        <v>0</v>
      </c>
      <c r="C84" s="14" t="n">
        <f aca="false">IF(1&gt;$A84,0,Val_pt*(Ceiling_e-E_zero)*(1-(1-Half_gap)^MIN(1,$B84)))</f>
        <v>0</v>
      </c>
      <c r="D84" s="14" t="n">
        <f aca="false">IF(2&gt;$A84,0,Val_pt*(Ceiling_e-E_zero)*(1-(1-Half_gap)^MIN(2,$B84)))</f>
        <v>0</v>
      </c>
      <c r="E84" s="14" t="n">
        <f aca="false">IF(3&gt;$A84,0,Val_pt*(Ceiling_e-E_zero)*(1-(1-Half_gap)^MIN(3,$B84)))</f>
        <v>0</v>
      </c>
      <c r="F84" s="14" t="n">
        <f aca="false">IF(4&gt;$A84,0,Val_pt*(Ceiling_e-E_zero)*(1-(1-Half_gap)^MIN(4,$B84)))</f>
        <v>0</v>
      </c>
      <c r="G84" s="14" t="n">
        <f aca="false">IF(5&gt;$A84,0,Val_pt*(Ceiling_e-E_zero)*(1-(1-Half_gap)^MIN(5,$B84)))</f>
        <v>0</v>
      </c>
      <c r="H84" s="14" t="n">
        <f aca="false">IF(6&gt;$A84,0,Val_pt*(Ceiling_e-E_zero)*(1-(1-Half_gap)^MIN(6,$B84)))</f>
        <v>0</v>
      </c>
      <c r="I84" s="14" t="n">
        <f aca="false">IF(7&gt;$A84,0,Val_pt*(Ceiling_e-E_zero)*(1-(1-Half_gap)^MIN(7,$B84)))</f>
        <v>0</v>
      </c>
      <c r="J84" s="14" t="n">
        <f aca="false">IF(8&gt;$A84,0,Val_pt*(Ceiling_e-E_zero)*(1-(1-Half_gap)^MIN(8,$B84)))</f>
        <v>0</v>
      </c>
      <c r="K84" s="14" t="n">
        <f aca="false">IF(9&gt;$A84,0,Val_pt*(Ceiling_e-E_zero)*(1-(1-Half_gap)^MIN(9,$B84)))</f>
        <v>0</v>
      </c>
      <c r="L84" s="14" t="n">
        <f aca="false">IF(10&gt;$A84,0,Val_pt*(Ceiling_e-E_zero)*(1-(1-Half_gap)^MIN(10,$B84)))</f>
        <v>0</v>
      </c>
      <c r="M84" s="14" t="n">
        <f aca="false">IF(11&gt;$A84,0,Val_pt*(Ceiling_e-E_zero)*(1-(1-Half_gap)^MIN(11,$B84)))</f>
        <v>0</v>
      </c>
      <c r="N84" s="14" t="n">
        <f aca="false">IF(12&gt;$A84,0,Val_pt*(Ceiling_e-E_zero)*(1-(1-Half_gap)^MIN(12,$B84)))</f>
        <v>0</v>
      </c>
      <c r="O84" s="14" t="n">
        <f aca="false">IF(13&gt;$A84,0,Val_pt*(Ceiling_e-E_zero)*(1-(1-Half_gap)^MIN(13,$B84)))</f>
        <v>0</v>
      </c>
      <c r="P84" s="14" t="n">
        <f aca="false">IF(14&gt;$A84,0,Val_pt*(Ceiling_e-E_zero)*(1-(1-Half_gap)^MIN(14,$B84)))</f>
        <v>0</v>
      </c>
      <c r="Q84" s="14" t="n">
        <f aca="false">IF(15&gt;$A84,0,Val_pt*(Ceiling_e-E_zero)*(1-(1-Half_gap)^MIN(15,$B84)))</f>
        <v>0</v>
      </c>
      <c r="R84" s="14" t="n">
        <f aca="false">IF(16&gt;$A84,0,Val_pt*(Ceiling_e-E_zero)*(1-(1-Half_gap)^MIN(16,$B84)))</f>
        <v>0</v>
      </c>
      <c r="S84" s="14" t="n">
        <f aca="false">IF(17&gt;$A84,0,Val_pt*(Ceiling_e-E_zero)*(1-(1-Half_gap)^MIN(17,$B84)))</f>
        <v>0</v>
      </c>
      <c r="T84" s="14" t="n">
        <f aca="false">IF(18&gt;$A84,0,Val_pt*(Ceiling_e-E_zero)*(1-(1-Half_gap)^MIN(18,$B84)))</f>
        <v>0</v>
      </c>
      <c r="U84" s="14" t="n">
        <f aca="false">IF(19&gt;$A84,0,Val_pt*(Ceiling_e-E_zero)*(1-(1-Half_gap)^MIN(19,$B84)))</f>
        <v>0</v>
      </c>
      <c r="V84" s="14" t="n">
        <f aca="false">IF(20&gt;$A84,0,Val_pt*(Ceiling_e-E_zero)*(1-(1-Half_gap)^MIN(20,$B84)))</f>
        <v>0</v>
      </c>
      <c r="W84" s="14" t="n">
        <f aca="false">IF(0&gt;$A84,0,IF(0=$A84,MAX(End_q,Floor_q),MAX(X84+Cost_round*IF(1&lt;=$B84,1,0)-C84,IF(1&lt;=$B84,1,0)*Pre_q)))</f>
        <v>470</v>
      </c>
      <c r="X84" s="14" t="n">
        <f aca="false">IF(1&gt;$A84,0,IF(1=$A84,MAX(End_q,Floor_q),MAX(Y84+Cost_round*IF(2&lt;=$B84,1,0)-D84,IF(2&lt;=$B84,1,0)*Pre_q,Floor_q)))</f>
        <v>470</v>
      </c>
      <c r="Y84" s="14" t="n">
        <f aca="false">IF(2&gt;$A84,0,IF(2=$A84,MAX(End_q,Floor_q),MAX(Z84+Cost_round*IF(3&lt;=$B84,1,0)-E84,IF(3&lt;=$B84,1,0)*Pre_q,Floor_q)))</f>
        <v>470</v>
      </c>
      <c r="Z84" s="14" t="n">
        <f aca="false">IF(3&gt;$A84,0,IF(3=$A84,MAX(End_q,Floor_q),MAX(AA84+Cost_round*IF(4&lt;=$B84,1,0)-F84,IF(4&lt;=$B84,1,0)*Pre_q,Floor_q)))</f>
        <v>470</v>
      </c>
      <c r="AA84" s="14" t="n">
        <f aca="false">IF(4&gt;$A84,0,IF(4=$A84,MAX(End_q,Floor_q),MAX(AB84+Cost_round*IF(5&lt;=$B84,1,0)-G84,IF(5&lt;=$B84,1,0)*Pre_q,Floor_q)))</f>
        <v>470</v>
      </c>
      <c r="AB84" s="14" t="n">
        <f aca="false">IF(5&gt;$A84,0,IF(5=$A84,MAX(End_q,Floor_q),MAX(AC84+Cost_round*IF(6&lt;=$B84,1,0)-H84,IF(6&lt;=$B84,1,0)*Pre_q,Floor_q)))</f>
        <v>470</v>
      </c>
      <c r="AC84" s="14" t="n">
        <f aca="false">IF(6&gt;$A84,0,IF(6=$A84,MAX(End_q,Floor_q),MAX(AD84+Cost_round*IF(7&lt;=$B84,1,0)-I84,IF(7&lt;=$B84,1,0)*Pre_q,Floor_q)))</f>
        <v>470</v>
      </c>
      <c r="AD84" s="14" t="n">
        <f aca="false">IF(7&gt;$A84,0,IF(7=$A84,MAX(End_q,Floor_q),MAX(AE84+Cost_round*IF(8&lt;=$B84,1,0)-J84,IF(8&lt;=$B84,1,0)*Pre_q,Floor_q)))</f>
        <v>470</v>
      </c>
      <c r="AE84" s="14" t="n">
        <f aca="false">IF(8&gt;$A84,0,IF(8=$A84,MAX(End_q,Floor_q),MAX(AF84+Cost_round*IF(9&lt;=$B84,1,0)-K84,IF(9&lt;=$B84,1,0)*Pre_q,Floor_q)))</f>
        <v>470</v>
      </c>
      <c r="AF84" s="14" t="n">
        <f aca="false">IF(9&gt;$A84,0,IF(9=$A84,MAX(End_q,Floor_q),MAX(AG84+Cost_round*IF(10&lt;=$B84,1,0)-L84,IF(10&lt;=$B84,1,0)*Pre_q,Floor_q)))</f>
        <v>470</v>
      </c>
      <c r="AG84" s="14" t="n">
        <f aca="false">IF(10&gt;$A84,0,IF(10=$A84,MAX(End_q,Floor_q),MAX(AH84+Cost_round*IF(11&lt;=$B84,1,0)-M84,IF(11&lt;=$B84,1,0)*Pre_q,Floor_q)))</f>
        <v>470</v>
      </c>
      <c r="AH84" s="14" t="n">
        <f aca="false">IF(11&gt;$A84,0,IF(11=$A84,MAX(End_q,Floor_q),MAX(AI84+Cost_round*IF(12&lt;=$B84,1,0)-N84,IF(12&lt;=$B84,1,0)*Pre_q,Floor_q)))</f>
        <v>470</v>
      </c>
      <c r="AI84" s="14" t="n">
        <f aca="false">IF(12&gt;$A84,0,IF(12=$A84,MAX(End_q,Floor_q),MAX(AJ84+Cost_round*IF(13&lt;=$B84,1,0)-O84,IF(13&lt;=$B84,1,0)*Pre_q,Floor_q)))</f>
        <v>0</v>
      </c>
      <c r="AJ84" s="14" t="n">
        <f aca="false">IF(13&gt;$A84,0,IF(13=$A84,MAX(End_q,Floor_q),MAX(AK84+Cost_round*IF(14&lt;=$B84,1,0)-P84,IF(14&lt;=$B84,1,0)*Pre_q,Floor_q)))</f>
        <v>0</v>
      </c>
      <c r="AK84" s="14" t="n">
        <f aca="false">IF(14&gt;$A84,0,IF(14=$A84,MAX(End_q,Floor_q),MAX(AL84+Cost_round*IF(15&lt;=$B84,1,0)-Q84,IF(15&lt;=$B84,1,0)*Pre_q,Floor_q)))</f>
        <v>0</v>
      </c>
      <c r="AL84" s="14" t="n">
        <f aca="false">IF(15&gt;$A84,0,IF(15=$A84,MAX(End_q,Floor_q),MAX(AM84+Cost_round*IF(16&lt;=$B84,1,0)-R84,IF(16&lt;=$B84,1,0)*Pre_q,Floor_q)))</f>
        <v>0</v>
      </c>
      <c r="AM84" s="14" t="n">
        <f aca="false">IF(16&gt;$A84,0,IF(16=$A84,MAX(End_q,Floor_q),MAX(AN84+Cost_round*IF(17&lt;=$B84,1,0)-S84,IF(17&lt;=$B84,1,0)*Pre_q,Floor_q)))</f>
        <v>0</v>
      </c>
      <c r="AN84" s="14" t="n">
        <f aca="false">IF(17&gt;$A84,0,IF(17=$A84,MAX(End_q,Floor_q),MAX(AO84+Cost_round*IF(18&lt;=$B84,1,0)-T84,IF(18&lt;=$B84,1,0)*Pre_q,Floor_q)))</f>
        <v>0</v>
      </c>
      <c r="AO84" s="14" t="n">
        <f aca="false">IF(18&gt;$A84,0,IF(18=$A84,MAX(End_q,Floor_q),MAX(AP84+Cost_round*IF(19&lt;=$B84,1,0)-U84,IF(19&lt;=$B84,1,0)*Pre_q,Floor_q)))</f>
        <v>0</v>
      </c>
      <c r="AP84" s="14" t="n">
        <f aca="false">IF(19&gt;$A84,0,IF(19=$A84,MAX(End_q,Floor_q),MAX(AQ84+Cost_round*IF(20&lt;=$B84,1,0)-V84,IF(20&lt;=$B84,1,0)*Pre_q,Floor_q)))</f>
        <v>0</v>
      </c>
      <c r="AQ84" s="14" t="n">
        <f aca="false">IF(20&gt;$A84,0,MAX(End_q,Floor_q))</f>
        <v>0</v>
      </c>
      <c r="AR84" s="15" t="n">
        <f aca="false">IF(Q_zero&gt;=W84-0.000000001,1,0)</f>
        <v>1</v>
      </c>
      <c r="AS84" s="14" t="n">
        <f aca="false">IF(1&gt;$A84,0,Q_zero-Cost_round*IF(1&lt;=$B84,1,0)+C84-X84)</f>
        <v>150</v>
      </c>
      <c r="AT84" s="14" t="n">
        <f aca="false">IF(2&gt;$A84,0,X84-Cost_round*IF(2&lt;=$B84,1,0)+D84-Y84)</f>
        <v>0</v>
      </c>
      <c r="AU84" s="14" t="n">
        <f aca="false">IF(3&gt;$A84,0,Y84-Cost_round*IF(3&lt;=$B84,1,0)+E84-Z84)</f>
        <v>0</v>
      </c>
      <c r="AV84" s="14" t="n">
        <f aca="false">IF(4&gt;$A84,0,Z84-Cost_round*IF(4&lt;=$B84,1,0)+F84-AA84)</f>
        <v>0</v>
      </c>
      <c r="AW84" s="14" t="n">
        <f aca="false">IF(5&gt;$A84,0,AA84-Cost_round*IF(5&lt;=$B84,1,0)+G84-AB84)</f>
        <v>0</v>
      </c>
      <c r="AX84" s="14" t="n">
        <f aca="false">IF(6&gt;$A84,0,AB84-Cost_round*IF(6&lt;=$B84,1,0)+H84-AC84)</f>
        <v>0</v>
      </c>
      <c r="AY84" s="14" t="n">
        <f aca="false">IF(7&gt;$A84,0,AC84-Cost_round*IF(7&lt;=$B84,1,0)+I84-AD84)</f>
        <v>0</v>
      </c>
      <c r="AZ84" s="14" t="n">
        <f aca="false">IF(8&gt;$A84,0,AD84-Cost_round*IF(8&lt;=$B84,1,0)+J84-AE84)</f>
        <v>0</v>
      </c>
      <c r="BA84" s="14" t="n">
        <f aca="false">IF(9&gt;$A84,0,AE84-Cost_round*IF(9&lt;=$B84,1,0)+K84-AF84)</f>
        <v>0</v>
      </c>
      <c r="BB84" s="14" t="n">
        <f aca="false">IF(10&gt;$A84,0,AF84-Cost_round*IF(10&lt;=$B84,1,0)+L84-AG84)</f>
        <v>0</v>
      </c>
      <c r="BC84" s="14" t="n">
        <f aca="false">IF(11&gt;$A84,0,AG84-Cost_round*IF(11&lt;=$B84,1,0)+M84-AH84)</f>
        <v>0</v>
      </c>
      <c r="BD84" s="14" t="n">
        <f aca="false">IF(12&gt;$A84,0,AH84-Cost_round*IF(12&lt;=$B84,1,0)+N84-AI84)</f>
        <v>0</v>
      </c>
      <c r="BE84" s="14" t="n">
        <f aca="false">IF(13&gt;$A84,0,AI84-Cost_round*IF(13&lt;=$B84,1,0)+O84-AJ84)</f>
        <v>0</v>
      </c>
      <c r="BF84" s="14" t="n">
        <f aca="false">IF(14&gt;$A84,0,AJ84-Cost_round*IF(14&lt;=$B84,1,0)+P84-AK84)</f>
        <v>0</v>
      </c>
      <c r="BG84" s="14" t="n">
        <f aca="false">IF(15&gt;$A84,0,AK84-Cost_round*IF(15&lt;=$B84,1,0)+Q84-AL84)</f>
        <v>0</v>
      </c>
      <c r="BH84" s="14" t="n">
        <f aca="false">IF(16&gt;$A84,0,AL84-Cost_round*IF(16&lt;=$B84,1,0)+R84-AM84)</f>
        <v>0</v>
      </c>
      <c r="BI84" s="14" t="n">
        <f aca="false">IF(17&gt;$A84,0,AM84-Cost_round*IF(17&lt;=$B84,1,0)+S84-AN84)</f>
        <v>0</v>
      </c>
      <c r="BJ84" s="14" t="n">
        <f aca="false">IF(18&gt;$A84,0,AN84-Cost_round*IF(18&lt;=$B84,1,0)+T84-AO84)</f>
        <v>0</v>
      </c>
      <c r="BK84" s="14" t="n">
        <f aca="false">IF(19&gt;$A84,0,AO84-Cost_round*IF(19&lt;=$B84,1,0)+U84-AP84)</f>
        <v>0</v>
      </c>
      <c r="BL84" s="14" t="n">
        <f aca="false">IF(20&gt;$A84,0,AP84-Cost_round*IF(20&lt;=$B84,1,0)+V84-AQ84)</f>
        <v>0</v>
      </c>
      <c r="BM84" s="17" t="n">
        <f aca="false">IF($AR84=1,SUMPRODUCT(AS84:BL84,$AS$38:$BL$38),"")</f>
        <v>136.363636363636</v>
      </c>
      <c r="BN84" s="17" t="n">
        <f aca="false">IF($AR84=1,BM84+INDEX($AS$38:$BL$38,$A84)*INDEX(C84:V84,$A84)/Hurdle_r,"")</f>
        <v>136.363636363636</v>
      </c>
    </row>
    <row r="85" customFormat="false" ht="15" hidden="false" customHeight="false" outlineLevel="0" collapsed="false">
      <c r="A85" s="2" t="n">
        <v>11</v>
      </c>
      <c r="B85" s="2" t="n">
        <v>1</v>
      </c>
      <c r="C85" s="14" t="n">
        <f aca="false">IF(1&gt;$A85,0,Val_pt*(Ceiling_e-E_zero)*(1-(1-Half_gap)^MIN(1,$B85)))</f>
        <v>70</v>
      </c>
      <c r="D85" s="14" t="n">
        <f aca="false">IF(2&gt;$A85,0,Val_pt*(Ceiling_e-E_zero)*(1-(1-Half_gap)^MIN(2,$B85)))</f>
        <v>70</v>
      </c>
      <c r="E85" s="14" t="n">
        <f aca="false">IF(3&gt;$A85,0,Val_pt*(Ceiling_e-E_zero)*(1-(1-Half_gap)^MIN(3,$B85)))</f>
        <v>70</v>
      </c>
      <c r="F85" s="14" t="n">
        <f aca="false">IF(4&gt;$A85,0,Val_pt*(Ceiling_e-E_zero)*(1-(1-Half_gap)^MIN(4,$B85)))</f>
        <v>70</v>
      </c>
      <c r="G85" s="14" t="n">
        <f aca="false">IF(5&gt;$A85,0,Val_pt*(Ceiling_e-E_zero)*(1-(1-Half_gap)^MIN(5,$B85)))</f>
        <v>70</v>
      </c>
      <c r="H85" s="14" t="n">
        <f aca="false">IF(6&gt;$A85,0,Val_pt*(Ceiling_e-E_zero)*(1-(1-Half_gap)^MIN(6,$B85)))</f>
        <v>70</v>
      </c>
      <c r="I85" s="14" t="n">
        <f aca="false">IF(7&gt;$A85,0,Val_pt*(Ceiling_e-E_zero)*(1-(1-Half_gap)^MIN(7,$B85)))</f>
        <v>70</v>
      </c>
      <c r="J85" s="14" t="n">
        <f aca="false">IF(8&gt;$A85,0,Val_pt*(Ceiling_e-E_zero)*(1-(1-Half_gap)^MIN(8,$B85)))</f>
        <v>70</v>
      </c>
      <c r="K85" s="14" t="n">
        <f aca="false">IF(9&gt;$A85,0,Val_pt*(Ceiling_e-E_zero)*(1-(1-Half_gap)^MIN(9,$B85)))</f>
        <v>70</v>
      </c>
      <c r="L85" s="14" t="n">
        <f aca="false">IF(10&gt;$A85,0,Val_pt*(Ceiling_e-E_zero)*(1-(1-Half_gap)^MIN(10,$B85)))</f>
        <v>70</v>
      </c>
      <c r="M85" s="14" t="n">
        <f aca="false">IF(11&gt;$A85,0,Val_pt*(Ceiling_e-E_zero)*(1-(1-Half_gap)^MIN(11,$B85)))</f>
        <v>70</v>
      </c>
      <c r="N85" s="14" t="n">
        <f aca="false">IF(12&gt;$A85,0,Val_pt*(Ceiling_e-E_zero)*(1-(1-Half_gap)^MIN(12,$B85)))</f>
        <v>0</v>
      </c>
      <c r="O85" s="14" t="n">
        <f aca="false">IF(13&gt;$A85,0,Val_pt*(Ceiling_e-E_zero)*(1-(1-Half_gap)^MIN(13,$B85)))</f>
        <v>0</v>
      </c>
      <c r="P85" s="14" t="n">
        <f aca="false">IF(14&gt;$A85,0,Val_pt*(Ceiling_e-E_zero)*(1-(1-Half_gap)^MIN(14,$B85)))</f>
        <v>0</v>
      </c>
      <c r="Q85" s="14" t="n">
        <f aca="false">IF(15&gt;$A85,0,Val_pt*(Ceiling_e-E_zero)*(1-(1-Half_gap)^MIN(15,$B85)))</f>
        <v>0</v>
      </c>
      <c r="R85" s="14" t="n">
        <f aca="false">IF(16&gt;$A85,0,Val_pt*(Ceiling_e-E_zero)*(1-(1-Half_gap)^MIN(16,$B85)))</f>
        <v>0</v>
      </c>
      <c r="S85" s="14" t="n">
        <f aca="false">IF(17&gt;$A85,0,Val_pt*(Ceiling_e-E_zero)*(1-(1-Half_gap)^MIN(17,$B85)))</f>
        <v>0</v>
      </c>
      <c r="T85" s="14" t="n">
        <f aca="false">IF(18&gt;$A85,0,Val_pt*(Ceiling_e-E_zero)*(1-(1-Half_gap)^MIN(18,$B85)))</f>
        <v>0</v>
      </c>
      <c r="U85" s="14" t="n">
        <f aca="false">IF(19&gt;$A85,0,Val_pt*(Ceiling_e-E_zero)*(1-(1-Half_gap)^MIN(19,$B85)))</f>
        <v>0</v>
      </c>
      <c r="V85" s="14" t="n">
        <f aca="false">IF(20&gt;$A85,0,Val_pt*(Ceiling_e-E_zero)*(1-(1-Half_gap)^MIN(20,$B85)))</f>
        <v>0</v>
      </c>
      <c r="W85" s="14" t="n">
        <f aca="false">IF(0&gt;$A85,0,IF(0=$A85,MAX(End_q,Floor_q),MAX(X85+Cost_round*IF(1&lt;=$B85,1,0)-C85,IF(1&lt;=$B85,1,0)*Pre_q)))</f>
        <v>470</v>
      </c>
      <c r="X85" s="14" t="n">
        <f aca="false">IF(1&gt;$A85,0,IF(1=$A85,MAX(End_q,Floor_q),MAX(Y85+Cost_round*IF(2&lt;=$B85,1,0)-D85,IF(2&lt;=$B85,1,0)*Pre_q,Floor_q)))</f>
        <v>350</v>
      </c>
      <c r="Y85" s="14" t="n">
        <f aca="false">IF(2&gt;$A85,0,IF(2=$A85,MAX(End_q,Floor_q),MAX(Z85+Cost_round*IF(3&lt;=$B85,1,0)-E85,IF(3&lt;=$B85,1,0)*Pre_q,Floor_q)))</f>
        <v>350</v>
      </c>
      <c r="Z85" s="14" t="n">
        <f aca="false">IF(3&gt;$A85,0,IF(3=$A85,MAX(End_q,Floor_q),MAX(AA85+Cost_round*IF(4&lt;=$B85,1,0)-F85,IF(4&lt;=$B85,1,0)*Pre_q,Floor_q)))</f>
        <v>350</v>
      </c>
      <c r="AA85" s="14" t="n">
        <f aca="false">IF(4&gt;$A85,0,IF(4=$A85,MAX(End_q,Floor_q),MAX(AB85+Cost_round*IF(5&lt;=$B85,1,0)-G85,IF(5&lt;=$B85,1,0)*Pre_q,Floor_q)))</f>
        <v>350</v>
      </c>
      <c r="AB85" s="14" t="n">
        <f aca="false">IF(5&gt;$A85,0,IF(5=$A85,MAX(End_q,Floor_q),MAX(AC85+Cost_round*IF(6&lt;=$B85,1,0)-H85,IF(6&lt;=$B85,1,0)*Pre_q,Floor_q)))</f>
        <v>350</v>
      </c>
      <c r="AC85" s="14" t="n">
        <f aca="false">IF(6&gt;$A85,0,IF(6=$A85,MAX(End_q,Floor_q),MAX(AD85+Cost_round*IF(7&lt;=$B85,1,0)-I85,IF(7&lt;=$B85,1,0)*Pre_q,Floor_q)))</f>
        <v>350</v>
      </c>
      <c r="AD85" s="14" t="n">
        <f aca="false">IF(7&gt;$A85,0,IF(7=$A85,MAX(End_q,Floor_q),MAX(AE85+Cost_round*IF(8&lt;=$B85,1,0)-J85,IF(8&lt;=$B85,1,0)*Pre_q,Floor_q)))</f>
        <v>350</v>
      </c>
      <c r="AE85" s="14" t="n">
        <f aca="false">IF(8&gt;$A85,0,IF(8=$A85,MAX(End_q,Floor_q),MAX(AF85+Cost_round*IF(9&lt;=$B85,1,0)-K85,IF(9&lt;=$B85,1,0)*Pre_q,Floor_q)))</f>
        <v>350</v>
      </c>
      <c r="AF85" s="14" t="n">
        <f aca="false">IF(9&gt;$A85,0,IF(9=$A85,MAX(End_q,Floor_q),MAX(AG85+Cost_round*IF(10&lt;=$B85,1,0)-L85,IF(10&lt;=$B85,1,0)*Pre_q,Floor_q)))</f>
        <v>350</v>
      </c>
      <c r="AG85" s="14" t="n">
        <f aca="false">IF(10&gt;$A85,0,IF(10=$A85,MAX(End_q,Floor_q),MAX(AH85+Cost_round*IF(11&lt;=$B85,1,0)-M85,IF(11&lt;=$B85,1,0)*Pre_q,Floor_q)))</f>
        <v>400</v>
      </c>
      <c r="AH85" s="14" t="n">
        <f aca="false">IF(11&gt;$A85,0,IF(11=$A85,MAX(End_q,Floor_q),MAX(AI85+Cost_round*IF(12&lt;=$B85,1,0)-N85,IF(12&lt;=$B85,1,0)*Pre_q,Floor_q)))</f>
        <v>470</v>
      </c>
      <c r="AI85" s="14" t="n">
        <f aca="false">IF(12&gt;$A85,0,IF(12=$A85,MAX(End_q,Floor_q),MAX(AJ85+Cost_round*IF(13&lt;=$B85,1,0)-O85,IF(13&lt;=$B85,1,0)*Pre_q,Floor_q)))</f>
        <v>0</v>
      </c>
      <c r="AJ85" s="14" t="n">
        <f aca="false">IF(13&gt;$A85,0,IF(13=$A85,MAX(End_q,Floor_q),MAX(AK85+Cost_round*IF(14&lt;=$B85,1,0)-P85,IF(14&lt;=$B85,1,0)*Pre_q,Floor_q)))</f>
        <v>0</v>
      </c>
      <c r="AK85" s="14" t="n">
        <f aca="false">IF(14&gt;$A85,0,IF(14=$A85,MAX(End_q,Floor_q),MAX(AL85+Cost_round*IF(15&lt;=$B85,1,0)-Q85,IF(15&lt;=$B85,1,0)*Pre_q,Floor_q)))</f>
        <v>0</v>
      </c>
      <c r="AL85" s="14" t="n">
        <f aca="false">IF(15&gt;$A85,0,IF(15=$A85,MAX(End_q,Floor_q),MAX(AM85+Cost_round*IF(16&lt;=$B85,1,0)-R85,IF(16&lt;=$B85,1,0)*Pre_q,Floor_q)))</f>
        <v>0</v>
      </c>
      <c r="AM85" s="14" t="n">
        <f aca="false">IF(16&gt;$A85,0,IF(16=$A85,MAX(End_q,Floor_q),MAX(AN85+Cost_round*IF(17&lt;=$B85,1,0)-S85,IF(17&lt;=$B85,1,0)*Pre_q,Floor_q)))</f>
        <v>0</v>
      </c>
      <c r="AN85" s="14" t="n">
        <f aca="false">IF(17&gt;$A85,0,IF(17=$A85,MAX(End_q,Floor_q),MAX(AO85+Cost_round*IF(18&lt;=$B85,1,0)-T85,IF(18&lt;=$B85,1,0)*Pre_q,Floor_q)))</f>
        <v>0</v>
      </c>
      <c r="AO85" s="14" t="n">
        <f aca="false">IF(18&gt;$A85,0,IF(18=$A85,MAX(End_q,Floor_q),MAX(AP85+Cost_round*IF(19&lt;=$B85,1,0)-U85,IF(19&lt;=$B85,1,0)*Pre_q,Floor_q)))</f>
        <v>0</v>
      </c>
      <c r="AP85" s="14" t="n">
        <f aca="false">IF(19&gt;$A85,0,IF(19=$A85,MAX(End_q,Floor_q),MAX(AQ85+Cost_round*IF(20&lt;=$B85,1,0)-V85,IF(20&lt;=$B85,1,0)*Pre_q,Floor_q)))</f>
        <v>0</v>
      </c>
      <c r="AQ85" s="14" t="n">
        <f aca="false">IF(20&gt;$A85,0,MAX(End_q,Floor_q))</f>
        <v>0</v>
      </c>
      <c r="AR85" s="15" t="n">
        <f aca="false">IF(Q_zero&gt;=W85-0.000000001,1,0)</f>
        <v>1</v>
      </c>
      <c r="AS85" s="14" t="n">
        <f aca="false">IF(1&gt;$A85,0,Q_zero-Cost_round*IF(1&lt;=$B85,1,0)+C85-X85)</f>
        <v>220</v>
      </c>
      <c r="AT85" s="14" t="n">
        <f aca="false">IF(2&gt;$A85,0,X85-Cost_round*IF(2&lt;=$B85,1,0)+D85-Y85)</f>
        <v>70</v>
      </c>
      <c r="AU85" s="14" t="n">
        <f aca="false">IF(3&gt;$A85,0,Y85-Cost_round*IF(3&lt;=$B85,1,0)+E85-Z85)</f>
        <v>70</v>
      </c>
      <c r="AV85" s="14" t="n">
        <f aca="false">IF(4&gt;$A85,0,Z85-Cost_round*IF(4&lt;=$B85,1,0)+F85-AA85)</f>
        <v>70</v>
      </c>
      <c r="AW85" s="14" t="n">
        <f aca="false">IF(5&gt;$A85,0,AA85-Cost_round*IF(5&lt;=$B85,1,0)+G85-AB85)</f>
        <v>70</v>
      </c>
      <c r="AX85" s="14" t="n">
        <f aca="false">IF(6&gt;$A85,0,AB85-Cost_round*IF(6&lt;=$B85,1,0)+H85-AC85)</f>
        <v>70</v>
      </c>
      <c r="AY85" s="14" t="n">
        <f aca="false">IF(7&gt;$A85,0,AC85-Cost_round*IF(7&lt;=$B85,1,0)+I85-AD85)</f>
        <v>70</v>
      </c>
      <c r="AZ85" s="14" t="n">
        <f aca="false">IF(8&gt;$A85,0,AD85-Cost_round*IF(8&lt;=$B85,1,0)+J85-AE85)</f>
        <v>70</v>
      </c>
      <c r="BA85" s="14" t="n">
        <f aca="false">IF(9&gt;$A85,0,AE85-Cost_round*IF(9&lt;=$B85,1,0)+K85-AF85)</f>
        <v>70</v>
      </c>
      <c r="BB85" s="14" t="n">
        <f aca="false">IF(10&gt;$A85,0,AF85-Cost_round*IF(10&lt;=$B85,1,0)+L85-AG85)</f>
        <v>20</v>
      </c>
      <c r="BC85" s="14" t="n">
        <f aca="false">IF(11&gt;$A85,0,AG85-Cost_round*IF(11&lt;=$B85,1,0)+M85-AH85)</f>
        <v>0</v>
      </c>
      <c r="BD85" s="14" t="n">
        <f aca="false">IF(12&gt;$A85,0,AH85-Cost_round*IF(12&lt;=$B85,1,0)+N85-AI85)</f>
        <v>0</v>
      </c>
      <c r="BE85" s="14" t="n">
        <f aca="false">IF(13&gt;$A85,0,AI85-Cost_round*IF(13&lt;=$B85,1,0)+O85-AJ85)</f>
        <v>0</v>
      </c>
      <c r="BF85" s="14" t="n">
        <f aca="false">IF(14&gt;$A85,0,AJ85-Cost_round*IF(14&lt;=$B85,1,0)+P85-AK85)</f>
        <v>0</v>
      </c>
      <c r="BG85" s="14" t="n">
        <f aca="false">IF(15&gt;$A85,0,AK85-Cost_round*IF(15&lt;=$B85,1,0)+Q85-AL85)</f>
        <v>0</v>
      </c>
      <c r="BH85" s="14" t="n">
        <f aca="false">IF(16&gt;$A85,0,AL85-Cost_round*IF(16&lt;=$B85,1,0)+R85-AM85)</f>
        <v>0</v>
      </c>
      <c r="BI85" s="14" t="n">
        <f aca="false">IF(17&gt;$A85,0,AM85-Cost_round*IF(17&lt;=$B85,1,0)+S85-AN85)</f>
        <v>0</v>
      </c>
      <c r="BJ85" s="14" t="n">
        <f aca="false">IF(18&gt;$A85,0,AN85-Cost_round*IF(18&lt;=$B85,1,0)+T85-AO85)</f>
        <v>0</v>
      </c>
      <c r="BK85" s="14" t="n">
        <f aca="false">IF(19&gt;$A85,0,AO85-Cost_round*IF(19&lt;=$B85,1,0)+U85-AP85)</f>
        <v>0</v>
      </c>
      <c r="BL85" s="14" t="n">
        <f aca="false">IF(20&gt;$A85,0,AP85-Cost_round*IF(20&lt;=$B85,1,0)+V85-AQ85)</f>
        <v>0</v>
      </c>
      <c r="BM85" s="17" t="n">
        <f aca="false">IF($AR85=1,SUMPRODUCT(AS85:BL85,$AS$38:$BL$38),"")</f>
        <v>547.206169291488</v>
      </c>
      <c r="BN85" s="17" t="n">
        <f aca="false">IF($AR85=1,BM85+INDEX($AS$38:$BL$38,$A85)*INDEX(C85:V85,$A85)/Hurdle_r,"")</f>
        <v>792.551898928462</v>
      </c>
    </row>
    <row r="86" customFormat="false" ht="15" hidden="false" customHeight="false" outlineLevel="0" collapsed="false">
      <c r="A86" s="2" t="n">
        <v>11</v>
      </c>
      <c r="B86" s="2" t="n">
        <v>2</v>
      </c>
      <c r="C86" s="14" t="n">
        <f aca="false">IF(1&gt;$A86,0,Val_pt*(Ceiling_e-E_zero)*(1-(1-Half_gap)^MIN(1,$B86)))</f>
        <v>70</v>
      </c>
      <c r="D86" s="14" t="n">
        <f aca="false">IF(2&gt;$A86,0,Val_pt*(Ceiling_e-E_zero)*(1-(1-Half_gap)^MIN(2,$B86)))</f>
        <v>105</v>
      </c>
      <c r="E86" s="14" t="n">
        <f aca="false">IF(3&gt;$A86,0,Val_pt*(Ceiling_e-E_zero)*(1-(1-Half_gap)^MIN(3,$B86)))</f>
        <v>105</v>
      </c>
      <c r="F86" s="14" t="n">
        <f aca="false">IF(4&gt;$A86,0,Val_pt*(Ceiling_e-E_zero)*(1-(1-Half_gap)^MIN(4,$B86)))</f>
        <v>105</v>
      </c>
      <c r="G86" s="14" t="n">
        <f aca="false">IF(5&gt;$A86,0,Val_pt*(Ceiling_e-E_zero)*(1-(1-Half_gap)^MIN(5,$B86)))</f>
        <v>105</v>
      </c>
      <c r="H86" s="14" t="n">
        <f aca="false">IF(6&gt;$A86,0,Val_pt*(Ceiling_e-E_zero)*(1-(1-Half_gap)^MIN(6,$B86)))</f>
        <v>105</v>
      </c>
      <c r="I86" s="14" t="n">
        <f aca="false">IF(7&gt;$A86,0,Val_pt*(Ceiling_e-E_zero)*(1-(1-Half_gap)^MIN(7,$B86)))</f>
        <v>105</v>
      </c>
      <c r="J86" s="14" t="n">
        <f aca="false">IF(8&gt;$A86,0,Val_pt*(Ceiling_e-E_zero)*(1-(1-Half_gap)^MIN(8,$B86)))</f>
        <v>105</v>
      </c>
      <c r="K86" s="14" t="n">
        <f aca="false">IF(9&gt;$A86,0,Val_pt*(Ceiling_e-E_zero)*(1-(1-Half_gap)^MIN(9,$B86)))</f>
        <v>105</v>
      </c>
      <c r="L86" s="14" t="n">
        <f aca="false">IF(10&gt;$A86,0,Val_pt*(Ceiling_e-E_zero)*(1-(1-Half_gap)^MIN(10,$B86)))</f>
        <v>105</v>
      </c>
      <c r="M86" s="14" t="n">
        <f aca="false">IF(11&gt;$A86,0,Val_pt*(Ceiling_e-E_zero)*(1-(1-Half_gap)^MIN(11,$B86)))</f>
        <v>105</v>
      </c>
      <c r="N86" s="14" t="n">
        <f aca="false">IF(12&gt;$A86,0,Val_pt*(Ceiling_e-E_zero)*(1-(1-Half_gap)^MIN(12,$B86)))</f>
        <v>0</v>
      </c>
      <c r="O86" s="14" t="n">
        <f aca="false">IF(13&gt;$A86,0,Val_pt*(Ceiling_e-E_zero)*(1-(1-Half_gap)^MIN(13,$B86)))</f>
        <v>0</v>
      </c>
      <c r="P86" s="14" t="n">
        <f aca="false">IF(14&gt;$A86,0,Val_pt*(Ceiling_e-E_zero)*(1-(1-Half_gap)^MIN(14,$B86)))</f>
        <v>0</v>
      </c>
      <c r="Q86" s="14" t="n">
        <f aca="false">IF(15&gt;$A86,0,Val_pt*(Ceiling_e-E_zero)*(1-(1-Half_gap)^MIN(15,$B86)))</f>
        <v>0</v>
      </c>
      <c r="R86" s="14" t="n">
        <f aca="false">IF(16&gt;$A86,0,Val_pt*(Ceiling_e-E_zero)*(1-(1-Half_gap)^MIN(16,$B86)))</f>
        <v>0</v>
      </c>
      <c r="S86" s="14" t="n">
        <f aca="false">IF(17&gt;$A86,0,Val_pt*(Ceiling_e-E_zero)*(1-(1-Half_gap)^MIN(17,$B86)))</f>
        <v>0</v>
      </c>
      <c r="T86" s="14" t="n">
        <f aca="false">IF(18&gt;$A86,0,Val_pt*(Ceiling_e-E_zero)*(1-(1-Half_gap)^MIN(18,$B86)))</f>
        <v>0</v>
      </c>
      <c r="U86" s="14" t="n">
        <f aca="false">IF(19&gt;$A86,0,Val_pt*(Ceiling_e-E_zero)*(1-(1-Half_gap)^MIN(19,$B86)))</f>
        <v>0</v>
      </c>
      <c r="V86" s="14" t="n">
        <f aca="false">IF(20&gt;$A86,0,Val_pt*(Ceiling_e-E_zero)*(1-(1-Half_gap)^MIN(20,$B86)))</f>
        <v>0</v>
      </c>
      <c r="W86" s="14" t="n">
        <f aca="false">IF(0&gt;$A86,0,IF(0=$A86,MAX(End_q,Floor_q),MAX(X86+Cost_round*IF(1&lt;=$B86,1,0)-C86,IF(1&lt;=$B86,1,0)*Pre_q)))</f>
        <v>520</v>
      </c>
      <c r="X86" s="14" t="n">
        <f aca="false">IF(1&gt;$A86,0,IF(1=$A86,MAX(End_q,Floor_q),MAX(Y86+Cost_round*IF(2&lt;=$B86,1,0)-D86,IF(2&lt;=$B86,1,0)*Pre_q,Floor_q)))</f>
        <v>470</v>
      </c>
      <c r="Y86" s="14" t="n">
        <f aca="false">IF(2&gt;$A86,0,IF(2=$A86,MAX(End_q,Floor_q),MAX(Z86+Cost_round*IF(3&lt;=$B86,1,0)-E86,IF(3&lt;=$B86,1,0)*Pre_q,Floor_q)))</f>
        <v>350</v>
      </c>
      <c r="Z86" s="14" t="n">
        <f aca="false">IF(3&gt;$A86,0,IF(3=$A86,MAX(End_q,Floor_q),MAX(AA86+Cost_round*IF(4&lt;=$B86,1,0)-F86,IF(4&lt;=$B86,1,0)*Pre_q,Floor_q)))</f>
        <v>350</v>
      </c>
      <c r="AA86" s="14" t="n">
        <f aca="false">IF(4&gt;$A86,0,IF(4=$A86,MAX(End_q,Floor_q),MAX(AB86+Cost_round*IF(5&lt;=$B86,1,0)-G86,IF(5&lt;=$B86,1,0)*Pre_q,Floor_q)))</f>
        <v>350</v>
      </c>
      <c r="AB86" s="14" t="n">
        <f aca="false">IF(5&gt;$A86,0,IF(5=$A86,MAX(End_q,Floor_q),MAX(AC86+Cost_round*IF(6&lt;=$B86,1,0)-H86,IF(6&lt;=$B86,1,0)*Pre_q,Floor_q)))</f>
        <v>350</v>
      </c>
      <c r="AC86" s="14" t="n">
        <f aca="false">IF(6&gt;$A86,0,IF(6=$A86,MAX(End_q,Floor_q),MAX(AD86+Cost_round*IF(7&lt;=$B86,1,0)-I86,IF(7&lt;=$B86,1,0)*Pre_q,Floor_q)))</f>
        <v>350</v>
      </c>
      <c r="AD86" s="14" t="n">
        <f aca="false">IF(7&gt;$A86,0,IF(7=$A86,MAX(End_q,Floor_q),MAX(AE86+Cost_round*IF(8&lt;=$B86,1,0)-J86,IF(8&lt;=$B86,1,0)*Pre_q,Floor_q)))</f>
        <v>350</v>
      </c>
      <c r="AE86" s="14" t="n">
        <f aca="false">IF(8&gt;$A86,0,IF(8=$A86,MAX(End_q,Floor_q),MAX(AF86+Cost_round*IF(9&lt;=$B86,1,0)-K86,IF(9&lt;=$B86,1,0)*Pre_q,Floor_q)))</f>
        <v>350</v>
      </c>
      <c r="AF86" s="14" t="n">
        <f aca="false">IF(9&gt;$A86,0,IF(9=$A86,MAX(End_q,Floor_q),MAX(AG86+Cost_round*IF(10&lt;=$B86,1,0)-L86,IF(10&lt;=$B86,1,0)*Pre_q,Floor_q)))</f>
        <v>350</v>
      </c>
      <c r="AG86" s="14" t="n">
        <f aca="false">IF(10&gt;$A86,0,IF(10=$A86,MAX(End_q,Floor_q),MAX(AH86+Cost_round*IF(11&lt;=$B86,1,0)-M86,IF(11&lt;=$B86,1,0)*Pre_q,Floor_q)))</f>
        <v>365</v>
      </c>
      <c r="AH86" s="14" t="n">
        <f aca="false">IF(11&gt;$A86,0,IF(11=$A86,MAX(End_q,Floor_q),MAX(AI86+Cost_round*IF(12&lt;=$B86,1,0)-N86,IF(12&lt;=$B86,1,0)*Pre_q,Floor_q)))</f>
        <v>470</v>
      </c>
      <c r="AI86" s="14" t="n">
        <f aca="false">IF(12&gt;$A86,0,IF(12=$A86,MAX(End_q,Floor_q),MAX(AJ86+Cost_round*IF(13&lt;=$B86,1,0)-O86,IF(13&lt;=$B86,1,0)*Pre_q,Floor_q)))</f>
        <v>0</v>
      </c>
      <c r="AJ86" s="14" t="n">
        <f aca="false">IF(13&gt;$A86,0,IF(13=$A86,MAX(End_q,Floor_q),MAX(AK86+Cost_round*IF(14&lt;=$B86,1,0)-P86,IF(14&lt;=$B86,1,0)*Pre_q,Floor_q)))</f>
        <v>0</v>
      </c>
      <c r="AK86" s="14" t="n">
        <f aca="false">IF(14&gt;$A86,0,IF(14=$A86,MAX(End_q,Floor_q),MAX(AL86+Cost_round*IF(15&lt;=$B86,1,0)-Q86,IF(15&lt;=$B86,1,0)*Pre_q,Floor_q)))</f>
        <v>0</v>
      </c>
      <c r="AL86" s="14" t="n">
        <f aca="false">IF(15&gt;$A86,0,IF(15=$A86,MAX(End_q,Floor_q),MAX(AM86+Cost_round*IF(16&lt;=$B86,1,0)-R86,IF(16&lt;=$B86,1,0)*Pre_q,Floor_q)))</f>
        <v>0</v>
      </c>
      <c r="AM86" s="14" t="n">
        <f aca="false">IF(16&gt;$A86,0,IF(16=$A86,MAX(End_q,Floor_q),MAX(AN86+Cost_round*IF(17&lt;=$B86,1,0)-S86,IF(17&lt;=$B86,1,0)*Pre_q,Floor_q)))</f>
        <v>0</v>
      </c>
      <c r="AN86" s="14" t="n">
        <f aca="false">IF(17&gt;$A86,0,IF(17=$A86,MAX(End_q,Floor_q),MAX(AO86+Cost_round*IF(18&lt;=$B86,1,0)-T86,IF(18&lt;=$B86,1,0)*Pre_q,Floor_q)))</f>
        <v>0</v>
      </c>
      <c r="AO86" s="14" t="n">
        <f aca="false">IF(18&gt;$A86,0,IF(18=$A86,MAX(End_q,Floor_q),MAX(AP86+Cost_round*IF(19&lt;=$B86,1,0)-U86,IF(19&lt;=$B86,1,0)*Pre_q,Floor_q)))</f>
        <v>0</v>
      </c>
      <c r="AP86" s="14" t="n">
        <f aca="false">IF(19&gt;$A86,0,IF(19=$A86,MAX(End_q,Floor_q),MAX(AQ86+Cost_round*IF(20&lt;=$B86,1,0)-V86,IF(20&lt;=$B86,1,0)*Pre_q,Floor_q)))</f>
        <v>0</v>
      </c>
      <c r="AQ86" s="14" t="n">
        <f aca="false">IF(20&gt;$A86,0,MAX(End_q,Floor_q))</f>
        <v>0</v>
      </c>
      <c r="AR86" s="15" t="n">
        <f aca="false">IF(Q_zero&gt;=W86-0.000000001,1,0)</f>
        <v>1</v>
      </c>
      <c r="AS86" s="14" t="n">
        <f aca="false">IF(1&gt;$A86,0,Q_zero-Cost_round*IF(1&lt;=$B86,1,0)+C86-X86)</f>
        <v>100</v>
      </c>
      <c r="AT86" s="14" t="n">
        <f aca="false">IF(2&gt;$A86,0,X86-Cost_round*IF(2&lt;=$B86,1,0)+D86-Y86)</f>
        <v>105</v>
      </c>
      <c r="AU86" s="14" t="n">
        <f aca="false">IF(3&gt;$A86,0,Y86-Cost_round*IF(3&lt;=$B86,1,0)+E86-Z86)</f>
        <v>105</v>
      </c>
      <c r="AV86" s="14" t="n">
        <f aca="false">IF(4&gt;$A86,0,Z86-Cost_round*IF(4&lt;=$B86,1,0)+F86-AA86)</f>
        <v>105</v>
      </c>
      <c r="AW86" s="14" t="n">
        <f aca="false">IF(5&gt;$A86,0,AA86-Cost_round*IF(5&lt;=$B86,1,0)+G86-AB86)</f>
        <v>105</v>
      </c>
      <c r="AX86" s="14" t="n">
        <f aca="false">IF(6&gt;$A86,0,AB86-Cost_round*IF(6&lt;=$B86,1,0)+H86-AC86)</f>
        <v>105</v>
      </c>
      <c r="AY86" s="14" t="n">
        <f aca="false">IF(7&gt;$A86,0,AC86-Cost_round*IF(7&lt;=$B86,1,0)+I86-AD86)</f>
        <v>105</v>
      </c>
      <c r="AZ86" s="14" t="n">
        <f aca="false">IF(8&gt;$A86,0,AD86-Cost_round*IF(8&lt;=$B86,1,0)+J86-AE86)</f>
        <v>105</v>
      </c>
      <c r="BA86" s="14" t="n">
        <f aca="false">IF(9&gt;$A86,0,AE86-Cost_round*IF(9&lt;=$B86,1,0)+K86-AF86)</f>
        <v>105</v>
      </c>
      <c r="BB86" s="14" t="n">
        <f aca="false">IF(10&gt;$A86,0,AF86-Cost_round*IF(10&lt;=$B86,1,0)+L86-AG86)</f>
        <v>90</v>
      </c>
      <c r="BC86" s="14" t="n">
        <f aca="false">IF(11&gt;$A86,0,AG86-Cost_round*IF(11&lt;=$B86,1,0)+M86-AH86)</f>
        <v>0</v>
      </c>
      <c r="BD86" s="14" t="n">
        <f aca="false">IF(12&gt;$A86,0,AH86-Cost_round*IF(12&lt;=$B86,1,0)+N86-AI86)</f>
        <v>0</v>
      </c>
      <c r="BE86" s="14" t="n">
        <f aca="false">IF(13&gt;$A86,0,AI86-Cost_round*IF(13&lt;=$B86,1,0)+O86-AJ86)</f>
        <v>0</v>
      </c>
      <c r="BF86" s="14" t="n">
        <f aca="false">IF(14&gt;$A86,0,AJ86-Cost_round*IF(14&lt;=$B86,1,0)+P86-AK86)</f>
        <v>0</v>
      </c>
      <c r="BG86" s="14" t="n">
        <f aca="false">IF(15&gt;$A86,0,AK86-Cost_round*IF(15&lt;=$B86,1,0)+Q86-AL86)</f>
        <v>0</v>
      </c>
      <c r="BH86" s="14" t="n">
        <f aca="false">IF(16&gt;$A86,0,AL86-Cost_round*IF(16&lt;=$B86,1,0)+R86-AM86)</f>
        <v>0</v>
      </c>
      <c r="BI86" s="14" t="n">
        <f aca="false">IF(17&gt;$A86,0,AM86-Cost_round*IF(17&lt;=$B86,1,0)+S86-AN86)</f>
        <v>0</v>
      </c>
      <c r="BJ86" s="14" t="n">
        <f aca="false">IF(18&gt;$A86,0,AN86-Cost_round*IF(18&lt;=$B86,1,0)+T86-AO86)</f>
        <v>0</v>
      </c>
      <c r="BK86" s="14" t="n">
        <f aca="false">IF(19&gt;$A86,0,AO86-Cost_round*IF(19&lt;=$B86,1,0)+U86-AP86)</f>
        <v>0</v>
      </c>
      <c r="BL86" s="14" t="n">
        <f aca="false">IF(20&gt;$A86,0,AP86-Cost_round*IF(20&lt;=$B86,1,0)+V86-AQ86)</f>
        <v>0</v>
      </c>
      <c r="BM86" s="17" t="n">
        <f aca="false">IF($AR86=1,SUMPRODUCT(AS86:BL86,$AS$38:$BL$38),"")</f>
        <v>634.850942212094</v>
      </c>
      <c r="BN86" s="17" t="n">
        <f aca="false">IF($AR86=1,BM86+INDEX($AS$38:$BL$38,$A86)*INDEX(C86:V86,$A86)/Hurdle_r,"")</f>
        <v>1002.86953666756</v>
      </c>
    </row>
    <row r="87" customFormat="false" ht="15" hidden="false" customHeight="false" outlineLevel="0" collapsed="false">
      <c r="A87" s="2" t="n">
        <v>11</v>
      </c>
      <c r="B87" s="2" t="n">
        <v>3</v>
      </c>
      <c r="C87" s="14" t="n">
        <f aca="false">IF(1&gt;$A87,0,Val_pt*(Ceiling_e-E_zero)*(1-(1-Half_gap)^MIN(1,$B87)))</f>
        <v>70</v>
      </c>
      <c r="D87" s="14" t="n">
        <f aca="false">IF(2&gt;$A87,0,Val_pt*(Ceiling_e-E_zero)*(1-(1-Half_gap)^MIN(2,$B87)))</f>
        <v>105</v>
      </c>
      <c r="E87" s="14" t="n">
        <f aca="false">IF(3&gt;$A87,0,Val_pt*(Ceiling_e-E_zero)*(1-(1-Half_gap)^MIN(3,$B87)))</f>
        <v>122.5</v>
      </c>
      <c r="F87" s="14" t="n">
        <f aca="false">IF(4&gt;$A87,0,Val_pt*(Ceiling_e-E_zero)*(1-(1-Half_gap)^MIN(4,$B87)))</f>
        <v>122.5</v>
      </c>
      <c r="G87" s="14" t="n">
        <f aca="false">IF(5&gt;$A87,0,Val_pt*(Ceiling_e-E_zero)*(1-(1-Half_gap)^MIN(5,$B87)))</f>
        <v>122.5</v>
      </c>
      <c r="H87" s="14" t="n">
        <f aca="false">IF(6&gt;$A87,0,Val_pt*(Ceiling_e-E_zero)*(1-(1-Half_gap)^MIN(6,$B87)))</f>
        <v>122.5</v>
      </c>
      <c r="I87" s="14" t="n">
        <f aca="false">IF(7&gt;$A87,0,Val_pt*(Ceiling_e-E_zero)*(1-(1-Half_gap)^MIN(7,$B87)))</f>
        <v>122.5</v>
      </c>
      <c r="J87" s="14" t="n">
        <f aca="false">IF(8&gt;$A87,0,Val_pt*(Ceiling_e-E_zero)*(1-(1-Half_gap)^MIN(8,$B87)))</f>
        <v>122.5</v>
      </c>
      <c r="K87" s="14" t="n">
        <f aca="false">IF(9&gt;$A87,0,Val_pt*(Ceiling_e-E_zero)*(1-(1-Half_gap)^MIN(9,$B87)))</f>
        <v>122.5</v>
      </c>
      <c r="L87" s="14" t="n">
        <f aca="false">IF(10&gt;$A87,0,Val_pt*(Ceiling_e-E_zero)*(1-(1-Half_gap)^MIN(10,$B87)))</f>
        <v>122.5</v>
      </c>
      <c r="M87" s="14" t="n">
        <f aca="false">IF(11&gt;$A87,0,Val_pt*(Ceiling_e-E_zero)*(1-(1-Half_gap)^MIN(11,$B87)))</f>
        <v>122.5</v>
      </c>
      <c r="N87" s="14" t="n">
        <f aca="false">IF(12&gt;$A87,0,Val_pt*(Ceiling_e-E_zero)*(1-(1-Half_gap)^MIN(12,$B87)))</f>
        <v>0</v>
      </c>
      <c r="O87" s="14" t="n">
        <f aca="false">IF(13&gt;$A87,0,Val_pt*(Ceiling_e-E_zero)*(1-(1-Half_gap)^MIN(13,$B87)))</f>
        <v>0</v>
      </c>
      <c r="P87" s="14" t="n">
        <f aca="false">IF(14&gt;$A87,0,Val_pt*(Ceiling_e-E_zero)*(1-(1-Half_gap)^MIN(14,$B87)))</f>
        <v>0</v>
      </c>
      <c r="Q87" s="14" t="n">
        <f aca="false">IF(15&gt;$A87,0,Val_pt*(Ceiling_e-E_zero)*(1-(1-Half_gap)^MIN(15,$B87)))</f>
        <v>0</v>
      </c>
      <c r="R87" s="14" t="n">
        <f aca="false">IF(16&gt;$A87,0,Val_pt*(Ceiling_e-E_zero)*(1-(1-Half_gap)^MIN(16,$B87)))</f>
        <v>0</v>
      </c>
      <c r="S87" s="14" t="n">
        <f aca="false">IF(17&gt;$A87,0,Val_pt*(Ceiling_e-E_zero)*(1-(1-Half_gap)^MIN(17,$B87)))</f>
        <v>0</v>
      </c>
      <c r="T87" s="14" t="n">
        <f aca="false">IF(18&gt;$A87,0,Val_pt*(Ceiling_e-E_zero)*(1-(1-Half_gap)^MIN(18,$B87)))</f>
        <v>0</v>
      </c>
      <c r="U87" s="14" t="n">
        <f aca="false">IF(19&gt;$A87,0,Val_pt*(Ceiling_e-E_zero)*(1-(1-Half_gap)^MIN(19,$B87)))</f>
        <v>0</v>
      </c>
      <c r="V87" s="14" t="n">
        <f aca="false">IF(20&gt;$A87,0,Val_pt*(Ceiling_e-E_zero)*(1-(1-Half_gap)^MIN(20,$B87)))</f>
        <v>0</v>
      </c>
      <c r="W87" s="14" t="n">
        <f aca="false">IF(0&gt;$A87,0,IF(0=$A87,MAX(End_q,Floor_q),MAX(X87+Cost_round*IF(1&lt;=$B87,1,0)-C87,IF(1&lt;=$B87,1,0)*Pre_q)))</f>
        <v>535</v>
      </c>
      <c r="X87" s="14" t="n">
        <f aca="false">IF(1&gt;$A87,0,IF(1=$A87,MAX(End_q,Floor_q),MAX(Y87+Cost_round*IF(2&lt;=$B87,1,0)-D87,IF(2&lt;=$B87,1,0)*Pre_q,Floor_q)))</f>
        <v>485</v>
      </c>
      <c r="Y87" s="14" t="n">
        <f aca="false">IF(2&gt;$A87,0,IF(2=$A87,MAX(End_q,Floor_q),MAX(Z87+Cost_round*IF(3&lt;=$B87,1,0)-E87,IF(3&lt;=$B87,1,0)*Pre_q,Floor_q)))</f>
        <v>470</v>
      </c>
      <c r="Z87" s="14" t="n">
        <f aca="false">IF(3&gt;$A87,0,IF(3=$A87,MAX(End_q,Floor_q),MAX(AA87+Cost_round*IF(4&lt;=$B87,1,0)-F87,IF(4&lt;=$B87,1,0)*Pre_q,Floor_q)))</f>
        <v>350</v>
      </c>
      <c r="AA87" s="14" t="n">
        <f aca="false">IF(4&gt;$A87,0,IF(4=$A87,MAX(End_q,Floor_q),MAX(AB87+Cost_round*IF(5&lt;=$B87,1,0)-G87,IF(5&lt;=$B87,1,0)*Pre_q,Floor_q)))</f>
        <v>350</v>
      </c>
      <c r="AB87" s="14" t="n">
        <f aca="false">IF(5&gt;$A87,0,IF(5=$A87,MAX(End_q,Floor_q),MAX(AC87+Cost_round*IF(6&lt;=$B87,1,0)-H87,IF(6&lt;=$B87,1,0)*Pre_q,Floor_q)))</f>
        <v>350</v>
      </c>
      <c r="AC87" s="14" t="n">
        <f aca="false">IF(6&gt;$A87,0,IF(6=$A87,MAX(End_q,Floor_q),MAX(AD87+Cost_round*IF(7&lt;=$B87,1,0)-I87,IF(7&lt;=$B87,1,0)*Pre_q,Floor_q)))</f>
        <v>350</v>
      </c>
      <c r="AD87" s="14" t="n">
        <f aca="false">IF(7&gt;$A87,0,IF(7=$A87,MAX(End_q,Floor_q),MAX(AE87+Cost_round*IF(8&lt;=$B87,1,0)-J87,IF(8&lt;=$B87,1,0)*Pre_q,Floor_q)))</f>
        <v>350</v>
      </c>
      <c r="AE87" s="14" t="n">
        <f aca="false">IF(8&gt;$A87,0,IF(8=$A87,MAX(End_q,Floor_q),MAX(AF87+Cost_round*IF(9&lt;=$B87,1,0)-K87,IF(9&lt;=$B87,1,0)*Pre_q,Floor_q)))</f>
        <v>350</v>
      </c>
      <c r="AF87" s="14" t="n">
        <f aca="false">IF(9&gt;$A87,0,IF(9=$A87,MAX(End_q,Floor_q),MAX(AG87+Cost_round*IF(10&lt;=$B87,1,0)-L87,IF(10&lt;=$B87,1,0)*Pre_q,Floor_q)))</f>
        <v>350</v>
      </c>
      <c r="AG87" s="14" t="n">
        <f aca="false">IF(10&gt;$A87,0,IF(10=$A87,MAX(End_q,Floor_q),MAX(AH87+Cost_round*IF(11&lt;=$B87,1,0)-M87,IF(11&lt;=$B87,1,0)*Pre_q,Floor_q)))</f>
        <v>350</v>
      </c>
      <c r="AH87" s="14" t="n">
        <f aca="false">IF(11&gt;$A87,0,IF(11=$A87,MAX(End_q,Floor_q),MAX(AI87+Cost_round*IF(12&lt;=$B87,1,0)-N87,IF(12&lt;=$B87,1,0)*Pre_q,Floor_q)))</f>
        <v>470</v>
      </c>
      <c r="AI87" s="14" t="n">
        <f aca="false">IF(12&gt;$A87,0,IF(12=$A87,MAX(End_q,Floor_q),MAX(AJ87+Cost_round*IF(13&lt;=$B87,1,0)-O87,IF(13&lt;=$B87,1,0)*Pre_q,Floor_q)))</f>
        <v>0</v>
      </c>
      <c r="AJ87" s="14" t="n">
        <f aca="false">IF(13&gt;$A87,0,IF(13=$A87,MAX(End_q,Floor_q),MAX(AK87+Cost_round*IF(14&lt;=$B87,1,0)-P87,IF(14&lt;=$B87,1,0)*Pre_q,Floor_q)))</f>
        <v>0</v>
      </c>
      <c r="AK87" s="14" t="n">
        <f aca="false">IF(14&gt;$A87,0,IF(14=$A87,MAX(End_q,Floor_q),MAX(AL87+Cost_round*IF(15&lt;=$B87,1,0)-Q87,IF(15&lt;=$B87,1,0)*Pre_q,Floor_q)))</f>
        <v>0</v>
      </c>
      <c r="AL87" s="14" t="n">
        <f aca="false">IF(15&gt;$A87,0,IF(15=$A87,MAX(End_q,Floor_q),MAX(AM87+Cost_round*IF(16&lt;=$B87,1,0)-R87,IF(16&lt;=$B87,1,0)*Pre_q,Floor_q)))</f>
        <v>0</v>
      </c>
      <c r="AM87" s="14" t="n">
        <f aca="false">IF(16&gt;$A87,0,IF(16=$A87,MAX(End_q,Floor_q),MAX(AN87+Cost_round*IF(17&lt;=$B87,1,0)-S87,IF(17&lt;=$B87,1,0)*Pre_q,Floor_q)))</f>
        <v>0</v>
      </c>
      <c r="AN87" s="14" t="n">
        <f aca="false">IF(17&gt;$A87,0,IF(17=$A87,MAX(End_q,Floor_q),MAX(AO87+Cost_round*IF(18&lt;=$B87,1,0)-T87,IF(18&lt;=$B87,1,0)*Pre_q,Floor_q)))</f>
        <v>0</v>
      </c>
      <c r="AO87" s="14" t="n">
        <f aca="false">IF(18&gt;$A87,0,IF(18=$A87,MAX(End_q,Floor_q),MAX(AP87+Cost_round*IF(19&lt;=$B87,1,0)-U87,IF(19&lt;=$B87,1,0)*Pre_q,Floor_q)))</f>
        <v>0</v>
      </c>
      <c r="AP87" s="14" t="n">
        <f aca="false">IF(19&gt;$A87,0,IF(19=$A87,MAX(End_q,Floor_q),MAX(AQ87+Cost_round*IF(20&lt;=$B87,1,0)-V87,IF(20&lt;=$B87,1,0)*Pre_q,Floor_q)))</f>
        <v>0</v>
      </c>
      <c r="AQ87" s="14" t="n">
        <f aca="false">IF(20&gt;$A87,0,MAX(End_q,Floor_q))</f>
        <v>0</v>
      </c>
      <c r="AR87" s="15" t="n">
        <f aca="false">IF(Q_zero&gt;=W87-0.000000001,1,0)</f>
        <v>1</v>
      </c>
      <c r="AS87" s="14" t="n">
        <f aca="false">IF(1&gt;$A87,0,Q_zero-Cost_round*IF(1&lt;=$B87,1,0)+C87-X87)</f>
        <v>85</v>
      </c>
      <c r="AT87" s="14" t="n">
        <f aca="false">IF(2&gt;$A87,0,X87-Cost_round*IF(2&lt;=$B87,1,0)+D87-Y87)</f>
        <v>0</v>
      </c>
      <c r="AU87" s="14" t="n">
        <f aca="false">IF(3&gt;$A87,0,Y87-Cost_round*IF(3&lt;=$B87,1,0)+E87-Z87)</f>
        <v>122.5</v>
      </c>
      <c r="AV87" s="14" t="n">
        <f aca="false">IF(4&gt;$A87,0,Z87-Cost_round*IF(4&lt;=$B87,1,0)+F87-AA87)</f>
        <v>122.5</v>
      </c>
      <c r="AW87" s="14" t="n">
        <f aca="false">IF(5&gt;$A87,0,AA87-Cost_round*IF(5&lt;=$B87,1,0)+G87-AB87)</f>
        <v>122.5</v>
      </c>
      <c r="AX87" s="14" t="n">
        <f aca="false">IF(6&gt;$A87,0,AB87-Cost_round*IF(6&lt;=$B87,1,0)+H87-AC87)</f>
        <v>122.5</v>
      </c>
      <c r="AY87" s="14" t="n">
        <f aca="false">IF(7&gt;$A87,0,AC87-Cost_round*IF(7&lt;=$B87,1,0)+I87-AD87)</f>
        <v>122.5</v>
      </c>
      <c r="AZ87" s="14" t="n">
        <f aca="false">IF(8&gt;$A87,0,AD87-Cost_round*IF(8&lt;=$B87,1,0)+J87-AE87)</f>
        <v>122.5</v>
      </c>
      <c r="BA87" s="14" t="n">
        <f aca="false">IF(9&gt;$A87,0,AE87-Cost_round*IF(9&lt;=$B87,1,0)+K87-AF87)</f>
        <v>122.5</v>
      </c>
      <c r="BB87" s="14" t="n">
        <f aca="false">IF(10&gt;$A87,0,AF87-Cost_round*IF(10&lt;=$B87,1,0)+L87-AG87)</f>
        <v>122.5</v>
      </c>
      <c r="BC87" s="14" t="n">
        <f aca="false">IF(11&gt;$A87,0,AG87-Cost_round*IF(11&lt;=$B87,1,0)+M87-AH87)</f>
        <v>2.5</v>
      </c>
      <c r="BD87" s="14" t="n">
        <f aca="false">IF(12&gt;$A87,0,AH87-Cost_round*IF(12&lt;=$B87,1,0)+N87-AI87)</f>
        <v>0</v>
      </c>
      <c r="BE87" s="14" t="n">
        <f aca="false">IF(13&gt;$A87,0,AI87-Cost_round*IF(13&lt;=$B87,1,0)+O87-AJ87)</f>
        <v>0</v>
      </c>
      <c r="BF87" s="14" t="n">
        <f aca="false">IF(14&gt;$A87,0,AJ87-Cost_round*IF(14&lt;=$B87,1,0)+P87-AK87)</f>
        <v>0</v>
      </c>
      <c r="BG87" s="14" t="n">
        <f aca="false">IF(15&gt;$A87,0,AK87-Cost_round*IF(15&lt;=$B87,1,0)+Q87-AL87)</f>
        <v>0</v>
      </c>
      <c r="BH87" s="14" t="n">
        <f aca="false">IF(16&gt;$A87,0,AL87-Cost_round*IF(16&lt;=$B87,1,0)+R87-AM87)</f>
        <v>0</v>
      </c>
      <c r="BI87" s="14" t="n">
        <f aca="false">IF(17&gt;$A87,0,AM87-Cost_round*IF(17&lt;=$B87,1,0)+S87-AN87)</f>
        <v>0</v>
      </c>
      <c r="BJ87" s="14" t="n">
        <f aca="false">IF(18&gt;$A87,0,AN87-Cost_round*IF(18&lt;=$B87,1,0)+T87-AO87)</f>
        <v>0</v>
      </c>
      <c r="BK87" s="14" t="n">
        <f aca="false">IF(19&gt;$A87,0,AO87-Cost_round*IF(19&lt;=$B87,1,0)+U87-AP87)</f>
        <v>0</v>
      </c>
      <c r="BL87" s="14" t="n">
        <f aca="false">IF(20&gt;$A87,0,AP87-Cost_round*IF(20&lt;=$B87,1,0)+V87-AQ87)</f>
        <v>0</v>
      </c>
      <c r="BM87" s="17" t="n">
        <f aca="false">IF($AR87=1,SUMPRODUCT(AS87:BL87,$AS$38:$BL$38),"")</f>
        <v>618.25512668513</v>
      </c>
      <c r="BN87" s="17" t="n">
        <f aca="false">IF($AR87=1,BM87+INDEX($AS$38:$BL$38,$A87)*INDEX(C87:V87,$A87)/Hurdle_r,"")</f>
        <v>1047.61015354984</v>
      </c>
    </row>
    <row r="88" customFormat="false" ht="15" hidden="false" customHeight="false" outlineLevel="0" collapsed="false">
      <c r="A88" s="2" t="n">
        <v>11</v>
      </c>
      <c r="B88" s="2" t="n">
        <v>4</v>
      </c>
      <c r="C88" s="14" t="n">
        <f aca="false">IF(1&gt;$A88,0,Val_pt*(Ceiling_e-E_zero)*(1-(1-Half_gap)^MIN(1,$B88)))</f>
        <v>70</v>
      </c>
      <c r="D88" s="14" t="n">
        <f aca="false">IF(2&gt;$A88,0,Val_pt*(Ceiling_e-E_zero)*(1-(1-Half_gap)^MIN(2,$B88)))</f>
        <v>105</v>
      </c>
      <c r="E88" s="14" t="n">
        <f aca="false">IF(3&gt;$A88,0,Val_pt*(Ceiling_e-E_zero)*(1-(1-Half_gap)^MIN(3,$B88)))</f>
        <v>122.5</v>
      </c>
      <c r="F88" s="14" t="n">
        <f aca="false">IF(4&gt;$A88,0,Val_pt*(Ceiling_e-E_zero)*(1-(1-Half_gap)^MIN(4,$B88)))</f>
        <v>131.25</v>
      </c>
      <c r="G88" s="14" t="n">
        <f aca="false">IF(5&gt;$A88,0,Val_pt*(Ceiling_e-E_zero)*(1-(1-Half_gap)^MIN(5,$B88)))</f>
        <v>131.25</v>
      </c>
      <c r="H88" s="14" t="n">
        <f aca="false">IF(6&gt;$A88,0,Val_pt*(Ceiling_e-E_zero)*(1-(1-Half_gap)^MIN(6,$B88)))</f>
        <v>131.25</v>
      </c>
      <c r="I88" s="14" t="n">
        <f aca="false">IF(7&gt;$A88,0,Val_pt*(Ceiling_e-E_zero)*(1-(1-Half_gap)^MIN(7,$B88)))</f>
        <v>131.25</v>
      </c>
      <c r="J88" s="14" t="n">
        <f aca="false">IF(8&gt;$A88,0,Val_pt*(Ceiling_e-E_zero)*(1-(1-Half_gap)^MIN(8,$B88)))</f>
        <v>131.25</v>
      </c>
      <c r="K88" s="14" t="n">
        <f aca="false">IF(9&gt;$A88,0,Val_pt*(Ceiling_e-E_zero)*(1-(1-Half_gap)^MIN(9,$B88)))</f>
        <v>131.25</v>
      </c>
      <c r="L88" s="14" t="n">
        <f aca="false">IF(10&gt;$A88,0,Val_pt*(Ceiling_e-E_zero)*(1-(1-Half_gap)^MIN(10,$B88)))</f>
        <v>131.25</v>
      </c>
      <c r="M88" s="14" t="n">
        <f aca="false">IF(11&gt;$A88,0,Val_pt*(Ceiling_e-E_zero)*(1-(1-Half_gap)^MIN(11,$B88)))</f>
        <v>131.25</v>
      </c>
      <c r="N88" s="14" t="n">
        <f aca="false">IF(12&gt;$A88,0,Val_pt*(Ceiling_e-E_zero)*(1-(1-Half_gap)^MIN(12,$B88)))</f>
        <v>0</v>
      </c>
      <c r="O88" s="14" t="n">
        <f aca="false">IF(13&gt;$A88,0,Val_pt*(Ceiling_e-E_zero)*(1-(1-Half_gap)^MIN(13,$B88)))</f>
        <v>0</v>
      </c>
      <c r="P88" s="14" t="n">
        <f aca="false">IF(14&gt;$A88,0,Val_pt*(Ceiling_e-E_zero)*(1-(1-Half_gap)^MIN(14,$B88)))</f>
        <v>0</v>
      </c>
      <c r="Q88" s="14" t="n">
        <f aca="false">IF(15&gt;$A88,0,Val_pt*(Ceiling_e-E_zero)*(1-(1-Half_gap)^MIN(15,$B88)))</f>
        <v>0</v>
      </c>
      <c r="R88" s="14" t="n">
        <f aca="false">IF(16&gt;$A88,0,Val_pt*(Ceiling_e-E_zero)*(1-(1-Half_gap)^MIN(16,$B88)))</f>
        <v>0</v>
      </c>
      <c r="S88" s="14" t="n">
        <f aca="false">IF(17&gt;$A88,0,Val_pt*(Ceiling_e-E_zero)*(1-(1-Half_gap)^MIN(17,$B88)))</f>
        <v>0</v>
      </c>
      <c r="T88" s="14" t="n">
        <f aca="false">IF(18&gt;$A88,0,Val_pt*(Ceiling_e-E_zero)*(1-(1-Half_gap)^MIN(18,$B88)))</f>
        <v>0</v>
      </c>
      <c r="U88" s="14" t="n">
        <f aca="false">IF(19&gt;$A88,0,Val_pt*(Ceiling_e-E_zero)*(1-(1-Half_gap)^MIN(19,$B88)))</f>
        <v>0</v>
      </c>
      <c r="V88" s="14" t="n">
        <f aca="false">IF(20&gt;$A88,0,Val_pt*(Ceiling_e-E_zero)*(1-(1-Half_gap)^MIN(20,$B88)))</f>
        <v>0</v>
      </c>
      <c r="W88" s="14" t="n">
        <f aca="false">IF(0&gt;$A88,0,IF(0=$A88,MAX(End_q,Floor_q),MAX(X88+Cost_round*IF(1&lt;=$B88,1,0)-C88,IF(1&lt;=$B88,1,0)*Pre_q)))</f>
        <v>535</v>
      </c>
      <c r="X88" s="14" t="n">
        <f aca="false">IF(1&gt;$A88,0,IF(1=$A88,MAX(End_q,Floor_q),MAX(Y88+Cost_round*IF(2&lt;=$B88,1,0)-D88,IF(2&lt;=$B88,1,0)*Pre_q,Floor_q)))</f>
        <v>485</v>
      </c>
      <c r="Y88" s="14" t="n">
        <f aca="false">IF(2&gt;$A88,0,IF(2=$A88,MAX(End_q,Floor_q),MAX(Z88+Cost_round*IF(3&lt;=$B88,1,0)-E88,IF(3&lt;=$B88,1,0)*Pre_q,Floor_q)))</f>
        <v>470</v>
      </c>
      <c r="Z88" s="14" t="n">
        <f aca="false">IF(3&gt;$A88,0,IF(3=$A88,MAX(End_q,Floor_q),MAX(AA88+Cost_round*IF(4&lt;=$B88,1,0)-F88,IF(4&lt;=$B88,1,0)*Pre_q,Floor_q)))</f>
        <v>470</v>
      </c>
      <c r="AA88" s="14" t="n">
        <f aca="false">IF(4&gt;$A88,0,IF(4=$A88,MAX(End_q,Floor_q),MAX(AB88+Cost_round*IF(5&lt;=$B88,1,0)-G88,IF(5&lt;=$B88,1,0)*Pre_q,Floor_q)))</f>
        <v>350</v>
      </c>
      <c r="AB88" s="14" t="n">
        <f aca="false">IF(5&gt;$A88,0,IF(5=$A88,MAX(End_q,Floor_q),MAX(AC88+Cost_round*IF(6&lt;=$B88,1,0)-H88,IF(6&lt;=$B88,1,0)*Pre_q,Floor_q)))</f>
        <v>350</v>
      </c>
      <c r="AC88" s="14" t="n">
        <f aca="false">IF(6&gt;$A88,0,IF(6=$A88,MAX(End_q,Floor_q),MAX(AD88+Cost_round*IF(7&lt;=$B88,1,0)-I88,IF(7&lt;=$B88,1,0)*Pre_q,Floor_q)))</f>
        <v>350</v>
      </c>
      <c r="AD88" s="14" t="n">
        <f aca="false">IF(7&gt;$A88,0,IF(7=$A88,MAX(End_q,Floor_q),MAX(AE88+Cost_round*IF(8&lt;=$B88,1,0)-J88,IF(8&lt;=$B88,1,0)*Pre_q,Floor_q)))</f>
        <v>350</v>
      </c>
      <c r="AE88" s="14" t="n">
        <f aca="false">IF(8&gt;$A88,0,IF(8=$A88,MAX(End_q,Floor_q),MAX(AF88+Cost_round*IF(9&lt;=$B88,1,0)-K88,IF(9&lt;=$B88,1,0)*Pre_q,Floor_q)))</f>
        <v>350</v>
      </c>
      <c r="AF88" s="14" t="n">
        <f aca="false">IF(9&gt;$A88,0,IF(9=$A88,MAX(End_q,Floor_q),MAX(AG88+Cost_round*IF(10&lt;=$B88,1,0)-L88,IF(10&lt;=$B88,1,0)*Pre_q,Floor_q)))</f>
        <v>350</v>
      </c>
      <c r="AG88" s="14" t="n">
        <f aca="false">IF(10&gt;$A88,0,IF(10=$A88,MAX(End_q,Floor_q),MAX(AH88+Cost_round*IF(11&lt;=$B88,1,0)-M88,IF(11&lt;=$B88,1,0)*Pre_q,Floor_q)))</f>
        <v>350</v>
      </c>
      <c r="AH88" s="14" t="n">
        <f aca="false">IF(11&gt;$A88,0,IF(11=$A88,MAX(End_q,Floor_q),MAX(AI88+Cost_round*IF(12&lt;=$B88,1,0)-N88,IF(12&lt;=$B88,1,0)*Pre_q,Floor_q)))</f>
        <v>470</v>
      </c>
      <c r="AI88" s="14" t="n">
        <f aca="false">IF(12&gt;$A88,0,IF(12=$A88,MAX(End_q,Floor_q),MAX(AJ88+Cost_round*IF(13&lt;=$B88,1,0)-O88,IF(13&lt;=$B88,1,0)*Pre_q,Floor_q)))</f>
        <v>0</v>
      </c>
      <c r="AJ88" s="14" t="n">
        <f aca="false">IF(13&gt;$A88,0,IF(13=$A88,MAX(End_q,Floor_q),MAX(AK88+Cost_round*IF(14&lt;=$B88,1,0)-P88,IF(14&lt;=$B88,1,0)*Pre_q,Floor_q)))</f>
        <v>0</v>
      </c>
      <c r="AK88" s="14" t="n">
        <f aca="false">IF(14&gt;$A88,0,IF(14=$A88,MAX(End_q,Floor_q),MAX(AL88+Cost_round*IF(15&lt;=$B88,1,0)-Q88,IF(15&lt;=$B88,1,0)*Pre_q,Floor_q)))</f>
        <v>0</v>
      </c>
      <c r="AL88" s="14" t="n">
        <f aca="false">IF(15&gt;$A88,0,IF(15=$A88,MAX(End_q,Floor_q),MAX(AM88+Cost_round*IF(16&lt;=$B88,1,0)-R88,IF(16&lt;=$B88,1,0)*Pre_q,Floor_q)))</f>
        <v>0</v>
      </c>
      <c r="AM88" s="14" t="n">
        <f aca="false">IF(16&gt;$A88,0,IF(16=$A88,MAX(End_q,Floor_q),MAX(AN88+Cost_round*IF(17&lt;=$B88,1,0)-S88,IF(17&lt;=$B88,1,0)*Pre_q,Floor_q)))</f>
        <v>0</v>
      </c>
      <c r="AN88" s="14" t="n">
        <f aca="false">IF(17&gt;$A88,0,IF(17=$A88,MAX(End_q,Floor_q),MAX(AO88+Cost_round*IF(18&lt;=$B88,1,0)-T88,IF(18&lt;=$B88,1,0)*Pre_q,Floor_q)))</f>
        <v>0</v>
      </c>
      <c r="AO88" s="14" t="n">
        <f aca="false">IF(18&gt;$A88,0,IF(18=$A88,MAX(End_q,Floor_q),MAX(AP88+Cost_round*IF(19&lt;=$B88,1,0)-U88,IF(19&lt;=$B88,1,0)*Pre_q,Floor_q)))</f>
        <v>0</v>
      </c>
      <c r="AP88" s="14" t="n">
        <f aca="false">IF(19&gt;$A88,0,IF(19=$A88,MAX(End_q,Floor_q),MAX(AQ88+Cost_round*IF(20&lt;=$B88,1,0)-V88,IF(20&lt;=$B88,1,0)*Pre_q,Floor_q)))</f>
        <v>0</v>
      </c>
      <c r="AQ88" s="14" t="n">
        <f aca="false">IF(20&gt;$A88,0,MAX(End_q,Floor_q))</f>
        <v>0</v>
      </c>
      <c r="AR88" s="15" t="n">
        <f aca="false">IF(Q_zero&gt;=W88-0.000000001,1,0)</f>
        <v>1</v>
      </c>
      <c r="AS88" s="14" t="n">
        <f aca="false">IF(1&gt;$A88,0,Q_zero-Cost_round*IF(1&lt;=$B88,1,0)+C88-X88)</f>
        <v>85</v>
      </c>
      <c r="AT88" s="14" t="n">
        <f aca="false">IF(2&gt;$A88,0,X88-Cost_round*IF(2&lt;=$B88,1,0)+D88-Y88)</f>
        <v>0</v>
      </c>
      <c r="AU88" s="14" t="n">
        <f aca="false">IF(3&gt;$A88,0,Y88-Cost_round*IF(3&lt;=$B88,1,0)+E88-Z88)</f>
        <v>2.5</v>
      </c>
      <c r="AV88" s="14" t="n">
        <f aca="false">IF(4&gt;$A88,0,Z88-Cost_round*IF(4&lt;=$B88,1,0)+F88-AA88)</f>
        <v>131.25</v>
      </c>
      <c r="AW88" s="14" t="n">
        <f aca="false">IF(5&gt;$A88,0,AA88-Cost_round*IF(5&lt;=$B88,1,0)+G88-AB88)</f>
        <v>131.25</v>
      </c>
      <c r="AX88" s="14" t="n">
        <f aca="false">IF(6&gt;$A88,0,AB88-Cost_round*IF(6&lt;=$B88,1,0)+H88-AC88)</f>
        <v>131.25</v>
      </c>
      <c r="AY88" s="14" t="n">
        <f aca="false">IF(7&gt;$A88,0,AC88-Cost_round*IF(7&lt;=$B88,1,0)+I88-AD88)</f>
        <v>131.25</v>
      </c>
      <c r="AZ88" s="14" t="n">
        <f aca="false">IF(8&gt;$A88,0,AD88-Cost_round*IF(8&lt;=$B88,1,0)+J88-AE88)</f>
        <v>131.25</v>
      </c>
      <c r="BA88" s="14" t="n">
        <f aca="false">IF(9&gt;$A88,0,AE88-Cost_round*IF(9&lt;=$B88,1,0)+K88-AF88)</f>
        <v>131.25</v>
      </c>
      <c r="BB88" s="14" t="n">
        <f aca="false">IF(10&gt;$A88,0,AF88-Cost_round*IF(10&lt;=$B88,1,0)+L88-AG88)</f>
        <v>131.25</v>
      </c>
      <c r="BC88" s="14" t="n">
        <f aca="false">IF(11&gt;$A88,0,AG88-Cost_round*IF(11&lt;=$B88,1,0)+M88-AH88)</f>
        <v>11.25</v>
      </c>
      <c r="BD88" s="14" t="n">
        <f aca="false">IF(12&gt;$A88,0,AH88-Cost_round*IF(12&lt;=$B88,1,0)+N88-AI88)</f>
        <v>0</v>
      </c>
      <c r="BE88" s="14" t="n">
        <f aca="false">IF(13&gt;$A88,0,AI88-Cost_round*IF(13&lt;=$B88,1,0)+O88-AJ88)</f>
        <v>0</v>
      </c>
      <c r="BF88" s="14" t="n">
        <f aca="false">IF(14&gt;$A88,0,AJ88-Cost_round*IF(14&lt;=$B88,1,0)+P88-AK88)</f>
        <v>0</v>
      </c>
      <c r="BG88" s="14" t="n">
        <f aca="false">IF(15&gt;$A88,0,AK88-Cost_round*IF(15&lt;=$B88,1,0)+Q88-AL88)</f>
        <v>0</v>
      </c>
      <c r="BH88" s="14" t="n">
        <f aca="false">IF(16&gt;$A88,0,AL88-Cost_round*IF(16&lt;=$B88,1,0)+R88-AM88)</f>
        <v>0</v>
      </c>
      <c r="BI88" s="14" t="n">
        <f aca="false">IF(17&gt;$A88,0,AM88-Cost_round*IF(17&lt;=$B88,1,0)+S88-AN88)</f>
        <v>0</v>
      </c>
      <c r="BJ88" s="14" t="n">
        <f aca="false">IF(18&gt;$A88,0,AN88-Cost_round*IF(18&lt;=$B88,1,0)+T88-AO88)</f>
        <v>0</v>
      </c>
      <c r="BK88" s="14" t="n">
        <f aca="false">IF(19&gt;$A88,0,AO88-Cost_round*IF(19&lt;=$B88,1,0)+U88-AP88)</f>
        <v>0</v>
      </c>
      <c r="BL88" s="14" t="n">
        <f aca="false">IF(20&gt;$A88,0,AP88-Cost_round*IF(20&lt;=$B88,1,0)+V88-AQ88)</f>
        <v>0</v>
      </c>
      <c r="BM88" s="17" t="n">
        <f aca="false">IF($AR88=1,SUMPRODUCT(AS88:BL88,$AS$38:$BL$38),"")</f>
        <v>563.169179451207</v>
      </c>
      <c r="BN88" s="17" t="n">
        <f aca="false">IF($AR88=1,BM88+INDEX($AS$38:$BL$38,$A88)*INDEX(C88:V88,$A88)/Hurdle_r,"")</f>
        <v>1023.19242252053</v>
      </c>
    </row>
    <row r="89" customFormat="false" ht="15" hidden="false" customHeight="false" outlineLevel="0" collapsed="false">
      <c r="A89" s="2" t="n">
        <v>12</v>
      </c>
      <c r="B89" s="2" t="n">
        <v>0</v>
      </c>
      <c r="C89" s="14" t="n">
        <f aca="false">IF(1&gt;$A89,0,Val_pt*(Ceiling_e-E_zero)*(1-(1-Half_gap)^MIN(1,$B89)))</f>
        <v>0</v>
      </c>
      <c r="D89" s="14" t="n">
        <f aca="false">IF(2&gt;$A89,0,Val_pt*(Ceiling_e-E_zero)*(1-(1-Half_gap)^MIN(2,$B89)))</f>
        <v>0</v>
      </c>
      <c r="E89" s="14" t="n">
        <f aca="false">IF(3&gt;$A89,0,Val_pt*(Ceiling_e-E_zero)*(1-(1-Half_gap)^MIN(3,$B89)))</f>
        <v>0</v>
      </c>
      <c r="F89" s="14" t="n">
        <f aca="false">IF(4&gt;$A89,0,Val_pt*(Ceiling_e-E_zero)*(1-(1-Half_gap)^MIN(4,$B89)))</f>
        <v>0</v>
      </c>
      <c r="G89" s="14" t="n">
        <f aca="false">IF(5&gt;$A89,0,Val_pt*(Ceiling_e-E_zero)*(1-(1-Half_gap)^MIN(5,$B89)))</f>
        <v>0</v>
      </c>
      <c r="H89" s="14" t="n">
        <f aca="false">IF(6&gt;$A89,0,Val_pt*(Ceiling_e-E_zero)*(1-(1-Half_gap)^MIN(6,$B89)))</f>
        <v>0</v>
      </c>
      <c r="I89" s="14" t="n">
        <f aca="false">IF(7&gt;$A89,0,Val_pt*(Ceiling_e-E_zero)*(1-(1-Half_gap)^MIN(7,$B89)))</f>
        <v>0</v>
      </c>
      <c r="J89" s="14" t="n">
        <f aca="false">IF(8&gt;$A89,0,Val_pt*(Ceiling_e-E_zero)*(1-(1-Half_gap)^MIN(8,$B89)))</f>
        <v>0</v>
      </c>
      <c r="K89" s="14" t="n">
        <f aca="false">IF(9&gt;$A89,0,Val_pt*(Ceiling_e-E_zero)*(1-(1-Half_gap)^MIN(9,$B89)))</f>
        <v>0</v>
      </c>
      <c r="L89" s="14" t="n">
        <f aca="false">IF(10&gt;$A89,0,Val_pt*(Ceiling_e-E_zero)*(1-(1-Half_gap)^MIN(10,$B89)))</f>
        <v>0</v>
      </c>
      <c r="M89" s="14" t="n">
        <f aca="false">IF(11&gt;$A89,0,Val_pt*(Ceiling_e-E_zero)*(1-(1-Half_gap)^MIN(11,$B89)))</f>
        <v>0</v>
      </c>
      <c r="N89" s="14" t="n">
        <f aca="false">IF(12&gt;$A89,0,Val_pt*(Ceiling_e-E_zero)*(1-(1-Half_gap)^MIN(12,$B89)))</f>
        <v>0</v>
      </c>
      <c r="O89" s="14" t="n">
        <f aca="false">IF(13&gt;$A89,0,Val_pt*(Ceiling_e-E_zero)*(1-(1-Half_gap)^MIN(13,$B89)))</f>
        <v>0</v>
      </c>
      <c r="P89" s="14" t="n">
        <f aca="false">IF(14&gt;$A89,0,Val_pt*(Ceiling_e-E_zero)*(1-(1-Half_gap)^MIN(14,$B89)))</f>
        <v>0</v>
      </c>
      <c r="Q89" s="14" t="n">
        <f aca="false">IF(15&gt;$A89,0,Val_pt*(Ceiling_e-E_zero)*(1-(1-Half_gap)^MIN(15,$B89)))</f>
        <v>0</v>
      </c>
      <c r="R89" s="14" t="n">
        <f aca="false">IF(16&gt;$A89,0,Val_pt*(Ceiling_e-E_zero)*(1-(1-Half_gap)^MIN(16,$B89)))</f>
        <v>0</v>
      </c>
      <c r="S89" s="14" t="n">
        <f aca="false">IF(17&gt;$A89,0,Val_pt*(Ceiling_e-E_zero)*(1-(1-Half_gap)^MIN(17,$B89)))</f>
        <v>0</v>
      </c>
      <c r="T89" s="14" t="n">
        <f aca="false">IF(18&gt;$A89,0,Val_pt*(Ceiling_e-E_zero)*(1-(1-Half_gap)^MIN(18,$B89)))</f>
        <v>0</v>
      </c>
      <c r="U89" s="14" t="n">
        <f aca="false">IF(19&gt;$A89,0,Val_pt*(Ceiling_e-E_zero)*(1-(1-Half_gap)^MIN(19,$B89)))</f>
        <v>0</v>
      </c>
      <c r="V89" s="14" t="n">
        <f aca="false">IF(20&gt;$A89,0,Val_pt*(Ceiling_e-E_zero)*(1-(1-Half_gap)^MIN(20,$B89)))</f>
        <v>0</v>
      </c>
      <c r="W89" s="14" t="n">
        <f aca="false">IF(0&gt;$A89,0,IF(0=$A89,MAX(End_q,Floor_q),MAX(X89+Cost_round*IF(1&lt;=$B89,1,0)-C89,IF(1&lt;=$B89,1,0)*Pre_q)))</f>
        <v>470</v>
      </c>
      <c r="X89" s="14" t="n">
        <f aca="false">IF(1&gt;$A89,0,IF(1=$A89,MAX(End_q,Floor_q),MAX(Y89+Cost_round*IF(2&lt;=$B89,1,0)-D89,IF(2&lt;=$B89,1,0)*Pre_q,Floor_q)))</f>
        <v>470</v>
      </c>
      <c r="Y89" s="14" t="n">
        <f aca="false">IF(2&gt;$A89,0,IF(2=$A89,MAX(End_q,Floor_q),MAX(Z89+Cost_round*IF(3&lt;=$B89,1,0)-E89,IF(3&lt;=$B89,1,0)*Pre_q,Floor_q)))</f>
        <v>470</v>
      </c>
      <c r="Z89" s="14" t="n">
        <f aca="false">IF(3&gt;$A89,0,IF(3=$A89,MAX(End_q,Floor_q),MAX(AA89+Cost_round*IF(4&lt;=$B89,1,0)-F89,IF(4&lt;=$B89,1,0)*Pre_q,Floor_q)))</f>
        <v>470</v>
      </c>
      <c r="AA89" s="14" t="n">
        <f aca="false">IF(4&gt;$A89,0,IF(4=$A89,MAX(End_q,Floor_q),MAX(AB89+Cost_round*IF(5&lt;=$B89,1,0)-G89,IF(5&lt;=$B89,1,0)*Pre_q,Floor_q)))</f>
        <v>470</v>
      </c>
      <c r="AB89" s="14" t="n">
        <f aca="false">IF(5&gt;$A89,0,IF(5=$A89,MAX(End_q,Floor_q),MAX(AC89+Cost_round*IF(6&lt;=$B89,1,0)-H89,IF(6&lt;=$B89,1,0)*Pre_q,Floor_q)))</f>
        <v>470</v>
      </c>
      <c r="AC89" s="14" t="n">
        <f aca="false">IF(6&gt;$A89,0,IF(6=$A89,MAX(End_q,Floor_q),MAX(AD89+Cost_round*IF(7&lt;=$B89,1,0)-I89,IF(7&lt;=$B89,1,0)*Pre_q,Floor_q)))</f>
        <v>470</v>
      </c>
      <c r="AD89" s="14" t="n">
        <f aca="false">IF(7&gt;$A89,0,IF(7=$A89,MAX(End_q,Floor_q),MAX(AE89+Cost_round*IF(8&lt;=$B89,1,0)-J89,IF(8&lt;=$B89,1,0)*Pre_q,Floor_q)))</f>
        <v>470</v>
      </c>
      <c r="AE89" s="14" t="n">
        <f aca="false">IF(8&gt;$A89,0,IF(8=$A89,MAX(End_q,Floor_q),MAX(AF89+Cost_round*IF(9&lt;=$B89,1,0)-K89,IF(9&lt;=$B89,1,0)*Pre_q,Floor_q)))</f>
        <v>470</v>
      </c>
      <c r="AF89" s="14" t="n">
        <f aca="false">IF(9&gt;$A89,0,IF(9=$A89,MAX(End_q,Floor_q),MAX(AG89+Cost_round*IF(10&lt;=$B89,1,0)-L89,IF(10&lt;=$B89,1,0)*Pre_q,Floor_q)))</f>
        <v>470</v>
      </c>
      <c r="AG89" s="14" t="n">
        <f aca="false">IF(10&gt;$A89,0,IF(10=$A89,MAX(End_q,Floor_q),MAX(AH89+Cost_round*IF(11&lt;=$B89,1,0)-M89,IF(11&lt;=$B89,1,0)*Pre_q,Floor_q)))</f>
        <v>470</v>
      </c>
      <c r="AH89" s="14" t="n">
        <f aca="false">IF(11&gt;$A89,0,IF(11=$A89,MAX(End_q,Floor_q),MAX(AI89+Cost_round*IF(12&lt;=$B89,1,0)-N89,IF(12&lt;=$B89,1,0)*Pre_q,Floor_q)))</f>
        <v>470</v>
      </c>
      <c r="AI89" s="14" t="n">
        <f aca="false">IF(12&gt;$A89,0,IF(12=$A89,MAX(End_q,Floor_q),MAX(AJ89+Cost_round*IF(13&lt;=$B89,1,0)-O89,IF(13&lt;=$B89,1,0)*Pre_q,Floor_q)))</f>
        <v>470</v>
      </c>
      <c r="AJ89" s="14" t="n">
        <f aca="false">IF(13&gt;$A89,0,IF(13=$A89,MAX(End_q,Floor_q),MAX(AK89+Cost_round*IF(14&lt;=$B89,1,0)-P89,IF(14&lt;=$B89,1,0)*Pre_q,Floor_q)))</f>
        <v>0</v>
      </c>
      <c r="AK89" s="14" t="n">
        <f aca="false">IF(14&gt;$A89,0,IF(14=$A89,MAX(End_q,Floor_q),MAX(AL89+Cost_round*IF(15&lt;=$B89,1,0)-Q89,IF(15&lt;=$B89,1,0)*Pre_q,Floor_q)))</f>
        <v>0</v>
      </c>
      <c r="AL89" s="14" t="n">
        <f aca="false">IF(15&gt;$A89,0,IF(15=$A89,MAX(End_q,Floor_q),MAX(AM89+Cost_round*IF(16&lt;=$B89,1,0)-R89,IF(16&lt;=$B89,1,0)*Pre_q,Floor_q)))</f>
        <v>0</v>
      </c>
      <c r="AM89" s="14" t="n">
        <f aca="false">IF(16&gt;$A89,0,IF(16=$A89,MAX(End_q,Floor_q),MAX(AN89+Cost_round*IF(17&lt;=$B89,1,0)-S89,IF(17&lt;=$B89,1,0)*Pre_q,Floor_q)))</f>
        <v>0</v>
      </c>
      <c r="AN89" s="14" t="n">
        <f aca="false">IF(17&gt;$A89,0,IF(17=$A89,MAX(End_q,Floor_q),MAX(AO89+Cost_round*IF(18&lt;=$B89,1,0)-T89,IF(18&lt;=$B89,1,0)*Pre_q,Floor_q)))</f>
        <v>0</v>
      </c>
      <c r="AO89" s="14" t="n">
        <f aca="false">IF(18&gt;$A89,0,IF(18=$A89,MAX(End_q,Floor_q),MAX(AP89+Cost_round*IF(19&lt;=$B89,1,0)-U89,IF(19&lt;=$B89,1,0)*Pre_q,Floor_q)))</f>
        <v>0</v>
      </c>
      <c r="AP89" s="14" t="n">
        <f aca="false">IF(19&gt;$A89,0,IF(19=$A89,MAX(End_q,Floor_q),MAX(AQ89+Cost_round*IF(20&lt;=$B89,1,0)-V89,IF(20&lt;=$B89,1,0)*Pre_q,Floor_q)))</f>
        <v>0</v>
      </c>
      <c r="AQ89" s="14" t="n">
        <f aca="false">IF(20&gt;$A89,0,MAX(End_q,Floor_q))</f>
        <v>0</v>
      </c>
      <c r="AR89" s="15" t="n">
        <f aca="false">IF(Q_zero&gt;=W89-0.000000001,1,0)</f>
        <v>1</v>
      </c>
      <c r="AS89" s="14" t="n">
        <f aca="false">IF(1&gt;$A89,0,Q_zero-Cost_round*IF(1&lt;=$B89,1,0)+C89-X89)</f>
        <v>150</v>
      </c>
      <c r="AT89" s="14" t="n">
        <f aca="false">IF(2&gt;$A89,0,X89-Cost_round*IF(2&lt;=$B89,1,0)+D89-Y89)</f>
        <v>0</v>
      </c>
      <c r="AU89" s="14" t="n">
        <f aca="false">IF(3&gt;$A89,0,Y89-Cost_round*IF(3&lt;=$B89,1,0)+E89-Z89)</f>
        <v>0</v>
      </c>
      <c r="AV89" s="14" t="n">
        <f aca="false">IF(4&gt;$A89,0,Z89-Cost_round*IF(4&lt;=$B89,1,0)+F89-AA89)</f>
        <v>0</v>
      </c>
      <c r="AW89" s="14" t="n">
        <f aca="false">IF(5&gt;$A89,0,AA89-Cost_round*IF(5&lt;=$B89,1,0)+G89-AB89)</f>
        <v>0</v>
      </c>
      <c r="AX89" s="14" t="n">
        <f aca="false">IF(6&gt;$A89,0,AB89-Cost_round*IF(6&lt;=$B89,1,0)+H89-AC89)</f>
        <v>0</v>
      </c>
      <c r="AY89" s="14" t="n">
        <f aca="false">IF(7&gt;$A89,0,AC89-Cost_round*IF(7&lt;=$B89,1,0)+I89-AD89)</f>
        <v>0</v>
      </c>
      <c r="AZ89" s="14" t="n">
        <f aca="false">IF(8&gt;$A89,0,AD89-Cost_round*IF(8&lt;=$B89,1,0)+J89-AE89)</f>
        <v>0</v>
      </c>
      <c r="BA89" s="14" t="n">
        <f aca="false">IF(9&gt;$A89,0,AE89-Cost_round*IF(9&lt;=$B89,1,0)+K89-AF89)</f>
        <v>0</v>
      </c>
      <c r="BB89" s="14" t="n">
        <f aca="false">IF(10&gt;$A89,0,AF89-Cost_round*IF(10&lt;=$B89,1,0)+L89-AG89)</f>
        <v>0</v>
      </c>
      <c r="BC89" s="14" t="n">
        <f aca="false">IF(11&gt;$A89,0,AG89-Cost_round*IF(11&lt;=$B89,1,0)+M89-AH89)</f>
        <v>0</v>
      </c>
      <c r="BD89" s="14" t="n">
        <f aca="false">IF(12&gt;$A89,0,AH89-Cost_round*IF(12&lt;=$B89,1,0)+N89-AI89)</f>
        <v>0</v>
      </c>
      <c r="BE89" s="14" t="n">
        <f aca="false">IF(13&gt;$A89,0,AI89-Cost_round*IF(13&lt;=$B89,1,0)+O89-AJ89)</f>
        <v>0</v>
      </c>
      <c r="BF89" s="14" t="n">
        <f aca="false">IF(14&gt;$A89,0,AJ89-Cost_round*IF(14&lt;=$B89,1,0)+P89-AK89)</f>
        <v>0</v>
      </c>
      <c r="BG89" s="14" t="n">
        <f aca="false">IF(15&gt;$A89,0,AK89-Cost_round*IF(15&lt;=$B89,1,0)+Q89-AL89)</f>
        <v>0</v>
      </c>
      <c r="BH89" s="14" t="n">
        <f aca="false">IF(16&gt;$A89,0,AL89-Cost_round*IF(16&lt;=$B89,1,0)+R89-AM89)</f>
        <v>0</v>
      </c>
      <c r="BI89" s="14" t="n">
        <f aca="false">IF(17&gt;$A89,0,AM89-Cost_round*IF(17&lt;=$B89,1,0)+S89-AN89)</f>
        <v>0</v>
      </c>
      <c r="BJ89" s="14" t="n">
        <f aca="false">IF(18&gt;$A89,0,AN89-Cost_round*IF(18&lt;=$B89,1,0)+T89-AO89)</f>
        <v>0</v>
      </c>
      <c r="BK89" s="14" t="n">
        <f aca="false">IF(19&gt;$A89,0,AO89-Cost_round*IF(19&lt;=$B89,1,0)+U89-AP89)</f>
        <v>0</v>
      </c>
      <c r="BL89" s="14" t="n">
        <f aca="false">IF(20&gt;$A89,0,AP89-Cost_round*IF(20&lt;=$B89,1,0)+V89-AQ89)</f>
        <v>0</v>
      </c>
      <c r="BM89" s="17" t="n">
        <f aca="false">IF($AR89=1,SUMPRODUCT(AS89:BL89,$AS$38:$BL$38),"")</f>
        <v>136.363636363636</v>
      </c>
      <c r="BN89" s="17" t="n">
        <f aca="false">IF($AR89=1,BM89+INDEX($AS$38:$BL$38,$A89)*INDEX(C89:V89,$A89)/Hurdle_r,"")</f>
        <v>136.363636363636</v>
      </c>
    </row>
    <row r="90" customFormat="false" ht="15" hidden="false" customHeight="false" outlineLevel="0" collapsed="false">
      <c r="A90" s="2" t="n">
        <v>12</v>
      </c>
      <c r="B90" s="2" t="n">
        <v>1</v>
      </c>
      <c r="C90" s="14" t="n">
        <f aca="false">IF(1&gt;$A90,0,Val_pt*(Ceiling_e-E_zero)*(1-(1-Half_gap)^MIN(1,$B90)))</f>
        <v>70</v>
      </c>
      <c r="D90" s="14" t="n">
        <f aca="false">IF(2&gt;$A90,0,Val_pt*(Ceiling_e-E_zero)*(1-(1-Half_gap)^MIN(2,$B90)))</f>
        <v>70</v>
      </c>
      <c r="E90" s="14" t="n">
        <f aca="false">IF(3&gt;$A90,0,Val_pt*(Ceiling_e-E_zero)*(1-(1-Half_gap)^MIN(3,$B90)))</f>
        <v>70</v>
      </c>
      <c r="F90" s="14" t="n">
        <f aca="false">IF(4&gt;$A90,0,Val_pt*(Ceiling_e-E_zero)*(1-(1-Half_gap)^MIN(4,$B90)))</f>
        <v>70</v>
      </c>
      <c r="G90" s="14" t="n">
        <f aca="false">IF(5&gt;$A90,0,Val_pt*(Ceiling_e-E_zero)*(1-(1-Half_gap)^MIN(5,$B90)))</f>
        <v>70</v>
      </c>
      <c r="H90" s="14" t="n">
        <f aca="false">IF(6&gt;$A90,0,Val_pt*(Ceiling_e-E_zero)*(1-(1-Half_gap)^MIN(6,$B90)))</f>
        <v>70</v>
      </c>
      <c r="I90" s="14" t="n">
        <f aca="false">IF(7&gt;$A90,0,Val_pt*(Ceiling_e-E_zero)*(1-(1-Half_gap)^MIN(7,$B90)))</f>
        <v>70</v>
      </c>
      <c r="J90" s="14" t="n">
        <f aca="false">IF(8&gt;$A90,0,Val_pt*(Ceiling_e-E_zero)*(1-(1-Half_gap)^MIN(8,$B90)))</f>
        <v>70</v>
      </c>
      <c r="K90" s="14" t="n">
        <f aca="false">IF(9&gt;$A90,0,Val_pt*(Ceiling_e-E_zero)*(1-(1-Half_gap)^MIN(9,$B90)))</f>
        <v>70</v>
      </c>
      <c r="L90" s="14" t="n">
        <f aca="false">IF(10&gt;$A90,0,Val_pt*(Ceiling_e-E_zero)*(1-(1-Half_gap)^MIN(10,$B90)))</f>
        <v>70</v>
      </c>
      <c r="M90" s="14" t="n">
        <f aca="false">IF(11&gt;$A90,0,Val_pt*(Ceiling_e-E_zero)*(1-(1-Half_gap)^MIN(11,$B90)))</f>
        <v>70</v>
      </c>
      <c r="N90" s="14" t="n">
        <f aca="false">IF(12&gt;$A90,0,Val_pt*(Ceiling_e-E_zero)*(1-(1-Half_gap)^MIN(12,$B90)))</f>
        <v>70</v>
      </c>
      <c r="O90" s="14" t="n">
        <f aca="false">IF(13&gt;$A90,0,Val_pt*(Ceiling_e-E_zero)*(1-(1-Half_gap)^MIN(13,$B90)))</f>
        <v>0</v>
      </c>
      <c r="P90" s="14" t="n">
        <f aca="false">IF(14&gt;$A90,0,Val_pt*(Ceiling_e-E_zero)*(1-(1-Half_gap)^MIN(14,$B90)))</f>
        <v>0</v>
      </c>
      <c r="Q90" s="14" t="n">
        <f aca="false">IF(15&gt;$A90,0,Val_pt*(Ceiling_e-E_zero)*(1-(1-Half_gap)^MIN(15,$B90)))</f>
        <v>0</v>
      </c>
      <c r="R90" s="14" t="n">
        <f aca="false">IF(16&gt;$A90,0,Val_pt*(Ceiling_e-E_zero)*(1-(1-Half_gap)^MIN(16,$B90)))</f>
        <v>0</v>
      </c>
      <c r="S90" s="14" t="n">
        <f aca="false">IF(17&gt;$A90,0,Val_pt*(Ceiling_e-E_zero)*(1-(1-Half_gap)^MIN(17,$B90)))</f>
        <v>0</v>
      </c>
      <c r="T90" s="14" t="n">
        <f aca="false">IF(18&gt;$A90,0,Val_pt*(Ceiling_e-E_zero)*(1-(1-Half_gap)^MIN(18,$B90)))</f>
        <v>0</v>
      </c>
      <c r="U90" s="14" t="n">
        <f aca="false">IF(19&gt;$A90,0,Val_pt*(Ceiling_e-E_zero)*(1-(1-Half_gap)^MIN(19,$B90)))</f>
        <v>0</v>
      </c>
      <c r="V90" s="14" t="n">
        <f aca="false">IF(20&gt;$A90,0,Val_pt*(Ceiling_e-E_zero)*(1-(1-Half_gap)^MIN(20,$B90)))</f>
        <v>0</v>
      </c>
      <c r="W90" s="14" t="n">
        <f aca="false">IF(0&gt;$A90,0,IF(0=$A90,MAX(End_q,Floor_q),MAX(X90+Cost_round*IF(1&lt;=$B90,1,0)-C90,IF(1&lt;=$B90,1,0)*Pre_q)))</f>
        <v>470</v>
      </c>
      <c r="X90" s="14" t="n">
        <f aca="false">IF(1&gt;$A90,0,IF(1=$A90,MAX(End_q,Floor_q),MAX(Y90+Cost_round*IF(2&lt;=$B90,1,0)-D90,IF(2&lt;=$B90,1,0)*Pre_q,Floor_q)))</f>
        <v>350</v>
      </c>
      <c r="Y90" s="14" t="n">
        <f aca="false">IF(2&gt;$A90,0,IF(2=$A90,MAX(End_q,Floor_q),MAX(Z90+Cost_round*IF(3&lt;=$B90,1,0)-E90,IF(3&lt;=$B90,1,0)*Pre_q,Floor_q)))</f>
        <v>350</v>
      </c>
      <c r="Z90" s="14" t="n">
        <f aca="false">IF(3&gt;$A90,0,IF(3=$A90,MAX(End_q,Floor_q),MAX(AA90+Cost_round*IF(4&lt;=$B90,1,0)-F90,IF(4&lt;=$B90,1,0)*Pre_q,Floor_q)))</f>
        <v>350</v>
      </c>
      <c r="AA90" s="14" t="n">
        <f aca="false">IF(4&gt;$A90,0,IF(4=$A90,MAX(End_q,Floor_q),MAX(AB90+Cost_round*IF(5&lt;=$B90,1,0)-G90,IF(5&lt;=$B90,1,0)*Pre_q,Floor_q)))</f>
        <v>350</v>
      </c>
      <c r="AB90" s="14" t="n">
        <f aca="false">IF(5&gt;$A90,0,IF(5=$A90,MAX(End_q,Floor_q),MAX(AC90+Cost_round*IF(6&lt;=$B90,1,0)-H90,IF(6&lt;=$B90,1,0)*Pre_q,Floor_q)))</f>
        <v>350</v>
      </c>
      <c r="AC90" s="14" t="n">
        <f aca="false">IF(6&gt;$A90,0,IF(6=$A90,MAX(End_q,Floor_q),MAX(AD90+Cost_round*IF(7&lt;=$B90,1,0)-I90,IF(7&lt;=$B90,1,0)*Pre_q,Floor_q)))</f>
        <v>350</v>
      </c>
      <c r="AD90" s="14" t="n">
        <f aca="false">IF(7&gt;$A90,0,IF(7=$A90,MAX(End_q,Floor_q),MAX(AE90+Cost_round*IF(8&lt;=$B90,1,0)-J90,IF(8&lt;=$B90,1,0)*Pre_q,Floor_q)))</f>
        <v>350</v>
      </c>
      <c r="AE90" s="14" t="n">
        <f aca="false">IF(8&gt;$A90,0,IF(8=$A90,MAX(End_q,Floor_q),MAX(AF90+Cost_round*IF(9&lt;=$B90,1,0)-K90,IF(9&lt;=$B90,1,0)*Pre_q,Floor_q)))</f>
        <v>350</v>
      </c>
      <c r="AF90" s="14" t="n">
        <f aca="false">IF(9&gt;$A90,0,IF(9=$A90,MAX(End_q,Floor_q),MAX(AG90+Cost_round*IF(10&lt;=$B90,1,0)-L90,IF(10&lt;=$B90,1,0)*Pre_q,Floor_q)))</f>
        <v>350</v>
      </c>
      <c r="AG90" s="14" t="n">
        <f aca="false">IF(10&gt;$A90,0,IF(10=$A90,MAX(End_q,Floor_q),MAX(AH90+Cost_round*IF(11&lt;=$B90,1,0)-M90,IF(11&lt;=$B90,1,0)*Pre_q,Floor_q)))</f>
        <v>350</v>
      </c>
      <c r="AH90" s="14" t="n">
        <f aca="false">IF(11&gt;$A90,0,IF(11=$A90,MAX(End_q,Floor_q),MAX(AI90+Cost_round*IF(12&lt;=$B90,1,0)-N90,IF(12&lt;=$B90,1,0)*Pre_q,Floor_q)))</f>
        <v>400</v>
      </c>
      <c r="AI90" s="14" t="n">
        <f aca="false">IF(12&gt;$A90,0,IF(12=$A90,MAX(End_q,Floor_q),MAX(AJ90+Cost_round*IF(13&lt;=$B90,1,0)-O90,IF(13&lt;=$B90,1,0)*Pre_q,Floor_q)))</f>
        <v>470</v>
      </c>
      <c r="AJ90" s="14" t="n">
        <f aca="false">IF(13&gt;$A90,0,IF(13=$A90,MAX(End_q,Floor_q),MAX(AK90+Cost_round*IF(14&lt;=$B90,1,0)-P90,IF(14&lt;=$B90,1,0)*Pre_q,Floor_q)))</f>
        <v>0</v>
      </c>
      <c r="AK90" s="14" t="n">
        <f aca="false">IF(14&gt;$A90,0,IF(14=$A90,MAX(End_q,Floor_q),MAX(AL90+Cost_round*IF(15&lt;=$B90,1,0)-Q90,IF(15&lt;=$B90,1,0)*Pre_q,Floor_q)))</f>
        <v>0</v>
      </c>
      <c r="AL90" s="14" t="n">
        <f aca="false">IF(15&gt;$A90,0,IF(15=$A90,MAX(End_q,Floor_q),MAX(AM90+Cost_round*IF(16&lt;=$B90,1,0)-R90,IF(16&lt;=$B90,1,0)*Pre_q,Floor_q)))</f>
        <v>0</v>
      </c>
      <c r="AM90" s="14" t="n">
        <f aca="false">IF(16&gt;$A90,0,IF(16=$A90,MAX(End_q,Floor_q),MAX(AN90+Cost_round*IF(17&lt;=$B90,1,0)-S90,IF(17&lt;=$B90,1,0)*Pre_q,Floor_q)))</f>
        <v>0</v>
      </c>
      <c r="AN90" s="14" t="n">
        <f aca="false">IF(17&gt;$A90,0,IF(17=$A90,MAX(End_q,Floor_q),MAX(AO90+Cost_round*IF(18&lt;=$B90,1,0)-T90,IF(18&lt;=$B90,1,0)*Pre_q,Floor_q)))</f>
        <v>0</v>
      </c>
      <c r="AO90" s="14" t="n">
        <f aca="false">IF(18&gt;$A90,0,IF(18=$A90,MAX(End_q,Floor_q),MAX(AP90+Cost_round*IF(19&lt;=$B90,1,0)-U90,IF(19&lt;=$B90,1,0)*Pre_q,Floor_q)))</f>
        <v>0</v>
      </c>
      <c r="AP90" s="14" t="n">
        <f aca="false">IF(19&gt;$A90,0,IF(19=$A90,MAX(End_q,Floor_q),MAX(AQ90+Cost_round*IF(20&lt;=$B90,1,0)-V90,IF(20&lt;=$B90,1,0)*Pre_q,Floor_q)))</f>
        <v>0</v>
      </c>
      <c r="AQ90" s="14" t="n">
        <f aca="false">IF(20&gt;$A90,0,MAX(End_q,Floor_q))</f>
        <v>0</v>
      </c>
      <c r="AR90" s="15" t="n">
        <f aca="false">IF(Q_zero&gt;=W90-0.000000001,1,0)</f>
        <v>1</v>
      </c>
      <c r="AS90" s="14" t="n">
        <f aca="false">IF(1&gt;$A90,0,Q_zero-Cost_round*IF(1&lt;=$B90,1,0)+C90-X90)</f>
        <v>220</v>
      </c>
      <c r="AT90" s="14" t="n">
        <f aca="false">IF(2&gt;$A90,0,X90-Cost_round*IF(2&lt;=$B90,1,0)+D90-Y90)</f>
        <v>70</v>
      </c>
      <c r="AU90" s="14" t="n">
        <f aca="false">IF(3&gt;$A90,0,Y90-Cost_round*IF(3&lt;=$B90,1,0)+E90-Z90)</f>
        <v>70</v>
      </c>
      <c r="AV90" s="14" t="n">
        <f aca="false">IF(4&gt;$A90,0,Z90-Cost_round*IF(4&lt;=$B90,1,0)+F90-AA90)</f>
        <v>70</v>
      </c>
      <c r="AW90" s="14" t="n">
        <f aca="false">IF(5&gt;$A90,0,AA90-Cost_round*IF(5&lt;=$B90,1,0)+G90-AB90)</f>
        <v>70</v>
      </c>
      <c r="AX90" s="14" t="n">
        <f aca="false">IF(6&gt;$A90,0,AB90-Cost_round*IF(6&lt;=$B90,1,0)+H90-AC90)</f>
        <v>70</v>
      </c>
      <c r="AY90" s="14" t="n">
        <f aca="false">IF(7&gt;$A90,0,AC90-Cost_round*IF(7&lt;=$B90,1,0)+I90-AD90)</f>
        <v>70</v>
      </c>
      <c r="AZ90" s="14" t="n">
        <f aca="false">IF(8&gt;$A90,0,AD90-Cost_round*IF(8&lt;=$B90,1,0)+J90-AE90)</f>
        <v>70</v>
      </c>
      <c r="BA90" s="14" t="n">
        <f aca="false">IF(9&gt;$A90,0,AE90-Cost_round*IF(9&lt;=$B90,1,0)+K90-AF90)</f>
        <v>70</v>
      </c>
      <c r="BB90" s="14" t="n">
        <f aca="false">IF(10&gt;$A90,0,AF90-Cost_round*IF(10&lt;=$B90,1,0)+L90-AG90)</f>
        <v>70</v>
      </c>
      <c r="BC90" s="14" t="n">
        <f aca="false">IF(11&gt;$A90,0,AG90-Cost_round*IF(11&lt;=$B90,1,0)+M90-AH90)</f>
        <v>20</v>
      </c>
      <c r="BD90" s="14" t="n">
        <f aca="false">IF(12&gt;$A90,0,AH90-Cost_round*IF(12&lt;=$B90,1,0)+N90-AI90)</f>
        <v>0</v>
      </c>
      <c r="BE90" s="14" t="n">
        <f aca="false">IF(13&gt;$A90,0,AI90-Cost_round*IF(13&lt;=$B90,1,0)+O90-AJ90)</f>
        <v>0</v>
      </c>
      <c r="BF90" s="14" t="n">
        <f aca="false">IF(14&gt;$A90,0,AJ90-Cost_round*IF(14&lt;=$B90,1,0)+P90-AK90)</f>
        <v>0</v>
      </c>
      <c r="BG90" s="14" t="n">
        <f aca="false">IF(15&gt;$A90,0,AK90-Cost_round*IF(15&lt;=$B90,1,0)+Q90-AL90)</f>
        <v>0</v>
      </c>
      <c r="BH90" s="14" t="n">
        <f aca="false">IF(16&gt;$A90,0,AL90-Cost_round*IF(16&lt;=$B90,1,0)+R90-AM90)</f>
        <v>0</v>
      </c>
      <c r="BI90" s="14" t="n">
        <f aca="false">IF(17&gt;$A90,0,AM90-Cost_round*IF(17&lt;=$B90,1,0)+S90-AN90)</f>
        <v>0</v>
      </c>
      <c r="BJ90" s="14" t="n">
        <f aca="false">IF(18&gt;$A90,0,AN90-Cost_round*IF(18&lt;=$B90,1,0)+T90-AO90)</f>
        <v>0</v>
      </c>
      <c r="BK90" s="14" t="n">
        <f aca="false">IF(19&gt;$A90,0,AO90-Cost_round*IF(19&lt;=$B90,1,0)+U90-AP90)</f>
        <v>0</v>
      </c>
      <c r="BL90" s="14" t="n">
        <f aca="false">IF(20&gt;$A90,0,AP90-Cost_round*IF(20&lt;=$B90,1,0)+V90-AQ90)</f>
        <v>0</v>
      </c>
      <c r="BM90" s="17" t="n">
        <f aca="false">IF($AR90=1,SUMPRODUCT(AS90:BL90,$AS$38:$BL$38),"")</f>
        <v>573.493211752592</v>
      </c>
      <c r="BN90" s="17" t="n">
        <f aca="false">IF($AR90=1,BM90+INDEX($AS$38:$BL$38,$A90)*INDEX(C90:V90,$A90)/Hurdle_r,"")</f>
        <v>796.534784149842</v>
      </c>
    </row>
    <row r="91" customFormat="false" ht="15" hidden="false" customHeight="false" outlineLevel="0" collapsed="false">
      <c r="A91" s="2" t="n">
        <v>12</v>
      </c>
      <c r="B91" s="2" t="n">
        <v>2</v>
      </c>
      <c r="C91" s="14" t="n">
        <f aca="false">IF(1&gt;$A91,0,Val_pt*(Ceiling_e-E_zero)*(1-(1-Half_gap)^MIN(1,$B91)))</f>
        <v>70</v>
      </c>
      <c r="D91" s="14" t="n">
        <f aca="false">IF(2&gt;$A91,0,Val_pt*(Ceiling_e-E_zero)*(1-(1-Half_gap)^MIN(2,$B91)))</f>
        <v>105</v>
      </c>
      <c r="E91" s="14" t="n">
        <f aca="false">IF(3&gt;$A91,0,Val_pt*(Ceiling_e-E_zero)*(1-(1-Half_gap)^MIN(3,$B91)))</f>
        <v>105</v>
      </c>
      <c r="F91" s="14" t="n">
        <f aca="false">IF(4&gt;$A91,0,Val_pt*(Ceiling_e-E_zero)*(1-(1-Half_gap)^MIN(4,$B91)))</f>
        <v>105</v>
      </c>
      <c r="G91" s="14" t="n">
        <f aca="false">IF(5&gt;$A91,0,Val_pt*(Ceiling_e-E_zero)*(1-(1-Half_gap)^MIN(5,$B91)))</f>
        <v>105</v>
      </c>
      <c r="H91" s="14" t="n">
        <f aca="false">IF(6&gt;$A91,0,Val_pt*(Ceiling_e-E_zero)*(1-(1-Half_gap)^MIN(6,$B91)))</f>
        <v>105</v>
      </c>
      <c r="I91" s="14" t="n">
        <f aca="false">IF(7&gt;$A91,0,Val_pt*(Ceiling_e-E_zero)*(1-(1-Half_gap)^MIN(7,$B91)))</f>
        <v>105</v>
      </c>
      <c r="J91" s="14" t="n">
        <f aca="false">IF(8&gt;$A91,0,Val_pt*(Ceiling_e-E_zero)*(1-(1-Half_gap)^MIN(8,$B91)))</f>
        <v>105</v>
      </c>
      <c r="K91" s="14" t="n">
        <f aca="false">IF(9&gt;$A91,0,Val_pt*(Ceiling_e-E_zero)*(1-(1-Half_gap)^MIN(9,$B91)))</f>
        <v>105</v>
      </c>
      <c r="L91" s="14" t="n">
        <f aca="false">IF(10&gt;$A91,0,Val_pt*(Ceiling_e-E_zero)*(1-(1-Half_gap)^MIN(10,$B91)))</f>
        <v>105</v>
      </c>
      <c r="M91" s="14" t="n">
        <f aca="false">IF(11&gt;$A91,0,Val_pt*(Ceiling_e-E_zero)*(1-(1-Half_gap)^MIN(11,$B91)))</f>
        <v>105</v>
      </c>
      <c r="N91" s="14" t="n">
        <f aca="false">IF(12&gt;$A91,0,Val_pt*(Ceiling_e-E_zero)*(1-(1-Half_gap)^MIN(12,$B91)))</f>
        <v>105</v>
      </c>
      <c r="O91" s="14" t="n">
        <f aca="false">IF(13&gt;$A91,0,Val_pt*(Ceiling_e-E_zero)*(1-(1-Half_gap)^MIN(13,$B91)))</f>
        <v>0</v>
      </c>
      <c r="P91" s="14" t="n">
        <f aca="false">IF(14&gt;$A91,0,Val_pt*(Ceiling_e-E_zero)*(1-(1-Half_gap)^MIN(14,$B91)))</f>
        <v>0</v>
      </c>
      <c r="Q91" s="14" t="n">
        <f aca="false">IF(15&gt;$A91,0,Val_pt*(Ceiling_e-E_zero)*(1-(1-Half_gap)^MIN(15,$B91)))</f>
        <v>0</v>
      </c>
      <c r="R91" s="14" t="n">
        <f aca="false">IF(16&gt;$A91,0,Val_pt*(Ceiling_e-E_zero)*(1-(1-Half_gap)^MIN(16,$B91)))</f>
        <v>0</v>
      </c>
      <c r="S91" s="14" t="n">
        <f aca="false">IF(17&gt;$A91,0,Val_pt*(Ceiling_e-E_zero)*(1-(1-Half_gap)^MIN(17,$B91)))</f>
        <v>0</v>
      </c>
      <c r="T91" s="14" t="n">
        <f aca="false">IF(18&gt;$A91,0,Val_pt*(Ceiling_e-E_zero)*(1-(1-Half_gap)^MIN(18,$B91)))</f>
        <v>0</v>
      </c>
      <c r="U91" s="14" t="n">
        <f aca="false">IF(19&gt;$A91,0,Val_pt*(Ceiling_e-E_zero)*(1-(1-Half_gap)^MIN(19,$B91)))</f>
        <v>0</v>
      </c>
      <c r="V91" s="14" t="n">
        <f aca="false">IF(20&gt;$A91,0,Val_pt*(Ceiling_e-E_zero)*(1-(1-Half_gap)^MIN(20,$B91)))</f>
        <v>0</v>
      </c>
      <c r="W91" s="14" t="n">
        <f aca="false">IF(0&gt;$A91,0,IF(0=$A91,MAX(End_q,Floor_q),MAX(X91+Cost_round*IF(1&lt;=$B91,1,0)-C91,IF(1&lt;=$B91,1,0)*Pre_q)))</f>
        <v>520</v>
      </c>
      <c r="X91" s="14" t="n">
        <f aca="false">IF(1&gt;$A91,0,IF(1=$A91,MAX(End_q,Floor_q),MAX(Y91+Cost_round*IF(2&lt;=$B91,1,0)-D91,IF(2&lt;=$B91,1,0)*Pre_q,Floor_q)))</f>
        <v>470</v>
      </c>
      <c r="Y91" s="14" t="n">
        <f aca="false">IF(2&gt;$A91,0,IF(2=$A91,MAX(End_q,Floor_q),MAX(Z91+Cost_round*IF(3&lt;=$B91,1,0)-E91,IF(3&lt;=$B91,1,0)*Pre_q,Floor_q)))</f>
        <v>350</v>
      </c>
      <c r="Z91" s="14" t="n">
        <f aca="false">IF(3&gt;$A91,0,IF(3=$A91,MAX(End_q,Floor_q),MAX(AA91+Cost_round*IF(4&lt;=$B91,1,0)-F91,IF(4&lt;=$B91,1,0)*Pre_q,Floor_q)))</f>
        <v>350</v>
      </c>
      <c r="AA91" s="14" t="n">
        <f aca="false">IF(4&gt;$A91,0,IF(4=$A91,MAX(End_q,Floor_q),MAX(AB91+Cost_round*IF(5&lt;=$B91,1,0)-G91,IF(5&lt;=$B91,1,0)*Pre_q,Floor_q)))</f>
        <v>350</v>
      </c>
      <c r="AB91" s="14" t="n">
        <f aca="false">IF(5&gt;$A91,0,IF(5=$A91,MAX(End_q,Floor_q),MAX(AC91+Cost_round*IF(6&lt;=$B91,1,0)-H91,IF(6&lt;=$B91,1,0)*Pre_q,Floor_q)))</f>
        <v>350</v>
      </c>
      <c r="AC91" s="14" t="n">
        <f aca="false">IF(6&gt;$A91,0,IF(6=$A91,MAX(End_q,Floor_q),MAX(AD91+Cost_round*IF(7&lt;=$B91,1,0)-I91,IF(7&lt;=$B91,1,0)*Pre_q,Floor_q)))</f>
        <v>350</v>
      </c>
      <c r="AD91" s="14" t="n">
        <f aca="false">IF(7&gt;$A91,0,IF(7=$A91,MAX(End_q,Floor_q),MAX(AE91+Cost_round*IF(8&lt;=$B91,1,0)-J91,IF(8&lt;=$B91,1,0)*Pre_q,Floor_q)))</f>
        <v>350</v>
      </c>
      <c r="AE91" s="14" t="n">
        <f aca="false">IF(8&gt;$A91,0,IF(8=$A91,MAX(End_q,Floor_q),MAX(AF91+Cost_round*IF(9&lt;=$B91,1,0)-K91,IF(9&lt;=$B91,1,0)*Pre_q,Floor_q)))</f>
        <v>350</v>
      </c>
      <c r="AF91" s="14" t="n">
        <f aca="false">IF(9&gt;$A91,0,IF(9=$A91,MAX(End_q,Floor_q),MAX(AG91+Cost_round*IF(10&lt;=$B91,1,0)-L91,IF(10&lt;=$B91,1,0)*Pre_q,Floor_q)))</f>
        <v>350</v>
      </c>
      <c r="AG91" s="14" t="n">
        <f aca="false">IF(10&gt;$A91,0,IF(10=$A91,MAX(End_q,Floor_q),MAX(AH91+Cost_round*IF(11&lt;=$B91,1,0)-M91,IF(11&lt;=$B91,1,0)*Pre_q,Floor_q)))</f>
        <v>350</v>
      </c>
      <c r="AH91" s="14" t="n">
        <f aca="false">IF(11&gt;$A91,0,IF(11=$A91,MAX(End_q,Floor_q),MAX(AI91+Cost_round*IF(12&lt;=$B91,1,0)-N91,IF(12&lt;=$B91,1,0)*Pre_q,Floor_q)))</f>
        <v>365</v>
      </c>
      <c r="AI91" s="14" t="n">
        <f aca="false">IF(12&gt;$A91,0,IF(12=$A91,MAX(End_q,Floor_q),MAX(AJ91+Cost_round*IF(13&lt;=$B91,1,0)-O91,IF(13&lt;=$B91,1,0)*Pre_q,Floor_q)))</f>
        <v>470</v>
      </c>
      <c r="AJ91" s="14" t="n">
        <f aca="false">IF(13&gt;$A91,0,IF(13=$A91,MAX(End_q,Floor_q),MAX(AK91+Cost_round*IF(14&lt;=$B91,1,0)-P91,IF(14&lt;=$B91,1,0)*Pre_q,Floor_q)))</f>
        <v>0</v>
      </c>
      <c r="AK91" s="14" t="n">
        <f aca="false">IF(14&gt;$A91,0,IF(14=$A91,MAX(End_q,Floor_q),MAX(AL91+Cost_round*IF(15&lt;=$B91,1,0)-Q91,IF(15&lt;=$B91,1,0)*Pre_q,Floor_q)))</f>
        <v>0</v>
      </c>
      <c r="AL91" s="14" t="n">
        <f aca="false">IF(15&gt;$A91,0,IF(15=$A91,MAX(End_q,Floor_q),MAX(AM91+Cost_round*IF(16&lt;=$B91,1,0)-R91,IF(16&lt;=$B91,1,0)*Pre_q,Floor_q)))</f>
        <v>0</v>
      </c>
      <c r="AM91" s="14" t="n">
        <f aca="false">IF(16&gt;$A91,0,IF(16=$A91,MAX(End_q,Floor_q),MAX(AN91+Cost_round*IF(17&lt;=$B91,1,0)-S91,IF(17&lt;=$B91,1,0)*Pre_q,Floor_q)))</f>
        <v>0</v>
      </c>
      <c r="AN91" s="14" t="n">
        <f aca="false">IF(17&gt;$A91,0,IF(17=$A91,MAX(End_q,Floor_q),MAX(AO91+Cost_round*IF(18&lt;=$B91,1,0)-T91,IF(18&lt;=$B91,1,0)*Pre_q,Floor_q)))</f>
        <v>0</v>
      </c>
      <c r="AO91" s="14" t="n">
        <f aca="false">IF(18&gt;$A91,0,IF(18=$A91,MAX(End_q,Floor_q),MAX(AP91+Cost_round*IF(19&lt;=$B91,1,0)-U91,IF(19&lt;=$B91,1,0)*Pre_q,Floor_q)))</f>
        <v>0</v>
      </c>
      <c r="AP91" s="14" t="n">
        <f aca="false">IF(19&gt;$A91,0,IF(19=$A91,MAX(End_q,Floor_q),MAX(AQ91+Cost_round*IF(20&lt;=$B91,1,0)-V91,IF(20&lt;=$B91,1,0)*Pre_q,Floor_q)))</f>
        <v>0</v>
      </c>
      <c r="AQ91" s="14" t="n">
        <f aca="false">IF(20&gt;$A91,0,MAX(End_q,Floor_q))</f>
        <v>0</v>
      </c>
      <c r="AR91" s="15" t="n">
        <f aca="false">IF(Q_zero&gt;=W91-0.000000001,1,0)</f>
        <v>1</v>
      </c>
      <c r="AS91" s="14" t="n">
        <f aca="false">IF(1&gt;$A91,0,Q_zero-Cost_round*IF(1&lt;=$B91,1,0)+C91-X91)</f>
        <v>100</v>
      </c>
      <c r="AT91" s="14" t="n">
        <f aca="false">IF(2&gt;$A91,0,X91-Cost_round*IF(2&lt;=$B91,1,0)+D91-Y91)</f>
        <v>105</v>
      </c>
      <c r="AU91" s="14" t="n">
        <f aca="false">IF(3&gt;$A91,0,Y91-Cost_round*IF(3&lt;=$B91,1,0)+E91-Z91)</f>
        <v>105</v>
      </c>
      <c r="AV91" s="14" t="n">
        <f aca="false">IF(4&gt;$A91,0,Z91-Cost_round*IF(4&lt;=$B91,1,0)+F91-AA91)</f>
        <v>105</v>
      </c>
      <c r="AW91" s="14" t="n">
        <f aca="false">IF(5&gt;$A91,0,AA91-Cost_round*IF(5&lt;=$B91,1,0)+G91-AB91)</f>
        <v>105</v>
      </c>
      <c r="AX91" s="14" t="n">
        <f aca="false">IF(6&gt;$A91,0,AB91-Cost_round*IF(6&lt;=$B91,1,0)+H91-AC91)</f>
        <v>105</v>
      </c>
      <c r="AY91" s="14" t="n">
        <f aca="false">IF(7&gt;$A91,0,AC91-Cost_round*IF(7&lt;=$B91,1,0)+I91-AD91)</f>
        <v>105</v>
      </c>
      <c r="AZ91" s="14" t="n">
        <f aca="false">IF(8&gt;$A91,0,AD91-Cost_round*IF(8&lt;=$B91,1,0)+J91-AE91)</f>
        <v>105</v>
      </c>
      <c r="BA91" s="14" t="n">
        <f aca="false">IF(9&gt;$A91,0,AE91-Cost_round*IF(9&lt;=$B91,1,0)+K91-AF91)</f>
        <v>105</v>
      </c>
      <c r="BB91" s="14" t="n">
        <f aca="false">IF(10&gt;$A91,0,AF91-Cost_round*IF(10&lt;=$B91,1,0)+L91-AG91)</f>
        <v>105</v>
      </c>
      <c r="BC91" s="14" t="n">
        <f aca="false">IF(11&gt;$A91,0,AG91-Cost_round*IF(11&lt;=$B91,1,0)+M91-AH91)</f>
        <v>90</v>
      </c>
      <c r="BD91" s="14" t="n">
        <f aca="false">IF(12&gt;$A91,0,AH91-Cost_round*IF(12&lt;=$B91,1,0)+N91-AI91)</f>
        <v>0</v>
      </c>
      <c r="BE91" s="14" t="n">
        <f aca="false">IF(13&gt;$A91,0,AI91-Cost_round*IF(13&lt;=$B91,1,0)+O91-AJ91)</f>
        <v>0</v>
      </c>
      <c r="BF91" s="14" t="n">
        <f aca="false">IF(14&gt;$A91,0,AJ91-Cost_round*IF(14&lt;=$B91,1,0)+P91-AK91)</f>
        <v>0</v>
      </c>
      <c r="BG91" s="14" t="n">
        <f aca="false">IF(15&gt;$A91,0,AK91-Cost_round*IF(15&lt;=$B91,1,0)+Q91-AL91)</f>
        <v>0</v>
      </c>
      <c r="BH91" s="14" t="n">
        <f aca="false">IF(16&gt;$A91,0,AL91-Cost_round*IF(16&lt;=$B91,1,0)+R91-AM91)</f>
        <v>0</v>
      </c>
      <c r="BI91" s="14" t="n">
        <f aca="false">IF(17&gt;$A91,0,AM91-Cost_round*IF(17&lt;=$B91,1,0)+S91-AN91)</f>
        <v>0</v>
      </c>
      <c r="BJ91" s="14" t="n">
        <f aca="false">IF(18&gt;$A91,0,AN91-Cost_round*IF(18&lt;=$B91,1,0)+T91-AO91)</f>
        <v>0</v>
      </c>
      <c r="BK91" s="14" t="n">
        <f aca="false">IF(19&gt;$A91,0,AO91-Cost_round*IF(19&lt;=$B91,1,0)+U91-AP91)</f>
        <v>0</v>
      </c>
      <c r="BL91" s="14" t="n">
        <f aca="false">IF(20&gt;$A91,0,AP91-Cost_round*IF(20&lt;=$B91,1,0)+V91-AQ91)</f>
        <v>0</v>
      </c>
      <c r="BM91" s="17" t="n">
        <f aca="false">IF($AR91=1,SUMPRODUCT(AS91:BL91,$AS$38:$BL$38),"")</f>
        <v>672.178542506862</v>
      </c>
      <c r="BN91" s="17" t="n">
        <f aca="false">IF($AR91=1,BM91+INDEX($AS$38:$BL$38,$A91)*INDEX(C91:V91,$A91)/Hurdle_r,"")</f>
        <v>1006.74090110274</v>
      </c>
    </row>
    <row r="92" customFormat="false" ht="15" hidden="false" customHeight="false" outlineLevel="0" collapsed="false">
      <c r="A92" s="2" t="n">
        <v>12</v>
      </c>
      <c r="B92" s="2" t="n">
        <v>3</v>
      </c>
      <c r="C92" s="14" t="n">
        <f aca="false">IF(1&gt;$A92,0,Val_pt*(Ceiling_e-E_zero)*(1-(1-Half_gap)^MIN(1,$B92)))</f>
        <v>70</v>
      </c>
      <c r="D92" s="14" t="n">
        <f aca="false">IF(2&gt;$A92,0,Val_pt*(Ceiling_e-E_zero)*(1-(1-Half_gap)^MIN(2,$B92)))</f>
        <v>105</v>
      </c>
      <c r="E92" s="14" t="n">
        <f aca="false">IF(3&gt;$A92,0,Val_pt*(Ceiling_e-E_zero)*(1-(1-Half_gap)^MIN(3,$B92)))</f>
        <v>122.5</v>
      </c>
      <c r="F92" s="14" t="n">
        <f aca="false">IF(4&gt;$A92,0,Val_pt*(Ceiling_e-E_zero)*(1-(1-Half_gap)^MIN(4,$B92)))</f>
        <v>122.5</v>
      </c>
      <c r="G92" s="14" t="n">
        <f aca="false">IF(5&gt;$A92,0,Val_pt*(Ceiling_e-E_zero)*(1-(1-Half_gap)^MIN(5,$B92)))</f>
        <v>122.5</v>
      </c>
      <c r="H92" s="14" t="n">
        <f aca="false">IF(6&gt;$A92,0,Val_pt*(Ceiling_e-E_zero)*(1-(1-Half_gap)^MIN(6,$B92)))</f>
        <v>122.5</v>
      </c>
      <c r="I92" s="14" t="n">
        <f aca="false">IF(7&gt;$A92,0,Val_pt*(Ceiling_e-E_zero)*(1-(1-Half_gap)^MIN(7,$B92)))</f>
        <v>122.5</v>
      </c>
      <c r="J92" s="14" t="n">
        <f aca="false">IF(8&gt;$A92,0,Val_pt*(Ceiling_e-E_zero)*(1-(1-Half_gap)^MIN(8,$B92)))</f>
        <v>122.5</v>
      </c>
      <c r="K92" s="14" t="n">
        <f aca="false">IF(9&gt;$A92,0,Val_pt*(Ceiling_e-E_zero)*(1-(1-Half_gap)^MIN(9,$B92)))</f>
        <v>122.5</v>
      </c>
      <c r="L92" s="14" t="n">
        <f aca="false">IF(10&gt;$A92,0,Val_pt*(Ceiling_e-E_zero)*(1-(1-Half_gap)^MIN(10,$B92)))</f>
        <v>122.5</v>
      </c>
      <c r="M92" s="14" t="n">
        <f aca="false">IF(11&gt;$A92,0,Val_pt*(Ceiling_e-E_zero)*(1-(1-Half_gap)^MIN(11,$B92)))</f>
        <v>122.5</v>
      </c>
      <c r="N92" s="14" t="n">
        <f aca="false">IF(12&gt;$A92,0,Val_pt*(Ceiling_e-E_zero)*(1-(1-Half_gap)^MIN(12,$B92)))</f>
        <v>122.5</v>
      </c>
      <c r="O92" s="14" t="n">
        <f aca="false">IF(13&gt;$A92,0,Val_pt*(Ceiling_e-E_zero)*(1-(1-Half_gap)^MIN(13,$B92)))</f>
        <v>0</v>
      </c>
      <c r="P92" s="14" t="n">
        <f aca="false">IF(14&gt;$A92,0,Val_pt*(Ceiling_e-E_zero)*(1-(1-Half_gap)^MIN(14,$B92)))</f>
        <v>0</v>
      </c>
      <c r="Q92" s="14" t="n">
        <f aca="false">IF(15&gt;$A92,0,Val_pt*(Ceiling_e-E_zero)*(1-(1-Half_gap)^MIN(15,$B92)))</f>
        <v>0</v>
      </c>
      <c r="R92" s="14" t="n">
        <f aca="false">IF(16&gt;$A92,0,Val_pt*(Ceiling_e-E_zero)*(1-(1-Half_gap)^MIN(16,$B92)))</f>
        <v>0</v>
      </c>
      <c r="S92" s="14" t="n">
        <f aca="false">IF(17&gt;$A92,0,Val_pt*(Ceiling_e-E_zero)*(1-(1-Half_gap)^MIN(17,$B92)))</f>
        <v>0</v>
      </c>
      <c r="T92" s="14" t="n">
        <f aca="false">IF(18&gt;$A92,0,Val_pt*(Ceiling_e-E_zero)*(1-(1-Half_gap)^MIN(18,$B92)))</f>
        <v>0</v>
      </c>
      <c r="U92" s="14" t="n">
        <f aca="false">IF(19&gt;$A92,0,Val_pt*(Ceiling_e-E_zero)*(1-(1-Half_gap)^MIN(19,$B92)))</f>
        <v>0</v>
      </c>
      <c r="V92" s="14" t="n">
        <f aca="false">IF(20&gt;$A92,0,Val_pt*(Ceiling_e-E_zero)*(1-(1-Half_gap)^MIN(20,$B92)))</f>
        <v>0</v>
      </c>
      <c r="W92" s="14" t="n">
        <f aca="false">IF(0&gt;$A92,0,IF(0=$A92,MAX(End_q,Floor_q),MAX(X92+Cost_round*IF(1&lt;=$B92,1,0)-C92,IF(1&lt;=$B92,1,0)*Pre_q)))</f>
        <v>535</v>
      </c>
      <c r="X92" s="14" t="n">
        <f aca="false">IF(1&gt;$A92,0,IF(1=$A92,MAX(End_q,Floor_q),MAX(Y92+Cost_round*IF(2&lt;=$B92,1,0)-D92,IF(2&lt;=$B92,1,0)*Pre_q,Floor_q)))</f>
        <v>485</v>
      </c>
      <c r="Y92" s="14" t="n">
        <f aca="false">IF(2&gt;$A92,0,IF(2=$A92,MAX(End_q,Floor_q),MAX(Z92+Cost_round*IF(3&lt;=$B92,1,0)-E92,IF(3&lt;=$B92,1,0)*Pre_q,Floor_q)))</f>
        <v>470</v>
      </c>
      <c r="Z92" s="14" t="n">
        <f aca="false">IF(3&gt;$A92,0,IF(3=$A92,MAX(End_q,Floor_q),MAX(AA92+Cost_round*IF(4&lt;=$B92,1,0)-F92,IF(4&lt;=$B92,1,0)*Pre_q,Floor_q)))</f>
        <v>350</v>
      </c>
      <c r="AA92" s="14" t="n">
        <f aca="false">IF(4&gt;$A92,0,IF(4=$A92,MAX(End_q,Floor_q),MAX(AB92+Cost_round*IF(5&lt;=$B92,1,0)-G92,IF(5&lt;=$B92,1,0)*Pre_q,Floor_q)))</f>
        <v>350</v>
      </c>
      <c r="AB92" s="14" t="n">
        <f aca="false">IF(5&gt;$A92,0,IF(5=$A92,MAX(End_q,Floor_q),MAX(AC92+Cost_round*IF(6&lt;=$B92,1,0)-H92,IF(6&lt;=$B92,1,0)*Pre_q,Floor_q)))</f>
        <v>350</v>
      </c>
      <c r="AC92" s="14" t="n">
        <f aca="false">IF(6&gt;$A92,0,IF(6=$A92,MAX(End_q,Floor_q),MAX(AD92+Cost_round*IF(7&lt;=$B92,1,0)-I92,IF(7&lt;=$B92,1,0)*Pre_q,Floor_q)))</f>
        <v>350</v>
      </c>
      <c r="AD92" s="14" t="n">
        <f aca="false">IF(7&gt;$A92,0,IF(7=$A92,MAX(End_q,Floor_q),MAX(AE92+Cost_round*IF(8&lt;=$B92,1,0)-J92,IF(8&lt;=$B92,1,0)*Pre_q,Floor_q)))</f>
        <v>350</v>
      </c>
      <c r="AE92" s="14" t="n">
        <f aca="false">IF(8&gt;$A92,0,IF(8=$A92,MAX(End_q,Floor_q),MAX(AF92+Cost_round*IF(9&lt;=$B92,1,0)-K92,IF(9&lt;=$B92,1,0)*Pre_q,Floor_q)))</f>
        <v>350</v>
      </c>
      <c r="AF92" s="14" t="n">
        <f aca="false">IF(9&gt;$A92,0,IF(9=$A92,MAX(End_q,Floor_q),MAX(AG92+Cost_round*IF(10&lt;=$B92,1,0)-L92,IF(10&lt;=$B92,1,0)*Pre_q,Floor_q)))</f>
        <v>350</v>
      </c>
      <c r="AG92" s="14" t="n">
        <f aca="false">IF(10&gt;$A92,0,IF(10=$A92,MAX(End_q,Floor_q),MAX(AH92+Cost_round*IF(11&lt;=$B92,1,0)-M92,IF(11&lt;=$B92,1,0)*Pre_q,Floor_q)))</f>
        <v>350</v>
      </c>
      <c r="AH92" s="14" t="n">
        <f aca="false">IF(11&gt;$A92,0,IF(11=$A92,MAX(End_q,Floor_q),MAX(AI92+Cost_round*IF(12&lt;=$B92,1,0)-N92,IF(12&lt;=$B92,1,0)*Pre_q,Floor_q)))</f>
        <v>350</v>
      </c>
      <c r="AI92" s="14" t="n">
        <f aca="false">IF(12&gt;$A92,0,IF(12=$A92,MAX(End_q,Floor_q),MAX(AJ92+Cost_round*IF(13&lt;=$B92,1,0)-O92,IF(13&lt;=$B92,1,0)*Pre_q,Floor_q)))</f>
        <v>470</v>
      </c>
      <c r="AJ92" s="14" t="n">
        <f aca="false">IF(13&gt;$A92,0,IF(13=$A92,MAX(End_q,Floor_q),MAX(AK92+Cost_round*IF(14&lt;=$B92,1,0)-P92,IF(14&lt;=$B92,1,0)*Pre_q,Floor_q)))</f>
        <v>0</v>
      </c>
      <c r="AK92" s="14" t="n">
        <f aca="false">IF(14&gt;$A92,0,IF(14=$A92,MAX(End_q,Floor_q),MAX(AL92+Cost_round*IF(15&lt;=$B92,1,0)-Q92,IF(15&lt;=$B92,1,0)*Pre_q,Floor_q)))</f>
        <v>0</v>
      </c>
      <c r="AL92" s="14" t="n">
        <f aca="false">IF(15&gt;$A92,0,IF(15=$A92,MAX(End_q,Floor_q),MAX(AM92+Cost_round*IF(16&lt;=$B92,1,0)-R92,IF(16&lt;=$B92,1,0)*Pre_q,Floor_q)))</f>
        <v>0</v>
      </c>
      <c r="AM92" s="14" t="n">
        <f aca="false">IF(16&gt;$A92,0,IF(16=$A92,MAX(End_q,Floor_q),MAX(AN92+Cost_round*IF(17&lt;=$B92,1,0)-S92,IF(17&lt;=$B92,1,0)*Pre_q,Floor_q)))</f>
        <v>0</v>
      </c>
      <c r="AN92" s="14" t="n">
        <f aca="false">IF(17&gt;$A92,0,IF(17=$A92,MAX(End_q,Floor_q),MAX(AO92+Cost_round*IF(18&lt;=$B92,1,0)-T92,IF(18&lt;=$B92,1,0)*Pre_q,Floor_q)))</f>
        <v>0</v>
      </c>
      <c r="AO92" s="14" t="n">
        <f aca="false">IF(18&gt;$A92,0,IF(18=$A92,MAX(End_q,Floor_q),MAX(AP92+Cost_round*IF(19&lt;=$B92,1,0)-U92,IF(19&lt;=$B92,1,0)*Pre_q,Floor_q)))</f>
        <v>0</v>
      </c>
      <c r="AP92" s="14" t="n">
        <f aca="false">IF(19&gt;$A92,0,IF(19=$A92,MAX(End_q,Floor_q),MAX(AQ92+Cost_round*IF(20&lt;=$B92,1,0)-V92,IF(20&lt;=$B92,1,0)*Pre_q,Floor_q)))</f>
        <v>0</v>
      </c>
      <c r="AQ92" s="14" t="n">
        <f aca="false">IF(20&gt;$A92,0,MAX(End_q,Floor_q))</f>
        <v>0</v>
      </c>
      <c r="AR92" s="15" t="n">
        <f aca="false">IF(Q_zero&gt;=W92-0.000000001,1,0)</f>
        <v>1</v>
      </c>
      <c r="AS92" s="14" t="n">
        <f aca="false">IF(1&gt;$A92,0,Q_zero-Cost_round*IF(1&lt;=$B92,1,0)+C92-X92)</f>
        <v>85</v>
      </c>
      <c r="AT92" s="14" t="n">
        <f aca="false">IF(2&gt;$A92,0,X92-Cost_round*IF(2&lt;=$B92,1,0)+D92-Y92)</f>
        <v>0</v>
      </c>
      <c r="AU92" s="14" t="n">
        <f aca="false">IF(3&gt;$A92,0,Y92-Cost_round*IF(3&lt;=$B92,1,0)+E92-Z92)</f>
        <v>122.5</v>
      </c>
      <c r="AV92" s="14" t="n">
        <f aca="false">IF(4&gt;$A92,0,Z92-Cost_round*IF(4&lt;=$B92,1,0)+F92-AA92)</f>
        <v>122.5</v>
      </c>
      <c r="AW92" s="14" t="n">
        <f aca="false">IF(5&gt;$A92,0,AA92-Cost_round*IF(5&lt;=$B92,1,0)+G92-AB92)</f>
        <v>122.5</v>
      </c>
      <c r="AX92" s="14" t="n">
        <f aca="false">IF(6&gt;$A92,0,AB92-Cost_round*IF(6&lt;=$B92,1,0)+H92-AC92)</f>
        <v>122.5</v>
      </c>
      <c r="AY92" s="14" t="n">
        <f aca="false">IF(7&gt;$A92,0,AC92-Cost_round*IF(7&lt;=$B92,1,0)+I92-AD92)</f>
        <v>122.5</v>
      </c>
      <c r="AZ92" s="14" t="n">
        <f aca="false">IF(8&gt;$A92,0,AD92-Cost_round*IF(8&lt;=$B92,1,0)+J92-AE92)</f>
        <v>122.5</v>
      </c>
      <c r="BA92" s="14" t="n">
        <f aca="false">IF(9&gt;$A92,0,AE92-Cost_round*IF(9&lt;=$B92,1,0)+K92-AF92)</f>
        <v>122.5</v>
      </c>
      <c r="BB92" s="14" t="n">
        <f aca="false">IF(10&gt;$A92,0,AF92-Cost_round*IF(10&lt;=$B92,1,0)+L92-AG92)</f>
        <v>122.5</v>
      </c>
      <c r="BC92" s="14" t="n">
        <f aca="false">IF(11&gt;$A92,0,AG92-Cost_round*IF(11&lt;=$B92,1,0)+M92-AH92)</f>
        <v>122.5</v>
      </c>
      <c r="BD92" s="14" t="n">
        <f aca="false">IF(12&gt;$A92,0,AH92-Cost_round*IF(12&lt;=$B92,1,0)+N92-AI92)</f>
        <v>2.5</v>
      </c>
      <c r="BE92" s="14" t="n">
        <f aca="false">IF(13&gt;$A92,0,AI92-Cost_round*IF(13&lt;=$B92,1,0)+O92-AJ92)</f>
        <v>0</v>
      </c>
      <c r="BF92" s="14" t="n">
        <f aca="false">IF(14&gt;$A92,0,AJ92-Cost_round*IF(14&lt;=$B92,1,0)+P92-AK92)</f>
        <v>0</v>
      </c>
      <c r="BG92" s="14" t="n">
        <f aca="false">IF(15&gt;$A92,0,AK92-Cost_round*IF(15&lt;=$B92,1,0)+Q92-AL92)</f>
        <v>0</v>
      </c>
      <c r="BH92" s="14" t="n">
        <f aca="false">IF(16&gt;$A92,0,AL92-Cost_round*IF(16&lt;=$B92,1,0)+R92-AM92)</f>
        <v>0</v>
      </c>
      <c r="BI92" s="14" t="n">
        <f aca="false">IF(17&gt;$A92,0,AM92-Cost_round*IF(17&lt;=$B92,1,0)+S92-AN92)</f>
        <v>0</v>
      </c>
      <c r="BJ92" s="14" t="n">
        <f aca="false">IF(18&gt;$A92,0,AN92-Cost_round*IF(18&lt;=$B92,1,0)+T92-AO92)</f>
        <v>0</v>
      </c>
      <c r="BK92" s="14" t="n">
        <f aca="false">IF(19&gt;$A92,0,AO92-Cost_round*IF(19&lt;=$B92,1,0)+U92-AP92)</f>
        <v>0</v>
      </c>
      <c r="BL92" s="14" t="n">
        <f aca="false">IF(20&gt;$A92,0,AP92-Cost_round*IF(20&lt;=$B92,1,0)+V92-AQ92)</f>
        <v>0</v>
      </c>
      <c r="BM92" s="17" t="n">
        <f aca="false">IF($AR92=1,SUMPRODUCT(AS92:BL92,$AS$38:$BL$38),"")</f>
        <v>661.110971667173</v>
      </c>
      <c r="BN92" s="17" t="n">
        <f aca="false">IF($AR92=1,BM92+INDEX($AS$38:$BL$38,$A92)*INDEX(C92:V92,$A92)/Hurdle_r,"")</f>
        <v>1051.43372336236</v>
      </c>
    </row>
    <row r="93" customFormat="false" ht="15" hidden="false" customHeight="false" outlineLevel="0" collapsed="false">
      <c r="A93" s="2" t="n">
        <v>12</v>
      </c>
      <c r="B93" s="2" t="n">
        <v>4</v>
      </c>
      <c r="C93" s="14" t="n">
        <f aca="false">IF(1&gt;$A93,0,Val_pt*(Ceiling_e-E_zero)*(1-(1-Half_gap)^MIN(1,$B93)))</f>
        <v>70</v>
      </c>
      <c r="D93" s="14" t="n">
        <f aca="false">IF(2&gt;$A93,0,Val_pt*(Ceiling_e-E_zero)*(1-(1-Half_gap)^MIN(2,$B93)))</f>
        <v>105</v>
      </c>
      <c r="E93" s="14" t="n">
        <f aca="false">IF(3&gt;$A93,0,Val_pt*(Ceiling_e-E_zero)*(1-(1-Half_gap)^MIN(3,$B93)))</f>
        <v>122.5</v>
      </c>
      <c r="F93" s="14" t="n">
        <f aca="false">IF(4&gt;$A93,0,Val_pt*(Ceiling_e-E_zero)*(1-(1-Half_gap)^MIN(4,$B93)))</f>
        <v>131.25</v>
      </c>
      <c r="G93" s="14" t="n">
        <f aca="false">IF(5&gt;$A93,0,Val_pt*(Ceiling_e-E_zero)*(1-(1-Half_gap)^MIN(5,$B93)))</f>
        <v>131.25</v>
      </c>
      <c r="H93" s="14" t="n">
        <f aca="false">IF(6&gt;$A93,0,Val_pt*(Ceiling_e-E_zero)*(1-(1-Half_gap)^MIN(6,$B93)))</f>
        <v>131.25</v>
      </c>
      <c r="I93" s="14" t="n">
        <f aca="false">IF(7&gt;$A93,0,Val_pt*(Ceiling_e-E_zero)*(1-(1-Half_gap)^MIN(7,$B93)))</f>
        <v>131.25</v>
      </c>
      <c r="J93" s="14" t="n">
        <f aca="false">IF(8&gt;$A93,0,Val_pt*(Ceiling_e-E_zero)*(1-(1-Half_gap)^MIN(8,$B93)))</f>
        <v>131.25</v>
      </c>
      <c r="K93" s="14" t="n">
        <f aca="false">IF(9&gt;$A93,0,Val_pt*(Ceiling_e-E_zero)*(1-(1-Half_gap)^MIN(9,$B93)))</f>
        <v>131.25</v>
      </c>
      <c r="L93" s="14" t="n">
        <f aca="false">IF(10&gt;$A93,0,Val_pt*(Ceiling_e-E_zero)*(1-(1-Half_gap)^MIN(10,$B93)))</f>
        <v>131.25</v>
      </c>
      <c r="M93" s="14" t="n">
        <f aca="false">IF(11&gt;$A93,0,Val_pt*(Ceiling_e-E_zero)*(1-(1-Half_gap)^MIN(11,$B93)))</f>
        <v>131.25</v>
      </c>
      <c r="N93" s="14" t="n">
        <f aca="false">IF(12&gt;$A93,0,Val_pt*(Ceiling_e-E_zero)*(1-(1-Half_gap)^MIN(12,$B93)))</f>
        <v>131.25</v>
      </c>
      <c r="O93" s="14" t="n">
        <f aca="false">IF(13&gt;$A93,0,Val_pt*(Ceiling_e-E_zero)*(1-(1-Half_gap)^MIN(13,$B93)))</f>
        <v>0</v>
      </c>
      <c r="P93" s="14" t="n">
        <f aca="false">IF(14&gt;$A93,0,Val_pt*(Ceiling_e-E_zero)*(1-(1-Half_gap)^MIN(14,$B93)))</f>
        <v>0</v>
      </c>
      <c r="Q93" s="14" t="n">
        <f aca="false">IF(15&gt;$A93,0,Val_pt*(Ceiling_e-E_zero)*(1-(1-Half_gap)^MIN(15,$B93)))</f>
        <v>0</v>
      </c>
      <c r="R93" s="14" t="n">
        <f aca="false">IF(16&gt;$A93,0,Val_pt*(Ceiling_e-E_zero)*(1-(1-Half_gap)^MIN(16,$B93)))</f>
        <v>0</v>
      </c>
      <c r="S93" s="14" t="n">
        <f aca="false">IF(17&gt;$A93,0,Val_pt*(Ceiling_e-E_zero)*(1-(1-Half_gap)^MIN(17,$B93)))</f>
        <v>0</v>
      </c>
      <c r="T93" s="14" t="n">
        <f aca="false">IF(18&gt;$A93,0,Val_pt*(Ceiling_e-E_zero)*(1-(1-Half_gap)^MIN(18,$B93)))</f>
        <v>0</v>
      </c>
      <c r="U93" s="14" t="n">
        <f aca="false">IF(19&gt;$A93,0,Val_pt*(Ceiling_e-E_zero)*(1-(1-Half_gap)^MIN(19,$B93)))</f>
        <v>0</v>
      </c>
      <c r="V93" s="14" t="n">
        <f aca="false">IF(20&gt;$A93,0,Val_pt*(Ceiling_e-E_zero)*(1-(1-Half_gap)^MIN(20,$B93)))</f>
        <v>0</v>
      </c>
      <c r="W93" s="14" t="n">
        <f aca="false">IF(0&gt;$A93,0,IF(0=$A93,MAX(End_q,Floor_q),MAX(X93+Cost_round*IF(1&lt;=$B93,1,0)-C93,IF(1&lt;=$B93,1,0)*Pre_q)))</f>
        <v>535</v>
      </c>
      <c r="X93" s="14" t="n">
        <f aca="false">IF(1&gt;$A93,0,IF(1=$A93,MAX(End_q,Floor_q),MAX(Y93+Cost_round*IF(2&lt;=$B93,1,0)-D93,IF(2&lt;=$B93,1,0)*Pre_q,Floor_q)))</f>
        <v>485</v>
      </c>
      <c r="Y93" s="14" t="n">
        <f aca="false">IF(2&gt;$A93,0,IF(2=$A93,MAX(End_q,Floor_q),MAX(Z93+Cost_round*IF(3&lt;=$B93,1,0)-E93,IF(3&lt;=$B93,1,0)*Pre_q,Floor_q)))</f>
        <v>470</v>
      </c>
      <c r="Z93" s="14" t="n">
        <f aca="false">IF(3&gt;$A93,0,IF(3=$A93,MAX(End_q,Floor_q),MAX(AA93+Cost_round*IF(4&lt;=$B93,1,0)-F93,IF(4&lt;=$B93,1,0)*Pre_q,Floor_q)))</f>
        <v>470</v>
      </c>
      <c r="AA93" s="14" t="n">
        <f aca="false">IF(4&gt;$A93,0,IF(4=$A93,MAX(End_q,Floor_q),MAX(AB93+Cost_round*IF(5&lt;=$B93,1,0)-G93,IF(5&lt;=$B93,1,0)*Pre_q,Floor_q)))</f>
        <v>350</v>
      </c>
      <c r="AB93" s="14" t="n">
        <f aca="false">IF(5&gt;$A93,0,IF(5=$A93,MAX(End_q,Floor_q),MAX(AC93+Cost_round*IF(6&lt;=$B93,1,0)-H93,IF(6&lt;=$B93,1,0)*Pre_q,Floor_q)))</f>
        <v>350</v>
      </c>
      <c r="AC93" s="14" t="n">
        <f aca="false">IF(6&gt;$A93,0,IF(6=$A93,MAX(End_q,Floor_q),MAX(AD93+Cost_round*IF(7&lt;=$B93,1,0)-I93,IF(7&lt;=$B93,1,0)*Pre_q,Floor_q)))</f>
        <v>350</v>
      </c>
      <c r="AD93" s="14" t="n">
        <f aca="false">IF(7&gt;$A93,0,IF(7=$A93,MAX(End_q,Floor_q),MAX(AE93+Cost_round*IF(8&lt;=$B93,1,0)-J93,IF(8&lt;=$B93,1,0)*Pre_q,Floor_q)))</f>
        <v>350</v>
      </c>
      <c r="AE93" s="14" t="n">
        <f aca="false">IF(8&gt;$A93,0,IF(8=$A93,MAX(End_q,Floor_q),MAX(AF93+Cost_round*IF(9&lt;=$B93,1,0)-K93,IF(9&lt;=$B93,1,0)*Pre_q,Floor_q)))</f>
        <v>350</v>
      </c>
      <c r="AF93" s="14" t="n">
        <f aca="false">IF(9&gt;$A93,0,IF(9=$A93,MAX(End_q,Floor_q),MAX(AG93+Cost_round*IF(10&lt;=$B93,1,0)-L93,IF(10&lt;=$B93,1,0)*Pre_q,Floor_q)))</f>
        <v>350</v>
      </c>
      <c r="AG93" s="14" t="n">
        <f aca="false">IF(10&gt;$A93,0,IF(10=$A93,MAX(End_q,Floor_q),MAX(AH93+Cost_round*IF(11&lt;=$B93,1,0)-M93,IF(11&lt;=$B93,1,0)*Pre_q,Floor_q)))</f>
        <v>350</v>
      </c>
      <c r="AH93" s="14" t="n">
        <f aca="false">IF(11&gt;$A93,0,IF(11=$A93,MAX(End_q,Floor_q),MAX(AI93+Cost_round*IF(12&lt;=$B93,1,0)-N93,IF(12&lt;=$B93,1,0)*Pre_q,Floor_q)))</f>
        <v>350</v>
      </c>
      <c r="AI93" s="14" t="n">
        <f aca="false">IF(12&gt;$A93,0,IF(12=$A93,MAX(End_q,Floor_q),MAX(AJ93+Cost_round*IF(13&lt;=$B93,1,0)-O93,IF(13&lt;=$B93,1,0)*Pre_q,Floor_q)))</f>
        <v>470</v>
      </c>
      <c r="AJ93" s="14" t="n">
        <f aca="false">IF(13&gt;$A93,0,IF(13=$A93,MAX(End_q,Floor_q),MAX(AK93+Cost_round*IF(14&lt;=$B93,1,0)-P93,IF(14&lt;=$B93,1,0)*Pre_q,Floor_q)))</f>
        <v>0</v>
      </c>
      <c r="AK93" s="14" t="n">
        <f aca="false">IF(14&gt;$A93,0,IF(14=$A93,MAX(End_q,Floor_q),MAX(AL93+Cost_round*IF(15&lt;=$B93,1,0)-Q93,IF(15&lt;=$B93,1,0)*Pre_q,Floor_q)))</f>
        <v>0</v>
      </c>
      <c r="AL93" s="14" t="n">
        <f aca="false">IF(15&gt;$A93,0,IF(15=$A93,MAX(End_q,Floor_q),MAX(AM93+Cost_round*IF(16&lt;=$B93,1,0)-R93,IF(16&lt;=$B93,1,0)*Pre_q,Floor_q)))</f>
        <v>0</v>
      </c>
      <c r="AM93" s="14" t="n">
        <f aca="false">IF(16&gt;$A93,0,IF(16=$A93,MAX(End_q,Floor_q),MAX(AN93+Cost_round*IF(17&lt;=$B93,1,0)-S93,IF(17&lt;=$B93,1,0)*Pre_q,Floor_q)))</f>
        <v>0</v>
      </c>
      <c r="AN93" s="14" t="n">
        <f aca="false">IF(17&gt;$A93,0,IF(17=$A93,MAX(End_q,Floor_q),MAX(AO93+Cost_round*IF(18&lt;=$B93,1,0)-T93,IF(18&lt;=$B93,1,0)*Pre_q,Floor_q)))</f>
        <v>0</v>
      </c>
      <c r="AO93" s="14" t="n">
        <f aca="false">IF(18&gt;$A93,0,IF(18=$A93,MAX(End_q,Floor_q),MAX(AP93+Cost_round*IF(19&lt;=$B93,1,0)-U93,IF(19&lt;=$B93,1,0)*Pre_q,Floor_q)))</f>
        <v>0</v>
      </c>
      <c r="AP93" s="14" t="n">
        <f aca="false">IF(19&gt;$A93,0,IF(19=$A93,MAX(End_q,Floor_q),MAX(AQ93+Cost_round*IF(20&lt;=$B93,1,0)-V93,IF(20&lt;=$B93,1,0)*Pre_q,Floor_q)))</f>
        <v>0</v>
      </c>
      <c r="AQ93" s="14" t="n">
        <f aca="false">IF(20&gt;$A93,0,MAX(End_q,Floor_q))</f>
        <v>0</v>
      </c>
      <c r="AR93" s="15" t="n">
        <f aca="false">IF(Q_zero&gt;=W93-0.000000001,1,0)</f>
        <v>1</v>
      </c>
      <c r="AS93" s="14" t="n">
        <f aca="false">IF(1&gt;$A93,0,Q_zero-Cost_round*IF(1&lt;=$B93,1,0)+C93-X93)</f>
        <v>85</v>
      </c>
      <c r="AT93" s="14" t="n">
        <f aca="false">IF(2&gt;$A93,0,X93-Cost_round*IF(2&lt;=$B93,1,0)+D93-Y93)</f>
        <v>0</v>
      </c>
      <c r="AU93" s="14" t="n">
        <f aca="false">IF(3&gt;$A93,0,Y93-Cost_round*IF(3&lt;=$B93,1,0)+E93-Z93)</f>
        <v>2.5</v>
      </c>
      <c r="AV93" s="14" t="n">
        <f aca="false">IF(4&gt;$A93,0,Z93-Cost_round*IF(4&lt;=$B93,1,0)+F93-AA93)</f>
        <v>131.25</v>
      </c>
      <c r="AW93" s="14" t="n">
        <f aca="false">IF(5&gt;$A93,0,AA93-Cost_round*IF(5&lt;=$B93,1,0)+G93-AB93)</f>
        <v>131.25</v>
      </c>
      <c r="AX93" s="14" t="n">
        <f aca="false">IF(6&gt;$A93,0,AB93-Cost_round*IF(6&lt;=$B93,1,0)+H93-AC93)</f>
        <v>131.25</v>
      </c>
      <c r="AY93" s="14" t="n">
        <f aca="false">IF(7&gt;$A93,0,AC93-Cost_round*IF(7&lt;=$B93,1,0)+I93-AD93)</f>
        <v>131.25</v>
      </c>
      <c r="AZ93" s="14" t="n">
        <f aca="false">IF(8&gt;$A93,0,AD93-Cost_round*IF(8&lt;=$B93,1,0)+J93-AE93)</f>
        <v>131.25</v>
      </c>
      <c r="BA93" s="14" t="n">
        <f aca="false">IF(9&gt;$A93,0,AE93-Cost_round*IF(9&lt;=$B93,1,0)+K93-AF93)</f>
        <v>131.25</v>
      </c>
      <c r="BB93" s="14" t="n">
        <f aca="false">IF(10&gt;$A93,0,AF93-Cost_round*IF(10&lt;=$B93,1,0)+L93-AG93)</f>
        <v>131.25</v>
      </c>
      <c r="BC93" s="14" t="n">
        <f aca="false">IF(11&gt;$A93,0,AG93-Cost_round*IF(11&lt;=$B93,1,0)+M93-AH93)</f>
        <v>131.25</v>
      </c>
      <c r="BD93" s="14" t="n">
        <f aca="false">IF(12&gt;$A93,0,AH93-Cost_round*IF(12&lt;=$B93,1,0)+N93-AI93)</f>
        <v>11.25</v>
      </c>
      <c r="BE93" s="14" t="n">
        <f aca="false">IF(13&gt;$A93,0,AI93-Cost_round*IF(13&lt;=$B93,1,0)+O93-AJ93)</f>
        <v>0</v>
      </c>
      <c r="BF93" s="14" t="n">
        <f aca="false">IF(14&gt;$A93,0,AJ93-Cost_round*IF(14&lt;=$B93,1,0)+P93-AK93)</f>
        <v>0</v>
      </c>
      <c r="BG93" s="14" t="n">
        <f aca="false">IF(15&gt;$A93,0,AK93-Cost_round*IF(15&lt;=$B93,1,0)+Q93-AL93)</f>
        <v>0</v>
      </c>
      <c r="BH93" s="14" t="n">
        <f aca="false">IF(16&gt;$A93,0,AL93-Cost_round*IF(16&lt;=$B93,1,0)+R93-AM93)</f>
        <v>0</v>
      </c>
      <c r="BI93" s="14" t="n">
        <f aca="false">IF(17&gt;$A93,0,AM93-Cost_round*IF(17&lt;=$B93,1,0)+S93-AN93)</f>
        <v>0</v>
      </c>
      <c r="BJ93" s="14" t="n">
        <f aca="false">IF(18&gt;$A93,0,AN93-Cost_round*IF(18&lt;=$B93,1,0)+T93-AO93)</f>
        <v>0</v>
      </c>
      <c r="BK93" s="14" t="n">
        <f aca="false">IF(19&gt;$A93,0,AO93-Cost_round*IF(19&lt;=$B93,1,0)+U93-AP93)</f>
        <v>0</v>
      </c>
      <c r="BL93" s="14" t="n">
        <f aca="false">IF(20&gt;$A93,0,AP93-Cost_round*IF(20&lt;=$B93,1,0)+V93-AQ93)</f>
        <v>0</v>
      </c>
      <c r="BM93" s="17" t="n">
        <f aca="false">IF($AR93=1,SUMPRODUCT(AS93:BL93,$AS$38:$BL$38),"")</f>
        <v>608.813044088216</v>
      </c>
      <c r="BN93" s="17" t="n">
        <f aca="false">IF($AR93=1,BM93+INDEX($AS$38:$BL$38,$A93)*INDEX(C93:V93,$A93)/Hurdle_r,"")</f>
        <v>1027.01599233306</v>
      </c>
    </row>
    <row r="94" customFormat="false" ht="15" hidden="false" customHeight="false" outlineLevel="0" collapsed="false">
      <c r="A94" s="2" t="n">
        <v>13</v>
      </c>
      <c r="B94" s="2" t="n">
        <v>0</v>
      </c>
      <c r="C94" s="14" t="n">
        <f aca="false">IF(1&gt;$A94,0,Val_pt*(Ceiling_e-E_zero)*(1-(1-Half_gap)^MIN(1,$B94)))</f>
        <v>0</v>
      </c>
      <c r="D94" s="14" t="n">
        <f aca="false">IF(2&gt;$A94,0,Val_pt*(Ceiling_e-E_zero)*(1-(1-Half_gap)^MIN(2,$B94)))</f>
        <v>0</v>
      </c>
      <c r="E94" s="14" t="n">
        <f aca="false">IF(3&gt;$A94,0,Val_pt*(Ceiling_e-E_zero)*(1-(1-Half_gap)^MIN(3,$B94)))</f>
        <v>0</v>
      </c>
      <c r="F94" s="14" t="n">
        <f aca="false">IF(4&gt;$A94,0,Val_pt*(Ceiling_e-E_zero)*(1-(1-Half_gap)^MIN(4,$B94)))</f>
        <v>0</v>
      </c>
      <c r="G94" s="14" t="n">
        <f aca="false">IF(5&gt;$A94,0,Val_pt*(Ceiling_e-E_zero)*(1-(1-Half_gap)^MIN(5,$B94)))</f>
        <v>0</v>
      </c>
      <c r="H94" s="14" t="n">
        <f aca="false">IF(6&gt;$A94,0,Val_pt*(Ceiling_e-E_zero)*(1-(1-Half_gap)^MIN(6,$B94)))</f>
        <v>0</v>
      </c>
      <c r="I94" s="14" t="n">
        <f aca="false">IF(7&gt;$A94,0,Val_pt*(Ceiling_e-E_zero)*(1-(1-Half_gap)^MIN(7,$B94)))</f>
        <v>0</v>
      </c>
      <c r="J94" s="14" t="n">
        <f aca="false">IF(8&gt;$A94,0,Val_pt*(Ceiling_e-E_zero)*(1-(1-Half_gap)^MIN(8,$B94)))</f>
        <v>0</v>
      </c>
      <c r="K94" s="14" t="n">
        <f aca="false">IF(9&gt;$A94,0,Val_pt*(Ceiling_e-E_zero)*(1-(1-Half_gap)^MIN(9,$B94)))</f>
        <v>0</v>
      </c>
      <c r="L94" s="14" t="n">
        <f aca="false">IF(10&gt;$A94,0,Val_pt*(Ceiling_e-E_zero)*(1-(1-Half_gap)^MIN(10,$B94)))</f>
        <v>0</v>
      </c>
      <c r="M94" s="14" t="n">
        <f aca="false">IF(11&gt;$A94,0,Val_pt*(Ceiling_e-E_zero)*(1-(1-Half_gap)^MIN(11,$B94)))</f>
        <v>0</v>
      </c>
      <c r="N94" s="14" t="n">
        <f aca="false">IF(12&gt;$A94,0,Val_pt*(Ceiling_e-E_zero)*(1-(1-Half_gap)^MIN(12,$B94)))</f>
        <v>0</v>
      </c>
      <c r="O94" s="14" t="n">
        <f aca="false">IF(13&gt;$A94,0,Val_pt*(Ceiling_e-E_zero)*(1-(1-Half_gap)^MIN(13,$B94)))</f>
        <v>0</v>
      </c>
      <c r="P94" s="14" t="n">
        <f aca="false">IF(14&gt;$A94,0,Val_pt*(Ceiling_e-E_zero)*(1-(1-Half_gap)^MIN(14,$B94)))</f>
        <v>0</v>
      </c>
      <c r="Q94" s="14" t="n">
        <f aca="false">IF(15&gt;$A94,0,Val_pt*(Ceiling_e-E_zero)*(1-(1-Half_gap)^MIN(15,$B94)))</f>
        <v>0</v>
      </c>
      <c r="R94" s="14" t="n">
        <f aca="false">IF(16&gt;$A94,0,Val_pt*(Ceiling_e-E_zero)*(1-(1-Half_gap)^MIN(16,$B94)))</f>
        <v>0</v>
      </c>
      <c r="S94" s="14" t="n">
        <f aca="false">IF(17&gt;$A94,0,Val_pt*(Ceiling_e-E_zero)*(1-(1-Half_gap)^MIN(17,$B94)))</f>
        <v>0</v>
      </c>
      <c r="T94" s="14" t="n">
        <f aca="false">IF(18&gt;$A94,0,Val_pt*(Ceiling_e-E_zero)*(1-(1-Half_gap)^MIN(18,$B94)))</f>
        <v>0</v>
      </c>
      <c r="U94" s="14" t="n">
        <f aca="false">IF(19&gt;$A94,0,Val_pt*(Ceiling_e-E_zero)*(1-(1-Half_gap)^MIN(19,$B94)))</f>
        <v>0</v>
      </c>
      <c r="V94" s="14" t="n">
        <f aca="false">IF(20&gt;$A94,0,Val_pt*(Ceiling_e-E_zero)*(1-(1-Half_gap)^MIN(20,$B94)))</f>
        <v>0</v>
      </c>
      <c r="W94" s="14" t="n">
        <f aca="false">IF(0&gt;$A94,0,IF(0=$A94,MAX(End_q,Floor_q),MAX(X94+Cost_round*IF(1&lt;=$B94,1,0)-C94,IF(1&lt;=$B94,1,0)*Pre_q)))</f>
        <v>470</v>
      </c>
      <c r="X94" s="14" t="n">
        <f aca="false">IF(1&gt;$A94,0,IF(1=$A94,MAX(End_q,Floor_q),MAX(Y94+Cost_round*IF(2&lt;=$B94,1,0)-D94,IF(2&lt;=$B94,1,0)*Pre_q,Floor_q)))</f>
        <v>470</v>
      </c>
      <c r="Y94" s="14" t="n">
        <f aca="false">IF(2&gt;$A94,0,IF(2=$A94,MAX(End_q,Floor_q),MAX(Z94+Cost_round*IF(3&lt;=$B94,1,0)-E94,IF(3&lt;=$B94,1,0)*Pre_q,Floor_q)))</f>
        <v>470</v>
      </c>
      <c r="Z94" s="14" t="n">
        <f aca="false">IF(3&gt;$A94,0,IF(3=$A94,MAX(End_q,Floor_q),MAX(AA94+Cost_round*IF(4&lt;=$B94,1,0)-F94,IF(4&lt;=$B94,1,0)*Pre_q,Floor_q)))</f>
        <v>470</v>
      </c>
      <c r="AA94" s="14" t="n">
        <f aca="false">IF(4&gt;$A94,0,IF(4=$A94,MAX(End_q,Floor_q),MAX(AB94+Cost_round*IF(5&lt;=$B94,1,0)-G94,IF(5&lt;=$B94,1,0)*Pre_q,Floor_q)))</f>
        <v>470</v>
      </c>
      <c r="AB94" s="14" t="n">
        <f aca="false">IF(5&gt;$A94,0,IF(5=$A94,MAX(End_q,Floor_q),MAX(AC94+Cost_round*IF(6&lt;=$B94,1,0)-H94,IF(6&lt;=$B94,1,0)*Pre_q,Floor_q)))</f>
        <v>470</v>
      </c>
      <c r="AC94" s="14" t="n">
        <f aca="false">IF(6&gt;$A94,0,IF(6=$A94,MAX(End_q,Floor_q),MAX(AD94+Cost_round*IF(7&lt;=$B94,1,0)-I94,IF(7&lt;=$B94,1,0)*Pre_q,Floor_q)))</f>
        <v>470</v>
      </c>
      <c r="AD94" s="14" t="n">
        <f aca="false">IF(7&gt;$A94,0,IF(7=$A94,MAX(End_q,Floor_q),MAX(AE94+Cost_round*IF(8&lt;=$B94,1,0)-J94,IF(8&lt;=$B94,1,0)*Pre_q,Floor_q)))</f>
        <v>470</v>
      </c>
      <c r="AE94" s="14" t="n">
        <f aca="false">IF(8&gt;$A94,0,IF(8=$A94,MAX(End_q,Floor_q),MAX(AF94+Cost_round*IF(9&lt;=$B94,1,0)-K94,IF(9&lt;=$B94,1,0)*Pre_q,Floor_q)))</f>
        <v>470</v>
      </c>
      <c r="AF94" s="14" t="n">
        <f aca="false">IF(9&gt;$A94,0,IF(9=$A94,MAX(End_q,Floor_q),MAX(AG94+Cost_round*IF(10&lt;=$B94,1,0)-L94,IF(10&lt;=$B94,1,0)*Pre_q,Floor_q)))</f>
        <v>470</v>
      </c>
      <c r="AG94" s="14" t="n">
        <f aca="false">IF(10&gt;$A94,0,IF(10=$A94,MAX(End_q,Floor_q),MAX(AH94+Cost_round*IF(11&lt;=$B94,1,0)-M94,IF(11&lt;=$B94,1,0)*Pre_q,Floor_q)))</f>
        <v>470</v>
      </c>
      <c r="AH94" s="14" t="n">
        <f aca="false">IF(11&gt;$A94,0,IF(11=$A94,MAX(End_q,Floor_q),MAX(AI94+Cost_round*IF(12&lt;=$B94,1,0)-N94,IF(12&lt;=$B94,1,0)*Pre_q,Floor_q)))</f>
        <v>470</v>
      </c>
      <c r="AI94" s="14" t="n">
        <f aca="false">IF(12&gt;$A94,0,IF(12=$A94,MAX(End_q,Floor_q),MAX(AJ94+Cost_round*IF(13&lt;=$B94,1,0)-O94,IF(13&lt;=$B94,1,0)*Pre_q,Floor_q)))</f>
        <v>470</v>
      </c>
      <c r="AJ94" s="14" t="n">
        <f aca="false">IF(13&gt;$A94,0,IF(13=$A94,MAX(End_q,Floor_q),MAX(AK94+Cost_round*IF(14&lt;=$B94,1,0)-P94,IF(14&lt;=$B94,1,0)*Pre_q,Floor_q)))</f>
        <v>470</v>
      </c>
      <c r="AK94" s="14" t="n">
        <f aca="false">IF(14&gt;$A94,0,IF(14=$A94,MAX(End_q,Floor_q),MAX(AL94+Cost_round*IF(15&lt;=$B94,1,0)-Q94,IF(15&lt;=$B94,1,0)*Pre_q,Floor_q)))</f>
        <v>0</v>
      </c>
      <c r="AL94" s="14" t="n">
        <f aca="false">IF(15&gt;$A94,0,IF(15=$A94,MAX(End_q,Floor_q),MAX(AM94+Cost_round*IF(16&lt;=$B94,1,0)-R94,IF(16&lt;=$B94,1,0)*Pre_q,Floor_q)))</f>
        <v>0</v>
      </c>
      <c r="AM94" s="14" t="n">
        <f aca="false">IF(16&gt;$A94,0,IF(16=$A94,MAX(End_q,Floor_q),MAX(AN94+Cost_round*IF(17&lt;=$B94,1,0)-S94,IF(17&lt;=$B94,1,0)*Pre_q,Floor_q)))</f>
        <v>0</v>
      </c>
      <c r="AN94" s="14" t="n">
        <f aca="false">IF(17&gt;$A94,0,IF(17=$A94,MAX(End_q,Floor_q),MAX(AO94+Cost_round*IF(18&lt;=$B94,1,0)-T94,IF(18&lt;=$B94,1,0)*Pre_q,Floor_q)))</f>
        <v>0</v>
      </c>
      <c r="AO94" s="14" t="n">
        <f aca="false">IF(18&gt;$A94,0,IF(18=$A94,MAX(End_q,Floor_q),MAX(AP94+Cost_round*IF(19&lt;=$B94,1,0)-U94,IF(19&lt;=$B94,1,0)*Pre_q,Floor_q)))</f>
        <v>0</v>
      </c>
      <c r="AP94" s="14" t="n">
        <f aca="false">IF(19&gt;$A94,0,IF(19=$A94,MAX(End_q,Floor_q),MAX(AQ94+Cost_round*IF(20&lt;=$B94,1,0)-V94,IF(20&lt;=$B94,1,0)*Pre_q,Floor_q)))</f>
        <v>0</v>
      </c>
      <c r="AQ94" s="14" t="n">
        <f aca="false">IF(20&gt;$A94,0,MAX(End_q,Floor_q))</f>
        <v>0</v>
      </c>
      <c r="AR94" s="15" t="n">
        <f aca="false">IF(Q_zero&gt;=W94-0.000000001,1,0)</f>
        <v>1</v>
      </c>
      <c r="AS94" s="14" t="n">
        <f aca="false">IF(1&gt;$A94,0,Q_zero-Cost_round*IF(1&lt;=$B94,1,0)+C94-X94)</f>
        <v>150</v>
      </c>
      <c r="AT94" s="14" t="n">
        <f aca="false">IF(2&gt;$A94,0,X94-Cost_round*IF(2&lt;=$B94,1,0)+D94-Y94)</f>
        <v>0</v>
      </c>
      <c r="AU94" s="14" t="n">
        <f aca="false">IF(3&gt;$A94,0,Y94-Cost_round*IF(3&lt;=$B94,1,0)+E94-Z94)</f>
        <v>0</v>
      </c>
      <c r="AV94" s="14" t="n">
        <f aca="false">IF(4&gt;$A94,0,Z94-Cost_round*IF(4&lt;=$B94,1,0)+F94-AA94)</f>
        <v>0</v>
      </c>
      <c r="AW94" s="14" t="n">
        <f aca="false">IF(5&gt;$A94,0,AA94-Cost_round*IF(5&lt;=$B94,1,0)+G94-AB94)</f>
        <v>0</v>
      </c>
      <c r="AX94" s="14" t="n">
        <f aca="false">IF(6&gt;$A94,0,AB94-Cost_round*IF(6&lt;=$B94,1,0)+H94-AC94)</f>
        <v>0</v>
      </c>
      <c r="AY94" s="14" t="n">
        <f aca="false">IF(7&gt;$A94,0,AC94-Cost_round*IF(7&lt;=$B94,1,0)+I94-AD94)</f>
        <v>0</v>
      </c>
      <c r="AZ94" s="14" t="n">
        <f aca="false">IF(8&gt;$A94,0,AD94-Cost_round*IF(8&lt;=$B94,1,0)+J94-AE94)</f>
        <v>0</v>
      </c>
      <c r="BA94" s="14" t="n">
        <f aca="false">IF(9&gt;$A94,0,AE94-Cost_round*IF(9&lt;=$B94,1,0)+K94-AF94)</f>
        <v>0</v>
      </c>
      <c r="BB94" s="14" t="n">
        <f aca="false">IF(10&gt;$A94,0,AF94-Cost_round*IF(10&lt;=$B94,1,0)+L94-AG94)</f>
        <v>0</v>
      </c>
      <c r="BC94" s="14" t="n">
        <f aca="false">IF(11&gt;$A94,0,AG94-Cost_round*IF(11&lt;=$B94,1,0)+M94-AH94)</f>
        <v>0</v>
      </c>
      <c r="BD94" s="14" t="n">
        <f aca="false">IF(12&gt;$A94,0,AH94-Cost_round*IF(12&lt;=$B94,1,0)+N94-AI94)</f>
        <v>0</v>
      </c>
      <c r="BE94" s="14" t="n">
        <f aca="false">IF(13&gt;$A94,0,AI94-Cost_round*IF(13&lt;=$B94,1,0)+O94-AJ94)</f>
        <v>0</v>
      </c>
      <c r="BF94" s="14" t="n">
        <f aca="false">IF(14&gt;$A94,0,AJ94-Cost_round*IF(14&lt;=$B94,1,0)+P94-AK94)</f>
        <v>0</v>
      </c>
      <c r="BG94" s="14" t="n">
        <f aca="false">IF(15&gt;$A94,0,AK94-Cost_round*IF(15&lt;=$B94,1,0)+Q94-AL94)</f>
        <v>0</v>
      </c>
      <c r="BH94" s="14" t="n">
        <f aca="false">IF(16&gt;$A94,0,AL94-Cost_round*IF(16&lt;=$B94,1,0)+R94-AM94)</f>
        <v>0</v>
      </c>
      <c r="BI94" s="14" t="n">
        <f aca="false">IF(17&gt;$A94,0,AM94-Cost_round*IF(17&lt;=$B94,1,0)+S94-AN94)</f>
        <v>0</v>
      </c>
      <c r="BJ94" s="14" t="n">
        <f aca="false">IF(18&gt;$A94,0,AN94-Cost_round*IF(18&lt;=$B94,1,0)+T94-AO94)</f>
        <v>0</v>
      </c>
      <c r="BK94" s="14" t="n">
        <f aca="false">IF(19&gt;$A94,0,AO94-Cost_round*IF(19&lt;=$B94,1,0)+U94-AP94)</f>
        <v>0</v>
      </c>
      <c r="BL94" s="14" t="n">
        <f aca="false">IF(20&gt;$A94,0,AP94-Cost_round*IF(20&lt;=$B94,1,0)+V94-AQ94)</f>
        <v>0</v>
      </c>
      <c r="BM94" s="17" t="n">
        <f aca="false">IF($AR94=1,SUMPRODUCT(AS94:BL94,$AS$38:$BL$38),"")</f>
        <v>136.363636363636</v>
      </c>
      <c r="BN94" s="17" t="n">
        <f aca="false">IF($AR94=1,BM94+INDEX($AS$38:$BL$38,$A94)*INDEX(C94:V94,$A94)/Hurdle_r,"")</f>
        <v>136.363636363636</v>
      </c>
    </row>
    <row r="95" customFormat="false" ht="15" hidden="false" customHeight="false" outlineLevel="0" collapsed="false">
      <c r="A95" s="2" t="n">
        <v>13</v>
      </c>
      <c r="B95" s="2" t="n">
        <v>1</v>
      </c>
      <c r="C95" s="14" t="n">
        <f aca="false">IF(1&gt;$A95,0,Val_pt*(Ceiling_e-E_zero)*(1-(1-Half_gap)^MIN(1,$B95)))</f>
        <v>70</v>
      </c>
      <c r="D95" s="14" t="n">
        <f aca="false">IF(2&gt;$A95,0,Val_pt*(Ceiling_e-E_zero)*(1-(1-Half_gap)^MIN(2,$B95)))</f>
        <v>70</v>
      </c>
      <c r="E95" s="14" t="n">
        <f aca="false">IF(3&gt;$A95,0,Val_pt*(Ceiling_e-E_zero)*(1-(1-Half_gap)^MIN(3,$B95)))</f>
        <v>70</v>
      </c>
      <c r="F95" s="14" t="n">
        <f aca="false">IF(4&gt;$A95,0,Val_pt*(Ceiling_e-E_zero)*(1-(1-Half_gap)^MIN(4,$B95)))</f>
        <v>70</v>
      </c>
      <c r="G95" s="14" t="n">
        <f aca="false">IF(5&gt;$A95,0,Val_pt*(Ceiling_e-E_zero)*(1-(1-Half_gap)^MIN(5,$B95)))</f>
        <v>70</v>
      </c>
      <c r="H95" s="14" t="n">
        <f aca="false">IF(6&gt;$A95,0,Val_pt*(Ceiling_e-E_zero)*(1-(1-Half_gap)^MIN(6,$B95)))</f>
        <v>70</v>
      </c>
      <c r="I95" s="14" t="n">
        <f aca="false">IF(7&gt;$A95,0,Val_pt*(Ceiling_e-E_zero)*(1-(1-Half_gap)^MIN(7,$B95)))</f>
        <v>70</v>
      </c>
      <c r="J95" s="14" t="n">
        <f aca="false">IF(8&gt;$A95,0,Val_pt*(Ceiling_e-E_zero)*(1-(1-Half_gap)^MIN(8,$B95)))</f>
        <v>70</v>
      </c>
      <c r="K95" s="14" t="n">
        <f aca="false">IF(9&gt;$A95,0,Val_pt*(Ceiling_e-E_zero)*(1-(1-Half_gap)^MIN(9,$B95)))</f>
        <v>70</v>
      </c>
      <c r="L95" s="14" t="n">
        <f aca="false">IF(10&gt;$A95,0,Val_pt*(Ceiling_e-E_zero)*(1-(1-Half_gap)^MIN(10,$B95)))</f>
        <v>70</v>
      </c>
      <c r="M95" s="14" t="n">
        <f aca="false">IF(11&gt;$A95,0,Val_pt*(Ceiling_e-E_zero)*(1-(1-Half_gap)^MIN(11,$B95)))</f>
        <v>70</v>
      </c>
      <c r="N95" s="14" t="n">
        <f aca="false">IF(12&gt;$A95,0,Val_pt*(Ceiling_e-E_zero)*(1-(1-Half_gap)^MIN(12,$B95)))</f>
        <v>70</v>
      </c>
      <c r="O95" s="14" t="n">
        <f aca="false">IF(13&gt;$A95,0,Val_pt*(Ceiling_e-E_zero)*(1-(1-Half_gap)^MIN(13,$B95)))</f>
        <v>70</v>
      </c>
      <c r="P95" s="14" t="n">
        <f aca="false">IF(14&gt;$A95,0,Val_pt*(Ceiling_e-E_zero)*(1-(1-Half_gap)^MIN(14,$B95)))</f>
        <v>0</v>
      </c>
      <c r="Q95" s="14" t="n">
        <f aca="false">IF(15&gt;$A95,0,Val_pt*(Ceiling_e-E_zero)*(1-(1-Half_gap)^MIN(15,$B95)))</f>
        <v>0</v>
      </c>
      <c r="R95" s="14" t="n">
        <f aca="false">IF(16&gt;$A95,0,Val_pt*(Ceiling_e-E_zero)*(1-(1-Half_gap)^MIN(16,$B95)))</f>
        <v>0</v>
      </c>
      <c r="S95" s="14" t="n">
        <f aca="false">IF(17&gt;$A95,0,Val_pt*(Ceiling_e-E_zero)*(1-(1-Half_gap)^MIN(17,$B95)))</f>
        <v>0</v>
      </c>
      <c r="T95" s="14" t="n">
        <f aca="false">IF(18&gt;$A95,0,Val_pt*(Ceiling_e-E_zero)*(1-(1-Half_gap)^MIN(18,$B95)))</f>
        <v>0</v>
      </c>
      <c r="U95" s="14" t="n">
        <f aca="false">IF(19&gt;$A95,0,Val_pt*(Ceiling_e-E_zero)*(1-(1-Half_gap)^MIN(19,$B95)))</f>
        <v>0</v>
      </c>
      <c r="V95" s="14" t="n">
        <f aca="false">IF(20&gt;$A95,0,Val_pt*(Ceiling_e-E_zero)*(1-(1-Half_gap)^MIN(20,$B95)))</f>
        <v>0</v>
      </c>
      <c r="W95" s="14" t="n">
        <f aca="false">IF(0&gt;$A95,0,IF(0=$A95,MAX(End_q,Floor_q),MAX(X95+Cost_round*IF(1&lt;=$B95,1,0)-C95,IF(1&lt;=$B95,1,0)*Pre_q)))</f>
        <v>470</v>
      </c>
      <c r="X95" s="14" t="n">
        <f aca="false">IF(1&gt;$A95,0,IF(1=$A95,MAX(End_q,Floor_q),MAX(Y95+Cost_round*IF(2&lt;=$B95,1,0)-D95,IF(2&lt;=$B95,1,0)*Pre_q,Floor_q)))</f>
        <v>350</v>
      </c>
      <c r="Y95" s="14" t="n">
        <f aca="false">IF(2&gt;$A95,0,IF(2=$A95,MAX(End_q,Floor_q),MAX(Z95+Cost_round*IF(3&lt;=$B95,1,0)-E95,IF(3&lt;=$B95,1,0)*Pre_q,Floor_q)))</f>
        <v>350</v>
      </c>
      <c r="Z95" s="14" t="n">
        <f aca="false">IF(3&gt;$A95,0,IF(3=$A95,MAX(End_q,Floor_q),MAX(AA95+Cost_round*IF(4&lt;=$B95,1,0)-F95,IF(4&lt;=$B95,1,0)*Pre_q,Floor_q)))</f>
        <v>350</v>
      </c>
      <c r="AA95" s="14" t="n">
        <f aca="false">IF(4&gt;$A95,0,IF(4=$A95,MAX(End_q,Floor_q),MAX(AB95+Cost_round*IF(5&lt;=$B95,1,0)-G95,IF(5&lt;=$B95,1,0)*Pre_q,Floor_q)))</f>
        <v>350</v>
      </c>
      <c r="AB95" s="14" t="n">
        <f aca="false">IF(5&gt;$A95,0,IF(5=$A95,MAX(End_q,Floor_q),MAX(AC95+Cost_round*IF(6&lt;=$B95,1,0)-H95,IF(6&lt;=$B95,1,0)*Pre_q,Floor_q)))</f>
        <v>350</v>
      </c>
      <c r="AC95" s="14" t="n">
        <f aca="false">IF(6&gt;$A95,0,IF(6=$A95,MAX(End_q,Floor_q),MAX(AD95+Cost_round*IF(7&lt;=$B95,1,0)-I95,IF(7&lt;=$B95,1,0)*Pre_q,Floor_q)))</f>
        <v>350</v>
      </c>
      <c r="AD95" s="14" t="n">
        <f aca="false">IF(7&gt;$A95,0,IF(7=$A95,MAX(End_q,Floor_q),MAX(AE95+Cost_round*IF(8&lt;=$B95,1,0)-J95,IF(8&lt;=$B95,1,0)*Pre_q,Floor_q)))</f>
        <v>350</v>
      </c>
      <c r="AE95" s="14" t="n">
        <f aca="false">IF(8&gt;$A95,0,IF(8=$A95,MAX(End_q,Floor_q),MAX(AF95+Cost_round*IF(9&lt;=$B95,1,0)-K95,IF(9&lt;=$B95,1,0)*Pre_q,Floor_q)))</f>
        <v>350</v>
      </c>
      <c r="AF95" s="14" t="n">
        <f aca="false">IF(9&gt;$A95,0,IF(9=$A95,MAX(End_q,Floor_q),MAX(AG95+Cost_round*IF(10&lt;=$B95,1,0)-L95,IF(10&lt;=$B95,1,0)*Pre_q,Floor_q)))</f>
        <v>350</v>
      </c>
      <c r="AG95" s="14" t="n">
        <f aca="false">IF(10&gt;$A95,0,IF(10=$A95,MAX(End_q,Floor_q),MAX(AH95+Cost_round*IF(11&lt;=$B95,1,0)-M95,IF(11&lt;=$B95,1,0)*Pre_q,Floor_q)))</f>
        <v>350</v>
      </c>
      <c r="AH95" s="14" t="n">
        <f aca="false">IF(11&gt;$A95,0,IF(11=$A95,MAX(End_q,Floor_q),MAX(AI95+Cost_round*IF(12&lt;=$B95,1,0)-N95,IF(12&lt;=$B95,1,0)*Pre_q,Floor_q)))</f>
        <v>350</v>
      </c>
      <c r="AI95" s="14" t="n">
        <f aca="false">IF(12&gt;$A95,0,IF(12=$A95,MAX(End_q,Floor_q),MAX(AJ95+Cost_round*IF(13&lt;=$B95,1,0)-O95,IF(13&lt;=$B95,1,0)*Pre_q,Floor_q)))</f>
        <v>400</v>
      </c>
      <c r="AJ95" s="14" t="n">
        <f aca="false">IF(13&gt;$A95,0,IF(13=$A95,MAX(End_q,Floor_q),MAX(AK95+Cost_round*IF(14&lt;=$B95,1,0)-P95,IF(14&lt;=$B95,1,0)*Pre_q,Floor_q)))</f>
        <v>470</v>
      </c>
      <c r="AK95" s="14" t="n">
        <f aca="false">IF(14&gt;$A95,0,IF(14=$A95,MAX(End_q,Floor_q),MAX(AL95+Cost_round*IF(15&lt;=$B95,1,0)-Q95,IF(15&lt;=$B95,1,0)*Pre_q,Floor_q)))</f>
        <v>0</v>
      </c>
      <c r="AL95" s="14" t="n">
        <f aca="false">IF(15&gt;$A95,0,IF(15=$A95,MAX(End_q,Floor_q),MAX(AM95+Cost_round*IF(16&lt;=$B95,1,0)-R95,IF(16&lt;=$B95,1,0)*Pre_q,Floor_q)))</f>
        <v>0</v>
      </c>
      <c r="AM95" s="14" t="n">
        <f aca="false">IF(16&gt;$A95,0,IF(16=$A95,MAX(End_q,Floor_q),MAX(AN95+Cost_round*IF(17&lt;=$B95,1,0)-S95,IF(17&lt;=$B95,1,0)*Pre_q,Floor_q)))</f>
        <v>0</v>
      </c>
      <c r="AN95" s="14" t="n">
        <f aca="false">IF(17&gt;$A95,0,IF(17=$A95,MAX(End_q,Floor_q),MAX(AO95+Cost_round*IF(18&lt;=$B95,1,0)-T95,IF(18&lt;=$B95,1,0)*Pre_q,Floor_q)))</f>
        <v>0</v>
      </c>
      <c r="AO95" s="14" t="n">
        <f aca="false">IF(18&gt;$A95,0,IF(18=$A95,MAX(End_q,Floor_q),MAX(AP95+Cost_round*IF(19&lt;=$B95,1,0)-U95,IF(19&lt;=$B95,1,0)*Pre_q,Floor_q)))</f>
        <v>0</v>
      </c>
      <c r="AP95" s="14" t="n">
        <f aca="false">IF(19&gt;$A95,0,IF(19=$A95,MAX(End_q,Floor_q),MAX(AQ95+Cost_round*IF(20&lt;=$B95,1,0)-V95,IF(20&lt;=$B95,1,0)*Pre_q,Floor_q)))</f>
        <v>0</v>
      </c>
      <c r="AQ95" s="14" t="n">
        <f aca="false">IF(20&gt;$A95,0,MAX(End_q,Floor_q))</f>
        <v>0</v>
      </c>
      <c r="AR95" s="15" t="n">
        <f aca="false">IF(Q_zero&gt;=W95-0.000000001,1,0)</f>
        <v>1</v>
      </c>
      <c r="AS95" s="14" t="n">
        <f aca="false">IF(1&gt;$A95,0,Q_zero-Cost_round*IF(1&lt;=$B95,1,0)+C95-X95)</f>
        <v>220</v>
      </c>
      <c r="AT95" s="14" t="n">
        <f aca="false">IF(2&gt;$A95,0,X95-Cost_round*IF(2&lt;=$B95,1,0)+D95-Y95)</f>
        <v>70</v>
      </c>
      <c r="AU95" s="14" t="n">
        <f aca="false">IF(3&gt;$A95,0,Y95-Cost_round*IF(3&lt;=$B95,1,0)+E95-Z95)</f>
        <v>70</v>
      </c>
      <c r="AV95" s="14" t="n">
        <f aca="false">IF(4&gt;$A95,0,Z95-Cost_round*IF(4&lt;=$B95,1,0)+F95-AA95)</f>
        <v>70</v>
      </c>
      <c r="AW95" s="14" t="n">
        <f aca="false">IF(5&gt;$A95,0,AA95-Cost_round*IF(5&lt;=$B95,1,0)+G95-AB95)</f>
        <v>70</v>
      </c>
      <c r="AX95" s="14" t="n">
        <f aca="false">IF(6&gt;$A95,0,AB95-Cost_round*IF(6&lt;=$B95,1,0)+H95-AC95)</f>
        <v>70</v>
      </c>
      <c r="AY95" s="14" t="n">
        <f aca="false">IF(7&gt;$A95,0,AC95-Cost_round*IF(7&lt;=$B95,1,0)+I95-AD95)</f>
        <v>70</v>
      </c>
      <c r="AZ95" s="14" t="n">
        <f aca="false">IF(8&gt;$A95,0,AD95-Cost_round*IF(8&lt;=$B95,1,0)+J95-AE95)</f>
        <v>70</v>
      </c>
      <c r="BA95" s="14" t="n">
        <f aca="false">IF(9&gt;$A95,0,AE95-Cost_round*IF(9&lt;=$B95,1,0)+K95-AF95)</f>
        <v>70</v>
      </c>
      <c r="BB95" s="14" t="n">
        <f aca="false">IF(10&gt;$A95,0,AF95-Cost_round*IF(10&lt;=$B95,1,0)+L95-AG95)</f>
        <v>70</v>
      </c>
      <c r="BC95" s="14" t="n">
        <f aca="false">IF(11&gt;$A95,0,AG95-Cost_round*IF(11&lt;=$B95,1,0)+M95-AH95)</f>
        <v>70</v>
      </c>
      <c r="BD95" s="14" t="n">
        <f aca="false">IF(12&gt;$A95,0,AH95-Cost_round*IF(12&lt;=$B95,1,0)+N95-AI95)</f>
        <v>20</v>
      </c>
      <c r="BE95" s="14" t="n">
        <f aca="false">IF(13&gt;$A95,0,AI95-Cost_round*IF(13&lt;=$B95,1,0)+O95-AJ95)</f>
        <v>0</v>
      </c>
      <c r="BF95" s="14" t="n">
        <f aca="false">IF(14&gt;$A95,0,AJ95-Cost_round*IF(14&lt;=$B95,1,0)+P95-AK95)</f>
        <v>0</v>
      </c>
      <c r="BG95" s="14" t="n">
        <f aca="false">IF(15&gt;$A95,0,AK95-Cost_round*IF(15&lt;=$B95,1,0)+Q95-AL95)</f>
        <v>0</v>
      </c>
      <c r="BH95" s="14" t="n">
        <f aca="false">IF(16&gt;$A95,0,AL95-Cost_round*IF(16&lt;=$B95,1,0)+R95-AM95)</f>
        <v>0</v>
      </c>
      <c r="BI95" s="14" t="n">
        <f aca="false">IF(17&gt;$A95,0,AM95-Cost_round*IF(17&lt;=$B95,1,0)+S95-AN95)</f>
        <v>0</v>
      </c>
      <c r="BJ95" s="14" t="n">
        <f aca="false">IF(18&gt;$A95,0,AN95-Cost_round*IF(18&lt;=$B95,1,0)+T95-AO95)</f>
        <v>0</v>
      </c>
      <c r="BK95" s="14" t="n">
        <f aca="false">IF(19&gt;$A95,0,AO95-Cost_round*IF(19&lt;=$B95,1,0)+U95-AP95)</f>
        <v>0</v>
      </c>
      <c r="BL95" s="14" t="n">
        <f aca="false">IF(20&gt;$A95,0,AP95-Cost_round*IF(20&lt;=$B95,1,0)+V95-AQ95)</f>
        <v>0</v>
      </c>
      <c r="BM95" s="17" t="n">
        <f aca="false">IF($AR95=1,SUMPRODUCT(AS95:BL95,$AS$38:$BL$38),"")</f>
        <v>597.390523080869</v>
      </c>
      <c r="BN95" s="17" t="n">
        <f aca="false">IF($AR95=1,BM95+INDEX($AS$38:$BL$38,$A95)*INDEX(C95:V95,$A95)/Hurdle_r,"")</f>
        <v>800.15558889655</v>
      </c>
    </row>
    <row r="96" customFormat="false" ht="15" hidden="false" customHeight="false" outlineLevel="0" collapsed="false">
      <c r="A96" s="2" t="n">
        <v>13</v>
      </c>
      <c r="B96" s="2" t="n">
        <v>2</v>
      </c>
      <c r="C96" s="14" t="n">
        <f aca="false">IF(1&gt;$A96,0,Val_pt*(Ceiling_e-E_zero)*(1-(1-Half_gap)^MIN(1,$B96)))</f>
        <v>70</v>
      </c>
      <c r="D96" s="14" t="n">
        <f aca="false">IF(2&gt;$A96,0,Val_pt*(Ceiling_e-E_zero)*(1-(1-Half_gap)^MIN(2,$B96)))</f>
        <v>105</v>
      </c>
      <c r="E96" s="14" t="n">
        <f aca="false">IF(3&gt;$A96,0,Val_pt*(Ceiling_e-E_zero)*(1-(1-Half_gap)^MIN(3,$B96)))</f>
        <v>105</v>
      </c>
      <c r="F96" s="14" t="n">
        <f aca="false">IF(4&gt;$A96,0,Val_pt*(Ceiling_e-E_zero)*(1-(1-Half_gap)^MIN(4,$B96)))</f>
        <v>105</v>
      </c>
      <c r="G96" s="14" t="n">
        <f aca="false">IF(5&gt;$A96,0,Val_pt*(Ceiling_e-E_zero)*(1-(1-Half_gap)^MIN(5,$B96)))</f>
        <v>105</v>
      </c>
      <c r="H96" s="14" t="n">
        <f aca="false">IF(6&gt;$A96,0,Val_pt*(Ceiling_e-E_zero)*(1-(1-Half_gap)^MIN(6,$B96)))</f>
        <v>105</v>
      </c>
      <c r="I96" s="14" t="n">
        <f aca="false">IF(7&gt;$A96,0,Val_pt*(Ceiling_e-E_zero)*(1-(1-Half_gap)^MIN(7,$B96)))</f>
        <v>105</v>
      </c>
      <c r="J96" s="14" t="n">
        <f aca="false">IF(8&gt;$A96,0,Val_pt*(Ceiling_e-E_zero)*(1-(1-Half_gap)^MIN(8,$B96)))</f>
        <v>105</v>
      </c>
      <c r="K96" s="14" t="n">
        <f aca="false">IF(9&gt;$A96,0,Val_pt*(Ceiling_e-E_zero)*(1-(1-Half_gap)^MIN(9,$B96)))</f>
        <v>105</v>
      </c>
      <c r="L96" s="14" t="n">
        <f aca="false">IF(10&gt;$A96,0,Val_pt*(Ceiling_e-E_zero)*(1-(1-Half_gap)^MIN(10,$B96)))</f>
        <v>105</v>
      </c>
      <c r="M96" s="14" t="n">
        <f aca="false">IF(11&gt;$A96,0,Val_pt*(Ceiling_e-E_zero)*(1-(1-Half_gap)^MIN(11,$B96)))</f>
        <v>105</v>
      </c>
      <c r="N96" s="14" t="n">
        <f aca="false">IF(12&gt;$A96,0,Val_pt*(Ceiling_e-E_zero)*(1-(1-Half_gap)^MIN(12,$B96)))</f>
        <v>105</v>
      </c>
      <c r="O96" s="14" t="n">
        <f aca="false">IF(13&gt;$A96,0,Val_pt*(Ceiling_e-E_zero)*(1-(1-Half_gap)^MIN(13,$B96)))</f>
        <v>105</v>
      </c>
      <c r="P96" s="14" t="n">
        <f aca="false">IF(14&gt;$A96,0,Val_pt*(Ceiling_e-E_zero)*(1-(1-Half_gap)^MIN(14,$B96)))</f>
        <v>0</v>
      </c>
      <c r="Q96" s="14" t="n">
        <f aca="false">IF(15&gt;$A96,0,Val_pt*(Ceiling_e-E_zero)*(1-(1-Half_gap)^MIN(15,$B96)))</f>
        <v>0</v>
      </c>
      <c r="R96" s="14" t="n">
        <f aca="false">IF(16&gt;$A96,0,Val_pt*(Ceiling_e-E_zero)*(1-(1-Half_gap)^MIN(16,$B96)))</f>
        <v>0</v>
      </c>
      <c r="S96" s="14" t="n">
        <f aca="false">IF(17&gt;$A96,0,Val_pt*(Ceiling_e-E_zero)*(1-(1-Half_gap)^MIN(17,$B96)))</f>
        <v>0</v>
      </c>
      <c r="T96" s="14" t="n">
        <f aca="false">IF(18&gt;$A96,0,Val_pt*(Ceiling_e-E_zero)*(1-(1-Half_gap)^MIN(18,$B96)))</f>
        <v>0</v>
      </c>
      <c r="U96" s="14" t="n">
        <f aca="false">IF(19&gt;$A96,0,Val_pt*(Ceiling_e-E_zero)*(1-(1-Half_gap)^MIN(19,$B96)))</f>
        <v>0</v>
      </c>
      <c r="V96" s="14" t="n">
        <f aca="false">IF(20&gt;$A96,0,Val_pt*(Ceiling_e-E_zero)*(1-(1-Half_gap)^MIN(20,$B96)))</f>
        <v>0</v>
      </c>
      <c r="W96" s="14" t="n">
        <f aca="false">IF(0&gt;$A96,0,IF(0=$A96,MAX(End_q,Floor_q),MAX(X96+Cost_round*IF(1&lt;=$B96,1,0)-C96,IF(1&lt;=$B96,1,0)*Pre_q)))</f>
        <v>520</v>
      </c>
      <c r="X96" s="14" t="n">
        <f aca="false">IF(1&gt;$A96,0,IF(1=$A96,MAX(End_q,Floor_q),MAX(Y96+Cost_round*IF(2&lt;=$B96,1,0)-D96,IF(2&lt;=$B96,1,0)*Pre_q,Floor_q)))</f>
        <v>470</v>
      </c>
      <c r="Y96" s="14" t="n">
        <f aca="false">IF(2&gt;$A96,0,IF(2=$A96,MAX(End_q,Floor_q),MAX(Z96+Cost_round*IF(3&lt;=$B96,1,0)-E96,IF(3&lt;=$B96,1,0)*Pre_q,Floor_q)))</f>
        <v>350</v>
      </c>
      <c r="Z96" s="14" t="n">
        <f aca="false">IF(3&gt;$A96,0,IF(3=$A96,MAX(End_q,Floor_q),MAX(AA96+Cost_round*IF(4&lt;=$B96,1,0)-F96,IF(4&lt;=$B96,1,0)*Pre_q,Floor_q)))</f>
        <v>350</v>
      </c>
      <c r="AA96" s="14" t="n">
        <f aca="false">IF(4&gt;$A96,0,IF(4=$A96,MAX(End_q,Floor_q),MAX(AB96+Cost_round*IF(5&lt;=$B96,1,0)-G96,IF(5&lt;=$B96,1,0)*Pre_q,Floor_q)))</f>
        <v>350</v>
      </c>
      <c r="AB96" s="14" t="n">
        <f aca="false">IF(5&gt;$A96,0,IF(5=$A96,MAX(End_q,Floor_q),MAX(AC96+Cost_round*IF(6&lt;=$B96,1,0)-H96,IF(6&lt;=$B96,1,0)*Pre_q,Floor_q)))</f>
        <v>350</v>
      </c>
      <c r="AC96" s="14" t="n">
        <f aca="false">IF(6&gt;$A96,0,IF(6=$A96,MAX(End_q,Floor_q),MAX(AD96+Cost_round*IF(7&lt;=$B96,1,0)-I96,IF(7&lt;=$B96,1,0)*Pre_q,Floor_q)))</f>
        <v>350</v>
      </c>
      <c r="AD96" s="14" t="n">
        <f aca="false">IF(7&gt;$A96,0,IF(7=$A96,MAX(End_q,Floor_q),MAX(AE96+Cost_round*IF(8&lt;=$B96,1,0)-J96,IF(8&lt;=$B96,1,0)*Pre_q,Floor_q)))</f>
        <v>350</v>
      </c>
      <c r="AE96" s="14" t="n">
        <f aca="false">IF(8&gt;$A96,0,IF(8=$A96,MAX(End_q,Floor_q),MAX(AF96+Cost_round*IF(9&lt;=$B96,1,0)-K96,IF(9&lt;=$B96,1,0)*Pre_q,Floor_q)))</f>
        <v>350</v>
      </c>
      <c r="AF96" s="14" t="n">
        <f aca="false">IF(9&gt;$A96,0,IF(9=$A96,MAX(End_q,Floor_q),MAX(AG96+Cost_round*IF(10&lt;=$B96,1,0)-L96,IF(10&lt;=$B96,1,0)*Pre_q,Floor_q)))</f>
        <v>350</v>
      </c>
      <c r="AG96" s="14" t="n">
        <f aca="false">IF(10&gt;$A96,0,IF(10=$A96,MAX(End_q,Floor_q),MAX(AH96+Cost_round*IF(11&lt;=$B96,1,0)-M96,IF(11&lt;=$B96,1,0)*Pre_q,Floor_q)))</f>
        <v>350</v>
      </c>
      <c r="AH96" s="14" t="n">
        <f aca="false">IF(11&gt;$A96,0,IF(11=$A96,MAX(End_q,Floor_q),MAX(AI96+Cost_round*IF(12&lt;=$B96,1,0)-N96,IF(12&lt;=$B96,1,0)*Pre_q,Floor_q)))</f>
        <v>350</v>
      </c>
      <c r="AI96" s="14" t="n">
        <f aca="false">IF(12&gt;$A96,0,IF(12=$A96,MAX(End_q,Floor_q),MAX(AJ96+Cost_round*IF(13&lt;=$B96,1,0)-O96,IF(13&lt;=$B96,1,0)*Pre_q,Floor_q)))</f>
        <v>365</v>
      </c>
      <c r="AJ96" s="14" t="n">
        <f aca="false">IF(13&gt;$A96,0,IF(13=$A96,MAX(End_q,Floor_q),MAX(AK96+Cost_round*IF(14&lt;=$B96,1,0)-P96,IF(14&lt;=$B96,1,0)*Pre_q,Floor_q)))</f>
        <v>470</v>
      </c>
      <c r="AK96" s="14" t="n">
        <f aca="false">IF(14&gt;$A96,0,IF(14=$A96,MAX(End_q,Floor_q),MAX(AL96+Cost_round*IF(15&lt;=$B96,1,0)-Q96,IF(15&lt;=$B96,1,0)*Pre_q,Floor_q)))</f>
        <v>0</v>
      </c>
      <c r="AL96" s="14" t="n">
        <f aca="false">IF(15&gt;$A96,0,IF(15=$A96,MAX(End_q,Floor_q),MAX(AM96+Cost_round*IF(16&lt;=$B96,1,0)-R96,IF(16&lt;=$B96,1,0)*Pre_q,Floor_q)))</f>
        <v>0</v>
      </c>
      <c r="AM96" s="14" t="n">
        <f aca="false">IF(16&gt;$A96,0,IF(16=$A96,MAX(End_q,Floor_q),MAX(AN96+Cost_round*IF(17&lt;=$B96,1,0)-S96,IF(17&lt;=$B96,1,0)*Pre_q,Floor_q)))</f>
        <v>0</v>
      </c>
      <c r="AN96" s="14" t="n">
        <f aca="false">IF(17&gt;$A96,0,IF(17=$A96,MAX(End_q,Floor_q),MAX(AO96+Cost_round*IF(18&lt;=$B96,1,0)-T96,IF(18&lt;=$B96,1,0)*Pre_q,Floor_q)))</f>
        <v>0</v>
      </c>
      <c r="AO96" s="14" t="n">
        <f aca="false">IF(18&gt;$A96,0,IF(18=$A96,MAX(End_q,Floor_q),MAX(AP96+Cost_round*IF(19&lt;=$B96,1,0)-U96,IF(19&lt;=$B96,1,0)*Pre_q,Floor_q)))</f>
        <v>0</v>
      </c>
      <c r="AP96" s="14" t="n">
        <f aca="false">IF(19&gt;$A96,0,IF(19=$A96,MAX(End_q,Floor_q),MAX(AQ96+Cost_round*IF(20&lt;=$B96,1,0)-V96,IF(20&lt;=$B96,1,0)*Pre_q,Floor_q)))</f>
        <v>0</v>
      </c>
      <c r="AQ96" s="14" t="n">
        <f aca="false">IF(20&gt;$A96,0,MAX(End_q,Floor_q))</f>
        <v>0</v>
      </c>
      <c r="AR96" s="15" t="n">
        <f aca="false">IF(Q_zero&gt;=W96-0.000000001,1,0)</f>
        <v>1</v>
      </c>
      <c r="AS96" s="14" t="n">
        <f aca="false">IF(1&gt;$A96,0,Q_zero-Cost_round*IF(1&lt;=$B96,1,0)+C96-X96)</f>
        <v>100</v>
      </c>
      <c r="AT96" s="14" t="n">
        <f aca="false">IF(2&gt;$A96,0,X96-Cost_round*IF(2&lt;=$B96,1,0)+D96-Y96)</f>
        <v>105</v>
      </c>
      <c r="AU96" s="14" t="n">
        <f aca="false">IF(3&gt;$A96,0,Y96-Cost_round*IF(3&lt;=$B96,1,0)+E96-Z96)</f>
        <v>105</v>
      </c>
      <c r="AV96" s="14" t="n">
        <f aca="false">IF(4&gt;$A96,0,Z96-Cost_round*IF(4&lt;=$B96,1,0)+F96-AA96)</f>
        <v>105</v>
      </c>
      <c r="AW96" s="14" t="n">
        <f aca="false">IF(5&gt;$A96,0,AA96-Cost_round*IF(5&lt;=$B96,1,0)+G96-AB96)</f>
        <v>105</v>
      </c>
      <c r="AX96" s="14" t="n">
        <f aca="false">IF(6&gt;$A96,0,AB96-Cost_round*IF(6&lt;=$B96,1,0)+H96-AC96)</f>
        <v>105</v>
      </c>
      <c r="AY96" s="14" t="n">
        <f aca="false">IF(7&gt;$A96,0,AC96-Cost_round*IF(7&lt;=$B96,1,0)+I96-AD96)</f>
        <v>105</v>
      </c>
      <c r="AZ96" s="14" t="n">
        <f aca="false">IF(8&gt;$A96,0,AD96-Cost_round*IF(8&lt;=$B96,1,0)+J96-AE96)</f>
        <v>105</v>
      </c>
      <c r="BA96" s="14" t="n">
        <f aca="false">IF(9&gt;$A96,0,AE96-Cost_round*IF(9&lt;=$B96,1,0)+K96-AF96)</f>
        <v>105</v>
      </c>
      <c r="BB96" s="14" t="n">
        <f aca="false">IF(10&gt;$A96,0,AF96-Cost_round*IF(10&lt;=$B96,1,0)+L96-AG96)</f>
        <v>105</v>
      </c>
      <c r="BC96" s="14" t="n">
        <f aca="false">IF(11&gt;$A96,0,AG96-Cost_round*IF(11&lt;=$B96,1,0)+M96-AH96)</f>
        <v>105</v>
      </c>
      <c r="BD96" s="14" t="n">
        <f aca="false">IF(12&gt;$A96,0,AH96-Cost_round*IF(12&lt;=$B96,1,0)+N96-AI96)</f>
        <v>90</v>
      </c>
      <c r="BE96" s="14" t="n">
        <f aca="false">IF(13&gt;$A96,0,AI96-Cost_round*IF(13&lt;=$B96,1,0)+O96-AJ96)</f>
        <v>0</v>
      </c>
      <c r="BF96" s="14" t="n">
        <f aca="false">IF(14&gt;$A96,0,AJ96-Cost_round*IF(14&lt;=$B96,1,0)+P96-AK96)</f>
        <v>0</v>
      </c>
      <c r="BG96" s="14" t="n">
        <f aca="false">IF(15&gt;$A96,0,AK96-Cost_round*IF(15&lt;=$B96,1,0)+Q96-AL96)</f>
        <v>0</v>
      </c>
      <c r="BH96" s="14" t="n">
        <f aca="false">IF(16&gt;$A96,0,AL96-Cost_round*IF(16&lt;=$B96,1,0)+R96-AM96)</f>
        <v>0</v>
      </c>
      <c r="BI96" s="14" t="n">
        <f aca="false">IF(17&gt;$A96,0,AM96-Cost_round*IF(17&lt;=$B96,1,0)+S96-AN96)</f>
        <v>0</v>
      </c>
      <c r="BJ96" s="14" t="n">
        <f aca="false">IF(18&gt;$A96,0,AN96-Cost_round*IF(18&lt;=$B96,1,0)+T96-AO96)</f>
        <v>0</v>
      </c>
      <c r="BK96" s="14" t="n">
        <f aca="false">IF(19&gt;$A96,0,AO96-Cost_round*IF(19&lt;=$B96,1,0)+U96-AP96)</f>
        <v>0</v>
      </c>
      <c r="BL96" s="14" t="n">
        <f aca="false">IF(20&gt;$A96,0,AP96-Cost_round*IF(20&lt;=$B96,1,0)+V96-AQ96)</f>
        <v>0</v>
      </c>
      <c r="BM96" s="17" t="n">
        <f aca="false">IF($AR96=1,SUMPRODUCT(AS96:BL96,$AS$38:$BL$38),"")</f>
        <v>706.112724593015</v>
      </c>
      <c r="BN96" s="17" t="n">
        <f aca="false">IF($AR96=1,BM96+INDEX($AS$38:$BL$38,$A96)*INDEX(C96:V96,$A96)/Hurdle_r,"")</f>
        <v>1010.26032331654</v>
      </c>
    </row>
    <row r="97" customFormat="false" ht="15" hidden="false" customHeight="false" outlineLevel="0" collapsed="false">
      <c r="A97" s="2" t="n">
        <v>13</v>
      </c>
      <c r="B97" s="2" t="n">
        <v>3</v>
      </c>
      <c r="C97" s="14" t="n">
        <f aca="false">IF(1&gt;$A97,0,Val_pt*(Ceiling_e-E_zero)*(1-(1-Half_gap)^MIN(1,$B97)))</f>
        <v>70</v>
      </c>
      <c r="D97" s="14" t="n">
        <f aca="false">IF(2&gt;$A97,0,Val_pt*(Ceiling_e-E_zero)*(1-(1-Half_gap)^MIN(2,$B97)))</f>
        <v>105</v>
      </c>
      <c r="E97" s="14" t="n">
        <f aca="false">IF(3&gt;$A97,0,Val_pt*(Ceiling_e-E_zero)*(1-(1-Half_gap)^MIN(3,$B97)))</f>
        <v>122.5</v>
      </c>
      <c r="F97" s="14" t="n">
        <f aca="false">IF(4&gt;$A97,0,Val_pt*(Ceiling_e-E_zero)*(1-(1-Half_gap)^MIN(4,$B97)))</f>
        <v>122.5</v>
      </c>
      <c r="G97" s="14" t="n">
        <f aca="false">IF(5&gt;$A97,0,Val_pt*(Ceiling_e-E_zero)*(1-(1-Half_gap)^MIN(5,$B97)))</f>
        <v>122.5</v>
      </c>
      <c r="H97" s="14" t="n">
        <f aca="false">IF(6&gt;$A97,0,Val_pt*(Ceiling_e-E_zero)*(1-(1-Half_gap)^MIN(6,$B97)))</f>
        <v>122.5</v>
      </c>
      <c r="I97" s="14" t="n">
        <f aca="false">IF(7&gt;$A97,0,Val_pt*(Ceiling_e-E_zero)*(1-(1-Half_gap)^MIN(7,$B97)))</f>
        <v>122.5</v>
      </c>
      <c r="J97" s="14" t="n">
        <f aca="false">IF(8&gt;$A97,0,Val_pt*(Ceiling_e-E_zero)*(1-(1-Half_gap)^MIN(8,$B97)))</f>
        <v>122.5</v>
      </c>
      <c r="K97" s="14" t="n">
        <f aca="false">IF(9&gt;$A97,0,Val_pt*(Ceiling_e-E_zero)*(1-(1-Half_gap)^MIN(9,$B97)))</f>
        <v>122.5</v>
      </c>
      <c r="L97" s="14" t="n">
        <f aca="false">IF(10&gt;$A97,0,Val_pt*(Ceiling_e-E_zero)*(1-(1-Half_gap)^MIN(10,$B97)))</f>
        <v>122.5</v>
      </c>
      <c r="M97" s="14" t="n">
        <f aca="false">IF(11&gt;$A97,0,Val_pt*(Ceiling_e-E_zero)*(1-(1-Half_gap)^MIN(11,$B97)))</f>
        <v>122.5</v>
      </c>
      <c r="N97" s="14" t="n">
        <f aca="false">IF(12&gt;$A97,0,Val_pt*(Ceiling_e-E_zero)*(1-(1-Half_gap)^MIN(12,$B97)))</f>
        <v>122.5</v>
      </c>
      <c r="O97" s="14" t="n">
        <f aca="false">IF(13&gt;$A97,0,Val_pt*(Ceiling_e-E_zero)*(1-(1-Half_gap)^MIN(13,$B97)))</f>
        <v>122.5</v>
      </c>
      <c r="P97" s="14" t="n">
        <f aca="false">IF(14&gt;$A97,0,Val_pt*(Ceiling_e-E_zero)*(1-(1-Half_gap)^MIN(14,$B97)))</f>
        <v>0</v>
      </c>
      <c r="Q97" s="14" t="n">
        <f aca="false">IF(15&gt;$A97,0,Val_pt*(Ceiling_e-E_zero)*(1-(1-Half_gap)^MIN(15,$B97)))</f>
        <v>0</v>
      </c>
      <c r="R97" s="14" t="n">
        <f aca="false">IF(16&gt;$A97,0,Val_pt*(Ceiling_e-E_zero)*(1-(1-Half_gap)^MIN(16,$B97)))</f>
        <v>0</v>
      </c>
      <c r="S97" s="14" t="n">
        <f aca="false">IF(17&gt;$A97,0,Val_pt*(Ceiling_e-E_zero)*(1-(1-Half_gap)^MIN(17,$B97)))</f>
        <v>0</v>
      </c>
      <c r="T97" s="14" t="n">
        <f aca="false">IF(18&gt;$A97,0,Val_pt*(Ceiling_e-E_zero)*(1-(1-Half_gap)^MIN(18,$B97)))</f>
        <v>0</v>
      </c>
      <c r="U97" s="14" t="n">
        <f aca="false">IF(19&gt;$A97,0,Val_pt*(Ceiling_e-E_zero)*(1-(1-Half_gap)^MIN(19,$B97)))</f>
        <v>0</v>
      </c>
      <c r="V97" s="14" t="n">
        <f aca="false">IF(20&gt;$A97,0,Val_pt*(Ceiling_e-E_zero)*(1-(1-Half_gap)^MIN(20,$B97)))</f>
        <v>0</v>
      </c>
      <c r="W97" s="14" t="n">
        <f aca="false">IF(0&gt;$A97,0,IF(0=$A97,MAX(End_q,Floor_q),MAX(X97+Cost_round*IF(1&lt;=$B97,1,0)-C97,IF(1&lt;=$B97,1,0)*Pre_q)))</f>
        <v>535</v>
      </c>
      <c r="X97" s="14" t="n">
        <f aca="false">IF(1&gt;$A97,0,IF(1=$A97,MAX(End_q,Floor_q),MAX(Y97+Cost_round*IF(2&lt;=$B97,1,0)-D97,IF(2&lt;=$B97,1,0)*Pre_q,Floor_q)))</f>
        <v>485</v>
      </c>
      <c r="Y97" s="14" t="n">
        <f aca="false">IF(2&gt;$A97,0,IF(2=$A97,MAX(End_q,Floor_q),MAX(Z97+Cost_round*IF(3&lt;=$B97,1,0)-E97,IF(3&lt;=$B97,1,0)*Pre_q,Floor_q)))</f>
        <v>470</v>
      </c>
      <c r="Z97" s="14" t="n">
        <f aca="false">IF(3&gt;$A97,0,IF(3=$A97,MAX(End_q,Floor_q),MAX(AA97+Cost_round*IF(4&lt;=$B97,1,0)-F97,IF(4&lt;=$B97,1,0)*Pre_q,Floor_q)))</f>
        <v>350</v>
      </c>
      <c r="AA97" s="14" t="n">
        <f aca="false">IF(4&gt;$A97,0,IF(4=$A97,MAX(End_q,Floor_q),MAX(AB97+Cost_round*IF(5&lt;=$B97,1,0)-G97,IF(5&lt;=$B97,1,0)*Pre_q,Floor_q)))</f>
        <v>350</v>
      </c>
      <c r="AB97" s="14" t="n">
        <f aca="false">IF(5&gt;$A97,0,IF(5=$A97,MAX(End_q,Floor_q),MAX(AC97+Cost_round*IF(6&lt;=$B97,1,0)-H97,IF(6&lt;=$B97,1,0)*Pre_q,Floor_q)))</f>
        <v>350</v>
      </c>
      <c r="AC97" s="14" t="n">
        <f aca="false">IF(6&gt;$A97,0,IF(6=$A97,MAX(End_q,Floor_q),MAX(AD97+Cost_round*IF(7&lt;=$B97,1,0)-I97,IF(7&lt;=$B97,1,0)*Pre_q,Floor_q)))</f>
        <v>350</v>
      </c>
      <c r="AD97" s="14" t="n">
        <f aca="false">IF(7&gt;$A97,0,IF(7=$A97,MAX(End_q,Floor_q),MAX(AE97+Cost_round*IF(8&lt;=$B97,1,0)-J97,IF(8&lt;=$B97,1,0)*Pre_q,Floor_q)))</f>
        <v>350</v>
      </c>
      <c r="AE97" s="14" t="n">
        <f aca="false">IF(8&gt;$A97,0,IF(8=$A97,MAX(End_q,Floor_q),MAX(AF97+Cost_round*IF(9&lt;=$B97,1,0)-K97,IF(9&lt;=$B97,1,0)*Pre_q,Floor_q)))</f>
        <v>350</v>
      </c>
      <c r="AF97" s="14" t="n">
        <f aca="false">IF(9&gt;$A97,0,IF(9=$A97,MAX(End_q,Floor_q),MAX(AG97+Cost_round*IF(10&lt;=$B97,1,0)-L97,IF(10&lt;=$B97,1,0)*Pre_q,Floor_q)))</f>
        <v>350</v>
      </c>
      <c r="AG97" s="14" t="n">
        <f aca="false">IF(10&gt;$A97,0,IF(10=$A97,MAX(End_q,Floor_q),MAX(AH97+Cost_round*IF(11&lt;=$B97,1,0)-M97,IF(11&lt;=$B97,1,0)*Pre_q,Floor_q)))</f>
        <v>350</v>
      </c>
      <c r="AH97" s="14" t="n">
        <f aca="false">IF(11&gt;$A97,0,IF(11=$A97,MAX(End_q,Floor_q),MAX(AI97+Cost_round*IF(12&lt;=$B97,1,0)-N97,IF(12&lt;=$B97,1,0)*Pre_q,Floor_q)))</f>
        <v>350</v>
      </c>
      <c r="AI97" s="14" t="n">
        <f aca="false">IF(12&gt;$A97,0,IF(12=$A97,MAX(End_q,Floor_q),MAX(AJ97+Cost_round*IF(13&lt;=$B97,1,0)-O97,IF(13&lt;=$B97,1,0)*Pre_q,Floor_q)))</f>
        <v>350</v>
      </c>
      <c r="AJ97" s="14" t="n">
        <f aca="false">IF(13&gt;$A97,0,IF(13=$A97,MAX(End_q,Floor_q),MAX(AK97+Cost_round*IF(14&lt;=$B97,1,0)-P97,IF(14&lt;=$B97,1,0)*Pre_q,Floor_q)))</f>
        <v>470</v>
      </c>
      <c r="AK97" s="14" t="n">
        <f aca="false">IF(14&gt;$A97,0,IF(14=$A97,MAX(End_q,Floor_q),MAX(AL97+Cost_round*IF(15&lt;=$B97,1,0)-Q97,IF(15&lt;=$B97,1,0)*Pre_q,Floor_q)))</f>
        <v>0</v>
      </c>
      <c r="AL97" s="14" t="n">
        <f aca="false">IF(15&gt;$A97,0,IF(15=$A97,MAX(End_q,Floor_q),MAX(AM97+Cost_round*IF(16&lt;=$B97,1,0)-R97,IF(16&lt;=$B97,1,0)*Pre_q,Floor_q)))</f>
        <v>0</v>
      </c>
      <c r="AM97" s="14" t="n">
        <f aca="false">IF(16&gt;$A97,0,IF(16=$A97,MAX(End_q,Floor_q),MAX(AN97+Cost_round*IF(17&lt;=$B97,1,0)-S97,IF(17&lt;=$B97,1,0)*Pre_q,Floor_q)))</f>
        <v>0</v>
      </c>
      <c r="AN97" s="14" t="n">
        <f aca="false">IF(17&gt;$A97,0,IF(17=$A97,MAX(End_q,Floor_q),MAX(AO97+Cost_round*IF(18&lt;=$B97,1,0)-T97,IF(18&lt;=$B97,1,0)*Pre_q,Floor_q)))</f>
        <v>0</v>
      </c>
      <c r="AO97" s="14" t="n">
        <f aca="false">IF(18&gt;$A97,0,IF(18=$A97,MAX(End_q,Floor_q),MAX(AP97+Cost_round*IF(19&lt;=$B97,1,0)-U97,IF(19&lt;=$B97,1,0)*Pre_q,Floor_q)))</f>
        <v>0</v>
      </c>
      <c r="AP97" s="14" t="n">
        <f aca="false">IF(19&gt;$A97,0,IF(19=$A97,MAX(End_q,Floor_q),MAX(AQ97+Cost_round*IF(20&lt;=$B97,1,0)-V97,IF(20&lt;=$B97,1,0)*Pre_q,Floor_q)))</f>
        <v>0</v>
      </c>
      <c r="AQ97" s="14" t="n">
        <f aca="false">IF(20&gt;$A97,0,MAX(End_q,Floor_q))</f>
        <v>0</v>
      </c>
      <c r="AR97" s="15" t="n">
        <f aca="false">IF(Q_zero&gt;=W97-0.000000001,1,0)</f>
        <v>1</v>
      </c>
      <c r="AS97" s="14" t="n">
        <f aca="false">IF(1&gt;$A97,0,Q_zero-Cost_round*IF(1&lt;=$B97,1,0)+C97-X97)</f>
        <v>85</v>
      </c>
      <c r="AT97" s="14" t="n">
        <f aca="false">IF(2&gt;$A97,0,X97-Cost_round*IF(2&lt;=$B97,1,0)+D97-Y97)</f>
        <v>0</v>
      </c>
      <c r="AU97" s="14" t="n">
        <f aca="false">IF(3&gt;$A97,0,Y97-Cost_round*IF(3&lt;=$B97,1,0)+E97-Z97)</f>
        <v>122.5</v>
      </c>
      <c r="AV97" s="14" t="n">
        <f aca="false">IF(4&gt;$A97,0,Z97-Cost_round*IF(4&lt;=$B97,1,0)+F97-AA97)</f>
        <v>122.5</v>
      </c>
      <c r="AW97" s="14" t="n">
        <f aca="false">IF(5&gt;$A97,0,AA97-Cost_round*IF(5&lt;=$B97,1,0)+G97-AB97)</f>
        <v>122.5</v>
      </c>
      <c r="AX97" s="14" t="n">
        <f aca="false">IF(6&gt;$A97,0,AB97-Cost_round*IF(6&lt;=$B97,1,0)+H97-AC97)</f>
        <v>122.5</v>
      </c>
      <c r="AY97" s="14" t="n">
        <f aca="false">IF(7&gt;$A97,0,AC97-Cost_round*IF(7&lt;=$B97,1,0)+I97-AD97)</f>
        <v>122.5</v>
      </c>
      <c r="AZ97" s="14" t="n">
        <f aca="false">IF(8&gt;$A97,0,AD97-Cost_round*IF(8&lt;=$B97,1,0)+J97-AE97)</f>
        <v>122.5</v>
      </c>
      <c r="BA97" s="14" t="n">
        <f aca="false">IF(9&gt;$A97,0,AE97-Cost_round*IF(9&lt;=$B97,1,0)+K97-AF97)</f>
        <v>122.5</v>
      </c>
      <c r="BB97" s="14" t="n">
        <f aca="false">IF(10&gt;$A97,0,AF97-Cost_round*IF(10&lt;=$B97,1,0)+L97-AG97)</f>
        <v>122.5</v>
      </c>
      <c r="BC97" s="14" t="n">
        <f aca="false">IF(11&gt;$A97,0,AG97-Cost_round*IF(11&lt;=$B97,1,0)+M97-AH97)</f>
        <v>122.5</v>
      </c>
      <c r="BD97" s="14" t="n">
        <f aca="false">IF(12&gt;$A97,0,AH97-Cost_round*IF(12&lt;=$B97,1,0)+N97-AI97)</f>
        <v>122.5</v>
      </c>
      <c r="BE97" s="14" t="n">
        <f aca="false">IF(13&gt;$A97,0,AI97-Cost_round*IF(13&lt;=$B97,1,0)+O97-AJ97)</f>
        <v>2.5</v>
      </c>
      <c r="BF97" s="14" t="n">
        <f aca="false">IF(14&gt;$A97,0,AJ97-Cost_round*IF(14&lt;=$B97,1,0)+P97-AK97)</f>
        <v>0</v>
      </c>
      <c r="BG97" s="14" t="n">
        <f aca="false">IF(15&gt;$A97,0,AK97-Cost_round*IF(15&lt;=$B97,1,0)+Q97-AL97)</f>
        <v>0</v>
      </c>
      <c r="BH97" s="14" t="n">
        <f aca="false">IF(16&gt;$A97,0,AL97-Cost_round*IF(16&lt;=$B97,1,0)+R97-AM97)</f>
        <v>0</v>
      </c>
      <c r="BI97" s="14" t="n">
        <f aca="false">IF(17&gt;$A97,0,AM97-Cost_round*IF(17&lt;=$B97,1,0)+S97-AN97)</f>
        <v>0</v>
      </c>
      <c r="BJ97" s="14" t="n">
        <f aca="false">IF(18&gt;$A97,0,AN97-Cost_round*IF(18&lt;=$B97,1,0)+T97-AO97)</f>
        <v>0</v>
      </c>
      <c r="BK97" s="14" t="n">
        <f aca="false">IF(19&gt;$A97,0,AO97-Cost_round*IF(19&lt;=$B97,1,0)+U97-AP97)</f>
        <v>0</v>
      </c>
      <c r="BL97" s="14" t="n">
        <f aca="false">IF(20&gt;$A97,0,AP97-Cost_round*IF(20&lt;=$B97,1,0)+V97-AQ97)</f>
        <v>0</v>
      </c>
      <c r="BM97" s="17" t="n">
        <f aca="false">IF($AR97=1,SUMPRODUCT(AS97:BL97,$AS$38:$BL$38),"")</f>
        <v>700.070830741758</v>
      </c>
      <c r="BN97" s="17" t="n">
        <f aca="false">IF($AR97=1,BM97+INDEX($AS$38:$BL$38,$A97)*INDEX(C97:V97,$A97)/Hurdle_r,"")</f>
        <v>1054.9096959192</v>
      </c>
    </row>
    <row r="98" customFormat="false" ht="15" hidden="false" customHeight="false" outlineLevel="0" collapsed="false">
      <c r="A98" s="2" t="n">
        <v>13</v>
      </c>
      <c r="B98" s="2" t="n">
        <v>4</v>
      </c>
      <c r="C98" s="14" t="n">
        <f aca="false">IF(1&gt;$A98,0,Val_pt*(Ceiling_e-E_zero)*(1-(1-Half_gap)^MIN(1,$B98)))</f>
        <v>70</v>
      </c>
      <c r="D98" s="14" t="n">
        <f aca="false">IF(2&gt;$A98,0,Val_pt*(Ceiling_e-E_zero)*(1-(1-Half_gap)^MIN(2,$B98)))</f>
        <v>105</v>
      </c>
      <c r="E98" s="14" t="n">
        <f aca="false">IF(3&gt;$A98,0,Val_pt*(Ceiling_e-E_zero)*(1-(1-Half_gap)^MIN(3,$B98)))</f>
        <v>122.5</v>
      </c>
      <c r="F98" s="14" t="n">
        <f aca="false">IF(4&gt;$A98,0,Val_pt*(Ceiling_e-E_zero)*(1-(1-Half_gap)^MIN(4,$B98)))</f>
        <v>131.25</v>
      </c>
      <c r="G98" s="14" t="n">
        <f aca="false">IF(5&gt;$A98,0,Val_pt*(Ceiling_e-E_zero)*(1-(1-Half_gap)^MIN(5,$B98)))</f>
        <v>131.25</v>
      </c>
      <c r="H98" s="14" t="n">
        <f aca="false">IF(6&gt;$A98,0,Val_pt*(Ceiling_e-E_zero)*(1-(1-Half_gap)^MIN(6,$B98)))</f>
        <v>131.25</v>
      </c>
      <c r="I98" s="14" t="n">
        <f aca="false">IF(7&gt;$A98,0,Val_pt*(Ceiling_e-E_zero)*(1-(1-Half_gap)^MIN(7,$B98)))</f>
        <v>131.25</v>
      </c>
      <c r="J98" s="14" t="n">
        <f aca="false">IF(8&gt;$A98,0,Val_pt*(Ceiling_e-E_zero)*(1-(1-Half_gap)^MIN(8,$B98)))</f>
        <v>131.25</v>
      </c>
      <c r="K98" s="14" t="n">
        <f aca="false">IF(9&gt;$A98,0,Val_pt*(Ceiling_e-E_zero)*(1-(1-Half_gap)^MIN(9,$B98)))</f>
        <v>131.25</v>
      </c>
      <c r="L98" s="14" t="n">
        <f aca="false">IF(10&gt;$A98,0,Val_pt*(Ceiling_e-E_zero)*(1-(1-Half_gap)^MIN(10,$B98)))</f>
        <v>131.25</v>
      </c>
      <c r="M98" s="14" t="n">
        <f aca="false">IF(11&gt;$A98,0,Val_pt*(Ceiling_e-E_zero)*(1-(1-Half_gap)^MIN(11,$B98)))</f>
        <v>131.25</v>
      </c>
      <c r="N98" s="14" t="n">
        <f aca="false">IF(12&gt;$A98,0,Val_pt*(Ceiling_e-E_zero)*(1-(1-Half_gap)^MIN(12,$B98)))</f>
        <v>131.25</v>
      </c>
      <c r="O98" s="14" t="n">
        <f aca="false">IF(13&gt;$A98,0,Val_pt*(Ceiling_e-E_zero)*(1-(1-Half_gap)^MIN(13,$B98)))</f>
        <v>131.25</v>
      </c>
      <c r="P98" s="14" t="n">
        <f aca="false">IF(14&gt;$A98,0,Val_pt*(Ceiling_e-E_zero)*(1-(1-Half_gap)^MIN(14,$B98)))</f>
        <v>0</v>
      </c>
      <c r="Q98" s="14" t="n">
        <f aca="false">IF(15&gt;$A98,0,Val_pt*(Ceiling_e-E_zero)*(1-(1-Half_gap)^MIN(15,$B98)))</f>
        <v>0</v>
      </c>
      <c r="R98" s="14" t="n">
        <f aca="false">IF(16&gt;$A98,0,Val_pt*(Ceiling_e-E_zero)*(1-(1-Half_gap)^MIN(16,$B98)))</f>
        <v>0</v>
      </c>
      <c r="S98" s="14" t="n">
        <f aca="false">IF(17&gt;$A98,0,Val_pt*(Ceiling_e-E_zero)*(1-(1-Half_gap)^MIN(17,$B98)))</f>
        <v>0</v>
      </c>
      <c r="T98" s="14" t="n">
        <f aca="false">IF(18&gt;$A98,0,Val_pt*(Ceiling_e-E_zero)*(1-(1-Half_gap)^MIN(18,$B98)))</f>
        <v>0</v>
      </c>
      <c r="U98" s="14" t="n">
        <f aca="false">IF(19&gt;$A98,0,Val_pt*(Ceiling_e-E_zero)*(1-(1-Half_gap)^MIN(19,$B98)))</f>
        <v>0</v>
      </c>
      <c r="V98" s="14" t="n">
        <f aca="false">IF(20&gt;$A98,0,Val_pt*(Ceiling_e-E_zero)*(1-(1-Half_gap)^MIN(20,$B98)))</f>
        <v>0</v>
      </c>
      <c r="W98" s="14" t="n">
        <f aca="false">IF(0&gt;$A98,0,IF(0=$A98,MAX(End_q,Floor_q),MAX(X98+Cost_round*IF(1&lt;=$B98,1,0)-C98,IF(1&lt;=$B98,1,0)*Pre_q)))</f>
        <v>535</v>
      </c>
      <c r="X98" s="14" t="n">
        <f aca="false">IF(1&gt;$A98,0,IF(1=$A98,MAX(End_q,Floor_q),MAX(Y98+Cost_round*IF(2&lt;=$B98,1,0)-D98,IF(2&lt;=$B98,1,0)*Pre_q,Floor_q)))</f>
        <v>485</v>
      </c>
      <c r="Y98" s="14" t="n">
        <f aca="false">IF(2&gt;$A98,0,IF(2=$A98,MAX(End_q,Floor_q),MAX(Z98+Cost_round*IF(3&lt;=$B98,1,0)-E98,IF(3&lt;=$B98,1,0)*Pre_q,Floor_q)))</f>
        <v>470</v>
      </c>
      <c r="Z98" s="14" t="n">
        <f aca="false">IF(3&gt;$A98,0,IF(3=$A98,MAX(End_q,Floor_q),MAX(AA98+Cost_round*IF(4&lt;=$B98,1,0)-F98,IF(4&lt;=$B98,1,0)*Pre_q,Floor_q)))</f>
        <v>470</v>
      </c>
      <c r="AA98" s="14" t="n">
        <f aca="false">IF(4&gt;$A98,0,IF(4=$A98,MAX(End_q,Floor_q),MAX(AB98+Cost_round*IF(5&lt;=$B98,1,0)-G98,IF(5&lt;=$B98,1,0)*Pre_q,Floor_q)))</f>
        <v>350</v>
      </c>
      <c r="AB98" s="14" t="n">
        <f aca="false">IF(5&gt;$A98,0,IF(5=$A98,MAX(End_q,Floor_q),MAX(AC98+Cost_round*IF(6&lt;=$B98,1,0)-H98,IF(6&lt;=$B98,1,0)*Pre_q,Floor_q)))</f>
        <v>350</v>
      </c>
      <c r="AC98" s="14" t="n">
        <f aca="false">IF(6&gt;$A98,0,IF(6=$A98,MAX(End_q,Floor_q),MAX(AD98+Cost_round*IF(7&lt;=$B98,1,0)-I98,IF(7&lt;=$B98,1,0)*Pre_q,Floor_q)))</f>
        <v>350</v>
      </c>
      <c r="AD98" s="14" t="n">
        <f aca="false">IF(7&gt;$A98,0,IF(7=$A98,MAX(End_q,Floor_q),MAX(AE98+Cost_round*IF(8&lt;=$B98,1,0)-J98,IF(8&lt;=$B98,1,0)*Pre_q,Floor_q)))</f>
        <v>350</v>
      </c>
      <c r="AE98" s="14" t="n">
        <f aca="false">IF(8&gt;$A98,0,IF(8=$A98,MAX(End_q,Floor_q),MAX(AF98+Cost_round*IF(9&lt;=$B98,1,0)-K98,IF(9&lt;=$B98,1,0)*Pre_q,Floor_q)))</f>
        <v>350</v>
      </c>
      <c r="AF98" s="14" t="n">
        <f aca="false">IF(9&gt;$A98,0,IF(9=$A98,MAX(End_q,Floor_q),MAX(AG98+Cost_round*IF(10&lt;=$B98,1,0)-L98,IF(10&lt;=$B98,1,0)*Pre_q,Floor_q)))</f>
        <v>350</v>
      </c>
      <c r="AG98" s="14" t="n">
        <f aca="false">IF(10&gt;$A98,0,IF(10=$A98,MAX(End_q,Floor_q),MAX(AH98+Cost_round*IF(11&lt;=$B98,1,0)-M98,IF(11&lt;=$B98,1,0)*Pre_q,Floor_q)))</f>
        <v>350</v>
      </c>
      <c r="AH98" s="14" t="n">
        <f aca="false">IF(11&gt;$A98,0,IF(11=$A98,MAX(End_q,Floor_q),MAX(AI98+Cost_round*IF(12&lt;=$B98,1,0)-N98,IF(12&lt;=$B98,1,0)*Pre_q,Floor_q)))</f>
        <v>350</v>
      </c>
      <c r="AI98" s="14" t="n">
        <f aca="false">IF(12&gt;$A98,0,IF(12=$A98,MAX(End_q,Floor_q),MAX(AJ98+Cost_round*IF(13&lt;=$B98,1,0)-O98,IF(13&lt;=$B98,1,0)*Pre_q,Floor_q)))</f>
        <v>350</v>
      </c>
      <c r="AJ98" s="14" t="n">
        <f aca="false">IF(13&gt;$A98,0,IF(13=$A98,MAX(End_q,Floor_q),MAX(AK98+Cost_round*IF(14&lt;=$B98,1,0)-P98,IF(14&lt;=$B98,1,0)*Pre_q,Floor_q)))</f>
        <v>470</v>
      </c>
      <c r="AK98" s="14" t="n">
        <f aca="false">IF(14&gt;$A98,0,IF(14=$A98,MAX(End_q,Floor_q),MAX(AL98+Cost_round*IF(15&lt;=$B98,1,0)-Q98,IF(15&lt;=$B98,1,0)*Pre_q,Floor_q)))</f>
        <v>0</v>
      </c>
      <c r="AL98" s="14" t="n">
        <f aca="false">IF(15&gt;$A98,0,IF(15=$A98,MAX(End_q,Floor_q),MAX(AM98+Cost_round*IF(16&lt;=$B98,1,0)-R98,IF(16&lt;=$B98,1,0)*Pre_q,Floor_q)))</f>
        <v>0</v>
      </c>
      <c r="AM98" s="14" t="n">
        <f aca="false">IF(16&gt;$A98,0,IF(16=$A98,MAX(End_q,Floor_q),MAX(AN98+Cost_round*IF(17&lt;=$B98,1,0)-S98,IF(17&lt;=$B98,1,0)*Pre_q,Floor_q)))</f>
        <v>0</v>
      </c>
      <c r="AN98" s="14" t="n">
        <f aca="false">IF(17&gt;$A98,0,IF(17=$A98,MAX(End_q,Floor_q),MAX(AO98+Cost_round*IF(18&lt;=$B98,1,0)-T98,IF(18&lt;=$B98,1,0)*Pre_q,Floor_q)))</f>
        <v>0</v>
      </c>
      <c r="AO98" s="14" t="n">
        <f aca="false">IF(18&gt;$A98,0,IF(18=$A98,MAX(End_q,Floor_q),MAX(AP98+Cost_round*IF(19&lt;=$B98,1,0)-U98,IF(19&lt;=$B98,1,0)*Pre_q,Floor_q)))</f>
        <v>0</v>
      </c>
      <c r="AP98" s="14" t="n">
        <f aca="false">IF(19&gt;$A98,0,IF(19=$A98,MAX(End_q,Floor_q),MAX(AQ98+Cost_round*IF(20&lt;=$B98,1,0)-V98,IF(20&lt;=$B98,1,0)*Pre_q,Floor_q)))</f>
        <v>0</v>
      </c>
      <c r="AQ98" s="14" t="n">
        <f aca="false">IF(20&gt;$A98,0,MAX(End_q,Floor_q))</f>
        <v>0</v>
      </c>
      <c r="AR98" s="15" t="n">
        <f aca="false">IF(Q_zero&gt;=W98-0.000000001,1,0)</f>
        <v>1</v>
      </c>
      <c r="AS98" s="14" t="n">
        <f aca="false">IF(1&gt;$A98,0,Q_zero-Cost_round*IF(1&lt;=$B98,1,0)+C98-X98)</f>
        <v>85</v>
      </c>
      <c r="AT98" s="14" t="n">
        <f aca="false">IF(2&gt;$A98,0,X98-Cost_round*IF(2&lt;=$B98,1,0)+D98-Y98)</f>
        <v>0</v>
      </c>
      <c r="AU98" s="14" t="n">
        <f aca="false">IF(3&gt;$A98,0,Y98-Cost_round*IF(3&lt;=$B98,1,0)+E98-Z98)</f>
        <v>2.5</v>
      </c>
      <c r="AV98" s="14" t="n">
        <f aca="false">IF(4&gt;$A98,0,Z98-Cost_round*IF(4&lt;=$B98,1,0)+F98-AA98)</f>
        <v>131.25</v>
      </c>
      <c r="AW98" s="14" t="n">
        <f aca="false">IF(5&gt;$A98,0,AA98-Cost_round*IF(5&lt;=$B98,1,0)+G98-AB98)</f>
        <v>131.25</v>
      </c>
      <c r="AX98" s="14" t="n">
        <f aca="false">IF(6&gt;$A98,0,AB98-Cost_round*IF(6&lt;=$B98,1,0)+H98-AC98)</f>
        <v>131.25</v>
      </c>
      <c r="AY98" s="14" t="n">
        <f aca="false">IF(7&gt;$A98,0,AC98-Cost_round*IF(7&lt;=$B98,1,0)+I98-AD98)</f>
        <v>131.25</v>
      </c>
      <c r="AZ98" s="14" t="n">
        <f aca="false">IF(8&gt;$A98,0,AD98-Cost_round*IF(8&lt;=$B98,1,0)+J98-AE98)</f>
        <v>131.25</v>
      </c>
      <c r="BA98" s="14" t="n">
        <f aca="false">IF(9&gt;$A98,0,AE98-Cost_round*IF(9&lt;=$B98,1,0)+K98-AF98)</f>
        <v>131.25</v>
      </c>
      <c r="BB98" s="14" t="n">
        <f aca="false">IF(10&gt;$A98,0,AF98-Cost_round*IF(10&lt;=$B98,1,0)+L98-AG98)</f>
        <v>131.25</v>
      </c>
      <c r="BC98" s="14" t="n">
        <f aca="false">IF(11&gt;$A98,0,AG98-Cost_round*IF(11&lt;=$B98,1,0)+M98-AH98)</f>
        <v>131.25</v>
      </c>
      <c r="BD98" s="14" t="n">
        <f aca="false">IF(12&gt;$A98,0,AH98-Cost_round*IF(12&lt;=$B98,1,0)+N98-AI98)</f>
        <v>131.25</v>
      </c>
      <c r="BE98" s="14" t="n">
        <f aca="false">IF(13&gt;$A98,0,AI98-Cost_round*IF(13&lt;=$B98,1,0)+O98-AJ98)</f>
        <v>11.25</v>
      </c>
      <c r="BF98" s="14" t="n">
        <f aca="false">IF(14&gt;$A98,0,AJ98-Cost_round*IF(14&lt;=$B98,1,0)+P98-AK98)</f>
        <v>0</v>
      </c>
      <c r="BG98" s="14" t="n">
        <f aca="false">IF(15&gt;$A98,0,AK98-Cost_round*IF(15&lt;=$B98,1,0)+Q98-AL98)</f>
        <v>0</v>
      </c>
      <c r="BH98" s="14" t="n">
        <f aca="false">IF(16&gt;$A98,0,AL98-Cost_round*IF(16&lt;=$B98,1,0)+R98-AM98)</f>
        <v>0</v>
      </c>
      <c r="BI98" s="14" t="n">
        <f aca="false">IF(17&gt;$A98,0,AM98-Cost_round*IF(17&lt;=$B98,1,0)+S98-AN98)</f>
        <v>0</v>
      </c>
      <c r="BJ98" s="14" t="n">
        <f aca="false">IF(18&gt;$A98,0,AN98-Cost_round*IF(18&lt;=$B98,1,0)+T98-AO98)</f>
        <v>0</v>
      </c>
      <c r="BK98" s="14" t="n">
        <f aca="false">IF(19&gt;$A98,0,AO98-Cost_round*IF(19&lt;=$B98,1,0)+U98-AP98)</f>
        <v>0</v>
      </c>
      <c r="BL98" s="14" t="n">
        <f aca="false">IF(20&gt;$A98,0,AP98-Cost_round*IF(20&lt;=$B98,1,0)+V98-AQ98)</f>
        <v>0</v>
      </c>
      <c r="BM98" s="17" t="n">
        <f aca="false">IF($AR98=1,SUMPRODUCT(AS98:BL98,$AS$38:$BL$38),"")</f>
        <v>650.307466485496</v>
      </c>
      <c r="BN98" s="17" t="n">
        <f aca="false">IF($AR98=1,BM98+INDEX($AS$38:$BL$38,$A98)*INDEX(C98:V98,$A98)/Hurdle_r,"")</f>
        <v>1030.4919648899</v>
      </c>
    </row>
    <row r="99" customFormat="false" ht="15" hidden="false" customHeight="false" outlineLevel="0" collapsed="false">
      <c r="A99" s="2" t="n">
        <v>14</v>
      </c>
      <c r="B99" s="2" t="n">
        <v>0</v>
      </c>
      <c r="C99" s="14" t="n">
        <f aca="false">IF(1&gt;$A99,0,Val_pt*(Ceiling_e-E_zero)*(1-(1-Half_gap)^MIN(1,$B99)))</f>
        <v>0</v>
      </c>
      <c r="D99" s="14" t="n">
        <f aca="false">IF(2&gt;$A99,0,Val_pt*(Ceiling_e-E_zero)*(1-(1-Half_gap)^MIN(2,$B99)))</f>
        <v>0</v>
      </c>
      <c r="E99" s="14" t="n">
        <f aca="false">IF(3&gt;$A99,0,Val_pt*(Ceiling_e-E_zero)*(1-(1-Half_gap)^MIN(3,$B99)))</f>
        <v>0</v>
      </c>
      <c r="F99" s="14" t="n">
        <f aca="false">IF(4&gt;$A99,0,Val_pt*(Ceiling_e-E_zero)*(1-(1-Half_gap)^MIN(4,$B99)))</f>
        <v>0</v>
      </c>
      <c r="G99" s="14" t="n">
        <f aca="false">IF(5&gt;$A99,0,Val_pt*(Ceiling_e-E_zero)*(1-(1-Half_gap)^MIN(5,$B99)))</f>
        <v>0</v>
      </c>
      <c r="H99" s="14" t="n">
        <f aca="false">IF(6&gt;$A99,0,Val_pt*(Ceiling_e-E_zero)*(1-(1-Half_gap)^MIN(6,$B99)))</f>
        <v>0</v>
      </c>
      <c r="I99" s="14" t="n">
        <f aca="false">IF(7&gt;$A99,0,Val_pt*(Ceiling_e-E_zero)*(1-(1-Half_gap)^MIN(7,$B99)))</f>
        <v>0</v>
      </c>
      <c r="J99" s="14" t="n">
        <f aca="false">IF(8&gt;$A99,0,Val_pt*(Ceiling_e-E_zero)*(1-(1-Half_gap)^MIN(8,$B99)))</f>
        <v>0</v>
      </c>
      <c r="K99" s="14" t="n">
        <f aca="false">IF(9&gt;$A99,0,Val_pt*(Ceiling_e-E_zero)*(1-(1-Half_gap)^MIN(9,$B99)))</f>
        <v>0</v>
      </c>
      <c r="L99" s="14" t="n">
        <f aca="false">IF(10&gt;$A99,0,Val_pt*(Ceiling_e-E_zero)*(1-(1-Half_gap)^MIN(10,$B99)))</f>
        <v>0</v>
      </c>
      <c r="M99" s="14" t="n">
        <f aca="false">IF(11&gt;$A99,0,Val_pt*(Ceiling_e-E_zero)*(1-(1-Half_gap)^MIN(11,$B99)))</f>
        <v>0</v>
      </c>
      <c r="N99" s="14" t="n">
        <f aca="false">IF(12&gt;$A99,0,Val_pt*(Ceiling_e-E_zero)*(1-(1-Half_gap)^MIN(12,$B99)))</f>
        <v>0</v>
      </c>
      <c r="O99" s="14" t="n">
        <f aca="false">IF(13&gt;$A99,0,Val_pt*(Ceiling_e-E_zero)*(1-(1-Half_gap)^MIN(13,$B99)))</f>
        <v>0</v>
      </c>
      <c r="P99" s="14" t="n">
        <f aca="false">IF(14&gt;$A99,0,Val_pt*(Ceiling_e-E_zero)*(1-(1-Half_gap)^MIN(14,$B99)))</f>
        <v>0</v>
      </c>
      <c r="Q99" s="14" t="n">
        <f aca="false">IF(15&gt;$A99,0,Val_pt*(Ceiling_e-E_zero)*(1-(1-Half_gap)^MIN(15,$B99)))</f>
        <v>0</v>
      </c>
      <c r="R99" s="14" t="n">
        <f aca="false">IF(16&gt;$A99,0,Val_pt*(Ceiling_e-E_zero)*(1-(1-Half_gap)^MIN(16,$B99)))</f>
        <v>0</v>
      </c>
      <c r="S99" s="14" t="n">
        <f aca="false">IF(17&gt;$A99,0,Val_pt*(Ceiling_e-E_zero)*(1-(1-Half_gap)^MIN(17,$B99)))</f>
        <v>0</v>
      </c>
      <c r="T99" s="14" t="n">
        <f aca="false">IF(18&gt;$A99,0,Val_pt*(Ceiling_e-E_zero)*(1-(1-Half_gap)^MIN(18,$B99)))</f>
        <v>0</v>
      </c>
      <c r="U99" s="14" t="n">
        <f aca="false">IF(19&gt;$A99,0,Val_pt*(Ceiling_e-E_zero)*(1-(1-Half_gap)^MIN(19,$B99)))</f>
        <v>0</v>
      </c>
      <c r="V99" s="14" t="n">
        <f aca="false">IF(20&gt;$A99,0,Val_pt*(Ceiling_e-E_zero)*(1-(1-Half_gap)^MIN(20,$B99)))</f>
        <v>0</v>
      </c>
      <c r="W99" s="14" t="n">
        <f aca="false">IF(0&gt;$A99,0,IF(0=$A99,MAX(End_q,Floor_q),MAX(X99+Cost_round*IF(1&lt;=$B99,1,0)-C99,IF(1&lt;=$B99,1,0)*Pre_q)))</f>
        <v>470</v>
      </c>
      <c r="X99" s="14" t="n">
        <f aca="false">IF(1&gt;$A99,0,IF(1=$A99,MAX(End_q,Floor_q),MAX(Y99+Cost_round*IF(2&lt;=$B99,1,0)-D99,IF(2&lt;=$B99,1,0)*Pre_q,Floor_q)))</f>
        <v>470</v>
      </c>
      <c r="Y99" s="14" t="n">
        <f aca="false">IF(2&gt;$A99,0,IF(2=$A99,MAX(End_q,Floor_q),MAX(Z99+Cost_round*IF(3&lt;=$B99,1,0)-E99,IF(3&lt;=$B99,1,0)*Pre_q,Floor_q)))</f>
        <v>470</v>
      </c>
      <c r="Z99" s="14" t="n">
        <f aca="false">IF(3&gt;$A99,0,IF(3=$A99,MAX(End_q,Floor_q),MAX(AA99+Cost_round*IF(4&lt;=$B99,1,0)-F99,IF(4&lt;=$B99,1,0)*Pre_q,Floor_q)))</f>
        <v>470</v>
      </c>
      <c r="AA99" s="14" t="n">
        <f aca="false">IF(4&gt;$A99,0,IF(4=$A99,MAX(End_q,Floor_q),MAX(AB99+Cost_round*IF(5&lt;=$B99,1,0)-G99,IF(5&lt;=$B99,1,0)*Pre_q,Floor_q)))</f>
        <v>470</v>
      </c>
      <c r="AB99" s="14" t="n">
        <f aca="false">IF(5&gt;$A99,0,IF(5=$A99,MAX(End_q,Floor_q),MAX(AC99+Cost_round*IF(6&lt;=$B99,1,0)-H99,IF(6&lt;=$B99,1,0)*Pre_q,Floor_q)))</f>
        <v>470</v>
      </c>
      <c r="AC99" s="14" t="n">
        <f aca="false">IF(6&gt;$A99,0,IF(6=$A99,MAX(End_q,Floor_q),MAX(AD99+Cost_round*IF(7&lt;=$B99,1,0)-I99,IF(7&lt;=$B99,1,0)*Pre_q,Floor_q)))</f>
        <v>470</v>
      </c>
      <c r="AD99" s="14" t="n">
        <f aca="false">IF(7&gt;$A99,0,IF(7=$A99,MAX(End_q,Floor_q),MAX(AE99+Cost_round*IF(8&lt;=$B99,1,0)-J99,IF(8&lt;=$B99,1,0)*Pre_q,Floor_q)))</f>
        <v>470</v>
      </c>
      <c r="AE99" s="14" t="n">
        <f aca="false">IF(8&gt;$A99,0,IF(8=$A99,MAX(End_q,Floor_q),MAX(AF99+Cost_round*IF(9&lt;=$B99,1,0)-K99,IF(9&lt;=$B99,1,0)*Pre_q,Floor_q)))</f>
        <v>470</v>
      </c>
      <c r="AF99" s="14" t="n">
        <f aca="false">IF(9&gt;$A99,0,IF(9=$A99,MAX(End_q,Floor_q),MAX(AG99+Cost_round*IF(10&lt;=$B99,1,0)-L99,IF(10&lt;=$B99,1,0)*Pre_q,Floor_q)))</f>
        <v>470</v>
      </c>
      <c r="AG99" s="14" t="n">
        <f aca="false">IF(10&gt;$A99,0,IF(10=$A99,MAX(End_q,Floor_q),MAX(AH99+Cost_round*IF(11&lt;=$B99,1,0)-M99,IF(11&lt;=$B99,1,0)*Pre_q,Floor_q)))</f>
        <v>470</v>
      </c>
      <c r="AH99" s="14" t="n">
        <f aca="false">IF(11&gt;$A99,0,IF(11=$A99,MAX(End_q,Floor_q),MAX(AI99+Cost_round*IF(12&lt;=$B99,1,0)-N99,IF(12&lt;=$B99,1,0)*Pre_q,Floor_q)))</f>
        <v>470</v>
      </c>
      <c r="AI99" s="14" t="n">
        <f aca="false">IF(12&gt;$A99,0,IF(12=$A99,MAX(End_q,Floor_q),MAX(AJ99+Cost_round*IF(13&lt;=$B99,1,0)-O99,IF(13&lt;=$B99,1,0)*Pre_q,Floor_q)))</f>
        <v>470</v>
      </c>
      <c r="AJ99" s="14" t="n">
        <f aca="false">IF(13&gt;$A99,0,IF(13=$A99,MAX(End_q,Floor_q),MAX(AK99+Cost_round*IF(14&lt;=$B99,1,0)-P99,IF(14&lt;=$B99,1,0)*Pre_q,Floor_q)))</f>
        <v>470</v>
      </c>
      <c r="AK99" s="14" t="n">
        <f aca="false">IF(14&gt;$A99,0,IF(14=$A99,MAX(End_q,Floor_q),MAX(AL99+Cost_round*IF(15&lt;=$B99,1,0)-Q99,IF(15&lt;=$B99,1,0)*Pre_q,Floor_q)))</f>
        <v>470</v>
      </c>
      <c r="AL99" s="14" t="n">
        <f aca="false">IF(15&gt;$A99,0,IF(15=$A99,MAX(End_q,Floor_q),MAX(AM99+Cost_round*IF(16&lt;=$B99,1,0)-R99,IF(16&lt;=$B99,1,0)*Pre_q,Floor_q)))</f>
        <v>0</v>
      </c>
      <c r="AM99" s="14" t="n">
        <f aca="false">IF(16&gt;$A99,0,IF(16=$A99,MAX(End_q,Floor_q),MAX(AN99+Cost_round*IF(17&lt;=$B99,1,0)-S99,IF(17&lt;=$B99,1,0)*Pre_q,Floor_q)))</f>
        <v>0</v>
      </c>
      <c r="AN99" s="14" t="n">
        <f aca="false">IF(17&gt;$A99,0,IF(17=$A99,MAX(End_q,Floor_q),MAX(AO99+Cost_round*IF(18&lt;=$B99,1,0)-T99,IF(18&lt;=$B99,1,0)*Pre_q,Floor_q)))</f>
        <v>0</v>
      </c>
      <c r="AO99" s="14" t="n">
        <f aca="false">IF(18&gt;$A99,0,IF(18=$A99,MAX(End_q,Floor_q),MAX(AP99+Cost_round*IF(19&lt;=$B99,1,0)-U99,IF(19&lt;=$B99,1,0)*Pre_q,Floor_q)))</f>
        <v>0</v>
      </c>
      <c r="AP99" s="14" t="n">
        <f aca="false">IF(19&gt;$A99,0,IF(19=$A99,MAX(End_q,Floor_q),MAX(AQ99+Cost_round*IF(20&lt;=$B99,1,0)-V99,IF(20&lt;=$B99,1,0)*Pre_q,Floor_q)))</f>
        <v>0</v>
      </c>
      <c r="AQ99" s="14" t="n">
        <f aca="false">IF(20&gt;$A99,0,MAX(End_q,Floor_q))</f>
        <v>0</v>
      </c>
      <c r="AR99" s="15" t="n">
        <f aca="false">IF(Q_zero&gt;=W99-0.000000001,1,0)</f>
        <v>1</v>
      </c>
      <c r="AS99" s="14" t="n">
        <f aca="false">IF(1&gt;$A99,0,Q_zero-Cost_round*IF(1&lt;=$B99,1,0)+C99-X99)</f>
        <v>150</v>
      </c>
      <c r="AT99" s="14" t="n">
        <f aca="false">IF(2&gt;$A99,0,X99-Cost_round*IF(2&lt;=$B99,1,0)+D99-Y99)</f>
        <v>0</v>
      </c>
      <c r="AU99" s="14" t="n">
        <f aca="false">IF(3&gt;$A99,0,Y99-Cost_round*IF(3&lt;=$B99,1,0)+E99-Z99)</f>
        <v>0</v>
      </c>
      <c r="AV99" s="14" t="n">
        <f aca="false">IF(4&gt;$A99,0,Z99-Cost_round*IF(4&lt;=$B99,1,0)+F99-AA99)</f>
        <v>0</v>
      </c>
      <c r="AW99" s="14" t="n">
        <f aca="false">IF(5&gt;$A99,0,AA99-Cost_round*IF(5&lt;=$B99,1,0)+G99-AB99)</f>
        <v>0</v>
      </c>
      <c r="AX99" s="14" t="n">
        <f aca="false">IF(6&gt;$A99,0,AB99-Cost_round*IF(6&lt;=$B99,1,0)+H99-AC99)</f>
        <v>0</v>
      </c>
      <c r="AY99" s="14" t="n">
        <f aca="false">IF(7&gt;$A99,0,AC99-Cost_round*IF(7&lt;=$B99,1,0)+I99-AD99)</f>
        <v>0</v>
      </c>
      <c r="AZ99" s="14" t="n">
        <f aca="false">IF(8&gt;$A99,0,AD99-Cost_round*IF(8&lt;=$B99,1,0)+J99-AE99)</f>
        <v>0</v>
      </c>
      <c r="BA99" s="14" t="n">
        <f aca="false">IF(9&gt;$A99,0,AE99-Cost_round*IF(9&lt;=$B99,1,0)+K99-AF99)</f>
        <v>0</v>
      </c>
      <c r="BB99" s="14" t="n">
        <f aca="false">IF(10&gt;$A99,0,AF99-Cost_round*IF(10&lt;=$B99,1,0)+L99-AG99)</f>
        <v>0</v>
      </c>
      <c r="BC99" s="14" t="n">
        <f aca="false">IF(11&gt;$A99,0,AG99-Cost_round*IF(11&lt;=$B99,1,0)+M99-AH99)</f>
        <v>0</v>
      </c>
      <c r="BD99" s="14" t="n">
        <f aca="false">IF(12&gt;$A99,0,AH99-Cost_round*IF(12&lt;=$B99,1,0)+N99-AI99)</f>
        <v>0</v>
      </c>
      <c r="BE99" s="14" t="n">
        <f aca="false">IF(13&gt;$A99,0,AI99-Cost_round*IF(13&lt;=$B99,1,0)+O99-AJ99)</f>
        <v>0</v>
      </c>
      <c r="BF99" s="14" t="n">
        <f aca="false">IF(14&gt;$A99,0,AJ99-Cost_round*IF(14&lt;=$B99,1,0)+P99-AK99)</f>
        <v>0</v>
      </c>
      <c r="BG99" s="14" t="n">
        <f aca="false">IF(15&gt;$A99,0,AK99-Cost_round*IF(15&lt;=$B99,1,0)+Q99-AL99)</f>
        <v>0</v>
      </c>
      <c r="BH99" s="14" t="n">
        <f aca="false">IF(16&gt;$A99,0,AL99-Cost_round*IF(16&lt;=$B99,1,0)+R99-AM99)</f>
        <v>0</v>
      </c>
      <c r="BI99" s="14" t="n">
        <f aca="false">IF(17&gt;$A99,0,AM99-Cost_round*IF(17&lt;=$B99,1,0)+S99-AN99)</f>
        <v>0</v>
      </c>
      <c r="BJ99" s="14" t="n">
        <f aca="false">IF(18&gt;$A99,0,AN99-Cost_round*IF(18&lt;=$B99,1,0)+T99-AO99)</f>
        <v>0</v>
      </c>
      <c r="BK99" s="14" t="n">
        <f aca="false">IF(19&gt;$A99,0,AO99-Cost_round*IF(19&lt;=$B99,1,0)+U99-AP99)</f>
        <v>0</v>
      </c>
      <c r="BL99" s="14" t="n">
        <f aca="false">IF(20&gt;$A99,0,AP99-Cost_round*IF(20&lt;=$B99,1,0)+V99-AQ99)</f>
        <v>0</v>
      </c>
      <c r="BM99" s="17" t="n">
        <f aca="false">IF($AR99=1,SUMPRODUCT(AS99:BL99,$AS$38:$BL$38),"")</f>
        <v>136.363636363636</v>
      </c>
      <c r="BN99" s="17" t="n">
        <f aca="false">IF($AR99=1,BM99+INDEX($AS$38:$BL$38,$A99)*INDEX(C99:V99,$A99)/Hurdle_r,"")</f>
        <v>136.363636363636</v>
      </c>
    </row>
    <row r="100" customFormat="false" ht="15" hidden="false" customHeight="false" outlineLevel="0" collapsed="false">
      <c r="A100" s="2" t="n">
        <v>14</v>
      </c>
      <c r="B100" s="2" t="n">
        <v>1</v>
      </c>
      <c r="C100" s="14" t="n">
        <f aca="false">IF(1&gt;$A100,0,Val_pt*(Ceiling_e-E_zero)*(1-(1-Half_gap)^MIN(1,$B100)))</f>
        <v>70</v>
      </c>
      <c r="D100" s="14" t="n">
        <f aca="false">IF(2&gt;$A100,0,Val_pt*(Ceiling_e-E_zero)*(1-(1-Half_gap)^MIN(2,$B100)))</f>
        <v>70</v>
      </c>
      <c r="E100" s="14" t="n">
        <f aca="false">IF(3&gt;$A100,0,Val_pt*(Ceiling_e-E_zero)*(1-(1-Half_gap)^MIN(3,$B100)))</f>
        <v>70</v>
      </c>
      <c r="F100" s="14" t="n">
        <f aca="false">IF(4&gt;$A100,0,Val_pt*(Ceiling_e-E_zero)*(1-(1-Half_gap)^MIN(4,$B100)))</f>
        <v>70</v>
      </c>
      <c r="G100" s="14" t="n">
        <f aca="false">IF(5&gt;$A100,0,Val_pt*(Ceiling_e-E_zero)*(1-(1-Half_gap)^MIN(5,$B100)))</f>
        <v>70</v>
      </c>
      <c r="H100" s="14" t="n">
        <f aca="false">IF(6&gt;$A100,0,Val_pt*(Ceiling_e-E_zero)*(1-(1-Half_gap)^MIN(6,$B100)))</f>
        <v>70</v>
      </c>
      <c r="I100" s="14" t="n">
        <f aca="false">IF(7&gt;$A100,0,Val_pt*(Ceiling_e-E_zero)*(1-(1-Half_gap)^MIN(7,$B100)))</f>
        <v>70</v>
      </c>
      <c r="J100" s="14" t="n">
        <f aca="false">IF(8&gt;$A100,0,Val_pt*(Ceiling_e-E_zero)*(1-(1-Half_gap)^MIN(8,$B100)))</f>
        <v>70</v>
      </c>
      <c r="K100" s="14" t="n">
        <f aca="false">IF(9&gt;$A100,0,Val_pt*(Ceiling_e-E_zero)*(1-(1-Half_gap)^MIN(9,$B100)))</f>
        <v>70</v>
      </c>
      <c r="L100" s="14" t="n">
        <f aca="false">IF(10&gt;$A100,0,Val_pt*(Ceiling_e-E_zero)*(1-(1-Half_gap)^MIN(10,$B100)))</f>
        <v>70</v>
      </c>
      <c r="M100" s="14" t="n">
        <f aca="false">IF(11&gt;$A100,0,Val_pt*(Ceiling_e-E_zero)*(1-(1-Half_gap)^MIN(11,$B100)))</f>
        <v>70</v>
      </c>
      <c r="N100" s="14" t="n">
        <f aca="false">IF(12&gt;$A100,0,Val_pt*(Ceiling_e-E_zero)*(1-(1-Half_gap)^MIN(12,$B100)))</f>
        <v>70</v>
      </c>
      <c r="O100" s="14" t="n">
        <f aca="false">IF(13&gt;$A100,0,Val_pt*(Ceiling_e-E_zero)*(1-(1-Half_gap)^MIN(13,$B100)))</f>
        <v>70</v>
      </c>
      <c r="P100" s="14" t="n">
        <f aca="false">IF(14&gt;$A100,0,Val_pt*(Ceiling_e-E_zero)*(1-(1-Half_gap)^MIN(14,$B100)))</f>
        <v>70</v>
      </c>
      <c r="Q100" s="14" t="n">
        <f aca="false">IF(15&gt;$A100,0,Val_pt*(Ceiling_e-E_zero)*(1-(1-Half_gap)^MIN(15,$B100)))</f>
        <v>0</v>
      </c>
      <c r="R100" s="14" t="n">
        <f aca="false">IF(16&gt;$A100,0,Val_pt*(Ceiling_e-E_zero)*(1-(1-Half_gap)^MIN(16,$B100)))</f>
        <v>0</v>
      </c>
      <c r="S100" s="14" t="n">
        <f aca="false">IF(17&gt;$A100,0,Val_pt*(Ceiling_e-E_zero)*(1-(1-Half_gap)^MIN(17,$B100)))</f>
        <v>0</v>
      </c>
      <c r="T100" s="14" t="n">
        <f aca="false">IF(18&gt;$A100,0,Val_pt*(Ceiling_e-E_zero)*(1-(1-Half_gap)^MIN(18,$B100)))</f>
        <v>0</v>
      </c>
      <c r="U100" s="14" t="n">
        <f aca="false">IF(19&gt;$A100,0,Val_pt*(Ceiling_e-E_zero)*(1-(1-Half_gap)^MIN(19,$B100)))</f>
        <v>0</v>
      </c>
      <c r="V100" s="14" t="n">
        <f aca="false">IF(20&gt;$A100,0,Val_pt*(Ceiling_e-E_zero)*(1-(1-Half_gap)^MIN(20,$B100)))</f>
        <v>0</v>
      </c>
      <c r="W100" s="14" t="n">
        <f aca="false">IF(0&gt;$A100,0,IF(0=$A100,MAX(End_q,Floor_q),MAX(X100+Cost_round*IF(1&lt;=$B100,1,0)-C100,IF(1&lt;=$B100,1,0)*Pre_q)))</f>
        <v>470</v>
      </c>
      <c r="X100" s="14" t="n">
        <f aca="false">IF(1&gt;$A100,0,IF(1=$A100,MAX(End_q,Floor_q),MAX(Y100+Cost_round*IF(2&lt;=$B100,1,0)-D100,IF(2&lt;=$B100,1,0)*Pre_q,Floor_q)))</f>
        <v>350</v>
      </c>
      <c r="Y100" s="14" t="n">
        <f aca="false">IF(2&gt;$A100,0,IF(2=$A100,MAX(End_q,Floor_q),MAX(Z100+Cost_round*IF(3&lt;=$B100,1,0)-E100,IF(3&lt;=$B100,1,0)*Pre_q,Floor_q)))</f>
        <v>350</v>
      </c>
      <c r="Z100" s="14" t="n">
        <f aca="false">IF(3&gt;$A100,0,IF(3=$A100,MAX(End_q,Floor_q),MAX(AA100+Cost_round*IF(4&lt;=$B100,1,0)-F100,IF(4&lt;=$B100,1,0)*Pre_q,Floor_q)))</f>
        <v>350</v>
      </c>
      <c r="AA100" s="14" t="n">
        <f aca="false">IF(4&gt;$A100,0,IF(4=$A100,MAX(End_q,Floor_q),MAX(AB100+Cost_round*IF(5&lt;=$B100,1,0)-G100,IF(5&lt;=$B100,1,0)*Pre_q,Floor_q)))</f>
        <v>350</v>
      </c>
      <c r="AB100" s="14" t="n">
        <f aca="false">IF(5&gt;$A100,0,IF(5=$A100,MAX(End_q,Floor_q),MAX(AC100+Cost_round*IF(6&lt;=$B100,1,0)-H100,IF(6&lt;=$B100,1,0)*Pre_q,Floor_q)))</f>
        <v>350</v>
      </c>
      <c r="AC100" s="14" t="n">
        <f aca="false">IF(6&gt;$A100,0,IF(6=$A100,MAX(End_q,Floor_q),MAX(AD100+Cost_round*IF(7&lt;=$B100,1,0)-I100,IF(7&lt;=$B100,1,0)*Pre_q,Floor_q)))</f>
        <v>350</v>
      </c>
      <c r="AD100" s="14" t="n">
        <f aca="false">IF(7&gt;$A100,0,IF(7=$A100,MAX(End_q,Floor_q),MAX(AE100+Cost_round*IF(8&lt;=$B100,1,0)-J100,IF(8&lt;=$B100,1,0)*Pre_q,Floor_q)))</f>
        <v>350</v>
      </c>
      <c r="AE100" s="14" t="n">
        <f aca="false">IF(8&gt;$A100,0,IF(8=$A100,MAX(End_q,Floor_q),MAX(AF100+Cost_round*IF(9&lt;=$B100,1,0)-K100,IF(9&lt;=$B100,1,0)*Pre_q,Floor_q)))</f>
        <v>350</v>
      </c>
      <c r="AF100" s="14" t="n">
        <f aca="false">IF(9&gt;$A100,0,IF(9=$A100,MAX(End_q,Floor_q),MAX(AG100+Cost_round*IF(10&lt;=$B100,1,0)-L100,IF(10&lt;=$B100,1,0)*Pre_q,Floor_q)))</f>
        <v>350</v>
      </c>
      <c r="AG100" s="14" t="n">
        <f aca="false">IF(10&gt;$A100,0,IF(10=$A100,MAX(End_q,Floor_q),MAX(AH100+Cost_round*IF(11&lt;=$B100,1,0)-M100,IF(11&lt;=$B100,1,0)*Pre_q,Floor_q)))</f>
        <v>350</v>
      </c>
      <c r="AH100" s="14" t="n">
        <f aca="false">IF(11&gt;$A100,0,IF(11=$A100,MAX(End_q,Floor_q),MAX(AI100+Cost_round*IF(12&lt;=$B100,1,0)-N100,IF(12&lt;=$B100,1,0)*Pre_q,Floor_q)))</f>
        <v>350</v>
      </c>
      <c r="AI100" s="14" t="n">
        <f aca="false">IF(12&gt;$A100,0,IF(12=$A100,MAX(End_q,Floor_q),MAX(AJ100+Cost_round*IF(13&lt;=$B100,1,0)-O100,IF(13&lt;=$B100,1,0)*Pre_q,Floor_q)))</f>
        <v>350</v>
      </c>
      <c r="AJ100" s="14" t="n">
        <f aca="false">IF(13&gt;$A100,0,IF(13=$A100,MAX(End_q,Floor_q),MAX(AK100+Cost_round*IF(14&lt;=$B100,1,0)-P100,IF(14&lt;=$B100,1,0)*Pre_q,Floor_q)))</f>
        <v>400</v>
      </c>
      <c r="AK100" s="14" t="n">
        <f aca="false">IF(14&gt;$A100,0,IF(14=$A100,MAX(End_q,Floor_q),MAX(AL100+Cost_round*IF(15&lt;=$B100,1,0)-Q100,IF(15&lt;=$B100,1,0)*Pre_q,Floor_q)))</f>
        <v>470</v>
      </c>
      <c r="AL100" s="14" t="n">
        <f aca="false">IF(15&gt;$A100,0,IF(15=$A100,MAX(End_q,Floor_q),MAX(AM100+Cost_round*IF(16&lt;=$B100,1,0)-R100,IF(16&lt;=$B100,1,0)*Pre_q,Floor_q)))</f>
        <v>0</v>
      </c>
      <c r="AM100" s="14" t="n">
        <f aca="false">IF(16&gt;$A100,0,IF(16=$A100,MAX(End_q,Floor_q),MAX(AN100+Cost_round*IF(17&lt;=$B100,1,0)-S100,IF(17&lt;=$B100,1,0)*Pre_q,Floor_q)))</f>
        <v>0</v>
      </c>
      <c r="AN100" s="14" t="n">
        <f aca="false">IF(17&gt;$A100,0,IF(17=$A100,MAX(End_q,Floor_q),MAX(AO100+Cost_round*IF(18&lt;=$B100,1,0)-T100,IF(18&lt;=$B100,1,0)*Pre_q,Floor_q)))</f>
        <v>0</v>
      </c>
      <c r="AO100" s="14" t="n">
        <f aca="false">IF(18&gt;$A100,0,IF(18=$A100,MAX(End_q,Floor_q),MAX(AP100+Cost_round*IF(19&lt;=$B100,1,0)-U100,IF(19&lt;=$B100,1,0)*Pre_q,Floor_q)))</f>
        <v>0</v>
      </c>
      <c r="AP100" s="14" t="n">
        <f aca="false">IF(19&gt;$A100,0,IF(19=$A100,MAX(End_q,Floor_q),MAX(AQ100+Cost_round*IF(20&lt;=$B100,1,0)-V100,IF(20&lt;=$B100,1,0)*Pre_q,Floor_q)))</f>
        <v>0</v>
      </c>
      <c r="AQ100" s="14" t="n">
        <f aca="false">IF(20&gt;$A100,0,MAX(End_q,Floor_q))</f>
        <v>0</v>
      </c>
      <c r="AR100" s="15" t="n">
        <f aca="false">IF(Q_zero&gt;=W100-0.000000001,1,0)</f>
        <v>1</v>
      </c>
      <c r="AS100" s="14" t="n">
        <f aca="false">IF(1&gt;$A100,0,Q_zero-Cost_round*IF(1&lt;=$B100,1,0)+C100-X100)</f>
        <v>220</v>
      </c>
      <c r="AT100" s="14" t="n">
        <f aca="false">IF(2&gt;$A100,0,X100-Cost_round*IF(2&lt;=$B100,1,0)+D100-Y100)</f>
        <v>70</v>
      </c>
      <c r="AU100" s="14" t="n">
        <f aca="false">IF(3&gt;$A100,0,Y100-Cost_round*IF(3&lt;=$B100,1,0)+E100-Z100)</f>
        <v>70</v>
      </c>
      <c r="AV100" s="14" t="n">
        <f aca="false">IF(4&gt;$A100,0,Z100-Cost_round*IF(4&lt;=$B100,1,0)+F100-AA100)</f>
        <v>70</v>
      </c>
      <c r="AW100" s="14" t="n">
        <f aca="false">IF(5&gt;$A100,0,AA100-Cost_round*IF(5&lt;=$B100,1,0)+G100-AB100)</f>
        <v>70</v>
      </c>
      <c r="AX100" s="14" t="n">
        <f aca="false">IF(6&gt;$A100,0,AB100-Cost_round*IF(6&lt;=$B100,1,0)+H100-AC100)</f>
        <v>70</v>
      </c>
      <c r="AY100" s="14" t="n">
        <f aca="false">IF(7&gt;$A100,0,AC100-Cost_round*IF(7&lt;=$B100,1,0)+I100-AD100)</f>
        <v>70</v>
      </c>
      <c r="AZ100" s="14" t="n">
        <f aca="false">IF(8&gt;$A100,0,AD100-Cost_round*IF(8&lt;=$B100,1,0)+J100-AE100)</f>
        <v>70</v>
      </c>
      <c r="BA100" s="14" t="n">
        <f aca="false">IF(9&gt;$A100,0,AE100-Cost_round*IF(9&lt;=$B100,1,0)+K100-AF100)</f>
        <v>70</v>
      </c>
      <c r="BB100" s="14" t="n">
        <f aca="false">IF(10&gt;$A100,0,AF100-Cost_round*IF(10&lt;=$B100,1,0)+L100-AG100)</f>
        <v>70</v>
      </c>
      <c r="BC100" s="14" t="n">
        <f aca="false">IF(11&gt;$A100,0,AG100-Cost_round*IF(11&lt;=$B100,1,0)+M100-AH100)</f>
        <v>70</v>
      </c>
      <c r="BD100" s="14" t="n">
        <f aca="false">IF(12&gt;$A100,0,AH100-Cost_round*IF(12&lt;=$B100,1,0)+N100-AI100)</f>
        <v>70</v>
      </c>
      <c r="BE100" s="14" t="n">
        <f aca="false">IF(13&gt;$A100,0,AI100-Cost_round*IF(13&lt;=$B100,1,0)+O100-AJ100)</f>
        <v>20</v>
      </c>
      <c r="BF100" s="14" t="n">
        <f aca="false">IF(14&gt;$A100,0,AJ100-Cost_round*IF(14&lt;=$B100,1,0)+P100-AK100)</f>
        <v>0</v>
      </c>
      <c r="BG100" s="14" t="n">
        <f aca="false">IF(15&gt;$A100,0,AK100-Cost_round*IF(15&lt;=$B100,1,0)+Q100-AL100)</f>
        <v>0</v>
      </c>
      <c r="BH100" s="14" t="n">
        <f aca="false">IF(16&gt;$A100,0,AL100-Cost_round*IF(16&lt;=$B100,1,0)+R100-AM100)</f>
        <v>0</v>
      </c>
      <c r="BI100" s="14" t="n">
        <f aca="false">IF(17&gt;$A100,0,AM100-Cost_round*IF(17&lt;=$B100,1,0)+S100-AN100)</f>
        <v>0</v>
      </c>
      <c r="BJ100" s="14" t="n">
        <f aca="false">IF(18&gt;$A100,0,AN100-Cost_round*IF(18&lt;=$B100,1,0)+T100-AO100)</f>
        <v>0</v>
      </c>
      <c r="BK100" s="14" t="n">
        <f aca="false">IF(19&gt;$A100,0,AO100-Cost_round*IF(19&lt;=$B100,1,0)+U100-AP100)</f>
        <v>0</v>
      </c>
      <c r="BL100" s="14" t="n">
        <f aca="false">IF(20&gt;$A100,0,AP100-Cost_round*IF(20&lt;=$B100,1,0)+V100-AQ100)</f>
        <v>0</v>
      </c>
      <c r="BM100" s="17" t="n">
        <f aca="false">IF($AR100=1,SUMPRODUCT(AS100:BL100,$AS$38:$BL$38),"")</f>
        <v>619.11535156112</v>
      </c>
      <c r="BN100" s="17" t="n">
        <f aca="false">IF($AR100=1,BM100+INDEX($AS$38:$BL$38,$A100)*INDEX(C100:V100,$A100)/Hurdle_r,"")</f>
        <v>803.447229575376</v>
      </c>
    </row>
    <row r="101" customFormat="false" ht="15" hidden="false" customHeight="false" outlineLevel="0" collapsed="false">
      <c r="A101" s="2" t="n">
        <v>14</v>
      </c>
      <c r="B101" s="2" t="n">
        <v>2</v>
      </c>
      <c r="C101" s="14" t="n">
        <f aca="false">IF(1&gt;$A101,0,Val_pt*(Ceiling_e-E_zero)*(1-(1-Half_gap)^MIN(1,$B101)))</f>
        <v>70</v>
      </c>
      <c r="D101" s="14" t="n">
        <f aca="false">IF(2&gt;$A101,0,Val_pt*(Ceiling_e-E_zero)*(1-(1-Half_gap)^MIN(2,$B101)))</f>
        <v>105</v>
      </c>
      <c r="E101" s="14" t="n">
        <f aca="false">IF(3&gt;$A101,0,Val_pt*(Ceiling_e-E_zero)*(1-(1-Half_gap)^MIN(3,$B101)))</f>
        <v>105</v>
      </c>
      <c r="F101" s="14" t="n">
        <f aca="false">IF(4&gt;$A101,0,Val_pt*(Ceiling_e-E_zero)*(1-(1-Half_gap)^MIN(4,$B101)))</f>
        <v>105</v>
      </c>
      <c r="G101" s="14" t="n">
        <f aca="false">IF(5&gt;$A101,0,Val_pt*(Ceiling_e-E_zero)*(1-(1-Half_gap)^MIN(5,$B101)))</f>
        <v>105</v>
      </c>
      <c r="H101" s="14" t="n">
        <f aca="false">IF(6&gt;$A101,0,Val_pt*(Ceiling_e-E_zero)*(1-(1-Half_gap)^MIN(6,$B101)))</f>
        <v>105</v>
      </c>
      <c r="I101" s="14" t="n">
        <f aca="false">IF(7&gt;$A101,0,Val_pt*(Ceiling_e-E_zero)*(1-(1-Half_gap)^MIN(7,$B101)))</f>
        <v>105</v>
      </c>
      <c r="J101" s="14" t="n">
        <f aca="false">IF(8&gt;$A101,0,Val_pt*(Ceiling_e-E_zero)*(1-(1-Half_gap)^MIN(8,$B101)))</f>
        <v>105</v>
      </c>
      <c r="K101" s="14" t="n">
        <f aca="false">IF(9&gt;$A101,0,Val_pt*(Ceiling_e-E_zero)*(1-(1-Half_gap)^MIN(9,$B101)))</f>
        <v>105</v>
      </c>
      <c r="L101" s="14" t="n">
        <f aca="false">IF(10&gt;$A101,0,Val_pt*(Ceiling_e-E_zero)*(1-(1-Half_gap)^MIN(10,$B101)))</f>
        <v>105</v>
      </c>
      <c r="M101" s="14" t="n">
        <f aca="false">IF(11&gt;$A101,0,Val_pt*(Ceiling_e-E_zero)*(1-(1-Half_gap)^MIN(11,$B101)))</f>
        <v>105</v>
      </c>
      <c r="N101" s="14" t="n">
        <f aca="false">IF(12&gt;$A101,0,Val_pt*(Ceiling_e-E_zero)*(1-(1-Half_gap)^MIN(12,$B101)))</f>
        <v>105</v>
      </c>
      <c r="O101" s="14" t="n">
        <f aca="false">IF(13&gt;$A101,0,Val_pt*(Ceiling_e-E_zero)*(1-(1-Half_gap)^MIN(13,$B101)))</f>
        <v>105</v>
      </c>
      <c r="P101" s="14" t="n">
        <f aca="false">IF(14&gt;$A101,0,Val_pt*(Ceiling_e-E_zero)*(1-(1-Half_gap)^MIN(14,$B101)))</f>
        <v>105</v>
      </c>
      <c r="Q101" s="14" t="n">
        <f aca="false">IF(15&gt;$A101,0,Val_pt*(Ceiling_e-E_zero)*(1-(1-Half_gap)^MIN(15,$B101)))</f>
        <v>0</v>
      </c>
      <c r="R101" s="14" t="n">
        <f aca="false">IF(16&gt;$A101,0,Val_pt*(Ceiling_e-E_zero)*(1-(1-Half_gap)^MIN(16,$B101)))</f>
        <v>0</v>
      </c>
      <c r="S101" s="14" t="n">
        <f aca="false">IF(17&gt;$A101,0,Val_pt*(Ceiling_e-E_zero)*(1-(1-Half_gap)^MIN(17,$B101)))</f>
        <v>0</v>
      </c>
      <c r="T101" s="14" t="n">
        <f aca="false">IF(18&gt;$A101,0,Val_pt*(Ceiling_e-E_zero)*(1-(1-Half_gap)^MIN(18,$B101)))</f>
        <v>0</v>
      </c>
      <c r="U101" s="14" t="n">
        <f aca="false">IF(19&gt;$A101,0,Val_pt*(Ceiling_e-E_zero)*(1-(1-Half_gap)^MIN(19,$B101)))</f>
        <v>0</v>
      </c>
      <c r="V101" s="14" t="n">
        <f aca="false">IF(20&gt;$A101,0,Val_pt*(Ceiling_e-E_zero)*(1-(1-Half_gap)^MIN(20,$B101)))</f>
        <v>0</v>
      </c>
      <c r="W101" s="14" t="n">
        <f aca="false">IF(0&gt;$A101,0,IF(0=$A101,MAX(End_q,Floor_q),MAX(X101+Cost_round*IF(1&lt;=$B101,1,0)-C101,IF(1&lt;=$B101,1,0)*Pre_q)))</f>
        <v>520</v>
      </c>
      <c r="X101" s="14" t="n">
        <f aca="false">IF(1&gt;$A101,0,IF(1=$A101,MAX(End_q,Floor_q),MAX(Y101+Cost_round*IF(2&lt;=$B101,1,0)-D101,IF(2&lt;=$B101,1,0)*Pre_q,Floor_q)))</f>
        <v>470</v>
      </c>
      <c r="Y101" s="14" t="n">
        <f aca="false">IF(2&gt;$A101,0,IF(2=$A101,MAX(End_q,Floor_q),MAX(Z101+Cost_round*IF(3&lt;=$B101,1,0)-E101,IF(3&lt;=$B101,1,0)*Pre_q,Floor_q)))</f>
        <v>350</v>
      </c>
      <c r="Z101" s="14" t="n">
        <f aca="false">IF(3&gt;$A101,0,IF(3=$A101,MAX(End_q,Floor_q),MAX(AA101+Cost_round*IF(4&lt;=$B101,1,0)-F101,IF(4&lt;=$B101,1,0)*Pre_q,Floor_q)))</f>
        <v>350</v>
      </c>
      <c r="AA101" s="14" t="n">
        <f aca="false">IF(4&gt;$A101,0,IF(4=$A101,MAX(End_q,Floor_q),MAX(AB101+Cost_round*IF(5&lt;=$B101,1,0)-G101,IF(5&lt;=$B101,1,0)*Pre_q,Floor_q)))</f>
        <v>350</v>
      </c>
      <c r="AB101" s="14" t="n">
        <f aca="false">IF(5&gt;$A101,0,IF(5=$A101,MAX(End_q,Floor_q),MAX(AC101+Cost_round*IF(6&lt;=$B101,1,0)-H101,IF(6&lt;=$B101,1,0)*Pre_q,Floor_q)))</f>
        <v>350</v>
      </c>
      <c r="AC101" s="14" t="n">
        <f aca="false">IF(6&gt;$A101,0,IF(6=$A101,MAX(End_q,Floor_q),MAX(AD101+Cost_round*IF(7&lt;=$B101,1,0)-I101,IF(7&lt;=$B101,1,0)*Pre_q,Floor_q)))</f>
        <v>350</v>
      </c>
      <c r="AD101" s="14" t="n">
        <f aca="false">IF(7&gt;$A101,0,IF(7=$A101,MAX(End_q,Floor_q),MAX(AE101+Cost_round*IF(8&lt;=$B101,1,0)-J101,IF(8&lt;=$B101,1,0)*Pre_q,Floor_q)))</f>
        <v>350</v>
      </c>
      <c r="AE101" s="14" t="n">
        <f aca="false">IF(8&gt;$A101,0,IF(8=$A101,MAX(End_q,Floor_q),MAX(AF101+Cost_round*IF(9&lt;=$B101,1,0)-K101,IF(9&lt;=$B101,1,0)*Pre_q,Floor_q)))</f>
        <v>350</v>
      </c>
      <c r="AF101" s="14" t="n">
        <f aca="false">IF(9&gt;$A101,0,IF(9=$A101,MAX(End_q,Floor_q),MAX(AG101+Cost_round*IF(10&lt;=$B101,1,0)-L101,IF(10&lt;=$B101,1,0)*Pre_q,Floor_q)))</f>
        <v>350</v>
      </c>
      <c r="AG101" s="14" t="n">
        <f aca="false">IF(10&gt;$A101,0,IF(10=$A101,MAX(End_q,Floor_q),MAX(AH101+Cost_round*IF(11&lt;=$B101,1,0)-M101,IF(11&lt;=$B101,1,0)*Pre_q,Floor_q)))</f>
        <v>350</v>
      </c>
      <c r="AH101" s="14" t="n">
        <f aca="false">IF(11&gt;$A101,0,IF(11=$A101,MAX(End_q,Floor_q),MAX(AI101+Cost_round*IF(12&lt;=$B101,1,0)-N101,IF(12&lt;=$B101,1,0)*Pre_q,Floor_q)))</f>
        <v>350</v>
      </c>
      <c r="AI101" s="14" t="n">
        <f aca="false">IF(12&gt;$A101,0,IF(12=$A101,MAX(End_q,Floor_q),MAX(AJ101+Cost_round*IF(13&lt;=$B101,1,0)-O101,IF(13&lt;=$B101,1,0)*Pre_q,Floor_q)))</f>
        <v>350</v>
      </c>
      <c r="AJ101" s="14" t="n">
        <f aca="false">IF(13&gt;$A101,0,IF(13=$A101,MAX(End_q,Floor_q),MAX(AK101+Cost_round*IF(14&lt;=$B101,1,0)-P101,IF(14&lt;=$B101,1,0)*Pre_q,Floor_q)))</f>
        <v>365</v>
      </c>
      <c r="AK101" s="14" t="n">
        <f aca="false">IF(14&gt;$A101,0,IF(14=$A101,MAX(End_q,Floor_q),MAX(AL101+Cost_round*IF(15&lt;=$B101,1,0)-Q101,IF(15&lt;=$B101,1,0)*Pre_q,Floor_q)))</f>
        <v>470</v>
      </c>
      <c r="AL101" s="14" t="n">
        <f aca="false">IF(15&gt;$A101,0,IF(15=$A101,MAX(End_q,Floor_q),MAX(AM101+Cost_round*IF(16&lt;=$B101,1,0)-R101,IF(16&lt;=$B101,1,0)*Pre_q,Floor_q)))</f>
        <v>0</v>
      </c>
      <c r="AM101" s="14" t="n">
        <f aca="false">IF(16&gt;$A101,0,IF(16=$A101,MAX(End_q,Floor_q),MAX(AN101+Cost_round*IF(17&lt;=$B101,1,0)-S101,IF(17&lt;=$B101,1,0)*Pre_q,Floor_q)))</f>
        <v>0</v>
      </c>
      <c r="AN101" s="14" t="n">
        <f aca="false">IF(17&gt;$A101,0,IF(17=$A101,MAX(End_q,Floor_q),MAX(AO101+Cost_round*IF(18&lt;=$B101,1,0)-T101,IF(18&lt;=$B101,1,0)*Pre_q,Floor_q)))</f>
        <v>0</v>
      </c>
      <c r="AO101" s="14" t="n">
        <f aca="false">IF(18&gt;$A101,0,IF(18=$A101,MAX(End_q,Floor_q),MAX(AP101+Cost_round*IF(19&lt;=$B101,1,0)-U101,IF(19&lt;=$B101,1,0)*Pre_q,Floor_q)))</f>
        <v>0</v>
      </c>
      <c r="AP101" s="14" t="n">
        <f aca="false">IF(19&gt;$A101,0,IF(19=$A101,MAX(End_q,Floor_q),MAX(AQ101+Cost_round*IF(20&lt;=$B101,1,0)-V101,IF(20&lt;=$B101,1,0)*Pre_q,Floor_q)))</f>
        <v>0</v>
      </c>
      <c r="AQ101" s="14" t="n">
        <f aca="false">IF(20&gt;$A101,0,MAX(End_q,Floor_q))</f>
        <v>0</v>
      </c>
      <c r="AR101" s="15" t="n">
        <f aca="false">IF(Q_zero&gt;=W101-0.000000001,1,0)</f>
        <v>1</v>
      </c>
      <c r="AS101" s="14" t="n">
        <f aca="false">IF(1&gt;$A101,0,Q_zero-Cost_round*IF(1&lt;=$B101,1,0)+C101-X101)</f>
        <v>100</v>
      </c>
      <c r="AT101" s="14" t="n">
        <f aca="false">IF(2&gt;$A101,0,X101-Cost_round*IF(2&lt;=$B101,1,0)+D101-Y101)</f>
        <v>105</v>
      </c>
      <c r="AU101" s="14" t="n">
        <f aca="false">IF(3&gt;$A101,0,Y101-Cost_round*IF(3&lt;=$B101,1,0)+E101-Z101)</f>
        <v>105</v>
      </c>
      <c r="AV101" s="14" t="n">
        <f aca="false">IF(4&gt;$A101,0,Z101-Cost_round*IF(4&lt;=$B101,1,0)+F101-AA101)</f>
        <v>105</v>
      </c>
      <c r="AW101" s="14" t="n">
        <f aca="false">IF(5&gt;$A101,0,AA101-Cost_round*IF(5&lt;=$B101,1,0)+G101-AB101)</f>
        <v>105</v>
      </c>
      <c r="AX101" s="14" t="n">
        <f aca="false">IF(6&gt;$A101,0,AB101-Cost_round*IF(6&lt;=$B101,1,0)+H101-AC101)</f>
        <v>105</v>
      </c>
      <c r="AY101" s="14" t="n">
        <f aca="false">IF(7&gt;$A101,0,AC101-Cost_round*IF(7&lt;=$B101,1,0)+I101-AD101)</f>
        <v>105</v>
      </c>
      <c r="AZ101" s="14" t="n">
        <f aca="false">IF(8&gt;$A101,0,AD101-Cost_round*IF(8&lt;=$B101,1,0)+J101-AE101)</f>
        <v>105</v>
      </c>
      <c r="BA101" s="14" t="n">
        <f aca="false">IF(9&gt;$A101,0,AE101-Cost_round*IF(9&lt;=$B101,1,0)+K101-AF101)</f>
        <v>105</v>
      </c>
      <c r="BB101" s="14" t="n">
        <f aca="false">IF(10&gt;$A101,0,AF101-Cost_round*IF(10&lt;=$B101,1,0)+L101-AG101)</f>
        <v>105</v>
      </c>
      <c r="BC101" s="14" t="n">
        <f aca="false">IF(11&gt;$A101,0,AG101-Cost_round*IF(11&lt;=$B101,1,0)+M101-AH101)</f>
        <v>105</v>
      </c>
      <c r="BD101" s="14" t="n">
        <f aca="false">IF(12&gt;$A101,0,AH101-Cost_round*IF(12&lt;=$B101,1,0)+N101-AI101)</f>
        <v>105</v>
      </c>
      <c r="BE101" s="14" t="n">
        <f aca="false">IF(13&gt;$A101,0,AI101-Cost_round*IF(13&lt;=$B101,1,0)+O101-AJ101)</f>
        <v>90</v>
      </c>
      <c r="BF101" s="14" t="n">
        <f aca="false">IF(14&gt;$A101,0,AJ101-Cost_round*IF(14&lt;=$B101,1,0)+P101-AK101)</f>
        <v>0</v>
      </c>
      <c r="BG101" s="14" t="n">
        <f aca="false">IF(15&gt;$A101,0,AK101-Cost_round*IF(15&lt;=$B101,1,0)+Q101-AL101)</f>
        <v>0</v>
      </c>
      <c r="BH101" s="14" t="n">
        <f aca="false">IF(16&gt;$A101,0,AL101-Cost_round*IF(16&lt;=$B101,1,0)+R101-AM101)</f>
        <v>0</v>
      </c>
      <c r="BI101" s="14" t="n">
        <f aca="false">IF(17&gt;$A101,0,AM101-Cost_round*IF(17&lt;=$B101,1,0)+S101-AN101)</f>
        <v>0</v>
      </c>
      <c r="BJ101" s="14" t="n">
        <f aca="false">IF(18&gt;$A101,0,AN101-Cost_round*IF(18&lt;=$B101,1,0)+T101-AO101)</f>
        <v>0</v>
      </c>
      <c r="BK101" s="14" t="n">
        <f aca="false">IF(19&gt;$A101,0,AO101-Cost_round*IF(19&lt;=$B101,1,0)+U101-AP101)</f>
        <v>0</v>
      </c>
      <c r="BL101" s="14" t="n">
        <f aca="false">IF(20&gt;$A101,0,AP101-Cost_round*IF(20&lt;=$B101,1,0)+V101-AQ101)</f>
        <v>0</v>
      </c>
      <c r="BM101" s="17" t="n">
        <f aca="false">IF($AR101=1,SUMPRODUCT(AS101:BL101,$AS$38:$BL$38),"")</f>
        <v>736.961981034973</v>
      </c>
      <c r="BN101" s="17" t="n">
        <f aca="false">IF($AR101=1,BM101+INDEX($AS$38:$BL$38,$A101)*INDEX(C101:V101,$A101)/Hurdle_r,"")</f>
        <v>1013.45979805636</v>
      </c>
    </row>
    <row r="102" customFormat="false" ht="15" hidden="false" customHeight="false" outlineLevel="0" collapsed="false">
      <c r="A102" s="2" t="n">
        <v>14</v>
      </c>
      <c r="B102" s="2" t="n">
        <v>3</v>
      </c>
      <c r="C102" s="14" t="n">
        <f aca="false">IF(1&gt;$A102,0,Val_pt*(Ceiling_e-E_zero)*(1-(1-Half_gap)^MIN(1,$B102)))</f>
        <v>70</v>
      </c>
      <c r="D102" s="14" t="n">
        <f aca="false">IF(2&gt;$A102,0,Val_pt*(Ceiling_e-E_zero)*(1-(1-Half_gap)^MIN(2,$B102)))</f>
        <v>105</v>
      </c>
      <c r="E102" s="14" t="n">
        <f aca="false">IF(3&gt;$A102,0,Val_pt*(Ceiling_e-E_zero)*(1-(1-Half_gap)^MIN(3,$B102)))</f>
        <v>122.5</v>
      </c>
      <c r="F102" s="14" t="n">
        <f aca="false">IF(4&gt;$A102,0,Val_pt*(Ceiling_e-E_zero)*(1-(1-Half_gap)^MIN(4,$B102)))</f>
        <v>122.5</v>
      </c>
      <c r="G102" s="14" t="n">
        <f aca="false">IF(5&gt;$A102,0,Val_pt*(Ceiling_e-E_zero)*(1-(1-Half_gap)^MIN(5,$B102)))</f>
        <v>122.5</v>
      </c>
      <c r="H102" s="14" t="n">
        <f aca="false">IF(6&gt;$A102,0,Val_pt*(Ceiling_e-E_zero)*(1-(1-Half_gap)^MIN(6,$B102)))</f>
        <v>122.5</v>
      </c>
      <c r="I102" s="14" t="n">
        <f aca="false">IF(7&gt;$A102,0,Val_pt*(Ceiling_e-E_zero)*(1-(1-Half_gap)^MIN(7,$B102)))</f>
        <v>122.5</v>
      </c>
      <c r="J102" s="14" t="n">
        <f aca="false">IF(8&gt;$A102,0,Val_pt*(Ceiling_e-E_zero)*(1-(1-Half_gap)^MIN(8,$B102)))</f>
        <v>122.5</v>
      </c>
      <c r="K102" s="14" t="n">
        <f aca="false">IF(9&gt;$A102,0,Val_pt*(Ceiling_e-E_zero)*(1-(1-Half_gap)^MIN(9,$B102)))</f>
        <v>122.5</v>
      </c>
      <c r="L102" s="14" t="n">
        <f aca="false">IF(10&gt;$A102,0,Val_pt*(Ceiling_e-E_zero)*(1-(1-Half_gap)^MIN(10,$B102)))</f>
        <v>122.5</v>
      </c>
      <c r="M102" s="14" t="n">
        <f aca="false">IF(11&gt;$A102,0,Val_pt*(Ceiling_e-E_zero)*(1-(1-Half_gap)^MIN(11,$B102)))</f>
        <v>122.5</v>
      </c>
      <c r="N102" s="14" t="n">
        <f aca="false">IF(12&gt;$A102,0,Val_pt*(Ceiling_e-E_zero)*(1-(1-Half_gap)^MIN(12,$B102)))</f>
        <v>122.5</v>
      </c>
      <c r="O102" s="14" t="n">
        <f aca="false">IF(13&gt;$A102,0,Val_pt*(Ceiling_e-E_zero)*(1-(1-Half_gap)^MIN(13,$B102)))</f>
        <v>122.5</v>
      </c>
      <c r="P102" s="14" t="n">
        <f aca="false">IF(14&gt;$A102,0,Val_pt*(Ceiling_e-E_zero)*(1-(1-Half_gap)^MIN(14,$B102)))</f>
        <v>122.5</v>
      </c>
      <c r="Q102" s="14" t="n">
        <f aca="false">IF(15&gt;$A102,0,Val_pt*(Ceiling_e-E_zero)*(1-(1-Half_gap)^MIN(15,$B102)))</f>
        <v>0</v>
      </c>
      <c r="R102" s="14" t="n">
        <f aca="false">IF(16&gt;$A102,0,Val_pt*(Ceiling_e-E_zero)*(1-(1-Half_gap)^MIN(16,$B102)))</f>
        <v>0</v>
      </c>
      <c r="S102" s="14" t="n">
        <f aca="false">IF(17&gt;$A102,0,Val_pt*(Ceiling_e-E_zero)*(1-(1-Half_gap)^MIN(17,$B102)))</f>
        <v>0</v>
      </c>
      <c r="T102" s="14" t="n">
        <f aca="false">IF(18&gt;$A102,0,Val_pt*(Ceiling_e-E_zero)*(1-(1-Half_gap)^MIN(18,$B102)))</f>
        <v>0</v>
      </c>
      <c r="U102" s="14" t="n">
        <f aca="false">IF(19&gt;$A102,0,Val_pt*(Ceiling_e-E_zero)*(1-(1-Half_gap)^MIN(19,$B102)))</f>
        <v>0</v>
      </c>
      <c r="V102" s="14" t="n">
        <f aca="false">IF(20&gt;$A102,0,Val_pt*(Ceiling_e-E_zero)*(1-(1-Half_gap)^MIN(20,$B102)))</f>
        <v>0</v>
      </c>
      <c r="W102" s="14" t="n">
        <f aca="false">IF(0&gt;$A102,0,IF(0=$A102,MAX(End_q,Floor_q),MAX(X102+Cost_round*IF(1&lt;=$B102,1,0)-C102,IF(1&lt;=$B102,1,0)*Pre_q)))</f>
        <v>535</v>
      </c>
      <c r="X102" s="14" t="n">
        <f aca="false">IF(1&gt;$A102,0,IF(1=$A102,MAX(End_q,Floor_q),MAX(Y102+Cost_round*IF(2&lt;=$B102,1,0)-D102,IF(2&lt;=$B102,1,0)*Pre_q,Floor_q)))</f>
        <v>485</v>
      </c>
      <c r="Y102" s="14" t="n">
        <f aca="false">IF(2&gt;$A102,0,IF(2=$A102,MAX(End_q,Floor_q),MAX(Z102+Cost_round*IF(3&lt;=$B102,1,0)-E102,IF(3&lt;=$B102,1,0)*Pre_q,Floor_q)))</f>
        <v>470</v>
      </c>
      <c r="Z102" s="14" t="n">
        <f aca="false">IF(3&gt;$A102,0,IF(3=$A102,MAX(End_q,Floor_q),MAX(AA102+Cost_round*IF(4&lt;=$B102,1,0)-F102,IF(4&lt;=$B102,1,0)*Pre_q,Floor_q)))</f>
        <v>350</v>
      </c>
      <c r="AA102" s="14" t="n">
        <f aca="false">IF(4&gt;$A102,0,IF(4=$A102,MAX(End_q,Floor_q),MAX(AB102+Cost_round*IF(5&lt;=$B102,1,0)-G102,IF(5&lt;=$B102,1,0)*Pre_q,Floor_q)))</f>
        <v>350</v>
      </c>
      <c r="AB102" s="14" t="n">
        <f aca="false">IF(5&gt;$A102,0,IF(5=$A102,MAX(End_q,Floor_q),MAX(AC102+Cost_round*IF(6&lt;=$B102,1,0)-H102,IF(6&lt;=$B102,1,0)*Pre_q,Floor_q)))</f>
        <v>350</v>
      </c>
      <c r="AC102" s="14" t="n">
        <f aca="false">IF(6&gt;$A102,0,IF(6=$A102,MAX(End_q,Floor_q),MAX(AD102+Cost_round*IF(7&lt;=$B102,1,0)-I102,IF(7&lt;=$B102,1,0)*Pre_q,Floor_q)))</f>
        <v>350</v>
      </c>
      <c r="AD102" s="14" t="n">
        <f aca="false">IF(7&gt;$A102,0,IF(7=$A102,MAX(End_q,Floor_q),MAX(AE102+Cost_round*IF(8&lt;=$B102,1,0)-J102,IF(8&lt;=$B102,1,0)*Pre_q,Floor_q)))</f>
        <v>350</v>
      </c>
      <c r="AE102" s="14" t="n">
        <f aca="false">IF(8&gt;$A102,0,IF(8=$A102,MAX(End_q,Floor_q),MAX(AF102+Cost_round*IF(9&lt;=$B102,1,0)-K102,IF(9&lt;=$B102,1,0)*Pre_q,Floor_q)))</f>
        <v>350</v>
      </c>
      <c r="AF102" s="14" t="n">
        <f aca="false">IF(9&gt;$A102,0,IF(9=$A102,MAX(End_q,Floor_q),MAX(AG102+Cost_round*IF(10&lt;=$B102,1,0)-L102,IF(10&lt;=$B102,1,0)*Pre_q,Floor_q)))</f>
        <v>350</v>
      </c>
      <c r="AG102" s="14" t="n">
        <f aca="false">IF(10&gt;$A102,0,IF(10=$A102,MAX(End_q,Floor_q),MAX(AH102+Cost_round*IF(11&lt;=$B102,1,0)-M102,IF(11&lt;=$B102,1,0)*Pre_q,Floor_q)))</f>
        <v>350</v>
      </c>
      <c r="AH102" s="14" t="n">
        <f aca="false">IF(11&gt;$A102,0,IF(11=$A102,MAX(End_q,Floor_q),MAX(AI102+Cost_round*IF(12&lt;=$B102,1,0)-N102,IF(12&lt;=$B102,1,0)*Pre_q,Floor_q)))</f>
        <v>350</v>
      </c>
      <c r="AI102" s="14" t="n">
        <f aca="false">IF(12&gt;$A102,0,IF(12=$A102,MAX(End_q,Floor_q),MAX(AJ102+Cost_round*IF(13&lt;=$B102,1,0)-O102,IF(13&lt;=$B102,1,0)*Pre_q,Floor_q)))</f>
        <v>350</v>
      </c>
      <c r="AJ102" s="14" t="n">
        <f aca="false">IF(13&gt;$A102,0,IF(13=$A102,MAX(End_q,Floor_q),MAX(AK102+Cost_round*IF(14&lt;=$B102,1,0)-P102,IF(14&lt;=$B102,1,0)*Pre_q,Floor_q)))</f>
        <v>350</v>
      </c>
      <c r="AK102" s="14" t="n">
        <f aca="false">IF(14&gt;$A102,0,IF(14=$A102,MAX(End_q,Floor_q),MAX(AL102+Cost_round*IF(15&lt;=$B102,1,0)-Q102,IF(15&lt;=$B102,1,0)*Pre_q,Floor_q)))</f>
        <v>470</v>
      </c>
      <c r="AL102" s="14" t="n">
        <f aca="false">IF(15&gt;$A102,0,IF(15=$A102,MAX(End_q,Floor_q),MAX(AM102+Cost_round*IF(16&lt;=$B102,1,0)-R102,IF(16&lt;=$B102,1,0)*Pre_q,Floor_q)))</f>
        <v>0</v>
      </c>
      <c r="AM102" s="14" t="n">
        <f aca="false">IF(16&gt;$A102,0,IF(16=$A102,MAX(End_q,Floor_q),MAX(AN102+Cost_round*IF(17&lt;=$B102,1,0)-S102,IF(17&lt;=$B102,1,0)*Pre_q,Floor_q)))</f>
        <v>0</v>
      </c>
      <c r="AN102" s="14" t="n">
        <f aca="false">IF(17&gt;$A102,0,IF(17=$A102,MAX(End_q,Floor_q),MAX(AO102+Cost_round*IF(18&lt;=$B102,1,0)-T102,IF(18&lt;=$B102,1,0)*Pre_q,Floor_q)))</f>
        <v>0</v>
      </c>
      <c r="AO102" s="14" t="n">
        <f aca="false">IF(18&gt;$A102,0,IF(18=$A102,MAX(End_q,Floor_q),MAX(AP102+Cost_round*IF(19&lt;=$B102,1,0)-U102,IF(19&lt;=$B102,1,0)*Pre_q,Floor_q)))</f>
        <v>0</v>
      </c>
      <c r="AP102" s="14" t="n">
        <f aca="false">IF(19&gt;$A102,0,IF(19=$A102,MAX(End_q,Floor_q),MAX(AQ102+Cost_round*IF(20&lt;=$B102,1,0)-V102,IF(20&lt;=$B102,1,0)*Pre_q,Floor_q)))</f>
        <v>0</v>
      </c>
      <c r="AQ102" s="14" t="n">
        <f aca="false">IF(20&gt;$A102,0,MAX(End_q,Floor_q))</f>
        <v>0</v>
      </c>
      <c r="AR102" s="15" t="n">
        <f aca="false">IF(Q_zero&gt;=W102-0.000000001,1,0)</f>
        <v>1</v>
      </c>
      <c r="AS102" s="14" t="n">
        <f aca="false">IF(1&gt;$A102,0,Q_zero-Cost_round*IF(1&lt;=$B102,1,0)+C102-X102)</f>
        <v>85</v>
      </c>
      <c r="AT102" s="14" t="n">
        <f aca="false">IF(2&gt;$A102,0,X102-Cost_round*IF(2&lt;=$B102,1,0)+D102-Y102)</f>
        <v>0</v>
      </c>
      <c r="AU102" s="14" t="n">
        <f aca="false">IF(3&gt;$A102,0,Y102-Cost_round*IF(3&lt;=$B102,1,0)+E102-Z102)</f>
        <v>122.5</v>
      </c>
      <c r="AV102" s="14" t="n">
        <f aca="false">IF(4&gt;$A102,0,Z102-Cost_round*IF(4&lt;=$B102,1,0)+F102-AA102)</f>
        <v>122.5</v>
      </c>
      <c r="AW102" s="14" t="n">
        <f aca="false">IF(5&gt;$A102,0,AA102-Cost_round*IF(5&lt;=$B102,1,0)+G102-AB102)</f>
        <v>122.5</v>
      </c>
      <c r="AX102" s="14" t="n">
        <f aca="false">IF(6&gt;$A102,0,AB102-Cost_round*IF(6&lt;=$B102,1,0)+H102-AC102)</f>
        <v>122.5</v>
      </c>
      <c r="AY102" s="14" t="n">
        <f aca="false">IF(7&gt;$A102,0,AC102-Cost_round*IF(7&lt;=$B102,1,0)+I102-AD102)</f>
        <v>122.5</v>
      </c>
      <c r="AZ102" s="14" t="n">
        <f aca="false">IF(8&gt;$A102,0,AD102-Cost_round*IF(8&lt;=$B102,1,0)+J102-AE102)</f>
        <v>122.5</v>
      </c>
      <c r="BA102" s="14" t="n">
        <f aca="false">IF(9&gt;$A102,0,AE102-Cost_round*IF(9&lt;=$B102,1,0)+K102-AF102)</f>
        <v>122.5</v>
      </c>
      <c r="BB102" s="14" t="n">
        <f aca="false">IF(10&gt;$A102,0,AF102-Cost_round*IF(10&lt;=$B102,1,0)+L102-AG102)</f>
        <v>122.5</v>
      </c>
      <c r="BC102" s="14" t="n">
        <f aca="false">IF(11&gt;$A102,0,AG102-Cost_round*IF(11&lt;=$B102,1,0)+M102-AH102)</f>
        <v>122.5</v>
      </c>
      <c r="BD102" s="14" t="n">
        <f aca="false">IF(12&gt;$A102,0,AH102-Cost_round*IF(12&lt;=$B102,1,0)+N102-AI102)</f>
        <v>122.5</v>
      </c>
      <c r="BE102" s="14" t="n">
        <f aca="false">IF(13&gt;$A102,0,AI102-Cost_round*IF(13&lt;=$B102,1,0)+O102-AJ102)</f>
        <v>122.5</v>
      </c>
      <c r="BF102" s="14" t="n">
        <f aca="false">IF(14&gt;$A102,0,AJ102-Cost_round*IF(14&lt;=$B102,1,0)+P102-AK102)</f>
        <v>2.5</v>
      </c>
      <c r="BG102" s="14" t="n">
        <f aca="false">IF(15&gt;$A102,0,AK102-Cost_round*IF(15&lt;=$B102,1,0)+Q102-AL102)</f>
        <v>0</v>
      </c>
      <c r="BH102" s="14" t="n">
        <f aca="false">IF(16&gt;$A102,0,AL102-Cost_round*IF(16&lt;=$B102,1,0)+R102-AM102)</f>
        <v>0</v>
      </c>
      <c r="BI102" s="14" t="n">
        <f aca="false">IF(17&gt;$A102,0,AM102-Cost_round*IF(17&lt;=$B102,1,0)+S102-AN102)</f>
        <v>0</v>
      </c>
      <c r="BJ102" s="14" t="n">
        <f aca="false">IF(18&gt;$A102,0,AN102-Cost_round*IF(18&lt;=$B102,1,0)+T102-AO102)</f>
        <v>0</v>
      </c>
      <c r="BK102" s="14" t="n">
        <f aca="false">IF(19&gt;$A102,0,AO102-Cost_round*IF(19&lt;=$B102,1,0)+U102-AP102)</f>
        <v>0</v>
      </c>
      <c r="BL102" s="14" t="n">
        <f aca="false">IF(20&gt;$A102,0,AP102-Cost_round*IF(20&lt;=$B102,1,0)+V102-AQ102)</f>
        <v>0</v>
      </c>
      <c r="BM102" s="17" t="n">
        <f aca="false">IF($AR102=1,SUMPRODUCT(AS102:BL102,$AS$38:$BL$38),"")</f>
        <v>735.488884445926</v>
      </c>
      <c r="BN102" s="17" t="n">
        <f aca="false">IF($AR102=1,BM102+INDEX($AS$38:$BL$38,$A102)*INDEX(C102:V102,$A102)/Hurdle_r,"")</f>
        <v>1058.06967097087</v>
      </c>
    </row>
    <row r="103" customFormat="false" ht="15" hidden="false" customHeight="false" outlineLevel="0" collapsed="false">
      <c r="A103" s="2" t="n">
        <v>14</v>
      </c>
      <c r="B103" s="2" t="n">
        <v>4</v>
      </c>
      <c r="C103" s="14" t="n">
        <f aca="false">IF(1&gt;$A103,0,Val_pt*(Ceiling_e-E_zero)*(1-(1-Half_gap)^MIN(1,$B103)))</f>
        <v>70</v>
      </c>
      <c r="D103" s="14" t="n">
        <f aca="false">IF(2&gt;$A103,0,Val_pt*(Ceiling_e-E_zero)*(1-(1-Half_gap)^MIN(2,$B103)))</f>
        <v>105</v>
      </c>
      <c r="E103" s="14" t="n">
        <f aca="false">IF(3&gt;$A103,0,Val_pt*(Ceiling_e-E_zero)*(1-(1-Half_gap)^MIN(3,$B103)))</f>
        <v>122.5</v>
      </c>
      <c r="F103" s="14" t="n">
        <f aca="false">IF(4&gt;$A103,0,Val_pt*(Ceiling_e-E_zero)*(1-(1-Half_gap)^MIN(4,$B103)))</f>
        <v>131.25</v>
      </c>
      <c r="G103" s="14" t="n">
        <f aca="false">IF(5&gt;$A103,0,Val_pt*(Ceiling_e-E_zero)*(1-(1-Half_gap)^MIN(5,$B103)))</f>
        <v>131.25</v>
      </c>
      <c r="H103" s="14" t="n">
        <f aca="false">IF(6&gt;$A103,0,Val_pt*(Ceiling_e-E_zero)*(1-(1-Half_gap)^MIN(6,$B103)))</f>
        <v>131.25</v>
      </c>
      <c r="I103" s="14" t="n">
        <f aca="false">IF(7&gt;$A103,0,Val_pt*(Ceiling_e-E_zero)*(1-(1-Half_gap)^MIN(7,$B103)))</f>
        <v>131.25</v>
      </c>
      <c r="J103" s="14" t="n">
        <f aca="false">IF(8&gt;$A103,0,Val_pt*(Ceiling_e-E_zero)*(1-(1-Half_gap)^MIN(8,$B103)))</f>
        <v>131.25</v>
      </c>
      <c r="K103" s="14" t="n">
        <f aca="false">IF(9&gt;$A103,0,Val_pt*(Ceiling_e-E_zero)*(1-(1-Half_gap)^MIN(9,$B103)))</f>
        <v>131.25</v>
      </c>
      <c r="L103" s="14" t="n">
        <f aca="false">IF(10&gt;$A103,0,Val_pt*(Ceiling_e-E_zero)*(1-(1-Half_gap)^MIN(10,$B103)))</f>
        <v>131.25</v>
      </c>
      <c r="M103" s="14" t="n">
        <f aca="false">IF(11&gt;$A103,0,Val_pt*(Ceiling_e-E_zero)*(1-(1-Half_gap)^MIN(11,$B103)))</f>
        <v>131.25</v>
      </c>
      <c r="N103" s="14" t="n">
        <f aca="false">IF(12&gt;$A103,0,Val_pt*(Ceiling_e-E_zero)*(1-(1-Half_gap)^MIN(12,$B103)))</f>
        <v>131.25</v>
      </c>
      <c r="O103" s="14" t="n">
        <f aca="false">IF(13&gt;$A103,0,Val_pt*(Ceiling_e-E_zero)*(1-(1-Half_gap)^MIN(13,$B103)))</f>
        <v>131.25</v>
      </c>
      <c r="P103" s="14" t="n">
        <f aca="false">IF(14&gt;$A103,0,Val_pt*(Ceiling_e-E_zero)*(1-(1-Half_gap)^MIN(14,$B103)))</f>
        <v>131.25</v>
      </c>
      <c r="Q103" s="14" t="n">
        <f aca="false">IF(15&gt;$A103,0,Val_pt*(Ceiling_e-E_zero)*(1-(1-Half_gap)^MIN(15,$B103)))</f>
        <v>0</v>
      </c>
      <c r="R103" s="14" t="n">
        <f aca="false">IF(16&gt;$A103,0,Val_pt*(Ceiling_e-E_zero)*(1-(1-Half_gap)^MIN(16,$B103)))</f>
        <v>0</v>
      </c>
      <c r="S103" s="14" t="n">
        <f aca="false">IF(17&gt;$A103,0,Val_pt*(Ceiling_e-E_zero)*(1-(1-Half_gap)^MIN(17,$B103)))</f>
        <v>0</v>
      </c>
      <c r="T103" s="14" t="n">
        <f aca="false">IF(18&gt;$A103,0,Val_pt*(Ceiling_e-E_zero)*(1-(1-Half_gap)^MIN(18,$B103)))</f>
        <v>0</v>
      </c>
      <c r="U103" s="14" t="n">
        <f aca="false">IF(19&gt;$A103,0,Val_pt*(Ceiling_e-E_zero)*(1-(1-Half_gap)^MIN(19,$B103)))</f>
        <v>0</v>
      </c>
      <c r="V103" s="14" t="n">
        <f aca="false">IF(20&gt;$A103,0,Val_pt*(Ceiling_e-E_zero)*(1-(1-Half_gap)^MIN(20,$B103)))</f>
        <v>0</v>
      </c>
      <c r="W103" s="14" t="n">
        <f aca="false">IF(0&gt;$A103,0,IF(0=$A103,MAX(End_q,Floor_q),MAX(X103+Cost_round*IF(1&lt;=$B103,1,0)-C103,IF(1&lt;=$B103,1,0)*Pre_q)))</f>
        <v>535</v>
      </c>
      <c r="X103" s="14" t="n">
        <f aca="false">IF(1&gt;$A103,0,IF(1=$A103,MAX(End_q,Floor_q),MAX(Y103+Cost_round*IF(2&lt;=$B103,1,0)-D103,IF(2&lt;=$B103,1,0)*Pre_q,Floor_q)))</f>
        <v>485</v>
      </c>
      <c r="Y103" s="14" t="n">
        <f aca="false">IF(2&gt;$A103,0,IF(2=$A103,MAX(End_q,Floor_q),MAX(Z103+Cost_round*IF(3&lt;=$B103,1,0)-E103,IF(3&lt;=$B103,1,0)*Pre_q,Floor_q)))</f>
        <v>470</v>
      </c>
      <c r="Z103" s="14" t="n">
        <f aca="false">IF(3&gt;$A103,0,IF(3=$A103,MAX(End_q,Floor_q),MAX(AA103+Cost_round*IF(4&lt;=$B103,1,0)-F103,IF(4&lt;=$B103,1,0)*Pre_q,Floor_q)))</f>
        <v>470</v>
      </c>
      <c r="AA103" s="14" t="n">
        <f aca="false">IF(4&gt;$A103,0,IF(4=$A103,MAX(End_q,Floor_q),MAX(AB103+Cost_round*IF(5&lt;=$B103,1,0)-G103,IF(5&lt;=$B103,1,0)*Pre_q,Floor_q)))</f>
        <v>350</v>
      </c>
      <c r="AB103" s="14" t="n">
        <f aca="false">IF(5&gt;$A103,0,IF(5=$A103,MAX(End_q,Floor_q),MAX(AC103+Cost_round*IF(6&lt;=$B103,1,0)-H103,IF(6&lt;=$B103,1,0)*Pre_q,Floor_q)))</f>
        <v>350</v>
      </c>
      <c r="AC103" s="14" t="n">
        <f aca="false">IF(6&gt;$A103,0,IF(6=$A103,MAX(End_q,Floor_q),MAX(AD103+Cost_round*IF(7&lt;=$B103,1,0)-I103,IF(7&lt;=$B103,1,0)*Pre_q,Floor_q)))</f>
        <v>350</v>
      </c>
      <c r="AD103" s="14" t="n">
        <f aca="false">IF(7&gt;$A103,0,IF(7=$A103,MAX(End_q,Floor_q),MAX(AE103+Cost_round*IF(8&lt;=$B103,1,0)-J103,IF(8&lt;=$B103,1,0)*Pre_q,Floor_q)))</f>
        <v>350</v>
      </c>
      <c r="AE103" s="14" t="n">
        <f aca="false">IF(8&gt;$A103,0,IF(8=$A103,MAX(End_q,Floor_q),MAX(AF103+Cost_round*IF(9&lt;=$B103,1,0)-K103,IF(9&lt;=$B103,1,0)*Pre_q,Floor_q)))</f>
        <v>350</v>
      </c>
      <c r="AF103" s="14" t="n">
        <f aca="false">IF(9&gt;$A103,0,IF(9=$A103,MAX(End_q,Floor_q),MAX(AG103+Cost_round*IF(10&lt;=$B103,1,0)-L103,IF(10&lt;=$B103,1,0)*Pre_q,Floor_q)))</f>
        <v>350</v>
      </c>
      <c r="AG103" s="14" t="n">
        <f aca="false">IF(10&gt;$A103,0,IF(10=$A103,MAX(End_q,Floor_q),MAX(AH103+Cost_round*IF(11&lt;=$B103,1,0)-M103,IF(11&lt;=$B103,1,0)*Pre_q,Floor_q)))</f>
        <v>350</v>
      </c>
      <c r="AH103" s="14" t="n">
        <f aca="false">IF(11&gt;$A103,0,IF(11=$A103,MAX(End_q,Floor_q),MAX(AI103+Cost_round*IF(12&lt;=$B103,1,0)-N103,IF(12&lt;=$B103,1,0)*Pre_q,Floor_q)))</f>
        <v>350</v>
      </c>
      <c r="AI103" s="14" t="n">
        <f aca="false">IF(12&gt;$A103,0,IF(12=$A103,MAX(End_q,Floor_q),MAX(AJ103+Cost_round*IF(13&lt;=$B103,1,0)-O103,IF(13&lt;=$B103,1,0)*Pre_q,Floor_q)))</f>
        <v>350</v>
      </c>
      <c r="AJ103" s="14" t="n">
        <f aca="false">IF(13&gt;$A103,0,IF(13=$A103,MAX(End_q,Floor_q),MAX(AK103+Cost_round*IF(14&lt;=$B103,1,0)-P103,IF(14&lt;=$B103,1,0)*Pre_q,Floor_q)))</f>
        <v>350</v>
      </c>
      <c r="AK103" s="14" t="n">
        <f aca="false">IF(14&gt;$A103,0,IF(14=$A103,MAX(End_q,Floor_q),MAX(AL103+Cost_round*IF(15&lt;=$B103,1,0)-Q103,IF(15&lt;=$B103,1,0)*Pre_q,Floor_q)))</f>
        <v>470</v>
      </c>
      <c r="AL103" s="14" t="n">
        <f aca="false">IF(15&gt;$A103,0,IF(15=$A103,MAX(End_q,Floor_q),MAX(AM103+Cost_round*IF(16&lt;=$B103,1,0)-R103,IF(16&lt;=$B103,1,0)*Pre_q,Floor_q)))</f>
        <v>0</v>
      </c>
      <c r="AM103" s="14" t="n">
        <f aca="false">IF(16&gt;$A103,0,IF(16=$A103,MAX(End_q,Floor_q),MAX(AN103+Cost_round*IF(17&lt;=$B103,1,0)-S103,IF(17&lt;=$B103,1,0)*Pre_q,Floor_q)))</f>
        <v>0</v>
      </c>
      <c r="AN103" s="14" t="n">
        <f aca="false">IF(17&gt;$A103,0,IF(17=$A103,MAX(End_q,Floor_q),MAX(AO103+Cost_round*IF(18&lt;=$B103,1,0)-T103,IF(18&lt;=$B103,1,0)*Pre_q,Floor_q)))</f>
        <v>0</v>
      </c>
      <c r="AO103" s="14" t="n">
        <f aca="false">IF(18&gt;$A103,0,IF(18=$A103,MAX(End_q,Floor_q),MAX(AP103+Cost_round*IF(19&lt;=$B103,1,0)-U103,IF(19&lt;=$B103,1,0)*Pre_q,Floor_q)))</f>
        <v>0</v>
      </c>
      <c r="AP103" s="14" t="n">
        <f aca="false">IF(19&gt;$A103,0,IF(19=$A103,MAX(End_q,Floor_q),MAX(AQ103+Cost_round*IF(20&lt;=$B103,1,0)-V103,IF(20&lt;=$B103,1,0)*Pre_q,Floor_q)))</f>
        <v>0</v>
      </c>
      <c r="AQ103" s="14" t="n">
        <f aca="false">IF(20&gt;$A103,0,MAX(End_q,Floor_q))</f>
        <v>0</v>
      </c>
      <c r="AR103" s="15" t="n">
        <f aca="false">IF(Q_zero&gt;=W103-0.000000001,1,0)</f>
        <v>1</v>
      </c>
      <c r="AS103" s="14" t="n">
        <f aca="false">IF(1&gt;$A103,0,Q_zero-Cost_round*IF(1&lt;=$B103,1,0)+C103-X103)</f>
        <v>85</v>
      </c>
      <c r="AT103" s="14" t="n">
        <f aca="false">IF(2&gt;$A103,0,X103-Cost_round*IF(2&lt;=$B103,1,0)+D103-Y103)</f>
        <v>0</v>
      </c>
      <c r="AU103" s="14" t="n">
        <f aca="false">IF(3&gt;$A103,0,Y103-Cost_round*IF(3&lt;=$B103,1,0)+E103-Z103)</f>
        <v>2.5</v>
      </c>
      <c r="AV103" s="14" t="n">
        <f aca="false">IF(4&gt;$A103,0,Z103-Cost_round*IF(4&lt;=$B103,1,0)+F103-AA103)</f>
        <v>131.25</v>
      </c>
      <c r="AW103" s="14" t="n">
        <f aca="false">IF(5&gt;$A103,0,AA103-Cost_round*IF(5&lt;=$B103,1,0)+G103-AB103)</f>
        <v>131.25</v>
      </c>
      <c r="AX103" s="14" t="n">
        <f aca="false">IF(6&gt;$A103,0,AB103-Cost_round*IF(6&lt;=$B103,1,0)+H103-AC103)</f>
        <v>131.25</v>
      </c>
      <c r="AY103" s="14" t="n">
        <f aca="false">IF(7&gt;$A103,0,AC103-Cost_round*IF(7&lt;=$B103,1,0)+I103-AD103)</f>
        <v>131.25</v>
      </c>
      <c r="AZ103" s="14" t="n">
        <f aca="false">IF(8&gt;$A103,0,AD103-Cost_round*IF(8&lt;=$B103,1,0)+J103-AE103)</f>
        <v>131.25</v>
      </c>
      <c r="BA103" s="14" t="n">
        <f aca="false">IF(9&gt;$A103,0,AE103-Cost_round*IF(9&lt;=$B103,1,0)+K103-AF103)</f>
        <v>131.25</v>
      </c>
      <c r="BB103" s="14" t="n">
        <f aca="false">IF(10&gt;$A103,0,AF103-Cost_round*IF(10&lt;=$B103,1,0)+L103-AG103)</f>
        <v>131.25</v>
      </c>
      <c r="BC103" s="14" t="n">
        <f aca="false">IF(11&gt;$A103,0,AG103-Cost_round*IF(11&lt;=$B103,1,0)+M103-AH103)</f>
        <v>131.25</v>
      </c>
      <c r="BD103" s="14" t="n">
        <f aca="false">IF(12&gt;$A103,0,AH103-Cost_round*IF(12&lt;=$B103,1,0)+N103-AI103)</f>
        <v>131.25</v>
      </c>
      <c r="BE103" s="14" t="n">
        <f aca="false">IF(13&gt;$A103,0,AI103-Cost_round*IF(13&lt;=$B103,1,0)+O103-AJ103)</f>
        <v>131.25</v>
      </c>
      <c r="BF103" s="14" t="n">
        <f aca="false">IF(14&gt;$A103,0,AJ103-Cost_round*IF(14&lt;=$B103,1,0)+P103-AK103)</f>
        <v>11.25</v>
      </c>
      <c r="BG103" s="14" t="n">
        <f aca="false">IF(15&gt;$A103,0,AK103-Cost_round*IF(15&lt;=$B103,1,0)+Q103-AL103)</f>
        <v>0</v>
      </c>
      <c r="BH103" s="14" t="n">
        <f aca="false">IF(16&gt;$A103,0,AL103-Cost_round*IF(16&lt;=$B103,1,0)+R103-AM103)</f>
        <v>0</v>
      </c>
      <c r="BI103" s="14" t="n">
        <f aca="false">IF(17&gt;$A103,0,AM103-Cost_round*IF(17&lt;=$B103,1,0)+S103-AN103)</f>
        <v>0</v>
      </c>
      <c r="BJ103" s="14" t="n">
        <f aca="false">IF(18&gt;$A103,0,AN103-Cost_round*IF(18&lt;=$B103,1,0)+T103-AO103)</f>
        <v>0</v>
      </c>
      <c r="BK103" s="14" t="n">
        <f aca="false">IF(19&gt;$A103,0,AO103-Cost_round*IF(19&lt;=$B103,1,0)+U103-AP103)</f>
        <v>0</v>
      </c>
      <c r="BL103" s="14" t="n">
        <f aca="false">IF(20&gt;$A103,0,AP103-Cost_round*IF(20&lt;=$B103,1,0)+V103-AQ103)</f>
        <v>0</v>
      </c>
      <c r="BM103" s="17" t="n">
        <f aca="false">IF($AR103=1,SUMPRODUCT(AS103:BL103,$AS$38:$BL$38),"")</f>
        <v>688.029668664842</v>
      </c>
      <c r="BN103" s="17" t="n">
        <f aca="false">IF($AR103=1,BM103+INDEX($AS$38:$BL$38,$A103)*INDEX(C103:V103,$A103)/Hurdle_r,"")</f>
        <v>1033.65193994157</v>
      </c>
    </row>
    <row r="104" customFormat="false" ht="15" hidden="false" customHeight="false" outlineLevel="0" collapsed="false">
      <c r="A104" s="2" t="n">
        <v>15</v>
      </c>
      <c r="B104" s="2" t="n">
        <v>0</v>
      </c>
      <c r="C104" s="14" t="n">
        <f aca="false">IF(1&gt;$A104,0,Val_pt*(Ceiling_e-E_zero)*(1-(1-Half_gap)^MIN(1,$B104)))</f>
        <v>0</v>
      </c>
      <c r="D104" s="14" t="n">
        <f aca="false">IF(2&gt;$A104,0,Val_pt*(Ceiling_e-E_zero)*(1-(1-Half_gap)^MIN(2,$B104)))</f>
        <v>0</v>
      </c>
      <c r="E104" s="14" t="n">
        <f aca="false">IF(3&gt;$A104,0,Val_pt*(Ceiling_e-E_zero)*(1-(1-Half_gap)^MIN(3,$B104)))</f>
        <v>0</v>
      </c>
      <c r="F104" s="14" t="n">
        <f aca="false">IF(4&gt;$A104,0,Val_pt*(Ceiling_e-E_zero)*(1-(1-Half_gap)^MIN(4,$B104)))</f>
        <v>0</v>
      </c>
      <c r="G104" s="14" t="n">
        <f aca="false">IF(5&gt;$A104,0,Val_pt*(Ceiling_e-E_zero)*(1-(1-Half_gap)^MIN(5,$B104)))</f>
        <v>0</v>
      </c>
      <c r="H104" s="14" t="n">
        <f aca="false">IF(6&gt;$A104,0,Val_pt*(Ceiling_e-E_zero)*(1-(1-Half_gap)^MIN(6,$B104)))</f>
        <v>0</v>
      </c>
      <c r="I104" s="14" t="n">
        <f aca="false">IF(7&gt;$A104,0,Val_pt*(Ceiling_e-E_zero)*(1-(1-Half_gap)^MIN(7,$B104)))</f>
        <v>0</v>
      </c>
      <c r="J104" s="14" t="n">
        <f aca="false">IF(8&gt;$A104,0,Val_pt*(Ceiling_e-E_zero)*(1-(1-Half_gap)^MIN(8,$B104)))</f>
        <v>0</v>
      </c>
      <c r="K104" s="14" t="n">
        <f aca="false">IF(9&gt;$A104,0,Val_pt*(Ceiling_e-E_zero)*(1-(1-Half_gap)^MIN(9,$B104)))</f>
        <v>0</v>
      </c>
      <c r="L104" s="14" t="n">
        <f aca="false">IF(10&gt;$A104,0,Val_pt*(Ceiling_e-E_zero)*(1-(1-Half_gap)^MIN(10,$B104)))</f>
        <v>0</v>
      </c>
      <c r="M104" s="14" t="n">
        <f aca="false">IF(11&gt;$A104,0,Val_pt*(Ceiling_e-E_zero)*(1-(1-Half_gap)^MIN(11,$B104)))</f>
        <v>0</v>
      </c>
      <c r="N104" s="14" t="n">
        <f aca="false">IF(12&gt;$A104,0,Val_pt*(Ceiling_e-E_zero)*(1-(1-Half_gap)^MIN(12,$B104)))</f>
        <v>0</v>
      </c>
      <c r="O104" s="14" t="n">
        <f aca="false">IF(13&gt;$A104,0,Val_pt*(Ceiling_e-E_zero)*(1-(1-Half_gap)^MIN(13,$B104)))</f>
        <v>0</v>
      </c>
      <c r="P104" s="14" t="n">
        <f aca="false">IF(14&gt;$A104,0,Val_pt*(Ceiling_e-E_zero)*(1-(1-Half_gap)^MIN(14,$B104)))</f>
        <v>0</v>
      </c>
      <c r="Q104" s="14" t="n">
        <f aca="false">IF(15&gt;$A104,0,Val_pt*(Ceiling_e-E_zero)*(1-(1-Half_gap)^MIN(15,$B104)))</f>
        <v>0</v>
      </c>
      <c r="R104" s="14" t="n">
        <f aca="false">IF(16&gt;$A104,0,Val_pt*(Ceiling_e-E_zero)*(1-(1-Half_gap)^MIN(16,$B104)))</f>
        <v>0</v>
      </c>
      <c r="S104" s="14" t="n">
        <f aca="false">IF(17&gt;$A104,0,Val_pt*(Ceiling_e-E_zero)*(1-(1-Half_gap)^MIN(17,$B104)))</f>
        <v>0</v>
      </c>
      <c r="T104" s="14" t="n">
        <f aca="false">IF(18&gt;$A104,0,Val_pt*(Ceiling_e-E_zero)*(1-(1-Half_gap)^MIN(18,$B104)))</f>
        <v>0</v>
      </c>
      <c r="U104" s="14" t="n">
        <f aca="false">IF(19&gt;$A104,0,Val_pt*(Ceiling_e-E_zero)*(1-(1-Half_gap)^MIN(19,$B104)))</f>
        <v>0</v>
      </c>
      <c r="V104" s="14" t="n">
        <f aca="false">IF(20&gt;$A104,0,Val_pt*(Ceiling_e-E_zero)*(1-(1-Half_gap)^MIN(20,$B104)))</f>
        <v>0</v>
      </c>
      <c r="W104" s="14" t="n">
        <f aca="false">IF(0&gt;$A104,0,IF(0=$A104,MAX(End_q,Floor_q),MAX(X104+Cost_round*IF(1&lt;=$B104,1,0)-C104,IF(1&lt;=$B104,1,0)*Pre_q)))</f>
        <v>470</v>
      </c>
      <c r="X104" s="14" t="n">
        <f aca="false">IF(1&gt;$A104,0,IF(1=$A104,MAX(End_q,Floor_q),MAX(Y104+Cost_round*IF(2&lt;=$B104,1,0)-D104,IF(2&lt;=$B104,1,0)*Pre_q,Floor_q)))</f>
        <v>470</v>
      </c>
      <c r="Y104" s="14" t="n">
        <f aca="false">IF(2&gt;$A104,0,IF(2=$A104,MAX(End_q,Floor_q),MAX(Z104+Cost_round*IF(3&lt;=$B104,1,0)-E104,IF(3&lt;=$B104,1,0)*Pre_q,Floor_q)))</f>
        <v>470</v>
      </c>
      <c r="Z104" s="14" t="n">
        <f aca="false">IF(3&gt;$A104,0,IF(3=$A104,MAX(End_q,Floor_q),MAX(AA104+Cost_round*IF(4&lt;=$B104,1,0)-F104,IF(4&lt;=$B104,1,0)*Pre_q,Floor_q)))</f>
        <v>470</v>
      </c>
      <c r="AA104" s="14" t="n">
        <f aca="false">IF(4&gt;$A104,0,IF(4=$A104,MAX(End_q,Floor_q),MAX(AB104+Cost_round*IF(5&lt;=$B104,1,0)-G104,IF(5&lt;=$B104,1,0)*Pre_q,Floor_q)))</f>
        <v>470</v>
      </c>
      <c r="AB104" s="14" t="n">
        <f aca="false">IF(5&gt;$A104,0,IF(5=$A104,MAX(End_q,Floor_q),MAX(AC104+Cost_round*IF(6&lt;=$B104,1,0)-H104,IF(6&lt;=$B104,1,0)*Pre_q,Floor_q)))</f>
        <v>470</v>
      </c>
      <c r="AC104" s="14" t="n">
        <f aca="false">IF(6&gt;$A104,0,IF(6=$A104,MAX(End_q,Floor_q),MAX(AD104+Cost_round*IF(7&lt;=$B104,1,0)-I104,IF(7&lt;=$B104,1,0)*Pre_q,Floor_q)))</f>
        <v>470</v>
      </c>
      <c r="AD104" s="14" t="n">
        <f aca="false">IF(7&gt;$A104,0,IF(7=$A104,MAX(End_q,Floor_q),MAX(AE104+Cost_round*IF(8&lt;=$B104,1,0)-J104,IF(8&lt;=$B104,1,0)*Pre_q,Floor_q)))</f>
        <v>470</v>
      </c>
      <c r="AE104" s="14" t="n">
        <f aca="false">IF(8&gt;$A104,0,IF(8=$A104,MAX(End_q,Floor_q),MAX(AF104+Cost_round*IF(9&lt;=$B104,1,0)-K104,IF(9&lt;=$B104,1,0)*Pre_q,Floor_q)))</f>
        <v>470</v>
      </c>
      <c r="AF104" s="14" t="n">
        <f aca="false">IF(9&gt;$A104,0,IF(9=$A104,MAX(End_q,Floor_q),MAX(AG104+Cost_round*IF(10&lt;=$B104,1,0)-L104,IF(10&lt;=$B104,1,0)*Pre_q,Floor_q)))</f>
        <v>470</v>
      </c>
      <c r="AG104" s="14" t="n">
        <f aca="false">IF(10&gt;$A104,0,IF(10=$A104,MAX(End_q,Floor_q),MAX(AH104+Cost_round*IF(11&lt;=$B104,1,0)-M104,IF(11&lt;=$B104,1,0)*Pre_q,Floor_q)))</f>
        <v>470</v>
      </c>
      <c r="AH104" s="14" t="n">
        <f aca="false">IF(11&gt;$A104,0,IF(11=$A104,MAX(End_q,Floor_q),MAX(AI104+Cost_round*IF(12&lt;=$B104,1,0)-N104,IF(12&lt;=$B104,1,0)*Pre_q,Floor_q)))</f>
        <v>470</v>
      </c>
      <c r="AI104" s="14" t="n">
        <f aca="false">IF(12&gt;$A104,0,IF(12=$A104,MAX(End_q,Floor_q),MAX(AJ104+Cost_round*IF(13&lt;=$B104,1,0)-O104,IF(13&lt;=$B104,1,0)*Pre_q,Floor_q)))</f>
        <v>470</v>
      </c>
      <c r="AJ104" s="14" t="n">
        <f aca="false">IF(13&gt;$A104,0,IF(13=$A104,MAX(End_q,Floor_q),MAX(AK104+Cost_round*IF(14&lt;=$B104,1,0)-P104,IF(14&lt;=$B104,1,0)*Pre_q,Floor_q)))</f>
        <v>470</v>
      </c>
      <c r="AK104" s="14" t="n">
        <f aca="false">IF(14&gt;$A104,0,IF(14=$A104,MAX(End_q,Floor_q),MAX(AL104+Cost_round*IF(15&lt;=$B104,1,0)-Q104,IF(15&lt;=$B104,1,0)*Pre_q,Floor_q)))</f>
        <v>470</v>
      </c>
      <c r="AL104" s="14" t="n">
        <f aca="false">IF(15&gt;$A104,0,IF(15=$A104,MAX(End_q,Floor_q),MAX(AM104+Cost_round*IF(16&lt;=$B104,1,0)-R104,IF(16&lt;=$B104,1,0)*Pre_q,Floor_q)))</f>
        <v>470</v>
      </c>
      <c r="AM104" s="14" t="n">
        <f aca="false">IF(16&gt;$A104,0,IF(16=$A104,MAX(End_q,Floor_q),MAX(AN104+Cost_round*IF(17&lt;=$B104,1,0)-S104,IF(17&lt;=$B104,1,0)*Pre_q,Floor_q)))</f>
        <v>0</v>
      </c>
      <c r="AN104" s="14" t="n">
        <f aca="false">IF(17&gt;$A104,0,IF(17=$A104,MAX(End_q,Floor_q),MAX(AO104+Cost_round*IF(18&lt;=$B104,1,0)-T104,IF(18&lt;=$B104,1,0)*Pre_q,Floor_q)))</f>
        <v>0</v>
      </c>
      <c r="AO104" s="14" t="n">
        <f aca="false">IF(18&gt;$A104,0,IF(18=$A104,MAX(End_q,Floor_q),MAX(AP104+Cost_round*IF(19&lt;=$B104,1,0)-U104,IF(19&lt;=$B104,1,0)*Pre_q,Floor_q)))</f>
        <v>0</v>
      </c>
      <c r="AP104" s="14" t="n">
        <f aca="false">IF(19&gt;$A104,0,IF(19=$A104,MAX(End_q,Floor_q),MAX(AQ104+Cost_round*IF(20&lt;=$B104,1,0)-V104,IF(20&lt;=$B104,1,0)*Pre_q,Floor_q)))</f>
        <v>0</v>
      </c>
      <c r="AQ104" s="14" t="n">
        <f aca="false">IF(20&gt;$A104,0,MAX(End_q,Floor_q))</f>
        <v>0</v>
      </c>
      <c r="AR104" s="15" t="n">
        <f aca="false">IF(Q_zero&gt;=W104-0.000000001,1,0)</f>
        <v>1</v>
      </c>
      <c r="AS104" s="14" t="n">
        <f aca="false">IF(1&gt;$A104,0,Q_zero-Cost_round*IF(1&lt;=$B104,1,0)+C104-X104)</f>
        <v>150</v>
      </c>
      <c r="AT104" s="14" t="n">
        <f aca="false">IF(2&gt;$A104,0,X104-Cost_round*IF(2&lt;=$B104,1,0)+D104-Y104)</f>
        <v>0</v>
      </c>
      <c r="AU104" s="14" t="n">
        <f aca="false">IF(3&gt;$A104,0,Y104-Cost_round*IF(3&lt;=$B104,1,0)+E104-Z104)</f>
        <v>0</v>
      </c>
      <c r="AV104" s="14" t="n">
        <f aca="false">IF(4&gt;$A104,0,Z104-Cost_round*IF(4&lt;=$B104,1,0)+F104-AA104)</f>
        <v>0</v>
      </c>
      <c r="AW104" s="14" t="n">
        <f aca="false">IF(5&gt;$A104,0,AA104-Cost_round*IF(5&lt;=$B104,1,0)+G104-AB104)</f>
        <v>0</v>
      </c>
      <c r="AX104" s="14" t="n">
        <f aca="false">IF(6&gt;$A104,0,AB104-Cost_round*IF(6&lt;=$B104,1,0)+H104-AC104)</f>
        <v>0</v>
      </c>
      <c r="AY104" s="14" t="n">
        <f aca="false">IF(7&gt;$A104,0,AC104-Cost_round*IF(7&lt;=$B104,1,0)+I104-AD104)</f>
        <v>0</v>
      </c>
      <c r="AZ104" s="14" t="n">
        <f aca="false">IF(8&gt;$A104,0,AD104-Cost_round*IF(8&lt;=$B104,1,0)+J104-AE104)</f>
        <v>0</v>
      </c>
      <c r="BA104" s="14" t="n">
        <f aca="false">IF(9&gt;$A104,0,AE104-Cost_round*IF(9&lt;=$B104,1,0)+K104-AF104)</f>
        <v>0</v>
      </c>
      <c r="BB104" s="14" t="n">
        <f aca="false">IF(10&gt;$A104,0,AF104-Cost_round*IF(10&lt;=$B104,1,0)+L104-AG104)</f>
        <v>0</v>
      </c>
      <c r="BC104" s="14" t="n">
        <f aca="false">IF(11&gt;$A104,0,AG104-Cost_round*IF(11&lt;=$B104,1,0)+M104-AH104)</f>
        <v>0</v>
      </c>
      <c r="BD104" s="14" t="n">
        <f aca="false">IF(12&gt;$A104,0,AH104-Cost_round*IF(12&lt;=$B104,1,0)+N104-AI104)</f>
        <v>0</v>
      </c>
      <c r="BE104" s="14" t="n">
        <f aca="false">IF(13&gt;$A104,0,AI104-Cost_round*IF(13&lt;=$B104,1,0)+O104-AJ104)</f>
        <v>0</v>
      </c>
      <c r="BF104" s="14" t="n">
        <f aca="false">IF(14&gt;$A104,0,AJ104-Cost_round*IF(14&lt;=$B104,1,0)+P104-AK104)</f>
        <v>0</v>
      </c>
      <c r="BG104" s="14" t="n">
        <f aca="false">IF(15&gt;$A104,0,AK104-Cost_round*IF(15&lt;=$B104,1,0)+Q104-AL104)</f>
        <v>0</v>
      </c>
      <c r="BH104" s="14" t="n">
        <f aca="false">IF(16&gt;$A104,0,AL104-Cost_round*IF(16&lt;=$B104,1,0)+R104-AM104)</f>
        <v>0</v>
      </c>
      <c r="BI104" s="14" t="n">
        <f aca="false">IF(17&gt;$A104,0,AM104-Cost_round*IF(17&lt;=$B104,1,0)+S104-AN104)</f>
        <v>0</v>
      </c>
      <c r="BJ104" s="14" t="n">
        <f aca="false">IF(18&gt;$A104,0,AN104-Cost_round*IF(18&lt;=$B104,1,0)+T104-AO104)</f>
        <v>0</v>
      </c>
      <c r="BK104" s="14" t="n">
        <f aca="false">IF(19&gt;$A104,0,AO104-Cost_round*IF(19&lt;=$B104,1,0)+U104-AP104)</f>
        <v>0</v>
      </c>
      <c r="BL104" s="14" t="n">
        <f aca="false">IF(20&gt;$A104,0,AP104-Cost_round*IF(20&lt;=$B104,1,0)+V104-AQ104)</f>
        <v>0</v>
      </c>
      <c r="BM104" s="17" t="n">
        <f aca="false">IF($AR104=1,SUMPRODUCT(AS104:BL104,$AS$38:$BL$38),"")</f>
        <v>136.363636363636</v>
      </c>
      <c r="BN104" s="17" t="n">
        <f aca="false">IF($AR104=1,BM104+INDEX($AS$38:$BL$38,$A104)*INDEX(C104:V104,$A104)/Hurdle_r,"")</f>
        <v>136.363636363636</v>
      </c>
    </row>
    <row r="105" customFormat="false" ht="15" hidden="false" customHeight="false" outlineLevel="0" collapsed="false">
      <c r="A105" s="2" t="n">
        <v>15</v>
      </c>
      <c r="B105" s="2" t="n">
        <v>1</v>
      </c>
      <c r="C105" s="14" t="n">
        <f aca="false">IF(1&gt;$A105,0,Val_pt*(Ceiling_e-E_zero)*(1-(1-Half_gap)^MIN(1,$B105)))</f>
        <v>70</v>
      </c>
      <c r="D105" s="14" t="n">
        <f aca="false">IF(2&gt;$A105,0,Val_pt*(Ceiling_e-E_zero)*(1-(1-Half_gap)^MIN(2,$B105)))</f>
        <v>70</v>
      </c>
      <c r="E105" s="14" t="n">
        <f aca="false">IF(3&gt;$A105,0,Val_pt*(Ceiling_e-E_zero)*(1-(1-Half_gap)^MIN(3,$B105)))</f>
        <v>70</v>
      </c>
      <c r="F105" s="14" t="n">
        <f aca="false">IF(4&gt;$A105,0,Val_pt*(Ceiling_e-E_zero)*(1-(1-Half_gap)^MIN(4,$B105)))</f>
        <v>70</v>
      </c>
      <c r="G105" s="14" t="n">
        <f aca="false">IF(5&gt;$A105,0,Val_pt*(Ceiling_e-E_zero)*(1-(1-Half_gap)^MIN(5,$B105)))</f>
        <v>70</v>
      </c>
      <c r="H105" s="14" t="n">
        <f aca="false">IF(6&gt;$A105,0,Val_pt*(Ceiling_e-E_zero)*(1-(1-Half_gap)^MIN(6,$B105)))</f>
        <v>70</v>
      </c>
      <c r="I105" s="14" t="n">
        <f aca="false">IF(7&gt;$A105,0,Val_pt*(Ceiling_e-E_zero)*(1-(1-Half_gap)^MIN(7,$B105)))</f>
        <v>70</v>
      </c>
      <c r="J105" s="14" t="n">
        <f aca="false">IF(8&gt;$A105,0,Val_pt*(Ceiling_e-E_zero)*(1-(1-Half_gap)^MIN(8,$B105)))</f>
        <v>70</v>
      </c>
      <c r="K105" s="14" t="n">
        <f aca="false">IF(9&gt;$A105,0,Val_pt*(Ceiling_e-E_zero)*(1-(1-Half_gap)^MIN(9,$B105)))</f>
        <v>70</v>
      </c>
      <c r="L105" s="14" t="n">
        <f aca="false">IF(10&gt;$A105,0,Val_pt*(Ceiling_e-E_zero)*(1-(1-Half_gap)^MIN(10,$B105)))</f>
        <v>70</v>
      </c>
      <c r="M105" s="14" t="n">
        <f aca="false">IF(11&gt;$A105,0,Val_pt*(Ceiling_e-E_zero)*(1-(1-Half_gap)^MIN(11,$B105)))</f>
        <v>70</v>
      </c>
      <c r="N105" s="14" t="n">
        <f aca="false">IF(12&gt;$A105,0,Val_pt*(Ceiling_e-E_zero)*(1-(1-Half_gap)^MIN(12,$B105)))</f>
        <v>70</v>
      </c>
      <c r="O105" s="14" t="n">
        <f aca="false">IF(13&gt;$A105,0,Val_pt*(Ceiling_e-E_zero)*(1-(1-Half_gap)^MIN(13,$B105)))</f>
        <v>70</v>
      </c>
      <c r="P105" s="14" t="n">
        <f aca="false">IF(14&gt;$A105,0,Val_pt*(Ceiling_e-E_zero)*(1-(1-Half_gap)^MIN(14,$B105)))</f>
        <v>70</v>
      </c>
      <c r="Q105" s="14" t="n">
        <f aca="false">IF(15&gt;$A105,0,Val_pt*(Ceiling_e-E_zero)*(1-(1-Half_gap)^MIN(15,$B105)))</f>
        <v>70</v>
      </c>
      <c r="R105" s="14" t="n">
        <f aca="false">IF(16&gt;$A105,0,Val_pt*(Ceiling_e-E_zero)*(1-(1-Half_gap)^MIN(16,$B105)))</f>
        <v>0</v>
      </c>
      <c r="S105" s="14" t="n">
        <f aca="false">IF(17&gt;$A105,0,Val_pt*(Ceiling_e-E_zero)*(1-(1-Half_gap)^MIN(17,$B105)))</f>
        <v>0</v>
      </c>
      <c r="T105" s="14" t="n">
        <f aca="false">IF(18&gt;$A105,0,Val_pt*(Ceiling_e-E_zero)*(1-(1-Half_gap)^MIN(18,$B105)))</f>
        <v>0</v>
      </c>
      <c r="U105" s="14" t="n">
        <f aca="false">IF(19&gt;$A105,0,Val_pt*(Ceiling_e-E_zero)*(1-(1-Half_gap)^MIN(19,$B105)))</f>
        <v>0</v>
      </c>
      <c r="V105" s="14" t="n">
        <f aca="false">IF(20&gt;$A105,0,Val_pt*(Ceiling_e-E_zero)*(1-(1-Half_gap)^MIN(20,$B105)))</f>
        <v>0</v>
      </c>
      <c r="W105" s="14" t="n">
        <f aca="false">IF(0&gt;$A105,0,IF(0=$A105,MAX(End_q,Floor_q),MAX(X105+Cost_round*IF(1&lt;=$B105,1,0)-C105,IF(1&lt;=$B105,1,0)*Pre_q)))</f>
        <v>470</v>
      </c>
      <c r="X105" s="14" t="n">
        <f aca="false">IF(1&gt;$A105,0,IF(1=$A105,MAX(End_q,Floor_q),MAX(Y105+Cost_round*IF(2&lt;=$B105,1,0)-D105,IF(2&lt;=$B105,1,0)*Pre_q,Floor_q)))</f>
        <v>350</v>
      </c>
      <c r="Y105" s="14" t="n">
        <f aca="false">IF(2&gt;$A105,0,IF(2=$A105,MAX(End_q,Floor_q),MAX(Z105+Cost_round*IF(3&lt;=$B105,1,0)-E105,IF(3&lt;=$B105,1,0)*Pre_q,Floor_q)))</f>
        <v>350</v>
      </c>
      <c r="Z105" s="14" t="n">
        <f aca="false">IF(3&gt;$A105,0,IF(3=$A105,MAX(End_q,Floor_q),MAX(AA105+Cost_round*IF(4&lt;=$B105,1,0)-F105,IF(4&lt;=$B105,1,0)*Pre_q,Floor_q)))</f>
        <v>350</v>
      </c>
      <c r="AA105" s="14" t="n">
        <f aca="false">IF(4&gt;$A105,0,IF(4=$A105,MAX(End_q,Floor_q),MAX(AB105+Cost_round*IF(5&lt;=$B105,1,0)-G105,IF(5&lt;=$B105,1,0)*Pre_q,Floor_q)))</f>
        <v>350</v>
      </c>
      <c r="AB105" s="14" t="n">
        <f aca="false">IF(5&gt;$A105,0,IF(5=$A105,MAX(End_q,Floor_q),MAX(AC105+Cost_round*IF(6&lt;=$B105,1,0)-H105,IF(6&lt;=$B105,1,0)*Pre_q,Floor_q)))</f>
        <v>350</v>
      </c>
      <c r="AC105" s="14" t="n">
        <f aca="false">IF(6&gt;$A105,0,IF(6=$A105,MAX(End_q,Floor_q),MAX(AD105+Cost_round*IF(7&lt;=$B105,1,0)-I105,IF(7&lt;=$B105,1,0)*Pre_q,Floor_q)))</f>
        <v>350</v>
      </c>
      <c r="AD105" s="14" t="n">
        <f aca="false">IF(7&gt;$A105,0,IF(7=$A105,MAX(End_q,Floor_q),MAX(AE105+Cost_round*IF(8&lt;=$B105,1,0)-J105,IF(8&lt;=$B105,1,0)*Pre_q,Floor_q)))</f>
        <v>350</v>
      </c>
      <c r="AE105" s="14" t="n">
        <f aca="false">IF(8&gt;$A105,0,IF(8=$A105,MAX(End_q,Floor_q),MAX(AF105+Cost_round*IF(9&lt;=$B105,1,0)-K105,IF(9&lt;=$B105,1,0)*Pre_q,Floor_q)))</f>
        <v>350</v>
      </c>
      <c r="AF105" s="14" t="n">
        <f aca="false">IF(9&gt;$A105,0,IF(9=$A105,MAX(End_q,Floor_q),MAX(AG105+Cost_round*IF(10&lt;=$B105,1,0)-L105,IF(10&lt;=$B105,1,0)*Pre_q,Floor_q)))</f>
        <v>350</v>
      </c>
      <c r="AG105" s="14" t="n">
        <f aca="false">IF(10&gt;$A105,0,IF(10=$A105,MAX(End_q,Floor_q),MAX(AH105+Cost_round*IF(11&lt;=$B105,1,0)-M105,IF(11&lt;=$B105,1,0)*Pre_q,Floor_q)))</f>
        <v>350</v>
      </c>
      <c r="AH105" s="14" t="n">
        <f aca="false">IF(11&gt;$A105,0,IF(11=$A105,MAX(End_q,Floor_q),MAX(AI105+Cost_round*IF(12&lt;=$B105,1,0)-N105,IF(12&lt;=$B105,1,0)*Pre_q,Floor_q)))</f>
        <v>350</v>
      </c>
      <c r="AI105" s="14" t="n">
        <f aca="false">IF(12&gt;$A105,0,IF(12=$A105,MAX(End_q,Floor_q),MAX(AJ105+Cost_round*IF(13&lt;=$B105,1,0)-O105,IF(13&lt;=$B105,1,0)*Pre_q,Floor_q)))</f>
        <v>350</v>
      </c>
      <c r="AJ105" s="14" t="n">
        <f aca="false">IF(13&gt;$A105,0,IF(13=$A105,MAX(End_q,Floor_q),MAX(AK105+Cost_round*IF(14&lt;=$B105,1,0)-P105,IF(14&lt;=$B105,1,0)*Pre_q,Floor_q)))</f>
        <v>350</v>
      </c>
      <c r="AK105" s="14" t="n">
        <f aca="false">IF(14&gt;$A105,0,IF(14=$A105,MAX(End_q,Floor_q),MAX(AL105+Cost_round*IF(15&lt;=$B105,1,0)-Q105,IF(15&lt;=$B105,1,0)*Pre_q,Floor_q)))</f>
        <v>400</v>
      </c>
      <c r="AL105" s="14" t="n">
        <f aca="false">IF(15&gt;$A105,0,IF(15=$A105,MAX(End_q,Floor_q),MAX(AM105+Cost_round*IF(16&lt;=$B105,1,0)-R105,IF(16&lt;=$B105,1,0)*Pre_q,Floor_q)))</f>
        <v>470</v>
      </c>
      <c r="AM105" s="14" t="n">
        <f aca="false">IF(16&gt;$A105,0,IF(16=$A105,MAX(End_q,Floor_q),MAX(AN105+Cost_round*IF(17&lt;=$B105,1,0)-S105,IF(17&lt;=$B105,1,0)*Pre_q,Floor_q)))</f>
        <v>0</v>
      </c>
      <c r="AN105" s="14" t="n">
        <f aca="false">IF(17&gt;$A105,0,IF(17=$A105,MAX(End_q,Floor_q),MAX(AO105+Cost_round*IF(18&lt;=$B105,1,0)-T105,IF(18&lt;=$B105,1,0)*Pre_q,Floor_q)))</f>
        <v>0</v>
      </c>
      <c r="AO105" s="14" t="n">
        <f aca="false">IF(18&gt;$A105,0,IF(18=$A105,MAX(End_q,Floor_q),MAX(AP105+Cost_round*IF(19&lt;=$B105,1,0)-U105,IF(19&lt;=$B105,1,0)*Pre_q,Floor_q)))</f>
        <v>0</v>
      </c>
      <c r="AP105" s="14" t="n">
        <f aca="false">IF(19&gt;$A105,0,IF(19=$A105,MAX(End_q,Floor_q),MAX(AQ105+Cost_round*IF(20&lt;=$B105,1,0)-V105,IF(20&lt;=$B105,1,0)*Pre_q,Floor_q)))</f>
        <v>0</v>
      </c>
      <c r="AQ105" s="14" t="n">
        <f aca="false">IF(20&gt;$A105,0,MAX(End_q,Floor_q))</f>
        <v>0</v>
      </c>
      <c r="AR105" s="15" t="n">
        <f aca="false">IF(Q_zero&gt;=W105-0.000000001,1,0)</f>
        <v>1</v>
      </c>
      <c r="AS105" s="14" t="n">
        <f aca="false">IF(1&gt;$A105,0,Q_zero-Cost_round*IF(1&lt;=$B105,1,0)+C105-X105)</f>
        <v>220</v>
      </c>
      <c r="AT105" s="14" t="n">
        <f aca="false">IF(2&gt;$A105,0,X105-Cost_round*IF(2&lt;=$B105,1,0)+D105-Y105)</f>
        <v>70</v>
      </c>
      <c r="AU105" s="14" t="n">
        <f aca="false">IF(3&gt;$A105,0,Y105-Cost_round*IF(3&lt;=$B105,1,0)+E105-Z105)</f>
        <v>70</v>
      </c>
      <c r="AV105" s="14" t="n">
        <f aca="false">IF(4&gt;$A105,0,Z105-Cost_round*IF(4&lt;=$B105,1,0)+F105-AA105)</f>
        <v>70</v>
      </c>
      <c r="AW105" s="14" t="n">
        <f aca="false">IF(5&gt;$A105,0,AA105-Cost_round*IF(5&lt;=$B105,1,0)+G105-AB105)</f>
        <v>70</v>
      </c>
      <c r="AX105" s="14" t="n">
        <f aca="false">IF(6&gt;$A105,0,AB105-Cost_round*IF(6&lt;=$B105,1,0)+H105-AC105)</f>
        <v>70</v>
      </c>
      <c r="AY105" s="14" t="n">
        <f aca="false">IF(7&gt;$A105,0,AC105-Cost_round*IF(7&lt;=$B105,1,0)+I105-AD105)</f>
        <v>70</v>
      </c>
      <c r="AZ105" s="14" t="n">
        <f aca="false">IF(8&gt;$A105,0,AD105-Cost_round*IF(8&lt;=$B105,1,0)+J105-AE105)</f>
        <v>70</v>
      </c>
      <c r="BA105" s="14" t="n">
        <f aca="false">IF(9&gt;$A105,0,AE105-Cost_round*IF(9&lt;=$B105,1,0)+K105-AF105)</f>
        <v>70</v>
      </c>
      <c r="BB105" s="14" t="n">
        <f aca="false">IF(10&gt;$A105,0,AF105-Cost_round*IF(10&lt;=$B105,1,0)+L105-AG105)</f>
        <v>70</v>
      </c>
      <c r="BC105" s="14" t="n">
        <f aca="false">IF(11&gt;$A105,0,AG105-Cost_round*IF(11&lt;=$B105,1,0)+M105-AH105)</f>
        <v>70</v>
      </c>
      <c r="BD105" s="14" t="n">
        <f aca="false">IF(12&gt;$A105,0,AH105-Cost_round*IF(12&lt;=$B105,1,0)+N105-AI105)</f>
        <v>70</v>
      </c>
      <c r="BE105" s="14" t="n">
        <f aca="false">IF(13&gt;$A105,0,AI105-Cost_round*IF(13&lt;=$B105,1,0)+O105-AJ105)</f>
        <v>70</v>
      </c>
      <c r="BF105" s="14" t="n">
        <f aca="false">IF(14&gt;$A105,0,AJ105-Cost_round*IF(14&lt;=$B105,1,0)+P105-AK105)</f>
        <v>20</v>
      </c>
      <c r="BG105" s="14" t="n">
        <f aca="false">IF(15&gt;$A105,0,AK105-Cost_round*IF(15&lt;=$B105,1,0)+Q105-AL105)</f>
        <v>0</v>
      </c>
      <c r="BH105" s="14" t="n">
        <f aca="false">IF(16&gt;$A105,0,AL105-Cost_round*IF(16&lt;=$B105,1,0)+R105-AM105)</f>
        <v>0</v>
      </c>
      <c r="BI105" s="14" t="n">
        <f aca="false">IF(17&gt;$A105,0,AM105-Cost_round*IF(17&lt;=$B105,1,0)+S105-AN105)</f>
        <v>0</v>
      </c>
      <c r="BJ105" s="14" t="n">
        <f aca="false">IF(18&gt;$A105,0,AN105-Cost_round*IF(18&lt;=$B105,1,0)+T105-AO105)</f>
        <v>0</v>
      </c>
      <c r="BK105" s="14" t="n">
        <f aca="false">IF(19&gt;$A105,0,AO105-Cost_round*IF(19&lt;=$B105,1,0)+U105-AP105)</f>
        <v>0</v>
      </c>
      <c r="BL105" s="14" t="n">
        <f aca="false">IF(20&gt;$A105,0,AP105-Cost_round*IF(20&lt;=$B105,1,0)+V105-AQ105)</f>
        <v>0</v>
      </c>
      <c r="BM105" s="17" t="n">
        <f aca="false">IF($AR105=1,SUMPRODUCT(AS105:BL105,$AS$38:$BL$38),"")</f>
        <v>638.865195634076</v>
      </c>
      <c r="BN105" s="17" t="n">
        <f aca="false">IF($AR105=1,BM105+INDEX($AS$38:$BL$38,$A105)*INDEX(C105:V105,$A105)/Hurdle_r,"")</f>
        <v>806.439630192491</v>
      </c>
    </row>
    <row r="106" customFormat="false" ht="15" hidden="false" customHeight="false" outlineLevel="0" collapsed="false">
      <c r="A106" s="2" t="n">
        <v>15</v>
      </c>
      <c r="B106" s="2" t="n">
        <v>2</v>
      </c>
      <c r="C106" s="14" t="n">
        <f aca="false">IF(1&gt;$A106,0,Val_pt*(Ceiling_e-E_zero)*(1-(1-Half_gap)^MIN(1,$B106)))</f>
        <v>70</v>
      </c>
      <c r="D106" s="14" t="n">
        <f aca="false">IF(2&gt;$A106,0,Val_pt*(Ceiling_e-E_zero)*(1-(1-Half_gap)^MIN(2,$B106)))</f>
        <v>105</v>
      </c>
      <c r="E106" s="14" t="n">
        <f aca="false">IF(3&gt;$A106,0,Val_pt*(Ceiling_e-E_zero)*(1-(1-Half_gap)^MIN(3,$B106)))</f>
        <v>105</v>
      </c>
      <c r="F106" s="14" t="n">
        <f aca="false">IF(4&gt;$A106,0,Val_pt*(Ceiling_e-E_zero)*(1-(1-Half_gap)^MIN(4,$B106)))</f>
        <v>105</v>
      </c>
      <c r="G106" s="14" t="n">
        <f aca="false">IF(5&gt;$A106,0,Val_pt*(Ceiling_e-E_zero)*(1-(1-Half_gap)^MIN(5,$B106)))</f>
        <v>105</v>
      </c>
      <c r="H106" s="14" t="n">
        <f aca="false">IF(6&gt;$A106,0,Val_pt*(Ceiling_e-E_zero)*(1-(1-Half_gap)^MIN(6,$B106)))</f>
        <v>105</v>
      </c>
      <c r="I106" s="14" t="n">
        <f aca="false">IF(7&gt;$A106,0,Val_pt*(Ceiling_e-E_zero)*(1-(1-Half_gap)^MIN(7,$B106)))</f>
        <v>105</v>
      </c>
      <c r="J106" s="14" t="n">
        <f aca="false">IF(8&gt;$A106,0,Val_pt*(Ceiling_e-E_zero)*(1-(1-Half_gap)^MIN(8,$B106)))</f>
        <v>105</v>
      </c>
      <c r="K106" s="14" t="n">
        <f aca="false">IF(9&gt;$A106,0,Val_pt*(Ceiling_e-E_zero)*(1-(1-Half_gap)^MIN(9,$B106)))</f>
        <v>105</v>
      </c>
      <c r="L106" s="14" t="n">
        <f aca="false">IF(10&gt;$A106,0,Val_pt*(Ceiling_e-E_zero)*(1-(1-Half_gap)^MIN(10,$B106)))</f>
        <v>105</v>
      </c>
      <c r="M106" s="14" t="n">
        <f aca="false">IF(11&gt;$A106,0,Val_pt*(Ceiling_e-E_zero)*(1-(1-Half_gap)^MIN(11,$B106)))</f>
        <v>105</v>
      </c>
      <c r="N106" s="14" t="n">
        <f aca="false">IF(12&gt;$A106,0,Val_pt*(Ceiling_e-E_zero)*(1-(1-Half_gap)^MIN(12,$B106)))</f>
        <v>105</v>
      </c>
      <c r="O106" s="14" t="n">
        <f aca="false">IF(13&gt;$A106,0,Val_pt*(Ceiling_e-E_zero)*(1-(1-Half_gap)^MIN(13,$B106)))</f>
        <v>105</v>
      </c>
      <c r="P106" s="14" t="n">
        <f aca="false">IF(14&gt;$A106,0,Val_pt*(Ceiling_e-E_zero)*(1-(1-Half_gap)^MIN(14,$B106)))</f>
        <v>105</v>
      </c>
      <c r="Q106" s="14" t="n">
        <f aca="false">IF(15&gt;$A106,0,Val_pt*(Ceiling_e-E_zero)*(1-(1-Half_gap)^MIN(15,$B106)))</f>
        <v>105</v>
      </c>
      <c r="R106" s="14" t="n">
        <f aca="false">IF(16&gt;$A106,0,Val_pt*(Ceiling_e-E_zero)*(1-(1-Half_gap)^MIN(16,$B106)))</f>
        <v>0</v>
      </c>
      <c r="S106" s="14" t="n">
        <f aca="false">IF(17&gt;$A106,0,Val_pt*(Ceiling_e-E_zero)*(1-(1-Half_gap)^MIN(17,$B106)))</f>
        <v>0</v>
      </c>
      <c r="T106" s="14" t="n">
        <f aca="false">IF(18&gt;$A106,0,Val_pt*(Ceiling_e-E_zero)*(1-(1-Half_gap)^MIN(18,$B106)))</f>
        <v>0</v>
      </c>
      <c r="U106" s="14" t="n">
        <f aca="false">IF(19&gt;$A106,0,Val_pt*(Ceiling_e-E_zero)*(1-(1-Half_gap)^MIN(19,$B106)))</f>
        <v>0</v>
      </c>
      <c r="V106" s="14" t="n">
        <f aca="false">IF(20&gt;$A106,0,Val_pt*(Ceiling_e-E_zero)*(1-(1-Half_gap)^MIN(20,$B106)))</f>
        <v>0</v>
      </c>
      <c r="W106" s="14" t="n">
        <f aca="false">IF(0&gt;$A106,0,IF(0=$A106,MAX(End_q,Floor_q),MAX(X106+Cost_round*IF(1&lt;=$B106,1,0)-C106,IF(1&lt;=$B106,1,0)*Pre_q)))</f>
        <v>520</v>
      </c>
      <c r="X106" s="14" t="n">
        <f aca="false">IF(1&gt;$A106,0,IF(1=$A106,MAX(End_q,Floor_q),MAX(Y106+Cost_round*IF(2&lt;=$B106,1,0)-D106,IF(2&lt;=$B106,1,0)*Pre_q,Floor_q)))</f>
        <v>470</v>
      </c>
      <c r="Y106" s="14" t="n">
        <f aca="false">IF(2&gt;$A106,0,IF(2=$A106,MAX(End_q,Floor_q),MAX(Z106+Cost_round*IF(3&lt;=$B106,1,0)-E106,IF(3&lt;=$B106,1,0)*Pre_q,Floor_q)))</f>
        <v>350</v>
      </c>
      <c r="Z106" s="14" t="n">
        <f aca="false">IF(3&gt;$A106,0,IF(3=$A106,MAX(End_q,Floor_q),MAX(AA106+Cost_round*IF(4&lt;=$B106,1,0)-F106,IF(4&lt;=$B106,1,0)*Pre_q,Floor_q)))</f>
        <v>350</v>
      </c>
      <c r="AA106" s="14" t="n">
        <f aca="false">IF(4&gt;$A106,0,IF(4=$A106,MAX(End_q,Floor_q),MAX(AB106+Cost_round*IF(5&lt;=$B106,1,0)-G106,IF(5&lt;=$B106,1,0)*Pre_q,Floor_q)))</f>
        <v>350</v>
      </c>
      <c r="AB106" s="14" t="n">
        <f aca="false">IF(5&gt;$A106,0,IF(5=$A106,MAX(End_q,Floor_q),MAX(AC106+Cost_round*IF(6&lt;=$B106,1,0)-H106,IF(6&lt;=$B106,1,0)*Pre_q,Floor_q)))</f>
        <v>350</v>
      </c>
      <c r="AC106" s="14" t="n">
        <f aca="false">IF(6&gt;$A106,0,IF(6=$A106,MAX(End_q,Floor_q),MAX(AD106+Cost_round*IF(7&lt;=$B106,1,0)-I106,IF(7&lt;=$B106,1,0)*Pre_q,Floor_q)))</f>
        <v>350</v>
      </c>
      <c r="AD106" s="14" t="n">
        <f aca="false">IF(7&gt;$A106,0,IF(7=$A106,MAX(End_q,Floor_q),MAX(AE106+Cost_round*IF(8&lt;=$B106,1,0)-J106,IF(8&lt;=$B106,1,0)*Pre_q,Floor_q)))</f>
        <v>350</v>
      </c>
      <c r="AE106" s="14" t="n">
        <f aca="false">IF(8&gt;$A106,0,IF(8=$A106,MAX(End_q,Floor_q),MAX(AF106+Cost_round*IF(9&lt;=$B106,1,0)-K106,IF(9&lt;=$B106,1,0)*Pre_q,Floor_q)))</f>
        <v>350</v>
      </c>
      <c r="AF106" s="14" t="n">
        <f aca="false">IF(9&gt;$A106,0,IF(9=$A106,MAX(End_q,Floor_q),MAX(AG106+Cost_round*IF(10&lt;=$B106,1,0)-L106,IF(10&lt;=$B106,1,0)*Pre_q,Floor_q)))</f>
        <v>350</v>
      </c>
      <c r="AG106" s="14" t="n">
        <f aca="false">IF(10&gt;$A106,0,IF(10=$A106,MAX(End_q,Floor_q),MAX(AH106+Cost_round*IF(11&lt;=$B106,1,0)-M106,IF(11&lt;=$B106,1,0)*Pre_q,Floor_q)))</f>
        <v>350</v>
      </c>
      <c r="AH106" s="14" t="n">
        <f aca="false">IF(11&gt;$A106,0,IF(11=$A106,MAX(End_q,Floor_q),MAX(AI106+Cost_round*IF(12&lt;=$B106,1,0)-N106,IF(12&lt;=$B106,1,0)*Pre_q,Floor_q)))</f>
        <v>350</v>
      </c>
      <c r="AI106" s="14" t="n">
        <f aca="false">IF(12&gt;$A106,0,IF(12=$A106,MAX(End_q,Floor_q),MAX(AJ106+Cost_round*IF(13&lt;=$B106,1,0)-O106,IF(13&lt;=$B106,1,0)*Pre_q,Floor_q)))</f>
        <v>350</v>
      </c>
      <c r="AJ106" s="14" t="n">
        <f aca="false">IF(13&gt;$A106,0,IF(13=$A106,MAX(End_q,Floor_q),MAX(AK106+Cost_round*IF(14&lt;=$B106,1,0)-P106,IF(14&lt;=$B106,1,0)*Pre_q,Floor_q)))</f>
        <v>350</v>
      </c>
      <c r="AK106" s="14" t="n">
        <f aca="false">IF(14&gt;$A106,0,IF(14=$A106,MAX(End_q,Floor_q),MAX(AL106+Cost_round*IF(15&lt;=$B106,1,0)-Q106,IF(15&lt;=$B106,1,0)*Pre_q,Floor_q)))</f>
        <v>365</v>
      </c>
      <c r="AL106" s="14" t="n">
        <f aca="false">IF(15&gt;$A106,0,IF(15=$A106,MAX(End_q,Floor_q),MAX(AM106+Cost_round*IF(16&lt;=$B106,1,0)-R106,IF(16&lt;=$B106,1,0)*Pre_q,Floor_q)))</f>
        <v>470</v>
      </c>
      <c r="AM106" s="14" t="n">
        <f aca="false">IF(16&gt;$A106,0,IF(16=$A106,MAX(End_q,Floor_q),MAX(AN106+Cost_round*IF(17&lt;=$B106,1,0)-S106,IF(17&lt;=$B106,1,0)*Pre_q,Floor_q)))</f>
        <v>0</v>
      </c>
      <c r="AN106" s="14" t="n">
        <f aca="false">IF(17&gt;$A106,0,IF(17=$A106,MAX(End_q,Floor_q),MAX(AO106+Cost_round*IF(18&lt;=$B106,1,0)-T106,IF(18&lt;=$B106,1,0)*Pre_q,Floor_q)))</f>
        <v>0</v>
      </c>
      <c r="AO106" s="14" t="n">
        <f aca="false">IF(18&gt;$A106,0,IF(18=$A106,MAX(End_q,Floor_q),MAX(AP106+Cost_round*IF(19&lt;=$B106,1,0)-U106,IF(19&lt;=$B106,1,0)*Pre_q,Floor_q)))</f>
        <v>0</v>
      </c>
      <c r="AP106" s="14" t="n">
        <f aca="false">IF(19&gt;$A106,0,IF(19=$A106,MAX(End_q,Floor_q),MAX(AQ106+Cost_round*IF(20&lt;=$B106,1,0)-V106,IF(20&lt;=$B106,1,0)*Pre_q,Floor_q)))</f>
        <v>0</v>
      </c>
      <c r="AQ106" s="14" t="n">
        <f aca="false">IF(20&gt;$A106,0,MAX(End_q,Floor_q))</f>
        <v>0</v>
      </c>
      <c r="AR106" s="15" t="n">
        <f aca="false">IF(Q_zero&gt;=W106-0.000000001,1,0)</f>
        <v>1</v>
      </c>
      <c r="AS106" s="14" t="n">
        <f aca="false">IF(1&gt;$A106,0,Q_zero-Cost_round*IF(1&lt;=$B106,1,0)+C106-X106)</f>
        <v>100</v>
      </c>
      <c r="AT106" s="14" t="n">
        <f aca="false">IF(2&gt;$A106,0,X106-Cost_round*IF(2&lt;=$B106,1,0)+D106-Y106)</f>
        <v>105</v>
      </c>
      <c r="AU106" s="14" t="n">
        <f aca="false">IF(3&gt;$A106,0,Y106-Cost_round*IF(3&lt;=$B106,1,0)+E106-Z106)</f>
        <v>105</v>
      </c>
      <c r="AV106" s="14" t="n">
        <f aca="false">IF(4&gt;$A106,0,Z106-Cost_round*IF(4&lt;=$B106,1,0)+F106-AA106)</f>
        <v>105</v>
      </c>
      <c r="AW106" s="14" t="n">
        <f aca="false">IF(5&gt;$A106,0,AA106-Cost_round*IF(5&lt;=$B106,1,0)+G106-AB106)</f>
        <v>105</v>
      </c>
      <c r="AX106" s="14" t="n">
        <f aca="false">IF(6&gt;$A106,0,AB106-Cost_round*IF(6&lt;=$B106,1,0)+H106-AC106)</f>
        <v>105</v>
      </c>
      <c r="AY106" s="14" t="n">
        <f aca="false">IF(7&gt;$A106,0,AC106-Cost_round*IF(7&lt;=$B106,1,0)+I106-AD106)</f>
        <v>105</v>
      </c>
      <c r="AZ106" s="14" t="n">
        <f aca="false">IF(8&gt;$A106,0,AD106-Cost_round*IF(8&lt;=$B106,1,0)+J106-AE106)</f>
        <v>105</v>
      </c>
      <c r="BA106" s="14" t="n">
        <f aca="false">IF(9&gt;$A106,0,AE106-Cost_round*IF(9&lt;=$B106,1,0)+K106-AF106)</f>
        <v>105</v>
      </c>
      <c r="BB106" s="14" t="n">
        <f aca="false">IF(10&gt;$A106,0,AF106-Cost_round*IF(10&lt;=$B106,1,0)+L106-AG106)</f>
        <v>105</v>
      </c>
      <c r="BC106" s="14" t="n">
        <f aca="false">IF(11&gt;$A106,0,AG106-Cost_round*IF(11&lt;=$B106,1,0)+M106-AH106)</f>
        <v>105</v>
      </c>
      <c r="BD106" s="14" t="n">
        <f aca="false">IF(12&gt;$A106,0,AH106-Cost_round*IF(12&lt;=$B106,1,0)+N106-AI106)</f>
        <v>105</v>
      </c>
      <c r="BE106" s="14" t="n">
        <f aca="false">IF(13&gt;$A106,0,AI106-Cost_round*IF(13&lt;=$B106,1,0)+O106-AJ106)</f>
        <v>105</v>
      </c>
      <c r="BF106" s="14" t="n">
        <f aca="false">IF(14&gt;$A106,0,AJ106-Cost_round*IF(14&lt;=$B106,1,0)+P106-AK106)</f>
        <v>90</v>
      </c>
      <c r="BG106" s="14" t="n">
        <f aca="false">IF(15&gt;$A106,0,AK106-Cost_round*IF(15&lt;=$B106,1,0)+Q106-AL106)</f>
        <v>0</v>
      </c>
      <c r="BH106" s="14" t="n">
        <f aca="false">IF(16&gt;$A106,0,AL106-Cost_round*IF(16&lt;=$B106,1,0)+R106-AM106)</f>
        <v>0</v>
      </c>
      <c r="BI106" s="14" t="n">
        <f aca="false">IF(17&gt;$A106,0,AM106-Cost_round*IF(17&lt;=$B106,1,0)+S106-AN106)</f>
        <v>0</v>
      </c>
      <c r="BJ106" s="14" t="n">
        <f aca="false">IF(18&gt;$A106,0,AN106-Cost_round*IF(18&lt;=$B106,1,0)+T106-AO106)</f>
        <v>0</v>
      </c>
      <c r="BK106" s="14" t="n">
        <f aca="false">IF(19&gt;$A106,0,AO106-Cost_round*IF(19&lt;=$B106,1,0)+U106-AP106)</f>
        <v>0</v>
      </c>
      <c r="BL106" s="14" t="n">
        <f aca="false">IF(20&gt;$A106,0,AP106-Cost_round*IF(20&lt;=$B106,1,0)+V106-AQ106)</f>
        <v>0</v>
      </c>
      <c r="BM106" s="17" t="n">
        <f aca="false">IF($AR106=1,SUMPRODUCT(AS106:BL106,$AS$38:$BL$38),"")</f>
        <v>765.00675961857</v>
      </c>
      <c r="BN106" s="17" t="n">
        <f aca="false">IF($AR106=1,BM106+INDEX($AS$38:$BL$38,$A106)*INDEX(C106:V106,$A106)/Hurdle_r,"")</f>
        <v>1016.36841145619</v>
      </c>
    </row>
    <row r="107" customFormat="false" ht="15" hidden="false" customHeight="false" outlineLevel="0" collapsed="false">
      <c r="A107" s="2" t="n">
        <v>15</v>
      </c>
      <c r="B107" s="2" t="n">
        <v>3</v>
      </c>
      <c r="C107" s="14" t="n">
        <f aca="false">IF(1&gt;$A107,0,Val_pt*(Ceiling_e-E_zero)*(1-(1-Half_gap)^MIN(1,$B107)))</f>
        <v>70</v>
      </c>
      <c r="D107" s="14" t="n">
        <f aca="false">IF(2&gt;$A107,0,Val_pt*(Ceiling_e-E_zero)*(1-(1-Half_gap)^MIN(2,$B107)))</f>
        <v>105</v>
      </c>
      <c r="E107" s="14" t="n">
        <f aca="false">IF(3&gt;$A107,0,Val_pt*(Ceiling_e-E_zero)*(1-(1-Half_gap)^MIN(3,$B107)))</f>
        <v>122.5</v>
      </c>
      <c r="F107" s="14" t="n">
        <f aca="false">IF(4&gt;$A107,0,Val_pt*(Ceiling_e-E_zero)*(1-(1-Half_gap)^MIN(4,$B107)))</f>
        <v>122.5</v>
      </c>
      <c r="G107" s="14" t="n">
        <f aca="false">IF(5&gt;$A107,0,Val_pt*(Ceiling_e-E_zero)*(1-(1-Half_gap)^MIN(5,$B107)))</f>
        <v>122.5</v>
      </c>
      <c r="H107" s="14" t="n">
        <f aca="false">IF(6&gt;$A107,0,Val_pt*(Ceiling_e-E_zero)*(1-(1-Half_gap)^MIN(6,$B107)))</f>
        <v>122.5</v>
      </c>
      <c r="I107" s="14" t="n">
        <f aca="false">IF(7&gt;$A107,0,Val_pt*(Ceiling_e-E_zero)*(1-(1-Half_gap)^MIN(7,$B107)))</f>
        <v>122.5</v>
      </c>
      <c r="J107" s="14" t="n">
        <f aca="false">IF(8&gt;$A107,0,Val_pt*(Ceiling_e-E_zero)*(1-(1-Half_gap)^MIN(8,$B107)))</f>
        <v>122.5</v>
      </c>
      <c r="K107" s="14" t="n">
        <f aca="false">IF(9&gt;$A107,0,Val_pt*(Ceiling_e-E_zero)*(1-(1-Half_gap)^MIN(9,$B107)))</f>
        <v>122.5</v>
      </c>
      <c r="L107" s="14" t="n">
        <f aca="false">IF(10&gt;$A107,0,Val_pt*(Ceiling_e-E_zero)*(1-(1-Half_gap)^MIN(10,$B107)))</f>
        <v>122.5</v>
      </c>
      <c r="M107" s="14" t="n">
        <f aca="false">IF(11&gt;$A107,0,Val_pt*(Ceiling_e-E_zero)*(1-(1-Half_gap)^MIN(11,$B107)))</f>
        <v>122.5</v>
      </c>
      <c r="N107" s="14" t="n">
        <f aca="false">IF(12&gt;$A107,0,Val_pt*(Ceiling_e-E_zero)*(1-(1-Half_gap)^MIN(12,$B107)))</f>
        <v>122.5</v>
      </c>
      <c r="O107" s="14" t="n">
        <f aca="false">IF(13&gt;$A107,0,Val_pt*(Ceiling_e-E_zero)*(1-(1-Half_gap)^MIN(13,$B107)))</f>
        <v>122.5</v>
      </c>
      <c r="P107" s="14" t="n">
        <f aca="false">IF(14&gt;$A107,0,Val_pt*(Ceiling_e-E_zero)*(1-(1-Half_gap)^MIN(14,$B107)))</f>
        <v>122.5</v>
      </c>
      <c r="Q107" s="14" t="n">
        <f aca="false">IF(15&gt;$A107,0,Val_pt*(Ceiling_e-E_zero)*(1-(1-Half_gap)^MIN(15,$B107)))</f>
        <v>122.5</v>
      </c>
      <c r="R107" s="14" t="n">
        <f aca="false">IF(16&gt;$A107,0,Val_pt*(Ceiling_e-E_zero)*(1-(1-Half_gap)^MIN(16,$B107)))</f>
        <v>0</v>
      </c>
      <c r="S107" s="14" t="n">
        <f aca="false">IF(17&gt;$A107,0,Val_pt*(Ceiling_e-E_zero)*(1-(1-Half_gap)^MIN(17,$B107)))</f>
        <v>0</v>
      </c>
      <c r="T107" s="14" t="n">
        <f aca="false">IF(18&gt;$A107,0,Val_pt*(Ceiling_e-E_zero)*(1-(1-Half_gap)^MIN(18,$B107)))</f>
        <v>0</v>
      </c>
      <c r="U107" s="14" t="n">
        <f aca="false">IF(19&gt;$A107,0,Val_pt*(Ceiling_e-E_zero)*(1-(1-Half_gap)^MIN(19,$B107)))</f>
        <v>0</v>
      </c>
      <c r="V107" s="14" t="n">
        <f aca="false">IF(20&gt;$A107,0,Val_pt*(Ceiling_e-E_zero)*(1-(1-Half_gap)^MIN(20,$B107)))</f>
        <v>0</v>
      </c>
      <c r="W107" s="14" t="n">
        <f aca="false">IF(0&gt;$A107,0,IF(0=$A107,MAX(End_q,Floor_q),MAX(X107+Cost_round*IF(1&lt;=$B107,1,0)-C107,IF(1&lt;=$B107,1,0)*Pre_q)))</f>
        <v>535</v>
      </c>
      <c r="X107" s="14" t="n">
        <f aca="false">IF(1&gt;$A107,0,IF(1=$A107,MAX(End_q,Floor_q),MAX(Y107+Cost_round*IF(2&lt;=$B107,1,0)-D107,IF(2&lt;=$B107,1,0)*Pre_q,Floor_q)))</f>
        <v>485</v>
      </c>
      <c r="Y107" s="14" t="n">
        <f aca="false">IF(2&gt;$A107,0,IF(2=$A107,MAX(End_q,Floor_q),MAX(Z107+Cost_round*IF(3&lt;=$B107,1,0)-E107,IF(3&lt;=$B107,1,0)*Pre_q,Floor_q)))</f>
        <v>470</v>
      </c>
      <c r="Z107" s="14" t="n">
        <f aca="false">IF(3&gt;$A107,0,IF(3=$A107,MAX(End_q,Floor_q),MAX(AA107+Cost_round*IF(4&lt;=$B107,1,0)-F107,IF(4&lt;=$B107,1,0)*Pre_q,Floor_q)))</f>
        <v>350</v>
      </c>
      <c r="AA107" s="14" t="n">
        <f aca="false">IF(4&gt;$A107,0,IF(4=$A107,MAX(End_q,Floor_q),MAX(AB107+Cost_round*IF(5&lt;=$B107,1,0)-G107,IF(5&lt;=$B107,1,0)*Pre_q,Floor_q)))</f>
        <v>350</v>
      </c>
      <c r="AB107" s="14" t="n">
        <f aca="false">IF(5&gt;$A107,0,IF(5=$A107,MAX(End_q,Floor_q),MAX(AC107+Cost_round*IF(6&lt;=$B107,1,0)-H107,IF(6&lt;=$B107,1,0)*Pre_q,Floor_q)))</f>
        <v>350</v>
      </c>
      <c r="AC107" s="14" t="n">
        <f aca="false">IF(6&gt;$A107,0,IF(6=$A107,MAX(End_q,Floor_q),MAX(AD107+Cost_round*IF(7&lt;=$B107,1,0)-I107,IF(7&lt;=$B107,1,0)*Pre_q,Floor_q)))</f>
        <v>350</v>
      </c>
      <c r="AD107" s="14" t="n">
        <f aca="false">IF(7&gt;$A107,0,IF(7=$A107,MAX(End_q,Floor_q),MAX(AE107+Cost_round*IF(8&lt;=$B107,1,0)-J107,IF(8&lt;=$B107,1,0)*Pre_q,Floor_q)))</f>
        <v>350</v>
      </c>
      <c r="AE107" s="14" t="n">
        <f aca="false">IF(8&gt;$A107,0,IF(8=$A107,MAX(End_q,Floor_q),MAX(AF107+Cost_round*IF(9&lt;=$B107,1,0)-K107,IF(9&lt;=$B107,1,0)*Pre_q,Floor_q)))</f>
        <v>350</v>
      </c>
      <c r="AF107" s="14" t="n">
        <f aca="false">IF(9&gt;$A107,0,IF(9=$A107,MAX(End_q,Floor_q),MAX(AG107+Cost_round*IF(10&lt;=$B107,1,0)-L107,IF(10&lt;=$B107,1,0)*Pre_q,Floor_q)))</f>
        <v>350</v>
      </c>
      <c r="AG107" s="14" t="n">
        <f aca="false">IF(10&gt;$A107,0,IF(10=$A107,MAX(End_q,Floor_q),MAX(AH107+Cost_round*IF(11&lt;=$B107,1,0)-M107,IF(11&lt;=$B107,1,0)*Pre_q,Floor_q)))</f>
        <v>350</v>
      </c>
      <c r="AH107" s="14" t="n">
        <f aca="false">IF(11&gt;$A107,0,IF(11=$A107,MAX(End_q,Floor_q),MAX(AI107+Cost_round*IF(12&lt;=$B107,1,0)-N107,IF(12&lt;=$B107,1,0)*Pre_q,Floor_q)))</f>
        <v>350</v>
      </c>
      <c r="AI107" s="14" t="n">
        <f aca="false">IF(12&gt;$A107,0,IF(12=$A107,MAX(End_q,Floor_q),MAX(AJ107+Cost_round*IF(13&lt;=$B107,1,0)-O107,IF(13&lt;=$B107,1,0)*Pre_q,Floor_q)))</f>
        <v>350</v>
      </c>
      <c r="AJ107" s="14" t="n">
        <f aca="false">IF(13&gt;$A107,0,IF(13=$A107,MAX(End_q,Floor_q),MAX(AK107+Cost_round*IF(14&lt;=$B107,1,0)-P107,IF(14&lt;=$B107,1,0)*Pre_q,Floor_q)))</f>
        <v>350</v>
      </c>
      <c r="AK107" s="14" t="n">
        <f aca="false">IF(14&gt;$A107,0,IF(14=$A107,MAX(End_q,Floor_q),MAX(AL107+Cost_round*IF(15&lt;=$B107,1,0)-Q107,IF(15&lt;=$B107,1,0)*Pre_q,Floor_q)))</f>
        <v>350</v>
      </c>
      <c r="AL107" s="14" t="n">
        <f aca="false">IF(15&gt;$A107,0,IF(15=$A107,MAX(End_q,Floor_q),MAX(AM107+Cost_round*IF(16&lt;=$B107,1,0)-R107,IF(16&lt;=$B107,1,0)*Pre_q,Floor_q)))</f>
        <v>470</v>
      </c>
      <c r="AM107" s="14" t="n">
        <f aca="false">IF(16&gt;$A107,0,IF(16=$A107,MAX(End_q,Floor_q),MAX(AN107+Cost_round*IF(17&lt;=$B107,1,0)-S107,IF(17&lt;=$B107,1,0)*Pre_q,Floor_q)))</f>
        <v>0</v>
      </c>
      <c r="AN107" s="14" t="n">
        <f aca="false">IF(17&gt;$A107,0,IF(17=$A107,MAX(End_q,Floor_q),MAX(AO107+Cost_round*IF(18&lt;=$B107,1,0)-T107,IF(18&lt;=$B107,1,0)*Pre_q,Floor_q)))</f>
        <v>0</v>
      </c>
      <c r="AO107" s="14" t="n">
        <f aca="false">IF(18&gt;$A107,0,IF(18=$A107,MAX(End_q,Floor_q),MAX(AP107+Cost_round*IF(19&lt;=$B107,1,0)-U107,IF(19&lt;=$B107,1,0)*Pre_q,Floor_q)))</f>
        <v>0</v>
      </c>
      <c r="AP107" s="14" t="n">
        <f aca="false">IF(19&gt;$A107,0,IF(19=$A107,MAX(End_q,Floor_q),MAX(AQ107+Cost_round*IF(20&lt;=$B107,1,0)-V107,IF(20&lt;=$B107,1,0)*Pre_q,Floor_q)))</f>
        <v>0</v>
      </c>
      <c r="AQ107" s="14" t="n">
        <f aca="false">IF(20&gt;$A107,0,MAX(End_q,Floor_q))</f>
        <v>0</v>
      </c>
      <c r="AR107" s="15" t="n">
        <f aca="false">IF(Q_zero&gt;=W107-0.000000001,1,0)</f>
        <v>1</v>
      </c>
      <c r="AS107" s="14" t="n">
        <f aca="false">IF(1&gt;$A107,0,Q_zero-Cost_round*IF(1&lt;=$B107,1,0)+C107-X107)</f>
        <v>85</v>
      </c>
      <c r="AT107" s="14" t="n">
        <f aca="false">IF(2&gt;$A107,0,X107-Cost_round*IF(2&lt;=$B107,1,0)+D107-Y107)</f>
        <v>0</v>
      </c>
      <c r="AU107" s="14" t="n">
        <f aca="false">IF(3&gt;$A107,0,Y107-Cost_round*IF(3&lt;=$B107,1,0)+E107-Z107)</f>
        <v>122.5</v>
      </c>
      <c r="AV107" s="14" t="n">
        <f aca="false">IF(4&gt;$A107,0,Z107-Cost_round*IF(4&lt;=$B107,1,0)+F107-AA107)</f>
        <v>122.5</v>
      </c>
      <c r="AW107" s="14" t="n">
        <f aca="false">IF(5&gt;$A107,0,AA107-Cost_round*IF(5&lt;=$B107,1,0)+G107-AB107)</f>
        <v>122.5</v>
      </c>
      <c r="AX107" s="14" t="n">
        <f aca="false">IF(6&gt;$A107,0,AB107-Cost_round*IF(6&lt;=$B107,1,0)+H107-AC107)</f>
        <v>122.5</v>
      </c>
      <c r="AY107" s="14" t="n">
        <f aca="false">IF(7&gt;$A107,0,AC107-Cost_round*IF(7&lt;=$B107,1,0)+I107-AD107)</f>
        <v>122.5</v>
      </c>
      <c r="AZ107" s="14" t="n">
        <f aca="false">IF(8&gt;$A107,0,AD107-Cost_round*IF(8&lt;=$B107,1,0)+J107-AE107)</f>
        <v>122.5</v>
      </c>
      <c r="BA107" s="14" t="n">
        <f aca="false">IF(9&gt;$A107,0,AE107-Cost_round*IF(9&lt;=$B107,1,0)+K107-AF107)</f>
        <v>122.5</v>
      </c>
      <c r="BB107" s="14" t="n">
        <f aca="false">IF(10&gt;$A107,0,AF107-Cost_round*IF(10&lt;=$B107,1,0)+L107-AG107)</f>
        <v>122.5</v>
      </c>
      <c r="BC107" s="14" t="n">
        <f aca="false">IF(11&gt;$A107,0,AG107-Cost_round*IF(11&lt;=$B107,1,0)+M107-AH107)</f>
        <v>122.5</v>
      </c>
      <c r="BD107" s="14" t="n">
        <f aca="false">IF(12&gt;$A107,0,AH107-Cost_round*IF(12&lt;=$B107,1,0)+N107-AI107)</f>
        <v>122.5</v>
      </c>
      <c r="BE107" s="14" t="n">
        <f aca="false">IF(13&gt;$A107,0,AI107-Cost_round*IF(13&lt;=$B107,1,0)+O107-AJ107)</f>
        <v>122.5</v>
      </c>
      <c r="BF107" s="14" t="n">
        <f aca="false">IF(14&gt;$A107,0,AJ107-Cost_round*IF(14&lt;=$B107,1,0)+P107-AK107)</f>
        <v>122.5</v>
      </c>
      <c r="BG107" s="14" t="n">
        <f aca="false">IF(15&gt;$A107,0,AK107-Cost_round*IF(15&lt;=$B107,1,0)+Q107-AL107)</f>
        <v>2.5</v>
      </c>
      <c r="BH107" s="14" t="n">
        <f aca="false">IF(16&gt;$A107,0,AL107-Cost_round*IF(16&lt;=$B107,1,0)+R107-AM107)</f>
        <v>0</v>
      </c>
      <c r="BI107" s="14" t="n">
        <f aca="false">IF(17&gt;$A107,0,AM107-Cost_round*IF(17&lt;=$B107,1,0)+S107-AN107)</f>
        <v>0</v>
      </c>
      <c r="BJ107" s="14" t="n">
        <f aca="false">IF(18&gt;$A107,0,AN107-Cost_round*IF(18&lt;=$B107,1,0)+T107-AO107)</f>
        <v>0</v>
      </c>
      <c r="BK107" s="14" t="n">
        <f aca="false">IF(19&gt;$A107,0,AO107-Cost_round*IF(19&lt;=$B107,1,0)+U107-AP107)</f>
        <v>0</v>
      </c>
      <c r="BL107" s="14" t="n">
        <f aca="false">IF(20&gt;$A107,0,AP107-Cost_round*IF(20&lt;=$B107,1,0)+V107-AQ107)</f>
        <v>0</v>
      </c>
      <c r="BM107" s="17" t="n">
        <f aca="false">IF($AR107=1,SUMPRODUCT(AS107:BL107,$AS$38:$BL$38),"")</f>
        <v>767.687115086078</v>
      </c>
      <c r="BN107" s="17" t="n">
        <f aca="false">IF($AR107=1,BM107+INDEX($AS$38:$BL$38,$A107)*INDEX(C107:V107,$A107)/Hurdle_r,"")</f>
        <v>1060.9423755633</v>
      </c>
    </row>
    <row r="108" customFormat="false" ht="15" hidden="false" customHeight="false" outlineLevel="0" collapsed="false">
      <c r="A108" s="2" t="n">
        <v>15</v>
      </c>
      <c r="B108" s="2" t="n">
        <v>4</v>
      </c>
      <c r="C108" s="14" t="n">
        <f aca="false">IF(1&gt;$A108,0,Val_pt*(Ceiling_e-E_zero)*(1-(1-Half_gap)^MIN(1,$B108)))</f>
        <v>70</v>
      </c>
      <c r="D108" s="14" t="n">
        <f aca="false">IF(2&gt;$A108,0,Val_pt*(Ceiling_e-E_zero)*(1-(1-Half_gap)^MIN(2,$B108)))</f>
        <v>105</v>
      </c>
      <c r="E108" s="14" t="n">
        <f aca="false">IF(3&gt;$A108,0,Val_pt*(Ceiling_e-E_zero)*(1-(1-Half_gap)^MIN(3,$B108)))</f>
        <v>122.5</v>
      </c>
      <c r="F108" s="14" t="n">
        <f aca="false">IF(4&gt;$A108,0,Val_pt*(Ceiling_e-E_zero)*(1-(1-Half_gap)^MIN(4,$B108)))</f>
        <v>131.25</v>
      </c>
      <c r="G108" s="14" t="n">
        <f aca="false">IF(5&gt;$A108,0,Val_pt*(Ceiling_e-E_zero)*(1-(1-Half_gap)^MIN(5,$B108)))</f>
        <v>131.25</v>
      </c>
      <c r="H108" s="14" t="n">
        <f aca="false">IF(6&gt;$A108,0,Val_pt*(Ceiling_e-E_zero)*(1-(1-Half_gap)^MIN(6,$B108)))</f>
        <v>131.25</v>
      </c>
      <c r="I108" s="14" t="n">
        <f aca="false">IF(7&gt;$A108,0,Val_pt*(Ceiling_e-E_zero)*(1-(1-Half_gap)^MIN(7,$B108)))</f>
        <v>131.25</v>
      </c>
      <c r="J108" s="14" t="n">
        <f aca="false">IF(8&gt;$A108,0,Val_pt*(Ceiling_e-E_zero)*(1-(1-Half_gap)^MIN(8,$B108)))</f>
        <v>131.25</v>
      </c>
      <c r="K108" s="14" t="n">
        <f aca="false">IF(9&gt;$A108,0,Val_pt*(Ceiling_e-E_zero)*(1-(1-Half_gap)^MIN(9,$B108)))</f>
        <v>131.25</v>
      </c>
      <c r="L108" s="14" t="n">
        <f aca="false">IF(10&gt;$A108,0,Val_pt*(Ceiling_e-E_zero)*(1-(1-Half_gap)^MIN(10,$B108)))</f>
        <v>131.25</v>
      </c>
      <c r="M108" s="14" t="n">
        <f aca="false">IF(11&gt;$A108,0,Val_pt*(Ceiling_e-E_zero)*(1-(1-Half_gap)^MIN(11,$B108)))</f>
        <v>131.25</v>
      </c>
      <c r="N108" s="14" t="n">
        <f aca="false">IF(12&gt;$A108,0,Val_pt*(Ceiling_e-E_zero)*(1-(1-Half_gap)^MIN(12,$B108)))</f>
        <v>131.25</v>
      </c>
      <c r="O108" s="14" t="n">
        <f aca="false">IF(13&gt;$A108,0,Val_pt*(Ceiling_e-E_zero)*(1-(1-Half_gap)^MIN(13,$B108)))</f>
        <v>131.25</v>
      </c>
      <c r="P108" s="14" t="n">
        <f aca="false">IF(14&gt;$A108,0,Val_pt*(Ceiling_e-E_zero)*(1-(1-Half_gap)^MIN(14,$B108)))</f>
        <v>131.25</v>
      </c>
      <c r="Q108" s="14" t="n">
        <f aca="false">IF(15&gt;$A108,0,Val_pt*(Ceiling_e-E_zero)*(1-(1-Half_gap)^MIN(15,$B108)))</f>
        <v>131.25</v>
      </c>
      <c r="R108" s="14" t="n">
        <f aca="false">IF(16&gt;$A108,0,Val_pt*(Ceiling_e-E_zero)*(1-(1-Half_gap)^MIN(16,$B108)))</f>
        <v>0</v>
      </c>
      <c r="S108" s="14" t="n">
        <f aca="false">IF(17&gt;$A108,0,Val_pt*(Ceiling_e-E_zero)*(1-(1-Half_gap)^MIN(17,$B108)))</f>
        <v>0</v>
      </c>
      <c r="T108" s="14" t="n">
        <f aca="false">IF(18&gt;$A108,0,Val_pt*(Ceiling_e-E_zero)*(1-(1-Half_gap)^MIN(18,$B108)))</f>
        <v>0</v>
      </c>
      <c r="U108" s="14" t="n">
        <f aca="false">IF(19&gt;$A108,0,Val_pt*(Ceiling_e-E_zero)*(1-(1-Half_gap)^MIN(19,$B108)))</f>
        <v>0</v>
      </c>
      <c r="V108" s="14" t="n">
        <f aca="false">IF(20&gt;$A108,0,Val_pt*(Ceiling_e-E_zero)*(1-(1-Half_gap)^MIN(20,$B108)))</f>
        <v>0</v>
      </c>
      <c r="W108" s="14" t="n">
        <f aca="false">IF(0&gt;$A108,0,IF(0=$A108,MAX(End_q,Floor_q),MAX(X108+Cost_round*IF(1&lt;=$B108,1,0)-C108,IF(1&lt;=$B108,1,0)*Pre_q)))</f>
        <v>535</v>
      </c>
      <c r="X108" s="14" t="n">
        <f aca="false">IF(1&gt;$A108,0,IF(1=$A108,MAX(End_q,Floor_q),MAX(Y108+Cost_round*IF(2&lt;=$B108,1,0)-D108,IF(2&lt;=$B108,1,0)*Pre_q,Floor_q)))</f>
        <v>485</v>
      </c>
      <c r="Y108" s="14" t="n">
        <f aca="false">IF(2&gt;$A108,0,IF(2=$A108,MAX(End_q,Floor_q),MAX(Z108+Cost_round*IF(3&lt;=$B108,1,0)-E108,IF(3&lt;=$B108,1,0)*Pre_q,Floor_q)))</f>
        <v>470</v>
      </c>
      <c r="Z108" s="14" t="n">
        <f aca="false">IF(3&gt;$A108,0,IF(3=$A108,MAX(End_q,Floor_q),MAX(AA108+Cost_round*IF(4&lt;=$B108,1,0)-F108,IF(4&lt;=$B108,1,0)*Pre_q,Floor_q)))</f>
        <v>470</v>
      </c>
      <c r="AA108" s="14" t="n">
        <f aca="false">IF(4&gt;$A108,0,IF(4=$A108,MAX(End_q,Floor_q),MAX(AB108+Cost_round*IF(5&lt;=$B108,1,0)-G108,IF(5&lt;=$B108,1,0)*Pre_q,Floor_q)))</f>
        <v>350</v>
      </c>
      <c r="AB108" s="14" t="n">
        <f aca="false">IF(5&gt;$A108,0,IF(5=$A108,MAX(End_q,Floor_q),MAX(AC108+Cost_round*IF(6&lt;=$B108,1,0)-H108,IF(6&lt;=$B108,1,0)*Pre_q,Floor_q)))</f>
        <v>350</v>
      </c>
      <c r="AC108" s="14" t="n">
        <f aca="false">IF(6&gt;$A108,0,IF(6=$A108,MAX(End_q,Floor_q),MAX(AD108+Cost_round*IF(7&lt;=$B108,1,0)-I108,IF(7&lt;=$B108,1,0)*Pre_q,Floor_q)))</f>
        <v>350</v>
      </c>
      <c r="AD108" s="14" t="n">
        <f aca="false">IF(7&gt;$A108,0,IF(7=$A108,MAX(End_q,Floor_q),MAX(AE108+Cost_round*IF(8&lt;=$B108,1,0)-J108,IF(8&lt;=$B108,1,0)*Pre_q,Floor_q)))</f>
        <v>350</v>
      </c>
      <c r="AE108" s="14" t="n">
        <f aca="false">IF(8&gt;$A108,0,IF(8=$A108,MAX(End_q,Floor_q),MAX(AF108+Cost_round*IF(9&lt;=$B108,1,0)-K108,IF(9&lt;=$B108,1,0)*Pre_q,Floor_q)))</f>
        <v>350</v>
      </c>
      <c r="AF108" s="14" t="n">
        <f aca="false">IF(9&gt;$A108,0,IF(9=$A108,MAX(End_q,Floor_q),MAX(AG108+Cost_round*IF(10&lt;=$B108,1,0)-L108,IF(10&lt;=$B108,1,0)*Pre_q,Floor_q)))</f>
        <v>350</v>
      </c>
      <c r="AG108" s="14" t="n">
        <f aca="false">IF(10&gt;$A108,0,IF(10=$A108,MAX(End_q,Floor_q),MAX(AH108+Cost_round*IF(11&lt;=$B108,1,0)-M108,IF(11&lt;=$B108,1,0)*Pre_q,Floor_q)))</f>
        <v>350</v>
      </c>
      <c r="AH108" s="14" t="n">
        <f aca="false">IF(11&gt;$A108,0,IF(11=$A108,MAX(End_q,Floor_q),MAX(AI108+Cost_round*IF(12&lt;=$B108,1,0)-N108,IF(12&lt;=$B108,1,0)*Pre_q,Floor_q)))</f>
        <v>350</v>
      </c>
      <c r="AI108" s="14" t="n">
        <f aca="false">IF(12&gt;$A108,0,IF(12=$A108,MAX(End_q,Floor_q),MAX(AJ108+Cost_round*IF(13&lt;=$B108,1,0)-O108,IF(13&lt;=$B108,1,0)*Pre_q,Floor_q)))</f>
        <v>350</v>
      </c>
      <c r="AJ108" s="14" t="n">
        <f aca="false">IF(13&gt;$A108,0,IF(13=$A108,MAX(End_q,Floor_q),MAX(AK108+Cost_round*IF(14&lt;=$B108,1,0)-P108,IF(14&lt;=$B108,1,0)*Pre_q,Floor_q)))</f>
        <v>350</v>
      </c>
      <c r="AK108" s="14" t="n">
        <f aca="false">IF(14&gt;$A108,0,IF(14=$A108,MAX(End_q,Floor_q),MAX(AL108+Cost_round*IF(15&lt;=$B108,1,0)-Q108,IF(15&lt;=$B108,1,0)*Pre_q,Floor_q)))</f>
        <v>350</v>
      </c>
      <c r="AL108" s="14" t="n">
        <f aca="false">IF(15&gt;$A108,0,IF(15=$A108,MAX(End_q,Floor_q),MAX(AM108+Cost_round*IF(16&lt;=$B108,1,0)-R108,IF(16&lt;=$B108,1,0)*Pre_q,Floor_q)))</f>
        <v>470</v>
      </c>
      <c r="AM108" s="14" t="n">
        <f aca="false">IF(16&gt;$A108,0,IF(16=$A108,MAX(End_q,Floor_q),MAX(AN108+Cost_round*IF(17&lt;=$B108,1,0)-S108,IF(17&lt;=$B108,1,0)*Pre_q,Floor_q)))</f>
        <v>0</v>
      </c>
      <c r="AN108" s="14" t="n">
        <f aca="false">IF(17&gt;$A108,0,IF(17=$A108,MAX(End_q,Floor_q),MAX(AO108+Cost_round*IF(18&lt;=$B108,1,0)-T108,IF(18&lt;=$B108,1,0)*Pre_q,Floor_q)))</f>
        <v>0</v>
      </c>
      <c r="AO108" s="14" t="n">
        <f aca="false">IF(18&gt;$A108,0,IF(18=$A108,MAX(End_q,Floor_q),MAX(AP108+Cost_round*IF(19&lt;=$B108,1,0)-U108,IF(19&lt;=$B108,1,0)*Pre_q,Floor_q)))</f>
        <v>0</v>
      </c>
      <c r="AP108" s="14" t="n">
        <f aca="false">IF(19&gt;$A108,0,IF(19=$A108,MAX(End_q,Floor_q),MAX(AQ108+Cost_round*IF(20&lt;=$B108,1,0)-V108,IF(20&lt;=$B108,1,0)*Pre_q,Floor_q)))</f>
        <v>0</v>
      </c>
      <c r="AQ108" s="14" t="n">
        <f aca="false">IF(20&gt;$A108,0,MAX(End_q,Floor_q))</f>
        <v>0</v>
      </c>
      <c r="AR108" s="15" t="n">
        <f aca="false">IF(Q_zero&gt;=W108-0.000000001,1,0)</f>
        <v>1</v>
      </c>
      <c r="AS108" s="14" t="n">
        <f aca="false">IF(1&gt;$A108,0,Q_zero-Cost_round*IF(1&lt;=$B108,1,0)+C108-X108)</f>
        <v>85</v>
      </c>
      <c r="AT108" s="14" t="n">
        <f aca="false">IF(2&gt;$A108,0,X108-Cost_round*IF(2&lt;=$B108,1,0)+D108-Y108)</f>
        <v>0</v>
      </c>
      <c r="AU108" s="14" t="n">
        <f aca="false">IF(3&gt;$A108,0,Y108-Cost_round*IF(3&lt;=$B108,1,0)+E108-Z108)</f>
        <v>2.5</v>
      </c>
      <c r="AV108" s="14" t="n">
        <f aca="false">IF(4&gt;$A108,0,Z108-Cost_round*IF(4&lt;=$B108,1,0)+F108-AA108)</f>
        <v>131.25</v>
      </c>
      <c r="AW108" s="14" t="n">
        <f aca="false">IF(5&gt;$A108,0,AA108-Cost_round*IF(5&lt;=$B108,1,0)+G108-AB108)</f>
        <v>131.25</v>
      </c>
      <c r="AX108" s="14" t="n">
        <f aca="false">IF(6&gt;$A108,0,AB108-Cost_round*IF(6&lt;=$B108,1,0)+H108-AC108)</f>
        <v>131.25</v>
      </c>
      <c r="AY108" s="14" t="n">
        <f aca="false">IF(7&gt;$A108,0,AC108-Cost_round*IF(7&lt;=$B108,1,0)+I108-AD108)</f>
        <v>131.25</v>
      </c>
      <c r="AZ108" s="14" t="n">
        <f aca="false">IF(8&gt;$A108,0,AD108-Cost_round*IF(8&lt;=$B108,1,0)+J108-AE108)</f>
        <v>131.25</v>
      </c>
      <c r="BA108" s="14" t="n">
        <f aca="false">IF(9&gt;$A108,0,AE108-Cost_round*IF(9&lt;=$B108,1,0)+K108-AF108)</f>
        <v>131.25</v>
      </c>
      <c r="BB108" s="14" t="n">
        <f aca="false">IF(10&gt;$A108,0,AF108-Cost_round*IF(10&lt;=$B108,1,0)+L108-AG108)</f>
        <v>131.25</v>
      </c>
      <c r="BC108" s="14" t="n">
        <f aca="false">IF(11&gt;$A108,0,AG108-Cost_round*IF(11&lt;=$B108,1,0)+M108-AH108)</f>
        <v>131.25</v>
      </c>
      <c r="BD108" s="14" t="n">
        <f aca="false">IF(12&gt;$A108,0,AH108-Cost_round*IF(12&lt;=$B108,1,0)+N108-AI108)</f>
        <v>131.25</v>
      </c>
      <c r="BE108" s="14" t="n">
        <f aca="false">IF(13&gt;$A108,0,AI108-Cost_round*IF(13&lt;=$B108,1,0)+O108-AJ108)</f>
        <v>131.25</v>
      </c>
      <c r="BF108" s="14" t="n">
        <f aca="false">IF(14&gt;$A108,0,AJ108-Cost_round*IF(14&lt;=$B108,1,0)+P108-AK108)</f>
        <v>131.25</v>
      </c>
      <c r="BG108" s="14" t="n">
        <f aca="false">IF(15&gt;$A108,0,AK108-Cost_round*IF(15&lt;=$B108,1,0)+Q108-AL108)</f>
        <v>11.25</v>
      </c>
      <c r="BH108" s="14" t="n">
        <f aca="false">IF(16&gt;$A108,0,AL108-Cost_round*IF(16&lt;=$B108,1,0)+R108-AM108)</f>
        <v>0</v>
      </c>
      <c r="BI108" s="14" t="n">
        <f aca="false">IF(17&gt;$A108,0,AM108-Cost_round*IF(17&lt;=$B108,1,0)+S108-AN108)</f>
        <v>0</v>
      </c>
      <c r="BJ108" s="14" t="n">
        <f aca="false">IF(18&gt;$A108,0,AN108-Cost_round*IF(18&lt;=$B108,1,0)+T108-AO108)</f>
        <v>0</v>
      </c>
      <c r="BK108" s="14" t="n">
        <f aca="false">IF(19&gt;$A108,0,AO108-Cost_round*IF(19&lt;=$B108,1,0)+U108-AP108)</f>
        <v>0</v>
      </c>
      <c r="BL108" s="14" t="n">
        <f aca="false">IF(20&gt;$A108,0,AP108-Cost_round*IF(20&lt;=$B108,1,0)+V108-AQ108)</f>
        <v>0</v>
      </c>
      <c r="BM108" s="17" t="n">
        <f aca="false">IF($AR108=1,SUMPRODUCT(AS108:BL108,$AS$38:$BL$38),"")</f>
        <v>722.322579736975</v>
      </c>
      <c r="BN108" s="17" t="n">
        <f aca="false">IF($AR108=1,BM108+INDEX($AS$38:$BL$38,$A108)*INDEX(C108:V108,$A108)/Hurdle_r,"")</f>
        <v>1036.524644534</v>
      </c>
    </row>
    <row r="109" customFormat="false" ht="15" hidden="false" customHeight="false" outlineLevel="0" collapsed="false">
      <c r="A109" s="2" t="n">
        <v>16</v>
      </c>
      <c r="B109" s="2" t="n">
        <v>0</v>
      </c>
      <c r="C109" s="14" t="n">
        <f aca="false">IF(1&gt;$A109,0,Val_pt*(Ceiling_e-E_zero)*(1-(1-Half_gap)^MIN(1,$B109)))</f>
        <v>0</v>
      </c>
      <c r="D109" s="14" t="n">
        <f aca="false">IF(2&gt;$A109,0,Val_pt*(Ceiling_e-E_zero)*(1-(1-Half_gap)^MIN(2,$B109)))</f>
        <v>0</v>
      </c>
      <c r="E109" s="14" t="n">
        <f aca="false">IF(3&gt;$A109,0,Val_pt*(Ceiling_e-E_zero)*(1-(1-Half_gap)^MIN(3,$B109)))</f>
        <v>0</v>
      </c>
      <c r="F109" s="14" t="n">
        <f aca="false">IF(4&gt;$A109,0,Val_pt*(Ceiling_e-E_zero)*(1-(1-Half_gap)^MIN(4,$B109)))</f>
        <v>0</v>
      </c>
      <c r="G109" s="14" t="n">
        <f aca="false">IF(5&gt;$A109,0,Val_pt*(Ceiling_e-E_zero)*(1-(1-Half_gap)^MIN(5,$B109)))</f>
        <v>0</v>
      </c>
      <c r="H109" s="14" t="n">
        <f aca="false">IF(6&gt;$A109,0,Val_pt*(Ceiling_e-E_zero)*(1-(1-Half_gap)^MIN(6,$B109)))</f>
        <v>0</v>
      </c>
      <c r="I109" s="14" t="n">
        <f aca="false">IF(7&gt;$A109,0,Val_pt*(Ceiling_e-E_zero)*(1-(1-Half_gap)^MIN(7,$B109)))</f>
        <v>0</v>
      </c>
      <c r="J109" s="14" t="n">
        <f aca="false">IF(8&gt;$A109,0,Val_pt*(Ceiling_e-E_zero)*(1-(1-Half_gap)^MIN(8,$B109)))</f>
        <v>0</v>
      </c>
      <c r="K109" s="14" t="n">
        <f aca="false">IF(9&gt;$A109,0,Val_pt*(Ceiling_e-E_zero)*(1-(1-Half_gap)^MIN(9,$B109)))</f>
        <v>0</v>
      </c>
      <c r="L109" s="14" t="n">
        <f aca="false">IF(10&gt;$A109,0,Val_pt*(Ceiling_e-E_zero)*(1-(1-Half_gap)^MIN(10,$B109)))</f>
        <v>0</v>
      </c>
      <c r="M109" s="14" t="n">
        <f aca="false">IF(11&gt;$A109,0,Val_pt*(Ceiling_e-E_zero)*(1-(1-Half_gap)^MIN(11,$B109)))</f>
        <v>0</v>
      </c>
      <c r="N109" s="14" t="n">
        <f aca="false">IF(12&gt;$A109,0,Val_pt*(Ceiling_e-E_zero)*(1-(1-Half_gap)^MIN(12,$B109)))</f>
        <v>0</v>
      </c>
      <c r="O109" s="14" t="n">
        <f aca="false">IF(13&gt;$A109,0,Val_pt*(Ceiling_e-E_zero)*(1-(1-Half_gap)^MIN(13,$B109)))</f>
        <v>0</v>
      </c>
      <c r="P109" s="14" t="n">
        <f aca="false">IF(14&gt;$A109,0,Val_pt*(Ceiling_e-E_zero)*(1-(1-Half_gap)^MIN(14,$B109)))</f>
        <v>0</v>
      </c>
      <c r="Q109" s="14" t="n">
        <f aca="false">IF(15&gt;$A109,0,Val_pt*(Ceiling_e-E_zero)*(1-(1-Half_gap)^MIN(15,$B109)))</f>
        <v>0</v>
      </c>
      <c r="R109" s="14" t="n">
        <f aca="false">IF(16&gt;$A109,0,Val_pt*(Ceiling_e-E_zero)*(1-(1-Half_gap)^MIN(16,$B109)))</f>
        <v>0</v>
      </c>
      <c r="S109" s="14" t="n">
        <f aca="false">IF(17&gt;$A109,0,Val_pt*(Ceiling_e-E_zero)*(1-(1-Half_gap)^MIN(17,$B109)))</f>
        <v>0</v>
      </c>
      <c r="T109" s="14" t="n">
        <f aca="false">IF(18&gt;$A109,0,Val_pt*(Ceiling_e-E_zero)*(1-(1-Half_gap)^MIN(18,$B109)))</f>
        <v>0</v>
      </c>
      <c r="U109" s="14" t="n">
        <f aca="false">IF(19&gt;$A109,0,Val_pt*(Ceiling_e-E_zero)*(1-(1-Half_gap)^MIN(19,$B109)))</f>
        <v>0</v>
      </c>
      <c r="V109" s="14" t="n">
        <f aca="false">IF(20&gt;$A109,0,Val_pt*(Ceiling_e-E_zero)*(1-(1-Half_gap)^MIN(20,$B109)))</f>
        <v>0</v>
      </c>
      <c r="W109" s="14" t="n">
        <f aca="false">IF(0&gt;$A109,0,IF(0=$A109,MAX(End_q,Floor_q),MAX(X109+Cost_round*IF(1&lt;=$B109,1,0)-C109,IF(1&lt;=$B109,1,0)*Pre_q)))</f>
        <v>470</v>
      </c>
      <c r="X109" s="14" t="n">
        <f aca="false">IF(1&gt;$A109,0,IF(1=$A109,MAX(End_q,Floor_q),MAX(Y109+Cost_round*IF(2&lt;=$B109,1,0)-D109,IF(2&lt;=$B109,1,0)*Pre_q,Floor_q)))</f>
        <v>470</v>
      </c>
      <c r="Y109" s="14" t="n">
        <f aca="false">IF(2&gt;$A109,0,IF(2=$A109,MAX(End_q,Floor_q),MAX(Z109+Cost_round*IF(3&lt;=$B109,1,0)-E109,IF(3&lt;=$B109,1,0)*Pre_q,Floor_q)))</f>
        <v>470</v>
      </c>
      <c r="Z109" s="14" t="n">
        <f aca="false">IF(3&gt;$A109,0,IF(3=$A109,MAX(End_q,Floor_q),MAX(AA109+Cost_round*IF(4&lt;=$B109,1,0)-F109,IF(4&lt;=$B109,1,0)*Pre_q,Floor_q)))</f>
        <v>470</v>
      </c>
      <c r="AA109" s="14" t="n">
        <f aca="false">IF(4&gt;$A109,0,IF(4=$A109,MAX(End_q,Floor_q),MAX(AB109+Cost_round*IF(5&lt;=$B109,1,0)-G109,IF(5&lt;=$B109,1,0)*Pre_q,Floor_q)))</f>
        <v>470</v>
      </c>
      <c r="AB109" s="14" t="n">
        <f aca="false">IF(5&gt;$A109,0,IF(5=$A109,MAX(End_q,Floor_q),MAX(AC109+Cost_round*IF(6&lt;=$B109,1,0)-H109,IF(6&lt;=$B109,1,0)*Pre_q,Floor_q)))</f>
        <v>470</v>
      </c>
      <c r="AC109" s="14" t="n">
        <f aca="false">IF(6&gt;$A109,0,IF(6=$A109,MAX(End_q,Floor_q),MAX(AD109+Cost_round*IF(7&lt;=$B109,1,0)-I109,IF(7&lt;=$B109,1,0)*Pre_q,Floor_q)))</f>
        <v>470</v>
      </c>
      <c r="AD109" s="14" t="n">
        <f aca="false">IF(7&gt;$A109,0,IF(7=$A109,MAX(End_q,Floor_q),MAX(AE109+Cost_round*IF(8&lt;=$B109,1,0)-J109,IF(8&lt;=$B109,1,0)*Pre_q,Floor_q)))</f>
        <v>470</v>
      </c>
      <c r="AE109" s="14" t="n">
        <f aca="false">IF(8&gt;$A109,0,IF(8=$A109,MAX(End_q,Floor_q),MAX(AF109+Cost_round*IF(9&lt;=$B109,1,0)-K109,IF(9&lt;=$B109,1,0)*Pre_q,Floor_q)))</f>
        <v>470</v>
      </c>
      <c r="AF109" s="14" t="n">
        <f aca="false">IF(9&gt;$A109,0,IF(9=$A109,MAX(End_q,Floor_q),MAX(AG109+Cost_round*IF(10&lt;=$B109,1,0)-L109,IF(10&lt;=$B109,1,0)*Pre_q,Floor_q)))</f>
        <v>470</v>
      </c>
      <c r="AG109" s="14" t="n">
        <f aca="false">IF(10&gt;$A109,0,IF(10=$A109,MAX(End_q,Floor_q),MAX(AH109+Cost_round*IF(11&lt;=$B109,1,0)-M109,IF(11&lt;=$B109,1,0)*Pre_q,Floor_q)))</f>
        <v>470</v>
      </c>
      <c r="AH109" s="14" t="n">
        <f aca="false">IF(11&gt;$A109,0,IF(11=$A109,MAX(End_q,Floor_q),MAX(AI109+Cost_round*IF(12&lt;=$B109,1,0)-N109,IF(12&lt;=$B109,1,0)*Pre_q,Floor_q)))</f>
        <v>470</v>
      </c>
      <c r="AI109" s="14" t="n">
        <f aca="false">IF(12&gt;$A109,0,IF(12=$A109,MAX(End_q,Floor_q),MAX(AJ109+Cost_round*IF(13&lt;=$B109,1,0)-O109,IF(13&lt;=$B109,1,0)*Pre_q,Floor_q)))</f>
        <v>470</v>
      </c>
      <c r="AJ109" s="14" t="n">
        <f aca="false">IF(13&gt;$A109,0,IF(13=$A109,MAX(End_q,Floor_q),MAX(AK109+Cost_round*IF(14&lt;=$B109,1,0)-P109,IF(14&lt;=$B109,1,0)*Pre_q,Floor_q)))</f>
        <v>470</v>
      </c>
      <c r="AK109" s="14" t="n">
        <f aca="false">IF(14&gt;$A109,0,IF(14=$A109,MAX(End_q,Floor_q),MAX(AL109+Cost_round*IF(15&lt;=$B109,1,0)-Q109,IF(15&lt;=$B109,1,0)*Pre_q,Floor_q)))</f>
        <v>470</v>
      </c>
      <c r="AL109" s="14" t="n">
        <f aca="false">IF(15&gt;$A109,0,IF(15=$A109,MAX(End_q,Floor_q),MAX(AM109+Cost_round*IF(16&lt;=$B109,1,0)-R109,IF(16&lt;=$B109,1,0)*Pre_q,Floor_q)))</f>
        <v>470</v>
      </c>
      <c r="AM109" s="14" t="n">
        <f aca="false">IF(16&gt;$A109,0,IF(16=$A109,MAX(End_q,Floor_q),MAX(AN109+Cost_round*IF(17&lt;=$B109,1,0)-S109,IF(17&lt;=$B109,1,0)*Pre_q,Floor_q)))</f>
        <v>470</v>
      </c>
      <c r="AN109" s="14" t="n">
        <f aca="false">IF(17&gt;$A109,0,IF(17=$A109,MAX(End_q,Floor_q),MAX(AO109+Cost_round*IF(18&lt;=$B109,1,0)-T109,IF(18&lt;=$B109,1,0)*Pre_q,Floor_q)))</f>
        <v>0</v>
      </c>
      <c r="AO109" s="14" t="n">
        <f aca="false">IF(18&gt;$A109,0,IF(18=$A109,MAX(End_q,Floor_q),MAX(AP109+Cost_round*IF(19&lt;=$B109,1,0)-U109,IF(19&lt;=$B109,1,0)*Pre_q,Floor_q)))</f>
        <v>0</v>
      </c>
      <c r="AP109" s="14" t="n">
        <f aca="false">IF(19&gt;$A109,0,IF(19=$A109,MAX(End_q,Floor_q),MAX(AQ109+Cost_round*IF(20&lt;=$B109,1,0)-V109,IF(20&lt;=$B109,1,0)*Pre_q,Floor_q)))</f>
        <v>0</v>
      </c>
      <c r="AQ109" s="14" t="n">
        <f aca="false">IF(20&gt;$A109,0,MAX(End_q,Floor_q))</f>
        <v>0</v>
      </c>
      <c r="AR109" s="15" t="n">
        <f aca="false">IF(Q_zero&gt;=W109-0.000000001,1,0)</f>
        <v>1</v>
      </c>
      <c r="AS109" s="14" t="n">
        <f aca="false">IF(1&gt;$A109,0,Q_zero-Cost_round*IF(1&lt;=$B109,1,0)+C109-X109)</f>
        <v>150</v>
      </c>
      <c r="AT109" s="14" t="n">
        <f aca="false">IF(2&gt;$A109,0,X109-Cost_round*IF(2&lt;=$B109,1,0)+D109-Y109)</f>
        <v>0</v>
      </c>
      <c r="AU109" s="14" t="n">
        <f aca="false">IF(3&gt;$A109,0,Y109-Cost_round*IF(3&lt;=$B109,1,0)+E109-Z109)</f>
        <v>0</v>
      </c>
      <c r="AV109" s="14" t="n">
        <f aca="false">IF(4&gt;$A109,0,Z109-Cost_round*IF(4&lt;=$B109,1,0)+F109-AA109)</f>
        <v>0</v>
      </c>
      <c r="AW109" s="14" t="n">
        <f aca="false">IF(5&gt;$A109,0,AA109-Cost_round*IF(5&lt;=$B109,1,0)+G109-AB109)</f>
        <v>0</v>
      </c>
      <c r="AX109" s="14" t="n">
        <f aca="false">IF(6&gt;$A109,0,AB109-Cost_round*IF(6&lt;=$B109,1,0)+H109-AC109)</f>
        <v>0</v>
      </c>
      <c r="AY109" s="14" t="n">
        <f aca="false">IF(7&gt;$A109,0,AC109-Cost_round*IF(7&lt;=$B109,1,0)+I109-AD109)</f>
        <v>0</v>
      </c>
      <c r="AZ109" s="14" t="n">
        <f aca="false">IF(8&gt;$A109,0,AD109-Cost_round*IF(8&lt;=$B109,1,0)+J109-AE109)</f>
        <v>0</v>
      </c>
      <c r="BA109" s="14" t="n">
        <f aca="false">IF(9&gt;$A109,0,AE109-Cost_round*IF(9&lt;=$B109,1,0)+K109-AF109)</f>
        <v>0</v>
      </c>
      <c r="BB109" s="14" t="n">
        <f aca="false">IF(10&gt;$A109,0,AF109-Cost_round*IF(10&lt;=$B109,1,0)+L109-AG109)</f>
        <v>0</v>
      </c>
      <c r="BC109" s="14" t="n">
        <f aca="false">IF(11&gt;$A109,0,AG109-Cost_round*IF(11&lt;=$B109,1,0)+M109-AH109)</f>
        <v>0</v>
      </c>
      <c r="BD109" s="14" t="n">
        <f aca="false">IF(12&gt;$A109,0,AH109-Cost_round*IF(12&lt;=$B109,1,0)+N109-AI109)</f>
        <v>0</v>
      </c>
      <c r="BE109" s="14" t="n">
        <f aca="false">IF(13&gt;$A109,0,AI109-Cost_round*IF(13&lt;=$B109,1,0)+O109-AJ109)</f>
        <v>0</v>
      </c>
      <c r="BF109" s="14" t="n">
        <f aca="false">IF(14&gt;$A109,0,AJ109-Cost_round*IF(14&lt;=$B109,1,0)+P109-AK109)</f>
        <v>0</v>
      </c>
      <c r="BG109" s="14" t="n">
        <f aca="false">IF(15&gt;$A109,0,AK109-Cost_round*IF(15&lt;=$B109,1,0)+Q109-AL109)</f>
        <v>0</v>
      </c>
      <c r="BH109" s="14" t="n">
        <f aca="false">IF(16&gt;$A109,0,AL109-Cost_round*IF(16&lt;=$B109,1,0)+R109-AM109)</f>
        <v>0</v>
      </c>
      <c r="BI109" s="14" t="n">
        <f aca="false">IF(17&gt;$A109,0,AM109-Cost_round*IF(17&lt;=$B109,1,0)+S109-AN109)</f>
        <v>0</v>
      </c>
      <c r="BJ109" s="14" t="n">
        <f aca="false">IF(18&gt;$A109,0,AN109-Cost_round*IF(18&lt;=$B109,1,0)+T109-AO109)</f>
        <v>0</v>
      </c>
      <c r="BK109" s="14" t="n">
        <f aca="false">IF(19&gt;$A109,0,AO109-Cost_round*IF(19&lt;=$B109,1,0)+U109-AP109)</f>
        <v>0</v>
      </c>
      <c r="BL109" s="14" t="n">
        <f aca="false">IF(20&gt;$A109,0,AP109-Cost_round*IF(20&lt;=$B109,1,0)+V109-AQ109)</f>
        <v>0</v>
      </c>
      <c r="BM109" s="17" t="n">
        <f aca="false">IF($AR109=1,SUMPRODUCT(AS109:BL109,$AS$38:$BL$38),"")</f>
        <v>136.363636363636</v>
      </c>
      <c r="BN109" s="17" t="n">
        <f aca="false">IF($AR109=1,BM109+INDEX($AS$38:$BL$38,$A109)*INDEX(C109:V109,$A109)/Hurdle_r,"")</f>
        <v>136.363636363636</v>
      </c>
    </row>
    <row r="110" customFormat="false" ht="15" hidden="false" customHeight="false" outlineLevel="0" collapsed="false">
      <c r="A110" s="2" t="n">
        <v>16</v>
      </c>
      <c r="B110" s="2" t="n">
        <v>1</v>
      </c>
      <c r="C110" s="14" t="n">
        <f aca="false">IF(1&gt;$A110,0,Val_pt*(Ceiling_e-E_zero)*(1-(1-Half_gap)^MIN(1,$B110)))</f>
        <v>70</v>
      </c>
      <c r="D110" s="14" t="n">
        <f aca="false">IF(2&gt;$A110,0,Val_pt*(Ceiling_e-E_zero)*(1-(1-Half_gap)^MIN(2,$B110)))</f>
        <v>70</v>
      </c>
      <c r="E110" s="14" t="n">
        <f aca="false">IF(3&gt;$A110,0,Val_pt*(Ceiling_e-E_zero)*(1-(1-Half_gap)^MIN(3,$B110)))</f>
        <v>70</v>
      </c>
      <c r="F110" s="14" t="n">
        <f aca="false">IF(4&gt;$A110,0,Val_pt*(Ceiling_e-E_zero)*(1-(1-Half_gap)^MIN(4,$B110)))</f>
        <v>70</v>
      </c>
      <c r="G110" s="14" t="n">
        <f aca="false">IF(5&gt;$A110,0,Val_pt*(Ceiling_e-E_zero)*(1-(1-Half_gap)^MIN(5,$B110)))</f>
        <v>70</v>
      </c>
      <c r="H110" s="14" t="n">
        <f aca="false">IF(6&gt;$A110,0,Val_pt*(Ceiling_e-E_zero)*(1-(1-Half_gap)^MIN(6,$B110)))</f>
        <v>70</v>
      </c>
      <c r="I110" s="14" t="n">
        <f aca="false">IF(7&gt;$A110,0,Val_pt*(Ceiling_e-E_zero)*(1-(1-Half_gap)^MIN(7,$B110)))</f>
        <v>70</v>
      </c>
      <c r="J110" s="14" t="n">
        <f aca="false">IF(8&gt;$A110,0,Val_pt*(Ceiling_e-E_zero)*(1-(1-Half_gap)^MIN(8,$B110)))</f>
        <v>70</v>
      </c>
      <c r="K110" s="14" t="n">
        <f aca="false">IF(9&gt;$A110,0,Val_pt*(Ceiling_e-E_zero)*(1-(1-Half_gap)^MIN(9,$B110)))</f>
        <v>70</v>
      </c>
      <c r="L110" s="14" t="n">
        <f aca="false">IF(10&gt;$A110,0,Val_pt*(Ceiling_e-E_zero)*(1-(1-Half_gap)^MIN(10,$B110)))</f>
        <v>70</v>
      </c>
      <c r="M110" s="14" t="n">
        <f aca="false">IF(11&gt;$A110,0,Val_pt*(Ceiling_e-E_zero)*(1-(1-Half_gap)^MIN(11,$B110)))</f>
        <v>70</v>
      </c>
      <c r="N110" s="14" t="n">
        <f aca="false">IF(12&gt;$A110,0,Val_pt*(Ceiling_e-E_zero)*(1-(1-Half_gap)^MIN(12,$B110)))</f>
        <v>70</v>
      </c>
      <c r="O110" s="14" t="n">
        <f aca="false">IF(13&gt;$A110,0,Val_pt*(Ceiling_e-E_zero)*(1-(1-Half_gap)^MIN(13,$B110)))</f>
        <v>70</v>
      </c>
      <c r="P110" s="14" t="n">
        <f aca="false">IF(14&gt;$A110,0,Val_pt*(Ceiling_e-E_zero)*(1-(1-Half_gap)^MIN(14,$B110)))</f>
        <v>70</v>
      </c>
      <c r="Q110" s="14" t="n">
        <f aca="false">IF(15&gt;$A110,0,Val_pt*(Ceiling_e-E_zero)*(1-(1-Half_gap)^MIN(15,$B110)))</f>
        <v>70</v>
      </c>
      <c r="R110" s="14" t="n">
        <f aca="false">IF(16&gt;$A110,0,Val_pt*(Ceiling_e-E_zero)*(1-(1-Half_gap)^MIN(16,$B110)))</f>
        <v>70</v>
      </c>
      <c r="S110" s="14" t="n">
        <f aca="false">IF(17&gt;$A110,0,Val_pt*(Ceiling_e-E_zero)*(1-(1-Half_gap)^MIN(17,$B110)))</f>
        <v>0</v>
      </c>
      <c r="T110" s="14" t="n">
        <f aca="false">IF(18&gt;$A110,0,Val_pt*(Ceiling_e-E_zero)*(1-(1-Half_gap)^MIN(18,$B110)))</f>
        <v>0</v>
      </c>
      <c r="U110" s="14" t="n">
        <f aca="false">IF(19&gt;$A110,0,Val_pt*(Ceiling_e-E_zero)*(1-(1-Half_gap)^MIN(19,$B110)))</f>
        <v>0</v>
      </c>
      <c r="V110" s="14" t="n">
        <f aca="false">IF(20&gt;$A110,0,Val_pt*(Ceiling_e-E_zero)*(1-(1-Half_gap)^MIN(20,$B110)))</f>
        <v>0</v>
      </c>
      <c r="W110" s="14" t="n">
        <f aca="false">IF(0&gt;$A110,0,IF(0=$A110,MAX(End_q,Floor_q),MAX(X110+Cost_round*IF(1&lt;=$B110,1,0)-C110,IF(1&lt;=$B110,1,0)*Pre_q)))</f>
        <v>470</v>
      </c>
      <c r="X110" s="14" t="n">
        <f aca="false">IF(1&gt;$A110,0,IF(1=$A110,MAX(End_q,Floor_q),MAX(Y110+Cost_round*IF(2&lt;=$B110,1,0)-D110,IF(2&lt;=$B110,1,0)*Pre_q,Floor_q)))</f>
        <v>350</v>
      </c>
      <c r="Y110" s="14" t="n">
        <f aca="false">IF(2&gt;$A110,0,IF(2=$A110,MAX(End_q,Floor_q),MAX(Z110+Cost_round*IF(3&lt;=$B110,1,0)-E110,IF(3&lt;=$B110,1,0)*Pre_q,Floor_q)))</f>
        <v>350</v>
      </c>
      <c r="Z110" s="14" t="n">
        <f aca="false">IF(3&gt;$A110,0,IF(3=$A110,MAX(End_q,Floor_q),MAX(AA110+Cost_round*IF(4&lt;=$B110,1,0)-F110,IF(4&lt;=$B110,1,0)*Pre_q,Floor_q)))</f>
        <v>350</v>
      </c>
      <c r="AA110" s="14" t="n">
        <f aca="false">IF(4&gt;$A110,0,IF(4=$A110,MAX(End_q,Floor_q),MAX(AB110+Cost_round*IF(5&lt;=$B110,1,0)-G110,IF(5&lt;=$B110,1,0)*Pre_q,Floor_q)))</f>
        <v>350</v>
      </c>
      <c r="AB110" s="14" t="n">
        <f aca="false">IF(5&gt;$A110,0,IF(5=$A110,MAX(End_q,Floor_q),MAX(AC110+Cost_round*IF(6&lt;=$B110,1,0)-H110,IF(6&lt;=$B110,1,0)*Pre_q,Floor_q)))</f>
        <v>350</v>
      </c>
      <c r="AC110" s="14" t="n">
        <f aca="false">IF(6&gt;$A110,0,IF(6=$A110,MAX(End_q,Floor_q),MAX(AD110+Cost_round*IF(7&lt;=$B110,1,0)-I110,IF(7&lt;=$B110,1,0)*Pre_q,Floor_q)))</f>
        <v>350</v>
      </c>
      <c r="AD110" s="14" t="n">
        <f aca="false">IF(7&gt;$A110,0,IF(7=$A110,MAX(End_q,Floor_q),MAX(AE110+Cost_round*IF(8&lt;=$B110,1,0)-J110,IF(8&lt;=$B110,1,0)*Pre_q,Floor_q)))</f>
        <v>350</v>
      </c>
      <c r="AE110" s="14" t="n">
        <f aca="false">IF(8&gt;$A110,0,IF(8=$A110,MAX(End_q,Floor_q),MAX(AF110+Cost_round*IF(9&lt;=$B110,1,0)-K110,IF(9&lt;=$B110,1,0)*Pre_q,Floor_q)))</f>
        <v>350</v>
      </c>
      <c r="AF110" s="14" t="n">
        <f aca="false">IF(9&gt;$A110,0,IF(9=$A110,MAX(End_q,Floor_q),MAX(AG110+Cost_round*IF(10&lt;=$B110,1,0)-L110,IF(10&lt;=$B110,1,0)*Pre_q,Floor_q)))</f>
        <v>350</v>
      </c>
      <c r="AG110" s="14" t="n">
        <f aca="false">IF(10&gt;$A110,0,IF(10=$A110,MAX(End_q,Floor_q),MAX(AH110+Cost_round*IF(11&lt;=$B110,1,0)-M110,IF(11&lt;=$B110,1,0)*Pre_q,Floor_q)))</f>
        <v>350</v>
      </c>
      <c r="AH110" s="14" t="n">
        <f aca="false">IF(11&gt;$A110,0,IF(11=$A110,MAX(End_q,Floor_q),MAX(AI110+Cost_round*IF(12&lt;=$B110,1,0)-N110,IF(12&lt;=$B110,1,0)*Pre_q,Floor_q)))</f>
        <v>350</v>
      </c>
      <c r="AI110" s="14" t="n">
        <f aca="false">IF(12&gt;$A110,0,IF(12=$A110,MAX(End_q,Floor_q),MAX(AJ110+Cost_round*IF(13&lt;=$B110,1,0)-O110,IF(13&lt;=$B110,1,0)*Pre_q,Floor_q)))</f>
        <v>350</v>
      </c>
      <c r="AJ110" s="14" t="n">
        <f aca="false">IF(13&gt;$A110,0,IF(13=$A110,MAX(End_q,Floor_q),MAX(AK110+Cost_round*IF(14&lt;=$B110,1,0)-P110,IF(14&lt;=$B110,1,0)*Pre_q,Floor_q)))</f>
        <v>350</v>
      </c>
      <c r="AK110" s="14" t="n">
        <f aca="false">IF(14&gt;$A110,0,IF(14=$A110,MAX(End_q,Floor_q),MAX(AL110+Cost_round*IF(15&lt;=$B110,1,0)-Q110,IF(15&lt;=$B110,1,0)*Pre_q,Floor_q)))</f>
        <v>350</v>
      </c>
      <c r="AL110" s="14" t="n">
        <f aca="false">IF(15&gt;$A110,0,IF(15=$A110,MAX(End_q,Floor_q),MAX(AM110+Cost_round*IF(16&lt;=$B110,1,0)-R110,IF(16&lt;=$B110,1,0)*Pre_q,Floor_q)))</f>
        <v>400</v>
      </c>
      <c r="AM110" s="14" t="n">
        <f aca="false">IF(16&gt;$A110,0,IF(16=$A110,MAX(End_q,Floor_q),MAX(AN110+Cost_round*IF(17&lt;=$B110,1,0)-S110,IF(17&lt;=$B110,1,0)*Pre_q,Floor_q)))</f>
        <v>470</v>
      </c>
      <c r="AN110" s="14" t="n">
        <f aca="false">IF(17&gt;$A110,0,IF(17=$A110,MAX(End_q,Floor_q),MAX(AO110+Cost_round*IF(18&lt;=$B110,1,0)-T110,IF(18&lt;=$B110,1,0)*Pre_q,Floor_q)))</f>
        <v>0</v>
      </c>
      <c r="AO110" s="14" t="n">
        <f aca="false">IF(18&gt;$A110,0,IF(18=$A110,MAX(End_q,Floor_q),MAX(AP110+Cost_round*IF(19&lt;=$B110,1,0)-U110,IF(19&lt;=$B110,1,0)*Pre_q,Floor_q)))</f>
        <v>0</v>
      </c>
      <c r="AP110" s="14" t="n">
        <f aca="false">IF(19&gt;$A110,0,IF(19=$A110,MAX(End_q,Floor_q),MAX(AQ110+Cost_round*IF(20&lt;=$B110,1,0)-V110,IF(20&lt;=$B110,1,0)*Pre_q,Floor_q)))</f>
        <v>0</v>
      </c>
      <c r="AQ110" s="14" t="n">
        <f aca="false">IF(20&gt;$A110,0,MAX(End_q,Floor_q))</f>
        <v>0</v>
      </c>
      <c r="AR110" s="15" t="n">
        <f aca="false">IF(Q_zero&gt;=W110-0.000000001,1,0)</f>
        <v>1</v>
      </c>
      <c r="AS110" s="14" t="n">
        <f aca="false">IF(1&gt;$A110,0,Q_zero-Cost_round*IF(1&lt;=$B110,1,0)+C110-X110)</f>
        <v>220</v>
      </c>
      <c r="AT110" s="14" t="n">
        <f aca="false">IF(2&gt;$A110,0,X110-Cost_round*IF(2&lt;=$B110,1,0)+D110-Y110)</f>
        <v>70</v>
      </c>
      <c r="AU110" s="14" t="n">
        <f aca="false">IF(3&gt;$A110,0,Y110-Cost_round*IF(3&lt;=$B110,1,0)+E110-Z110)</f>
        <v>70</v>
      </c>
      <c r="AV110" s="14" t="n">
        <f aca="false">IF(4&gt;$A110,0,Z110-Cost_round*IF(4&lt;=$B110,1,0)+F110-AA110)</f>
        <v>70</v>
      </c>
      <c r="AW110" s="14" t="n">
        <f aca="false">IF(5&gt;$A110,0,AA110-Cost_round*IF(5&lt;=$B110,1,0)+G110-AB110)</f>
        <v>70</v>
      </c>
      <c r="AX110" s="14" t="n">
        <f aca="false">IF(6&gt;$A110,0,AB110-Cost_round*IF(6&lt;=$B110,1,0)+H110-AC110)</f>
        <v>70</v>
      </c>
      <c r="AY110" s="14" t="n">
        <f aca="false">IF(7&gt;$A110,0,AC110-Cost_round*IF(7&lt;=$B110,1,0)+I110-AD110)</f>
        <v>70</v>
      </c>
      <c r="AZ110" s="14" t="n">
        <f aca="false">IF(8&gt;$A110,0,AD110-Cost_round*IF(8&lt;=$B110,1,0)+J110-AE110)</f>
        <v>70</v>
      </c>
      <c r="BA110" s="14" t="n">
        <f aca="false">IF(9&gt;$A110,0,AE110-Cost_round*IF(9&lt;=$B110,1,0)+K110-AF110)</f>
        <v>70</v>
      </c>
      <c r="BB110" s="14" t="n">
        <f aca="false">IF(10&gt;$A110,0,AF110-Cost_round*IF(10&lt;=$B110,1,0)+L110-AG110)</f>
        <v>70</v>
      </c>
      <c r="BC110" s="14" t="n">
        <f aca="false">IF(11&gt;$A110,0,AG110-Cost_round*IF(11&lt;=$B110,1,0)+M110-AH110)</f>
        <v>70</v>
      </c>
      <c r="BD110" s="14" t="n">
        <f aca="false">IF(12&gt;$A110,0,AH110-Cost_round*IF(12&lt;=$B110,1,0)+N110-AI110)</f>
        <v>70</v>
      </c>
      <c r="BE110" s="14" t="n">
        <f aca="false">IF(13&gt;$A110,0,AI110-Cost_round*IF(13&lt;=$B110,1,0)+O110-AJ110)</f>
        <v>70</v>
      </c>
      <c r="BF110" s="14" t="n">
        <f aca="false">IF(14&gt;$A110,0,AJ110-Cost_round*IF(14&lt;=$B110,1,0)+P110-AK110)</f>
        <v>70</v>
      </c>
      <c r="BG110" s="14" t="n">
        <f aca="false">IF(15&gt;$A110,0,AK110-Cost_round*IF(15&lt;=$B110,1,0)+Q110-AL110)</f>
        <v>20</v>
      </c>
      <c r="BH110" s="14" t="n">
        <f aca="false">IF(16&gt;$A110,0,AL110-Cost_round*IF(16&lt;=$B110,1,0)+R110-AM110)</f>
        <v>0</v>
      </c>
      <c r="BI110" s="14" t="n">
        <f aca="false">IF(17&gt;$A110,0,AM110-Cost_round*IF(17&lt;=$B110,1,0)+S110-AN110)</f>
        <v>0</v>
      </c>
      <c r="BJ110" s="14" t="n">
        <f aca="false">IF(18&gt;$A110,0,AN110-Cost_round*IF(18&lt;=$B110,1,0)+T110-AO110)</f>
        <v>0</v>
      </c>
      <c r="BK110" s="14" t="n">
        <f aca="false">IF(19&gt;$A110,0,AO110-Cost_round*IF(19&lt;=$B110,1,0)+U110-AP110)</f>
        <v>0</v>
      </c>
      <c r="BL110" s="14" t="n">
        <f aca="false">IF(20&gt;$A110,0,AP110-Cost_round*IF(20&lt;=$B110,1,0)+V110-AQ110)</f>
        <v>0</v>
      </c>
      <c r="BM110" s="17" t="n">
        <f aca="false">IF($AR110=1,SUMPRODUCT(AS110:BL110,$AS$38:$BL$38),"")</f>
        <v>656.819599336764</v>
      </c>
      <c r="BN110" s="17" t="n">
        <f aca="false">IF($AR110=1,BM110+INDEX($AS$38:$BL$38,$A110)*INDEX(C110:V110,$A110)/Hurdle_r,"")</f>
        <v>809.159994389868</v>
      </c>
    </row>
    <row r="111" customFormat="false" ht="15" hidden="false" customHeight="false" outlineLevel="0" collapsed="false">
      <c r="A111" s="2" t="n">
        <v>16</v>
      </c>
      <c r="B111" s="2" t="n">
        <v>2</v>
      </c>
      <c r="C111" s="14" t="n">
        <f aca="false">IF(1&gt;$A111,0,Val_pt*(Ceiling_e-E_zero)*(1-(1-Half_gap)^MIN(1,$B111)))</f>
        <v>70</v>
      </c>
      <c r="D111" s="14" t="n">
        <f aca="false">IF(2&gt;$A111,0,Val_pt*(Ceiling_e-E_zero)*(1-(1-Half_gap)^MIN(2,$B111)))</f>
        <v>105</v>
      </c>
      <c r="E111" s="14" t="n">
        <f aca="false">IF(3&gt;$A111,0,Val_pt*(Ceiling_e-E_zero)*(1-(1-Half_gap)^MIN(3,$B111)))</f>
        <v>105</v>
      </c>
      <c r="F111" s="14" t="n">
        <f aca="false">IF(4&gt;$A111,0,Val_pt*(Ceiling_e-E_zero)*(1-(1-Half_gap)^MIN(4,$B111)))</f>
        <v>105</v>
      </c>
      <c r="G111" s="14" t="n">
        <f aca="false">IF(5&gt;$A111,0,Val_pt*(Ceiling_e-E_zero)*(1-(1-Half_gap)^MIN(5,$B111)))</f>
        <v>105</v>
      </c>
      <c r="H111" s="14" t="n">
        <f aca="false">IF(6&gt;$A111,0,Val_pt*(Ceiling_e-E_zero)*(1-(1-Half_gap)^MIN(6,$B111)))</f>
        <v>105</v>
      </c>
      <c r="I111" s="14" t="n">
        <f aca="false">IF(7&gt;$A111,0,Val_pt*(Ceiling_e-E_zero)*(1-(1-Half_gap)^MIN(7,$B111)))</f>
        <v>105</v>
      </c>
      <c r="J111" s="14" t="n">
        <f aca="false">IF(8&gt;$A111,0,Val_pt*(Ceiling_e-E_zero)*(1-(1-Half_gap)^MIN(8,$B111)))</f>
        <v>105</v>
      </c>
      <c r="K111" s="14" t="n">
        <f aca="false">IF(9&gt;$A111,0,Val_pt*(Ceiling_e-E_zero)*(1-(1-Half_gap)^MIN(9,$B111)))</f>
        <v>105</v>
      </c>
      <c r="L111" s="14" t="n">
        <f aca="false">IF(10&gt;$A111,0,Val_pt*(Ceiling_e-E_zero)*(1-(1-Half_gap)^MIN(10,$B111)))</f>
        <v>105</v>
      </c>
      <c r="M111" s="14" t="n">
        <f aca="false">IF(11&gt;$A111,0,Val_pt*(Ceiling_e-E_zero)*(1-(1-Half_gap)^MIN(11,$B111)))</f>
        <v>105</v>
      </c>
      <c r="N111" s="14" t="n">
        <f aca="false">IF(12&gt;$A111,0,Val_pt*(Ceiling_e-E_zero)*(1-(1-Half_gap)^MIN(12,$B111)))</f>
        <v>105</v>
      </c>
      <c r="O111" s="14" t="n">
        <f aca="false">IF(13&gt;$A111,0,Val_pt*(Ceiling_e-E_zero)*(1-(1-Half_gap)^MIN(13,$B111)))</f>
        <v>105</v>
      </c>
      <c r="P111" s="14" t="n">
        <f aca="false">IF(14&gt;$A111,0,Val_pt*(Ceiling_e-E_zero)*(1-(1-Half_gap)^MIN(14,$B111)))</f>
        <v>105</v>
      </c>
      <c r="Q111" s="14" t="n">
        <f aca="false">IF(15&gt;$A111,0,Val_pt*(Ceiling_e-E_zero)*(1-(1-Half_gap)^MIN(15,$B111)))</f>
        <v>105</v>
      </c>
      <c r="R111" s="14" t="n">
        <f aca="false">IF(16&gt;$A111,0,Val_pt*(Ceiling_e-E_zero)*(1-(1-Half_gap)^MIN(16,$B111)))</f>
        <v>105</v>
      </c>
      <c r="S111" s="14" t="n">
        <f aca="false">IF(17&gt;$A111,0,Val_pt*(Ceiling_e-E_zero)*(1-(1-Half_gap)^MIN(17,$B111)))</f>
        <v>0</v>
      </c>
      <c r="T111" s="14" t="n">
        <f aca="false">IF(18&gt;$A111,0,Val_pt*(Ceiling_e-E_zero)*(1-(1-Half_gap)^MIN(18,$B111)))</f>
        <v>0</v>
      </c>
      <c r="U111" s="14" t="n">
        <f aca="false">IF(19&gt;$A111,0,Val_pt*(Ceiling_e-E_zero)*(1-(1-Half_gap)^MIN(19,$B111)))</f>
        <v>0</v>
      </c>
      <c r="V111" s="14" t="n">
        <f aca="false">IF(20&gt;$A111,0,Val_pt*(Ceiling_e-E_zero)*(1-(1-Half_gap)^MIN(20,$B111)))</f>
        <v>0</v>
      </c>
      <c r="W111" s="14" t="n">
        <f aca="false">IF(0&gt;$A111,0,IF(0=$A111,MAX(End_q,Floor_q),MAX(X111+Cost_round*IF(1&lt;=$B111,1,0)-C111,IF(1&lt;=$B111,1,0)*Pre_q)))</f>
        <v>520</v>
      </c>
      <c r="X111" s="14" t="n">
        <f aca="false">IF(1&gt;$A111,0,IF(1=$A111,MAX(End_q,Floor_q),MAX(Y111+Cost_round*IF(2&lt;=$B111,1,0)-D111,IF(2&lt;=$B111,1,0)*Pre_q,Floor_q)))</f>
        <v>470</v>
      </c>
      <c r="Y111" s="14" t="n">
        <f aca="false">IF(2&gt;$A111,0,IF(2=$A111,MAX(End_q,Floor_q),MAX(Z111+Cost_round*IF(3&lt;=$B111,1,0)-E111,IF(3&lt;=$B111,1,0)*Pre_q,Floor_q)))</f>
        <v>350</v>
      </c>
      <c r="Z111" s="14" t="n">
        <f aca="false">IF(3&gt;$A111,0,IF(3=$A111,MAX(End_q,Floor_q),MAX(AA111+Cost_round*IF(4&lt;=$B111,1,0)-F111,IF(4&lt;=$B111,1,0)*Pre_q,Floor_q)))</f>
        <v>350</v>
      </c>
      <c r="AA111" s="14" t="n">
        <f aca="false">IF(4&gt;$A111,0,IF(4=$A111,MAX(End_q,Floor_q),MAX(AB111+Cost_round*IF(5&lt;=$B111,1,0)-G111,IF(5&lt;=$B111,1,0)*Pre_q,Floor_q)))</f>
        <v>350</v>
      </c>
      <c r="AB111" s="14" t="n">
        <f aca="false">IF(5&gt;$A111,0,IF(5=$A111,MAX(End_q,Floor_q),MAX(AC111+Cost_round*IF(6&lt;=$B111,1,0)-H111,IF(6&lt;=$B111,1,0)*Pre_q,Floor_q)))</f>
        <v>350</v>
      </c>
      <c r="AC111" s="14" t="n">
        <f aca="false">IF(6&gt;$A111,0,IF(6=$A111,MAX(End_q,Floor_q),MAX(AD111+Cost_round*IF(7&lt;=$B111,1,0)-I111,IF(7&lt;=$B111,1,0)*Pre_q,Floor_q)))</f>
        <v>350</v>
      </c>
      <c r="AD111" s="14" t="n">
        <f aca="false">IF(7&gt;$A111,0,IF(7=$A111,MAX(End_q,Floor_q),MAX(AE111+Cost_round*IF(8&lt;=$B111,1,0)-J111,IF(8&lt;=$B111,1,0)*Pre_q,Floor_q)))</f>
        <v>350</v>
      </c>
      <c r="AE111" s="14" t="n">
        <f aca="false">IF(8&gt;$A111,0,IF(8=$A111,MAX(End_q,Floor_q),MAX(AF111+Cost_round*IF(9&lt;=$B111,1,0)-K111,IF(9&lt;=$B111,1,0)*Pre_q,Floor_q)))</f>
        <v>350</v>
      </c>
      <c r="AF111" s="14" t="n">
        <f aca="false">IF(9&gt;$A111,0,IF(9=$A111,MAX(End_q,Floor_q),MAX(AG111+Cost_round*IF(10&lt;=$B111,1,0)-L111,IF(10&lt;=$B111,1,0)*Pre_q,Floor_q)))</f>
        <v>350</v>
      </c>
      <c r="AG111" s="14" t="n">
        <f aca="false">IF(10&gt;$A111,0,IF(10=$A111,MAX(End_q,Floor_q),MAX(AH111+Cost_round*IF(11&lt;=$B111,1,0)-M111,IF(11&lt;=$B111,1,0)*Pre_q,Floor_q)))</f>
        <v>350</v>
      </c>
      <c r="AH111" s="14" t="n">
        <f aca="false">IF(11&gt;$A111,0,IF(11=$A111,MAX(End_q,Floor_q),MAX(AI111+Cost_round*IF(12&lt;=$B111,1,0)-N111,IF(12&lt;=$B111,1,0)*Pre_q,Floor_q)))</f>
        <v>350</v>
      </c>
      <c r="AI111" s="14" t="n">
        <f aca="false">IF(12&gt;$A111,0,IF(12=$A111,MAX(End_q,Floor_q),MAX(AJ111+Cost_round*IF(13&lt;=$B111,1,0)-O111,IF(13&lt;=$B111,1,0)*Pre_q,Floor_q)))</f>
        <v>350</v>
      </c>
      <c r="AJ111" s="14" t="n">
        <f aca="false">IF(13&gt;$A111,0,IF(13=$A111,MAX(End_q,Floor_q),MAX(AK111+Cost_round*IF(14&lt;=$B111,1,0)-P111,IF(14&lt;=$B111,1,0)*Pre_q,Floor_q)))</f>
        <v>350</v>
      </c>
      <c r="AK111" s="14" t="n">
        <f aca="false">IF(14&gt;$A111,0,IF(14=$A111,MAX(End_q,Floor_q),MAX(AL111+Cost_round*IF(15&lt;=$B111,1,0)-Q111,IF(15&lt;=$B111,1,0)*Pre_q,Floor_q)))</f>
        <v>350</v>
      </c>
      <c r="AL111" s="14" t="n">
        <f aca="false">IF(15&gt;$A111,0,IF(15=$A111,MAX(End_q,Floor_q),MAX(AM111+Cost_round*IF(16&lt;=$B111,1,0)-R111,IF(16&lt;=$B111,1,0)*Pre_q,Floor_q)))</f>
        <v>365</v>
      </c>
      <c r="AM111" s="14" t="n">
        <f aca="false">IF(16&gt;$A111,0,IF(16=$A111,MAX(End_q,Floor_q),MAX(AN111+Cost_round*IF(17&lt;=$B111,1,0)-S111,IF(17&lt;=$B111,1,0)*Pre_q,Floor_q)))</f>
        <v>470</v>
      </c>
      <c r="AN111" s="14" t="n">
        <f aca="false">IF(17&gt;$A111,0,IF(17=$A111,MAX(End_q,Floor_q),MAX(AO111+Cost_round*IF(18&lt;=$B111,1,0)-T111,IF(18&lt;=$B111,1,0)*Pre_q,Floor_q)))</f>
        <v>0</v>
      </c>
      <c r="AO111" s="14" t="n">
        <f aca="false">IF(18&gt;$A111,0,IF(18=$A111,MAX(End_q,Floor_q),MAX(AP111+Cost_round*IF(19&lt;=$B111,1,0)-U111,IF(19&lt;=$B111,1,0)*Pre_q,Floor_q)))</f>
        <v>0</v>
      </c>
      <c r="AP111" s="14" t="n">
        <f aca="false">IF(19&gt;$A111,0,IF(19=$A111,MAX(End_q,Floor_q),MAX(AQ111+Cost_round*IF(20&lt;=$B111,1,0)-V111,IF(20&lt;=$B111,1,0)*Pre_q,Floor_q)))</f>
        <v>0</v>
      </c>
      <c r="AQ111" s="14" t="n">
        <f aca="false">IF(20&gt;$A111,0,MAX(End_q,Floor_q))</f>
        <v>0</v>
      </c>
      <c r="AR111" s="15" t="n">
        <f aca="false">IF(Q_zero&gt;=W111-0.000000001,1,0)</f>
        <v>1</v>
      </c>
      <c r="AS111" s="14" t="n">
        <f aca="false">IF(1&gt;$A111,0,Q_zero-Cost_round*IF(1&lt;=$B111,1,0)+C111-X111)</f>
        <v>100</v>
      </c>
      <c r="AT111" s="14" t="n">
        <f aca="false">IF(2&gt;$A111,0,X111-Cost_round*IF(2&lt;=$B111,1,0)+D111-Y111)</f>
        <v>105</v>
      </c>
      <c r="AU111" s="14" t="n">
        <f aca="false">IF(3&gt;$A111,0,Y111-Cost_round*IF(3&lt;=$B111,1,0)+E111-Z111)</f>
        <v>105</v>
      </c>
      <c r="AV111" s="14" t="n">
        <f aca="false">IF(4&gt;$A111,0,Z111-Cost_round*IF(4&lt;=$B111,1,0)+F111-AA111)</f>
        <v>105</v>
      </c>
      <c r="AW111" s="14" t="n">
        <f aca="false">IF(5&gt;$A111,0,AA111-Cost_round*IF(5&lt;=$B111,1,0)+G111-AB111)</f>
        <v>105</v>
      </c>
      <c r="AX111" s="14" t="n">
        <f aca="false">IF(6&gt;$A111,0,AB111-Cost_round*IF(6&lt;=$B111,1,0)+H111-AC111)</f>
        <v>105</v>
      </c>
      <c r="AY111" s="14" t="n">
        <f aca="false">IF(7&gt;$A111,0,AC111-Cost_round*IF(7&lt;=$B111,1,0)+I111-AD111)</f>
        <v>105</v>
      </c>
      <c r="AZ111" s="14" t="n">
        <f aca="false">IF(8&gt;$A111,0,AD111-Cost_round*IF(8&lt;=$B111,1,0)+J111-AE111)</f>
        <v>105</v>
      </c>
      <c r="BA111" s="14" t="n">
        <f aca="false">IF(9&gt;$A111,0,AE111-Cost_round*IF(9&lt;=$B111,1,0)+K111-AF111)</f>
        <v>105</v>
      </c>
      <c r="BB111" s="14" t="n">
        <f aca="false">IF(10&gt;$A111,0,AF111-Cost_round*IF(10&lt;=$B111,1,0)+L111-AG111)</f>
        <v>105</v>
      </c>
      <c r="BC111" s="14" t="n">
        <f aca="false">IF(11&gt;$A111,0,AG111-Cost_round*IF(11&lt;=$B111,1,0)+M111-AH111)</f>
        <v>105</v>
      </c>
      <c r="BD111" s="14" t="n">
        <f aca="false">IF(12&gt;$A111,0,AH111-Cost_round*IF(12&lt;=$B111,1,0)+N111-AI111)</f>
        <v>105</v>
      </c>
      <c r="BE111" s="14" t="n">
        <f aca="false">IF(13&gt;$A111,0,AI111-Cost_round*IF(13&lt;=$B111,1,0)+O111-AJ111)</f>
        <v>105</v>
      </c>
      <c r="BF111" s="14" t="n">
        <f aca="false">IF(14&gt;$A111,0,AJ111-Cost_round*IF(14&lt;=$B111,1,0)+P111-AK111)</f>
        <v>105</v>
      </c>
      <c r="BG111" s="14" t="n">
        <f aca="false">IF(15&gt;$A111,0,AK111-Cost_round*IF(15&lt;=$B111,1,0)+Q111-AL111)</f>
        <v>90</v>
      </c>
      <c r="BH111" s="14" t="n">
        <f aca="false">IF(16&gt;$A111,0,AL111-Cost_round*IF(16&lt;=$B111,1,0)+R111-AM111)</f>
        <v>0</v>
      </c>
      <c r="BI111" s="14" t="n">
        <f aca="false">IF(17&gt;$A111,0,AM111-Cost_round*IF(17&lt;=$B111,1,0)+S111-AN111)</f>
        <v>0</v>
      </c>
      <c r="BJ111" s="14" t="n">
        <f aca="false">IF(18&gt;$A111,0,AN111-Cost_round*IF(18&lt;=$B111,1,0)+T111-AO111)</f>
        <v>0</v>
      </c>
      <c r="BK111" s="14" t="n">
        <f aca="false">IF(19&gt;$A111,0,AO111-Cost_round*IF(19&lt;=$B111,1,0)+U111-AP111)</f>
        <v>0</v>
      </c>
      <c r="BL111" s="14" t="n">
        <f aca="false">IF(20&gt;$A111,0,AP111-Cost_round*IF(20&lt;=$B111,1,0)+V111-AQ111)</f>
        <v>0</v>
      </c>
      <c r="BM111" s="17" t="n">
        <f aca="false">IF($AR111=1,SUMPRODUCT(AS111:BL111,$AS$38:$BL$38),"")</f>
        <v>790.502012876386</v>
      </c>
      <c r="BN111" s="17" t="n">
        <f aca="false">IF($AR111=1,BM111+INDEX($AS$38:$BL$38,$A111)*INDEX(C111:V111,$A111)/Hurdle_r,"")</f>
        <v>1019.01260545604</v>
      </c>
    </row>
    <row r="112" customFormat="false" ht="15" hidden="false" customHeight="false" outlineLevel="0" collapsed="false">
      <c r="A112" s="2" t="n">
        <v>16</v>
      </c>
      <c r="B112" s="2" t="n">
        <v>3</v>
      </c>
      <c r="C112" s="14" t="n">
        <f aca="false">IF(1&gt;$A112,0,Val_pt*(Ceiling_e-E_zero)*(1-(1-Half_gap)^MIN(1,$B112)))</f>
        <v>70</v>
      </c>
      <c r="D112" s="14" t="n">
        <f aca="false">IF(2&gt;$A112,0,Val_pt*(Ceiling_e-E_zero)*(1-(1-Half_gap)^MIN(2,$B112)))</f>
        <v>105</v>
      </c>
      <c r="E112" s="14" t="n">
        <f aca="false">IF(3&gt;$A112,0,Val_pt*(Ceiling_e-E_zero)*(1-(1-Half_gap)^MIN(3,$B112)))</f>
        <v>122.5</v>
      </c>
      <c r="F112" s="14" t="n">
        <f aca="false">IF(4&gt;$A112,0,Val_pt*(Ceiling_e-E_zero)*(1-(1-Half_gap)^MIN(4,$B112)))</f>
        <v>122.5</v>
      </c>
      <c r="G112" s="14" t="n">
        <f aca="false">IF(5&gt;$A112,0,Val_pt*(Ceiling_e-E_zero)*(1-(1-Half_gap)^MIN(5,$B112)))</f>
        <v>122.5</v>
      </c>
      <c r="H112" s="14" t="n">
        <f aca="false">IF(6&gt;$A112,0,Val_pt*(Ceiling_e-E_zero)*(1-(1-Half_gap)^MIN(6,$B112)))</f>
        <v>122.5</v>
      </c>
      <c r="I112" s="14" t="n">
        <f aca="false">IF(7&gt;$A112,0,Val_pt*(Ceiling_e-E_zero)*(1-(1-Half_gap)^MIN(7,$B112)))</f>
        <v>122.5</v>
      </c>
      <c r="J112" s="14" t="n">
        <f aca="false">IF(8&gt;$A112,0,Val_pt*(Ceiling_e-E_zero)*(1-(1-Half_gap)^MIN(8,$B112)))</f>
        <v>122.5</v>
      </c>
      <c r="K112" s="14" t="n">
        <f aca="false">IF(9&gt;$A112,0,Val_pt*(Ceiling_e-E_zero)*(1-(1-Half_gap)^MIN(9,$B112)))</f>
        <v>122.5</v>
      </c>
      <c r="L112" s="14" t="n">
        <f aca="false">IF(10&gt;$A112,0,Val_pt*(Ceiling_e-E_zero)*(1-(1-Half_gap)^MIN(10,$B112)))</f>
        <v>122.5</v>
      </c>
      <c r="M112" s="14" t="n">
        <f aca="false">IF(11&gt;$A112,0,Val_pt*(Ceiling_e-E_zero)*(1-(1-Half_gap)^MIN(11,$B112)))</f>
        <v>122.5</v>
      </c>
      <c r="N112" s="14" t="n">
        <f aca="false">IF(12&gt;$A112,0,Val_pt*(Ceiling_e-E_zero)*(1-(1-Half_gap)^MIN(12,$B112)))</f>
        <v>122.5</v>
      </c>
      <c r="O112" s="14" t="n">
        <f aca="false">IF(13&gt;$A112,0,Val_pt*(Ceiling_e-E_zero)*(1-(1-Half_gap)^MIN(13,$B112)))</f>
        <v>122.5</v>
      </c>
      <c r="P112" s="14" t="n">
        <f aca="false">IF(14&gt;$A112,0,Val_pt*(Ceiling_e-E_zero)*(1-(1-Half_gap)^MIN(14,$B112)))</f>
        <v>122.5</v>
      </c>
      <c r="Q112" s="14" t="n">
        <f aca="false">IF(15&gt;$A112,0,Val_pt*(Ceiling_e-E_zero)*(1-(1-Half_gap)^MIN(15,$B112)))</f>
        <v>122.5</v>
      </c>
      <c r="R112" s="14" t="n">
        <f aca="false">IF(16&gt;$A112,0,Val_pt*(Ceiling_e-E_zero)*(1-(1-Half_gap)^MIN(16,$B112)))</f>
        <v>122.5</v>
      </c>
      <c r="S112" s="14" t="n">
        <f aca="false">IF(17&gt;$A112,0,Val_pt*(Ceiling_e-E_zero)*(1-(1-Half_gap)^MIN(17,$B112)))</f>
        <v>0</v>
      </c>
      <c r="T112" s="14" t="n">
        <f aca="false">IF(18&gt;$A112,0,Val_pt*(Ceiling_e-E_zero)*(1-(1-Half_gap)^MIN(18,$B112)))</f>
        <v>0</v>
      </c>
      <c r="U112" s="14" t="n">
        <f aca="false">IF(19&gt;$A112,0,Val_pt*(Ceiling_e-E_zero)*(1-(1-Half_gap)^MIN(19,$B112)))</f>
        <v>0</v>
      </c>
      <c r="V112" s="14" t="n">
        <f aca="false">IF(20&gt;$A112,0,Val_pt*(Ceiling_e-E_zero)*(1-(1-Half_gap)^MIN(20,$B112)))</f>
        <v>0</v>
      </c>
      <c r="W112" s="14" t="n">
        <f aca="false">IF(0&gt;$A112,0,IF(0=$A112,MAX(End_q,Floor_q),MAX(X112+Cost_round*IF(1&lt;=$B112,1,0)-C112,IF(1&lt;=$B112,1,0)*Pre_q)))</f>
        <v>535</v>
      </c>
      <c r="X112" s="14" t="n">
        <f aca="false">IF(1&gt;$A112,0,IF(1=$A112,MAX(End_q,Floor_q),MAX(Y112+Cost_round*IF(2&lt;=$B112,1,0)-D112,IF(2&lt;=$B112,1,0)*Pre_q,Floor_q)))</f>
        <v>485</v>
      </c>
      <c r="Y112" s="14" t="n">
        <f aca="false">IF(2&gt;$A112,0,IF(2=$A112,MAX(End_q,Floor_q),MAX(Z112+Cost_round*IF(3&lt;=$B112,1,0)-E112,IF(3&lt;=$B112,1,0)*Pre_q,Floor_q)))</f>
        <v>470</v>
      </c>
      <c r="Z112" s="14" t="n">
        <f aca="false">IF(3&gt;$A112,0,IF(3=$A112,MAX(End_q,Floor_q),MAX(AA112+Cost_round*IF(4&lt;=$B112,1,0)-F112,IF(4&lt;=$B112,1,0)*Pre_q,Floor_q)))</f>
        <v>350</v>
      </c>
      <c r="AA112" s="14" t="n">
        <f aca="false">IF(4&gt;$A112,0,IF(4=$A112,MAX(End_q,Floor_q),MAX(AB112+Cost_round*IF(5&lt;=$B112,1,0)-G112,IF(5&lt;=$B112,1,0)*Pre_q,Floor_q)))</f>
        <v>350</v>
      </c>
      <c r="AB112" s="14" t="n">
        <f aca="false">IF(5&gt;$A112,0,IF(5=$A112,MAX(End_q,Floor_q),MAX(AC112+Cost_round*IF(6&lt;=$B112,1,0)-H112,IF(6&lt;=$B112,1,0)*Pre_q,Floor_q)))</f>
        <v>350</v>
      </c>
      <c r="AC112" s="14" t="n">
        <f aca="false">IF(6&gt;$A112,0,IF(6=$A112,MAX(End_q,Floor_q),MAX(AD112+Cost_round*IF(7&lt;=$B112,1,0)-I112,IF(7&lt;=$B112,1,0)*Pre_q,Floor_q)))</f>
        <v>350</v>
      </c>
      <c r="AD112" s="14" t="n">
        <f aca="false">IF(7&gt;$A112,0,IF(7=$A112,MAX(End_q,Floor_q),MAX(AE112+Cost_round*IF(8&lt;=$B112,1,0)-J112,IF(8&lt;=$B112,1,0)*Pre_q,Floor_q)))</f>
        <v>350</v>
      </c>
      <c r="AE112" s="14" t="n">
        <f aca="false">IF(8&gt;$A112,0,IF(8=$A112,MAX(End_q,Floor_q),MAX(AF112+Cost_round*IF(9&lt;=$B112,1,0)-K112,IF(9&lt;=$B112,1,0)*Pre_q,Floor_q)))</f>
        <v>350</v>
      </c>
      <c r="AF112" s="14" t="n">
        <f aca="false">IF(9&gt;$A112,0,IF(9=$A112,MAX(End_q,Floor_q),MAX(AG112+Cost_round*IF(10&lt;=$B112,1,0)-L112,IF(10&lt;=$B112,1,0)*Pre_q,Floor_q)))</f>
        <v>350</v>
      </c>
      <c r="AG112" s="14" t="n">
        <f aca="false">IF(10&gt;$A112,0,IF(10=$A112,MAX(End_q,Floor_q),MAX(AH112+Cost_round*IF(11&lt;=$B112,1,0)-M112,IF(11&lt;=$B112,1,0)*Pre_q,Floor_q)))</f>
        <v>350</v>
      </c>
      <c r="AH112" s="14" t="n">
        <f aca="false">IF(11&gt;$A112,0,IF(11=$A112,MAX(End_q,Floor_q),MAX(AI112+Cost_round*IF(12&lt;=$B112,1,0)-N112,IF(12&lt;=$B112,1,0)*Pre_q,Floor_q)))</f>
        <v>350</v>
      </c>
      <c r="AI112" s="14" t="n">
        <f aca="false">IF(12&gt;$A112,0,IF(12=$A112,MAX(End_q,Floor_q),MAX(AJ112+Cost_round*IF(13&lt;=$B112,1,0)-O112,IF(13&lt;=$B112,1,0)*Pre_q,Floor_q)))</f>
        <v>350</v>
      </c>
      <c r="AJ112" s="14" t="n">
        <f aca="false">IF(13&gt;$A112,0,IF(13=$A112,MAX(End_q,Floor_q),MAX(AK112+Cost_round*IF(14&lt;=$B112,1,0)-P112,IF(14&lt;=$B112,1,0)*Pre_q,Floor_q)))</f>
        <v>350</v>
      </c>
      <c r="AK112" s="14" t="n">
        <f aca="false">IF(14&gt;$A112,0,IF(14=$A112,MAX(End_q,Floor_q),MAX(AL112+Cost_round*IF(15&lt;=$B112,1,0)-Q112,IF(15&lt;=$B112,1,0)*Pre_q,Floor_q)))</f>
        <v>350</v>
      </c>
      <c r="AL112" s="14" t="n">
        <f aca="false">IF(15&gt;$A112,0,IF(15=$A112,MAX(End_q,Floor_q),MAX(AM112+Cost_round*IF(16&lt;=$B112,1,0)-R112,IF(16&lt;=$B112,1,0)*Pre_q,Floor_q)))</f>
        <v>350</v>
      </c>
      <c r="AM112" s="14" t="n">
        <f aca="false">IF(16&gt;$A112,0,IF(16=$A112,MAX(End_q,Floor_q),MAX(AN112+Cost_round*IF(17&lt;=$B112,1,0)-S112,IF(17&lt;=$B112,1,0)*Pre_q,Floor_q)))</f>
        <v>470</v>
      </c>
      <c r="AN112" s="14" t="n">
        <f aca="false">IF(17&gt;$A112,0,IF(17=$A112,MAX(End_q,Floor_q),MAX(AO112+Cost_round*IF(18&lt;=$B112,1,0)-T112,IF(18&lt;=$B112,1,0)*Pre_q,Floor_q)))</f>
        <v>0</v>
      </c>
      <c r="AO112" s="14" t="n">
        <f aca="false">IF(18&gt;$A112,0,IF(18=$A112,MAX(End_q,Floor_q),MAX(AP112+Cost_round*IF(19&lt;=$B112,1,0)-U112,IF(19&lt;=$B112,1,0)*Pre_q,Floor_q)))</f>
        <v>0</v>
      </c>
      <c r="AP112" s="14" t="n">
        <f aca="false">IF(19&gt;$A112,0,IF(19=$A112,MAX(End_q,Floor_q),MAX(AQ112+Cost_round*IF(20&lt;=$B112,1,0)-V112,IF(20&lt;=$B112,1,0)*Pre_q,Floor_q)))</f>
        <v>0</v>
      </c>
      <c r="AQ112" s="14" t="n">
        <f aca="false">IF(20&gt;$A112,0,MAX(End_q,Floor_q))</f>
        <v>0</v>
      </c>
      <c r="AR112" s="15" t="n">
        <f aca="false">IF(Q_zero&gt;=W112-0.000000001,1,0)</f>
        <v>1</v>
      </c>
      <c r="AS112" s="14" t="n">
        <f aca="false">IF(1&gt;$A112,0,Q_zero-Cost_round*IF(1&lt;=$B112,1,0)+C112-X112)</f>
        <v>85</v>
      </c>
      <c r="AT112" s="14" t="n">
        <f aca="false">IF(2&gt;$A112,0,X112-Cost_round*IF(2&lt;=$B112,1,0)+D112-Y112)</f>
        <v>0</v>
      </c>
      <c r="AU112" s="14" t="n">
        <f aca="false">IF(3&gt;$A112,0,Y112-Cost_round*IF(3&lt;=$B112,1,0)+E112-Z112)</f>
        <v>122.5</v>
      </c>
      <c r="AV112" s="14" t="n">
        <f aca="false">IF(4&gt;$A112,0,Z112-Cost_round*IF(4&lt;=$B112,1,0)+F112-AA112)</f>
        <v>122.5</v>
      </c>
      <c r="AW112" s="14" t="n">
        <f aca="false">IF(5&gt;$A112,0,AA112-Cost_round*IF(5&lt;=$B112,1,0)+G112-AB112)</f>
        <v>122.5</v>
      </c>
      <c r="AX112" s="14" t="n">
        <f aca="false">IF(6&gt;$A112,0,AB112-Cost_round*IF(6&lt;=$B112,1,0)+H112-AC112)</f>
        <v>122.5</v>
      </c>
      <c r="AY112" s="14" t="n">
        <f aca="false">IF(7&gt;$A112,0,AC112-Cost_round*IF(7&lt;=$B112,1,0)+I112-AD112)</f>
        <v>122.5</v>
      </c>
      <c r="AZ112" s="14" t="n">
        <f aca="false">IF(8&gt;$A112,0,AD112-Cost_round*IF(8&lt;=$B112,1,0)+J112-AE112)</f>
        <v>122.5</v>
      </c>
      <c r="BA112" s="14" t="n">
        <f aca="false">IF(9&gt;$A112,0,AE112-Cost_round*IF(9&lt;=$B112,1,0)+K112-AF112)</f>
        <v>122.5</v>
      </c>
      <c r="BB112" s="14" t="n">
        <f aca="false">IF(10&gt;$A112,0,AF112-Cost_round*IF(10&lt;=$B112,1,0)+L112-AG112)</f>
        <v>122.5</v>
      </c>
      <c r="BC112" s="14" t="n">
        <f aca="false">IF(11&gt;$A112,0,AG112-Cost_round*IF(11&lt;=$B112,1,0)+M112-AH112)</f>
        <v>122.5</v>
      </c>
      <c r="BD112" s="14" t="n">
        <f aca="false">IF(12&gt;$A112,0,AH112-Cost_round*IF(12&lt;=$B112,1,0)+N112-AI112)</f>
        <v>122.5</v>
      </c>
      <c r="BE112" s="14" t="n">
        <f aca="false">IF(13&gt;$A112,0,AI112-Cost_round*IF(13&lt;=$B112,1,0)+O112-AJ112)</f>
        <v>122.5</v>
      </c>
      <c r="BF112" s="14" t="n">
        <f aca="false">IF(14&gt;$A112,0,AJ112-Cost_round*IF(14&lt;=$B112,1,0)+P112-AK112)</f>
        <v>122.5</v>
      </c>
      <c r="BG112" s="14" t="n">
        <f aca="false">IF(15&gt;$A112,0,AK112-Cost_round*IF(15&lt;=$B112,1,0)+Q112-AL112)</f>
        <v>122.5</v>
      </c>
      <c r="BH112" s="14" t="n">
        <f aca="false">IF(16&gt;$A112,0,AL112-Cost_round*IF(16&lt;=$B112,1,0)+R112-AM112)</f>
        <v>2.5</v>
      </c>
      <c r="BI112" s="14" t="n">
        <f aca="false">IF(17&gt;$A112,0,AM112-Cost_round*IF(17&lt;=$B112,1,0)+S112-AN112)</f>
        <v>0</v>
      </c>
      <c r="BJ112" s="14" t="n">
        <f aca="false">IF(18&gt;$A112,0,AN112-Cost_round*IF(18&lt;=$B112,1,0)+T112-AO112)</f>
        <v>0</v>
      </c>
      <c r="BK112" s="14" t="n">
        <f aca="false">IF(19&gt;$A112,0,AO112-Cost_round*IF(19&lt;=$B112,1,0)+U112-AP112)</f>
        <v>0</v>
      </c>
      <c r="BL112" s="14" t="n">
        <f aca="false">IF(20&gt;$A112,0,AP112-Cost_round*IF(20&lt;=$B112,1,0)+V112-AQ112)</f>
        <v>0</v>
      </c>
      <c r="BM112" s="17" t="n">
        <f aca="false">IF($AR112=1,SUMPRODUCT(AS112:BL112,$AS$38:$BL$38),"")</f>
        <v>796.958233849853</v>
      </c>
      <c r="BN112" s="17" t="n">
        <f aca="false">IF($AR112=1,BM112+INDEX($AS$38:$BL$38,$A112)*INDEX(C112:V112,$A112)/Hurdle_r,"")</f>
        <v>1063.55392519279</v>
      </c>
    </row>
    <row r="113" customFormat="false" ht="15" hidden="false" customHeight="false" outlineLevel="0" collapsed="false">
      <c r="A113" s="2" t="n">
        <v>16</v>
      </c>
      <c r="B113" s="2" t="n">
        <v>4</v>
      </c>
      <c r="C113" s="14" t="n">
        <f aca="false">IF(1&gt;$A113,0,Val_pt*(Ceiling_e-E_zero)*(1-(1-Half_gap)^MIN(1,$B113)))</f>
        <v>70</v>
      </c>
      <c r="D113" s="14" t="n">
        <f aca="false">IF(2&gt;$A113,0,Val_pt*(Ceiling_e-E_zero)*(1-(1-Half_gap)^MIN(2,$B113)))</f>
        <v>105</v>
      </c>
      <c r="E113" s="14" t="n">
        <f aca="false">IF(3&gt;$A113,0,Val_pt*(Ceiling_e-E_zero)*(1-(1-Half_gap)^MIN(3,$B113)))</f>
        <v>122.5</v>
      </c>
      <c r="F113" s="14" t="n">
        <f aca="false">IF(4&gt;$A113,0,Val_pt*(Ceiling_e-E_zero)*(1-(1-Half_gap)^MIN(4,$B113)))</f>
        <v>131.25</v>
      </c>
      <c r="G113" s="14" t="n">
        <f aca="false">IF(5&gt;$A113,0,Val_pt*(Ceiling_e-E_zero)*(1-(1-Half_gap)^MIN(5,$B113)))</f>
        <v>131.25</v>
      </c>
      <c r="H113" s="14" t="n">
        <f aca="false">IF(6&gt;$A113,0,Val_pt*(Ceiling_e-E_zero)*(1-(1-Half_gap)^MIN(6,$B113)))</f>
        <v>131.25</v>
      </c>
      <c r="I113" s="14" t="n">
        <f aca="false">IF(7&gt;$A113,0,Val_pt*(Ceiling_e-E_zero)*(1-(1-Half_gap)^MIN(7,$B113)))</f>
        <v>131.25</v>
      </c>
      <c r="J113" s="14" t="n">
        <f aca="false">IF(8&gt;$A113,0,Val_pt*(Ceiling_e-E_zero)*(1-(1-Half_gap)^MIN(8,$B113)))</f>
        <v>131.25</v>
      </c>
      <c r="K113" s="14" t="n">
        <f aca="false">IF(9&gt;$A113,0,Val_pt*(Ceiling_e-E_zero)*(1-(1-Half_gap)^MIN(9,$B113)))</f>
        <v>131.25</v>
      </c>
      <c r="L113" s="14" t="n">
        <f aca="false">IF(10&gt;$A113,0,Val_pt*(Ceiling_e-E_zero)*(1-(1-Half_gap)^MIN(10,$B113)))</f>
        <v>131.25</v>
      </c>
      <c r="M113" s="14" t="n">
        <f aca="false">IF(11&gt;$A113,0,Val_pt*(Ceiling_e-E_zero)*(1-(1-Half_gap)^MIN(11,$B113)))</f>
        <v>131.25</v>
      </c>
      <c r="N113" s="14" t="n">
        <f aca="false">IF(12&gt;$A113,0,Val_pt*(Ceiling_e-E_zero)*(1-(1-Half_gap)^MIN(12,$B113)))</f>
        <v>131.25</v>
      </c>
      <c r="O113" s="14" t="n">
        <f aca="false">IF(13&gt;$A113,0,Val_pt*(Ceiling_e-E_zero)*(1-(1-Half_gap)^MIN(13,$B113)))</f>
        <v>131.25</v>
      </c>
      <c r="P113" s="14" t="n">
        <f aca="false">IF(14&gt;$A113,0,Val_pt*(Ceiling_e-E_zero)*(1-(1-Half_gap)^MIN(14,$B113)))</f>
        <v>131.25</v>
      </c>
      <c r="Q113" s="14" t="n">
        <f aca="false">IF(15&gt;$A113,0,Val_pt*(Ceiling_e-E_zero)*(1-(1-Half_gap)^MIN(15,$B113)))</f>
        <v>131.25</v>
      </c>
      <c r="R113" s="14" t="n">
        <f aca="false">IF(16&gt;$A113,0,Val_pt*(Ceiling_e-E_zero)*(1-(1-Half_gap)^MIN(16,$B113)))</f>
        <v>131.25</v>
      </c>
      <c r="S113" s="14" t="n">
        <f aca="false">IF(17&gt;$A113,0,Val_pt*(Ceiling_e-E_zero)*(1-(1-Half_gap)^MIN(17,$B113)))</f>
        <v>0</v>
      </c>
      <c r="T113" s="14" t="n">
        <f aca="false">IF(18&gt;$A113,0,Val_pt*(Ceiling_e-E_zero)*(1-(1-Half_gap)^MIN(18,$B113)))</f>
        <v>0</v>
      </c>
      <c r="U113" s="14" t="n">
        <f aca="false">IF(19&gt;$A113,0,Val_pt*(Ceiling_e-E_zero)*(1-(1-Half_gap)^MIN(19,$B113)))</f>
        <v>0</v>
      </c>
      <c r="V113" s="14" t="n">
        <f aca="false">IF(20&gt;$A113,0,Val_pt*(Ceiling_e-E_zero)*(1-(1-Half_gap)^MIN(20,$B113)))</f>
        <v>0</v>
      </c>
      <c r="W113" s="14" t="n">
        <f aca="false">IF(0&gt;$A113,0,IF(0=$A113,MAX(End_q,Floor_q),MAX(X113+Cost_round*IF(1&lt;=$B113,1,0)-C113,IF(1&lt;=$B113,1,0)*Pre_q)))</f>
        <v>535</v>
      </c>
      <c r="X113" s="14" t="n">
        <f aca="false">IF(1&gt;$A113,0,IF(1=$A113,MAX(End_q,Floor_q),MAX(Y113+Cost_round*IF(2&lt;=$B113,1,0)-D113,IF(2&lt;=$B113,1,0)*Pre_q,Floor_q)))</f>
        <v>485</v>
      </c>
      <c r="Y113" s="14" t="n">
        <f aca="false">IF(2&gt;$A113,0,IF(2=$A113,MAX(End_q,Floor_q),MAX(Z113+Cost_round*IF(3&lt;=$B113,1,0)-E113,IF(3&lt;=$B113,1,0)*Pre_q,Floor_q)))</f>
        <v>470</v>
      </c>
      <c r="Z113" s="14" t="n">
        <f aca="false">IF(3&gt;$A113,0,IF(3=$A113,MAX(End_q,Floor_q),MAX(AA113+Cost_round*IF(4&lt;=$B113,1,0)-F113,IF(4&lt;=$B113,1,0)*Pre_q,Floor_q)))</f>
        <v>470</v>
      </c>
      <c r="AA113" s="14" t="n">
        <f aca="false">IF(4&gt;$A113,0,IF(4=$A113,MAX(End_q,Floor_q),MAX(AB113+Cost_round*IF(5&lt;=$B113,1,0)-G113,IF(5&lt;=$B113,1,0)*Pre_q,Floor_q)))</f>
        <v>350</v>
      </c>
      <c r="AB113" s="14" t="n">
        <f aca="false">IF(5&gt;$A113,0,IF(5=$A113,MAX(End_q,Floor_q),MAX(AC113+Cost_round*IF(6&lt;=$B113,1,0)-H113,IF(6&lt;=$B113,1,0)*Pre_q,Floor_q)))</f>
        <v>350</v>
      </c>
      <c r="AC113" s="14" t="n">
        <f aca="false">IF(6&gt;$A113,0,IF(6=$A113,MAX(End_q,Floor_q),MAX(AD113+Cost_round*IF(7&lt;=$B113,1,0)-I113,IF(7&lt;=$B113,1,0)*Pre_q,Floor_q)))</f>
        <v>350</v>
      </c>
      <c r="AD113" s="14" t="n">
        <f aca="false">IF(7&gt;$A113,0,IF(7=$A113,MAX(End_q,Floor_q),MAX(AE113+Cost_round*IF(8&lt;=$B113,1,0)-J113,IF(8&lt;=$B113,1,0)*Pre_q,Floor_q)))</f>
        <v>350</v>
      </c>
      <c r="AE113" s="14" t="n">
        <f aca="false">IF(8&gt;$A113,0,IF(8=$A113,MAX(End_q,Floor_q),MAX(AF113+Cost_round*IF(9&lt;=$B113,1,0)-K113,IF(9&lt;=$B113,1,0)*Pre_q,Floor_q)))</f>
        <v>350</v>
      </c>
      <c r="AF113" s="14" t="n">
        <f aca="false">IF(9&gt;$A113,0,IF(9=$A113,MAX(End_q,Floor_q),MAX(AG113+Cost_round*IF(10&lt;=$B113,1,0)-L113,IF(10&lt;=$B113,1,0)*Pre_q,Floor_q)))</f>
        <v>350</v>
      </c>
      <c r="AG113" s="14" t="n">
        <f aca="false">IF(10&gt;$A113,0,IF(10=$A113,MAX(End_q,Floor_q),MAX(AH113+Cost_round*IF(11&lt;=$B113,1,0)-M113,IF(11&lt;=$B113,1,0)*Pre_q,Floor_q)))</f>
        <v>350</v>
      </c>
      <c r="AH113" s="14" t="n">
        <f aca="false">IF(11&gt;$A113,0,IF(11=$A113,MAX(End_q,Floor_q),MAX(AI113+Cost_round*IF(12&lt;=$B113,1,0)-N113,IF(12&lt;=$B113,1,0)*Pre_q,Floor_q)))</f>
        <v>350</v>
      </c>
      <c r="AI113" s="14" t="n">
        <f aca="false">IF(12&gt;$A113,0,IF(12=$A113,MAX(End_q,Floor_q),MAX(AJ113+Cost_round*IF(13&lt;=$B113,1,0)-O113,IF(13&lt;=$B113,1,0)*Pre_q,Floor_q)))</f>
        <v>350</v>
      </c>
      <c r="AJ113" s="14" t="n">
        <f aca="false">IF(13&gt;$A113,0,IF(13=$A113,MAX(End_q,Floor_q),MAX(AK113+Cost_round*IF(14&lt;=$B113,1,0)-P113,IF(14&lt;=$B113,1,0)*Pre_q,Floor_q)))</f>
        <v>350</v>
      </c>
      <c r="AK113" s="14" t="n">
        <f aca="false">IF(14&gt;$A113,0,IF(14=$A113,MAX(End_q,Floor_q),MAX(AL113+Cost_round*IF(15&lt;=$B113,1,0)-Q113,IF(15&lt;=$B113,1,0)*Pre_q,Floor_q)))</f>
        <v>350</v>
      </c>
      <c r="AL113" s="14" t="n">
        <f aca="false">IF(15&gt;$A113,0,IF(15=$A113,MAX(End_q,Floor_q),MAX(AM113+Cost_round*IF(16&lt;=$B113,1,0)-R113,IF(16&lt;=$B113,1,0)*Pre_q,Floor_q)))</f>
        <v>350</v>
      </c>
      <c r="AM113" s="14" t="n">
        <f aca="false">IF(16&gt;$A113,0,IF(16=$A113,MAX(End_q,Floor_q),MAX(AN113+Cost_round*IF(17&lt;=$B113,1,0)-S113,IF(17&lt;=$B113,1,0)*Pre_q,Floor_q)))</f>
        <v>470</v>
      </c>
      <c r="AN113" s="14" t="n">
        <f aca="false">IF(17&gt;$A113,0,IF(17=$A113,MAX(End_q,Floor_q),MAX(AO113+Cost_round*IF(18&lt;=$B113,1,0)-T113,IF(18&lt;=$B113,1,0)*Pre_q,Floor_q)))</f>
        <v>0</v>
      </c>
      <c r="AO113" s="14" t="n">
        <f aca="false">IF(18&gt;$A113,0,IF(18=$A113,MAX(End_q,Floor_q),MAX(AP113+Cost_round*IF(19&lt;=$B113,1,0)-U113,IF(19&lt;=$B113,1,0)*Pre_q,Floor_q)))</f>
        <v>0</v>
      </c>
      <c r="AP113" s="14" t="n">
        <f aca="false">IF(19&gt;$A113,0,IF(19=$A113,MAX(End_q,Floor_q),MAX(AQ113+Cost_round*IF(20&lt;=$B113,1,0)-V113,IF(20&lt;=$B113,1,0)*Pre_q,Floor_q)))</f>
        <v>0</v>
      </c>
      <c r="AQ113" s="14" t="n">
        <f aca="false">IF(20&gt;$A113,0,MAX(End_q,Floor_q))</f>
        <v>0</v>
      </c>
      <c r="AR113" s="15" t="n">
        <f aca="false">IF(Q_zero&gt;=W113-0.000000001,1,0)</f>
        <v>1</v>
      </c>
      <c r="AS113" s="14" t="n">
        <f aca="false">IF(1&gt;$A113,0,Q_zero-Cost_round*IF(1&lt;=$B113,1,0)+C113-X113)</f>
        <v>85</v>
      </c>
      <c r="AT113" s="14" t="n">
        <f aca="false">IF(2&gt;$A113,0,X113-Cost_round*IF(2&lt;=$B113,1,0)+D113-Y113)</f>
        <v>0</v>
      </c>
      <c r="AU113" s="14" t="n">
        <f aca="false">IF(3&gt;$A113,0,Y113-Cost_round*IF(3&lt;=$B113,1,0)+E113-Z113)</f>
        <v>2.5</v>
      </c>
      <c r="AV113" s="14" t="n">
        <f aca="false">IF(4&gt;$A113,0,Z113-Cost_round*IF(4&lt;=$B113,1,0)+F113-AA113)</f>
        <v>131.25</v>
      </c>
      <c r="AW113" s="14" t="n">
        <f aca="false">IF(5&gt;$A113,0,AA113-Cost_round*IF(5&lt;=$B113,1,0)+G113-AB113)</f>
        <v>131.25</v>
      </c>
      <c r="AX113" s="14" t="n">
        <f aca="false">IF(6&gt;$A113,0,AB113-Cost_round*IF(6&lt;=$B113,1,0)+H113-AC113)</f>
        <v>131.25</v>
      </c>
      <c r="AY113" s="14" t="n">
        <f aca="false">IF(7&gt;$A113,0,AC113-Cost_round*IF(7&lt;=$B113,1,0)+I113-AD113)</f>
        <v>131.25</v>
      </c>
      <c r="AZ113" s="14" t="n">
        <f aca="false">IF(8&gt;$A113,0,AD113-Cost_round*IF(8&lt;=$B113,1,0)+J113-AE113)</f>
        <v>131.25</v>
      </c>
      <c r="BA113" s="14" t="n">
        <f aca="false">IF(9&gt;$A113,0,AE113-Cost_round*IF(9&lt;=$B113,1,0)+K113-AF113)</f>
        <v>131.25</v>
      </c>
      <c r="BB113" s="14" t="n">
        <f aca="false">IF(10&gt;$A113,0,AF113-Cost_round*IF(10&lt;=$B113,1,0)+L113-AG113)</f>
        <v>131.25</v>
      </c>
      <c r="BC113" s="14" t="n">
        <f aca="false">IF(11&gt;$A113,0,AG113-Cost_round*IF(11&lt;=$B113,1,0)+M113-AH113)</f>
        <v>131.25</v>
      </c>
      <c r="BD113" s="14" t="n">
        <f aca="false">IF(12&gt;$A113,0,AH113-Cost_round*IF(12&lt;=$B113,1,0)+N113-AI113)</f>
        <v>131.25</v>
      </c>
      <c r="BE113" s="14" t="n">
        <f aca="false">IF(13&gt;$A113,0,AI113-Cost_round*IF(13&lt;=$B113,1,0)+O113-AJ113)</f>
        <v>131.25</v>
      </c>
      <c r="BF113" s="14" t="n">
        <f aca="false">IF(14&gt;$A113,0,AJ113-Cost_round*IF(14&lt;=$B113,1,0)+P113-AK113)</f>
        <v>131.25</v>
      </c>
      <c r="BG113" s="14" t="n">
        <f aca="false">IF(15&gt;$A113,0,AK113-Cost_round*IF(15&lt;=$B113,1,0)+Q113-AL113)</f>
        <v>131.25</v>
      </c>
      <c r="BH113" s="14" t="n">
        <f aca="false">IF(16&gt;$A113,0,AL113-Cost_round*IF(16&lt;=$B113,1,0)+R113-AM113)</f>
        <v>11.25</v>
      </c>
      <c r="BI113" s="14" t="n">
        <f aca="false">IF(17&gt;$A113,0,AM113-Cost_round*IF(17&lt;=$B113,1,0)+S113-AN113)</f>
        <v>0</v>
      </c>
      <c r="BJ113" s="14" t="n">
        <f aca="false">IF(18&gt;$A113,0,AN113-Cost_round*IF(18&lt;=$B113,1,0)+T113-AO113)</f>
        <v>0</v>
      </c>
      <c r="BK113" s="14" t="n">
        <f aca="false">IF(19&gt;$A113,0,AO113-Cost_round*IF(19&lt;=$B113,1,0)+U113-AP113)</f>
        <v>0</v>
      </c>
      <c r="BL113" s="14" t="n">
        <f aca="false">IF(20&gt;$A113,0,AP113-Cost_round*IF(20&lt;=$B113,1,0)+V113-AQ113)</f>
        <v>0</v>
      </c>
      <c r="BM113" s="17" t="n">
        <f aca="false">IF($AR113=1,SUMPRODUCT(AS113:BL113,$AS$38:$BL$38),"")</f>
        <v>753.497953438914</v>
      </c>
      <c r="BN113" s="17" t="n">
        <f aca="false">IF($AR113=1,BM113+INDEX($AS$38:$BL$38,$A113)*INDEX(C113:V113,$A113)/Hurdle_r,"")</f>
        <v>1039.13619416348</v>
      </c>
    </row>
    <row r="114" customFormat="false" ht="15" hidden="false" customHeight="false" outlineLevel="0" collapsed="false">
      <c r="A114" s="2" t="n">
        <v>17</v>
      </c>
      <c r="B114" s="2" t="n">
        <v>0</v>
      </c>
      <c r="C114" s="14" t="n">
        <f aca="false">IF(1&gt;$A114,0,Val_pt*(Ceiling_e-E_zero)*(1-(1-Half_gap)^MIN(1,$B114)))</f>
        <v>0</v>
      </c>
      <c r="D114" s="14" t="n">
        <f aca="false">IF(2&gt;$A114,0,Val_pt*(Ceiling_e-E_zero)*(1-(1-Half_gap)^MIN(2,$B114)))</f>
        <v>0</v>
      </c>
      <c r="E114" s="14" t="n">
        <f aca="false">IF(3&gt;$A114,0,Val_pt*(Ceiling_e-E_zero)*(1-(1-Half_gap)^MIN(3,$B114)))</f>
        <v>0</v>
      </c>
      <c r="F114" s="14" t="n">
        <f aca="false">IF(4&gt;$A114,0,Val_pt*(Ceiling_e-E_zero)*(1-(1-Half_gap)^MIN(4,$B114)))</f>
        <v>0</v>
      </c>
      <c r="G114" s="14" t="n">
        <f aca="false">IF(5&gt;$A114,0,Val_pt*(Ceiling_e-E_zero)*(1-(1-Half_gap)^MIN(5,$B114)))</f>
        <v>0</v>
      </c>
      <c r="H114" s="14" t="n">
        <f aca="false">IF(6&gt;$A114,0,Val_pt*(Ceiling_e-E_zero)*(1-(1-Half_gap)^MIN(6,$B114)))</f>
        <v>0</v>
      </c>
      <c r="I114" s="14" t="n">
        <f aca="false">IF(7&gt;$A114,0,Val_pt*(Ceiling_e-E_zero)*(1-(1-Half_gap)^MIN(7,$B114)))</f>
        <v>0</v>
      </c>
      <c r="J114" s="14" t="n">
        <f aca="false">IF(8&gt;$A114,0,Val_pt*(Ceiling_e-E_zero)*(1-(1-Half_gap)^MIN(8,$B114)))</f>
        <v>0</v>
      </c>
      <c r="K114" s="14" t="n">
        <f aca="false">IF(9&gt;$A114,0,Val_pt*(Ceiling_e-E_zero)*(1-(1-Half_gap)^MIN(9,$B114)))</f>
        <v>0</v>
      </c>
      <c r="L114" s="14" t="n">
        <f aca="false">IF(10&gt;$A114,0,Val_pt*(Ceiling_e-E_zero)*(1-(1-Half_gap)^MIN(10,$B114)))</f>
        <v>0</v>
      </c>
      <c r="M114" s="14" t="n">
        <f aca="false">IF(11&gt;$A114,0,Val_pt*(Ceiling_e-E_zero)*(1-(1-Half_gap)^MIN(11,$B114)))</f>
        <v>0</v>
      </c>
      <c r="N114" s="14" t="n">
        <f aca="false">IF(12&gt;$A114,0,Val_pt*(Ceiling_e-E_zero)*(1-(1-Half_gap)^MIN(12,$B114)))</f>
        <v>0</v>
      </c>
      <c r="O114" s="14" t="n">
        <f aca="false">IF(13&gt;$A114,0,Val_pt*(Ceiling_e-E_zero)*(1-(1-Half_gap)^MIN(13,$B114)))</f>
        <v>0</v>
      </c>
      <c r="P114" s="14" t="n">
        <f aca="false">IF(14&gt;$A114,0,Val_pt*(Ceiling_e-E_zero)*(1-(1-Half_gap)^MIN(14,$B114)))</f>
        <v>0</v>
      </c>
      <c r="Q114" s="14" t="n">
        <f aca="false">IF(15&gt;$A114,0,Val_pt*(Ceiling_e-E_zero)*(1-(1-Half_gap)^MIN(15,$B114)))</f>
        <v>0</v>
      </c>
      <c r="R114" s="14" t="n">
        <f aca="false">IF(16&gt;$A114,0,Val_pt*(Ceiling_e-E_zero)*(1-(1-Half_gap)^MIN(16,$B114)))</f>
        <v>0</v>
      </c>
      <c r="S114" s="14" t="n">
        <f aca="false">IF(17&gt;$A114,0,Val_pt*(Ceiling_e-E_zero)*(1-(1-Half_gap)^MIN(17,$B114)))</f>
        <v>0</v>
      </c>
      <c r="T114" s="14" t="n">
        <f aca="false">IF(18&gt;$A114,0,Val_pt*(Ceiling_e-E_zero)*(1-(1-Half_gap)^MIN(18,$B114)))</f>
        <v>0</v>
      </c>
      <c r="U114" s="14" t="n">
        <f aca="false">IF(19&gt;$A114,0,Val_pt*(Ceiling_e-E_zero)*(1-(1-Half_gap)^MIN(19,$B114)))</f>
        <v>0</v>
      </c>
      <c r="V114" s="14" t="n">
        <f aca="false">IF(20&gt;$A114,0,Val_pt*(Ceiling_e-E_zero)*(1-(1-Half_gap)^MIN(20,$B114)))</f>
        <v>0</v>
      </c>
      <c r="W114" s="14" t="n">
        <f aca="false">IF(0&gt;$A114,0,IF(0=$A114,MAX(End_q,Floor_q),MAX(X114+Cost_round*IF(1&lt;=$B114,1,0)-C114,IF(1&lt;=$B114,1,0)*Pre_q)))</f>
        <v>470</v>
      </c>
      <c r="X114" s="14" t="n">
        <f aca="false">IF(1&gt;$A114,0,IF(1=$A114,MAX(End_q,Floor_q),MAX(Y114+Cost_round*IF(2&lt;=$B114,1,0)-D114,IF(2&lt;=$B114,1,0)*Pre_q,Floor_q)))</f>
        <v>470</v>
      </c>
      <c r="Y114" s="14" t="n">
        <f aca="false">IF(2&gt;$A114,0,IF(2=$A114,MAX(End_q,Floor_q),MAX(Z114+Cost_round*IF(3&lt;=$B114,1,0)-E114,IF(3&lt;=$B114,1,0)*Pre_q,Floor_q)))</f>
        <v>470</v>
      </c>
      <c r="Z114" s="14" t="n">
        <f aca="false">IF(3&gt;$A114,0,IF(3=$A114,MAX(End_q,Floor_q),MAX(AA114+Cost_round*IF(4&lt;=$B114,1,0)-F114,IF(4&lt;=$B114,1,0)*Pre_q,Floor_q)))</f>
        <v>470</v>
      </c>
      <c r="AA114" s="14" t="n">
        <f aca="false">IF(4&gt;$A114,0,IF(4=$A114,MAX(End_q,Floor_q),MAX(AB114+Cost_round*IF(5&lt;=$B114,1,0)-G114,IF(5&lt;=$B114,1,0)*Pre_q,Floor_q)))</f>
        <v>470</v>
      </c>
      <c r="AB114" s="14" t="n">
        <f aca="false">IF(5&gt;$A114,0,IF(5=$A114,MAX(End_q,Floor_q),MAX(AC114+Cost_round*IF(6&lt;=$B114,1,0)-H114,IF(6&lt;=$B114,1,0)*Pre_q,Floor_q)))</f>
        <v>470</v>
      </c>
      <c r="AC114" s="14" t="n">
        <f aca="false">IF(6&gt;$A114,0,IF(6=$A114,MAX(End_q,Floor_q),MAX(AD114+Cost_round*IF(7&lt;=$B114,1,0)-I114,IF(7&lt;=$B114,1,0)*Pre_q,Floor_q)))</f>
        <v>470</v>
      </c>
      <c r="AD114" s="14" t="n">
        <f aca="false">IF(7&gt;$A114,0,IF(7=$A114,MAX(End_q,Floor_q),MAX(AE114+Cost_round*IF(8&lt;=$B114,1,0)-J114,IF(8&lt;=$B114,1,0)*Pre_q,Floor_q)))</f>
        <v>470</v>
      </c>
      <c r="AE114" s="14" t="n">
        <f aca="false">IF(8&gt;$A114,0,IF(8=$A114,MAX(End_q,Floor_q),MAX(AF114+Cost_round*IF(9&lt;=$B114,1,0)-K114,IF(9&lt;=$B114,1,0)*Pre_q,Floor_q)))</f>
        <v>470</v>
      </c>
      <c r="AF114" s="14" t="n">
        <f aca="false">IF(9&gt;$A114,0,IF(9=$A114,MAX(End_q,Floor_q),MAX(AG114+Cost_round*IF(10&lt;=$B114,1,0)-L114,IF(10&lt;=$B114,1,0)*Pre_q,Floor_q)))</f>
        <v>470</v>
      </c>
      <c r="AG114" s="14" t="n">
        <f aca="false">IF(10&gt;$A114,0,IF(10=$A114,MAX(End_q,Floor_q),MAX(AH114+Cost_round*IF(11&lt;=$B114,1,0)-M114,IF(11&lt;=$B114,1,0)*Pre_q,Floor_q)))</f>
        <v>470</v>
      </c>
      <c r="AH114" s="14" t="n">
        <f aca="false">IF(11&gt;$A114,0,IF(11=$A114,MAX(End_q,Floor_q),MAX(AI114+Cost_round*IF(12&lt;=$B114,1,0)-N114,IF(12&lt;=$B114,1,0)*Pre_q,Floor_q)))</f>
        <v>470</v>
      </c>
      <c r="AI114" s="14" t="n">
        <f aca="false">IF(12&gt;$A114,0,IF(12=$A114,MAX(End_q,Floor_q),MAX(AJ114+Cost_round*IF(13&lt;=$B114,1,0)-O114,IF(13&lt;=$B114,1,0)*Pre_q,Floor_q)))</f>
        <v>470</v>
      </c>
      <c r="AJ114" s="14" t="n">
        <f aca="false">IF(13&gt;$A114,0,IF(13=$A114,MAX(End_q,Floor_q),MAX(AK114+Cost_round*IF(14&lt;=$B114,1,0)-P114,IF(14&lt;=$B114,1,0)*Pre_q,Floor_q)))</f>
        <v>470</v>
      </c>
      <c r="AK114" s="14" t="n">
        <f aca="false">IF(14&gt;$A114,0,IF(14=$A114,MAX(End_q,Floor_q),MAX(AL114+Cost_round*IF(15&lt;=$B114,1,0)-Q114,IF(15&lt;=$B114,1,0)*Pre_q,Floor_q)))</f>
        <v>470</v>
      </c>
      <c r="AL114" s="14" t="n">
        <f aca="false">IF(15&gt;$A114,0,IF(15=$A114,MAX(End_q,Floor_q),MAX(AM114+Cost_round*IF(16&lt;=$B114,1,0)-R114,IF(16&lt;=$B114,1,0)*Pre_q,Floor_q)))</f>
        <v>470</v>
      </c>
      <c r="AM114" s="14" t="n">
        <f aca="false">IF(16&gt;$A114,0,IF(16=$A114,MAX(End_q,Floor_q),MAX(AN114+Cost_round*IF(17&lt;=$B114,1,0)-S114,IF(17&lt;=$B114,1,0)*Pre_q,Floor_q)))</f>
        <v>470</v>
      </c>
      <c r="AN114" s="14" t="n">
        <f aca="false">IF(17&gt;$A114,0,IF(17=$A114,MAX(End_q,Floor_q),MAX(AO114+Cost_round*IF(18&lt;=$B114,1,0)-T114,IF(18&lt;=$B114,1,0)*Pre_q,Floor_q)))</f>
        <v>470</v>
      </c>
      <c r="AO114" s="14" t="n">
        <f aca="false">IF(18&gt;$A114,0,IF(18=$A114,MAX(End_q,Floor_q),MAX(AP114+Cost_round*IF(19&lt;=$B114,1,0)-U114,IF(19&lt;=$B114,1,0)*Pre_q,Floor_q)))</f>
        <v>0</v>
      </c>
      <c r="AP114" s="14" t="n">
        <f aca="false">IF(19&gt;$A114,0,IF(19=$A114,MAX(End_q,Floor_q),MAX(AQ114+Cost_round*IF(20&lt;=$B114,1,0)-V114,IF(20&lt;=$B114,1,0)*Pre_q,Floor_q)))</f>
        <v>0</v>
      </c>
      <c r="AQ114" s="14" t="n">
        <f aca="false">IF(20&gt;$A114,0,MAX(End_q,Floor_q))</f>
        <v>0</v>
      </c>
      <c r="AR114" s="15" t="n">
        <f aca="false">IF(Q_zero&gt;=W114-0.000000001,1,0)</f>
        <v>1</v>
      </c>
      <c r="AS114" s="14" t="n">
        <f aca="false">IF(1&gt;$A114,0,Q_zero-Cost_round*IF(1&lt;=$B114,1,0)+C114-X114)</f>
        <v>150</v>
      </c>
      <c r="AT114" s="14" t="n">
        <f aca="false">IF(2&gt;$A114,0,X114-Cost_round*IF(2&lt;=$B114,1,0)+D114-Y114)</f>
        <v>0</v>
      </c>
      <c r="AU114" s="14" t="n">
        <f aca="false">IF(3&gt;$A114,0,Y114-Cost_round*IF(3&lt;=$B114,1,0)+E114-Z114)</f>
        <v>0</v>
      </c>
      <c r="AV114" s="14" t="n">
        <f aca="false">IF(4&gt;$A114,0,Z114-Cost_round*IF(4&lt;=$B114,1,0)+F114-AA114)</f>
        <v>0</v>
      </c>
      <c r="AW114" s="14" t="n">
        <f aca="false">IF(5&gt;$A114,0,AA114-Cost_round*IF(5&lt;=$B114,1,0)+G114-AB114)</f>
        <v>0</v>
      </c>
      <c r="AX114" s="14" t="n">
        <f aca="false">IF(6&gt;$A114,0,AB114-Cost_round*IF(6&lt;=$B114,1,0)+H114-AC114)</f>
        <v>0</v>
      </c>
      <c r="AY114" s="14" t="n">
        <f aca="false">IF(7&gt;$A114,0,AC114-Cost_round*IF(7&lt;=$B114,1,0)+I114-AD114)</f>
        <v>0</v>
      </c>
      <c r="AZ114" s="14" t="n">
        <f aca="false">IF(8&gt;$A114,0,AD114-Cost_round*IF(8&lt;=$B114,1,0)+J114-AE114)</f>
        <v>0</v>
      </c>
      <c r="BA114" s="14" t="n">
        <f aca="false">IF(9&gt;$A114,0,AE114-Cost_round*IF(9&lt;=$B114,1,0)+K114-AF114)</f>
        <v>0</v>
      </c>
      <c r="BB114" s="14" t="n">
        <f aca="false">IF(10&gt;$A114,0,AF114-Cost_round*IF(10&lt;=$B114,1,0)+L114-AG114)</f>
        <v>0</v>
      </c>
      <c r="BC114" s="14" t="n">
        <f aca="false">IF(11&gt;$A114,0,AG114-Cost_round*IF(11&lt;=$B114,1,0)+M114-AH114)</f>
        <v>0</v>
      </c>
      <c r="BD114" s="14" t="n">
        <f aca="false">IF(12&gt;$A114,0,AH114-Cost_round*IF(12&lt;=$B114,1,0)+N114-AI114)</f>
        <v>0</v>
      </c>
      <c r="BE114" s="14" t="n">
        <f aca="false">IF(13&gt;$A114,0,AI114-Cost_round*IF(13&lt;=$B114,1,0)+O114-AJ114)</f>
        <v>0</v>
      </c>
      <c r="BF114" s="14" t="n">
        <f aca="false">IF(14&gt;$A114,0,AJ114-Cost_round*IF(14&lt;=$B114,1,0)+P114-AK114)</f>
        <v>0</v>
      </c>
      <c r="BG114" s="14" t="n">
        <f aca="false">IF(15&gt;$A114,0,AK114-Cost_round*IF(15&lt;=$B114,1,0)+Q114-AL114)</f>
        <v>0</v>
      </c>
      <c r="BH114" s="14" t="n">
        <f aca="false">IF(16&gt;$A114,0,AL114-Cost_round*IF(16&lt;=$B114,1,0)+R114-AM114)</f>
        <v>0</v>
      </c>
      <c r="BI114" s="14" t="n">
        <f aca="false">IF(17&gt;$A114,0,AM114-Cost_round*IF(17&lt;=$B114,1,0)+S114-AN114)</f>
        <v>0</v>
      </c>
      <c r="BJ114" s="14" t="n">
        <f aca="false">IF(18&gt;$A114,0,AN114-Cost_round*IF(18&lt;=$B114,1,0)+T114-AO114)</f>
        <v>0</v>
      </c>
      <c r="BK114" s="14" t="n">
        <f aca="false">IF(19&gt;$A114,0,AO114-Cost_round*IF(19&lt;=$B114,1,0)+U114-AP114)</f>
        <v>0</v>
      </c>
      <c r="BL114" s="14" t="n">
        <f aca="false">IF(20&gt;$A114,0,AP114-Cost_round*IF(20&lt;=$B114,1,0)+V114-AQ114)</f>
        <v>0</v>
      </c>
      <c r="BM114" s="17" t="n">
        <f aca="false">IF($AR114=1,SUMPRODUCT(AS114:BL114,$AS$38:$BL$38),"")</f>
        <v>136.363636363636</v>
      </c>
      <c r="BN114" s="17" t="n">
        <f aca="false">IF($AR114=1,BM114+INDEX($AS$38:$BL$38,$A114)*INDEX(C114:V114,$A114)/Hurdle_r,"")</f>
        <v>136.363636363636</v>
      </c>
    </row>
    <row r="115" customFormat="false" ht="15" hidden="false" customHeight="false" outlineLevel="0" collapsed="false">
      <c r="A115" s="2" t="n">
        <v>17</v>
      </c>
      <c r="B115" s="2" t="n">
        <v>1</v>
      </c>
      <c r="C115" s="14" t="n">
        <f aca="false">IF(1&gt;$A115,0,Val_pt*(Ceiling_e-E_zero)*(1-(1-Half_gap)^MIN(1,$B115)))</f>
        <v>70</v>
      </c>
      <c r="D115" s="14" t="n">
        <f aca="false">IF(2&gt;$A115,0,Val_pt*(Ceiling_e-E_zero)*(1-(1-Half_gap)^MIN(2,$B115)))</f>
        <v>70</v>
      </c>
      <c r="E115" s="14" t="n">
        <f aca="false">IF(3&gt;$A115,0,Val_pt*(Ceiling_e-E_zero)*(1-(1-Half_gap)^MIN(3,$B115)))</f>
        <v>70</v>
      </c>
      <c r="F115" s="14" t="n">
        <f aca="false">IF(4&gt;$A115,0,Val_pt*(Ceiling_e-E_zero)*(1-(1-Half_gap)^MIN(4,$B115)))</f>
        <v>70</v>
      </c>
      <c r="G115" s="14" t="n">
        <f aca="false">IF(5&gt;$A115,0,Val_pt*(Ceiling_e-E_zero)*(1-(1-Half_gap)^MIN(5,$B115)))</f>
        <v>70</v>
      </c>
      <c r="H115" s="14" t="n">
        <f aca="false">IF(6&gt;$A115,0,Val_pt*(Ceiling_e-E_zero)*(1-(1-Half_gap)^MIN(6,$B115)))</f>
        <v>70</v>
      </c>
      <c r="I115" s="14" t="n">
        <f aca="false">IF(7&gt;$A115,0,Val_pt*(Ceiling_e-E_zero)*(1-(1-Half_gap)^MIN(7,$B115)))</f>
        <v>70</v>
      </c>
      <c r="J115" s="14" t="n">
        <f aca="false">IF(8&gt;$A115,0,Val_pt*(Ceiling_e-E_zero)*(1-(1-Half_gap)^MIN(8,$B115)))</f>
        <v>70</v>
      </c>
      <c r="K115" s="14" t="n">
        <f aca="false">IF(9&gt;$A115,0,Val_pt*(Ceiling_e-E_zero)*(1-(1-Half_gap)^MIN(9,$B115)))</f>
        <v>70</v>
      </c>
      <c r="L115" s="14" t="n">
        <f aca="false">IF(10&gt;$A115,0,Val_pt*(Ceiling_e-E_zero)*(1-(1-Half_gap)^MIN(10,$B115)))</f>
        <v>70</v>
      </c>
      <c r="M115" s="14" t="n">
        <f aca="false">IF(11&gt;$A115,0,Val_pt*(Ceiling_e-E_zero)*(1-(1-Half_gap)^MIN(11,$B115)))</f>
        <v>70</v>
      </c>
      <c r="N115" s="14" t="n">
        <f aca="false">IF(12&gt;$A115,0,Val_pt*(Ceiling_e-E_zero)*(1-(1-Half_gap)^MIN(12,$B115)))</f>
        <v>70</v>
      </c>
      <c r="O115" s="14" t="n">
        <f aca="false">IF(13&gt;$A115,0,Val_pt*(Ceiling_e-E_zero)*(1-(1-Half_gap)^MIN(13,$B115)))</f>
        <v>70</v>
      </c>
      <c r="P115" s="14" t="n">
        <f aca="false">IF(14&gt;$A115,0,Val_pt*(Ceiling_e-E_zero)*(1-(1-Half_gap)^MIN(14,$B115)))</f>
        <v>70</v>
      </c>
      <c r="Q115" s="14" t="n">
        <f aca="false">IF(15&gt;$A115,0,Val_pt*(Ceiling_e-E_zero)*(1-(1-Half_gap)^MIN(15,$B115)))</f>
        <v>70</v>
      </c>
      <c r="R115" s="14" t="n">
        <f aca="false">IF(16&gt;$A115,0,Val_pt*(Ceiling_e-E_zero)*(1-(1-Half_gap)^MIN(16,$B115)))</f>
        <v>70</v>
      </c>
      <c r="S115" s="14" t="n">
        <f aca="false">IF(17&gt;$A115,0,Val_pt*(Ceiling_e-E_zero)*(1-(1-Half_gap)^MIN(17,$B115)))</f>
        <v>70</v>
      </c>
      <c r="T115" s="14" t="n">
        <f aca="false">IF(18&gt;$A115,0,Val_pt*(Ceiling_e-E_zero)*(1-(1-Half_gap)^MIN(18,$B115)))</f>
        <v>0</v>
      </c>
      <c r="U115" s="14" t="n">
        <f aca="false">IF(19&gt;$A115,0,Val_pt*(Ceiling_e-E_zero)*(1-(1-Half_gap)^MIN(19,$B115)))</f>
        <v>0</v>
      </c>
      <c r="V115" s="14" t="n">
        <f aca="false">IF(20&gt;$A115,0,Val_pt*(Ceiling_e-E_zero)*(1-(1-Half_gap)^MIN(20,$B115)))</f>
        <v>0</v>
      </c>
      <c r="W115" s="14" t="n">
        <f aca="false">IF(0&gt;$A115,0,IF(0=$A115,MAX(End_q,Floor_q),MAX(X115+Cost_round*IF(1&lt;=$B115,1,0)-C115,IF(1&lt;=$B115,1,0)*Pre_q)))</f>
        <v>470</v>
      </c>
      <c r="X115" s="14" t="n">
        <f aca="false">IF(1&gt;$A115,0,IF(1=$A115,MAX(End_q,Floor_q),MAX(Y115+Cost_round*IF(2&lt;=$B115,1,0)-D115,IF(2&lt;=$B115,1,0)*Pre_q,Floor_q)))</f>
        <v>350</v>
      </c>
      <c r="Y115" s="14" t="n">
        <f aca="false">IF(2&gt;$A115,0,IF(2=$A115,MAX(End_q,Floor_q),MAX(Z115+Cost_round*IF(3&lt;=$B115,1,0)-E115,IF(3&lt;=$B115,1,0)*Pre_q,Floor_q)))</f>
        <v>350</v>
      </c>
      <c r="Z115" s="14" t="n">
        <f aca="false">IF(3&gt;$A115,0,IF(3=$A115,MAX(End_q,Floor_q),MAX(AA115+Cost_round*IF(4&lt;=$B115,1,0)-F115,IF(4&lt;=$B115,1,0)*Pre_q,Floor_q)))</f>
        <v>350</v>
      </c>
      <c r="AA115" s="14" t="n">
        <f aca="false">IF(4&gt;$A115,0,IF(4=$A115,MAX(End_q,Floor_q),MAX(AB115+Cost_round*IF(5&lt;=$B115,1,0)-G115,IF(5&lt;=$B115,1,0)*Pre_q,Floor_q)))</f>
        <v>350</v>
      </c>
      <c r="AB115" s="14" t="n">
        <f aca="false">IF(5&gt;$A115,0,IF(5=$A115,MAX(End_q,Floor_q),MAX(AC115+Cost_round*IF(6&lt;=$B115,1,0)-H115,IF(6&lt;=$B115,1,0)*Pre_q,Floor_q)))</f>
        <v>350</v>
      </c>
      <c r="AC115" s="14" t="n">
        <f aca="false">IF(6&gt;$A115,0,IF(6=$A115,MAX(End_q,Floor_q),MAX(AD115+Cost_round*IF(7&lt;=$B115,1,0)-I115,IF(7&lt;=$B115,1,0)*Pre_q,Floor_q)))</f>
        <v>350</v>
      </c>
      <c r="AD115" s="14" t="n">
        <f aca="false">IF(7&gt;$A115,0,IF(7=$A115,MAX(End_q,Floor_q),MAX(AE115+Cost_round*IF(8&lt;=$B115,1,0)-J115,IF(8&lt;=$B115,1,0)*Pre_q,Floor_q)))</f>
        <v>350</v>
      </c>
      <c r="AE115" s="14" t="n">
        <f aca="false">IF(8&gt;$A115,0,IF(8=$A115,MAX(End_q,Floor_q),MAX(AF115+Cost_round*IF(9&lt;=$B115,1,0)-K115,IF(9&lt;=$B115,1,0)*Pre_q,Floor_q)))</f>
        <v>350</v>
      </c>
      <c r="AF115" s="14" t="n">
        <f aca="false">IF(9&gt;$A115,0,IF(9=$A115,MAX(End_q,Floor_q),MAX(AG115+Cost_round*IF(10&lt;=$B115,1,0)-L115,IF(10&lt;=$B115,1,0)*Pre_q,Floor_q)))</f>
        <v>350</v>
      </c>
      <c r="AG115" s="14" t="n">
        <f aca="false">IF(10&gt;$A115,0,IF(10=$A115,MAX(End_q,Floor_q),MAX(AH115+Cost_round*IF(11&lt;=$B115,1,0)-M115,IF(11&lt;=$B115,1,0)*Pre_q,Floor_q)))</f>
        <v>350</v>
      </c>
      <c r="AH115" s="14" t="n">
        <f aca="false">IF(11&gt;$A115,0,IF(11=$A115,MAX(End_q,Floor_q),MAX(AI115+Cost_round*IF(12&lt;=$B115,1,0)-N115,IF(12&lt;=$B115,1,0)*Pre_q,Floor_q)))</f>
        <v>350</v>
      </c>
      <c r="AI115" s="14" t="n">
        <f aca="false">IF(12&gt;$A115,0,IF(12=$A115,MAX(End_q,Floor_q),MAX(AJ115+Cost_round*IF(13&lt;=$B115,1,0)-O115,IF(13&lt;=$B115,1,0)*Pre_q,Floor_q)))</f>
        <v>350</v>
      </c>
      <c r="AJ115" s="14" t="n">
        <f aca="false">IF(13&gt;$A115,0,IF(13=$A115,MAX(End_q,Floor_q),MAX(AK115+Cost_round*IF(14&lt;=$B115,1,0)-P115,IF(14&lt;=$B115,1,0)*Pre_q,Floor_q)))</f>
        <v>350</v>
      </c>
      <c r="AK115" s="14" t="n">
        <f aca="false">IF(14&gt;$A115,0,IF(14=$A115,MAX(End_q,Floor_q),MAX(AL115+Cost_round*IF(15&lt;=$B115,1,0)-Q115,IF(15&lt;=$B115,1,0)*Pre_q,Floor_q)))</f>
        <v>350</v>
      </c>
      <c r="AL115" s="14" t="n">
        <f aca="false">IF(15&gt;$A115,0,IF(15=$A115,MAX(End_q,Floor_q),MAX(AM115+Cost_round*IF(16&lt;=$B115,1,0)-R115,IF(16&lt;=$B115,1,0)*Pre_q,Floor_q)))</f>
        <v>350</v>
      </c>
      <c r="AM115" s="14" t="n">
        <f aca="false">IF(16&gt;$A115,0,IF(16=$A115,MAX(End_q,Floor_q),MAX(AN115+Cost_round*IF(17&lt;=$B115,1,0)-S115,IF(17&lt;=$B115,1,0)*Pre_q,Floor_q)))</f>
        <v>400</v>
      </c>
      <c r="AN115" s="14" t="n">
        <f aca="false">IF(17&gt;$A115,0,IF(17=$A115,MAX(End_q,Floor_q),MAX(AO115+Cost_round*IF(18&lt;=$B115,1,0)-T115,IF(18&lt;=$B115,1,0)*Pre_q,Floor_q)))</f>
        <v>470</v>
      </c>
      <c r="AO115" s="14" t="n">
        <f aca="false">IF(18&gt;$A115,0,IF(18=$A115,MAX(End_q,Floor_q),MAX(AP115+Cost_round*IF(19&lt;=$B115,1,0)-U115,IF(19&lt;=$B115,1,0)*Pre_q,Floor_q)))</f>
        <v>0</v>
      </c>
      <c r="AP115" s="14" t="n">
        <f aca="false">IF(19&gt;$A115,0,IF(19=$A115,MAX(End_q,Floor_q),MAX(AQ115+Cost_round*IF(20&lt;=$B115,1,0)-V115,IF(20&lt;=$B115,1,0)*Pre_q,Floor_q)))</f>
        <v>0</v>
      </c>
      <c r="AQ115" s="14" t="n">
        <f aca="false">IF(20&gt;$A115,0,MAX(End_q,Floor_q))</f>
        <v>0</v>
      </c>
      <c r="AR115" s="15" t="n">
        <f aca="false">IF(Q_zero&gt;=W115-0.000000001,1,0)</f>
        <v>1</v>
      </c>
      <c r="AS115" s="14" t="n">
        <f aca="false">IF(1&gt;$A115,0,Q_zero-Cost_round*IF(1&lt;=$B115,1,0)+C115-X115)</f>
        <v>220</v>
      </c>
      <c r="AT115" s="14" t="n">
        <f aca="false">IF(2&gt;$A115,0,X115-Cost_round*IF(2&lt;=$B115,1,0)+D115-Y115)</f>
        <v>70</v>
      </c>
      <c r="AU115" s="14" t="n">
        <f aca="false">IF(3&gt;$A115,0,Y115-Cost_round*IF(3&lt;=$B115,1,0)+E115-Z115)</f>
        <v>70</v>
      </c>
      <c r="AV115" s="14" t="n">
        <f aca="false">IF(4&gt;$A115,0,Z115-Cost_round*IF(4&lt;=$B115,1,0)+F115-AA115)</f>
        <v>70</v>
      </c>
      <c r="AW115" s="14" t="n">
        <f aca="false">IF(5&gt;$A115,0,AA115-Cost_round*IF(5&lt;=$B115,1,0)+G115-AB115)</f>
        <v>70</v>
      </c>
      <c r="AX115" s="14" t="n">
        <f aca="false">IF(6&gt;$A115,0,AB115-Cost_round*IF(6&lt;=$B115,1,0)+H115-AC115)</f>
        <v>70</v>
      </c>
      <c r="AY115" s="14" t="n">
        <f aca="false">IF(7&gt;$A115,0,AC115-Cost_round*IF(7&lt;=$B115,1,0)+I115-AD115)</f>
        <v>70</v>
      </c>
      <c r="AZ115" s="14" t="n">
        <f aca="false">IF(8&gt;$A115,0,AD115-Cost_round*IF(8&lt;=$B115,1,0)+J115-AE115)</f>
        <v>70</v>
      </c>
      <c r="BA115" s="14" t="n">
        <f aca="false">IF(9&gt;$A115,0,AE115-Cost_round*IF(9&lt;=$B115,1,0)+K115-AF115)</f>
        <v>70</v>
      </c>
      <c r="BB115" s="14" t="n">
        <f aca="false">IF(10&gt;$A115,0,AF115-Cost_round*IF(10&lt;=$B115,1,0)+L115-AG115)</f>
        <v>70</v>
      </c>
      <c r="BC115" s="14" t="n">
        <f aca="false">IF(11&gt;$A115,0,AG115-Cost_round*IF(11&lt;=$B115,1,0)+M115-AH115)</f>
        <v>70</v>
      </c>
      <c r="BD115" s="14" t="n">
        <f aca="false">IF(12&gt;$A115,0,AH115-Cost_round*IF(12&lt;=$B115,1,0)+N115-AI115)</f>
        <v>70</v>
      </c>
      <c r="BE115" s="14" t="n">
        <f aca="false">IF(13&gt;$A115,0,AI115-Cost_round*IF(13&lt;=$B115,1,0)+O115-AJ115)</f>
        <v>70</v>
      </c>
      <c r="BF115" s="14" t="n">
        <f aca="false">IF(14&gt;$A115,0,AJ115-Cost_round*IF(14&lt;=$B115,1,0)+P115-AK115)</f>
        <v>70</v>
      </c>
      <c r="BG115" s="14" t="n">
        <f aca="false">IF(15&gt;$A115,0,AK115-Cost_round*IF(15&lt;=$B115,1,0)+Q115-AL115)</f>
        <v>70</v>
      </c>
      <c r="BH115" s="14" t="n">
        <f aca="false">IF(16&gt;$A115,0,AL115-Cost_round*IF(16&lt;=$B115,1,0)+R115-AM115)</f>
        <v>20</v>
      </c>
      <c r="BI115" s="14" t="n">
        <f aca="false">IF(17&gt;$A115,0,AM115-Cost_round*IF(17&lt;=$B115,1,0)+S115-AN115)</f>
        <v>0</v>
      </c>
      <c r="BJ115" s="14" t="n">
        <f aca="false">IF(18&gt;$A115,0,AN115-Cost_round*IF(18&lt;=$B115,1,0)+T115-AO115)</f>
        <v>0</v>
      </c>
      <c r="BK115" s="14" t="n">
        <f aca="false">IF(19&gt;$A115,0,AO115-Cost_round*IF(19&lt;=$B115,1,0)+U115-AP115)</f>
        <v>0</v>
      </c>
      <c r="BL115" s="14" t="n">
        <f aca="false">IF(20&gt;$A115,0,AP115-Cost_round*IF(20&lt;=$B115,1,0)+V115-AQ115)</f>
        <v>0</v>
      </c>
      <c r="BM115" s="17" t="n">
        <f aca="false">IF($AR115=1,SUMPRODUCT(AS115:BL115,$AS$38:$BL$38),"")</f>
        <v>673.141784521025</v>
      </c>
      <c r="BN115" s="17" t="n">
        <f aca="false">IF($AR115=1,BM115+INDEX($AS$38:$BL$38,$A115)*INDEX(C115:V115,$A115)/Hurdle_r,"")</f>
        <v>811.633052751119</v>
      </c>
    </row>
    <row r="116" customFormat="false" ht="15" hidden="false" customHeight="false" outlineLevel="0" collapsed="false">
      <c r="A116" s="2" t="n">
        <v>17</v>
      </c>
      <c r="B116" s="2" t="n">
        <v>2</v>
      </c>
      <c r="C116" s="14" t="n">
        <f aca="false">IF(1&gt;$A116,0,Val_pt*(Ceiling_e-E_zero)*(1-(1-Half_gap)^MIN(1,$B116)))</f>
        <v>70</v>
      </c>
      <c r="D116" s="14" t="n">
        <f aca="false">IF(2&gt;$A116,0,Val_pt*(Ceiling_e-E_zero)*(1-(1-Half_gap)^MIN(2,$B116)))</f>
        <v>105</v>
      </c>
      <c r="E116" s="14" t="n">
        <f aca="false">IF(3&gt;$A116,0,Val_pt*(Ceiling_e-E_zero)*(1-(1-Half_gap)^MIN(3,$B116)))</f>
        <v>105</v>
      </c>
      <c r="F116" s="14" t="n">
        <f aca="false">IF(4&gt;$A116,0,Val_pt*(Ceiling_e-E_zero)*(1-(1-Half_gap)^MIN(4,$B116)))</f>
        <v>105</v>
      </c>
      <c r="G116" s="14" t="n">
        <f aca="false">IF(5&gt;$A116,0,Val_pt*(Ceiling_e-E_zero)*(1-(1-Half_gap)^MIN(5,$B116)))</f>
        <v>105</v>
      </c>
      <c r="H116" s="14" t="n">
        <f aca="false">IF(6&gt;$A116,0,Val_pt*(Ceiling_e-E_zero)*(1-(1-Half_gap)^MIN(6,$B116)))</f>
        <v>105</v>
      </c>
      <c r="I116" s="14" t="n">
        <f aca="false">IF(7&gt;$A116,0,Val_pt*(Ceiling_e-E_zero)*(1-(1-Half_gap)^MIN(7,$B116)))</f>
        <v>105</v>
      </c>
      <c r="J116" s="14" t="n">
        <f aca="false">IF(8&gt;$A116,0,Val_pt*(Ceiling_e-E_zero)*(1-(1-Half_gap)^MIN(8,$B116)))</f>
        <v>105</v>
      </c>
      <c r="K116" s="14" t="n">
        <f aca="false">IF(9&gt;$A116,0,Val_pt*(Ceiling_e-E_zero)*(1-(1-Half_gap)^MIN(9,$B116)))</f>
        <v>105</v>
      </c>
      <c r="L116" s="14" t="n">
        <f aca="false">IF(10&gt;$A116,0,Val_pt*(Ceiling_e-E_zero)*(1-(1-Half_gap)^MIN(10,$B116)))</f>
        <v>105</v>
      </c>
      <c r="M116" s="14" t="n">
        <f aca="false">IF(11&gt;$A116,0,Val_pt*(Ceiling_e-E_zero)*(1-(1-Half_gap)^MIN(11,$B116)))</f>
        <v>105</v>
      </c>
      <c r="N116" s="14" t="n">
        <f aca="false">IF(12&gt;$A116,0,Val_pt*(Ceiling_e-E_zero)*(1-(1-Half_gap)^MIN(12,$B116)))</f>
        <v>105</v>
      </c>
      <c r="O116" s="14" t="n">
        <f aca="false">IF(13&gt;$A116,0,Val_pt*(Ceiling_e-E_zero)*(1-(1-Half_gap)^MIN(13,$B116)))</f>
        <v>105</v>
      </c>
      <c r="P116" s="14" t="n">
        <f aca="false">IF(14&gt;$A116,0,Val_pt*(Ceiling_e-E_zero)*(1-(1-Half_gap)^MIN(14,$B116)))</f>
        <v>105</v>
      </c>
      <c r="Q116" s="14" t="n">
        <f aca="false">IF(15&gt;$A116,0,Val_pt*(Ceiling_e-E_zero)*(1-(1-Half_gap)^MIN(15,$B116)))</f>
        <v>105</v>
      </c>
      <c r="R116" s="14" t="n">
        <f aca="false">IF(16&gt;$A116,0,Val_pt*(Ceiling_e-E_zero)*(1-(1-Half_gap)^MIN(16,$B116)))</f>
        <v>105</v>
      </c>
      <c r="S116" s="14" t="n">
        <f aca="false">IF(17&gt;$A116,0,Val_pt*(Ceiling_e-E_zero)*(1-(1-Half_gap)^MIN(17,$B116)))</f>
        <v>105</v>
      </c>
      <c r="T116" s="14" t="n">
        <f aca="false">IF(18&gt;$A116,0,Val_pt*(Ceiling_e-E_zero)*(1-(1-Half_gap)^MIN(18,$B116)))</f>
        <v>0</v>
      </c>
      <c r="U116" s="14" t="n">
        <f aca="false">IF(19&gt;$A116,0,Val_pt*(Ceiling_e-E_zero)*(1-(1-Half_gap)^MIN(19,$B116)))</f>
        <v>0</v>
      </c>
      <c r="V116" s="14" t="n">
        <f aca="false">IF(20&gt;$A116,0,Val_pt*(Ceiling_e-E_zero)*(1-(1-Half_gap)^MIN(20,$B116)))</f>
        <v>0</v>
      </c>
      <c r="W116" s="14" t="n">
        <f aca="false">IF(0&gt;$A116,0,IF(0=$A116,MAX(End_q,Floor_q),MAX(X116+Cost_round*IF(1&lt;=$B116,1,0)-C116,IF(1&lt;=$B116,1,0)*Pre_q)))</f>
        <v>520</v>
      </c>
      <c r="X116" s="14" t="n">
        <f aca="false">IF(1&gt;$A116,0,IF(1=$A116,MAX(End_q,Floor_q),MAX(Y116+Cost_round*IF(2&lt;=$B116,1,0)-D116,IF(2&lt;=$B116,1,0)*Pre_q,Floor_q)))</f>
        <v>470</v>
      </c>
      <c r="Y116" s="14" t="n">
        <f aca="false">IF(2&gt;$A116,0,IF(2=$A116,MAX(End_q,Floor_q),MAX(Z116+Cost_round*IF(3&lt;=$B116,1,0)-E116,IF(3&lt;=$B116,1,0)*Pre_q,Floor_q)))</f>
        <v>350</v>
      </c>
      <c r="Z116" s="14" t="n">
        <f aca="false">IF(3&gt;$A116,0,IF(3=$A116,MAX(End_q,Floor_q),MAX(AA116+Cost_round*IF(4&lt;=$B116,1,0)-F116,IF(4&lt;=$B116,1,0)*Pre_q,Floor_q)))</f>
        <v>350</v>
      </c>
      <c r="AA116" s="14" t="n">
        <f aca="false">IF(4&gt;$A116,0,IF(4=$A116,MAX(End_q,Floor_q),MAX(AB116+Cost_round*IF(5&lt;=$B116,1,0)-G116,IF(5&lt;=$B116,1,0)*Pre_q,Floor_q)))</f>
        <v>350</v>
      </c>
      <c r="AB116" s="14" t="n">
        <f aca="false">IF(5&gt;$A116,0,IF(5=$A116,MAX(End_q,Floor_q),MAX(AC116+Cost_round*IF(6&lt;=$B116,1,0)-H116,IF(6&lt;=$B116,1,0)*Pre_q,Floor_q)))</f>
        <v>350</v>
      </c>
      <c r="AC116" s="14" t="n">
        <f aca="false">IF(6&gt;$A116,0,IF(6=$A116,MAX(End_q,Floor_q),MAX(AD116+Cost_round*IF(7&lt;=$B116,1,0)-I116,IF(7&lt;=$B116,1,0)*Pre_q,Floor_q)))</f>
        <v>350</v>
      </c>
      <c r="AD116" s="14" t="n">
        <f aca="false">IF(7&gt;$A116,0,IF(7=$A116,MAX(End_q,Floor_q),MAX(AE116+Cost_round*IF(8&lt;=$B116,1,0)-J116,IF(8&lt;=$B116,1,0)*Pre_q,Floor_q)))</f>
        <v>350</v>
      </c>
      <c r="AE116" s="14" t="n">
        <f aca="false">IF(8&gt;$A116,0,IF(8=$A116,MAX(End_q,Floor_q),MAX(AF116+Cost_round*IF(9&lt;=$B116,1,0)-K116,IF(9&lt;=$B116,1,0)*Pre_q,Floor_q)))</f>
        <v>350</v>
      </c>
      <c r="AF116" s="14" t="n">
        <f aca="false">IF(9&gt;$A116,0,IF(9=$A116,MAX(End_q,Floor_q),MAX(AG116+Cost_round*IF(10&lt;=$B116,1,0)-L116,IF(10&lt;=$B116,1,0)*Pre_q,Floor_q)))</f>
        <v>350</v>
      </c>
      <c r="AG116" s="14" t="n">
        <f aca="false">IF(10&gt;$A116,0,IF(10=$A116,MAX(End_q,Floor_q),MAX(AH116+Cost_round*IF(11&lt;=$B116,1,0)-M116,IF(11&lt;=$B116,1,0)*Pre_q,Floor_q)))</f>
        <v>350</v>
      </c>
      <c r="AH116" s="14" t="n">
        <f aca="false">IF(11&gt;$A116,0,IF(11=$A116,MAX(End_q,Floor_q),MAX(AI116+Cost_round*IF(12&lt;=$B116,1,0)-N116,IF(12&lt;=$B116,1,0)*Pre_q,Floor_q)))</f>
        <v>350</v>
      </c>
      <c r="AI116" s="14" t="n">
        <f aca="false">IF(12&gt;$A116,0,IF(12=$A116,MAX(End_q,Floor_q),MAX(AJ116+Cost_round*IF(13&lt;=$B116,1,0)-O116,IF(13&lt;=$B116,1,0)*Pre_q,Floor_q)))</f>
        <v>350</v>
      </c>
      <c r="AJ116" s="14" t="n">
        <f aca="false">IF(13&gt;$A116,0,IF(13=$A116,MAX(End_q,Floor_q),MAX(AK116+Cost_round*IF(14&lt;=$B116,1,0)-P116,IF(14&lt;=$B116,1,0)*Pre_q,Floor_q)))</f>
        <v>350</v>
      </c>
      <c r="AK116" s="14" t="n">
        <f aca="false">IF(14&gt;$A116,0,IF(14=$A116,MAX(End_q,Floor_q),MAX(AL116+Cost_round*IF(15&lt;=$B116,1,0)-Q116,IF(15&lt;=$B116,1,0)*Pre_q,Floor_q)))</f>
        <v>350</v>
      </c>
      <c r="AL116" s="14" t="n">
        <f aca="false">IF(15&gt;$A116,0,IF(15=$A116,MAX(End_q,Floor_q),MAX(AM116+Cost_round*IF(16&lt;=$B116,1,0)-R116,IF(16&lt;=$B116,1,0)*Pre_q,Floor_q)))</f>
        <v>350</v>
      </c>
      <c r="AM116" s="14" t="n">
        <f aca="false">IF(16&gt;$A116,0,IF(16=$A116,MAX(End_q,Floor_q),MAX(AN116+Cost_round*IF(17&lt;=$B116,1,0)-S116,IF(17&lt;=$B116,1,0)*Pre_q,Floor_q)))</f>
        <v>365</v>
      </c>
      <c r="AN116" s="14" t="n">
        <f aca="false">IF(17&gt;$A116,0,IF(17=$A116,MAX(End_q,Floor_q),MAX(AO116+Cost_round*IF(18&lt;=$B116,1,0)-T116,IF(18&lt;=$B116,1,0)*Pre_q,Floor_q)))</f>
        <v>470</v>
      </c>
      <c r="AO116" s="14" t="n">
        <f aca="false">IF(18&gt;$A116,0,IF(18=$A116,MAX(End_q,Floor_q),MAX(AP116+Cost_round*IF(19&lt;=$B116,1,0)-U116,IF(19&lt;=$B116,1,0)*Pre_q,Floor_q)))</f>
        <v>0</v>
      </c>
      <c r="AP116" s="14" t="n">
        <f aca="false">IF(19&gt;$A116,0,IF(19=$A116,MAX(End_q,Floor_q),MAX(AQ116+Cost_round*IF(20&lt;=$B116,1,0)-V116,IF(20&lt;=$B116,1,0)*Pre_q,Floor_q)))</f>
        <v>0</v>
      </c>
      <c r="AQ116" s="14" t="n">
        <f aca="false">IF(20&gt;$A116,0,MAX(End_q,Floor_q))</f>
        <v>0</v>
      </c>
      <c r="AR116" s="15" t="n">
        <f aca="false">IF(Q_zero&gt;=W116-0.000000001,1,0)</f>
        <v>1</v>
      </c>
      <c r="AS116" s="14" t="n">
        <f aca="false">IF(1&gt;$A116,0,Q_zero-Cost_round*IF(1&lt;=$B116,1,0)+C116-X116)</f>
        <v>100</v>
      </c>
      <c r="AT116" s="14" t="n">
        <f aca="false">IF(2&gt;$A116,0,X116-Cost_round*IF(2&lt;=$B116,1,0)+D116-Y116)</f>
        <v>105</v>
      </c>
      <c r="AU116" s="14" t="n">
        <f aca="false">IF(3&gt;$A116,0,Y116-Cost_round*IF(3&lt;=$B116,1,0)+E116-Z116)</f>
        <v>105</v>
      </c>
      <c r="AV116" s="14" t="n">
        <f aca="false">IF(4&gt;$A116,0,Z116-Cost_round*IF(4&lt;=$B116,1,0)+F116-AA116)</f>
        <v>105</v>
      </c>
      <c r="AW116" s="14" t="n">
        <f aca="false">IF(5&gt;$A116,0,AA116-Cost_round*IF(5&lt;=$B116,1,0)+G116-AB116)</f>
        <v>105</v>
      </c>
      <c r="AX116" s="14" t="n">
        <f aca="false">IF(6&gt;$A116,0,AB116-Cost_round*IF(6&lt;=$B116,1,0)+H116-AC116)</f>
        <v>105</v>
      </c>
      <c r="AY116" s="14" t="n">
        <f aca="false">IF(7&gt;$A116,0,AC116-Cost_round*IF(7&lt;=$B116,1,0)+I116-AD116)</f>
        <v>105</v>
      </c>
      <c r="AZ116" s="14" t="n">
        <f aca="false">IF(8&gt;$A116,0,AD116-Cost_round*IF(8&lt;=$B116,1,0)+J116-AE116)</f>
        <v>105</v>
      </c>
      <c r="BA116" s="14" t="n">
        <f aca="false">IF(9&gt;$A116,0,AE116-Cost_round*IF(9&lt;=$B116,1,0)+K116-AF116)</f>
        <v>105</v>
      </c>
      <c r="BB116" s="14" t="n">
        <f aca="false">IF(10&gt;$A116,0,AF116-Cost_round*IF(10&lt;=$B116,1,0)+L116-AG116)</f>
        <v>105</v>
      </c>
      <c r="BC116" s="14" t="n">
        <f aca="false">IF(11&gt;$A116,0,AG116-Cost_round*IF(11&lt;=$B116,1,0)+M116-AH116)</f>
        <v>105</v>
      </c>
      <c r="BD116" s="14" t="n">
        <f aca="false">IF(12&gt;$A116,0,AH116-Cost_round*IF(12&lt;=$B116,1,0)+N116-AI116)</f>
        <v>105</v>
      </c>
      <c r="BE116" s="14" t="n">
        <f aca="false">IF(13&gt;$A116,0,AI116-Cost_round*IF(13&lt;=$B116,1,0)+O116-AJ116)</f>
        <v>105</v>
      </c>
      <c r="BF116" s="14" t="n">
        <f aca="false">IF(14&gt;$A116,0,AJ116-Cost_round*IF(14&lt;=$B116,1,0)+P116-AK116)</f>
        <v>105</v>
      </c>
      <c r="BG116" s="14" t="n">
        <f aca="false">IF(15&gt;$A116,0,AK116-Cost_round*IF(15&lt;=$B116,1,0)+Q116-AL116)</f>
        <v>105</v>
      </c>
      <c r="BH116" s="14" t="n">
        <f aca="false">IF(16&gt;$A116,0,AL116-Cost_round*IF(16&lt;=$B116,1,0)+R116-AM116)</f>
        <v>90</v>
      </c>
      <c r="BI116" s="14" t="n">
        <f aca="false">IF(17&gt;$A116,0,AM116-Cost_round*IF(17&lt;=$B116,1,0)+S116-AN116)</f>
        <v>0</v>
      </c>
      <c r="BJ116" s="14" t="n">
        <f aca="false">IF(18&gt;$A116,0,AN116-Cost_round*IF(18&lt;=$B116,1,0)+T116-AO116)</f>
        <v>0</v>
      </c>
      <c r="BK116" s="14" t="n">
        <f aca="false">IF(19&gt;$A116,0,AO116-Cost_round*IF(19&lt;=$B116,1,0)+U116-AP116)</f>
        <v>0</v>
      </c>
      <c r="BL116" s="14" t="n">
        <f aca="false">IF(20&gt;$A116,0,AP116-Cost_round*IF(20&lt;=$B116,1,0)+V116-AQ116)</f>
        <v>0</v>
      </c>
      <c r="BM116" s="17" t="n">
        <f aca="false">IF($AR116=1,SUMPRODUCT(AS116:BL116,$AS$38:$BL$38),"")</f>
        <v>813.679515838037</v>
      </c>
      <c r="BN116" s="17" t="n">
        <f aca="false">IF($AR116=1,BM116+INDEX($AS$38:$BL$38,$A116)*INDEX(C116:V116,$A116)/Hurdle_r,"")</f>
        <v>1021.41641818318</v>
      </c>
    </row>
    <row r="117" customFormat="false" ht="15" hidden="false" customHeight="false" outlineLevel="0" collapsed="false">
      <c r="A117" s="2" t="n">
        <v>17</v>
      </c>
      <c r="B117" s="2" t="n">
        <v>3</v>
      </c>
      <c r="C117" s="14" t="n">
        <f aca="false">IF(1&gt;$A117,0,Val_pt*(Ceiling_e-E_zero)*(1-(1-Half_gap)^MIN(1,$B117)))</f>
        <v>70</v>
      </c>
      <c r="D117" s="14" t="n">
        <f aca="false">IF(2&gt;$A117,0,Val_pt*(Ceiling_e-E_zero)*(1-(1-Half_gap)^MIN(2,$B117)))</f>
        <v>105</v>
      </c>
      <c r="E117" s="14" t="n">
        <f aca="false">IF(3&gt;$A117,0,Val_pt*(Ceiling_e-E_zero)*(1-(1-Half_gap)^MIN(3,$B117)))</f>
        <v>122.5</v>
      </c>
      <c r="F117" s="14" t="n">
        <f aca="false">IF(4&gt;$A117,0,Val_pt*(Ceiling_e-E_zero)*(1-(1-Half_gap)^MIN(4,$B117)))</f>
        <v>122.5</v>
      </c>
      <c r="G117" s="14" t="n">
        <f aca="false">IF(5&gt;$A117,0,Val_pt*(Ceiling_e-E_zero)*(1-(1-Half_gap)^MIN(5,$B117)))</f>
        <v>122.5</v>
      </c>
      <c r="H117" s="14" t="n">
        <f aca="false">IF(6&gt;$A117,0,Val_pt*(Ceiling_e-E_zero)*(1-(1-Half_gap)^MIN(6,$B117)))</f>
        <v>122.5</v>
      </c>
      <c r="I117" s="14" t="n">
        <f aca="false">IF(7&gt;$A117,0,Val_pt*(Ceiling_e-E_zero)*(1-(1-Half_gap)^MIN(7,$B117)))</f>
        <v>122.5</v>
      </c>
      <c r="J117" s="14" t="n">
        <f aca="false">IF(8&gt;$A117,0,Val_pt*(Ceiling_e-E_zero)*(1-(1-Half_gap)^MIN(8,$B117)))</f>
        <v>122.5</v>
      </c>
      <c r="K117" s="14" t="n">
        <f aca="false">IF(9&gt;$A117,0,Val_pt*(Ceiling_e-E_zero)*(1-(1-Half_gap)^MIN(9,$B117)))</f>
        <v>122.5</v>
      </c>
      <c r="L117" s="14" t="n">
        <f aca="false">IF(10&gt;$A117,0,Val_pt*(Ceiling_e-E_zero)*(1-(1-Half_gap)^MIN(10,$B117)))</f>
        <v>122.5</v>
      </c>
      <c r="M117" s="14" t="n">
        <f aca="false">IF(11&gt;$A117,0,Val_pt*(Ceiling_e-E_zero)*(1-(1-Half_gap)^MIN(11,$B117)))</f>
        <v>122.5</v>
      </c>
      <c r="N117" s="14" t="n">
        <f aca="false">IF(12&gt;$A117,0,Val_pt*(Ceiling_e-E_zero)*(1-(1-Half_gap)^MIN(12,$B117)))</f>
        <v>122.5</v>
      </c>
      <c r="O117" s="14" t="n">
        <f aca="false">IF(13&gt;$A117,0,Val_pt*(Ceiling_e-E_zero)*(1-(1-Half_gap)^MIN(13,$B117)))</f>
        <v>122.5</v>
      </c>
      <c r="P117" s="14" t="n">
        <f aca="false">IF(14&gt;$A117,0,Val_pt*(Ceiling_e-E_zero)*(1-(1-Half_gap)^MIN(14,$B117)))</f>
        <v>122.5</v>
      </c>
      <c r="Q117" s="14" t="n">
        <f aca="false">IF(15&gt;$A117,0,Val_pt*(Ceiling_e-E_zero)*(1-(1-Half_gap)^MIN(15,$B117)))</f>
        <v>122.5</v>
      </c>
      <c r="R117" s="14" t="n">
        <f aca="false">IF(16&gt;$A117,0,Val_pt*(Ceiling_e-E_zero)*(1-(1-Half_gap)^MIN(16,$B117)))</f>
        <v>122.5</v>
      </c>
      <c r="S117" s="14" t="n">
        <f aca="false">IF(17&gt;$A117,0,Val_pt*(Ceiling_e-E_zero)*(1-(1-Half_gap)^MIN(17,$B117)))</f>
        <v>122.5</v>
      </c>
      <c r="T117" s="14" t="n">
        <f aca="false">IF(18&gt;$A117,0,Val_pt*(Ceiling_e-E_zero)*(1-(1-Half_gap)^MIN(18,$B117)))</f>
        <v>0</v>
      </c>
      <c r="U117" s="14" t="n">
        <f aca="false">IF(19&gt;$A117,0,Val_pt*(Ceiling_e-E_zero)*(1-(1-Half_gap)^MIN(19,$B117)))</f>
        <v>0</v>
      </c>
      <c r="V117" s="14" t="n">
        <f aca="false">IF(20&gt;$A117,0,Val_pt*(Ceiling_e-E_zero)*(1-(1-Half_gap)^MIN(20,$B117)))</f>
        <v>0</v>
      </c>
      <c r="W117" s="14" t="n">
        <f aca="false">IF(0&gt;$A117,0,IF(0=$A117,MAX(End_q,Floor_q),MAX(X117+Cost_round*IF(1&lt;=$B117,1,0)-C117,IF(1&lt;=$B117,1,0)*Pre_q)))</f>
        <v>535</v>
      </c>
      <c r="X117" s="14" t="n">
        <f aca="false">IF(1&gt;$A117,0,IF(1=$A117,MAX(End_q,Floor_q),MAX(Y117+Cost_round*IF(2&lt;=$B117,1,0)-D117,IF(2&lt;=$B117,1,0)*Pre_q,Floor_q)))</f>
        <v>485</v>
      </c>
      <c r="Y117" s="14" t="n">
        <f aca="false">IF(2&gt;$A117,0,IF(2=$A117,MAX(End_q,Floor_q),MAX(Z117+Cost_round*IF(3&lt;=$B117,1,0)-E117,IF(3&lt;=$B117,1,0)*Pre_q,Floor_q)))</f>
        <v>470</v>
      </c>
      <c r="Z117" s="14" t="n">
        <f aca="false">IF(3&gt;$A117,0,IF(3=$A117,MAX(End_q,Floor_q),MAX(AA117+Cost_round*IF(4&lt;=$B117,1,0)-F117,IF(4&lt;=$B117,1,0)*Pre_q,Floor_q)))</f>
        <v>350</v>
      </c>
      <c r="AA117" s="14" t="n">
        <f aca="false">IF(4&gt;$A117,0,IF(4=$A117,MAX(End_q,Floor_q),MAX(AB117+Cost_round*IF(5&lt;=$B117,1,0)-G117,IF(5&lt;=$B117,1,0)*Pre_q,Floor_q)))</f>
        <v>350</v>
      </c>
      <c r="AB117" s="14" t="n">
        <f aca="false">IF(5&gt;$A117,0,IF(5=$A117,MAX(End_q,Floor_q),MAX(AC117+Cost_round*IF(6&lt;=$B117,1,0)-H117,IF(6&lt;=$B117,1,0)*Pre_q,Floor_q)))</f>
        <v>350</v>
      </c>
      <c r="AC117" s="14" t="n">
        <f aca="false">IF(6&gt;$A117,0,IF(6=$A117,MAX(End_q,Floor_q),MAX(AD117+Cost_round*IF(7&lt;=$B117,1,0)-I117,IF(7&lt;=$B117,1,0)*Pre_q,Floor_q)))</f>
        <v>350</v>
      </c>
      <c r="AD117" s="14" t="n">
        <f aca="false">IF(7&gt;$A117,0,IF(7=$A117,MAX(End_q,Floor_q),MAX(AE117+Cost_round*IF(8&lt;=$B117,1,0)-J117,IF(8&lt;=$B117,1,0)*Pre_q,Floor_q)))</f>
        <v>350</v>
      </c>
      <c r="AE117" s="14" t="n">
        <f aca="false">IF(8&gt;$A117,0,IF(8=$A117,MAX(End_q,Floor_q),MAX(AF117+Cost_round*IF(9&lt;=$B117,1,0)-K117,IF(9&lt;=$B117,1,0)*Pre_q,Floor_q)))</f>
        <v>350</v>
      </c>
      <c r="AF117" s="14" t="n">
        <f aca="false">IF(9&gt;$A117,0,IF(9=$A117,MAX(End_q,Floor_q),MAX(AG117+Cost_round*IF(10&lt;=$B117,1,0)-L117,IF(10&lt;=$B117,1,0)*Pre_q,Floor_q)))</f>
        <v>350</v>
      </c>
      <c r="AG117" s="14" t="n">
        <f aca="false">IF(10&gt;$A117,0,IF(10=$A117,MAX(End_q,Floor_q),MAX(AH117+Cost_round*IF(11&lt;=$B117,1,0)-M117,IF(11&lt;=$B117,1,0)*Pre_q,Floor_q)))</f>
        <v>350</v>
      </c>
      <c r="AH117" s="14" t="n">
        <f aca="false">IF(11&gt;$A117,0,IF(11=$A117,MAX(End_q,Floor_q),MAX(AI117+Cost_round*IF(12&lt;=$B117,1,0)-N117,IF(12&lt;=$B117,1,0)*Pre_q,Floor_q)))</f>
        <v>350</v>
      </c>
      <c r="AI117" s="14" t="n">
        <f aca="false">IF(12&gt;$A117,0,IF(12=$A117,MAX(End_q,Floor_q),MAX(AJ117+Cost_round*IF(13&lt;=$B117,1,0)-O117,IF(13&lt;=$B117,1,0)*Pre_q,Floor_q)))</f>
        <v>350</v>
      </c>
      <c r="AJ117" s="14" t="n">
        <f aca="false">IF(13&gt;$A117,0,IF(13=$A117,MAX(End_q,Floor_q),MAX(AK117+Cost_round*IF(14&lt;=$B117,1,0)-P117,IF(14&lt;=$B117,1,0)*Pre_q,Floor_q)))</f>
        <v>350</v>
      </c>
      <c r="AK117" s="14" t="n">
        <f aca="false">IF(14&gt;$A117,0,IF(14=$A117,MAX(End_q,Floor_q),MAX(AL117+Cost_round*IF(15&lt;=$B117,1,0)-Q117,IF(15&lt;=$B117,1,0)*Pre_q,Floor_q)))</f>
        <v>350</v>
      </c>
      <c r="AL117" s="14" t="n">
        <f aca="false">IF(15&gt;$A117,0,IF(15=$A117,MAX(End_q,Floor_q),MAX(AM117+Cost_round*IF(16&lt;=$B117,1,0)-R117,IF(16&lt;=$B117,1,0)*Pre_q,Floor_q)))</f>
        <v>350</v>
      </c>
      <c r="AM117" s="14" t="n">
        <f aca="false">IF(16&gt;$A117,0,IF(16=$A117,MAX(End_q,Floor_q),MAX(AN117+Cost_round*IF(17&lt;=$B117,1,0)-S117,IF(17&lt;=$B117,1,0)*Pre_q,Floor_q)))</f>
        <v>350</v>
      </c>
      <c r="AN117" s="14" t="n">
        <f aca="false">IF(17&gt;$A117,0,IF(17=$A117,MAX(End_q,Floor_q),MAX(AO117+Cost_round*IF(18&lt;=$B117,1,0)-T117,IF(18&lt;=$B117,1,0)*Pre_q,Floor_q)))</f>
        <v>470</v>
      </c>
      <c r="AO117" s="14" t="n">
        <f aca="false">IF(18&gt;$A117,0,IF(18=$A117,MAX(End_q,Floor_q),MAX(AP117+Cost_round*IF(19&lt;=$B117,1,0)-U117,IF(19&lt;=$B117,1,0)*Pre_q,Floor_q)))</f>
        <v>0</v>
      </c>
      <c r="AP117" s="14" t="n">
        <f aca="false">IF(19&gt;$A117,0,IF(19=$A117,MAX(End_q,Floor_q),MAX(AQ117+Cost_round*IF(20&lt;=$B117,1,0)-V117,IF(20&lt;=$B117,1,0)*Pre_q,Floor_q)))</f>
        <v>0</v>
      </c>
      <c r="AQ117" s="14" t="n">
        <f aca="false">IF(20&gt;$A117,0,MAX(End_q,Floor_q))</f>
        <v>0</v>
      </c>
      <c r="AR117" s="15" t="n">
        <f aca="false">IF(Q_zero&gt;=W117-0.000000001,1,0)</f>
        <v>1</v>
      </c>
      <c r="AS117" s="14" t="n">
        <f aca="false">IF(1&gt;$A117,0,Q_zero-Cost_round*IF(1&lt;=$B117,1,0)+C117-X117)</f>
        <v>85</v>
      </c>
      <c r="AT117" s="14" t="n">
        <f aca="false">IF(2&gt;$A117,0,X117-Cost_round*IF(2&lt;=$B117,1,0)+D117-Y117)</f>
        <v>0</v>
      </c>
      <c r="AU117" s="14" t="n">
        <f aca="false">IF(3&gt;$A117,0,Y117-Cost_round*IF(3&lt;=$B117,1,0)+E117-Z117)</f>
        <v>122.5</v>
      </c>
      <c r="AV117" s="14" t="n">
        <f aca="false">IF(4&gt;$A117,0,Z117-Cost_round*IF(4&lt;=$B117,1,0)+F117-AA117)</f>
        <v>122.5</v>
      </c>
      <c r="AW117" s="14" t="n">
        <f aca="false">IF(5&gt;$A117,0,AA117-Cost_round*IF(5&lt;=$B117,1,0)+G117-AB117)</f>
        <v>122.5</v>
      </c>
      <c r="AX117" s="14" t="n">
        <f aca="false">IF(6&gt;$A117,0,AB117-Cost_round*IF(6&lt;=$B117,1,0)+H117-AC117)</f>
        <v>122.5</v>
      </c>
      <c r="AY117" s="14" t="n">
        <f aca="false">IF(7&gt;$A117,0,AC117-Cost_round*IF(7&lt;=$B117,1,0)+I117-AD117)</f>
        <v>122.5</v>
      </c>
      <c r="AZ117" s="14" t="n">
        <f aca="false">IF(8&gt;$A117,0,AD117-Cost_round*IF(8&lt;=$B117,1,0)+J117-AE117)</f>
        <v>122.5</v>
      </c>
      <c r="BA117" s="14" t="n">
        <f aca="false">IF(9&gt;$A117,0,AE117-Cost_round*IF(9&lt;=$B117,1,0)+K117-AF117)</f>
        <v>122.5</v>
      </c>
      <c r="BB117" s="14" t="n">
        <f aca="false">IF(10&gt;$A117,0,AF117-Cost_round*IF(10&lt;=$B117,1,0)+L117-AG117)</f>
        <v>122.5</v>
      </c>
      <c r="BC117" s="14" t="n">
        <f aca="false">IF(11&gt;$A117,0,AG117-Cost_round*IF(11&lt;=$B117,1,0)+M117-AH117)</f>
        <v>122.5</v>
      </c>
      <c r="BD117" s="14" t="n">
        <f aca="false">IF(12&gt;$A117,0,AH117-Cost_round*IF(12&lt;=$B117,1,0)+N117-AI117)</f>
        <v>122.5</v>
      </c>
      <c r="BE117" s="14" t="n">
        <f aca="false">IF(13&gt;$A117,0,AI117-Cost_round*IF(13&lt;=$B117,1,0)+O117-AJ117)</f>
        <v>122.5</v>
      </c>
      <c r="BF117" s="14" t="n">
        <f aca="false">IF(14&gt;$A117,0,AJ117-Cost_round*IF(14&lt;=$B117,1,0)+P117-AK117)</f>
        <v>122.5</v>
      </c>
      <c r="BG117" s="14" t="n">
        <f aca="false">IF(15&gt;$A117,0,AK117-Cost_round*IF(15&lt;=$B117,1,0)+Q117-AL117)</f>
        <v>122.5</v>
      </c>
      <c r="BH117" s="14" t="n">
        <f aca="false">IF(16&gt;$A117,0,AL117-Cost_round*IF(16&lt;=$B117,1,0)+R117-AM117)</f>
        <v>122.5</v>
      </c>
      <c r="BI117" s="14" t="n">
        <f aca="false">IF(17&gt;$A117,0,AM117-Cost_round*IF(17&lt;=$B117,1,0)+S117-AN117)</f>
        <v>2.5</v>
      </c>
      <c r="BJ117" s="14" t="n">
        <f aca="false">IF(18&gt;$A117,0,AN117-Cost_round*IF(18&lt;=$B117,1,0)+T117-AO117)</f>
        <v>0</v>
      </c>
      <c r="BK117" s="14" t="n">
        <f aca="false">IF(19&gt;$A117,0,AO117-Cost_round*IF(19&lt;=$B117,1,0)+U117-AP117)</f>
        <v>0</v>
      </c>
      <c r="BL117" s="14" t="n">
        <f aca="false">IF(20&gt;$A117,0,AP117-Cost_round*IF(20&lt;=$B117,1,0)+V117-AQ117)</f>
        <v>0</v>
      </c>
      <c r="BM117" s="17" t="n">
        <f aca="false">IF($AR117=1,SUMPRODUCT(AS117:BL117,$AS$38:$BL$38),"")</f>
        <v>823.568341816921</v>
      </c>
      <c r="BN117" s="17" t="n">
        <f aca="false">IF($AR117=1,BM117+INDEX($AS$38:$BL$38,$A117)*INDEX(C117:V117,$A117)/Hurdle_r,"")</f>
        <v>1065.92806121959</v>
      </c>
    </row>
    <row r="118" customFormat="false" ht="15" hidden="false" customHeight="false" outlineLevel="0" collapsed="false">
      <c r="A118" s="2" t="n">
        <v>17</v>
      </c>
      <c r="B118" s="2" t="n">
        <v>4</v>
      </c>
      <c r="C118" s="14" t="n">
        <f aca="false">IF(1&gt;$A118,0,Val_pt*(Ceiling_e-E_zero)*(1-(1-Half_gap)^MIN(1,$B118)))</f>
        <v>70</v>
      </c>
      <c r="D118" s="14" t="n">
        <f aca="false">IF(2&gt;$A118,0,Val_pt*(Ceiling_e-E_zero)*(1-(1-Half_gap)^MIN(2,$B118)))</f>
        <v>105</v>
      </c>
      <c r="E118" s="14" t="n">
        <f aca="false">IF(3&gt;$A118,0,Val_pt*(Ceiling_e-E_zero)*(1-(1-Half_gap)^MIN(3,$B118)))</f>
        <v>122.5</v>
      </c>
      <c r="F118" s="14" t="n">
        <f aca="false">IF(4&gt;$A118,0,Val_pt*(Ceiling_e-E_zero)*(1-(1-Half_gap)^MIN(4,$B118)))</f>
        <v>131.25</v>
      </c>
      <c r="G118" s="14" t="n">
        <f aca="false">IF(5&gt;$A118,0,Val_pt*(Ceiling_e-E_zero)*(1-(1-Half_gap)^MIN(5,$B118)))</f>
        <v>131.25</v>
      </c>
      <c r="H118" s="14" t="n">
        <f aca="false">IF(6&gt;$A118,0,Val_pt*(Ceiling_e-E_zero)*(1-(1-Half_gap)^MIN(6,$B118)))</f>
        <v>131.25</v>
      </c>
      <c r="I118" s="14" t="n">
        <f aca="false">IF(7&gt;$A118,0,Val_pt*(Ceiling_e-E_zero)*(1-(1-Half_gap)^MIN(7,$B118)))</f>
        <v>131.25</v>
      </c>
      <c r="J118" s="14" t="n">
        <f aca="false">IF(8&gt;$A118,0,Val_pt*(Ceiling_e-E_zero)*(1-(1-Half_gap)^MIN(8,$B118)))</f>
        <v>131.25</v>
      </c>
      <c r="K118" s="14" t="n">
        <f aca="false">IF(9&gt;$A118,0,Val_pt*(Ceiling_e-E_zero)*(1-(1-Half_gap)^MIN(9,$B118)))</f>
        <v>131.25</v>
      </c>
      <c r="L118" s="14" t="n">
        <f aca="false">IF(10&gt;$A118,0,Val_pt*(Ceiling_e-E_zero)*(1-(1-Half_gap)^MIN(10,$B118)))</f>
        <v>131.25</v>
      </c>
      <c r="M118" s="14" t="n">
        <f aca="false">IF(11&gt;$A118,0,Val_pt*(Ceiling_e-E_zero)*(1-(1-Half_gap)^MIN(11,$B118)))</f>
        <v>131.25</v>
      </c>
      <c r="N118" s="14" t="n">
        <f aca="false">IF(12&gt;$A118,0,Val_pt*(Ceiling_e-E_zero)*(1-(1-Half_gap)^MIN(12,$B118)))</f>
        <v>131.25</v>
      </c>
      <c r="O118" s="14" t="n">
        <f aca="false">IF(13&gt;$A118,0,Val_pt*(Ceiling_e-E_zero)*(1-(1-Half_gap)^MIN(13,$B118)))</f>
        <v>131.25</v>
      </c>
      <c r="P118" s="14" t="n">
        <f aca="false">IF(14&gt;$A118,0,Val_pt*(Ceiling_e-E_zero)*(1-(1-Half_gap)^MIN(14,$B118)))</f>
        <v>131.25</v>
      </c>
      <c r="Q118" s="14" t="n">
        <f aca="false">IF(15&gt;$A118,0,Val_pt*(Ceiling_e-E_zero)*(1-(1-Half_gap)^MIN(15,$B118)))</f>
        <v>131.25</v>
      </c>
      <c r="R118" s="14" t="n">
        <f aca="false">IF(16&gt;$A118,0,Val_pt*(Ceiling_e-E_zero)*(1-(1-Half_gap)^MIN(16,$B118)))</f>
        <v>131.25</v>
      </c>
      <c r="S118" s="14" t="n">
        <f aca="false">IF(17&gt;$A118,0,Val_pt*(Ceiling_e-E_zero)*(1-(1-Half_gap)^MIN(17,$B118)))</f>
        <v>131.25</v>
      </c>
      <c r="T118" s="14" t="n">
        <f aca="false">IF(18&gt;$A118,0,Val_pt*(Ceiling_e-E_zero)*(1-(1-Half_gap)^MIN(18,$B118)))</f>
        <v>0</v>
      </c>
      <c r="U118" s="14" t="n">
        <f aca="false">IF(19&gt;$A118,0,Val_pt*(Ceiling_e-E_zero)*(1-(1-Half_gap)^MIN(19,$B118)))</f>
        <v>0</v>
      </c>
      <c r="V118" s="14" t="n">
        <f aca="false">IF(20&gt;$A118,0,Val_pt*(Ceiling_e-E_zero)*(1-(1-Half_gap)^MIN(20,$B118)))</f>
        <v>0</v>
      </c>
      <c r="W118" s="14" t="n">
        <f aca="false">IF(0&gt;$A118,0,IF(0=$A118,MAX(End_q,Floor_q),MAX(X118+Cost_round*IF(1&lt;=$B118,1,0)-C118,IF(1&lt;=$B118,1,0)*Pre_q)))</f>
        <v>535</v>
      </c>
      <c r="X118" s="14" t="n">
        <f aca="false">IF(1&gt;$A118,0,IF(1=$A118,MAX(End_q,Floor_q),MAX(Y118+Cost_round*IF(2&lt;=$B118,1,0)-D118,IF(2&lt;=$B118,1,0)*Pre_q,Floor_q)))</f>
        <v>485</v>
      </c>
      <c r="Y118" s="14" t="n">
        <f aca="false">IF(2&gt;$A118,0,IF(2=$A118,MAX(End_q,Floor_q),MAX(Z118+Cost_round*IF(3&lt;=$B118,1,0)-E118,IF(3&lt;=$B118,1,0)*Pre_q,Floor_q)))</f>
        <v>470</v>
      </c>
      <c r="Z118" s="14" t="n">
        <f aca="false">IF(3&gt;$A118,0,IF(3=$A118,MAX(End_q,Floor_q),MAX(AA118+Cost_round*IF(4&lt;=$B118,1,0)-F118,IF(4&lt;=$B118,1,0)*Pre_q,Floor_q)))</f>
        <v>470</v>
      </c>
      <c r="AA118" s="14" t="n">
        <f aca="false">IF(4&gt;$A118,0,IF(4=$A118,MAX(End_q,Floor_q),MAX(AB118+Cost_round*IF(5&lt;=$B118,1,0)-G118,IF(5&lt;=$B118,1,0)*Pre_q,Floor_q)))</f>
        <v>350</v>
      </c>
      <c r="AB118" s="14" t="n">
        <f aca="false">IF(5&gt;$A118,0,IF(5=$A118,MAX(End_q,Floor_q),MAX(AC118+Cost_round*IF(6&lt;=$B118,1,0)-H118,IF(6&lt;=$B118,1,0)*Pre_q,Floor_q)))</f>
        <v>350</v>
      </c>
      <c r="AC118" s="14" t="n">
        <f aca="false">IF(6&gt;$A118,0,IF(6=$A118,MAX(End_q,Floor_q),MAX(AD118+Cost_round*IF(7&lt;=$B118,1,0)-I118,IF(7&lt;=$B118,1,0)*Pre_q,Floor_q)))</f>
        <v>350</v>
      </c>
      <c r="AD118" s="14" t="n">
        <f aca="false">IF(7&gt;$A118,0,IF(7=$A118,MAX(End_q,Floor_q),MAX(AE118+Cost_round*IF(8&lt;=$B118,1,0)-J118,IF(8&lt;=$B118,1,0)*Pre_q,Floor_q)))</f>
        <v>350</v>
      </c>
      <c r="AE118" s="14" t="n">
        <f aca="false">IF(8&gt;$A118,0,IF(8=$A118,MAX(End_q,Floor_q),MAX(AF118+Cost_round*IF(9&lt;=$B118,1,0)-K118,IF(9&lt;=$B118,1,0)*Pre_q,Floor_q)))</f>
        <v>350</v>
      </c>
      <c r="AF118" s="14" t="n">
        <f aca="false">IF(9&gt;$A118,0,IF(9=$A118,MAX(End_q,Floor_q),MAX(AG118+Cost_round*IF(10&lt;=$B118,1,0)-L118,IF(10&lt;=$B118,1,0)*Pre_q,Floor_q)))</f>
        <v>350</v>
      </c>
      <c r="AG118" s="14" t="n">
        <f aca="false">IF(10&gt;$A118,0,IF(10=$A118,MAX(End_q,Floor_q),MAX(AH118+Cost_round*IF(11&lt;=$B118,1,0)-M118,IF(11&lt;=$B118,1,0)*Pre_q,Floor_q)))</f>
        <v>350</v>
      </c>
      <c r="AH118" s="14" t="n">
        <f aca="false">IF(11&gt;$A118,0,IF(11=$A118,MAX(End_q,Floor_q),MAX(AI118+Cost_round*IF(12&lt;=$B118,1,0)-N118,IF(12&lt;=$B118,1,0)*Pre_q,Floor_q)))</f>
        <v>350</v>
      </c>
      <c r="AI118" s="14" t="n">
        <f aca="false">IF(12&gt;$A118,0,IF(12=$A118,MAX(End_q,Floor_q),MAX(AJ118+Cost_round*IF(13&lt;=$B118,1,0)-O118,IF(13&lt;=$B118,1,0)*Pre_q,Floor_q)))</f>
        <v>350</v>
      </c>
      <c r="AJ118" s="14" t="n">
        <f aca="false">IF(13&gt;$A118,0,IF(13=$A118,MAX(End_q,Floor_q),MAX(AK118+Cost_round*IF(14&lt;=$B118,1,0)-P118,IF(14&lt;=$B118,1,0)*Pre_q,Floor_q)))</f>
        <v>350</v>
      </c>
      <c r="AK118" s="14" t="n">
        <f aca="false">IF(14&gt;$A118,0,IF(14=$A118,MAX(End_q,Floor_q),MAX(AL118+Cost_round*IF(15&lt;=$B118,1,0)-Q118,IF(15&lt;=$B118,1,0)*Pre_q,Floor_q)))</f>
        <v>350</v>
      </c>
      <c r="AL118" s="14" t="n">
        <f aca="false">IF(15&gt;$A118,0,IF(15=$A118,MAX(End_q,Floor_q),MAX(AM118+Cost_round*IF(16&lt;=$B118,1,0)-R118,IF(16&lt;=$B118,1,0)*Pre_q,Floor_q)))</f>
        <v>350</v>
      </c>
      <c r="AM118" s="14" t="n">
        <f aca="false">IF(16&gt;$A118,0,IF(16=$A118,MAX(End_q,Floor_q),MAX(AN118+Cost_round*IF(17&lt;=$B118,1,0)-S118,IF(17&lt;=$B118,1,0)*Pre_q,Floor_q)))</f>
        <v>350</v>
      </c>
      <c r="AN118" s="14" t="n">
        <f aca="false">IF(17&gt;$A118,0,IF(17=$A118,MAX(End_q,Floor_q),MAX(AO118+Cost_round*IF(18&lt;=$B118,1,0)-T118,IF(18&lt;=$B118,1,0)*Pre_q,Floor_q)))</f>
        <v>470</v>
      </c>
      <c r="AO118" s="14" t="n">
        <f aca="false">IF(18&gt;$A118,0,IF(18=$A118,MAX(End_q,Floor_q),MAX(AP118+Cost_round*IF(19&lt;=$B118,1,0)-U118,IF(19&lt;=$B118,1,0)*Pre_q,Floor_q)))</f>
        <v>0</v>
      </c>
      <c r="AP118" s="14" t="n">
        <f aca="false">IF(19&gt;$A118,0,IF(19=$A118,MAX(End_q,Floor_q),MAX(AQ118+Cost_round*IF(20&lt;=$B118,1,0)-V118,IF(20&lt;=$B118,1,0)*Pre_q,Floor_q)))</f>
        <v>0</v>
      </c>
      <c r="AQ118" s="14" t="n">
        <f aca="false">IF(20&gt;$A118,0,MAX(End_q,Floor_q))</f>
        <v>0</v>
      </c>
      <c r="AR118" s="15" t="n">
        <f aca="false">IF(Q_zero&gt;=W118-0.000000001,1,0)</f>
        <v>1</v>
      </c>
      <c r="AS118" s="14" t="n">
        <f aca="false">IF(1&gt;$A118,0,Q_zero-Cost_round*IF(1&lt;=$B118,1,0)+C118-X118)</f>
        <v>85</v>
      </c>
      <c r="AT118" s="14" t="n">
        <f aca="false">IF(2&gt;$A118,0,X118-Cost_round*IF(2&lt;=$B118,1,0)+D118-Y118)</f>
        <v>0</v>
      </c>
      <c r="AU118" s="14" t="n">
        <f aca="false">IF(3&gt;$A118,0,Y118-Cost_round*IF(3&lt;=$B118,1,0)+E118-Z118)</f>
        <v>2.5</v>
      </c>
      <c r="AV118" s="14" t="n">
        <f aca="false">IF(4&gt;$A118,0,Z118-Cost_round*IF(4&lt;=$B118,1,0)+F118-AA118)</f>
        <v>131.25</v>
      </c>
      <c r="AW118" s="14" t="n">
        <f aca="false">IF(5&gt;$A118,0,AA118-Cost_round*IF(5&lt;=$B118,1,0)+G118-AB118)</f>
        <v>131.25</v>
      </c>
      <c r="AX118" s="14" t="n">
        <f aca="false">IF(6&gt;$A118,0,AB118-Cost_round*IF(6&lt;=$B118,1,0)+H118-AC118)</f>
        <v>131.25</v>
      </c>
      <c r="AY118" s="14" t="n">
        <f aca="false">IF(7&gt;$A118,0,AC118-Cost_round*IF(7&lt;=$B118,1,0)+I118-AD118)</f>
        <v>131.25</v>
      </c>
      <c r="AZ118" s="14" t="n">
        <f aca="false">IF(8&gt;$A118,0,AD118-Cost_round*IF(8&lt;=$B118,1,0)+J118-AE118)</f>
        <v>131.25</v>
      </c>
      <c r="BA118" s="14" t="n">
        <f aca="false">IF(9&gt;$A118,0,AE118-Cost_round*IF(9&lt;=$B118,1,0)+K118-AF118)</f>
        <v>131.25</v>
      </c>
      <c r="BB118" s="14" t="n">
        <f aca="false">IF(10&gt;$A118,0,AF118-Cost_round*IF(10&lt;=$B118,1,0)+L118-AG118)</f>
        <v>131.25</v>
      </c>
      <c r="BC118" s="14" t="n">
        <f aca="false">IF(11&gt;$A118,0,AG118-Cost_round*IF(11&lt;=$B118,1,0)+M118-AH118)</f>
        <v>131.25</v>
      </c>
      <c r="BD118" s="14" t="n">
        <f aca="false">IF(12&gt;$A118,0,AH118-Cost_round*IF(12&lt;=$B118,1,0)+N118-AI118)</f>
        <v>131.25</v>
      </c>
      <c r="BE118" s="14" t="n">
        <f aca="false">IF(13&gt;$A118,0,AI118-Cost_round*IF(13&lt;=$B118,1,0)+O118-AJ118)</f>
        <v>131.25</v>
      </c>
      <c r="BF118" s="14" t="n">
        <f aca="false">IF(14&gt;$A118,0,AJ118-Cost_round*IF(14&lt;=$B118,1,0)+P118-AK118)</f>
        <v>131.25</v>
      </c>
      <c r="BG118" s="14" t="n">
        <f aca="false">IF(15&gt;$A118,0,AK118-Cost_round*IF(15&lt;=$B118,1,0)+Q118-AL118)</f>
        <v>131.25</v>
      </c>
      <c r="BH118" s="14" t="n">
        <f aca="false">IF(16&gt;$A118,0,AL118-Cost_round*IF(16&lt;=$B118,1,0)+R118-AM118)</f>
        <v>131.25</v>
      </c>
      <c r="BI118" s="14" t="n">
        <f aca="false">IF(17&gt;$A118,0,AM118-Cost_round*IF(17&lt;=$B118,1,0)+S118-AN118)</f>
        <v>11.25</v>
      </c>
      <c r="BJ118" s="14" t="n">
        <f aca="false">IF(18&gt;$A118,0,AN118-Cost_round*IF(18&lt;=$B118,1,0)+T118-AO118)</f>
        <v>0</v>
      </c>
      <c r="BK118" s="14" t="n">
        <f aca="false">IF(19&gt;$A118,0,AO118-Cost_round*IF(19&lt;=$B118,1,0)+U118-AP118)</f>
        <v>0</v>
      </c>
      <c r="BL118" s="14" t="n">
        <f aca="false">IF(20&gt;$A118,0,AP118-Cost_round*IF(20&lt;=$B118,1,0)+V118-AQ118)</f>
        <v>0</v>
      </c>
      <c r="BM118" s="17" t="n">
        <f aca="false">IF($AR118=1,SUMPRODUCT(AS118:BL118,$AS$38:$BL$38),"")</f>
        <v>781.839202258858</v>
      </c>
      <c r="BN118" s="17" t="n">
        <f aca="false">IF($AR118=1,BM118+INDEX($AS$38:$BL$38,$A118)*INDEX(C118:V118,$A118)/Hurdle_r,"")</f>
        <v>1041.51033019029</v>
      </c>
    </row>
    <row r="119" customFormat="false" ht="15" hidden="false" customHeight="false" outlineLevel="0" collapsed="false">
      <c r="A119" s="2" t="n">
        <v>18</v>
      </c>
      <c r="B119" s="2" t="n">
        <v>0</v>
      </c>
      <c r="C119" s="14" t="n">
        <f aca="false">IF(1&gt;$A119,0,Val_pt*(Ceiling_e-E_zero)*(1-(1-Half_gap)^MIN(1,$B119)))</f>
        <v>0</v>
      </c>
      <c r="D119" s="14" t="n">
        <f aca="false">IF(2&gt;$A119,0,Val_pt*(Ceiling_e-E_zero)*(1-(1-Half_gap)^MIN(2,$B119)))</f>
        <v>0</v>
      </c>
      <c r="E119" s="14" t="n">
        <f aca="false">IF(3&gt;$A119,0,Val_pt*(Ceiling_e-E_zero)*(1-(1-Half_gap)^MIN(3,$B119)))</f>
        <v>0</v>
      </c>
      <c r="F119" s="14" t="n">
        <f aca="false">IF(4&gt;$A119,0,Val_pt*(Ceiling_e-E_zero)*(1-(1-Half_gap)^MIN(4,$B119)))</f>
        <v>0</v>
      </c>
      <c r="G119" s="14" t="n">
        <f aca="false">IF(5&gt;$A119,0,Val_pt*(Ceiling_e-E_zero)*(1-(1-Half_gap)^MIN(5,$B119)))</f>
        <v>0</v>
      </c>
      <c r="H119" s="14" t="n">
        <f aca="false">IF(6&gt;$A119,0,Val_pt*(Ceiling_e-E_zero)*(1-(1-Half_gap)^MIN(6,$B119)))</f>
        <v>0</v>
      </c>
      <c r="I119" s="14" t="n">
        <f aca="false">IF(7&gt;$A119,0,Val_pt*(Ceiling_e-E_zero)*(1-(1-Half_gap)^MIN(7,$B119)))</f>
        <v>0</v>
      </c>
      <c r="J119" s="14" t="n">
        <f aca="false">IF(8&gt;$A119,0,Val_pt*(Ceiling_e-E_zero)*(1-(1-Half_gap)^MIN(8,$B119)))</f>
        <v>0</v>
      </c>
      <c r="K119" s="14" t="n">
        <f aca="false">IF(9&gt;$A119,0,Val_pt*(Ceiling_e-E_zero)*(1-(1-Half_gap)^MIN(9,$B119)))</f>
        <v>0</v>
      </c>
      <c r="L119" s="14" t="n">
        <f aca="false">IF(10&gt;$A119,0,Val_pt*(Ceiling_e-E_zero)*(1-(1-Half_gap)^MIN(10,$B119)))</f>
        <v>0</v>
      </c>
      <c r="M119" s="14" t="n">
        <f aca="false">IF(11&gt;$A119,0,Val_pt*(Ceiling_e-E_zero)*(1-(1-Half_gap)^MIN(11,$B119)))</f>
        <v>0</v>
      </c>
      <c r="N119" s="14" t="n">
        <f aca="false">IF(12&gt;$A119,0,Val_pt*(Ceiling_e-E_zero)*(1-(1-Half_gap)^MIN(12,$B119)))</f>
        <v>0</v>
      </c>
      <c r="O119" s="14" t="n">
        <f aca="false">IF(13&gt;$A119,0,Val_pt*(Ceiling_e-E_zero)*(1-(1-Half_gap)^MIN(13,$B119)))</f>
        <v>0</v>
      </c>
      <c r="P119" s="14" t="n">
        <f aca="false">IF(14&gt;$A119,0,Val_pt*(Ceiling_e-E_zero)*(1-(1-Half_gap)^MIN(14,$B119)))</f>
        <v>0</v>
      </c>
      <c r="Q119" s="14" t="n">
        <f aca="false">IF(15&gt;$A119,0,Val_pt*(Ceiling_e-E_zero)*(1-(1-Half_gap)^MIN(15,$B119)))</f>
        <v>0</v>
      </c>
      <c r="R119" s="14" t="n">
        <f aca="false">IF(16&gt;$A119,0,Val_pt*(Ceiling_e-E_zero)*(1-(1-Half_gap)^MIN(16,$B119)))</f>
        <v>0</v>
      </c>
      <c r="S119" s="14" t="n">
        <f aca="false">IF(17&gt;$A119,0,Val_pt*(Ceiling_e-E_zero)*(1-(1-Half_gap)^MIN(17,$B119)))</f>
        <v>0</v>
      </c>
      <c r="T119" s="14" t="n">
        <f aca="false">IF(18&gt;$A119,0,Val_pt*(Ceiling_e-E_zero)*(1-(1-Half_gap)^MIN(18,$B119)))</f>
        <v>0</v>
      </c>
      <c r="U119" s="14" t="n">
        <f aca="false">IF(19&gt;$A119,0,Val_pt*(Ceiling_e-E_zero)*(1-(1-Half_gap)^MIN(19,$B119)))</f>
        <v>0</v>
      </c>
      <c r="V119" s="14" t="n">
        <f aca="false">IF(20&gt;$A119,0,Val_pt*(Ceiling_e-E_zero)*(1-(1-Half_gap)^MIN(20,$B119)))</f>
        <v>0</v>
      </c>
      <c r="W119" s="14" t="n">
        <f aca="false">IF(0&gt;$A119,0,IF(0=$A119,MAX(End_q,Floor_q),MAX(X119+Cost_round*IF(1&lt;=$B119,1,0)-C119,IF(1&lt;=$B119,1,0)*Pre_q)))</f>
        <v>470</v>
      </c>
      <c r="X119" s="14" t="n">
        <f aca="false">IF(1&gt;$A119,0,IF(1=$A119,MAX(End_q,Floor_q),MAX(Y119+Cost_round*IF(2&lt;=$B119,1,0)-D119,IF(2&lt;=$B119,1,0)*Pre_q,Floor_q)))</f>
        <v>470</v>
      </c>
      <c r="Y119" s="14" t="n">
        <f aca="false">IF(2&gt;$A119,0,IF(2=$A119,MAX(End_q,Floor_q),MAX(Z119+Cost_round*IF(3&lt;=$B119,1,0)-E119,IF(3&lt;=$B119,1,0)*Pre_q,Floor_q)))</f>
        <v>470</v>
      </c>
      <c r="Z119" s="14" t="n">
        <f aca="false">IF(3&gt;$A119,0,IF(3=$A119,MAX(End_q,Floor_q),MAX(AA119+Cost_round*IF(4&lt;=$B119,1,0)-F119,IF(4&lt;=$B119,1,0)*Pre_q,Floor_q)))</f>
        <v>470</v>
      </c>
      <c r="AA119" s="14" t="n">
        <f aca="false">IF(4&gt;$A119,0,IF(4=$A119,MAX(End_q,Floor_q),MAX(AB119+Cost_round*IF(5&lt;=$B119,1,0)-G119,IF(5&lt;=$B119,1,0)*Pre_q,Floor_q)))</f>
        <v>470</v>
      </c>
      <c r="AB119" s="14" t="n">
        <f aca="false">IF(5&gt;$A119,0,IF(5=$A119,MAX(End_q,Floor_q),MAX(AC119+Cost_round*IF(6&lt;=$B119,1,0)-H119,IF(6&lt;=$B119,1,0)*Pre_q,Floor_q)))</f>
        <v>470</v>
      </c>
      <c r="AC119" s="14" t="n">
        <f aca="false">IF(6&gt;$A119,0,IF(6=$A119,MAX(End_q,Floor_q),MAX(AD119+Cost_round*IF(7&lt;=$B119,1,0)-I119,IF(7&lt;=$B119,1,0)*Pre_q,Floor_q)))</f>
        <v>470</v>
      </c>
      <c r="AD119" s="14" t="n">
        <f aca="false">IF(7&gt;$A119,0,IF(7=$A119,MAX(End_q,Floor_q),MAX(AE119+Cost_round*IF(8&lt;=$B119,1,0)-J119,IF(8&lt;=$B119,1,0)*Pre_q,Floor_q)))</f>
        <v>470</v>
      </c>
      <c r="AE119" s="14" t="n">
        <f aca="false">IF(8&gt;$A119,0,IF(8=$A119,MAX(End_q,Floor_q),MAX(AF119+Cost_round*IF(9&lt;=$B119,1,0)-K119,IF(9&lt;=$B119,1,0)*Pre_q,Floor_q)))</f>
        <v>470</v>
      </c>
      <c r="AF119" s="14" t="n">
        <f aca="false">IF(9&gt;$A119,0,IF(9=$A119,MAX(End_q,Floor_q),MAX(AG119+Cost_round*IF(10&lt;=$B119,1,0)-L119,IF(10&lt;=$B119,1,0)*Pre_q,Floor_q)))</f>
        <v>470</v>
      </c>
      <c r="AG119" s="14" t="n">
        <f aca="false">IF(10&gt;$A119,0,IF(10=$A119,MAX(End_q,Floor_q),MAX(AH119+Cost_round*IF(11&lt;=$B119,1,0)-M119,IF(11&lt;=$B119,1,0)*Pre_q,Floor_q)))</f>
        <v>470</v>
      </c>
      <c r="AH119" s="14" t="n">
        <f aca="false">IF(11&gt;$A119,0,IF(11=$A119,MAX(End_q,Floor_q),MAX(AI119+Cost_round*IF(12&lt;=$B119,1,0)-N119,IF(12&lt;=$B119,1,0)*Pre_q,Floor_q)))</f>
        <v>470</v>
      </c>
      <c r="AI119" s="14" t="n">
        <f aca="false">IF(12&gt;$A119,0,IF(12=$A119,MAX(End_q,Floor_q),MAX(AJ119+Cost_round*IF(13&lt;=$B119,1,0)-O119,IF(13&lt;=$B119,1,0)*Pre_q,Floor_q)))</f>
        <v>470</v>
      </c>
      <c r="AJ119" s="14" t="n">
        <f aca="false">IF(13&gt;$A119,0,IF(13=$A119,MAX(End_q,Floor_q),MAX(AK119+Cost_round*IF(14&lt;=$B119,1,0)-P119,IF(14&lt;=$B119,1,0)*Pre_q,Floor_q)))</f>
        <v>470</v>
      </c>
      <c r="AK119" s="14" t="n">
        <f aca="false">IF(14&gt;$A119,0,IF(14=$A119,MAX(End_q,Floor_q),MAX(AL119+Cost_round*IF(15&lt;=$B119,1,0)-Q119,IF(15&lt;=$B119,1,0)*Pre_q,Floor_q)))</f>
        <v>470</v>
      </c>
      <c r="AL119" s="14" t="n">
        <f aca="false">IF(15&gt;$A119,0,IF(15=$A119,MAX(End_q,Floor_q),MAX(AM119+Cost_round*IF(16&lt;=$B119,1,0)-R119,IF(16&lt;=$B119,1,0)*Pre_q,Floor_q)))</f>
        <v>470</v>
      </c>
      <c r="AM119" s="14" t="n">
        <f aca="false">IF(16&gt;$A119,0,IF(16=$A119,MAX(End_q,Floor_q),MAX(AN119+Cost_round*IF(17&lt;=$B119,1,0)-S119,IF(17&lt;=$B119,1,0)*Pre_q,Floor_q)))</f>
        <v>470</v>
      </c>
      <c r="AN119" s="14" t="n">
        <f aca="false">IF(17&gt;$A119,0,IF(17=$A119,MAX(End_q,Floor_q),MAX(AO119+Cost_round*IF(18&lt;=$B119,1,0)-T119,IF(18&lt;=$B119,1,0)*Pre_q,Floor_q)))</f>
        <v>470</v>
      </c>
      <c r="AO119" s="14" t="n">
        <f aca="false">IF(18&gt;$A119,0,IF(18=$A119,MAX(End_q,Floor_q),MAX(AP119+Cost_round*IF(19&lt;=$B119,1,0)-U119,IF(19&lt;=$B119,1,0)*Pre_q,Floor_q)))</f>
        <v>470</v>
      </c>
      <c r="AP119" s="14" t="n">
        <f aca="false">IF(19&gt;$A119,0,IF(19=$A119,MAX(End_q,Floor_q),MAX(AQ119+Cost_round*IF(20&lt;=$B119,1,0)-V119,IF(20&lt;=$B119,1,0)*Pre_q,Floor_q)))</f>
        <v>0</v>
      </c>
      <c r="AQ119" s="14" t="n">
        <f aca="false">IF(20&gt;$A119,0,MAX(End_q,Floor_q))</f>
        <v>0</v>
      </c>
      <c r="AR119" s="15" t="n">
        <f aca="false">IF(Q_zero&gt;=W119-0.000000001,1,0)</f>
        <v>1</v>
      </c>
      <c r="AS119" s="14" t="n">
        <f aca="false">IF(1&gt;$A119,0,Q_zero-Cost_round*IF(1&lt;=$B119,1,0)+C119-X119)</f>
        <v>150</v>
      </c>
      <c r="AT119" s="14" t="n">
        <f aca="false">IF(2&gt;$A119,0,X119-Cost_round*IF(2&lt;=$B119,1,0)+D119-Y119)</f>
        <v>0</v>
      </c>
      <c r="AU119" s="14" t="n">
        <f aca="false">IF(3&gt;$A119,0,Y119-Cost_round*IF(3&lt;=$B119,1,0)+E119-Z119)</f>
        <v>0</v>
      </c>
      <c r="AV119" s="14" t="n">
        <f aca="false">IF(4&gt;$A119,0,Z119-Cost_round*IF(4&lt;=$B119,1,0)+F119-AA119)</f>
        <v>0</v>
      </c>
      <c r="AW119" s="14" t="n">
        <f aca="false">IF(5&gt;$A119,0,AA119-Cost_round*IF(5&lt;=$B119,1,0)+G119-AB119)</f>
        <v>0</v>
      </c>
      <c r="AX119" s="14" t="n">
        <f aca="false">IF(6&gt;$A119,0,AB119-Cost_round*IF(6&lt;=$B119,1,0)+H119-AC119)</f>
        <v>0</v>
      </c>
      <c r="AY119" s="14" t="n">
        <f aca="false">IF(7&gt;$A119,0,AC119-Cost_round*IF(7&lt;=$B119,1,0)+I119-AD119)</f>
        <v>0</v>
      </c>
      <c r="AZ119" s="14" t="n">
        <f aca="false">IF(8&gt;$A119,0,AD119-Cost_round*IF(8&lt;=$B119,1,0)+J119-AE119)</f>
        <v>0</v>
      </c>
      <c r="BA119" s="14" t="n">
        <f aca="false">IF(9&gt;$A119,0,AE119-Cost_round*IF(9&lt;=$B119,1,0)+K119-AF119)</f>
        <v>0</v>
      </c>
      <c r="BB119" s="14" t="n">
        <f aca="false">IF(10&gt;$A119,0,AF119-Cost_round*IF(10&lt;=$B119,1,0)+L119-AG119)</f>
        <v>0</v>
      </c>
      <c r="BC119" s="14" t="n">
        <f aca="false">IF(11&gt;$A119,0,AG119-Cost_round*IF(11&lt;=$B119,1,0)+M119-AH119)</f>
        <v>0</v>
      </c>
      <c r="BD119" s="14" t="n">
        <f aca="false">IF(12&gt;$A119,0,AH119-Cost_round*IF(12&lt;=$B119,1,0)+N119-AI119)</f>
        <v>0</v>
      </c>
      <c r="BE119" s="14" t="n">
        <f aca="false">IF(13&gt;$A119,0,AI119-Cost_round*IF(13&lt;=$B119,1,0)+O119-AJ119)</f>
        <v>0</v>
      </c>
      <c r="BF119" s="14" t="n">
        <f aca="false">IF(14&gt;$A119,0,AJ119-Cost_round*IF(14&lt;=$B119,1,0)+P119-AK119)</f>
        <v>0</v>
      </c>
      <c r="BG119" s="14" t="n">
        <f aca="false">IF(15&gt;$A119,0,AK119-Cost_round*IF(15&lt;=$B119,1,0)+Q119-AL119)</f>
        <v>0</v>
      </c>
      <c r="BH119" s="14" t="n">
        <f aca="false">IF(16&gt;$A119,0,AL119-Cost_round*IF(16&lt;=$B119,1,0)+R119-AM119)</f>
        <v>0</v>
      </c>
      <c r="BI119" s="14" t="n">
        <f aca="false">IF(17&gt;$A119,0,AM119-Cost_round*IF(17&lt;=$B119,1,0)+S119-AN119)</f>
        <v>0</v>
      </c>
      <c r="BJ119" s="14" t="n">
        <f aca="false">IF(18&gt;$A119,0,AN119-Cost_round*IF(18&lt;=$B119,1,0)+T119-AO119)</f>
        <v>0</v>
      </c>
      <c r="BK119" s="14" t="n">
        <f aca="false">IF(19&gt;$A119,0,AO119-Cost_round*IF(19&lt;=$B119,1,0)+U119-AP119)</f>
        <v>0</v>
      </c>
      <c r="BL119" s="14" t="n">
        <f aca="false">IF(20&gt;$A119,0,AP119-Cost_round*IF(20&lt;=$B119,1,0)+V119-AQ119)</f>
        <v>0</v>
      </c>
      <c r="BM119" s="17" t="n">
        <f aca="false">IF($AR119=1,SUMPRODUCT(AS119:BL119,$AS$38:$BL$38),"")</f>
        <v>136.363636363636</v>
      </c>
      <c r="BN119" s="17" t="n">
        <f aca="false">IF($AR119=1,BM119+INDEX($AS$38:$BL$38,$A119)*INDEX(C119:V119,$A119)/Hurdle_r,"")</f>
        <v>136.363636363636</v>
      </c>
    </row>
    <row r="120" customFormat="false" ht="15" hidden="false" customHeight="false" outlineLevel="0" collapsed="false">
      <c r="A120" s="2" t="n">
        <v>18</v>
      </c>
      <c r="B120" s="2" t="n">
        <v>1</v>
      </c>
      <c r="C120" s="14" t="n">
        <f aca="false">IF(1&gt;$A120,0,Val_pt*(Ceiling_e-E_zero)*(1-(1-Half_gap)^MIN(1,$B120)))</f>
        <v>70</v>
      </c>
      <c r="D120" s="14" t="n">
        <f aca="false">IF(2&gt;$A120,0,Val_pt*(Ceiling_e-E_zero)*(1-(1-Half_gap)^MIN(2,$B120)))</f>
        <v>70</v>
      </c>
      <c r="E120" s="14" t="n">
        <f aca="false">IF(3&gt;$A120,0,Val_pt*(Ceiling_e-E_zero)*(1-(1-Half_gap)^MIN(3,$B120)))</f>
        <v>70</v>
      </c>
      <c r="F120" s="14" t="n">
        <f aca="false">IF(4&gt;$A120,0,Val_pt*(Ceiling_e-E_zero)*(1-(1-Half_gap)^MIN(4,$B120)))</f>
        <v>70</v>
      </c>
      <c r="G120" s="14" t="n">
        <f aca="false">IF(5&gt;$A120,0,Val_pt*(Ceiling_e-E_zero)*(1-(1-Half_gap)^MIN(5,$B120)))</f>
        <v>70</v>
      </c>
      <c r="H120" s="14" t="n">
        <f aca="false">IF(6&gt;$A120,0,Val_pt*(Ceiling_e-E_zero)*(1-(1-Half_gap)^MIN(6,$B120)))</f>
        <v>70</v>
      </c>
      <c r="I120" s="14" t="n">
        <f aca="false">IF(7&gt;$A120,0,Val_pt*(Ceiling_e-E_zero)*(1-(1-Half_gap)^MIN(7,$B120)))</f>
        <v>70</v>
      </c>
      <c r="J120" s="14" t="n">
        <f aca="false">IF(8&gt;$A120,0,Val_pt*(Ceiling_e-E_zero)*(1-(1-Half_gap)^MIN(8,$B120)))</f>
        <v>70</v>
      </c>
      <c r="K120" s="14" t="n">
        <f aca="false">IF(9&gt;$A120,0,Val_pt*(Ceiling_e-E_zero)*(1-(1-Half_gap)^MIN(9,$B120)))</f>
        <v>70</v>
      </c>
      <c r="L120" s="14" t="n">
        <f aca="false">IF(10&gt;$A120,0,Val_pt*(Ceiling_e-E_zero)*(1-(1-Half_gap)^MIN(10,$B120)))</f>
        <v>70</v>
      </c>
      <c r="M120" s="14" t="n">
        <f aca="false">IF(11&gt;$A120,0,Val_pt*(Ceiling_e-E_zero)*(1-(1-Half_gap)^MIN(11,$B120)))</f>
        <v>70</v>
      </c>
      <c r="N120" s="14" t="n">
        <f aca="false">IF(12&gt;$A120,0,Val_pt*(Ceiling_e-E_zero)*(1-(1-Half_gap)^MIN(12,$B120)))</f>
        <v>70</v>
      </c>
      <c r="O120" s="14" t="n">
        <f aca="false">IF(13&gt;$A120,0,Val_pt*(Ceiling_e-E_zero)*(1-(1-Half_gap)^MIN(13,$B120)))</f>
        <v>70</v>
      </c>
      <c r="P120" s="14" t="n">
        <f aca="false">IF(14&gt;$A120,0,Val_pt*(Ceiling_e-E_zero)*(1-(1-Half_gap)^MIN(14,$B120)))</f>
        <v>70</v>
      </c>
      <c r="Q120" s="14" t="n">
        <f aca="false">IF(15&gt;$A120,0,Val_pt*(Ceiling_e-E_zero)*(1-(1-Half_gap)^MIN(15,$B120)))</f>
        <v>70</v>
      </c>
      <c r="R120" s="14" t="n">
        <f aca="false">IF(16&gt;$A120,0,Val_pt*(Ceiling_e-E_zero)*(1-(1-Half_gap)^MIN(16,$B120)))</f>
        <v>70</v>
      </c>
      <c r="S120" s="14" t="n">
        <f aca="false">IF(17&gt;$A120,0,Val_pt*(Ceiling_e-E_zero)*(1-(1-Half_gap)^MIN(17,$B120)))</f>
        <v>70</v>
      </c>
      <c r="T120" s="14" t="n">
        <f aca="false">IF(18&gt;$A120,0,Val_pt*(Ceiling_e-E_zero)*(1-(1-Half_gap)^MIN(18,$B120)))</f>
        <v>70</v>
      </c>
      <c r="U120" s="14" t="n">
        <f aca="false">IF(19&gt;$A120,0,Val_pt*(Ceiling_e-E_zero)*(1-(1-Half_gap)^MIN(19,$B120)))</f>
        <v>0</v>
      </c>
      <c r="V120" s="14" t="n">
        <f aca="false">IF(20&gt;$A120,0,Val_pt*(Ceiling_e-E_zero)*(1-(1-Half_gap)^MIN(20,$B120)))</f>
        <v>0</v>
      </c>
      <c r="W120" s="14" t="n">
        <f aca="false">IF(0&gt;$A120,0,IF(0=$A120,MAX(End_q,Floor_q),MAX(X120+Cost_round*IF(1&lt;=$B120,1,0)-C120,IF(1&lt;=$B120,1,0)*Pre_q)))</f>
        <v>470</v>
      </c>
      <c r="X120" s="14" t="n">
        <f aca="false">IF(1&gt;$A120,0,IF(1=$A120,MAX(End_q,Floor_q),MAX(Y120+Cost_round*IF(2&lt;=$B120,1,0)-D120,IF(2&lt;=$B120,1,0)*Pre_q,Floor_q)))</f>
        <v>350</v>
      </c>
      <c r="Y120" s="14" t="n">
        <f aca="false">IF(2&gt;$A120,0,IF(2=$A120,MAX(End_q,Floor_q),MAX(Z120+Cost_round*IF(3&lt;=$B120,1,0)-E120,IF(3&lt;=$B120,1,0)*Pre_q,Floor_q)))</f>
        <v>350</v>
      </c>
      <c r="Z120" s="14" t="n">
        <f aca="false">IF(3&gt;$A120,0,IF(3=$A120,MAX(End_q,Floor_q),MAX(AA120+Cost_round*IF(4&lt;=$B120,1,0)-F120,IF(4&lt;=$B120,1,0)*Pre_q,Floor_q)))</f>
        <v>350</v>
      </c>
      <c r="AA120" s="14" t="n">
        <f aca="false">IF(4&gt;$A120,0,IF(4=$A120,MAX(End_q,Floor_q),MAX(AB120+Cost_round*IF(5&lt;=$B120,1,0)-G120,IF(5&lt;=$B120,1,0)*Pre_q,Floor_q)))</f>
        <v>350</v>
      </c>
      <c r="AB120" s="14" t="n">
        <f aca="false">IF(5&gt;$A120,0,IF(5=$A120,MAX(End_q,Floor_q),MAX(AC120+Cost_round*IF(6&lt;=$B120,1,0)-H120,IF(6&lt;=$B120,1,0)*Pre_q,Floor_q)))</f>
        <v>350</v>
      </c>
      <c r="AC120" s="14" t="n">
        <f aca="false">IF(6&gt;$A120,0,IF(6=$A120,MAX(End_q,Floor_q),MAX(AD120+Cost_round*IF(7&lt;=$B120,1,0)-I120,IF(7&lt;=$B120,1,0)*Pre_q,Floor_q)))</f>
        <v>350</v>
      </c>
      <c r="AD120" s="14" t="n">
        <f aca="false">IF(7&gt;$A120,0,IF(7=$A120,MAX(End_q,Floor_q),MAX(AE120+Cost_round*IF(8&lt;=$B120,1,0)-J120,IF(8&lt;=$B120,1,0)*Pre_q,Floor_q)))</f>
        <v>350</v>
      </c>
      <c r="AE120" s="14" t="n">
        <f aca="false">IF(8&gt;$A120,0,IF(8=$A120,MAX(End_q,Floor_q),MAX(AF120+Cost_round*IF(9&lt;=$B120,1,0)-K120,IF(9&lt;=$B120,1,0)*Pre_q,Floor_q)))</f>
        <v>350</v>
      </c>
      <c r="AF120" s="14" t="n">
        <f aca="false">IF(9&gt;$A120,0,IF(9=$A120,MAX(End_q,Floor_q),MAX(AG120+Cost_round*IF(10&lt;=$B120,1,0)-L120,IF(10&lt;=$B120,1,0)*Pre_q,Floor_q)))</f>
        <v>350</v>
      </c>
      <c r="AG120" s="14" t="n">
        <f aca="false">IF(10&gt;$A120,0,IF(10=$A120,MAX(End_q,Floor_q),MAX(AH120+Cost_round*IF(11&lt;=$B120,1,0)-M120,IF(11&lt;=$B120,1,0)*Pre_q,Floor_q)))</f>
        <v>350</v>
      </c>
      <c r="AH120" s="14" t="n">
        <f aca="false">IF(11&gt;$A120,0,IF(11=$A120,MAX(End_q,Floor_q),MAX(AI120+Cost_round*IF(12&lt;=$B120,1,0)-N120,IF(12&lt;=$B120,1,0)*Pre_q,Floor_q)))</f>
        <v>350</v>
      </c>
      <c r="AI120" s="14" t="n">
        <f aca="false">IF(12&gt;$A120,0,IF(12=$A120,MAX(End_q,Floor_q),MAX(AJ120+Cost_round*IF(13&lt;=$B120,1,0)-O120,IF(13&lt;=$B120,1,0)*Pre_q,Floor_q)))</f>
        <v>350</v>
      </c>
      <c r="AJ120" s="14" t="n">
        <f aca="false">IF(13&gt;$A120,0,IF(13=$A120,MAX(End_q,Floor_q),MAX(AK120+Cost_round*IF(14&lt;=$B120,1,0)-P120,IF(14&lt;=$B120,1,0)*Pre_q,Floor_q)))</f>
        <v>350</v>
      </c>
      <c r="AK120" s="14" t="n">
        <f aca="false">IF(14&gt;$A120,0,IF(14=$A120,MAX(End_q,Floor_q),MAX(AL120+Cost_round*IF(15&lt;=$B120,1,0)-Q120,IF(15&lt;=$B120,1,0)*Pre_q,Floor_q)))</f>
        <v>350</v>
      </c>
      <c r="AL120" s="14" t="n">
        <f aca="false">IF(15&gt;$A120,0,IF(15=$A120,MAX(End_q,Floor_q),MAX(AM120+Cost_round*IF(16&lt;=$B120,1,0)-R120,IF(16&lt;=$B120,1,0)*Pre_q,Floor_q)))</f>
        <v>350</v>
      </c>
      <c r="AM120" s="14" t="n">
        <f aca="false">IF(16&gt;$A120,0,IF(16=$A120,MAX(End_q,Floor_q),MAX(AN120+Cost_round*IF(17&lt;=$B120,1,0)-S120,IF(17&lt;=$B120,1,0)*Pre_q,Floor_q)))</f>
        <v>350</v>
      </c>
      <c r="AN120" s="14" t="n">
        <f aca="false">IF(17&gt;$A120,0,IF(17=$A120,MAX(End_q,Floor_q),MAX(AO120+Cost_round*IF(18&lt;=$B120,1,0)-T120,IF(18&lt;=$B120,1,0)*Pre_q,Floor_q)))</f>
        <v>400</v>
      </c>
      <c r="AO120" s="14" t="n">
        <f aca="false">IF(18&gt;$A120,0,IF(18=$A120,MAX(End_q,Floor_q),MAX(AP120+Cost_round*IF(19&lt;=$B120,1,0)-U120,IF(19&lt;=$B120,1,0)*Pre_q,Floor_q)))</f>
        <v>470</v>
      </c>
      <c r="AP120" s="14" t="n">
        <f aca="false">IF(19&gt;$A120,0,IF(19=$A120,MAX(End_q,Floor_q),MAX(AQ120+Cost_round*IF(20&lt;=$B120,1,0)-V120,IF(20&lt;=$B120,1,0)*Pre_q,Floor_q)))</f>
        <v>0</v>
      </c>
      <c r="AQ120" s="14" t="n">
        <f aca="false">IF(20&gt;$A120,0,MAX(End_q,Floor_q))</f>
        <v>0</v>
      </c>
      <c r="AR120" s="15" t="n">
        <f aca="false">IF(Q_zero&gt;=W120-0.000000001,1,0)</f>
        <v>1</v>
      </c>
      <c r="AS120" s="14" t="n">
        <f aca="false">IF(1&gt;$A120,0,Q_zero-Cost_round*IF(1&lt;=$B120,1,0)+C120-X120)</f>
        <v>220</v>
      </c>
      <c r="AT120" s="14" t="n">
        <f aca="false">IF(2&gt;$A120,0,X120-Cost_round*IF(2&lt;=$B120,1,0)+D120-Y120)</f>
        <v>70</v>
      </c>
      <c r="AU120" s="14" t="n">
        <f aca="false">IF(3&gt;$A120,0,Y120-Cost_round*IF(3&lt;=$B120,1,0)+E120-Z120)</f>
        <v>70</v>
      </c>
      <c r="AV120" s="14" t="n">
        <f aca="false">IF(4&gt;$A120,0,Z120-Cost_round*IF(4&lt;=$B120,1,0)+F120-AA120)</f>
        <v>70</v>
      </c>
      <c r="AW120" s="14" t="n">
        <f aca="false">IF(5&gt;$A120,0,AA120-Cost_round*IF(5&lt;=$B120,1,0)+G120-AB120)</f>
        <v>70</v>
      </c>
      <c r="AX120" s="14" t="n">
        <f aca="false">IF(6&gt;$A120,0,AB120-Cost_round*IF(6&lt;=$B120,1,0)+H120-AC120)</f>
        <v>70</v>
      </c>
      <c r="AY120" s="14" t="n">
        <f aca="false">IF(7&gt;$A120,0,AC120-Cost_round*IF(7&lt;=$B120,1,0)+I120-AD120)</f>
        <v>70</v>
      </c>
      <c r="AZ120" s="14" t="n">
        <f aca="false">IF(8&gt;$A120,0,AD120-Cost_round*IF(8&lt;=$B120,1,0)+J120-AE120)</f>
        <v>70</v>
      </c>
      <c r="BA120" s="14" t="n">
        <f aca="false">IF(9&gt;$A120,0,AE120-Cost_round*IF(9&lt;=$B120,1,0)+K120-AF120)</f>
        <v>70</v>
      </c>
      <c r="BB120" s="14" t="n">
        <f aca="false">IF(10&gt;$A120,0,AF120-Cost_round*IF(10&lt;=$B120,1,0)+L120-AG120)</f>
        <v>70</v>
      </c>
      <c r="BC120" s="14" t="n">
        <f aca="false">IF(11&gt;$A120,0,AG120-Cost_round*IF(11&lt;=$B120,1,0)+M120-AH120)</f>
        <v>70</v>
      </c>
      <c r="BD120" s="14" t="n">
        <f aca="false">IF(12&gt;$A120,0,AH120-Cost_round*IF(12&lt;=$B120,1,0)+N120-AI120)</f>
        <v>70</v>
      </c>
      <c r="BE120" s="14" t="n">
        <f aca="false">IF(13&gt;$A120,0,AI120-Cost_round*IF(13&lt;=$B120,1,0)+O120-AJ120)</f>
        <v>70</v>
      </c>
      <c r="BF120" s="14" t="n">
        <f aca="false">IF(14&gt;$A120,0,AJ120-Cost_round*IF(14&lt;=$B120,1,0)+P120-AK120)</f>
        <v>70</v>
      </c>
      <c r="BG120" s="14" t="n">
        <f aca="false">IF(15&gt;$A120,0,AK120-Cost_round*IF(15&lt;=$B120,1,0)+Q120-AL120)</f>
        <v>70</v>
      </c>
      <c r="BH120" s="14" t="n">
        <f aca="false">IF(16&gt;$A120,0,AL120-Cost_round*IF(16&lt;=$B120,1,0)+R120-AM120)</f>
        <v>70</v>
      </c>
      <c r="BI120" s="14" t="n">
        <f aca="false">IF(17&gt;$A120,0,AM120-Cost_round*IF(17&lt;=$B120,1,0)+S120-AN120)</f>
        <v>20</v>
      </c>
      <c r="BJ120" s="14" t="n">
        <f aca="false">IF(18&gt;$A120,0,AN120-Cost_round*IF(18&lt;=$B120,1,0)+T120-AO120)</f>
        <v>0</v>
      </c>
      <c r="BK120" s="14" t="n">
        <f aca="false">IF(19&gt;$A120,0,AO120-Cost_round*IF(19&lt;=$B120,1,0)+U120-AP120)</f>
        <v>0</v>
      </c>
      <c r="BL120" s="14" t="n">
        <f aca="false">IF(20&gt;$A120,0,AP120-Cost_round*IF(20&lt;=$B120,1,0)+V120-AQ120)</f>
        <v>0</v>
      </c>
      <c r="BM120" s="17" t="n">
        <f aca="false">IF($AR120=1,SUMPRODUCT(AS120:BL120,$AS$38:$BL$38),"")</f>
        <v>687.980134688535</v>
      </c>
      <c r="BN120" s="17" t="n">
        <f aca="false">IF($AR120=1,BM120+INDEX($AS$38:$BL$38,$A120)*INDEX(C120:V120,$A120)/Hurdle_r,"")</f>
        <v>813.881287624985</v>
      </c>
    </row>
    <row r="121" customFormat="false" ht="15" hidden="false" customHeight="false" outlineLevel="0" collapsed="false">
      <c r="A121" s="2" t="n">
        <v>18</v>
      </c>
      <c r="B121" s="2" t="n">
        <v>2</v>
      </c>
      <c r="C121" s="14" t="n">
        <f aca="false">IF(1&gt;$A121,0,Val_pt*(Ceiling_e-E_zero)*(1-(1-Half_gap)^MIN(1,$B121)))</f>
        <v>70</v>
      </c>
      <c r="D121" s="14" t="n">
        <f aca="false">IF(2&gt;$A121,0,Val_pt*(Ceiling_e-E_zero)*(1-(1-Half_gap)^MIN(2,$B121)))</f>
        <v>105</v>
      </c>
      <c r="E121" s="14" t="n">
        <f aca="false">IF(3&gt;$A121,0,Val_pt*(Ceiling_e-E_zero)*(1-(1-Half_gap)^MIN(3,$B121)))</f>
        <v>105</v>
      </c>
      <c r="F121" s="14" t="n">
        <f aca="false">IF(4&gt;$A121,0,Val_pt*(Ceiling_e-E_zero)*(1-(1-Half_gap)^MIN(4,$B121)))</f>
        <v>105</v>
      </c>
      <c r="G121" s="14" t="n">
        <f aca="false">IF(5&gt;$A121,0,Val_pt*(Ceiling_e-E_zero)*(1-(1-Half_gap)^MIN(5,$B121)))</f>
        <v>105</v>
      </c>
      <c r="H121" s="14" t="n">
        <f aca="false">IF(6&gt;$A121,0,Val_pt*(Ceiling_e-E_zero)*(1-(1-Half_gap)^MIN(6,$B121)))</f>
        <v>105</v>
      </c>
      <c r="I121" s="14" t="n">
        <f aca="false">IF(7&gt;$A121,0,Val_pt*(Ceiling_e-E_zero)*(1-(1-Half_gap)^MIN(7,$B121)))</f>
        <v>105</v>
      </c>
      <c r="J121" s="14" t="n">
        <f aca="false">IF(8&gt;$A121,0,Val_pt*(Ceiling_e-E_zero)*(1-(1-Half_gap)^MIN(8,$B121)))</f>
        <v>105</v>
      </c>
      <c r="K121" s="14" t="n">
        <f aca="false">IF(9&gt;$A121,0,Val_pt*(Ceiling_e-E_zero)*(1-(1-Half_gap)^MIN(9,$B121)))</f>
        <v>105</v>
      </c>
      <c r="L121" s="14" t="n">
        <f aca="false">IF(10&gt;$A121,0,Val_pt*(Ceiling_e-E_zero)*(1-(1-Half_gap)^MIN(10,$B121)))</f>
        <v>105</v>
      </c>
      <c r="M121" s="14" t="n">
        <f aca="false">IF(11&gt;$A121,0,Val_pt*(Ceiling_e-E_zero)*(1-(1-Half_gap)^MIN(11,$B121)))</f>
        <v>105</v>
      </c>
      <c r="N121" s="14" t="n">
        <f aca="false">IF(12&gt;$A121,0,Val_pt*(Ceiling_e-E_zero)*(1-(1-Half_gap)^MIN(12,$B121)))</f>
        <v>105</v>
      </c>
      <c r="O121" s="14" t="n">
        <f aca="false">IF(13&gt;$A121,0,Val_pt*(Ceiling_e-E_zero)*(1-(1-Half_gap)^MIN(13,$B121)))</f>
        <v>105</v>
      </c>
      <c r="P121" s="14" t="n">
        <f aca="false">IF(14&gt;$A121,0,Val_pt*(Ceiling_e-E_zero)*(1-(1-Half_gap)^MIN(14,$B121)))</f>
        <v>105</v>
      </c>
      <c r="Q121" s="14" t="n">
        <f aca="false">IF(15&gt;$A121,0,Val_pt*(Ceiling_e-E_zero)*(1-(1-Half_gap)^MIN(15,$B121)))</f>
        <v>105</v>
      </c>
      <c r="R121" s="14" t="n">
        <f aca="false">IF(16&gt;$A121,0,Val_pt*(Ceiling_e-E_zero)*(1-(1-Half_gap)^MIN(16,$B121)))</f>
        <v>105</v>
      </c>
      <c r="S121" s="14" t="n">
        <f aca="false">IF(17&gt;$A121,0,Val_pt*(Ceiling_e-E_zero)*(1-(1-Half_gap)^MIN(17,$B121)))</f>
        <v>105</v>
      </c>
      <c r="T121" s="14" t="n">
        <f aca="false">IF(18&gt;$A121,0,Val_pt*(Ceiling_e-E_zero)*(1-(1-Half_gap)^MIN(18,$B121)))</f>
        <v>105</v>
      </c>
      <c r="U121" s="14" t="n">
        <f aca="false">IF(19&gt;$A121,0,Val_pt*(Ceiling_e-E_zero)*(1-(1-Half_gap)^MIN(19,$B121)))</f>
        <v>0</v>
      </c>
      <c r="V121" s="14" t="n">
        <f aca="false">IF(20&gt;$A121,0,Val_pt*(Ceiling_e-E_zero)*(1-(1-Half_gap)^MIN(20,$B121)))</f>
        <v>0</v>
      </c>
      <c r="W121" s="14" t="n">
        <f aca="false">IF(0&gt;$A121,0,IF(0=$A121,MAX(End_q,Floor_q),MAX(X121+Cost_round*IF(1&lt;=$B121,1,0)-C121,IF(1&lt;=$B121,1,0)*Pre_q)))</f>
        <v>520</v>
      </c>
      <c r="X121" s="14" t="n">
        <f aca="false">IF(1&gt;$A121,0,IF(1=$A121,MAX(End_q,Floor_q),MAX(Y121+Cost_round*IF(2&lt;=$B121,1,0)-D121,IF(2&lt;=$B121,1,0)*Pre_q,Floor_q)))</f>
        <v>470</v>
      </c>
      <c r="Y121" s="14" t="n">
        <f aca="false">IF(2&gt;$A121,0,IF(2=$A121,MAX(End_q,Floor_q),MAX(Z121+Cost_round*IF(3&lt;=$B121,1,0)-E121,IF(3&lt;=$B121,1,0)*Pre_q,Floor_q)))</f>
        <v>350</v>
      </c>
      <c r="Z121" s="14" t="n">
        <f aca="false">IF(3&gt;$A121,0,IF(3=$A121,MAX(End_q,Floor_q),MAX(AA121+Cost_round*IF(4&lt;=$B121,1,0)-F121,IF(4&lt;=$B121,1,0)*Pre_q,Floor_q)))</f>
        <v>350</v>
      </c>
      <c r="AA121" s="14" t="n">
        <f aca="false">IF(4&gt;$A121,0,IF(4=$A121,MAX(End_q,Floor_q),MAX(AB121+Cost_round*IF(5&lt;=$B121,1,0)-G121,IF(5&lt;=$B121,1,0)*Pre_q,Floor_q)))</f>
        <v>350</v>
      </c>
      <c r="AB121" s="14" t="n">
        <f aca="false">IF(5&gt;$A121,0,IF(5=$A121,MAX(End_q,Floor_q),MAX(AC121+Cost_round*IF(6&lt;=$B121,1,0)-H121,IF(6&lt;=$B121,1,0)*Pre_q,Floor_q)))</f>
        <v>350</v>
      </c>
      <c r="AC121" s="14" t="n">
        <f aca="false">IF(6&gt;$A121,0,IF(6=$A121,MAX(End_q,Floor_q),MAX(AD121+Cost_round*IF(7&lt;=$B121,1,0)-I121,IF(7&lt;=$B121,1,0)*Pre_q,Floor_q)))</f>
        <v>350</v>
      </c>
      <c r="AD121" s="14" t="n">
        <f aca="false">IF(7&gt;$A121,0,IF(7=$A121,MAX(End_q,Floor_q),MAX(AE121+Cost_round*IF(8&lt;=$B121,1,0)-J121,IF(8&lt;=$B121,1,0)*Pre_q,Floor_q)))</f>
        <v>350</v>
      </c>
      <c r="AE121" s="14" t="n">
        <f aca="false">IF(8&gt;$A121,0,IF(8=$A121,MAX(End_q,Floor_q),MAX(AF121+Cost_round*IF(9&lt;=$B121,1,0)-K121,IF(9&lt;=$B121,1,0)*Pre_q,Floor_q)))</f>
        <v>350</v>
      </c>
      <c r="AF121" s="14" t="n">
        <f aca="false">IF(9&gt;$A121,0,IF(9=$A121,MAX(End_q,Floor_q),MAX(AG121+Cost_round*IF(10&lt;=$B121,1,0)-L121,IF(10&lt;=$B121,1,0)*Pre_q,Floor_q)))</f>
        <v>350</v>
      </c>
      <c r="AG121" s="14" t="n">
        <f aca="false">IF(10&gt;$A121,0,IF(10=$A121,MAX(End_q,Floor_q),MAX(AH121+Cost_round*IF(11&lt;=$B121,1,0)-M121,IF(11&lt;=$B121,1,0)*Pre_q,Floor_q)))</f>
        <v>350</v>
      </c>
      <c r="AH121" s="14" t="n">
        <f aca="false">IF(11&gt;$A121,0,IF(11=$A121,MAX(End_q,Floor_q),MAX(AI121+Cost_round*IF(12&lt;=$B121,1,0)-N121,IF(12&lt;=$B121,1,0)*Pre_q,Floor_q)))</f>
        <v>350</v>
      </c>
      <c r="AI121" s="14" t="n">
        <f aca="false">IF(12&gt;$A121,0,IF(12=$A121,MAX(End_q,Floor_q),MAX(AJ121+Cost_round*IF(13&lt;=$B121,1,0)-O121,IF(13&lt;=$B121,1,0)*Pre_q,Floor_q)))</f>
        <v>350</v>
      </c>
      <c r="AJ121" s="14" t="n">
        <f aca="false">IF(13&gt;$A121,0,IF(13=$A121,MAX(End_q,Floor_q),MAX(AK121+Cost_round*IF(14&lt;=$B121,1,0)-P121,IF(14&lt;=$B121,1,0)*Pre_q,Floor_q)))</f>
        <v>350</v>
      </c>
      <c r="AK121" s="14" t="n">
        <f aca="false">IF(14&gt;$A121,0,IF(14=$A121,MAX(End_q,Floor_q),MAX(AL121+Cost_round*IF(15&lt;=$B121,1,0)-Q121,IF(15&lt;=$B121,1,0)*Pre_q,Floor_q)))</f>
        <v>350</v>
      </c>
      <c r="AL121" s="14" t="n">
        <f aca="false">IF(15&gt;$A121,0,IF(15=$A121,MAX(End_q,Floor_q),MAX(AM121+Cost_round*IF(16&lt;=$B121,1,0)-R121,IF(16&lt;=$B121,1,0)*Pre_q,Floor_q)))</f>
        <v>350</v>
      </c>
      <c r="AM121" s="14" t="n">
        <f aca="false">IF(16&gt;$A121,0,IF(16=$A121,MAX(End_q,Floor_q),MAX(AN121+Cost_round*IF(17&lt;=$B121,1,0)-S121,IF(17&lt;=$B121,1,0)*Pre_q,Floor_q)))</f>
        <v>350</v>
      </c>
      <c r="AN121" s="14" t="n">
        <f aca="false">IF(17&gt;$A121,0,IF(17=$A121,MAX(End_q,Floor_q),MAX(AO121+Cost_round*IF(18&lt;=$B121,1,0)-T121,IF(18&lt;=$B121,1,0)*Pre_q,Floor_q)))</f>
        <v>365</v>
      </c>
      <c r="AO121" s="14" t="n">
        <f aca="false">IF(18&gt;$A121,0,IF(18=$A121,MAX(End_q,Floor_q),MAX(AP121+Cost_round*IF(19&lt;=$B121,1,0)-U121,IF(19&lt;=$B121,1,0)*Pre_q,Floor_q)))</f>
        <v>470</v>
      </c>
      <c r="AP121" s="14" t="n">
        <f aca="false">IF(19&gt;$A121,0,IF(19=$A121,MAX(End_q,Floor_q),MAX(AQ121+Cost_round*IF(20&lt;=$B121,1,0)-V121,IF(20&lt;=$B121,1,0)*Pre_q,Floor_q)))</f>
        <v>0</v>
      </c>
      <c r="AQ121" s="14" t="n">
        <f aca="false">IF(20&gt;$A121,0,MAX(End_q,Floor_q))</f>
        <v>0</v>
      </c>
      <c r="AR121" s="15" t="n">
        <f aca="false">IF(Q_zero&gt;=W121-0.000000001,1,0)</f>
        <v>1</v>
      </c>
      <c r="AS121" s="14" t="n">
        <f aca="false">IF(1&gt;$A121,0,Q_zero-Cost_round*IF(1&lt;=$B121,1,0)+C121-X121)</f>
        <v>100</v>
      </c>
      <c r="AT121" s="14" t="n">
        <f aca="false">IF(2&gt;$A121,0,X121-Cost_round*IF(2&lt;=$B121,1,0)+D121-Y121)</f>
        <v>105</v>
      </c>
      <c r="AU121" s="14" t="n">
        <f aca="false">IF(3&gt;$A121,0,Y121-Cost_round*IF(3&lt;=$B121,1,0)+E121-Z121)</f>
        <v>105</v>
      </c>
      <c r="AV121" s="14" t="n">
        <f aca="false">IF(4&gt;$A121,0,Z121-Cost_round*IF(4&lt;=$B121,1,0)+F121-AA121)</f>
        <v>105</v>
      </c>
      <c r="AW121" s="14" t="n">
        <f aca="false">IF(5&gt;$A121,0,AA121-Cost_round*IF(5&lt;=$B121,1,0)+G121-AB121)</f>
        <v>105</v>
      </c>
      <c r="AX121" s="14" t="n">
        <f aca="false">IF(6&gt;$A121,0,AB121-Cost_round*IF(6&lt;=$B121,1,0)+H121-AC121)</f>
        <v>105</v>
      </c>
      <c r="AY121" s="14" t="n">
        <f aca="false">IF(7&gt;$A121,0,AC121-Cost_round*IF(7&lt;=$B121,1,0)+I121-AD121)</f>
        <v>105</v>
      </c>
      <c r="AZ121" s="14" t="n">
        <f aca="false">IF(8&gt;$A121,0,AD121-Cost_round*IF(8&lt;=$B121,1,0)+J121-AE121)</f>
        <v>105</v>
      </c>
      <c r="BA121" s="14" t="n">
        <f aca="false">IF(9&gt;$A121,0,AE121-Cost_round*IF(9&lt;=$B121,1,0)+K121-AF121)</f>
        <v>105</v>
      </c>
      <c r="BB121" s="14" t="n">
        <f aca="false">IF(10&gt;$A121,0,AF121-Cost_round*IF(10&lt;=$B121,1,0)+L121-AG121)</f>
        <v>105</v>
      </c>
      <c r="BC121" s="14" t="n">
        <f aca="false">IF(11&gt;$A121,0,AG121-Cost_round*IF(11&lt;=$B121,1,0)+M121-AH121)</f>
        <v>105</v>
      </c>
      <c r="BD121" s="14" t="n">
        <f aca="false">IF(12&gt;$A121,0,AH121-Cost_round*IF(12&lt;=$B121,1,0)+N121-AI121)</f>
        <v>105</v>
      </c>
      <c r="BE121" s="14" t="n">
        <f aca="false">IF(13&gt;$A121,0,AI121-Cost_round*IF(13&lt;=$B121,1,0)+O121-AJ121)</f>
        <v>105</v>
      </c>
      <c r="BF121" s="14" t="n">
        <f aca="false">IF(14&gt;$A121,0,AJ121-Cost_round*IF(14&lt;=$B121,1,0)+P121-AK121)</f>
        <v>105</v>
      </c>
      <c r="BG121" s="14" t="n">
        <f aca="false">IF(15&gt;$A121,0,AK121-Cost_round*IF(15&lt;=$B121,1,0)+Q121-AL121)</f>
        <v>105</v>
      </c>
      <c r="BH121" s="14" t="n">
        <f aca="false">IF(16&gt;$A121,0,AL121-Cost_round*IF(16&lt;=$B121,1,0)+R121-AM121)</f>
        <v>105</v>
      </c>
      <c r="BI121" s="14" t="n">
        <f aca="false">IF(17&gt;$A121,0,AM121-Cost_round*IF(17&lt;=$B121,1,0)+S121-AN121)</f>
        <v>90</v>
      </c>
      <c r="BJ121" s="14" t="n">
        <f aca="false">IF(18&gt;$A121,0,AN121-Cost_round*IF(18&lt;=$B121,1,0)+T121-AO121)</f>
        <v>0</v>
      </c>
      <c r="BK121" s="14" t="n">
        <f aca="false">IF(19&gt;$A121,0,AO121-Cost_round*IF(19&lt;=$B121,1,0)+U121-AP121)</f>
        <v>0</v>
      </c>
      <c r="BL121" s="14" t="n">
        <f aca="false">IF(20&gt;$A121,0,AP121-Cost_round*IF(20&lt;=$B121,1,0)+V121-AQ121)</f>
        <v>0</v>
      </c>
      <c r="BM121" s="17" t="n">
        <f aca="false">IF($AR121=1,SUMPRODUCT(AS121:BL121,$AS$38:$BL$38),"")</f>
        <v>834.749973075901</v>
      </c>
      <c r="BN121" s="17" t="n">
        <f aca="false">IF($AR121=1,BM121+INDEX($AS$38:$BL$38,$A121)*INDEX(C121:V121,$A121)/Hurdle_r,"")</f>
        <v>1023.60170248058</v>
      </c>
    </row>
    <row r="122" customFormat="false" ht="15" hidden="false" customHeight="false" outlineLevel="0" collapsed="false">
      <c r="A122" s="2" t="n">
        <v>18</v>
      </c>
      <c r="B122" s="2" t="n">
        <v>3</v>
      </c>
      <c r="C122" s="14" t="n">
        <f aca="false">IF(1&gt;$A122,0,Val_pt*(Ceiling_e-E_zero)*(1-(1-Half_gap)^MIN(1,$B122)))</f>
        <v>70</v>
      </c>
      <c r="D122" s="14" t="n">
        <f aca="false">IF(2&gt;$A122,0,Val_pt*(Ceiling_e-E_zero)*(1-(1-Half_gap)^MIN(2,$B122)))</f>
        <v>105</v>
      </c>
      <c r="E122" s="14" t="n">
        <f aca="false">IF(3&gt;$A122,0,Val_pt*(Ceiling_e-E_zero)*(1-(1-Half_gap)^MIN(3,$B122)))</f>
        <v>122.5</v>
      </c>
      <c r="F122" s="14" t="n">
        <f aca="false">IF(4&gt;$A122,0,Val_pt*(Ceiling_e-E_zero)*(1-(1-Half_gap)^MIN(4,$B122)))</f>
        <v>122.5</v>
      </c>
      <c r="G122" s="14" t="n">
        <f aca="false">IF(5&gt;$A122,0,Val_pt*(Ceiling_e-E_zero)*(1-(1-Half_gap)^MIN(5,$B122)))</f>
        <v>122.5</v>
      </c>
      <c r="H122" s="14" t="n">
        <f aca="false">IF(6&gt;$A122,0,Val_pt*(Ceiling_e-E_zero)*(1-(1-Half_gap)^MIN(6,$B122)))</f>
        <v>122.5</v>
      </c>
      <c r="I122" s="14" t="n">
        <f aca="false">IF(7&gt;$A122,0,Val_pt*(Ceiling_e-E_zero)*(1-(1-Half_gap)^MIN(7,$B122)))</f>
        <v>122.5</v>
      </c>
      <c r="J122" s="14" t="n">
        <f aca="false">IF(8&gt;$A122,0,Val_pt*(Ceiling_e-E_zero)*(1-(1-Half_gap)^MIN(8,$B122)))</f>
        <v>122.5</v>
      </c>
      <c r="K122" s="14" t="n">
        <f aca="false">IF(9&gt;$A122,0,Val_pt*(Ceiling_e-E_zero)*(1-(1-Half_gap)^MIN(9,$B122)))</f>
        <v>122.5</v>
      </c>
      <c r="L122" s="14" t="n">
        <f aca="false">IF(10&gt;$A122,0,Val_pt*(Ceiling_e-E_zero)*(1-(1-Half_gap)^MIN(10,$B122)))</f>
        <v>122.5</v>
      </c>
      <c r="M122" s="14" t="n">
        <f aca="false">IF(11&gt;$A122,0,Val_pt*(Ceiling_e-E_zero)*(1-(1-Half_gap)^MIN(11,$B122)))</f>
        <v>122.5</v>
      </c>
      <c r="N122" s="14" t="n">
        <f aca="false">IF(12&gt;$A122,0,Val_pt*(Ceiling_e-E_zero)*(1-(1-Half_gap)^MIN(12,$B122)))</f>
        <v>122.5</v>
      </c>
      <c r="O122" s="14" t="n">
        <f aca="false">IF(13&gt;$A122,0,Val_pt*(Ceiling_e-E_zero)*(1-(1-Half_gap)^MIN(13,$B122)))</f>
        <v>122.5</v>
      </c>
      <c r="P122" s="14" t="n">
        <f aca="false">IF(14&gt;$A122,0,Val_pt*(Ceiling_e-E_zero)*(1-(1-Half_gap)^MIN(14,$B122)))</f>
        <v>122.5</v>
      </c>
      <c r="Q122" s="14" t="n">
        <f aca="false">IF(15&gt;$A122,0,Val_pt*(Ceiling_e-E_zero)*(1-(1-Half_gap)^MIN(15,$B122)))</f>
        <v>122.5</v>
      </c>
      <c r="R122" s="14" t="n">
        <f aca="false">IF(16&gt;$A122,0,Val_pt*(Ceiling_e-E_zero)*(1-(1-Half_gap)^MIN(16,$B122)))</f>
        <v>122.5</v>
      </c>
      <c r="S122" s="14" t="n">
        <f aca="false">IF(17&gt;$A122,0,Val_pt*(Ceiling_e-E_zero)*(1-(1-Half_gap)^MIN(17,$B122)))</f>
        <v>122.5</v>
      </c>
      <c r="T122" s="14" t="n">
        <f aca="false">IF(18&gt;$A122,0,Val_pt*(Ceiling_e-E_zero)*(1-(1-Half_gap)^MIN(18,$B122)))</f>
        <v>122.5</v>
      </c>
      <c r="U122" s="14" t="n">
        <f aca="false">IF(19&gt;$A122,0,Val_pt*(Ceiling_e-E_zero)*(1-(1-Half_gap)^MIN(19,$B122)))</f>
        <v>0</v>
      </c>
      <c r="V122" s="14" t="n">
        <f aca="false">IF(20&gt;$A122,0,Val_pt*(Ceiling_e-E_zero)*(1-(1-Half_gap)^MIN(20,$B122)))</f>
        <v>0</v>
      </c>
      <c r="W122" s="14" t="n">
        <f aca="false">IF(0&gt;$A122,0,IF(0=$A122,MAX(End_q,Floor_q),MAX(X122+Cost_round*IF(1&lt;=$B122,1,0)-C122,IF(1&lt;=$B122,1,0)*Pre_q)))</f>
        <v>535</v>
      </c>
      <c r="X122" s="14" t="n">
        <f aca="false">IF(1&gt;$A122,0,IF(1=$A122,MAX(End_q,Floor_q),MAX(Y122+Cost_round*IF(2&lt;=$B122,1,0)-D122,IF(2&lt;=$B122,1,0)*Pre_q,Floor_q)))</f>
        <v>485</v>
      </c>
      <c r="Y122" s="14" t="n">
        <f aca="false">IF(2&gt;$A122,0,IF(2=$A122,MAX(End_q,Floor_q),MAX(Z122+Cost_round*IF(3&lt;=$B122,1,0)-E122,IF(3&lt;=$B122,1,0)*Pre_q,Floor_q)))</f>
        <v>470</v>
      </c>
      <c r="Z122" s="14" t="n">
        <f aca="false">IF(3&gt;$A122,0,IF(3=$A122,MAX(End_q,Floor_q),MAX(AA122+Cost_round*IF(4&lt;=$B122,1,0)-F122,IF(4&lt;=$B122,1,0)*Pre_q,Floor_q)))</f>
        <v>350</v>
      </c>
      <c r="AA122" s="14" t="n">
        <f aca="false">IF(4&gt;$A122,0,IF(4=$A122,MAX(End_q,Floor_q),MAX(AB122+Cost_round*IF(5&lt;=$B122,1,0)-G122,IF(5&lt;=$B122,1,0)*Pre_q,Floor_q)))</f>
        <v>350</v>
      </c>
      <c r="AB122" s="14" t="n">
        <f aca="false">IF(5&gt;$A122,0,IF(5=$A122,MAX(End_q,Floor_q),MAX(AC122+Cost_round*IF(6&lt;=$B122,1,0)-H122,IF(6&lt;=$B122,1,0)*Pre_q,Floor_q)))</f>
        <v>350</v>
      </c>
      <c r="AC122" s="14" t="n">
        <f aca="false">IF(6&gt;$A122,0,IF(6=$A122,MAX(End_q,Floor_q),MAX(AD122+Cost_round*IF(7&lt;=$B122,1,0)-I122,IF(7&lt;=$B122,1,0)*Pre_q,Floor_q)))</f>
        <v>350</v>
      </c>
      <c r="AD122" s="14" t="n">
        <f aca="false">IF(7&gt;$A122,0,IF(7=$A122,MAX(End_q,Floor_q),MAX(AE122+Cost_round*IF(8&lt;=$B122,1,0)-J122,IF(8&lt;=$B122,1,0)*Pre_q,Floor_q)))</f>
        <v>350</v>
      </c>
      <c r="AE122" s="14" t="n">
        <f aca="false">IF(8&gt;$A122,0,IF(8=$A122,MAX(End_q,Floor_q),MAX(AF122+Cost_round*IF(9&lt;=$B122,1,0)-K122,IF(9&lt;=$B122,1,0)*Pre_q,Floor_q)))</f>
        <v>350</v>
      </c>
      <c r="AF122" s="14" t="n">
        <f aca="false">IF(9&gt;$A122,0,IF(9=$A122,MAX(End_q,Floor_q),MAX(AG122+Cost_round*IF(10&lt;=$B122,1,0)-L122,IF(10&lt;=$B122,1,0)*Pre_q,Floor_q)))</f>
        <v>350</v>
      </c>
      <c r="AG122" s="14" t="n">
        <f aca="false">IF(10&gt;$A122,0,IF(10=$A122,MAX(End_q,Floor_q),MAX(AH122+Cost_round*IF(11&lt;=$B122,1,0)-M122,IF(11&lt;=$B122,1,0)*Pre_q,Floor_q)))</f>
        <v>350</v>
      </c>
      <c r="AH122" s="14" t="n">
        <f aca="false">IF(11&gt;$A122,0,IF(11=$A122,MAX(End_q,Floor_q),MAX(AI122+Cost_round*IF(12&lt;=$B122,1,0)-N122,IF(12&lt;=$B122,1,0)*Pre_q,Floor_q)))</f>
        <v>350</v>
      </c>
      <c r="AI122" s="14" t="n">
        <f aca="false">IF(12&gt;$A122,0,IF(12=$A122,MAX(End_q,Floor_q),MAX(AJ122+Cost_round*IF(13&lt;=$B122,1,0)-O122,IF(13&lt;=$B122,1,0)*Pre_q,Floor_q)))</f>
        <v>350</v>
      </c>
      <c r="AJ122" s="14" t="n">
        <f aca="false">IF(13&gt;$A122,0,IF(13=$A122,MAX(End_q,Floor_q),MAX(AK122+Cost_round*IF(14&lt;=$B122,1,0)-P122,IF(14&lt;=$B122,1,0)*Pre_q,Floor_q)))</f>
        <v>350</v>
      </c>
      <c r="AK122" s="14" t="n">
        <f aca="false">IF(14&gt;$A122,0,IF(14=$A122,MAX(End_q,Floor_q),MAX(AL122+Cost_round*IF(15&lt;=$B122,1,0)-Q122,IF(15&lt;=$B122,1,0)*Pre_q,Floor_q)))</f>
        <v>350</v>
      </c>
      <c r="AL122" s="14" t="n">
        <f aca="false">IF(15&gt;$A122,0,IF(15=$A122,MAX(End_q,Floor_q),MAX(AM122+Cost_round*IF(16&lt;=$B122,1,0)-R122,IF(16&lt;=$B122,1,0)*Pre_q,Floor_q)))</f>
        <v>350</v>
      </c>
      <c r="AM122" s="14" t="n">
        <f aca="false">IF(16&gt;$A122,0,IF(16=$A122,MAX(End_q,Floor_q),MAX(AN122+Cost_round*IF(17&lt;=$B122,1,0)-S122,IF(17&lt;=$B122,1,0)*Pre_q,Floor_q)))</f>
        <v>350</v>
      </c>
      <c r="AN122" s="14" t="n">
        <f aca="false">IF(17&gt;$A122,0,IF(17=$A122,MAX(End_q,Floor_q),MAX(AO122+Cost_round*IF(18&lt;=$B122,1,0)-T122,IF(18&lt;=$B122,1,0)*Pre_q,Floor_q)))</f>
        <v>350</v>
      </c>
      <c r="AO122" s="14" t="n">
        <f aca="false">IF(18&gt;$A122,0,IF(18=$A122,MAX(End_q,Floor_q),MAX(AP122+Cost_round*IF(19&lt;=$B122,1,0)-U122,IF(19&lt;=$B122,1,0)*Pre_q,Floor_q)))</f>
        <v>470</v>
      </c>
      <c r="AP122" s="14" t="n">
        <f aca="false">IF(19&gt;$A122,0,IF(19=$A122,MAX(End_q,Floor_q),MAX(AQ122+Cost_round*IF(20&lt;=$B122,1,0)-V122,IF(20&lt;=$B122,1,0)*Pre_q,Floor_q)))</f>
        <v>0</v>
      </c>
      <c r="AQ122" s="14" t="n">
        <f aca="false">IF(20&gt;$A122,0,MAX(End_q,Floor_q))</f>
        <v>0</v>
      </c>
      <c r="AR122" s="15" t="n">
        <f aca="false">IF(Q_zero&gt;=W122-0.000000001,1,0)</f>
        <v>1</v>
      </c>
      <c r="AS122" s="14" t="n">
        <f aca="false">IF(1&gt;$A122,0,Q_zero-Cost_round*IF(1&lt;=$B122,1,0)+C122-X122)</f>
        <v>85</v>
      </c>
      <c r="AT122" s="14" t="n">
        <f aca="false">IF(2&gt;$A122,0,X122-Cost_round*IF(2&lt;=$B122,1,0)+D122-Y122)</f>
        <v>0</v>
      </c>
      <c r="AU122" s="14" t="n">
        <f aca="false">IF(3&gt;$A122,0,Y122-Cost_round*IF(3&lt;=$B122,1,0)+E122-Z122)</f>
        <v>122.5</v>
      </c>
      <c r="AV122" s="14" t="n">
        <f aca="false">IF(4&gt;$A122,0,Z122-Cost_round*IF(4&lt;=$B122,1,0)+F122-AA122)</f>
        <v>122.5</v>
      </c>
      <c r="AW122" s="14" t="n">
        <f aca="false">IF(5&gt;$A122,0,AA122-Cost_round*IF(5&lt;=$B122,1,0)+G122-AB122)</f>
        <v>122.5</v>
      </c>
      <c r="AX122" s="14" t="n">
        <f aca="false">IF(6&gt;$A122,0,AB122-Cost_round*IF(6&lt;=$B122,1,0)+H122-AC122)</f>
        <v>122.5</v>
      </c>
      <c r="AY122" s="14" t="n">
        <f aca="false">IF(7&gt;$A122,0,AC122-Cost_round*IF(7&lt;=$B122,1,0)+I122-AD122)</f>
        <v>122.5</v>
      </c>
      <c r="AZ122" s="14" t="n">
        <f aca="false">IF(8&gt;$A122,0,AD122-Cost_round*IF(8&lt;=$B122,1,0)+J122-AE122)</f>
        <v>122.5</v>
      </c>
      <c r="BA122" s="14" t="n">
        <f aca="false">IF(9&gt;$A122,0,AE122-Cost_round*IF(9&lt;=$B122,1,0)+K122-AF122)</f>
        <v>122.5</v>
      </c>
      <c r="BB122" s="14" t="n">
        <f aca="false">IF(10&gt;$A122,0,AF122-Cost_round*IF(10&lt;=$B122,1,0)+L122-AG122)</f>
        <v>122.5</v>
      </c>
      <c r="BC122" s="14" t="n">
        <f aca="false">IF(11&gt;$A122,0,AG122-Cost_round*IF(11&lt;=$B122,1,0)+M122-AH122)</f>
        <v>122.5</v>
      </c>
      <c r="BD122" s="14" t="n">
        <f aca="false">IF(12&gt;$A122,0,AH122-Cost_round*IF(12&lt;=$B122,1,0)+N122-AI122)</f>
        <v>122.5</v>
      </c>
      <c r="BE122" s="14" t="n">
        <f aca="false">IF(13&gt;$A122,0,AI122-Cost_round*IF(13&lt;=$B122,1,0)+O122-AJ122)</f>
        <v>122.5</v>
      </c>
      <c r="BF122" s="14" t="n">
        <f aca="false">IF(14&gt;$A122,0,AJ122-Cost_round*IF(14&lt;=$B122,1,0)+P122-AK122)</f>
        <v>122.5</v>
      </c>
      <c r="BG122" s="14" t="n">
        <f aca="false">IF(15&gt;$A122,0,AK122-Cost_round*IF(15&lt;=$B122,1,0)+Q122-AL122)</f>
        <v>122.5</v>
      </c>
      <c r="BH122" s="14" t="n">
        <f aca="false">IF(16&gt;$A122,0,AL122-Cost_round*IF(16&lt;=$B122,1,0)+R122-AM122)</f>
        <v>122.5</v>
      </c>
      <c r="BI122" s="14" t="n">
        <f aca="false">IF(17&gt;$A122,0,AM122-Cost_round*IF(17&lt;=$B122,1,0)+S122-AN122)</f>
        <v>122.5</v>
      </c>
      <c r="BJ122" s="14" t="n">
        <f aca="false">IF(18&gt;$A122,0,AN122-Cost_round*IF(18&lt;=$B122,1,0)+T122-AO122)</f>
        <v>2.5</v>
      </c>
      <c r="BK122" s="14" t="n">
        <f aca="false">IF(19&gt;$A122,0,AO122-Cost_round*IF(19&lt;=$B122,1,0)+U122-AP122)</f>
        <v>0</v>
      </c>
      <c r="BL122" s="14" t="n">
        <f aca="false">IF(20&gt;$A122,0,AP122-Cost_round*IF(20&lt;=$B122,1,0)+V122-AQ122)</f>
        <v>0</v>
      </c>
      <c r="BM122" s="17" t="n">
        <f aca="false">IF($AR122=1,SUMPRODUCT(AS122:BL122,$AS$38:$BL$38),"")</f>
        <v>847.75934905971</v>
      </c>
      <c r="BN122" s="17" t="n">
        <f aca="false">IF($AR122=1,BM122+INDEX($AS$38:$BL$38,$A122)*INDEX(C122:V122,$A122)/Hurdle_r,"")</f>
        <v>1068.0863666985</v>
      </c>
    </row>
    <row r="123" customFormat="false" ht="15" hidden="false" customHeight="false" outlineLevel="0" collapsed="false">
      <c r="A123" s="2" t="n">
        <v>18</v>
      </c>
      <c r="B123" s="2" t="n">
        <v>4</v>
      </c>
      <c r="C123" s="14" t="n">
        <f aca="false">IF(1&gt;$A123,0,Val_pt*(Ceiling_e-E_zero)*(1-(1-Half_gap)^MIN(1,$B123)))</f>
        <v>70</v>
      </c>
      <c r="D123" s="14" t="n">
        <f aca="false">IF(2&gt;$A123,0,Val_pt*(Ceiling_e-E_zero)*(1-(1-Half_gap)^MIN(2,$B123)))</f>
        <v>105</v>
      </c>
      <c r="E123" s="14" t="n">
        <f aca="false">IF(3&gt;$A123,0,Val_pt*(Ceiling_e-E_zero)*(1-(1-Half_gap)^MIN(3,$B123)))</f>
        <v>122.5</v>
      </c>
      <c r="F123" s="14" t="n">
        <f aca="false">IF(4&gt;$A123,0,Val_pt*(Ceiling_e-E_zero)*(1-(1-Half_gap)^MIN(4,$B123)))</f>
        <v>131.25</v>
      </c>
      <c r="G123" s="14" t="n">
        <f aca="false">IF(5&gt;$A123,0,Val_pt*(Ceiling_e-E_zero)*(1-(1-Half_gap)^MIN(5,$B123)))</f>
        <v>131.25</v>
      </c>
      <c r="H123" s="14" t="n">
        <f aca="false">IF(6&gt;$A123,0,Val_pt*(Ceiling_e-E_zero)*(1-(1-Half_gap)^MIN(6,$B123)))</f>
        <v>131.25</v>
      </c>
      <c r="I123" s="14" t="n">
        <f aca="false">IF(7&gt;$A123,0,Val_pt*(Ceiling_e-E_zero)*(1-(1-Half_gap)^MIN(7,$B123)))</f>
        <v>131.25</v>
      </c>
      <c r="J123" s="14" t="n">
        <f aca="false">IF(8&gt;$A123,0,Val_pt*(Ceiling_e-E_zero)*(1-(1-Half_gap)^MIN(8,$B123)))</f>
        <v>131.25</v>
      </c>
      <c r="K123" s="14" t="n">
        <f aca="false">IF(9&gt;$A123,0,Val_pt*(Ceiling_e-E_zero)*(1-(1-Half_gap)^MIN(9,$B123)))</f>
        <v>131.25</v>
      </c>
      <c r="L123" s="14" t="n">
        <f aca="false">IF(10&gt;$A123,0,Val_pt*(Ceiling_e-E_zero)*(1-(1-Half_gap)^MIN(10,$B123)))</f>
        <v>131.25</v>
      </c>
      <c r="M123" s="14" t="n">
        <f aca="false">IF(11&gt;$A123,0,Val_pt*(Ceiling_e-E_zero)*(1-(1-Half_gap)^MIN(11,$B123)))</f>
        <v>131.25</v>
      </c>
      <c r="N123" s="14" t="n">
        <f aca="false">IF(12&gt;$A123,0,Val_pt*(Ceiling_e-E_zero)*(1-(1-Half_gap)^MIN(12,$B123)))</f>
        <v>131.25</v>
      </c>
      <c r="O123" s="14" t="n">
        <f aca="false">IF(13&gt;$A123,0,Val_pt*(Ceiling_e-E_zero)*(1-(1-Half_gap)^MIN(13,$B123)))</f>
        <v>131.25</v>
      </c>
      <c r="P123" s="14" t="n">
        <f aca="false">IF(14&gt;$A123,0,Val_pt*(Ceiling_e-E_zero)*(1-(1-Half_gap)^MIN(14,$B123)))</f>
        <v>131.25</v>
      </c>
      <c r="Q123" s="14" t="n">
        <f aca="false">IF(15&gt;$A123,0,Val_pt*(Ceiling_e-E_zero)*(1-(1-Half_gap)^MIN(15,$B123)))</f>
        <v>131.25</v>
      </c>
      <c r="R123" s="14" t="n">
        <f aca="false">IF(16&gt;$A123,0,Val_pt*(Ceiling_e-E_zero)*(1-(1-Half_gap)^MIN(16,$B123)))</f>
        <v>131.25</v>
      </c>
      <c r="S123" s="14" t="n">
        <f aca="false">IF(17&gt;$A123,0,Val_pt*(Ceiling_e-E_zero)*(1-(1-Half_gap)^MIN(17,$B123)))</f>
        <v>131.25</v>
      </c>
      <c r="T123" s="14" t="n">
        <f aca="false">IF(18&gt;$A123,0,Val_pt*(Ceiling_e-E_zero)*(1-(1-Half_gap)^MIN(18,$B123)))</f>
        <v>131.25</v>
      </c>
      <c r="U123" s="14" t="n">
        <f aca="false">IF(19&gt;$A123,0,Val_pt*(Ceiling_e-E_zero)*(1-(1-Half_gap)^MIN(19,$B123)))</f>
        <v>0</v>
      </c>
      <c r="V123" s="14" t="n">
        <f aca="false">IF(20&gt;$A123,0,Val_pt*(Ceiling_e-E_zero)*(1-(1-Half_gap)^MIN(20,$B123)))</f>
        <v>0</v>
      </c>
      <c r="W123" s="14" t="n">
        <f aca="false">IF(0&gt;$A123,0,IF(0=$A123,MAX(End_q,Floor_q),MAX(X123+Cost_round*IF(1&lt;=$B123,1,0)-C123,IF(1&lt;=$B123,1,0)*Pre_q)))</f>
        <v>535</v>
      </c>
      <c r="X123" s="14" t="n">
        <f aca="false">IF(1&gt;$A123,0,IF(1=$A123,MAX(End_q,Floor_q),MAX(Y123+Cost_round*IF(2&lt;=$B123,1,0)-D123,IF(2&lt;=$B123,1,0)*Pre_q,Floor_q)))</f>
        <v>485</v>
      </c>
      <c r="Y123" s="14" t="n">
        <f aca="false">IF(2&gt;$A123,0,IF(2=$A123,MAX(End_q,Floor_q),MAX(Z123+Cost_round*IF(3&lt;=$B123,1,0)-E123,IF(3&lt;=$B123,1,0)*Pre_q,Floor_q)))</f>
        <v>470</v>
      </c>
      <c r="Z123" s="14" t="n">
        <f aca="false">IF(3&gt;$A123,0,IF(3=$A123,MAX(End_q,Floor_q),MAX(AA123+Cost_round*IF(4&lt;=$B123,1,0)-F123,IF(4&lt;=$B123,1,0)*Pre_q,Floor_q)))</f>
        <v>470</v>
      </c>
      <c r="AA123" s="14" t="n">
        <f aca="false">IF(4&gt;$A123,0,IF(4=$A123,MAX(End_q,Floor_q),MAX(AB123+Cost_round*IF(5&lt;=$B123,1,0)-G123,IF(5&lt;=$B123,1,0)*Pre_q,Floor_q)))</f>
        <v>350</v>
      </c>
      <c r="AB123" s="14" t="n">
        <f aca="false">IF(5&gt;$A123,0,IF(5=$A123,MAX(End_q,Floor_q),MAX(AC123+Cost_round*IF(6&lt;=$B123,1,0)-H123,IF(6&lt;=$B123,1,0)*Pre_q,Floor_q)))</f>
        <v>350</v>
      </c>
      <c r="AC123" s="14" t="n">
        <f aca="false">IF(6&gt;$A123,0,IF(6=$A123,MAX(End_q,Floor_q),MAX(AD123+Cost_round*IF(7&lt;=$B123,1,0)-I123,IF(7&lt;=$B123,1,0)*Pre_q,Floor_q)))</f>
        <v>350</v>
      </c>
      <c r="AD123" s="14" t="n">
        <f aca="false">IF(7&gt;$A123,0,IF(7=$A123,MAX(End_q,Floor_q),MAX(AE123+Cost_round*IF(8&lt;=$B123,1,0)-J123,IF(8&lt;=$B123,1,0)*Pre_q,Floor_q)))</f>
        <v>350</v>
      </c>
      <c r="AE123" s="14" t="n">
        <f aca="false">IF(8&gt;$A123,0,IF(8=$A123,MAX(End_q,Floor_q),MAX(AF123+Cost_round*IF(9&lt;=$B123,1,0)-K123,IF(9&lt;=$B123,1,0)*Pre_q,Floor_q)))</f>
        <v>350</v>
      </c>
      <c r="AF123" s="14" t="n">
        <f aca="false">IF(9&gt;$A123,0,IF(9=$A123,MAX(End_q,Floor_q),MAX(AG123+Cost_round*IF(10&lt;=$B123,1,0)-L123,IF(10&lt;=$B123,1,0)*Pre_q,Floor_q)))</f>
        <v>350</v>
      </c>
      <c r="AG123" s="14" t="n">
        <f aca="false">IF(10&gt;$A123,0,IF(10=$A123,MAX(End_q,Floor_q),MAX(AH123+Cost_round*IF(11&lt;=$B123,1,0)-M123,IF(11&lt;=$B123,1,0)*Pre_q,Floor_q)))</f>
        <v>350</v>
      </c>
      <c r="AH123" s="14" t="n">
        <f aca="false">IF(11&gt;$A123,0,IF(11=$A123,MAX(End_q,Floor_q),MAX(AI123+Cost_round*IF(12&lt;=$B123,1,0)-N123,IF(12&lt;=$B123,1,0)*Pre_q,Floor_q)))</f>
        <v>350</v>
      </c>
      <c r="AI123" s="14" t="n">
        <f aca="false">IF(12&gt;$A123,0,IF(12=$A123,MAX(End_q,Floor_q),MAX(AJ123+Cost_round*IF(13&lt;=$B123,1,0)-O123,IF(13&lt;=$B123,1,0)*Pre_q,Floor_q)))</f>
        <v>350</v>
      </c>
      <c r="AJ123" s="14" t="n">
        <f aca="false">IF(13&gt;$A123,0,IF(13=$A123,MAX(End_q,Floor_q),MAX(AK123+Cost_round*IF(14&lt;=$B123,1,0)-P123,IF(14&lt;=$B123,1,0)*Pre_q,Floor_q)))</f>
        <v>350</v>
      </c>
      <c r="AK123" s="14" t="n">
        <f aca="false">IF(14&gt;$A123,0,IF(14=$A123,MAX(End_q,Floor_q),MAX(AL123+Cost_round*IF(15&lt;=$B123,1,0)-Q123,IF(15&lt;=$B123,1,0)*Pre_q,Floor_q)))</f>
        <v>350</v>
      </c>
      <c r="AL123" s="14" t="n">
        <f aca="false">IF(15&gt;$A123,0,IF(15=$A123,MAX(End_q,Floor_q),MAX(AM123+Cost_round*IF(16&lt;=$B123,1,0)-R123,IF(16&lt;=$B123,1,0)*Pre_q,Floor_q)))</f>
        <v>350</v>
      </c>
      <c r="AM123" s="14" t="n">
        <f aca="false">IF(16&gt;$A123,0,IF(16=$A123,MAX(End_q,Floor_q),MAX(AN123+Cost_round*IF(17&lt;=$B123,1,0)-S123,IF(17&lt;=$B123,1,0)*Pre_q,Floor_q)))</f>
        <v>350</v>
      </c>
      <c r="AN123" s="14" t="n">
        <f aca="false">IF(17&gt;$A123,0,IF(17=$A123,MAX(End_q,Floor_q),MAX(AO123+Cost_round*IF(18&lt;=$B123,1,0)-T123,IF(18&lt;=$B123,1,0)*Pre_q,Floor_q)))</f>
        <v>350</v>
      </c>
      <c r="AO123" s="14" t="n">
        <f aca="false">IF(18&gt;$A123,0,IF(18=$A123,MAX(End_q,Floor_q),MAX(AP123+Cost_round*IF(19&lt;=$B123,1,0)-U123,IF(19&lt;=$B123,1,0)*Pre_q,Floor_q)))</f>
        <v>470</v>
      </c>
      <c r="AP123" s="14" t="n">
        <f aca="false">IF(19&gt;$A123,0,IF(19=$A123,MAX(End_q,Floor_q),MAX(AQ123+Cost_round*IF(20&lt;=$B123,1,0)-V123,IF(20&lt;=$B123,1,0)*Pre_q,Floor_q)))</f>
        <v>0</v>
      </c>
      <c r="AQ123" s="14" t="n">
        <f aca="false">IF(20&gt;$A123,0,MAX(End_q,Floor_q))</f>
        <v>0</v>
      </c>
      <c r="AR123" s="15" t="n">
        <f aca="false">IF(Q_zero&gt;=W123-0.000000001,1,0)</f>
        <v>1</v>
      </c>
      <c r="AS123" s="14" t="n">
        <f aca="false">IF(1&gt;$A123,0,Q_zero-Cost_round*IF(1&lt;=$B123,1,0)+C123-X123)</f>
        <v>85</v>
      </c>
      <c r="AT123" s="14" t="n">
        <f aca="false">IF(2&gt;$A123,0,X123-Cost_round*IF(2&lt;=$B123,1,0)+D123-Y123)</f>
        <v>0</v>
      </c>
      <c r="AU123" s="14" t="n">
        <f aca="false">IF(3&gt;$A123,0,Y123-Cost_round*IF(3&lt;=$B123,1,0)+E123-Z123)</f>
        <v>2.5</v>
      </c>
      <c r="AV123" s="14" t="n">
        <f aca="false">IF(4&gt;$A123,0,Z123-Cost_round*IF(4&lt;=$B123,1,0)+F123-AA123)</f>
        <v>131.25</v>
      </c>
      <c r="AW123" s="14" t="n">
        <f aca="false">IF(5&gt;$A123,0,AA123-Cost_round*IF(5&lt;=$B123,1,0)+G123-AB123)</f>
        <v>131.25</v>
      </c>
      <c r="AX123" s="14" t="n">
        <f aca="false">IF(6&gt;$A123,0,AB123-Cost_round*IF(6&lt;=$B123,1,0)+H123-AC123)</f>
        <v>131.25</v>
      </c>
      <c r="AY123" s="14" t="n">
        <f aca="false">IF(7&gt;$A123,0,AC123-Cost_round*IF(7&lt;=$B123,1,0)+I123-AD123)</f>
        <v>131.25</v>
      </c>
      <c r="AZ123" s="14" t="n">
        <f aca="false">IF(8&gt;$A123,0,AD123-Cost_round*IF(8&lt;=$B123,1,0)+J123-AE123)</f>
        <v>131.25</v>
      </c>
      <c r="BA123" s="14" t="n">
        <f aca="false">IF(9&gt;$A123,0,AE123-Cost_round*IF(9&lt;=$B123,1,0)+K123-AF123)</f>
        <v>131.25</v>
      </c>
      <c r="BB123" s="14" t="n">
        <f aca="false">IF(10&gt;$A123,0,AF123-Cost_round*IF(10&lt;=$B123,1,0)+L123-AG123)</f>
        <v>131.25</v>
      </c>
      <c r="BC123" s="14" t="n">
        <f aca="false">IF(11&gt;$A123,0,AG123-Cost_round*IF(11&lt;=$B123,1,0)+M123-AH123)</f>
        <v>131.25</v>
      </c>
      <c r="BD123" s="14" t="n">
        <f aca="false">IF(12&gt;$A123,0,AH123-Cost_round*IF(12&lt;=$B123,1,0)+N123-AI123)</f>
        <v>131.25</v>
      </c>
      <c r="BE123" s="14" t="n">
        <f aca="false">IF(13&gt;$A123,0,AI123-Cost_round*IF(13&lt;=$B123,1,0)+O123-AJ123)</f>
        <v>131.25</v>
      </c>
      <c r="BF123" s="14" t="n">
        <f aca="false">IF(14&gt;$A123,0,AJ123-Cost_round*IF(14&lt;=$B123,1,0)+P123-AK123)</f>
        <v>131.25</v>
      </c>
      <c r="BG123" s="14" t="n">
        <f aca="false">IF(15&gt;$A123,0,AK123-Cost_round*IF(15&lt;=$B123,1,0)+Q123-AL123)</f>
        <v>131.25</v>
      </c>
      <c r="BH123" s="14" t="n">
        <f aca="false">IF(16&gt;$A123,0,AL123-Cost_round*IF(16&lt;=$B123,1,0)+R123-AM123)</f>
        <v>131.25</v>
      </c>
      <c r="BI123" s="14" t="n">
        <f aca="false">IF(17&gt;$A123,0,AM123-Cost_round*IF(17&lt;=$B123,1,0)+S123-AN123)</f>
        <v>131.25</v>
      </c>
      <c r="BJ123" s="14" t="n">
        <f aca="false">IF(18&gt;$A123,0,AN123-Cost_round*IF(18&lt;=$B123,1,0)+T123-AO123)</f>
        <v>11.25</v>
      </c>
      <c r="BK123" s="14" t="n">
        <f aca="false">IF(19&gt;$A123,0,AO123-Cost_round*IF(19&lt;=$B123,1,0)+U123-AP123)</f>
        <v>0</v>
      </c>
      <c r="BL123" s="14" t="n">
        <f aca="false">IF(20&gt;$A123,0,AP123-Cost_round*IF(20&lt;=$B123,1,0)+V123-AQ123)</f>
        <v>0</v>
      </c>
      <c r="BM123" s="17" t="n">
        <f aca="false">IF($AR123=1,SUMPRODUCT(AS123:BL123,$AS$38:$BL$38),"")</f>
        <v>807.603973913353</v>
      </c>
      <c r="BN123" s="17" t="n">
        <f aca="false">IF($AR123=1,BM123+INDEX($AS$38:$BL$38,$A123)*INDEX(C123:V123,$A123)/Hurdle_r,"")</f>
        <v>1043.6686356692</v>
      </c>
    </row>
    <row r="124" customFormat="false" ht="15" hidden="false" customHeight="false" outlineLevel="0" collapsed="false">
      <c r="A124" s="2" t="n">
        <v>19</v>
      </c>
      <c r="B124" s="2" t="n">
        <v>0</v>
      </c>
      <c r="C124" s="14" t="n">
        <f aca="false">IF(1&gt;$A124,0,Val_pt*(Ceiling_e-E_zero)*(1-(1-Half_gap)^MIN(1,$B124)))</f>
        <v>0</v>
      </c>
      <c r="D124" s="14" t="n">
        <f aca="false">IF(2&gt;$A124,0,Val_pt*(Ceiling_e-E_zero)*(1-(1-Half_gap)^MIN(2,$B124)))</f>
        <v>0</v>
      </c>
      <c r="E124" s="14" t="n">
        <f aca="false">IF(3&gt;$A124,0,Val_pt*(Ceiling_e-E_zero)*(1-(1-Half_gap)^MIN(3,$B124)))</f>
        <v>0</v>
      </c>
      <c r="F124" s="14" t="n">
        <f aca="false">IF(4&gt;$A124,0,Val_pt*(Ceiling_e-E_zero)*(1-(1-Half_gap)^MIN(4,$B124)))</f>
        <v>0</v>
      </c>
      <c r="G124" s="14" t="n">
        <f aca="false">IF(5&gt;$A124,0,Val_pt*(Ceiling_e-E_zero)*(1-(1-Half_gap)^MIN(5,$B124)))</f>
        <v>0</v>
      </c>
      <c r="H124" s="14" t="n">
        <f aca="false">IF(6&gt;$A124,0,Val_pt*(Ceiling_e-E_zero)*(1-(1-Half_gap)^MIN(6,$B124)))</f>
        <v>0</v>
      </c>
      <c r="I124" s="14" t="n">
        <f aca="false">IF(7&gt;$A124,0,Val_pt*(Ceiling_e-E_zero)*(1-(1-Half_gap)^MIN(7,$B124)))</f>
        <v>0</v>
      </c>
      <c r="J124" s="14" t="n">
        <f aca="false">IF(8&gt;$A124,0,Val_pt*(Ceiling_e-E_zero)*(1-(1-Half_gap)^MIN(8,$B124)))</f>
        <v>0</v>
      </c>
      <c r="K124" s="14" t="n">
        <f aca="false">IF(9&gt;$A124,0,Val_pt*(Ceiling_e-E_zero)*(1-(1-Half_gap)^MIN(9,$B124)))</f>
        <v>0</v>
      </c>
      <c r="L124" s="14" t="n">
        <f aca="false">IF(10&gt;$A124,0,Val_pt*(Ceiling_e-E_zero)*(1-(1-Half_gap)^MIN(10,$B124)))</f>
        <v>0</v>
      </c>
      <c r="M124" s="14" t="n">
        <f aca="false">IF(11&gt;$A124,0,Val_pt*(Ceiling_e-E_zero)*(1-(1-Half_gap)^MIN(11,$B124)))</f>
        <v>0</v>
      </c>
      <c r="N124" s="14" t="n">
        <f aca="false">IF(12&gt;$A124,0,Val_pt*(Ceiling_e-E_zero)*(1-(1-Half_gap)^MIN(12,$B124)))</f>
        <v>0</v>
      </c>
      <c r="O124" s="14" t="n">
        <f aca="false">IF(13&gt;$A124,0,Val_pt*(Ceiling_e-E_zero)*(1-(1-Half_gap)^MIN(13,$B124)))</f>
        <v>0</v>
      </c>
      <c r="P124" s="14" t="n">
        <f aca="false">IF(14&gt;$A124,0,Val_pt*(Ceiling_e-E_zero)*(1-(1-Half_gap)^MIN(14,$B124)))</f>
        <v>0</v>
      </c>
      <c r="Q124" s="14" t="n">
        <f aca="false">IF(15&gt;$A124,0,Val_pt*(Ceiling_e-E_zero)*(1-(1-Half_gap)^MIN(15,$B124)))</f>
        <v>0</v>
      </c>
      <c r="R124" s="14" t="n">
        <f aca="false">IF(16&gt;$A124,0,Val_pt*(Ceiling_e-E_zero)*(1-(1-Half_gap)^MIN(16,$B124)))</f>
        <v>0</v>
      </c>
      <c r="S124" s="14" t="n">
        <f aca="false">IF(17&gt;$A124,0,Val_pt*(Ceiling_e-E_zero)*(1-(1-Half_gap)^MIN(17,$B124)))</f>
        <v>0</v>
      </c>
      <c r="T124" s="14" t="n">
        <f aca="false">IF(18&gt;$A124,0,Val_pt*(Ceiling_e-E_zero)*(1-(1-Half_gap)^MIN(18,$B124)))</f>
        <v>0</v>
      </c>
      <c r="U124" s="14" t="n">
        <f aca="false">IF(19&gt;$A124,0,Val_pt*(Ceiling_e-E_zero)*(1-(1-Half_gap)^MIN(19,$B124)))</f>
        <v>0</v>
      </c>
      <c r="V124" s="14" t="n">
        <f aca="false">IF(20&gt;$A124,0,Val_pt*(Ceiling_e-E_zero)*(1-(1-Half_gap)^MIN(20,$B124)))</f>
        <v>0</v>
      </c>
      <c r="W124" s="14" t="n">
        <f aca="false">IF(0&gt;$A124,0,IF(0=$A124,MAX(End_q,Floor_q),MAX(X124+Cost_round*IF(1&lt;=$B124,1,0)-C124,IF(1&lt;=$B124,1,0)*Pre_q)))</f>
        <v>470</v>
      </c>
      <c r="X124" s="14" t="n">
        <f aca="false">IF(1&gt;$A124,0,IF(1=$A124,MAX(End_q,Floor_q),MAX(Y124+Cost_round*IF(2&lt;=$B124,1,0)-D124,IF(2&lt;=$B124,1,0)*Pre_q,Floor_q)))</f>
        <v>470</v>
      </c>
      <c r="Y124" s="14" t="n">
        <f aca="false">IF(2&gt;$A124,0,IF(2=$A124,MAX(End_q,Floor_q),MAX(Z124+Cost_round*IF(3&lt;=$B124,1,0)-E124,IF(3&lt;=$B124,1,0)*Pre_q,Floor_q)))</f>
        <v>470</v>
      </c>
      <c r="Z124" s="14" t="n">
        <f aca="false">IF(3&gt;$A124,0,IF(3=$A124,MAX(End_q,Floor_q),MAX(AA124+Cost_round*IF(4&lt;=$B124,1,0)-F124,IF(4&lt;=$B124,1,0)*Pre_q,Floor_q)))</f>
        <v>470</v>
      </c>
      <c r="AA124" s="14" t="n">
        <f aca="false">IF(4&gt;$A124,0,IF(4=$A124,MAX(End_q,Floor_q),MAX(AB124+Cost_round*IF(5&lt;=$B124,1,0)-G124,IF(5&lt;=$B124,1,0)*Pre_q,Floor_q)))</f>
        <v>470</v>
      </c>
      <c r="AB124" s="14" t="n">
        <f aca="false">IF(5&gt;$A124,0,IF(5=$A124,MAX(End_q,Floor_q),MAX(AC124+Cost_round*IF(6&lt;=$B124,1,0)-H124,IF(6&lt;=$B124,1,0)*Pre_q,Floor_q)))</f>
        <v>470</v>
      </c>
      <c r="AC124" s="14" t="n">
        <f aca="false">IF(6&gt;$A124,0,IF(6=$A124,MAX(End_q,Floor_q),MAX(AD124+Cost_round*IF(7&lt;=$B124,1,0)-I124,IF(7&lt;=$B124,1,0)*Pre_q,Floor_q)))</f>
        <v>470</v>
      </c>
      <c r="AD124" s="14" t="n">
        <f aca="false">IF(7&gt;$A124,0,IF(7=$A124,MAX(End_q,Floor_q),MAX(AE124+Cost_round*IF(8&lt;=$B124,1,0)-J124,IF(8&lt;=$B124,1,0)*Pre_q,Floor_q)))</f>
        <v>470</v>
      </c>
      <c r="AE124" s="14" t="n">
        <f aca="false">IF(8&gt;$A124,0,IF(8=$A124,MAX(End_q,Floor_q),MAX(AF124+Cost_round*IF(9&lt;=$B124,1,0)-K124,IF(9&lt;=$B124,1,0)*Pre_q,Floor_q)))</f>
        <v>470</v>
      </c>
      <c r="AF124" s="14" t="n">
        <f aca="false">IF(9&gt;$A124,0,IF(9=$A124,MAX(End_q,Floor_q),MAX(AG124+Cost_round*IF(10&lt;=$B124,1,0)-L124,IF(10&lt;=$B124,1,0)*Pre_q,Floor_q)))</f>
        <v>470</v>
      </c>
      <c r="AG124" s="14" t="n">
        <f aca="false">IF(10&gt;$A124,0,IF(10=$A124,MAX(End_q,Floor_q),MAX(AH124+Cost_round*IF(11&lt;=$B124,1,0)-M124,IF(11&lt;=$B124,1,0)*Pre_q,Floor_q)))</f>
        <v>470</v>
      </c>
      <c r="AH124" s="14" t="n">
        <f aca="false">IF(11&gt;$A124,0,IF(11=$A124,MAX(End_q,Floor_q),MAX(AI124+Cost_round*IF(12&lt;=$B124,1,0)-N124,IF(12&lt;=$B124,1,0)*Pre_q,Floor_q)))</f>
        <v>470</v>
      </c>
      <c r="AI124" s="14" t="n">
        <f aca="false">IF(12&gt;$A124,0,IF(12=$A124,MAX(End_q,Floor_q),MAX(AJ124+Cost_round*IF(13&lt;=$B124,1,0)-O124,IF(13&lt;=$B124,1,0)*Pre_q,Floor_q)))</f>
        <v>470</v>
      </c>
      <c r="AJ124" s="14" t="n">
        <f aca="false">IF(13&gt;$A124,0,IF(13=$A124,MAX(End_q,Floor_q),MAX(AK124+Cost_round*IF(14&lt;=$B124,1,0)-P124,IF(14&lt;=$B124,1,0)*Pre_q,Floor_q)))</f>
        <v>470</v>
      </c>
      <c r="AK124" s="14" t="n">
        <f aca="false">IF(14&gt;$A124,0,IF(14=$A124,MAX(End_q,Floor_q),MAX(AL124+Cost_round*IF(15&lt;=$B124,1,0)-Q124,IF(15&lt;=$B124,1,0)*Pre_q,Floor_q)))</f>
        <v>470</v>
      </c>
      <c r="AL124" s="14" t="n">
        <f aca="false">IF(15&gt;$A124,0,IF(15=$A124,MAX(End_q,Floor_q),MAX(AM124+Cost_round*IF(16&lt;=$B124,1,0)-R124,IF(16&lt;=$B124,1,0)*Pre_q,Floor_q)))</f>
        <v>470</v>
      </c>
      <c r="AM124" s="14" t="n">
        <f aca="false">IF(16&gt;$A124,0,IF(16=$A124,MAX(End_q,Floor_q),MAX(AN124+Cost_round*IF(17&lt;=$B124,1,0)-S124,IF(17&lt;=$B124,1,0)*Pre_q,Floor_q)))</f>
        <v>470</v>
      </c>
      <c r="AN124" s="14" t="n">
        <f aca="false">IF(17&gt;$A124,0,IF(17=$A124,MAX(End_q,Floor_q),MAX(AO124+Cost_round*IF(18&lt;=$B124,1,0)-T124,IF(18&lt;=$B124,1,0)*Pre_q,Floor_q)))</f>
        <v>470</v>
      </c>
      <c r="AO124" s="14" t="n">
        <f aca="false">IF(18&gt;$A124,0,IF(18=$A124,MAX(End_q,Floor_q),MAX(AP124+Cost_round*IF(19&lt;=$B124,1,0)-U124,IF(19&lt;=$B124,1,0)*Pre_q,Floor_q)))</f>
        <v>470</v>
      </c>
      <c r="AP124" s="14" t="n">
        <f aca="false">IF(19&gt;$A124,0,IF(19=$A124,MAX(End_q,Floor_q),MAX(AQ124+Cost_round*IF(20&lt;=$B124,1,0)-V124,IF(20&lt;=$B124,1,0)*Pre_q,Floor_q)))</f>
        <v>470</v>
      </c>
      <c r="AQ124" s="14" t="n">
        <f aca="false">IF(20&gt;$A124,0,MAX(End_q,Floor_q))</f>
        <v>0</v>
      </c>
      <c r="AR124" s="15" t="n">
        <f aca="false">IF(Q_zero&gt;=W124-0.000000001,1,0)</f>
        <v>1</v>
      </c>
      <c r="AS124" s="14" t="n">
        <f aca="false">IF(1&gt;$A124,0,Q_zero-Cost_round*IF(1&lt;=$B124,1,0)+C124-X124)</f>
        <v>150</v>
      </c>
      <c r="AT124" s="14" t="n">
        <f aca="false">IF(2&gt;$A124,0,X124-Cost_round*IF(2&lt;=$B124,1,0)+D124-Y124)</f>
        <v>0</v>
      </c>
      <c r="AU124" s="14" t="n">
        <f aca="false">IF(3&gt;$A124,0,Y124-Cost_round*IF(3&lt;=$B124,1,0)+E124-Z124)</f>
        <v>0</v>
      </c>
      <c r="AV124" s="14" t="n">
        <f aca="false">IF(4&gt;$A124,0,Z124-Cost_round*IF(4&lt;=$B124,1,0)+F124-AA124)</f>
        <v>0</v>
      </c>
      <c r="AW124" s="14" t="n">
        <f aca="false">IF(5&gt;$A124,0,AA124-Cost_round*IF(5&lt;=$B124,1,0)+G124-AB124)</f>
        <v>0</v>
      </c>
      <c r="AX124" s="14" t="n">
        <f aca="false">IF(6&gt;$A124,0,AB124-Cost_round*IF(6&lt;=$B124,1,0)+H124-AC124)</f>
        <v>0</v>
      </c>
      <c r="AY124" s="14" t="n">
        <f aca="false">IF(7&gt;$A124,0,AC124-Cost_round*IF(7&lt;=$B124,1,0)+I124-AD124)</f>
        <v>0</v>
      </c>
      <c r="AZ124" s="14" t="n">
        <f aca="false">IF(8&gt;$A124,0,AD124-Cost_round*IF(8&lt;=$B124,1,0)+J124-AE124)</f>
        <v>0</v>
      </c>
      <c r="BA124" s="14" t="n">
        <f aca="false">IF(9&gt;$A124,0,AE124-Cost_round*IF(9&lt;=$B124,1,0)+K124-AF124)</f>
        <v>0</v>
      </c>
      <c r="BB124" s="14" t="n">
        <f aca="false">IF(10&gt;$A124,0,AF124-Cost_round*IF(10&lt;=$B124,1,0)+L124-AG124)</f>
        <v>0</v>
      </c>
      <c r="BC124" s="14" t="n">
        <f aca="false">IF(11&gt;$A124,0,AG124-Cost_round*IF(11&lt;=$B124,1,0)+M124-AH124)</f>
        <v>0</v>
      </c>
      <c r="BD124" s="14" t="n">
        <f aca="false">IF(12&gt;$A124,0,AH124-Cost_round*IF(12&lt;=$B124,1,0)+N124-AI124)</f>
        <v>0</v>
      </c>
      <c r="BE124" s="14" t="n">
        <f aca="false">IF(13&gt;$A124,0,AI124-Cost_round*IF(13&lt;=$B124,1,0)+O124-AJ124)</f>
        <v>0</v>
      </c>
      <c r="BF124" s="14" t="n">
        <f aca="false">IF(14&gt;$A124,0,AJ124-Cost_round*IF(14&lt;=$B124,1,0)+P124-AK124)</f>
        <v>0</v>
      </c>
      <c r="BG124" s="14" t="n">
        <f aca="false">IF(15&gt;$A124,0,AK124-Cost_round*IF(15&lt;=$B124,1,0)+Q124-AL124)</f>
        <v>0</v>
      </c>
      <c r="BH124" s="14" t="n">
        <f aca="false">IF(16&gt;$A124,0,AL124-Cost_round*IF(16&lt;=$B124,1,0)+R124-AM124)</f>
        <v>0</v>
      </c>
      <c r="BI124" s="14" t="n">
        <f aca="false">IF(17&gt;$A124,0,AM124-Cost_round*IF(17&lt;=$B124,1,0)+S124-AN124)</f>
        <v>0</v>
      </c>
      <c r="BJ124" s="14" t="n">
        <f aca="false">IF(18&gt;$A124,0,AN124-Cost_round*IF(18&lt;=$B124,1,0)+T124-AO124)</f>
        <v>0</v>
      </c>
      <c r="BK124" s="14" t="n">
        <f aca="false">IF(19&gt;$A124,0,AO124-Cost_round*IF(19&lt;=$B124,1,0)+U124-AP124)</f>
        <v>0</v>
      </c>
      <c r="BL124" s="14" t="n">
        <f aca="false">IF(20&gt;$A124,0,AP124-Cost_round*IF(20&lt;=$B124,1,0)+V124-AQ124)</f>
        <v>0</v>
      </c>
      <c r="BM124" s="17" t="n">
        <f aca="false">IF($AR124=1,SUMPRODUCT(AS124:BL124,$AS$38:$BL$38),"")</f>
        <v>136.363636363636</v>
      </c>
      <c r="BN124" s="17" t="n">
        <f aca="false">IF($AR124=1,BM124+INDEX($AS$38:$BL$38,$A124)*INDEX(C124:V124,$A124)/Hurdle_r,"")</f>
        <v>136.363636363636</v>
      </c>
    </row>
    <row r="125" customFormat="false" ht="15" hidden="false" customHeight="false" outlineLevel="0" collapsed="false">
      <c r="A125" s="2" t="n">
        <v>19</v>
      </c>
      <c r="B125" s="2" t="n">
        <v>1</v>
      </c>
      <c r="C125" s="14" t="n">
        <f aca="false">IF(1&gt;$A125,0,Val_pt*(Ceiling_e-E_zero)*(1-(1-Half_gap)^MIN(1,$B125)))</f>
        <v>70</v>
      </c>
      <c r="D125" s="14" t="n">
        <f aca="false">IF(2&gt;$A125,0,Val_pt*(Ceiling_e-E_zero)*(1-(1-Half_gap)^MIN(2,$B125)))</f>
        <v>70</v>
      </c>
      <c r="E125" s="14" t="n">
        <f aca="false">IF(3&gt;$A125,0,Val_pt*(Ceiling_e-E_zero)*(1-(1-Half_gap)^MIN(3,$B125)))</f>
        <v>70</v>
      </c>
      <c r="F125" s="14" t="n">
        <f aca="false">IF(4&gt;$A125,0,Val_pt*(Ceiling_e-E_zero)*(1-(1-Half_gap)^MIN(4,$B125)))</f>
        <v>70</v>
      </c>
      <c r="G125" s="14" t="n">
        <f aca="false">IF(5&gt;$A125,0,Val_pt*(Ceiling_e-E_zero)*(1-(1-Half_gap)^MIN(5,$B125)))</f>
        <v>70</v>
      </c>
      <c r="H125" s="14" t="n">
        <f aca="false">IF(6&gt;$A125,0,Val_pt*(Ceiling_e-E_zero)*(1-(1-Half_gap)^MIN(6,$B125)))</f>
        <v>70</v>
      </c>
      <c r="I125" s="14" t="n">
        <f aca="false">IF(7&gt;$A125,0,Val_pt*(Ceiling_e-E_zero)*(1-(1-Half_gap)^MIN(7,$B125)))</f>
        <v>70</v>
      </c>
      <c r="J125" s="14" t="n">
        <f aca="false">IF(8&gt;$A125,0,Val_pt*(Ceiling_e-E_zero)*(1-(1-Half_gap)^MIN(8,$B125)))</f>
        <v>70</v>
      </c>
      <c r="K125" s="14" t="n">
        <f aca="false">IF(9&gt;$A125,0,Val_pt*(Ceiling_e-E_zero)*(1-(1-Half_gap)^MIN(9,$B125)))</f>
        <v>70</v>
      </c>
      <c r="L125" s="14" t="n">
        <f aca="false">IF(10&gt;$A125,0,Val_pt*(Ceiling_e-E_zero)*(1-(1-Half_gap)^MIN(10,$B125)))</f>
        <v>70</v>
      </c>
      <c r="M125" s="14" t="n">
        <f aca="false">IF(11&gt;$A125,0,Val_pt*(Ceiling_e-E_zero)*(1-(1-Half_gap)^MIN(11,$B125)))</f>
        <v>70</v>
      </c>
      <c r="N125" s="14" t="n">
        <f aca="false">IF(12&gt;$A125,0,Val_pt*(Ceiling_e-E_zero)*(1-(1-Half_gap)^MIN(12,$B125)))</f>
        <v>70</v>
      </c>
      <c r="O125" s="14" t="n">
        <f aca="false">IF(13&gt;$A125,0,Val_pt*(Ceiling_e-E_zero)*(1-(1-Half_gap)^MIN(13,$B125)))</f>
        <v>70</v>
      </c>
      <c r="P125" s="14" t="n">
        <f aca="false">IF(14&gt;$A125,0,Val_pt*(Ceiling_e-E_zero)*(1-(1-Half_gap)^MIN(14,$B125)))</f>
        <v>70</v>
      </c>
      <c r="Q125" s="14" t="n">
        <f aca="false">IF(15&gt;$A125,0,Val_pt*(Ceiling_e-E_zero)*(1-(1-Half_gap)^MIN(15,$B125)))</f>
        <v>70</v>
      </c>
      <c r="R125" s="14" t="n">
        <f aca="false">IF(16&gt;$A125,0,Val_pt*(Ceiling_e-E_zero)*(1-(1-Half_gap)^MIN(16,$B125)))</f>
        <v>70</v>
      </c>
      <c r="S125" s="14" t="n">
        <f aca="false">IF(17&gt;$A125,0,Val_pt*(Ceiling_e-E_zero)*(1-(1-Half_gap)^MIN(17,$B125)))</f>
        <v>70</v>
      </c>
      <c r="T125" s="14" t="n">
        <f aca="false">IF(18&gt;$A125,0,Val_pt*(Ceiling_e-E_zero)*(1-(1-Half_gap)^MIN(18,$B125)))</f>
        <v>70</v>
      </c>
      <c r="U125" s="14" t="n">
        <f aca="false">IF(19&gt;$A125,0,Val_pt*(Ceiling_e-E_zero)*(1-(1-Half_gap)^MIN(19,$B125)))</f>
        <v>70</v>
      </c>
      <c r="V125" s="14" t="n">
        <f aca="false">IF(20&gt;$A125,0,Val_pt*(Ceiling_e-E_zero)*(1-(1-Half_gap)^MIN(20,$B125)))</f>
        <v>0</v>
      </c>
      <c r="W125" s="14" t="n">
        <f aca="false">IF(0&gt;$A125,0,IF(0=$A125,MAX(End_q,Floor_q),MAX(X125+Cost_round*IF(1&lt;=$B125,1,0)-C125,IF(1&lt;=$B125,1,0)*Pre_q)))</f>
        <v>470</v>
      </c>
      <c r="X125" s="14" t="n">
        <f aca="false">IF(1&gt;$A125,0,IF(1=$A125,MAX(End_q,Floor_q),MAX(Y125+Cost_round*IF(2&lt;=$B125,1,0)-D125,IF(2&lt;=$B125,1,0)*Pre_q,Floor_q)))</f>
        <v>350</v>
      </c>
      <c r="Y125" s="14" t="n">
        <f aca="false">IF(2&gt;$A125,0,IF(2=$A125,MAX(End_q,Floor_q),MAX(Z125+Cost_round*IF(3&lt;=$B125,1,0)-E125,IF(3&lt;=$B125,1,0)*Pre_q,Floor_q)))</f>
        <v>350</v>
      </c>
      <c r="Z125" s="14" t="n">
        <f aca="false">IF(3&gt;$A125,0,IF(3=$A125,MAX(End_q,Floor_q),MAX(AA125+Cost_round*IF(4&lt;=$B125,1,0)-F125,IF(4&lt;=$B125,1,0)*Pre_q,Floor_q)))</f>
        <v>350</v>
      </c>
      <c r="AA125" s="14" t="n">
        <f aca="false">IF(4&gt;$A125,0,IF(4=$A125,MAX(End_q,Floor_q),MAX(AB125+Cost_round*IF(5&lt;=$B125,1,0)-G125,IF(5&lt;=$B125,1,0)*Pre_q,Floor_q)))</f>
        <v>350</v>
      </c>
      <c r="AB125" s="14" t="n">
        <f aca="false">IF(5&gt;$A125,0,IF(5=$A125,MAX(End_q,Floor_q),MAX(AC125+Cost_round*IF(6&lt;=$B125,1,0)-H125,IF(6&lt;=$B125,1,0)*Pre_q,Floor_q)))</f>
        <v>350</v>
      </c>
      <c r="AC125" s="14" t="n">
        <f aca="false">IF(6&gt;$A125,0,IF(6=$A125,MAX(End_q,Floor_q),MAX(AD125+Cost_round*IF(7&lt;=$B125,1,0)-I125,IF(7&lt;=$B125,1,0)*Pre_q,Floor_q)))</f>
        <v>350</v>
      </c>
      <c r="AD125" s="14" t="n">
        <f aca="false">IF(7&gt;$A125,0,IF(7=$A125,MAX(End_q,Floor_q),MAX(AE125+Cost_round*IF(8&lt;=$B125,1,0)-J125,IF(8&lt;=$B125,1,0)*Pre_q,Floor_q)))</f>
        <v>350</v>
      </c>
      <c r="AE125" s="14" t="n">
        <f aca="false">IF(8&gt;$A125,0,IF(8=$A125,MAX(End_q,Floor_q),MAX(AF125+Cost_round*IF(9&lt;=$B125,1,0)-K125,IF(9&lt;=$B125,1,0)*Pre_q,Floor_q)))</f>
        <v>350</v>
      </c>
      <c r="AF125" s="14" t="n">
        <f aca="false">IF(9&gt;$A125,0,IF(9=$A125,MAX(End_q,Floor_q),MAX(AG125+Cost_round*IF(10&lt;=$B125,1,0)-L125,IF(10&lt;=$B125,1,0)*Pre_q,Floor_q)))</f>
        <v>350</v>
      </c>
      <c r="AG125" s="14" t="n">
        <f aca="false">IF(10&gt;$A125,0,IF(10=$A125,MAX(End_q,Floor_q),MAX(AH125+Cost_round*IF(11&lt;=$B125,1,0)-M125,IF(11&lt;=$B125,1,0)*Pre_q,Floor_q)))</f>
        <v>350</v>
      </c>
      <c r="AH125" s="14" t="n">
        <f aca="false">IF(11&gt;$A125,0,IF(11=$A125,MAX(End_q,Floor_q),MAX(AI125+Cost_round*IF(12&lt;=$B125,1,0)-N125,IF(12&lt;=$B125,1,0)*Pre_q,Floor_q)))</f>
        <v>350</v>
      </c>
      <c r="AI125" s="14" t="n">
        <f aca="false">IF(12&gt;$A125,0,IF(12=$A125,MAX(End_q,Floor_q),MAX(AJ125+Cost_round*IF(13&lt;=$B125,1,0)-O125,IF(13&lt;=$B125,1,0)*Pre_q,Floor_q)))</f>
        <v>350</v>
      </c>
      <c r="AJ125" s="14" t="n">
        <f aca="false">IF(13&gt;$A125,0,IF(13=$A125,MAX(End_q,Floor_q),MAX(AK125+Cost_round*IF(14&lt;=$B125,1,0)-P125,IF(14&lt;=$B125,1,0)*Pre_q,Floor_q)))</f>
        <v>350</v>
      </c>
      <c r="AK125" s="14" t="n">
        <f aca="false">IF(14&gt;$A125,0,IF(14=$A125,MAX(End_q,Floor_q),MAX(AL125+Cost_round*IF(15&lt;=$B125,1,0)-Q125,IF(15&lt;=$B125,1,0)*Pre_q,Floor_q)))</f>
        <v>350</v>
      </c>
      <c r="AL125" s="14" t="n">
        <f aca="false">IF(15&gt;$A125,0,IF(15=$A125,MAX(End_q,Floor_q),MAX(AM125+Cost_round*IF(16&lt;=$B125,1,0)-R125,IF(16&lt;=$B125,1,0)*Pre_q,Floor_q)))</f>
        <v>350</v>
      </c>
      <c r="AM125" s="14" t="n">
        <f aca="false">IF(16&gt;$A125,0,IF(16=$A125,MAX(End_q,Floor_q),MAX(AN125+Cost_round*IF(17&lt;=$B125,1,0)-S125,IF(17&lt;=$B125,1,0)*Pre_q,Floor_q)))</f>
        <v>350</v>
      </c>
      <c r="AN125" s="14" t="n">
        <f aca="false">IF(17&gt;$A125,0,IF(17=$A125,MAX(End_q,Floor_q),MAX(AO125+Cost_round*IF(18&lt;=$B125,1,0)-T125,IF(18&lt;=$B125,1,0)*Pre_q,Floor_q)))</f>
        <v>350</v>
      </c>
      <c r="AO125" s="14" t="n">
        <f aca="false">IF(18&gt;$A125,0,IF(18=$A125,MAX(End_q,Floor_q),MAX(AP125+Cost_round*IF(19&lt;=$B125,1,0)-U125,IF(19&lt;=$B125,1,0)*Pre_q,Floor_q)))</f>
        <v>400</v>
      </c>
      <c r="AP125" s="14" t="n">
        <f aca="false">IF(19&gt;$A125,0,IF(19=$A125,MAX(End_q,Floor_q),MAX(AQ125+Cost_round*IF(20&lt;=$B125,1,0)-V125,IF(20&lt;=$B125,1,0)*Pre_q,Floor_q)))</f>
        <v>470</v>
      </c>
      <c r="AQ125" s="14" t="n">
        <f aca="false">IF(20&gt;$A125,0,MAX(End_q,Floor_q))</f>
        <v>0</v>
      </c>
      <c r="AR125" s="15" t="n">
        <f aca="false">IF(Q_zero&gt;=W125-0.000000001,1,0)</f>
        <v>1</v>
      </c>
      <c r="AS125" s="14" t="n">
        <f aca="false">IF(1&gt;$A125,0,Q_zero-Cost_round*IF(1&lt;=$B125,1,0)+C125-X125)</f>
        <v>220</v>
      </c>
      <c r="AT125" s="14" t="n">
        <f aca="false">IF(2&gt;$A125,0,X125-Cost_round*IF(2&lt;=$B125,1,0)+D125-Y125)</f>
        <v>70</v>
      </c>
      <c r="AU125" s="14" t="n">
        <f aca="false">IF(3&gt;$A125,0,Y125-Cost_round*IF(3&lt;=$B125,1,0)+E125-Z125)</f>
        <v>70</v>
      </c>
      <c r="AV125" s="14" t="n">
        <f aca="false">IF(4&gt;$A125,0,Z125-Cost_round*IF(4&lt;=$B125,1,0)+F125-AA125)</f>
        <v>70</v>
      </c>
      <c r="AW125" s="14" t="n">
        <f aca="false">IF(5&gt;$A125,0,AA125-Cost_round*IF(5&lt;=$B125,1,0)+G125-AB125)</f>
        <v>70</v>
      </c>
      <c r="AX125" s="14" t="n">
        <f aca="false">IF(6&gt;$A125,0,AB125-Cost_round*IF(6&lt;=$B125,1,0)+H125-AC125)</f>
        <v>70</v>
      </c>
      <c r="AY125" s="14" t="n">
        <f aca="false">IF(7&gt;$A125,0,AC125-Cost_round*IF(7&lt;=$B125,1,0)+I125-AD125)</f>
        <v>70</v>
      </c>
      <c r="AZ125" s="14" t="n">
        <f aca="false">IF(8&gt;$A125,0,AD125-Cost_round*IF(8&lt;=$B125,1,0)+J125-AE125)</f>
        <v>70</v>
      </c>
      <c r="BA125" s="14" t="n">
        <f aca="false">IF(9&gt;$A125,0,AE125-Cost_round*IF(9&lt;=$B125,1,0)+K125-AF125)</f>
        <v>70</v>
      </c>
      <c r="BB125" s="14" t="n">
        <f aca="false">IF(10&gt;$A125,0,AF125-Cost_round*IF(10&lt;=$B125,1,0)+L125-AG125)</f>
        <v>70</v>
      </c>
      <c r="BC125" s="14" t="n">
        <f aca="false">IF(11&gt;$A125,0,AG125-Cost_round*IF(11&lt;=$B125,1,0)+M125-AH125)</f>
        <v>70</v>
      </c>
      <c r="BD125" s="14" t="n">
        <f aca="false">IF(12&gt;$A125,0,AH125-Cost_round*IF(12&lt;=$B125,1,0)+N125-AI125)</f>
        <v>70</v>
      </c>
      <c r="BE125" s="14" t="n">
        <f aca="false">IF(13&gt;$A125,0,AI125-Cost_round*IF(13&lt;=$B125,1,0)+O125-AJ125)</f>
        <v>70</v>
      </c>
      <c r="BF125" s="14" t="n">
        <f aca="false">IF(14&gt;$A125,0,AJ125-Cost_round*IF(14&lt;=$B125,1,0)+P125-AK125)</f>
        <v>70</v>
      </c>
      <c r="BG125" s="14" t="n">
        <f aca="false">IF(15&gt;$A125,0,AK125-Cost_round*IF(15&lt;=$B125,1,0)+Q125-AL125)</f>
        <v>70</v>
      </c>
      <c r="BH125" s="14" t="n">
        <f aca="false">IF(16&gt;$A125,0,AL125-Cost_round*IF(16&lt;=$B125,1,0)+R125-AM125)</f>
        <v>70</v>
      </c>
      <c r="BI125" s="14" t="n">
        <f aca="false">IF(17&gt;$A125,0,AM125-Cost_round*IF(17&lt;=$B125,1,0)+S125-AN125)</f>
        <v>70</v>
      </c>
      <c r="BJ125" s="14" t="n">
        <f aca="false">IF(18&gt;$A125,0,AN125-Cost_round*IF(18&lt;=$B125,1,0)+T125-AO125)</f>
        <v>20</v>
      </c>
      <c r="BK125" s="14" t="n">
        <f aca="false">IF(19&gt;$A125,0,AO125-Cost_round*IF(19&lt;=$B125,1,0)+U125-AP125)</f>
        <v>0</v>
      </c>
      <c r="BL125" s="14" t="n">
        <f aca="false">IF(20&gt;$A125,0,AP125-Cost_round*IF(20&lt;=$B125,1,0)+V125-AQ125)</f>
        <v>0</v>
      </c>
      <c r="BM125" s="17" t="n">
        <f aca="false">IF($AR125=1,SUMPRODUCT(AS125:BL125,$AS$38:$BL$38),"")</f>
        <v>701.469543931726</v>
      </c>
      <c r="BN125" s="17" t="n">
        <f aca="false">IF($AR125=1,BM125+INDEX($AS$38:$BL$38,$A125)*INDEX(C125:V125,$A125)/Hurdle_r,"")</f>
        <v>815.925137510316</v>
      </c>
    </row>
    <row r="126" customFormat="false" ht="15" hidden="false" customHeight="false" outlineLevel="0" collapsed="false">
      <c r="A126" s="2" t="n">
        <v>19</v>
      </c>
      <c r="B126" s="2" t="n">
        <v>2</v>
      </c>
      <c r="C126" s="14" t="n">
        <f aca="false">IF(1&gt;$A126,0,Val_pt*(Ceiling_e-E_zero)*(1-(1-Half_gap)^MIN(1,$B126)))</f>
        <v>70</v>
      </c>
      <c r="D126" s="14" t="n">
        <f aca="false">IF(2&gt;$A126,0,Val_pt*(Ceiling_e-E_zero)*(1-(1-Half_gap)^MIN(2,$B126)))</f>
        <v>105</v>
      </c>
      <c r="E126" s="14" t="n">
        <f aca="false">IF(3&gt;$A126,0,Val_pt*(Ceiling_e-E_zero)*(1-(1-Half_gap)^MIN(3,$B126)))</f>
        <v>105</v>
      </c>
      <c r="F126" s="14" t="n">
        <f aca="false">IF(4&gt;$A126,0,Val_pt*(Ceiling_e-E_zero)*(1-(1-Half_gap)^MIN(4,$B126)))</f>
        <v>105</v>
      </c>
      <c r="G126" s="14" t="n">
        <f aca="false">IF(5&gt;$A126,0,Val_pt*(Ceiling_e-E_zero)*(1-(1-Half_gap)^MIN(5,$B126)))</f>
        <v>105</v>
      </c>
      <c r="H126" s="14" t="n">
        <f aca="false">IF(6&gt;$A126,0,Val_pt*(Ceiling_e-E_zero)*(1-(1-Half_gap)^MIN(6,$B126)))</f>
        <v>105</v>
      </c>
      <c r="I126" s="14" t="n">
        <f aca="false">IF(7&gt;$A126,0,Val_pt*(Ceiling_e-E_zero)*(1-(1-Half_gap)^MIN(7,$B126)))</f>
        <v>105</v>
      </c>
      <c r="J126" s="14" t="n">
        <f aca="false">IF(8&gt;$A126,0,Val_pt*(Ceiling_e-E_zero)*(1-(1-Half_gap)^MIN(8,$B126)))</f>
        <v>105</v>
      </c>
      <c r="K126" s="14" t="n">
        <f aca="false">IF(9&gt;$A126,0,Val_pt*(Ceiling_e-E_zero)*(1-(1-Half_gap)^MIN(9,$B126)))</f>
        <v>105</v>
      </c>
      <c r="L126" s="14" t="n">
        <f aca="false">IF(10&gt;$A126,0,Val_pt*(Ceiling_e-E_zero)*(1-(1-Half_gap)^MIN(10,$B126)))</f>
        <v>105</v>
      </c>
      <c r="M126" s="14" t="n">
        <f aca="false">IF(11&gt;$A126,0,Val_pt*(Ceiling_e-E_zero)*(1-(1-Half_gap)^MIN(11,$B126)))</f>
        <v>105</v>
      </c>
      <c r="N126" s="14" t="n">
        <f aca="false">IF(12&gt;$A126,0,Val_pt*(Ceiling_e-E_zero)*(1-(1-Half_gap)^MIN(12,$B126)))</f>
        <v>105</v>
      </c>
      <c r="O126" s="14" t="n">
        <f aca="false">IF(13&gt;$A126,0,Val_pt*(Ceiling_e-E_zero)*(1-(1-Half_gap)^MIN(13,$B126)))</f>
        <v>105</v>
      </c>
      <c r="P126" s="14" t="n">
        <f aca="false">IF(14&gt;$A126,0,Val_pt*(Ceiling_e-E_zero)*(1-(1-Half_gap)^MIN(14,$B126)))</f>
        <v>105</v>
      </c>
      <c r="Q126" s="14" t="n">
        <f aca="false">IF(15&gt;$A126,0,Val_pt*(Ceiling_e-E_zero)*(1-(1-Half_gap)^MIN(15,$B126)))</f>
        <v>105</v>
      </c>
      <c r="R126" s="14" t="n">
        <f aca="false">IF(16&gt;$A126,0,Val_pt*(Ceiling_e-E_zero)*(1-(1-Half_gap)^MIN(16,$B126)))</f>
        <v>105</v>
      </c>
      <c r="S126" s="14" t="n">
        <f aca="false">IF(17&gt;$A126,0,Val_pt*(Ceiling_e-E_zero)*(1-(1-Half_gap)^MIN(17,$B126)))</f>
        <v>105</v>
      </c>
      <c r="T126" s="14" t="n">
        <f aca="false">IF(18&gt;$A126,0,Val_pt*(Ceiling_e-E_zero)*(1-(1-Half_gap)^MIN(18,$B126)))</f>
        <v>105</v>
      </c>
      <c r="U126" s="14" t="n">
        <f aca="false">IF(19&gt;$A126,0,Val_pt*(Ceiling_e-E_zero)*(1-(1-Half_gap)^MIN(19,$B126)))</f>
        <v>105</v>
      </c>
      <c r="V126" s="14" t="n">
        <f aca="false">IF(20&gt;$A126,0,Val_pt*(Ceiling_e-E_zero)*(1-(1-Half_gap)^MIN(20,$B126)))</f>
        <v>0</v>
      </c>
      <c r="W126" s="14" t="n">
        <f aca="false">IF(0&gt;$A126,0,IF(0=$A126,MAX(End_q,Floor_q),MAX(X126+Cost_round*IF(1&lt;=$B126,1,0)-C126,IF(1&lt;=$B126,1,0)*Pre_q)))</f>
        <v>520</v>
      </c>
      <c r="X126" s="14" t="n">
        <f aca="false">IF(1&gt;$A126,0,IF(1=$A126,MAX(End_q,Floor_q),MAX(Y126+Cost_round*IF(2&lt;=$B126,1,0)-D126,IF(2&lt;=$B126,1,0)*Pre_q,Floor_q)))</f>
        <v>470</v>
      </c>
      <c r="Y126" s="14" t="n">
        <f aca="false">IF(2&gt;$A126,0,IF(2=$A126,MAX(End_q,Floor_q),MAX(Z126+Cost_round*IF(3&lt;=$B126,1,0)-E126,IF(3&lt;=$B126,1,0)*Pre_q,Floor_q)))</f>
        <v>350</v>
      </c>
      <c r="Z126" s="14" t="n">
        <f aca="false">IF(3&gt;$A126,0,IF(3=$A126,MAX(End_q,Floor_q),MAX(AA126+Cost_round*IF(4&lt;=$B126,1,0)-F126,IF(4&lt;=$B126,1,0)*Pre_q,Floor_q)))</f>
        <v>350</v>
      </c>
      <c r="AA126" s="14" t="n">
        <f aca="false">IF(4&gt;$A126,0,IF(4=$A126,MAX(End_q,Floor_q),MAX(AB126+Cost_round*IF(5&lt;=$B126,1,0)-G126,IF(5&lt;=$B126,1,0)*Pre_q,Floor_q)))</f>
        <v>350</v>
      </c>
      <c r="AB126" s="14" t="n">
        <f aca="false">IF(5&gt;$A126,0,IF(5=$A126,MAX(End_q,Floor_q),MAX(AC126+Cost_round*IF(6&lt;=$B126,1,0)-H126,IF(6&lt;=$B126,1,0)*Pre_q,Floor_q)))</f>
        <v>350</v>
      </c>
      <c r="AC126" s="14" t="n">
        <f aca="false">IF(6&gt;$A126,0,IF(6=$A126,MAX(End_q,Floor_q),MAX(AD126+Cost_round*IF(7&lt;=$B126,1,0)-I126,IF(7&lt;=$B126,1,0)*Pre_q,Floor_q)))</f>
        <v>350</v>
      </c>
      <c r="AD126" s="14" t="n">
        <f aca="false">IF(7&gt;$A126,0,IF(7=$A126,MAX(End_q,Floor_q),MAX(AE126+Cost_round*IF(8&lt;=$B126,1,0)-J126,IF(8&lt;=$B126,1,0)*Pre_q,Floor_q)))</f>
        <v>350</v>
      </c>
      <c r="AE126" s="14" t="n">
        <f aca="false">IF(8&gt;$A126,0,IF(8=$A126,MAX(End_q,Floor_q),MAX(AF126+Cost_round*IF(9&lt;=$B126,1,0)-K126,IF(9&lt;=$B126,1,0)*Pre_q,Floor_q)))</f>
        <v>350</v>
      </c>
      <c r="AF126" s="14" t="n">
        <f aca="false">IF(9&gt;$A126,0,IF(9=$A126,MAX(End_q,Floor_q),MAX(AG126+Cost_round*IF(10&lt;=$B126,1,0)-L126,IF(10&lt;=$B126,1,0)*Pre_q,Floor_q)))</f>
        <v>350</v>
      </c>
      <c r="AG126" s="14" t="n">
        <f aca="false">IF(10&gt;$A126,0,IF(10=$A126,MAX(End_q,Floor_q),MAX(AH126+Cost_round*IF(11&lt;=$B126,1,0)-M126,IF(11&lt;=$B126,1,0)*Pre_q,Floor_q)))</f>
        <v>350</v>
      </c>
      <c r="AH126" s="14" t="n">
        <f aca="false">IF(11&gt;$A126,0,IF(11=$A126,MAX(End_q,Floor_q),MAX(AI126+Cost_round*IF(12&lt;=$B126,1,0)-N126,IF(12&lt;=$B126,1,0)*Pre_q,Floor_q)))</f>
        <v>350</v>
      </c>
      <c r="AI126" s="14" t="n">
        <f aca="false">IF(12&gt;$A126,0,IF(12=$A126,MAX(End_q,Floor_q),MAX(AJ126+Cost_round*IF(13&lt;=$B126,1,0)-O126,IF(13&lt;=$B126,1,0)*Pre_q,Floor_q)))</f>
        <v>350</v>
      </c>
      <c r="AJ126" s="14" t="n">
        <f aca="false">IF(13&gt;$A126,0,IF(13=$A126,MAX(End_q,Floor_q),MAX(AK126+Cost_round*IF(14&lt;=$B126,1,0)-P126,IF(14&lt;=$B126,1,0)*Pre_q,Floor_q)))</f>
        <v>350</v>
      </c>
      <c r="AK126" s="14" t="n">
        <f aca="false">IF(14&gt;$A126,0,IF(14=$A126,MAX(End_q,Floor_q),MAX(AL126+Cost_round*IF(15&lt;=$B126,1,0)-Q126,IF(15&lt;=$B126,1,0)*Pre_q,Floor_q)))</f>
        <v>350</v>
      </c>
      <c r="AL126" s="14" t="n">
        <f aca="false">IF(15&gt;$A126,0,IF(15=$A126,MAX(End_q,Floor_q),MAX(AM126+Cost_round*IF(16&lt;=$B126,1,0)-R126,IF(16&lt;=$B126,1,0)*Pre_q,Floor_q)))</f>
        <v>350</v>
      </c>
      <c r="AM126" s="14" t="n">
        <f aca="false">IF(16&gt;$A126,0,IF(16=$A126,MAX(End_q,Floor_q),MAX(AN126+Cost_round*IF(17&lt;=$B126,1,0)-S126,IF(17&lt;=$B126,1,0)*Pre_q,Floor_q)))</f>
        <v>350</v>
      </c>
      <c r="AN126" s="14" t="n">
        <f aca="false">IF(17&gt;$A126,0,IF(17=$A126,MAX(End_q,Floor_q),MAX(AO126+Cost_round*IF(18&lt;=$B126,1,0)-T126,IF(18&lt;=$B126,1,0)*Pre_q,Floor_q)))</f>
        <v>350</v>
      </c>
      <c r="AO126" s="14" t="n">
        <f aca="false">IF(18&gt;$A126,0,IF(18=$A126,MAX(End_q,Floor_q),MAX(AP126+Cost_round*IF(19&lt;=$B126,1,0)-U126,IF(19&lt;=$B126,1,0)*Pre_q,Floor_q)))</f>
        <v>365</v>
      </c>
      <c r="AP126" s="14" t="n">
        <f aca="false">IF(19&gt;$A126,0,IF(19=$A126,MAX(End_q,Floor_q),MAX(AQ126+Cost_round*IF(20&lt;=$B126,1,0)-V126,IF(20&lt;=$B126,1,0)*Pre_q,Floor_q)))</f>
        <v>470</v>
      </c>
      <c r="AQ126" s="14" t="n">
        <f aca="false">IF(20&gt;$A126,0,MAX(End_q,Floor_q))</f>
        <v>0</v>
      </c>
      <c r="AR126" s="15" t="n">
        <f aca="false">IF(Q_zero&gt;=W126-0.000000001,1,0)</f>
        <v>1</v>
      </c>
      <c r="AS126" s="14" t="n">
        <f aca="false">IF(1&gt;$A126,0,Q_zero-Cost_round*IF(1&lt;=$B126,1,0)+C126-X126)</f>
        <v>100</v>
      </c>
      <c r="AT126" s="14" t="n">
        <f aca="false">IF(2&gt;$A126,0,X126-Cost_round*IF(2&lt;=$B126,1,0)+D126-Y126)</f>
        <v>105</v>
      </c>
      <c r="AU126" s="14" t="n">
        <f aca="false">IF(3&gt;$A126,0,Y126-Cost_round*IF(3&lt;=$B126,1,0)+E126-Z126)</f>
        <v>105</v>
      </c>
      <c r="AV126" s="14" t="n">
        <f aca="false">IF(4&gt;$A126,0,Z126-Cost_round*IF(4&lt;=$B126,1,0)+F126-AA126)</f>
        <v>105</v>
      </c>
      <c r="AW126" s="14" t="n">
        <f aca="false">IF(5&gt;$A126,0,AA126-Cost_round*IF(5&lt;=$B126,1,0)+G126-AB126)</f>
        <v>105</v>
      </c>
      <c r="AX126" s="14" t="n">
        <f aca="false">IF(6&gt;$A126,0,AB126-Cost_round*IF(6&lt;=$B126,1,0)+H126-AC126)</f>
        <v>105</v>
      </c>
      <c r="AY126" s="14" t="n">
        <f aca="false">IF(7&gt;$A126,0,AC126-Cost_round*IF(7&lt;=$B126,1,0)+I126-AD126)</f>
        <v>105</v>
      </c>
      <c r="AZ126" s="14" t="n">
        <f aca="false">IF(8&gt;$A126,0,AD126-Cost_round*IF(8&lt;=$B126,1,0)+J126-AE126)</f>
        <v>105</v>
      </c>
      <c r="BA126" s="14" t="n">
        <f aca="false">IF(9&gt;$A126,0,AE126-Cost_round*IF(9&lt;=$B126,1,0)+K126-AF126)</f>
        <v>105</v>
      </c>
      <c r="BB126" s="14" t="n">
        <f aca="false">IF(10&gt;$A126,0,AF126-Cost_round*IF(10&lt;=$B126,1,0)+L126-AG126)</f>
        <v>105</v>
      </c>
      <c r="BC126" s="14" t="n">
        <f aca="false">IF(11&gt;$A126,0,AG126-Cost_round*IF(11&lt;=$B126,1,0)+M126-AH126)</f>
        <v>105</v>
      </c>
      <c r="BD126" s="14" t="n">
        <f aca="false">IF(12&gt;$A126,0,AH126-Cost_round*IF(12&lt;=$B126,1,0)+N126-AI126)</f>
        <v>105</v>
      </c>
      <c r="BE126" s="14" t="n">
        <f aca="false">IF(13&gt;$A126,0,AI126-Cost_round*IF(13&lt;=$B126,1,0)+O126-AJ126)</f>
        <v>105</v>
      </c>
      <c r="BF126" s="14" t="n">
        <f aca="false">IF(14&gt;$A126,0,AJ126-Cost_round*IF(14&lt;=$B126,1,0)+P126-AK126)</f>
        <v>105</v>
      </c>
      <c r="BG126" s="14" t="n">
        <f aca="false">IF(15&gt;$A126,0,AK126-Cost_round*IF(15&lt;=$B126,1,0)+Q126-AL126)</f>
        <v>105</v>
      </c>
      <c r="BH126" s="14" t="n">
        <f aca="false">IF(16&gt;$A126,0,AL126-Cost_round*IF(16&lt;=$B126,1,0)+R126-AM126)</f>
        <v>105</v>
      </c>
      <c r="BI126" s="14" t="n">
        <f aca="false">IF(17&gt;$A126,0,AM126-Cost_round*IF(17&lt;=$B126,1,0)+S126-AN126)</f>
        <v>105</v>
      </c>
      <c r="BJ126" s="14" t="n">
        <f aca="false">IF(18&gt;$A126,0,AN126-Cost_round*IF(18&lt;=$B126,1,0)+T126-AO126)</f>
        <v>90</v>
      </c>
      <c r="BK126" s="14" t="n">
        <f aca="false">IF(19&gt;$A126,0,AO126-Cost_round*IF(19&lt;=$B126,1,0)+U126-AP126)</f>
        <v>0</v>
      </c>
      <c r="BL126" s="14" t="n">
        <f aca="false">IF(20&gt;$A126,0,AP126-Cost_round*IF(20&lt;=$B126,1,0)+V126-AQ126)</f>
        <v>0</v>
      </c>
      <c r="BM126" s="17" t="n">
        <f aca="false">IF($AR126=1,SUMPRODUCT(AS126:BL126,$AS$38:$BL$38),"")</f>
        <v>853.904934201232</v>
      </c>
      <c r="BN126" s="17" t="n">
        <f aca="false">IF($AR126=1,BM126+INDEX($AS$38:$BL$38,$A126)*INDEX(C126:V126,$A126)/Hurdle_r,"")</f>
        <v>1025.58832456912</v>
      </c>
    </row>
    <row r="127" customFormat="false" ht="15" hidden="false" customHeight="false" outlineLevel="0" collapsed="false">
      <c r="A127" s="2" t="n">
        <v>19</v>
      </c>
      <c r="B127" s="2" t="n">
        <v>3</v>
      </c>
      <c r="C127" s="14" t="n">
        <f aca="false">IF(1&gt;$A127,0,Val_pt*(Ceiling_e-E_zero)*(1-(1-Half_gap)^MIN(1,$B127)))</f>
        <v>70</v>
      </c>
      <c r="D127" s="14" t="n">
        <f aca="false">IF(2&gt;$A127,0,Val_pt*(Ceiling_e-E_zero)*(1-(1-Half_gap)^MIN(2,$B127)))</f>
        <v>105</v>
      </c>
      <c r="E127" s="14" t="n">
        <f aca="false">IF(3&gt;$A127,0,Val_pt*(Ceiling_e-E_zero)*(1-(1-Half_gap)^MIN(3,$B127)))</f>
        <v>122.5</v>
      </c>
      <c r="F127" s="14" t="n">
        <f aca="false">IF(4&gt;$A127,0,Val_pt*(Ceiling_e-E_zero)*(1-(1-Half_gap)^MIN(4,$B127)))</f>
        <v>122.5</v>
      </c>
      <c r="G127" s="14" t="n">
        <f aca="false">IF(5&gt;$A127,0,Val_pt*(Ceiling_e-E_zero)*(1-(1-Half_gap)^MIN(5,$B127)))</f>
        <v>122.5</v>
      </c>
      <c r="H127" s="14" t="n">
        <f aca="false">IF(6&gt;$A127,0,Val_pt*(Ceiling_e-E_zero)*(1-(1-Half_gap)^MIN(6,$B127)))</f>
        <v>122.5</v>
      </c>
      <c r="I127" s="14" t="n">
        <f aca="false">IF(7&gt;$A127,0,Val_pt*(Ceiling_e-E_zero)*(1-(1-Half_gap)^MIN(7,$B127)))</f>
        <v>122.5</v>
      </c>
      <c r="J127" s="14" t="n">
        <f aca="false">IF(8&gt;$A127,0,Val_pt*(Ceiling_e-E_zero)*(1-(1-Half_gap)^MIN(8,$B127)))</f>
        <v>122.5</v>
      </c>
      <c r="K127" s="14" t="n">
        <f aca="false">IF(9&gt;$A127,0,Val_pt*(Ceiling_e-E_zero)*(1-(1-Half_gap)^MIN(9,$B127)))</f>
        <v>122.5</v>
      </c>
      <c r="L127" s="14" t="n">
        <f aca="false">IF(10&gt;$A127,0,Val_pt*(Ceiling_e-E_zero)*(1-(1-Half_gap)^MIN(10,$B127)))</f>
        <v>122.5</v>
      </c>
      <c r="M127" s="14" t="n">
        <f aca="false">IF(11&gt;$A127,0,Val_pt*(Ceiling_e-E_zero)*(1-(1-Half_gap)^MIN(11,$B127)))</f>
        <v>122.5</v>
      </c>
      <c r="N127" s="14" t="n">
        <f aca="false">IF(12&gt;$A127,0,Val_pt*(Ceiling_e-E_zero)*(1-(1-Half_gap)^MIN(12,$B127)))</f>
        <v>122.5</v>
      </c>
      <c r="O127" s="14" t="n">
        <f aca="false">IF(13&gt;$A127,0,Val_pt*(Ceiling_e-E_zero)*(1-(1-Half_gap)^MIN(13,$B127)))</f>
        <v>122.5</v>
      </c>
      <c r="P127" s="14" t="n">
        <f aca="false">IF(14&gt;$A127,0,Val_pt*(Ceiling_e-E_zero)*(1-(1-Half_gap)^MIN(14,$B127)))</f>
        <v>122.5</v>
      </c>
      <c r="Q127" s="14" t="n">
        <f aca="false">IF(15&gt;$A127,0,Val_pt*(Ceiling_e-E_zero)*(1-(1-Half_gap)^MIN(15,$B127)))</f>
        <v>122.5</v>
      </c>
      <c r="R127" s="14" t="n">
        <f aca="false">IF(16&gt;$A127,0,Val_pt*(Ceiling_e-E_zero)*(1-(1-Half_gap)^MIN(16,$B127)))</f>
        <v>122.5</v>
      </c>
      <c r="S127" s="14" t="n">
        <f aca="false">IF(17&gt;$A127,0,Val_pt*(Ceiling_e-E_zero)*(1-(1-Half_gap)^MIN(17,$B127)))</f>
        <v>122.5</v>
      </c>
      <c r="T127" s="14" t="n">
        <f aca="false">IF(18&gt;$A127,0,Val_pt*(Ceiling_e-E_zero)*(1-(1-Half_gap)^MIN(18,$B127)))</f>
        <v>122.5</v>
      </c>
      <c r="U127" s="14" t="n">
        <f aca="false">IF(19&gt;$A127,0,Val_pt*(Ceiling_e-E_zero)*(1-(1-Half_gap)^MIN(19,$B127)))</f>
        <v>122.5</v>
      </c>
      <c r="V127" s="14" t="n">
        <f aca="false">IF(20&gt;$A127,0,Val_pt*(Ceiling_e-E_zero)*(1-(1-Half_gap)^MIN(20,$B127)))</f>
        <v>0</v>
      </c>
      <c r="W127" s="14" t="n">
        <f aca="false">IF(0&gt;$A127,0,IF(0=$A127,MAX(End_q,Floor_q),MAX(X127+Cost_round*IF(1&lt;=$B127,1,0)-C127,IF(1&lt;=$B127,1,0)*Pre_q)))</f>
        <v>535</v>
      </c>
      <c r="X127" s="14" t="n">
        <f aca="false">IF(1&gt;$A127,0,IF(1=$A127,MAX(End_q,Floor_q),MAX(Y127+Cost_round*IF(2&lt;=$B127,1,0)-D127,IF(2&lt;=$B127,1,0)*Pre_q,Floor_q)))</f>
        <v>485</v>
      </c>
      <c r="Y127" s="14" t="n">
        <f aca="false">IF(2&gt;$A127,0,IF(2=$A127,MAX(End_q,Floor_q),MAX(Z127+Cost_round*IF(3&lt;=$B127,1,0)-E127,IF(3&lt;=$B127,1,0)*Pre_q,Floor_q)))</f>
        <v>470</v>
      </c>
      <c r="Z127" s="14" t="n">
        <f aca="false">IF(3&gt;$A127,0,IF(3=$A127,MAX(End_q,Floor_q),MAX(AA127+Cost_round*IF(4&lt;=$B127,1,0)-F127,IF(4&lt;=$B127,1,0)*Pre_q,Floor_q)))</f>
        <v>350</v>
      </c>
      <c r="AA127" s="14" t="n">
        <f aca="false">IF(4&gt;$A127,0,IF(4=$A127,MAX(End_q,Floor_q),MAX(AB127+Cost_round*IF(5&lt;=$B127,1,0)-G127,IF(5&lt;=$B127,1,0)*Pre_q,Floor_q)))</f>
        <v>350</v>
      </c>
      <c r="AB127" s="14" t="n">
        <f aca="false">IF(5&gt;$A127,0,IF(5=$A127,MAX(End_q,Floor_q),MAX(AC127+Cost_round*IF(6&lt;=$B127,1,0)-H127,IF(6&lt;=$B127,1,0)*Pre_q,Floor_q)))</f>
        <v>350</v>
      </c>
      <c r="AC127" s="14" t="n">
        <f aca="false">IF(6&gt;$A127,0,IF(6=$A127,MAX(End_q,Floor_q),MAX(AD127+Cost_round*IF(7&lt;=$B127,1,0)-I127,IF(7&lt;=$B127,1,0)*Pre_q,Floor_q)))</f>
        <v>350</v>
      </c>
      <c r="AD127" s="14" t="n">
        <f aca="false">IF(7&gt;$A127,0,IF(7=$A127,MAX(End_q,Floor_q),MAX(AE127+Cost_round*IF(8&lt;=$B127,1,0)-J127,IF(8&lt;=$B127,1,0)*Pre_q,Floor_q)))</f>
        <v>350</v>
      </c>
      <c r="AE127" s="14" t="n">
        <f aca="false">IF(8&gt;$A127,0,IF(8=$A127,MAX(End_q,Floor_q),MAX(AF127+Cost_round*IF(9&lt;=$B127,1,0)-K127,IF(9&lt;=$B127,1,0)*Pre_q,Floor_q)))</f>
        <v>350</v>
      </c>
      <c r="AF127" s="14" t="n">
        <f aca="false">IF(9&gt;$A127,0,IF(9=$A127,MAX(End_q,Floor_q),MAX(AG127+Cost_round*IF(10&lt;=$B127,1,0)-L127,IF(10&lt;=$B127,1,0)*Pre_q,Floor_q)))</f>
        <v>350</v>
      </c>
      <c r="AG127" s="14" t="n">
        <f aca="false">IF(10&gt;$A127,0,IF(10=$A127,MAX(End_q,Floor_q),MAX(AH127+Cost_round*IF(11&lt;=$B127,1,0)-M127,IF(11&lt;=$B127,1,0)*Pre_q,Floor_q)))</f>
        <v>350</v>
      </c>
      <c r="AH127" s="14" t="n">
        <f aca="false">IF(11&gt;$A127,0,IF(11=$A127,MAX(End_q,Floor_q),MAX(AI127+Cost_round*IF(12&lt;=$B127,1,0)-N127,IF(12&lt;=$B127,1,0)*Pre_q,Floor_q)))</f>
        <v>350</v>
      </c>
      <c r="AI127" s="14" t="n">
        <f aca="false">IF(12&gt;$A127,0,IF(12=$A127,MAX(End_q,Floor_q),MAX(AJ127+Cost_round*IF(13&lt;=$B127,1,0)-O127,IF(13&lt;=$B127,1,0)*Pre_q,Floor_q)))</f>
        <v>350</v>
      </c>
      <c r="AJ127" s="14" t="n">
        <f aca="false">IF(13&gt;$A127,0,IF(13=$A127,MAX(End_q,Floor_q),MAX(AK127+Cost_round*IF(14&lt;=$B127,1,0)-P127,IF(14&lt;=$B127,1,0)*Pre_q,Floor_q)))</f>
        <v>350</v>
      </c>
      <c r="AK127" s="14" t="n">
        <f aca="false">IF(14&gt;$A127,0,IF(14=$A127,MAX(End_q,Floor_q),MAX(AL127+Cost_round*IF(15&lt;=$B127,1,0)-Q127,IF(15&lt;=$B127,1,0)*Pre_q,Floor_q)))</f>
        <v>350</v>
      </c>
      <c r="AL127" s="14" t="n">
        <f aca="false">IF(15&gt;$A127,0,IF(15=$A127,MAX(End_q,Floor_q),MAX(AM127+Cost_round*IF(16&lt;=$B127,1,0)-R127,IF(16&lt;=$B127,1,0)*Pre_q,Floor_q)))</f>
        <v>350</v>
      </c>
      <c r="AM127" s="14" t="n">
        <f aca="false">IF(16&gt;$A127,0,IF(16=$A127,MAX(End_q,Floor_q),MAX(AN127+Cost_round*IF(17&lt;=$B127,1,0)-S127,IF(17&lt;=$B127,1,0)*Pre_q,Floor_q)))</f>
        <v>350</v>
      </c>
      <c r="AN127" s="14" t="n">
        <f aca="false">IF(17&gt;$A127,0,IF(17=$A127,MAX(End_q,Floor_q),MAX(AO127+Cost_round*IF(18&lt;=$B127,1,0)-T127,IF(18&lt;=$B127,1,0)*Pre_q,Floor_q)))</f>
        <v>350</v>
      </c>
      <c r="AO127" s="14" t="n">
        <f aca="false">IF(18&gt;$A127,0,IF(18=$A127,MAX(End_q,Floor_q),MAX(AP127+Cost_round*IF(19&lt;=$B127,1,0)-U127,IF(19&lt;=$B127,1,0)*Pre_q,Floor_q)))</f>
        <v>350</v>
      </c>
      <c r="AP127" s="14" t="n">
        <f aca="false">IF(19&gt;$A127,0,IF(19=$A127,MAX(End_q,Floor_q),MAX(AQ127+Cost_round*IF(20&lt;=$B127,1,0)-V127,IF(20&lt;=$B127,1,0)*Pre_q,Floor_q)))</f>
        <v>470</v>
      </c>
      <c r="AQ127" s="14" t="n">
        <f aca="false">IF(20&gt;$A127,0,MAX(End_q,Floor_q))</f>
        <v>0</v>
      </c>
      <c r="AR127" s="15" t="n">
        <f aca="false">IF(Q_zero&gt;=W127-0.000000001,1,0)</f>
        <v>1</v>
      </c>
      <c r="AS127" s="14" t="n">
        <f aca="false">IF(1&gt;$A127,0,Q_zero-Cost_round*IF(1&lt;=$B127,1,0)+C127-X127)</f>
        <v>85</v>
      </c>
      <c r="AT127" s="14" t="n">
        <f aca="false">IF(2&gt;$A127,0,X127-Cost_round*IF(2&lt;=$B127,1,0)+D127-Y127)</f>
        <v>0</v>
      </c>
      <c r="AU127" s="14" t="n">
        <f aca="false">IF(3&gt;$A127,0,Y127-Cost_round*IF(3&lt;=$B127,1,0)+E127-Z127)</f>
        <v>122.5</v>
      </c>
      <c r="AV127" s="14" t="n">
        <f aca="false">IF(4&gt;$A127,0,Z127-Cost_round*IF(4&lt;=$B127,1,0)+F127-AA127)</f>
        <v>122.5</v>
      </c>
      <c r="AW127" s="14" t="n">
        <f aca="false">IF(5&gt;$A127,0,AA127-Cost_round*IF(5&lt;=$B127,1,0)+G127-AB127)</f>
        <v>122.5</v>
      </c>
      <c r="AX127" s="14" t="n">
        <f aca="false">IF(6&gt;$A127,0,AB127-Cost_round*IF(6&lt;=$B127,1,0)+H127-AC127)</f>
        <v>122.5</v>
      </c>
      <c r="AY127" s="14" t="n">
        <f aca="false">IF(7&gt;$A127,0,AC127-Cost_round*IF(7&lt;=$B127,1,0)+I127-AD127)</f>
        <v>122.5</v>
      </c>
      <c r="AZ127" s="14" t="n">
        <f aca="false">IF(8&gt;$A127,0,AD127-Cost_round*IF(8&lt;=$B127,1,0)+J127-AE127)</f>
        <v>122.5</v>
      </c>
      <c r="BA127" s="14" t="n">
        <f aca="false">IF(9&gt;$A127,0,AE127-Cost_round*IF(9&lt;=$B127,1,0)+K127-AF127)</f>
        <v>122.5</v>
      </c>
      <c r="BB127" s="14" t="n">
        <f aca="false">IF(10&gt;$A127,0,AF127-Cost_round*IF(10&lt;=$B127,1,0)+L127-AG127)</f>
        <v>122.5</v>
      </c>
      <c r="BC127" s="14" t="n">
        <f aca="false">IF(11&gt;$A127,0,AG127-Cost_round*IF(11&lt;=$B127,1,0)+M127-AH127)</f>
        <v>122.5</v>
      </c>
      <c r="BD127" s="14" t="n">
        <f aca="false">IF(12&gt;$A127,0,AH127-Cost_round*IF(12&lt;=$B127,1,0)+N127-AI127)</f>
        <v>122.5</v>
      </c>
      <c r="BE127" s="14" t="n">
        <f aca="false">IF(13&gt;$A127,0,AI127-Cost_round*IF(13&lt;=$B127,1,0)+O127-AJ127)</f>
        <v>122.5</v>
      </c>
      <c r="BF127" s="14" t="n">
        <f aca="false">IF(14&gt;$A127,0,AJ127-Cost_round*IF(14&lt;=$B127,1,0)+P127-AK127)</f>
        <v>122.5</v>
      </c>
      <c r="BG127" s="14" t="n">
        <f aca="false">IF(15&gt;$A127,0,AK127-Cost_round*IF(15&lt;=$B127,1,0)+Q127-AL127)</f>
        <v>122.5</v>
      </c>
      <c r="BH127" s="14" t="n">
        <f aca="false">IF(16&gt;$A127,0,AL127-Cost_round*IF(16&lt;=$B127,1,0)+R127-AM127)</f>
        <v>122.5</v>
      </c>
      <c r="BI127" s="14" t="n">
        <f aca="false">IF(17&gt;$A127,0,AM127-Cost_round*IF(17&lt;=$B127,1,0)+S127-AN127)</f>
        <v>122.5</v>
      </c>
      <c r="BJ127" s="14" t="n">
        <f aca="false">IF(18&gt;$A127,0,AN127-Cost_round*IF(18&lt;=$B127,1,0)+T127-AO127)</f>
        <v>122.5</v>
      </c>
      <c r="BK127" s="14" t="n">
        <f aca="false">IF(19&gt;$A127,0,AO127-Cost_round*IF(19&lt;=$B127,1,0)+U127-AP127)</f>
        <v>2.5</v>
      </c>
      <c r="BL127" s="14" t="n">
        <f aca="false">IF(20&gt;$A127,0,AP127-Cost_round*IF(20&lt;=$B127,1,0)+V127-AQ127)</f>
        <v>0</v>
      </c>
      <c r="BM127" s="17" t="n">
        <f aca="false">IF($AR127=1,SUMPRODUCT(AS127:BL127,$AS$38:$BL$38),"")</f>
        <v>869.751173825883</v>
      </c>
      <c r="BN127" s="17" t="n">
        <f aca="false">IF($AR127=1,BM127+INDEX($AS$38:$BL$38,$A127)*INDEX(C127:V127,$A127)/Hurdle_r,"")</f>
        <v>1070.04846258842</v>
      </c>
    </row>
    <row r="128" customFormat="false" ht="15" hidden="false" customHeight="false" outlineLevel="0" collapsed="false">
      <c r="A128" s="2" t="n">
        <v>19</v>
      </c>
      <c r="B128" s="2" t="n">
        <v>4</v>
      </c>
      <c r="C128" s="14" t="n">
        <f aca="false">IF(1&gt;$A128,0,Val_pt*(Ceiling_e-E_zero)*(1-(1-Half_gap)^MIN(1,$B128)))</f>
        <v>70</v>
      </c>
      <c r="D128" s="14" t="n">
        <f aca="false">IF(2&gt;$A128,0,Val_pt*(Ceiling_e-E_zero)*(1-(1-Half_gap)^MIN(2,$B128)))</f>
        <v>105</v>
      </c>
      <c r="E128" s="14" t="n">
        <f aca="false">IF(3&gt;$A128,0,Val_pt*(Ceiling_e-E_zero)*(1-(1-Half_gap)^MIN(3,$B128)))</f>
        <v>122.5</v>
      </c>
      <c r="F128" s="14" t="n">
        <f aca="false">IF(4&gt;$A128,0,Val_pt*(Ceiling_e-E_zero)*(1-(1-Half_gap)^MIN(4,$B128)))</f>
        <v>131.25</v>
      </c>
      <c r="G128" s="14" t="n">
        <f aca="false">IF(5&gt;$A128,0,Val_pt*(Ceiling_e-E_zero)*(1-(1-Half_gap)^MIN(5,$B128)))</f>
        <v>131.25</v>
      </c>
      <c r="H128" s="14" t="n">
        <f aca="false">IF(6&gt;$A128,0,Val_pt*(Ceiling_e-E_zero)*(1-(1-Half_gap)^MIN(6,$B128)))</f>
        <v>131.25</v>
      </c>
      <c r="I128" s="14" t="n">
        <f aca="false">IF(7&gt;$A128,0,Val_pt*(Ceiling_e-E_zero)*(1-(1-Half_gap)^MIN(7,$B128)))</f>
        <v>131.25</v>
      </c>
      <c r="J128" s="14" t="n">
        <f aca="false">IF(8&gt;$A128,0,Val_pt*(Ceiling_e-E_zero)*(1-(1-Half_gap)^MIN(8,$B128)))</f>
        <v>131.25</v>
      </c>
      <c r="K128" s="14" t="n">
        <f aca="false">IF(9&gt;$A128,0,Val_pt*(Ceiling_e-E_zero)*(1-(1-Half_gap)^MIN(9,$B128)))</f>
        <v>131.25</v>
      </c>
      <c r="L128" s="14" t="n">
        <f aca="false">IF(10&gt;$A128,0,Val_pt*(Ceiling_e-E_zero)*(1-(1-Half_gap)^MIN(10,$B128)))</f>
        <v>131.25</v>
      </c>
      <c r="M128" s="14" t="n">
        <f aca="false">IF(11&gt;$A128,0,Val_pt*(Ceiling_e-E_zero)*(1-(1-Half_gap)^MIN(11,$B128)))</f>
        <v>131.25</v>
      </c>
      <c r="N128" s="14" t="n">
        <f aca="false">IF(12&gt;$A128,0,Val_pt*(Ceiling_e-E_zero)*(1-(1-Half_gap)^MIN(12,$B128)))</f>
        <v>131.25</v>
      </c>
      <c r="O128" s="14" t="n">
        <f aca="false">IF(13&gt;$A128,0,Val_pt*(Ceiling_e-E_zero)*(1-(1-Half_gap)^MIN(13,$B128)))</f>
        <v>131.25</v>
      </c>
      <c r="P128" s="14" t="n">
        <f aca="false">IF(14&gt;$A128,0,Val_pt*(Ceiling_e-E_zero)*(1-(1-Half_gap)^MIN(14,$B128)))</f>
        <v>131.25</v>
      </c>
      <c r="Q128" s="14" t="n">
        <f aca="false">IF(15&gt;$A128,0,Val_pt*(Ceiling_e-E_zero)*(1-(1-Half_gap)^MIN(15,$B128)))</f>
        <v>131.25</v>
      </c>
      <c r="R128" s="14" t="n">
        <f aca="false">IF(16&gt;$A128,0,Val_pt*(Ceiling_e-E_zero)*(1-(1-Half_gap)^MIN(16,$B128)))</f>
        <v>131.25</v>
      </c>
      <c r="S128" s="14" t="n">
        <f aca="false">IF(17&gt;$A128,0,Val_pt*(Ceiling_e-E_zero)*(1-(1-Half_gap)^MIN(17,$B128)))</f>
        <v>131.25</v>
      </c>
      <c r="T128" s="14" t="n">
        <f aca="false">IF(18&gt;$A128,0,Val_pt*(Ceiling_e-E_zero)*(1-(1-Half_gap)^MIN(18,$B128)))</f>
        <v>131.25</v>
      </c>
      <c r="U128" s="14" t="n">
        <f aca="false">IF(19&gt;$A128,0,Val_pt*(Ceiling_e-E_zero)*(1-(1-Half_gap)^MIN(19,$B128)))</f>
        <v>131.25</v>
      </c>
      <c r="V128" s="14" t="n">
        <f aca="false">IF(20&gt;$A128,0,Val_pt*(Ceiling_e-E_zero)*(1-(1-Half_gap)^MIN(20,$B128)))</f>
        <v>0</v>
      </c>
      <c r="W128" s="14" t="n">
        <f aca="false">IF(0&gt;$A128,0,IF(0=$A128,MAX(End_q,Floor_q),MAX(X128+Cost_round*IF(1&lt;=$B128,1,0)-C128,IF(1&lt;=$B128,1,0)*Pre_q)))</f>
        <v>535</v>
      </c>
      <c r="X128" s="14" t="n">
        <f aca="false">IF(1&gt;$A128,0,IF(1=$A128,MAX(End_q,Floor_q),MAX(Y128+Cost_round*IF(2&lt;=$B128,1,0)-D128,IF(2&lt;=$B128,1,0)*Pre_q,Floor_q)))</f>
        <v>485</v>
      </c>
      <c r="Y128" s="14" t="n">
        <f aca="false">IF(2&gt;$A128,0,IF(2=$A128,MAX(End_q,Floor_q),MAX(Z128+Cost_round*IF(3&lt;=$B128,1,0)-E128,IF(3&lt;=$B128,1,0)*Pre_q,Floor_q)))</f>
        <v>470</v>
      </c>
      <c r="Z128" s="14" t="n">
        <f aca="false">IF(3&gt;$A128,0,IF(3=$A128,MAX(End_q,Floor_q),MAX(AA128+Cost_round*IF(4&lt;=$B128,1,0)-F128,IF(4&lt;=$B128,1,0)*Pre_q,Floor_q)))</f>
        <v>470</v>
      </c>
      <c r="AA128" s="14" t="n">
        <f aca="false">IF(4&gt;$A128,0,IF(4=$A128,MAX(End_q,Floor_q),MAX(AB128+Cost_round*IF(5&lt;=$B128,1,0)-G128,IF(5&lt;=$B128,1,0)*Pre_q,Floor_q)))</f>
        <v>350</v>
      </c>
      <c r="AB128" s="14" t="n">
        <f aca="false">IF(5&gt;$A128,0,IF(5=$A128,MAX(End_q,Floor_q),MAX(AC128+Cost_round*IF(6&lt;=$B128,1,0)-H128,IF(6&lt;=$B128,1,0)*Pre_q,Floor_q)))</f>
        <v>350</v>
      </c>
      <c r="AC128" s="14" t="n">
        <f aca="false">IF(6&gt;$A128,0,IF(6=$A128,MAX(End_q,Floor_q),MAX(AD128+Cost_round*IF(7&lt;=$B128,1,0)-I128,IF(7&lt;=$B128,1,0)*Pre_q,Floor_q)))</f>
        <v>350</v>
      </c>
      <c r="AD128" s="14" t="n">
        <f aca="false">IF(7&gt;$A128,0,IF(7=$A128,MAX(End_q,Floor_q),MAX(AE128+Cost_round*IF(8&lt;=$B128,1,0)-J128,IF(8&lt;=$B128,1,0)*Pre_q,Floor_q)))</f>
        <v>350</v>
      </c>
      <c r="AE128" s="14" t="n">
        <f aca="false">IF(8&gt;$A128,0,IF(8=$A128,MAX(End_q,Floor_q),MAX(AF128+Cost_round*IF(9&lt;=$B128,1,0)-K128,IF(9&lt;=$B128,1,0)*Pre_q,Floor_q)))</f>
        <v>350</v>
      </c>
      <c r="AF128" s="14" t="n">
        <f aca="false">IF(9&gt;$A128,0,IF(9=$A128,MAX(End_q,Floor_q),MAX(AG128+Cost_round*IF(10&lt;=$B128,1,0)-L128,IF(10&lt;=$B128,1,0)*Pre_q,Floor_q)))</f>
        <v>350</v>
      </c>
      <c r="AG128" s="14" t="n">
        <f aca="false">IF(10&gt;$A128,0,IF(10=$A128,MAX(End_q,Floor_q),MAX(AH128+Cost_round*IF(11&lt;=$B128,1,0)-M128,IF(11&lt;=$B128,1,0)*Pre_q,Floor_q)))</f>
        <v>350</v>
      </c>
      <c r="AH128" s="14" t="n">
        <f aca="false">IF(11&gt;$A128,0,IF(11=$A128,MAX(End_q,Floor_q),MAX(AI128+Cost_round*IF(12&lt;=$B128,1,0)-N128,IF(12&lt;=$B128,1,0)*Pre_q,Floor_q)))</f>
        <v>350</v>
      </c>
      <c r="AI128" s="14" t="n">
        <f aca="false">IF(12&gt;$A128,0,IF(12=$A128,MAX(End_q,Floor_q),MAX(AJ128+Cost_round*IF(13&lt;=$B128,1,0)-O128,IF(13&lt;=$B128,1,0)*Pre_q,Floor_q)))</f>
        <v>350</v>
      </c>
      <c r="AJ128" s="14" t="n">
        <f aca="false">IF(13&gt;$A128,0,IF(13=$A128,MAX(End_q,Floor_q),MAX(AK128+Cost_round*IF(14&lt;=$B128,1,0)-P128,IF(14&lt;=$B128,1,0)*Pre_q,Floor_q)))</f>
        <v>350</v>
      </c>
      <c r="AK128" s="14" t="n">
        <f aca="false">IF(14&gt;$A128,0,IF(14=$A128,MAX(End_q,Floor_q),MAX(AL128+Cost_round*IF(15&lt;=$B128,1,0)-Q128,IF(15&lt;=$B128,1,0)*Pre_q,Floor_q)))</f>
        <v>350</v>
      </c>
      <c r="AL128" s="14" t="n">
        <f aca="false">IF(15&gt;$A128,0,IF(15=$A128,MAX(End_q,Floor_q),MAX(AM128+Cost_round*IF(16&lt;=$B128,1,0)-R128,IF(16&lt;=$B128,1,0)*Pre_q,Floor_q)))</f>
        <v>350</v>
      </c>
      <c r="AM128" s="14" t="n">
        <f aca="false">IF(16&gt;$A128,0,IF(16=$A128,MAX(End_q,Floor_q),MAX(AN128+Cost_round*IF(17&lt;=$B128,1,0)-S128,IF(17&lt;=$B128,1,0)*Pre_q,Floor_q)))</f>
        <v>350</v>
      </c>
      <c r="AN128" s="14" t="n">
        <f aca="false">IF(17&gt;$A128,0,IF(17=$A128,MAX(End_q,Floor_q),MAX(AO128+Cost_round*IF(18&lt;=$B128,1,0)-T128,IF(18&lt;=$B128,1,0)*Pre_q,Floor_q)))</f>
        <v>350</v>
      </c>
      <c r="AO128" s="14" t="n">
        <f aca="false">IF(18&gt;$A128,0,IF(18=$A128,MAX(End_q,Floor_q),MAX(AP128+Cost_round*IF(19&lt;=$B128,1,0)-U128,IF(19&lt;=$B128,1,0)*Pre_q,Floor_q)))</f>
        <v>350</v>
      </c>
      <c r="AP128" s="14" t="n">
        <f aca="false">IF(19&gt;$A128,0,IF(19=$A128,MAX(End_q,Floor_q),MAX(AQ128+Cost_round*IF(20&lt;=$B128,1,0)-V128,IF(20&lt;=$B128,1,0)*Pre_q,Floor_q)))</f>
        <v>470</v>
      </c>
      <c r="AQ128" s="14" t="n">
        <f aca="false">IF(20&gt;$A128,0,MAX(End_q,Floor_q))</f>
        <v>0</v>
      </c>
      <c r="AR128" s="15" t="n">
        <f aca="false">IF(Q_zero&gt;=W128-0.000000001,1,0)</f>
        <v>1</v>
      </c>
      <c r="AS128" s="14" t="n">
        <f aca="false">IF(1&gt;$A128,0,Q_zero-Cost_round*IF(1&lt;=$B128,1,0)+C128-X128)</f>
        <v>85</v>
      </c>
      <c r="AT128" s="14" t="n">
        <f aca="false">IF(2&gt;$A128,0,X128-Cost_round*IF(2&lt;=$B128,1,0)+D128-Y128)</f>
        <v>0</v>
      </c>
      <c r="AU128" s="14" t="n">
        <f aca="false">IF(3&gt;$A128,0,Y128-Cost_round*IF(3&lt;=$B128,1,0)+E128-Z128)</f>
        <v>2.5</v>
      </c>
      <c r="AV128" s="14" t="n">
        <f aca="false">IF(4&gt;$A128,0,Z128-Cost_round*IF(4&lt;=$B128,1,0)+F128-AA128)</f>
        <v>131.25</v>
      </c>
      <c r="AW128" s="14" t="n">
        <f aca="false">IF(5&gt;$A128,0,AA128-Cost_round*IF(5&lt;=$B128,1,0)+G128-AB128)</f>
        <v>131.25</v>
      </c>
      <c r="AX128" s="14" t="n">
        <f aca="false">IF(6&gt;$A128,0,AB128-Cost_round*IF(6&lt;=$B128,1,0)+H128-AC128)</f>
        <v>131.25</v>
      </c>
      <c r="AY128" s="14" t="n">
        <f aca="false">IF(7&gt;$A128,0,AC128-Cost_round*IF(7&lt;=$B128,1,0)+I128-AD128)</f>
        <v>131.25</v>
      </c>
      <c r="AZ128" s="14" t="n">
        <f aca="false">IF(8&gt;$A128,0,AD128-Cost_round*IF(8&lt;=$B128,1,0)+J128-AE128)</f>
        <v>131.25</v>
      </c>
      <c r="BA128" s="14" t="n">
        <f aca="false">IF(9&gt;$A128,0,AE128-Cost_round*IF(9&lt;=$B128,1,0)+K128-AF128)</f>
        <v>131.25</v>
      </c>
      <c r="BB128" s="14" t="n">
        <f aca="false">IF(10&gt;$A128,0,AF128-Cost_round*IF(10&lt;=$B128,1,0)+L128-AG128)</f>
        <v>131.25</v>
      </c>
      <c r="BC128" s="14" t="n">
        <f aca="false">IF(11&gt;$A128,0,AG128-Cost_round*IF(11&lt;=$B128,1,0)+M128-AH128)</f>
        <v>131.25</v>
      </c>
      <c r="BD128" s="14" t="n">
        <f aca="false">IF(12&gt;$A128,0,AH128-Cost_round*IF(12&lt;=$B128,1,0)+N128-AI128)</f>
        <v>131.25</v>
      </c>
      <c r="BE128" s="14" t="n">
        <f aca="false">IF(13&gt;$A128,0,AI128-Cost_round*IF(13&lt;=$B128,1,0)+O128-AJ128)</f>
        <v>131.25</v>
      </c>
      <c r="BF128" s="14" t="n">
        <f aca="false">IF(14&gt;$A128,0,AJ128-Cost_round*IF(14&lt;=$B128,1,0)+P128-AK128)</f>
        <v>131.25</v>
      </c>
      <c r="BG128" s="14" t="n">
        <f aca="false">IF(15&gt;$A128,0,AK128-Cost_round*IF(15&lt;=$B128,1,0)+Q128-AL128)</f>
        <v>131.25</v>
      </c>
      <c r="BH128" s="14" t="n">
        <f aca="false">IF(16&gt;$A128,0,AL128-Cost_round*IF(16&lt;=$B128,1,0)+R128-AM128)</f>
        <v>131.25</v>
      </c>
      <c r="BI128" s="14" t="n">
        <f aca="false">IF(17&gt;$A128,0,AM128-Cost_round*IF(17&lt;=$B128,1,0)+S128-AN128)</f>
        <v>131.25</v>
      </c>
      <c r="BJ128" s="14" t="n">
        <f aca="false">IF(18&gt;$A128,0,AN128-Cost_round*IF(18&lt;=$B128,1,0)+T128-AO128)</f>
        <v>131.25</v>
      </c>
      <c r="BK128" s="14" t="n">
        <f aca="false">IF(19&gt;$A128,0,AO128-Cost_round*IF(19&lt;=$B128,1,0)+U128-AP128)</f>
        <v>11.25</v>
      </c>
      <c r="BL128" s="14" t="n">
        <f aca="false">IF(20&gt;$A128,0,AP128-Cost_round*IF(20&lt;=$B128,1,0)+V128-AQ128)</f>
        <v>0</v>
      </c>
      <c r="BM128" s="17" t="n">
        <f aca="false">IF($AR128=1,SUMPRODUCT(AS128:BL128,$AS$38:$BL$38),"")</f>
        <v>831.026493599257</v>
      </c>
      <c r="BN128" s="17" t="n">
        <f aca="false">IF($AR128=1,BM128+INDEX($AS$38:$BL$38,$A128)*INDEX(C128:V128,$A128)/Hurdle_r,"")</f>
        <v>1045.63073155911</v>
      </c>
    </row>
    <row r="129" customFormat="false" ht="15" hidden="false" customHeight="false" outlineLevel="0" collapsed="false">
      <c r="A129" s="2" t="n">
        <v>20</v>
      </c>
      <c r="B129" s="2" t="n">
        <v>0</v>
      </c>
      <c r="C129" s="14" t="n">
        <f aca="false">IF(1&gt;$A129,0,Val_pt*(Ceiling_e-E_zero)*(1-(1-Half_gap)^MIN(1,$B129)))</f>
        <v>0</v>
      </c>
      <c r="D129" s="14" t="n">
        <f aca="false">IF(2&gt;$A129,0,Val_pt*(Ceiling_e-E_zero)*(1-(1-Half_gap)^MIN(2,$B129)))</f>
        <v>0</v>
      </c>
      <c r="E129" s="14" t="n">
        <f aca="false">IF(3&gt;$A129,0,Val_pt*(Ceiling_e-E_zero)*(1-(1-Half_gap)^MIN(3,$B129)))</f>
        <v>0</v>
      </c>
      <c r="F129" s="14" t="n">
        <f aca="false">IF(4&gt;$A129,0,Val_pt*(Ceiling_e-E_zero)*(1-(1-Half_gap)^MIN(4,$B129)))</f>
        <v>0</v>
      </c>
      <c r="G129" s="14" t="n">
        <f aca="false">IF(5&gt;$A129,0,Val_pt*(Ceiling_e-E_zero)*(1-(1-Half_gap)^MIN(5,$B129)))</f>
        <v>0</v>
      </c>
      <c r="H129" s="14" t="n">
        <f aca="false">IF(6&gt;$A129,0,Val_pt*(Ceiling_e-E_zero)*(1-(1-Half_gap)^MIN(6,$B129)))</f>
        <v>0</v>
      </c>
      <c r="I129" s="14" t="n">
        <f aca="false">IF(7&gt;$A129,0,Val_pt*(Ceiling_e-E_zero)*(1-(1-Half_gap)^MIN(7,$B129)))</f>
        <v>0</v>
      </c>
      <c r="J129" s="14" t="n">
        <f aca="false">IF(8&gt;$A129,0,Val_pt*(Ceiling_e-E_zero)*(1-(1-Half_gap)^MIN(8,$B129)))</f>
        <v>0</v>
      </c>
      <c r="K129" s="14" t="n">
        <f aca="false">IF(9&gt;$A129,0,Val_pt*(Ceiling_e-E_zero)*(1-(1-Half_gap)^MIN(9,$B129)))</f>
        <v>0</v>
      </c>
      <c r="L129" s="14" t="n">
        <f aca="false">IF(10&gt;$A129,0,Val_pt*(Ceiling_e-E_zero)*(1-(1-Half_gap)^MIN(10,$B129)))</f>
        <v>0</v>
      </c>
      <c r="M129" s="14" t="n">
        <f aca="false">IF(11&gt;$A129,0,Val_pt*(Ceiling_e-E_zero)*(1-(1-Half_gap)^MIN(11,$B129)))</f>
        <v>0</v>
      </c>
      <c r="N129" s="14" t="n">
        <f aca="false">IF(12&gt;$A129,0,Val_pt*(Ceiling_e-E_zero)*(1-(1-Half_gap)^MIN(12,$B129)))</f>
        <v>0</v>
      </c>
      <c r="O129" s="14" t="n">
        <f aca="false">IF(13&gt;$A129,0,Val_pt*(Ceiling_e-E_zero)*(1-(1-Half_gap)^MIN(13,$B129)))</f>
        <v>0</v>
      </c>
      <c r="P129" s="14" t="n">
        <f aca="false">IF(14&gt;$A129,0,Val_pt*(Ceiling_e-E_zero)*(1-(1-Half_gap)^MIN(14,$B129)))</f>
        <v>0</v>
      </c>
      <c r="Q129" s="14" t="n">
        <f aca="false">IF(15&gt;$A129,0,Val_pt*(Ceiling_e-E_zero)*(1-(1-Half_gap)^MIN(15,$B129)))</f>
        <v>0</v>
      </c>
      <c r="R129" s="14" t="n">
        <f aca="false">IF(16&gt;$A129,0,Val_pt*(Ceiling_e-E_zero)*(1-(1-Half_gap)^MIN(16,$B129)))</f>
        <v>0</v>
      </c>
      <c r="S129" s="14" t="n">
        <f aca="false">IF(17&gt;$A129,0,Val_pt*(Ceiling_e-E_zero)*(1-(1-Half_gap)^MIN(17,$B129)))</f>
        <v>0</v>
      </c>
      <c r="T129" s="14" t="n">
        <f aca="false">IF(18&gt;$A129,0,Val_pt*(Ceiling_e-E_zero)*(1-(1-Half_gap)^MIN(18,$B129)))</f>
        <v>0</v>
      </c>
      <c r="U129" s="14" t="n">
        <f aca="false">IF(19&gt;$A129,0,Val_pt*(Ceiling_e-E_zero)*(1-(1-Half_gap)^MIN(19,$B129)))</f>
        <v>0</v>
      </c>
      <c r="V129" s="14" t="n">
        <f aca="false">IF(20&gt;$A129,0,Val_pt*(Ceiling_e-E_zero)*(1-(1-Half_gap)^MIN(20,$B129)))</f>
        <v>0</v>
      </c>
      <c r="W129" s="14" t="n">
        <f aca="false">IF(0&gt;$A129,0,IF(0=$A129,MAX(End_q,Floor_q),MAX(X129+Cost_round*IF(1&lt;=$B129,1,0)-C129,IF(1&lt;=$B129,1,0)*Pre_q)))</f>
        <v>470</v>
      </c>
      <c r="X129" s="14" t="n">
        <f aca="false">IF(1&gt;$A129,0,IF(1=$A129,MAX(End_q,Floor_q),MAX(Y129+Cost_round*IF(2&lt;=$B129,1,0)-D129,IF(2&lt;=$B129,1,0)*Pre_q,Floor_q)))</f>
        <v>470</v>
      </c>
      <c r="Y129" s="14" t="n">
        <f aca="false">IF(2&gt;$A129,0,IF(2=$A129,MAX(End_q,Floor_q),MAX(Z129+Cost_round*IF(3&lt;=$B129,1,0)-E129,IF(3&lt;=$B129,1,0)*Pre_q,Floor_q)))</f>
        <v>470</v>
      </c>
      <c r="Z129" s="14" t="n">
        <f aca="false">IF(3&gt;$A129,0,IF(3=$A129,MAX(End_q,Floor_q),MAX(AA129+Cost_round*IF(4&lt;=$B129,1,0)-F129,IF(4&lt;=$B129,1,0)*Pre_q,Floor_q)))</f>
        <v>470</v>
      </c>
      <c r="AA129" s="14" t="n">
        <f aca="false">IF(4&gt;$A129,0,IF(4=$A129,MAX(End_q,Floor_q),MAX(AB129+Cost_round*IF(5&lt;=$B129,1,0)-G129,IF(5&lt;=$B129,1,0)*Pre_q,Floor_q)))</f>
        <v>470</v>
      </c>
      <c r="AB129" s="14" t="n">
        <f aca="false">IF(5&gt;$A129,0,IF(5=$A129,MAX(End_q,Floor_q),MAX(AC129+Cost_round*IF(6&lt;=$B129,1,0)-H129,IF(6&lt;=$B129,1,0)*Pre_q,Floor_q)))</f>
        <v>470</v>
      </c>
      <c r="AC129" s="14" t="n">
        <f aca="false">IF(6&gt;$A129,0,IF(6=$A129,MAX(End_q,Floor_q),MAX(AD129+Cost_round*IF(7&lt;=$B129,1,0)-I129,IF(7&lt;=$B129,1,0)*Pre_q,Floor_q)))</f>
        <v>470</v>
      </c>
      <c r="AD129" s="14" t="n">
        <f aca="false">IF(7&gt;$A129,0,IF(7=$A129,MAX(End_q,Floor_q),MAX(AE129+Cost_round*IF(8&lt;=$B129,1,0)-J129,IF(8&lt;=$B129,1,0)*Pre_q,Floor_q)))</f>
        <v>470</v>
      </c>
      <c r="AE129" s="14" t="n">
        <f aca="false">IF(8&gt;$A129,0,IF(8=$A129,MAX(End_q,Floor_q),MAX(AF129+Cost_round*IF(9&lt;=$B129,1,0)-K129,IF(9&lt;=$B129,1,0)*Pre_q,Floor_q)))</f>
        <v>470</v>
      </c>
      <c r="AF129" s="14" t="n">
        <f aca="false">IF(9&gt;$A129,0,IF(9=$A129,MAX(End_q,Floor_q),MAX(AG129+Cost_round*IF(10&lt;=$B129,1,0)-L129,IF(10&lt;=$B129,1,0)*Pre_q,Floor_q)))</f>
        <v>470</v>
      </c>
      <c r="AG129" s="14" t="n">
        <f aca="false">IF(10&gt;$A129,0,IF(10=$A129,MAX(End_q,Floor_q),MAX(AH129+Cost_round*IF(11&lt;=$B129,1,0)-M129,IF(11&lt;=$B129,1,0)*Pre_q,Floor_q)))</f>
        <v>470</v>
      </c>
      <c r="AH129" s="14" t="n">
        <f aca="false">IF(11&gt;$A129,0,IF(11=$A129,MAX(End_q,Floor_q),MAX(AI129+Cost_round*IF(12&lt;=$B129,1,0)-N129,IF(12&lt;=$B129,1,0)*Pre_q,Floor_q)))</f>
        <v>470</v>
      </c>
      <c r="AI129" s="14" t="n">
        <f aca="false">IF(12&gt;$A129,0,IF(12=$A129,MAX(End_q,Floor_q),MAX(AJ129+Cost_round*IF(13&lt;=$B129,1,0)-O129,IF(13&lt;=$B129,1,0)*Pre_q,Floor_q)))</f>
        <v>470</v>
      </c>
      <c r="AJ129" s="14" t="n">
        <f aca="false">IF(13&gt;$A129,0,IF(13=$A129,MAX(End_q,Floor_q),MAX(AK129+Cost_round*IF(14&lt;=$B129,1,0)-P129,IF(14&lt;=$B129,1,0)*Pre_q,Floor_q)))</f>
        <v>470</v>
      </c>
      <c r="AK129" s="14" t="n">
        <f aca="false">IF(14&gt;$A129,0,IF(14=$A129,MAX(End_q,Floor_q),MAX(AL129+Cost_round*IF(15&lt;=$B129,1,0)-Q129,IF(15&lt;=$B129,1,0)*Pre_q,Floor_q)))</f>
        <v>470</v>
      </c>
      <c r="AL129" s="14" t="n">
        <f aca="false">IF(15&gt;$A129,0,IF(15=$A129,MAX(End_q,Floor_q),MAX(AM129+Cost_round*IF(16&lt;=$B129,1,0)-R129,IF(16&lt;=$B129,1,0)*Pre_q,Floor_q)))</f>
        <v>470</v>
      </c>
      <c r="AM129" s="14" t="n">
        <f aca="false">IF(16&gt;$A129,0,IF(16=$A129,MAX(End_q,Floor_q),MAX(AN129+Cost_round*IF(17&lt;=$B129,1,0)-S129,IF(17&lt;=$B129,1,0)*Pre_q,Floor_q)))</f>
        <v>470</v>
      </c>
      <c r="AN129" s="14" t="n">
        <f aca="false">IF(17&gt;$A129,0,IF(17=$A129,MAX(End_q,Floor_q),MAX(AO129+Cost_round*IF(18&lt;=$B129,1,0)-T129,IF(18&lt;=$B129,1,0)*Pre_q,Floor_q)))</f>
        <v>470</v>
      </c>
      <c r="AO129" s="14" t="n">
        <f aca="false">IF(18&gt;$A129,0,IF(18=$A129,MAX(End_q,Floor_q),MAX(AP129+Cost_round*IF(19&lt;=$B129,1,0)-U129,IF(19&lt;=$B129,1,0)*Pre_q,Floor_q)))</f>
        <v>470</v>
      </c>
      <c r="AP129" s="14" t="n">
        <f aca="false">IF(19&gt;$A129,0,IF(19=$A129,MAX(End_q,Floor_q),MAX(AQ129+Cost_round*IF(20&lt;=$B129,1,0)-V129,IF(20&lt;=$B129,1,0)*Pre_q,Floor_q)))</f>
        <v>470</v>
      </c>
      <c r="AQ129" s="14" t="n">
        <f aca="false">IF(20&gt;$A129,0,MAX(End_q,Floor_q))</f>
        <v>470</v>
      </c>
      <c r="AR129" s="15" t="n">
        <f aca="false">IF(Q_zero&gt;=W129-0.000000001,1,0)</f>
        <v>1</v>
      </c>
      <c r="AS129" s="14" t="n">
        <f aca="false">IF(1&gt;$A129,0,Q_zero-Cost_round*IF(1&lt;=$B129,1,0)+C129-X129)</f>
        <v>150</v>
      </c>
      <c r="AT129" s="14" t="n">
        <f aca="false">IF(2&gt;$A129,0,X129-Cost_round*IF(2&lt;=$B129,1,0)+D129-Y129)</f>
        <v>0</v>
      </c>
      <c r="AU129" s="14" t="n">
        <f aca="false">IF(3&gt;$A129,0,Y129-Cost_round*IF(3&lt;=$B129,1,0)+E129-Z129)</f>
        <v>0</v>
      </c>
      <c r="AV129" s="14" t="n">
        <f aca="false">IF(4&gt;$A129,0,Z129-Cost_round*IF(4&lt;=$B129,1,0)+F129-AA129)</f>
        <v>0</v>
      </c>
      <c r="AW129" s="14" t="n">
        <f aca="false">IF(5&gt;$A129,0,AA129-Cost_round*IF(5&lt;=$B129,1,0)+G129-AB129)</f>
        <v>0</v>
      </c>
      <c r="AX129" s="14" t="n">
        <f aca="false">IF(6&gt;$A129,0,AB129-Cost_round*IF(6&lt;=$B129,1,0)+H129-AC129)</f>
        <v>0</v>
      </c>
      <c r="AY129" s="14" t="n">
        <f aca="false">IF(7&gt;$A129,0,AC129-Cost_round*IF(7&lt;=$B129,1,0)+I129-AD129)</f>
        <v>0</v>
      </c>
      <c r="AZ129" s="14" t="n">
        <f aca="false">IF(8&gt;$A129,0,AD129-Cost_round*IF(8&lt;=$B129,1,0)+J129-AE129)</f>
        <v>0</v>
      </c>
      <c r="BA129" s="14" t="n">
        <f aca="false">IF(9&gt;$A129,0,AE129-Cost_round*IF(9&lt;=$B129,1,0)+K129-AF129)</f>
        <v>0</v>
      </c>
      <c r="BB129" s="14" t="n">
        <f aca="false">IF(10&gt;$A129,0,AF129-Cost_round*IF(10&lt;=$B129,1,0)+L129-AG129)</f>
        <v>0</v>
      </c>
      <c r="BC129" s="14" t="n">
        <f aca="false">IF(11&gt;$A129,0,AG129-Cost_round*IF(11&lt;=$B129,1,0)+M129-AH129)</f>
        <v>0</v>
      </c>
      <c r="BD129" s="14" t="n">
        <f aca="false">IF(12&gt;$A129,0,AH129-Cost_round*IF(12&lt;=$B129,1,0)+N129-AI129)</f>
        <v>0</v>
      </c>
      <c r="BE129" s="14" t="n">
        <f aca="false">IF(13&gt;$A129,0,AI129-Cost_round*IF(13&lt;=$B129,1,0)+O129-AJ129)</f>
        <v>0</v>
      </c>
      <c r="BF129" s="14" t="n">
        <f aca="false">IF(14&gt;$A129,0,AJ129-Cost_round*IF(14&lt;=$B129,1,0)+P129-AK129)</f>
        <v>0</v>
      </c>
      <c r="BG129" s="14" t="n">
        <f aca="false">IF(15&gt;$A129,0,AK129-Cost_round*IF(15&lt;=$B129,1,0)+Q129-AL129)</f>
        <v>0</v>
      </c>
      <c r="BH129" s="14" t="n">
        <f aca="false">IF(16&gt;$A129,0,AL129-Cost_round*IF(16&lt;=$B129,1,0)+R129-AM129)</f>
        <v>0</v>
      </c>
      <c r="BI129" s="14" t="n">
        <f aca="false">IF(17&gt;$A129,0,AM129-Cost_round*IF(17&lt;=$B129,1,0)+S129-AN129)</f>
        <v>0</v>
      </c>
      <c r="BJ129" s="14" t="n">
        <f aca="false">IF(18&gt;$A129,0,AN129-Cost_round*IF(18&lt;=$B129,1,0)+T129-AO129)</f>
        <v>0</v>
      </c>
      <c r="BK129" s="14" t="n">
        <f aca="false">IF(19&gt;$A129,0,AO129-Cost_round*IF(19&lt;=$B129,1,0)+U129-AP129)</f>
        <v>0</v>
      </c>
      <c r="BL129" s="14" t="n">
        <f aca="false">IF(20&gt;$A129,0,AP129-Cost_round*IF(20&lt;=$B129,1,0)+V129-AQ129)</f>
        <v>0</v>
      </c>
      <c r="BM129" s="17" t="n">
        <f aca="false">IF($AR129=1,SUMPRODUCT(AS129:BL129,$AS$38:$BL$38),"")</f>
        <v>136.363636363636</v>
      </c>
      <c r="BN129" s="17" t="n">
        <f aca="false">IF($AR129=1,BM129+INDEX($AS$38:$BL$38,$A129)*INDEX(C129:V129,$A129)/Hurdle_r,"")</f>
        <v>136.363636363636</v>
      </c>
    </row>
    <row r="130" customFormat="false" ht="15" hidden="false" customHeight="false" outlineLevel="0" collapsed="false">
      <c r="A130" s="2" t="n">
        <v>20</v>
      </c>
      <c r="B130" s="2" t="n">
        <v>1</v>
      </c>
      <c r="C130" s="14" t="n">
        <f aca="false">IF(1&gt;$A130,0,Val_pt*(Ceiling_e-E_zero)*(1-(1-Half_gap)^MIN(1,$B130)))</f>
        <v>70</v>
      </c>
      <c r="D130" s="14" t="n">
        <f aca="false">IF(2&gt;$A130,0,Val_pt*(Ceiling_e-E_zero)*(1-(1-Half_gap)^MIN(2,$B130)))</f>
        <v>70</v>
      </c>
      <c r="E130" s="14" t="n">
        <f aca="false">IF(3&gt;$A130,0,Val_pt*(Ceiling_e-E_zero)*(1-(1-Half_gap)^MIN(3,$B130)))</f>
        <v>70</v>
      </c>
      <c r="F130" s="14" t="n">
        <f aca="false">IF(4&gt;$A130,0,Val_pt*(Ceiling_e-E_zero)*(1-(1-Half_gap)^MIN(4,$B130)))</f>
        <v>70</v>
      </c>
      <c r="G130" s="14" t="n">
        <f aca="false">IF(5&gt;$A130,0,Val_pt*(Ceiling_e-E_zero)*(1-(1-Half_gap)^MIN(5,$B130)))</f>
        <v>70</v>
      </c>
      <c r="H130" s="14" t="n">
        <f aca="false">IF(6&gt;$A130,0,Val_pt*(Ceiling_e-E_zero)*(1-(1-Half_gap)^MIN(6,$B130)))</f>
        <v>70</v>
      </c>
      <c r="I130" s="14" t="n">
        <f aca="false">IF(7&gt;$A130,0,Val_pt*(Ceiling_e-E_zero)*(1-(1-Half_gap)^MIN(7,$B130)))</f>
        <v>70</v>
      </c>
      <c r="J130" s="14" t="n">
        <f aca="false">IF(8&gt;$A130,0,Val_pt*(Ceiling_e-E_zero)*(1-(1-Half_gap)^MIN(8,$B130)))</f>
        <v>70</v>
      </c>
      <c r="K130" s="14" t="n">
        <f aca="false">IF(9&gt;$A130,0,Val_pt*(Ceiling_e-E_zero)*(1-(1-Half_gap)^MIN(9,$B130)))</f>
        <v>70</v>
      </c>
      <c r="L130" s="14" t="n">
        <f aca="false">IF(10&gt;$A130,0,Val_pt*(Ceiling_e-E_zero)*(1-(1-Half_gap)^MIN(10,$B130)))</f>
        <v>70</v>
      </c>
      <c r="M130" s="14" t="n">
        <f aca="false">IF(11&gt;$A130,0,Val_pt*(Ceiling_e-E_zero)*(1-(1-Half_gap)^MIN(11,$B130)))</f>
        <v>70</v>
      </c>
      <c r="N130" s="14" t="n">
        <f aca="false">IF(12&gt;$A130,0,Val_pt*(Ceiling_e-E_zero)*(1-(1-Half_gap)^MIN(12,$B130)))</f>
        <v>70</v>
      </c>
      <c r="O130" s="14" t="n">
        <f aca="false">IF(13&gt;$A130,0,Val_pt*(Ceiling_e-E_zero)*(1-(1-Half_gap)^MIN(13,$B130)))</f>
        <v>70</v>
      </c>
      <c r="P130" s="14" t="n">
        <f aca="false">IF(14&gt;$A130,0,Val_pt*(Ceiling_e-E_zero)*(1-(1-Half_gap)^MIN(14,$B130)))</f>
        <v>70</v>
      </c>
      <c r="Q130" s="14" t="n">
        <f aca="false">IF(15&gt;$A130,0,Val_pt*(Ceiling_e-E_zero)*(1-(1-Half_gap)^MIN(15,$B130)))</f>
        <v>70</v>
      </c>
      <c r="R130" s="14" t="n">
        <f aca="false">IF(16&gt;$A130,0,Val_pt*(Ceiling_e-E_zero)*(1-(1-Half_gap)^MIN(16,$B130)))</f>
        <v>70</v>
      </c>
      <c r="S130" s="14" t="n">
        <f aca="false">IF(17&gt;$A130,0,Val_pt*(Ceiling_e-E_zero)*(1-(1-Half_gap)^MIN(17,$B130)))</f>
        <v>70</v>
      </c>
      <c r="T130" s="14" t="n">
        <f aca="false">IF(18&gt;$A130,0,Val_pt*(Ceiling_e-E_zero)*(1-(1-Half_gap)^MIN(18,$B130)))</f>
        <v>70</v>
      </c>
      <c r="U130" s="14" t="n">
        <f aca="false">IF(19&gt;$A130,0,Val_pt*(Ceiling_e-E_zero)*(1-(1-Half_gap)^MIN(19,$B130)))</f>
        <v>70</v>
      </c>
      <c r="V130" s="14" t="n">
        <f aca="false">IF(20&gt;$A130,0,Val_pt*(Ceiling_e-E_zero)*(1-(1-Half_gap)^MIN(20,$B130)))</f>
        <v>70</v>
      </c>
      <c r="W130" s="14" t="n">
        <f aca="false">IF(0&gt;$A130,0,IF(0=$A130,MAX(End_q,Floor_q),MAX(X130+Cost_round*IF(1&lt;=$B130,1,0)-C130,IF(1&lt;=$B130,1,0)*Pre_q)))</f>
        <v>470</v>
      </c>
      <c r="X130" s="14" t="n">
        <f aca="false">IF(1&gt;$A130,0,IF(1=$A130,MAX(End_q,Floor_q),MAX(Y130+Cost_round*IF(2&lt;=$B130,1,0)-D130,IF(2&lt;=$B130,1,0)*Pre_q,Floor_q)))</f>
        <v>350</v>
      </c>
      <c r="Y130" s="14" t="n">
        <f aca="false">IF(2&gt;$A130,0,IF(2=$A130,MAX(End_q,Floor_q),MAX(Z130+Cost_round*IF(3&lt;=$B130,1,0)-E130,IF(3&lt;=$B130,1,0)*Pre_q,Floor_q)))</f>
        <v>350</v>
      </c>
      <c r="Z130" s="14" t="n">
        <f aca="false">IF(3&gt;$A130,0,IF(3=$A130,MAX(End_q,Floor_q),MAX(AA130+Cost_round*IF(4&lt;=$B130,1,0)-F130,IF(4&lt;=$B130,1,0)*Pre_q,Floor_q)))</f>
        <v>350</v>
      </c>
      <c r="AA130" s="14" t="n">
        <f aca="false">IF(4&gt;$A130,0,IF(4=$A130,MAX(End_q,Floor_q),MAX(AB130+Cost_round*IF(5&lt;=$B130,1,0)-G130,IF(5&lt;=$B130,1,0)*Pre_q,Floor_q)))</f>
        <v>350</v>
      </c>
      <c r="AB130" s="14" t="n">
        <f aca="false">IF(5&gt;$A130,0,IF(5=$A130,MAX(End_q,Floor_q),MAX(AC130+Cost_round*IF(6&lt;=$B130,1,0)-H130,IF(6&lt;=$B130,1,0)*Pre_q,Floor_q)))</f>
        <v>350</v>
      </c>
      <c r="AC130" s="14" t="n">
        <f aca="false">IF(6&gt;$A130,0,IF(6=$A130,MAX(End_q,Floor_q),MAX(AD130+Cost_round*IF(7&lt;=$B130,1,0)-I130,IF(7&lt;=$B130,1,0)*Pre_q,Floor_q)))</f>
        <v>350</v>
      </c>
      <c r="AD130" s="14" t="n">
        <f aca="false">IF(7&gt;$A130,0,IF(7=$A130,MAX(End_q,Floor_q),MAX(AE130+Cost_round*IF(8&lt;=$B130,1,0)-J130,IF(8&lt;=$B130,1,0)*Pre_q,Floor_q)))</f>
        <v>350</v>
      </c>
      <c r="AE130" s="14" t="n">
        <f aca="false">IF(8&gt;$A130,0,IF(8=$A130,MAX(End_q,Floor_q),MAX(AF130+Cost_round*IF(9&lt;=$B130,1,0)-K130,IF(9&lt;=$B130,1,0)*Pre_q,Floor_q)))</f>
        <v>350</v>
      </c>
      <c r="AF130" s="14" t="n">
        <f aca="false">IF(9&gt;$A130,0,IF(9=$A130,MAX(End_q,Floor_q),MAX(AG130+Cost_round*IF(10&lt;=$B130,1,0)-L130,IF(10&lt;=$B130,1,0)*Pre_q,Floor_q)))</f>
        <v>350</v>
      </c>
      <c r="AG130" s="14" t="n">
        <f aca="false">IF(10&gt;$A130,0,IF(10=$A130,MAX(End_q,Floor_q),MAX(AH130+Cost_round*IF(11&lt;=$B130,1,0)-M130,IF(11&lt;=$B130,1,0)*Pre_q,Floor_q)))</f>
        <v>350</v>
      </c>
      <c r="AH130" s="14" t="n">
        <f aca="false">IF(11&gt;$A130,0,IF(11=$A130,MAX(End_q,Floor_q),MAX(AI130+Cost_round*IF(12&lt;=$B130,1,0)-N130,IF(12&lt;=$B130,1,0)*Pre_q,Floor_q)))</f>
        <v>350</v>
      </c>
      <c r="AI130" s="14" t="n">
        <f aca="false">IF(12&gt;$A130,0,IF(12=$A130,MAX(End_q,Floor_q),MAX(AJ130+Cost_round*IF(13&lt;=$B130,1,0)-O130,IF(13&lt;=$B130,1,0)*Pre_q,Floor_q)))</f>
        <v>350</v>
      </c>
      <c r="AJ130" s="14" t="n">
        <f aca="false">IF(13&gt;$A130,0,IF(13=$A130,MAX(End_q,Floor_q),MAX(AK130+Cost_round*IF(14&lt;=$B130,1,0)-P130,IF(14&lt;=$B130,1,0)*Pre_q,Floor_q)))</f>
        <v>350</v>
      </c>
      <c r="AK130" s="14" t="n">
        <f aca="false">IF(14&gt;$A130,0,IF(14=$A130,MAX(End_q,Floor_q),MAX(AL130+Cost_round*IF(15&lt;=$B130,1,0)-Q130,IF(15&lt;=$B130,1,0)*Pre_q,Floor_q)))</f>
        <v>350</v>
      </c>
      <c r="AL130" s="14" t="n">
        <f aca="false">IF(15&gt;$A130,0,IF(15=$A130,MAX(End_q,Floor_q),MAX(AM130+Cost_round*IF(16&lt;=$B130,1,0)-R130,IF(16&lt;=$B130,1,0)*Pre_q,Floor_q)))</f>
        <v>350</v>
      </c>
      <c r="AM130" s="14" t="n">
        <f aca="false">IF(16&gt;$A130,0,IF(16=$A130,MAX(End_q,Floor_q),MAX(AN130+Cost_round*IF(17&lt;=$B130,1,0)-S130,IF(17&lt;=$B130,1,0)*Pre_q,Floor_q)))</f>
        <v>350</v>
      </c>
      <c r="AN130" s="14" t="n">
        <f aca="false">IF(17&gt;$A130,0,IF(17=$A130,MAX(End_q,Floor_q),MAX(AO130+Cost_round*IF(18&lt;=$B130,1,0)-T130,IF(18&lt;=$B130,1,0)*Pre_q,Floor_q)))</f>
        <v>350</v>
      </c>
      <c r="AO130" s="14" t="n">
        <f aca="false">IF(18&gt;$A130,0,IF(18=$A130,MAX(End_q,Floor_q),MAX(AP130+Cost_round*IF(19&lt;=$B130,1,0)-U130,IF(19&lt;=$B130,1,0)*Pre_q,Floor_q)))</f>
        <v>350</v>
      </c>
      <c r="AP130" s="14" t="n">
        <f aca="false">IF(19&gt;$A130,0,IF(19=$A130,MAX(End_q,Floor_q),MAX(AQ130+Cost_round*IF(20&lt;=$B130,1,0)-V130,IF(20&lt;=$B130,1,0)*Pre_q,Floor_q)))</f>
        <v>400</v>
      </c>
      <c r="AQ130" s="14" t="n">
        <f aca="false">IF(20&gt;$A130,0,MAX(End_q,Floor_q))</f>
        <v>470</v>
      </c>
      <c r="AR130" s="15" t="n">
        <f aca="false">IF(Q_zero&gt;=W130-0.000000001,1,0)</f>
        <v>1</v>
      </c>
      <c r="AS130" s="14" t="n">
        <f aca="false">IF(1&gt;$A130,0,Q_zero-Cost_round*IF(1&lt;=$B130,1,0)+C130-X130)</f>
        <v>220</v>
      </c>
      <c r="AT130" s="14" t="n">
        <f aca="false">IF(2&gt;$A130,0,X130-Cost_round*IF(2&lt;=$B130,1,0)+D130-Y130)</f>
        <v>70</v>
      </c>
      <c r="AU130" s="14" t="n">
        <f aca="false">IF(3&gt;$A130,0,Y130-Cost_round*IF(3&lt;=$B130,1,0)+E130-Z130)</f>
        <v>70</v>
      </c>
      <c r="AV130" s="14" t="n">
        <f aca="false">IF(4&gt;$A130,0,Z130-Cost_round*IF(4&lt;=$B130,1,0)+F130-AA130)</f>
        <v>70</v>
      </c>
      <c r="AW130" s="14" t="n">
        <f aca="false">IF(5&gt;$A130,0,AA130-Cost_round*IF(5&lt;=$B130,1,0)+G130-AB130)</f>
        <v>70</v>
      </c>
      <c r="AX130" s="14" t="n">
        <f aca="false">IF(6&gt;$A130,0,AB130-Cost_round*IF(6&lt;=$B130,1,0)+H130-AC130)</f>
        <v>70</v>
      </c>
      <c r="AY130" s="14" t="n">
        <f aca="false">IF(7&gt;$A130,0,AC130-Cost_round*IF(7&lt;=$B130,1,0)+I130-AD130)</f>
        <v>70</v>
      </c>
      <c r="AZ130" s="14" t="n">
        <f aca="false">IF(8&gt;$A130,0,AD130-Cost_round*IF(8&lt;=$B130,1,0)+J130-AE130)</f>
        <v>70</v>
      </c>
      <c r="BA130" s="14" t="n">
        <f aca="false">IF(9&gt;$A130,0,AE130-Cost_round*IF(9&lt;=$B130,1,0)+K130-AF130)</f>
        <v>70</v>
      </c>
      <c r="BB130" s="14" t="n">
        <f aca="false">IF(10&gt;$A130,0,AF130-Cost_round*IF(10&lt;=$B130,1,0)+L130-AG130)</f>
        <v>70</v>
      </c>
      <c r="BC130" s="14" t="n">
        <f aca="false">IF(11&gt;$A130,0,AG130-Cost_round*IF(11&lt;=$B130,1,0)+M130-AH130)</f>
        <v>70</v>
      </c>
      <c r="BD130" s="14" t="n">
        <f aca="false">IF(12&gt;$A130,0,AH130-Cost_round*IF(12&lt;=$B130,1,0)+N130-AI130)</f>
        <v>70</v>
      </c>
      <c r="BE130" s="14" t="n">
        <f aca="false">IF(13&gt;$A130,0,AI130-Cost_round*IF(13&lt;=$B130,1,0)+O130-AJ130)</f>
        <v>70</v>
      </c>
      <c r="BF130" s="14" t="n">
        <f aca="false">IF(14&gt;$A130,0,AJ130-Cost_round*IF(14&lt;=$B130,1,0)+P130-AK130)</f>
        <v>70</v>
      </c>
      <c r="BG130" s="14" t="n">
        <f aca="false">IF(15&gt;$A130,0,AK130-Cost_round*IF(15&lt;=$B130,1,0)+Q130-AL130)</f>
        <v>70</v>
      </c>
      <c r="BH130" s="14" t="n">
        <f aca="false">IF(16&gt;$A130,0,AL130-Cost_round*IF(16&lt;=$B130,1,0)+R130-AM130)</f>
        <v>70</v>
      </c>
      <c r="BI130" s="14" t="n">
        <f aca="false">IF(17&gt;$A130,0,AM130-Cost_round*IF(17&lt;=$B130,1,0)+S130-AN130)</f>
        <v>70</v>
      </c>
      <c r="BJ130" s="14" t="n">
        <f aca="false">IF(18&gt;$A130,0,AN130-Cost_round*IF(18&lt;=$B130,1,0)+T130-AO130)</f>
        <v>70</v>
      </c>
      <c r="BK130" s="14" t="n">
        <f aca="false">IF(19&gt;$A130,0,AO130-Cost_round*IF(19&lt;=$B130,1,0)+U130-AP130)</f>
        <v>20</v>
      </c>
      <c r="BL130" s="14" t="n">
        <f aca="false">IF(20&gt;$A130,0,AP130-Cost_round*IF(20&lt;=$B130,1,0)+V130-AQ130)</f>
        <v>0</v>
      </c>
      <c r="BM130" s="17" t="n">
        <f aca="false">IF($AR130=1,SUMPRODUCT(AS130:BL130,$AS$38:$BL$38),"")</f>
        <v>713.732643243718</v>
      </c>
      <c r="BN130" s="17" t="n">
        <f aca="false">IF($AR130=1,BM130+INDEX($AS$38:$BL$38,$A130)*INDEX(C130:V130,$A130)/Hurdle_r,"")</f>
        <v>817.783182860618</v>
      </c>
    </row>
    <row r="131" customFormat="false" ht="15" hidden="false" customHeight="false" outlineLevel="0" collapsed="false">
      <c r="A131" s="2" t="n">
        <v>20</v>
      </c>
      <c r="B131" s="2" t="n">
        <v>2</v>
      </c>
      <c r="C131" s="14" t="n">
        <f aca="false">IF(1&gt;$A131,0,Val_pt*(Ceiling_e-E_zero)*(1-(1-Half_gap)^MIN(1,$B131)))</f>
        <v>70</v>
      </c>
      <c r="D131" s="14" t="n">
        <f aca="false">IF(2&gt;$A131,0,Val_pt*(Ceiling_e-E_zero)*(1-(1-Half_gap)^MIN(2,$B131)))</f>
        <v>105</v>
      </c>
      <c r="E131" s="14" t="n">
        <f aca="false">IF(3&gt;$A131,0,Val_pt*(Ceiling_e-E_zero)*(1-(1-Half_gap)^MIN(3,$B131)))</f>
        <v>105</v>
      </c>
      <c r="F131" s="14" t="n">
        <f aca="false">IF(4&gt;$A131,0,Val_pt*(Ceiling_e-E_zero)*(1-(1-Half_gap)^MIN(4,$B131)))</f>
        <v>105</v>
      </c>
      <c r="G131" s="14" t="n">
        <f aca="false">IF(5&gt;$A131,0,Val_pt*(Ceiling_e-E_zero)*(1-(1-Half_gap)^MIN(5,$B131)))</f>
        <v>105</v>
      </c>
      <c r="H131" s="14" t="n">
        <f aca="false">IF(6&gt;$A131,0,Val_pt*(Ceiling_e-E_zero)*(1-(1-Half_gap)^MIN(6,$B131)))</f>
        <v>105</v>
      </c>
      <c r="I131" s="14" t="n">
        <f aca="false">IF(7&gt;$A131,0,Val_pt*(Ceiling_e-E_zero)*(1-(1-Half_gap)^MIN(7,$B131)))</f>
        <v>105</v>
      </c>
      <c r="J131" s="14" t="n">
        <f aca="false">IF(8&gt;$A131,0,Val_pt*(Ceiling_e-E_zero)*(1-(1-Half_gap)^MIN(8,$B131)))</f>
        <v>105</v>
      </c>
      <c r="K131" s="14" t="n">
        <f aca="false">IF(9&gt;$A131,0,Val_pt*(Ceiling_e-E_zero)*(1-(1-Half_gap)^MIN(9,$B131)))</f>
        <v>105</v>
      </c>
      <c r="L131" s="14" t="n">
        <f aca="false">IF(10&gt;$A131,0,Val_pt*(Ceiling_e-E_zero)*(1-(1-Half_gap)^MIN(10,$B131)))</f>
        <v>105</v>
      </c>
      <c r="M131" s="14" t="n">
        <f aca="false">IF(11&gt;$A131,0,Val_pt*(Ceiling_e-E_zero)*(1-(1-Half_gap)^MIN(11,$B131)))</f>
        <v>105</v>
      </c>
      <c r="N131" s="14" t="n">
        <f aca="false">IF(12&gt;$A131,0,Val_pt*(Ceiling_e-E_zero)*(1-(1-Half_gap)^MIN(12,$B131)))</f>
        <v>105</v>
      </c>
      <c r="O131" s="14" t="n">
        <f aca="false">IF(13&gt;$A131,0,Val_pt*(Ceiling_e-E_zero)*(1-(1-Half_gap)^MIN(13,$B131)))</f>
        <v>105</v>
      </c>
      <c r="P131" s="14" t="n">
        <f aca="false">IF(14&gt;$A131,0,Val_pt*(Ceiling_e-E_zero)*(1-(1-Half_gap)^MIN(14,$B131)))</f>
        <v>105</v>
      </c>
      <c r="Q131" s="14" t="n">
        <f aca="false">IF(15&gt;$A131,0,Val_pt*(Ceiling_e-E_zero)*(1-(1-Half_gap)^MIN(15,$B131)))</f>
        <v>105</v>
      </c>
      <c r="R131" s="14" t="n">
        <f aca="false">IF(16&gt;$A131,0,Val_pt*(Ceiling_e-E_zero)*(1-(1-Half_gap)^MIN(16,$B131)))</f>
        <v>105</v>
      </c>
      <c r="S131" s="14" t="n">
        <f aca="false">IF(17&gt;$A131,0,Val_pt*(Ceiling_e-E_zero)*(1-(1-Half_gap)^MIN(17,$B131)))</f>
        <v>105</v>
      </c>
      <c r="T131" s="14" t="n">
        <f aca="false">IF(18&gt;$A131,0,Val_pt*(Ceiling_e-E_zero)*(1-(1-Half_gap)^MIN(18,$B131)))</f>
        <v>105</v>
      </c>
      <c r="U131" s="14" t="n">
        <f aca="false">IF(19&gt;$A131,0,Val_pt*(Ceiling_e-E_zero)*(1-(1-Half_gap)^MIN(19,$B131)))</f>
        <v>105</v>
      </c>
      <c r="V131" s="14" t="n">
        <f aca="false">IF(20&gt;$A131,0,Val_pt*(Ceiling_e-E_zero)*(1-(1-Half_gap)^MIN(20,$B131)))</f>
        <v>105</v>
      </c>
      <c r="W131" s="14" t="n">
        <f aca="false">IF(0&gt;$A131,0,IF(0=$A131,MAX(End_q,Floor_q),MAX(X131+Cost_round*IF(1&lt;=$B131,1,0)-C131,IF(1&lt;=$B131,1,0)*Pre_q)))</f>
        <v>520</v>
      </c>
      <c r="X131" s="14" t="n">
        <f aca="false">IF(1&gt;$A131,0,IF(1=$A131,MAX(End_q,Floor_q),MAX(Y131+Cost_round*IF(2&lt;=$B131,1,0)-D131,IF(2&lt;=$B131,1,0)*Pre_q,Floor_q)))</f>
        <v>470</v>
      </c>
      <c r="Y131" s="14" t="n">
        <f aca="false">IF(2&gt;$A131,0,IF(2=$A131,MAX(End_q,Floor_q),MAX(Z131+Cost_round*IF(3&lt;=$B131,1,0)-E131,IF(3&lt;=$B131,1,0)*Pre_q,Floor_q)))</f>
        <v>350</v>
      </c>
      <c r="Z131" s="14" t="n">
        <f aca="false">IF(3&gt;$A131,0,IF(3=$A131,MAX(End_q,Floor_q),MAX(AA131+Cost_round*IF(4&lt;=$B131,1,0)-F131,IF(4&lt;=$B131,1,0)*Pre_q,Floor_q)))</f>
        <v>350</v>
      </c>
      <c r="AA131" s="14" t="n">
        <f aca="false">IF(4&gt;$A131,0,IF(4=$A131,MAX(End_q,Floor_q),MAX(AB131+Cost_round*IF(5&lt;=$B131,1,0)-G131,IF(5&lt;=$B131,1,0)*Pre_q,Floor_q)))</f>
        <v>350</v>
      </c>
      <c r="AB131" s="14" t="n">
        <f aca="false">IF(5&gt;$A131,0,IF(5=$A131,MAX(End_q,Floor_q),MAX(AC131+Cost_round*IF(6&lt;=$B131,1,0)-H131,IF(6&lt;=$B131,1,0)*Pre_q,Floor_q)))</f>
        <v>350</v>
      </c>
      <c r="AC131" s="14" t="n">
        <f aca="false">IF(6&gt;$A131,0,IF(6=$A131,MAX(End_q,Floor_q),MAX(AD131+Cost_round*IF(7&lt;=$B131,1,0)-I131,IF(7&lt;=$B131,1,0)*Pre_q,Floor_q)))</f>
        <v>350</v>
      </c>
      <c r="AD131" s="14" t="n">
        <f aca="false">IF(7&gt;$A131,0,IF(7=$A131,MAX(End_q,Floor_q),MAX(AE131+Cost_round*IF(8&lt;=$B131,1,0)-J131,IF(8&lt;=$B131,1,0)*Pre_q,Floor_q)))</f>
        <v>350</v>
      </c>
      <c r="AE131" s="14" t="n">
        <f aca="false">IF(8&gt;$A131,0,IF(8=$A131,MAX(End_q,Floor_q),MAX(AF131+Cost_round*IF(9&lt;=$B131,1,0)-K131,IF(9&lt;=$B131,1,0)*Pre_q,Floor_q)))</f>
        <v>350</v>
      </c>
      <c r="AF131" s="14" t="n">
        <f aca="false">IF(9&gt;$A131,0,IF(9=$A131,MAX(End_q,Floor_q),MAX(AG131+Cost_round*IF(10&lt;=$B131,1,0)-L131,IF(10&lt;=$B131,1,0)*Pre_q,Floor_q)))</f>
        <v>350</v>
      </c>
      <c r="AG131" s="14" t="n">
        <f aca="false">IF(10&gt;$A131,0,IF(10=$A131,MAX(End_q,Floor_q),MAX(AH131+Cost_round*IF(11&lt;=$B131,1,0)-M131,IF(11&lt;=$B131,1,0)*Pre_q,Floor_q)))</f>
        <v>350</v>
      </c>
      <c r="AH131" s="14" t="n">
        <f aca="false">IF(11&gt;$A131,0,IF(11=$A131,MAX(End_q,Floor_q),MAX(AI131+Cost_round*IF(12&lt;=$B131,1,0)-N131,IF(12&lt;=$B131,1,0)*Pre_q,Floor_q)))</f>
        <v>350</v>
      </c>
      <c r="AI131" s="14" t="n">
        <f aca="false">IF(12&gt;$A131,0,IF(12=$A131,MAX(End_q,Floor_q),MAX(AJ131+Cost_round*IF(13&lt;=$B131,1,0)-O131,IF(13&lt;=$B131,1,0)*Pre_q,Floor_q)))</f>
        <v>350</v>
      </c>
      <c r="AJ131" s="14" t="n">
        <f aca="false">IF(13&gt;$A131,0,IF(13=$A131,MAX(End_q,Floor_q),MAX(AK131+Cost_round*IF(14&lt;=$B131,1,0)-P131,IF(14&lt;=$B131,1,0)*Pre_q,Floor_q)))</f>
        <v>350</v>
      </c>
      <c r="AK131" s="14" t="n">
        <f aca="false">IF(14&gt;$A131,0,IF(14=$A131,MAX(End_q,Floor_q),MAX(AL131+Cost_round*IF(15&lt;=$B131,1,0)-Q131,IF(15&lt;=$B131,1,0)*Pre_q,Floor_q)))</f>
        <v>350</v>
      </c>
      <c r="AL131" s="14" t="n">
        <f aca="false">IF(15&gt;$A131,0,IF(15=$A131,MAX(End_q,Floor_q),MAX(AM131+Cost_round*IF(16&lt;=$B131,1,0)-R131,IF(16&lt;=$B131,1,0)*Pre_q,Floor_q)))</f>
        <v>350</v>
      </c>
      <c r="AM131" s="14" t="n">
        <f aca="false">IF(16&gt;$A131,0,IF(16=$A131,MAX(End_q,Floor_q),MAX(AN131+Cost_round*IF(17&lt;=$B131,1,0)-S131,IF(17&lt;=$B131,1,0)*Pre_q,Floor_q)))</f>
        <v>350</v>
      </c>
      <c r="AN131" s="14" t="n">
        <f aca="false">IF(17&gt;$A131,0,IF(17=$A131,MAX(End_q,Floor_q),MAX(AO131+Cost_round*IF(18&lt;=$B131,1,0)-T131,IF(18&lt;=$B131,1,0)*Pre_q,Floor_q)))</f>
        <v>350</v>
      </c>
      <c r="AO131" s="14" t="n">
        <f aca="false">IF(18&gt;$A131,0,IF(18=$A131,MAX(End_q,Floor_q),MAX(AP131+Cost_round*IF(19&lt;=$B131,1,0)-U131,IF(19&lt;=$B131,1,0)*Pre_q,Floor_q)))</f>
        <v>350</v>
      </c>
      <c r="AP131" s="14" t="n">
        <f aca="false">IF(19&gt;$A131,0,IF(19=$A131,MAX(End_q,Floor_q),MAX(AQ131+Cost_round*IF(20&lt;=$B131,1,0)-V131,IF(20&lt;=$B131,1,0)*Pre_q,Floor_q)))</f>
        <v>365</v>
      </c>
      <c r="AQ131" s="14" t="n">
        <f aca="false">IF(20&gt;$A131,0,MAX(End_q,Floor_q))</f>
        <v>470</v>
      </c>
      <c r="AR131" s="15" t="n">
        <f aca="false">IF(Q_zero&gt;=W131-0.000000001,1,0)</f>
        <v>1</v>
      </c>
      <c r="AS131" s="14" t="n">
        <f aca="false">IF(1&gt;$A131,0,Q_zero-Cost_round*IF(1&lt;=$B131,1,0)+C131-X131)</f>
        <v>100</v>
      </c>
      <c r="AT131" s="14" t="n">
        <f aca="false">IF(2&gt;$A131,0,X131-Cost_round*IF(2&lt;=$B131,1,0)+D131-Y131)</f>
        <v>105</v>
      </c>
      <c r="AU131" s="14" t="n">
        <f aca="false">IF(3&gt;$A131,0,Y131-Cost_round*IF(3&lt;=$B131,1,0)+E131-Z131)</f>
        <v>105</v>
      </c>
      <c r="AV131" s="14" t="n">
        <f aca="false">IF(4&gt;$A131,0,Z131-Cost_round*IF(4&lt;=$B131,1,0)+F131-AA131)</f>
        <v>105</v>
      </c>
      <c r="AW131" s="14" t="n">
        <f aca="false">IF(5&gt;$A131,0,AA131-Cost_round*IF(5&lt;=$B131,1,0)+G131-AB131)</f>
        <v>105</v>
      </c>
      <c r="AX131" s="14" t="n">
        <f aca="false">IF(6&gt;$A131,0,AB131-Cost_round*IF(6&lt;=$B131,1,0)+H131-AC131)</f>
        <v>105</v>
      </c>
      <c r="AY131" s="14" t="n">
        <f aca="false">IF(7&gt;$A131,0,AC131-Cost_round*IF(7&lt;=$B131,1,0)+I131-AD131)</f>
        <v>105</v>
      </c>
      <c r="AZ131" s="14" t="n">
        <f aca="false">IF(8&gt;$A131,0,AD131-Cost_round*IF(8&lt;=$B131,1,0)+J131-AE131)</f>
        <v>105</v>
      </c>
      <c r="BA131" s="14" t="n">
        <f aca="false">IF(9&gt;$A131,0,AE131-Cost_round*IF(9&lt;=$B131,1,0)+K131-AF131)</f>
        <v>105</v>
      </c>
      <c r="BB131" s="14" t="n">
        <f aca="false">IF(10&gt;$A131,0,AF131-Cost_round*IF(10&lt;=$B131,1,0)+L131-AG131)</f>
        <v>105</v>
      </c>
      <c r="BC131" s="14" t="n">
        <f aca="false">IF(11&gt;$A131,0,AG131-Cost_round*IF(11&lt;=$B131,1,0)+M131-AH131)</f>
        <v>105</v>
      </c>
      <c r="BD131" s="14" t="n">
        <f aca="false">IF(12&gt;$A131,0,AH131-Cost_round*IF(12&lt;=$B131,1,0)+N131-AI131)</f>
        <v>105</v>
      </c>
      <c r="BE131" s="14" t="n">
        <f aca="false">IF(13&gt;$A131,0,AI131-Cost_round*IF(13&lt;=$B131,1,0)+O131-AJ131)</f>
        <v>105</v>
      </c>
      <c r="BF131" s="14" t="n">
        <f aca="false">IF(14&gt;$A131,0,AJ131-Cost_round*IF(14&lt;=$B131,1,0)+P131-AK131)</f>
        <v>105</v>
      </c>
      <c r="BG131" s="14" t="n">
        <f aca="false">IF(15&gt;$A131,0,AK131-Cost_round*IF(15&lt;=$B131,1,0)+Q131-AL131)</f>
        <v>105</v>
      </c>
      <c r="BH131" s="14" t="n">
        <f aca="false">IF(16&gt;$A131,0,AL131-Cost_round*IF(16&lt;=$B131,1,0)+R131-AM131)</f>
        <v>105</v>
      </c>
      <c r="BI131" s="14" t="n">
        <f aca="false">IF(17&gt;$A131,0,AM131-Cost_round*IF(17&lt;=$B131,1,0)+S131-AN131)</f>
        <v>105</v>
      </c>
      <c r="BJ131" s="14" t="n">
        <f aca="false">IF(18&gt;$A131,0,AN131-Cost_round*IF(18&lt;=$B131,1,0)+T131-AO131)</f>
        <v>105</v>
      </c>
      <c r="BK131" s="14" t="n">
        <f aca="false">IF(19&gt;$A131,0,AO131-Cost_round*IF(19&lt;=$B131,1,0)+U131-AP131)</f>
        <v>90</v>
      </c>
      <c r="BL131" s="14" t="n">
        <f aca="false">IF(20&gt;$A131,0,AP131-Cost_round*IF(20&lt;=$B131,1,0)+V131-AQ131)</f>
        <v>0</v>
      </c>
      <c r="BM131" s="17" t="n">
        <f aca="false">IF($AR131=1,SUMPRODUCT(AS131:BL131,$AS$38:$BL$38),"")</f>
        <v>871.318535224261</v>
      </c>
      <c r="BN131" s="17" t="n">
        <f aca="false">IF($AR131=1,BM131+INDEX($AS$38:$BL$38,$A131)*INDEX(C131:V131,$A131)/Hurdle_r,"")</f>
        <v>1027.39434464961</v>
      </c>
    </row>
    <row r="132" customFormat="false" ht="15" hidden="false" customHeight="false" outlineLevel="0" collapsed="false">
      <c r="A132" s="2" t="n">
        <v>20</v>
      </c>
      <c r="B132" s="2" t="n">
        <v>3</v>
      </c>
      <c r="C132" s="14" t="n">
        <f aca="false">IF(1&gt;$A132,0,Val_pt*(Ceiling_e-E_zero)*(1-(1-Half_gap)^MIN(1,$B132)))</f>
        <v>70</v>
      </c>
      <c r="D132" s="14" t="n">
        <f aca="false">IF(2&gt;$A132,0,Val_pt*(Ceiling_e-E_zero)*(1-(1-Half_gap)^MIN(2,$B132)))</f>
        <v>105</v>
      </c>
      <c r="E132" s="14" t="n">
        <f aca="false">IF(3&gt;$A132,0,Val_pt*(Ceiling_e-E_zero)*(1-(1-Half_gap)^MIN(3,$B132)))</f>
        <v>122.5</v>
      </c>
      <c r="F132" s="14" t="n">
        <f aca="false">IF(4&gt;$A132,0,Val_pt*(Ceiling_e-E_zero)*(1-(1-Half_gap)^MIN(4,$B132)))</f>
        <v>122.5</v>
      </c>
      <c r="G132" s="14" t="n">
        <f aca="false">IF(5&gt;$A132,0,Val_pt*(Ceiling_e-E_zero)*(1-(1-Half_gap)^MIN(5,$B132)))</f>
        <v>122.5</v>
      </c>
      <c r="H132" s="14" t="n">
        <f aca="false">IF(6&gt;$A132,0,Val_pt*(Ceiling_e-E_zero)*(1-(1-Half_gap)^MIN(6,$B132)))</f>
        <v>122.5</v>
      </c>
      <c r="I132" s="14" t="n">
        <f aca="false">IF(7&gt;$A132,0,Val_pt*(Ceiling_e-E_zero)*(1-(1-Half_gap)^MIN(7,$B132)))</f>
        <v>122.5</v>
      </c>
      <c r="J132" s="14" t="n">
        <f aca="false">IF(8&gt;$A132,0,Val_pt*(Ceiling_e-E_zero)*(1-(1-Half_gap)^MIN(8,$B132)))</f>
        <v>122.5</v>
      </c>
      <c r="K132" s="14" t="n">
        <f aca="false">IF(9&gt;$A132,0,Val_pt*(Ceiling_e-E_zero)*(1-(1-Half_gap)^MIN(9,$B132)))</f>
        <v>122.5</v>
      </c>
      <c r="L132" s="14" t="n">
        <f aca="false">IF(10&gt;$A132,0,Val_pt*(Ceiling_e-E_zero)*(1-(1-Half_gap)^MIN(10,$B132)))</f>
        <v>122.5</v>
      </c>
      <c r="M132" s="14" t="n">
        <f aca="false">IF(11&gt;$A132,0,Val_pt*(Ceiling_e-E_zero)*(1-(1-Half_gap)^MIN(11,$B132)))</f>
        <v>122.5</v>
      </c>
      <c r="N132" s="14" t="n">
        <f aca="false">IF(12&gt;$A132,0,Val_pt*(Ceiling_e-E_zero)*(1-(1-Half_gap)^MIN(12,$B132)))</f>
        <v>122.5</v>
      </c>
      <c r="O132" s="14" t="n">
        <f aca="false">IF(13&gt;$A132,0,Val_pt*(Ceiling_e-E_zero)*(1-(1-Half_gap)^MIN(13,$B132)))</f>
        <v>122.5</v>
      </c>
      <c r="P132" s="14" t="n">
        <f aca="false">IF(14&gt;$A132,0,Val_pt*(Ceiling_e-E_zero)*(1-(1-Half_gap)^MIN(14,$B132)))</f>
        <v>122.5</v>
      </c>
      <c r="Q132" s="14" t="n">
        <f aca="false">IF(15&gt;$A132,0,Val_pt*(Ceiling_e-E_zero)*(1-(1-Half_gap)^MIN(15,$B132)))</f>
        <v>122.5</v>
      </c>
      <c r="R132" s="14" t="n">
        <f aca="false">IF(16&gt;$A132,0,Val_pt*(Ceiling_e-E_zero)*(1-(1-Half_gap)^MIN(16,$B132)))</f>
        <v>122.5</v>
      </c>
      <c r="S132" s="14" t="n">
        <f aca="false">IF(17&gt;$A132,0,Val_pt*(Ceiling_e-E_zero)*(1-(1-Half_gap)^MIN(17,$B132)))</f>
        <v>122.5</v>
      </c>
      <c r="T132" s="14" t="n">
        <f aca="false">IF(18&gt;$A132,0,Val_pt*(Ceiling_e-E_zero)*(1-(1-Half_gap)^MIN(18,$B132)))</f>
        <v>122.5</v>
      </c>
      <c r="U132" s="14" t="n">
        <f aca="false">IF(19&gt;$A132,0,Val_pt*(Ceiling_e-E_zero)*(1-(1-Half_gap)^MIN(19,$B132)))</f>
        <v>122.5</v>
      </c>
      <c r="V132" s="14" t="n">
        <f aca="false">IF(20&gt;$A132,0,Val_pt*(Ceiling_e-E_zero)*(1-(1-Half_gap)^MIN(20,$B132)))</f>
        <v>122.5</v>
      </c>
      <c r="W132" s="14" t="n">
        <f aca="false">IF(0&gt;$A132,0,IF(0=$A132,MAX(End_q,Floor_q),MAX(X132+Cost_round*IF(1&lt;=$B132,1,0)-C132,IF(1&lt;=$B132,1,0)*Pre_q)))</f>
        <v>535</v>
      </c>
      <c r="X132" s="14" t="n">
        <f aca="false">IF(1&gt;$A132,0,IF(1=$A132,MAX(End_q,Floor_q),MAX(Y132+Cost_round*IF(2&lt;=$B132,1,0)-D132,IF(2&lt;=$B132,1,0)*Pre_q,Floor_q)))</f>
        <v>485</v>
      </c>
      <c r="Y132" s="14" t="n">
        <f aca="false">IF(2&gt;$A132,0,IF(2=$A132,MAX(End_q,Floor_q),MAX(Z132+Cost_round*IF(3&lt;=$B132,1,0)-E132,IF(3&lt;=$B132,1,0)*Pre_q,Floor_q)))</f>
        <v>470</v>
      </c>
      <c r="Z132" s="14" t="n">
        <f aca="false">IF(3&gt;$A132,0,IF(3=$A132,MAX(End_q,Floor_q),MAX(AA132+Cost_round*IF(4&lt;=$B132,1,0)-F132,IF(4&lt;=$B132,1,0)*Pre_q,Floor_q)))</f>
        <v>350</v>
      </c>
      <c r="AA132" s="14" t="n">
        <f aca="false">IF(4&gt;$A132,0,IF(4=$A132,MAX(End_q,Floor_q),MAX(AB132+Cost_round*IF(5&lt;=$B132,1,0)-G132,IF(5&lt;=$B132,1,0)*Pre_q,Floor_q)))</f>
        <v>350</v>
      </c>
      <c r="AB132" s="14" t="n">
        <f aca="false">IF(5&gt;$A132,0,IF(5=$A132,MAX(End_q,Floor_q),MAX(AC132+Cost_round*IF(6&lt;=$B132,1,0)-H132,IF(6&lt;=$B132,1,0)*Pre_q,Floor_q)))</f>
        <v>350</v>
      </c>
      <c r="AC132" s="14" t="n">
        <f aca="false">IF(6&gt;$A132,0,IF(6=$A132,MAX(End_q,Floor_q),MAX(AD132+Cost_round*IF(7&lt;=$B132,1,0)-I132,IF(7&lt;=$B132,1,0)*Pre_q,Floor_q)))</f>
        <v>350</v>
      </c>
      <c r="AD132" s="14" t="n">
        <f aca="false">IF(7&gt;$A132,0,IF(7=$A132,MAX(End_q,Floor_q),MAX(AE132+Cost_round*IF(8&lt;=$B132,1,0)-J132,IF(8&lt;=$B132,1,0)*Pre_q,Floor_q)))</f>
        <v>350</v>
      </c>
      <c r="AE132" s="14" t="n">
        <f aca="false">IF(8&gt;$A132,0,IF(8=$A132,MAX(End_q,Floor_q),MAX(AF132+Cost_round*IF(9&lt;=$B132,1,0)-K132,IF(9&lt;=$B132,1,0)*Pre_q,Floor_q)))</f>
        <v>350</v>
      </c>
      <c r="AF132" s="14" t="n">
        <f aca="false">IF(9&gt;$A132,0,IF(9=$A132,MAX(End_q,Floor_q),MAX(AG132+Cost_round*IF(10&lt;=$B132,1,0)-L132,IF(10&lt;=$B132,1,0)*Pre_q,Floor_q)))</f>
        <v>350</v>
      </c>
      <c r="AG132" s="14" t="n">
        <f aca="false">IF(10&gt;$A132,0,IF(10=$A132,MAX(End_q,Floor_q),MAX(AH132+Cost_round*IF(11&lt;=$B132,1,0)-M132,IF(11&lt;=$B132,1,0)*Pre_q,Floor_q)))</f>
        <v>350</v>
      </c>
      <c r="AH132" s="14" t="n">
        <f aca="false">IF(11&gt;$A132,0,IF(11=$A132,MAX(End_q,Floor_q),MAX(AI132+Cost_round*IF(12&lt;=$B132,1,0)-N132,IF(12&lt;=$B132,1,0)*Pre_q,Floor_q)))</f>
        <v>350</v>
      </c>
      <c r="AI132" s="14" t="n">
        <f aca="false">IF(12&gt;$A132,0,IF(12=$A132,MAX(End_q,Floor_q),MAX(AJ132+Cost_round*IF(13&lt;=$B132,1,0)-O132,IF(13&lt;=$B132,1,0)*Pre_q,Floor_q)))</f>
        <v>350</v>
      </c>
      <c r="AJ132" s="14" t="n">
        <f aca="false">IF(13&gt;$A132,0,IF(13=$A132,MAX(End_q,Floor_q),MAX(AK132+Cost_round*IF(14&lt;=$B132,1,0)-P132,IF(14&lt;=$B132,1,0)*Pre_q,Floor_q)))</f>
        <v>350</v>
      </c>
      <c r="AK132" s="14" t="n">
        <f aca="false">IF(14&gt;$A132,0,IF(14=$A132,MAX(End_q,Floor_q),MAX(AL132+Cost_round*IF(15&lt;=$B132,1,0)-Q132,IF(15&lt;=$B132,1,0)*Pre_q,Floor_q)))</f>
        <v>350</v>
      </c>
      <c r="AL132" s="14" t="n">
        <f aca="false">IF(15&gt;$A132,0,IF(15=$A132,MAX(End_q,Floor_q),MAX(AM132+Cost_round*IF(16&lt;=$B132,1,0)-R132,IF(16&lt;=$B132,1,0)*Pre_q,Floor_q)))</f>
        <v>350</v>
      </c>
      <c r="AM132" s="14" t="n">
        <f aca="false">IF(16&gt;$A132,0,IF(16=$A132,MAX(End_q,Floor_q),MAX(AN132+Cost_round*IF(17&lt;=$B132,1,0)-S132,IF(17&lt;=$B132,1,0)*Pre_q,Floor_q)))</f>
        <v>350</v>
      </c>
      <c r="AN132" s="14" t="n">
        <f aca="false">IF(17&gt;$A132,0,IF(17=$A132,MAX(End_q,Floor_q),MAX(AO132+Cost_round*IF(18&lt;=$B132,1,0)-T132,IF(18&lt;=$B132,1,0)*Pre_q,Floor_q)))</f>
        <v>350</v>
      </c>
      <c r="AO132" s="14" t="n">
        <f aca="false">IF(18&gt;$A132,0,IF(18=$A132,MAX(End_q,Floor_q),MAX(AP132+Cost_round*IF(19&lt;=$B132,1,0)-U132,IF(19&lt;=$B132,1,0)*Pre_q,Floor_q)))</f>
        <v>350</v>
      </c>
      <c r="AP132" s="14" t="n">
        <f aca="false">IF(19&gt;$A132,0,IF(19=$A132,MAX(End_q,Floor_q),MAX(AQ132+Cost_round*IF(20&lt;=$B132,1,0)-V132,IF(20&lt;=$B132,1,0)*Pre_q,Floor_q)))</f>
        <v>350</v>
      </c>
      <c r="AQ132" s="14" t="n">
        <f aca="false">IF(20&gt;$A132,0,MAX(End_q,Floor_q))</f>
        <v>470</v>
      </c>
      <c r="AR132" s="15" t="n">
        <f aca="false">IF(Q_zero&gt;=W132-0.000000001,1,0)</f>
        <v>1</v>
      </c>
      <c r="AS132" s="14" t="n">
        <f aca="false">IF(1&gt;$A132,0,Q_zero-Cost_round*IF(1&lt;=$B132,1,0)+C132-X132)</f>
        <v>85</v>
      </c>
      <c r="AT132" s="14" t="n">
        <f aca="false">IF(2&gt;$A132,0,X132-Cost_round*IF(2&lt;=$B132,1,0)+D132-Y132)</f>
        <v>0</v>
      </c>
      <c r="AU132" s="14" t="n">
        <f aca="false">IF(3&gt;$A132,0,Y132-Cost_round*IF(3&lt;=$B132,1,0)+E132-Z132)</f>
        <v>122.5</v>
      </c>
      <c r="AV132" s="14" t="n">
        <f aca="false">IF(4&gt;$A132,0,Z132-Cost_round*IF(4&lt;=$B132,1,0)+F132-AA132)</f>
        <v>122.5</v>
      </c>
      <c r="AW132" s="14" t="n">
        <f aca="false">IF(5&gt;$A132,0,AA132-Cost_round*IF(5&lt;=$B132,1,0)+G132-AB132)</f>
        <v>122.5</v>
      </c>
      <c r="AX132" s="14" t="n">
        <f aca="false">IF(6&gt;$A132,0,AB132-Cost_round*IF(6&lt;=$B132,1,0)+H132-AC132)</f>
        <v>122.5</v>
      </c>
      <c r="AY132" s="14" t="n">
        <f aca="false">IF(7&gt;$A132,0,AC132-Cost_round*IF(7&lt;=$B132,1,0)+I132-AD132)</f>
        <v>122.5</v>
      </c>
      <c r="AZ132" s="14" t="n">
        <f aca="false">IF(8&gt;$A132,0,AD132-Cost_round*IF(8&lt;=$B132,1,0)+J132-AE132)</f>
        <v>122.5</v>
      </c>
      <c r="BA132" s="14" t="n">
        <f aca="false">IF(9&gt;$A132,0,AE132-Cost_round*IF(9&lt;=$B132,1,0)+K132-AF132)</f>
        <v>122.5</v>
      </c>
      <c r="BB132" s="14" t="n">
        <f aca="false">IF(10&gt;$A132,0,AF132-Cost_round*IF(10&lt;=$B132,1,0)+L132-AG132)</f>
        <v>122.5</v>
      </c>
      <c r="BC132" s="14" t="n">
        <f aca="false">IF(11&gt;$A132,0,AG132-Cost_round*IF(11&lt;=$B132,1,0)+M132-AH132)</f>
        <v>122.5</v>
      </c>
      <c r="BD132" s="14" t="n">
        <f aca="false">IF(12&gt;$A132,0,AH132-Cost_round*IF(12&lt;=$B132,1,0)+N132-AI132)</f>
        <v>122.5</v>
      </c>
      <c r="BE132" s="14" t="n">
        <f aca="false">IF(13&gt;$A132,0,AI132-Cost_round*IF(13&lt;=$B132,1,0)+O132-AJ132)</f>
        <v>122.5</v>
      </c>
      <c r="BF132" s="14" t="n">
        <f aca="false">IF(14&gt;$A132,0,AJ132-Cost_round*IF(14&lt;=$B132,1,0)+P132-AK132)</f>
        <v>122.5</v>
      </c>
      <c r="BG132" s="14" t="n">
        <f aca="false">IF(15&gt;$A132,0,AK132-Cost_round*IF(15&lt;=$B132,1,0)+Q132-AL132)</f>
        <v>122.5</v>
      </c>
      <c r="BH132" s="14" t="n">
        <f aca="false">IF(16&gt;$A132,0,AL132-Cost_round*IF(16&lt;=$B132,1,0)+R132-AM132)</f>
        <v>122.5</v>
      </c>
      <c r="BI132" s="14" t="n">
        <f aca="false">IF(17&gt;$A132,0,AM132-Cost_round*IF(17&lt;=$B132,1,0)+S132-AN132)</f>
        <v>122.5</v>
      </c>
      <c r="BJ132" s="14" t="n">
        <f aca="false">IF(18&gt;$A132,0,AN132-Cost_round*IF(18&lt;=$B132,1,0)+T132-AO132)</f>
        <v>122.5</v>
      </c>
      <c r="BK132" s="14" t="n">
        <f aca="false">IF(19&gt;$A132,0,AO132-Cost_round*IF(19&lt;=$B132,1,0)+U132-AP132)</f>
        <v>122.5</v>
      </c>
      <c r="BL132" s="14" t="n">
        <f aca="false">IF(20&gt;$A132,0,AP132-Cost_round*IF(20&lt;=$B132,1,0)+V132-AQ132)</f>
        <v>2.5</v>
      </c>
      <c r="BM132" s="17" t="n">
        <f aca="false">IF($AR132=1,SUMPRODUCT(AS132:BL132,$AS$38:$BL$38),"")</f>
        <v>889.74374179513</v>
      </c>
      <c r="BN132" s="17" t="n">
        <f aca="false">IF($AR132=1,BM132+INDEX($AS$38:$BL$38,$A132)*INDEX(C132:V132,$A132)/Hurdle_r,"")</f>
        <v>1071.83218612471</v>
      </c>
    </row>
    <row r="133" customFormat="false" ht="15" hidden="false" customHeight="false" outlineLevel="0" collapsed="false">
      <c r="A133" s="2" t="n">
        <v>20</v>
      </c>
      <c r="B133" s="2" t="n">
        <v>4</v>
      </c>
      <c r="C133" s="14" t="n">
        <f aca="false">IF(1&gt;$A133,0,Val_pt*(Ceiling_e-E_zero)*(1-(1-Half_gap)^MIN(1,$B133)))</f>
        <v>70</v>
      </c>
      <c r="D133" s="14" t="n">
        <f aca="false">IF(2&gt;$A133,0,Val_pt*(Ceiling_e-E_zero)*(1-(1-Half_gap)^MIN(2,$B133)))</f>
        <v>105</v>
      </c>
      <c r="E133" s="14" t="n">
        <f aca="false">IF(3&gt;$A133,0,Val_pt*(Ceiling_e-E_zero)*(1-(1-Half_gap)^MIN(3,$B133)))</f>
        <v>122.5</v>
      </c>
      <c r="F133" s="14" t="n">
        <f aca="false">IF(4&gt;$A133,0,Val_pt*(Ceiling_e-E_zero)*(1-(1-Half_gap)^MIN(4,$B133)))</f>
        <v>131.25</v>
      </c>
      <c r="G133" s="14" t="n">
        <f aca="false">IF(5&gt;$A133,0,Val_pt*(Ceiling_e-E_zero)*(1-(1-Half_gap)^MIN(5,$B133)))</f>
        <v>131.25</v>
      </c>
      <c r="H133" s="14" t="n">
        <f aca="false">IF(6&gt;$A133,0,Val_pt*(Ceiling_e-E_zero)*(1-(1-Half_gap)^MIN(6,$B133)))</f>
        <v>131.25</v>
      </c>
      <c r="I133" s="14" t="n">
        <f aca="false">IF(7&gt;$A133,0,Val_pt*(Ceiling_e-E_zero)*(1-(1-Half_gap)^MIN(7,$B133)))</f>
        <v>131.25</v>
      </c>
      <c r="J133" s="14" t="n">
        <f aca="false">IF(8&gt;$A133,0,Val_pt*(Ceiling_e-E_zero)*(1-(1-Half_gap)^MIN(8,$B133)))</f>
        <v>131.25</v>
      </c>
      <c r="K133" s="14" t="n">
        <f aca="false">IF(9&gt;$A133,0,Val_pt*(Ceiling_e-E_zero)*(1-(1-Half_gap)^MIN(9,$B133)))</f>
        <v>131.25</v>
      </c>
      <c r="L133" s="14" t="n">
        <f aca="false">IF(10&gt;$A133,0,Val_pt*(Ceiling_e-E_zero)*(1-(1-Half_gap)^MIN(10,$B133)))</f>
        <v>131.25</v>
      </c>
      <c r="M133" s="14" t="n">
        <f aca="false">IF(11&gt;$A133,0,Val_pt*(Ceiling_e-E_zero)*(1-(1-Half_gap)^MIN(11,$B133)))</f>
        <v>131.25</v>
      </c>
      <c r="N133" s="14" t="n">
        <f aca="false">IF(12&gt;$A133,0,Val_pt*(Ceiling_e-E_zero)*(1-(1-Half_gap)^MIN(12,$B133)))</f>
        <v>131.25</v>
      </c>
      <c r="O133" s="14" t="n">
        <f aca="false">IF(13&gt;$A133,0,Val_pt*(Ceiling_e-E_zero)*(1-(1-Half_gap)^MIN(13,$B133)))</f>
        <v>131.25</v>
      </c>
      <c r="P133" s="14" t="n">
        <f aca="false">IF(14&gt;$A133,0,Val_pt*(Ceiling_e-E_zero)*(1-(1-Half_gap)^MIN(14,$B133)))</f>
        <v>131.25</v>
      </c>
      <c r="Q133" s="14" t="n">
        <f aca="false">IF(15&gt;$A133,0,Val_pt*(Ceiling_e-E_zero)*(1-(1-Half_gap)^MIN(15,$B133)))</f>
        <v>131.25</v>
      </c>
      <c r="R133" s="14" t="n">
        <f aca="false">IF(16&gt;$A133,0,Val_pt*(Ceiling_e-E_zero)*(1-(1-Half_gap)^MIN(16,$B133)))</f>
        <v>131.25</v>
      </c>
      <c r="S133" s="14" t="n">
        <f aca="false">IF(17&gt;$A133,0,Val_pt*(Ceiling_e-E_zero)*(1-(1-Half_gap)^MIN(17,$B133)))</f>
        <v>131.25</v>
      </c>
      <c r="T133" s="14" t="n">
        <f aca="false">IF(18&gt;$A133,0,Val_pt*(Ceiling_e-E_zero)*(1-(1-Half_gap)^MIN(18,$B133)))</f>
        <v>131.25</v>
      </c>
      <c r="U133" s="14" t="n">
        <f aca="false">IF(19&gt;$A133,0,Val_pt*(Ceiling_e-E_zero)*(1-(1-Half_gap)^MIN(19,$B133)))</f>
        <v>131.25</v>
      </c>
      <c r="V133" s="14" t="n">
        <f aca="false">IF(20&gt;$A133,0,Val_pt*(Ceiling_e-E_zero)*(1-(1-Half_gap)^MIN(20,$B133)))</f>
        <v>131.25</v>
      </c>
      <c r="W133" s="14" t="n">
        <f aca="false">IF(0&gt;$A133,0,IF(0=$A133,MAX(End_q,Floor_q),MAX(X133+Cost_round*IF(1&lt;=$B133,1,0)-C133,IF(1&lt;=$B133,1,0)*Pre_q)))</f>
        <v>535</v>
      </c>
      <c r="X133" s="14" t="n">
        <f aca="false">IF(1&gt;$A133,0,IF(1=$A133,MAX(End_q,Floor_q),MAX(Y133+Cost_round*IF(2&lt;=$B133,1,0)-D133,IF(2&lt;=$B133,1,0)*Pre_q,Floor_q)))</f>
        <v>485</v>
      </c>
      <c r="Y133" s="14" t="n">
        <f aca="false">IF(2&gt;$A133,0,IF(2=$A133,MAX(End_q,Floor_q),MAX(Z133+Cost_round*IF(3&lt;=$B133,1,0)-E133,IF(3&lt;=$B133,1,0)*Pre_q,Floor_q)))</f>
        <v>470</v>
      </c>
      <c r="Z133" s="14" t="n">
        <f aca="false">IF(3&gt;$A133,0,IF(3=$A133,MAX(End_q,Floor_q),MAX(AA133+Cost_round*IF(4&lt;=$B133,1,0)-F133,IF(4&lt;=$B133,1,0)*Pre_q,Floor_q)))</f>
        <v>470</v>
      </c>
      <c r="AA133" s="14" t="n">
        <f aca="false">IF(4&gt;$A133,0,IF(4=$A133,MAX(End_q,Floor_q),MAX(AB133+Cost_round*IF(5&lt;=$B133,1,0)-G133,IF(5&lt;=$B133,1,0)*Pre_q,Floor_q)))</f>
        <v>350</v>
      </c>
      <c r="AB133" s="14" t="n">
        <f aca="false">IF(5&gt;$A133,0,IF(5=$A133,MAX(End_q,Floor_q),MAX(AC133+Cost_round*IF(6&lt;=$B133,1,0)-H133,IF(6&lt;=$B133,1,0)*Pre_q,Floor_q)))</f>
        <v>350</v>
      </c>
      <c r="AC133" s="14" t="n">
        <f aca="false">IF(6&gt;$A133,0,IF(6=$A133,MAX(End_q,Floor_q),MAX(AD133+Cost_round*IF(7&lt;=$B133,1,0)-I133,IF(7&lt;=$B133,1,0)*Pre_q,Floor_q)))</f>
        <v>350</v>
      </c>
      <c r="AD133" s="14" t="n">
        <f aca="false">IF(7&gt;$A133,0,IF(7=$A133,MAX(End_q,Floor_q),MAX(AE133+Cost_round*IF(8&lt;=$B133,1,0)-J133,IF(8&lt;=$B133,1,0)*Pre_q,Floor_q)))</f>
        <v>350</v>
      </c>
      <c r="AE133" s="14" t="n">
        <f aca="false">IF(8&gt;$A133,0,IF(8=$A133,MAX(End_q,Floor_q),MAX(AF133+Cost_round*IF(9&lt;=$B133,1,0)-K133,IF(9&lt;=$B133,1,0)*Pre_q,Floor_q)))</f>
        <v>350</v>
      </c>
      <c r="AF133" s="14" t="n">
        <f aca="false">IF(9&gt;$A133,0,IF(9=$A133,MAX(End_q,Floor_q),MAX(AG133+Cost_round*IF(10&lt;=$B133,1,0)-L133,IF(10&lt;=$B133,1,0)*Pre_q,Floor_q)))</f>
        <v>350</v>
      </c>
      <c r="AG133" s="14" t="n">
        <f aca="false">IF(10&gt;$A133,0,IF(10=$A133,MAX(End_q,Floor_q),MAX(AH133+Cost_round*IF(11&lt;=$B133,1,0)-M133,IF(11&lt;=$B133,1,0)*Pre_q,Floor_q)))</f>
        <v>350</v>
      </c>
      <c r="AH133" s="14" t="n">
        <f aca="false">IF(11&gt;$A133,0,IF(11=$A133,MAX(End_q,Floor_q),MAX(AI133+Cost_round*IF(12&lt;=$B133,1,0)-N133,IF(12&lt;=$B133,1,0)*Pre_q,Floor_q)))</f>
        <v>350</v>
      </c>
      <c r="AI133" s="14" t="n">
        <f aca="false">IF(12&gt;$A133,0,IF(12=$A133,MAX(End_q,Floor_q),MAX(AJ133+Cost_round*IF(13&lt;=$B133,1,0)-O133,IF(13&lt;=$B133,1,0)*Pre_q,Floor_q)))</f>
        <v>350</v>
      </c>
      <c r="AJ133" s="14" t="n">
        <f aca="false">IF(13&gt;$A133,0,IF(13=$A133,MAX(End_q,Floor_q),MAX(AK133+Cost_round*IF(14&lt;=$B133,1,0)-P133,IF(14&lt;=$B133,1,0)*Pre_q,Floor_q)))</f>
        <v>350</v>
      </c>
      <c r="AK133" s="14" t="n">
        <f aca="false">IF(14&gt;$A133,0,IF(14=$A133,MAX(End_q,Floor_q),MAX(AL133+Cost_round*IF(15&lt;=$B133,1,0)-Q133,IF(15&lt;=$B133,1,0)*Pre_q,Floor_q)))</f>
        <v>350</v>
      </c>
      <c r="AL133" s="14" t="n">
        <f aca="false">IF(15&gt;$A133,0,IF(15=$A133,MAX(End_q,Floor_q),MAX(AM133+Cost_round*IF(16&lt;=$B133,1,0)-R133,IF(16&lt;=$B133,1,0)*Pre_q,Floor_q)))</f>
        <v>350</v>
      </c>
      <c r="AM133" s="14" t="n">
        <f aca="false">IF(16&gt;$A133,0,IF(16=$A133,MAX(End_q,Floor_q),MAX(AN133+Cost_round*IF(17&lt;=$B133,1,0)-S133,IF(17&lt;=$B133,1,0)*Pre_q,Floor_q)))</f>
        <v>350</v>
      </c>
      <c r="AN133" s="14" t="n">
        <f aca="false">IF(17&gt;$A133,0,IF(17=$A133,MAX(End_q,Floor_q),MAX(AO133+Cost_round*IF(18&lt;=$B133,1,0)-T133,IF(18&lt;=$B133,1,0)*Pre_q,Floor_q)))</f>
        <v>350</v>
      </c>
      <c r="AO133" s="14" t="n">
        <f aca="false">IF(18&gt;$A133,0,IF(18=$A133,MAX(End_q,Floor_q),MAX(AP133+Cost_round*IF(19&lt;=$B133,1,0)-U133,IF(19&lt;=$B133,1,0)*Pre_q,Floor_q)))</f>
        <v>350</v>
      </c>
      <c r="AP133" s="14" t="n">
        <f aca="false">IF(19&gt;$A133,0,IF(19=$A133,MAX(End_q,Floor_q),MAX(AQ133+Cost_round*IF(20&lt;=$B133,1,0)-V133,IF(20&lt;=$B133,1,0)*Pre_q,Floor_q)))</f>
        <v>350</v>
      </c>
      <c r="AQ133" s="14" t="n">
        <f aca="false">IF(20&gt;$A133,0,MAX(End_q,Floor_q))</f>
        <v>470</v>
      </c>
      <c r="AR133" s="15" t="n">
        <f aca="false">IF(Q_zero&gt;=W133-0.000000001,1,0)</f>
        <v>1</v>
      </c>
      <c r="AS133" s="14" t="n">
        <f aca="false">IF(1&gt;$A133,0,Q_zero-Cost_round*IF(1&lt;=$B133,1,0)+C133-X133)</f>
        <v>85</v>
      </c>
      <c r="AT133" s="14" t="n">
        <f aca="false">IF(2&gt;$A133,0,X133-Cost_round*IF(2&lt;=$B133,1,0)+D133-Y133)</f>
        <v>0</v>
      </c>
      <c r="AU133" s="14" t="n">
        <f aca="false">IF(3&gt;$A133,0,Y133-Cost_round*IF(3&lt;=$B133,1,0)+E133-Z133)</f>
        <v>2.5</v>
      </c>
      <c r="AV133" s="14" t="n">
        <f aca="false">IF(4&gt;$A133,0,Z133-Cost_round*IF(4&lt;=$B133,1,0)+F133-AA133)</f>
        <v>131.25</v>
      </c>
      <c r="AW133" s="14" t="n">
        <f aca="false">IF(5&gt;$A133,0,AA133-Cost_round*IF(5&lt;=$B133,1,0)+G133-AB133)</f>
        <v>131.25</v>
      </c>
      <c r="AX133" s="14" t="n">
        <f aca="false">IF(6&gt;$A133,0,AB133-Cost_round*IF(6&lt;=$B133,1,0)+H133-AC133)</f>
        <v>131.25</v>
      </c>
      <c r="AY133" s="14" t="n">
        <f aca="false">IF(7&gt;$A133,0,AC133-Cost_round*IF(7&lt;=$B133,1,0)+I133-AD133)</f>
        <v>131.25</v>
      </c>
      <c r="AZ133" s="14" t="n">
        <f aca="false">IF(8&gt;$A133,0,AD133-Cost_round*IF(8&lt;=$B133,1,0)+J133-AE133)</f>
        <v>131.25</v>
      </c>
      <c r="BA133" s="14" t="n">
        <f aca="false">IF(9&gt;$A133,0,AE133-Cost_round*IF(9&lt;=$B133,1,0)+K133-AF133)</f>
        <v>131.25</v>
      </c>
      <c r="BB133" s="14" t="n">
        <f aca="false">IF(10&gt;$A133,0,AF133-Cost_round*IF(10&lt;=$B133,1,0)+L133-AG133)</f>
        <v>131.25</v>
      </c>
      <c r="BC133" s="14" t="n">
        <f aca="false">IF(11&gt;$A133,0,AG133-Cost_round*IF(11&lt;=$B133,1,0)+M133-AH133)</f>
        <v>131.25</v>
      </c>
      <c r="BD133" s="14" t="n">
        <f aca="false">IF(12&gt;$A133,0,AH133-Cost_round*IF(12&lt;=$B133,1,0)+N133-AI133)</f>
        <v>131.25</v>
      </c>
      <c r="BE133" s="14" t="n">
        <f aca="false">IF(13&gt;$A133,0,AI133-Cost_round*IF(13&lt;=$B133,1,0)+O133-AJ133)</f>
        <v>131.25</v>
      </c>
      <c r="BF133" s="14" t="n">
        <f aca="false">IF(14&gt;$A133,0,AJ133-Cost_round*IF(14&lt;=$B133,1,0)+P133-AK133)</f>
        <v>131.25</v>
      </c>
      <c r="BG133" s="14" t="n">
        <f aca="false">IF(15&gt;$A133,0,AK133-Cost_round*IF(15&lt;=$B133,1,0)+Q133-AL133)</f>
        <v>131.25</v>
      </c>
      <c r="BH133" s="14" t="n">
        <f aca="false">IF(16&gt;$A133,0,AL133-Cost_round*IF(16&lt;=$B133,1,0)+R133-AM133)</f>
        <v>131.25</v>
      </c>
      <c r="BI133" s="14" t="n">
        <f aca="false">IF(17&gt;$A133,0,AM133-Cost_round*IF(17&lt;=$B133,1,0)+S133-AN133)</f>
        <v>131.25</v>
      </c>
      <c r="BJ133" s="14" t="n">
        <f aca="false">IF(18&gt;$A133,0,AN133-Cost_round*IF(18&lt;=$B133,1,0)+T133-AO133)</f>
        <v>131.25</v>
      </c>
      <c r="BK133" s="14" t="n">
        <f aca="false">IF(19&gt;$A133,0,AO133-Cost_round*IF(19&lt;=$B133,1,0)+U133-AP133)</f>
        <v>131.25</v>
      </c>
      <c r="BL133" s="14" t="n">
        <f aca="false">IF(20&gt;$A133,0,AP133-Cost_round*IF(20&lt;=$B133,1,0)+V133-AQ133)</f>
        <v>11.25</v>
      </c>
      <c r="BM133" s="17" t="n">
        <f aca="false">IF($AR133=1,SUMPRODUCT(AS133:BL133,$AS$38:$BL$38),"")</f>
        <v>852.319693313716</v>
      </c>
      <c r="BN133" s="17" t="n">
        <f aca="false">IF($AR133=1,BM133+INDEX($AS$38:$BL$38,$A133)*INDEX(C133:V133,$A133)/Hurdle_r,"")</f>
        <v>1047.4144550954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2"/>
    <col collapsed="false" customWidth="true" hidden="false" outlineLevel="0" max="4" min="4" style="0" width="30"/>
    <col collapsed="false" customWidth="true" hidden="false" outlineLevel="0" max="34" min="5" style="0" width="9"/>
    <col collapsed="false" customWidth="true" hidden="false" outlineLevel="0" max="35" min="35" style="0" width="14"/>
  </cols>
  <sheetData>
    <row r="1" customFormat="false" ht="15" hidden="false" customHeight="false" outlineLevel="0" collapsed="false">
      <c r="A1" s="1" t="s">
        <v>291</v>
      </c>
    </row>
    <row r="2" customFormat="false" ht="15" hidden="false" customHeight="false" outlineLevel="0" collapsed="false">
      <c r="A2" s="10" t="s">
        <v>292</v>
      </c>
    </row>
    <row r="3" customFormat="false" ht="15" hidden="false" customHeight="false" outlineLevel="0" collapsed="false">
      <c r="A3" s="10" t="s">
        <v>293</v>
      </c>
    </row>
    <row r="5" customFormat="false" ht="23.85" hidden="false" customHeight="false" outlineLevel="0" collapsed="false">
      <c r="A5" s="8" t="s">
        <v>50</v>
      </c>
      <c r="B5" s="8" t="s">
        <v>52</v>
      </c>
      <c r="C5" s="8" t="s">
        <v>294</v>
      </c>
      <c r="D5" s="8" t="s">
        <v>295</v>
      </c>
      <c r="E5" s="8" t="s">
        <v>296</v>
      </c>
      <c r="F5" s="8" t="s">
        <v>297</v>
      </c>
      <c r="G5" s="8" t="s">
        <v>54</v>
      </c>
      <c r="H5" s="8" t="s">
        <v>55</v>
      </c>
      <c r="I5" s="8" t="s">
        <v>56</v>
      </c>
      <c r="J5" s="8" t="s">
        <v>57</v>
      </c>
      <c r="K5" s="8" t="s">
        <v>58</v>
      </c>
      <c r="L5" s="8" t="s">
        <v>59</v>
      </c>
    </row>
    <row r="6" customFormat="false" ht="15" hidden="false" customHeight="false" outlineLevel="0" collapsed="false">
      <c r="A6" s="2" t="n">
        <v>1</v>
      </c>
      <c r="B6" s="14" t="n">
        <f aca="false">Q_zero</f>
        <v>620</v>
      </c>
      <c r="C6" s="14" t="n">
        <f aca="false">E_zero</f>
        <v>71</v>
      </c>
      <c r="D6" s="2" t="str">
        <f aca="false">INDEX($B$24:$B$87,E6+1)</f>
        <v>111000</v>
      </c>
      <c r="E6" s="15" t="n">
        <f aca="false">_xlfn.MINIFS($A$24:$A$87,$AI$24:$AI$87,"&gt;="&amp;(MAX($AI$24:$AI$87)-0.000000001))</f>
        <v>56</v>
      </c>
      <c r="F6" s="15" t="n">
        <f aca="false">INDEX($C$24:$C$87,E6+1)</f>
        <v>1</v>
      </c>
      <c r="G6" s="14" t="n">
        <f aca="false">C6+F6*(Half_gap*(Ceiling_e-C6))</f>
        <v>78</v>
      </c>
      <c r="H6" s="14" t="n">
        <f aca="false">Val_pt*(G6-E_zero)</f>
        <v>70</v>
      </c>
      <c r="I6" s="14" t="n">
        <f aca="false">INDEX($AC$24:$AC$87,E6+1)</f>
        <v>85</v>
      </c>
      <c r="J6" s="14" t="n">
        <f aca="false">B6-Cost_round*F6+H6-I6</f>
        <v>485</v>
      </c>
      <c r="K6" s="16" t="n">
        <f aca="false">Beta_y^A6</f>
        <v>0.909090909090909</v>
      </c>
      <c r="L6" s="17" t="n">
        <f aca="false">I6*K6</f>
        <v>77.2727272727273</v>
      </c>
    </row>
    <row r="7" customFormat="false" ht="15" hidden="false" customHeight="false" outlineLevel="0" collapsed="false">
      <c r="A7" s="2" t="n">
        <v>2</v>
      </c>
      <c r="B7" s="14" t="n">
        <f aca="false">J6</f>
        <v>485</v>
      </c>
      <c r="C7" s="14" t="n">
        <f aca="false">G6</f>
        <v>78</v>
      </c>
      <c r="D7" s="2" t="str">
        <f aca="false">INDEX($B$92:$B$123,E7+1)</f>
        <v>10100</v>
      </c>
      <c r="E7" s="15" t="n">
        <f aca="false">_xlfn.MINIFS($A$92:$A$123,$AI$92:$AI$123,"&gt;="&amp;(MAX($AI$92:$AI$123)-0.000000001))</f>
        <v>20</v>
      </c>
      <c r="F7" s="15" t="n">
        <f aca="false">INDEX($C$92:$C$123,E7+1)</f>
        <v>1</v>
      </c>
      <c r="G7" s="14" t="n">
        <f aca="false">C7+F7*(Half_gap*(Ceiling_e-C7))</f>
        <v>81.5</v>
      </c>
      <c r="H7" s="14" t="n">
        <f aca="false">Val_pt*(G7-E_zero)</f>
        <v>105</v>
      </c>
      <c r="I7" s="14" t="n">
        <f aca="false">INDEX($AC$92:$AC$123,E7+1)</f>
        <v>105</v>
      </c>
      <c r="J7" s="14" t="n">
        <f aca="false">B7-Cost_round*F7+H7-I7</f>
        <v>365</v>
      </c>
      <c r="K7" s="16" t="n">
        <f aca="false">Beta_y^A7</f>
        <v>0.826446280991735</v>
      </c>
      <c r="L7" s="17" t="n">
        <f aca="false">I7*K7</f>
        <v>86.7768595041322</v>
      </c>
    </row>
    <row r="8" customFormat="false" ht="15" hidden="false" customHeight="false" outlineLevel="0" collapsed="false">
      <c r="A8" s="2" t="n">
        <v>3</v>
      </c>
      <c r="B8" s="14" t="n">
        <f aca="false">J7</f>
        <v>365</v>
      </c>
      <c r="C8" s="14" t="n">
        <f aca="false">G7</f>
        <v>81.5</v>
      </c>
      <c r="D8" s="2" t="str">
        <f aca="false">INDEX($B$128:$B$143,E8+1)</f>
        <v>0010</v>
      </c>
      <c r="E8" s="15" t="n">
        <f aca="false">_xlfn.MINIFS($A$128:$A$143,$AI$128:$AI$143,"&gt;="&amp;(MAX($AI$128:$AI$143)-0.000000001))</f>
        <v>2</v>
      </c>
      <c r="F8" s="15" t="n">
        <f aca="false">INDEX($C$128:$C$143,E8+1)</f>
        <v>0</v>
      </c>
      <c r="G8" s="14" t="n">
        <f aca="false">C8+F8*(Half_gap*(Ceiling_e-C8))</f>
        <v>81.5</v>
      </c>
      <c r="H8" s="14" t="n">
        <f aca="false">Val_pt*(G8-E_zero)</f>
        <v>105</v>
      </c>
      <c r="I8" s="14" t="n">
        <f aca="false">INDEX($AC$128:$AC$143,E8+1)</f>
        <v>105</v>
      </c>
      <c r="J8" s="14" t="n">
        <f aca="false">B8-Cost_round*F8+H8-I8</f>
        <v>365</v>
      </c>
      <c r="K8" s="16" t="n">
        <f aca="false">Beta_y^A8</f>
        <v>0.751314800901578</v>
      </c>
      <c r="L8" s="17" t="n">
        <f aca="false">I8*K8</f>
        <v>78.8880540946657</v>
      </c>
    </row>
    <row r="9" customFormat="false" ht="15" hidden="false" customHeight="false" outlineLevel="0" collapsed="false">
      <c r="A9" s="2" t="n">
        <v>4</v>
      </c>
      <c r="B9" s="14" t="n">
        <f aca="false">J8</f>
        <v>365</v>
      </c>
      <c r="C9" s="14" t="n">
        <f aca="false">G8</f>
        <v>81.5</v>
      </c>
      <c r="D9" s="2" t="str">
        <f aca="false">INDEX($B$148:$B$155,E9+1)</f>
        <v>001</v>
      </c>
      <c r="E9" s="15" t="n">
        <f aca="false">_xlfn.MINIFS($A$148:$A$155,$AI$148:$AI$155,"&gt;="&amp;(MAX($AI$148:$AI$155)-0.000000001))</f>
        <v>1</v>
      </c>
      <c r="F9" s="15" t="n">
        <f aca="false">INDEX($C$148:$C$155,E9+1)</f>
        <v>0</v>
      </c>
      <c r="G9" s="14" t="n">
        <f aca="false">C9+F9*(Half_gap*(Ceiling_e-C9))</f>
        <v>81.5</v>
      </c>
      <c r="H9" s="14" t="n">
        <f aca="false">Val_pt*(G9-E_zero)</f>
        <v>105</v>
      </c>
      <c r="I9" s="14" t="n">
        <f aca="false">INDEX($AC$148:$AC$155,E9+1)</f>
        <v>105</v>
      </c>
      <c r="J9" s="14" t="n">
        <f aca="false">B9-Cost_round*F9+H9-I9</f>
        <v>365</v>
      </c>
      <c r="K9" s="16" t="n">
        <f aca="false">Beta_y^A9</f>
        <v>0.683013455365071</v>
      </c>
      <c r="L9" s="17" t="n">
        <f aca="false">I9*K9</f>
        <v>71.7164128133324</v>
      </c>
    </row>
    <row r="10" customFormat="false" ht="15" hidden="false" customHeight="false" outlineLevel="0" collapsed="false">
      <c r="A10" s="2" t="n">
        <v>5</v>
      </c>
      <c r="B10" s="14" t="n">
        <f aca="false">J9</f>
        <v>365</v>
      </c>
      <c r="C10" s="14" t="n">
        <f aca="false">G9</f>
        <v>81.5</v>
      </c>
      <c r="D10" s="2" t="str">
        <f aca="false">INDEX($B$160:$B$163,E10+1)</f>
        <v>01</v>
      </c>
      <c r="E10" s="15" t="n">
        <f aca="false">_xlfn.MINIFS($A$160:$A$163,$AI$160:$AI$163,"&gt;="&amp;(MAX($AI$160:$AI$163)-0.000000001))</f>
        <v>1</v>
      </c>
      <c r="F10" s="15" t="n">
        <f aca="false">INDEX($C$160:$C$163,E10+1)</f>
        <v>0</v>
      </c>
      <c r="G10" s="14" t="n">
        <f aca="false">C10+F10*(Half_gap*(Ceiling_e-C10))</f>
        <v>81.5</v>
      </c>
      <c r="H10" s="14" t="n">
        <f aca="false">Val_pt*(G10-E_zero)</f>
        <v>105</v>
      </c>
      <c r="I10" s="14" t="n">
        <f aca="false">INDEX($AC$160:$AC$163,E10+1)</f>
        <v>0</v>
      </c>
      <c r="J10" s="14" t="n">
        <f aca="false">B10-Cost_round*F10+H10-I10</f>
        <v>470</v>
      </c>
      <c r="K10" s="16" t="n">
        <f aca="false">Beta_y^A10</f>
        <v>0.620921323059155</v>
      </c>
      <c r="L10" s="17" t="n">
        <f aca="false">I10*K10</f>
        <v>0</v>
      </c>
    </row>
    <row r="11" customFormat="false" ht="15" hidden="false" customHeight="false" outlineLevel="0" collapsed="false">
      <c r="A11" s="2" t="n">
        <v>6</v>
      </c>
      <c r="B11" s="14" t="n">
        <f aca="false">J10</f>
        <v>470</v>
      </c>
      <c r="C11" s="14" t="n">
        <f aca="false">G10</f>
        <v>81.5</v>
      </c>
      <c r="D11" s="2" t="str">
        <f aca="false">INDEX($B$168:$B$169,E11+1)</f>
        <v>1</v>
      </c>
      <c r="E11" s="15" t="n">
        <f aca="false">_xlfn.MINIFS($A$168:$A$169,$AI$168:$AI$169,"&gt;="&amp;(MAX($AI$168:$AI$169)-0.000000001))</f>
        <v>1</v>
      </c>
      <c r="F11" s="15" t="n">
        <f aca="false">INDEX($C$168:$C$169,E11+1)</f>
        <v>1</v>
      </c>
      <c r="G11" s="14" t="n">
        <f aca="false">C11+F11*(Half_gap*(Ceiling_e-C11))</f>
        <v>83.25</v>
      </c>
      <c r="H11" s="14" t="n">
        <f aca="false">Val_pt*(G11-E_zero)</f>
        <v>122.5</v>
      </c>
      <c r="I11" s="14" t="n">
        <f aca="false">INDEX($AC$168:$AC$169,E11+1)</f>
        <v>2.5</v>
      </c>
      <c r="J11" s="14" t="n">
        <f aca="false">B11-Cost_round*F11+H11-I11</f>
        <v>470</v>
      </c>
      <c r="K11" s="16" t="n">
        <f aca="false">Beta_y^A11</f>
        <v>0.564473930053777</v>
      </c>
      <c r="L11" s="17" t="n">
        <f aca="false">I11*K11</f>
        <v>1.41118482513444</v>
      </c>
    </row>
    <row r="13" customFormat="false" ht="15" hidden="false" customHeight="false" outlineLevel="0" collapsed="false">
      <c r="A13" s="2" t="s">
        <v>298</v>
      </c>
      <c r="D13" s="2" t="str">
        <f aca="false">F6&amp;F7&amp;F8&amp;F9&amp;F10&amp;F11</f>
        <v>110001</v>
      </c>
    </row>
    <row r="14" customFormat="false" ht="15" hidden="false" customHeight="false" outlineLevel="0" collapsed="false">
      <c r="A14" s="2" t="s">
        <v>66</v>
      </c>
      <c r="D14" s="17" t="n">
        <f aca="false">SUM(L6:L11)</f>
        <v>316.065238509992</v>
      </c>
    </row>
    <row r="15" customFormat="false" ht="15" hidden="false" customHeight="false" outlineLevel="0" collapsed="false">
      <c r="A15" s="2" t="s">
        <v>67</v>
      </c>
      <c r="D15" s="17" t="n">
        <f aca="false">K11*H11/Hurdle_r</f>
        <v>691.480564315877</v>
      </c>
    </row>
    <row r="16" customFormat="false" ht="15" hidden="false" customHeight="false" outlineLevel="0" collapsed="false">
      <c r="A16" s="2" t="s">
        <v>299</v>
      </c>
      <c r="D16" s="17" t="n">
        <f aca="false">D14+D15</f>
        <v>1007.54580282587</v>
      </c>
    </row>
    <row r="17" customFormat="false" ht="15" hidden="false" customHeight="false" outlineLevel="0" collapsed="false">
      <c r="A17" s="2" t="s">
        <v>300</v>
      </c>
      <c r="D17" s="17" t="n">
        <f aca="false">BestPlan!H22-D16</f>
        <v>14.3867470552806</v>
      </c>
    </row>
    <row r="18" customFormat="false" ht="15" hidden="false" customHeight="false" outlineLevel="0" collapsed="false">
      <c r="A18" s="2" t="s">
        <v>301</v>
      </c>
      <c r="D18" s="2" t="str">
        <f aca="false">IF(AND(MIN(J6:J11)&gt;=Floor_q-0.000000001,J11&gt;=End_q-0.000000001,SUMPRODUCT((F6:F11=1)*(B6:B11&lt;Pre_q-0.000000001))=0),"kept","breached")</f>
        <v>kept</v>
      </c>
    </row>
    <row r="22" customFormat="false" ht="15" hidden="false" customHeight="false" outlineLevel="0" collapsed="false">
      <c r="A22" s="4" t="s">
        <v>302</v>
      </c>
    </row>
    <row r="23" customFormat="false" ht="46.25" hidden="false" customHeight="false" outlineLevel="0" collapsed="false">
      <c r="A23" s="8" t="s">
        <v>78</v>
      </c>
      <c r="B23" s="8" t="s">
        <v>80</v>
      </c>
      <c r="C23" s="8" t="s">
        <v>81</v>
      </c>
      <c r="D23" s="8" t="s">
        <v>82</v>
      </c>
      <c r="E23" s="8" t="s">
        <v>83</v>
      </c>
      <c r="F23" s="8" t="s">
        <v>84</v>
      </c>
      <c r="G23" s="8" t="s">
        <v>85</v>
      </c>
      <c r="H23" s="8" t="s">
        <v>86</v>
      </c>
      <c r="I23" s="8" t="s">
        <v>87</v>
      </c>
      <c r="J23" s="8" t="s">
        <v>88</v>
      </c>
      <c r="K23" s="8" t="s">
        <v>89</v>
      </c>
      <c r="L23" s="8" t="s">
        <v>90</v>
      </c>
      <c r="M23" s="8" t="s">
        <v>91</v>
      </c>
      <c r="N23" s="8" t="s">
        <v>92</v>
      </c>
      <c r="O23" s="8" t="s">
        <v>93</v>
      </c>
      <c r="P23" s="8" t="s">
        <v>94</v>
      </c>
      <c r="Q23" s="8" t="s">
        <v>95</v>
      </c>
      <c r="R23" s="8" t="s">
        <v>96</v>
      </c>
      <c r="S23" s="8" t="s">
        <v>97</v>
      </c>
      <c r="T23" s="8" t="s">
        <v>98</v>
      </c>
      <c r="U23" s="8" t="s">
        <v>99</v>
      </c>
      <c r="V23" s="8" t="s">
        <v>100</v>
      </c>
      <c r="W23" s="8" t="s">
        <v>101</v>
      </c>
      <c r="X23" s="8" t="s">
        <v>102</v>
      </c>
      <c r="Y23" s="8" t="s">
        <v>103</v>
      </c>
      <c r="Z23" s="8" t="s">
        <v>104</v>
      </c>
      <c r="AA23" s="8" t="s">
        <v>105</v>
      </c>
      <c r="AB23" s="8" t="s">
        <v>106</v>
      </c>
      <c r="AC23" s="8" t="s">
        <v>107</v>
      </c>
      <c r="AD23" s="8" t="s">
        <v>108</v>
      </c>
      <c r="AE23" s="8" t="s">
        <v>109</v>
      </c>
      <c r="AF23" s="8" t="s">
        <v>110</v>
      </c>
      <c r="AG23" s="8" t="s">
        <v>111</v>
      </c>
      <c r="AH23" s="8" t="s">
        <v>112</v>
      </c>
      <c r="AI23" s="8" t="s">
        <v>303</v>
      </c>
    </row>
    <row r="24" customFormat="false" ht="15" hidden="false" customHeight="false" outlineLevel="0" collapsed="false">
      <c r="A24" s="2" t="n">
        <v>0</v>
      </c>
      <c r="B24" s="2" t="str">
        <f aca="false">""&amp;C24&amp;D24&amp;E24&amp;F24&amp;G24&amp;H24</f>
        <v>000000</v>
      </c>
      <c r="C24" s="15" t="n">
        <f aca="false">MOD(INT($A24/32),2)</f>
        <v>0</v>
      </c>
      <c r="D24" s="15" t="n">
        <f aca="false">MOD(INT($A24/16),2)</f>
        <v>0</v>
      </c>
      <c r="E24" s="15" t="n">
        <f aca="false">MOD(INT($A24/8),2)</f>
        <v>0</v>
      </c>
      <c r="F24" s="15" t="n">
        <f aca="false">MOD(INT($A24/4),2)</f>
        <v>0</v>
      </c>
      <c r="G24" s="15" t="n">
        <f aca="false">MOD(INT($A24/2),2)</f>
        <v>0</v>
      </c>
      <c r="H24" s="15" t="n">
        <f aca="false">MOD(INT($A24/1),2)</f>
        <v>0</v>
      </c>
      <c r="I24" s="14" t="n">
        <f aca="false">$C$6+C24*(Half_gap*(Ceiling_e-$C$6))</f>
        <v>71</v>
      </c>
      <c r="J24" s="14" t="n">
        <f aca="false">I24+D24*(Half_gap*(Ceiling_e-I24))</f>
        <v>71</v>
      </c>
      <c r="K24" s="14" t="n">
        <f aca="false">J24+E24*(Half_gap*(Ceiling_e-J24))</f>
        <v>71</v>
      </c>
      <c r="L24" s="14" t="n">
        <f aca="false">K24+F24*(Half_gap*(Ceiling_e-K24))</f>
        <v>71</v>
      </c>
      <c r="M24" s="14" t="n">
        <f aca="false">L24+G24*(Half_gap*(Ceiling_e-L24))</f>
        <v>71</v>
      </c>
      <c r="N24" s="14" t="n">
        <f aca="false">M24+H24*(Half_gap*(Ceiling_e-M24))</f>
        <v>71</v>
      </c>
      <c r="O24" s="14" t="n">
        <f aca="false">Val_pt*(I24-E_zero)</f>
        <v>0</v>
      </c>
      <c r="P24" s="14" t="n">
        <f aca="false">Val_pt*(J24-E_zero)</f>
        <v>0</v>
      </c>
      <c r="Q24" s="14" t="n">
        <f aca="false">Val_pt*(K24-E_zero)</f>
        <v>0</v>
      </c>
      <c r="R24" s="14" t="n">
        <f aca="false">Val_pt*(L24-E_zero)</f>
        <v>0</v>
      </c>
      <c r="S24" s="14" t="n">
        <f aca="false">Val_pt*(M24-E_zero)</f>
        <v>0</v>
      </c>
      <c r="T24" s="14" t="n">
        <f aca="false">Val_pt*(N24-E_zero)</f>
        <v>0</v>
      </c>
      <c r="U24" s="14" t="n">
        <f aca="false">MAX(V24+Cost_round*C24-O24,IF(C24=1,Pre_q,0))</f>
        <v>470</v>
      </c>
      <c r="V24" s="14" t="n">
        <f aca="false">MAX(W24+Cost_round*D24-P24,IF(D24=1,Pre_q,0),Floor_q)</f>
        <v>470</v>
      </c>
      <c r="W24" s="14" t="n">
        <f aca="false">MAX(X24+Cost_round*E24-Q24,IF(E24=1,Pre_q,0),Floor_q)</f>
        <v>470</v>
      </c>
      <c r="X24" s="14" t="n">
        <f aca="false">MAX(Y24+Cost_round*F24-R24,IF(F24=1,Pre_q,0),Floor_q)</f>
        <v>470</v>
      </c>
      <c r="Y24" s="14" t="n">
        <f aca="false">MAX(Z24+Cost_round*G24-S24,IF(G24=1,Pre_q,0),Floor_q)</f>
        <v>470</v>
      </c>
      <c r="Z24" s="14" t="n">
        <f aca="false">MAX(AA24+Cost_round*H24-T24,IF(H24=1,Pre_q,0),Floor_q)</f>
        <v>470</v>
      </c>
      <c r="AA24" s="14" t="n">
        <f aca="false">MAX(End_q,Floor_q)</f>
        <v>470</v>
      </c>
      <c r="AB24" s="15" t="n">
        <f aca="false">IF($B$6&gt;=U24-0.000000001,1,0)</f>
        <v>1</v>
      </c>
      <c r="AC24" s="14" t="n">
        <f aca="false">IF($AB24=1,$B$6-Cost_round*C24+O24-V24,"")</f>
        <v>150</v>
      </c>
      <c r="AD24" s="14" t="n">
        <f aca="false">IF($AB24=1,V24-Cost_round*D24+P24-W24,"")</f>
        <v>0</v>
      </c>
      <c r="AE24" s="14" t="n">
        <f aca="false">IF($AB24=1,W24-Cost_round*E24+Q24-X24,"")</f>
        <v>0</v>
      </c>
      <c r="AF24" s="14" t="n">
        <f aca="false">IF($AB24=1,X24-Cost_round*F24+R24-Y24,"")</f>
        <v>0</v>
      </c>
      <c r="AG24" s="14" t="n">
        <f aca="false">IF($AB24=1,Y24-Cost_round*G24+S24-Z24,"")</f>
        <v>0</v>
      </c>
      <c r="AH24" s="14" t="n">
        <f aca="false">IF($AB24=1,Z24-Cost_round*H24+T24-AA24,"")</f>
        <v>0</v>
      </c>
      <c r="AI24" s="21" t="n">
        <f aca="false">IF($AB24=1,AC24*1+AD24*Bias_b*Beta_y^1+AE24*Bias_b*Beta_y^2+AF24*Bias_b*Beta_y^3+AG24*Bias_b*Beta_y^4+AH24*Bias_b*Beta_y^5+Bias_b*Beta_y^5*T24/Hurdle_r,"")</f>
        <v>150</v>
      </c>
    </row>
    <row r="25" customFormat="false" ht="15" hidden="false" customHeight="false" outlineLevel="0" collapsed="false">
      <c r="A25" s="2" t="n">
        <v>1</v>
      </c>
      <c r="B25" s="2" t="str">
        <f aca="false">""&amp;C25&amp;D25&amp;E25&amp;F25&amp;G25&amp;H25</f>
        <v>000001</v>
      </c>
      <c r="C25" s="15" t="n">
        <f aca="false">MOD(INT($A25/32),2)</f>
        <v>0</v>
      </c>
      <c r="D25" s="15" t="n">
        <f aca="false">MOD(INT($A25/16),2)</f>
        <v>0</v>
      </c>
      <c r="E25" s="15" t="n">
        <f aca="false">MOD(INT($A25/8),2)</f>
        <v>0</v>
      </c>
      <c r="F25" s="15" t="n">
        <f aca="false">MOD(INT($A25/4),2)</f>
        <v>0</v>
      </c>
      <c r="G25" s="15" t="n">
        <f aca="false">MOD(INT($A25/2),2)</f>
        <v>0</v>
      </c>
      <c r="H25" s="15" t="n">
        <f aca="false">MOD(INT($A25/1),2)</f>
        <v>1</v>
      </c>
      <c r="I25" s="14" t="n">
        <f aca="false">$C$6+C25*(Half_gap*(Ceiling_e-$C$6))</f>
        <v>71</v>
      </c>
      <c r="J25" s="14" t="n">
        <f aca="false">I25+D25*(Half_gap*(Ceiling_e-I25))</f>
        <v>71</v>
      </c>
      <c r="K25" s="14" t="n">
        <f aca="false">J25+E25*(Half_gap*(Ceiling_e-J25))</f>
        <v>71</v>
      </c>
      <c r="L25" s="14" t="n">
        <f aca="false">K25+F25*(Half_gap*(Ceiling_e-K25))</f>
        <v>71</v>
      </c>
      <c r="M25" s="14" t="n">
        <f aca="false">L25+G25*(Half_gap*(Ceiling_e-L25))</f>
        <v>71</v>
      </c>
      <c r="N25" s="14" t="n">
        <f aca="false">M25+H25*(Half_gap*(Ceiling_e-M25))</f>
        <v>78</v>
      </c>
      <c r="O25" s="14" t="n">
        <f aca="false">Val_pt*(I25-E_zero)</f>
        <v>0</v>
      </c>
      <c r="P25" s="14" t="n">
        <f aca="false">Val_pt*(J25-E_zero)</f>
        <v>0</v>
      </c>
      <c r="Q25" s="14" t="n">
        <f aca="false">Val_pt*(K25-E_zero)</f>
        <v>0</v>
      </c>
      <c r="R25" s="14" t="n">
        <f aca="false">Val_pt*(L25-E_zero)</f>
        <v>0</v>
      </c>
      <c r="S25" s="14" t="n">
        <f aca="false">Val_pt*(M25-E_zero)</f>
        <v>0</v>
      </c>
      <c r="T25" s="14" t="n">
        <f aca="false">Val_pt*(N25-E_zero)</f>
        <v>70</v>
      </c>
      <c r="U25" s="14" t="n">
        <f aca="false">MAX(V25+Cost_round*C25-O25,IF(C25=1,Pre_q,0))</f>
        <v>520</v>
      </c>
      <c r="V25" s="14" t="n">
        <f aca="false">MAX(W25+Cost_round*D25-P25,IF(D25=1,Pre_q,0),Floor_q)</f>
        <v>520</v>
      </c>
      <c r="W25" s="14" t="n">
        <f aca="false">MAX(X25+Cost_round*E25-Q25,IF(E25=1,Pre_q,0),Floor_q)</f>
        <v>520</v>
      </c>
      <c r="X25" s="14" t="n">
        <f aca="false">MAX(Y25+Cost_round*F25-R25,IF(F25=1,Pre_q,0),Floor_q)</f>
        <v>520</v>
      </c>
      <c r="Y25" s="14" t="n">
        <f aca="false">MAX(Z25+Cost_round*G25-S25,IF(G25=1,Pre_q,0),Floor_q)</f>
        <v>520</v>
      </c>
      <c r="Z25" s="14" t="n">
        <f aca="false">MAX(AA25+Cost_round*H25-T25,IF(H25=1,Pre_q,0),Floor_q)</f>
        <v>520</v>
      </c>
      <c r="AA25" s="14" t="n">
        <f aca="false">MAX(End_q,Floor_q)</f>
        <v>470</v>
      </c>
      <c r="AB25" s="15" t="n">
        <f aca="false">IF($B$6&gt;=U25-0.000000001,1,0)</f>
        <v>1</v>
      </c>
      <c r="AC25" s="14" t="n">
        <f aca="false">IF($AB25=1,$B$6-Cost_round*C25+O25-V25,"")</f>
        <v>100</v>
      </c>
      <c r="AD25" s="14" t="n">
        <f aca="false">IF($AB25=1,V25-Cost_round*D25+P25-W25,"")</f>
        <v>0</v>
      </c>
      <c r="AE25" s="14" t="n">
        <f aca="false">IF($AB25=1,W25-Cost_round*E25+Q25-X25,"")</f>
        <v>0</v>
      </c>
      <c r="AF25" s="14" t="n">
        <f aca="false">IF($AB25=1,X25-Cost_round*F25+R25-Y25,"")</f>
        <v>0</v>
      </c>
      <c r="AG25" s="14" t="n">
        <f aca="false">IF($AB25=1,Y25-Cost_round*G25+S25-Z25,"")</f>
        <v>0</v>
      </c>
      <c r="AH25" s="14" t="n">
        <f aca="false">IF($AB25=1,Z25-Cost_round*H25+T25-AA25,"")</f>
        <v>0</v>
      </c>
      <c r="AI25" s="21" t="n">
        <f aca="false">IF($AB25=1,AC25*1+AD25*Bias_b*Beta_y^1+AE25*Bias_b*Beta_y^2+AF25*Bias_b*Beta_y^3+AG25*Bias_b*Beta_y^4+AH25*Bias_b*Beta_y^5+Bias_b*Beta_y^5*T25/Hurdle_r,"")</f>
        <v>491.180433527268</v>
      </c>
    </row>
    <row r="26" customFormat="false" ht="15" hidden="false" customHeight="false" outlineLevel="0" collapsed="false">
      <c r="A26" s="2" t="n">
        <v>2</v>
      </c>
      <c r="B26" s="2" t="str">
        <f aca="false">""&amp;C26&amp;D26&amp;E26&amp;F26&amp;G26&amp;H26</f>
        <v>000010</v>
      </c>
      <c r="C26" s="15" t="n">
        <f aca="false">MOD(INT($A26/32),2)</f>
        <v>0</v>
      </c>
      <c r="D26" s="15" t="n">
        <f aca="false">MOD(INT($A26/16),2)</f>
        <v>0</v>
      </c>
      <c r="E26" s="15" t="n">
        <f aca="false">MOD(INT($A26/8),2)</f>
        <v>0</v>
      </c>
      <c r="F26" s="15" t="n">
        <f aca="false">MOD(INT($A26/4),2)</f>
        <v>0</v>
      </c>
      <c r="G26" s="15" t="n">
        <f aca="false">MOD(INT($A26/2),2)</f>
        <v>1</v>
      </c>
      <c r="H26" s="15" t="n">
        <f aca="false">MOD(INT($A26/1),2)</f>
        <v>0</v>
      </c>
      <c r="I26" s="14" t="n">
        <f aca="false">$C$6+C26*(Half_gap*(Ceiling_e-$C$6))</f>
        <v>71</v>
      </c>
      <c r="J26" s="14" t="n">
        <f aca="false">I26+D26*(Half_gap*(Ceiling_e-I26))</f>
        <v>71</v>
      </c>
      <c r="K26" s="14" t="n">
        <f aca="false">J26+E26*(Half_gap*(Ceiling_e-J26))</f>
        <v>71</v>
      </c>
      <c r="L26" s="14" t="n">
        <f aca="false">K26+F26*(Half_gap*(Ceiling_e-K26))</f>
        <v>71</v>
      </c>
      <c r="M26" s="14" t="n">
        <f aca="false">L26+G26*(Half_gap*(Ceiling_e-L26))</f>
        <v>78</v>
      </c>
      <c r="N26" s="14" t="n">
        <f aca="false">M26+H26*(Half_gap*(Ceiling_e-M26))</f>
        <v>78</v>
      </c>
      <c r="O26" s="14" t="n">
        <f aca="false">Val_pt*(I26-E_zero)</f>
        <v>0</v>
      </c>
      <c r="P26" s="14" t="n">
        <f aca="false">Val_pt*(J26-E_zero)</f>
        <v>0</v>
      </c>
      <c r="Q26" s="14" t="n">
        <f aca="false">Val_pt*(K26-E_zero)</f>
        <v>0</v>
      </c>
      <c r="R26" s="14" t="n">
        <f aca="false">Val_pt*(L26-E_zero)</f>
        <v>0</v>
      </c>
      <c r="S26" s="14" t="n">
        <f aca="false">Val_pt*(M26-E_zero)</f>
        <v>70</v>
      </c>
      <c r="T26" s="14" t="n">
        <f aca="false">Val_pt*(N26-E_zero)</f>
        <v>70</v>
      </c>
      <c r="U26" s="14" t="n">
        <f aca="false">MAX(V26+Cost_round*C26-O26,IF(C26=1,Pre_q,0))</f>
        <v>470</v>
      </c>
      <c r="V26" s="14" t="n">
        <f aca="false">MAX(W26+Cost_round*D26-P26,IF(D26=1,Pre_q,0),Floor_q)</f>
        <v>470</v>
      </c>
      <c r="W26" s="14" t="n">
        <f aca="false">MAX(X26+Cost_round*E26-Q26,IF(E26=1,Pre_q,0),Floor_q)</f>
        <v>470</v>
      </c>
      <c r="X26" s="14" t="n">
        <f aca="false">MAX(Y26+Cost_round*F26-R26,IF(F26=1,Pre_q,0),Floor_q)</f>
        <v>470</v>
      </c>
      <c r="Y26" s="14" t="n">
        <f aca="false">MAX(Z26+Cost_round*G26-S26,IF(G26=1,Pre_q,0),Floor_q)</f>
        <v>470</v>
      </c>
      <c r="Z26" s="14" t="n">
        <f aca="false">MAX(AA26+Cost_round*H26-T26,IF(H26=1,Pre_q,0),Floor_q)</f>
        <v>400</v>
      </c>
      <c r="AA26" s="14" t="n">
        <f aca="false">MAX(End_q,Floor_q)</f>
        <v>470</v>
      </c>
      <c r="AB26" s="15" t="n">
        <f aca="false">IF($B$6&gt;=U26-0.000000001,1,0)</f>
        <v>1</v>
      </c>
      <c r="AC26" s="14" t="n">
        <f aca="false">IF($AB26=1,$B$6-Cost_round*C26+O26-V26,"")</f>
        <v>150</v>
      </c>
      <c r="AD26" s="14" t="n">
        <f aca="false">IF($AB26=1,V26-Cost_round*D26+P26-W26,"")</f>
        <v>0</v>
      </c>
      <c r="AE26" s="14" t="n">
        <f aca="false">IF($AB26=1,W26-Cost_round*E26+Q26-X26,"")</f>
        <v>0</v>
      </c>
      <c r="AF26" s="14" t="n">
        <f aca="false">IF($AB26=1,X26-Cost_round*F26+R26-Y26,"")</f>
        <v>0</v>
      </c>
      <c r="AG26" s="14" t="n">
        <f aca="false">IF($AB26=1,Y26-Cost_round*G26+S26-Z26,"")</f>
        <v>20</v>
      </c>
      <c r="AH26" s="14" t="n">
        <f aca="false">IF($AB26=1,Z26-Cost_round*H26+T26-AA26,"")</f>
        <v>0</v>
      </c>
      <c r="AI26" s="21" t="n">
        <f aca="false">IF($AB26=1,AC26*1+AD26*Bias_b*Beta_y^1+AE26*Bias_b*Beta_y^2+AF26*Bias_b*Beta_y^3+AG26*Bias_b*Beta_y^4+AH26*Bias_b*Beta_y^5+Bias_b*Beta_y^5*T26/Hurdle_r,"")</f>
        <v>553.474675723839</v>
      </c>
    </row>
    <row r="27" customFormat="false" ht="15" hidden="false" customHeight="false" outlineLevel="0" collapsed="false">
      <c r="A27" s="2" t="n">
        <v>3</v>
      </c>
      <c r="B27" s="2" t="str">
        <f aca="false">""&amp;C27&amp;D27&amp;E27&amp;F27&amp;G27&amp;H27</f>
        <v>000011</v>
      </c>
      <c r="C27" s="15" t="n">
        <f aca="false">MOD(INT($A27/32),2)</f>
        <v>0</v>
      </c>
      <c r="D27" s="15" t="n">
        <f aca="false">MOD(INT($A27/16),2)</f>
        <v>0</v>
      </c>
      <c r="E27" s="15" t="n">
        <f aca="false">MOD(INT($A27/8),2)</f>
        <v>0</v>
      </c>
      <c r="F27" s="15" t="n">
        <f aca="false">MOD(INT($A27/4),2)</f>
        <v>0</v>
      </c>
      <c r="G27" s="15" t="n">
        <f aca="false">MOD(INT($A27/2),2)</f>
        <v>1</v>
      </c>
      <c r="H27" s="15" t="n">
        <f aca="false">MOD(INT($A27/1),2)</f>
        <v>1</v>
      </c>
      <c r="I27" s="14" t="n">
        <f aca="false">$C$6+C27*(Half_gap*(Ceiling_e-$C$6))</f>
        <v>71</v>
      </c>
      <c r="J27" s="14" t="n">
        <f aca="false">I27+D27*(Half_gap*(Ceiling_e-I27))</f>
        <v>71</v>
      </c>
      <c r="K27" s="14" t="n">
        <f aca="false">J27+E27*(Half_gap*(Ceiling_e-J27))</f>
        <v>71</v>
      </c>
      <c r="L27" s="14" t="n">
        <f aca="false">K27+F27*(Half_gap*(Ceiling_e-K27))</f>
        <v>71</v>
      </c>
      <c r="M27" s="14" t="n">
        <f aca="false">L27+G27*(Half_gap*(Ceiling_e-L27))</f>
        <v>78</v>
      </c>
      <c r="N27" s="14" t="n">
        <f aca="false">M27+H27*(Half_gap*(Ceiling_e-M27))</f>
        <v>81.5</v>
      </c>
      <c r="O27" s="14" t="n">
        <f aca="false">Val_pt*(I27-E_zero)</f>
        <v>0</v>
      </c>
      <c r="P27" s="14" t="n">
        <f aca="false">Val_pt*(J27-E_zero)</f>
        <v>0</v>
      </c>
      <c r="Q27" s="14" t="n">
        <f aca="false">Val_pt*(K27-E_zero)</f>
        <v>0</v>
      </c>
      <c r="R27" s="14" t="n">
        <f aca="false">Val_pt*(L27-E_zero)</f>
        <v>0</v>
      </c>
      <c r="S27" s="14" t="n">
        <f aca="false">Val_pt*(M27-E_zero)</f>
        <v>70</v>
      </c>
      <c r="T27" s="14" t="n">
        <f aca="false">Val_pt*(N27-E_zero)</f>
        <v>105</v>
      </c>
      <c r="U27" s="14" t="n">
        <f aca="false">MAX(V27+Cost_round*C27-O27,IF(C27=1,Pre_q,0))</f>
        <v>535</v>
      </c>
      <c r="V27" s="14" t="n">
        <f aca="false">MAX(W27+Cost_round*D27-P27,IF(D27=1,Pre_q,0),Floor_q)</f>
        <v>535</v>
      </c>
      <c r="W27" s="14" t="n">
        <f aca="false">MAX(X27+Cost_round*E27-Q27,IF(E27=1,Pre_q,0),Floor_q)</f>
        <v>535</v>
      </c>
      <c r="X27" s="14" t="n">
        <f aca="false">MAX(Y27+Cost_round*F27-R27,IF(F27=1,Pre_q,0),Floor_q)</f>
        <v>535</v>
      </c>
      <c r="Y27" s="14" t="n">
        <f aca="false">MAX(Z27+Cost_round*G27-S27,IF(G27=1,Pre_q,0),Floor_q)</f>
        <v>535</v>
      </c>
      <c r="Z27" s="14" t="n">
        <f aca="false">MAX(AA27+Cost_round*H27-T27,IF(H27=1,Pre_q,0),Floor_q)</f>
        <v>485</v>
      </c>
      <c r="AA27" s="14" t="n">
        <f aca="false">MAX(End_q,Floor_q)</f>
        <v>470</v>
      </c>
      <c r="AB27" s="15" t="n">
        <f aca="false">IF($B$6&gt;=U27-0.000000001,1,0)</f>
        <v>1</v>
      </c>
      <c r="AC27" s="14" t="n">
        <f aca="false">IF($AB27=1,$B$6-Cost_round*C27+O27-V27,"")</f>
        <v>85</v>
      </c>
      <c r="AD27" s="14" t="n">
        <f aca="false">IF($AB27=1,V27-Cost_round*D27+P27-W27,"")</f>
        <v>0</v>
      </c>
      <c r="AE27" s="14" t="n">
        <f aca="false">IF($AB27=1,W27-Cost_round*E27+Q27-X27,"")</f>
        <v>0</v>
      </c>
      <c r="AF27" s="14" t="n">
        <f aca="false">IF($AB27=1,X27-Cost_round*F27+R27-Y27,"")</f>
        <v>0</v>
      </c>
      <c r="AG27" s="14" t="n">
        <f aca="false">IF($AB27=1,Y27-Cost_round*G27+S27-Z27,"")</f>
        <v>0</v>
      </c>
      <c r="AH27" s="14" t="n">
        <f aca="false">IF($AB27=1,Z27-Cost_round*H27+T27-AA27,"")</f>
        <v>0</v>
      </c>
      <c r="AI27" s="21" t="n">
        <f aca="false">IF($AB27=1,AC27*1+AD27*Bias_b*Beta_y^1+AE27*Bias_b*Beta_y^2+AF27*Bias_b*Beta_y^3+AG27*Bias_b*Beta_y^4+AH27*Bias_b*Beta_y^5+Bias_b*Beta_y^5*T27/Hurdle_r,"")</f>
        <v>671.770650290902</v>
      </c>
    </row>
    <row r="28" customFormat="false" ht="15" hidden="false" customHeight="false" outlineLevel="0" collapsed="false">
      <c r="A28" s="2" t="n">
        <v>4</v>
      </c>
      <c r="B28" s="2" t="str">
        <f aca="false">""&amp;C28&amp;D28&amp;E28&amp;F28&amp;G28&amp;H28</f>
        <v>000100</v>
      </c>
      <c r="C28" s="15" t="n">
        <f aca="false">MOD(INT($A28/32),2)</f>
        <v>0</v>
      </c>
      <c r="D28" s="15" t="n">
        <f aca="false">MOD(INT($A28/16),2)</f>
        <v>0</v>
      </c>
      <c r="E28" s="15" t="n">
        <f aca="false">MOD(INT($A28/8),2)</f>
        <v>0</v>
      </c>
      <c r="F28" s="15" t="n">
        <f aca="false">MOD(INT($A28/4),2)</f>
        <v>1</v>
      </c>
      <c r="G28" s="15" t="n">
        <f aca="false">MOD(INT($A28/2),2)</f>
        <v>0</v>
      </c>
      <c r="H28" s="15" t="n">
        <f aca="false">MOD(INT($A28/1),2)</f>
        <v>0</v>
      </c>
      <c r="I28" s="14" t="n">
        <f aca="false">$C$6+C28*(Half_gap*(Ceiling_e-$C$6))</f>
        <v>71</v>
      </c>
      <c r="J28" s="14" t="n">
        <f aca="false">I28+D28*(Half_gap*(Ceiling_e-I28))</f>
        <v>71</v>
      </c>
      <c r="K28" s="14" t="n">
        <f aca="false">J28+E28*(Half_gap*(Ceiling_e-J28))</f>
        <v>71</v>
      </c>
      <c r="L28" s="14" t="n">
        <f aca="false">K28+F28*(Half_gap*(Ceiling_e-K28))</f>
        <v>78</v>
      </c>
      <c r="M28" s="14" t="n">
        <f aca="false">L28+G28*(Half_gap*(Ceiling_e-L28))</f>
        <v>78</v>
      </c>
      <c r="N28" s="14" t="n">
        <f aca="false">M28+H28*(Half_gap*(Ceiling_e-M28))</f>
        <v>78</v>
      </c>
      <c r="O28" s="14" t="n">
        <f aca="false">Val_pt*(I28-E_zero)</f>
        <v>0</v>
      </c>
      <c r="P28" s="14" t="n">
        <f aca="false">Val_pt*(J28-E_zero)</f>
        <v>0</v>
      </c>
      <c r="Q28" s="14" t="n">
        <f aca="false">Val_pt*(K28-E_zero)</f>
        <v>0</v>
      </c>
      <c r="R28" s="14" t="n">
        <f aca="false">Val_pt*(L28-E_zero)</f>
        <v>70</v>
      </c>
      <c r="S28" s="14" t="n">
        <f aca="false">Val_pt*(M28-E_zero)</f>
        <v>70</v>
      </c>
      <c r="T28" s="14" t="n">
        <f aca="false">Val_pt*(N28-E_zero)</f>
        <v>70</v>
      </c>
      <c r="U28" s="14" t="n">
        <f aca="false">MAX(V28+Cost_round*C28-O28,IF(C28=1,Pre_q,0))</f>
        <v>470</v>
      </c>
      <c r="V28" s="14" t="n">
        <f aca="false">MAX(W28+Cost_round*D28-P28,IF(D28=1,Pre_q,0),Floor_q)</f>
        <v>470</v>
      </c>
      <c r="W28" s="14" t="n">
        <f aca="false">MAX(X28+Cost_round*E28-Q28,IF(E28=1,Pre_q,0),Floor_q)</f>
        <v>470</v>
      </c>
      <c r="X28" s="14" t="n">
        <f aca="false">MAX(Y28+Cost_round*F28-R28,IF(F28=1,Pre_q,0),Floor_q)</f>
        <v>470</v>
      </c>
      <c r="Y28" s="14" t="n">
        <f aca="false">MAX(Z28+Cost_round*G28-S28,IF(G28=1,Pre_q,0),Floor_q)</f>
        <v>350</v>
      </c>
      <c r="Z28" s="14" t="n">
        <f aca="false">MAX(AA28+Cost_round*H28-T28,IF(H28=1,Pre_q,0),Floor_q)</f>
        <v>400</v>
      </c>
      <c r="AA28" s="14" t="n">
        <f aca="false">MAX(End_q,Floor_q)</f>
        <v>470</v>
      </c>
      <c r="AB28" s="15" t="n">
        <f aca="false">IF($B$6&gt;=U28-0.000000001,1,0)</f>
        <v>1</v>
      </c>
      <c r="AC28" s="14" t="n">
        <f aca="false">IF($AB28=1,$B$6-Cost_round*C28+O28-V28,"")</f>
        <v>150</v>
      </c>
      <c r="AD28" s="14" t="n">
        <f aca="false">IF($AB28=1,V28-Cost_round*D28+P28-W28,"")</f>
        <v>0</v>
      </c>
      <c r="AE28" s="14" t="n">
        <f aca="false">IF($AB28=1,W28-Cost_round*E28+Q28-X28,"")</f>
        <v>0</v>
      </c>
      <c r="AF28" s="14" t="n">
        <f aca="false">IF($AB28=1,X28-Cost_round*F28+R28-Y28,"")</f>
        <v>70</v>
      </c>
      <c r="AG28" s="14" t="n">
        <f aca="false">IF($AB28=1,Y28-Cost_round*G28+S28-Z28,"")</f>
        <v>20</v>
      </c>
      <c r="AH28" s="14" t="n">
        <f aca="false">IF($AB28=1,Z28-Cost_round*H28+T28-AA28,"")</f>
        <v>0</v>
      </c>
      <c r="AI28" s="21" t="n">
        <f aca="false">IF($AB28=1,AC28*1+AD28*Bias_b*Beta_y^1+AE28*Bias_b*Beta_y^2+AF28*Bias_b*Beta_y^3+AG28*Bias_b*Beta_y^4+AH28*Bias_b*Beta_y^5+Bias_b*Beta_y^5*T28/Hurdle_r,"")</f>
        <v>600.807508180638</v>
      </c>
    </row>
    <row r="29" customFormat="false" ht="15" hidden="false" customHeight="false" outlineLevel="0" collapsed="false">
      <c r="A29" s="2" t="n">
        <v>5</v>
      </c>
      <c r="B29" s="2" t="str">
        <f aca="false">""&amp;C29&amp;D29&amp;E29&amp;F29&amp;G29&amp;H29</f>
        <v>000101</v>
      </c>
      <c r="C29" s="15" t="n">
        <f aca="false">MOD(INT($A29/32),2)</f>
        <v>0</v>
      </c>
      <c r="D29" s="15" t="n">
        <f aca="false">MOD(INT($A29/16),2)</f>
        <v>0</v>
      </c>
      <c r="E29" s="15" t="n">
        <f aca="false">MOD(INT($A29/8),2)</f>
        <v>0</v>
      </c>
      <c r="F29" s="15" t="n">
        <f aca="false">MOD(INT($A29/4),2)</f>
        <v>1</v>
      </c>
      <c r="G29" s="15" t="n">
        <f aca="false">MOD(INT($A29/2),2)</f>
        <v>0</v>
      </c>
      <c r="H29" s="15" t="n">
        <f aca="false">MOD(INT($A29/1),2)</f>
        <v>1</v>
      </c>
      <c r="I29" s="14" t="n">
        <f aca="false">$C$6+C29*(Half_gap*(Ceiling_e-$C$6))</f>
        <v>71</v>
      </c>
      <c r="J29" s="14" t="n">
        <f aca="false">I29+D29*(Half_gap*(Ceiling_e-I29))</f>
        <v>71</v>
      </c>
      <c r="K29" s="14" t="n">
        <f aca="false">J29+E29*(Half_gap*(Ceiling_e-J29))</f>
        <v>71</v>
      </c>
      <c r="L29" s="14" t="n">
        <f aca="false">K29+F29*(Half_gap*(Ceiling_e-K29))</f>
        <v>78</v>
      </c>
      <c r="M29" s="14" t="n">
        <f aca="false">L29+G29*(Half_gap*(Ceiling_e-L29))</f>
        <v>78</v>
      </c>
      <c r="N29" s="14" t="n">
        <f aca="false">M29+H29*(Half_gap*(Ceiling_e-M29))</f>
        <v>81.5</v>
      </c>
      <c r="O29" s="14" t="n">
        <f aca="false">Val_pt*(I29-E_zero)</f>
        <v>0</v>
      </c>
      <c r="P29" s="14" t="n">
        <f aca="false">Val_pt*(J29-E_zero)</f>
        <v>0</v>
      </c>
      <c r="Q29" s="14" t="n">
        <f aca="false">Val_pt*(K29-E_zero)</f>
        <v>0</v>
      </c>
      <c r="R29" s="14" t="n">
        <f aca="false">Val_pt*(L29-E_zero)</f>
        <v>70</v>
      </c>
      <c r="S29" s="14" t="n">
        <f aca="false">Val_pt*(M29-E_zero)</f>
        <v>70</v>
      </c>
      <c r="T29" s="14" t="n">
        <f aca="false">Val_pt*(N29-E_zero)</f>
        <v>105</v>
      </c>
      <c r="U29" s="14" t="n">
        <f aca="false">MAX(V29+Cost_round*C29-O29,IF(C29=1,Pre_q,0))</f>
        <v>470</v>
      </c>
      <c r="V29" s="14" t="n">
        <f aca="false">MAX(W29+Cost_round*D29-P29,IF(D29=1,Pre_q,0),Floor_q)</f>
        <v>470</v>
      </c>
      <c r="W29" s="14" t="n">
        <f aca="false">MAX(X29+Cost_round*E29-Q29,IF(E29=1,Pre_q,0),Floor_q)</f>
        <v>470</v>
      </c>
      <c r="X29" s="14" t="n">
        <f aca="false">MAX(Y29+Cost_round*F29-R29,IF(F29=1,Pre_q,0),Floor_q)</f>
        <v>470</v>
      </c>
      <c r="Y29" s="14" t="n">
        <f aca="false">MAX(Z29+Cost_round*G29-S29,IF(G29=1,Pre_q,0),Floor_q)</f>
        <v>415</v>
      </c>
      <c r="Z29" s="14" t="n">
        <f aca="false">MAX(AA29+Cost_round*H29-T29,IF(H29=1,Pre_q,0),Floor_q)</f>
        <v>485</v>
      </c>
      <c r="AA29" s="14" t="n">
        <f aca="false">MAX(End_q,Floor_q)</f>
        <v>470</v>
      </c>
      <c r="AB29" s="15" t="n">
        <f aca="false">IF($B$6&gt;=U29-0.000000001,1,0)</f>
        <v>1</v>
      </c>
      <c r="AC29" s="14" t="n">
        <f aca="false">IF($AB29=1,$B$6-Cost_round*C29+O29-V29,"")</f>
        <v>150</v>
      </c>
      <c r="AD29" s="14" t="n">
        <f aca="false">IF($AB29=1,V29-Cost_round*D29+P29-W29,"")</f>
        <v>0</v>
      </c>
      <c r="AE29" s="14" t="n">
        <f aca="false">IF($AB29=1,W29-Cost_round*E29+Q29-X29,"")</f>
        <v>0</v>
      </c>
      <c r="AF29" s="14" t="n">
        <f aca="false">IF($AB29=1,X29-Cost_round*F29+R29-Y29,"")</f>
        <v>5</v>
      </c>
      <c r="AG29" s="14" t="n">
        <f aca="false">IF($AB29=1,Y29-Cost_round*G29+S29-Z29,"")</f>
        <v>0</v>
      </c>
      <c r="AH29" s="14" t="n">
        <f aca="false">IF($AB29=1,Z29-Cost_round*H29+T29-AA29,"")</f>
        <v>0</v>
      </c>
      <c r="AI29" s="21" t="n">
        <f aca="false">IF($AB29=1,AC29*1+AD29*Bias_b*Beta_y^1+AE29*Bias_b*Beta_y^2+AF29*Bias_b*Beta_y^3+AG29*Bias_b*Beta_y^4+AH29*Bias_b*Beta_y^5+Bias_b*Beta_y^5*T29/Hurdle_r,"")</f>
        <v>740.151566894959</v>
      </c>
    </row>
    <row r="30" customFormat="false" ht="15" hidden="false" customHeight="false" outlineLevel="0" collapsed="false">
      <c r="A30" s="2" t="n">
        <v>6</v>
      </c>
      <c r="B30" s="2" t="str">
        <f aca="false">""&amp;C30&amp;D30&amp;E30&amp;F30&amp;G30&amp;H30</f>
        <v>000110</v>
      </c>
      <c r="C30" s="15" t="n">
        <f aca="false">MOD(INT($A30/32),2)</f>
        <v>0</v>
      </c>
      <c r="D30" s="15" t="n">
        <f aca="false">MOD(INT($A30/16),2)</f>
        <v>0</v>
      </c>
      <c r="E30" s="15" t="n">
        <f aca="false">MOD(INT($A30/8),2)</f>
        <v>0</v>
      </c>
      <c r="F30" s="15" t="n">
        <f aca="false">MOD(INT($A30/4),2)</f>
        <v>1</v>
      </c>
      <c r="G30" s="15" t="n">
        <f aca="false">MOD(INT($A30/2),2)</f>
        <v>1</v>
      </c>
      <c r="H30" s="15" t="n">
        <f aca="false">MOD(INT($A30/1),2)</f>
        <v>0</v>
      </c>
      <c r="I30" s="14" t="n">
        <f aca="false">$C$6+C30*(Half_gap*(Ceiling_e-$C$6))</f>
        <v>71</v>
      </c>
      <c r="J30" s="14" t="n">
        <f aca="false">I30+D30*(Half_gap*(Ceiling_e-I30))</f>
        <v>71</v>
      </c>
      <c r="K30" s="14" t="n">
        <f aca="false">J30+E30*(Half_gap*(Ceiling_e-J30))</f>
        <v>71</v>
      </c>
      <c r="L30" s="14" t="n">
        <f aca="false">K30+F30*(Half_gap*(Ceiling_e-K30))</f>
        <v>78</v>
      </c>
      <c r="M30" s="14" t="n">
        <f aca="false">L30+G30*(Half_gap*(Ceiling_e-L30))</f>
        <v>81.5</v>
      </c>
      <c r="N30" s="14" t="n">
        <f aca="false">M30+H30*(Half_gap*(Ceiling_e-M30))</f>
        <v>81.5</v>
      </c>
      <c r="O30" s="14" t="n">
        <f aca="false">Val_pt*(I30-E_zero)</f>
        <v>0</v>
      </c>
      <c r="P30" s="14" t="n">
        <f aca="false">Val_pt*(J30-E_zero)</f>
        <v>0</v>
      </c>
      <c r="Q30" s="14" t="n">
        <f aca="false">Val_pt*(K30-E_zero)</f>
        <v>0</v>
      </c>
      <c r="R30" s="14" t="n">
        <f aca="false">Val_pt*(L30-E_zero)</f>
        <v>70</v>
      </c>
      <c r="S30" s="14" t="n">
        <f aca="false">Val_pt*(M30-E_zero)</f>
        <v>105</v>
      </c>
      <c r="T30" s="14" t="n">
        <f aca="false">Val_pt*(N30-E_zero)</f>
        <v>105</v>
      </c>
      <c r="U30" s="14" t="n">
        <f aca="false">MAX(V30+Cost_round*C30-O30,IF(C30=1,Pre_q,0))</f>
        <v>520</v>
      </c>
      <c r="V30" s="14" t="n">
        <f aca="false">MAX(W30+Cost_round*D30-P30,IF(D30=1,Pre_q,0),Floor_q)</f>
        <v>520</v>
      </c>
      <c r="W30" s="14" t="n">
        <f aca="false">MAX(X30+Cost_round*E30-Q30,IF(E30=1,Pre_q,0),Floor_q)</f>
        <v>520</v>
      </c>
      <c r="X30" s="14" t="n">
        <f aca="false">MAX(Y30+Cost_round*F30-R30,IF(F30=1,Pre_q,0),Floor_q)</f>
        <v>520</v>
      </c>
      <c r="Y30" s="14" t="n">
        <f aca="false">MAX(Z30+Cost_round*G30-S30,IF(G30=1,Pre_q,0),Floor_q)</f>
        <v>470</v>
      </c>
      <c r="Z30" s="14" t="n">
        <f aca="false">MAX(AA30+Cost_round*H30-T30,IF(H30=1,Pre_q,0),Floor_q)</f>
        <v>365</v>
      </c>
      <c r="AA30" s="14" t="n">
        <f aca="false">MAX(End_q,Floor_q)</f>
        <v>470</v>
      </c>
      <c r="AB30" s="15" t="n">
        <f aca="false">IF($B$6&gt;=U30-0.000000001,1,0)</f>
        <v>1</v>
      </c>
      <c r="AC30" s="14" t="n">
        <f aca="false">IF($AB30=1,$B$6-Cost_round*C30+O30-V30,"")</f>
        <v>100</v>
      </c>
      <c r="AD30" s="14" t="n">
        <f aca="false">IF($AB30=1,V30-Cost_round*D30+P30-W30,"")</f>
        <v>0</v>
      </c>
      <c r="AE30" s="14" t="n">
        <f aca="false">IF($AB30=1,W30-Cost_round*E30+Q30-X30,"")</f>
        <v>0</v>
      </c>
      <c r="AF30" s="14" t="n">
        <f aca="false">IF($AB30=1,X30-Cost_round*F30+R30-Y30,"")</f>
        <v>0</v>
      </c>
      <c r="AG30" s="14" t="n">
        <f aca="false">IF($AB30=1,Y30-Cost_round*G30+S30-Z30,"")</f>
        <v>90</v>
      </c>
      <c r="AH30" s="14" t="n">
        <f aca="false">IF($AB30=1,Z30-Cost_round*H30+T30-AA30,"")</f>
        <v>0</v>
      </c>
      <c r="AI30" s="21" t="n">
        <f aca="false">IF($AB30=1,AC30*1+AD30*Bias_b*Beta_y^1+AE30*Bias_b*Beta_y^2+AF30*Bias_b*Beta_y^3+AG30*Bias_b*Beta_y^4+AH30*Bias_b*Beta_y^5+Bias_b*Beta_y^5*T30/Hurdle_r,"")</f>
        <v>742.094740175472</v>
      </c>
    </row>
    <row r="31" customFormat="false" ht="15" hidden="false" customHeight="false" outlineLevel="0" collapsed="false">
      <c r="A31" s="2" t="n">
        <v>7</v>
      </c>
      <c r="B31" s="2" t="str">
        <f aca="false">""&amp;C31&amp;D31&amp;E31&amp;F31&amp;G31&amp;H31</f>
        <v>000111</v>
      </c>
      <c r="C31" s="15" t="n">
        <f aca="false">MOD(INT($A31/32),2)</f>
        <v>0</v>
      </c>
      <c r="D31" s="15" t="n">
        <f aca="false">MOD(INT($A31/16),2)</f>
        <v>0</v>
      </c>
      <c r="E31" s="15" t="n">
        <f aca="false">MOD(INT($A31/8),2)</f>
        <v>0</v>
      </c>
      <c r="F31" s="15" t="n">
        <f aca="false">MOD(INT($A31/4),2)</f>
        <v>1</v>
      </c>
      <c r="G31" s="15" t="n">
        <f aca="false">MOD(INT($A31/2),2)</f>
        <v>1</v>
      </c>
      <c r="H31" s="15" t="n">
        <f aca="false">MOD(INT($A31/1),2)</f>
        <v>1</v>
      </c>
      <c r="I31" s="14" t="n">
        <f aca="false">$C$6+C31*(Half_gap*(Ceiling_e-$C$6))</f>
        <v>71</v>
      </c>
      <c r="J31" s="14" t="n">
        <f aca="false">I31+D31*(Half_gap*(Ceiling_e-I31))</f>
        <v>71</v>
      </c>
      <c r="K31" s="14" t="n">
        <f aca="false">J31+E31*(Half_gap*(Ceiling_e-J31))</f>
        <v>71</v>
      </c>
      <c r="L31" s="14" t="n">
        <f aca="false">K31+F31*(Half_gap*(Ceiling_e-K31))</f>
        <v>78</v>
      </c>
      <c r="M31" s="14" t="n">
        <f aca="false">L31+G31*(Half_gap*(Ceiling_e-L31))</f>
        <v>81.5</v>
      </c>
      <c r="N31" s="14" t="n">
        <f aca="false">M31+H31*(Half_gap*(Ceiling_e-M31))</f>
        <v>83.25</v>
      </c>
      <c r="O31" s="14" t="n">
        <f aca="false">Val_pt*(I31-E_zero)</f>
        <v>0</v>
      </c>
      <c r="P31" s="14" t="n">
        <f aca="false">Val_pt*(J31-E_zero)</f>
        <v>0</v>
      </c>
      <c r="Q31" s="14" t="n">
        <f aca="false">Val_pt*(K31-E_zero)</f>
        <v>0</v>
      </c>
      <c r="R31" s="14" t="n">
        <f aca="false">Val_pt*(L31-E_zero)</f>
        <v>70</v>
      </c>
      <c r="S31" s="14" t="n">
        <f aca="false">Val_pt*(M31-E_zero)</f>
        <v>105</v>
      </c>
      <c r="T31" s="14" t="n">
        <f aca="false">Val_pt*(N31-E_zero)</f>
        <v>122.5</v>
      </c>
      <c r="U31" s="14" t="n">
        <f aca="false">MAX(V31+Cost_round*C31-O31,IF(C31=1,Pre_q,0))</f>
        <v>535</v>
      </c>
      <c r="V31" s="14" t="n">
        <f aca="false">MAX(W31+Cost_round*D31-P31,IF(D31=1,Pre_q,0),Floor_q)</f>
        <v>535</v>
      </c>
      <c r="W31" s="14" t="n">
        <f aca="false">MAX(X31+Cost_round*E31-Q31,IF(E31=1,Pre_q,0),Floor_q)</f>
        <v>535</v>
      </c>
      <c r="X31" s="14" t="n">
        <f aca="false">MAX(Y31+Cost_round*F31-R31,IF(F31=1,Pre_q,0),Floor_q)</f>
        <v>535</v>
      </c>
      <c r="Y31" s="14" t="n">
        <f aca="false">MAX(Z31+Cost_round*G31-S31,IF(G31=1,Pre_q,0),Floor_q)</f>
        <v>485</v>
      </c>
      <c r="Z31" s="14" t="n">
        <f aca="false">MAX(AA31+Cost_round*H31-T31,IF(H31=1,Pre_q,0),Floor_q)</f>
        <v>470</v>
      </c>
      <c r="AA31" s="14" t="n">
        <f aca="false">MAX(End_q,Floor_q)</f>
        <v>470</v>
      </c>
      <c r="AB31" s="15" t="n">
        <f aca="false">IF($B$6&gt;=U31-0.000000001,1,0)</f>
        <v>1</v>
      </c>
      <c r="AC31" s="14" t="n">
        <f aca="false">IF($AB31=1,$B$6-Cost_round*C31+O31-V31,"")</f>
        <v>85</v>
      </c>
      <c r="AD31" s="14" t="n">
        <f aca="false">IF($AB31=1,V31-Cost_round*D31+P31-W31,"")</f>
        <v>0</v>
      </c>
      <c r="AE31" s="14" t="n">
        <f aca="false">IF($AB31=1,W31-Cost_round*E31+Q31-X31,"")</f>
        <v>0</v>
      </c>
      <c r="AF31" s="14" t="n">
        <f aca="false">IF($AB31=1,X31-Cost_round*F31+R31-Y31,"")</f>
        <v>0</v>
      </c>
      <c r="AG31" s="14" t="n">
        <f aca="false">IF($AB31=1,Y31-Cost_round*G31+S31-Z31,"")</f>
        <v>0</v>
      </c>
      <c r="AH31" s="14" t="n">
        <f aca="false">IF($AB31=1,Z31-Cost_round*H31+T31-AA31,"")</f>
        <v>2.5</v>
      </c>
      <c r="AI31" s="21" t="n">
        <f aca="false">IF($AB31=1,AC31*1+AD31*Bias_b*Beta_y^1+AE31*Bias_b*Beta_y^2+AF31*Bias_b*Beta_y^3+AG31*Bias_b*Beta_y^4+AH31*Bias_b*Beta_y^5+Bias_b*Beta_y^5*T31/Hurdle_r,"")</f>
        <v>770.962831649602</v>
      </c>
    </row>
    <row r="32" customFormat="false" ht="15" hidden="false" customHeight="false" outlineLevel="0" collapsed="false">
      <c r="A32" s="2" t="n">
        <v>8</v>
      </c>
      <c r="B32" s="2" t="str">
        <f aca="false">""&amp;C32&amp;D32&amp;E32&amp;F32&amp;G32&amp;H32</f>
        <v>001000</v>
      </c>
      <c r="C32" s="15" t="n">
        <f aca="false">MOD(INT($A32/32),2)</f>
        <v>0</v>
      </c>
      <c r="D32" s="15" t="n">
        <f aca="false">MOD(INT($A32/16),2)</f>
        <v>0</v>
      </c>
      <c r="E32" s="15" t="n">
        <f aca="false">MOD(INT($A32/8),2)</f>
        <v>1</v>
      </c>
      <c r="F32" s="15" t="n">
        <f aca="false">MOD(INT($A32/4),2)</f>
        <v>0</v>
      </c>
      <c r="G32" s="15" t="n">
        <f aca="false">MOD(INT($A32/2),2)</f>
        <v>0</v>
      </c>
      <c r="H32" s="15" t="n">
        <f aca="false">MOD(INT($A32/1),2)</f>
        <v>0</v>
      </c>
      <c r="I32" s="14" t="n">
        <f aca="false">$C$6+C32*(Half_gap*(Ceiling_e-$C$6))</f>
        <v>71</v>
      </c>
      <c r="J32" s="14" t="n">
        <f aca="false">I32+D32*(Half_gap*(Ceiling_e-I32))</f>
        <v>71</v>
      </c>
      <c r="K32" s="14" t="n">
        <f aca="false">J32+E32*(Half_gap*(Ceiling_e-J32))</f>
        <v>78</v>
      </c>
      <c r="L32" s="14" t="n">
        <f aca="false">K32+F32*(Half_gap*(Ceiling_e-K32))</f>
        <v>78</v>
      </c>
      <c r="M32" s="14" t="n">
        <f aca="false">L32+G32*(Half_gap*(Ceiling_e-L32))</f>
        <v>78</v>
      </c>
      <c r="N32" s="14" t="n">
        <f aca="false">M32+H32*(Half_gap*(Ceiling_e-M32))</f>
        <v>78</v>
      </c>
      <c r="O32" s="14" t="n">
        <f aca="false">Val_pt*(I32-E_zero)</f>
        <v>0</v>
      </c>
      <c r="P32" s="14" t="n">
        <f aca="false">Val_pt*(J32-E_zero)</f>
        <v>0</v>
      </c>
      <c r="Q32" s="14" t="n">
        <f aca="false">Val_pt*(K32-E_zero)</f>
        <v>70</v>
      </c>
      <c r="R32" s="14" t="n">
        <f aca="false">Val_pt*(L32-E_zero)</f>
        <v>70</v>
      </c>
      <c r="S32" s="14" t="n">
        <f aca="false">Val_pt*(M32-E_zero)</f>
        <v>70</v>
      </c>
      <c r="T32" s="14" t="n">
        <f aca="false">Val_pt*(N32-E_zero)</f>
        <v>70</v>
      </c>
      <c r="U32" s="14" t="n">
        <f aca="false">MAX(V32+Cost_round*C32-O32,IF(C32=1,Pre_q,0))</f>
        <v>470</v>
      </c>
      <c r="V32" s="14" t="n">
        <f aca="false">MAX(W32+Cost_round*D32-P32,IF(D32=1,Pre_q,0),Floor_q)</f>
        <v>470</v>
      </c>
      <c r="W32" s="14" t="n">
        <f aca="false">MAX(X32+Cost_round*E32-Q32,IF(E32=1,Pre_q,0),Floor_q)</f>
        <v>470</v>
      </c>
      <c r="X32" s="14" t="n">
        <f aca="false">MAX(Y32+Cost_round*F32-R32,IF(F32=1,Pre_q,0),Floor_q)</f>
        <v>350</v>
      </c>
      <c r="Y32" s="14" t="n">
        <f aca="false">MAX(Z32+Cost_round*G32-S32,IF(G32=1,Pre_q,0),Floor_q)</f>
        <v>350</v>
      </c>
      <c r="Z32" s="14" t="n">
        <f aca="false">MAX(AA32+Cost_round*H32-T32,IF(H32=1,Pre_q,0),Floor_q)</f>
        <v>400</v>
      </c>
      <c r="AA32" s="14" t="n">
        <f aca="false">MAX(End_q,Floor_q)</f>
        <v>470</v>
      </c>
      <c r="AB32" s="15" t="n">
        <f aca="false">IF($B$6&gt;=U32-0.000000001,1,0)</f>
        <v>1</v>
      </c>
      <c r="AC32" s="14" t="n">
        <f aca="false">IF($AB32=1,$B$6-Cost_round*C32+O32-V32,"")</f>
        <v>150</v>
      </c>
      <c r="AD32" s="14" t="n">
        <f aca="false">IF($AB32=1,V32-Cost_round*D32+P32-W32,"")</f>
        <v>0</v>
      </c>
      <c r="AE32" s="14" t="n">
        <f aca="false">IF($AB32=1,W32-Cost_round*E32+Q32-X32,"")</f>
        <v>70</v>
      </c>
      <c r="AF32" s="14" t="n">
        <f aca="false">IF($AB32=1,X32-Cost_round*F32+R32-Y32,"")</f>
        <v>70</v>
      </c>
      <c r="AG32" s="14" t="n">
        <f aca="false">IF($AB32=1,Y32-Cost_round*G32+S32-Z32,"")</f>
        <v>20</v>
      </c>
      <c r="AH32" s="14" t="n">
        <f aca="false">IF($AB32=1,Z32-Cost_round*H32+T32-AA32,"")</f>
        <v>0</v>
      </c>
      <c r="AI32" s="21" t="n">
        <f aca="false">IF($AB32=1,AC32*1+AD32*Bias_b*Beta_y^1+AE32*Bias_b*Beta_y^2+AF32*Bias_b*Beta_y^3+AG32*Bias_b*Beta_y^4+AH32*Bias_b*Beta_y^5+Bias_b*Beta_y^5*T32/Hurdle_r,"")</f>
        <v>652.873623883118</v>
      </c>
    </row>
    <row r="33" customFormat="false" ht="15" hidden="false" customHeight="false" outlineLevel="0" collapsed="false">
      <c r="A33" s="2" t="n">
        <v>9</v>
      </c>
      <c r="B33" s="2" t="str">
        <f aca="false">""&amp;C33&amp;D33&amp;E33&amp;F33&amp;G33&amp;H33</f>
        <v>001001</v>
      </c>
      <c r="C33" s="15" t="n">
        <f aca="false">MOD(INT($A33/32),2)</f>
        <v>0</v>
      </c>
      <c r="D33" s="15" t="n">
        <f aca="false">MOD(INT($A33/16),2)</f>
        <v>0</v>
      </c>
      <c r="E33" s="15" t="n">
        <f aca="false">MOD(INT($A33/8),2)</f>
        <v>1</v>
      </c>
      <c r="F33" s="15" t="n">
        <f aca="false">MOD(INT($A33/4),2)</f>
        <v>0</v>
      </c>
      <c r="G33" s="15" t="n">
        <f aca="false">MOD(INT($A33/2),2)</f>
        <v>0</v>
      </c>
      <c r="H33" s="15" t="n">
        <f aca="false">MOD(INT($A33/1),2)</f>
        <v>1</v>
      </c>
      <c r="I33" s="14" t="n">
        <f aca="false">$C$6+C33*(Half_gap*(Ceiling_e-$C$6))</f>
        <v>71</v>
      </c>
      <c r="J33" s="14" t="n">
        <f aca="false">I33+D33*(Half_gap*(Ceiling_e-I33))</f>
        <v>71</v>
      </c>
      <c r="K33" s="14" t="n">
        <f aca="false">J33+E33*(Half_gap*(Ceiling_e-J33))</f>
        <v>78</v>
      </c>
      <c r="L33" s="14" t="n">
        <f aca="false">K33+F33*(Half_gap*(Ceiling_e-K33))</f>
        <v>78</v>
      </c>
      <c r="M33" s="14" t="n">
        <f aca="false">L33+G33*(Half_gap*(Ceiling_e-L33))</f>
        <v>78</v>
      </c>
      <c r="N33" s="14" t="n">
        <f aca="false">M33+H33*(Half_gap*(Ceiling_e-M33))</f>
        <v>81.5</v>
      </c>
      <c r="O33" s="14" t="n">
        <f aca="false">Val_pt*(I33-E_zero)</f>
        <v>0</v>
      </c>
      <c r="P33" s="14" t="n">
        <f aca="false">Val_pt*(J33-E_zero)</f>
        <v>0</v>
      </c>
      <c r="Q33" s="14" t="n">
        <f aca="false">Val_pt*(K33-E_zero)</f>
        <v>70</v>
      </c>
      <c r="R33" s="14" t="n">
        <f aca="false">Val_pt*(L33-E_zero)</f>
        <v>70</v>
      </c>
      <c r="S33" s="14" t="n">
        <f aca="false">Val_pt*(M33-E_zero)</f>
        <v>70</v>
      </c>
      <c r="T33" s="14" t="n">
        <f aca="false">Val_pt*(N33-E_zero)</f>
        <v>105</v>
      </c>
      <c r="U33" s="14" t="n">
        <f aca="false">MAX(V33+Cost_round*C33-O33,IF(C33=1,Pre_q,0))</f>
        <v>470</v>
      </c>
      <c r="V33" s="14" t="n">
        <f aca="false">MAX(W33+Cost_round*D33-P33,IF(D33=1,Pre_q,0),Floor_q)</f>
        <v>470</v>
      </c>
      <c r="W33" s="14" t="n">
        <f aca="false">MAX(X33+Cost_round*E33-Q33,IF(E33=1,Pre_q,0),Floor_q)</f>
        <v>470</v>
      </c>
      <c r="X33" s="14" t="n">
        <f aca="false">MAX(Y33+Cost_round*F33-R33,IF(F33=1,Pre_q,0),Floor_q)</f>
        <v>350</v>
      </c>
      <c r="Y33" s="14" t="n">
        <f aca="false">MAX(Z33+Cost_round*G33-S33,IF(G33=1,Pre_q,0),Floor_q)</f>
        <v>415</v>
      </c>
      <c r="Z33" s="14" t="n">
        <f aca="false">MAX(AA33+Cost_round*H33-T33,IF(H33=1,Pre_q,0),Floor_q)</f>
        <v>485</v>
      </c>
      <c r="AA33" s="14" t="n">
        <f aca="false">MAX(End_q,Floor_q)</f>
        <v>470</v>
      </c>
      <c r="AB33" s="15" t="n">
        <f aca="false">IF($B$6&gt;=U33-0.000000001,1,0)</f>
        <v>1</v>
      </c>
      <c r="AC33" s="14" t="n">
        <f aca="false">IF($AB33=1,$B$6-Cost_round*C33+O33-V33,"")</f>
        <v>150</v>
      </c>
      <c r="AD33" s="14" t="n">
        <f aca="false">IF($AB33=1,V33-Cost_round*D33+P33-W33,"")</f>
        <v>0</v>
      </c>
      <c r="AE33" s="14" t="n">
        <f aca="false">IF($AB33=1,W33-Cost_round*E33+Q33-X33,"")</f>
        <v>70</v>
      </c>
      <c r="AF33" s="14" t="n">
        <f aca="false">IF($AB33=1,X33-Cost_round*F33+R33-Y33,"")</f>
        <v>5</v>
      </c>
      <c r="AG33" s="14" t="n">
        <f aca="false">IF($AB33=1,Y33-Cost_round*G33+S33-Z33,"")</f>
        <v>0</v>
      </c>
      <c r="AH33" s="14" t="n">
        <f aca="false">IF($AB33=1,Z33-Cost_round*H33+T33-AA33,"")</f>
        <v>0</v>
      </c>
      <c r="AI33" s="21" t="n">
        <f aca="false">IF($AB33=1,AC33*1+AD33*Bias_b*Beta_y^1+AE33*Bias_b*Beta_y^2+AF33*Bias_b*Beta_y^3+AG33*Bias_b*Beta_y^4+AH33*Bias_b*Beta_y^5+Bias_b*Beta_y^5*T33/Hurdle_r,"")</f>
        <v>792.217682597438</v>
      </c>
    </row>
    <row r="34" customFormat="false" ht="15" hidden="false" customHeight="false" outlineLevel="0" collapsed="false">
      <c r="A34" s="2" t="n">
        <v>10</v>
      </c>
      <c r="B34" s="2" t="str">
        <f aca="false">""&amp;C34&amp;D34&amp;E34&amp;F34&amp;G34&amp;H34</f>
        <v>001010</v>
      </c>
      <c r="C34" s="15" t="n">
        <f aca="false">MOD(INT($A34/32),2)</f>
        <v>0</v>
      </c>
      <c r="D34" s="15" t="n">
        <f aca="false">MOD(INT($A34/16),2)</f>
        <v>0</v>
      </c>
      <c r="E34" s="15" t="n">
        <f aca="false">MOD(INT($A34/8),2)</f>
        <v>1</v>
      </c>
      <c r="F34" s="15" t="n">
        <f aca="false">MOD(INT($A34/4),2)</f>
        <v>0</v>
      </c>
      <c r="G34" s="15" t="n">
        <f aca="false">MOD(INT($A34/2),2)</f>
        <v>1</v>
      </c>
      <c r="H34" s="15" t="n">
        <f aca="false">MOD(INT($A34/1),2)</f>
        <v>0</v>
      </c>
      <c r="I34" s="14" t="n">
        <f aca="false">$C$6+C34*(Half_gap*(Ceiling_e-$C$6))</f>
        <v>71</v>
      </c>
      <c r="J34" s="14" t="n">
        <f aca="false">I34+D34*(Half_gap*(Ceiling_e-I34))</f>
        <v>71</v>
      </c>
      <c r="K34" s="14" t="n">
        <f aca="false">J34+E34*(Half_gap*(Ceiling_e-J34))</f>
        <v>78</v>
      </c>
      <c r="L34" s="14" t="n">
        <f aca="false">K34+F34*(Half_gap*(Ceiling_e-K34))</f>
        <v>78</v>
      </c>
      <c r="M34" s="14" t="n">
        <f aca="false">L34+G34*(Half_gap*(Ceiling_e-L34))</f>
        <v>81.5</v>
      </c>
      <c r="N34" s="14" t="n">
        <f aca="false">M34+H34*(Half_gap*(Ceiling_e-M34))</f>
        <v>81.5</v>
      </c>
      <c r="O34" s="14" t="n">
        <f aca="false">Val_pt*(I34-E_zero)</f>
        <v>0</v>
      </c>
      <c r="P34" s="14" t="n">
        <f aca="false">Val_pt*(J34-E_zero)</f>
        <v>0</v>
      </c>
      <c r="Q34" s="14" t="n">
        <f aca="false">Val_pt*(K34-E_zero)</f>
        <v>70</v>
      </c>
      <c r="R34" s="14" t="n">
        <f aca="false">Val_pt*(L34-E_zero)</f>
        <v>70</v>
      </c>
      <c r="S34" s="14" t="n">
        <f aca="false">Val_pt*(M34-E_zero)</f>
        <v>105</v>
      </c>
      <c r="T34" s="14" t="n">
        <f aca="false">Val_pt*(N34-E_zero)</f>
        <v>105</v>
      </c>
      <c r="U34" s="14" t="n">
        <f aca="false">MAX(V34+Cost_round*C34-O34,IF(C34=1,Pre_q,0))</f>
        <v>470</v>
      </c>
      <c r="V34" s="14" t="n">
        <f aca="false">MAX(W34+Cost_round*D34-P34,IF(D34=1,Pre_q,0),Floor_q)</f>
        <v>470</v>
      </c>
      <c r="W34" s="14" t="n">
        <f aca="false">MAX(X34+Cost_round*E34-Q34,IF(E34=1,Pre_q,0),Floor_q)</f>
        <v>470</v>
      </c>
      <c r="X34" s="14" t="n">
        <f aca="false">MAX(Y34+Cost_round*F34-R34,IF(F34=1,Pre_q,0),Floor_q)</f>
        <v>400</v>
      </c>
      <c r="Y34" s="14" t="n">
        <f aca="false">MAX(Z34+Cost_round*G34-S34,IF(G34=1,Pre_q,0),Floor_q)</f>
        <v>470</v>
      </c>
      <c r="Z34" s="14" t="n">
        <f aca="false">MAX(AA34+Cost_round*H34-T34,IF(H34=1,Pre_q,0),Floor_q)</f>
        <v>365</v>
      </c>
      <c r="AA34" s="14" t="n">
        <f aca="false">MAX(End_q,Floor_q)</f>
        <v>470</v>
      </c>
      <c r="AB34" s="15" t="n">
        <f aca="false">IF($B$6&gt;=U34-0.000000001,1,0)</f>
        <v>1</v>
      </c>
      <c r="AC34" s="14" t="n">
        <f aca="false">IF($AB34=1,$B$6-Cost_round*C34+O34-V34,"")</f>
        <v>150</v>
      </c>
      <c r="AD34" s="14" t="n">
        <f aca="false">IF($AB34=1,V34-Cost_round*D34+P34-W34,"")</f>
        <v>0</v>
      </c>
      <c r="AE34" s="14" t="n">
        <f aca="false">IF($AB34=1,W34-Cost_round*E34+Q34-X34,"")</f>
        <v>20</v>
      </c>
      <c r="AF34" s="14" t="n">
        <f aca="false">IF($AB34=1,X34-Cost_round*F34+R34-Y34,"")</f>
        <v>0</v>
      </c>
      <c r="AG34" s="14" t="n">
        <f aca="false">IF($AB34=1,Y34-Cost_round*G34+S34-Z34,"")</f>
        <v>90</v>
      </c>
      <c r="AH34" s="14" t="n">
        <f aca="false">IF($AB34=1,Z34-Cost_round*H34+T34-AA34,"")</f>
        <v>0</v>
      </c>
      <c r="AI34" s="21" t="n">
        <f aca="false">IF($AB34=1,AC34*1+AD34*Bias_b*Beta_y^1+AE34*Bias_b*Beta_y^2+AF34*Bias_b*Beta_y^3+AG34*Bias_b*Beta_y^4+AH34*Bias_b*Beta_y^5+Bias_b*Beta_y^5*T34/Hurdle_r,"")</f>
        <v>806.970773233323</v>
      </c>
    </row>
    <row r="35" customFormat="false" ht="15" hidden="false" customHeight="false" outlineLevel="0" collapsed="false">
      <c r="A35" s="2" t="n">
        <v>11</v>
      </c>
      <c r="B35" s="2" t="str">
        <f aca="false">""&amp;C35&amp;D35&amp;E35&amp;F35&amp;G35&amp;H35</f>
        <v>001011</v>
      </c>
      <c r="C35" s="15" t="n">
        <f aca="false">MOD(INT($A35/32),2)</f>
        <v>0</v>
      </c>
      <c r="D35" s="15" t="n">
        <f aca="false">MOD(INT($A35/16),2)</f>
        <v>0</v>
      </c>
      <c r="E35" s="15" t="n">
        <f aca="false">MOD(INT($A35/8),2)</f>
        <v>1</v>
      </c>
      <c r="F35" s="15" t="n">
        <f aca="false">MOD(INT($A35/4),2)</f>
        <v>0</v>
      </c>
      <c r="G35" s="15" t="n">
        <f aca="false">MOD(INT($A35/2),2)</f>
        <v>1</v>
      </c>
      <c r="H35" s="15" t="n">
        <f aca="false">MOD(INT($A35/1),2)</f>
        <v>1</v>
      </c>
      <c r="I35" s="14" t="n">
        <f aca="false">$C$6+C35*(Half_gap*(Ceiling_e-$C$6))</f>
        <v>71</v>
      </c>
      <c r="J35" s="14" t="n">
        <f aca="false">I35+D35*(Half_gap*(Ceiling_e-I35))</f>
        <v>71</v>
      </c>
      <c r="K35" s="14" t="n">
        <f aca="false">J35+E35*(Half_gap*(Ceiling_e-J35))</f>
        <v>78</v>
      </c>
      <c r="L35" s="14" t="n">
        <f aca="false">K35+F35*(Half_gap*(Ceiling_e-K35))</f>
        <v>78</v>
      </c>
      <c r="M35" s="14" t="n">
        <f aca="false">L35+G35*(Half_gap*(Ceiling_e-L35))</f>
        <v>81.5</v>
      </c>
      <c r="N35" s="14" t="n">
        <f aca="false">M35+H35*(Half_gap*(Ceiling_e-M35))</f>
        <v>83.25</v>
      </c>
      <c r="O35" s="14" t="n">
        <f aca="false">Val_pt*(I35-E_zero)</f>
        <v>0</v>
      </c>
      <c r="P35" s="14" t="n">
        <f aca="false">Val_pt*(J35-E_zero)</f>
        <v>0</v>
      </c>
      <c r="Q35" s="14" t="n">
        <f aca="false">Val_pt*(K35-E_zero)</f>
        <v>70</v>
      </c>
      <c r="R35" s="14" t="n">
        <f aca="false">Val_pt*(L35-E_zero)</f>
        <v>70</v>
      </c>
      <c r="S35" s="14" t="n">
        <f aca="false">Val_pt*(M35-E_zero)</f>
        <v>105</v>
      </c>
      <c r="T35" s="14" t="n">
        <f aca="false">Val_pt*(N35-E_zero)</f>
        <v>122.5</v>
      </c>
      <c r="U35" s="14" t="n">
        <f aca="false">MAX(V35+Cost_round*C35-O35,IF(C35=1,Pre_q,0))</f>
        <v>470</v>
      </c>
      <c r="V35" s="14" t="n">
        <f aca="false">MAX(W35+Cost_round*D35-P35,IF(D35=1,Pre_q,0),Floor_q)</f>
        <v>470</v>
      </c>
      <c r="W35" s="14" t="n">
        <f aca="false">MAX(X35+Cost_round*E35-Q35,IF(E35=1,Pre_q,0),Floor_q)</f>
        <v>470</v>
      </c>
      <c r="X35" s="14" t="n">
        <f aca="false">MAX(Y35+Cost_round*F35-R35,IF(F35=1,Pre_q,0),Floor_q)</f>
        <v>415</v>
      </c>
      <c r="Y35" s="14" t="n">
        <f aca="false">MAX(Z35+Cost_round*G35-S35,IF(G35=1,Pre_q,0),Floor_q)</f>
        <v>485</v>
      </c>
      <c r="Z35" s="14" t="n">
        <f aca="false">MAX(AA35+Cost_round*H35-T35,IF(H35=1,Pre_q,0),Floor_q)</f>
        <v>470</v>
      </c>
      <c r="AA35" s="14" t="n">
        <f aca="false">MAX(End_q,Floor_q)</f>
        <v>470</v>
      </c>
      <c r="AB35" s="15" t="n">
        <f aca="false">IF($B$6&gt;=U35-0.000000001,1,0)</f>
        <v>1</v>
      </c>
      <c r="AC35" s="14" t="n">
        <f aca="false">IF($AB35=1,$B$6-Cost_round*C35+O35-V35,"")</f>
        <v>150</v>
      </c>
      <c r="AD35" s="14" t="n">
        <f aca="false">IF($AB35=1,V35-Cost_round*D35+P35-W35,"")</f>
        <v>0</v>
      </c>
      <c r="AE35" s="14" t="n">
        <f aca="false">IF($AB35=1,W35-Cost_round*E35+Q35-X35,"")</f>
        <v>5</v>
      </c>
      <c r="AF35" s="14" t="n">
        <f aca="false">IF($AB35=1,X35-Cost_round*F35+R35-Y35,"")</f>
        <v>0</v>
      </c>
      <c r="AG35" s="14" t="n">
        <f aca="false">IF($AB35=1,Y35-Cost_round*G35+S35-Z35,"")</f>
        <v>0</v>
      </c>
      <c r="AH35" s="14" t="n">
        <f aca="false">IF($AB35=1,Z35-Cost_round*H35+T35-AA35,"")</f>
        <v>2.5</v>
      </c>
      <c r="AI35" s="21" t="n">
        <f aca="false">IF($AB35=1,AC35*1+AD35*Bias_b*Beta_y^1+AE35*Bias_b*Beta_y^2+AF35*Bias_b*Beta_y^3+AG35*Bias_b*Beta_y^4+AH35*Bias_b*Beta_y^5+Bias_b*Beta_y^5*T35/Hurdle_r,"")</f>
        <v>839.681839914064</v>
      </c>
    </row>
    <row r="36" customFormat="false" ht="15" hidden="false" customHeight="false" outlineLevel="0" collapsed="false">
      <c r="A36" s="2" t="n">
        <v>12</v>
      </c>
      <c r="B36" s="2" t="str">
        <f aca="false">""&amp;C36&amp;D36&amp;E36&amp;F36&amp;G36&amp;H36</f>
        <v>001100</v>
      </c>
      <c r="C36" s="15" t="n">
        <f aca="false">MOD(INT($A36/32),2)</f>
        <v>0</v>
      </c>
      <c r="D36" s="15" t="n">
        <f aca="false">MOD(INT($A36/16),2)</f>
        <v>0</v>
      </c>
      <c r="E36" s="15" t="n">
        <f aca="false">MOD(INT($A36/8),2)</f>
        <v>1</v>
      </c>
      <c r="F36" s="15" t="n">
        <f aca="false">MOD(INT($A36/4),2)</f>
        <v>1</v>
      </c>
      <c r="G36" s="15" t="n">
        <f aca="false">MOD(INT($A36/2),2)</f>
        <v>0</v>
      </c>
      <c r="H36" s="15" t="n">
        <f aca="false">MOD(INT($A36/1),2)</f>
        <v>0</v>
      </c>
      <c r="I36" s="14" t="n">
        <f aca="false">$C$6+C36*(Half_gap*(Ceiling_e-$C$6))</f>
        <v>71</v>
      </c>
      <c r="J36" s="14" t="n">
        <f aca="false">I36+D36*(Half_gap*(Ceiling_e-I36))</f>
        <v>71</v>
      </c>
      <c r="K36" s="14" t="n">
        <f aca="false">J36+E36*(Half_gap*(Ceiling_e-J36))</f>
        <v>78</v>
      </c>
      <c r="L36" s="14" t="n">
        <f aca="false">K36+F36*(Half_gap*(Ceiling_e-K36))</f>
        <v>81.5</v>
      </c>
      <c r="M36" s="14" t="n">
        <f aca="false">L36+G36*(Half_gap*(Ceiling_e-L36))</f>
        <v>81.5</v>
      </c>
      <c r="N36" s="14" t="n">
        <f aca="false">M36+H36*(Half_gap*(Ceiling_e-M36))</f>
        <v>81.5</v>
      </c>
      <c r="O36" s="14" t="n">
        <f aca="false">Val_pt*(I36-E_zero)</f>
        <v>0</v>
      </c>
      <c r="P36" s="14" t="n">
        <f aca="false">Val_pt*(J36-E_zero)</f>
        <v>0</v>
      </c>
      <c r="Q36" s="14" t="n">
        <f aca="false">Val_pt*(K36-E_zero)</f>
        <v>70</v>
      </c>
      <c r="R36" s="14" t="n">
        <f aca="false">Val_pt*(L36-E_zero)</f>
        <v>105</v>
      </c>
      <c r="S36" s="14" t="n">
        <f aca="false">Val_pt*(M36-E_zero)</f>
        <v>105</v>
      </c>
      <c r="T36" s="14" t="n">
        <f aca="false">Val_pt*(N36-E_zero)</f>
        <v>105</v>
      </c>
      <c r="U36" s="14" t="n">
        <f aca="false">MAX(V36+Cost_round*C36-O36,IF(C36=1,Pre_q,0))</f>
        <v>520</v>
      </c>
      <c r="V36" s="14" t="n">
        <f aca="false">MAX(W36+Cost_round*D36-P36,IF(D36=1,Pre_q,0),Floor_q)</f>
        <v>520</v>
      </c>
      <c r="W36" s="14" t="n">
        <f aca="false">MAX(X36+Cost_round*E36-Q36,IF(E36=1,Pre_q,0),Floor_q)</f>
        <v>520</v>
      </c>
      <c r="X36" s="14" t="n">
        <f aca="false">MAX(Y36+Cost_round*F36-R36,IF(F36=1,Pre_q,0),Floor_q)</f>
        <v>470</v>
      </c>
      <c r="Y36" s="14" t="n">
        <f aca="false">MAX(Z36+Cost_round*G36-S36,IF(G36=1,Pre_q,0),Floor_q)</f>
        <v>350</v>
      </c>
      <c r="Z36" s="14" t="n">
        <f aca="false">MAX(AA36+Cost_round*H36-T36,IF(H36=1,Pre_q,0),Floor_q)</f>
        <v>365</v>
      </c>
      <c r="AA36" s="14" t="n">
        <f aca="false">MAX(End_q,Floor_q)</f>
        <v>470</v>
      </c>
      <c r="AB36" s="15" t="n">
        <f aca="false">IF($B$6&gt;=U36-0.000000001,1,0)</f>
        <v>1</v>
      </c>
      <c r="AC36" s="14" t="n">
        <f aca="false">IF($AB36=1,$B$6-Cost_round*C36+O36-V36,"")</f>
        <v>100</v>
      </c>
      <c r="AD36" s="14" t="n">
        <f aca="false">IF($AB36=1,V36-Cost_round*D36+P36-W36,"")</f>
        <v>0</v>
      </c>
      <c r="AE36" s="14" t="n">
        <f aca="false">IF($AB36=1,W36-Cost_round*E36+Q36-X36,"")</f>
        <v>0</v>
      </c>
      <c r="AF36" s="14" t="n">
        <f aca="false">IF($AB36=1,X36-Cost_round*F36+R36-Y36,"")</f>
        <v>105</v>
      </c>
      <c r="AG36" s="14" t="n">
        <f aca="false">IF($AB36=1,Y36-Cost_round*G36+S36-Z36,"")</f>
        <v>90</v>
      </c>
      <c r="AH36" s="14" t="n">
        <f aca="false">IF($AB36=1,Z36-Cost_round*H36+T36-AA36,"")</f>
        <v>0</v>
      </c>
      <c r="AI36" s="21" t="n">
        <f aca="false">IF($AB36=1,AC36*1+AD36*Bias_b*Beta_y^1+AE36*Bias_b*Beta_y^2+AF36*Bias_b*Beta_y^3+AG36*Bias_b*Beta_y^4+AH36*Bias_b*Beta_y^5+Bias_b*Beta_y^5*T36/Hurdle_r,"")</f>
        <v>813.093988860671</v>
      </c>
    </row>
    <row r="37" customFormat="false" ht="15" hidden="false" customHeight="false" outlineLevel="0" collapsed="false">
      <c r="A37" s="2" t="n">
        <v>13</v>
      </c>
      <c r="B37" s="2" t="str">
        <f aca="false">""&amp;C37&amp;D37&amp;E37&amp;F37&amp;G37&amp;H37</f>
        <v>001101</v>
      </c>
      <c r="C37" s="15" t="n">
        <f aca="false">MOD(INT($A37/32),2)</f>
        <v>0</v>
      </c>
      <c r="D37" s="15" t="n">
        <f aca="false">MOD(INT($A37/16),2)</f>
        <v>0</v>
      </c>
      <c r="E37" s="15" t="n">
        <f aca="false">MOD(INT($A37/8),2)</f>
        <v>1</v>
      </c>
      <c r="F37" s="15" t="n">
        <f aca="false">MOD(INT($A37/4),2)</f>
        <v>1</v>
      </c>
      <c r="G37" s="15" t="n">
        <f aca="false">MOD(INT($A37/2),2)</f>
        <v>0</v>
      </c>
      <c r="H37" s="15" t="n">
        <f aca="false">MOD(INT($A37/1),2)</f>
        <v>1</v>
      </c>
      <c r="I37" s="14" t="n">
        <f aca="false">$C$6+C37*(Half_gap*(Ceiling_e-$C$6))</f>
        <v>71</v>
      </c>
      <c r="J37" s="14" t="n">
        <f aca="false">I37+D37*(Half_gap*(Ceiling_e-I37))</f>
        <v>71</v>
      </c>
      <c r="K37" s="14" t="n">
        <f aca="false">J37+E37*(Half_gap*(Ceiling_e-J37))</f>
        <v>78</v>
      </c>
      <c r="L37" s="14" t="n">
        <f aca="false">K37+F37*(Half_gap*(Ceiling_e-K37))</f>
        <v>81.5</v>
      </c>
      <c r="M37" s="14" t="n">
        <f aca="false">L37+G37*(Half_gap*(Ceiling_e-L37))</f>
        <v>81.5</v>
      </c>
      <c r="N37" s="14" t="n">
        <f aca="false">M37+H37*(Half_gap*(Ceiling_e-M37))</f>
        <v>83.25</v>
      </c>
      <c r="O37" s="14" t="n">
        <f aca="false">Val_pt*(I37-E_zero)</f>
        <v>0</v>
      </c>
      <c r="P37" s="14" t="n">
        <f aca="false">Val_pt*(J37-E_zero)</f>
        <v>0</v>
      </c>
      <c r="Q37" s="14" t="n">
        <f aca="false">Val_pt*(K37-E_zero)</f>
        <v>70</v>
      </c>
      <c r="R37" s="14" t="n">
        <f aca="false">Val_pt*(L37-E_zero)</f>
        <v>105</v>
      </c>
      <c r="S37" s="14" t="n">
        <f aca="false">Val_pt*(M37-E_zero)</f>
        <v>105</v>
      </c>
      <c r="T37" s="14" t="n">
        <f aca="false">Val_pt*(N37-E_zero)</f>
        <v>122.5</v>
      </c>
      <c r="U37" s="14" t="n">
        <f aca="false">MAX(V37+Cost_round*C37-O37,IF(C37=1,Pre_q,0))</f>
        <v>520</v>
      </c>
      <c r="V37" s="14" t="n">
        <f aca="false">MAX(W37+Cost_round*D37-P37,IF(D37=1,Pre_q,0),Floor_q)</f>
        <v>520</v>
      </c>
      <c r="W37" s="14" t="n">
        <f aca="false">MAX(X37+Cost_round*E37-Q37,IF(E37=1,Pre_q,0),Floor_q)</f>
        <v>520</v>
      </c>
      <c r="X37" s="14" t="n">
        <f aca="false">MAX(Y37+Cost_round*F37-R37,IF(F37=1,Pre_q,0),Floor_q)</f>
        <v>470</v>
      </c>
      <c r="Y37" s="14" t="n">
        <f aca="false">MAX(Z37+Cost_round*G37-S37,IF(G37=1,Pre_q,0),Floor_q)</f>
        <v>365</v>
      </c>
      <c r="Z37" s="14" t="n">
        <f aca="false">MAX(AA37+Cost_round*H37-T37,IF(H37=1,Pre_q,0),Floor_q)</f>
        <v>470</v>
      </c>
      <c r="AA37" s="14" t="n">
        <f aca="false">MAX(End_q,Floor_q)</f>
        <v>470</v>
      </c>
      <c r="AB37" s="15" t="n">
        <f aca="false">IF($B$6&gt;=U37-0.000000001,1,0)</f>
        <v>1</v>
      </c>
      <c r="AC37" s="14" t="n">
        <f aca="false">IF($AB37=1,$B$6-Cost_round*C37+O37-V37,"")</f>
        <v>100</v>
      </c>
      <c r="AD37" s="14" t="n">
        <f aca="false">IF($AB37=1,V37-Cost_round*D37+P37-W37,"")</f>
        <v>0</v>
      </c>
      <c r="AE37" s="14" t="n">
        <f aca="false">IF($AB37=1,W37-Cost_round*E37+Q37-X37,"")</f>
        <v>0</v>
      </c>
      <c r="AF37" s="14" t="n">
        <f aca="false">IF($AB37=1,X37-Cost_round*F37+R37-Y37,"")</f>
        <v>90</v>
      </c>
      <c r="AG37" s="14" t="n">
        <f aca="false">IF($AB37=1,Y37-Cost_round*G37+S37-Z37,"")</f>
        <v>0</v>
      </c>
      <c r="AH37" s="14" t="n">
        <f aca="false">IF($AB37=1,Z37-Cost_round*H37+T37-AA37,"")</f>
        <v>2.5</v>
      </c>
      <c r="AI37" s="21" t="n">
        <f aca="false">IF($AB37=1,AC37*1+AD37*Bias_b*Beta_y^1+AE37*Bias_b*Beta_y^2+AF37*Bias_b*Beta_y^3+AG37*Bias_b*Beta_y^4+AH37*Bias_b*Beta_y^5+Bias_b*Beta_y^5*T37/Hurdle_r,"")</f>
        <v>846.819330522629</v>
      </c>
    </row>
    <row r="38" customFormat="false" ht="15" hidden="false" customHeight="false" outlineLevel="0" collapsed="false">
      <c r="A38" s="2" t="n">
        <v>14</v>
      </c>
      <c r="B38" s="2" t="str">
        <f aca="false">""&amp;C38&amp;D38&amp;E38&amp;F38&amp;G38&amp;H38</f>
        <v>001110</v>
      </c>
      <c r="C38" s="15" t="n">
        <f aca="false">MOD(INT($A38/32),2)</f>
        <v>0</v>
      </c>
      <c r="D38" s="15" t="n">
        <f aca="false">MOD(INT($A38/16),2)</f>
        <v>0</v>
      </c>
      <c r="E38" s="15" t="n">
        <f aca="false">MOD(INT($A38/8),2)</f>
        <v>1</v>
      </c>
      <c r="F38" s="15" t="n">
        <f aca="false">MOD(INT($A38/4),2)</f>
        <v>1</v>
      </c>
      <c r="G38" s="15" t="n">
        <f aca="false">MOD(INT($A38/2),2)</f>
        <v>1</v>
      </c>
      <c r="H38" s="15" t="n">
        <f aca="false">MOD(INT($A38/1),2)</f>
        <v>0</v>
      </c>
      <c r="I38" s="14" t="n">
        <f aca="false">$C$6+C38*(Half_gap*(Ceiling_e-$C$6))</f>
        <v>71</v>
      </c>
      <c r="J38" s="14" t="n">
        <f aca="false">I38+D38*(Half_gap*(Ceiling_e-I38))</f>
        <v>71</v>
      </c>
      <c r="K38" s="14" t="n">
        <f aca="false">J38+E38*(Half_gap*(Ceiling_e-J38))</f>
        <v>78</v>
      </c>
      <c r="L38" s="14" t="n">
        <f aca="false">K38+F38*(Half_gap*(Ceiling_e-K38))</f>
        <v>81.5</v>
      </c>
      <c r="M38" s="14" t="n">
        <f aca="false">L38+G38*(Half_gap*(Ceiling_e-L38))</f>
        <v>83.25</v>
      </c>
      <c r="N38" s="14" t="n">
        <f aca="false">M38+H38*(Half_gap*(Ceiling_e-M38))</f>
        <v>83.25</v>
      </c>
      <c r="O38" s="14" t="n">
        <f aca="false">Val_pt*(I38-E_zero)</f>
        <v>0</v>
      </c>
      <c r="P38" s="14" t="n">
        <f aca="false">Val_pt*(J38-E_zero)</f>
        <v>0</v>
      </c>
      <c r="Q38" s="14" t="n">
        <f aca="false">Val_pt*(K38-E_zero)</f>
        <v>70</v>
      </c>
      <c r="R38" s="14" t="n">
        <f aca="false">Val_pt*(L38-E_zero)</f>
        <v>105</v>
      </c>
      <c r="S38" s="14" t="n">
        <f aca="false">Val_pt*(M38-E_zero)</f>
        <v>122.5</v>
      </c>
      <c r="T38" s="14" t="n">
        <f aca="false">Val_pt*(N38-E_zero)</f>
        <v>122.5</v>
      </c>
      <c r="U38" s="14" t="n">
        <f aca="false">MAX(V38+Cost_round*C38-O38,IF(C38=1,Pre_q,0))</f>
        <v>535</v>
      </c>
      <c r="V38" s="14" t="n">
        <f aca="false">MAX(W38+Cost_round*D38-P38,IF(D38=1,Pre_q,0),Floor_q)</f>
        <v>535</v>
      </c>
      <c r="W38" s="14" t="n">
        <f aca="false">MAX(X38+Cost_round*E38-Q38,IF(E38=1,Pre_q,0),Floor_q)</f>
        <v>535</v>
      </c>
      <c r="X38" s="14" t="n">
        <f aca="false">MAX(Y38+Cost_round*F38-R38,IF(F38=1,Pre_q,0),Floor_q)</f>
        <v>485</v>
      </c>
      <c r="Y38" s="14" t="n">
        <f aca="false">MAX(Z38+Cost_round*G38-S38,IF(G38=1,Pre_q,0),Floor_q)</f>
        <v>470</v>
      </c>
      <c r="Z38" s="14" t="n">
        <f aca="false">MAX(AA38+Cost_round*H38-T38,IF(H38=1,Pre_q,0),Floor_q)</f>
        <v>350</v>
      </c>
      <c r="AA38" s="14" t="n">
        <f aca="false">MAX(End_q,Floor_q)</f>
        <v>470</v>
      </c>
      <c r="AB38" s="15" t="n">
        <f aca="false">IF($B$6&gt;=U38-0.000000001,1,0)</f>
        <v>1</v>
      </c>
      <c r="AC38" s="14" t="n">
        <f aca="false">IF($AB38=1,$B$6-Cost_round*C38+O38-V38,"")</f>
        <v>85</v>
      </c>
      <c r="AD38" s="14" t="n">
        <f aca="false">IF($AB38=1,V38-Cost_round*D38+P38-W38,"")</f>
        <v>0</v>
      </c>
      <c r="AE38" s="14" t="n">
        <f aca="false">IF($AB38=1,W38-Cost_round*E38+Q38-X38,"")</f>
        <v>0</v>
      </c>
      <c r="AF38" s="14" t="n">
        <f aca="false">IF($AB38=1,X38-Cost_round*F38+R38-Y38,"")</f>
        <v>0</v>
      </c>
      <c r="AG38" s="14" t="n">
        <f aca="false">IF($AB38=1,Y38-Cost_round*G38+S38-Z38,"")</f>
        <v>122.5</v>
      </c>
      <c r="AH38" s="14" t="n">
        <f aca="false">IF($AB38=1,Z38-Cost_round*H38+T38-AA38,"")</f>
        <v>2.5</v>
      </c>
      <c r="AI38" s="21" t="n">
        <f aca="false">IF($AB38=1,AC38*1+AD38*Bias_b*Beta_y^1+AE38*Bias_b*Beta_y^2+AF38*Bias_b*Beta_y^3+AG38*Bias_b*Beta_y^4+AH38*Bias_b*Beta_y^5+Bias_b*Beta_y^5*T38/Hurdle_r,"")</f>
        <v>846.265065103601</v>
      </c>
    </row>
    <row r="39" customFormat="false" ht="15" hidden="false" customHeight="false" outlineLevel="0" collapsed="false">
      <c r="A39" s="2" t="n">
        <v>15</v>
      </c>
      <c r="B39" s="2" t="str">
        <f aca="false">""&amp;C39&amp;D39&amp;E39&amp;F39&amp;G39&amp;H39</f>
        <v>001111</v>
      </c>
      <c r="C39" s="15" t="n">
        <f aca="false">MOD(INT($A39/32),2)</f>
        <v>0</v>
      </c>
      <c r="D39" s="15" t="n">
        <f aca="false">MOD(INT($A39/16),2)</f>
        <v>0</v>
      </c>
      <c r="E39" s="15" t="n">
        <f aca="false">MOD(INT($A39/8),2)</f>
        <v>1</v>
      </c>
      <c r="F39" s="15" t="n">
        <f aca="false">MOD(INT($A39/4),2)</f>
        <v>1</v>
      </c>
      <c r="G39" s="15" t="n">
        <f aca="false">MOD(INT($A39/2),2)</f>
        <v>1</v>
      </c>
      <c r="H39" s="15" t="n">
        <f aca="false">MOD(INT($A39/1),2)</f>
        <v>1</v>
      </c>
      <c r="I39" s="14" t="n">
        <f aca="false">$C$6+C39*(Half_gap*(Ceiling_e-$C$6))</f>
        <v>71</v>
      </c>
      <c r="J39" s="14" t="n">
        <f aca="false">I39+D39*(Half_gap*(Ceiling_e-I39))</f>
        <v>71</v>
      </c>
      <c r="K39" s="14" t="n">
        <f aca="false">J39+E39*(Half_gap*(Ceiling_e-J39))</f>
        <v>78</v>
      </c>
      <c r="L39" s="14" t="n">
        <f aca="false">K39+F39*(Half_gap*(Ceiling_e-K39))</f>
        <v>81.5</v>
      </c>
      <c r="M39" s="14" t="n">
        <f aca="false">L39+G39*(Half_gap*(Ceiling_e-L39))</f>
        <v>83.25</v>
      </c>
      <c r="N39" s="14" t="n">
        <f aca="false">M39+H39*(Half_gap*(Ceiling_e-M39))</f>
        <v>84.125</v>
      </c>
      <c r="O39" s="14" t="n">
        <f aca="false">Val_pt*(I39-E_zero)</f>
        <v>0</v>
      </c>
      <c r="P39" s="14" t="n">
        <f aca="false">Val_pt*(J39-E_zero)</f>
        <v>0</v>
      </c>
      <c r="Q39" s="14" t="n">
        <f aca="false">Val_pt*(K39-E_zero)</f>
        <v>70</v>
      </c>
      <c r="R39" s="14" t="n">
        <f aca="false">Val_pt*(L39-E_zero)</f>
        <v>105</v>
      </c>
      <c r="S39" s="14" t="n">
        <f aca="false">Val_pt*(M39-E_zero)</f>
        <v>122.5</v>
      </c>
      <c r="T39" s="14" t="n">
        <f aca="false">Val_pt*(N39-E_zero)</f>
        <v>131.25</v>
      </c>
      <c r="U39" s="14" t="n">
        <f aca="false">MAX(V39+Cost_round*C39-O39,IF(C39=1,Pre_q,0))</f>
        <v>535</v>
      </c>
      <c r="V39" s="14" t="n">
        <f aca="false">MAX(W39+Cost_round*D39-P39,IF(D39=1,Pre_q,0),Floor_q)</f>
        <v>535</v>
      </c>
      <c r="W39" s="14" t="n">
        <f aca="false">MAX(X39+Cost_round*E39-Q39,IF(E39=1,Pre_q,0),Floor_q)</f>
        <v>535</v>
      </c>
      <c r="X39" s="14" t="n">
        <f aca="false">MAX(Y39+Cost_round*F39-R39,IF(F39=1,Pre_q,0),Floor_q)</f>
        <v>485</v>
      </c>
      <c r="Y39" s="14" t="n">
        <f aca="false">MAX(Z39+Cost_round*G39-S39,IF(G39=1,Pre_q,0),Floor_q)</f>
        <v>470</v>
      </c>
      <c r="Z39" s="14" t="n">
        <f aca="false">MAX(AA39+Cost_round*H39-T39,IF(H39=1,Pre_q,0),Floor_q)</f>
        <v>470</v>
      </c>
      <c r="AA39" s="14" t="n">
        <f aca="false">MAX(End_q,Floor_q)</f>
        <v>470</v>
      </c>
      <c r="AB39" s="15" t="n">
        <f aca="false">IF($B$6&gt;=U39-0.000000001,1,0)</f>
        <v>1</v>
      </c>
      <c r="AC39" s="14" t="n">
        <f aca="false">IF($AB39=1,$B$6-Cost_round*C39+O39-V39,"")</f>
        <v>85</v>
      </c>
      <c r="AD39" s="14" t="n">
        <f aca="false">IF($AB39=1,V39-Cost_round*D39+P39-W39,"")</f>
        <v>0</v>
      </c>
      <c r="AE39" s="14" t="n">
        <f aca="false">IF($AB39=1,W39-Cost_round*E39+Q39-X39,"")</f>
        <v>0</v>
      </c>
      <c r="AF39" s="14" t="n">
        <f aca="false">IF($AB39=1,X39-Cost_round*F39+R39-Y39,"")</f>
        <v>0</v>
      </c>
      <c r="AG39" s="14" t="n">
        <f aca="false">IF($AB39=1,Y39-Cost_round*G39+S39-Z39,"")</f>
        <v>2.5</v>
      </c>
      <c r="AH39" s="14" t="n">
        <f aca="false">IF($AB39=1,Z39-Cost_round*H39+T39-AA39,"")</f>
        <v>11.25</v>
      </c>
      <c r="AI39" s="21" t="n">
        <f aca="false">IF($AB39=1,AC39*1+AD39*Bias_b*Beta_y^1+AE39*Bias_b*Beta_y^2+AF39*Bias_b*Beta_y^3+AG39*Bias_b*Beta_y^4+AH39*Bias_b*Beta_y^5+Bias_b*Beta_y^5*T39/Hurdle_r,"")</f>
        <v>826.286921534172</v>
      </c>
    </row>
    <row r="40" customFormat="false" ht="15" hidden="false" customHeight="false" outlineLevel="0" collapsed="false">
      <c r="A40" s="2" t="n">
        <v>16</v>
      </c>
      <c r="B40" s="2" t="str">
        <f aca="false">""&amp;C40&amp;D40&amp;E40&amp;F40&amp;G40&amp;H40</f>
        <v>010000</v>
      </c>
      <c r="C40" s="15" t="n">
        <f aca="false">MOD(INT($A40/32),2)</f>
        <v>0</v>
      </c>
      <c r="D40" s="15" t="n">
        <f aca="false">MOD(INT($A40/16),2)</f>
        <v>1</v>
      </c>
      <c r="E40" s="15" t="n">
        <f aca="false">MOD(INT($A40/8),2)</f>
        <v>0</v>
      </c>
      <c r="F40" s="15" t="n">
        <f aca="false">MOD(INT($A40/4),2)</f>
        <v>0</v>
      </c>
      <c r="G40" s="15" t="n">
        <f aca="false">MOD(INT($A40/2),2)</f>
        <v>0</v>
      </c>
      <c r="H40" s="15" t="n">
        <f aca="false">MOD(INT($A40/1),2)</f>
        <v>0</v>
      </c>
      <c r="I40" s="14" t="n">
        <f aca="false">$C$6+C40*(Half_gap*(Ceiling_e-$C$6))</f>
        <v>71</v>
      </c>
      <c r="J40" s="14" t="n">
        <f aca="false">I40+D40*(Half_gap*(Ceiling_e-I40))</f>
        <v>78</v>
      </c>
      <c r="K40" s="14" t="n">
        <f aca="false">J40+E40*(Half_gap*(Ceiling_e-J40))</f>
        <v>78</v>
      </c>
      <c r="L40" s="14" t="n">
        <f aca="false">K40+F40*(Half_gap*(Ceiling_e-K40))</f>
        <v>78</v>
      </c>
      <c r="M40" s="14" t="n">
        <f aca="false">L40+G40*(Half_gap*(Ceiling_e-L40))</f>
        <v>78</v>
      </c>
      <c r="N40" s="14" t="n">
        <f aca="false">M40+H40*(Half_gap*(Ceiling_e-M40))</f>
        <v>78</v>
      </c>
      <c r="O40" s="14" t="n">
        <f aca="false">Val_pt*(I40-E_zero)</f>
        <v>0</v>
      </c>
      <c r="P40" s="14" t="n">
        <f aca="false">Val_pt*(J40-E_zero)</f>
        <v>70</v>
      </c>
      <c r="Q40" s="14" t="n">
        <f aca="false">Val_pt*(K40-E_zero)</f>
        <v>70</v>
      </c>
      <c r="R40" s="14" t="n">
        <f aca="false">Val_pt*(L40-E_zero)</f>
        <v>70</v>
      </c>
      <c r="S40" s="14" t="n">
        <f aca="false">Val_pt*(M40-E_zero)</f>
        <v>70</v>
      </c>
      <c r="T40" s="14" t="n">
        <f aca="false">Val_pt*(N40-E_zero)</f>
        <v>70</v>
      </c>
      <c r="U40" s="14" t="n">
        <f aca="false">MAX(V40+Cost_round*C40-O40,IF(C40=1,Pre_q,0))</f>
        <v>470</v>
      </c>
      <c r="V40" s="14" t="n">
        <f aca="false">MAX(W40+Cost_round*D40-P40,IF(D40=1,Pre_q,0),Floor_q)</f>
        <v>470</v>
      </c>
      <c r="W40" s="14" t="n">
        <f aca="false">MAX(X40+Cost_round*E40-Q40,IF(E40=1,Pre_q,0),Floor_q)</f>
        <v>350</v>
      </c>
      <c r="X40" s="14" t="n">
        <f aca="false">MAX(Y40+Cost_round*F40-R40,IF(F40=1,Pre_q,0),Floor_q)</f>
        <v>350</v>
      </c>
      <c r="Y40" s="14" t="n">
        <f aca="false">MAX(Z40+Cost_round*G40-S40,IF(G40=1,Pre_q,0),Floor_q)</f>
        <v>350</v>
      </c>
      <c r="Z40" s="14" t="n">
        <f aca="false">MAX(AA40+Cost_round*H40-T40,IF(H40=1,Pre_q,0),Floor_q)</f>
        <v>400</v>
      </c>
      <c r="AA40" s="14" t="n">
        <f aca="false">MAX(End_q,Floor_q)</f>
        <v>470</v>
      </c>
      <c r="AB40" s="15" t="n">
        <f aca="false">IF($B$6&gt;=U40-0.000000001,1,0)</f>
        <v>1</v>
      </c>
      <c r="AC40" s="14" t="n">
        <f aca="false">IF($AB40=1,$B$6-Cost_round*C40+O40-V40,"")</f>
        <v>150</v>
      </c>
      <c r="AD40" s="14" t="n">
        <f aca="false">IF($AB40=1,V40-Cost_round*D40+P40-W40,"")</f>
        <v>70</v>
      </c>
      <c r="AE40" s="14" t="n">
        <f aca="false">IF($AB40=1,W40-Cost_round*E40+Q40-X40,"")</f>
        <v>70</v>
      </c>
      <c r="AF40" s="14" t="n">
        <f aca="false">IF($AB40=1,X40-Cost_round*F40+R40-Y40,"")</f>
        <v>70</v>
      </c>
      <c r="AG40" s="14" t="n">
        <f aca="false">IF($AB40=1,Y40-Cost_round*G40+S40-Z40,"")</f>
        <v>20</v>
      </c>
      <c r="AH40" s="14" t="n">
        <f aca="false">IF($AB40=1,Z40-Cost_round*H40+T40-AA40,"")</f>
        <v>0</v>
      </c>
      <c r="AI40" s="21" t="n">
        <f aca="false">IF($AB40=1,AC40*1+AD40*Bias_b*Beta_y^1+AE40*Bias_b*Beta_y^2+AF40*Bias_b*Beta_y^3+AG40*Bias_b*Beta_y^4+AH40*Bias_b*Beta_y^5+Bias_b*Beta_y^5*T40/Hurdle_r,"")</f>
        <v>710.146351155845</v>
      </c>
    </row>
    <row r="41" customFormat="false" ht="15" hidden="false" customHeight="false" outlineLevel="0" collapsed="false">
      <c r="A41" s="2" t="n">
        <v>17</v>
      </c>
      <c r="B41" s="2" t="str">
        <f aca="false">""&amp;C41&amp;D41&amp;E41&amp;F41&amp;G41&amp;H41</f>
        <v>010001</v>
      </c>
      <c r="C41" s="15" t="n">
        <f aca="false">MOD(INT($A41/32),2)</f>
        <v>0</v>
      </c>
      <c r="D41" s="15" t="n">
        <f aca="false">MOD(INT($A41/16),2)</f>
        <v>1</v>
      </c>
      <c r="E41" s="15" t="n">
        <f aca="false">MOD(INT($A41/8),2)</f>
        <v>0</v>
      </c>
      <c r="F41" s="15" t="n">
        <f aca="false">MOD(INT($A41/4),2)</f>
        <v>0</v>
      </c>
      <c r="G41" s="15" t="n">
        <f aca="false">MOD(INT($A41/2),2)</f>
        <v>0</v>
      </c>
      <c r="H41" s="15" t="n">
        <f aca="false">MOD(INT($A41/1),2)</f>
        <v>1</v>
      </c>
      <c r="I41" s="14" t="n">
        <f aca="false">$C$6+C41*(Half_gap*(Ceiling_e-$C$6))</f>
        <v>71</v>
      </c>
      <c r="J41" s="14" t="n">
        <f aca="false">I41+D41*(Half_gap*(Ceiling_e-I41))</f>
        <v>78</v>
      </c>
      <c r="K41" s="14" t="n">
        <f aca="false">J41+E41*(Half_gap*(Ceiling_e-J41))</f>
        <v>78</v>
      </c>
      <c r="L41" s="14" t="n">
        <f aca="false">K41+F41*(Half_gap*(Ceiling_e-K41))</f>
        <v>78</v>
      </c>
      <c r="M41" s="14" t="n">
        <f aca="false">L41+G41*(Half_gap*(Ceiling_e-L41))</f>
        <v>78</v>
      </c>
      <c r="N41" s="14" t="n">
        <f aca="false">M41+H41*(Half_gap*(Ceiling_e-M41))</f>
        <v>81.5</v>
      </c>
      <c r="O41" s="14" t="n">
        <f aca="false">Val_pt*(I41-E_zero)</f>
        <v>0</v>
      </c>
      <c r="P41" s="14" t="n">
        <f aca="false">Val_pt*(J41-E_zero)</f>
        <v>70</v>
      </c>
      <c r="Q41" s="14" t="n">
        <f aca="false">Val_pt*(K41-E_zero)</f>
        <v>70</v>
      </c>
      <c r="R41" s="14" t="n">
        <f aca="false">Val_pt*(L41-E_zero)</f>
        <v>70</v>
      </c>
      <c r="S41" s="14" t="n">
        <f aca="false">Val_pt*(M41-E_zero)</f>
        <v>70</v>
      </c>
      <c r="T41" s="14" t="n">
        <f aca="false">Val_pt*(N41-E_zero)</f>
        <v>105</v>
      </c>
      <c r="U41" s="14" t="n">
        <f aca="false">MAX(V41+Cost_round*C41-O41,IF(C41=1,Pre_q,0))</f>
        <v>470</v>
      </c>
      <c r="V41" s="14" t="n">
        <f aca="false">MAX(W41+Cost_round*D41-P41,IF(D41=1,Pre_q,0),Floor_q)</f>
        <v>470</v>
      </c>
      <c r="W41" s="14" t="n">
        <f aca="false">MAX(X41+Cost_round*E41-Q41,IF(E41=1,Pre_q,0),Floor_q)</f>
        <v>350</v>
      </c>
      <c r="X41" s="14" t="n">
        <f aca="false">MAX(Y41+Cost_round*F41-R41,IF(F41=1,Pre_q,0),Floor_q)</f>
        <v>350</v>
      </c>
      <c r="Y41" s="14" t="n">
        <f aca="false">MAX(Z41+Cost_round*G41-S41,IF(G41=1,Pre_q,0),Floor_q)</f>
        <v>415</v>
      </c>
      <c r="Z41" s="14" t="n">
        <f aca="false">MAX(AA41+Cost_round*H41-T41,IF(H41=1,Pre_q,0),Floor_q)</f>
        <v>485</v>
      </c>
      <c r="AA41" s="14" t="n">
        <f aca="false">MAX(End_q,Floor_q)</f>
        <v>470</v>
      </c>
      <c r="AB41" s="15" t="n">
        <f aca="false">IF($B$6&gt;=U41-0.000000001,1,0)</f>
        <v>1</v>
      </c>
      <c r="AC41" s="14" t="n">
        <f aca="false">IF($AB41=1,$B$6-Cost_round*C41+O41-V41,"")</f>
        <v>150</v>
      </c>
      <c r="AD41" s="14" t="n">
        <f aca="false">IF($AB41=1,V41-Cost_round*D41+P41-W41,"")</f>
        <v>70</v>
      </c>
      <c r="AE41" s="14" t="n">
        <f aca="false">IF($AB41=1,W41-Cost_round*E41+Q41-X41,"")</f>
        <v>70</v>
      </c>
      <c r="AF41" s="14" t="n">
        <f aca="false">IF($AB41=1,X41-Cost_round*F41+R41-Y41,"")</f>
        <v>5</v>
      </c>
      <c r="AG41" s="14" t="n">
        <f aca="false">IF($AB41=1,Y41-Cost_round*G41+S41-Z41,"")</f>
        <v>0</v>
      </c>
      <c r="AH41" s="14" t="n">
        <f aca="false">IF($AB41=1,Z41-Cost_round*H41+T41-AA41,"")</f>
        <v>0</v>
      </c>
      <c r="AI41" s="21" t="n">
        <f aca="false">IF($AB41=1,AC41*1+AD41*Bias_b*Beta_y^1+AE41*Bias_b*Beta_y^2+AF41*Bias_b*Beta_y^3+AG41*Bias_b*Beta_y^4+AH41*Bias_b*Beta_y^5+Bias_b*Beta_y^5*T41/Hurdle_r,"")</f>
        <v>849.490409870165</v>
      </c>
    </row>
    <row r="42" customFormat="false" ht="15" hidden="false" customHeight="false" outlineLevel="0" collapsed="false">
      <c r="A42" s="2" t="n">
        <v>18</v>
      </c>
      <c r="B42" s="2" t="str">
        <f aca="false">""&amp;C42&amp;D42&amp;E42&amp;F42&amp;G42&amp;H42</f>
        <v>010010</v>
      </c>
      <c r="C42" s="15" t="n">
        <f aca="false">MOD(INT($A42/32),2)</f>
        <v>0</v>
      </c>
      <c r="D42" s="15" t="n">
        <f aca="false">MOD(INT($A42/16),2)</f>
        <v>1</v>
      </c>
      <c r="E42" s="15" t="n">
        <f aca="false">MOD(INT($A42/8),2)</f>
        <v>0</v>
      </c>
      <c r="F42" s="15" t="n">
        <f aca="false">MOD(INT($A42/4),2)</f>
        <v>0</v>
      </c>
      <c r="G42" s="15" t="n">
        <f aca="false">MOD(INT($A42/2),2)</f>
        <v>1</v>
      </c>
      <c r="H42" s="15" t="n">
        <f aca="false">MOD(INT($A42/1),2)</f>
        <v>0</v>
      </c>
      <c r="I42" s="14" t="n">
        <f aca="false">$C$6+C42*(Half_gap*(Ceiling_e-$C$6))</f>
        <v>71</v>
      </c>
      <c r="J42" s="14" t="n">
        <f aca="false">I42+D42*(Half_gap*(Ceiling_e-I42))</f>
        <v>78</v>
      </c>
      <c r="K42" s="14" t="n">
        <f aca="false">J42+E42*(Half_gap*(Ceiling_e-J42))</f>
        <v>78</v>
      </c>
      <c r="L42" s="14" t="n">
        <f aca="false">K42+F42*(Half_gap*(Ceiling_e-K42))</f>
        <v>78</v>
      </c>
      <c r="M42" s="14" t="n">
        <f aca="false">L42+G42*(Half_gap*(Ceiling_e-L42))</f>
        <v>81.5</v>
      </c>
      <c r="N42" s="14" t="n">
        <f aca="false">M42+H42*(Half_gap*(Ceiling_e-M42))</f>
        <v>81.5</v>
      </c>
      <c r="O42" s="14" t="n">
        <f aca="false">Val_pt*(I42-E_zero)</f>
        <v>0</v>
      </c>
      <c r="P42" s="14" t="n">
        <f aca="false">Val_pt*(J42-E_zero)</f>
        <v>70</v>
      </c>
      <c r="Q42" s="14" t="n">
        <f aca="false">Val_pt*(K42-E_zero)</f>
        <v>70</v>
      </c>
      <c r="R42" s="14" t="n">
        <f aca="false">Val_pt*(L42-E_zero)</f>
        <v>70</v>
      </c>
      <c r="S42" s="14" t="n">
        <f aca="false">Val_pt*(M42-E_zero)</f>
        <v>105</v>
      </c>
      <c r="T42" s="14" t="n">
        <f aca="false">Val_pt*(N42-E_zero)</f>
        <v>105</v>
      </c>
      <c r="U42" s="14" t="n">
        <f aca="false">MAX(V42+Cost_round*C42-O42,IF(C42=1,Pre_q,0))</f>
        <v>470</v>
      </c>
      <c r="V42" s="14" t="n">
        <f aca="false">MAX(W42+Cost_round*D42-P42,IF(D42=1,Pre_q,0),Floor_q)</f>
        <v>470</v>
      </c>
      <c r="W42" s="14" t="n">
        <f aca="false">MAX(X42+Cost_round*E42-Q42,IF(E42=1,Pre_q,0),Floor_q)</f>
        <v>350</v>
      </c>
      <c r="X42" s="14" t="n">
        <f aca="false">MAX(Y42+Cost_round*F42-R42,IF(F42=1,Pre_q,0),Floor_q)</f>
        <v>400</v>
      </c>
      <c r="Y42" s="14" t="n">
        <f aca="false">MAX(Z42+Cost_round*G42-S42,IF(G42=1,Pre_q,0),Floor_q)</f>
        <v>470</v>
      </c>
      <c r="Z42" s="14" t="n">
        <f aca="false">MAX(AA42+Cost_round*H42-T42,IF(H42=1,Pre_q,0),Floor_q)</f>
        <v>365</v>
      </c>
      <c r="AA42" s="14" t="n">
        <f aca="false">MAX(End_q,Floor_q)</f>
        <v>470</v>
      </c>
      <c r="AB42" s="15" t="n">
        <f aca="false">IF($B$6&gt;=U42-0.000000001,1,0)</f>
        <v>1</v>
      </c>
      <c r="AC42" s="14" t="n">
        <f aca="false">IF($AB42=1,$B$6-Cost_round*C42+O42-V42,"")</f>
        <v>150</v>
      </c>
      <c r="AD42" s="14" t="n">
        <f aca="false">IF($AB42=1,V42-Cost_round*D42+P42-W42,"")</f>
        <v>70</v>
      </c>
      <c r="AE42" s="14" t="n">
        <f aca="false">IF($AB42=1,W42-Cost_round*E42+Q42-X42,"")</f>
        <v>20</v>
      </c>
      <c r="AF42" s="14" t="n">
        <f aca="false">IF($AB42=1,X42-Cost_round*F42+R42-Y42,"")</f>
        <v>0</v>
      </c>
      <c r="AG42" s="14" t="n">
        <f aca="false">IF($AB42=1,Y42-Cost_round*G42+S42-Z42,"")</f>
        <v>90</v>
      </c>
      <c r="AH42" s="14" t="n">
        <f aca="false">IF($AB42=1,Z42-Cost_round*H42+T42-AA42,"")</f>
        <v>0</v>
      </c>
      <c r="AI42" s="21" t="n">
        <f aca="false">IF($AB42=1,AC42*1+AD42*Bias_b*Beta_y^1+AE42*Bias_b*Beta_y^2+AF42*Bias_b*Beta_y^3+AG42*Bias_b*Beta_y^4+AH42*Bias_b*Beta_y^5+Bias_b*Beta_y^5*T42/Hurdle_r,"")</f>
        <v>864.243500506051</v>
      </c>
    </row>
    <row r="43" customFormat="false" ht="15" hidden="false" customHeight="false" outlineLevel="0" collapsed="false">
      <c r="A43" s="2" t="n">
        <v>19</v>
      </c>
      <c r="B43" s="2" t="str">
        <f aca="false">""&amp;C43&amp;D43&amp;E43&amp;F43&amp;G43&amp;H43</f>
        <v>010011</v>
      </c>
      <c r="C43" s="15" t="n">
        <f aca="false">MOD(INT($A43/32),2)</f>
        <v>0</v>
      </c>
      <c r="D43" s="15" t="n">
        <f aca="false">MOD(INT($A43/16),2)</f>
        <v>1</v>
      </c>
      <c r="E43" s="15" t="n">
        <f aca="false">MOD(INT($A43/8),2)</f>
        <v>0</v>
      </c>
      <c r="F43" s="15" t="n">
        <f aca="false">MOD(INT($A43/4),2)</f>
        <v>0</v>
      </c>
      <c r="G43" s="15" t="n">
        <f aca="false">MOD(INT($A43/2),2)</f>
        <v>1</v>
      </c>
      <c r="H43" s="15" t="n">
        <f aca="false">MOD(INT($A43/1),2)</f>
        <v>1</v>
      </c>
      <c r="I43" s="14" t="n">
        <f aca="false">$C$6+C43*(Half_gap*(Ceiling_e-$C$6))</f>
        <v>71</v>
      </c>
      <c r="J43" s="14" t="n">
        <f aca="false">I43+D43*(Half_gap*(Ceiling_e-I43))</f>
        <v>78</v>
      </c>
      <c r="K43" s="14" t="n">
        <f aca="false">J43+E43*(Half_gap*(Ceiling_e-J43))</f>
        <v>78</v>
      </c>
      <c r="L43" s="14" t="n">
        <f aca="false">K43+F43*(Half_gap*(Ceiling_e-K43))</f>
        <v>78</v>
      </c>
      <c r="M43" s="14" t="n">
        <f aca="false">L43+G43*(Half_gap*(Ceiling_e-L43))</f>
        <v>81.5</v>
      </c>
      <c r="N43" s="14" t="n">
        <f aca="false">M43+H43*(Half_gap*(Ceiling_e-M43))</f>
        <v>83.25</v>
      </c>
      <c r="O43" s="14" t="n">
        <f aca="false">Val_pt*(I43-E_zero)</f>
        <v>0</v>
      </c>
      <c r="P43" s="14" t="n">
        <f aca="false">Val_pt*(J43-E_zero)</f>
        <v>70</v>
      </c>
      <c r="Q43" s="14" t="n">
        <f aca="false">Val_pt*(K43-E_zero)</f>
        <v>70</v>
      </c>
      <c r="R43" s="14" t="n">
        <f aca="false">Val_pt*(L43-E_zero)</f>
        <v>70</v>
      </c>
      <c r="S43" s="14" t="n">
        <f aca="false">Val_pt*(M43-E_zero)</f>
        <v>105</v>
      </c>
      <c r="T43" s="14" t="n">
        <f aca="false">Val_pt*(N43-E_zero)</f>
        <v>122.5</v>
      </c>
      <c r="U43" s="14" t="n">
        <f aca="false">MAX(V43+Cost_round*C43-O43,IF(C43=1,Pre_q,0))</f>
        <v>470</v>
      </c>
      <c r="V43" s="14" t="n">
        <f aca="false">MAX(W43+Cost_round*D43-P43,IF(D43=1,Pre_q,0),Floor_q)</f>
        <v>470</v>
      </c>
      <c r="W43" s="14" t="n">
        <f aca="false">MAX(X43+Cost_round*E43-Q43,IF(E43=1,Pre_q,0),Floor_q)</f>
        <v>350</v>
      </c>
      <c r="X43" s="14" t="n">
        <f aca="false">MAX(Y43+Cost_round*F43-R43,IF(F43=1,Pre_q,0),Floor_q)</f>
        <v>415</v>
      </c>
      <c r="Y43" s="14" t="n">
        <f aca="false">MAX(Z43+Cost_round*G43-S43,IF(G43=1,Pre_q,0),Floor_q)</f>
        <v>485</v>
      </c>
      <c r="Z43" s="14" t="n">
        <f aca="false">MAX(AA43+Cost_round*H43-T43,IF(H43=1,Pre_q,0),Floor_q)</f>
        <v>470</v>
      </c>
      <c r="AA43" s="14" t="n">
        <f aca="false">MAX(End_q,Floor_q)</f>
        <v>470</v>
      </c>
      <c r="AB43" s="15" t="n">
        <f aca="false">IF($B$6&gt;=U43-0.000000001,1,0)</f>
        <v>1</v>
      </c>
      <c r="AC43" s="14" t="n">
        <f aca="false">IF($AB43=1,$B$6-Cost_round*C43+O43-V43,"")</f>
        <v>150</v>
      </c>
      <c r="AD43" s="14" t="n">
        <f aca="false">IF($AB43=1,V43-Cost_round*D43+P43-W43,"")</f>
        <v>70</v>
      </c>
      <c r="AE43" s="14" t="n">
        <f aca="false">IF($AB43=1,W43-Cost_round*E43+Q43-X43,"")</f>
        <v>5</v>
      </c>
      <c r="AF43" s="14" t="n">
        <f aca="false">IF($AB43=1,X43-Cost_round*F43+R43-Y43,"")</f>
        <v>0</v>
      </c>
      <c r="AG43" s="14" t="n">
        <f aca="false">IF($AB43=1,Y43-Cost_round*G43+S43-Z43,"")</f>
        <v>0</v>
      </c>
      <c r="AH43" s="14" t="n">
        <f aca="false">IF($AB43=1,Z43-Cost_round*H43+T43-AA43,"")</f>
        <v>2.5</v>
      </c>
      <c r="AI43" s="21" t="n">
        <f aca="false">IF($AB43=1,AC43*1+AD43*Bias_b*Beta_y^1+AE43*Bias_b*Beta_y^2+AF43*Bias_b*Beta_y^3+AG43*Bias_b*Beta_y^4+AH43*Bias_b*Beta_y^5+Bias_b*Beta_y^5*T43/Hurdle_r,"")</f>
        <v>896.954567186792</v>
      </c>
    </row>
    <row r="44" customFormat="false" ht="15" hidden="false" customHeight="false" outlineLevel="0" collapsed="false">
      <c r="A44" s="2" t="n">
        <v>20</v>
      </c>
      <c r="B44" s="2" t="str">
        <f aca="false">""&amp;C44&amp;D44&amp;E44&amp;F44&amp;G44&amp;H44</f>
        <v>010100</v>
      </c>
      <c r="C44" s="15" t="n">
        <f aca="false">MOD(INT($A44/32),2)</f>
        <v>0</v>
      </c>
      <c r="D44" s="15" t="n">
        <f aca="false">MOD(INT($A44/16),2)</f>
        <v>1</v>
      </c>
      <c r="E44" s="15" t="n">
        <f aca="false">MOD(INT($A44/8),2)</f>
        <v>0</v>
      </c>
      <c r="F44" s="15" t="n">
        <f aca="false">MOD(INT($A44/4),2)</f>
        <v>1</v>
      </c>
      <c r="G44" s="15" t="n">
        <f aca="false">MOD(INT($A44/2),2)</f>
        <v>0</v>
      </c>
      <c r="H44" s="15" t="n">
        <f aca="false">MOD(INT($A44/1),2)</f>
        <v>0</v>
      </c>
      <c r="I44" s="14" t="n">
        <f aca="false">$C$6+C44*(Half_gap*(Ceiling_e-$C$6))</f>
        <v>71</v>
      </c>
      <c r="J44" s="14" t="n">
        <f aca="false">I44+D44*(Half_gap*(Ceiling_e-I44))</f>
        <v>78</v>
      </c>
      <c r="K44" s="14" t="n">
        <f aca="false">J44+E44*(Half_gap*(Ceiling_e-J44))</f>
        <v>78</v>
      </c>
      <c r="L44" s="14" t="n">
        <f aca="false">K44+F44*(Half_gap*(Ceiling_e-K44))</f>
        <v>81.5</v>
      </c>
      <c r="M44" s="14" t="n">
        <f aca="false">L44+G44*(Half_gap*(Ceiling_e-L44))</f>
        <v>81.5</v>
      </c>
      <c r="N44" s="14" t="n">
        <f aca="false">M44+H44*(Half_gap*(Ceiling_e-M44))</f>
        <v>81.5</v>
      </c>
      <c r="O44" s="14" t="n">
        <f aca="false">Val_pt*(I44-E_zero)</f>
        <v>0</v>
      </c>
      <c r="P44" s="14" t="n">
        <f aca="false">Val_pt*(J44-E_zero)</f>
        <v>70</v>
      </c>
      <c r="Q44" s="14" t="n">
        <f aca="false">Val_pt*(K44-E_zero)</f>
        <v>70</v>
      </c>
      <c r="R44" s="14" t="n">
        <f aca="false">Val_pt*(L44-E_zero)</f>
        <v>105</v>
      </c>
      <c r="S44" s="14" t="n">
        <f aca="false">Val_pt*(M44-E_zero)</f>
        <v>105</v>
      </c>
      <c r="T44" s="14" t="n">
        <f aca="false">Val_pt*(N44-E_zero)</f>
        <v>105</v>
      </c>
      <c r="U44" s="14" t="n">
        <f aca="false">MAX(V44+Cost_round*C44-O44,IF(C44=1,Pre_q,0))</f>
        <v>470</v>
      </c>
      <c r="V44" s="14" t="n">
        <f aca="false">MAX(W44+Cost_round*D44-P44,IF(D44=1,Pre_q,0),Floor_q)</f>
        <v>470</v>
      </c>
      <c r="W44" s="14" t="n">
        <f aca="false">MAX(X44+Cost_round*E44-Q44,IF(E44=1,Pre_q,0),Floor_q)</f>
        <v>400</v>
      </c>
      <c r="X44" s="14" t="n">
        <f aca="false">MAX(Y44+Cost_round*F44-R44,IF(F44=1,Pre_q,0),Floor_q)</f>
        <v>470</v>
      </c>
      <c r="Y44" s="14" t="n">
        <f aca="false">MAX(Z44+Cost_round*G44-S44,IF(G44=1,Pre_q,0),Floor_q)</f>
        <v>350</v>
      </c>
      <c r="Z44" s="14" t="n">
        <f aca="false">MAX(AA44+Cost_round*H44-T44,IF(H44=1,Pre_q,0),Floor_q)</f>
        <v>365</v>
      </c>
      <c r="AA44" s="14" t="n">
        <f aca="false">MAX(End_q,Floor_q)</f>
        <v>470</v>
      </c>
      <c r="AB44" s="15" t="n">
        <f aca="false">IF($B$6&gt;=U44-0.000000001,1,0)</f>
        <v>1</v>
      </c>
      <c r="AC44" s="14" t="n">
        <f aca="false">IF($AB44=1,$B$6-Cost_round*C44+O44-V44,"")</f>
        <v>150</v>
      </c>
      <c r="AD44" s="14" t="n">
        <f aca="false">IF($AB44=1,V44-Cost_round*D44+P44-W44,"")</f>
        <v>20</v>
      </c>
      <c r="AE44" s="14" t="n">
        <f aca="false">IF($AB44=1,W44-Cost_round*E44+Q44-X44,"")</f>
        <v>0</v>
      </c>
      <c r="AF44" s="14" t="n">
        <f aca="false">IF($AB44=1,X44-Cost_round*F44+R44-Y44,"")</f>
        <v>105</v>
      </c>
      <c r="AG44" s="14" t="n">
        <f aca="false">IF($AB44=1,Y44-Cost_round*G44+S44-Z44,"")</f>
        <v>90</v>
      </c>
      <c r="AH44" s="14" t="n">
        <f aca="false">IF($AB44=1,Z44-Cost_round*H44+T44-AA44,"")</f>
        <v>0</v>
      </c>
      <c r="AI44" s="21" t="n">
        <f aca="false">IF($AB44=1,AC44*1+AD44*Bias_b*Beta_y^1+AE44*Bias_b*Beta_y^2+AF44*Bias_b*Beta_y^3+AG44*Bias_b*Beta_y^4+AH44*Bias_b*Beta_y^5+Bias_b*Beta_y^5*T44/Hurdle_r,"")</f>
        <v>879.457625224308</v>
      </c>
    </row>
    <row r="45" customFormat="false" ht="15" hidden="false" customHeight="false" outlineLevel="0" collapsed="false">
      <c r="A45" s="2" t="n">
        <v>21</v>
      </c>
      <c r="B45" s="2" t="str">
        <f aca="false">""&amp;C45&amp;D45&amp;E45&amp;F45&amp;G45&amp;H45</f>
        <v>010101</v>
      </c>
      <c r="C45" s="15" t="n">
        <f aca="false">MOD(INT($A45/32),2)</f>
        <v>0</v>
      </c>
      <c r="D45" s="15" t="n">
        <f aca="false">MOD(INT($A45/16),2)</f>
        <v>1</v>
      </c>
      <c r="E45" s="15" t="n">
        <f aca="false">MOD(INT($A45/8),2)</f>
        <v>0</v>
      </c>
      <c r="F45" s="15" t="n">
        <f aca="false">MOD(INT($A45/4),2)</f>
        <v>1</v>
      </c>
      <c r="G45" s="15" t="n">
        <f aca="false">MOD(INT($A45/2),2)</f>
        <v>0</v>
      </c>
      <c r="H45" s="15" t="n">
        <f aca="false">MOD(INT($A45/1),2)</f>
        <v>1</v>
      </c>
      <c r="I45" s="14" t="n">
        <f aca="false">$C$6+C45*(Half_gap*(Ceiling_e-$C$6))</f>
        <v>71</v>
      </c>
      <c r="J45" s="14" t="n">
        <f aca="false">I45+D45*(Half_gap*(Ceiling_e-I45))</f>
        <v>78</v>
      </c>
      <c r="K45" s="14" t="n">
        <f aca="false">J45+E45*(Half_gap*(Ceiling_e-J45))</f>
        <v>78</v>
      </c>
      <c r="L45" s="14" t="n">
        <f aca="false">K45+F45*(Half_gap*(Ceiling_e-K45))</f>
        <v>81.5</v>
      </c>
      <c r="M45" s="14" t="n">
        <f aca="false">L45+G45*(Half_gap*(Ceiling_e-L45))</f>
        <v>81.5</v>
      </c>
      <c r="N45" s="14" t="n">
        <f aca="false">M45+H45*(Half_gap*(Ceiling_e-M45))</f>
        <v>83.25</v>
      </c>
      <c r="O45" s="14" t="n">
        <f aca="false">Val_pt*(I45-E_zero)</f>
        <v>0</v>
      </c>
      <c r="P45" s="14" t="n">
        <f aca="false">Val_pt*(J45-E_zero)</f>
        <v>70</v>
      </c>
      <c r="Q45" s="14" t="n">
        <f aca="false">Val_pt*(K45-E_zero)</f>
        <v>70</v>
      </c>
      <c r="R45" s="14" t="n">
        <f aca="false">Val_pt*(L45-E_zero)</f>
        <v>105</v>
      </c>
      <c r="S45" s="14" t="n">
        <f aca="false">Val_pt*(M45-E_zero)</f>
        <v>105</v>
      </c>
      <c r="T45" s="14" t="n">
        <f aca="false">Val_pt*(N45-E_zero)</f>
        <v>122.5</v>
      </c>
      <c r="U45" s="14" t="n">
        <f aca="false">MAX(V45+Cost_round*C45-O45,IF(C45=1,Pre_q,0))</f>
        <v>470</v>
      </c>
      <c r="V45" s="14" t="n">
        <f aca="false">MAX(W45+Cost_round*D45-P45,IF(D45=1,Pre_q,0),Floor_q)</f>
        <v>470</v>
      </c>
      <c r="W45" s="14" t="n">
        <f aca="false">MAX(X45+Cost_round*E45-Q45,IF(E45=1,Pre_q,0),Floor_q)</f>
        <v>400</v>
      </c>
      <c r="X45" s="14" t="n">
        <f aca="false">MAX(Y45+Cost_round*F45-R45,IF(F45=1,Pre_q,0),Floor_q)</f>
        <v>470</v>
      </c>
      <c r="Y45" s="14" t="n">
        <f aca="false">MAX(Z45+Cost_round*G45-S45,IF(G45=1,Pre_q,0),Floor_q)</f>
        <v>365</v>
      </c>
      <c r="Z45" s="14" t="n">
        <f aca="false">MAX(AA45+Cost_round*H45-T45,IF(H45=1,Pre_q,0),Floor_q)</f>
        <v>470</v>
      </c>
      <c r="AA45" s="14" t="n">
        <f aca="false">MAX(End_q,Floor_q)</f>
        <v>470</v>
      </c>
      <c r="AB45" s="15" t="n">
        <f aca="false">IF($B$6&gt;=U45-0.000000001,1,0)</f>
        <v>1</v>
      </c>
      <c r="AC45" s="14" t="n">
        <f aca="false">IF($AB45=1,$B$6-Cost_round*C45+O45-V45,"")</f>
        <v>150</v>
      </c>
      <c r="AD45" s="14" t="n">
        <f aca="false">IF($AB45=1,V45-Cost_round*D45+P45-W45,"")</f>
        <v>20</v>
      </c>
      <c r="AE45" s="14" t="n">
        <f aca="false">IF($AB45=1,W45-Cost_round*E45+Q45-X45,"")</f>
        <v>0</v>
      </c>
      <c r="AF45" s="14" t="n">
        <f aca="false">IF($AB45=1,X45-Cost_round*F45+R45-Y45,"")</f>
        <v>90</v>
      </c>
      <c r="AG45" s="14" t="n">
        <f aca="false">IF($AB45=1,Y45-Cost_round*G45+S45-Z45,"")</f>
        <v>0</v>
      </c>
      <c r="AH45" s="14" t="n">
        <f aca="false">IF($AB45=1,Z45-Cost_round*H45+T45-AA45,"")</f>
        <v>2.5</v>
      </c>
      <c r="AI45" s="21" t="n">
        <f aca="false">IF($AB45=1,AC45*1+AD45*Bias_b*Beta_y^1+AE45*Bias_b*Beta_y^2+AF45*Bias_b*Beta_y^3+AG45*Bias_b*Beta_y^4+AH45*Bias_b*Beta_y^5+Bias_b*Beta_y^5*T45/Hurdle_r,"")</f>
        <v>913.182966886266</v>
      </c>
    </row>
    <row r="46" customFormat="false" ht="15" hidden="false" customHeight="false" outlineLevel="0" collapsed="false">
      <c r="A46" s="2" t="n">
        <v>22</v>
      </c>
      <c r="B46" s="2" t="str">
        <f aca="false">""&amp;C46&amp;D46&amp;E46&amp;F46&amp;G46&amp;H46</f>
        <v>010110</v>
      </c>
      <c r="C46" s="15" t="n">
        <f aca="false">MOD(INT($A46/32),2)</f>
        <v>0</v>
      </c>
      <c r="D46" s="15" t="n">
        <f aca="false">MOD(INT($A46/16),2)</f>
        <v>1</v>
      </c>
      <c r="E46" s="15" t="n">
        <f aca="false">MOD(INT($A46/8),2)</f>
        <v>0</v>
      </c>
      <c r="F46" s="15" t="n">
        <f aca="false">MOD(INT($A46/4),2)</f>
        <v>1</v>
      </c>
      <c r="G46" s="15" t="n">
        <f aca="false">MOD(INT($A46/2),2)</f>
        <v>1</v>
      </c>
      <c r="H46" s="15" t="n">
        <f aca="false">MOD(INT($A46/1),2)</f>
        <v>0</v>
      </c>
      <c r="I46" s="14" t="n">
        <f aca="false">$C$6+C46*(Half_gap*(Ceiling_e-$C$6))</f>
        <v>71</v>
      </c>
      <c r="J46" s="14" t="n">
        <f aca="false">I46+D46*(Half_gap*(Ceiling_e-I46))</f>
        <v>78</v>
      </c>
      <c r="K46" s="14" t="n">
        <f aca="false">J46+E46*(Half_gap*(Ceiling_e-J46))</f>
        <v>78</v>
      </c>
      <c r="L46" s="14" t="n">
        <f aca="false">K46+F46*(Half_gap*(Ceiling_e-K46))</f>
        <v>81.5</v>
      </c>
      <c r="M46" s="14" t="n">
        <f aca="false">L46+G46*(Half_gap*(Ceiling_e-L46))</f>
        <v>83.25</v>
      </c>
      <c r="N46" s="14" t="n">
        <f aca="false">M46+H46*(Half_gap*(Ceiling_e-M46))</f>
        <v>83.25</v>
      </c>
      <c r="O46" s="14" t="n">
        <f aca="false">Val_pt*(I46-E_zero)</f>
        <v>0</v>
      </c>
      <c r="P46" s="14" t="n">
        <f aca="false">Val_pt*(J46-E_zero)</f>
        <v>70</v>
      </c>
      <c r="Q46" s="14" t="n">
        <f aca="false">Val_pt*(K46-E_zero)</f>
        <v>70</v>
      </c>
      <c r="R46" s="14" t="n">
        <f aca="false">Val_pt*(L46-E_zero)</f>
        <v>105</v>
      </c>
      <c r="S46" s="14" t="n">
        <f aca="false">Val_pt*(M46-E_zero)</f>
        <v>122.5</v>
      </c>
      <c r="T46" s="14" t="n">
        <f aca="false">Val_pt*(N46-E_zero)</f>
        <v>122.5</v>
      </c>
      <c r="U46" s="14" t="n">
        <f aca="false">MAX(V46+Cost_round*C46-O46,IF(C46=1,Pre_q,0))</f>
        <v>470</v>
      </c>
      <c r="V46" s="14" t="n">
        <f aca="false">MAX(W46+Cost_round*D46-P46,IF(D46=1,Pre_q,0),Floor_q)</f>
        <v>470</v>
      </c>
      <c r="W46" s="14" t="n">
        <f aca="false">MAX(X46+Cost_round*E46-Q46,IF(E46=1,Pre_q,0),Floor_q)</f>
        <v>415</v>
      </c>
      <c r="X46" s="14" t="n">
        <f aca="false">MAX(Y46+Cost_round*F46-R46,IF(F46=1,Pre_q,0),Floor_q)</f>
        <v>485</v>
      </c>
      <c r="Y46" s="14" t="n">
        <f aca="false">MAX(Z46+Cost_round*G46-S46,IF(G46=1,Pre_q,0),Floor_q)</f>
        <v>470</v>
      </c>
      <c r="Z46" s="14" t="n">
        <f aca="false">MAX(AA46+Cost_round*H46-T46,IF(H46=1,Pre_q,0),Floor_q)</f>
        <v>350</v>
      </c>
      <c r="AA46" s="14" t="n">
        <f aca="false">MAX(End_q,Floor_q)</f>
        <v>470</v>
      </c>
      <c r="AB46" s="15" t="n">
        <f aca="false">IF($B$6&gt;=U46-0.000000001,1,0)</f>
        <v>1</v>
      </c>
      <c r="AC46" s="14" t="n">
        <f aca="false">IF($AB46=1,$B$6-Cost_round*C46+O46-V46,"")</f>
        <v>150</v>
      </c>
      <c r="AD46" s="14" t="n">
        <f aca="false">IF($AB46=1,V46-Cost_round*D46+P46-W46,"")</f>
        <v>5</v>
      </c>
      <c r="AE46" s="14" t="n">
        <f aca="false">IF($AB46=1,W46-Cost_round*E46+Q46-X46,"")</f>
        <v>0</v>
      </c>
      <c r="AF46" s="14" t="n">
        <f aca="false">IF($AB46=1,X46-Cost_round*F46+R46-Y46,"")</f>
        <v>0</v>
      </c>
      <c r="AG46" s="14" t="n">
        <f aca="false">IF($AB46=1,Y46-Cost_round*G46+S46-Z46,"")</f>
        <v>122.5</v>
      </c>
      <c r="AH46" s="14" t="n">
        <f aca="false">IF($AB46=1,Z46-Cost_round*H46+T46-AA46,"")</f>
        <v>2.5</v>
      </c>
      <c r="AI46" s="21" t="n">
        <f aca="false">IF($AB46=1,AC46*1+AD46*Bias_b*Beta_y^1+AE46*Bias_b*Beta_y^2+AF46*Bias_b*Beta_y^3+AG46*Bias_b*Beta_y^4+AH46*Bias_b*Beta_y^5+Bias_b*Beta_y^5*T46/Hurdle_r,"")</f>
        <v>915.35597419451</v>
      </c>
    </row>
    <row r="47" customFormat="false" ht="15" hidden="false" customHeight="false" outlineLevel="0" collapsed="false">
      <c r="A47" s="2" t="n">
        <v>23</v>
      </c>
      <c r="B47" s="2" t="str">
        <f aca="false">""&amp;C47&amp;D47&amp;E47&amp;F47&amp;G47&amp;H47</f>
        <v>010111</v>
      </c>
      <c r="C47" s="15" t="n">
        <f aca="false">MOD(INT($A47/32),2)</f>
        <v>0</v>
      </c>
      <c r="D47" s="15" t="n">
        <f aca="false">MOD(INT($A47/16),2)</f>
        <v>1</v>
      </c>
      <c r="E47" s="15" t="n">
        <f aca="false">MOD(INT($A47/8),2)</f>
        <v>0</v>
      </c>
      <c r="F47" s="15" t="n">
        <f aca="false">MOD(INT($A47/4),2)</f>
        <v>1</v>
      </c>
      <c r="G47" s="15" t="n">
        <f aca="false">MOD(INT($A47/2),2)</f>
        <v>1</v>
      </c>
      <c r="H47" s="15" t="n">
        <f aca="false">MOD(INT($A47/1),2)</f>
        <v>1</v>
      </c>
      <c r="I47" s="14" t="n">
        <f aca="false">$C$6+C47*(Half_gap*(Ceiling_e-$C$6))</f>
        <v>71</v>
      </c>
      <c r="J47" s="14" t="n">
        <f aca="false">I47+D47*(Half_gap*(Ceiling_e-I47))</f>
        <v>78</v>
      </c>
      <c r="K47" s="14" t="n">
        <f aca="false">J47+E47*(Half_gap*(Ceiling_e-J47))</f>
        <v>78</v>
      </c>
      <c r="L47" s="14" t="n">
        <f aca="false">K47+F47*(Half_gap*(Ceiling_e-K47))</f>
        <v>81.5</v>
      </c>
      <c r="M47" s="14" t="n">
        <f aca="false">L47+G47*(Half_gap*(Ceiling_e-L47))</f>
        <v>83.25</v>
      </c>
      <c r="N47" s="14" t="n">
        <f aca="false">M47+H47*(Half_gap*(Ceiling_e-M47))</f>
        <v>84.125</v>
      </c>
      <c r="O47" s="14" t="n">
        <f aca="false">Val_pt*(I47-E_zero)</f>
        <v>0</v>
      </c>
      <c r="P47" s="14" t="n">
        <f aca="false">Val_pt*(J47-E_zero)</f>
        <v>70</v>
      </c>
      <c r="Q47" s="14" t="n">
        <f aca="false">Val_pt*(K47-E_zero)</f>
        <v>70</v>
      </c>
      <c r="R47" s="14" t="n">
        <f aca="false">Val_pt*(L47-E_zero)</f>
        <v>105</v>
      </c>
      <c r="S47" s="14" t="n">
        <f aca="false">Val_pt*(M47-E_zero)</f>
        <v>122.5</v>
      </c>
      <c r="T47" s="14" t="n">
        <f aca="false">Val_pt*(N47-E_zero)</f>
        <v>131.25</v>
      </c>
      <c r="U47" s="14" t="n">
        <f aca="false">MAX(V47+Cost_round*C47-O47,IF(C47=1,Pre_q,0))</f>
        <v>470</v>
      </c>
      <c r="V47" s="14" t="n">
        <f aca="false">MAX(W47+Cost_round*D47-P47,IF(D47=1,Pre_q,0),Floor_q)</f>
        <v>470</v>
      </c>
      <c r="W47" s="14" t="n">
        <f aca="false">MAX(X47+Cost_round*E47-Q47,IF(E47=1,Pre_q,0),Floor_q)</f>
        <v>415</v>
      </c>
      <c r="X47" s="14" t="n">
        <f aca="false">MAX(Y47+Cost_round*F47-R47,IF(F47=1,Pre_q,0),Floor_q)</f>
        <v>485</v>
      </c>
      <c r="Y47" s="14" t="n">
        <f aca="false">MAX(Z47+Cost_round*G47-S47,IF(G47=1,Pre_q,0),Floor_q)</f>
        <v>470</v>
      </c>
      <c r="Z47" s="14" t="n">
        <f aca="false">MAX(AA47+Cost_round*H47-T47,IF(H47=1,Pre_q,0),Floor_q)</f>
        <v>470</v>
      </c>
      <c r="AA47" s="14" t="n">
        <f aca="false">MAX(End_q,Floor_q)</f>
        <v>470</v>
      </c>
      <c r="AB47" s="15" t="n">
        <f aca="false">IF($B$6&gt;=U47-0.000000001,1,0)</f>
        <v>1</v>
      </c>
      <c r="AC47" s="14" t="n">
        <f aca="false">IF($AB47=1,$B$6-Cost_round*C47+O47-V47,"")</f>
        <v>150</v>
      </c>
      <c r="AD47" s="14" t="n">
        <f aca="false">IF($AB47=1,V47-Cost_round*D47+P47-W47,"")</f>
        <v>5</v>
      </c>
      <c r="AE47" s="14" t="n">
        <f aca="false">IF($AB47=1,W47-Cost_round*E47+Q47-X47,"")</f>
        <v>0</v>
      </c>
      <c r="AF47" s="14" t="n">
        <f aca="false">IF($AB47=1,X47-Cost_round*F47+R47-Y47,"")</f>
        <v>0</v>
      </c>
      <c r="AG47" s="14" t="n">
        <f aca="false">IF($AB47=1,Y47-Cost_round*G47+S47-Z47,"")</f>
        <v>2.5</v>
      </c>
      <c r="AH47" s="14" t="n">
        <f aca="false">IF($AB47=1,Z47-Cost_round*H47+T47-AA47,"")</f>
        <v>11.25</v>
      </c>
      <c r="AI47" s="21" t="n">
        <f aca="false">IF($AB47=1,AC47*1+AD47*Bias_b*Beta_y^1+AE47*Bias_b*Beta_y^2+AF47*Bias_b*Beta_y^3+AG47*Bias_b*Beta_y^4+AH47*Bias_b*Beta_y^5+Bias_b*Beta_y^5*T47/Hurdle_r,"")</f>
        <v>895.377830625081</v>
      </c>
    </row>
    <row r="48" customFormat="false" ht="15" hidden="false" customHeight="false" outlineLevel="0" collapsed="false">
      <c r="A48" s="2" t="n">
        <v>24</v>
      </c>
      <c r="B48" s="2" t="str">
        <f aca="false">""&amp;C48&amp;D48&amp;E48&amp;F48&amp;G48&amp;H48</f>
        <v>011000</v>
      </c>
      <c r="C48" s="15" t="n">
        <f aca="false">MOD(INT($A48/32),2)</f>
        <v>0</v>
      </c>
      <c r="D48" s="15" t="n">
        <f aca="false">MOD(INT($A48/16),2)</f>
        <v>1</v>
      </c>
      <c r="E48" s="15" t="n">
        <f aca="false">MOD(INT($A48/8),2)</f>
        <v>1</v>
      </c>
      <c r="F48" s="15" t="n">
        <f aca="false">MOD(INT($A48/4),2)</f>
        <v>0</v>
      </c>
      <c r="G48" s="15" t="n">
        <f aca="false">MOD(INT($A48/2),2)</f>
        <v>0</v>
      </c>
      <c r="H48" s="15" t="n">
        <f aca="false">MOD(INT($A48/1),2)</f>
        <v>0</v>
      </c>
      <c r="I48" s="14" t="n">
        <f aca="false">$C$6+C48*(Half_gap*(Ceiling_e-$C$6))</f>
        <v>71</v>
      </c>
      <c r="J48" s="14" t="n">
        <f aca="false">I48+D48*(Half_gap*(Ceiling_e-I48))</f>
        <v>78</v>
      </c>
      <c r="K48" s="14" t="n">
        <f aca="false">J48+E48*(Half_gap*(Ceiling_e-J48))</f>
        <v>81.5</v>
      </c>
      <c r="L48" s="14" t="n">
        <f aca="false">K48+F48*(Half_gap*(Ceiling_e-K48))</f>
        <v>81.5</v>
      </c>
      <c r="M48" s="14" t="n">
        <f aca="false">L48+G48*(Half_gap*(Ceiling_e-L48))</f>
        <v>81.5</v>
      </c>
      <c r="N48" s="14" t="n">
        <f aca="false">M48+H48*(Half_gap*(Ceiling_e-M48))</f>
        <v>81.5</v>
      </c>
      <c r="O48" s="14" t="n">
        <f aca="false">Val_pt*(I48-E_zero)</f>
        <v>0</v>
      </c>
      <c r="P48" s="14" t="n">
        <f aca="false">Val_pt*(J48-E_zero)</f>
        <v>70</v>
      </c>
      <c r="Q48" s="14" t="n">
        <f aca="false">Val_pt*(K48-E_zero)</f>
        <v>105</v>
      </c>
      <c r="R48" s="14" t="n">
        <f aca="false">Val_pt*(L48-E_zero)</f>
        <v>105</v>
      </c>
      <c r="S48" s="14" t="n">
        <f aca="false">Val_pt*(M48-E_zero)</f>
        <v>105</v>
      </c>
      <c r="T48" s="14" t="n">
        <f aca="false">Val_pt*(N48-E_zero)</f>
        <v>105</v>
      </c>
      <c r="U48" s="14" t="n">
        <f aca="false">MAX(V48+Cost_round*C48-O48,IF(C48=1,Pre_q,0))</f>
        <v>520</v>
      </c>
      <c r="V48" s="14" t="n">
        <f aca="false">MAX(W48+Cost_round*D48-P48,IF(D48=1,Pre_q,0),Floor_q)</f>
        <v>520</v>
      </c>
      <c r="W48" s="14" t="n">
        <f aca="false">MAX(X48+Cost_round*E48-Q48,IF(E48=1,Pre_q,0),Floor_q)</f>
        <v>470</v>
      </c>
      <c r="X48" s="14" t="n">
        <f aca="false">MAX(Y48+Cost_round*F48-R48,IF(F48=1,Pre_q,0),Floor_q)</f>
        <v>350</v>
      </c>
      <c r="Y48" s="14" t="n">
        <f aca="false">MAX(Z48+Cost_round*G48-S48,IF(G48=1,Pre_q,0),Floor_q)</f>
        <v>350</v>
      </c>
      <c r="Z48" s="14" t="n">
        <f aca="false">MAX(AA48+Cost_round*H48-T48,IF(H48=1,Pre_q,0),Floor_q)</f>
        <v>365</v>
      </c>
      <c r="AA48" s="14" t="n">
        <f aca="false">MAX(End_q,Floor_q)</f>
        <v>470</v>
      </c>
      <c r="AB48" s="15" t="n">
        <f aca="false">IF($B$6&gt;=U48-0.000000001,1,0)</f>
        <v>1</v>
      </c>
      <c r="AC48" s="14" t="n">
        <f aca="false">IF($AB48=1,$B$6-Cost_round*C48+O48-V48,"")</f>
        <v>100</v>
      </c>
      <c r="AD48" s="14" t="n">
        <f aca="false">IF($AB48=1,V48-Cost_round*D48+P48-W48,"")</f>
        <v>0</v>
      </c>
      <c r="AE48" s="14" t="n">
        <f aca="false">IF($AB48=1,W48-Cost_round*E48+Q48-X48,"")</f>
        <v>105</v>
      </c>
      <c r="AF48" s="14" t="n">
        <f aca="false">IF($AB48=1,X48-Cost_round*F48+R48-Y48,"")</f>
        <v>105</v>
      </c>
      <c r="AG48" s="14" t="n">
        <f aca="false">IF($AB48=1,Y48-Cost_round*G48+S48-Z48,"")</f>
        <v>90</v>
      </c>
      <c r="AH48" s="14" t="n">
        <f aca="false">IF($AB48=1,Z48-Cost_round*H48+T48-AA48,"")</f>
        <v>0</v>
      </c>
      <c r="AI48" s="21" t="n">
        <f aca="false">IF($AB48=1,AC48*1+AD48*Bias_b*Beta_y^1+AE48*Bias_b*Beta_y^2+AF48*Bias_b*Beta_y^3+AG48*Bias_b*Beta_y^4+AH48*Bias_b*Beta_y^5+Bias_b*Beta_y^5*T48/Hurdle_r,"")</f>
        <v>891.19316241439</v>
      </c>
    </row>
    <row r="49" customFormat="false" ht="15" hidden="false" customHeight="false" outlineLevel="0" collapsed="false">
      <c r="A49" s="2" t="n">
        <v>25</v>
      </c>
      <c r="B49" s="2" t="str">
        <f aca="false">""&amp;C49&amp;D49&amp;E49&amp;F49&amp;G49&amp;H49</f>
        <v>011001</v>
      </c>
      <c r="C49" s="15" t="n">
        <f aca="false">MOD(INT($A49/32),2)</f>
        <v>0</v>
      </c>
      <c r="D49" s="15" t="n">
        <f aca="false">MOD(INT($A49/16),2)</f>
        <v>1</v>
      </c>
      <c r="E49" s="15" t="n">
        <f aca="false">MOD(INT($A49/8),2)</f>
        <v>1</v>
      </c>
      <c r="F49" s="15" t="n">
        <f aca="false">MOD(INT($A49/4),2)</f>
        <v>0</v>
      </c>
      <c r="G49" s="15" t="n">
        <f aca="false">MOD(INT($A49/2),2)</f>
        <v>0</v>
      </c>
      <c r="H49" s="15" t="n">
        <f aca="false">MOD(INT($A49/1),2)</f>
        <v>1</v>
      </c>
      <c r="I49" s="14" t="n">
        <f aca="false">$C$6+C49*(Half_gap*(Ceiling_e-$C$6))</f>
        <v>71</v>
      </c>
      <c r="J49" s="14" t="n">
        <f aca="false">I49+D49*(Half_gap*(Ceiling_e-I49))</f>
        <v>78</v>
      </c>
      <c r="K49" s="14" t="n">
        <f aca="false">J49+E49*(Half_gap*(Ceiling_e-J49))</f>
        <v>81.5</v>
      </c>
      <c r="L49" s="14" t="n">
        <f aca="false">K49+F49*(Half_gap*(Ceiling_e-K49))</f>
        <v>81.5</v>
      </c>
      <c r="M49" s="14" t="n">
        <f aca="false">L49+G49*(Half_gap*(Ceiling_e-L49))</f>
        <v>81.5</v>
      </c>
      <c r="N49" s="14" t="n">
        <f aca="false">M49+H49*(Half_gap*(Ceiling_e-M49))</f>
        <v>83.25</v>
      </c>
      <c r="O49" s="14" t="n">
        <f aca="false">Val_pt*(I49-E_zero)</f>
        <v>0</v>
      </c>
      <c r="P49" s="14" t="n">
        <f aca="false">Val_pt*(J49-E_zero)</f>
        <v>70</v>
      </c>
      <c r="Q49" s="14" t="n">
        <f aca="false">Val_pt*(K49-E_zero)</f>
        <v>105</v>
      </c>
      <c r="R49" s="14" t="n">
        <f aca="false">Val_pt*(L49-E_zero)</f>
        <v>105</v>
      </c>
      <c r="S49" s="14" t="n">
        <f aca="false">Val_pt*(M49-E_zero)</f>
        <v>105</v>
      </c>
      <c r="T49" s="14" t="n">
        <f aca="false">Val_pt*(N49-E_zero)</f>
        <v>122.5</v>
      </c>
      <c r="U49" s="14" t="n">
        <f aca="false">MAX(V49+Cost_round*C49-O49,IF(C49=1,Pre_q,0))</f>
        <v>520</v>
      </c>
      <c r="V49" s="14" t="n">
        <f aca="false">MAX(W49+Cost_round*D49-P49,IF(D49=1,Pre_q,0),Floor_q)</f>
        <v>520</v>
      </c>
      <c r="W49" s="14" t="n">
        <f aca="false">MAX(X49+Cost_round*E49-Q49,IF(E49=1,Pre_q,0),Floor_q)</f>
        <v>470</v>
      </c>
      <c r="X49" s="14" t="n">
        <f aca="false">MAX(Y49+Cost_round*F49-R49,IF(F49=1,Pre_q,0),Floor_q)</f>
        <v>350</v>
      </c>
      <c r="Y49" s="14" t="n">
        <f aca="false">MAX(Z49+Cost_round*G49-S49,IF(G49=1,Pre_q,0),Floor_q)</f>
        <v>365</v>
      </c>
      <c r="Z49" s="14" t="n">
        <f aca="false">MAX(AA49+Cost_round*H49-T49,IF(H49=1,Pre_q,0),Floor_q)</f>
        <v>470</v>
      </c>
      <c r="AA49" s="14" t="n">
        <f aca="false">MAX(End_q,Floor_q)</f>
        <v>470</v>
      </c>
      <c r="AB49" s="15" t="n">
        <f aca="false">IF($B$6&gt;=U49-0.000000001,1,0)</f>
        <v>1</v>
      </c>
      <c r="AC49" s="14" t="n">
        <f aca="false">IF($AB49=1,$B$6-Cost_round*C49+O49-V49,"")</f>
        <v>100</v>
      </c>
      <c r="AD49" s="14" t="n">
        <f aca="false">IF($AB49=1,V49-Cost_round*D49+P49-W49,"")</f>
        <v>0</v>
      </c>
      <c r="AE49" s="14" t="n">
        <f aca="false">IF($AB49=1,W49-Cost_round*E49+Q49-X49,"")</f>
        <v>105</v>
      </c>
      <c r="AF49" s="14" t="n">
        <f aca="false">IF($AB49=1,X49-Cost_round*F49+R49-Y49,"")</f>
        <v>90</v>
      </c>
      <c r="AG49" s="14" t="n">
        <f aca="false">IF($AB49=1,Y49-Cost_round*G49+S49-Z49,"")</f>
        <v>0</v>
      </c>
      <c r="AH49" s="14" t="n">
        <f aca="false">IF($AB49=1,Z49-Cost_round*H49+T49-AA49,"")</f>
        <v>2.5</v>
      </c>
      <c r="AI49" s="21" t="n">
        <f aca="false">IF($AB49=1,AC49*1+AD49*Bias_b*Beta_y^1+AE49*Bias_b*Beta_y^2+AF49*Bias_b*Beta_y^3+AG49*Bias_b*Beta_y^4+AH49*Bias_b*Beta_y^5+Bias_b*Beta_y^5*T49/Hurdle_r,"")</f>
        <v>924.918504076348</v>
      </c>
    </row>
    <row r="50" customFormat="false" ht="15" hidden="false" customHeight="false" outlineLevel="0" collapsed="false">
      <c r="A50" s="2" t="n">
        <v>26</v>
      </c>
      <c r="B50" s="2" t="str">
        <f aca="false">""&amp;C50&amp;D50&amp;E50&amp;F50&amp;G50&amp;H50</f>
        <v>011010</v>
      </c>
      <c r="C50" s="15" t="n">
        <f aca="false">MOD(INT($A50/32),2)</f>
        <v>0</v>
      </c>
      <c r="D50" s="15" t="n">
        <f aca="false">MOD(INT($A50/16),2)</f>
        <v>1</v>
      </c>
      <c r="E50" s="15" t="n">
        <f aca="false">MOD(INT($A50/8),2)</f>
        <v>1</v>
      </c>
      <c r="F50" s="15" t="n">
        <f aca="false">MOD(INT($A50/4),2)</f>
        <v>0</v>
      </c>
      <c r="G50" s="15" t="n">
        <f aca="false">MOD(INT($A50/2),2)</f>
        <v>1</v>
      </c>
      <c r="H50" s="15" t="n">
        <f aca="false">MOD(INT($A50/1),2)</f>
        <v>0</v>
      </c>
      <c r="I50" s="14" t="n">
        <f aca="false">$C$6+C50*(Half_gap*(Ceiling_e-$C$6))</f>
        <v>71</v>
      </c>
      <c r="J50" s="14" t="n">
        <f aca="false">I50+D50*(Half_gap*(Ceiling_e-I50))</f>
        <v>78</v>
      </c>
      <c r="K50" s="14" t="n">
        <f aca="false">J50+E50*(Half_gap*(Ceiling_e-J50))</f>
        <v>81.5</v>
      </c>
      <c r="L50" s="14" t="n">
        <f aca="false">K50+F50*(Half_gap*(Ceiling_e-K50))</f>
        <v>81.5</v>
      </c>
      <c r="M50" s="14" t="n">
        <f aca="false">L50+G50*(Half_gap*(Ceiling_e-L50))</f>
        <v>83.25</v>
      </c>
      <c r="N50" s="14" t="n">
        <f aca="false">M50+H50*(Half_gap*(Ceiling_e-M50))</f>
        <v>83.25</v>
      </c>
      <c r="O50" s="14" t="n">
        <f aca="false">Val_pt*(I50-E_zero)</f>
        <v>0</v>
      </c>
      <c r="P50" s="14" t="n">
        <f aca="false">Val_pt*(J50-E_zero)</f>
        <v>70</v>
      </c>
      <c r="Q50" s="14" t="n">
        <f aca="false">Val_pt*(K50-E_zero)</f>
        <v>105</v>
      </c>
      <c r="R50" s="14" t="n">
        <f aca="false">Val_pt*(L50-E_zero)</f>
        <v>105</v>
      </c>
      <c r="S50" s="14" t="n">
        <f aca="false">Val_pt*(M50-E_zero)</f>
        <v>122.5</v>
      </c>
      <c r="T50" s="14" t="n">
        <f aca="false">Val_pt*(N50-E_zero)</f>
        <v>122.5</v>
      </c>
      <c r="U50" s="14" t="n">
        <f aca="false">MAX(V50+Cost_round*C50-O50,IF(C50=1,Pre_q,0))</f>
        <v>520</v>
      </c>
      <c r="V50" s="14" t="n">
        <f aca="false">MAX(W50+Cost_round*D50-P50,IF(D50=1,Pre_q,0),Floor_q)</f>
        <v>520</v>
      </c>
      <c r="W50" s="14" t="n">
        <f aca="false">MAX(X50+Cost_round*E50-Q50,IF(E50=1,Pre_q,0),Floor_q)</f>
        <v>470</v>
      </c>
      <c r="X50" s="14" t="n">
        <f aca="false">MAX(Y50+Cost_round*F50-R50,IF(F50=1,Pre_q,0),Floor_q)</f>
        <v>365</v>
      </c>
      <c r="Y50" s="14" t="n">
        <f aca="false">MAX(Z50+Cost_round*G50-S50,IF(G50=1,Pre_q,0),Floor_q)</f>
        <v>470</v>
      </c>
      <c r="Z50" s="14" t="n">
        <f aca="false">MAX(AA50+Cost_round*H50-T50,IF(H50=1,Pre_q,0),Floor_q)</f>
        <v>350</v>
      </c>
      <c r="AA50" s="14" t="n">
        <f aca="false">MAX(End_q,Floor_q)</f>
        <v>470</v>
      </c>
      <c r="AB50" s="15" t="n">
        <f aca="false">IF($B$6&gt;=U50-0.000000001,1,0)</f>
        <v>1</v>
      </c>
      <c r="AC50" s="14" t="n">
        <f aca="false">IF($AB50=1,$B$6-Cost_round*C50+O50-V50,"")</f>
        <v>100</v>
      </c>
      <c r="AD50" s="14" t="n">
        <f aca="false">IF($AB50=1,V50-Cost_round*D50+P50-W50,"")</f>
        <v>0</v>
      </c>
      <c r="AE50" s="14" t="n">
        <f aca="false">IF($AB50=1,W50-Cost_round*E50+Q50-X50,"")</f>
        <v>90</v>
      </c>
      <c r="AF50" s="14" t="n">
        <f aca="false">IF($AB50=1,X50-Cost_round*F50+R50-Y50,"")</f>
        <v>0</v>
      </c>
      <c r="AG50" s="14" t="n">
        <f aca="false">IF($AB50=1,Y50-Cost_round*G50+S50-Z50,"")</f>
        <v>122.5</v>
      </c>
      <c r="AH50" s="14" t="n">
        <f aca="false">IF($AB50=1,Z50-Cost_round*H50+T50-AA50,"")</f>
        <v>2.5</v>
      </c>
      <c r="AI50" s="21" t="n">
        <f aca="false">IF($AB50=1,AC50*1+AD50*Bias_b*Beta_y^1+AE50*Bias_b*Beta_y^2+AF50*Bias_b*Beta_y^3+AG50*Bias_b*Beta_y^4+AH50*Bias_b*Beta_y^5+Bias_b*Beta_y^5*T50/Hurdle_r,"")</f>
        <v>928.207213863931</v>
      </c>
    </row>
    <row r="51" customFormat="false" ht="15" hidden="false" customHeight="false" outlineLevel="0" collapsed="false">
      <c r="A51" s="2" t="n">
        <v>27</v>
      </c>
      <c r="B51" s="2" t="str">
        <f aca="false">""&amp;C51&amp;D51&amp;E51&amp;F51&amp;G51&amp;H51</f>
        <v>011011</v>
      </c>
      <c r="C51" s="15" t="n">
        <f aca="false">MOD(INT($A51/32),2)</f>
        <v>0</v>
      </c>
      <c r="D51" s="15" t="n">
        <f aca="false">MOD(INT($A51/16),2)</f>
        <v>1</v>
      </c>
      <c r="E51" s="15" t="n">
        <f aca="false">MOD(INT($A51/8),2)</f>
        <v>1</v>
      </c>
      <c r="F51" s="15" t="n">
        <f aca="false">MOD(INT($A51/4),2)</f>
        <v>0</v>
      </c>
      <c r="G51" s="15" t="n">
        <f aca="false">MOD(INT($A51/2),2)</f>
        <v>1</v>
      </c>
      <c r="H51" s="15" t="n">
        <f aca="false">MOD(INT($A51/1),2)</f>
        <v>1</v>
      </c>
      <c r="I51" s="14" t="n">
        <f aca="false">$C$6+C51*(Half_gap*(Ceiling_e-$C$6))</f>
        <v>71</v>
      </c>
      <c r="J51" s="14" t="n">
        <f aca="false">I51+D51*(Half_gap*(Ceiling_e-I51))</f>
        <v>78</v>
      </c>
      <c r="K51" s="14" t="n">
        <f aca="false">J51+E51*(Half_gap*(Ceiling_e-J51))</f>
        <v>81.5</v>
      </c>
      <c r="L51" s="14" t="n">
        <f aca="false">K51+F51*(Half_gap*(Ceiling_e-K51))</f>
        <v>81.5</v>
      </c>
      <c r="M51" s="14" t="n">
        <f aca="false">L51+G51*(Half_gap*(Ceiling_e-L51))</f>
        <v>83.25</v>
      </c>
      <c r="N51" s="14" t="n">
        <f aca="false">M51+H51*(Half_gap*(Ceiling_e-M51))</f>
        <v>84.125</v>
      </c>
      <c r="O51" s="14" t="n">
        <f aca="false">Val_pt*(I51-E_zero)</f>
        <v>0</v>
      </c>
      <c r="P51" s="14" t="n">
        <f aca="false">Val_pt*(J51-E_zero)</f>
        <v>70</v>
      </c>
      <c r="Q51" s="14" t="n">
        <f aca="false">Val_pt*(K51-E_zero)</f>
        <v>105</v>
      </c>
      <c r="R51" s="14" t="n">
        <f aca="false">Val_pt*(L51-E_zero)</f>
        <v>105</v>
      </c>
      <c r="S51" s="14" t="n">
        <f aca="false">Val_pt*(M51-E_zero)</f>
        <v>122.5</v>
      </c>
      <c r="T51" s="14" t="n">
        <f aca="false">Val_pt*(N51-E_zero)</f>
        <v>131.25</v>
      </c>
      <c r="U51" s="14" t="n">
        <f aca="false">MAX(V51+Cost_round*C51-O51,IF(C51=1,Pre_q,0))</f>
        <v>520</v>
      </c>
      <c r="V51" s="14" t="n">
        <f aca="false">MAX(W51+Cost_round*D51-P51,IF(D51=1,Pre_q,0),Floor_q)</f>
        <v>520</v>
      </c>
      <c r="W51" s="14" t="n">
        <f aca="false">MAX(X51+Cost_round*E51-Q51,IF(E51=1,Pre_q,0),Floor_q)</f>
        <v>470</v>
      </c>
      <c r="X51" s="14" t="n">
        <f aca="false">MAX(Y51+Cost_round*F51-R51,IF(F51=1,Pre_q,0),Floor_q)</f>
        <v>365</v>
      </c>
      <c r="Y51" s="14" t="n">
        <f aca="false">MAX(Z51+Cost_round*G51-S51,IF(G51=1,Pre_q,0),Floor_q)</f>
        <v>470</v>
      </c>
      <c r="Z51" s="14" t="n">
        <f aca="false">MAX(AA51+Cost_round*H51-T51,IF(H51=1,Pre_q,0),Floor_q)</f>
        <v>470</v>
      </c>
      <c r="AA51" s="14" t="n">
        <f aca="false">MAX(End_q,Floor_q)</f>
        <v>470</v>
      </c>
      <c r="AB51" s="15" t="n">
        <f aca="false">IF($B$6&gt;=U51-0.000000001,1,0)</f>
        <v>1</v>
      </c>
      <c r="AC51" s="14" t="n">
        <f aca="false">IF($AB51=1,$B$6-Cost_round*C51+O51-V51,"")</f>
        <v>100</v>
      </c>
      <c r="AD51" s="14" t="n">
        <f aca="false">IF($AB51=1,V51-Cost_round*D51+P51-W51,"")</f>
        <v>0</v>
      </c>
      <c r="AE51" s="14" t="n">
        <f aca="false">IF($AB51=1,W51-Cost_round*E51+Q51-X51,"")</f>
        <v>90</v>
      </c>
      <c r="AF51" s="14" t="n">
        <f aca="false">IF($AB51=1,X51-Cost_round*F51+R51-Y51,"")</f>
        <v>0</v>
      </c>
      <c r="AG51" s="14" t="n">
        <f aca="false">IF($AB51=1,Y51-Cost_round*G51+S51-Z51,"")</f>
        <v>2.5</v>
      </c>
      <c r="AH51" s="14" t="n">
        <f aca="false">IF($AB51=1,Z51-Cost_round*H51+T51-AA51,"")</f>
        <v>11.25</v>
      </c>
      <c r="AI51" s="21" t="n">
        <f aca="false">IF($AB51=1,AC51*1+AD51*Bias_b*Beta_y^1+AE51*Bias_b*Beta_y^2+AF51*Bias_b*Beta_y^3+AG51*Bias_b*Beta_y^4+AH51*Bias_b*Beta_y^5+Bias_b*Beta_y^5*T51/Hurdle_r,"")</f>
        <v>908.229070294503</v>
      </c>
    </row>
    <row r="52" customFormat="false" ht="15" hidden="false" customHeight="false" outlineLevel="0" collapsed="false">
      <c r="A52" s="2" t="n">
        <v>28</v>
      </c>
      <c r="B52" s="2" t="str">
        <f aca="false">""&amp;C52&amp;D52&amp;E52&amp;F52&amp;G52&amp;H52</f>
        <v>011100</v>
      </c>
      <c r="C52" s="15" t="n">
        <f aca="false">MOD(INT($A52/32),2)</f>
        <v>0</v>
      </c>
      <c r="D52" s="15" t="n">
        <f aca="false">MOD(INT($A52/16),2)</f>
        <v>1</v>
      </c>
      <c r="E52" s="15" t="n">
        <f aca="false">MOD(INT($A52/8),2)</f>
        <v>1</v>
      </c>
      <c r="F52" s="15" t="n">
        <f aca="false">MOD(INT($A52/4),2)</f>
        <v>1</v>
      </c>
      <c r="G52" s="15" t="n">
        <f aca="false">MOD(INT($A52/2),2)</f>
        <v>0</v>
      </c>
      <c r="H52" s="15" t="n">
        <f aca="false">MOD(INT($A52/1),2)</f>
        <v>0</v>
      </c>
      <c r="I52" s="14" t="n">
        <f aca="false">$C$6+C52*(Half_gap*(Ceiling_e-$C$6))</f>
        <v>71</v>
      </c>
      <c r="J52" s="14" t="n">
        <f aca="false">I52+D52*(Half_gap*(Ceiling_e-I52))</f>
        <v>78</v>
      </c>
      <c r="K52" s="14" t="n">
        <f aca="false">J52+E52*(Half_gap*(Ceiling_e-J52))</f>
        <v>81.5</v>
      </c>
      <c r="L52" s="14" t="n">
        <f aca="false">K52+F52*(Half_gap*(Ceiling_e-K52))</f>
        <v>83.25</v>
      </c>
      <c r="M52" s="14" t="n">
        <f aca="false">L52+G52*(Half_gap*(Ceiling_e-L52))</f>
        <v>83.25</v>
      </c>
      <c r="N52" s="14" t="n">
        <f aca="false">M52+H52*(Half_gap*(Ceiling_e-M52))</f>
        <v>83.25</v>
      </c>
      <c r="O52" s="14" t="n">
        <f aca="false">Val_pt*(I52-E_zero)</f>
        <v>0</v>
      </c>
      <c r="P52" s="14" t="n">
        <f aca="false">Val_pt*(J52-E_zero)</f>
        <v>70</v>
      </c>
      <c r="Q52" s="14" t="n">
        <f aca="false">Val_pt*(K52-E_zero)</f>
        <v>105</v>
      </c>
      <c r="R52" s="14" t="n">
        <f aca="false">Val_pt*(L52-E_zero)</f>
        <v>122.5</v>
      </c>
      <c r="S52" s="14" t="n">
        <f aca="false">Val_pt*(M52-E_zero)</f>
        <v>122.5</v>
      </c>
      <c r="T52" s="14" t="n">
        <f aca="false">Val_pt*(N52-E_zero)</f>
        <v>122.5</v>
      </c>
      <c r="U52" s="14" t="n">
        <f aca="false">MAX(V52+Cost_round*C52-O52,IF(C52=1,Pre_q,0))</f>
        <v>535</v>
      </c>
      <c r="V52" s="14" t="n">
        <f aca="false">MAX(W52+Cost_round*D52-P52,IF(D52=1,Pre_q,0),Floor_q)</f>
        <v>535</v>
      </c>
      <c r="W52" s="14" t="n">
        <f aca="false">MAX(X52+Cost_round*E52-Q52,IF(E52=1,Pre_q,0),Floor_q)</f>
        <v>485</v>
      </c>
      <c r="X52" s="14" t="n">
        <f aca="false">MAX(Y52+Cost_round*F52-R52,IF(F52=1,Pre_q,0),Floor_q)</f>
        <v>470</v>
      </c>
      <c r="Y52" s="14" t="n">
        <f aca="false">MAX(Z52+Cost_round*G52-S52,IF(G52=1,Pre_q,0),Floor_q)</f>
        <v>350</v>
      </c>
      <c r="Z52" s="14" t="n">
        <f aca="false">MAX(AA52+Cost_round*H52-T52,IF(H52=1,Pre_q,0),Floor_q)</f>
        <v>350</v>
      </c>
      <c r="AA52" s="14" t="n">
        <f aca="false">MAX(End_q,Floor_q)</f>
        <v>470</v>
      </c>
      <c r="AB52" s="15" t="n">
        <f aca="false">IF($B$6&gt;=U52-0.000000001,1,0)</f>
        <v>1</v>
      </c>
      <c r="AC52" s="14" t="n">
        <f aca="false">IF($AB52=1,$B$6-Cost_round*C52+O52-V52,"")</f>
        <v>85</v>
      </c>
      <c r="AD52" s="14" t="n">
        <f aca="false">IF($AB52=1,V52-Cost_round*D52+P52-W52,"")</f>
        <v>0</v>
      </c>
      <c r="AE52" s="14" t="n">
        <f aca="false">IF($AB52=1,W52-Cost_round*E52+Q52-X52,"")</f>
        <v>0</v>
      </c>
      <c r="AF52" s="14" t="n">
        <f aca="false">IF($AB52=1,X52-Cost_round*F52+R52-Y52,"")</f>
        <v>122.5</v>
      </c>
      <c r="AG52" s="14" t="n">
        <f aca="false">IF($AB52=1,Y52-Cost_round*G52+S52-Z52,"")</f>
        <v>122.5</v>
      </c>
      <c r="AH52" s="14" t="n">
        <f aca="false">IF($AB52=1,Z52-Cost_round*H52+T52-AA52,"")</f>
        <v>2.5</v>
      </c>
      <c r="AI52" s="21" t="n">
        <f aca="false">IF($AB52=1,AC52*1+AD52*Bias_b*Beta_y^1+AE52*Bias_b*Beta_y^2+AF52*Bias_b*Beta_y^3+AG52*Bias_b*Beta_y^4+AH52*Bias_b*Beta_y^5+Bias_b*Beta_y^5*T52/Hurdle_r,"")</f>
        <v>929.097521903</v>
      </c>
    </row>
    <row r="53" customFormat="false" ht="15" hidden="false" customHeight="false" outlineLevel="0" collapsed="false">
      <c r="A53" s="2" t="n">
        <v>29</v>
      </c>
      <c r="B53" s="2" t="str">
        <f aca="false">""&amp;C53&amp;D53&amp;E53&amp;F53&amp;G53&amp;H53</f>
        <v>011101</v>
      </c>
      <c r="C53" s="15" t="n">
        <f aca="false">MOD(INT($A53/32),2)</f>
        <v>0</v>
      </c>
      <c r="D53" s="15" t="n">
        <f aca="false">MOD(INT($A53/16),2)</f>
        <v>1</v>
      </c>
      <c r="E53" s="15" t="n">
        <f aca="false">MOD(INT($A53/8),2)</f>
        <v>1</v>
      </c>
      <c r="F53" s="15" t="n">
        <f aca="false">MOD(INT($A53/4),2)</f>
        <v>1</v>
      </c>
      <c r="G53" s="15" t="n">
        <f aca="false">MOD(INT($A53/2),2)</f>
        <v>0</v>
      </c>
      <c r="H53" s="15" t="n">
        <f aca="false">MOD(INT($A53/1),2)</f>
        <v>1</v>
      </c>
      <c r="I53" s="14" t="n">
        <f aca="false">$C$6+C53*(Half_gap*(Ceiling_e-$C$6))</f>
        <v>71</v>
      </c>
      <c r="J53" s="14" t="n">
        <f aca="false">I53+D53*(Half_gap*(Ceiling_e-I53))</f>
        <v>78</v>
      </c>
      <c r="K53" s="14" t="n">
        <f aca="false">J53+E53*(Half_gap*(Ceiling_e-J53))</f>
        <v>81.5</v>
      </c>
      <c r="L53" s="14" t="n">
        <f aca="false">K53+F53*(Half_gap*(Ceiling_e-K53))</f>
        <v>83.25</v>
      </c>
      <c r="M53" s="14" t="n">
        <f aca="false">L53+G53*(Half_gap*(Ceiling_e-L53))</f>
        <v>83.25</v>
      </c>
      <c r="N53" s="14" t="n">
        <f aca="false">M53+H53*(Half_gap*(Ceiling_e-M53))</f>
        <v>84.125</v>
      </c>
      <c r="O53" s="14" t="n">
        <f aca="false">Val_pt*(I53-E_zero)</f>
        <v>0</v>
      </c>
      <c r="P53" s="14" t="n">
        <f aca="false">Val_pt*(J53-E_zero)</f>
        <v>70</v>
      </c>
      <c r="Q53" s="14" t="n">
        <f aca="false">Val_pt*(K53-E_zero)</f>
        <v>105</v>
      </c>
      <c r="R53" s="14" t="n">
        <f aca="false">Val_pt*(L53-E_zero)</f>
        <v>122.5</v>
      </c>
      <c r="S53" s="14" t="n">
        <f aca="false">Val_pt*(M53-E_zero)</f>
        <v>122.5</v>
      </c>
      <c r="T53" s="14" t="n">
        <f aca="false">Val_pt*(N53-E_zero)</f>
        <v>131.25</v>
      </c>
      <c r="U53" s="14" t="n">
        <f aca="false">MAX(V53+Cost_round*C53-O53,IF(C53=1,Pre_q,0))</f>
        <v>535</v>
      </c>
      <c r="V53" s="14" t="n">
        <f aca="false">MAX(W53+Cost_round*D53-P53,IF(D53=1,Pre_q,0),Floor_q)</f>
        <v>535</v>
      </c>
      <c r="W53" s="14" t="n">
        <f aca="false">MAX(X53+Cost_round*E53-Q53,IF(E53=1,Pre_q,0),Floor_q)</f>
        <v>485</v>
      </c>
      <c r="X53" s="14" t="n">
        <f aca="false">MAX(Y53+Cost_round*F53-R53,IF(F53=1,Pre_q,0),Floor_q)</f>
        <v>470</v>
      </c>
      <c r="Y53" s="14" t="n">
        <f aca="false">MAX(Z53+Cost_round*G53-S53,IF(G53=1,Pre_q,0),Floor_q)</f>
        <v>350</v>
      </c>
      <c r="Z53" s="14" t="n">
        <f aca="false">MAX(AA53+Cost_round*H53-T53,IF(H53=1,Pre_q,0),Floor_q)</f>
        <v>470</v>
      </c>
      <c r="AA53" s="14" t="n">
        <f aca="false">MAX(End_q,Floor_q)</f>
        <v>470</v>
      </c>
      <c r="AB53" s="15" t="n">
        <f aca="false">IF($B$6&gt;=U53-0.000000001,1,0)</f>
        <v>1</v>
      </c>
      <c r="AC53" s="14" t="n">
        <f aca="false">IF($AB53=1,$B$6-Cost_round*C53+O53-V53,"")</f>
        <v>85</v>
      </c>
      <c r="AD53" s="14" t="n">
        <f aca="false">IF($AB53=1,V53-Cost_round*D53+P53-W53,"")</f>
        <v>0</v>
      </c>
      <c r="AE53" s="14" t="n">
        <f aca="false">IF($AB53=1,W53-Cost_round*E53+Q53-X53,"")</f>
        <v>0</v>
      </c>
      <c r="AF53" s="14" t="n">
        <f aca="false">IF($AB53=1,X53-Cost_round*F53+R53-Y53,"")</f>
        <v>122.5</v>
      </c>
      <c r="AG53" s="14" t="n">
        <f aca="false">IF($AB53=1,Y53-Cost_round*G53+S53-Z53,"")</f>
        <v>2.5</v>
      </c>
      <c r="AH53" s="14" t="n">
        <f aca="false">IF($AB53=1,Z53-Cost_round*H53+T53-AA53,"")</f>
        <v>11.25</v>
      </c>
      <c r="AI53" s="21" t="n">
        <f aca="false">IF($AB53=1,AC53*1+AD53*Bias_b*Beta_y^1+AE53*Bias_b*Beta_y^2+AF53*Bias_b*Beta_y^3+AG53*Bias_b*Beta_y^4+AH53*Bias_b*Beta_y^5+Bias_b*Beta_y^5*T53/Hurdle_r,"")</f>
        <v>909.119378333571</v>
      </c>
    </row>
    <row r="54" customFormat="false" ht="15" hidden="false" customHeight="false" outlineLevel="0" collapsed="false">
      <c r="A54" s="2" t="n">
        <v>30</v>
      </c>
      <c r="B54" s="2" t="str">
        <f aca="false">""&amp;C54&amp;D54&amp;E54&amp;F54&amp;G54&amp;H54</f>
        <v>011110</v>
      </c>
      <c r="C54" s="15" t="n">
        <f aca="false">MOD(INT($A54/32),2)</f>
        <v>0</v>
      </c>
      <c r="D54" s="15" t="n">
        <f aca="false">MOD(INT($A54/16),2)</f>
        <v>1</v>
      </c>
      <c r="E54" s="15" t="n">
        <f aca="false">MOD(INT($A54/8),2)</f>
        <v>1</v>
      </c>
      <c r="F54" s="15" t="n">
        <f aca="false">MOD(INT($A54/4),2)</f>
        <v>1</v>
      </c>
      <c r="G54" s="15" t="n">
        <f aca="false">MOD(INT($A54/2),2)</f>
        <v>1</v>
      </c>
      <c r="H54" s="15" t="n">
        <f aca="false">MOD(INT($A54/1),2)</f>
        <v>0</v>
      </c>
      <c r="I54" s="14" t="n">
        <f aca="false">$C$6+C54*(Half_gap*(Ceiling_e-$C$6))</f>
        <v>71</v>
      </c>
      <c r="J54" s="14" t="n">
        <f aca="false">I54+D54*(Half_gap*(Ceiling_e-I54))</f>
        <v>78</v>
      </c>
      <c r="K54" s="14" t="n">
        <f aca="false">J54+E54*(Half_gap*(Ceiling_e-J54))</f>
        <v>81.5</v>
      </c>
      <c r="L54" s="14" t="n">
        <f aca="false">K54+F54*(Half_gap*(Ceiling_e-K54))</f>
        <v>83.25</v>
      </c>
      <c r="M54" s="14" t="n">
        <f aca="false">L54+G54*(Half_gap*(Ceiling_e-L54))</f>
        <v>84.125</v>
      </c>
      <c r="N54" s="14" t="n">
        <f aca="false">M54+H54*(Half_gap*(Ceiling_e-M54))</f>
        <v>84.125</v>
      </c>
      <c r="O54" s="14" t="n">
        <f aca="false">Val_pt*(I54-E_zero)</f>
        <v>0</v>
      </c>
      <c r="P54" s="14" t="n">
        <f aca="false">Val_pt*(J54-E_zero)</f>
        <v>70</v>
      </c>
      <c r="Q54" s="14" t="n">
        <f aca="false">Val_pt*(K54-E_zero)</f>
        <v>105</v>
      </c>
      <c r="R54" s="14" t="n">
        <f aca="false">Val_pt*(L54-E_zero)</f>
        <v>122.5</v>
      </c>
      <c r="S54" s="14" t="n">
        <f aca="false">Val_pt*(M54-E_zero)</f>
        <v>131.25</v>
      </c>
      <c r="T54" s="14" t="n">
        <f aca="false">Val_pt*(N54-E_zero)</f>
        <v>131.25</v>
      </c>
      <c r="U54" s="14" t="n">
        <f aca="false">MAX(V54+Cost_round*C54-O54,IF(C54=1,Pre_q,0))</f>
        <v>535</v>
      </c>
      <c r="V54" s="14" t="n">
        <f aca="false">MAX(W54+Cost_round*D54-P54,IF(D54=1,Pre_q,0),Floor_q)</f>
        <v>535</v>
      </c>
      <c r="W54" s="14" t="n">
        <f aca="false">MAX(X54+Cost_round*E54-Q54,IF(E54=1,Pre_q,0),Floor_q)</f>
        <v>485</v>
      </c>
      <c r="X54" s="14" t="n">
        <f aca="false">MAX(Y54+Cost_round*F54-R54,IF(F54=1,Pre_q,0),Floor_q)</f>
        <v>470</v>
      </c>
      <c r="Y54" s="14" t="n">
        <f aca="false">MAX(Z54+Cost_round*G54-S54,IF(G54=1,Pre_q,0),Floor_q)</f>
        <v>470</v>
      </c>
      <c r="Z54" s="14" t="n">
        <f aca="false">MAX(AA54+Cost_round*H54-T54,IF(H54=1,Pre_q,0),Floor_q)</f>
        <v>350</v>
      </c>
      <c r="AA54" s="14" t="n">
        <f aca="false">MAX(End_q,Floor_q)</f>
        <v>470</v>
      </c>
      <c r="AB54" s="15" t="n">
        <f aca="false">IF($B$6&gt;=U54-0.000000001,1,0)</f>
        <v>1</v>
      </c>
      <c r="AC54" s="14" t="n">
        <f aca="false">IF($AB54=1,$B$6-Cost_round*C54+O54-V54,"")</f>
        <v>85</v>
      </c>
      <c r="AD54" s="14" t="n">
        <f aca="false">IF($AB54=1,V54-Cost_round*D54+P54-W54,"")</f>
        <v>0</v>
      </c>
      <c r="AE54" s="14" t="n">
        <f aca="false">IF($AB54=1,W54-Cost_round*E54+Q54-X54,"")</f>
        <v>0</v>
      </c>
      <c r="AF54" s="14" t="n">
        <f aca="false">IF($AB54=1,X54-Cost_round*F54+R54-Y54,"")</f>
        <v>2.5</v>
      </c>
      <c r="AG54" s="14" t="n">
        <f aca="false">IF($AB54=1,Y54-Cost_round*G54+S54-Z54,"")</f>
        <v>131.25</v>
      </c>
      <c r="AH54" s="14" t="n">
        <f aca="false">IF($AB54=1,Z54-Cost_round*H54+T54-AA54,"")</f>
        <v>11.25</v>
      </c>
      <c r="AI54" s="21" t="n">
        <f aca="false">IF($AB54=1,AC54*1+AD54*Bias_b*Beta_y^1+AE54*Bias_b*Beta_y^2+AF54*Bias_b*Beta_y^3+AG54*Bias_b*Beta_y^4+AH54*Bias_b*Beta_y^5+Bias_b*Beta_y^5*T54/Hurdle_r,"")</f>
        <v>907.121563976628</v>
      </c>
    </row>
    <row r="55" customFormat="false" ht="15" hidden="false" customHeight="false" outlineLevel="0" collapsed="false">
      <c r="A55" s="2" t="n">
        <v>31</v>
      </c>
      <c r="B55" s="2" t="str">
        <f aca="false">""&amp;C55&amp;D55&amp;E55&amp;F55&amp;G55&amp;H55</f>
        <v>011111</v>
      </c>
      <c r="C55" s="15" t="n">
        <f aca="false">MOD(INT($A55/32),2)</f>
        <v>0</v>
      </c>
      <c r="D55" s="15" t="n">
        <f aca="false">MOD(INT($A55/16),2)</f>
        <v>1</v>
      </c>
      <c r="E55" s="15" t="n">
        <f aca="false">MOD(INT($A55/8),2)</f>
        <v>1</v>
      </c>
      <c r="F55" s="15" t="n">
        <f aca="false">MOD(INT($A55/4),2)</f>
        <v>1</v>
      </c>
      <c r="G55" s="15" t="n">
        <f aca="false">MOD(INT($A55/2),2)</f>
        <v>1</v>
      </c>
      <c r="H55" s="15" t="n">
        <f aca="false">MOD(INT($A55/1),2)</f>
        <v>1</v>
      </c>
      <c r="I55" s="14" t="n">
        <f aca="false">$C$6+C55*(Half_gap*(Ceiling_e-$C$6))</f>
        <v>71</v>
      </c>
      <c r="J55" s="14" t="n">
        <f aca="false">I55+D55*(Half_gap*(Ceiling_e-I55))</f>
        <v>78</v>
      </c>
      <c r="K55" s="14" t="n">
        <f aca="false">J55+E55*(Half_gap*(Ceiling_e-J55))</f>
        <v>81.5</v>
      </c>
      <c r="L55" s="14" t="n">
        <f aca="false">K55+F55*(Half_gap*(Ceiling_e-K55))</f>
        <v>83.25</v>
      </c>
      <c r="M55" s="14" t="n">
        <f aca="false">L55+G55*(Half_gap*(Ceiling_e-L55))</f>
        <v>84.125</v>
      </c>
      <c r="N55" s="14" t="n">
        <f aca="false">M55+H55*(Half_gap*(Ceiling_e-M55))</f>
        <v>84.5625</v>
      </c>
      <c r="O55" s="14" t="n">
        <f aca="false">Val_pt*(I55-E_zero)</f>
        <v>0</v>
      </c>
      <c r="P55" s="14" t="n">
        <f aca="false">Val_pt*(J55-E_zero)</f>
        <v>70</v>
      </c>
      <c r="Q55" s="14" t="n">
        <f aca="false">Val_pt*(K55-E_zero)</f>
        <v>105</v>
      </c>
      <c r="R55" s="14" t="n">
        <f aca="false">Val_pt*(L55-E_zero)</f>
        <v>122.5</v>
      </c>
      <c r="S55" s="14" t="n">
        <f aca="false">Val_pt*(M55-E_zero)</f>
        <v>131.25</v>
      </c>
      <c r="T55" s="14" t="n">
        <f aca="false">Val_pt*(N55-E_zero)</f>
        <v>135.625</v>
      </c>
      <c r="U55" s="14" t="n">
        <f aca="false">MAX(V55+Cost_round*C55-O55,IF(C55=1,Pre_q,0))</f>
        <v>535</v>
      </c>
      <c r="V55" s="14" t="n">
        <f aca="false">MAX(W55+Cost_round*D55-P55,IF(D55=1,Pre_q,0),Floor_q)</f>
        <v>535</v>
      </c>
      <c r="W55" s="14" t="n">
        <f aca="false">MAX(X55+Cost_round*E55-Q55,IF(E55=1,Pre_q,0),Floor_q)</f>
        <v>485</v>
      </c>
      <c r="X55" s="14" t="n">
        <f aca="false">MAX(Y55+Cost_round*F55-R55,IF(F55=1,Pre_q,0),Floor_q)</f>
        <v>470</v>
      </c>
      <c r="Y55" s="14" t="n">
        <f aca="false">MAX(Z55+Cost_round*G55-S55,IF(G55=1,Pre_q,0),Floor_q)</f>
        <v>470</v>
      </c>
      <c r="Z55" s="14" t="n">
        <f aca="false">MAX(AA55+Cost_round*H55-T55,IF(H55=1,Pre_q,0),Floor_q)</f>
        <v>470</v>
      </c>
      <c r="AA55" s="14" t="n">
        <f aca="false">MAX(End_q,Floor_q)</f>
        <v>470</v>
      </c>
      <c r="AB55" s="15" t="n">
        <f aca="false">IF($B$6&gt;=U55-0.000000001,1,0)</f>
        <v>1</v>
      </c>
      <c r="AC55" s="14" t="n">
        <f aca="false">IF($AB55=1,$B$6-Cost_round*C55+O55-V55,"")</f>
        <v>85</v>
      </c>
      <c r="AD55" s="14" t="n">
        <f aca="false">IF($AB55=1,V55-Cost_round*D55+P55-W55,"")</f>
        <v>0</v>
      </c>
      <c r="AE55" s="14" t="n">
        <f aca="false">IF($AB55=1,W55-Cost_round*E55+Q55-X55,"")</f>
        <v>0</v>
      </c>
      <c r="AF55" s="14" t="n">
        <f aca="false">IF($AB55=1,X55-Cost_round*F55+R55-Y55,"")</f>
        <v>2.5</v>
      </c>
      <c r="AG55" s="14" t="n">
        <f aca="false">IF($AB55=1,Y55-Cost_round*G55+S55-Z55,"")</f>
        <v>11.25</v>
      </c>
      <c r="AH55" s="14" t="n">
        <f aca="false">IF($AB55=1,Z55-Cost_round*H55+T55-AA55,"")</f>
        <v>15.625</v>
      </c>
      <c r="AI55" s="21" t="n">
        <f aca="false">IF($AB55=1,AC55*1+AD55*Bias_b*Beta_y^1+AE55*Bias_b*Beta_y^2+AF55*Bias_b*Beta_y^3+AG55*Bias_b*Beta_y^4+AH55*Bias_b*Beta_y^5+Bias_b*Beta_y^5*T55/Hurdle_r,"")</f>
        <v>860.249765602201</v>
      </c>
    </row>
    <row r="56" customFormat="false" ht="15" hidden="false" customHeight="false" outlineLevel="0" collapsed="false">
      <c r="A56" s="2" t="n">
        <v>32</v>
      </c>
      <c r="B56" s="2" t="str">
        <f aca="false">""&amp;C56&amp;D56&amp;E56&amp;F56&amp;G56&amp;H56</f>
        <v>100000</v>
      </c>
      <c r="C56" s="15" t="n">
        <f aca="false">MOD(INT($A56/32),2)</f>
        <v>1</v>
      </c>
      <c r="D56" s="15" t="n">
        <f aca="false">MOD(INT($A56/16),2)</f>
        <v>0</v>
      </c>
      <c r="E56" s="15" t="n">
        <f aca="false">MOD(INT($A56/8),2)</f>
        <v>0</v>
      </c>
      <c r="F56" s="15" t="n">
        <f aca="false">MOD(INT($A56/4),2)</f>
        <v>0</v>
      </c>
      <c r="G56" s="15" t="n">
        <f aca="false">MOD(INT($A56/2),2)</f>
        <v>0</v>
      </c>
      <c r="H56" s="15" t="n">
        <f aca="false">MOD(INT($A56/1),2)</f>
        <v>0</v>
      </c>
      <c r="I56" s="14" t="n">
        <f aca="false">$C$6+C56*(Half_gap*(Ceiling_e-$C$6))</f>
        <v>78</v>
      </c>
      <c r="J56" s="14" t="n">
        <f aca="false">I56+D56*(Half_gap*(Ceiling_e-I56))</f>
        <v>78</v>
      </c>
      <c r="K56" s="14" t="n">
        <f aca="false">J56+E56*(Half_gap*(Ceiling_e-J56))</f>
        <v>78</v>
      </c>
      <c r="L56" s="14" t="n">
        <f aca="false">K56+F56*(Half_gap*(Ceiling_e-K56))</f>
        <v>78</v>
      </c>
      <c r="M56" s="14" t="n">
        <f aca="false">L56+G56*(Half_gap*(Ceiling_e-L56))</f>
        <v>78</v>
      </c>
      <c r="N56" s="14" t="n">
        <f aca="false">M56+H56*(Half_gap*(Ceiling_e-M56))</f>
        <v>78</v>
      </c>
      <c r="O56" s="14" t="n">
        <f aca="false">Val_pt*(I56-E_zero)</f>
        <v>70</v>
      </c>
      <c r="P56" s="14" t="n">
        <f aca="false">Val_pt*(J56-E_zero)</f>
        <v>70</v>
      </c>
      <c r="Q56" s="14" t="n">
        <f aca="false">Val_pt*(K56-E_zero)</f>
        <v>70</v>
      </c>
      <c r="R56" s="14" t="n">
        <f aca="false">Val_pt*(L56-E_zero)</f>
        <v>70</v>
      </c>
      <c r="S56" s="14" t="n">
        <f aca="false">Val_pt*(M56-E_zero)</f>
        <v>70</v>
      </c>
      <c r="T56" s="14" t="n">
        <f aca="false">Val_pt*(N56-E_zero)</f>
        <v>70</v>
      </c>
      <c r="U56" s="14" t="n">
        <f aca="false">MAX(V56+Cost_round*C56-O56,IF(C56=1,Pre_q,0))</f>
        <v>470</v>
      </c>
      <c r="V56" s="14" t="n">
        <f aca="false">MAX(W56+Cost_round*D56-P56,IF(D56=1,Pre_q,0),Floor_q)</f>
        <v>350</v>
      </c>
      <c r="W56" s="14" t="n">
        <f aca="false">MAX(X56+Cost_round*E56-Q56,IF(E56=1,Pre_q,0),Floor_q)</f>
        <v>350</v>
      </c>
      <c r="X56" s="14" t="n">
        <f aca="false">MAX(Y56+Cost_round*F56-R56,IF(F56=1,Pre_q,0),Floor_q)</f>
        <v>350</v>
      </c>
      <c r="Y56" s="14" t="n">
        <f aca="false">MAX(Z56+Cost_round*G56-S56,IF(G56=1,Pre_q,0),Floor_q)</f>
        <v>350</v>
      </c>
      <c r="Z56" s="14" t="n">
        <f aca="false">MAX(AA56+Cost_round*H56-T56,IF(H56=1,Pre_q,0),Floor_q)</f>
        <v>400</v>
      </c>
      <c r="AA56" s="14" t="n">
        <f aca="false">MAX(End_q,Floor_q)</f>
        <v>470</v>
      </c>
      <c r="AB56" s="15" t="n">
        <f aca="false">IF($B$6&gt;=U56-0.000000001,1,0)</f>
        <v>1</v>
      </c>
      <c r="AC56" s="14" t="n">
        <f aca="false">IF($AB56=1,$B$6-Cost_round*C56+O56-V56,"")</f>
        <v>220</v>
      </c>
      <c r="AD56" s="14" t="n">
        <f aca="false">IF($AB56=1,V56-Cost_round*D56+P56-W56,"")</f>
        <v>70</v>
      </c>
      <c r="AE56" s="14" t="n">
        <f aca="false">IF($AB56=1,W56-Cost_round*E56+Q56-X56,"")</f>
        <v>70</v>
      </c>
      <c r="AF56" s="14" t="n">
        <f aca="false">IF($AB56=1,X56-Cost_round*F56+R56-Y56,"")</f>
        <v>70</v>
      </c>
      <c r="AG56" s="14" t="n">
        <f aca="false">IF($AB56=1,Y56-Cost_round*G56+S56-Z56,"")</f>
        <v>20</v>
      </c>
      <c r="AH56" s="14" t="n">
        <f aca="false">IF($AB56=1,Z56-Cost_round*H56+T56-AA56,"")</f>
        <v>0</v>
      </c>
      <c r="AI56" s="21" t="n">
        <f aca="false">IF($AB56=1,AC56*1+AD56*Bias_b*Beta_y^1+AE56*Bias_b*Beta_y^2+AF56*Bias_b*Beta_y^3+AG56*Bias_b*Beta_y^4+AH56*Bias_b*Beta_y^5+Bias_b*Beta_y^5*T56/Hurdle_r,"")</f>
        <v>780.146351155845</v>
      </c>
    </row>
    <row r="57" customFormat="false" ht="15" hidden="false" customHeight="false" outlineLevel="0" collapsed="false">
      <c r="A57" s="2" t="n">
        <v>33</v>
      </c>
      <c r="B57" s="2" t="str">
        <f aca="false">""&amp;C57&amp;D57&amp;E57&amp;F57&amp;G57&amp;H57</f>
        <v>100001</v>
      </c>
      <c r="C57" s="15" t="n">
        <f aca="false">MOD(INT($A57/32),2)</f>
        <v>1</v>
      </c>
      <c r="D57" s="15" t="n">
        <f aca="false">MOD(INT($A57/16),2)</f>
        <v>0</v>
      </c>
      <c r="E57" s="15" t="n">
        <f aca="false">MOD(INT($A57/8),2)</f>
        <v>0</v>
      </c>
      <c r="F57" s="15" t="n">
        <f aca="false">MOD(INT($A57/4),2)</f>
        <v>0</v>
      </c>
      <c r="G57" s="15" t="n">
        <f aca="false">MOD(INT($A57/2),2)</f>
        <v>0</v>
      </c>
      <c r="H57" s="15" t="n">
        <f aca="false">MOD(INT($A57/1),2)</f>
        <v>1</v>
      </c>
      <c r="I57" s="14" t="n">
        <f aca="false">$C$6+C57*(Half_gap*(Ceiling_e-$C$6))</f>
        <v>78</v>
      </c>
      <c r="J57" s="14" t="n">
        <f aca="false">I57+D57*(Half_gap*(Ceiling_e-I57))</f>
        <v>78</v>
      </c>
      <c r="K57" s="14" t="n">
        <f aca="false">J57+E57*(Half_gap*(Ceiling_e-J57))</f>
        <v>78</v>
      </c>
      <c r="L57" s="14" t="n">
        <f aca="false">K57+F57*(Half_gap*(Ceiling_e-K57))</f>
        <v>78</v>
      </c>
      <c r="M57" s="14" t="n">
        <f aca="false">L57+G57*(Half_gap*(Ceiling_e-L57))</f>
        <v>78</v>
      </c>
      <c r="N57" s="14" t="n">
        <f aca="false">M57+H57*(Half_gap*(Ceiling_e-M57))</f>
        <v>81.5</v>
      </c>
      <c r="O57" s="14" t="n">
        <f aca="false">Val_pt*(I57-E_zero)</f>
        <v>70</v>
      </c>
      <c r="P57" s="14" t="n">
        <f aca="false">Val_pt*(J57-E_zero)</f>
        <v>70</v>
      </c>
      <c r="Q57" s="14" t="n">
        <f aca="false">Val_pt*(K57-E_zero)</f>
        <v>70</v>
      </c>
      <c r="R57" s="14" t="n">
        <f aca="false">Val_pt*(L57-E_zero)</f>
        <v>70</v>
      </c>
      <c r="S57" s="14" t="n">
        <f aca="false">Val_pt*(M57-E_zero)</f>
        <v>70</v>
      </c>
      <c r="T57" s="14" t="n">
        <f aca="false">Val_pt*(N57-E_zero)</f>
        <v>105</v>
      </c>
      <c r="U57" s="14" t="n">
        <f aca="false">MAX(V57+Cost_round*C57-O57,IF(C57=1,Pre_q,0))</f>
        <v>470</v>
      </c>
      <c r="V57" s="14" t="n">
        <f aca="false">MAX(W57+Cost_round*D57-P57,IF(D57=1,Pre_q,0),Floor_q)</f>
        <v>350</v>
      </c>
      <c r="W57" s="14" t="n">
        <f aca="false">MAX(X57+Cost_round*E57-Q57,IF(E57=1,Pre_q,0),Floor_q)</f>
        <v>350</v>
      </c>
      <c r="X57" s="14" t="n">
        <f aca="false">MAX(Y57+Cost_round*F57-R57,IF(F57=1,Pre_q,0),Floor_q)</f>
        <v>350</v>
      </c>
      <c r="Y57" s="14" t="n">
        <f aca="false">MAX(Z57+Cost_round*G57-S57,IF(G57=1,Pre_q,0),Floor_q)</f>
        <v>415</v>
      </c>
      <c r="Z57" s="14" t="n">
        <f aca="false">MAX(AA57+Cost_round*H57-T57,IF(H57=1,Pre_q,0),Floor_q)</f>
        <v>485</v>
      </c>
      <c r="AA57" s="14" t="n">
        <f aca="false">MAX(End_q,Floor_q)</f>
        <v>470</v>
      </c>
      <c r="AB57" s="15" t="n">
        <f aca="false">IF($B$6&gt;=U57-0.000000001,1,0)</f>
        <v>1</v>
      </c>
      <c r="AC57" s="14" t="n">
        <f aca="false">IF($AB57=1,$B$6-Cost_round*C57+O57-V57,"")</f>
        <v>220</v>
      </c>
      <c r="AD57" s="14" t="n">
        <f aca="false">IF($AB57=1,V57-Cost_round*D57+P57-W57,"")</f>
        <v>70</v>
      </c>
      <c r="AE57" s="14" t="n">
        <f aca="false">IF($AB57=1,W57-Cost_round*E57+Q57-X57,"")</f>
        <v>70</v>
      </c>
      <c r="AF57" s="14" t="n">
        <f aca="false">IF($AB57=1,X57-Cost_round*F57+R57-Y57,"")</f>
        <v>5</v>
      </c>
      <c r="AG57" s="14" t="n">
        <f aca="false">IF($AB57=1,Y57-Cost_round*G57+S57-Z57,"")</f>
        <v>0</v>
      </c>
      <c r="AH57" s="14" t="n">
        <f aca="false">IF($AB57=1,Z57-Cost_round*H57+T57-AA57,"")</f>
        <v>0</v>
      </c>
      <c r="AI57" s="21" t="n">
        <f aca="false">IF($AB57=1,AC57*1+AD57*Bias_b*Beta_y^1+AE57*Bias_b*Beta_y^2+AF57*Bias_b*Beta_y^3+AG57*Bias_b*Beta_y^4+AH57*Bias_b*Beta_y^5+Bias_b*Beta_y^5*T57/Hurdle_r,"")</f>
        <v>919.490409870165</v>
      </c>
    </row>
    <row r="58" customFormat="false" ht="15" hidden="false" customHeight="false" outlineLevel="0" collapsed="false">
      <c r="A58" s="2" t="n">
        <v>34</v>
      </c>
      <c r="B58" s="2" t="str">
        <f aca="false">""&amp;C58&amp;D58&amp;E58&amp;F58&amp;G58&amp;H58</f>
        <v>100010</v>
      </c>
      <c r="C58" s="15" t="n">
        <f aca="false">MOD(INT($A58/32),2)</f>
        <v>1</v>
      </c>
      <c r="D58" s="15" t="n">
        <f aca="false">MOD(INT($A58/16),2)</f>
        <v>0</v>
      </c>
      <c r="E58" s="15" t="n">
        <f aca="false">MOD(INT($A58/8),2)</f>
        <v>0</v>
      </c>
      <c r="F58" s="15" t="n">
        <f aca="false">MOD(INT($A58/4),2)</f>
        <v>0</v>
      </c>
      <c r="G58" s="15" t="n">
        <f aca="false">MOD(INT($A58/2),2)</f>
        <v>1</v>
      </c>
      <c r="H58" s="15" t="n">
        <f aca="false">MOD(INT($A58/1),2)</f>
        <v>0</v>
      </c>
      <c r="I58" s="14" t="n">
        <f aca="false">$C$6+C58*(Half_gap*(Ceiling_e-$C$6))</f>
        <v>78</v>
      </c>
      <c r="J58" s="14" t="n">
        <f aca="false">I58+D58*(Half_gap*(Ceiling_e-I58))</f>
        <v>78</v>
      </c>
      <c r="K58" s="14" t="n">
        <f aca="false">J58+E58*(Half_gap*(Ceiling_e-J58))</f>
        <v>78</v>
      </c>
      <c r="L58" s="14" t="n">
        <f aca="false">K58+F58*(Half_gap*(Ceiling_e-K58))</f>
        <v>78</v>
      </c>
      <c r="M58" s="14" t="n">
        <f aca="false">L58+G58*(Half_gap*(Ceiling_e-L58))</f>
        <v>81.5</v>
      </c>
      <c r="N58" s="14" t="n">
        <f aca="false">M58+H58*(Half_gap*(Ceiling_e-M58))</f>
        <v>81.5</v>
      </c>
      <c r="O58" s="14" t="n">
        <f aca="false">Val_pt*(I58-E_zero)</f>
        <v>70</v>
      </c>
      <c r="P58" s="14" t="n">
        <f aca="false">Val_pt*(J58-E_zero)</f>
        <v>70</v>
      </c>
      <c r="Q58" s="14" t="n">
        <f aca="false">Val_pt*(K58-E_zero)</f>
        <v>70</v>
      </c>
      <c r="R58" s="14" t="n">
        <f aca="false">Val_pt*(L58-E_zero)</f>
        <v>70</v>
      </c>
      <c r="S58" s="14" t="n">
        <f aca="false">Val_pt*(M58-E_zero)</f>
        <v>105</v>
      </c>
      <c r="T58" s="14" t="n">
        <f aca="false">Val_pt*(N58-E_zero)</f>
        <v>105</v>
      </c>
      <c r="U58" s="14" t="n">
        <f aca="false">MAX(V58+Cost_round*C58-O58,IF(C58=1,Pre_q,0))</f>
        <v>470</v>
      </c>
      <c r="V58" s="14" t="n">
        <f aca="false">MAX(W58+Cost_round*D58-P58,IF(D58=1,Pre_q,0),Floor_q)</f>
        <v>350</v>
      </c>
      <c r="W58" s="14" t="n">
        <f aca="false">MAX(X58+Cost_round*E58-Q58,IF(E58=1,Pre_q,0),Floor_q)</f>
        <v>350</v>
      </c>
      <c r="X58" s="14" t="n">
        <f aca="false">MAX(Y58+Cost_round*F58-R58,IF(F58=1,Pre_q,0),Floor_q)</f>
        <v>400</v>
      </c>
      <c r="Y58" s="14" t="n">
        <f aca="false">MAX(Z58+Cost_round*G58-S58,IF(G58=1,Pre_q,0),Floor_q)</f>
        <v>470</v>
      </c>
      <c r="Z58" s="14" t="n">
        <f aca="false">MAX(AA58+Cost_round*H58-T58,IF(H58=1,Pre_q,0),Floor_q)</f>
        <v>365</v>
      </c>
      <c r="AA58" s="14" t="n">
        <f aca="false">MAX(End_q,Floor_q)</f>
        <v>470</v>
      </c>
      <c r="AB58" s="15" t="n">
        <f aca="false">IF($B$6&gt;=U58-0.000000001,1,0)</f>
        <v>1</v>
      </c>
      <c r="AC58" s="14" t="n">
        <f aca="false">IF($AB58=1,$B$6-Cost_round*C58+O58-V58,"")</f>
        <v>220</v>
      </c>
      <c r="AD58" s="14" t="n">
        <f aca="false">IF($AB58=1,V58-Cost_round*D58+P58-W58,"")</f>
        <v>70</v>
      </c>
      <c r="AE58" s="14" t="n">
        <f aca="false">IF($AB58=1,W58-Cost_round*E58+Q58-X58,"")</f>
        <v>20</v>
      </c>
      <c r="AF58" s="14" t="n">
        <f aca="false">IF($AB58=1,X58-Cost_round*F58+R58-Y58,"")</f>
        <v>0</v>
      </c>
      <c r="AG58" s="14" t="n">
        <f aca="false">IF($AB58=1,Y58-Cost_round*G58+S58-Z58,"")</f>
        <v>90</v>
      </c>
      <c r="AH58" s="14" t="n">
        <f aca="false">IF($AB58=1,Z58-Cost_round*H58+T58-AA58,"")</f>
        <v>0</v>
      </c>
      <c r="AI58" s="21" t="n">
        <f aca="false">IF($AB58=1,AC58*1+AD58*Bias_b*Beta_y^1+AE58*Bias_b*Beta_y^2+AF58*Bias_b*Beta_y^3+AG58*Bias_b*Beta_y^4+AH58*Bias_b*Beta_y^5+Bias_b*Beta_y^5*T58/Hurdle_r,"")</f>
        <v>934.243500506051</v>
      </c>
    </row>
    <row r="59" customFormat="false" ht="15" hidden="false" customHeight="false" outlineLevel="0" collapsed="false">
      <c r="A59" s="2" t="n">
        <v>35</v>
      </c>
      <c r="B59" s="2" t="str">
        <f aca="false">""&amp;C59&amp;D59&amp;E59&amp;F59&amp;G59&amp;H59</f>
        <v>100011</v>
      </c>
      <c r="C59" s="15" t="n">
        <f aca="false">MOD(INT($A59/32),2)</f>
        <v>1</v>
      </c>
      <c r="D59" s="15" t="n">
        <f aca="false">MOD(INT($A59/16),2)</f>
        <v>0</v>
      </c>
      <c r="E59" s="15" t="n">
        <f aca="false">MOD(INT($A59/8),2)</f>
        <v>0</v>
      </c>
      <c r="F59" s="15" t="n">
        <f aca="false">MOD(INT($A59/4),2)</f>
        <v>0</v>
      </c>
      <c r="G59" s="15" t="n">
        <f aca="false">MOD(INT($A59/2),2)</f>
        <v>1</v>
      </c>
      <c r="H59" s="15" t="n">
        <f aca="false">MOD(INT($A59/1),2)</f>
        <v>1</v>
      </c>
      <c r="I59" s="14" t="n">
        <f aca="false">$C$6+C59*(Half_gap*(Ceiling_e-$C$6))</f>
        <v>78</v>
      </c>
      <c r="J59" s="14" t="n">
        <f aca="false">I59+D59*(Half_gap*(Ceiling_e-I59))</f>
        <v>78</v>
      </c>
      <c r="K59" s="14" t="n">
        <f aca="false">J59+E59*(Half_gap*(Ceiling_e-J59))</f>
        <v>78</v>
      </c>
      <c r="L59" s="14" t="n">
        <f aca="false">K59+F59*(Half_gap*(Ceiling_e-K59))</f>
        <v>78</v>
      </c>
      <c r="M59" s="14" t="n">
        <f aca="false">L59+G59*(Half_gap*(Ceiling_e-L59))</f>
        <v>81.5</v>
      </c>
      <c r="N59" s="14" t="n">
        <f aca="false">M59+H59*(Half_gap*(Ceiling_e-M59))</f>
        <v>83.25</v>
      </c>
      <c r="O59" s="14" t="n">
        <f aca="false">Val_pt*(I59-E_zero)</f>
        <v>70</v>
      </c>
      <c r="P59" s="14" t="n">
        <f aca="false">Val_pt*(J59-E_zero)</f>
        <v>70</v>
      </c>
      <c r="Q59" s="14" t="n">
        <f aca="false">Val_pt*(K59-E_zero)</f>
        <v>70</v>
      </c>
      <c r="R59" s="14" t="n">
        <f aca="false">Val_pt*(L59-E_zero)</f>
        <v>70</v>
      </c>
      <c r="S59" s="14" t="n">
        <f aca="false">Val_pt*(M59-E_zero)</f>
        <v>105</v>
      </c>
      <c r="T59" s="14" t="n">
        <f aca="false">Val_pt*(N59-E_zero)</f>
        <v>122.5</v>
      </c>
      <c r="U59" s="14" t="n">
        <f aca="false">MAX(V59+Cost_round*C59-O59,IF(C59=1,Pre_q,0))</f>
        <v>470</v>
      </c>
      <c r="V59" s="14" t="n">
        <f aca="false">MAX(W59+Cost_round*D59-P59,IF(D59=1,Pre_q,0),Floor_q)</f>
        <v>350</v>
      </c>
      <c r="W59" s="14" t="n">
        <f aca="false">MAX(X59+Cost_round*E59-Q59,IF(E59=1,Pre_q,0),Floor_q)</f>
        <v>350</v>
      </c>
      <c r="X59" s="14" t="n">
        <f aca="false">MAX(Y59+Cost_round*F59-R59,IF(F59=1,Pre_q,0),Floor_q)</f>
        <v>415</v>
      </c>
      <c r="Y59" s="14" t="n">
        <f aca="false">MAX(Z59+Cost_round*G59-S59,IF(G59=1,Pre_q,0),Floor_q)</f>
        <v>485</v>
      </c>
      <c r="Z59" s="14" t="n">
        <f aca="false">MAX(AA59+Cost_round*H59-T59,IF(H59=1,Pre_q,0),Floor_q)</f>
        <v>470</v>
      </c>
      <c r="AA59" s="14" t="n">
        <f aca="false">MAX(End_q,Floor_q)</f>
        <v>470</v>
      </c>
      <c r="AB59" s="15" t="n">
        <f aca="false">IF($B$6&gt;=U59-0.000000001,1,0)</f>
        <v>1</v>
      </c>
      <c r="AC59" s="14" t="n">
        <f aca="false">IF($AB59=1,$B$6-Cost_round*C59+O59-V59,"")</f>
        <v>220</v>
      </c>
      <c r="AD59" s="14" t="n">
        <f aca="false">IF($AB59=1,V59-Cost_round*D59+P59-W59,"")</f>
        <v>70</v>
      </c>
      <c r="AE59" s="14" t="n">
        <f aca="false">IF($AB59=1,W59-Cost_round*E59+Q59-X59,"")</f>
        <v>5</v>
      </c>
      <c r="AF59" s="14" t="n">
        <f aca="false">IF($AB59=1,X59-Cost_round*F59+R59-Y59,"")</f>
        <v>0</v>
      </c>
      <c r="AG59" s="14" t="n">
        <f aca="false">IF($AB59=1,Y59-Cost_round*G59+S59-Z59,"")</f>
        <v>0</v>
      </c>
      <c r="AH59" s="14" t="n">
        <f aca="false">IF($AB59=1,Z59-Cost_round*H59+T59-AA59,"")</f>
        <v>2.5</v>
      </c>
      <c r="AI59" s="21" t="n">
        <f aca="false">IF($AB59=1,AC59*1+AD59*Bias_b*Beta_y^1+AE59*Bias_b*Beta_y^2+AF59*Bias_b*Beta_y^3+AG59*Bias_b*Beta_y^4+AH59*Bias_b*Beta_y^5+Bias_b*Beta_y^5*T59/Hurdle_r,"")</f>
        <v>966.954567186792</v>
      </c>
    </row>
    <row r="60" customFormat="false" ht="15" hidden="false" customHeight="false" outlineLevel="0" collapsed="false">
      <c r="A60" s="2" t="n">
        <v>36</v>
      </c>
      <c r="B60" s="2" t="str">
        <f aca="false">""&amp;C60&amp;D60&amp;E60&amp;F60&amp;G60&amp;H60</f>
        <v>100100</v>
      </c>
      <c r="C60" s="15" t="n">
        <f aca="false">MOD(INT($A60/32),2)</f>
        <v>1</v>
      </c>
      <c r="D60" s="15" t="n">
        <f aca="false">MOD(INT($A60/16),2)</f>
        <v>0</v>
      </c>
      <c r="E60" s="15" t="n">
        <f aca="false">MOD(INT($A60/8),2)</f>
        <v>0</v>
      </c>
      <c r="F60" s="15" t="n">
        <f aca="false">MOD(INT($A60/4),2)</f>
        <v>1</v>
      </c>
      <c r="G60" s="15" t="n">
        <f aca="false">MOD(INT($A60/2),2)</f>
        <v>0</v>
      </c>
      <c r="H60" s="15" t="n">
        <f aca="false">MOD(INT($A60/1),2)</f>
        <v>0</v>
      </c>
      <c r="I60" s="14" t="n">
        <f aca="false">$C$6+C60*(Half_gap*(Ceiling_e-$C$6))</f>
        <v>78</v>
      </c>
      <c r="J60" s="14" t="n">
        <f aca="false">I60+D60*(Half_gap*(Ceiling_e-I60))</f>
        <v>78</v>
      </c>
      <c r="K60" s="14" t="n">
        <f aca="false">J60+E60*(Half_gap*(Ceiling_e-J60))</f>
        <v>78</v>
      </c>
      <c r="L60" s="14" t="n">
        <f aca="false">K60+F60*(Half_gap*(Ceiling_e-K60))</f>
        <v>81.5</v>
      </c>
      <c r="M60" s="14" t="n">
        <f aca="false">L60+G60*(Half_gap*(Ceiling_e-L60))</f>
        <v>81.5</v>
      </c>
      <c r="N60" s="14" t="n">
        <f aca="false">M60+H60*(Half_gap*(Ceiling_e-M60))</f>
        <v>81.5</v>
      </c>
      <c r="O60" s="14" t="n">
        <f aca="false">Val_pt*(I60-E_zero)</f>
        <v>70</v>
      </c>
      <c r="P60" s="14" t="n">
        <f aca="false">Val_pt*(J60-E_zero)</f>
        <v>70</v>
      </c>
      <c r="Q60" s="14" t="n">
        <f aca="false">Val_pt*(K60-E_zero)</f>
        <v>70</v>
      </c>
      <c r="R60" s="14" t="n">
        <f aca="false">Val_pt*(L60-E_zero)</f>
        <v>105</v>
      </c>
      <c r="S60" s="14" t="n">
        <f aca="false">Val_pt*(M60-E_zero)</f>
        <v>105</v>
      </c>
      <c r="T60" s="14" t="n">
        <f aca="false">Val_pt*(N60-E_zero)</f>
        <v>105</v>
      </c>
      <c r="U60" s="14" t="n">
        <f aca="false">MAX(V60+Cost_round*C60-O60,IF(C60=1,Pre_q,0))</f>
        <v>470</v>
      </c>
      <c r="V60" s="14" t="n">
        <f aca="false">MAX(W60+Cost_round*D60-P60,IF(D60=1,Pre_q,0),Floor_q)</f>
        <v>350</v>
      </c>
      <c r="W60" s="14" t="n">
        <f aca="false">MAX(X60+Cost_round*E60-Q60,IF(E60=1,Pre_q,0),Floor_q)</f>
        <v>400</v>
      </c>
      <c r="X60" s="14" t="n">
        <f aca="false">MAX(Y60+Cost_round*F60-R60,IF(F60=1,Pre_q,0),Floor_q)</f>
        <v>470</v>
      </c>
      <c r="Y60" s="14" t="n">
        <f aca="false">MAX(Z60+Cost_round*G60-S60,IF(G60=1,Pre_q,0),Floor_q)</f>
        <v>350</v>
      </c>
      <c r="Z60" s="14" t="n">
        <f aca="false">MAX(AA60+Cost_round*H60-T60,IF(H60=1,Pre_q,0),Floor_q)</f>
        <v>365</v>
      </c>
      <c r="AA60" s="14" t="n">
        <f aca="false">MAX(End_q,Floor_q)</f>
        <v>470</v>
      </c>
      <c r="AB60" s="15" t="n">
        <f aca="false">IF($B$6&gt;=U60-0.000000001,1,0)</f>
        <v>1</v>
      </c>
      <c r="AC60" s="14" t="n">
        <f aca="false">IF($AB60=1,$B$6-Cost_round*C60+O60-V60,"")</f>
        <v>220</v>
      </c>
      <c r="AD60" s="14" t="n">
        <f aca="false">IF($AB60=1,V60-Cost_round*D60+P60-W60,"")</f>
        <v>20</v>
      </c>
      <c r="AE60" s="14" t="n">
        <f aca="false">IF($AB60=1,W60-Cost_round*E60+Q60-X60,"")</f>
        <v>0</v>
      </c>
      <c r="AF60" s="14" t="n">
        <f aca="false">IF($AB60=1,X60-Cost_round*F60+R60-Y60,"")</f>
        <v>105</v>
      </c>
      <c r="AG60" s="14" t="n">
        <f aca="false">IF($AB60=1,Y60-Cost_round*G60+S60-Z60,"")</f>
        <v>90</v>
      </c>
      <c r="AH60" s="14" t="n">
        <f aca="false">IF($AB60=1,Z60-Cost_round*H60+T60-AA60,"")</f>
        <v>0</v>
      </c>
      <c r="AI60" s="21" t="n">
        <f aca="false">IF($AB60=1,AC60*1+AD60*Bias_b*Beta_y^1+AE60*Bias_b*Beta_y^2+AF60*Bias_b*Beta_y^3+AG60*Bias_b*Beta_y^4+AH60*Bias_b*Beta_y^5+Bias_b*Beta_y^5*T60/Hurdle_r,"")</f>
        <v>949.457625224308</v>
      </c>
    </row>
    <row r="61" customFormat="false" ht="15" hidden="false" customHeight="false" outlineLevel="0" collapsed="false">
      <c r="A61" s="2" t="n">
        <v>37</v>
      </c>
      <c r="B61" s="2" t="str">
        <f aca="false">""&amp;C61&amp;D61&amp;E61&amp;F61&amp;G61&amp;H61</f>
        <v>100101</v>
      </c>
      <c r="C61" s="15" t="n">
        <f aca="false">MOD(INT($A61/32),2)</f>
        <v>1</v>
      </c>
      <c r="D61" s="15" t="n">
        <f aca="false">MOD(INT($A61/16),2)</f>
        <v>0</v>
      </c>
      <c r="E61" s="15" t="n">
        <f aca="false">MOD(INT($A61/8),2)</f>
        <v>0</v>
      </c>
      <c r="F61" s="15" t="n">
        <f aca="false">MOD(INT($A61/4),2)</f>
        <v>1</v>
      </c>
      <c r="G61" s="15" t="n">
        <f aca="false">MOD(INT($A61/2),2)</f>
        <v>0</v>
      </c>
      <c r="H61" s="15" t="n">
        <f aca="false">MOD(INT($A61/1),2)</f>
        <v>1</v>
      </c>
      <c r="I61" s="14" t="n">
        <f aca="false">$C$6+C61*(Half_gap*(Ceiling_e-$C$6))</f>
        <v>78</v>
      </c>
      <c r="J61" s="14" t="n">
        <f aca="false">I61+D61*(Half_gap*(Ceiling_e-I61))</f>
        <v>78</v>
      </c>
      <c r="K61" s="14" t="n">
        <f aca="false">J61+E61*(Half_gap*(Ceiling_e-J61))</f>
        <v>78</v>
      </c>
      <c r="L61" s="14" t="n">
        <f aca="false">K61+F61*(Half_gap*(Ceiling_e-K61))</f>
        <v>81.5</v>
      </c>
      <c r="M61" s="14" t="n">
        <f aca="false">L61+G61*(Half_gap*(Ceiling_e-L61))</f>
        <v>81.5</v>
      </c>
      <c r="N61" s="14" t="n">
        <f aca="false">M61+H61*(Half_gap*(Ceiling_e-M61))</f>
        <v>83.25</v>
      </c>
      <c r="O61" s="14" t="n">
        <f aca="false">Val_pt*(I61-E_zero)</f>
        <v>70</v>
      </c>
      <c r="P61" s="14" t="n">
        <f aca="false">Val_pt*(J61-E_zero)</f>
        <v>70</v>
      </c>
      <c r="Q61" s="14" t="n">
        <f aca="false">Val_pt*(K61-E_zero)</f>
        <v>70</v>
      </c>
      <c r="R61" s="14" t="n">
        <f aca="false">Val_pt*(L61-E_zero)</f>
        <v>105</v>
      </c>
      <c r="S61" s="14" t="n">
        <f aca="false">Val_pt*(M61-E_zero)</f>
        <v>105</v>
      </c>
      <c r="T61" s="14" t="n">
        <f aca="false">Val_pt*(N61-E_zero)</f>
        <v>122.5</v>
      </c>
      <c r="U61" s="14" t="n">
        <f aca="false">MAX(V61+Cost_round*C61-O61,IF(C61=1,Pre_q,0))</f>
        <v>470</v>
      </c>
      <c r="V61" s="14" t="n">
        <f aca="false">MAX(W61+Cost_round*D61-P61,IF(D61=1,Pre_q,0),Floor_q)</f>
        <v>350</v>
      </c>
      <c r="W61" s="14" t="n">
        <f aca="false">MAX(X61+Cost_round*E61-Q61,IF(E61=1,Pre_q,0),Floor_q)</f>
        <v>400</v>
      </c>
      <c r="X61" s="14" t="n">
        <f aca="false">MAX(Y61+Cost_round*F61-R61,IF(F61=1,Pre_q,0),Floor_q)</f>
        <v>470</v>
      </c>
      <c r="Y61" s="14" t="n">
        <f aca="false">MAX(Z61+Cost_round*G61-S61,IF(G61=1,Pre_q,0),Floor_q)</f>
        <v>365</v>
      </c>
      <c r="Z61" s="14" t="n">
        <f aca="false">MAX(AA61+Cost_round*H61-T61,IF(H61=1,Pre_q,0),Floor_q)</f>
        <v>470</v>
      </c>
      <c r="AA61" s="14" t="n">
        <f aca="false">MAX(End_q,Floor_q)</f>
        <v>470</v>
      </c>
      <c r="AB61" s="15" t="n">
        <f aca="false">IF($B$6&gt;=U61-0.000000001,1,0)</f>
        <v>1</v>
      </c>
      <c r="AC61" s="14" t="n">
        <f aca="false">IF($AB61=1,$B$6-Cost_round*C61+O61-V61,"")</f>
        <v>220</v>
      </c>
      <c r="AD61" s="14" t="n">
        <f aca="false">IF($AB61=1,V61-Cost_round*D61+P61-W61,"")</f>
        <v>20</v>
      </c>
      <c r="AE61" s="14" t="n">
        <f aca="false">IF($AB61=1,W61-Cost_round*E61+Q61-X61,"")</f>
        <v>0</v>
      </c>
      <c r="AF61" s="14" t="n">
        <f aca="false">IF($AB61=1,X61-Cost_round*F61+R61-Y61,"")</f>
        <v>90</v>
      </c>
      <c r="AG61" s="14" t="n">
        <f aca="false">IF($AB61=1,Y61-Cost_round*G61+S61-Z61,"")</f>
        <v>0</v>
      </c>
      <c r="AH61" s="14" t="n">
        <f aca="false">IF($AB61=1,Z61-Cost_round*H61+T61-AA61,"")</f>
        <v>2.5</v>
      </c>
      <c r="AI61" s="21" t="n">
        <f aca="false">IF($AB61=1,AC61*1+AD61*Bias_b*Beta_y^1+AE61*Bias_b*Beta_y^2+AF61*Bias_b*Beta_y^3+AG61*Bias_b*Beta_y^4+AH61*Bias_b*Beta_y^5+Bias_b*Beta_y^5*T61/Hurdle_r,"")</f>
        <v>983.182966886266</v>
      </c>
    </row>
    <row r="62" customFormat="false" ht="15" hidden="false" customHeight="false" outlineLevel="0" collapsed="false">
      <c r="A62" s="2" t="n">
        <v>38</v>
      </c>
      <c r="B62" s="2" t="str">
        <f aca="false">""&amp;C62&amp;D62&amp;E62&amp;F62&amp;G62&amp;H62</f>
        <v>100110</v>
      </c>
      <c r="C62" s="15" t="n">
        <f aca="false">MOD(INT($A62/32),2)</f>
        <v>1</v>
      </c>
      <c r="D62" s="15" t="n">
        <f aca="false">MOD(INT($A62/16),2)</f>
        <v>0</v>
      </c>
      <c r="E62" s="15" t="n">
        <f aca="false">MOD(INT($A62/8),2)</f>
        <v>0</v>
      </c>
      <c r="F62" s="15" t="n">
        <f aca="false">MOD(INT($A62/4),2)</f>
        <v>1</v>
      </c>
      <c r="G62" s="15" t="n">
        <f aca="false">MOD(INT($A62/2),2)</f>
        <v>1</v>
      </c>
      <c r="H62" s="15" t="n">
        <f aca="false">MOD(INT($A62/1),2)</f>
        <v>0</v>
      </c>
      <c r="I62" s="14" t="n">
        <f aca="false">$C$6+C62*(Half_gap*(Ceiling_e-$C$6))</f>
        <v>78</v>
      </c>
      <c r="J62" s="14" t="n">
        <f aca="false">I62+D62*(Half_gap*(Ceiling_e-I62))</f>
        <v>78</v>
      </c>
      <c r="K62" s="14" t="n">
        <f aca="false">J62+E62*(Half_gap*(Ceiling_e-J62))</f>
        <v>78</v>
      </c>
      <c r="L62" s="14" t="n">
        <f aca="false">K62+F62*(Half_gap*(Ceiling_e-K62))</f>
        <v>81.5</v>
      </c>
      <c r="M62" s="14" t="n">
        <f aca="false">L62+G62*(Half_gap*(Ceiling_e-L62))</f>
        <v>83.25</v>
      </c>
      <c r="N62" s="14" t="n">
        <f aca="false">M62+H62*(Half_gap*(Ceiling_e-M62))</f>
        <v>83.25</v>
      </c>
      <c r="O62" s="14" t="n">
        <f aca="false">Val_pt*(I62-E_zero)</f>
        <v>70</v>
      </c>
      <c r="P62" s="14" t="n">
        <f aca="false">Val_pt*(J62-E_zero)</f>
        <v>70</v>
      </c>
      <c r="Q62" s="14" t="n">
        <f aca="false">Val_pt*(K62-E_zero)</f>
        <v>70</v>
      </c>
      <c r="R62" s="14" t="n">
        <f aca="false">Val_pt*(L62-E_zero)</f>
        <v>105</v>
      </c>
      <c r="S62" s="14" t="n">
        <f aca="false">Val_pt*(M62-E_zero)</f>
        <v>122.5</v>
      </c>
      <c r="T62" s="14" t="n">
        <f aca="false">Val_pt*(N62-E_zero)</f>
        <v>122.5</v>
      </c>
      <c r="U62" s="14" t="n">
        <f aca="false">MAX(V62+Cost_round*C62-O62,IF(C62=1,Pre_q,0))</f>
        <v>470</v>
      </c>
      <c r="V62" s="14" t="n">
        <f aca="false">MAX(W62+Cost_round*D62-P62,IF(D62=1,Pre_q,0),Floor_q)</f>
        <v>350</v>
      </c>
      <c r="W62" s="14" t="n">
        <f aca="false">MAX(X62+Cost_round*E62-Q62,IF(E62=1,Pre_q,0),Floor_q)</f>
        <v>415</v>
      </c>
      <c r="X62" s="14" t="n">
        <f aca="false">MAX(Y62+Cost_round*F62-R62,IF(F62=1,Pre_q,0),Floor_q)</f>
        <v>485</v>
      </c>
      <c r="Y62" s="14" t="n">
        <f aca="false">MAX(Z62+Cost_round*G62-S62,IF(G62=1,Pre_q,0),Floor_q)</f>
        <v>470</v>
      </c>
      <c r="Z62" s="14" t="n">
        <f aca="false">MAX(AA62+Cost_round*H62-T62,IF(H62=1,Pre_q,0),Floor_q)</f>
        <v>350</v>
      </c>
      <c r="AA62" s="14" t="n">
        <f aca="false">MAX(End_q,Floor_q)</f>
        <v>470</v>
      </c>
      <c r="AB62" s="15" t="n">
        <f aca="false">IF($B$6&gt;=U62-0.000000001,1,0)</f>
        <v>1</v>
      </c>
      <c r="AC62" s="14" t="n">
        <f aca="false">IF($AB62=1,$B$6-Cost_round*C62+O62-V62,"")</f>
        <v>220</v>
      </c>
      <c r="AD62" s="14" t="n">
        <f aca="false">IF($AB62=1,V62-Cost_round*D62+P62-W62,"")</f>
        <v>5</v>
      </c>
      <c r="AE62" s="14" t="n">
        <f aca="false">IF($AB62=1,W62-Cost_round*E62+Q62-X62,"")</f>
        <v>0</v>
      </c>
      <c r="AF62" s="14" t="n">
        <f aca="false">IF($AB62=1,X62-Cost_round*F62+R62-Y62,"")</f>
        <v>0</v>
      </c>
      <c r="AG62" s="14" t="n">
        <f aca="false">IF($AB62=1,Y62-Cost_round*G62+S62-Z62,"")</f>
        <v>122.5</v>
      </c>
      <c r="AH62" s="14" t="n">
        <f aca="false">IF($AB62=1,Z62-Cost_round*H62+T62-AA62,"")</f>
        <v>2.5</v>
      </c>
      <c r="AI62" s="21" t="n">
        <f aca="false">IF($AB62=1,AC62*1+AD62*Bias_b*Beta_y^1+AE62*Bias_b*Beta_y^2+AF62*Bias_b*Beta_y^3+AG62*Bias_b*Beta_y^4+AH62*Bias_b*Beta_y^5+Bias_b*Beta_y^5*T62/Hurdle_r,"")</f>
        <v>985.35597419451</v>
      </c>
    </row>
    <row r="63" customFormat="false" ht="15" hidden="false" customHeight="false" outlineLevel="0" collapsed="false">
      <c r="A63" s="2" t="n">
        <v>39</v>
      </c>
      <c r="B63" s="2" t="str">
        <f aca="false">""&amp;C63&amp;D63&amp;E63&amp;F63&amp;G63&amp;H63</f>
        <v>100111</v>
      </c>
      <c r="C63" s="15" t="n">
        <f aca="false">MOD(INT($A63/32),2)</f>
        <v>1</v>
      </c>
      <c r="D63" s="15" t="n">
        <f aca="false">MOD(INT($A63/16),2)</f>
        <v>0</v>
      </c>
      <c r="E63" s="15" t="n">
        <f aca="false">MOD(INT($A63/8),2)</f>
        <v>0</v>
      </c>
      <c r="F63" s="15" t="n">
        <f aca="false">MOD(INT($A63/4),2)</f>
        <v>1</v>
      </c>
      <c r="G63" s="15" t="n">
        <f aca="false">MOD(INT($A63/2),2)</f>
        <v>1</v>
      </c>
      <c r="H63" s="15" t="n">
        <f aca="false">MOD(INT($A63/1),2)</f>
        <v>1</v>
      </c>
      <c r="I63" s="14" t="n">
        <f aca="false">$C$6+C63*(Half_gap*(Ceiling_e-$C$6))</f>
        <v>78</v>
      </c>
      <c r="J63" s="14" t="n">
        <f aca="false">I63+D63*(Half_gap*(Ceiling_e-I63))</f>
        <v>78</v>
      </c>
      <c r="K63" s="14" t="n">
        <f aca="false">J63+E63*(Half_gap*(Ceiling_e-J63))</f>
        <v>78</v>
      </c>
      <c r="L63" s="14" t="n">
        <f aca="false">K63+F63*(Half_gap*(Ceiling_e-K63))</f>
        <v>81.5</v>
      </c>
      <c r="M63" s="14" t="n">
        <f aca="false">L63+G63*(Half_gap*(Ceiling_e-L63))</f>
        <v>83.25</v>
      </c>
      <c r="N63" s="14" t="n">
        <f aca="false">M63+H63*(Half_gap*(Ceiling_e-M63))</f>
        <v>84.125</v>
      </c>
      <c r="O63" s="14" t="n">
        <f aca="false">Val_pt*(I63-E_zero)</f>
        <v>70</v>
      </c>
      <c r="P63" s="14" t="n">
        <f aca="false">Val_pt*(J63-E_zero)</f>
        <v>70</v>
      </c>
      <c r="Q63" s="14" t="n">
        <f aca="false">Val_pt*(K63-E_zero)</f>
        <v>70</v>
      </c>
      <c r="R63" s="14" t="n">
        <f aca="false">Val_pt*(L63-E_zero)</f>
        <v>105</v>
      </c>
      <c r="S63" s="14" t="n">
        <f aca="false">Val_pt*(M63-E_zero)</f>
        <v>122.5</v>
      </c>
      <c r="T63" s="14" t="n">
        <f aca="false">Val_pt*(N63-E_zero)</f>
        <v>131.25</v>
      </c>
      <c r="U63" s="14" t="n">
        <f aca="false">MAX(V63+Cost_round*C63-O63,IF(C63=1,Pre_q,0))</f>
        <v>470</v>
      </c>
      <c r="V63" s="14" t="n">
        <f aca="false">MAX(W63+Cost_round*D63-P63,IF(D63=1,Pre_q,0),Floor_q)</f>
        <v>350</v>
      </c>
      <c r="W63" s="14" t="n">
        <f aca="false">MAX(X63+Cost_round*E63-Q63,IF(E63=1,Pre_q,0),Floor_q)</f>
        <v>415</v>
      </c>
      <c r="X63" s="14" t="n">
        <f aca="false">MAX(Y63+Cost_round*F63-R63,IF(F63=1,Pre_q,0),Floor_q)</f>
        <v>485</v>
      </c>
      <c r="Y63" s="14" t="n">
        <f aca="false">MAX(Z63+Cost_round*G63-S63,IF(G63=1,Pre_q,0),Floor_q)</f>
        <v>470</v>
      </c>
      <c r="Z63" s="14" t="n">
        <f aca="false">MAX(AA63+Cost_round*H63-T63,IF(H63=1,Pre_q,0),Floor_q)</f>
        <v>470</v>
      </c>
      <c r="AA63" s="14" t="n">
        <f aca="false">MAX(End_q,Floor_q)</f>
        <v>470</v>
      </c>
      <c r="AB63" s="15" t="n">
        <f aca="false">IF($B$6&gt;=U63-0.000000001,1,0)</f>
        <v>1</v>
      </c>
      <c r="AC63" s="14" t="n">
        <f aca="false">IF($AB63=1,$B$6-Cost_round*C63+O63-V63,"")</f>
        <v>220</v>
      </c>
      <c r="AD63" s="14" t="n">
        <f aca="false">IF($AB63=1,V63-Cost_round*D63+P63-W63,"")</f>
        <v>5</v>
      </c>
      <c r="AE63" s="14" t="n">
        <f aca="false">IF($AB63=1,W63-Cost_round*E63+Q63-X63,"")</f>
        <v>0</v>
      </c>
      <c r="AF63" s="14" t="n">
        <f aca="false">IF($AB63=1,X63-Cost_round*F63+R63-Y63,"")</f>
        <v>0</v>
      </c>
      <c r="AG63" s="14" t="n">
        <f aca="false">IF($AB63=1,Y63-Cost_round*G63+S63-Z63,"")</f>
        <v>2.5</v>
      </c>
      <c r="AH63" s="14" t="n">
        <f aca="false">IF($AB63=1,Z63-Cost_round*H63+T63-AA63,"")</f>
        <v>11.25</v>
      </c>
      <c r="AI63" s="21" t="n">
        <f aca="false">IF($AB63=1,AC63*1+AD63*Bias_b*Beta_y^1+AE63*Bias_b*Beta_y^2+AF63*Bias_b*Beta_y^3+AG63*Bias_b*Beta_y^4+AH63*Bias_b*Beta_y^5+Bias_b*Beta_y^5*T63/Hurdle_r,"")</f>
        <v>965.377830625081</v>
      </c>
    </row>
    <row r="64" customFormat="false" ht="15" hidden="false" customHeight="false" outlineLevel="0" collapsed="false">
      <c r="A64" s="2" t="n">
        <v>40</v>
      </c>
      <c r="B64" s="2" t="str">
        <f aca="false">""&amp;C64&amp;D64&amp;E64&amp;F64&amp;G64&amp;H64</f>
        <v>101000</v>
      </c>
      <c r="C64" s="15" t="n">
        <f aca="false">MOD(INT($A64/32),2)</f>
        <v>1</v>
      </c>
      <c r="D64" s="15" t="n">
        <f aca="false">MOD(INT($A64/16),2)</f>
        <v>0</v>
      </c>
      <c r="E64" s="15" t="n">
        <f aca="false">MOD(INT($A64/8),2)</f>
        <v>1</v>
      </c>
      <c r="F64" s="15" t="n">
        <f aca="false">MOD(INT($A64/4),2)</f>
        <v>0</v>
      </c>
      <c r="G64" s="15" t="n">
        <f aca="false">MOD(INT($A64/2),2)</f>
        <v>0</v>
      </c>
      <c r="H64" s="15" t="n">
        <f aca="false">MOD(INT($A64/1),2)</f>
        <v>0</v>
      </c>
      <c r="I64" s="14" t="n">
        <f aca="false">$C$6+C64*(Half_gap*(Ceiling_e-$C$6))</f>
        <v>78</v>
      </c>
      <c r="J64" s="14" t="n">
        <f aca="false">I64+D64*(Half_gap*(Ceiling_e-I64))</f>
        <v>78</v>
      </c>
      <c r="K64" s="14" t="n">
        <f aca="false">J64+E64*(Half_gap*(Ceiling_e-J64))</f>
        <v>81.5</v>
      </c>
      <c r="L64" s="14" t="n">
        <f aca="false">K64+F64*(Half_gap*(Ceiling_e-K64))</f>
        <v>81.5</v>
      </c>
      <c r="M64" s="14" t="n">
        <f aca="false">L64+G64*(Half_gap*(Ceiling_e-L64))</f>
        <v>81.5</v>
      </c>
      <c r="N64" s="14" t="n">
        <f aca="false">M64+H64*(Half_gap*(Ceiling_e-M64))</f>
        <v>81.5</v>
      </c>
      <c r="O64" s="14" t="n">
        <f aca="false">Val_pt*(I64-E_zero)</f>
        <v>70</v>
      </c>
      <c r="P64" s="14" t="n">
        <f aca="false">Val_pt*(J64-E_zero)</f>
        <v>70</v>
      </c>
      <c r="Q64" s="14" t="n">
        <f aca="false">Val_pt*(K64-E_zero)</f>
        <v>105</v>
      </c>
      <c r="R64" s="14" t="n">
        <f aca="false">Val_pt*(L64-E_zero)</f>
        <v>105</v>
      </c>
      <c r="S64" s="14" t="n">
        <f aca="false">Val_pt*(M64-E_zero)</f>
        <v>105</v>
      </c>
      <c r="T64" s="14" t="n">
        <f aca="false">Val_pt*(N64-E_zero)</f>
        <v>105</v>
      </c>
      <c r="U64" s="14" t="n">
        <f aca="false">MAX(V64+Cost_round*C64-O64,IF(C64=1,Pre_q,0))</f>
        <v>470</v>
      </c>
      <c r="V64" s="14" t="n">
        <f aca="false">MAX(W64+Cost_round*D64-P64,IF(D64=1,Pre_q,0),Floor_q)</f>
        <v>400</v>
      </c>
      <c r="W64" s="14" t="n">
        <f aca="false">MAX(X64+Cost_round*E64-Q64,IF(E64=1,Pre_q,0),Floor_q)</f>
        <v>470</v>
      </c>
      <c r="X64" s="14" t="n">
        <f aca="false">MAX(Y64+Cost_round*F64-R64,IF(F64=1,Pre_q,0),Floor_q)</f>
        <v>350</v>
      </c>
      <c r="Y64" s="14" t="n">
        <f aca="false">MAX(Z64+Cost_round*G64-S64,IF(G64=1,Pre_q,0),Floor_q)</f>
        <v>350</v>
      </c>
      <c r="Z64" s="14" t="n">
        <f aca="false">MAX(AA64+Cost_round*H64-T64,IF(H64=1,Pre_q,0),Floor_q)</f>
        <v>365</v>
      </c>
      <c r="AA64" s="14" t="n">
        <f aca="false">MAX(End_q,Floor_q)</f>
        <v>470</v>
      </c>
      <c r="AB64" s="15" t="n">
        <f aca="false">IF($B$6&gt;=U64-0.000000001,1,0)</f>
        <v>1</v>
      </c>
      <c r="AC64" s="14" t="n">
        <f aca="false">IF($AB64=1,$B$6-Cost_round*C64+O64-V64,"")</f>
        <v>170</v>
      </c>
      <c r="AD64" s="14" t="n">
        <f aca="false">IF($AB64=1,V64-Cost_round*D64+P64-W64,"")</f>
        <v>0</v>
      </c>
      <c r="AE64" s="14" t="n">
        <f aca="false">IF($AB64=1,W64-Cost_round*E64+Q64-X64,"")</f>
        <v>105</v>
      </c>
      <c r="AF64" s="14" t="n">
        <f aca="false">IF($AB64=1,X64-Cost_round*F64+R64-Y64,"")</f>
        <v>105</v>
      </c>
      <c r="AG64" s="14" t="n">
        <f aca="false">IF($AB64=1,Y64-Cost_round*G64+S64-Z64,"")</f>
        <v>90</v>
      </c>
      <c r="AH64" s="14" t="n">
        <f aca="false">IF($AB64=1,Z64-Cost_round*H64+T64-AA64,"")</f>
        <v>0</v>
      </c>
      <c r="AI64" s="21" t="n">
        <f aca="false">IF($AB64=1,AC64*1+AD64*Bias_b*Beta_y^1+AE64*Bias_b*Beta_y^2+AF64*Bias_b*Beta_y^3+AG64*Bias_b*Beta_y^4+AH64*Bias_b*Beta_y^5+Bias_b*Beta_y^5*T64/Hurdle_r,"")</f>
        <v>961.19316241439</v>
      </c>
    </row>
    <row r="65" customFormat="false" ht="15" hidden="false" customHeight="false" outlineLevel="0" collapsed="false">
      <c r="A65" s="2" t="n">
        <v>41</v>
      </c>
      <c r="B65" s="2" t="str">
        <f aca="false">""&amp;C65&amp;D65&amp;E65&amp;F65&amp;G65&amp;H65</f>
        <v>101001</v>
      </c>
      <c r="C65" s="15" t="n">
        <f aca="false">MOD(INT($A65/32),2)</f>
        <v>1</v>
      </c>
      <c r="D65" s="15" t="n">
        <f aca="false">MOD(INT($A65/16),2)</f>
        <v>0</v>
      </c>
      <c r="E65" s="15" t="n">
        <f aca="false">MOD(INT($A65/8),2)</f>
        <v>1</v>
      </c>
      <c r="F65" s="15" t="n">
        <f aca="false">MOD(INT($A65/4),2)</f>
        <v>0</v>
      </c>
      <c r="G65" s="15" t="n">
        <f aca="false">MOD(INT($A65/2),2)</f>
        <v>0</v>
      </c>
      <c r="H65" s="15" t="n">
        <f aca="false">MOD(INT($A65/1),2)</f>
        <v>1</v>
      </c>
      <c r="I65" s="14" t="n">
        <f aca="false">$C$6+C65*(Half_gap*(Ceiling_e-$C$6))</f>
        <v>78</v>
      </c>
      <c r="J65" s="14" t="n">
        <f aca="false">I65+D65*(Half_gap*(Ceiling_e-I65))</f>
        <v>78</v>
      </c>
      <c r="K65" s="14" t="n">
        <f aca="false">J65+E65*(Half_gap*(Ceiling_e-J65))</f>
        <v>81.5</v>
      </c>
      <c r="L65" s="14" t="n">
        <f aca="false">K65+F65*(Half_gap*(Ceiling_e-K65))</f>
        <v>81.5</v>
      </c>
      <c r="M65" s="14" t="n">
        <f aca="false">L65+G65*(Half_gap*(Ceiling_e-L65))</f>
        <v>81.5</v>
      </c>
      <c r="N65" s="14" t="n">
        <f aca="false">M65+H65*(Half_gap*(Ceiling_e-M65))</f>
        <v>83.25</v>
      </c>
      <c r="O65" s="14" t="n">
        <f aca="false">Val_pt*(I65-E_zero)</f>
        <v>70</v>
      </c>
      <c r="P65" s="14" t="n">
        <f aca="false">Val_pt*(J65-E_zero)</f>
        <v>70</v>
      </c>
      <c r="Q65" s="14" t="n">
        <f aca="false">Val_pt*(K65-E_zero)</f>
        <v>105</v>
      </c>
      <c r="R65" s="14" t="n">
        <f aca="false">Val_pt*(L65-E_zero)</f>
        <v>105</v>
      </c>
      <c r="S65" s="14" t="n">
        <f aca="false">Val_pt*(M65-E_zero)</f>
        <v>105</v>
      </c>
      <c r="T65" s="14" t="n">
        <f aca="false">Val_pt*(N65-E_zero)</f>
        <v>122.5</v>
      </c>
      <c r="U65" s="14" t="n">
        <f aca="false">MAX(V65+Cost_round*C65-O65,IF(C65=1,Pre_q,0))</f>
        <v>470</v>
      </c>
      <c r="V65" s="14" t="n">
        <f aca="false">MAX(W65+Cost_round*D65-P65,IF(D65=1,Pre_q,0),Floor_q)</f>
        <v>400</v>
      </c>
      <c r="W65" s="14" t="n">
        <f aca="false">MAX(X65+Cost_round*E65-Q65,IF(E65=1,Pre_q,0),Floor_q)</f>
        <v>470</v>
      </c>
      <c r="X65" s="14" t="n">
        <f aca="false">MAX(Y65+Cost_round*F65-R65,IF(F65=1,Pre_q,0),Floor_q)</f>
        <v>350</v>
      </c>
      <c r="Y65" s="14" t="n">
        <f aca="false">MAX(Z65+Cost_round*G65-S65,IF(G65=1,Pre_q,0),Floor_q)</f>
        <v>365</v>
      </c>
      <c r="Z65" s="14" t="n">
        <f aca="false">MAX(AA65+Cost_round*H65-T65,IF(H65=1,Pre_q,0),Floor_q)</f>
        <v>470</v>
      </c>
      <c r="AA65" s="14" t="n">
        <f aca="false">MAX(End_q,Floor_q)</f>
        <v>470</v>
      </c>
      <c r="AB65" s="15" t="n">
        <f aca="false">IF($B$6&gt;=U65-0.000000001,1,0)</f>
        <v>1</v>
      </c>
      <c r="AC65" s="14" t="n">
        <f aca="false">IF($AB65=1,$B$6-Cost_round*C65+O65-V65,"")</f>
        <v>170</v>
      </c>
      <c r="AD65" s="14" t="n">
        <f aca="false">IF($AB65=1,V65-Cost_round*D65+P65-W65,"")</f>
        <v>0</v>
      </c>
      <c r="AE65" s="14" t="n">
        <f aca="false">IF($AB65=1,W65-Cost_round*E65+Q65-X65,"")</f>
        <v>105</v>
      </c>
      <c r="AF65" s="14" t="n">
        <f aca="false">IF($AB65=1,X65-Cost_round*F65+R65-Y65,"")</f>
        <v>90</v>
      </c>
      <c r="AG65" s="14" t="n">
        <f aca="false">IF($AB65=1,Y65-Cost_round*G65+S65-Z65,"")</f>
        <v>0</v>
      </c>
      <c r="AH65" s="14" t="n">
        <f aca="false">IF($AB65=1,Z65-Cost_round*H65+T65-AA65,"")</f>
        <v>2.5</v>
      </c>
      <c r="AI65" s="21" t="n">
        <f aca="false">IF($AB65=1,AC65*1+AD65*Bias_b*Beta_y^1+AE65*Bias_b*Beta_y^2+AF65*Bias_b*Beta_y^3+AG65*Bias_b*Beta_y^4+AH65*Bias_b*Beta_y^5+Bias_b*Beta_y^5*T65/Hurdle_r,"")</f>
        <v>994.918504076348</v>
      </c>
    </row>
    <row r="66" customFormat="false" ht="15" hidden="false" customHeight="false" outlineLevel="0" collapsed="false">
      <c r="A66" s="2" t="n">
        <v>42</v>
      </c>
      <c r="B66" s="2" t="str">
        <f aca="false">""&amp;C66&amp;D66&amp;E66&amp;F66&amp;G66&amp;H66</f>
        <v>101010</v>
      </c>
      <c r="C66" s="15" t="n">
        <f aca="false">MOD(INT($A66/32),2)</f>
        <v>1</v>
      </c>
      <c r="D66" s="15" t="n">
        <f aca="false">MOD(INT($A66/16),2)</f>
        <v>0</v>
      </c>
      <c r="E66" s="15" t="n">
        <f aca="false">MOD(INT($A66/8),2)</f>
        <v>1</v>
      </c>
      <c r="F66" s="15" t="n">
        <f aca="false">MOD(INT($A66/4),2)</f>
        <v>0</v>
      </c>
      <c r="G66" s="15" t="n">
        <f aca="false">MOD(INT($A66/2),2)</f>
        <v>1</v>
      </c>
      <c r="H66" s="15" t="n">
        <f aca="false">MOD(INT($A66/1),2)</f>
        <v>0</v>
      </c>
      <c r="I66" s="14" t="n">
        <f aca="false">$C$6+C66*(Half_gap*(Ceiling_e-$C$6))</f>
        <v>78</v>
      </c>
      <c r="J66" s="14" t="n">
        <f aca="false">I66+D66*(Half_gap*(Ceiling_e-I66))</f>
        <v>78</v>
      </c>
      <c r="K66" s="14" t="n">
        <f aca="false">J66+E66*(Half_gap*(Ceiling_e-J66))</f>
        <v>81.5</v>
      </c>
      <c r="L66" s="14" t="n">
        <f aca="false">K66+F66*(Half_gap*(Ceiling_e-K66))</f>
        <v>81.5</v>
      </c>
      <c r="M66" s="14" t="n">
        <f aca="false">L66+G66*(Half_gap*(Ceiling_e-L66))</f>
        <v>83.25</v>
      </c>
      <c r="N66" s="14" t="n">
        <f aca="false">M66+H66*(Half_gap*(Ceiling_e-M66))</f>
        <v>83.25</v>
      </c>
      <c r="O66" s="14" t="n">
        <f aca="false">Val_pt*(I66-E_zero)</f>
        <v>70</v>
      </c>
      <c r="P66" s="14" t="n">
        <f aca="false">Val_pt*(J66-E_zero)</f>
        <v>70</v>
      </c>
      <c r="Q66" s="14" t="n">
        <f aca="false">Val_pt*(K66-E_zero)</f>
        <v>105</v>
      </c>
      <c r="R66" s="14" t="n">
        <f aca="false">Val_pt*(L66-E_zero)</f>
        <v>105</v>
      </c>
      <c r="S66" s="14" t="n">
        <f aca="false">Val_pt*(M66-E_zero)</f>
        <v>122.5</v>
      </c>
      <c r="T66" s="14" t="n">
        <f aca="false">Val_pt*(N66-E_zero)</f>
        <v>122.5</v>
      </c>
      <c r="U66" s="14" t="n">
        <f aca="false">MAX(V66+Cost_round*C66-O66,IF(C66=1,Pre_q,0))</f>
        <v>470</v>
      </c>
      <c r="V66" s="14" t="n">
        <f aca="false">MAX(W66+Cost_round*D66-P66,IF(D66=1,Pre_q,0),Floor_q)</f>
        <v>400</v>
      </c>
      <c r="W66" s="14" t="n">
        <f aca="false">MAX(X66+Cost_round*E66-Q66,IF(E66=1,Pre_q,0),Floor_q)</f>
        <v>470</v>
      </c>
      <c r="X66" s="14" t="n">
        <f aca="false">MAX(Y66+Cost_round*F66-R66,IF(F66=1,Pre_q,0),Floor_q)</f>
        <v>365</v>
      </c>
      <c r="Y66" s="14" t="n">
        <f aca="false">MAX(Z66+Cost_round*G66-S66,IF(G66=1,Pre_q,0),Floor_q)</f>
        <v>470</v>
      </c>
      <c r="Z66" s="14" t="n">
        <f aca="false">MAX(AA66+Cost_round*H66-T66,IF(H66=1,Pre_q,0),Floor_q)</f>
        <v>350</v>
      </c>
      <c r="AA66" s="14" t="n">
        <f aca="false">MAX(End_q,Floor_q)</f>
        <v>470</v>
      </c>
      <c r="AB66" s="15" t="n">
        <f aca="false">IF($B$6&gt;=U66-0.000000001,1,0)</f>
        <v>1</v>
      </c>
      <c r="AC66" s="14" t="n">
        <f aca="false">IF($AB66=1,$B$6-Cost_round*C66+O66-V66,"")</f>
        <v>170</v>
      </c>
      <c r="AD66" s="14" t="n">
        <f aca="false">IF($AB66=1,V66-Cost_round*D66+P66-W66,"")</f>
        <v>0</v>
      </c>
      <c r="AE66" s="14" t="n">
        <f aca="false">IF($AB66=1,W66-Cost_round*E66+Q66-X66,"")</f>
        <v>90</v>
      </c>
      <c r="AF66" s="14" t="n">
        <f aca="false">IF($AB66=1,X66-Cost_round*F66+R66-Y66,"")</f>
        <v>0</v>
      </c>
      <c r="AG66" s="14" t="n">
        <f aca="false">IF($AB66=1,Y66-Cost_round*G66+S66-Z66,"")</f>
        <v>122.5</v>
      </c>
      <c r="AH66" s="14" t="n">
        <f aca="false">IF($AB66=1,Z66-Cost_round*H66+T66-AA66,"")</f>
        <v>2.5</v>
      </c>
      <c r="AI66" s="21" t="n">
        <f aca="false">IF($AB66=1,AC66*1+AD66*Bias_b*Beta_y^1+AE66*Bias_b*Beta_y^2+AF66*Bias_b*Beta_y^3+AG66*Bias_b*Beta_y^4+AH66*Bias_b*Beta_y^5+Bias_b*Beta_y^5*T66/Hurdle_r,"")</f>
        <v>998.207213863931</v>
      </c>
    </row>
    <row r="67" customFormat="false" ht="15" hidden="false" customHeight="false" outlineLevel="0" collapsed="false">
      <c r="A67" s="2" t="n">
        <v>43</v>
      </c>
      <c r="B67" s="2" t="str">
        <f aca="false">""&amp;C67&amp;D67&amp;E67&amp;F67&amp;G67&amp;H67</f>
        <v>101011</v>
      </c>
      <c r="C67" s="15" t="n">
        <f aca="false">MOD(INT($A67/32),2)</f>
        <v>1</v>
      </c>
      <c r="D67" s="15" t="n">
        <f aca="false">MOD(INT($A67/16),2)</f>
        <v>0</v>
      </c>
      <c r="E67" s="15" t="n">
        <f aca="false">MOD(INT($A67/8),2)</f>
        <v>1</v>
      </c>
      <c r="F67" s="15" t="n">
        <f aca="false">MOD(INT($A67/4),2)</f>
        <v>0</v>
      </c>
      <c r="G67" s="15" t="n">
        <f aca="false">MOD(INT($A67/2),2)</f>
        <v>1</v>
      </c>
      <c r="H67" s="15" t="n">
        <f aca="false">MOD(INT($A67/1),2)</f>
        <v>1</v>
      </c>
      <c r="I67" s="14" t="n">
        <f aca="false">$C$6+C67*(Half_gap*(Ceiling_e-$C$6))</f>
        <v>78</v>
      </c>
      <c r="J67" s="14" t="n">
        <f aca="false">I67+D67*(Half_gap*(Ceiling_e-I67))</f>
        <v>78</v>
      </c>
      <c r="K67" s="14" t="n">
        <f aca="false">J67+E67*(Half_gap*(Ceiling_e-J67))</f>
        <v>81.5</v>
      </c>
      <c r="L67" s="14" t="n">
        <f aca="false">K67+F67*(Half_gap*(Ceiling_e-K67))</f>
        <v>81.5</v>
      </c>
      <c r="M67" s="14" t="n">
        <f aca="false">L67+G67*(Half_gap*(Ceiling_e-L67))</f>
        <v>83.25</v>
      </c>
      <c r="N67" s="14" t="n">
        <f aca="false">M67+H67*(Half_gap*(Ceiling_e-M67))</f>
        <v>84.125</v>
      </c>
      <c r="O67" s="14" t="n">
        <f aca="false">Val_pt*(I67-E_zero)</f>
        <v>70</v>
      </c>
      <c r="P67" s="14" t="n">
        <f aca="false">Val_pt*(J67-E_zero)</f>
        <v>70</v>
      </c>
      <c r="Q67" s="14" t="n">
        <f aca="false">Val_pt*(K67-E_zero)</f>
        <v>105</v>
      </c>
      <c r="R67" s="14" t="n">
        <f aca="false">Val_pt*(L67-E_zero)</f>
        <v>105</v>
      </c>
      <c r="S67" s="14" t="n">
        <f aca="false">Val_pt*(M67-E_zero)</f>
        <v>122.5</v>
      </c>
      <c r="T67" s="14" t="n">
        <f aca="false">Val_pt*(N67-E_zero)</f>
        <v>131.25</v>
      </c>
      <c r="U67" s="14" t="n">
        <f aca="false">MAX(V67+Cost_round*C67-O67,IF(C67=1,Pre_q,0))</f>
        <v>470</v>
      </c>
      <c r="V67" s="14" t="n">
        <f aca="false">MAX(W67+Cost_round*D67-P67,IF(D67=1,Pre_q,0),Floor_q)</f>
        <v>400</v>
      </c>
      <c r="W67" s="14" t="n">
        <f aca="false">MAX(X67+Cost_round*E67-Q67,IF(E67=1,Pre_q,0),Floor_q)</f>
        <v>470</v>
      </c>
      <c r="X67" s="14" t="n">
        <f aca="false">MAX(Y67+Cost_round*F67-R67,IF(F67=1,Pre_q,0),Floor_q)</f>
        <v>365</v>
      </c>
      <c r="Y67" s="14" t="n">
        <f aca="false">MAX(Z67+Cost_round*G67-S67,IF(G67=1,Pre_q,0),Floor_q)</f>
        <v>470</v>
      </c>
      <c r="Z67" s="14" t="n">
        <f aca="false">MAX(AA67+Cost_round*H67-T67,IF(H67=1,Pre_q,0),Floor_q)</f>
        <v>470</v>
      </c>
      <c r="AA67" s="14" t="n">
        <f aca="false">MAX(End_q,Floor_q)</f>
        <v>470</v>
      </c>
      <c r="AB67" s="15" t="n">
        <f aca="false">IF($B$6&gt;=U67-0.000000001,1,0)</f>
        <v>1</v>
      </c>
      <c r="AC67" s="14" t="n">
        <f aca="false">IF($AB67=1,$B$6-Cost_round*C67+O67-V67,"")</f>
        <v>170</v>
      </c>
      <c r="AD67" s="14" t="n">
        <f aca="false">IF($AB67=1,V67-Cost_round*D67+P67-W67,"")</f>
        <v>0</v>
      </c>
      <c r="AE67" s="14" t="n">
        <f aca="false">IF($AB67=1,W67-Cost_round*E67+Q67-X67,"")</f>
        <v>90</v>
      </c>
      <c r="AF67" s="14" t="n">
        <f aca="false">IF($AB67=1,X67-Cost_round*F67+R67-Y67,"")</f>
        <v>0</v>
      </c>
      <c r="AG67" s="14" t="n">
        <f aca="false">IF($AB67=1,Y67-Cost_round*G67+S67-Z67,"")</f>
        <v>2.5</v>
      </c>
      <c r="AH67" s="14" t="n">
        <f aca="false">IF($AB67=1,Z67-Cost_round*H67+T67-AA67,"")</f>
        <v>11.25</v>
      </c>
      <c r="AI67" s="21" t="n">
        <f aca="false">IF($AB67=1,AC67*1+AD67*Bias_b*Beta_y^1+AE67*Bias_b*Beta_y^2+AF67*Bias_b*Beta_y^3+AG67*Bias_b*Beta_y^4+AH67*Bias_b*Beta_y^5+Bias_b*Beta_y^5*T67/Hurdle_r,"")</f>
        <v>978.229070294503</v>
      </c>
    </row>
    <row r="68" customFormat="false" ht="15" hidden="false" customHeight="false" outlineLevel="0" collapsed="false">
      <c r="A68" s="2" t="n">
        <v>44</v>
      </c>
      <c r="B68" s="2" t="str">
        <f aca="false">""&amp;C68&amp;D68&amp;E68&amp;F68&amp;G68&amp;H68</f>
        <v>101100</v>
      </c>
      <c r="C68" s="15" t="n">
        <f aca="false">MOD(INT($A68/32),2)</f>
        <v>1</v>
      </c>
      <c r="D68" s="15" t="n">
        <f aca="false">MOD(INT($A68/16),2)</f>
        <v>0</v>
      </c>
      <c r="E68" s="15" t="n">
        <f aca="false">MOD(INT($A68/8),2)</f>
        <v>1</v>
      </c>
      <c r="F68" s="15" t="n">
        <f aca="false">MOD(INT($A68/4),2)</f>
        <v>1</v>
      </c>
      <c r="G68" s="15" t="n">
        <f aca="false">MOD(INT($A68/2),2)</f>
        <v>0</v>
      </c>
      <c r="H68" s="15" t="n">
        <f aca="false">MOD(INT($A68/1),2)</f>
        <v>0</v>
      </c>
      <c r="I68" s="14" t="n">
        <f aca="false">$C$6+C68*(Half_gap*(Ceiling_e-$C$6))</f>
        <v>78</v>
      </c>
      <c r="J68" s="14" t="n">
        <f aca="false">I68+D68*(Half_gap*(Ceiling_e-I68))</f>
        <v>78</v>
      </c>
      <c r="K68" s="14" t="n">
        <f aca="false">J68+E68*(Half_gap*(Ceiling_e-J68))</f>
        <v>81.5</v>
      </c>
      <c r="L68" s="14" t="n">
        <f aca="false">K68+F68*(Half_gap*(Ceiling_e-K68))</f>
        <v>83.25</v>
      </c>
      <c r="M68" s="14" t="n">
        <f aca="false">L68+G68*(Half_gap*(Ceiling_e-L68))</f>
        <v>83.25</v>
      </c>
      <c r="N68" s="14" t="n">
        <f aca="false">M68+H68*(Half_gap*(Ceiling_e-M68))</f>
        <v>83.25</v>
      </c>
      <c r="O68" s="14" t="n">
        <f aca="false">Val_pt*(I68-E_zero)</f>
        <v>70</v>
      </c>
      <c r="P68" s="14" t="n">
        <f aca="false">Val_pt*(J68-E_zero)</f>
        <v>70</v>
      </c>
      <c r="Q68" s="14" t="n">
        <f aca="false">Val_pt*(K68-E_zero)</f>
        <v>105</v>
      </c>
      <c r="R68" s="14" t="n">
        <f aca="false">Val_pt*(L68-E_zero)</f>
        <v>122.5</v>
      </c>
      <c r="S68" s="14" t="n">
        <f aca="false">Val_pt*(M68-E_zero)</f>
        <v>122.5</v>
      </c>
      <c r="T68" s="14" t="n">
        <f aca="false">Val_pt*(N68-E_zero)</f>
        <v>122.5</v>
      </c>
      <c r="U68" s="14" t="n">
        <f aca="false">MAX(V68+Cost_round*C68-O68,IF(C68=1,Pre_q,0))</f>
        <v>470</v>
      </c>
      <c r="V68" s="14" t="n">
        <f aca="false">MAX(W68+Cost_round*D68-P68,IF(D68=1,Pre_q,0),Floor_q)</f>
        <v>415</v>
      </c>
      <c r="W68" s="14" t="n">
        <f aca="false">MAX(X68+Cost_round*E68-Q68,IF(E68=1,Pre_q,0),Floor_q)</f>
        <v>485</v>
      </c>
      <c r="X68" s="14" t="n">
        <f aca="false">MAX(Y68+Cost_round*F68-R68,IF(F68=1,Pre_q,0),Floor_q)</f>
        <v>470</v>
      </c>
      <c r="Y68" s="14" t="n">
        <f aca="false">MAX(Z68+Cost_round*G68-S68,IF(G68=1,Pre_q,0),Floor_q)</f>
        <v>350</v>
      </c>
      <c r="Z68" s="14" t="n">
        <f aca="false">MAX(AA68+Cost_round*H68-T68,IF(H68=1,Pre_q,0),Floor_q)</f>
        <v>350</v>
      </c>
      <c r="AA68" s="14" t="n">
        <f aca="false">MAX(End_q,Floor_q)</f>
        <v>470</v>
      </c>
      <c r="AB68" s="15" t="n">
        <f aca="false">IF($B$6&gt;=U68-0.000000001,1,0)</f>
        <v>1</v>
      </c>
      <c r="AC68" s="14" t="n">
        <f aca="false">IF($AB68=1,$B$6-Cost_round*C68+O68-V68,"")</f>
        <v>155</v>
      </c>
      <c r="AD68" s="14" t="n">
        <f aca="false">IF($AB68=1,V68-Cost_round*D68+P68-W68,"")</f>
        <v>0</v>
      </c>
      <c r="AE68" s="14" t="n">
        <f aca="false">IF($AB68=1,W68-Cost_round*E68+Q68-X68,"")</f>
        <v>0</v>
      </c>
      <c r="AF68" s="14" t="n">
        <f aca="false">IF($AB68=1,X68-Cost_round*F68+R68-Y68,"")</f>
        <v>122.5</v>
      </c>
      <c r="AG68" s="14" t="n">
        <f aca="false">IF($AB68=1,Y68-Cost_round*G68+S68-Z68,"")</f>
        <v>122.5</v>
      </c>
      <c r="AH68" s="14" t="n">
        <f aca="false">IF($AB68=1,Z68-Cost_round*H68+T68-AA68,"")</f>
        <v>2.5</v>
      </c>
      <c r="AI68" s="21" t="n">
        <f aca="false">IF($AB68=1,AC68*1+AD68*Bias_b*Beta_y^1+AE68*Bias_b*Beta_y^2+AF68*Bias_b*Beta_y^3+AG68*Bias_b*Beta_y^4+AH68*Bias_b*Beta_y^5+Bias_b*Beta_y^5*T68/Hurdle_r,"")</f>
        <v>999.097521903</v>
      </c>
    </row>
    <row r="69" customFormat="false" ht="15" hidden="false" customHeight="false" outlineLevel="0" collapsed="false">
      <c r="A69" s="2" t="n">
        <v>45</v>
      </c>
      <c r="B69" s="2" t="str">
        <f aca="false">""&amp;C69&amp;D69&amp;E69&amp;F69&amp;G69&amp;H69</f>
        <v>101101</v>
      </c>
      <c r="C69" s="15" t="n">
        <f aca="false">MOD(INT($A69/32),2)</f>
        <v>1</v>
      </c>
      <c r="D69" s="15" t="n">
        <f aca="false">MOD(INT($A69/16),2)</f>
        <v>0</v>
      </c>
      <c r="E69" s="15" t="n">
        <f aca="false">MOD(INT($A69/8),2)</f>
        <v>1</v>
      </c>
      <c r="F69" s="15" t="n">
        <f aca="false">MOD(INT($A69/4),2)</f>
        <v>1</v>
      </c>
      <c r="G69" s="15" t="n">
        <f aca="false">MOD(INT($A69/2),2)</f>
        <v>0</v>
      </c>
      <c r="H69" s="15" t="n">
        <f aca="false">MOD(INT($A69/1),2)</f>
        <v>1</v>
      </c>
      <c r="I69" s="14" t="n">
        <f aca="false">$C$6+C69*(Half_gap*(Ceiling_e-$C$6))</f>
        <v>78</v>
      </c>
      <c r="J69" s="14" t="n">
        <f aca="false">I69+D69*(Half_gap*(Ceiling_e-I69))</f>
        <v>78</v>
      </c>
      <c r="K69" s="14" t="n">
        <f aca="false">J69+E69*(Half_gap*(Ceiling_e-J69))</f>
        <v>81.5</v>
      </c>
      <c r="L69" s="14" t="n">
        <f aca="false">K69+F69*(Half_gap*(Ceiling_e-K69))</f>
        <v>83.25</v>
      </c>
      <c r="M69" s="14" t="n">
        <f aca="false">L69+G69*(Half_gap*(Ceiling_e-L69))</f>
        <v>83.25</v>
      </c>
      <c r="N69" s="14" t="n">
        <f aca="false">M69+H69*(Half_gap*(Ceiling_e-M69))</f>
        <v>84.125</v>
      </c>
      <c r="O69" s="14" t="n">
        <f aca="false">Val_pt*(I69-E_zero)</f>
        <v>70</v>
      </c>
      <c r="P69" s="14" t="n">
        <f aca="false">Val_pt*(J69-E_zero)</f>
        <v>70</v>
      </c>
      <c r="Q69" s="14" t="n">
        <f aca="false">Val_pt*(K69-E_zero)</f>
        <v>105</v>
      </c>
      <c r="R69" s="14" t="n">
        <f aca="false">Val_pt*(L69-E_zero)</f>
        <v>122.5</v>
      </c>
      <c r="S69" s="14" t="n">
        <f aca="false">Val_pt*(M69-E_zero)</f>
        <v>122.5</v>
      </c>
      <c r="T69" s="14" t="n">
        <f aca="false">Val_pt*(N69-E_zero)</f>
        <v>131.25</v>
      </c>
      <c r="U69" s="14" t="n">
        <f aca="false">MAX(V69+Cost_round*C69-O69,IF(C69=1,Pre_q,0))</f>
        <v>470</v>
      </c>
      <c r="V69" s="14" t="n">
        <f aca="false">MAX(W69+Cost_round*D69-P69,IF(D69=1,Pre_q,0),Floor_q)</f>
        <v>415</v>
      </c>
      <c r="W69" s="14" t="n">
        <f aca="false">MAX(X69+Cost_round*E69-Q69,IF(E69=1,Pre_q,0),Floor_q)</f>
        <v>485</v>
      </c>
      <c r="X69" s="14" t="n">
        <f aca="false">MAX(Y69+Cost_round*F69-R69,IF(F69=1,Pre_q,0),Floor_q)</f>
        <v>470</v>
      </c>
      <c r="Y69" s="14" t="n">
        <f aca="false">MAX(Z69+Cost_round*G69-S69,IF(G69=1,Pre_q,0),Floor_q)</f>
        <v>350</v>
      </c>
      <c r="Z69" s="14" t="n">
        <f aca="false">MAX(AA69+Cost_round*H69-T69,IF(H69=1,Pre_q,0),Floor_q)</f>
        <v>470</v>
      </c>
      <c r="AA69" s="14" t="n">
        <f aca="false">MAX(End_q,Floor_q)</f>
        <v>470</v>
      </c>
      <c r="AB69" s="15" t="n">
        <f aca="false">IF($B$6&gt;=U69-0.000000001,1,0)</f>
        <v>1</v>
      </c>
      <c r="AC69" s="14" t="n">
        <f aca="false">IF($AB69=1,$B$6-Cost_round*C69+O69-V69,"")</f>
        <v>155</v>
      </c>
      <c r="AD69" s="14" t="n">
        <f aca="false">IF($AB69=1,V69-Cost_round*D69+P69-W69,"")</f>
        <v>0</v>
      </c>
      <c r="AE69" s="14" t="n">
        <f aca="false">IF($AB69=1,W69-Cost_round*E69+Q69-X69,"")</f>
        <v>0</v>
      </c>
      <c r="AF69" s="14" t="n">
        <f aca="false">IF($AB69=1,X69-Cost_round*F69+R69-Y69,"")</f>
        <v>122.5</v>
      </c>
      <c r="AG69" s="14" t="n">
        <f aca="false">IF($AB69=1,Y69-Cost_round*G69+S69-Z69,"")</f>
        <v>2.5</v>
      </c>
      <c r="AH69" s="14" t="n">
        <f aca="false">IF($AB69=1,Z69-Cost_round*H69+T69-AA69,"")</f>
        <v>11.25</v>
      </c>
      <c r="AI69" s="21" t="n">
        <f aca="false">IF($AB69=1,AC69*1+AD69*Bias_b*Beta_y^1+AE69*Bias_b*Beta_y^2+AF69*Bias_b*Beta_y^3+AG69*Bias_b*Beta_y^4+AH69*Bias_b*Beta_y^5+Bias_b*Beta_y^5*T69/Hurdle_r,"")</f>
        <v>979.119378333571</v>
      </c>
    </row>
    <row r="70" customFormat="false" ht="15" hidden="false" customHeight="false" outlineLevel="0" collapsed="false">
      <c r="A70" s="2" t="n">
        <v>46</v>
      </c>
      <c r="B70" s="2" t="str">
        <f aca="false">""&amp;C70&amp;D70&amp;E70&amp;F70&amp;G70&amp;H70</f>
        <v>101110</v>
      </c>
      <c r="C70" s="15" t="n">
        <f aca="false">MOD(INT($A70/32),2)</f>
        <v>1</v>
      </c>
      <c r="D70" s="15" t="n">
        <f aca="false">MOD(INT($A70/16),2)</f>
        <v>0</v>
      </c>
      <c r="E70" s="15" t="n">
        <f aca="false">MOD(INT($A70/8),2)</f>
        <v>1</v>
      </c>
      <c r="F70" s="15" t="n">
        <f aca="false">MOD(INT($A70/4),2)</f>
        <v>1</v>
      </c>
      <c r="G70" s="15" t="n">
        <f aca="false">MOD(INT($A70/2),2)</f>
        <v>1</v>
      </c>
      <c r="H70" s="15" t="n">
        <f aca="false">MOD(INT($A70/1),2)</f>
        <v>0</v>
      </c>
      <c r="I70" s="14" t="n">
        <f aca="false">$C$6+C70*(Half_gap*(Ceiling_e-$C$6))</f>
        <v>78</v>
      </c>
      <c r="J70" s="14" t="n">
        <f aca="false">I70+D70*(Half_gap*(Ceiling_e-I70))</f>
        <v>78</v>
      </c>
      <c r="K70" s="14" t="n">
        <f aca="false">J70+E70*(Half_gap*(Ceiling_e-J70))</f>
        <v>81.5</v>
      </c>
      <c r="L70" s="14" t="n">
        <f aca="false">K70+F70*(Half_gap*(Ceiling_e-K70))</f>
        <v>83.25</v>
      </c>
      <c r="M70" s="14" t="n">
        <f aca="false">L70+G70*(Half_gap*(Ceiling_e-L70))</f>
        <v>84.125</v>
      </c>
      <c r="N70" s="14" t="n">
        <f aca="false">M70+H70*(Half_gap*(Ceiling_e-M70))</f>
        <v>84.125</v>
      </c>
      <c r="O70" s="14" t="n">
        <f aca="false">Val_pt*(I70-E_zero)</f>
        <v>70</v>
      </c>
      <c r="P70" s="14" t="n">
        <f aca="false">Val_pt*(J70-E_zero)</f>
        <v>70</v>
      </c>
      <c r="Q70" s="14" t="n">
        <f aca="false">Val_pt*(K70-E_zero)</f>
        <v>105</v>
      </c>
      <c r="R70" s="14" t="n">
        <f aca="false">Val_pt*(L70-E_zero)</f>
        <v>122.5</v>
      </c>
      <c r="S70" s="14" t="n">
        <f aca="false">Val_pt*(M70-E_zero)</f>
        <v>131.25</v>
      </c>
      <c r="T70" s="14" t="n">
        <f aca="false">Val_pt*(N70-E_zero)</f>
        <v>131.25</v>
      </c>
      <c r="U70" s="14" t="n">
        <f aca="false">MAX(V70+Cost_round*C70-O70,IF(C70=1,Pre_q,0))</f>
        <v>470</v>
      </c>
      <c r="V70" s="14" t="n">
        <f aca="false">MAX(W70+Cost_round*D70-P70,IF(D70=1,Pre_q,0),Floor_q)</f>
        <v>415</v>
      </c>
      <c r="W70" s="14" t="n">
        <f aca="false">MAX(X70+Cost_round*E70-Q70,IF(E70=1,Pre_q,0),Floor_q)</f>
        <v>485</v>
      </c>
      <c r="X70" s="14" t="n">
        <f aca="false">MAX(Y70+Cost_round*F70-R70,IF(F70=1,Pre_q,0),Floor_q)</f>
        <v>470</v>
      </c>
      <c r="Y70" s="14" t="n">
        <f aca="false">MAX(Z70+Cost_round*G70-S70,IF(G70=1,Pre_q,0),Floor_q)</f>
        <v>470</v>
      </c>
      <c r="Z70" s="14" t="n">
        <f aca="false">MAX(AA70+Cost_round*H70-T70,IF(H70=1,Pre_q,0),Floor_q)</f>
        <v>350</v>
      </c>
      <c r="AA70" s="14" t="n">
        <f aca="false">MAX(End_q,Floor_q)</f>
        <v>470</v>
      </c>
      <c r="AB70" s="15" t="n">
        <f aca="false">IF($B$6&gt;=U70-0.000000001,1,0)</f>
        <v>1</v>
      </c>
      <c r="AC70" s="14" t="n">
        <f aca="false">IF($AB70=1,$B$6-Cost_round*C70+O70-V70,"")</f>
        <v>155</v>
      </c>
      <c r="AD70" s="14" t="n">
        <f aca="false">IF($AB70=1,V70-Cost_round*D70+P70-W70,"")</f>
        <v>0</v>
      </c>
      <c r="AE70" s="14" t="n">
        <f aca="false">IF($AB70=1,W70-Cost_round*E70+Q70-X70,"")</f>
        <v>0</v>
      </c>
      <c r="AF70" s="14" t="n">
        <f aca="false">IF($AB70=1,X70-Cost_round*F70+R70-Y70,"")</f>
        <v>2.5</v>
      </c>
      <c r="AG70" s="14" t="n">
        <f aca="false">IF($AB70=1,Y70-Cost_round*G70+S70-Z70,"")</f>
        <v>131.25</v>
      </c>
      <c r="AH70" s="14" t="n">
        <f aca="false">IF($AB70=1,Z70-Cost_round*H70+T70-AA70,"")</f>
        <v>11.25</v>
      </c>
      <c r="AI70" s="21" t="n">
        <f aca="false">IF($AB70=1,AC70*1+AD70*Bias_b*Beta_y^1+AE70*Bias_b*Beta_y^2+AF70*Bias_b*Beta_y^3+AG70*Bias_b*Beta_y^4+AH70*Bias_b*Beta_y^5+Bias_b*Beta_y^5*T70/Hurdle_r,"")</f>
        <v>977.121563976628</v>
      </c>
    </row>
    <row r="71" customFormat="false" ht="15" hidden="false" customHeight="false" outlineLevel="0" collapsed="false">
      <c r="A71" s="2" t="n">
        <v>47</v>
      </c>
      <c r="B71" s="2" t="str">
        <f aca="false">""&amp;C71&amp;D71&amp;E71&amp;F71&amp;G71&amp;H71</f>
        <v>101111</v>
      </c>
      <c r="C71" s="15" t="n">
        <f aca="false">MOD(INT($A71/32),2)</f>
        <v>1</v>
      </c>
      <c r="D71" s="15" t="n">
        <f aca="false">MOD(INT($A71/16),2)</f>
        <v>0</v>
      </c>
      <c r="E71" s="15" t="n">
        <f aca="false">MOD(INT($A71/8),2)</f>
        <v>1</v>
      </c>
      <c r="F71" s="15" t="n">
        <f aca="false">MOD(INT($A71/4),2)</f>
        <v>1</v>
      </c>
      <c r="G71" s="15" t="n">
        <f aca="false">MOD(INT($A71/2),2)</f>
        <v>1</v>
      </c>
      <c r="H71" s="15" t="n">
        <f aca="false">MOD(INT($A71/1),2)</f>
        <v>1</v>
      </c>
      <c r="I71" s="14" t="n">
        <f aca="false">$C$6+C71*(Half_gap*(Ceiling_e-$C$6))</f>
        <v>78</v>
      </c>
      <c r="J71" s="14" t="n">
        <f aca="false">I71+D71*(Half_gap*(Ceiling_e-I71))</f>
        <v>78</v>
      </c>
      <c r="K71" s="14" t="n">
        <f aca="false">J71+E71*(Half_gap*(Ceiling_e-J71))</f>
        <v>81.5</v>
      </c>
      <c r="L71" s="14" t="n">
        <f aca="false">K71+F71*(Half_gap*(Ceiling_e-K71))</f>
        <v>83.25</v>
      </c>
      <c r="M71" s="14" t="n">
        <f aca="false">L71+G71*(Half_gap*(Ceiling_e-L71))</f>
        <v>84.125</v>
      </c>
      <c r="N71" s="14" t="n">
        <f aca="false">M71+H71*(Half_gap*(Ceiling_e-M71))</f>
        <v>84.5625</v>
      </c>
      <c r="O71" s="14" t="n">
        <f aca="false">Val_pt*(I71-E_zero)</f>
        <v>70</v>
      </c>
      <c r="P71" s="14" t="n">
        <f aca="false">Val_pt*(J71-E_zero)</f>
        <v>70</v>
      </c>
      <c r="Q71" s="14" t="n">
        <f aca="false">Val_pt*(K71-E_zero)</f>
        <v>105</v>
      </c>
      <c r="R71" s="14" t="n">
        <f aca="false">Val_pt*(L71-E_zero)</f>
        <v>122.5</v>
      </c>
      <c r="S71" s="14" t="n">
        <f aca="false">Val_pt*(M71-E_zero)</f>
        <v>131.25</v>
      </c>
      <c r="T71" s="14" t="n">
        <f aca="false">Val_pt*(N71-E_zero)</f>
        <v>135.625</v>
      </c>
      <c r="U71" s="14" t="n">
        <f aca="false">MAX(V71+Cost_round*C71-O71,IF(C71=1,Pre_q,0))</f>
        <v>470</v>
      </c>
      <c r="V71" s="14" t="n">
        <f aca="false">MAX(W71+Cost_round*D71-P71,IF(D71=1,Pre_q,0),Floor_q)</f>
        <v>415</v>
      </c>
      <c r="W71" s="14" t="n">
        <f aca="false">MAX(X71+Cost_round*E71-Q71,IF(E71=1,Pre_q,0),Floor_q)</f>
        <v>485</v>
      </c>
      <c r="X71" s="14" t="n">
        <f aca="false">MAX(Y71+Cost_round*F71-R71,IF(F71=1,Pre_q,0),Floor_q)</f>
        <v>470</v>
      </c>
      <c r="Y71" s="14" t="n">
        <f aca="false">MAX(Z71+Cost_round*G71-S71,IF(G71=1,Pre_q,0),Floor_q)</f>
        <v>470</v>
      </c>
      <c r="Z71" s="14" t="n">
        <f aca="false">MAX(AA71+Cost_round*H71-T71,IF(H71=1,Pre_q,0),Floor_q)</f>
        <v>470</v>
      </c>
      <c r="AA71" s="14" t="n">
        <f aca="false">MAX(End_q,Floor_q)</f>
        <v>470</v>
      </c>
      <c r="AB71" s="15" t="n">
        <f aca="false">IF($B$6&gt;=U71-0.000000001,1,0)</f>
        <v>1</v>
      </c>
      <c r="AC71" s="14" t="n">
        <f aca="false">IF($AB71=1,$B$6-Cost_round*C71+O71-V71,"")</f>
        <v>155</v>
      </c>
      <c r="AD71" s="14" t="n">
        <f aca="false">IF($AB71=1,V71-Cost_round*D71+P71-W71,"")</f>
        <v>0</v>
      </c>
      <c r="AE71" s="14" t="n">
        <f aca="false">IF($AB71=1,W71-Cost_round*E71+Q71-X71,"")</f>
        <v>0</v>
      </c>
      <c r="AF71" s="14" t="n">
        <f aca="false">IF($AB71=1,X71-Cost_round*F71+R71-Y71,"")</f>
        <v>2.5</v>
      </c>
      <c r="AG71" s="14" t="n">
        <f aca="false">IF($AB71=1,Y71-Cost_round*G71+S71-Z71,"")</f>
        <v>11.25</v>
      </c>
      <c r="AH71" s="14" t="n">
        <f aca="false">IF($AB71=1,Z71-Cost_round*H71+T71-AA71,"")</f>
        <v>15.625</v>
      </c>
      <c r="AI71" s="21" t="n">
        <f aca="false">IF($AB71=1,AC71*1+AD71*Bias_b*Beta_y^1+AE71*Bias_b*Beta_y^2+AF71*Bias_b*Beta_y^3+AG71*Bias_b*Beta_y^4+AH71*Bias_b*Beta_y^5+Bias_b*Beta_y^5*T71/Hurdle_r,"")</f>
        <v>930.249765602201</v>
      </c>
    </row>
    <row r="72" customFormat="false" ht="15" hidden="false" customHeight="false" outlineLevel="0" collapsed="false">
      <c r="A72" s="2" t="n">
        <v>48</v>
      </c>
      <c r="B72" s="2" t="str">
        <f aca="false">""&amp;C72&amp;D72&amp;E72&amp;F72&amp;G72&amp;H72</f>
        <v>110000</v>
      </c>
      <c r="C72" s="15" t="n">
        <f aca="false">MOD(INT($A72/32),2)</f>
        <v>1</v>
      </c>
      <c r="D72" s="15" t="n">
        <f aca="false">MOD(INT($A72/16),2)</f>
        <v>1</v>
      </c>
      <c r="E72" s="15" t="n">
        <f aca="false">MOD(INT($A72/8),2)</f>
        <v>0</v>
      </c>
      <c r="F72" s="15" t="n">
        <f aca="false">MOD(INT($A72/4),2)</f>
        <v>0</v>
      </c>
      <c r="G72" s="15" t="n">
        <f aca="false">MOD(INT($A72/2),2)</f>
        <v>0</v>
      </c>
      <c r="H72" s="15" t="n">
        <f aca="false">MOD(INT($A72/1),2)</f>
        <v>0</v>
      </c>
      <c r="I72" s="14" t="n">
        <f aca="false">$C$6+C72*(Half_gap*(Ceiling_e-$C$6))</f>
        <v>78</v>
      </c>
      <c r="J72" s="14" t="n">
        <f aca="false">I72+D72*(Half_gap*(Ceiling_e-I72))</f>
        <v>81.5</v>
      </c>
      <c r="K72" s="14" t="n">
        <f aca="false">J72+E72*(Half_gap*(Ceiling_e-J72))</f>
        <v>81.5</v>
      </c>
      <c r="L72" s="14" t="n">
        <f aca="false">K72+F72*(Half_gap*(Ceiling_e-K72))</f>
        <v>81.5</v>
      </c>
      <c r="M72" s="14" t="n">
        <f aca="false">L72+G72*(Half_gap*(Ceiling_e-L72))</f>
        <v>81.5</v>
      </c>
      <c r="N72" s="14" t="n">
        <f aca="false">M72+H72*(Half_gap*(Ceiling_e-M72))</f>
        <v>81.5</v>
      </c>
      <c r="O72" s="14" t="n">
        <f aca="false">Val_pt*(I72-E_zero)</f>
        <v>70</v>
      </c>
      <c r="P72" s="14" t="n">
        <f aca="false">Val_pt*(J72-E_zero)</f>
        <v>105</v>
      </c>
      <c r="Q72" s="14" t="n">
        <f aca="false">Val_pt*(K72-E_zero)</f>
        <v>105</v>
      </c>
      <c r="R72" s="14" t="n">
        <f aca="false">Val_pt*(L72-E_zero)</f>
        <v>105</v>
      </c>
      <c r="S72" s="14" t="n">
        <f aca="false">Val_pt*(M72-E_zero)</f>
        <v>105</v>
      </c>
      <c r="T72" s="14" t="n">
        <f aca="false">Val_pt*(N72-E_zero)</f>
        <v>105</v>
      </c>
      <c r="U72" s="14" t="n">
        <f aca="false">MAX(V72+Cost_round*C72-O72,IF(C72=1,Pre_q,0))</f>
        <v>520</v>
      </c>
      <c r="V72" s="14" t="n">
        <f aca="false">MAX(W72+Cost_round*D72-P72,IF(D72=1,Pre_q,0),Floor_q)</f>
        <v>470</v>
      </c>
      <c r="W72" s="14" t="n">
        <f aca="false">MAX(X72+Cost_round*E72-Q72,IF(E72=1,Pre_q,0),Floor_q)</f>
        <v>350</v>
      </c>
      <c r="X72" s="14" t="n">
        <f aca="false">MAX(Y72+Cost_round*F72-R72,IF(F72=1,Pre_q,0),Floor_q)</f>
        <v>350</v>
      </c>
      <c r="Y72" s="14" t="n">
        <f aca="false">MAX(Z72+Cost_round*G72-S72,IF(G72=1,Pre_q,0),Floor_q)</f>
        <v>350</v>
      </c>
      <c r="Z72" s="14" t="n">
        <f aca="false">MAX(AA72+Cost_round*H72-T72,IF(H72=1,Pre_q,0),Floor_q)</f>
        <v>365</v>
      </c>
      <c r="AA72" s="14" t="n">
        <f aca="false">MAX(End_q,Floor_q)</f>
        <v>470</v>
      </c>
      <c r="AB72" s="15" t="n">
        <f aca="false">IF($B$6&gt;=U72-0.000000001,1,0)</f>
        <v>1</v>
      </c>
      <c r="AC72" s="14" t="n">
        <f aca="false">IF($AB72=1,$B$6-Cost_round*C72+O72-V72,"")</f>
        <v>100</v>
      </c>
      <c r="AD72" s="14" t="n">
        <f aca="false">IF($AB72=1,V72-Cost_round*D72+P72-W72,"")</f>
        <v>105</v>
      </c>
      <c r="AE72" s="14" t="n">
        <f aca="false">IF($AB72=1,W72-Cost_round*E72+Q72-X72,"")</f>
        <v>105</v>
      </c>
      <c r="AF72" s="14" t="n">
        <f aca="false">IF($AB72=1,X72-Cost_round*F72+R72-Y72,"")</f>
        <v>105</v>
      </c>
      <c r="AG72" s="14" t="n">
        <f aca="false">IF($AB72=1,Y72-Cost_round*G72+S72-Z72,"")</f>
        <v>90</v>
      </c>
      <c r="AH72" s="14" t="n">
        <f aca="false">IF($AB72=1,Z72-Cost_round*H72+T72-AA72,"")</f>
        <v>0</v>
      </c>
      <c r="AI72" s="21" t="n">
        <f aca="false">IF($AB72=1,AC72*1+AD72*Bias_b*Beta_y^1+AE72*Bias_b*Beta_y^2+AF72*Bias_b*Beta_y^3+AG72*Bias_b*Beta_y^4+AH72*Bias_b*Beta_y^5+Bias_b*Beta_y^5*T72/Hurdle_r,"")</f>
        <v>977.102253323481</v>
      </c>
    </row>
    <row r="73" customFormat="false" ht="15" hidden="false" customHeight="false" outlineLevel="0" collapsed="false">
      <c r="A73" s="2" t="n">
        <v>49</v>
      </c>
      <c r="B73" s="2" t="str">
        <f aca="false">""&amp;C73&amp;D73&amp;E73&amp;F73&amp;G73&amp;H73</f>
        <v>110001</v>
      </c>
      <c r="C73" s="15" t="n">
        <f aca="false">MOD(INT($A73/32),2)</f>
        <v>1</v>
      </c>
      <c r="D73" s="15" t="n">
        <f aca="false">MOD(INT($A73/16),2)</f>
        <v>1</v>
      </c>
      <c r="E73" s="15" t="n">
        <f aca="false">MOD(INT($A73/8),2)</f>
        <v>0</v>
      </c>
      <c r="F73" s="15" t="n">
        <f aca="false">MOD(INT($A73/4),2)</f>
        <v>0</v>
      </c>
      <c r="G73" s="15" t="n">
        <f aca="false">MOD(INT($A73/2),2)</f>
        <v>0</v>
      </c>
      <c r="H73" s="15" t="n">
        <f aca="false">MOD(INT($A73/1),2)</f>
        <v>1</v>
      </c>
      <c r="I73" s="14" t="n">
        <f aca="false">$C$6+C73*(Half_gap*(Ceiling_e-$C$6))</f>
        <v>78</v>
      </c>
      <c r="J73" s="14" t="n">
        <f aca="false">I73+D73*(Half_gap*(Ceiling_e-I73))</f>
        <v>81.5</v>
      </c>
      <c r="K73" s="14" t="n">
        <f aca="false">J73+E73*(Half_gap*(Ceiling_e-J73))</f>
        <v>81.5</v>
      </c>
      <c r="L73" s="14" t="n">
        <f aca="false">K73+F73*(Half_gap*(Ceiling_e-K73))</f>
        <v>81.5</v>
      </c>
      <c r="M73" s="14" t="n">
        <f aca="false">L73+G73*(Half_gap*(Ceiling_e-L73))</f>
        <v>81.5</v>
      </c>
      <c r="N73" s="14" t="n">
        <f aca="false">M73+H73*(Half_gap*(Ceiling_e-M73))</f>
        <v>83.25</v>
      </c>
      <c r="O73" s="14" t="n">
        <f aca="false">Val_pt*(I73-E_zero)</f>
        <v>70</v>
      </c>
      <c r="P73" s="14" t="n">
        <f aca="false">Val_pt*(J73-E_zero)</f>
        <v>105</v>
      </c>
      <c r="Q73" s="14" t="n">
        <f aca="false">Val_pt*(K73-E_zero)</f>
        <v>105</v>
      </c>
      <c r="R73" s="14" t="n">
        <f aca="false">Val_pt*(L73-E_zero)</f>
        <v>105</v>
      </c>
      <c r="S73" s="14" t="n">
        <f aca="false">Val_pt*(M73-E_zero)</f>
        <v>105</v>
      </c>
      <c r="T73" s="14" t="n">
        <f aca="false">Val_pt*(N73-E_zero)</f>
        <v>122.5</v>
      </c>
      <c r="U73" s="14" t="n">
        <f aca="false">MAX(V73+Cost_round*C73-O73,IF(C73=1,Pre_q,0))</f>
        <v>520</v>
      </c>
      <c r="V73" s="14" t="n">
        <f aca="false">MAX(W73+Cost_round*D73-P73,IF(D73=1,Pre_q,0),Floor_q)</f>
        <v>470</v>
      </c>
      <c r="W73" s="14" t="n">
        <f aca="false">MAX(X73+Cost_round*E73-Q73,IF(E73=1,Pre_q,0),Floor_q)</f>
        <v>350</v>
      </c>
      <c r="X73" s="14" t="n">
        <f aca="false">MAX(Y73+Cost_round*F73-R73,IF(F73=1,Pre_q,0),Floor_q)</f>
        <v>350</v>
      </c>
      <c r="Y73" s="14" t="n">
        <f aca="false">MAX(Z73+Cost_round*G73-S73,IF(G73=1,Pre_q,0),Floor_q)</f>
        <v>365</v>
      </c>
      <c r="Z73" s="14" t="n">
        <f aca="false">MAX(AA73+Cost_round*H73-T73,IF(H73=1,Pre_q,0),Floor_q)</f>
        <v>470</v>
      </c>
      <c r="AA73" s="14" t="n">
        <f aca="false">MAX(End_q,Floor_q)</f>
        <v>470</v>
      </c>
      <c r="AB73" s="15" t="n">
        <f aca="false">IF($B$6&gt;=U73-0.000000001,1,0)</f>
        <v>1</v>
      </c>
      <c r="AC73" s="14" t="n">
        <f aca="false">IF($AB73=1,$B$6-Cost_round*C73+O73-V73,"")</f>
        <v>100</v>
      </c>
      <c r="AD73" s="14" t="n">
        <f aca="false">IF($AB73=1,V73-Cost_round*D73+P73-W73,"")</f>
        <v>105</v>
      </c>
      <c r="AE73" s="14" t="n">
        <f aca="false">IF($AB73=1,W73-Cost_round*E73+Q73-X73,"")</f>
        <v>105</v>
      </c>
      <c r="AF73" s="14" t="n">
        <f aca="false">IF($AB73=1,X73-Cost_round*F73+R73-Y73,"")</f>
        <v>90</v>
      </c>
      <c r="AG73" s="14" t="n">
        <f aca="false">IF($AB73=1,Y73-Cost_round*G73+S73-Z73,"")</f>
        <v>0</v>
      </c>
      <c r="AH73" s="14" t="n">
        <f aca="false">IF($AB73=1,Z73-Cost_round*H73+T73-AA73,"")</f>
        <v>2.5</v>
      </c>
      <c r="AI73" s="21" t="n">
        <f aca="false">IF($AB73=1,AC73*1+AD73*Bias_b*Beta_y^1+AE73*Bias_b*Beta_y^2+AF73*Bias_b*Beta_y^3+AG73*Bias_b*Beta_y^4+AH73*Bias_b*Beta_y^5+Bias_b*Beta_y^5*T73/Hurdle_r,"")</f>
        <v>1010.82759498544</v>
      </c>
    </row>
    <row r="74" customFormat="false" ht="15" hidden="false" customHeight="false" outlineLevel="0" collapsed="false">
      <c r="A74" s="2" t="n">
        <v>50</v>
      </c>
      <c r="B74" s="2" t="str">
        <f aca="false">""&amp;C74&amp;D74&amp;E74&amp;F74&amp;G74&amp;H74</f>
        <v>110010</v>
      </c>
      <c r="C74" s="15" t="n">
        <f aca="false">MOD(INT($A74/32),2)</f>
        <v>1</v>
      </c>
      <c r="D74" s="15" t="n">
        <f aca="false">MOD(INT($A74/16),2)</f>
        <v>1</v>
      </c>
      <c r="E74" s="15" t="n">
        <f aca="false">MOD(INT($A74/8),2)</f>
        <v>0</v>
      </c>
      <c r="F74" s="15" t="n">
        <f aca="false">MOD(INT($A74/4),2)</f>
        <v>0</v>
      </c>
      <c r="G74" s="15" t="n">
        <f aca="false">MOD(INT($A74/2),2)</f>
        <v>1</v>
      </c>
      <c r="H74" s="15" t="n">
        <f aca="false">MOD(INT($A74/1),2)</f>
        <v>0</v>
      </c>
      <c r="I74" s="14" t="n">
        <f aca="false">$C$6+C74*(Half_gap*(Ceiling_e-$C$6))</f>
        <v>78</v>
      </c>
      <c r="J74" s="14" t="n">
        <f aca="false">I74+D74*(Half_gap*(Ceiling_e-I74))</f>
        <v>81.5</v>
      </c>
      <c r="K74" s="14" t="n">
        <f aca="false">J74+E74*(Half_gap*(Ceiling_e-J74))</f>
        <v>81.5</v>
      </c>
      <c r="L74" s="14" t="n">
        <f aca="false">K74+F74*(Half_gap*(Ceiling_e-K74))</f>
        <v>81.5</v>
      </c>
      <c r="M74" s="14" t="n">
        <f aca="false">L74+G74*(Half_gap*(Ceiling_e-L74))</f>
        <v>83.25</v>
      </c>
      <c r="N74" s="14" t="n">
        <f aca="false">M74+H74*(Half_gap*(Ceiling_e-M74))</f>
        <v>83.25</v>
      </c>
      <c r="O74" s="14" t="n">
        <f aca="false">Val_pt*(I74-E_zero)</f>
        <v>70</v>
      </c>
      <c r="P74" s="14" t="n">
        <f aca="false">Val_pt*(J74-E_zero)</f>
        <v>105</v>
      </c>
      <c r="Q74" s="14" t="n">
        <f aca="false">Val_pt*(K74-E_zero)</f>
        <v>105</v>
      </c>
      <c r="R74" s="14" t="n">
        <f aca="false">Val_pt*(L74-E_zero)</f>
        <v>105</v>
      </c>
      <c r="S74" s="14" t="n">
        <f aca="false">Val_pt*(M74-E_zero)</f>
        <v>122.5</v>
      </c>
      <c r="T74" s="14" t="n">
        <f aca="false">Val_pt*(N74-E_zero)</f>
        <v>122.5</v>
      </c>
      <c r="U74" s="14" t="n">
        <f aca="false">MAX(V74+Cost_round*C74-O74,IF(C74=1,Pre_q,0))</f>
        <v>520</v>
      </c>
      <c r="V74" s="14" t="n">
        <f aca="false">MAX(W74+Cost_round*D74-P74,IF(D74=1,Pre_q,0),Floor_q)</f>
        <v>470</v>
      </c>
      <c r="W74" s="14" t="n">
        <f aca="false">MAX(X74+Cost_round*E74-Q74,IF(E74=1,Pre_q,0),Floor_q)</f>
        <v>350</v>
      </c>
      <c r="X74" s="14" t="n">
        <f aca="false">MAX(Y74+Cost_round*F74-R74,IF(F74=1,Pre_q,0),Floor_q)</f>
        <v>365</v>
      </c>
      <c r="Y74" s="14" t="n">
        <f aca="false">MAX(Z74+Cost_round*G74-S74,IF(G74=1,Pre_q,0),Floor_q)</f>
        <v>470</v>
      </c>
      <c r="Z74" s="14" t="n">
        <f aca="false">MAX(AA74+Cost_round*H74-T74,IF(H74=1,Pre_q,0),Floor_q)</f>
        <v>350</v>
      </c>
      <c r="AA74" s="14" t="n">
        <f aca="false">MAX(End_q,Floor_q)</f>
        <v>470</v>
      </c>
      <c r="AB74" s="15" t="n">
        <f aca="false">IF($B$6&gt;=U74-0.000000001,1,0)</f>
        <v>1</v>
      </c>
      <c r="AC74" s="14" t="n">
        <f aca="false">IF($AB74=1,$B$6-Cost_round*C74+O74-V74,"")</f>
        <v>100</v>
      </c>
      <c r="AD74" s="14" t="n">
        <f aca="false">IF($AB74=1,V74-Cost_round*D74+P74-W74,"")</f>
        <v>105</v>
      </c>
      <c r="AE74" s="14" t="n">
        <f aca="false">IF($AB74=1,W74-Cost_round*E74+Q74-X74,"")</f>
        <v>90</v>
      </c>
      <c r="AF74" s="14" t="n">
        <f aca="false">IF($AB74=1,X74-Cost_round*F74+R74-Y74,"")</f>
        <v>0</v>
      </c>
      <c r="AG74" s="14" t="n">
        <f aca="false">IF($AB74=1,Y74-Cost_round*G74+S74-Z74,"")</f>
        <v>122.5</v>
      </c>
      <c r="AH74" s="14" t="n">
        <f aca="false">IF($AB74=1,Z74-Cost_round*H74+T74-AA74,"")</f>
        <v>2.5</v>
      </c>
      <c r="AI74" s="21" t="n">
        <f aca="false">IF($AB74=1,AC74*1+AD74*Bias_b*Beta_y^1+AE74*Bias_b*Beta_y^2+AF74*Bias_b*Beta_y^3+AG74*Bias_b*Beta_y^4+AH74*Bias_b*Beta_y^5+Bias_b*Beta_y^5*T74/Hurdle_r,"")</f>
        <v>1014.11630477302</v>
      </c>
    </row>
    <row r="75" customFormat="false" ht="15" hidden="false" customHeight="false" outlineLevel="0" collapsed="false">
      <c r="A75" s="2" t="n">
        <v>51</v>
      </c>
      <c r="B75" s="2" t="str">
        <f aca="false">""&amp;C75&amp;D75&amp;E75&amp;F75&amp;G75&amp;H75</f>
        <v>110011</v>
      </c>
      <c r="C75" s="15" t="n">
        <f aca="false">MOD(INT($A75/32),2)</f>
        <v>1</v>
      </c>
      <c r="D75" s="15" t="n">
        <f aca="false">MOD(INT($A75/16),2)</f>
        <v>1</v>
      </c>
      <c r="E75" s="15" t="n">
        <f aca="false">MOD(INT($A75/8),2)</f>
        <v>0</v>
      </c>
      <c r="F75" s="15" t="n">
        <f aca="false">MOD(INT($A75/4),2)</f>
        <v>0</v>
      </c>
      <c r="G75" s="15" t="n">
        <f aca="false">MOD(INT($A75/2),2)</f>
        <v>1</v>
      </c>
      <c r="H75" s="15" t="n">
        <f aca="false">MOD(INT($A75/1),2)</f>
        <v>1</v>
      </c>
      <c r="I75" s="14" t="n">
        <f aca="false">$C$6+C75*(Half_gap*(Ceiling_e-$C$6))</f>
        <v>78</v>
      </c>
      <c r="J75" s="14" t="n">
        <f aca="false">I75+D75*(Half_gap*(Ceiling_e-I75))</f>
        <v>81.5</v>
      </c>
      <c r="K75" s="14" t="n">
        <f aca="false">J75+E75*(Half_gap*(Ceiling_e-J75))</f>
        <v>81.5</v>
      </c>
      <c r="L75" s="14" t="n">
        <f aca="false">K75+F75*(Half_gap*(Ceiling_e-K75))</f>
        <v>81.5</v>
      </c>
      <c r="M75" s="14" t="n">
        <f aca="false">L75+G75*(Half_gap*(Ceiling_e-L75))</f>
        <v>83.25</v>
      </c>
      <c r="N75" s="14" t="n">
        <f aca="false">M75+H75*(Half_gap*(Ceiling_e-M75))</f>
        <v>84.125</v>
      </c>
      <c r="O75" s="14" t="n">
        <f aca="false">Val_pt*(I75-E_zero)</f>
        <v>70</v>
      </c>
      <c r="P75" s="14" t="n">
        <f aca="false">Val_pt*(J75-E_zero)</f>
        <v>105</v>
      </c>
      <c r="Q75" s="14" t="n">
        <f aca="false">Val_pt*(K75-E_zero)</f>
        <v>105</v>
      </c>
      <c r="R75" s="14" t="n">
        <f aca="false">Val_pt*(L75-E_zero)</f>
        <v>105</v>
      </c>
      <c r="S75" s="14" t="n">
        <f aca="false">Val_pt*(M75-E_zero)</f>
        <v>122.5</v>
      </c>
      <c r="T75" s="14" t="n">
        <f aca="false">Val_pt*(N75-E_zero)</f>
        <v>131.25</v>
      </c>
      <c r="U75" s="14" t="n">
        <f aca="false">MAX(V75+Cost_round*C75-O75,IF(C75=1,Pre_q,0))</f>
        <v>520</v>
      </c>
      <c r="V75" s="14" t="n">
        <f aca="false">MAX(W75+Cost_round*D75-P75,IF(D75=1,Pre_q,0),Floor_q)</f>
        <v>470</v>
      </c>
      <c r="W75" s="14" t="n">
        <f aca="false">MAX(X75+Cost_round*E75-Q75,IF(E75=1,Pre_q,0),Floor_q)</f>
        <v>350</v>
      </c>
      <c r="X75" s="14" t="n">
        <f aca="false">MAX(Y75+Cost_round*F75-R75,IF(F75=1,Pre_q,0),Floor_q)</f>
        <v>365</v>
      </c>
      <c r="Y75" s="14" t="n">
        <f aca="false">MAX(Z75+Cost_round*G75-S75,IF(G75=1,Pre_q,0),Floor_q)</f>
        <v>470</v>
      </c>
      <c r="Z75" s="14" t="n">
        <f aca="false">MAX(AA75+Cost_round*H75-T75,IF(H75=1,Pre_q,0),Floor_q)</f>
        <v>470</v>
      </c>
      <c r="AA75" s="14" t="n">
        <f aca="false">MAX(End_q,Floor_q)</f>
        <v>470</v>
      </c>
      <c r="AB75" s="15" t="n">
        <f aca="false">IF($B$6&gt;=U75-0.000000001,1,0)</f>
        <v>1</v>
      </c>
      <c r="AC75" s="14" t="n">
        <f aca="false">IF($AB75=1,$B$6-Cost_round*C75+O75-V75,"")</f>
        <v>100</v>
      </c>
      <c r="AD75" s="14" t="n">
        <f aca="false">IF($AB75=1,V75-Cost_round*D75+P75-W75,"")</f>
        <v>105</v>
      </c>
      <c r="AE75" s="14" t="n">
        <f aca="false">IF($AB75=1,W75-Cost_round*E75+Q75-X75,"")</f>
        <v>90</v>
      </c>
      <c r="AF75" s="14" t="n">
        <f aca="false">IF($AB75=1,X75-Cost_round*F75+R75-Y75,"")</f>
        <v>0</v>
      </c>
      <c r="AG75" s="14" t="n">
        <f aca="false">IF($AB75=1,Y75-Cost_round*G75+S75-Z75,"")</f>
        <v>2.5</v>
      </c>
      <c r="AH75" s="14" t="n">
        <f aca="false">IF($AB75=1,Z75-Cost_round*H75+T75-AA75,"")</f>
        <v>11.25</v>
      </c>
      <c r="AI75" s="21" t="n">
        <f aca="false">IF($AB75=1,AC75*1+AD75*Bias_b*Beta_y^1+AE75*Bias_b*Beta_y^2+AF75*Bias_b*Beta_y^3+AG75*Bias_b*Beta_y^4+AH75*Bias_b*Beta_y^5+Bias_b*Beta_y^5*T75/Hurdle_r,"")</f>
        <v>994.138161203594</v>
      </c>
    </row>
    <row r="76" customFormat="false" ht="15" hidden="false" customHeight="false" outlineLevel="0" collapsed="false">
      <c r="A76" s="2" t="n">
        <v>52</v>
      </c>
      <c r="B76" s="2" t="str">
        <f aca="false">""&amp;C76&amp;D76&amp;E76&amp;F76&amp;G76&amp;H76</f>
        <v>110100</v>
      </c>
      <c r="C76" s="15" t="n">
        <f aca="false">MOD(INT($A76/32),2)</f>
        <v>1</v>
      </c>
      <c r="D76" s="15" t="n">
        <f aca="false">MOD(INT($A76/16),2)</f>
        <v>1</v>
      </c>
      <c r="E76" s="15" t="n">
        <f aca="false">MOD(INT($A76/8),2)</f>
        <v>0</v>
      </c>
      <c r="F76" s="15" t="n">
        <f aca="false">MOD(INT($A76/4),2)</f>
        <v>1</v>
      </c>
      <c r="G76" s="15" t="n">
        <f aca="false">MOD(INT($A76/2),2)</f>
        <v>0</v>
      </c>
      <c r="H76" s="15" t="n">
        <f aca="false">MOD(INT($A76/1),2)</f>
        <v>0</v>
      </c>
      <c r="I76" s="14" t="n">
        <f aca="false">$C$6+C76*(Half_gap*(Ceiling_e-$C$6))</f>
        <v>78</v>
      </c>
      <c r="J76" s="14" t="n">
        <f aca="false">I76+D76*(Half_gap*(Ceiling_e-I76))</f>
        <v>81.5</v>
      </c>
      <c r="K76" s="14" t="n">
        <f aca="false">J76+E76*(Half_gap*(Ceiling_e-J76))</f>
        <v>81.5</v>
      </c>
      <c r="L76" s="14" t="n">
        <f aca="false">K76+F76*(Half_gap*(Ceiling_e-K76))</f>
        <v>83.25</v>
      </c>
      <c r="M76" s="14" t="n">
        <f aca="false">L76+G76*(Half_gap*(Ceiling_e-L76))</f>
        <v>83.25</v>
      </c>
      <c r="N76" s="14" t="n">
        <f aca="false">M76+H76*(Half_gap*(Ceiling_e-M76))</f>
        <v>83.25</v>
      </c>
      <c r="O76" s="14" t="n">
        <f aca="false">Val_pt*(I76-E_zero)</f>
        <v>70</v>
      </c>
      <c r="P76" s="14" t="n">
        <f aca="false">Val_pt*(J76-E_zero)</f>
        <v>105</v>
      </c>
      <c r="Q76" s="14" t="n">
        <f aca="false">Val_pt*(K76-E_zero)</f>
        <v>105</v>
      </c>
      <c r="R76" s="14" t="n">
        <f aca="false">Val_pt*(L76-E_zero)</f>
        <v>122.5</v>
      </c>
      <c r="S76" s="14" t="n">
        <f aca="false">Val_pt*(M76-E_zero)</f>
        <v>122.5</v>
      </c>
      <c r="T76" s="14" t="n">
        <f aca="false">Val_pt*(N76-E_zero)</f>
        <v>122.5</v>
      </c>
      <c r="U76" s="14" t="n">
        <f aca="false">MAX(V76+Cost_round*C76-O76,IF(C76=1,Pre_q,0))</f>
        <v>520</v>
      </c>
      <c r="V76" s="14" t="n">
        <f aca="false">MAX(W76+Cost_round*D76-P76,IF(D76=1,Pre_q,0),Floor_q)</f>
        <v>470</v>
      </c>
      <c r="W76" s="14" t="n">
        <f aca="false">MAX(X76+Cost_round*E76-Q76,IF(E76=1,Pre_q,0),Floor_q)</f>
        <v>365</v>
      </c>
      <c r="X76" s="14" t="n">
        <f aca="false">MAX(Y76+Cost_round*F76-R76,IF(F76=1,Pre_q,0),Floor_q)</f>
        <v>470</v>
      </c>
      <c r="Y76" s="14" t="n">
        <f aca="false">MAX(Z76+Cost_round*G76-S76,IF(G76=1,Pre_q,0),Floor_q)</f>
        <v>350</v>
      </c>
      <c r="Z76" s="14" t="n">
        <f aca="false">MAX(AA76+Cost_round*H76-T76,IF(H76=1,Pre_q,0),Floor_q)</f>
        <v>350</v>
      </c>
      <c r="AA76" s="14" t="n">
        <f aca="false">MAX(End_q,Floor_q)</f>
        <v>470</v>
      </c>
      <c r="AB76" s="15" t="n">
        <f aca="false">IF($B$6&gt;=U76-0.000000001,1,0)</f>
        <v>1</v>
      </c>
      <c r="AC76" s="14" t="n">
        <f aca="false">IF($AB76=1,$B$6-Cost_round*C76+O76-V76,"")</f>
        <v>100</v>
      </c>
      <c r="AD76" s="14" t="n">
        <f aca="false">IF($AB76=1,V76-Cost_round*D76+P76-W76,"")</f>
        <v>90</v>
      </c>
      <c r="AE76" s="14" t="n">
        <f aca="false">IF($AB76=1,W76-Cost_round*E76+Q76-X76,"")</f>
        <v>0</v>
      </c>
      <c r="AF76" s="14" t="n">
        <f aca="false">IF($AB76=1,X76-Cost_round*F76+R76-Y76,"")</f>
        <v>122.5</v>
      </c>
      <c r="AG76" s="14" t="n">
        <f aca="false">IF($AB76=1,Y76-Cost_round*G76+S76-Z76,"")</f>
        <v>122.5</v>
      </c>
      <c r="AH76" s="14" t="n">
        <f aca="false">IF($AB76=1,Z76-Cost_round*H76+T76-AA76,"")</f>
        <v>2.5</v>
      </c>
      <c r="AI76" s="21" t="n">
        <f aca="false">IF($AB76=1,AC76*1+AD76*Bias_b*Beta_y^1+AE76*Bias_b*Beta_y^2+AF76*Bias_b*Beta_y^3+AG76*Bias_b*Beta_y^4+AH76*Bias_b*Beta_y^5+Bias_b*Beta_y^5*T76/Hurdle_r,"")</f>
        <v>1017.73388553936</v>
      </c>
    </row>
    <row r="77" customFormat="false" ht="15" hidden="false" customHeight="false" outlineLevel="0" collapsed="false">
      <c r="A77" s="2" t="n">
        <v>53</v>
      </c>
      <c r="B77" s="2" t="str">
        <f aca="false">""&amp;C77&amp;D77&amp;E77&amp;F77&amp;G77&amp;H77</f>
        <v>110101</v>
      </c>
      <c r="C77" s="15" t="n">
        <f aca="false">MOD(INT($A77/32),2)</f>
        <v>1</v>
      </c>
      <c r="D77" s="15" t="n">
        <f aca="false">MOD(INT($A77/16),2)</f>
        <v>1</v>
      </c>
      <c r="E77" s="15" t="n">
        <f aca="false">MOD(INT($A77/8),2)</f>
        <v>0</v>
      </c>
      <c r="F77" s="15" t="n">
        <f aca="false">MOD(INT($A77/4),2)</f>
        <v>1</v>
      </c>
      <c r="G77" s="15" t="n">
        <f aca="false">MOD(INT($A77/2),2)</f>
        <v>0</v>
      </c>
      <c r="H77" s="15" t="n">
        <f aca="false">MOD(INT($A77/1),2)</f>
        <v>1</v>
      </c>
      <c r="I77" s="14" t="n">
        <f aca="false">$C$6+C77*(Half_gap*(Ceiling_e-$C$6))</f>
        <v>78</v>
      </c>
      <c r="J77" s="14" t="n">
        <f aca="false">I77+D77*(Half_gap*(Ceiling_e-I77))</f>
        <v>81.5</v>
      </c>
      <c r="K77" s="14" t="n">
        <f aca="false">J77+E77*(Half_gap*(Ceiling_e-J77))</f>
        <v>81.5</v>
      </c>
      <c r="L77" s="14" t="n">
        <f aca="false">K77+F77*(Half_gap*(Ceiling_e-K77))</f>
        <v>83.25</v>
      </c>
      <c r="M77" s="14" t="n">
        <f aca="false">L77+G77*(Half_gap*(Ceiling_e-L77))</f>
        <v>83.25</v>
      </c>
      <c r="N77" s="14" t="n">
        <f aca="false">M77+H77*(Half_gap*(Ceiling_e-M77))</f>
        <v>84.125</v>
      </c>
      <c r="O77" s="14" t="n">
        <f aca="false">Val_pt*(I77-E_zero)</f>
        <v>70</v>
      </c>
      <c r="P77" s="14" t="n">
        <f aca="false">Val_pt*(J77-E_zero)</f>
        <v>105</v>
      </c>
      <c r="Q77" s="14" t="n">
        <f aca="false">Val_pt*(K77-E_zero)</f>
        <v>105</v>
      </c>
      <c r="R77" s="14" t="n">
        <f aca="false">Val_pt*(L77-E_zero)</f>
        <v>122.5</v>
      </c>
      <c r="S77" s="14" t="n">
        <f aca="false">Val_pt*(M77-E_zero)</f>
        <v>122.5</v>
      </c>
      <c r="T77" s="14" t="n">
        <f aca="false">Val_pt*(N77-E_zero)</f>
        <v>131.25</v>
      </c>
      <c r="U77" s="14" t="n">
        <f aca="false">MAX(V77+Cost_round*C77-O77,IF(C77=1,Pre_q,0))</f>
        <v>520</v>
      </c>
      <c r="V77" s="14" t="n">
        <f aca="false">MAX(W77+Cost_round*D77-P77,IF(D77=1,Pre_q,0),Floor_q)</f>
        <v>470</v>
      </c>
      <c r="W77" s="14" t="n">
        <f aca="false">MAX(X77+Cost_round*E77-Q77,IF(E77=1,Pre_q,0),Floor_q)</f>
        <v>365</v>
      </c>
      <c r="X77" s="14" t="n">
        <f aca="false">MAX(Y77+Cost_round*F77-R77,IF(F77=1,Pre_q,0),Floor_q)</f>
        <v>470</v>
      </c>
      <c r="Y77" s="14" t="n">
        <f aca="false">MAX(Z77+Cost_round*G77-S77,IF(G77=1,Pre_q,0),Floor_q)</f>
        <v>350</v>
      </c>
      <c r="Z77" s="14" t="n">
        <f aca="false">MAX(AA77+Cost_round*H77-T77,IF(H77=1,Pre_q,0),Floor_q)</f>
        <v>470</v>
      </c>
      <c r="AA77" s="14" t="n">
        <f aca="false">MAX(End_q,Floor_q)</f>
        <v>470</v>
      </c>
      <c r="AB77" s="15" t="n">
        <f aca="false">IF($B$6&gt;=U77-0.000000001,1,0)</f>
        <v>1</v>
      </c>
      <c r="AC77" s="14" t="n">
        <f aca="false">IF($AB77=1,$B$6-Cost_round*C77+O77-V77,"")</f>
        <v>100</v>
      </c>
      <c r="AD77" s="14" t="n">
        <f aca="false">IF($AB77=1,V77-Cost_round*D77+P77-W77,"")</f>
        <v>90</v>
      </c>
      <c r="AE77" s="14" t="n">
        <f aca="false">IF($AB77=1,W77-Cost_round*E77+Q77-X77,"")</f>
        <v>0</v>
      </c>
      <c r="AF77" s="14" t="n">
        <f aca="false">IF($AB77=1,X77-Cost_round*F77+R77-Y77,"")</f>
        <v>122.5</v>
      </c>
      <c r="AG77" s="14" t="n">
        <f aca="false">IF($AB77=1,Y77-Cost_round*G77+S77-Z77,"")</f>
        <v>2.5</v>
      </c>
      <c r="AH77" s="14" t="n">
        <f aca="false">IF($AB77=1,Z77-Cost_round*H77+T77-AA77,"")</f>
        <v>11.25</v>
      </c>
      <c r="AI77" s="21" t="n">
        <f aca="false">IF($AB77=1,AC77*1+AD77*Bias_b*Beta_y^1+AE77*Bias_b*Beta_y^2+AF77*Bias_b*Beta_y^3+AG77*Bias_b*Beta_y^4+AH77*Bias_b*Beta_y^5+Bias_b*Beta_y^5*T77/Hurdle_r,"")</f>
        <v>997.755741969935</v>
      </c>
    </row>
    <row r="78" customFormat="false" ht="15" hidden="false" customHeight="false" outlineLevel="0" collapsed="false">
      <c r="A78" s="2" t="n">
        <v>54</v>
      </c>
      <c r="B78" s="2" t="str">
        <f aca="false">""&amp;C78&amp;D78&amp;E78&amp;F78&amp;G78&amp;H78</f>
        <v>110110</v>
      </c>
      <c r="C78" s="15" t="n">
        <f aca="false">MOD(INT($A78/32),2)</f>
        <v>1</v>
      </c>
      <c r="D78" s="15" t="n">
        <f aca="false">MOD(INT($A78/16),2)</f>
        <v>1</v>
      </c>
      <c r="E78" s="15" t="n">
        <f aca="false">MOD(INT($A78/8),2)</f>
        <v>0</v>
      </c>
      <c r="F78" s="15" t="n">
        <f aca="false">MOD(INT($A78/4),2)</f>
        <v>1</v>
      </c>
      <c r="G78" s="15" t="n">
        <f aca="false">MOD(INT($A78/2),2)</f>
        <v>1</v>
      </c>
      <c r="H78" s="15" t="n">
        <f aca="false">MOD(INT($A78/1),2)</f>
        <v>0</v>
      </c>
      <c r="I78" s="14" t="n">
        <f aca="false">$C$6+C78*(Half_gap*(Ceiling_e-$C$6))</f>
        <v>78</v>
      </c>
      <c r="J78" s="14" t="n">
        <f aca="false">I78+D78*(Half_gap*(Ceiling_e-I78))</f>
        <v>81.5</v>
      </c>
      <c r="K78" s="14" t="n">
        <f aca="false">J78+E78*(Half_gap*(Ceiling_e-J78))</f>
        <v>81.5</v>
      </c>
      <c r="L78" s="14" t="n">
        <f aca="false">K78+F78*(Half_gap*(Ceiling_e-K78))</f>
        <v>83.25</v>
      </c>
      <c r="M78" s="14" t="n">
        <f aca="false">L78+G78*(Half_gap*(Ceiling_e-L78))</f>
        <v>84.125</v>
      </c>
      <c r="N78" s="14" t="n">
        <f aca="false">M78+H78*(Half_gap*(Ceiling_e-M78))</f>
        <v>84.125</v>
      </c>
      <c r="O78" s="14" t="n">
        <f aca="false">Val_pt*(I78-E_zero)</f>
        <v>70</v>
      </c>
      <c r="P78" s="14" t="n">
        <f aca="false">Val_pt*(J78-E_zero)</f>
        <v>105</v>
      </c>
      <c r="Q78" s="14" t="n">
        <f aca="false">Val_pt*(K78-E_zero)</f>
        <v>105</v>
      </c>
      <c r="R78" s="14" t="n">
        <f aca="false">Val_pt*(L78-E_zero)</f>
        <v>122.5</v>
      </c>
      <c r="S78" s="14" t="n">
        <f aca="false">Val_pt*(M78-E_zero)</f>
        <v>131.25</v>
      </c>
      <c r="T78" s="14" t="n">
        <f aca="false">Val_pt*(N78-E_zero)</f>
        <v>131.25</v>
      </c>
      <c r="U78" s="14" t="n">
        <f aca="false">MAX(V78+Cost_round*C78-O78,IF(C78=1,Pre_q,0))</f>
        <v>520</v>
      </c>
      <c r="V78" s="14" t="n">
        <f aca="false">MAX(W78+Cost_round*D78-P78,IF(D78=1,Pre_q,0),Floor_q)</f>
        <v>470</v>
      </c>
      <c r="W78" s="14" t="n">
        <f aca="false">MAX(X78+Cost_round*E78-Q78,IF(E78=1,Pre_q,0),Floor_q)</f>
        <v>365</v>
      </c>
      <c r="X78" s="14" t="n">
        <f aca="false">MAX(Y78+Cost_round*F78-R78,IF(F78=1,Pre_q,0),Floor_q)</f>
        <v>470</v>
      </c>
      <c r="Y78" s="14" t="n">
        <f aca="false">MAX(Z78+Cost_round*G78-S78,IF(G78=1,Pre_q,0),Floor_q)</f>
        <v>470</v>
      </c>
      <c r="Z78" s="14" t="n">
        <f aca="false">MAX(AA78+Cost_round*H78-T78,IF(H78=1,Pre_q,0),Floor_q)</f>
        <v>350</v>
      </c>
      <c r="AA78" s="14" t="n">
        <f aca="false">MAX(End_q,Floor_q)</f>
        <v>470</v>
      </c>
      <c r="AB78" s="15" t="n">
        <f aca="false">IF($B$6&gt;=U78-0.000000001,1,0)</f>
        <v>1</v>
      </c>
      <c r="AC78" s="14" t="n">
        <f aca="false">IF($AB78=1,$B$6-Cost_round*C78+O78-V78,"")</f>
        <v>100</v>
      </c>
      <c r="AD78" s="14" t="n">
        <f aca="false">IF($AB78=1,V78-Cost_round*D78+P78-W78,"")</f>
        <v>90</v>
      </c>
      <c r="AE78" s="14" t="n">
        <f aca="false">IF($AB78=1,W78-Cost_round*E78+Q78-X78,"")</f>
        <v>0</v>
      </c>
      <c r="AF78" s="14" t="n">
        <f aca="false">IF($AB78=1,X78-Cost_round*F78+R78-Y78,"")</f>
        <v>2.5</v>
      </c>
      <c r="AG78" s="14" t="n">
        <f aca="false">IF($AB78=1,Y78-Cost_round*G78+S78-Z78,"")</f>
        <v>131.25</v>
      </c>
      <c r="AH78" s="14" t="n">
        <f aca="false">IF($AB78=1,Z78-Cost_round*H78+T78-AA78,"")</f>
        <v>11.25</v>
      </c>
      <c r="AI78" s="21" t="n">
        <f aca="false">IF($AB78=1,AC78*1+AD78*Bias_b*Beta_y^1+AE78*Bias_b*Beta_y^2+AF78*Bias_b*Beta_y^3+AG78*Bias_b*Beta_y^4+AH78*Bias_b*Beta_y^5+Bias_b*Beta_y^5*T78/Hurdle_r,"")</f>
        <v>995.757927612992</v>
      </c>
    </row>
    <row r="79" customFormat="false" ht="15" hidden="false" customHeight="false" outlineLevel="0" collapsed="false">
      <c r="A79" s="2" t="n">
        <v>55</v>
      </c>
      <c r="B79" s="2" t="str">
        <f aca="false">""&amp;C79&amp;D79&amp;E79&amp;F79&amp;G79&amp;H79</f>
        <v>110111</v>
      </c>
      <c r="C79" s="15" t="n">
        <f aca="false">MOD(INT($A79/32),2)</f>
        <v>1</v>
      </c>
      <c r="D79" s="15" t="n">
        <f aca="false">MOD(INT($A79/16),2)</f>
        <v>1</v>
      </c>
      <c r="E79" s="15" t="n">
        <f aca="false">MOD(INT($A79/8),2)</f>
        <v>0</v>
      </c>
      <c r="F79" s="15" t="n">
        <f aca="false">MOD(INT($A79/4),2)</f>
        <v>1</v>
      </c>
      <c r="G79" s="15" t="n">
        <f aca="false">MOD(INT($A79/2),2)</f>
        <v>1</v>
      </c>
      <c r="H79" s="15" t="n">
        <f aca="false">MOD(INT($A79/1),2)</f>
        <v>1</v>
      </c>
      <c r="I79" s="14" t="n">
        <f aca="false">$C$6+C79*(Half_gap*(Ceiling_e-$C$6))</f>
        <v>78</v>
      </c>
      <c r="J79" s="14" t="n">
        <f aca="false">I79+D79*(Half_gap*(Ceiling_e-I79))</f>
        <v>81.5</v>
      </c>
      <c r="K79" s="14" t="n">
        <f aca="false">J79+E79*(Half_gap*(Ceiling_e-J79))</f>
        <v>81.5</v>
      </c>
      <c r="L79" s="14" t="n">
        <f aca="false">K79+F79*(Half_gap*(Ceiling_e-K79))</f>
        <v>83.25</v>
      </c>
      <c r="M79" s="14" t="n">
        <f aca="false">L79+G79*(Half_gap*(Ceiling_e-L79))</f>
        <v>84.125</v>
      </c>
      <c r="N79" s="14" t="n">
        <f aca="false">M79+H79*(Half_gap*(Ceiling_e-M79))</f>
        <v>84.5625</v>
      </c>
      <c r="O79" s="14" t="n">
        <f aca="false">Val_pt*(I79-E_zero)</f>
        <v>70</v>
      </c>
      <c r="P79" s="14" t="n">
        <f aca="false">Val_pt*(J79-E_zero)</f>
        <v>105</v>
      </c>
      <c r="Q79" s="14" t="n">
        <f aca="false">Val_pt*(K79-E_zero)</f>
        <v>105</v>
      </c>
      <c r="R79" s="14" t="n">
        <f aca="false">Val_pt*(L79-E_zero)</f>
        <v>122.5</v>
      </c>
      <c r="S79" s="14" t="n">
        <f aca="false">Val_pt*(M79-E_zero)</f>
        <v>131.25</v>
      </c>
      <c r="T79" s="14" t="n">
        <f aca="false">Val_pt*(N79-E_zero)</f>
        <v>135.625</v>
      </c>
      <c r="U79" s="14" t="n">
        <f aca="false">MAX(V79+Cost_round*C79-O79,IF(C79=1,Pre_q,0))</f>
        <v>520</v>
      </c>
      <c r="V79" s="14" t="n">
        <f aca="false">MAX(W79+Cost_round*D79-P79,IF(D79=1,Pre_q,0),Floor_q)</f>
        <v>470</v>
      </c>
      <c r="W79" s="14" t="n">
        <f aca="false">MAX(X79+Cost_round*E79-Q79,IF(E79=1,Pre_q,0),Floor_q)</f>
        <v>365</v>
      </c>
      <c r="X79" s="14" t="n">
        <f aca="false">MAX(Y79+Cost_round*F79-R79,IF(F79=1,Pre_q,0),Floor_q)</f>
        <v>470</v>
      </c>
      <c r="Y79" s="14" t="n">
        <f aca="false">MAX(Z79+Cost_round*G79-S79,IF(G79=1,Pre_q,0),Floor_q)</f>
        <v>470</v>
      </c>
      <c r="Z79" s="14" t="n">
        <f aca="false">MAX(AA79+Cost_round*H79-T79,IF(H79=1,Pre_q,0),Floor_q)</f>
        <v>470</v>
      </c>
      <c r="AA79" s="14" t="n">
        <f aca="false">MAX(End_q,Floor_q)</f>
        <v>470</v>
      </c>
      <c r="AB79" s="15" t="n">
        <f aca="false">IF($B$6&gt;=U79-0.000000001,1,0)</f>
        <v>1</v>
      </c>
      <c r="AC79" s="14" t="n">
        <f aca="false">IF($AB79=1,$B$6-Cost_round*C79+O79-V79,"")</f>
        <v>100</v>
      </c>
      <c r="AD79" s="14" t="n">
        <f aca="false">IF($AB79=1,V79-Cost_round*D79+P79-W79,"")</f>
        <v>90</v>
      </c>
      <c r="AE79" s="14" t="n">
        <f aca="false">IF($AB79=1,W79-Cost_round*E79+Q79-X79,"")</f>
        <v>0</v>
      </c>
      <c r="AF79" s="14" t="n">
        <f aca="false">IF($AB79=1,X79-Cost_round*F79+R79-Y79,"")</f>
        <v>2.5</v>
      </c>
      <c r="AG79" s="14" t="n">
        <f aca="false">IF($AB79=1,Y79-Cost_round*G79+S79-Z79,"")</f>
        <v>11.25</v>
      </c>
      <c r="AH79" s="14" t="n">
        <f aca="false">IF($AB79=1,Z79-Cost_round*H79+T79-AA79,"")</f>
        <v>15.625</v>
      </c>
      <c r="AI79" s="21" t="n">
        <f aca="false">IF($AB79=1,AC79*1+AD79*Bias_b*Beta_y^1+AE79*Bias_b*Beta_y^2+AF79*Bias_b*Beta_y^3+AG79*Bias_b*Beta_y^4+AH79*Bias_b*Beta_y^5+Bias_b*Beta_y^5*T79/Hurdle_r,"")</f>
        <v>948.886129238564</v>
      </c>
    </row>
    <row r="80" customFormat="false" ht="15" hidden="false" customHeight="false" outlineLevel="0" collapsed="false">
      <c r="A80" s="2" t="n">
        <v>56</v>
      </c>
      <c r="B80" s="2" t="str">
        <f aca="false">""&amp;C80&amp;D80&amp;E80&amp;F80&amp;G80&amp;H80</f>
        <v>111000</v>
      </c>
      <c r="C80" s="15" t="n">
        <f aca="false">MOD(INT($A80/32),2)</f>
        <v>1</v>
      </c>
      <c r="D80" s="15" t="n">
        <f aca="false">MOD(INT($A80/16),2)</f>
        <v>1</v>
      </c>
      <c r="E80" s="15" t="n">
        <f aca="false">MOD(INT($A80/8),2)</f>
        <v>1</v>
      </c>
      <c r="F80" s="15" t="n">
        <f aca="false">MOD(INT($A80/4),2)</f>
        <v>0</v>
      </c>
      <c r="G80" s="15" t="n">
        <f aca="false">MOD(INT($A80/2),2)</f>
        <v>0</v>
      </c>
      <c r="H80" s="15" t="n">
        <f aca="false">MOD(INT($A80/1),2)</f>
        <v>0</v>
      </c>
      <c r="I80" s="14" t="n">
        <f aca="false">$C$6+C80*(Half_gap*(Ceiling_e-$C$6))</f>
        <v>78</v>
      </c>
      <c r="J80" s="14" t="n">
        <f aca="false">I80+D80*(Half_gap*(Ceiling_e-I80))</f>
        <v>81.5</v>
      </c>
      <c r="K80" s="14" t="n">
        <f aca="false">J80+E80*(Half_gap*(Ceiling_e-J80))</f>
        <v>83.25</v>
      </c>
      <c r="L80" s="14" t="n">
        <f aca="false">K80+F80*(Half_gap*(Ceiling_e-K80))</f>
        <v>83.25</v>
      </c>
      <c r="M80" s="14" t="n">
        <f aca="false">L80+G80*(Half_gap*(Ceiling_e-L80))</f>
        <v>83.25</v>
      </c>
      <c r="N80" s="14" t="n">
        <f aca="false">M80+H80*(Half_gap*(Ceiling_e-M80))</f>
        <v>83.25</v>
      </c>
      <c r="O80" s="14" t="n">
        <f aca="false">Val_pt*(I80-E_zero)</f>
        <v>70</v>
      </c>
      <c r="P80" s="14" t="n">
        <f aca="false">Val_pt*(J80-E_zero)</f>
        <v>105</v>
      </c>
      <c r="Q80" s="14" t="n">
        <f aca="false">Val_pt*(K80-E_zero)</f>
        <v>122.5</v>
      </c>
      <c r="R80" s="14" t="n">
        <f aca="false">Val_pt*(L80-E_zero)</f>
        <v>122.5</v>
      </c>
      <c r="S80" s="14" t="n">
        <f aca="false">Val_pt*(M80-E_zero)</f>
        <v>122.5</v>
      </c>
      <c r="T80" s="14" t="n">
        <f aca="false">Val_pt*(N80-E_zero)</f>
        <v>122.5</v>
      </c>
      <c r="U80" s="14" t="n">
        <f aca="false">MAX(V80+Cost_round*C80-O80,IF(C80=1,Pre_q,0))</f>
        <v>535</v>
      </c>
      <c r="V80" s="14" t="n">
        <f aca="false">MAX(W80+Cost_round*D80-P80,IF(D80=1,Pre_q,0),Floor_q)</f>
        <v>485</v>
      </c>
      <c r="W80" s="14" t="n">
        <f aca="false">MAX(X80+Cost_round*E80-Q80,IF(E80=1,Pre_q,0),Floor_q)</f>
        <v>470</v>
      </c>
      <c r="X80" s="14" t="n">
        <f aca="false">MAX(Y80+Cost_round*F80-R80,IF(F80=1,Pre_q,0),Floor_q)</f>
        <v>350</v>
      </c>
      <c r="Y80" s="14" t="n">
        <f aca="false">MAX(Z80+Cost_round*G80-S80,IF(G80=1,Pre_q,0),Floor_q)</f>
        <v>350</v>
      </c>
      <c r="Z80" s="14" t="n">
        <f aca="false">MAX(AA80+Cost_round*H80-T80,IF(H80=1,Pre_q,0),Floor_q)</f>
        <v>350</v>
      </c>
      <c r="AA80" s="14" t="n">
        <f aca="false">MAX(End_q,Floor_q)</f>
        <v>470</v>
      </c>
      <c r="AB80" s="15" t="n">
        <f aca="false">IF($B$6&gt;=U80-0.000000001,1,0)</f>
        <v>1</v>
      </c>
      <c r="AC80" s="14" t="n">
        <f aca="false">IF($AB80=1,$B$6-Cost_round*C80+O80-V80,"")</f>
        <v>85</v>
      </c>
      <c r="AD80" s="14" t="n">
        <f aca="false">IF($AB80=1,V80-Cost_round*D80+P80-W80,"")</f>
        <v>0</v>
      </c>
      <c r="AE80" s="14" t="n">
        <f aca="false">IF($AB80=1,W80-Cost_round*E80+Q80-X80,"")</f>
        <v>122.5</v>
      </c>
      <c r="AF80" s="14" t="n">
        <f aca="false">IF($AB80=1,X80-Cost_round*F80+R80-Y80,"")</f>
        <v>122.5</v>
      </c>
      <c r="AG80" s="14" t="n">
        <f aca="false">IF($AB80=1,Y80-Cost_round*G80+S80-Z80,"")</f>
        <v>122.5</v>
      </c>
      <c r="AH80" s="14" t="n">
        <f aca="false">IF($AB80=1,Z80-Cost_round*H80+T80-AA80,"")</f>
        <v>2.5</v>
      </c>
      <c r="AI80" s="21" t="n">
        <f aca="false">IF($AB80=1,AC80*1+AD80*Bias_b*Beta_y^1+AE80*Bias_b*Beta_y^2+AF80*Bias_b*Beta_y^3+AG80*Bias_b*Beta_y^4+AH80*Bias_b*Beta_y^5+Bias_b*Beta_y^5*T80/Hurdle_r,"")</f>
        <v>1020.21322438234</v>
      </c>
    </row>
    <row r="81" customFormat="false" ht="15" hidden="false" customHeight="false" outlineLevel="0" collapsed="false">
      <c r="A81" s="2" t="n">
        <v>57</v>
      </c>
      <c r="B81" s="2" t="str">
        <f aca="false">""&amp;C81&amp;D81&amp;E81&amp;F81&amp;G81&amp;H81</f>
        <v>111001</v>
      </c>
      <c r="C81" s="15" t="n">
        <f aca="false">MOD(INT($A81/32),2)</f>
        <v>1</v>
      </c>
      <c r="D81" s="15" t="n">
        <f aca="false">MOD(INT($A81/16),2)</f>
        <v>1</v>
      </c>
      <c r="E81" s="15" t="n">
        <f aca="false">MOD(INT($A81/8),2)</f>
        <v>1</v>
      </c>
      <c r="F81" s="15" t="n">
        <f aca="false">MOD(INT($A81/4),2)</f>
        <v>0</v>
      </c>
      <c r="G81" s="15" t="n">
        <f aca="false">MOD(INT($A81/2),2)</f>
        <v>0</v>
      </c>
      <c r="H81" s="15" t="n">
        <f aca="false">MOD(INT($A81/1),2)</f>
        <v>1</v>
      </c>
      <c r="I81" s="14" t="n">
        <f aca="false">$C$6+C81*(Half_gap*(Ceiling_e-$C$6))</f>
        <v>78</v>
      </c>
      <c r="J81" s="14" t="n">
        <f aca="false">I81+D81*(Half_gap*(Ceiling_e-I81))</f>
        <v>81.5</v>
      </c>
      <c r="K81" s="14" t="n">
        <f aca="false">J81+E81*(Half_gap*(Ceiling_e-J81))</f>
        <v>83.25</v>
      </c>
      <c r="L81" s="14" t="n">
        <f aca="false">K81+F81*(Half_gap*(Ceiling_e-K81))</f>
        <v>83.25</v>
      </c>
      <c r="M81" s="14" t="n">
        <f aca="false">L81+G81*(Half_gap*(Ceiling_e-L81))</f>
        <v>83.25</v>
      </c>
      <c r="N81" s="14" t="n">
        <f aca="false">M81+H81*(Half_gap*(Ceiling_e-M81))</f>
        <v>84.125</v>
      </c>
      <c r="O81" s="14" t="n">
        <f aca="false">Val_pt*(I81-E_zero)</f>
        <v>70</v>
      </c>
      <c r="P81" s="14" t="n">
        <f aca="false">Val_pt*(J81-E_zero)</f>
        <v>105</v>
      </c>
      <c r="Q81" s="14" t="n">
        <f aca="false">Val_pt*(K81-E_zero)</f>
        <v>122.5</v>
      </c>
      <c r="R81" s="14" t="n">
        <f aca="false">Val_pt*(L81-E_zero)</f>
        <v>122.5</v>
      </c>
      <c r="S81" s="14" t="n">
        <f aca="false">Val_pt*(M81-E_zero)</f>
        <v>122.5</v>
      </c>
      <c r="T81" s="14" t="n">
        <f aca="false">Val_pt*(N81-E_zero)</f>
        <v>131.25</v>
      </c>
      <c r="U81" s="14" t="n">
        <f aca="false">MAX(V81+Cost_round*C81-O81,IF(C81=1,Pre_q,0))</f>
        <v>535</v>
      </c>
      <c r="V81" s="14" t="n">
        <f aca="false">MAX(W81+Cost_round*D81-P81,IF(D81=1,Pre_q,0),Floor_q)</f>
        <v>485</v>
      </c>
      <c r="W81" s="14" t="n">
        <f aca="false">MAX(X81+Cost_round*E81-Q81,IF(E81=1,Pre_q,0),Floor_q)</f>
        <v>470</v>
      </c>
      <c r="X81" s="14" t="n">
        <f aca="false">MAX(Y81+Cost_round*F81-R81,IF(F81=1,Pre_q,0),Floor_q)</f>
        <v>350</v>
      </c>
      <c r="Y81" s="14" t="n">
        <f aca="false">MAX(Z81+Cost_round*G81-S81,IF(G81=1,Pre_q,0),Floor_q)</f>
        <v>350</v>
      </c>
      <c r="Z81" s="14" t="n">
        <f aca="false">MAX(AA81+Cost_round*H81-T81,IF(H81=1,Pre_q,0),Floor_q)</f>
        <v>470</v>
      </c>
      <c r="AA81" s="14" t="n">
        <f aca="false">MAX(End_q,Floor_q)</f>
        <v>470</v>
      </c>
      <c r="AB81" s="15" t="n">
        <f aca="false">IF($B$6&gt;=U81-0.000000001,1,0)</f>
        <v>1</v>
      </c>
      <c r="AC81" s="14" t="n">
        <f aca="false">IF($AB81=1,$B$6-Cost_round*C81+O81-V81,"")</f>
        <v>85</v>
      </c>
      <c r="AD81" s="14" t="n">
        <f aca="false">IF($AB81=1,V81-Cost_round*D81+P81-W81,"")</f>
        <v>0</v>
      </c>
      <c r="AE81" s="14" t="n">
        <f aca="false">IF($AB81=1,W81-Cost_round*E81+Q81-X81,"")</f>
        <v>122.5</v>
      </c>
      <c r="AF81" s="14" t="n">
        <f aca="false">IF($AB81=1,X81-Cost_round*F81+R81-Y81,"")</f>
        <v>122.5</v>
      </c>
      <c r="AG81" s="14" t="n">
        <f aca="false">IF($AB81=1,Y81-Cost_round*G81+S81-Z81,"")</f>
        <v>2.5</v>
      </c>
      <c r="AH81" s="14" t="n">
        <f aca="false">IF($AB81=1,Z81-Cost_round*H81+T81-AA81,"")</f>
        <v>11.25</v>
      </c>
      <c r="AI81" s="21" t="n">
        <f aca="false">IF($AB81=1,AC81*1+AD81*Bias_b*Beta_y^1+AE81*Bias_b*Beta_y^2+AF81*Bias_b*Beta_y^3+AG81*Bias_b*Beta_y^4+AH81*Bias_b*Beta_y^5+Bias_b*Beta_y^5*T81/Hurdle_r,"")</f>
        <v>1000.23508081291</v>
      </c>
    </row>
    <row r="82" customFormat="false" ht="15" hidden="false" customHeight="false" outlineLevel="0" collapsed="false">
      <c r="A82" s="2" t="n">
        <v>58</v>
      </c>
      <c r="B82" s="2" t="str">
        <f aca="false">""&amp;C82&amp;D82&amp;E82&amp;F82&amp;G82&amp;H82</f>
        <v>111010</v>
      </c>
      <c r="C82" s="15" t="n">
        <f aca="false">MOD(INT($A82/32),2)</f>
        <v>1</v>
      </c>
      <c r="D82" s="15" t="n">
        <f aca="false">MOD(INT($A82/16),2)</f>
        <v>1</v>
      </c>
      <c r="E82" s="15" t="n">
        <f aca="false">MOD(INT($A82/8),2)</f>
        <v>1</v>
      </c>
      <c r="F82" s="15" t="n">
        <f aca="false">MOD(INT($A82/4),2)</f>
        <v>0</v>
      </c>
      <c r="G82" s="15" t="n">
        <f aca="false">MOD(INT($A82/2),2)</f>
        <v>1</v>
      </c>
      <c r="H82" s="15" t="n">
        <f aca="false">MOD(INT($A82/1),2)</f>
        <v>0</v>
      </c>
      <c r="I82" s="14" t="n">
        <f aca="false">$C$6+C82*(Half_gap*(Ceiling_e-$C$6))</f>
        <v>78</v>
      </c>
      <c r="J82" s="14" t="n">
        <f aca="false">I82+D82*(Half_gap*(Ceiling_e-I82))</f>
        <v>81.5</v>
      </c>
      <c r="K82" s="14" t="n">
        <f aca="false">J82+E82*(Half_gap*(Ceiling_e-J82))</f>
        <v>83.25</v>
      </c>
      <c r="L82" s="14" t="n">
        <f aca="false">K82+F82*(Half_gap*(Ceiling_e-K82))</f>
        <v>83.25</v>
      </c>
      <c r="M82" s="14" t="n">
        <f aca="false">L82+G82*(Half_gap*(Ceiling_e-L82))</f>
        <v>84.125</v>
      </c>
      <c r="N82" s="14" t="n">
        <f aca="false">M82+H82*(Half_gap*(Ceiling_e-M82))</f>
        <v>84.125</v>
      </c>
      <c r="O82" s="14" t="n">
        <f aca="false">Val_pt*(I82-E_zero)</f>
        <v>70</v>
      </c>
      <c r="P82" s="14" t="n">
        <f aca="false">Val_pt*(J82-E_zero)</f>
        <v>105</v>
      </c>
      <c r="Q82" s="14" t="n">
        <f aca="false">Val_pt*(K82-E_zero)</f>
        <v>122.5</v>
      </c>
      <c r="R82" s="14" t="n">
        <f aca="false">Val_pt*(L82-E_zero)</f>
        <v>122.5</v>
      </c>
      <c r="S82" s="14" t="n">
        <f aca="false">Val_pt*(M82-E_zero)</f>
        <v>131.25</v>
      </c>
      <c r="T82" s="14" t="n">
        <f aca="false">Val_pt*(N82-E_zero)</f>
        <v>131.25</v>
      </c>
      <c r="U82" s="14" t="n">
        <f aca="false">MAX(V82+Cost_round*C82-O82,IF(C82=1,Pre_q,0))</f>
        <v>535</v>
      </c>
      <c r="V82" s="14" t="n">
        <f aca="false">MAX(W82+Cost_round*D82-P82,IF(D82=1,Pre_q,0),Floor_q)</f>
        <v>485</v>
      </c>
      <c r="W82" s="14" t="n">
        <f aca="false">MAX(X82+Cost_round*E82-Q82,IF(E82=1,Pre_q,0),Floor_q)</f>
        <v>470</v>
      </c>
      <c r="X82" s="14" t="n">
        <f aca="false">MAX(Y82+Cost_round*F82-R82,IF(F82=1,Pre_q,0),Floor_q)</f>
        <v>350</v>
      </c>
      <c r="Y82" s="14" t="n">
        <f aca="false">MAX(Z82+Cost_round*G82-S82,IF(G82=1,Pre_q,0),Floor_q)</f>
        <v>470</v>
      </c>
      <c r="Z82" s="14" t="n">
        <f aca="false">MAX(AA82+Cost_round*H82-T82,IF(H82=1,Pre_q,0),Floor_q)</f>
        <v>350</v>
      </c>
      <c r="AA82" s="14" t="n">
        <f aca="false">MAX(End_q,Floor_q)</f>
        <v>470</v>
      </c>
      <c r="AB82" s="15" t="n">
        <f aca="false">IF($B$6&gt;=U82-0.000000001,1,0)</f>
        <v>1</v>
      </c>
      <c r="AC82" s="14" t="n">
        <f aca="false">IF($AB82=1,$B$6-Cost_round*C82+O82-V82,"")</f>
        <v>85</v>
      </c>
      <c r="AD82" s="14" t="n">
        <f aca="false">IF($AB82=1,V82-Cost_round*D82+P82-W82,"")</f>
        <v>0</v>
      </c>
      <c r="AE82" s="14" t="n">
        <f aca="false">IF($AB82=1,W82-Cost_round*E82+Q82-X82,"")</f>
        <v>122.5</v>
      </c>
      <c r="AF82" s="14" t="n">
        <f aca="false">IF($AB82=1,X82-Cost_round*F82+R82-Y82,"")</f>
        <v>2.5</v>
      </c>
      <c r="AG82" s="14" t="n">
        <f aca="false">IF($AB82=1,Y82-Cost_round*G82+S82-Z82,"")</f>
        <v>131.25</v>
      </c>
      <c r="AH82" s="14" t="n">
        <f aca="false">IF($AB82=1,Z82-Cost_round*H82+T82-AA82,"")</f>
        <v>11.25</v>
      </c>
      <c r="AI82" s="21" t="n">
        <f aca="false">IF($AB82=1,AC82*1+AD82*Bias_b*Beta_y^1+AE82*Bias_b*Beta_y^2+AF82*Bias_b*Beta_y^3+AG82*Bias_b*Beta_y^4+AH82*Bias_b*Beta_y^5+Bias_b*Beta_y^5*T82/Hurdle_r,"")</f>
        <v>998.237266455967</v>
      </c>
    </row>
    <row r="83" customFormat="false" ht="15" hidden="false" customHeight="false" outlineLevel="0" collapsed="false">
      <c r="A83" s="2" t="n">
        <v>59</v>
      </c>
      <c r="B83" s="2" t="str">
        <f aca="false">""&amp;C83&amp;D83&amp;E83&amp;F83&amp;G83&amp;H83</f>
        <v>111011</v>
      </c>
      <c r="C83" s="15" t="n">
        <f aca="false">MOD(INT($A83/32),2)</f>
        <v>1</v>
      </c>
      <c r="D83" s="15" t="n">
        <f aca="false">MOD(INT($A83/16),2)</f>
        <v>1</v>
      </c>
      <c r="E83" s="15" t="n">
        <f aca="false">MOD(INT($A83/8),2)</f>
        <v>1</v>
      </c>
      <c r="F83" s="15" t="n">
        <f aca="false">MOD(INT($A83/4),2)</f>
        <v>0</v>
      </c>
      <c r="G83" s="15" t="n">
        <f aca="false">MOD(INT($A83/2),2)</f>
        <v>1</v>
      </c>
      <c r="H83" s="15" t="n">
        <f aca="false">MOD(INT($A83/1),2)</f>
        <v>1</v>
      </c>
      <c r="I83" s="14" t="n">
        <f aca="false">$C$6+C83*(Half_gap*(Ceiling_e-$C$6))</f>
        <v>78</v>
      </c>
      <c r="J83" s="14" t="n">
        <f aca="false">I83+D83*(Half_gap*(Ceiling_e-I83))</f>
        <v>81.5</v>
      </c>
      <c r="K83" s="14" t="n">
        <f aca="false">J83+E83*(Half_gap*(Ceiling_e-J83))</f>
        <v>83.25</v>
      </c>
      <c r="L83" s="14" t="n">
        <f aca="false">K83+F83*(Half_gap*(Ceiling_e-K83))</f>
        <v>83.25</v>
      </c>
      <c r="M83" s="14" t="n">
        <f aca="false">L83+G83*(Half_gap*(Ceiling_e-L83))</f>
        <v>84.125</v>
      </c>
      <c r="N83" s="14" t="n">
        <f aca="false">M83+H83*(Half_gap*(Ceiling_e-M83))</f>
        <v>84.5625</v>
      </c>
      <c r="O83" s="14" t="n">
        <f aca="false">Val_pt*(I83-E_zero)</f>
        <v>70</v>
      </c>
      <c r="P83" s="14" t="n">
        <f aca="false">Val_pt*(J83-E_zero)</f>
        <v>105</v>
      </c>
      <c r="Q83" s="14" t="n">
        <f aca="false">Val_pt*(K83-E_zero)</f>
        <v>122.5</v>
      </c>
      <c r="R83" s="14" t="n">
        <f aca="false">Val_pt*(L83-E_zero)</f>
        <v>122.5</v>
      </c>
      <c r="S83" s="14" t="n">
        <f aca="false">Val_pt*(M83-E_zero)</f>
        <v>131.25</v>
      </c>
      <c r="T83" s="14" t="n">
        <f aca="false">Val_pt*(N83-E_zero)</f>
        <v>135.625</v>
      </c>
      <c r="U83" s="14" t="n">
        <f aca="false">MAX(V83+Cost_round*C83-O83,IF(C83=1,Pre_q,0))</f>
        <v>535</v>
      </c>
      <c r="V83" s="14" t="n">
        <f aca="false">MAX(W83+Cost_round*D83-P83,IF(D83=1,Pre_q,0),Floor_q)</f>
        <v>485</v>
      </c>
      <c r="W83" s="14" t="n">
        <f aca="false">MAX(X83+Cost_round*E83-Q83,IF(E83=1,Pre_q,0),Floor_q)</f>
        <v>470</v>
      </c>
      <c r="X83" s="14" t="n">
        <f aca="false">MAX(Y83+Cost_round*F83-R83,IF(F83=1,Pre_q,0),Floor_q)</f>
        <v>350</v>
      </c>
      <c r="Y83" s="14" t="n">
        <f aca="false">MAX(Z83+Cost_round*G83-S83,IF(G83=1,Pre_q,0),Floor_q)</f>
        <v>470</v>
      </c>
      <c r="Z83" s="14" t="n">
        <f aca="false">MAX(AA83+Cost_round*H83-T83,IF(H83=1,Pre_q,0),Floor_q)</f>
        <v>470</v>
      </c>
      <c r="AA83" s="14" t="n">
        <f aca="false">MAX(End_q,Floor_q)</f>
        <v>470</v>
      </c>
      <c r="AB83" s="15" t="n">
        <f aca="false">IF($B$6&gt;=U83-0.000000001,1,0)</f>
        <v>1</v>
      </c>
      <c r="AC83" s="14" t="n">
        <f aca="false">IF($AB83=1,$B$6-Cost_round*C83+O83-V83,"")</f>
        <v>85</v>
      </c>
      <c r="AD83" s="14" t="n">
        <f aca="false">IF($AB83=1,V83-Cost_round*D83+P83-W83,"")</f>
        <v>0</v>
      </c>
      <c r="AE83" s="14" t="n">
        <f aca="false">IF($AB83=1,W83-Cost_round*E83+Q83-X83,"")</f>
        <v>122.5</v>
      </c>
      <c r="AF83" s="14" t="n">
        <f aca="false">IF($AB83=1,X83-Cost_round*F83+R83-Y83,"")</f>
        <v>2.5</v>
      </c>
      <c r="AG83" s="14" t="n">
        <f aca="false">IF($AB83=1,Y83-Cost_round*G83+S83-Z83,"")</f>
        <v>11.25</v>
      </c>
      <c r="AH83" s="14" t="n">
        <f aca="false">IF($AB83=1,Z83-Cost_round*H83+T83-AA83,"")</f>
        <v>15.625</v>
      </c>
      <c r="AI83" s="21" t="n">
        <f aca="false">IF($AB83=1,AC83*1+AD83*Bias_b*Beta_y^1+AE83*Bias_b*Beta_y^2+AF83*Bias_b*Beta_y^3+AG83*Bias_b*Beta_y^4+AH83*Bias_b*Beta_y^5+Bias_b*Beta_y^5*T83/Hurdle_r,"")</f>
        <v>951.365468081539</v>
      </c>
    </row>
    <row r="84" customFormat="false" ht="15" hidden="false" customHeight="false" outlineLevel="0" collapsed="false">
      <c r="A84" s="2" t="n">
        <v>60</v>
      </c>
      <c r="B84" s="2" t="str">
        <f aca="false">""&amp;C84&amp;D84&amp;E84&amp;F84&amp;G84&amp;H84</f>
        <v>111100</v>
      </c>
      <c r="C84" s="15" t="n">
        <f aca="false">MOD(INT($A84/32),2)</f>
        <v>1</v>
      </c>
      <c r="D84" s="15" t="n">
        <f aca="false">MOD(INT($A84/16),2)</f>
        <v>1</v>
      </c>
      <c r="E84" s="15" t="n">
        <f aca="false">MOD(INT($A84/8),2)</f>
        <v>1</v>
      </c>
      <c r="F84" s="15" t="n">
        <f aca="false">MOD(INT($A84/4),2)</f>
        <v>1</v>
      </c>
      <c r="G84" s="15" t="n">
        <f aca="false">MOD(INT($A84/2),2)</f>
        <v>0</v>
      </c>
      <c r="H84" s="15" t="n">
        <f aca="false">MOD(INT($A84/1),2)</f>
        <v>0</v>
      </c>
      <c r="I84" s="14" t="n">
        <f aca="false">$C$6+C84*(Half_gap*(Ceiling_e-$C$6))</f>
        <v>78</v>
      </c>
      <c r="J84" s="14" t="n">
        <f aca="false">I84+D84*(Half_gap*(Ceiling_e-I84))</f>
        <v>81.5</v>
      </c>
      <c r="K84" s="14" t="n">
        <f aca="false">J84+E84*(Half_gap*(Ceiling_e-J84))</f>
        <v>83.25</v>
      </c>
      <c r="L84" s="14" t="n">
        <f aca="false">K84+F84*(Half_gap*(Ceiling_e-K84))</f>
        <v>84.125</v>
      </c>
      <c r="M84" s="14" t="n">
        <f aca="false">L84+G84*(Half_gap*(Ceiling_e-L84))</f>
        <v>84.125</v>
      </c>
      <c r="N84" s="14" t="n">
        <f aca="false">M84+H84*(Half_gap*(Ceiling_e-M84))</f>
        <v>84.125</v>
      </c>
      <c r="O84" s="14" t="n">
        <f aca="false">Val_pt*(I84-E_zero)</f>
        <v>70</v>
      </c>
      <c r="P84" s="14" t="n">
        <f aca="false">Val_pt*(J84-E_zero)</f>
        <v>105</v>
      </c>
      <c r="Q84" s="14" t="n">
        <f aca="false">Val_pt*(K84-E_zero)</f>
        <v>122.5</v>
      </c>
      <c r="R84" s="14" t="n">
        <f aca="false">Val_pt*(L84-E_zero)</f>
        <v>131.25</v>
      </c>
      <c r="S84" s="14" t="n">
        <f aca="false">Val_pt*(M84-E_zero)</f>
        <v>131.25</v>
      </c>
      <c r="T84" s="14" t="n">
        <f aca="false">Val_pt*(N84-E_zero)</f>
        <v>131.25</v>
      </c>
      <c r="U84" s="14" t="n">
        <f aca="false">MAX(V84+Cost_round*C84-O84,IF(C84=1,Pre_q,0))</f>
        <v>535</v>
      </c>
      <c r="V84" s="14" t="n">
        <f aca="false">MAX(W84+Cost_round*D84-P84,IF(D84=1,Pre_q,0),Floor_q)</f>
        <v>485</v>
      </c>
      <c r="W84" s="14" t="n">
        <f aca="false">MAX(X84+Cost_round*E84-Q84,IF(E84=1,Pre_q,0),Floor_q)</f>
        <v>470</v>
      </c>
      <c r="X84" s="14" t="n">
        <f aca="false">MAX(Y84+Cost_round*F84-R84,IF(F84=1,Pre_q,0),Floor_q)</f>
        <v>470</v>
      </c>
      <c r="Y84" s="14" t="n">
        <f aca="false">MAX(Z84+Cost_round*G84-S84,IF(G84=1,Pre_q,0),Floor_q)</f>
        <v>350</v>
      </c>
      <c r="Z84" s="14" t="n">
        <f aca="false">MAX(AA84+Cost_round*H84-T84,IF(H84=1,Pre_q,0),Floor_q)</f>
        <v>350</v>
      </c>
      <c r="AA84" s="14" t="n">
        <f aca="false">MAX(End_q,Floor_q)</f>
        <v>470</v>
      </c>
      <c r="AB84" s="15" t="n">
        <f aca="false">IF($B$6&gt;=U84-0.000000001,1,0)</f>
        <v>1</v>
      </c>
      <c r="AC84" s="14" t="n">
        <f aca="false">IF($AB84=1,$B$6-Cost_round*C84+O84-V84,"")</f>
        <v>85</v>
      </c>
      <c r="AD84" s="14" t="n">
        <f aca="false">IF($AB84=1,V84-Cost_round*D84+P84-W84,"")</f>
        <v>0</v>
      </c>
      <c r="AE84" s="14" t="n">
        <f aca="false">IF($AB84=1,W84-Cost_round*E84+Q84-X84,"")</f>
        <v>2.5</v>
      </c>
      <c r="AF84" s="14" t="n">
        <f aca="false">IF($AB84=1,X84-Cost_round*F84+R84-Y84,"")</f>
        <v>131.25</v>
      </c>
      <c r="AG84" s="14" t="n">
        <f aca="false">IF($AB84=1,Y84-Cost_round*G84+S84-Z84,"")</f>
        <v>131.25</v>
      </c>
      <c r="AH84" s="14" t="n">
        <f aca="false">IF($AB84=1,Z84-Cost_round*H84+T84-AA84,"")</f>
        <v>11.25</v>
      </c>
      <c r="AI84" s="21" t="n">
        <f aca="false">IF($AB84=1,AC84*1+AD84*Bias_b*Beta_y^1+AE84*Bias_b*Beta_y^2+AF84*Bias_b*Beta_y^3+AG84*Bias_b*Beta_y^4+AH84*Bias_b*Beta_y^5+Bias_b*Beta_y^5*T84/Hurdle_r,"")</f>
        <v>996.03967066333</v>
      </c>
    </row>
    <row r="85" customFormat="false" ht="15" hidden="false" customHeight="false" outlineLevel="0" collapsed="false">
      <c r="A85" s="2" t="n">
        <v>61</v>
      </c>
      <c r="B85" s="2" t="str">
        <f aca="false">""&amp;C85&amp;D85&amp;E85&amp;F85&amp;G85&amp;H85</f>
        <v>111101</v>
      </c>
      <c r="C85" s="15" t="n">
        <f aca="false">MOD(INT($A85/32),2)</f>
        <v>1</v>
      </c>
      <c r="D85" s="15" t="n">
        <f aca="false">MOD(INT($A85/16),2)</f>
        <v>1</v>
      </c>
      <c r="E85" s="15" t="n">
        <f aca="false">MOD(INT($A85/8),2)</f>
        <v>1</v>
      </c>
      <c r="F85" s="15" t="n">
        <f aca="false">MOD(INT($A85/4),2)</f>
        <v>1</v>
      </c>
      <c r="G85" s="15" t="n">
        <f aca="false">MOD(INT($A85/2),2)</f>
        <v>0</v>
      </c>
      <c r="H85" s="15" t="n">
        <f aca="false">MOD(INT($A85/1),2)</f>
        <v>1</v>
      </c>
      <c r="I85" s="14" t="n">
        <f aca="false">$C$6+C85*(Half_gap*(Ceiling_e-$C$6))</f>
        <v>78</v>
      </c>
      <c r="J85" s="14" t="n">
        <f aca="false">I85+D85*(Half_gap*(Ceiling_e-I85))</f>
        <v>81.5</v>
      </c>
      <c r="K85" s="14" t="n">
        <f aca="false">J85+E85*(Half_gap*(Ceiling_e-J85))</f>
        <v>83.25</v>
      </c>
      <c r="L85" s="14" t="n">
        <f aca="false">K85+F85*(Half_gap*(Ceiling_e-K85))</f>
        <v>84.125</v>
      </c>
      <c r="M85" s="14" t="n">
        <f aca="false">L85+G85*(Half_gap*(Ceiling_e-L85))</f>
        <v>84.125</v>
      </c>
      <c r="N85" s="14" t="n">
        <f aca="false">M85+H85*(Half_gap*(Ceiling_e-M85))</f>
        <v>84.5625</v>
      </c>
      <c r="O85" s="14" t="n">
        <f aca="false">Val_pt*(I85-E_zero)</f>
        <v>70</v>
      </c>
      <c r="P85" s="14" t="n">
        <f aca="false">Val_pt*(J85-E_zero)</f>
        <v>105</v>
      </c>
      <c r="Q85" s="14" t="n">
        <f aca="false">Val_pt*(K85-E_zero)</f>
        <v>122.5</v>
      </c>
      <c r="R85" s="14" t="n">
        <f aca="false">Val_pt*(L85-E_zero)</f>
        <v>131.25</v>
      </c>
      <c r="S85" s="14" t="n">
        <f aca="false">Val_pt*(M85-E_zero)</f>
        <v>131.25</v>
      </c>
      <c r="T85" s="14" t="n">
        <f aca="false">Val_pt*(N85-E_zero)</f>
        <v>135.625</v>
      </c>
      <c r="U85" s="14" t="n">
        <f aca="false">MAX(V85+Cost_round*C85-O85,IF(C85=1,Pre_q,0))</f>
        <v>535</v>
      </c>
      <c r="V85" s="14" t="n">
        <f aca="false">MAX(W85+Cost_round*D85-P85,IF(D85=1,Pre_q,0),Floor_q)</f>
        <v>485</v>
      </c>
      <c r="W85" s="14" t="n">
        <f aca="false">MAX(X85+Cost_round*E85-Q85,IF(E85=1,Pre_q,0),Floor_q)</f>
        <v>470</v>
      </c>
      <c r="X85" s="14" t="n">
        <f aca="false">MAX(Y85+Cost_round*F85-R85,IF(F85=1,Pre_q,0),Floor_q)</f>
        <v>470</v>
      </c>
      <c r="Y85" s="14" t="n">
        <f aca="false">MAX(Z85+Cost_round*G85-S85,IF(G85=1,Pre_q,0),Floor_q)</f>
        <v>350</v>
      </c>
      <c r="Z85" s="14" t="n">
        <f aca="false">MAX(AA85+Cost_round*H85-T85,IF(H85=1,Pre_q,0),Floor_q)</f>
        <v>470</v>
      </c>
      <c r="AA85" s="14" t="n">
        <f aca="false">MAX(End_q,Floor_q)</f>
        <v>470</v>
      </c>
      <c r="AB85" s="15" t="n">
        <f aca="false">IF($B$6&gt;=U85-0.000000001,1,0)</f>
        <v>1</v>
      </c>
      <c r="AC85" s="14" t="n">
        <f aca="false">IF($AB85=1,$B$6-Cost_round*C85+O85-V85,"")</f>
        <v>85</v>
      </c>
      <c r="AD85" s="14" t="n">
        <f aca="false">IF($AB85=1,V85-Cost_round*D85+P85-W85,"")</f>
        <v>0</v>
      </c>
      <c r="AE85" s="14" t="n">
        <f aca="false">IF($AB85=1,W85-Cost_round*E85+Q85-X85,"")</f>
        <v>2.5</v>
      </c>
      <c r="AF85" s="14" t="n">
        <f aca="false">IF($AB85=1,X85-Cost_round*F85+R85-Y85,"")</f>
        <v>131.25</v>
      </c>
      <c r="AG85" s="14" t="n">
        <f aca="false">IF($AB85=1,Y85-Cost_round*G85+S85-Z85,"")</f>
        <v>11.25</v>
      </c>
      <c r="AH85" s="14" t="n">
        <f aca="false">IF($AB85=1,Z85-Cost_round*H85+T85-AA85,"")</f>
        <v>15.625</v>
      </c>
      <c r="AI85" s="21" t="n">
        <f aca="false">IF($AB85=1,AC85*1+AD85*Bias_b*Beta_y^1+AE85*Bias_b*Beta_y^2+AF85*Bias_b*Beta_y^3+AG85*Bias_b*Beta_y^4+AH85*Bias_b*Beta_y^5+Bias_b*Beta_y^5*T85/Hurdle_r,"")</f>
        <v>949.167872288902</v>
      </c>
    </row>
    <row r="86" customFormat="false" ht="15" hidden="false" customHeight="false" outlineLevel="0" collapsed="false">
      <c r="A86" s="2" t="n">
        <v>62</v>
      </c>
      <c r="B86" s="2" t="str">
        <f aca="false">""&amp;C86&amp;D86&amp;E86&amp;F86&amp;G86&amp;H86</f>
        <v>111110</v>
      </c>
      <c r="C86" s="15" t="n">
        <f aca="false">MOD(INT($A86/32),2)</f>
        <v>1</v>
      </c>
      <c r="D86" s="15" t="n">
        <f aca="false">MOD(INT($A86/16),2)</f>
        <v>1</v>
      </c>
      <c r="E86" s="15" t="n">
        <f aca="false">MOD(INT($A86/8),2)</f>
        <v>1</v>
      </c>
      <c r="F86" s="15" t="n">
        <f aca="false">MOD(INT($A86/4),2)</f>
        <v>1</v>
      </c>
      <c r="G86" s="15" t="n">
        <f aca="false">MOD(INT($A86/2),2)</f>
        <v>1</v>
      </c>
      <c r="H86" s="15" t="n">
        <f aca="false">MOD(INT($A86/1),2)</f>
        <v>0</v>
      </c>
      <c r="I86" s="14" t="n">
        <f aca="false">$C$6+C86*(Half_gap*(Ceiling_e-$C$6))</f>
        <v>78</v>
      </c>
      <c r="J86" s="14" t="n">
        <f aca="false">I86+D86*(Half_gap*(Ceiling_e-I86))</f>
        <v>81.5</v>
      </c>
      <c r="K86" s="14" t="n">
        <f aca="false">J86+E86*(Half_gap*(Ceiling_e-J86))</f>
        <v>83.25</v>
      </c>
      <c r="L86" s="14" t="n">
        <f aca="false">K86+F86*(Half_gap*(Ceiling_e-K86))</f>
        <v>84.125</v>
      </c>
      <c r="M86" s="14" t="n">
        <f aca="false">L86+G86*(Half_gap*(Ceiling_e-L86))</f>
        <v>84.5625</v>
      </c>
      <c r="N86" s="14" t="n">
        <f aca="false">M86+H86*(Half_gap*(Ceiling_e-M86))</f>
        <v>84.5625</v>
      </c>
      <c r="O86" s="14" t="n">
        <f aca="false">Val_pt*(I86-E_zero)</f>
        <v>70</v>
      </c>
      <c r="P86" s="14" t="n">
        <f aca="false">Val_pt*(J86-E_zero)</f>
        <v>105</v>
      </c>
      <c r="Q86" s="14" t="n">
        <f aca="false">Val_pt*(K86-E_zero)</f>
        <v>122.5</v>
      </c>
      <c r="R86" s="14" t="n">
        <f aca="false">Val_pt*(L86-E_zero)</f>
        <v>131.25</v>
      </c>
      <c r="S86" s="14" t="n">
        <f aca="false">Val_pt*(M86-E_zero)</f>
        <v>135.625</v>
      </c>
      <c r="T86" s="14" t="n">
        <f aca="false">Val_pt*(N86-E_zero)</f>
        <v>135.625</v>
      </c>
      <c r="U86" s="14" t="n">
        <f aca="false">MAX(V86+Cost_round*C86-O86,IF(C86=1,Pre_q,0))</f>
        <v>535</v>
      </c>
      <c r="V86" s="14" t="n">
        <f aca="false">MAX(W86+Cost_round*D86-P86,IF(D86=1,Pre_q,0),Floor_q)</f>
        <v>485</v>
      </c>
      <c r="W86" s="14" t="n">
        <f aca="false">MAX(X86+Cost_round*E86-Q86,IF(E86=1,Pre_q,0),Floor_q)</f>
        <v>470</v>
      </c>
      <c r="X86" s="14" t="n">
        <f aca="false">MAX(Y86+Cost_round*F86-R86,IF(F86=1,Pre_q,0),Floor_q)</f>
        <v>470</v>
      </c>
      <c r="Y86" s="14" t="n">
        <f aca="false">MAX(Z86+Cost_round*G86-S86,IF(G86=1,Pre_q,0),Floor_q)</f>
        <v>470</v>
      </c>
      <c r="Z86" s="14" t="n">
        <f aca="false">MAX(AA86+Cost_round*H86-T86,IF(H86=1,Pre_q,0),Floor_q)</f>
        <v>350</v>
      </c>
      <c r="AA86" s="14" t="n">
        <f aca="false">MAX(End_q,Floor_q)</f>
        <v>470</v>
      </c>
      <c r="AB86" s="15" t="n">
        <f aca="false">IF($B$6&gt;=U86-0.000000001,1,0)</f>
        <v>1</v>
      </c>
      <c r="AC86" s="14" t="n">
        <f aca="false">IF($AB86=1,$B$6-Cost_round*C86+O86-V86,"")</f>
        <v>85</v>
      </c>
      <c r="AD86" s="14" t="n">
        <f aca="false">IF($AB86=1,V86-Cost_round*D86+P86-W86,"")</f>
        <v>0</v>
      </c>
      <c r="AE86" s="14" t="n">
        <f aca="false">IF($AB86=1,W86-Cost_round*E86+Q86-X86,"")</f>
        <v>2.5</v>
      </c>
      <c r="AF86" s="14" t="n">
        <f aca="false">IF($AB86=1,X86-Cost_round*F86+R86-Y86,"")</f>
        <v>11.25</v>
      </c>
      <c r="AG86" s="14" t="n">
        <f aca="false">IF($AB86=1,Y86-Cost_round*G86+S86-Z86,"")</f>
        <v>135.625</v>
      </c>
      <c r="AH86" s="14" t="n">
        <f aca="false">IF($AB86=1,Z86-Cost_round*H86+T86-AA86,"")</f>
        <v>15.625</v>
      </c>
      <c r="AI86" s="21" t="n">
        <f aca="false">IF($AB86=1,AC86*1+AD86*Bias_b*Beta_y^1+AE86*Bias_b*Beta_y^2+AF86*Bias_b*Beta_y^3+AG86*Bias_b*Beta_y^4+AH86*Bias_b*Beta_y^5+Bias_b*Beta_y^5*T86/Hurdle_r,"")</f>
        <v>944.480692451459</v>
      </c>
    </row>
    <row r="87" customFormat="false" ht="15" hidden="false" customHeight="false" outlineLevel="0" collapsed="false">
      <c r="A87" s="2" t="n">
        <v>63</v>
      </c>
      <c r="B87" s="2" t="str">
        <f aca="false">""&amp;C87&amp;D87&amp;E87&amp;F87&amp;G87&amp;H87</f>
        <v>111111</v>
      </c>
      <c r="C87" s="15" t="n">
        <f aca="false">MOD(INT($A87/32),2)</f>
        <v>1</v>
      </c>
      <c r="D87" s="15" t="n">
        <f aca="false">MOD(INT($A87/16),2)</f>
        <v>1</v>
      </c>
      <c r="E87" s="15" t="n">
        <f aca="false">MOD(INT($A87/8),2)</f>
        <v>1</v>
      </c>
      <c r="F87" s="15" t="n">
        <f aca="false">MOD(INT($A87/4),2)</f>
        <v>1</v>
      </c>
      <c r="G87" s="15" t="n">
        <f aca="false">MOD(INT($A87/2),2)</f>
        <v>1</v>
      </c>
      <c r="H87" s="15" t="n">
        <f aca="false">MOD(INT($A87/1),2)</f>
        <v>1</v>
      </c>
      <c r="I87" s="14" t="n">
        <f aca="false">$C$6+C87*(Half_gap*(Ceiling_e-$C$6))</f>
        <v>78</v>
      </c>
      <c r="J87" s="14" t="n">
        <f aca="false">I87+D87*(Half_gap*(Ceiling_e-I87))</f>
        <v>81.5</v>
      </c>
      <c r="K87" s="14" t="n">
        <f aca="false">J87+E87*(Half_gap*(Ceiling_e-J87))</f>
        <v>83.25</v>
      </c>
      <c r="L87" s="14" t="n">
        <f aca="false">K87+F87*(Half_gap*(Ceiling_e-K87))</f>
        <v>84.125</v>
      </c>
      <c r="M87" s="14" t="n">
        <f aca="false">L87+G87*(Half_gap*(Ceiling_e-L87))</f>
        <v>84.5625</v>
      </c>
      <c r="N87" s="14" t="n">
        <f aca="false">M87+H87*(Half_gap*(Ceiling_e-M87))</f>
        <v>84.78125</v>
      </c>
      <c r="O87" s="14" t="n">
        <f aca="false">Val_pt*(I87-E_zero)</f>
        <v>70</v>
      </c>
      <c r="P87" s="14" t="n">
        <f aca="false">Val_pt*(J87-E_zero)</f>
        <v>105</v>
      </c>
      <c r="Q87" s="14" t="n">
        <f aca="false">Val_pt*(K87-E_zero)</f>
        <v>122.5</v>
      </c>
      <c r="R87" s="14" t="n">
        <f aca="false">Val_pt*(L87-E_zero)</f>
        <v>131.25</v>
      </c>
      <c r="S87" s="14" t="n">
        <f aca="false">Val_pt*(M87-E_zero)</f>
        <v>135.625</v>
      </c>
      <c r="T87" s="14" t="n">
        <f aca="false">Val_pt*(N87-E_zero)</f>
        <v>137.8125</v>
      </c>
      <c r="U87" s="14" t="n">
        <f aca="false">MAX(V87+Cost_round*C87-O87,IF(C87=1,Pre_q,0))</f>
        <v>535</v>
      </c>
      <c r="V87" s="14" t="n">
        <f aca="false">MAX(W87+Cost_round*D87-P87,IF(D87=1,Pre_q,0),Floor_q)</f>
        <v>485</v>
      </c>
      <c r="W87" s="14" t="n">
        <f aca="false">MAX(X87+Cost_round*E87-Q87,IF(E87=1,Pre_q,0),Floor_q)</f>
        <v>470</v>
      </c>
      <c r="X87" s="14" t="n">
        <f aca="false">MAX(Y87+Cost_round*F87-R87,IF(F87=1,Pre_q,0),Floor_q)</f>
        <v>470</v>
      </c>
      <c r="Y87" s="14" t="n">
        <f aca="false">MAX(Z87+Cost_round*G87-S87,IF(G87=1,Pre_q,0),Floor_q)</f>
        <v>470</v>
      </c>
      <c r="Z87" s="14" t="n">
        <f aca="false">MAX(AA87+Cost_round*H87-T87,IF(H87=1,Pre_q,0),Floor_q)</f>
        <v>470</v>
      </c>
      <c r="AA87" s="14" t="n">
        <f aca="false">MAX(End_q,Floor_q)</f>
        <v>470</v>
      </c>
      <c r="AB87" s="15" t="n">
        <f aca="false">IF($B$6&gt;=U87-0.000000001,1,0)</f>
        <v>1</v>
      </c>
      <c r="AC87" s="14" t="n">
        <f aca="false">IF($AB87=1,$B$6-Cost_round*C87+O87-V87,"")</f>
        <v>85</v>
      </c>
      <c r="AD87" s="14" t="n">
        <f aca="false">IF($AB87=1,V87-Cost_round*D87+P87-W87,"")</f>
        <v>0</v>
      </c>
      <c r="AE87" s="14" t="n">
        <f aca="false">IF($AB87=1,W87-Cost_round*E87+Q87-X87,"")</f>
        <v>2.5</v>
      </c>
      <c r="AF87" s="14" t="n">
        <f aca="false">IF($AB87=1,X87-Cost_round*F87+R87-Y87,"")</f>
        <v>11.25</v>
      </c>
      <c r="AG87" s="14" t="n">
        <f aca="false">IF($AB87=1,Y87-Cost_round*G87+S87-Z87,"")</f>
        <v>15.625</v>
      </c>
      <c r="AH87" s="14" t="n">
        <f aca="false">IF($AB87=1,Z87-Cost_round*H87+T87-AA87,"")</f>
        <v>17.8125</v>
      </c>
      <c r="AI87" s="21" t="n">
        <f aca="false">IF($AB87=1,AC87*1+AD87*Bias_b*Beta_y^1+AE87*Bias_b*Beta_y^2+AF87*Bias_b*Beta_y^3+AG87*Bias_b*Beta_y^4+AH87*Bias_b*Beta_y^5+Bias_b*Beta_y^5*T87/Hurdle_r,"")</f>
        <v>884.162066674532</v>
      </c>
    </row>
    <row r="90" customFormat="false" ht="15" hidden="false" customHeight="false" outlineLevel="0" collapsed="false">
      <c r="A90" s="4" t="s">
        <v>304</v>
      </c>
    </row>
    <row r="91" customFormat="false" ht="46.25" hidden="false" customHeight="false" outlineLevel="0" collapsed="false">
      <c r="A91" s="8" t="s">
        <v>78</v>
      </c>
      <c r="B91" s="8" t="s">
        <v>80</v>
      </c>
      <c r="C91" s="8" t="s">
        <v>81</v>
      </c>
      <c r="D91" s="8" t="s">
        <v>82</v>
      </c>
      <c r="E91" s="8" t="s">
        <v>83</v>
      </c>
      <c r="F91" s="8" t="s">
        <v>84</v>
      </c>
      <c r="G91" s="8" t="s">
        <v>85</v>
      </c>
      <c r="H91" s="8"/>
      <c r="I91" s="8" t="s">
        <v>87</v>
      </c>
      <c r="J91" s="8" t="s">
        <v>88</v>
      </c>
      <c r="K91" s="8" t="s">
        <v>89</v>
      </c>
      <c r="L91" s="8" t="s">
        <v>90</v>
      </c>
      <c r="M91" s="8" t="s">
        <v>91</v>
      </c>
      <c r="N91" s="8"/>
      <c r="O91" s="8" t="s">
        <v>93</v>
      </c>
      <c r="P91" s="8" t="s">
        <v>94</v>
      </c>
      <c r="Q91" s="8" t="s">
        <v>95</v>
      </c>
      <c r="R91" s="8" t="s">
        <v>96</v>
      </c>
      <c r="S91" s="8" t="s">
        <v>97</v>
      </c>
      <c r="T91" s="8"/>
      <c r="U91" s="8" t="s">
        <v>99</v>
      </c>
      <c r="V91" s="8" t="s">
        <v>100</v>
      </c>
      <c r="W91" s="8" t="s">
        <v>101</v>
      </c>
      <c r="X91" s="8" t="s">
        <v>102</v>
      </c>
      <c r="Y91" s="8" t="s">
        <v>103</v>
      </c>
      <c r="Z91" s="8" t="s">
        <v>104</v>
      </c>
      <c r="AA91" s="8"/>
      <c r="AB91" s="8" t="s">
        <v>106</v>
      </c>
      <c r="AC91" s="8" t="s">
        <v>107</v>
      </c>
      <c r="AD91" s="8" t="s">
        <v>108</v>
      </c>
      <c r="AE91" s="8" t="s">
        <v>109</v>
      </c>
      <c r="AF91" s="8" t="s">
        <v>110</v>
      </c>
      <c r="AG91" s="8" t="s">
        <v>111</v>
      </c>
      <c r="AH91" s="8"/>
      <c r="AI91" s="8" t="s">
        <v>303</v>
      </c>
    </row>
    <row r="92" customFormat="false" ht="15" hidden="false" customHeight="false" outlineLevel="0" collapsed="false">
      <c r="A92" s="2" t="n">
        <v>0</v>
      </c>
      <c r="B92" s="2" t="str">
        <f aca="false">""&amp;C92&amp;D92&amp;E92&amp;F92&amp;G92</f>
        <v>00000</v>
      </c>
      <c r="C92" s="15" t="n">
        <f aca="false">MOD(INT($A92/16),2)</f>
        <v>0</v>
      </c>
      <c r="D92" s="15" t="n">
        <f aca="false">MOD(INT($A92/8),2)</f>
        <v>0</v>
      </c>
      <c r="E92" s="15" t="n">
        <f aca="false">MOD(INT($A92/4),2)</f>
        <v>0</v>
      </c>
      <c r="F92" s="15" t="n">
        <f aca="false">MOD(INT($A92/2),2)</f>
        <v>0</v>
      </c>
      <c r="G92" s="15" t="n">
        <f aca="false">MOD(INT($A92/1),2)</f>
        <v>0</v>
      </c>
      <c r="I92" s="14" t="n">
        <f aca="false">$C$7+C92*(Half_gap*(Ceiling_e-$C$7))</f>
        <v>78</v>
      </c>
      <c r="J92" s="14" t="n">
        <f aca="false">I92+D92*(Half_gap*(Ceiling_e-I92))</f>
        <v>78</v>
      </c>
      <c r="K92" s="14" t="n">
        <f aca="false">J92+E92*(Half_gap*(Ceiling_e-J92))</f>
        <v>78</v>
      </c>
      <c r="L92" s="14" t="n">
        <f aca="false">K92+F92*(Half_gap*(Ceiling_e-K92))</f>
        <v>78</v>
      </c>
      <c r="M92" s="14" t="n">
        <f aca="false">L92+G92*(Half_gap*(Ceiling_e-L92))</f>
        <v>78</v>
      </c>
      <c r="O92" s="14" t="n">
        <f aca="false">Val_pt*(I92-E_zero)</f>
        <v>70</v>
      </c>
      <c r="P92" s="14" t="n">
        <f aca="false">Val_pt*(J92-E_zero)</f>
        <v>70</v>
      </c>
      <c r="Q92" s="14" t="n">
        <f aca="false">Val_pt*(K92-E_zero)</f>
        <v>70</v>
      </c>
      <c r="R92" s="14" t="n">
        <f aca="false">Val_pt*(L92-E_zero)</f>
        <v>70</v>
      </c>
      <c r="S92" s="14" t="n">
        <f aca="false">Val_pt*(M92-E_zero)</f>
        <v>70</v>
      </c>
      <c r="U92" s="14" t="n">
        <f aca="false">MAX(V92+Cost_round*C92-O92,IF(C92=1,Pre_q,0))</f>
        <v>280</v>
      </c>
      <c r="V92" s="14" t="n">
        <f aca="false">MAX(W92+Cost_round*D92-P92,IF(D92=1,Pre_q,0),Floor_q)</f>
        <v>350</v>
      </c>
      <c r="W92" s="14" t="n">
        <f aca="false">MAX(X92+Cost_round*E92-Q92,IF(E92=1,Pre_q,0),Floor_q)</f>
        <v>350</v>
      </c>
      <c r="X92" s="14" t="n">
        <f aca="false">MAX(Y92+Cost_round*F92-R92,IF(F92=1,Pre_q,0),Floor_q)</f>
        <v>350</v>
      </c>
      <c r="Y92" s="14" t="n">
        <f aca="false">MAX(Z92+Cost_round*G92-S92,IF(G92=1,Pre_q,0),Floor_q)</f>
        <v>400</v>
      </c>
      <c r="Z92" s="14" t="n">
        <f aca="false">MAX(End_q,Floor_q)</f>
        <v>470</v>
      </c>
      <c r="AB92" s="15" t="n">
        <f aca="false">IF($B$7&gt;=U92-0.000000001,1,0)</f>
        <v>1</v>
      </c>
      <c r="AC92" s="14" t="n">
        <f aca="false">IF($AB92=1,$B$7-Cost_round*C92+O92-V92,"")</f>
        <v>205</v>
      </c>
      <c r="AD92" s="14" t="n">
        <f aca="false">IF($AB92=1,V92-Cost_round*D92+P92-W92,"")</f>
        <v>70</v>
      </c>
      <c r="AE92" s="14" t="n">
        <f aca="false">IF($AB92=1,W92-Cost_round*E92+Q92-X92,"")</f>
        <v>70</v>
      </c>
      <c r="AF92" s="14" t="n">
        <f aca="false">IF($AB92=1,X92-Cost_round*F92+R92-Y92,"")</f>
        <v>20</v>
      </c>
      <c r="AG92" s="14" t="n">
        <f aca="false">IF($AB92=1,Y92-Cost_round*G92+S92-Z92,"")</f>
        <v>0</v>
      </c>
      <c r="AI92" s="21" t="n">
        <f aca="false">IF($AB92=1,AC92*1+AD92*Bias_b*Beta_y^1+AE92*Bias_b*Beta_y^2+AF92*Bias_b*Beta_y^3+AG92*Bias_b*Beta_y^4+Bias_b*Beta_y^4*S92/Hurdle_r,"")</f>
        <v>758.16098627143</v>
      </c>
    </row>
    <row r="93" customFormat="false" ht="15" hidden="false" customHeight="false" outlineLevel="0" collapsed="false">
      <c r="A93" s="2" t="n">
        <v>1</v>
      </c>
      <c r="B93" s="2" t="str">
        <f aca="false">""&amp;C93&amp;D93&amp;E93&amp;F93&amp;G93</f>
        <v>00001</v>
      </c>
      <c r="C93" s="15" t="n">
        <f aca="false">MOD(INT($A93/16),2)</f>
        <v>0</v>
      </c>
      <c r="D93" s="15" t="n">
        <f aca="false">MOD(INT($A93/8),2)</f>
        <v>0</v>
      </c>
      <c r="E93" s="15" t="n">
        <f aca="false">MOD(INT($A93/4),2)</f>
        <v>0</v>
      </c>
      <c r="F93" s="15" t="n">
        <f aca="false">MOD(INT($A93/2),2)</f>
        <v>0</v>
      </c>
      <c r="G93" s="15" t="n">
        <f aca="false">MOD(INT($A93/1),2)</f>
        <v>1</v>
      </c>
      <c r="I93" s="14" t="n">
        <f aca="false">$C$7+C93*(Half_gap*(Ceiling_e-$C$7))</f>
        <v>78</v>
      </c>
      <c r="J93" s="14" t="n">
        <f aca="false">I93+D93*(Half_gap*(Ceiling_e-I93))</f>
        <v>78</v>
      </c>
      <c r="K93" s="14" t="n">
        <f aca="false">J93+E93*(Half_gap*(Ceiling_e-J93))</f>
        <v>78</v>
      </c>
      <c r="L93" s="14" t="n">
        <f aca="false">K93+F93*(Half_gap*(Ceiling_e-K93))</f>
        <v>78</v>
      </c>
      <c r="M93" s="14" t="n">
        <f aca="false">L93+G93*(Half_gap*(Ceiling_e-L93))</f>
        <v>81.5</v>
      </c>
      <c r="O93" s="14" t="n">
        <f aca="false">Val_pt*(I93-E_zero)</f>
        <v>70</v>
      </c>
      <c r="P93" s="14" t="n">
        <f aca="false">Val_pt*(J93-E_zero)</f>
        <v>70</v>
      </c>
      <c r="Q93" s="14" t="n">
        <f aca="false">Val_pt*(K93-E_zero)</f>
        <v>70</v>
      </c>
      <c r="R93" s="14" t="n">
        <f aca="false">Val_pt*(L93-E_zero)</f>
        <v>70</v>
      </c>
      <c r="S93" s="14" t="n">
        <f aca="false">Val_pt*(M93-E_zero)</f>
        <v>105</v>
      </c>
      <c r="U93" s="14" t="n">
        <f aca="false">MAX(V93+Cost_round*C93-O93,IF(C93=1,Pre_q,0))</f>
        <v>280</v>
      </c>
      <c r="V93" s="14" t="n">
        <f aca="false">MAX(W93+Cost_round*D93-P93,IF(D93=1,Pre_q,0),Floor_q)</f>
        <v>350</v>
      </c>
      <c r="W93" s="14" t="n">
        <f aca="false">MAX(X93+Cost_round*E93-Q93,IF(E93=1,Pre_q,0),Floor_q)</f>
        <v>350</v>
      </c>
      <c r="X93" s="14" t="n">
        <f aca="false">MAX(Y93+Cost_round*F93-R93,IF(F93=1,Pre_q,0),Floor_q)</f>
        <v>415</v>
      </c>
      <c r="Y93" s="14" t="n">
        <f aca="false">MAX(Z93+Cost_round*G93-S93,IF(G93=1,Pre_q,0),Floor_q)</f>
        <v>485</v>
      </c>
      <c r="Z93" s="14" t="n">
        <f aca="false">MAX(End_q,Floor_q)</f>
        <v>470</v>
      </c>
      <c r="AB93" s="15" t="n">
        <f aca="false">IF($B$7&gt;=U93-0.000000001,1,0)</f>
        <v>1</v>
      </c>
      <c r="AC93" s="14" t="n">
        <f aca="false">IF($AB93=1,$B$7-Cost_round*C93+O93-V93,"")</f>
        <v>205</v>
      </c>
      <c r="AD93" s="14" t="n">
        <f aca="false">IF($AB93=1,V93-Cost_round*D93+P93-W93,"")</f>
        <v>70</v>
      </c>
      <c r="AE93" s="14" t="n">
        <f aca="false">IF($AB93=1,W93-Cost_round*E93+Q93-X93,"")</f>
        <v>5</v>
      </c>
      <c r="AF93" s="14" t="n">
        <f aca="false">IF($AB93=1,X93-Cost_round*F93+R93-Y93,"")</f>
        <v>0</v>
      </c>
      <c r="AG93" s="14" t="n">
        <f aca="false">IF($AB93=1,Y93-Cost_round*G93+S93-Z93,"")</f>
        <v>0</v>
      </c>
      <c r="AI93" s="21" t="n">
        <f aca="false">IF($AB93=1,AC93*1+AD93*Bias_b*Beta_y^1+AE93*Bias_b*Beta_y^2+AF93*Bias_b*Beta_y^3+AG93*Bias_b*Beta_y^4+Bias_b*Beta_y^4*S93/Hurdle_r,"")</f>
        <v>911.439450857182</v>
      </c>
    </row>
    <row r="94" customFormat="false" ht="15" hidden="false" customHeight="false" outlineLevel="0" collapsed="false">
      <c r="A94" s="2" t="n">
        <v>2</v>
      </c>
      <c r="B94" s="2" t="str">
        <f aca="false">""&amp;C94&amp;D94&amp;E94&amp;F94&amp;G94</f>
        <v>00010</v>
      </c>
      <c r="C94" s="15" t="n">
        <f aca="false">MOD(INT($A94/16),2)</f>
        <v>0</v>
      </c>
      <c r="D94" s="15" t="n">
        <f aca="false">MOD(INT($A94/8),2)</f>
        <v>0</v>
      </c>
      <c r="E94" s="15" t="n">
        <f aca="false">MOD(INT($A94/4),2)</f>
        <v>0</v>
      </c>
      <c r="F94" s="15" t="n">
        <f aca="false">MOD(INT($A94/2),2)</f>
        <v>1</v>
      </c>
      <c r="G94" s="15" t="n">
        <f aca="false">MOD(INT($A94/1),2)</f>
        <v>0</v>
      </c>
      <c r="I94" s="14" t="n">
        <f aca="false">$C$7+C94*(Half_gap*(Ceiling_e-$C$7))</f>
        <v>78</v>
      </c>
      <c r="J94" s="14" t="n">
        <f aca="false">I94+D94*(Half_gap*(Ceiling_e-I94))</f>
        <v>78</v>
      </c>
      <c r="K94" s="14" t="n">
        <f aca="false">J94+E94*(Half_gap*(Ceiling_e-J94))</f>
        <v>78</v>
      </c>
      <c r="L94" s="14" t="n">
        <f aca="false">K94+F94*(Half_gap*(Ceiling_e-K94))</f>
        <v>81.5</v>
      </c>
      <c r="M94" s="14" t="n">
        <f aca="false">L94+G94*(Half_gap*(Ceiling_e-L94))</f>
        <v>81.5</v>
      </c>
      <c r="O94" s="14" t="n">
        <f aca="false">Val_pt*(I94-E_zero)</f>
        <v>70</v>
      </c>
      <c r="P94" s="14" t="n">
        <f aca="false">Val_pt*(J94-E_zero)</f>
        <v>70</v>
      </c>
      <c r="Q94" s="14" t="n">
        <f aca="false">Val_pt*(K94-E_zero)</f>
        <v>70</v>
      </c>
      <c r="R94" s="14" t="n">
        <f aca="false">Val_pt*(L94-E_zero)</f>
        <v>105</v>
      </c>
      <c r="S94" s="14" t="n">
        <f aca="false">Val_pt*(M94-E_zero)</f>
        <v>105</v>
      </c>
      <c r="U94" s="14" t="n">
        <f aca="false">MAX(V94+Cost_round*C94-O94,IF(C94=1,Pre_q,0))</f>
        <v>280</v>
      </c>
      <c r="V94" s="14" t="n">
        <f aca="false">MAX(W94+Cost_round*D94-P94,IF(D94=1,Pre_q,0),Floor_q)</f>
        <v>350</v>
      </c>
      <c r="W94" s="14" t="n">
        <f aca="false">MAX(X94+Cost_round*E94-Q94,IF(E94=1,Pre_q,0),Floor_q)</f>
        <v>400</v>
      </c>
      <c r="X94" s="14" t="n">
        <f aca="false">MAX(Y94+Cost_round*F94-R94,IF(F94=1,Pre_q,0),Floor_q)</f>
        <v>470</v>
      </c>
      <c r="Y94" s="14" t="n">
        <f aca="false">MAX(Z94+Cost_round*G94-S94,IF(G94=1,Pre_q,0),Floor_q)</f>
        <v>365</v>
      </c>
      <c r="Z94" s="14" t="n">
        <f aca="false">MAX(End_q,Floor_q)</f>
        <v>470</v>
      </c>
      <c r="AB94" s="15" t="n">
        <f aca="false">IF($B$7&gt;=U94-0.000000001,1,0)</f>
        <v>1</v>
      </c>
      <c r="AC94" s="14" t="n">
        <f aca="false">IF($AB94=1,$B$7-Cost_round*C94+O94-V94,"")</f>
        <v>205</v>
      </c>
      <c r="AD94" s="14" t="n">
        <f aca="false">IF($AB94=1,V94-Cost_round*D94+P94-W94,"")</f>
        <v>20</v>
      </c>
      <c r="AE94" s="14" t="n">
        <f aca="false">IF($AB94=1,W94-Cost_round*E94+Q94-X94,"")</f>
        <v>0</v>
      </c>
      <c r="AF94" s="14" t="n">
        <f aca="false">IF($AB94=1,X94-Cost_round*F94+R94-Y94,"")</f>
        <v>90</v>
      </c>
      <c r="AG94" s="14" t="n">
        <f aca="false">IF($AB94=1,Y94-Cost_round*G94+S94-Z94,"")</f>
        <v>0</v>
      </c>
      <c r="AI94" s="21" t="n">
        <f aca="false">IF($AB94=1,AC94*1+AD94*Bias_b*Beta_y^1+AE94*Bias_b*Beta_y^2+AF94*Bias_b*Beta_y^3+AG94*Bias_b*Beta_y^4+Bias_b*Beta_y^4*S94/Hurdle_r,"")</f>
        <v>927.667850556656</v>
      </c>
    </row>
    <row r="95" customFormat="false" ht="15" hidden="false" customHeight="false" outlineLevel="0" collapsed="false">
      <c r="A95" s="2" t="n">
        <v>3</v>
      </c>
      <c r="B95" s="2" t="str">
        <f aca="false">""&amp;C95&amp;D95&amp;E95&amp;F95&amp;G95</f>
        <v>00011</v>
      </c>
      <c r="C95" s="15" t="n">
        <f aca="false">MOD(INT($A95/16),2)</f>
        <v>0</v>
      </c>
      <c r="D95" s="15" t="n">
        <f aca="false">MOD(INT($A95/8),2)</f>
        <v>0</v>
      </c>
      <c r="E95" s="15" t="n">
        <f aca="false">MOD(INT($A95/4),2)</f>
        <v>0</v>
      </c>
      <c r="F95" s="15" t="n">
        <f aca="false">MOD(INT($A95/2),2)</f>
        <v>1</v>
      </c>
      <c r="G95" s="15" t="n">
        <f aca="false">MOD(INT($A95/1),2)</f>
        <v>1</v>
      </c>
      <c r="I95" s="14" t="n">
        <f aca="false">$C$7+C95*(Half_gap*(Ceiling_e-$C$7))</f>
        <v>78</v>
      </c>
      <c r="J95" s="14" t="n">
        <f aca="false">I95+D95*(Half_gap*(Ceiling_e-I95))</f>
        <v>78</v>
      </c>
      <c r="K95" s="14" t="n">
        <f aca="false">J95+E95*(Half_gap*(Ceiling_e-J95))</f>
        <v>78</v>
      </c>
      <c r="L95" s="14" t="n">
        <f aca="false">K95+F95*(Half_gap*(Ceiling_e-K95))</f>
        <v>81.5</v>
      </c>
      <c r="M95" s="14" t="n">
        <f aca="false">L95+G95*(Half_gap*(Ceiling_e-L95))</f>
        <v>83.25</v>
      </c>
      <c r="O95" s="14" t="n">
        <f aca="false">Val_pt*(I95-E_zero)</f>
        <v>70</v>
      </c>
      <c r="P95" s="14" t="n">
        <f aca="false">Val_pt*(J95-E_zero)</f>
        <v>70</v>
      </c>
      <c r="Q95" s="14" t="n">
        <f aca="false">Val_pt*(K95-E_zero)</f>
        <v>70</v>
      </c>
      <c r="R95" s="14" t="n">
        <f aca="false">Val_pt*(L95-E_zero)</f>
        <v>105</v>
      </c>
      <c r="S95" s="14" t="n">
        <f aca="false">Val_pt*(M95-E_zero)</f>
        <v>122.5</v>
      </c>
      <c r="U95" s="14" t="n">
        <f aca="false">MAX(V95+Cost_round*C95-O95,IF(C95=1,Pre_q,0))</f>
        <v>280</v>
      </c>
      <c r="V95" s="14" t="n">
        <f aca="false">MAX(W95+Cost_round*D95-P95,IF(D95=1,Pre_q,0),Floor_q)</f>
        <v>350</v>
      </c>
      <c r="W95" s="14" t="n">
        <f aca="false">MAX(X95+Cost_round*E95-Q95,IF(E95=1,Pre_q,0),Floor_q)</f>
        <v>415</v>
      </c>
      <c r="X95" s="14" t="n">
        <f aca="false">MAX(Y95+Cost_round*F95-R95,IF(F95=1,Pre_q,0),Floor_q)</f>
        <v>485</v>
      </c>
      <c r="Y95" s="14" t="n">
        <f aca="false">MAX(Z95+Cost_round*G95-S95,IF(G95=1,Pre_q,0),Floor_q)</f>
        <v>470</v>
      </c>
      <c r="Z95" s="14" t="n">
        <f aca="false">MAX(End_q,Floor_q)</f>
        <v>470</v>
      </c>
      <c r="AB95" s="15" t="n">
        <f aca="false">IF($B$7&gt;=U95-0.000000001,1,0)</f>
        <v>1</v>
      </c>
      <c r="AC95" s="14" t="n">
        <f aca="false">IF($AB95=1,$B$7-Cost_round*C95+O95-V95,"")</f>
        <v>205</v>
      </c>
      <c r="AD95" s="14" t="n">
        <f aca="false">IF($AB95=1,V95-Cost_round*D95+P95-W95,"")</f>
        <v>5</v>
      </c>
      <c r="AE95" s="14" t="n">
        <f aca="false">IF($AB95=1,W95-Cost_round*E95+Q95-X95,"")</f>
        <v>0</v>
      </c>
      <c r="AF95" s="14" t="n">
        <f aca="false">IF($AB95=1,X95-Cost_round*F95+R95-Y95,"")</f>
        <v>0</v>
      </c>
      <c r="AG95" s="14" t="n">
        <f aca="false">IF($AB95=1,Y95-Cost_round*G95+S95-Z95,"")</f>
        <v>2.5</v>
      </c>
      <c r="AI95" s="21" t="n">
        <f aca="false">IF($AB95=1,AC95*1+AD95*Bias_b*Beta_y^1+AE95*Bias_b*Beta_y^2+AF95*Bias_b*Beta_y^3+AG95*Bias_b*Beta_y^4+Bias_b*Beta_y^4*S95/Hurdle_r,"")</f>
        <v>963.650023905471</v>
      </c>
    </row>
    <row r="96" customFormat="false" ht="15" hidden="false" customHeight="false" outlineLevel="0" collapsed="false">
      <c r="A96" s="2" t="n">
        <v>4</v>
      </c>
      <c r="B96" s="2" t="str">
        <f aca="false">""&amp;C96&amp;D96&amp;E96&amp;F96&amp;G96</f>
        <v>00100</v>
      </c>
      <c r="C96" s="15" t="n">
        <f aca="false">MOD(INT($A96/16),2)</f>
        <v>0</v>
      </c>
      <c r="D96" s="15" t="n">
        <f aca="false">MOD(INT($A96/8),2)</f>
        <v>0</v>
      </c>
      <c r="E96" s="15" t="n">
        <f aca="false">MOD(INT($A96/4),2)</f>
        <v>1</v>
      </c>
      <c r="F96" s="15" t="n">
        <f aca="false">MOD(INT($A96/2),2)</f>
        <v>0</v>
      </c>
      <c r="G96" s="15" t="n">
        <f aca="false">MOD(INT($A96/1),2)</f>
        <v>0</v>
      </c>
      <c r="I96" s="14" t="n">
        <f aca="false">$C$7+C96*(Half_gap*(Ceiling_e-$C$7))</f>
        <v>78</v>
      </c>
      <c r="J96" s="14" t="n">
        <f aca="false">I96+D96*(Half_gap*(Ceiling_e-I96))</f>
        <v>78</v>
      </c>
      <c r="K96" s="14" t="n">
        <f aca="false">J96+E96*(Half_gap*(Ceiling_e-J96))</f>
        <v>81.5</v>
      </c>
      <c r="L96" s="14" t="n">
        <f aca="false">K96+F96*(Half_gap*(Ceiling_e-K96))</f>
        <v>81.5</v>
      </c>
      <c r="M96" s="14" t="n">
        <f aca="false">L96+G96*(Half_gap*(Ceiling_e-L96))</f>
        <v>81.5</v>
      </c>
      <c r="O96" s="14" t="n">
        <f aca="false">Val_pt*(I96-E_zero)</f>
        <v>70</v>
      </c>
      <c r="P96" s="14" t="n">
        <f aca="false">Val_pt*(J96-E_zero)</f>
        <v>70</v>
      </c>
      <c r="Q96" s="14" t="n">
        <f aca="false">Val_pt*(K96-E_zero)</f>
        <v>105</v>
      </c>
      <c r="R96" s="14" t="n">
        <f aca="false">Val_pt*(L96-E_zero)</f>
        <v>105</v>
      </c>
      <c r="S96" s="14" t="n">
        <f aca="false">Val_pt*(M96-E_zero)</f>
        <v>105</v>
      </c>
      <c r="U96" s="14" t="n">
        <f aca="false">MAX(V96+Cost_round*C96-O96,IF(C96=1,Pre_q,0))</f>
        <v>330</v>
      </c>
      <c r="V96" s="14" t="n">
        <f aca="false">MAX(W96+Cost_round*D96-P96,IF(D96=1,Pre_q,0),Floor_q)</f>
        <v>400</v>
      </c>
      <c r="W96" s="14" t="n">
        <f aca="false">MAX(X96+Cost_round*E96-Q96,IF(E96=1,Pre_q,0),Floor_q)</f>
        <v>470</v>
      </c>
      <c r="X96" s="14" t="n">
        <f aca="false">MAX(Y96+Cost_round*F96-R96,IF(F96=1,Pre_q,0),Floor_q)</f>
        <v>350</v>
      </c>
      <c r="Y96" s="14" t="n">
        <f aca="false">MAX(Z96+Cost_round*G96-S96,IF(G96=1,Pre_q,0),Floor_q)</f>
        <v>365</v>
      </c>
      <c r="Z96" s="14" t="n">
        <f aca="false">MAX(End_q,Floor_q)</f>
        <v>470</v>
      </c>
      <c r="AB96" s="15" t="n">
        <f aca="false">IF($B$7&gt;=U96-0.000000001,1,0)</f>
        <v>1</v>
      </c>
      <c r="AC96" s="14" t="n">
        <f aca="false">IF($AB96=1,$B$7-Cost_round*C96+O96-V96,"")</f>
        <v>155</v>
      </c>
      <c r="AD96" s="14" t="n">
        <f aca="false">IF($AB96=1,V96-Cost_round*D96+P96-W96,"")</f>
        <v>0</v>
      </c>
      <c r="AE96" s="14" t="n">
        <f aca="false">IF($AB96=1,W96-Cost_round*E96+Q96-X96,"")</f>
        <v>105</v>
      </c>
      <c r="AF96" s="14" t="n">
        <f aca="false">IF($AB96=1,X96-Cost_round*F96+R96-Y96,"")</f>
        <v>90</v>
      </c>
      <c r="AG96" s="14" t="n">
        <f aca="false">IF($AB96=1,Y96-Cost_round*G96+S96-Z96,"")</f>
        <v>0</v>
      </c>
      <c r="AI96" s="21" t="n">
        <f aca="false">IF($AB96=1,AC96*1+AD96*Bias_b*Beta_y^1+AE96*Bias_b*Beta_y^2+AF96*Bias_b*Beta_y^3+AG96*Bias_b*Beta_y^4+Bias_b*Beta_y^4*S96/Hurdle_r,"")</f>
        <v>939.403387746739</v>
      </c>
    </row>
    <row r="97" customFormat="false" ht="15" hidden="false" customHeight="false" outlineLevel="0" collapsed="false">
      <c r="A97" s="2" t="n">
        <v>5</v>
      </c>
      <c r="B97" s="2" t="str">
        <f aca="false">""&amp;C97&amp;D97&amp;E97&amp;F97&amp;G97</f>
        <v>00101</v>
      </c>
      <c r="C97" s="15" t="n">
        <f aca="false">MOD(INT($A97/16),2)</f>
        <v>0</v>
      </c>
      <c r="D97" s="15" t="n">
        <f aca="false">MOD(INT($A97/8),2)</f>
        <v>0</v>
      </c>
      <c r="E97" s="15" t="n">
        <f aca="false">MOD(INT($A97/4),2)</f>
        <v>1</v>
      </c>
      <c r="F97" s="15" t="n">
        <f aca="false">MOD(INT($A97/2),2)</f>
        <v>0</v>
      </c>
      <c r="G97" s="15" t="n">
        <f aca="false">MOD(INT($A97/1),2)</f>
        <v>1</v>
      </c>
      <c r="I97" s="14" t="n">
        <f aca="false">$C$7+C97*(Half_gap*(Ceiling_e-$C$7))</f>
        <v>78</v>
      </c>
      <c r="J97" s="14" t="n">
        <f aca="false">I97+D97*(Half_gap*(Ceiling_e-I97))</f>
        <v>78</v>
      </c>
      <c r="K97" s="14" t="n">
        <f aca="false">J97+E97*(Half_gap*(Ceiling_e-J97))</f>
        <v>81.5</v>
      </c>
      <c r="L97" s="14" t="n">
        <f aca="false">K97+F97*(Half_gap*(Ceiling_e-K97))</f>
        <v>81.5</v>
      </c>
      <c r="M97" s="14" t="n">
        <f aca="false">L97+G97*(Half_gap*(Ceiling_e-L97))</f>
        <v>83.25</v>
      </c>
      <c r="O97" s="14" t="n">
        <f aca="false">Val_pt*(I97-E_zero)</f>
        <v>70</v>
      </c>
      <c r="P97" s="14" t="n">
        <f aca="false">Val_pt*(J97-E_zero)</f>
        <v>70</v>
      </c>
      <c r="Q97" s="14" t="n">
        <f aca="false">Val_pt*(K97-E_zero)</f>
        <v>105</v>
      </c>
      <c r="R97" s="14" t="n">
        <f aca="false">Val_pt*(L97-E_zero)</f>
        <v>105</v>
      </c>
      <c r="S97" s="14" t="n">
        <f aca="false">Val_pt*(M97-E_zero)</f>
        <v>122.5</v>
      </c>
      <c r="U97" s="14" t="n">
        <f aca="false">MAX(V97+Cost_round*C97-O97,IF(C97=1,Pre_q,0))</f>
        <v>330</v>
      </c>
      <c r="V97" s="14" t="n">
        <f aca="false">MAX(W97+Cost_round*D97-P97,IF(D97=1,Pre_q,0),Floor_q)</f>
        <v>400</v>
      </c>
      <c r="W97" s="14" t="n">
        <f aca="false">MAX(X97+Cost_round*E97-Q97,IF(E97=1,Pre_q,0),Floor_q)</f>
        <v>470</v>
      </c>
      <c r="X97" s="14" t="n">
        <f aca="false">MAX(Y97+Cost_round*F97-R97,IF(F97=1,Pre_q,0),Floor_q)</f>
        <v>365</v>
      </c>
      <c r="Y97" s="14" t="n">
        <f aca="false">MAX(Z97+Cost_round*G97-S97,IF(G97=1,Pre_q,0),Floor_q)</f>
        <v>470</v>
      </c>
      <c r="Z97" s="14" t="n">
        <f aca="false">MAX(End_q,Floor_q)</f>
        <v>470</v>
      </c>
      <c r="AB97" s="15" t="n">
        <f aca="false">IF($B$7&gt;=U97-0.000000001,1,0)</f>
        <v>1</v>
      </c>
      <c r="AC97" s="14" t="n">
        <f aca="false">IF($AB97=1,$B$7-Cost_round*C97+O97-V97,"")</f>
        <v>155</v>
      </c>
      <c r="AD97" s="14" t="n">
        <f aca="false">IF($AB97=1,V97-Cost_round*D97+P97-W97,"")</f>
        <v>0</v>
      </c>
      <c r="AE97" s="14" t="n">
        <f aca="false">IF($AB97=1,W97-Cost_round*E97+Q97-X97,"")</f>
        <v>90</v>
      </c>
      <c r="AF97" s="14" t="n">
        <f aca="false">IF($AB97=1,X97-Cost_round*F97+R97-Y97,"")</f>
        <v>0</v>
      </c>
      <c r="AG97" s="14" t="n">
        <f aca="false">IF($AB97=1,Y97-Cost_round*G97+S97-Z97,"")</f>
        <v>2.5</v>
      </c>
      <c r="AI97" s="21" t="n">
        <f aca="false">IF($AB97=1,AC97*1+AD97*Bias_b*Beta_y^1+AE97*Bias_b*Beta_y^2+AF97*Bias_b*Beta_y^3+AG97*Bias_b*Beta_y^4+Bias_b*Beta_y^4*S97/Hurdle_r,"")</f>
        <v>976.501263574892</v>
      </c>
    </row>
    <row r="98" customFormat="false" ht="15" hidden="false" customHeight="false" outlineLevel="0" collapsed="false">
      <c r="A98" s="2" t="n">
        <v>6</v>
      </c>
      <c r="B98" s="2" t="str">
        <f aca="false">""&amp;C98&amp;D98&amp;E98&amp;F98&amp;G98</f>
        <v>00110</v>
      </c>
      <c r="C98" s="15" t="n">
        <f aca="false">MOD(INT($A98/16),2)</f>
        <v>0</v>
      </c>
      <c r="D98" s="15" t="n">
        <f aca="false">MOD(INT($A98/8),2)</f>
        <v>0</v>
      </c>
      <c r="E98" s="15" t="n">
        <f aca="false">MOD(INT($A98/4),2)</f>
        <v>1</v>
      </c>
      <c r="F98" s="15" t="n">
        <f aca="false">MOD(INT($A98/2),2)</f>
        <v>1</v>
      </c>
      <c r="G98" s="15" t="n">
        <f aca="false">MOD(INT($A98/1),2)</f>
        <v>0</v>
      </c>
      <c r="I98" s="14" t="n">
        <f aca="false">$C$7+C98*(Half_gap*(Ceiling_e-$C$7))</f>
        <v>78</v>
      </c>
      <c r="J98" s="14" t="n">
        <f aca="false">I98+D98*(Half_gap*(Ceiling_e-I98))</f>
        <v>78</v>
      </c>
      <c r="K98" s="14" t="n">
        <f aca="false">J98+E98*(Half_gap*(Ceiling_e-J98))</f>
        <v>81.5</v>
      </c>
      <c r="L98" s="14" t="n">
        <f aca="false">K98+F98*(Half_gap*(Ceiling_e-K98))</f>
        <v>83.25</v>
      </c>
      <c r="M98" s="14" t="n">
        <f aca="false">L98+G98*(Half_gap*(Ceiling_e-L98))</f>
        <v>83.25</v>
      </c>
      <c r="O98" s="14" t="n">
        <f aca="false">Val_pt*(I98-E_zero)</f>
        <v>70</v>
      </c>
      <c r="P98" s="14" t="n">
        <f aca="false">Val_pt*(J98-E_zero)</f>
        <v>70</v>
      </c>
      <c r="Q98" s="14" t="n">
        <f aca="false">Val_pt*(K98-E_zero)</f>
        <v>105</v>
      </c>
      <c r="R98" s="14" t="n">
        <f aca="false">Val_pt*(L98-E_zero)</f>
        <v>122.5</v>
      </c>
      <c r="S98" s="14" t="n">
        <f aca="false">Val_pt*(M98-E_zero)</f>
        <v>122.5</v>
      </c>
      <c r="U98" s="14" t="n">
        <f aca="false">MAX(V98+Cost_round*C98-O98,IF(C98=1,Pre_q,0))</f>
        <v>345</v>
      </c>
      <c r="V98" s="14" t="n">
        <f aca="false">MAX(W98+Cost_round*D98-P98,IF(D98=1,Pre_q,0),Floor_q)</f>
        <v>415</v>
      </c>
      <c r="W98" s="14" t="n">
        <f aca="false">MAX(X98+Cost_round*E98-Q98,IF(E98=1,Pre_q,0),Floor_q)</f>
        <v>485</v>
      </c>
      <c r="X98" s="14" t="n">
        <f aca="false">MAX(Y98+Cost_round*F98-R98,IF(F98=1,Pre_q,0),Floor_q)</f>
        <v>470</v>
      </c>
      <c r="Y98" s="14" t="n">
        <f aca="false">MAX(Z98+Cost_round*G98-S98,IF(G98=1,Pre_q,0),Floor_q)</f>
        <v>350</v>
      </c>
      <c r="Z98" s="14" t="n">
        <f aca="false">MAX(End_q,Floor_q)</f>
        <v>470</v>
      </c>
      <c r="AB98" s="15" t="n">
        <f aca="false">IF($B$7&gt;=U98-0.000000001,1,0)</f>
        <v>1</v>
      </c>
      <c r="AC98" s="14" t="n">
        <f aca="false">IF($AB98=1,$B$7-Cost_round*C98+O98-V98,"")</f>
        <v>140</v>
      </c>
      <c r="AD98" s="14" t="n">
        <f aca="false">IF($AB98=1,V98-Cost_round*D98+P98-W98,"")</f>
        <v>0</v>
      </c>
      <c r="AE98" s="14" t="n">
        <f aca="false">IF($AB98=1,W98-Cost_round*E98+Q98-X98,"")</f>
        <v>0</v>
      </c>
      <c r="AF98" s="14" t="n">
        <f aca="false">IF($AB98=1,X98-Cost_round*F98+R98-Y98,"")</f>
        <v>122.5</v>
      </c>
      <c r="AG98" s="14" t="n">
        <f aca="false">IF($AB98=1,Y98-Cost_round*G98+S98-Z98,"")</f>
        <v>2.5</v>
      </c>
      <c r="AI98" s="21" t="n">
        <f aca="false">IF($AB98=1,AC98*1+AD98*Bias_b*Beta_y^1+AE98*Bias_b*Beta_y^2+AF98*Bias_b*Beta_y^3+AG98*Bias_b*Beta_y^4+Bias_b*Beta_y^4*S98/Hurdle_r,"")</f>
        <v>977.391571613961</v>
      </c>
    </row>
    <row r="99" customFormat="false" ht="15" hidden="false" customHeight="false" outlineLevel="0" collapsed="false">
      <c r="A99" s="2" t="n">
        <v>7</v>
      </c>
      <c r="B99" s="2" t="str">
        <f aca="false">""&amp;C99&amp;D99&amp;E99&amp;F99&amp;G99</f>
        <v>00111</v>
      </c>
      <c r="C99" s="15" t="n">
        <f aca="false">MOD(INT($A99/16),2)</f>
        <v>0</v>
      </c>
      <c r="D99" s="15" t="n">
        <f aca="false">MOD(INT($A99/8),2)</f>
        <v>0</v>
      </c>
      <c r="E99" s="15" t="n">
        <f aca="false">MOD(INT($A99/4),2)</f>
        <v>1</v>
      </c>
      <c r="F99" s="15" t="n">
        <f aca="false">MOD(INT($A99/2),2)</f>
        <v>1</v>
      </c>
      <c r="G99" s="15" t="n">
        <f aca="false">MOD(INT($A99/1),2)</f>
        <v>1</v>
      </c>
      <c r="I99" s="14" t="n">
        <f aca="false">$C$7+C99*(Half_gap*(Ceiling_e-$C$7))</f>
        <v>78</v>
      </c>
      <c r="J99" s="14" t="n">
        <f aca="false">I99+D99*(Half_gap*(Ceiling_e-I99))</f>
        <v>78</v>
      </c>
      <c r="K99" s="14" t="n">
        <f aca="false">J99+E99*(Half_gap*(Ceiling_e-J99))</f>
        <v>81.5</v>
      </c>
      <c r="L99" s="14" t="n">
        <f aca="false">K99+F99*(Half_gap*(Ceiling_e-K99))</f>
        <v>83.25</v>
      </c>
      <c r="M99" s="14" t="n">
        <f aca="false">L99+G99*(Half_gap*(Ceiling_e-L99))</f>
        <v>84.125</v>
      </c>
      <c r="O99" s="14" t="n">
        <f aca="false">Val_pt*(I99-E_zero)</f>
        <v>70</v>
      </c>
      <c r="P99" s="14" t="n">
        <f aca="false">Val_pt*(J99-E_zero)</f>
        <v>70</v>
      </c>
      <c r="Q99" s="14" t="n">
        <f aca="false">Val_pt*(K99-E_zero)</f>
        <v>105</v>
      </c>
      <c r="R99" s="14" t="n">
        <f aca="false">Val_pt*(L99-E_zero)</f>
        <v>122.5</v>
      </c>
      <c r="S99" s="14" t="n">
        <f aca="false">Val_pt*(M99-E_zero)</f>
        <v>131.25</v>
      </c>
      <c r="U99" s="14" t="n">
        <f aca="false">MAX(V99+Cost_round*C99-O99,IF(C99=1,Pre_q,0))</f>
        <v>345</v>
      </c>
      <c r="V99" s="14" t="n">
        <f aca="false">MAX(W99+Cost_round*D99-P99,IF(D99=1,Pre_q,0),Floor_q)</f>
        <v>415</v>
      </c>
      <c r="W99" s="14" t="n">
        <f aca="false">MAX(X99+Cost_round*E99-Q99,IF(E99=1,Pre_q,0),Floor_q)</f>
        <v>485</v>
      </c>
      <c r="X99" s="14" t="n">
        <f aca="false">MAX(Y99+Cost_round*F99-R99,IF(F99=1,Pre_q,0),Floor_q)</f>
        <v>470</v>
      </c>
      <c r="Y99" s="14" t="n">
        <f aca="false">MAX(Z99+Cost_round*G99-S99,IF(G99=1,Pre_q,0),Floor_q)</f>
        <v>470</v>
      </c>
      <c r="Z99" s="14" t="n">
        <f aca="false">MAX(End_q,Floor_q)</f>
        <v>470</v>
      </c>
      <c r="AB99" s="15" t="n">
        <f aca="false">IF($B$7&gt;=U99-0.000000001,1,0)</f>
        <v>1</v>
      </c>
      <c r="AC99" s="14" t="n">
        <f aca="false">IF($AB99=1,$B$7-Cost_round*C99+O99-V99,"")</f>
        <v>140</v>
      </c>
      <c r="AD99" s="14" t="n">
        <f aca="false">IF($AB99=1,V99-Cost_round*D99+P99-W99,"")</f>
        <v>0</v>
      </c>
      <c r="AE99" s="14" t="n">
        <f aca="false">IF($AB99=1,W99-Cost_round*E99+Q99-X99,"")</f>
        <v>0</v>
      </c>
      <c r="AF99" s="14" t="n">
        <f aca="false">IF($AB99=1,X99-Cost_round*F99+R99-Y99,"")</f>
        <v>2.5</v>
      </c>
      <c r="AG99" s="14" t="n">
        <f aca="false">IF($AB99=1,Y99-Cost_round*G99+S99-Z99,"")</f>
        <v>11.25</v>
      </c>
      <c r="AI99" s="21" t="n">
        <f aca="false">IF($AB99=1,AC99*1+AD99*Bias_b*Beta_y^1+AE99*Bias_b*Beta_y^2+AF99*Bias_b*Beta_y^3+AG99*Bias_b*Beta_y^4+Bias_b*Beta_y^4*S99/Hurdle_r,"")</f>
        <v>955.41561368759</v>
      </c>
    </row>
    <row r="100" customFormat="false" ht="15" hidden="false" customHeight="false" outlineLevel="0" collapsed="false">
      <c r="A100" s="2" t="n">
        <v>8</v>
      </c>
      <c r="B100" s="2" t="str">
        <f aca="false">""&amp;C100&amp;D100&amp;E100&amp;F100&amp;G100</f>
        <v>01000</v>
      </c>
      <c r="C100" s="15" t="n">
        <f aca="false">MOD(INT($A100/16),2)</f>
        <v>0</v>
      </c>
      <c r="D100" s="15" t="n">
        <f aca="false">MOD(INT($A100/8),2)</f>
        <v>1</v>
      </c>
      <c r="E100" s="15" t="n">
        <f aca="false">MOD(INT($A100/4),2)</f>
        <v>0</v>
      </c>
      <c r="F100" s="15" t="n">
        <f aca="false">MOD(INT($A100/2),2)</f>
        <v>0</v>
      </c>
      <c r="G100" s="15" t="n">
        <f aca="false">MOD(INT($A100/1),2)</f>
        <v>0</v>
      </c>
      <c r="I100" s="14" t="n">
        <f aca="false">$C$7+C100*(Half_gap*(Ceiling_e-$C$7))</f>
        <v>78</v>
      </c>
      <c r="J100" s="14" t="n">
        <f aca="false">I100+D100*(Half_gap*(Ceiling_e-I100))</f>
        <v>81.5</v>
      </c>
      <c r="K100" s="14" t="n">
        <f aca="false">J100+E100*(Half_gap*(Ceiling_e-J100))</f>
        <v>81.5</v>
      </c>
      <c r="L100" s="14" t="n">
        <f aca="false">K100+F100*(Half_gap*(Ceiling_e-K100))</f>
        <v>81.5</v>
      </c>
      <c r="M100" s="14" t="n">
        <f aca="false">L100+G100*(Half_gap*(Ceiling_e-L100))</f>
        <v>81.5</v>
      </c>
      <c r="O100" s="14" t="n">
        <f aca="false">Val_pt*(I100-E_zero)</f>
        <v>70</v>
      </c>
      <c r="P100" s="14" t="n">
        <f aca="false">Val_pt*(J100-E_zero)</f>
        <v>105</v>
      </c>
      <c r="Q100" s="14" t="n">
        <f aca="false">Val_pt*(K100-E_zero)</f>
        <v>105</v>
      </c>
      <c r="R100" s="14" t="n">
        <f aca="false">Val_pt*(L100-E_zero)</f>
        <v>105</v>
      </c>
      <c r="S100" s="14" t="n">
        <f aca="false">Val_pt*(M100-E_zero)</f>
        <v>105</v>
      </c>
      <c r="U100" s="14" t="n">
        <f aca="false">MAX(V100+Cost_round*C100-O100,IF(C100=1,Pre_q,0))</f>
        <v>400</v>
      </c>
      <c r="V100" s="14" t="n">
        <f aca="false">MAX(W100+Cost_round*D100-P100,IF(D100=1,Pre_q,0),Floor_q)</f>
        <v>470</v>
      </c>
      <c r="W100" s="14" t="n">
        <f aca="false">MAX(X100+Cost_round*E100-Q100,IF(E100=1,Pre_q,0),Floor_q)</f>
        <v>350</v>
      </c>
      <c r="X100" s="14" t="n">
        <f aca="false">MAX(Y100+Cost_round*F100-R100,IF(F100=1,Pre_q,0),Floor_q)</f>
        <v>350</v>
      </c>
      <c r="Y100" s="14" t="n">
        <f aca="false">MAX(Z100+Cost_round*G100-S100,IF(G100=1,Pre_q,0),Floor_q)</f>
        <v>365</v>
      </c>
      <c r="Z100" s="14" t="n">
        <f aca="false">MAX(End_q,Floor_q)</f>
        <v>470</v>
      </c>
      <c r="AB100" s="15" t="n">
        <f aca="false">IF($B$7&gt;=U100-0.000000001,1,0)</f>
        <v>1</v>
      </c>
      <c r="AC100" s="14" t="n">
        <f aca="false">IF($AB100=1,$B$7-Cost_round*C100+O100-V100,"")</f>
        <v>85</v>
      </c>
      <c r="AD100" s="14" t="n">
        <f aca="false">IF($AB100=1,V100-Cost_round*D100+P100-W100,"")</f>
        <v>105</v>
      </c>
      <c r="AE100" s="14" t="n">
        <f aca="false">IF($AB100=1,W100-Cost_round*E100+Q100-X100,"")</f>
        <v>105</v>
      </c>
      <c r="AF100" s="14" t="n">
        <f aca="false">IF($AB100=1,X100-Cost_round*F100+R100-Y100,"")</f>
        <v>90</v>
      </c>
      <c r="AG100" s="14" t="n">
        <f aca="false">IF($AB100=1,Y100-Cost_round*G100+S100-Z100,"")</f>
        <v>0</v>
      </c>
      <c r="AI100" s="21" t="n">
        <f aca="false">IF($AB100=1,AC100*1+AD100*Bias_b*Beta_y^1+AE100*Bias_b*Beta_y^2+AF100*Bias_b*Beta_y^3+AG100*Bias_b*Beta_y^4+Bias_b*Beta_y^4*S100/Hurdle_r,"")</f>
        <v>955.312478655829</v>
      </c>
    </row>
    <row r="101" customFormat="false" ht="15" hidden="false" customHeight="false" outlineLevel="0" collapsed="false">
      <c r="A101" s="2" t="n">
        <v>9</v>
      </c>
      <c r="B101" s="2" t="str">
        <f aca="false">""&amp;C101&amp;D101&amp;E101&amp;F101&amp;G101</f>
        <v>01001</v>
      </c>
      <c r="C101" s="15" t="n">
        <f aca="false">MOD(INT($A101/16),2)</f>
        <v>0</v>
      </c>
      <c r="D101" s="15" t="n">
        <f aca="false">MOD(INT($A101/8),2)</f>
        <v>1</v>
      </c>
      <c r="E101" s="15" t="n">
        <f aca="false">MOD(INT($A101/4),2)</f>
        <v>0</v>
      </c>
      <c r="F101" s="15" t="n">
        <f aca="false">MOD(INT($A101/2),2)</f>
        <v>0</v>
      </c>
      <c r="G101" s="15" t="n">
        <f aca="false">MOD(INT($A101/1),2)</f>
        <v>1</v>
      </c>
      <c r="I101" s="14" t="n">
        <f aca="false">$C$7+C101*(Half_gap*(Ceiling_e-$C$7))</f>
        <v>78</v>
      </c>
      <c r="J101" s="14" t="n">
        <f aca="false">I101+D101*(Half_gap*(Ceiling_e-I101))</f>
        <v>81.5</v>
      </c>
      <c r="K101" s="14" t="n">
        <f aca="false">J101+E101*(Half_gap*(Ceiling_e-J101))</f>
        <v>81.5</v>
      </c>
      <c r="L101" s="14" t="n">
        <f aca="false">K101+F101*(Half_gap*(Ceiling_e-K101))</f>
        <v>81.5</v>
      </c>
      <c r="M101" s="14" t="n">
        <f aca="false">L101+G101*(Half_gap*(Ceiling_e-L101))</f>
        <v>83.25</v>
      </c>
      <c r="O101" s="14" t="n">
        <f aca="false">Val_pt*(I101-E_zero)</f>
        <v>70</v>
      </c>
      <c r="P101" s="14" t="n">
        <f aca="false">Val_pt*(J101-E_zero)</f>
        <v>105</v>
      </c>
      <c r="Q101" s="14" t="n">
        <f aca="false">Val_pt*(K101-E_zero)</f>
        <v>105</v>
      </c>
      <c r="R101" s="14" t="n">
        <f aca="false">Val_pt*(L101-E_zero)</f>
        <v>105</v>
      </c>
      <c r="S101" s="14" t="n">
        <f aca="false">Val_pt*(M101-E_zero)</f>
        <v>122.5</v>
      </c>
      <c r="U101" s="14" t="n">
        <f aca="false">MAX(V101+Cost_round*C101-O101,IF(C101=1,Pre_q,0))</f>
        <v>400</v>
      </c>
      <c r="V101" s="14" t="n">
        <f aca="false">MAX(W101+Cost_round*D101-P101,IF(D101=1,Pre_q,0),Floor_q)</f>
        <v>470</v>
      </c>
      <c r="W101" s="14" t="n">
        <f aca="false">MAX(X101+Cost_round*E101-Q101,IF(E101=1,Pre_q,0),Floor_q)</f>
        <v>350</v>
      </c>
      <c r="X101" s="14" t="n">
        <f aca="false">MAX(Y101+Cost_round*F101-R101,IF(F101=1,Pre_q,0),Floor_q)</f>
        <v>365</v>
      </c>
      <c r="Y101" s="14" t="n">
        <f aca="false">MAX(Z101+Cost_round*G101-S101,IF(G101=1,Pre_q,0),Floor_q)</f>
        <v>470</v>
      </c>
      <c r="Z101" s="14" t="n">
        <f aca="false">MAX(End_q,Floor_q)</f>
        <v>470</v>
      </c>
      <c r="AB101" s="15" t="n">
        <f aca="false">IF($B$7&gt;=U101-0.000000001,1,0)</f>
        <v>1</v>
      </c>
      <c r="AC101" s="14" t="n">
        <f aca="false">IF($AB101=1,$B$7-Cost_round*C101+O101-V101,"")</f>
        <v>85</v>
      </c>
      <c r="AD101" s="14" t="n">
        <f aca="false">IF($AB101=1,V101-Cost_round*D101+P101-W101,"")</f>
        <v>105</v>
      </c>
      <c r="AE101" s="14" t="n">
        <f aca="false">IF($AB101=1,W101-Cost_round*E101+Q101-X101,"")</f>
        <v>90</v>
      </c>
      <c r="AF101" s="14" t="n">
        <f aca="false">IF($AB101=1,X101-Cost_round*F101+R101-Y101,"")</f>
        <v>0</v>
      </c>
      <c r="AG101" s="14" t="n">
        <f aca="false">IF($AB101=1,Y101-Cost_round*G101+S101-Z101,"")</f>
        <v>2.5</v>
      </c>
      <c r="AI101" s="21" t="n">
        <f aca="false">IF($AB101=1,AC101*1+AD101*Bias_b*Beta_y^1+AE101*Bias_b*Beta_y^2+AF101*Bias_b*Beta_y^3+AG101*Bias_b*Beta_y^4+Bias_b*Beta_y^4*S101/Hurdle_r,"")</f>
        <v>992.410354483983</v>
      </c>
    </row>
    <row r="102" customFormat="false" ht="15" hidden="false" customHeight="false" outlineLevel="0" collapsed="false">
      <c r="A102" s="2" t="n">
        <v>10</v>
      </c>
      <c r="B102" s="2" t="str">
        <f aca="false">""&amp;C102&amp;D102&amp;E102&amp;F102&amp;G102</f>
        <v>01010</v>
      </c>
      <c r="C102" s="15" t="n">
        <f aca="false">MOD(INT($A102/16),2)</f>
        <v>0</v>
      </c>
      <c r="D102" s="15" t="n">
        <f aca="false">MOD(INT($A102/8),2)</f>
        <v>1</v>
      </c>
      <c r="E102" s="15" t="n">
        <f aca="false">MOD(INT($A102/4),2)</f>
        <v>0</v>
      </c>
      <c r="F102" s="15" t="n">
        <f aca="false">MOD(INT($A102/2),2)</f>
        <v>1</v>
      </c>
      <c r="G102" s="15" t="n">
        <f aca="false">MOD(INT($A102/1),2)</f>
        <v>0</v>
      </c>
      <c r="I102" s="14" t="n">
        <f aca="false">$C$7+C102*(Half_gap*(Ceiling_e-$C$7))</f>
        <v>78</v>
      </c>
      <c r="J102" s="14" t="n">
        <f aca="false">I102+D102*(Half_gap*(Ceiling_e-I102))</f>
        <v>81.5</v>
      </c>
      <c r="K102" s="14" t="n">
        <f aca="false">J102+E102*(Half_gap*(Ceiling_e-J102))</f>
        <v>81.5</v>
      </c>
      <c r="L102" s="14" t="n">
        <f aca="false">K102+F102*(Half_gap*(Ceiling_e-K102))</f>
        <v>83.25</v>
      </c>
      <c r="M102" s="14" t="n">
        <f aca="false">L102+G102*(Half_gap*(Ceiling_e-L102))</f>
        <v>83.25</v>
      </c>
      <c r="O102" s="14" t="n">
        <f aca="false">Val_pt*(I102-E_zero)</f>
        <v>70</v>
      </c>
      <c r="P102" s="14" t="n">
        <f aca="false">Val_pt*(J102-E_zero)</f>
        <v>105</v>
      </c>
      <c r="Q102" s="14" t="n">
        <f aca="false">Val_pt*(K102-E_zero)</f>
        <v>105</v>
      </c>
      <c r="R102" s="14" t="n">
        <f aca="false">Val_pt*(L102-E_zero)</f>
        <v>122.5</v>
      </c>
      <c r="S102" s="14" t="n">
        <f aca="false">Val_pt*(M102-E_zero)</f>
        <v>122.5</v>
      </c>
      <c r="U102" s="14" t="n">
        <f aca="false">MAX(V102+Cost_round*C102-O102,IF(C102=1,Pre_q,0))</f>
        <v>400</v>
      </c>
      <c r="V102" s="14" t="n">
        <f aca="false">MAX(W102+Cost_round*D102-P102,IF(D102=1,Pre_q,0),Floor_q)</f>
        <v>470</v>
      </c>
      <c r="W102" s="14" t="n">
        <f aca="false">MAX(X102+Cost_round*E102-Q102,IF(E102=1,Pre_q,0),Floor_q)</f>
        <v>365</v>
      </c>
      <c r="X102" s="14" t="n">
        <f aca="false">MAX(Y102+Cost_round*F102-R102,IF(F102=1,Pre_q,0),Floor_q)</f>
        <v>470</v>
      </c>
      <c r="Y102" s="14" t="n">
        <f aca="false">MAX(Z102+Cost_round*G102-S102,IF(G102=1,Pre_q,0),Floor_q)</f>
        <v>350</v>
      </c>
      <c r="Z102" s="14" t="n">
        <f aca="false">MAX(End_q,Floor_q)</f>
        <v>470</v>
      </c>
      <c r="AB102" s="15" t="n">
        <f aca="false">IF($B$7&gt;=U102-0.000000001,1,0)</f>
        <v>1</v>
      </c>
      <c r="AC102" s="14" t="n">
        <f aca="false">IF($AB102=1,$B$7-Cost_round*C102+O102-V102,"")</f>
        <v>85</v>
      </c>
      <c r="AD102" s="14" t="n">
        <f aca="false">IF($AB102=1,V102-Cost_round*D102+P102-W102,"")</f>
        <v>90</v>
      </c>
      <c r="AE102" s="14" t="n">
        <f aca="false">IF($AB102=1,W102-Cost_round*E102+Q102-X102,"")</f>
        <v>0</v>
      </c>
      <c r="AF102" s="14" t="n">
        <f aca="false">IF($AB102=1,X102-Cost_round*F102+R102-Y102,"")</f>
        <v>122.5</v>
      </c>
      <c r="AG102" s="14" t="n">
        <f aca="false">IF($AB102=1,Y102-Cost_round*G102+S102-Z102,"")</f>
        <v>2.5</v>
      </c>
      <c r="AI102" s="21" t="n">
        <f aca="false">IF($AB102=1,AC102*1+AD102*Bias_b*Beta_y^1+AE102*Bias_b*Beta_y^2+AF102*Bias_b*Beta_y^3+AG102*Bias_b*Beta_y^4+Bias_b*Beta_y^4*S102/Hurdle_r,"")</f>
        <v>996.027935250324</v>
      </c>
    </row>
    <row r="103" customFormat="false" ht="15" hidden="false" customHeight="false" outlineLevel="0" collapsed="false">
      <c r="A103" s="2" t="n">
        <v>11</v>
      </c>
      <c r="B103" s="2" t="str">
        <f aca="false">""&amp;C103&amp;D103&amp;E103&amp;F103&amp;G103</f>
        <v>01011</v>
      </c>
      <c r="C103" s="15" t="n">
        <f aca="false">MOD(INT($A103/16),2)</f>
        <v>0</v>
      </c>
      <c r="D103" s="15" t="n">
        <f aca="false">MOD(INT($A103/8),2)</f>
        <v>1</v>
      </c>
      <c r="E103" s="15" t="n">
        <f aca="false">MOD(INT($A103/4),2)</f>
        <v>0</v>
      </c>
      <c r="F103" s="15" t="n">
        <f aca="false">MOD(INT($A103/2),2)</f>
        <v>1</v>
      </c>
      <c r="G103" s="15" t="n">
        <f aca="false">MOD(INT($A103/1),2)</f>
        <v>1</v>
      </c>
      <c r="I103" s="14" t="n">
        <f aca="false">$C$7+C103*(Half_gap*(Ceiling_e-$C$7))</f>
        <v>78</v>
      </c>
      <c r="J103" s="14" t="n">
        <f aca="false">I103+D103*(Half_gap*(Ceiling_e-I103))</f>
        <v>81.5</v>
      </c>
      <c r="K103" s="14" t="n">
        <f aca="false">J103+E103*(Half_gap*(Ceiling_e-J103))</f>
        <v>81.5</v>
      </c>
      <c r="L103" s="14" t="n">
        <f aca="false">K103+F103*(Half_gap*(Ceiling_e-K103))</f>
        <v>83.25</v>
      </c>
      <c r="M103" s="14" t="n">
        <f aca="false">L103+G103*(Half_gap*(Ceiling_e-L103))</f>
        <v>84.125</v>
      </c>
      <c r="O103" s="14" t="n">
        <f aca="false">Val_pt*(I103-E_zero)</f>
        <v>70</v>
      </c>
      <c r="P103" s="14" t="n">
        <f aca="false">Val_pt*(J103-E_zero)</f>
        <v>105</v>
      </c>
      <c r="Q103" s="14" t="n">
        <f aca="false">Val_pt*(K103-E_zero)</f>
        <v>105</v>
      </c>
      <c r="R103" s="14" t="n">
        <f aca="false">Val_pt*(L103-E_zero)</f>
        <v>122.5</v>
      </c>
      <c r="S103" s="14" t="n">
        <f aca="false">Val_pt*(M103-E_zero)</f>
        <v>131.25</v>
      </c>
      <c r="U103" s="14" t="n">
        <f aca="false">MAX(V103+Cost_round*C103-O103,IF(C103=1,Pre_q,0))</f>
        <v>400</v>
      </c>
      <c r="V103" s="14" t="n">
        <f aca="false">MAX(W103+Cost_round*D103-P103,IF(D103=1,Pre_q,0),Floor_q)</f>
        <v>470</v>
      </c>
      <c r="W103" s="14" t="n">
        <f aca="false">MAX(X103+Cost_round*E103-Q103,IF(E103=1,Pre_q,0),Floor_q)</f>
        <v>365</v>
      </c>
      <c r="X103" s="14" t="n">
        <f aca="false">MAX(Y103+Cost_round*F103-R103,IF(F103=1,Pre_q,0),Floor_q)</f>
        <v>470</v>
      </c>
      <c r="Y103" s="14" t="n">
        <f aca="false">MAX(Z103+Cost_round*G103-S103,IF(G103=1,Pre_q,0),Floor_q)</f>
        <v>470</v>
      </c>
      <c r="Z103" s="14" t="n">
        <f aca="false">MAX(End_q,Floor_q)</f>
        <v>470</v>
      </c>
      <c r="AB103" s="15" t="n">
        <f aca="false">IF($B$7&gt;=U103-0.000000001,1,0)</f>
        <v>1</v>
      </c>
      <c r="AC103" s="14" t="n">
        <f aca="false">IF($AB103=1,$B$7-Cost_round*C103+O103-V103,"")</f>
        <v>85</v>
      </c>
      <c r="AD103" s="14" t="n">
        <f aca="false">IF($AB103=1,V103-Cost_round*D103+P103-W103,"")</f>
        <v>90</v>
      </c>
      <c r="AE103" s="14" t="n">
        <f aca="false">IF($AB103=1,W103-Cost_round*E103+Q103-X103,"")</f>
        <v>0</v>
      </c>
      <c r="AF103" s="14" t="n">
        <f aca="false">IF($AB103=1,X103-Cost_round*F103+R103-Y103,"")</f>
        <v>2.5</v>
      </c>
      <c r="AG103" s="14" t="n">
        <f aca="false">IF($AB103=1,Y103-Cost_round*G103+S103-Z103,"")</f>
        <v>11.25</v>
      </c>
      <c r="AI103" s="21" t="n">
        <f aca="false">IF($AB103=1,AC103*1+AD103*Bias_b*Beta_y^1+AE103*Bias_b*Beta_y^2+AF103*Bias_b*Beta_y^3+AG103*Bias_b*Beta_y^4+Bias_b*Beta_y^4*S103/Hurdle_r,"")</f>
        <v>974.051977323953</v>
      </c>
    </row>
    <row r="104" customFormat="false" ht="15" hidden="false" customHeight="false" outlineLevel="0" collapsed="false">
      <c r="A104" s="2" t="n">
        <v>12</v>
      </c>
      <c r="B104" s="2" t="str">
        <f aca="false">""&amp;C104&amp;D104&amp;E104&amp;F104&amp;G104</f>
        <v>01100</v>
      </c>
      <c r="C104" s="15" t="n">
        <f aca="false">MOD(INT($A104/16),2)</f>
        <v>0</v>
      </c>
      <c r="D104" s="15" t="n">
        <f aca="false">MOD(INT($A104/8),2)</f>
        <v>1</v>
      </c>
      <c r="E104" s="15" t="n">
        <f aca="false">MOD(INT($A104/4),2)</f>
        <v>1</v>
      </c>
      <c r="F104" s="15" t="n">
        <f aca="false">MOD(INT($A104/2),2)</f>
        <v>0</v>
      </c>
      <c r="G104" s="15" t="n">
        <f aca="false">MOD(INT($A104/1),2)</f>
        <v>0</v>
      </c>
      <c r="I104" s="14" t="n">
        <f aca="false">$C$7+C104*(Half_gap*(Ceiling_e-$C$7))</f>
        <v>78</v>
      </c>
      <c r="J104" s="14" t="n">
        <f aca="false">I104+D104*(Half_gap*(Ceiling_e-I104))</f>
        <v>81.5</v>
      </c>
      <c r="K104" s="14" t="n">
        <f aca="false">J104+E104*(Half_gap*(Ceiling_e-J104))</f>
        <v>83.25</v>
      </c>
      <c r="L104" s="14" t="n">
        <f aca="false">K104+F104*(Half_gap*(Ceiling_e-K104))</f>
        <v>83.25</v>
      </c>
      <c r="M104" s="14" t="n">
        <f aca="false">L104+G104*(Half_gap*(Ceiling_e-L104))</f>
        <v>83.25</v>
      </c>
      <c r="O104" s="14" t="n">
        <f aca="false">Val_pt*(I104-E_zero)</f>
        <v>70</v>
      </c>
      <c r="P104" s="14" t="n">
        <f aca="false">Val_pt*(J104-E_zero)</f>
        <v>105</v>
      </c>
      <c r="Q104" s="14" t="n">
        <f aca="false">Val_pt*(K104-E_zero)</f>
        <v>122.5</v>
      </c>
      <c r="R104" s="14" t="n">
        <f aca="false">Val_pt*(L104-E_zero)</f>
        <v>122.5</v>
      </c>
      <c r="S104" s="14" t="n">
        <f aca="false">Val_pt*(M104-E_zero)</f>
        <v>122.5</v>
      </c>
      <c r="U104" s="14" t="n">
        <f aca="false">MAX(V104+Cost_round*C104-O104,IF(C104=1,Pre_q,0))</f>
        <v>415</v>
      </c>
      <c r="V104" s="14" t="n">
        <f aca="false">MAX(W104+Cost_round*D104-P104,IF(D104=1,Pre_q,0),Floor_q)</f>
        <v>485</v>
      </c>
      <c r="W104" s="14" t="n">
        <f aca="false">MAX(X104+Cost_round*E104-Q104,IF(E104=1,Pre_q,0),Floor_q)</f>
        <v>470</v>
      </c>
      <c r="X104" s="14" t="n">
        <f aca="false">MAX(Y104+Cost_round*F104-R104,IF(F104=1,Pre_q,0),Floor_q)</f>
        <v>350</v>
      </c>
      <c r="Y104" s="14" t="n">
        <f aca="false">MAX(Z104+Cost_round*G104-S104,IF(G104=1,Pre_q,0),Floor_q)</f>
        <v>350</v>
      </c>
      <c r="Z104" s="14" t="n">
        <f aca="false">MAX(End_q,Floor_q)</f>
        <v>470</v>
      </c>
      <c r="AB104" s="15" t="n">
        <f aca="false">IF($B$7&gt;=U104-0.000000001,1,0)</f>
        <v>1</v>
      </c>
      <c r="AC104" s="14" t="n">
        <f aca="false">IF($AB104=1,$B$7-Cost_round*C104+O104-V104,"")</f>
        <v>70</v>
      </c>
      <c r="AD104" s="14" t="n">
        <f aca="false">IF($AB104=1,V104-Cost_round*D104+P104-W104,"")</f>
        <v>0</v>
      </c>
      <c r="AE104" s="14" t="n">
        <f aca="false">IF($AB104=1,W104-Cost_round*E104+Q104-X104,"")</f>
        <v>122.5</v>
      </c>
      <c r="AF104" s="14" t="n">
        <f aca="false">IF($AB104=1,X104-Cost_round*F104+R104-Y104,"")</f>
        <v>122.5</v>
      </c>
      <c r="AG104" s="14" t="n">
        <f aca="false">IF($AB104=1,Y104-Cost_round*G104+S104-Z104,"")</f>
        <v>2.5</v>
      </c>
      <c r="AI104" s="21" t="n">
        <f aca="false">IF($AB104=1,AC104*1+AD104*Bias_b*Beta_y^1+AE104*Bias_b*Beta_y^2+AF104*Bias_b*Beta_y^3+AG104*Bias_b*Beta_y^4+Bias_b*Beta_y^4*S104/Hurdle_r,"")</f>
        <v>998.507274093299</v>
      </c>
    </row>
    <row r="105" customFormat="false" ht="15" hidden="false" customHeight="false" outlineLevel="0" collapsed="false">
      <c r="A105" s="2" t="n">
        <v>13</v>
      </c>
      <c r="B105" s="2" t="str">
        <f aca="false">""&amp;C105&amp;D105&amp;E105&amp;F105&amp;G105</f>
        <v>01101</v>
      </c>
      <c r="C105" s="15" t="n">
        <f aca="false">MOD(INT($A105/16),2)</f>
        <v>0</v>
      </c>
      <c r="D105" s="15" t="n">
        <f aca="false">MOD(INT($A105/8),2)</f>
        <v>1</v>
      </c>
      <c r="E105" s="15" t="n">
        <f aca="false">MOD(INT($A105/4),2)</f>
        <v>1</v>
      </c>
      <c r="F105" s="15" t="n">
        <f aca="false">MOD(INT($A105/2),2)</f>
        <v>0</v>
      </c>
      <c r="G105" s="15" t="n">
        <f aca="false">MOD(INT($A105/1),2)</f>
        <v>1</v>
      </c>
      <c r="I105" s="14" t="n">
        <f aca="false">$C$7+C105*(Half_gap*(Ceiling_e-$C$7))</f>
        <v>78</v>
      </c>
      <c r="J105" s="14" t="n">
        <f aca="false">I105+D105*(Half_gap*(Ceiling_e-I105))</f>
        <v>81.5</v>
      </c>
      <c r="K105" s="14" t="n">
        <f aca="false">J105+E105*(Half_gap*(Ceiling_e-J105))</f>
        <v>83.25</v>
      </c>
      <c r="L105" s="14" t="n">
        <f aca="false">K105+F105*(Half_gap*(Ceiling_e-K105))</f>
        <v>83.25</v>
      </c>
      <c r="M105" s="14" t="n">
        <f aca="false">L105+G105*(Half_gap*(Ceiling_e-L105))</f>
        <v>84.125</v>
      </c>
      <c r="O105" s="14" t="n">
        <f aca="false">Val_pt*(I105-E_zero)</f>
        <v>70</v>
      </c>
      <c r="P105" s="14" t="n">
        <f aca="false">Val_pt*(J105-E_zero)</f>
        <v>105</v>
      </c>
      <c r="Q105" s="14" t="n">
        <f aca="false">Val_pt*(K105-E_zero)</f>
        <v>122.5</v>
      </c>
      <c r="R105" s="14" t="n">
        <f aca="false">Val_pt*(L105-E_zero)</f>
        <v>122.5</v>
      </c>
      <c r="S105" s="14" t="n">
        <f aca="false">Val_pt*(M105-E_zero)</f>
        <v>131.25</v>
      </c>
      <c r="U105" s="14" t="n">
        <f aca="false">MAX(V105+Cost_round*C105-O105,IF(C105=1,Pre_q,0))</f>
        <v>415</v>
      </c>
      <c r="V105" s="14" t="n">
        <f aca="false">MAX(W105+Cost_round*D105-P105,IF(D105=1,Pre_q,0),Floor_q)</f>
        <v>485</v>
      </c>
      <c r="W105" s="14" t="n">
        <f aca="false">MAX(X105+Cost_round*E105-Q105,IF(E105=1,Pre_q,0),Floor_q)</f>
        <v>470</v>
      </c>
      <c r="X105" s="14" t="n">
        <f aca="false">MAX(Y105+Cost_round*F105-R105,IF(F105=1,Pre_q,0),Floor_q)</f>
        <v>350</v>
      </c>
      <c r="Y105" s="14" t="n">
        <f aca="false">MAX(Z105+Cost_round*G105-S105,IF(G105=1,Pre_q,0),Floor_q)</f>
        <v>470</v>
      </c>
      <c r="Z105" s="14" t="n">
        <f aca="false">MAX(End_q,Floor_q)</f>
        <v>470</v>
      </c>
      <c r="AB105" s="15" t="n">
        <f aca="false">IF($B$7&gt;=U105-0.000000001,1,0)</f>
        <v>1</v>
      </c>
      <c r="AC105" s="14" t="n">
        <f aca="false">IF($AB105=1,$B$7-Cost_round*C105+O105-V105,"")</f>
        <v>70</v>
      </c>
      <c r="AD105" s="14" t="n">
        <f aca="false">IF($AB105=1,V105-Cost_round*D105+P105-W105,"")</f>
        <v>0</v>
      </c>
      <c r="AE105" s="14" t="n">
        <f aca="false">IF($AB105=1,W105-Cost_round*E105+Q105-X105,"")</f>
        <v>122.5</v>
      </c>
      <c r="AF105" s="14" t="n">
        <f aca="false">IF($AB105=1,X105-Cost_round*F105+R105-Y105,"")</f>
        <v>2.5</v>
      </c>
      <c r="AG105" s="14" t="n">
        <f aca="false">IF($AB105=1,Y105-Cost_round*G105+S105-Z105,"")</f>
        <v>11.25</v>
      </c>
      <c r="AI105" s="21" t="n">
        <f aca="false">IF($AB105=1,AC105*1+AD105*Bias_b*Beta_y^1+AE105*Bias_b*Beta_y^2+AF105*Bias_b*Beta_y^3+AG105*Bias_b*Beta_y^4+Bias_b*Beta_y^4*S105/Hurdle_r,"")</f>
        <v>976.531316166928</v>
      </c>
    </row>
    <row r="106" customFormat="false" ht="15" hidden="false" customHeight="false" outlineLevel="0" collapsed="false">
      <c r="A106" s="2" t="n">
        <v>14</v>
      </c>
      <c r="B106" s="2" t="str">
        <f aca="false">""&amp;C106&amp;D106&amp;E106&amp;F106&amp;G106</f>
        <v>01110</v>
      </c>
      <c r="C106" s="15" t="n">
        <f aca="false">MOD(INT($A106/16),2)</f>
        <v>0</v>
      </c>
      <c r="D106" s="15" t="n">
        <f aca="false">MOD(INT($A106/8),2)</f>
        <v>1</v>
      </c>
      <c r="E106" s="15" t="n">
        <f aca="false">MOD(INT($A106/4),2)</f>
        <v>1</v>
      </c>
      <c r="F106" s="15" t="n">
        <f aca="false">MOD(INT($A106/2),2)</f>
        <v>1</v>
      </c>
      <c r="G106" s="15" t="n">
        <f aca="false">MOD(INT($A106/1),2)</f>
        <v>0</v>
      </c>
      <c r="I106" s="14" t="n">
        <f aca="false">$C$7+C106*(Half_gap*(Ceiling_e-$C$7))</f>
        <v>78</v>
      </c>
      <c r="J106" s="14" t="n">
        <f aca="false">I106+D106*(Half_gap*(Ceiling_e-I106))</f>
        <v>81.5</v>
      </c>
      <c r="K106" s="14" t="n">
        <f aca="false">J106+E106*(Half_gap*(Ceiling_e-J106))</f>
        <v>83.25</v>
      </c>
      <c r="L106" s="14" t="n">
        <f aca="false">K106+F106*(Half_gap*(Ceiling_e-K106))</f>
        <v>84.125</v>
      </c>
      <c r="M106" s="14" t="n">
        <f aca="false">L106+G106*(Half_gap*(Ceiling_e-L106))</f>
        <v>84.125</v>
      </c>
      <c r="O106" s="14" t="n">
        <f aca="false">Val_pt*(I106-E_zero)</f>
        <v>70</v>
      </c>
      <c r="P106" s="14" t="n">
        <f aca="false">Val_pt*(J106-E_zero)</f>
        <v>105</v>
      </c>
      <c r="Q106" s="14" t="n">
        <f aca="false">Val_pt*(K106-E_zero)</f>
        <v>122.5</v>
      </c>
      <c r="R106" s="14" t="n">
        <f aca="false">Val_pt*(L106-E_zero)</f>
        <v>131.25</v>
      </c>
      <c r="S106" s="14" t="n">
        <f aca="false">Val_pt*(M106-E_zero)</f>
        <v>131.25</v>
      </c>
      <c r="U106" s="14" t="n">
        <f aca="false">MAX(V106+Cost_round*C106-O106,IF(C106=1,Pre_q,0))</f>
        <v>415</v>
      </c>
      <c r="V106" s="14" t="n">
        <f aca="false">MAX(W106+Cost_round*D106-P106,IF(D106=1,Pre_q,0),Floor_q)</f>
        <v>485</v>
      </c>
      <c r="W106" s="14" t="n">
        <f aca="false">MAX(X106+Cost_round*E106-Q106,IF(E106=1,Pre_q,0),Floor_q)</f>
        <v>470</v>
      </c>
      <c r="X106" s="14" t="n">
        <f aca="false">MAX(Y106+Cost_round*F106-R106,IF(F106=1,Pre_q,0),Floor_q)</f>
        <v>470</v>
      </c>
      <c r="Y106" s="14" t="n">
        <f aca="false">MAX(Z106+Cost_round*G106-S106,IF(G106=1,Pre_q,0),Floor_q)</f>
        <v>350</v>
      </c>
      <c r="Z106" s="14" t="n">
        <f aca="false">MAX(End_q,Floor_q)</f>
        <v>470</v>
      </c>
      <c r="AB106" s="15" t="n">
        <f aca="false">IF($B$7&gt;=U106-0.000000001,1,0)</f>
        <v>1</v>
      </c>
      <c r="AC106" s="14" t="n">
        <f aca="false">IF($AB106=1,$B$7-Cost_round*C106+O106-V106,"")</f>
        <v>70</v>
      </c>
      <c r="AD106" s="14" t="n">
        <f aca="false">IF($AB106=1,V106-Cost_round*D106+P106-W106,"")</f>
        <v>0</v>
      </c>
      <c r="AE106" s="14" t="n">
        <f aca="false">IF($AB106=1,W106-Cost_round*E106+Q106-X106,"")</f>
        <v>2.5</v>
      </c>
      <c r="AF106" s="14" t="n">
        <f aca="false">IF($AB106=1,X106-Cost_round*F106+R106-Y106,"")</f>
        <v>131.25</v>
      </c>
      <c r="AG106" s="14" t="n">
        <f aca="false">IF($AB106=1,Y106-Cost_round*G106+S106-Z106,"")</f>
        <v>11.25</v>
      </c>
      <c r="AI106" s="21" t="n">
        <f aca="false">IF($AB106=1,AC106*1+AD106*Bias_b*Beta_y^1+AE106*Bias_b*Beta_y^2+AF106*Bias_b*Beta_y^3+AG106*Bias_b*Beta_y^4+Bias_b*Beta_y^4*S106/Hurdle_r,"")</f>
        <v>974.333720374291</v>
      </c>
    </row>
    <row r="107" customFormat="false" ht="15" hidden="false" customHeight="false" outlineLevel="0" collapsed="false">
      <c r="A107" s="2" t="n">
        <v>15</v>
      </c>
      <c r="B107" s="2" t="str">
        <f aca="false">""&amp;C107&amp;D107&amp;E107&amp;F107&amp;G107</f>
        <v>01111</v>
      </c>
      <c r="C107" s="15" t="n">
        <f aca="false">MOD(INT($A107/16),2)</f>
        <v>0</v>
      </c>
      <c r="D107" s="15" t="n">
        <f aca="false">MOD(INT($A107/8),2)</f>
        <v>1</v>
      </c>
      <c r="E107" s="15" t="n">
        <f aca="false">MOD(INT($A107/4),2)</f>
        <v>1</v>
      </c>
      <c r="F107" s="15" t="n">
        <f aca="false">MOD(INT($A107/2),2)</f>
        <v>1</v>
      </c>
      <c r="G107" s="15" t="n">
        <f aca="false">MOD(INT($A107/1),2)</f>
        <v>1</v>
      </c>
      <c r="I107" s="14" t="n">
        <f aca="false">$C$7+C107*(Half_gap*(Ceiling_e-$C$7))</f>
        <v>78</v>
      </c>
      <c r="J107" s="14" t="n">
        <f aca="false">I107+D107*(Half_gap*(Ceiling_e-I107))</f>
        <v>81.5</v>
      </c>
      <c r="K107" s="14" t="n">
        <f aca="false">J107+E107*(Half_gap*(Ceiling_e-J107))</f>
        <v>83.25</v>
      </c>
      <c r="L107" s="14" t="n">
        <f aca="false">K107+F107*(Half_gap*(Ceiling_e-K107))</f>
        <v>84.125</v>
      </c>
      <c r="M107" s="14" t="n">
        <f aca="false">L107+G107*(Half_gap*(Ceiling_e-L107))</f>
        <v>84.5625</v>
      </c>
      <c r="O107" s="14" t="n">
        <f aca="false">Val_pt*(I107-E_zero)</f>
        <v>70</v>
      </c>
      <c r="P107" s="14" t="n">
        <f aca="false">Val_pt*(J107-E_zero)</f>
        <v>105</v>
      </c>
      <c r="Q107" s="14" t="n">
        <f aca="false">Val_pt*(K107-E_zero)</f>
        <v>122.5</v>
      </c>
      <c r="R107" s="14" t="n">
        <f aca="false">Val_pt*(L107-E_zero)</f>
        <v>131.25</v>
      </c>
      <c r="S107" s="14" t="n">
        <f aca="false">Val_pt*(M107-E_zero)</f>
        <v>135.625</v>
      </c>
      <c r="U107" s="14" t="n">
        <f aca="false">MAX(V107+Cost_round*C107-O107,IF(C107=1,Pre_q,0))</f>
        <v>415</v>
      </c>
      <c r="V107" s="14" t="n">
        <f aca="false">MAX(W107+Cost_round*D107-P107,IF(D107=1,Pre_q,0),Floor_q)</f>
        <v>485</v>
      </c>
      <c r="W107" s="14" t="n">
        <f aca="false">MAX(X107+Cost_round*E107-Q107,IF(E107=1,Pre_q,0),Floor_q)</f>
        <v>470</v>
      </c>
      <c r="X107" s="14" t="n">
        <f aca="false">MAX(Y107+Cost_round*F107-R107,IF(F107=1,Pre_q,0),Floor_q)</f>
        <v>470</v>
      </c>
      <c r="Y107" s="14" t="n">
        <f aca="false">MAX(Z107+Cost_round*G107-S107,IF(G107=1,Pre_q,0),Floor_q)</f>
        <v>470</v>
      </c>
      <c r="Z107" s="14" t="n">
        <f aca="false">MAX(End_q,Floor_q)</f>
        <v>470</v>
      </c>
      <c r="AB107" s="15" t="n">
        <f aca="false">IF($B$7&gt;=U107-0.000000001,1,0)</f>
        <v>1</v>
      </c>
      <c r="AC107" s="14" t="n">
        <f aca="false">IF($AB107=1,$B$7-Cost_round*C107+O107-V107,"")</f>
        <v>70</v>
      </c>
      <c r="AD107" s="14" t="n">
        <f aca="false">IF($AB107=1,V107-Cost_round*D107+P107-W107,"")</f>
        <v>0</v>
      </c>
      <c r="AE107" s="14" t="n">
        <f aca="false">IF($AB107=1,W107-Cost_round*E107+Q107-X107,"")</f>
        <v>2.5</v>
      </c>
      <c r="AF107" s="14" t="n">
        <f aca="false">IF($AB107=1,X107-Cost_round*F107+R107-Y107,"")</f>
        <v>11.25</v>
      </c>
      <c r="AG107" s="14" t="n">
        <f aca="false">IF($AB107=1,Y107-Cost_round*G107+S107-Z107,"")</f>
        <v>15.625</v>
      </c>
      <c r="AI107" s="21" t="n">
        <f aca="false">IF($AB107=1,AC107*1+AD107*Bias_b*Beta_y^1+AE107*Bias_b*Beta_y^2+AF107*Bias_b*Beta_y^3+AG107*Bias_b*Beta_y^4+Bias_b*Beta_y^4*S107/Hurdle_r,"")</f>
        <v>922.774742162421</v>
      </c>
    </row>
    <row r="108" customFormat="false" ht="15" hidden="false" customHeight="false" outlineLevel="0" collapsed="false">
      <c r="A108" s="2" t="n">
        <v>16</v>
      </c>
      <c r="B108" s="2" t="str">
        <f aca="false">""&amp;C108&amp;D108&amp;E108&amp;F108&amp;G108</f>
        <v>10000</v>
      </c>
      <c r="C108" s="15" t="n">
        <f aca="false">MOD(INT($A108/16),2)</f>
        <v>1</v>
      </c>
      <c r="D108" s="15" t="n">
        <f aca="false">MOD(INT($A108/8),2)</f>
        <v>0</v>
      </c>
      <c r="E108" s="15" t="n">
        <f aca="false">MOD(INT($A108/4),2)</f>
        <v>0</v>
      </c>
      <c r="F108" s="15" t="n">
        <f aca="false">MOD(INT($A108/2),2)</f>
        <v>0</v>
      </c>
      <c r="G108" s="15" t="n">
        <f aca="false">MOD(INT($A108/1),2)</f>
        <v>0</v>
      </c>
      <c r="I108" s="14" t="n">
        <f aca="false">$C$7+C108*(Half_gap*(Ceiling_e-$C$7))</f>
        <v>81.5</v>
      </c>
      <c r="J108" s="14" t="n">
        <f aca="false">I108+D108*(Half_gap*(Ceiling_e-I108))</f>
        <v>81.5</v>
      </c>
      <c r="K108" s="14" t="n">
        <f aca="false">J108+E108*(Half_gap*(Ceiling_e-J108))</f>
        <v>81.5</v>
      </c>
      <c r="L108" s="14" t="n">
        <f aca="false">K108+F108*(Half_gap*(Ceiling_e-K108))</f>
        <v>81.5</v>
      </c>
      <c r="M108" s="14" t="n">
        <f aca="false">L108+G108*(Half_gap*(Ceiling_e-L108))</f>
        <v>81.5</v>
      </c>
      <c r="O108" s="14" t="n">
        <f aca="false">Val_pt*(I108-E_zero)</f>
        <v>105</v>
      </c>
      <c r="P108" s="14" t="n">
        <f aca="false">Val_pt*(J108-E_zero)</f>
        <v>105</v>
      </c>
      <c r="Q108" s="14" t="n">
        <f aca="false">Val_pt*(K108-E_zero)</f>
        <v>105</v>
      </c>
      <c r="R108" s="14" t="n">
        <f aca="false">Val_pt*(L108-E_zero)</f>
        <v>105</v>
      </c>
      <c r="S108" s="14" t="n">
        <f aca="false">Val_pt*(M108-E_zero)</f>
        <v>105</v>
      </c>
      <c r="U108" s="14" t="n">
        <f aca="false">MAX(V108+Cost_round*C108-O108,IF(C108=1,Pre_q,0))</f>
        <v>470</v>
      </c>
      <c r="V108" s="14" t="n">
        <f aca="false">MAX(W108+Cost_round*D108-P108,IF(D108=1,Pre_q,0),Floor_q)</f>
        <v>350</v>
      </c>
      <c r="W108" s="14" t="n">
        <f aca="false">MAX(X108+Cost_round*E108-Q108,IF(E108=1,Pre_q,0),Floor_q)</f>
        <v>350</v>
      </c>
      <c r="X108" s="14" t="n">
        <f aca="false">MAX(Y108+Cost_round*F108-R108,IF(F108=1,Pre_q,0),Floor_q)</f>
        <v>350</v>
      </c>
      <c r="Y108" s="14" t="n">
        <f aca="false">MAX(Z108+Cost_round*G108-S108,IF(G108=1,Pre_q,0),Floor_q)</f>
        <v>365</v>
      </c>
      <c r="Z108" s="14" t="n">
        <f aca="false">MAX(End_q,Floor_q)</f>
        <v>470</v>
      </c>
      <c r="AB108" s="15" t="n">
        <f aca="false">IF($B$7&gt;=U108-0.000000001,1,0)</f>
        <v>1</v>
      </c>
      <c r="AC108" s="14" t="n">
        <f aca="false">IF($AB108=1,$B$7-Cost_round*C108+O108-V108,"")</f>
        <v>120</v>
      </c>
      <c r="AD108" s="14" t="n">
        <f aca="false">IF($AB108=1,V108-Cost_round*D108+P108-W108,"")</f>
        <v>105</v>
      </c>
      <c r="AE108" s="14" t="n">
        <f aca="false">IF($AB108=1,W108-Cost_round*E108+Q108-X108,"")</f>
        <v>105</v>
      </c>
      <c r="AF108" s="14" t="n">
        <f aca="false">IF($AB108=1,X108-Cost_round*F108+R108-Y108,"")</f>
        <v>90</v>
      </c>
      <c r="AG108" s="14" t="n">
        <f aca="false">IF($AB108=1,Y108-Cost_round*G108+S108-Z108,"")</f>
        <v>0</v>
      </c>
      <c r="AI108" s="21" t="n">
        <f aca="false">IF($AB108=1,AC108*1+AD108*Bias_b*Beta_y^1+AE108*Bias_b*Beta_y^2+AF108*Bias_b*Beta_y^3+AG108*Bias_b*Beta_y^4+Bias_b*Beta_y^4*S108/Hurdle_r,"")</f>
        <v>990.312478655829</v>
      </c>
    </row>
    <row r="109" customFormat="false" ht="15" hidden="false" customHeight="false" outlineLevel="0" collapsed="false">
      <c r="A109" s="2" t="n">
        <v>17</v>
      </c>
      <c r="B109" s="2" t="str">
        <f aca="false">""&amp;C109&amp;D109&amp;E109&amp;F109&amp;G109</f>
        <v>10001</v>
      </c>
      <c r="C109" s="15" t="n">
        <f aca="false">MOD(INT($A109/16),2)</f>
        <v>1</v>
      </c>
      <c r="D109" s="15" t="n">
        <f aca="false">MOD(INT($A109/8),2)</f>
        <v>0</v>
      </c>
      <c r="E109" s="15" t="n">
        <f aca="false">MOD(INT($A109/4),2)</f>
        <v>0</v>
      </c>
      <c r="F109" s="15" t="n">
        <f aca="false">MOD(INT($A109/2),2)</f>
        <v>0</v>
      </c>
      <c r="G109" s="15" t="n">
        <f aca="false">MOD(INT($A109/1),2)</f>
        <v>1</v>
      </c>
      <c r="I109" s="14" t="n">
        <f aca="false">$C$7+C109*(Half_gap*(Ceiling_e-$C$7))</f>
        <v>81.5</v>
      </c>
      <c r="J109" s="14" t="n">
        <f aca="false">I109+D109*(Half_gap*(Ceiling_e-I109))</f>
        <v>81.5</v>
      </c>
      <c r="K109" s="14" t="n">
        <f aca="false">J109+E109*(Half_gap*(Ceiling_e-J109))</f>
        <v>81.5</v>
      </c>
      <c r="L109" s="14" t="n">
        <f aca="false">K109+F109*(Half_gap*(Ceiling_e-K109))</f>
        <v>81.5</v>
      </c>
      <c r="M109" s="14" t="n">
        <f aca="false">L109+G109*(Half_gap*(Ceiling_e-L109))</f>
        <v>83.25</v>
      </c>
      <c r="O109" s="14" t="n">
        <f aca="false">Val_pt*(I109-E_zero)</f>
        <v>105</v>
      </c>
      <c r="P109" s="14" t="n">
        <f aca="false">Val_pt*(J109-E_zero)</f>
        <v>105</v>
      </c>
      <c r="Q109" s="14" t="n">
        <f aca="false">Val_pt*(K109-E_zero)</f>
        <v>105</v>
      </c>
      <c r="R109" s="14" t="n">
        <f aca="false">Val_pt*(L109-E_zero)</f>
        <v>105</v>
      </c>
      <c r="S109" s="14" t="n">
        <f aca="false">Val_pt*(M109-E_zero)</f>
        <v>122.5</v>
      </c>
      <c r="U109" s="14" t="n">
        <f aca="false">MAX(V109+Cost_round*C109-O109,IF(C109=1,Pre_q,0))</f>
        <v>470</v>
      </c>
      <c r="V109" s="14" t="n">
        <f aca="false">MAX(W109+Cost_round*D109-P109,IF(D109=1,Pre_q,0),Floor_q)</f>
        <v>350</v>
      </c>
      <c r="W109" s="14" t="n">
        <f aca="false">MAX(X109+Cost_round*E109-Q109,IF(E109=1,Pre_q,0),Floor_q)</f>
        <v>350</v>
      </c>
      <c r="X109" s="14" t="n">
        <f aca="false">MAX(Y109+Cost_round*F109-R109,IF(F109=1,Pre_q,0),Floor_q)</f>
        <v>365</v>
      </c>
      <c r="Y109" s="14" t="n">
        <f aca="false">MAX(Z109+Cost_round*G109-S109,IF(G109=1,Pre_q,0),Floor_q)</f>
        <v>470</v>
      </c>
      <c r="Z109" s="14" t="n">
        <f aca="false">MAX(End_q,Floor_q)</f>
        <v>470</v>
      </c>
      <c r="AB109" s="15" t="n">
        <f aca="false">IF($B$7&gt;=U109-0.000000001,1,0)</f>
        <v>1</v>
      </c>
      <c r="AC109" s="14" t="n">
        <f aca="false">IF($AB109=1,$B$7-Cost_round*C109+O109-V109,"")</f>
        <v>120</v>
      </c>
      <c r="AD109" s="14" t="n">
        <f aca="false">IF($AB109=1,V109-Cost_round*D109+P109-W109,"")</f>
        <v>105</v>
      </c>
      <c r="AE109" s="14" t="n">
        <f aca="false">IF($AB109=1,W109-Cost_round*E109+Q109-X109,"")</f>
        <v>90</v>
      </c>
      <c r="AF109" s="14" t="n">
        <f aca="false">IF($AB109=1,X109-Cost_round*F109+R109-Y109,"")</f>
        <v>0</v>
      </c>
      <c r="AG109" s="14" t="n">
        <f aca="false">IF($AB109=1,Y109-Cost_round*G109+S109-Z109,"")</f>
        <v>2.5</v>
      </c>
      <c r="AI109" s="21" t="n">
        <f aca="false">IF($AB109=1,AC109*1+AD109*Bias_b*Beta_y^1+AE109*Bias_b*Beta_y^2+AF109*Bias_b*Beta_y^3+AG109*Bias_b*Beta_y^4+Bias_b*Beta_y^4*S109/Hurdle_r,"")</f>
        <v>1027.41035448398</v>
      </c>
    </row>
    <row r="110" customFormat="false" ht="15" hidden="false" customHeight="false" outlineLevel="0" collapsed="false">
      <c r="A110" s="2" t="n">
        <v>18</v>
      </c>
      <c r="B110" s="2" t="str">
        <f aca="false">""&amp;C110&amp;D110&amp;E110&amp;F110&amp;G110</f>
        <v>10010</v>
      </c>
      <c r="C110" s="15" t="n">
        <f aca="false">MOD(INT($A110/16),2)</f>
        <v>1</v>
      </c>
      <c r="D110" s="15" t="n">
        <f aca="false">MOD(INT($A110/8),2)</f>
        <v>0</v>
      </c>
      <c r="E110" s="15" t="n">
        <f aca="false">MOD(INT($A110/4),2)</f>
        <v>0</v>
      </c>
      <c r="F110" s="15" t="n">
        <f aca="false">MOD(INT($A110/2),2)</f>
        <v>1</v>
      </c>
      <c r="G110" s="15" t="n">
        <f aca="false">MOD(INT($A110/1),2)</f>
        <v>0</v>
      </c>
      <c r="I110" s="14" t="n">
        <f aca="false">$C$7+C110*(Half_gap*(Ceiling_e-$C$7))</f>
        <v>81.5</v>
      </c>
      <c r="J110" s="14" t="n">
        <f aca="false">I110+D110*(Half_gap*(Ceiling_e-I110))</f>
        <v>81.5</v>
      </c>
      <c r="K110" s="14" t="n">
        <f aca="false">J110+E110*(Half_gap*(Ceiling_e-J110))</f>
        <v>81.5</v>
      </c>
      <c r="L110" s="14" t="n">
        <f aca="false">K110+F110*(Half_gap*(Ceiling_e-K110))</f>
        <v>83.25</v>
      </c>
      <c r="M110" s="14" t="n">
        <f aca="false">L110+G110*(Half_gap*(Ceiling_e-L110))</f>
        <v>83.25</v>
      </c>
      <c r="O110" s="14" t="n">
        <f aca="false">Val_pt*(I110-E_zero)</f>
        <v>105</v>
      </c>
      <c r="P110" s="14" t="n">
        <f aca="false">Val_pt*(J110-E_zero)</f>
        <v>105</v>
      </c>
      <c r="Q110" s="14" t="n">
        <f aca="false">Val_pt*(K110-E_zero)</f>
        <v>105</v>
      </c>
      <c r="R110" s="14" t="n">
        <f aca="false">Val_pt*(L110-E_zero)</f>
        <v>122.5</v>
      </c>
      <c r="S110" s="14" t="n">
        <f aca="false">Val_pt*(M110-E_zero)</f>
        <v>122.5</v>
      </c>
      <c r="U110" s="14" t="n">
        <f aca="false">MAX(V110+Cost_round*C110-O110,IF(C110=1,Pre_q,0))</f>
        <v>470</v>
      </c>
      <c r="V110" s="14" t="n">
        <f aca="false">MAX(W110+Cost_round*D110-P110,IF(D110=1,Pre_q,0),Floor_q)</f>
        <v>350</v>
      </c>
      <c r="W110" s="14" t="n">
        <f aca="false">MAX(X110+Cost_round*E110-Q110,IF(E110=1,Pre_q,0),Floor_q)</f>
        <v>365</v>
      </c>
      <c r="X110" s="14" t="n">
        <f aca="false">MAX(Y110+Cost_round*F110-R110,IF(F110=1,Pre_q,0),Floor_q)</f>
        <v>470</v>
      </c>
      <c r="Y110" s="14" t="n">
        <f aca="false">MAX(Z110+Cost_round*G110-S110,IF(G110=1,Pre_q,0),Floor_q)</f>
        <v>350</v>
      </c>
      <c r="Z110" s="14" t="n">
        <f aca="false">MAX(End_q,Floor_q)</f>
        <v>470</v>
      </c>
      <c r="AB110" s="15" t="n">
        <f aca="false">IF($B$7&gt;=U110-0.000000001,1,0)</f>
        <v>1</v>
      </c>
      <c r="AC110" s="14" t="n">
        <f aca="false">IF($AB110=1,$B$7-Cost_round*C110+O110-V110,"")</f>
        <v>120</v>
      </c>
      <c r="AD110" s="14" t="n">
        <f aca="false">IF($AB110=1,V110-Cost_round*D110+P110-W110,"")</f>
        <v>90</v>
      </c>
      <c r="AE110" s="14" t="n">
        <f aca="false">IF($AB110=1,W110-Cost_round*E110+Q110-X110,"")</f>
        <v>0</v>
      </c>
      <c r="AF110" s="14" t="n">
        <f aca="false">IF($AB110=1,X110-Cost_round*F110+R110-Y110,"")</f>
        <v>122.5</v>
      </c>
      <c r="AG110" s="14" t="n">
        <f aca="false">IF($AB110=1,Y110-Cost_round*G110+S110-Z110,"")</f>
        <v>2.5</v>
      </c>
      <c r="AI110" s="21" t="n">
        <f aca="false">IF($AB110=1,AC110*1+AD110*Bias_b*Beta_y^1+AE110*Bias_b*Beta_y^2+AF110*Bias_b*Beta_y^3+AG110*Bias_b*Beta_y^4+Bias_b*Beta_y^4*S110/Hurdle_r,"")</f>
        <v>1031.02793525032</v>
      </c>
    </row>
    <row r="111" customFormat="false" ht="15" hidden="false" customHeight="false" outlineLevel="0" collapsed="false">
      <c r="A111" s="2" t="n">
        <v>19</v>
      </c>
      <c r="B111" s="2" t="str">
        <f aca="false">""&amp;C111&amp;D111&amp;E111&amp;F111&amp;G111</f>
        <v>10011</v>
      </c>
      <c r="C111" s="15" t="n">
        <f aca="false">MOD(INT($A111/16),2)</f>
        <v>1</v>
      </c>
      <c r="D111" s="15" t="n">
        <f aca="false">MOD(INT($A111/8),2)</f>
        <v>0</v>
      </c>
      <c r="E111" s="15" t="n">
        <f aca="false">MOD(INT($A111/4),2)</f>
        <v>0</v>
      </c>
      <c r="F111" s="15" t="n">
        <f aca="false">MOD(INT($A111/2),2)</f>
        <v>1</v>
      </c>
      <c r="G111" s="15" t="n">
        <f aca="false">MOD(INT($A111/1),2)</f>
        <v>1</v>
      </c>
      <c r="I111" s="14" t="n">
        <f aca="false">$C$7+C111*(Half_gap*(Ceiling_e-$C$7))</f>
        <v>81.5</v>
      </c>
      <c r="J111" s="14" t="n">
        <f aca="false">I111+D111*(Half_gap*(Ceiling_e-I111))</f>
        <v>81.5</v>
      </c>
      <c r="K111" s="14" t="n">
        <f aca="false">J111+E111*(Half_gap*(Ceiling_e-J111))</f>
        <v>81.5</v>
      </c>
      <c r="L111" s="14" t="n">
        <f aca="false">K111+F111*(Half_gap*(Ceiling_e-K111))</f>
        <v>83.25</v>
      </c>
      <c r="M111" s="14" t="n">
        <f aca="false">L111+G111*(Half_gap*(Ceiling_e-L111))</f>
        <v>84.125</v>
      </c>
      <c r="O111" s="14" t="n">
        <f aca="false">Val_pt*(I111-E_zero)</f>
        <v>105</v>
      </c>
      <c r="P111" s="14" t="n">
        <f aca="false">Val_pt*(J111-E_zero)</f>
        <v>105</v>
      </c>
      <c r="Q111" s="14" t="n">
        <f aca="false">Val_pt*(K111-E_zero)</f>
        <v>105</v>
      </c>
      <c r="R111" s="14" t="n">
        <f aca="false">Val_pt*(L111-E_zero)</f>
        <v>122.5</v>
      </c>
      <c r="S111" s="14" t="n">
        <f aca="false">Val_pt*(M111-E_zero)</f>
        <v>131.25</v>
      </c>
      <c r="U111" s="14" t="n">
        <f aca="false">MAX(V111+Cost_round*C111-O111,IF(C111=1,Pre_q,0))</f>
        <v>470</v>
      </c>
      <c r="V111" s="14" t="n">
        <f aca="false">MAX(W111+Cost_round*D111-P111,IF(D111=1,Pre_q,0),Floor_q)</f>
        <v>350</v>
      </c>
      <c r="W111" s="14" t="n">
        <f aca="false">MAX(X111+Cost_round*E111-Q111,IF(E111=1,Pre_q,0),Floor_q)</f>
        <v>365</v>
      </c>
      <c r="X111" s="14" t="n">
        <f aca="false">MAX(Y111+Cost_round*F111-R111,IF(F111=1,Pre_q,0),Floor_q)</f>
        <v>470</v>
      </c>
      <c r="Y111" s="14" t="n">
        <f aca="false">MAX(Z111+Cost_round*G111-S111,IF(G111=1,Pre_q,0),Floor_q)</f>
        <v>470</v>
      </c>
      <c r="Z111" s="14" t="n">
        <f aca="false">MAX(End_q,Floor_q)</f>
        <v>470</v>
      </c>
      <c r="AB111" s="15" t="n">
        <f aca="false">IF($B$7&gt;=U111-0.000000001,1,0)</f>
        <v>1</v>
      </c>
      <c r="AC111" s="14" t="n">
        <f aca="false">IF($AB111=1,$B$7-Cost_round*C111+O111-V111,"")</f>
        <v>120</v>
      </c>
      <c r="AD111" s="14" t="n">
        <f aca="false">IF($AB111=1,V111-Cost_round*D111+P111-W111,"")</f>
        <v>90</v>
      </c>
      <c r="AE111" s="14" t="n">
        <f aca="false">IF($AB111=1,W111-Cost_round*E111+Q111-X111,"")</f>
        <v>0</v>
      </c>
      <c r="AF111" s="14" t="n">
        <f aca="false">IF($AB111=1,X111-Cost_round*F111+R111-Y111,"")</f>
        <v>2.5</v>
      </c>
      <c r="AG111" s="14" t="n">
        <f aca="false">IF($AB111=1,Y111-Cost_round*G111+S111-Z111,"")</f>
        <v>11.25</v>
      </c>
      <c r="AI111" s="21" t="n">
        <f aca="false">IF($AB111=1,AC111*1+AD111*Bias_b*Beta_y^1+AE111*Bias_b*Beta_y^2+AF111*Bias_b*Beta_y^3+AG111*Bias_b*Beta_y^4+Bias_b*Beta_y^4*S111/Hurdle_r,"")</f>
        <v>1009.05197732395</v>
      </c>
    </row>
    <row r="112" customFormat="false" ht="15" hidden="false" customHeight="false" outlineLevel="0" collapsed="false">
      <c r="A112" s="2" t="n">
        <v>20</v>
      </c>
      <c r="B112" s="2" t="str">
        <f aca="false">""&amp;C112&amp;D112&amp;E112&amp;F112&amp;G112</f>
        <v>10100</v>
      </c>
      <c r="C112" s="15" t="n">
        <f aca="false">MOD(INT($A112/16),2)</f>
        <v>1</v>
      </c>
      <c r="D112" s="15" t="n">
        <f aca="false">MOD(INT($A112/8),2)</f>
        <v>0</v>
      </c>
      <c r="E112" s="15" t="n">
        <f aca="false">MOD(INT($A112/4),2)</f>
        <v>1</v>
      </c>
      <c r="F112" s="15" t="n">
        <f aca="false">MOD(INT($A112/2),2)</f>
        <v>0</v>
      </c>
      <c r="G112" s="15" t="n">
        <f aca="false">MOD(INT($A112/1),2)</f>
        <v>0</v>
      </c>
      <c r="I112" s="14" t="n">
        <f aca="false">$C$7+C112*(Half_gap*(Ceiling_e-$C$7))</f>
        <v>81.5</v>
      </c>
      <c r="J112" s="14" t="n">
        <f aca="false">I112+D112*(Half_gap*(Ceiling_e-I112))</f>
        <v>81.5</v>
      </c>
      <c r="K112" s="14" t="n">
        <f aca="false">J112+E112*(Half_gap*(Ceiling_e-J112))</f>
        <v>83.25</v>
      </c>
      <c r="L112" s="14" t="n">
        <f aca="false">K112+F112*(Half_gap*(Ceiling_e-K112))</f>
        <v>83.25</v>
      </c>
      <c r="M112" s="14" t="n">
        <f aca="false">L112+G112*(Half_gap*(Ceiling_e-L112))</f>
        <v>83.25</v>
      </c>
      <c r="O112" s="14" t="n">
        <f aca="false">Val_pt*(I112-E_zero)</f>
        <v>105</v>
      </c>
      <c r="P112" s="14" t="n">
        <f aca="false">Val_pt*(J112-E_zero)</f>
        <v>105</v>
      </c>
      <c r="Q112" s="14" t="n">
        <f aca="false">Val_pt*(K112-E_zero)</f>
        <v>122.5</v>
      </c>
      <c r="R112" s="14" t="n">
        <f aca="false">Val_pt*(L112-E_zero)</f>
        <v>122.5</v>
      </c>
      <c r="S112" s="14" t="n">
        <f aca="false">Val_pt*(M112-E_zero)</f>
        <v>122.5</v>
      </c>
      <c r="U112" s="14" t="n">
        <f aca="false">MAX(V112+Cost_round*C112-O112,IF(C112=1,Pre_q,0))</f>
        <v>470</v>
      </c>
      <c r="V112" s="14" t="n">
        <f aca="false">MAX(W112+Cost_round*D112-P112,IF(D112=1,Pre_q,0),Floor_q)</f>
        <v>365</v>
      </c>
      <c r="W112" s="14" t="n">
        <f aca="false">MAX(X112+Cost_round*E112-Q112,IF(E112=1,Pre_q,0),Floor_q)</f>
        <v>470</v>
      </c>
      <c r="X112" s="14" t="n">
        <f aca="false">MAX(Y112+Cost_round*F112-R112,IF(F112=1,Pre_q,0),Floor_q)</f>
        <v>350</v>
      </c>
      <c r="Y112" s="14" t="n">
        <f aca="false">MAX(Z112+Cost_round*G112-S112,IF(G112=1,Pre_q,0),Floor_q)</f>
        <v>350</v>
      </c>
      <c r="Z112" s="14" t="n">
        <f aca="false">MAX(End_q,Floor_q)</f>
        <v>470</v>
      </c>
      <c r="AB112" s="15" t="n">
        <f aca="false">IF($B$7&gt;=U112-0.000000001,1,0)</f>
        <v>1</v>
      </c>
      <c r="AC112" s="14" t="n">
        <f aca="false">IF($AB112=1,$B$7-Cost_round*C112+O112-V112,"")</f>
        <v>105</v>
      </c>
      <c r="AD112" s="14" t="n">
        <f aca="false">IF($AB112=1,V112-Cost_round*D112+P112-W112,"")</f>
        <v>0</v>
      </c>
      <c r="AE112" s="14" t="n">
        <f aca="false">IF($AB112=1,W112-Cost_round*E112+Q112-X112,"")</f>
        <v>122.5</v>
      </c>
      <c r="AF112" s="14" t="n">
        <f aca="false">IF($AB112=1,X112-Cost_round*F112+R112-Y112,"")</f>
        <v>122.5</v>
      </c>
      <c r="AG112" s="14" t="n">
        <f aca="false">IF($AB112=1,Y112-Cost_round*G112+S112-Z112,"")</f>
        <v>2.5</v>
      </c>
      <c r="AI112" s="21" t="n">
        <f aca="false">IF($AB112=1,AC112*1+AD112*Bias_b*Beta_y^1+AE112*Bias_b*Beta_y^2+AF112*Bias_b*Beta_y^3+AG112*Bias_b*Beta_y^4+Bias_b*Beta_y^4*S112/Hurdle_r,"")</f>
        <v>1033.5072740933</v>
      </c>
    </row>
    <row r="113" customFormat="false" ht="15" hidden="false" customHeight="false" outlineLevel="0" collapsed="false">
      <c r="A113" s="2" t="n">
        <v>21</v>
      </c>
      <c r="B113" s="2" t="str">
        <f aca="false">""&amp;C113&amp;D113&amp;E113&amp;F113&amp;G113</f>
        <v>10101</v>
      </c>
      <c r="C113" s="15" t="n">
        <f aca="false">MOD(INT($A113/16),2)</f>
        <v>1</v>
      </c>
      <c r="D113" s="15" t="n">
        <f aca="false">MOD(INT($A113/8),2)</f>
        <v>0</v>
      </c>
      <c r="E113" s="15" t="n">
        <f aca="false">MOD(INT($A113/4),2)</f>
        <v>1</v>
      </c>
      <c r="F113" s="15" t="n">
        <f aca="false">MOD(INT($A113/2),2)</f>
        <v>0</v>
      </c>
      <c r="G113" s="15" t="n">
        <f aca="false">MOD(INT($A113/1),2)</f>
        <v>1</v>
      </c>
      <c r="I113" s="14" t="n">
        <f aca="false">$C$7+C113*(Half_gap*(Ceiling_e-$C$7))</f>
        <v>81.5</v>
      </c>
      <c r="J113" s="14" t="n">
        <f aca="false">I113+D113*(Half_gap*(Ceiling_e-I113))</f>
        <v>81.5</v>
      </c>
      <c r="K113" s="14" t="n">
        <f aca="false">J113+E113*(Half_gap*(Ceiling_e-J113))</f>
        <v>83.25</v>
      </c>
      <c r="L113" s="14" t="n">
        <f aca="false">K113+F113*(Half_gap*(Ceiling_e-K113))</f>
        <v>83.25</v>
      </c>
      <c r="M113" s="14" t="n">
        <f aca="false">L113+G113*(Half_gap*(Ceiling_e-L113))</f>
        <v>84.125</v>
      </c>
      <c r="O113" s="14" t="n">
        <f aca="false">Val_pt*(I113-E_zero)</f>
        <v>105</v>
      </c>
      <c r="P113" s="14" t="n">
        <f aca="false">Val_pt*(J113-E_zero)</f>
        <v>105</v>
      </c>
      <c r="Q113" s="14" t="n">
        <f aca="false">Val_pt*(K113-E_zero)</f>
        <v>122.5</v>
      </c>
      <c r="R113" s="14" t="n">
        <f aca="false">Val_pt*(L113-E_zero)</f>
        <v>122.5</v>
      </c>
      <c r="S113" s="14" t="n">
        <f aca="false">Val_pt*(M113-E_zero)</f>
        <v>131.25</v>
      </c>
      <c r="U113" s="14" t="n">
        <f aca="false">MAX(V113+Cost_round*C113-O113,IF(C113=1,Pre_q,0))</f>
        <v>470</v>
      </c>
      <c r="V113" s="14" t="n">
        <f aca="false">MAX(W113+Cost_round*D113-P113,IF(D113=1,Pre_q,0),Floor_q)</f>
        <v>365</v>
      </c>
      <c r="W113" s="14" t="n">
        <f aca="false">MAX(X113+Cost_round*E113-Q113,IF(E113=1,Pre_q,0),Floor_q)</f>
        <v>470</v>
      </c>
      <c r="X113" s="14" t="n">
        <f aca="false">MAX(Y113+Cost_round*F113-R113,IF(F113=1,Pre_q,0),Floor_q)</f>
        <v>350</v>
      </c>
      <c r="Y113" s="14" t="n">
        <f aca="false">MAX(Z113+Cost_round*G113-S113,IF(G113=1,Pre_q,0),Floor_q)</f>
        <v>470</v>
      </c>
      <c r="Z113" s="14" t="n">
        <f aca="false">MAX(End_q,Floor_q)</f>
        <v>470</v>
      </c>
      <c r="AB113" s="15" t="n">
        <f aca="false">IF($B$7&gt;=U113-0.000000001,1,0)</f>
        <v>1</v>
      </c>
      <c r="AC113" s="14" t="n">
        <f aca="false">IF($AB113=1,$B$7-Cost_round*C113+O113-V113,"")</f>
        <v>105</v>
      </c>
      <c r="AD113" s="14" t="n">
        <f aca="false">IF($AB113=1,V113-Cost_round*D113+P113-W113,"")</f>
        <v>0</v>
      </c>
      <c r="AE113" s="14" t="n">
        <f aca="false">IF($AB113=1,W113-Cost_round*E113+Q113-X113,"")</f>
        <v>122.5</v>
      </c>
      <c r="AF113" s="14" t="n">
        <f aca="false">IF($AB113=1,X113-Cost_round*F113+R113-Y113,"")</f>
        <v>2.5</v>
      </c>
      <c r="AG113" s="14" t="n">
        <f aca="false">IF($AB113=1,Y113-Cost_round*G113+S113-Z113,"")</f>
        <v>11.25</v>
      </c>
      <c r="AI113" s="21" t="n">
        <f aca="false">IF($AB113=1,AC113*1+AD113*Bias_b*Beta_y^1+AE113*Bias_b*Beta_y^2+AF113*Bias_b*Beta_y^3+AG113*Bias_b*Beta_y^4+Bias_b*Beta_y^4*S113/Hurdle_r,"")</f>
        <v>1011.53131616693</v>
      </c>
    </row>
    <row r="114" customFormat="false" ht="15" hidden="false" customHeight="false" outlineLevel="0" collapsed="false">
      <c r="A114" s="2" t="n">
        <v>22</v>
      </c>
      <c r="B114" s="2" t="str">
        <f aca="false">""&amp;C114&amp;D114&amp;E114&amp;F114&amp;G114</f>
        <v>10110</v>
      </c>
      <c r="C114" s="15" t="n">
        <f aca="false">MOD(INT($A114/16),2)</f>
        <v>1</v>
      </c>
      <c r="D114" s="15" t="n">
        <f aca="false">MOD(INT($A114/8),2)</f>
        <v>0</v>
      </c>
      <c r="E114" s="15" t="n">
        <f aca="false">MOD(INT($A114/4),2)</f>
        <v>1</v>
      </c>
      <c r="F114" s="15" t="n">
        <f aca="false">MOD(INT($A114/2),2)</f>
        <v>1</v>
      </c>
      <c r="G114" s="15" t="n">
        <f aca="false">MOD(INT($A114/1),2)</f>
        <v>0</v>
      </c>
      <c r="I114" s="14" t="n">
        <f aca="false">$C$7+C114*(Half_gap*(Ceiling_e-$C$7))</f>
        <v>81.5</v>
      </c>
      <c r="J114" s="14" t="n">
        <f aca="false">I114+D114*(Half_gap*(Ceiling_e-I114))</f>
        <v>81.5</v>
      </c>
      <c r="K114" s="14" t="n">
        <f aca="false">J114+E114*(Half_gap*(Ceiling_e-J114))</f>
        <v>83.25</v>
      </c>
      <c r="L114" s="14" t="n">
        <f aca="false">K114+F114*(Half_gap*(Ceiling_e-K114))</f>
        <v>84.125</v>
      </c>
      <c r="M114" s="14" t="n">
        <f aca="false">L114+G114*(Half_gap*(Ceiling_e-L114))</f>
        <v>84.125</v>
      </c>
      <c r="O114" s="14" t="n">
        <f aca="false">Val_pt*(I114-E_zero)</f>
        <v>105</v>
      </c>
      <c r="P114" s="14" t="n">
        <f aca="false">Val_pt*(J114-E_zero)</f>
        <v>105</v>
      </c>
      <c r="Q114" s="14" t="n">
        <f aca="false">Val_pt*(K114-E_zero)</f>
        <v>122.5</v>
      </c>
      <c r="R114" s="14" t="n">
        <f aca="false">Val_pt*(L114-E_zero)</f>
        <v>131.25</v>
      </c>
      <c r="S114" s="14" t="n">
        <f aca="false">Val_pt*(M114-E_zero)</f>
        <v>131.25</v>
      </c>
      <c r="U114" s="14" t="n">
        <f aca="false">MAX(V114+Cost_round*C114-O114,IF(C114=1,Pre_q,0))</f>
        <v>470</v>
      </c>
      <c r="V114" s="14" t="n">
        <f aca="false">MAX(W114+Cost_round*D114-P114,IF(D114=1,Pre_q,0),Floor_q)</f>
        <v>365</v>
      </c>
      <c r="W114" s="14" t="n">
        <f aca="false">MAX(X114+Cost_round*E114-Q114,IF(E114=1,Pre_q,0),Floor_q)</f>
        <v>470</v>
      </c>
      <c r="X114" s="14" t="n">
        <f aca="false">MAX(Y114+Cost_round*F114-R114,IF(F114=1,Pre_q,0),Floor_q)</f>
        <v>470</v>
      </c>
      <c r="Y114" s="14" t="n">
        <f aca="false">MAX(Z114+Cost_round*G114-S114,IF(G114=1,Pre_q,0),Floor_q)</f>
        <v>350</v>
      </c>
      <c r="Z114" s="14" t="n">
        <f aca="false">MAX(End_q,Floor_q)</f>
        <v>470</v>
      </c>
      <c r="AB114" s="15" t="n">
        <f aca="false">IF($B$7&gt;=U114-0.000000001,1,0)</f>
        <v>1</v>
      </c>
      <c r="AC114" s="14" t="n">
        <f aca="false">IF($AB114=1,$B$7-Cost_round*C114+O114-V114,"")</f>
        <v>105</v>
      </c>
      <c r="AD114" s="14" t="n">
        <f aca="false">IF($AB114=1,V114-Cost_round*D114+P114-W114,"")</f>
        <v>0</v>
      </c>
      <c r="AE114" s="14" t="n">
        <f aca="false">IF($AB114=1,W114-Cost_round*E114+Q114-X114,"")</f>
        <v>2.5</v>
      </c>
      <c r="AF114" s="14" t="n">
        <f aca="false">IF($AB114=1,X114-Cost_round*F114+R114-Y114,"")</f>
        <v>131.25</v>
      </c>
      <c r="AG114" s="14" t="n">
        <f aca="false">IF($AB114=1,Y114-Cost_round*G114+S114-Z114,"")</f>
        <v>11.25</v>
      </c>
      <c r="AI114" s="21" t="n">
        <f aca="false">IF($AB114=1,AC114*1+AD114*Bias_b*Beta_y^1+AE114*Bias_b*Beta_y^2+AF114*Bias_b*Beta_y^3+AG114*Bias_b*Beta_y^4+Bias_b*Beta_y^4*S114/Hurdle_r,"")</f>
        <v>1009.33372037429</v>
      </c>
    </row>
    <row r="115" customFormat="false" ht="15" hidden="false" customHeight="false" outlineLevel="0" collapsed="false">
      <c r="A115" s="2" t="n">
        <v>23</v>
      </c>
      <c r="B115" s="2" t="str">
        <f aca="false">""&amp;C115&amp;D115&amp;E115&amp;F115&amp;G115</f>
        <v>10111</v>
      </c>
      <c r="C115" s="15" t="n">
        <f aca="false">MOD(INT($A115/16),2)</f>
        <v>1</v>
      </c>
      <c r="D115" s="15" t="n">
        <f aca="false">MOD(INT($A115/8),2)</f>
        <v>0</v>
      </c>
      <c r="E115" s="15" t="n">
        <f aca="false">MOD(INT($A115/4),2)</f>
        <v>1</v>
      </c>
      <c r="F115" s="15" t="n">
        <f aca="false">MOD(INT($A115/2),2)</f>
        <v>1</v>
      </c>
      <c r="G115" s="15" t="n">
        <f aca="false">MOD(INT($A115/1),2)</f>
        <v>1</v>
      </c>
      <c r="I115" s="14" t="n">
        <f aca="false">$C$7+C115*(Half_gap*(Ceiling_e-$C$7))</f>
        <v>81.5</v>
      </c>
      <c r="J115" s="14" t="n">
        <f aca="false">I115+D115*(Half_gap*(Ceiling_e-I115))</f>
        <v>81.5</v>
      </c>
      <c r="K115" s="14" t="n">
        <f aca="false">J115+E115*(Half_gap*(Ceiling_e-J115))</f>
        <v>83.25</v>
      </c>
      <c r="L115" s="14" t="n">
        <f aca="false">K115+F115*(Half_gap*(Ceiling_e-K115))</f>
        <v>84.125</v>
      </c>
      <c r="M115" s="14" t="n">
        <f aca="false">L115+G115*(Half_gap*(Ceiling_e-L115))</f>
        <v>84.5625</v>
      </c>
      <c r="O115" s="14" t="n">
        <f aca="false">Val_pt*(I115-E_zero)</f>
        <v>105</v>
      </c>
      <c r="P115" s="14" t="n">
        <f aca="false">Val_pt*(J115-E_zero)</f>
        <v>105</v>
      </c>
      <c r="Q115" s="14" t="n">
        <f aca="false">Val_pt*(K115-E_zero)</f>
        <v>122.5</v>
      </c>
      <c r="R115" s="14" t="n">
        <f aca="false">Val_pt*(L115-E_zero)</f>
        <v>131.25</v>
      </c>
      <c r="S115" s="14" t="n">
        <f aca="false">Val_pt*(M115-E_zero)</f>
        <v>135.625</v>
      </c>
      <c r="U115" s="14" t="n">
        <f aca="false">MAX(V115+Cost_round*C115-O115,IF(C115=1,Pre_q,0))</f>
        <v>470</v>
      </c>
      <c r="V115" s="14" t="n">
        <f aca="false">MAX(W115+Cost_round*D115-P115,IF(D115=1,Pre_q,0),Floor_q)</f>
        <v>365</v>
      </c>
      <c r="W115" s="14" t="n">
        <f aca="false">MAX(X115+Cost_round*E115-Q115,IF(E115=1,Pre_q,0),Floor_q)</f>
        <v>470</v>
      </c>
      <c r="X115" s="14" t="n">
        <f aca="false">MAX(Y115+Cost_round*F115-R115,IF(F115=1,Pre_q,0),Floor_q)</f>
        <v>470</v>
      </c>
      <c r="Y115" s="14" t="n">
        <f aca="false">MAX(Z115+Cost_round*G115-S115,IF(G115=1,Pre_q,0),Floor_q)</f>
        <v>470</v>
      </c>
      <c r="Z115" s="14" t="n">
        <f aca="false">MAX(End_q,Floor_q)</f>
        <v>470</v>
      </c>
      <c r="AB115" s="15" t="n">
        <f aca="false">IF($B$7&gt;=U115-0.000000001,1,0)</f>
        <v>1</v>
      </c>
      <c r="AC115" s="14" t="n">
        <f aca="false">IF($AB115=1,$B$7-Cost_round*C115+O115-V115,"")</f>
        <v>105</v>
      </c>
      <c r="AD115" s="14" t="n">
        <f aca="false">IF($AB115=1,V115-Cost_round*D115+P115-W115,"")</f>
        <v>0</v>
      </c>
      <c r="AE115" s="14" t="n">
        <f aca="false">IF($AB115=1,W115-Cost_round*E115+Q115-X115,"")</f>
        <v>2.5</v>
      </c>
      <c r="AF115" s="14" t="n">
        <f aca="false">IF($AB115=1,X115-Cost_round*F115+R115-Y115,"")</f>
        <v>11.25</v>
      </c>
      <c r="AG115" s="14" t="n">
        <f aca="false">IF($AB115=1,Y115-Cost_round*G115+S115-Z115,"")</f>
        <v>15.625</v>
      </c>
      <c r="AI115" s="21" t="n">
        <f aca="false">IF($AB115=1,AC115*1+AD115*Bias_b*Beta_y^1+AE115*Bias_b*Beta_y^2+AF115*Bias_b*Beta_y^3+AG115*Bias_b*Beta_y^4+Bias_b*Beta_y^4*S115/Hurdle_r,"")</f>
        <v>957.774742162421</v>
      </c>
    </row>
    <row r="116" customFormat="false" ht="15" hidden="false" customHeight="false" outlineLevel="0" collapsed="false">
      <c r="A116" s="2" t="n">
        <v>24</v>
      </c>
      <c r="B116" s="2" t="str">
        <f aca="false">""&amp;C116&amp;D116&amp;E116&amp;F116&amp;G116</f>
        <v>11000</v>
      </c>
      <c r="C116" s="15" t="n">
        <f aca="false">MOD(INT($A116/16),2)</f>
        <v>1</v>
      </c>
      <c r="D116" s="15" t="n">
        <f aca="false">MOD(INT($A116/8),2)</f>
        <v>1</v>
      </c>
      <c r="E116" s="15" t="n">
        <f aca="false">MOD(INT($A116/4),2)</f>
        <v>0</v>
      </c>
      <c r="F116" s="15" t="n">
        <f aca="false">MOD(INT($A116/2),2)</f>
        <v>0</v>
      </c>
      <c r="G116" s="15" t="n">
        <f aca="false">MOD(INT($A116/1),2)</f>
        <v>0</v>
      </c>
      <c r="I116" s="14" t="n">
        <f aca="false">$C$7+C116*(Half_gap*(Ceiling_e-$C$7))</f>
        <v>81.5</v>
      </c>
      <c r="J116" s="14" t="n">
        <f aca="false">I116+D116*(Half_gap*(Ceiling_e-I116))</f>
        <v>83.25</v>
      </c>
      <c r="K116" s="14" t="n">
        <f aca="false">J116+E116*(Half_gap*(Ceiling_e-J116))</f>
        <v>83.25</v>
      </c>
      <c r="L116" s="14" t="n">
        <f aca="false">K116+F116*(Half_gap*(Ceiling_e-K116))</f>
        <v>83.25</v>
      </c>
      <c r="M116" s="14" t="n">
        <f aca="false">L116+G116*(Half_gap*(Ceiling_e-L116))</f>
        <v>83.25</v>
      </c>
      <c r="O116" s="14" t="n">
        <f aca="false">Val_pt*(I116-E_zero)</f>
        <v>105</v>
      </c>
      <c r="P116" s="14" t="n">
        <f aca="false">Val_pt*(J116-E_zero)</f>
        <v>122.5</v>
      </c>
      <c r="Q116" s="14" t="n">
        <f aca="false">Val_pt*(K116-E_zero)</f>
        <v>122.5</v>
      </c>
      <c r="R116" s="14" t="n">
        <f aca="false">Val_pt*(L116-E_zero)</f>
        <v>122.5</v>
      </c>
      <c r="S116" s="14" t="n">
        <f aca="false">Val_pt*(M116-E_zero)</f>
        <v>122.5</v>
      </c>
      <c r="U116" s="14" t="n">
        <f aca="false">MAX(V116+Cost_round*C116-O116,IF(C116=1,Pre_q,0))</f>
        <v>485</v>
      </c>
      <c r="V116" s="14" t="n">
        <f aca="false">MAX(W116+Cost_round*D116-P116,IF(D116=1,Pre_q,0),Floor_q)</f>
        <v>470</v>
      </c>
      <c r="W116" s="14" t="n">
        <f aca="false">MAX(X116+Cost_round*E116-Q116,IF(E116=1,Pre_q,0),Floor_q)</f>
        <v>350</v>
      </c>
      <c r="X116" s="14" t="n">
        <f aca="false">MAX(Y116+Cost_round*F116-R116,IF(F116=1,Pre_q,0),Floor_q)</f>
        <v>350</v>
      </c>
      <c r="Y116" s="14" t="n">
        <f aca="false">MAX(Z116+Cost_round*G116-S116,IF(G116=1,Pre_q,0),Floor_q)</f>
        <v>350</v>
      </c>
      <c r="Z116" s="14" t="n">
        <f aca="false">MAX(End_q,Floor_q)</f>
        <v>470</v>
      </c>
      <c r="AB116" s="15" t="n">
        <f aca="false">IF($B$7&gt;=U116-0.000000001,1,0)</f>
        <v>1</v>
      </c>
      <c r="AC116" s="14" t="n">
        <f aca="false">IF($AB116=1,$B$7-Cost_round*C116+O116-V116,"")</f>
        <v>0</v>
      </c>
      <c r="AD116" s="14" t="n">
        <f aca="false">IF($AB116=1,V116-Cost_round*D116+P116-W116,"")</f>
        <v>122.5</v>
      </c>
      <c r="AE116" s="14" t="n">
        <f aca="false">IF($AB116=1,W116-Cost_round*E116+Q116-X116,"")</f>
        <v>122.5</v>
      </c>
      <c r="AF116" s="14" t="n">
        <f aca="false">IF($AB116=1,X116-Cost_round*F116+R116-Y116,"")</f>
        <v>122.5</v>
      </c>
      <c r="AG116" s="14" t="n">
        <f aca="false">IF($AB116=1,Y116-Cost_round*G116+S116-Z116,"")</f>
        <v>2.5</v>
      </c>
      <c r="AI116" s="21" t="n">
        <f aca="false">IF($AB116=1,AC116*1+AD116*Bias_b*Beta_y^1+AE116*Bias_b*Beta_y^2+AF116*Bias_b*Beta_y^3+AG116*Bias_b*Beta_y^4+Bias_b*Beta_y^4*S116/Hurdle_r,"")</f>
        <v>1028.73454682057</v>
      </c>
    </row>
    <row r="117" customFormat="false" ht="15" hidden="false" customHeight="false" outlineLevel="0" collapsed="false">
      <c r="A117" s="2" t="n">
        <v>25</v>
      </c>
      <c r="B117" s="2" t="str">
        <f aca="false">""&amp;C117&amp;D117&amp;E117&amp;F117&amp;G117</f>
        <v>11001</v>
      </c>
      <c r="C117" s="15" t="n">
        <f aca="false">MOD(INT($A117/16),2)</f>
        <v>1</v>
      </c>
      <c r="D117" s="15" t="n">
        <f aca="false">MOD(INT($A117/8),2)</f>
        <v>1</v>
      </c>
      <c r="E117" s="15" t="n">
        <f aca="false">MOD(INT($A117/4),2)</f>
        <v>0</v>
      </c>
      <c r="F117" s="15" t="n">
        <f aca="false">MOD(INT($A117/2),2)</f>
        <v>0</v>
      </c>
      <c r="G117" s="15" t="n">
        <f aca="false">MOD(INT($A117/1),2)</f>
        <v>1</v>
      </c>
      <c r="I117" s="14" t="n">
        <f aca="false">$C$7+C117*(Half_gap*(Ceiling_e-$C$7))</f>
        <v>81.5</v>
      </c>
      <c r="J117" s="14" t="n">
        <f aca="false">I117+D117*(Half_gap*(Ceiling_e-I117))</f>
        <v>83.25</v>
      </c>
      <c r="K117" s="14" t="n">
        <f aca="false">J117+E117*(Half_gap*(Ceiling_e-J117))</f>
        <v>83.25</v>
      </c>
      <c r="L117" s="14" t="n">
        <f aca="false">K117+F117*(Half_gap*(Ceiling_e-K117))</f>
        <v>83.25</v>
      </c>
      <c r="M117" s="14" t="n">
        <f aca="false">L117+G117*(Half_gap*(Ceiling_e-L117))</f>
        <v>84.125</v>
      </c>
      <c r="O117" s="14" t="n">
        <f aca="false">Val_pt*(I117-E_zero)</f>
        <v>105</v>
      </c>
      <c r="P117" s="14" t="n">
        <f aca="false">Val_pt*(J117-E_zero)</f>
        <v>122.5</v>
      </c>
      <c r="Q117" s="14" t="n">
        <f aca="false">Val_pt*(K117-E_zero)</f>
        <v>122.5</v>
      </c>
      <c r="R117" s="14" t="n">
        <f aca="false">Val_pt*(L117-E_zero)</f>
        <v>122.5</v>
      </c>
      <c r="S117" s="14" t="n">
        <f aca="false">Val_pt*(M117-E_zero)</f>
        <v>131.25</v>
      </c>
      <c r="U117" s="14" t="n">
        <f aca="false">MAX(V117+Cost_round*C117-O117,IF(C117=1,Pre_q,0))</f>
        <v>485</v>
      </c>
      <c r="V117" s="14" t="n">
        <f aca="false">MAX(W117+Cost_round*D117-P117,IF(D117=1,Pre_q,0),Floor_q)</f>
        <v>470</v>
      </c>
      <c r="W117" s="14" t="n">
        <f aca="false">MAX(X117+Cost_round*E117-Q117,IF(E117=1,Pre_q,0),Floor_q)</f>
        <v>350</v>
      </c>
      <c r="X117" s="14" t="n">
        <f aca="false">MAX(Y117+Cost_round*F117-R117,IF(F117=1,Pre_q,0),Floor_q)</f>
        <v>350</v>
      </c>
      <c r="Y117" s="14" t="n">
        <f aca="false">MAX(Z117+Cost_round*G117-S117,IF(G117=1,Pre_q,0),Floor_q)</f>
        <v>470</v>
      </c>
      <c r="Z117" s="14" t="n">
        <f aca="false">MAX(End_q,Floor_q)</f>
        <v>470</v>
      </c>
      <c r="AB117" s="15" t="n">
        <f aca="false">IF($B$7&gt;=U117-0.000000001,1,0)</f>
        <v>1</v>
      </c>
      <c r="AC117" s="14" t="n">
        <f aca="false">IF($AB117=1,$B$7-Cost_round*C117+O117-V117,"")</f>
        <v>0</v>
      </c>
      <c r="AD117" s="14" t="n">
        <f aca="false">IF($AB117=1,V117-Cost_round*D117+P117-W117,"")</f>
        <v>122.5</v>
      </c>
      <c r="AE117" s="14" t="n">
        <f aca="false">IF($AB117=1,W117-Cost_round*E117+Q117-X117,"")</f>
        <v>122.5</v>
      </c>
      <c r="AF117" s="14" t="n">
        <f aca="false">IF($AB117=1,X117-Cost_round*F117+R117-Y117,"")</f>
        <v>2.5</v>
      </c>
      <c r="AG117" s="14" t="n">
        <f aca="false">IF($AB117=1,Y117-Cost_round*G117+S117-Z117,"")</f>
        <v>11.25</v>
      </c>
      <c r="AI117" s="21" t="n">
        <f aca="false">IF($AB117=1,AC117*1+AD117*Bias_b*Beta_y^1+AE117*Bias_b*Beta_y^2+AF117*Bias_b*Beta_y^3+AG117*Bias_b*Beta_y^4+Bias_b*Beta_y^4*S117/Hurdle_r,"")</f>
        <v>1006.7585888942</v>
      </c>
    </row>
    <row r="118" customFormat="false" ht="15" hidden="false" customHeight="false" outlineLevel="0" collapsed="false">
      <c r="A118" s="2" t="n">
        <v>26</v>
      </c>
      <c r="B118" s="2" t="str">
        <f aca="false">""&amp;C118&amp;D118&amp;E118&amp;F118&amp;G118</f>
        <v>11010</v>
      </c>
      <c r="C118" s="15" t="n">
        <f aca="false">MOD(INT($A118/16),2)</f>
        <v>1</v>
      </c>
      <c r="D118" s="15" t="n">
        <f aca="false">MOD(INT($A118/8),2)</f>
        <v>1</v>
      </c>
      <c r="E118" s="15" t="n">
        <f aca="false">MOD(INT($A118/4),2)</f>
        <v>0</v>
      </c>
      <c r="F118" s="15" t="n">
        <f aca="false">MOD(INT($A118/2),2)</f>
        <v>1</v>
      </c>
      <c r="G118" s="15" t="n">
        <f aca="false">MOD(INT($A118/1),2)</f>
        <v>0</v>
      </c>
      <c r="I118" s="14" t="n">
        <f aca="false">$C$7+C118*(Half_gap*(Ceiling_e-$C$7))</f>
        <v>81.5</v>
      </c>
      <c r="J118" s="14" t="n">
        <f aca="false">I118+D118*(Half_gap*(Ceiling_e-I118))</f>
        <v>83.25</v>
      </c>
      <c r="K118" s="14" t="n">
        <f aca="false">J118+E118*(Half_gap*(Ceiling_e-J118))</f>
        <v>83.25</v>
      </c>
      <c r="L118" s="14" t="n">
        <f aca="false">K118+F118*(Half_gap*(Ceiling_e-K118))</f>
        <v>84.125</v>
      </c>
      <c r="M118" s="14" t="n">
        <f aca="false">L118+G118*(Half_gap*(Ceiling_e-L118))</f>
        <v>84.125</v>
      </c>
      <c r="O118" s="14" t="n">
        <f aca="false">Val_pt*(I118-E_zero)</f>
        <v>105</v>
      </c>
      <c r="P118" s="14" t="n">
        <f aca="false">Val_pt*(J118-E_zero)</f>
        <v>122.5</v>
      </c>
      <c r="Q118" s="14" t="n">
        <f aca="false">Val_pt*(K118-E_zero)</f>
        <v>122.5</v>
      </c>
      <c r="R118" s="14" t="n">
        <f aca="false">Val_pt*(L118-E_zero)</f>
        <v>131.25</v>
      </c>
      <c r="S118" s="14" t="n">
        <f aca="false">Val_pt*(M118-E_zero)</f>
        <v>131.25</v>
      </c>
      <c r="U118" s="14" t="n">
        <f aca="false">MAX(V118+Cost_round*C118-O118,IF(C118=1,Pre_q,0))</f>
        <v>485</v>
      </c>
      <c r="V118" s="14" t="n">
        <f aca="false">MAX(W118+Cost_round*D118-P118,IF(D118=1,Pre_q,0),Floor_q)</f>
        <v>470</v>
      </c>
      <c r="W118" s="14" t="n">
        <f aca="false">MAX(X118+Cost_round*E118-Q118,IF(E118=1,Pre_q,0),Floor_q)</f>
        <v>350</v>
      </c>
      <c r="X118" s="14" t="n">
        <f aca="false">MAX(Y118+Cost_round*F118-R118,IF(F118=1,Pre_q,0),Floor_q)</f>
        <v>470</v>
      </c>
      <c r="Y118" s="14" t="n">
        <f aca="false">MAX(Z118+Cost_round*G118-S118,IF(G118=1,Pre_q,0),Floor_q)</f>
        <v>350</v>
      </c>
      <c r="Z118" s="14" t="n">
        <f aca="false">MAX(End_q,Floor_q)</f>
        <v>470</v>
      </c>
      <c r="AB118" s="15" t="n">
        <f aca="false">IF($B$7&gt;=U118-0.000000001,1,0)</f>
        <v>1</v>
      </c>
      <c r="AC118" s="14" t="n">
        <f aca="false">IF($AB118=1,$B$7-Cost_round*C118+O118-V118,"")</f>
        <v>0</v>
      </c>
      <c r="AD118" s="14" t="n">
        <f aca="false">IF($AB118=1,V118-Cost_round*D118+P118-W118,"")</f>
        <v>122.5</v>
      </c>
      <c r="AE118" s="14" t="n">
        <f aca="false">IF($AB118=1,W118-Cost_round*E118+Q118-X118,"")</f>
        <v>2.5</v>
      </c>
      <c r="AF118" s="14" t="n">
        <f aca="false">IF($AB118=1,X118-Cost_round*F118+R118-Y118,"")</f>
        <v>131.25</v>
      </c>
      <c r="AG118" s="14" t="n">
        <f aca="false">IF($AB118=1,Y118-Cost_round*G118+S118-Z118,"")</f>
        <v>11.25</v>
      </c>
      <c r="AI118" s="21" t="n">
        <f aca="false">IF($AB118=1,AC118*1+AD118*Bias_b*Beta_y^1+AE118*Bias_b*Beta_y^2+AF118*Bias_b*Beta_y^3+AG118*Bias_b*Beta_y^4+Bias_b*Beta_y^4*S118/Hurdle_r,"")</f>
        <v>1004.56099310156</v>
      </c>
    </row>
    <row r="119" customFormat="false" ht="15" hidden="false" customHeight="false" outlineLevel="0" collapsed="false">
      <c r="A119" s="2" t="n">
        <v>27</v>
      </c>
      <c r="B119" s="2" t="str">
        <f aca="false">""&amp;C119&amp;D119&amp;E119&amp;F119&amp;G119</f>
        <v>11011</v>
      </c>
      <c r="C119" s="15" t="n">
        <f aca="false">MOD(INT($A119/16),2)</f>
        <v>1</v>
      </c>
      <c r="D119" s="15" t="n">
        <f aca="false">MOD(INT($A119/8),2)</f>
        <v>1</v>
      </c>
      <c r="E119" s="15" t="n">
        <f aca="false">MOD(INT($A119/4),2)</f>
        <v>0</v>
      </c>
      <c r="F119" s="15" t="n">
        <f aca="false">MOD(INT($A119/2),2)</f>
        <v>1</v>
      </c>
      <c r="G119" s="15" t="n">
        <f aca="false">MOD(INT($A119/1),2)</f>
        <v>1</v>
      </c>
      <c r="I119" s="14" t="n">
        <f aca="false">$C$7+C119*(Half_gap*(Ceiling_e-$C$7))</f>
        <v>81.5</v>
      </c>
      <c r="J119" s="14" t="n">
        <f aca="false">I119+D119*(Half_gap*(Ceiling_e-I119))</f>
        <v>83.25</v>
      </c>
      <c r="K119" s="14" t="n">
        <f aca="false">J119+E119*(Half_gap*(Ceiling_e-J119))</f>
        <v>83.25</v>
      </c>
      <c r="L119" s="14" t="n">
        <f aca="false">K119+F119*(Half_gap*(Ceiling_e-K119))</f>
        <v>84.125</v>
      </c>
      <c r="M119" s="14" t="n">
        <f aca="false">L119+G119*(Half_gap*(Ceiling_e-L119))</f>
        <v>84.5625</v>
      </c>
      <c r="O119" s="14" t="n">
        <f aca="false">Val_pt*(I119-E_zero)</f>
        <v>105</v>
      </c>
      <c r="P119" s="14" t="n">
        <f aca="false">Val_pt*(J119-E_zero)</f>
        <v>122.5</v>
      </c>
      <c r="Q119" s="14" t="n">
        <f aca="false">Val_pt*(K119-E_zero)</f>
        <v>122.5</v>
      </c>
      <c r="R119" s="14" t="n">
        <f aca="false">Val_pt*(L119-E_zero)</f>
        <v>131.25</v>
      </c>
      <c r="S119" s="14" t="n">
        <f aca="false">Val_pt*(M119-E_zero)</f>
        <v>135.625</v>
      </c>
      <c r="U119" s="14" t="n">
        <f aca="false">MAX(V119+Cost_round*C119-O119,IF(C119=1,Pre_q,0))</f>
        <v>485</v>
      </c>
      <c r="V119" s="14" t="n">
        <f aca="false">MAX(W119+Cost_round*D119-P119,IF(D119=1,Pre_q,0),Floor_q)</f>
        <v>470</v>
      </c>
      <c r="W119" s="14" t="n">
        <f aca="false">MAX(X119+Cost_round*E119-Q119,IF(E119=1,Pre_q,0),Floor_q)</f>
        <v>350</v>
      </c>
      <c r="X119" s="14" t="n">
        <f aca="false">MAX(Y119+Cost_round*F119-R119,IF(F119=1,Pre_q,0),Floor_q)</f>
        <v>470</v>
      </c>
      <c r="Y119" s="14" t="n">
        <f aca="false">MAX(Z119+Cost_round*G119-S119,IF(G119=1,Pre_q,0),Floor_q)</f>
        <v>470</v>
      </c>
      <c r="Z119" s="14" t="n">
        <f aca="false">MAX(End_q,Floor_q)</f>
        <v>470</v>
      </c>
      <c r="AB119" s="15" t="n">
        <f aca="false">IF($B$7&gt;=U119-0.000000001,1,0)</f>
        <v>1</v>
      </c>
      <c r="AC119" s="14" t="n">
        <f aca="false">IF($AB119=1,$B$7-Cost_round*C119+O119-V119,"")</f>
        <v>0</v>
      </c>
      <c r="AD119" s="14" t="n">
        <f aca="false">IF($AB119=1,V119-Cost_round*D119+P119-W119,"")</f>
        <v>122.5</v>
      </c>
      <c r="AE119" s="14" t="n">
        <f aca="false">IF($AB119=1,W119-Cost_round*E119+Q119-X119,"")</f>
        <v>2.5</v>
      </c>
      <c r="AF119" s="14" t="n">
        <f aca="false">IF($AB119=1,X119-Cost_round*F119+R119-Y119,"")</f>
        <v>11.25</v>
      </c>
      <c r="AG119" s="14" t="n">
        <f aca="false">IF($AB119=1,Y119-Cost_round*G119+S119-Z119,"")</f>
        <v>15.625</v>
      </c>
      <c r="AI119" s="21" t="n">
        <f aca="false">IF($AB119=1,AC119*1+AD119*Bias_b*Beta_y^1+AE119*Bias_b*Beta_y^2+AF119*Bias_b*Beta_y^3+AG119*Bias_b*Beta_y^4+Bias_b*Beta_y^4*S119/Hurdle_r,"")</f>
        <v>953.002014889693</v>
      </c>
    </row>
    <row r="120" customFormat="false" ht="15" hidden="false" customHeight="false" outlineLevel="0" collapsed="false">
      <c r="A120" s="2" t="n">
        <v>28</v>
      </c>
      <c r="B120" s="2" t="str">
        <f aca="false">""&amp;C120&amp;D120&amp;E120&amp;F120&amp;G120</f>
        <v>11100</v>
      </c>
      <c r="C120" s="15" t="n">
        <f aca="false">MOD(INT($A120/16),2)</f>
        <v>1</v>
      </c>
      <c r="D120" s="15" t="n">
        <f aca="false">MOD(INT($A120/8),2)</f>
        <v>1</v>
      </c>
      <c r="E120" s="15" t="n">
        <f aca="false">MOD(INT($A120/4),2)</f>
        <v>1</v>
      </c>
      <c r="F120" s="15" t="n">
        <f aca="false">MOD(INT($A120/2),2)</f>
        <v>0</v>
      </c>
      <c r="G120" s="15" t="n">
        <f aca="false">MOD(INT($A120/1),2)</f>
        <v>0</v>
      </c>
      <c r="I120" s="14" t="n">
        <f aca="false">$C$7+C120*(Half_gap*(Ceiling_e-$C$7))</f>
        <v>81.5</v>
      </c>
      <c r="J120" s="14" t="n">
        <f aca="false">I120+D120*(Half_gap*(Ceiling_e-I120))</f>
        <v>83.25</v>
      </c>
      <c r="K120" s="14" t="n">
        <f aca="false">J120+E120*(Half_gap*(Ceiling_e-J120))</f>
        <v>84.125</v>
      </c>
      <c r="L120" s="14" t="n">
        <f aca="false">K120+F120*(Half_gap*(Ceiling_e-K120))</f>
        <v>84.125</v>
      </c>
      <c r="M120" s="14" t="n">
        <f aca="false">L120+G120*(Half_gap*(Ceiling_e-L120))</f>
        <v>84.125</v>
      </c>
      <c r="O120" s="14" t="n">
        <f aca="false">Val_pt*(I120-E_zero)</f>
        <v>105</v>
      </c>
      <c r="P120" s="14" t="n">
        <f aca="false">Val_pt*(J120-E_zero)</f>
        <v>122.5</v>
      </c>
      <c r="Q120" s="14" t="n">
        <f aca="false">Val_pt*(K120-E_zero)</f>
        <v>131.25</v>
      </c>
      <c r="R120" s="14" t="n">
        <f aca="false">Val_pt*(L120-E_zero)</f>
        <v>131.25</v>
      </c>
      <c r="S120" s="14" t="n">
        <f aca="false">Val_pt*(M120-E_zero)</f>
        <v>131.25</v>
      </c>
      <c r="U120" s="14" t="n">
        <f aca="false">MAX(V120+Cost_round*C120-O120,IF(C120=1,Pre_q,0))</f>
        <v>485</v>
      </c>
      <c r="V120" s="14" t="n">
        <f aca="false">MAX(W120+Cost_round*D120-P120,IF(D120=1,Pre_q,0),Floor_q)</f>
        <v>470</v>
      </c>
      <c r="W120" s="14" t="n">
        <f aca="false">MAX(X120+Cost_round*E120-Q120,IF(E120=1,Pre_q,0),Floor_q)</f>
        <v>470</v>
      </c>
      <c r="X120" s="14" t="n">
        <f aca="false">MAX(Y120+Cost_round*F120-R120,IF(F120=1,Pre_q,0),Floor_q)</f>
        <v>350</v>
      </c>
      <c r="Y120" s="14" t="n">
        <f aca="false">MAX(Z120+Cost_round*G120-S120,IF(G120=1,Pre_q,0),Floor_q)</f>
        <v>350</v>
      </c>
      <c r="Z120" s="14" t="n">
        <f aca="false">MAX(End_q,Floor_q)</f>
        <v>470</v>
      </c>
      <c r="AB120" s="15" t="n">
        <f aca="false">IF($B$7&gt;=U120-0.000000001,1,0)</f>
        <v>1</v>
      </c>
      <c r="AC120" s="14" t="n">
        <f aca="false">IF($AB120=1,$B$7-Cost_round*C120+O120-V120,"")</f>
        <v>0</v>
      </c>
      <c r="AD120" s="14" t="n">
        <f aca="false">IF($AB120=1,V120-Cost_round*D120+P120-W120,"")</f>
        <v>2.5</v>
      </c>
      <c r="AE120" s="14" t="n">
        <f aca="false">IF($AB120=1,W120-Cost_round*E120+Q120-X120,"")</f>
        <v>131.25</v>
      </c>
      <c r="AF120" s="14" t="n">
        <f aca="false">IF($AB120=1,X120-Cost_round*F120+R120-Y120,"")</f>
        <v>131.25</v>
      </c>
      <c r="AG120" s="14" t="n">
        <f aca="false">IF($AB120=1,Y120-Cost_round*G120+S120-Z120,"")</f>
        <v>11.25</v>
      </c>
      <c r="AI120" s="21" t="n">
        <f aca="false">IF($AB120=1,AC120*1+AD120*Bias_b*Beta_y^1+AE120*Bias_b*Beta_y^2+AF120*Bias_b*Beta_y^3+AG120*Bias_b*Beta_y^4+Bias_b*Beta_y^4*S120/Hurdle_r,"")</f>
        <v>1002.14363772966</v>
      </c>
    </row>
    <row r="121" customFormat="false" ht="15" hidden="false" customHeight="false" outlineLevel="0" collapsed="false">
      <c r="A121" s="2" t="n">
        <v>29</v>
      </c>
      <c r="B121" s="2" t="str">
        <f aca="false">""&amp;C121&amp;D121&amp;E121&amp;F121&amp;G121</f>
        <v>11101</v>
      </c>
      <c r="C121" s="15" t="n">
        <f aca="false">MOD(INT($A121/16),2)</f>
        <v>1</v>
      </c>
      <c r="D121" s="15" t="n">
        <f aca="false">MOD(INT($A121/8),2)</f>
        <v>1</v>
      </c>
      <c r="E121" s="15" t="n">
        <f aca="false">MOD(INT($A121/4),2)</f>
        <v>1</v>
      </c>
      <c r="F121" s="15" t="n">
        <f aca="false">MOD(INT($A121/2),2)</f>
        <v>0</v>
      </c>
      <c r="G121" s="15" t="n">
        <f aca="false">MOD(INT($A121/1),2)</f>
        <v>1</v>
      </c>
      <c r="I121" s="14" t="n">
        <f aca="false">$C$7+C121*(Half_gap*(Ceiling_e-$C$7))</f>
        <v>81.5</v>
      </c>
      <c r="J121" s="14" t="n">
        <f aca="false">I121+D121*(Half_gap*(Ceiling_e-I121))</f>
        <v>83.25</v>
      </c>
      <c r="K121" s="14" t="n">
        <f aca="false">J121+E121*(Half_gap*(Ceiling_e-J121))</f>
        <v>84.125</v>
      </c>
      <c r="L121" s="14" t="n">
        <f aca="false">K121+F121*(Half_gap*(Ceiling_e-K121))</f>
        <v>84.125</v>
      </c>
      <c r="M121" s="14" t="n">
        <f aca="false">L121+G121*(Half_gap*(Ceiling_e-L121))</f>
        <v>84.5625</v>
      </c>
      <c r="O121" s="14" t="n">
        <f aca="false">Val_pt*(I121-E_zero)</f>
        <v>105</v>
      </c>
      <c r="P121" s="14" t="n">
        <f aca="false">Val_pt*(J121-E_zero)</f>
        <v>122.5</v>
      </c>
      <c r="Q121" s="14" t="n">
        <f aca="false">Val_pt*(K121-E_zero)</f>
        <v>131.25</v>
      </c>
      <c r="R121" s="14" t="n">
        <f aca="false">Val_pt*(L121-E_zero)</f>
        <v>131.25</v>
      </c>
      <c r="S121" s="14" t="n">
        <f aca="false">Val_pt*(M121-E_zero)</f>
        <v>135.625</v>
      </c>
      <c r="U121" s="14" t="n">
        <f aca="false">MAX(V121+Cost_round*C121-O121,IF(C121=1,Pre_q,0))</f>
        <v>485</v>
      </c>
      <c r="V121" s="14" t="n">
        <f aca="false">MAX(W121+Cost_round*D121-P121,IF(D121=1,Pre_q,0),Floor_q)</f>
        <v>470</v>
      </c>
      <c r="W121" s="14" t="n">
        <f aca="false">MAX(X121+Cost_round*E121-Q121,IF(E121=1,Pre_q,0),Floor_q)</f>
        <v>470</v>
      </c>
      <c r="X121" s="14" t="n">
        <f aca="false">MAX(Y121+Cost_round*F121-R121,IF(F121=1,Pre_q,0),Floor_q)</f>
        <v>350</v>
      </c>
      <c r="Y121" s="14" t="n">
        <f aca="false">MAX(Z121+Cost_round*G121-S121,IF(G121=1,Pre_q,0),Floor_q)</f>
        <v>470</v>
      </c>
      <c r="Z121" s="14" t="n">
        <f aca="false">MAX(End_q,Floor_q)</f>
        <v>470</v>
      </c>
      <c r="AB121" s="15" t="n">
        <f aca="false">IF($B$7&gt;=U121-0.000000001,1,0)</f>
        <v>1</v>
      </c>
      <c r="AC121" s="14" t="n">
        <f aca="false">IF($AB121=1,$B$7-Cost_round*C121+O121-V121,"")</f>
        <v>0</v>
      </c>
      <c r="AD121" s="14" t="n">
        <f aca="false">IF($AB121=1,V121-Cost_round*D121+P121-W121,"")</f>
        <v>2.5</v>
      </c>
      <c r="AE121" s="14" t="n">
        <f aca="false">IF($AB121=1,W121-Cost_round*E121+Q121-X121,"")</f>
        <v>131.25</v>
      </c>
      <c r="AF121" s="14" t="n">
        <f aca="false">IF($AB121=1,X121-Cost_round*F121+R121-Y121,"")</f>
        <v>11.25</v>
      </c>
      <c r="AG121" s="14" t="n">
        <f aca="false">IF($AB121=1,Y121-Cost_round*G121+S121-Z121,"")</f>
        <v>15.625</v>
      </c>
      <c r="AI121" s="21" t="n">
        <f aca="false">IF($AB121=1,AC121*1+AD121*Bias_b*Beta_y^1+AE121*Bias_b*Beta_y^2+AF121*Bias_b*Beta_y^3+AG121*Bias_b*Beta_y^4+Bias_b*Beta_y^4*S121/Hurdle_r,"")</f>
        <v>950.584659517793</v>
      </c>
    </row>
    <row r="122" customFormat="false" ht="15" hidden="false" customHeight="false" outlineLevel="0" collapsed="false">
      <c r="A122" s="2" t="n">
        <v>30</v>
      </c>
      <c r="B122" s="2" t="str">
        <f aca="false">""&amp;C122&amp;D122&amp;E122&amp;F122&amp;G122</f>
        <v>11110</v>
      </c>
      <c r="C122" s="15" t="n">
        <f aca="false">MOD(INT($A122/16),2)</f>
        <v>1</v>
      </c>
      <c r="D122" s="15" t="n">
        <f aca="false">MOD(INT($A122/8),2)</f>
        <v>1</v>
      </c>
      <c r="E122" s="15" t="n">
        <f aca="false">MOD(INT($A122/4),2)</f>
        <v>1</v>
      </c>
      <c r="F122" s="15" t="n">
        <f aca="false">MOD(INT($A122/2),2)</f>
        <v>1</v>
      </c>
      <c r="G122" s="15" t="n">
        <f aca="false">MOD(INT($A122/1),2)</f>
        <v>0</v>
      </c>
      <c r="I122" s="14" t="n">
        <f aca="false">$C$7+C122*(Half_gap*(Ceiling_e-$C$7))</f>
        <v>81.5</v>
      </c>
      <c r="J122" s="14" t="n">
        <f aca="false">I122+D122*(Half_gap*(Ceiling_e-I122))</f>
        <v>83.25</v>
      </c>
      <c r="K122" s="14" t="n">
        <f aca="false">J122+E122*(Half_gap*(Ceiling_e-J122))</f>
        <v>84.125</v>
      </c>
      <c r="L122" s="14" t="n">
        <f aca="false">K122+F122*(Half_gap*(Ceiling_e-K122))</f>
        <v>84.5625</v>
      </c>
      <c r="M122" s="14" t="n">
        <f aca="false">L122+G122*(Half_gap*(Ceiling_e-L122))</f>
        <v>84.5625</v>
      </c>
      <c r="O122" s="14" t="n">
        <f aca="false">Val_pt*(I122-E_zero)</f>
        <v>105</v>
      </c>
      <c r="P122" s="14" t="n">
        <f aca="false">Val_pt*(J122-E_zero)</f>
        <v>122.5</v>
      </c>
      <c r="Q122" s="14" t="n">
        <f aca="false">Val_pt*(K122-E_zero)</f>
        <v>131.25</v>
      </c>
      <c r="R122" s="14" t="n">
        <f aca="false">Val_pt*(L122-E_zero)</f>
        <v>135.625</v>
      </c>
      <c r="S122" s="14" t="n">
        <f aca="false">Val_pt*(M122-E_zero)</f>
        <v>135.625</v>
      </c>
      <c r="U122" s="14" t="n">
        <f aca="false">MAX(V122+Cost_round*C122-O122,IF(C122=1,Pre_q,0))</f>
        <v>485</v>
      </c>
      <c r="V122" s="14" t="n">
        <f aca="false">MAX(W122+Cost_round*D122-P122,IF(D122=1,Pre_q,0),Floor_q)</f>
        <v>470</v>
      </c>
      <c r="W122" s="14" t="n">
        <f aca="false">MAX(X122+Cost_round*E122-Q122,IF(E122=1,Pre_q,0),Floor_q)</f>
        <v>470</v>
      </c>
      <c r="X122" s="14" t="n">
        <f aca="false">MAX(Y122+Cost_round*F122-R122,IF(F122=1,Pre_q,0),Floor_q)</f>
        <v>470</v>
      </c>
      <c r="Y122" s="14" t="n">
        <f aca="false">MAX(Z122+Cost_round*G122-S122,IF(G122=1,Pre_q,0),Floor_q)</f>
        <v>350</v>
      </c>
      <c r="Z122" s="14" t="n">
        <f aca="false">MAX(End_q,Floor_q)</f>
        <v>470</v>
      </c>
      <c r="AB122" s="15" t="n">
        <f aca="false">IF($B$7&gt;=U122-0.000000001,1,0)</f>
        <v>1</v>
      </c>
      <c r="AC122" s="14" t="n">
        <f aca="false">IF($AB122=1,$B$7-Cost_round*C122+O122-V122,"")</f>
        <v>0</v>
      </c>
      <c r="AD122" s="14" t="n">
        <f aca="false">IF($AB122=1,V122-Cost_round*D122+P122-W122,"")</f>
        <v>2.5</v>
      </c>
      <c r="AE122" s="14" t="n">
        <f aca="false">IF($AB122=1,W122-Cost_round*E122+Q122-X122,"")</f>
        <v>11.25</v>
      </c>
      <c r="AF122" s="14" t="n">
        <f aca="false">IF($AB122=1,X122-Cost_round*F122+R122-Y122,"")</f>
        <v>135.625</v>
      </c>
      <c r="AG122" s="14" t="n">
        <f aca="false">IF($AB122=1,Y122-Cost_round*G122+S122-Z122,"")</f>
        <v>15.625</v>
      </c>
      <c r="AI122" s="21" t="n">
        <f aca="false">IF($AB122=1,AC122*1+AD122*Bias_b*Beta_y^1+AE122*Bias_b*Beta_y^2+AF122*Bias_b*Beta_y^3+AG122*Bias_b*Beta_y^4+Bias_b*Beta_y^4*S122/Hurdle_r,"")</f>
        <v>945.428761696605</v>
      </c>
    </row>
    <row r="123" customFormat="false" ht="15" hidden="false" customHeight="false" outlineLevel="0" collapsed="false">
      <c r="A123" s="2" t="n">
        <v>31</v>
      </c>
      <c r="B123" s="2" t="str">
        <f aca="false">""&amp;C123&amp;D123&amp;E123&amp;F123&amp;G123</f>
        <v>11111</v>
      </c>
      <c r="C123" s="15" t="n">
        <f aca="false">MOD(INT($A123/16),2)</f>
        <v>1</v>
      </c>
      <c r="D123" s="15" t="n">
        <f aca="false">MOD(INT($A123/8),2)</f>
        <v>1</v>
      </c>
      <c r="E123" s="15" t="n">
        <f aca="false">MOD(INT($A123/4),2)</f>
        <v>1</v>
      </c>
      <c r="F123" s="15" t="n">
        <f aca="false">MOD(INT($A123/2),2)</f>
        <v>1</v>
      </c>
      <c r="G123" s="15" t="n">
        <f aca="false">MOD(INT($A123/1),2)</f>
        <v>1</v>
      </c>
      <c r="I123" s="14" t="n">
        <f aca="false">$C$7+C123*(Half_gap*(Ceiling_e-$C$7))</f>
        <v>81.5</v>
      </c>
      <c r="J123" s="14" t="n">
        <f aca="false">I123+D123*(Half_gap*(Ceiling_e-I123))</f>
        <v>83.25</v>
      </c>
      <c r="K123" s="14" t="n">
        <f aca="false">J123+E123*(Half_gap*(Ceiling_e-J123))</f>
        <v>84.125</v>
      </c>
      <c r="L123" s="14" t="n">
        <f aca="false">K123+F123*(Half_gap*(Ceiling_e-K123))</f>
        <v>84.5625</v>
      </c>
      <c r="M123" s="14" t="n">
        <f aca="false">L123+G123*(Half_gap*(Ceiling_e-L123))</f>
        <v>84.78125</v>
      </c>
      <c r="O123" s="14" t="n">
        <f aca="false">Val_pt*(I123-E_zero)</f>
        <v>105</v>
      </c>
      <c r="P123" s="14" t="n">
        <f aca="false">Val_pt*(J123-E_zero)</f>
        <v>122.5</v>
      </c>
      <c r="Q123" s="14" t="n">
        <f aca="false">Val_pt*(K123-E_zero)</f>
        <v>131.25</v>
      </c>
      <c r="R123" s="14" t="n">
        <f aca="false">Val_pt*(L123-E_zero)</f>
        <v>135.625</v>
      </c>
      <c r="S123" s="14" t="n">
        <f aca="false">Val_pt*(M123-E_zero)</f>
        <v>137.8125</v>
      </c>
      <c r="U123" s="14" t="n">
        <f aca="false">MAX(V123+Cost_round*C123-O123,IF(C123=1,Pre_q,0))</f>
        <v>485</v>
      </c>
      <c r="V123" s="14" t="n">
        <f aca="false">MAX(W123+Cost_round*D123-P123,IF(D123=1,Pre_q,0),Floor_q)</f>
        <v>470</v>
      </c>
      <c r="W123" s="14" t="n">
        <f aca="false">MAX(X123+Cost_round*E123-Q123,IF(E123=1,Pre_q,0),Floor_q)</f>
        <v>470</v>
      </c>
      <c r="X123" s="14" t="n">
        <f aca="false">MAX(Y123+Cost_round*F123-R123,IF(F123=1,Pre_q,0),Floor_q)</f>
        <v>470</v>
      </c>
      <c r="Y123" s="14" t="n">
        <f aca="false">MAX(Z123+Cost_round*G123-S123,IF(G123=1,Pre_q,0),Floor_q)</f>
        <v>470</v>
      </c>
      <c r="Z123" s="14" t="n">
        <f aca="false">MAX(End_q,Floor_q)</f>
        <v>470</v>
      </c>
      <c r="AB123" s="15" t="n">
        <f aca="false">IF($B$7&gt;=U123-0.000000001,1,0)</f>
        <v>1</v>
      </c>
      <c r="AC123" s="14" t="n">
        <f aca="false">IF($AB123=1,$B$7-Cost_round*C123+O123-V123,"")</f>
        <v>0</v>
      </c>
      <c r="AD123" s="14" t="n">
        <f aca="false">IF($AB123=1,V123-Cost_round*D123+P123-W123,"")</f>
        <v>2.5</v>
      </c>
      <c r="AE123" s="14" t="n">
        <f aca="false">IF($AB123=1,W123-Cost_round*E123+Q123-X123,"")</f>
        <v>11.25</v>
      </c>
      <c r="AF123" s="14" t="n">
        <f aca="false">IF($AB123=1,X123-Cost_round*F123+R123-Y123,"")</f>
        <v>15.625</v>
      </c>
      <c r="AG123" s="14" t="n">
        <f aca="false">IF($AB123=1,Y123-Cost_round*G123+S123-Z123,"")</f>
        <v>17.8125</v>
      </c>
      <c r="AI123" s="21" t="n">
        <f aca="false">IF($AB123=1,AC123*1+AD123*Bias_b*Beta_y^1+AE123*Bias_b*Beta_y^2+AF123*Bias_b*Beta_y^3+AG123*Bias_b*Beta_y^4+Bias_b*Beta_y^4*S123/Hurdle_r,"")</f>
        <v>879.078273341985</v>
      </c>
    </row>
    <row r="126" customFormat="false" ht="15" hidden="false" customHeight="false" outlineLevel="0" collapsed="false">
      <c r="A126" s="4" t="s">
        <v>305</v>
      </c>
    </row>
    <row r="127" customFormat="false" ht="46.25" hidden="false" customHeight="false" outlineLevel="0" collapsed="false">
      <c r="A127" s="8" t="s">
        <v>78</v>
      </c>
      <c r="B127" s="8" t="s">
        <v>80</v>
      </c>
      <c r="C127" s="8" t="s">
        <v>81</v>
      </c>
      <c r="D127" s="8" t="s">
        <v>82</v>
      </c>
      <c r="E127" s="8" t="s">
        <v>83</v>
      </c>
      <c r="F127" s="8" t="s">
        <v>84</v>
      </c>
      <c r="G127" s="8"/>
      <c r="H127" s="8"/>
      <c r="I127" s="8" t="s">
        <v>87</v>
      </c>
      <c r="J127" s="8" t="s">
        <v>88</v>
      </c>
      <c r="K127" s="8" t="s">
        <v>89</v>
      </c>
      <c r="L127" s="8" t="s">
        <v>90</v>
      </c>
      <c r="M127" s="8"/>
      <c r="N127" s="8"/>
      <c r="O127" s="8" t="s">
        <v>93</v>
      </c>
      <c r="P127" s="8" t="s">
        <v>94</v>
      </c>
      <c r="Q127" s="8" t="s">
        <v>95</v>
      </c>
      <c r="R127" s="8" t="s">
        <v>96</v>
      </c>
      <c r="S127" s="8"/>
      <c r="T127" s="8"/>
      <c r="U127" s="8" t="s">
        <v>99</v>
      </c>
      <c r="V127" s="8" t="s">
        <v>100</v>
      </c>
      <c r="W127" s="8" t="s">
        <v>101</v>
      </c>
      <c r="X127" s="8" t="s">
        <v>102</v>
      </c>
      <c r="Y127" s="8" t="s">
        <v>103</v>
      </c>
      <c r="Z127" s="8"/>
      <c r="AA127" s="8"/>
      <c r="AB127" s="8" t="s">
        <v>106</v>
      </c>
      <c r="AC127" s="8" t="s">
        <v>107</v>
      </c>
      <c r="AD127" s="8" t="s">
        <v>108</v>
      </c>
      <c r="AE127" s="8" t="s">
        <v>109</v>
      </c>
      <c r="AF127" s="8" t="s">
        <v>110</v>
      </c>
      <c r="AG127" s="8"/>
      <c r="AH127" s="8"/>
      <c r="AI127" s="8" t="s">
        <v>303</v>
      </c>
    </row>
    <row r="128" customFormat="false" ht="15" hidden="false" customHeight="false" outlineLevel="0" collapsed="false">
      <c r="A128" s="2" t="n">
        <v>0</v>
      </c>
      <c r="B128" s="2" t="str">
        <f aca="false">""&amp;C128&amp;D128&amp;E128&amp;F128</f>
        <v>0000</v>
      </c>
      <c r="C128" s="15" t="n">
        <f aca="false">MOD(INT($A128/8),2)</f>
        <v>0</v>
      </c>
      <c r="D128" s="15" t="n">
        <f aca="false">MOD(INT($A128/4),2)</f>
        <v>0</v>
      </c>
      <c r="E128" s="15" t="n">
        <f aca="false">MOD(INT($A128/2),2)</f>
        <v>0</v>
      </c>
      <c r="F128" s="15" t="n">
        <f aca="false">MOD(INT($A128/1),2)</f>
        <v>0</v>
      </c>
      <c r="I128" s="14" t="n">
        <f aca="false">$C$8+C128*(Half_gap*(Ceiling_e-$C$8))</f>
        <v>81.5</v>
      </c>
      <c r="J128" s="14" t="n">
        <f aca="false">I128+D128*(Half_gap*(Ceiling_e-I128))</f>
        <v>81.5</v>
      </c>
      <c r="K128" s="14" t="n">
        <f aca="false">J128+E128*(Half_gap*(Ceiling_e-J128))</f>
        <v>81.5</v>
      </c>
      <c r="L128" s="14" t="n">
        <f aca="false">K128+F128*(Half_gap*(Ceiling_e-K128))</f>
        <v>81.5</v>
      </c>
      <c r="O128" s="14" t="n">
        <f aca="false">Val_pt*(I128-E_zero)</f>
        <v>105</v>
      </c>
      <c r="P128" s="14" t="n">
        <f aca="false">Val_pt*(J128-E_zero)</f>
        <v>105</v>
      </c>
      <c r="Q128" s="14" t="n">
        <f aca="false">Val_pt*(K128-E_zero)</f>
        <v>105</v>
      </c>
      <c r="R128" s="14" t="n">
        <f aca="false">Val_pt*(L128-E_zero)</f>
        <v>105</v>
      </c>
      <c r="U128" s="14" t="n">
        <f aca="false">MAX(V128+Cost_round*C128-O128,IF(C128=1,Pre_q,0))</f>
        <v>245</v>
      </c>
      <c r="V128" s="14" t="n">
        <f aca="false">MAX(W128+Cost_round*D128-P128,IF(D128=1,Pre_q,0),Floor_q)</f>
        <v>350</v>
      </c>
      <c r="W128" s="14" t="n">
        <f aca="false">MAX(X128+Cost_round*E128-Q128,IF(E128=1,Pre_q,0),Floor_q)</f>
        <v>350</v>
      </c>
      <c r="X128" s="14" t="n">
        <f aca="false">MAX(Y128+Cost_round*F128-R128,IF(F128=1,Pre_q,0),Floor_q)</f>
        <v>365</v>
      </c>
      <c r="Y128" s="14" t="n">
        <f aca="false">MAX(End_q,Floor_q)</f>
        <v>470</v>
      </c>
      <c r="AB128" s="15" t="n">
        <f aca="false">IF($B$8&gt;=U128-0.000000001,1,0)</f>
        <v>1</v>
      </c>
      <c r="AC128" s="14" t="n">
        <f aca="false">IF($AB128=1,$B$8-Cost_round*C128+O128-V128,"")</f>
        <v>120</v>
      </c>
      <c r="AD128" s="14" t="n">
        <f aca="false">IF($AB128=1,V128-Cost_round*D128+P128-W128,"")</f>
        <v>105</v>
      </c>
      <c r="AE128" s="14" t="n">
        <f aca="false">IF($AB128=1,W128-Cost_round*E128+Q128-X128,"")</f>
        <v>90</v>
      </c>
      <c r="AF128" s="14" t="n">
        <f aca="false">IF($AB128=1,X128-Cost_round*F128+R128-Y128,"")</f>
        <v>0</v>
      </c>
      <c r="AI128" s="21" t="n">
        <f aca="false">IF($AB128=1,AC128*1+AD128*Bias_b*Beta_y^1+AE128*Bias_b*Beta_y^2+AF128*Bias_b*Beta_y^3+Bias_b*Beta_y^3*R128/Hurdle_r,"")</f>
        <v>982.843726521412</v>
      </c>
    </row>
    <row r="129" customFormat="false" ht="15" hidden="false" customHeight="false" outlineLevel="0" collapsed="false">
      <c r="A129" s="2" t="n">
        <v>1</v>
      </c>
      <c r="B129" s="2" t="str">
        <f aca="false">""&amp;C129&amp;D129&amp;E129&amp;F129</f>
        <v>0001</v>
      </c>
      <c r="C129" s="15" t="n">
        <f aca="false">MOD(INT($A129/8),2)</f>
        <v>0</v>
      </c>
      <c r="D129" s="15" t="n">
        <f aca="false">MOD(INT($A129/4),2)</f>
        <v>0</v>
      </c>
      <c r="E129" s="15" t="n">
        <f aca="false">MOD(INT($A129/2),2)</f>
        <v>0</v>
      </c>
      <c r="F129" s="15" t="n">
        <f aca="false">MOD(INT($A129/1),2)</f>
        <v>1</v>
      </c>
      <c r="I129" s="14" t="n">
        <f aca="false">$C$8+C129*(Half_gap*(Ceiling_e-$C$8))</f>
        <v>81.5</v>
      </c>
      <c r="J129" s="14" t="n">
        <f aca="false">I129+D129*(Half_gap*(Ceiling_e-I129))</f>
        <v>81.5</v>
      </c>
      <c r="K129" s="14" t="n">
        <f aca="false">J129+E129*(Half_gap*(Ceiling_e-J129))</f>
        <v>81.5</v>
      </c>
      <c r="L129" s="14" t="n">
        <f aca="false">K129+F129*(Half_gap*(Ceiling_e-K129))</f>
        <v>83.25</v>
      </c>
      <c r="O129" s="14" t="n">
        <f aca="false">Val_pt*(I129-E_zero)</f>
        <v>105</v>
      </c>
      <c r="P129" s="14" t="n">
        <f aca="false">Val_pt*(J129-E_zero)</f>
        <v>105</v>
      </c>
      <c r="Q129" s="14" t="n">
        <f aca="false">Val_pt*(K129-E_zero)</f>
        <v>105</v>
      </c>
      <c r="R129" s="14" t="n">
        <f aca="false">Val_pt*(L129-E_zero)</f>
        <v>122.5</v>
      </c>
      <c r="U129" s="14" t="n">
        <f aca="false">MAX(V129+Cost_round*C129-O129,IF(C129=1,Pre_q,0))</f>
        <v>245</v>
      </c>
      <c r="V129" s="14" t="n">
        <f aca="false">MAX(W129+Cost_round*D129-P129,IF(D129=1,Pre_q,0),Floor_q)</f>
        <v>350</v>
      </c>
      <c r="W129" s="14" t="n">
        <f aca="false">MAX(X129+Cost_round*E129-Q129,IF(E129=1,Pre_q,0),Floor_q)</f>
        <v>365</v>
      </c>
      <c r="X129" s="14" t="n">
        <f aca="false">MAX(Y129+Cost_round*F129-R129,IF(F129=1,Pre_q,0),Floor_q)</f>
        <v>470</v>
      </c>
      <c r="Y129" s="14" t="n">
        <f aca="false">MAX(End_q,Floor_q)</f>
        <v>470</v>
      </c>
      <c r="AB129" s="15" t="n">
        <f aca="false">IF($B$8&gt;=U129-0.000000001,1,0)</f>
        <v>1</v>
      </c>
      <c r="AC129" s="14" t="n">
        <f aca="false">IF($AB129=1,$B$8-Cost_round*C129+O129-V129,"")</f>
        <v>120</v>
      </c>
      <c r="AD129" s="14" t="n">
        <f aca="false">IF($AB129=1,V129-Cost_round*D129+P129-W129,"")</f>
        <v>90</v>
      </c>
      <c r="AE129" s="14" t="n">
        <f aca="false">IF($AB129=1,W129-Cost_round*E129+Q129-X129,"")</f>
        <v>0</v>
      </c>
      <c r="AF129" s="14" t="n">
        <f aca="false">IF($AB129=1,X129-Cost_round*F129+R129-Y129,"")</f>
        <v>2.5</v>
      </c>
      <c r="AI129" s="21" t="n">
        <f aca="false">IF($AB129=1,AC129*1+AD129*Bias_b*Beta_y^1+AE129*Bias_b*Beta_y^2+AF129*Bias_b*Beta_y^3+Bias_b*Beta_y^3*R129/Hurdle_r,"")</f>
        <v>1023.65138993238</v>
      </c>
    </row>
    <row r="130" customFormat="false" ht="15" hidden="false" customHeight="false" outlineLevel="0" collapsed="false">
      <c r="A130" s="2" t="n">
        <v>2</v>
      </c>
      <c r="B130" s="2" t="str">
        <f aca="false">""&amp;C130&amp;D130&amp;E130&amp;F130</f>
        <v>0010</v>
      </c>
      <c r="C130" s="15" t="n">
        <f aca="false">MOD(INT($A130/8),2)</f>
        <v>0</v>
      </c>
      <c r="D130" s="15" t="n">
        <f aca="false">MOD(INT($A130/4),2)</f>
        <v>0</v>
      </c>
      <c r="E130" s="15" t="n">
        <f aca="false">MOD(INT($A130/2),2)</f>
        <v>1</v>
      </c>
      <c r="F130" s="15" t="n">
        <f aca="false">MOD(INT($A130/1),2)</f>
        <v>0</v>
      </c>
      <c r="I130" s="14" t="n">
        <f aca="false">$C$8+C130*(Half_gap*(Ceiling_e-$C$8))</f>
        <v>81.5</v>
      </c>
      <c r="J130" s="14" t="n">
        <f aca="false">I130+D130*(Half_gap*(Ceiling_e-I130))</f>
        <v>81.5</v>
      </c>
      <c r="K130" s="14" t="n">
        <f aca="false">J130+E130*(Half_gap*(Ceiling_e-J130))</f>
        <v>83.25</v>
      </c>
      <c r="L130" s="14" t="n">
        <f aca="false">K130+F130*(Half_gap*(Ceiling_e-K130))</f>
        <v>83.25</v>
      </c>
      <c r="O130" s="14" t="n">
        <f aca="false">Val_pt*(I130-E_zero)</f>
        <v>105</v>
      </c>
      <c r="P130" s="14" t="n">
        <f aca="false">Val_pt*(J130-E_zero)</f>
        <v>105</v>
      </c>
      <c r="Q130" s="14" t="n">
        <f aca="false">Val_pt*(K130-E_zero)</f>
        <v>122.5</v>
      </c>
      <c r="R130" s="14" t="n">
        <f aca="false">Val_pt*(L130-E_zero)</f>
        <v>122.5</v>
      </c>
      <c r="U130" s="14" t="n">
        <f aca="false">MAX(V130+Cost_round*C130-O130,IF(C130=1,Pre_q,0))</f>
        <v>260</v>
      </c>
      <c r="V130" s="14" t="n">
        <f aca="false">MAX(W130+Cost_round*D130-P130,IF(D130=1,Pre_q,0),Floor_q)</f>
        <v>365</v>
      </c>
      <c r="W130" s="14" t="n">
        <f aca="false">MAX(X130+Cost_round*E130-Q130,IF(E130=1,Pre_q,0),Floor_q)</f>
        <v>470</v>
      </c>
      <c r="X130" s="14" t="n">
        <f aca="false">MAX(Y130+Cost_round*F130-R130,IF(F130=1,Pre_q,0),Floor_q)</f>
        <v>350</v>
      </c>
      <c r="Y130" s="14" t="n">
        <f aca="false">MAX(End_q,Floor_q)</f>
        <v>470</v>
      </c>
      <c r="AB130" s="15" t="n">
        <f aca="false">IF($B$8&gt;=U130-0.000000001,1,0)</f>
        <v>1</v>
      </c>
      <c r="AC130" s="14" t="n">
        <f aca="false">IF($AB130=1,$B$8-Cost_round*C130+O130-V130,"")</f>
        <v>105</v>
      </c>
      <c r="AD130" s="14" t="n">
        <f aca="false">IF($AB130=1,V130-Cost_round*D130+P130-W130,"")</f>
        <v>0</v>
      </c>
      <c r="AE130" s="14" t="n">
        <f aca="false">IF($AB130=1,W130-Cost_round*E130+Q130-X130,"")</f>
        <v>122.5</v>
      </c>
      <c r="AF130" s="14" t="n">
        <f aca="false">IF($AB130=1,X130-Cost_round*F130+R130-Y130,"")</f>
        <v>2.5</v>
      </c>
      <c r="AI130" s="21" t="n">
        <f aca="false">IF($AB130=1,AC130*1+AD130*Bias_b*Beta_y^1+AE130*Bias_b*Beta_y^2+AF130*Bias_b*Beta_y^3+Bias_b*Beta_y^3*R130/Hurdle_r,"")</f>
        <v>1026.13072877536</v>
      </c>
    </row>
    <row r="131" customFormat="false" ht="15" hidden="false" customHeight="false" outlineLevel="0" collapsed="false">
      <c r="A131" s="2" t="n">
        <v>3</v>
      </c>
      <c r="B131" s="2" t="str">
        <f aca="false">""&amp;C131&amp;D131&amp;E131&amp;F131</f>
        <v>0011</v>
      </c>
      <c r="C131" s="15" t="n">
        <f aca="false">MOD(INT($A131/8),2)</f>
        <v>0</v>
      </c>
      <c r="D131" s="15" t="n">
        <f aca="false">MOD(INT($A131/4),2)</f>
        <v>0</v>
      </c>
      <c r="E131" s="15" t="n">
        <f aca="false">MOD(INT($A131/2),2)</f>
        <v>1</v>
      </c>
      <c r="F131" s="15" t="n">
        <f aca="false">MOD(INT($A131/1),2)</f>
        <v>1</v>
      </c>
      <c r="I131" s="14" t="n">
        <f aca="false">$C$8+C131*(Half_gap*(Ceiling_e-$C$8))</f>
        <v>81.5</v>
      </c>
      <c r="J131" s="14" t="n">
        <f aca="false">I131+D131*(Half_gap*(Ceiling_e-I131))</f>
        <v>81.5</v>
      </c>
      <c r="K131" s="14" t="n">
        <f aca="false">J131+E131*(Half_gap*(Ceiling_e-J131))</f>
        <v>83.25</v>
      </c>
      <c r="L131" s="14" t="n">
        <f aca="false">K131+F131*(Half_gap*(Ceiling_e-K131))</f>
        <v>84.125</v>
      </c>
      <c r="O131" s="14" t="n">
        <f aca="false">Val_pt*(I131-E_zero)</f>
        <v>105</v>
      </c>
      <c r="P131" s="14" t="n">
        <f aca="false">Val_pt*(J131-E_zero)</f>
        <v>105</v>
      </c>
      <c r="Q131" s="14" t="n">
        <f aca="false">Val_pt*(K131-E_zero)</f>
        <v>122.5</v>
      </c>
      <c r="R131" s="14" t="n">
        <f aca="false">Val_pt*(L131-E_zero)</f>
        <v>131.25</v>
      </c>
      <c r="U131" s="14" t="n">
        <f aca="false">MAX(V131+Cost_round*C131-O131,IF(C131=1,Pre_q,0))</f>
        <v>260</v>
      </c>
      <c r="V131" s="14" t="n">
        <f aca="false">MAX(W131+Cost_round*D131-P131,IF(D131=1,Pre_q,0),Floor_q)</f>
        <v>365</v>
      </c>
      <c r="W131" s="14" t="n">
        <f aca="false">MAX(X131+Cost_round*E131-Q131,IF(E131=1,Pre_q,0),Floor_q)</f>
        <v>470</v>
      </c>
      <c r="X131" s="14" t="n">
        <f aca="false">MAX(Y131+Cost_round*F131-R131,IF(F131=1,Pre_q,0),Floor_q)</f>
        <v>470</v>
      </c>
      <c r="Y131" s="14" t="n">
        <f aca="false">MAX(End_q,Floor_q)</f>
        <v>470</v>
      </c>
      <c r="AB131" s="15" t="n">
        <f aca="false">IF($B$8&gt;=U131-0.000000001,1,0)</f>
        <v>1</v>
      </c>
      <c r="AC131" s="14" t="n">
        <f aca="false">IF($AB131=1,$B$8-Cost_round*C131+O131-V131,"")</f>
        <v>105</v>
      </c>
      <c r="AD131" s="14" t="n">
        <f aca="false">IF($AB131=1,V131-Cost_round*D131+P131-W131,"")</f>
        <v>0</v>
      </c>
      <c r="AE131" s="14" t="n">
        <f aca="false">IF($AB131=1,W131-Cost_round*E131+Q131-X131,"")</f>
        <v>2.5</v>
      </c>
      <c r="AF131" s="14" t="n">
        <f aca="false">IF($AB131=1,X131-Cost_round*F131+R131-Y131,"")</f>
        <v>11.25</v>
      </c>
      <c r="AI131" s="21" t="n">
        <f aca="false">IF($AB131=1,AC131*1+AD131*Bias_b*Beta_y^1+AE131*Bias_b*Beta_y^2+AF131*Bias_b*Beta_y^3+Bias_b*Beta_y^3*R131/Hurdle_r,"")</f>
        <v>1001.95717505635</v>
      </c>
    </row>
    <row r="132" customFormat="false" ht="15" hidden="false" customHeight="false" outlineLevel="0" collapsed="false">
      <c r="A132" s="2" t="n">
        <v>4</v>
      </c>
      <c r="B132" s="2" t="str">
        <f aca="false">""&amp;C132&amp;D132&amp;E132&amp;F132</f>
        <v>0100</v>
      </c>
      <c r="C132" s="15" t="n">
        <f aca="false">MOD(INT($A132/8),2)</f>
        <v>0</v>
      </c>
      <c r="D132" s="15" t="n">
        <f aca="false">MOD(INT($A132/4),2)</f>
        <v>1</v>
      </c>
      <c r="E132" s="15" t="n">
        <f aca="false">MOD(INT($A132/2),2)</f>
        <v>0</v>
      </c>
      <c r="F132" s="15" t="n">
        <f aca="false">MOD(INT($A132/1),2)</f>
        <v>0</v>
      </c>
      <c r="I132" s="14" t="n">
        <f aca="false">$C$8+C132*(Half_gap*(Ceiling_e-$C$8))</f>
        <v>81.5</v>
      </c>
      <c r="J132" s="14" t="n">
        <f aca="false">I132+D132*(Half_gap*(Ceiling_e-I132))</f>
        <v>83.25</v>
      </c>
      <c r="K132" s="14" t="n">
        <f aca="false">J132+E132*(Half_gap*(Ceiling_e-J132))</f>
        <v>83.25</v>
      </c>
      <c r="L132" s="14" t="n">
        <f aca="false">K132+F132*(Half_gap*(Ceiling_e-K132))</f>
        <v>83.25</v>
      </c>
      <c r="O132" s="14" t="n">
        <f aca="false">Val_pt*(I132-E_zero)</f>
        <v>105</v>
      </c>
      <c r="P132" s="14" t="n">
        <f aca="false">Val_pt*(J132-E_zero)</f>
        <v>122.5</v>
      </c>
      <c r="Q132" s="14" t="n">
        <f aca="false">Val_pt*(K132-E_zero)</f>
        <v>122.5</v>
      </c>
      <c r="R132" s="14" t="n">
        <f aca="false">Val_pt*(L132-E_zero)</f>
        <v>122.5</v>
      </c>
      <c r="U132" s="14" t="n">
        <f aca="false">MAX(V132+Cost_round*C132-O132,IF(C132=1,Pre_q,0))</f>
        <v>365</v>
      </c>
      <c r="V132" s="14" t="n">
        <f aca="false">MAX(W132+Cost_round*D132-P132,IF(D132=1,Pre_q,0),Floor_q)</f>
        <v>470</v>
      </c>
      <c r="W132" s="14" t="n">
        <f aca="false">MAX(X132+Cost_round*E132-Q132,IF(E132=1,Pre_q,0),Floor_q)</f>
        <v>350</v>
      </c>
      <c r="X132" s="14" t="n">
        <f aca="false">MAX(Y132+Cost_round*F132-R132,IF(F132=1,Pre_q,0),Floor_q)</f>
        <v>350</v>
      </c>
      <c r="Y132" s="14" t="n">
        <f aca="false">MAX(End_q,Floor_q)</f>
        <v>470</v>
      </c>
      <c r="AB132" s="15" t="n">
        <f aca="false">IF($B$8&gt;=U132-0.000000001,1,0)</f>
        <v>1</v>
      </c>
      <c r="AC132" s="14" t="n">
        <f aca="false">IF($AB132=1,$B$8-Cost_round*C132+O132-V132,"")</f>
        <v>0</v>
      </c>
      <c r="AD132" s="14" t="n">
        <f aca="false">IF($AB132=1,V132-Cost_round*D132+P132-W132,"")</f>
        <v>122.5</v>
      </c>
      <c r="AE132" s="14" t="n">
        <f aca="false">IF($AB132=1,W132-Cost_round*E132+Q132-X132,"")</f>
        <v>122.5</v>
      </c>
      <c r="AF132" s="14" t="n">
        <f aca="false">IF($AB132=1,X132-Cost_round*F132+R132-Y132,"")</f>
        <v>2.5</v>
      </c>
      <c r="AI132" s="21" t="n">
        <f aca="false">IF($AB132=1,AC132*1+AD132*Bias_b*Beta_y^1+AE132*Bias_b*Beta_y^2+AF132*Bias_b*Beta_y^3+Bias_b*Beta_y^3*R132/Hurdle_r,"")</f>
        <v>1021.35800150263</v>
      </c>
    </row>
    <row r="133" customFormat="false" ht="15" hidden="false" customHeight="false" outlineLevel="0" collapsed="false">
      <c r="A133" s="2" t="n">
        <v>5</v>
      </c>
      <c r="B133" s="2" t="str">
        <f aca="false">""&amp;C133&amp;D133&amp;E133&amp;F133</f>
        <v>0101</v>
      </c>
      <c r="C133" s="15" t="n">
        <f aca="false">MOD(INT($A133/8),2)</f>
        <v>0</v>
      </c>
      <c r="D133" s="15" t="n">
        <f aca="false">MOD(INT($A133/4),2)</f>
        <v>1</v>
      </c>
      <c r="E133" s="15" t="n">
        <f aca="false">MOD(INT($A133/2),2)</f>
        <v>0</v>
      </c>
      <c r="F133" s="15" t="n">
        <f aca="false">MOD(INT($A133/1),2)</f>
        <v>1</v>
      </c>
      <c r="I133" s="14" t="n">
        <f aca="false">$C$8+C133*(Half_gap*(Ceiling_e-$C$8))</f>
        <v>81.5</v>
      </c>
      <c r="J133" s="14" t="n">
        <f aca="false">I133+D133*(Half_gap*(Ceiling_e-I133))</f>
        <v>83.25</v>
      </c>
      <c r="K133" s="14" t="n">
        <f aca="false">J133+E133*(Half_gap*(Ceiling_e-J133))</f>
        <v>83.25</v>
      </c>
      <c r="L133" s="14" t="n">
        <f aca="false">K133+F133*(Half_gap*(Ceiling_e-K133))</f>
        <v>84.125</v>
      </c>
      <c r="O133" s="14" t="n">
        <f aca="false">Val_pt*(I133-E_zero)</f>
        <v>105</v>
      </c>
      <c r="P133" s="14" t="n">
        <f aca="false">Val_pt*(J133-E_zero)</f>
        <v>122.5</v>
      </c>
      <c r="Q133" s="14" t="n">
        <f aca="false">Val_pt*(K133-E_zero)</f>
        <v>122.5</v>
      </c>
      <c r="R133" s="14" t="n">
        <f aca="false">Val_pt*(L133-E_zero)</f>
        <v>131.25</v>
      </c>
      <c r="U133" s="14" t="n">
        <f aca="false">MAX(V133+Cost_round*C133-O133,IF(C133=1,Pre_q,0))</f>
        <v>365</v>
      </c>
      <c r="V133" s="14" t="n">
        <f aca="false">MAX(W133+Cost_round*D133-P133,IF(D133=1,Pre_q,0),Floor_q)</f>
        <v>470</v>
      </c>
      <c r="W133" s="14" t="n">
        <f aca="false">MAX(X133+Cost_round*E133-Q133,IF(E133=1,Pre_q,0),Floor_q)</f>
        <v>350</v>
      </c>
      <c r="X133" s="14" t="n">
        <f aca="false">MAX(Y133+Cost_round*F133-R133,IF(F133=1,Pre_q,0),Floor_q)</f>
        <v>470</v>
      </c>
      <c r="Y133" s="14" t="n">
        <f aca="false">MAX(End_q,Floor_q)</f>
        <v>470</v>
      </c>
      <c r="AB133" s="15" t="n">
        <f aca="false">IF($B$8&gt;=U133-0.000000001,1,0)</f>
        <v>1</v>
      </c>
      <c r="AC133" s="14" t="n">
        <f aca="false">IF($AB133=1,$B$8-Cost_round*C133+O133-V133,"")</f>
        <v>0</v>
      </c>
      <c r="AD133" s="14" t="n">
        <f aca="false">IF($AB133=1,V133-Cost_round*D133+P133-W133,"")</f>
        <v>122.5</v>
      </c>
      <c r="AE133" s="14" t="n">
        <f aca="false">IF($AB133=1,W133-Cost_round*E133+Q133-X133,"")</f>
        <v>2.5</v>
      </c>
      <c r="AF133" s="14" t="n">
        <f aca="false">IF($AB133=1,X133-Cost_round*F133+R133-Y133,"")</f>
        <v>11.25</v>
      </c>
      <c r="AI133" s="21" t="n">
        <f aca="false">IF($AB133=1,AC133*1+AD133*Bias_b*Beta_y^1+AE133*Bias_b*Beta_y^2+AF133*Bias_b*Beta_y^3+Bias_b*Beta_y^3*R133/Hurdle_r,"")</f>
        <v>997.184447783621</v>
      </c>
    </row>
    <row r="134" customFormat="false" ht="15" hidden="false" customHeight="false" outlineLevel="0" collapsed="false">
      <c r="A134" s="2" t="n">
        <v>6</v>
      </c>
      <c r="B134" s="2" t="str">
        <f aca="false">""&amp;C134&amp;D134&amp;E134&amp;F134</f>
        <v>0110</v>
      </c>
      <c r="C134" s="15" t="n">
        <f aca="false">MOD(INT($A134/8),2)</f>
        <v>0</v>
      </c>
      <c r="D134" s="15" t="n">
        <f aca="false">MOD(INT($A134/4),2)</f>
        <v>1</v>
      </c>
      <c r="E134" s="15" t="n">
        <f aca="false">MOD(INT($A134/2),2)</f>
        <v>1</v>
      </c>
      <c r="F134" s="15" t="n">
        <f aca="false">MOD(INT($A134/1),2)</f>
        <v>0</v>
      </c>
      <c r="I134" s="14" t="n">
        <f aca="false">$C$8+C134*(Half_gap*(Ceiling_e-$C$8))</f>
        <v>81.5</v>
      </c>
      <c r="J134" s="14" t="n">
        <f aca="false">I134+D134*(Half_gap*(Ceiling_e-I134))</f>
        <v>83.25</v>
      </c>
      <c r="K134" s="14" t="n">
        <f aca="false">J134+E134*(Half_gap*(Ceiling_e-J134))</f>
        <v>84.125</v>
      </c>
      <c r="L134" s="14" t="n">
        <f aca="false">K134+F134*(Half_gap*(Ceiling_e-K134))</f>
        <v>84.125</v>
      </c>
      <c r="O134" s="14" t="n">
        <f aca="false">Val_pt*(I134-E_zero)</f>
        <v>105</v>
      </c>
      <c r="P134" s="14" t="n">
        <f aca="false">Val_pt*(J134-E_zero)</f>
        <v>122.5</v>
      </c>
      <c r="Q134" s="14" t="n">
        <f aca="false">Val_pt*(K134-E_zero)</f>
        <v>131.25</v>
      </c>
      <c r="R134" s="14" t="n">
        <f aca="false">Val_pt*(L134-E_zero)</f>
        <v>131.25</v>
      </c>
      <c r="U134" s="14" t="n">
        <f aca="false">MAX(V134+Cost_round*C134-O134,IF(C134=1,Pre_q,0))</f>
        <v>365</v>
      </c>
      <c r="V134" s="14" t="n">
        <f aca="false">MAX(W134+Cost_round*D134-P134,IF(D134=1,Pre_q,0),Floor_q)</f>
        <v>470</v>
      </c>
      <c r="W134" s="14" t="n">
        <f aca="false">MAX(X134+Cost_round*E134-Q134,IF(E134=1,Pre_q,0),Floor_q)</f>
        <v>470</v>
      </c>
      <c r="X134" s="14" t="n">
        <f aca="false">MAX(Y134+Cost_round*F134-R134,IF(F134=1,Pre_q,0),Floor_q)</f>
        <v>350</v>
      </c>
      <c r="Y134" s="14" t="n">
        <f aca="false">MAX(End_q,Floor_q)</f>
        <v>470</v>
      </c>
      <c r="AB134" s="15" t="n">
        <f aca="false">IF($B$8&gt;=U134-0.000000001,1,0)</f>
        <v>1</v>
      </c>
      <c r="AC134" s="14" t="n">
        <f aca="false">IF($AB134=1,$B$8-Cost_round*C134+O134-V134,"")</f>
        <v>0</v>
      </c>
      <c r="AD134" s="14" t="n">
        <f aca="false">IF($AB134=1,V134-Cost_round*D134+P134-W134,"")</f>
        <v>2.5</v>
      </c>
      <c r="AE134" s="14" t="n">
        <f aca="false">IF($AB134=1,W134-Cost_round*E134+Q134-X134,"")</f>
        <v>131.25</v>
      </c>
      <c r="AF134" s="14" t="n">
        <f aca="false">IF($AB134=1,X134-Cost_round*F134+R134-Y134,"")</f>
        <v>11.25</v>
      </c>
      <c r="AI134" s="21" t="n">
        <f aca="false">IF($AB134=1,AC134*1+AD134*Bias_b*Beta_y^1+AE134*Bias_b*Beta_y^2+AF134*Bias_b*Beta_y^3+Bias_b*Beta_y^3*R134/Hurdle_r,"")</f>
        <v>994.76709241172</v>
      </c>
    </row>
    <row r="135" customFormat="false" ht="15" hidden="false" customHeight="false" outlineLevel="0" collapsed="false">
      <c r="A135" s="2" t="n">
        <v>7</v>
      </c>
      <c r="B135" s="2" t="str">
        <f aca="false">""&amp;C135&amp;D135&amp;E135&amp;F135</f>
        <v>0111</v>
      </c>
      <c r="C135" s="15" t="n">
        <f aca="false">MOD(INT($A135/8),2)</f>
        <v>0</v>
      </c>
      <c r="D135" s="15" t="n">
        <f aca="false">MOD(INT($A135/4),2)</f>
        <v>1</v>
      </c>
      <c r="E135" s="15" t="n">
        <f aca="false">MOD(INT($A135/2),2)</f>
        <v>1</v>
      </c>
      <c r="F135" s="15" t="n">
        <f aca="false">MOD(INT($A135/1),2)</f>
        <v>1</v>
      </c>
      <c r="I135" s="14" t="n">
        <f aca="false">$C$8+C135*(Half_gap*(Ceiling_e-$C$8))</f>
        <v>81.5</v>
      </c>
      <c r="J135" s="14" t="n">
        <f aca="false">I135+D135*(Half_gap*(Ceiling_e-I135))</f>
        <v>83.25</v>
      </c>
      <c r="K135" s="14" t="n">
        <f aca="false">J135+E135*(Half_gap*(Ceiling_e-J135))</f>
        <v>84.125</v>
      </c>
      <c r="L135" s="14" t="n">
        <f aca="false">K135+F135*(Half_gap*(Ceiling_e-K135))</f>
        <v>84.5625</v>
      </c>
      <c r="O135" s="14" t="n">
        <f aca="false">Val_pt*(I135-E_zero)</f>
        <v>105</v>
      </c>
      <c r="P135" s="14" t="n">
        <f aca="false">Val_pt*(J135-E_zero)</f>
        <v>122.5</v>
      </c>
      <c r="Q135" s="14" t="n">
        <f aca="false">Val_pt*(K135-E_zero)</f>
        <v>131.25</v>
      </c>
      <c r="R135" s="14" t="n">
        <f aca="false">Val_pt*(L135-E_zero)</f>
        <v>135.625</v>
      </c>
      <c r="U135" s="14" t="n">
        <f aca="false">MAX(V135+Cost_round*C135-O135,IF(C135=1,Pre_q,0))</f>
        <v>365</v>
      </c>
      <c r="V135" s="14" t="n">
        <f aca="false">MAX(W135+Cost_round*D135-P135,IF(D135=1,Pre_q,0),Floor_q)</f>
        <v>470</v>
      </c>
      <c r="W135" s="14" t="n">
        <f aca="false">MAX(X135+Cost_round*E135-Q135,IF(E135=1,Pre_q,0),Floor_q)</f>
        <v>470</v>
      </c>
      <c r="X135" s="14" t="n">
        <f aca="false">MAX(Y135+Cost_round*F135-R135,IF(F135=1,Pre_q,0),Floor_q)</f>
        <v>470</v>
      </c>
      <c r="Y135" s="14" t="n">
        <f aca="false">MAX(End_q,Floor_q)</f>
        <v>470</v>
      </c>
      <c r="AB135" s="15" t="n">
        <f aca="false">IF($B$8&gt;=U135-0.000000001,1,0)</f>
        <v>1</v>
      </c>
      <c r="AC135" s="14" t="n">
        <f aca="false">IF($AB135=1,$B$8-Cost_round*C135+O135-V135,"")</f>
        <v>0</v>
      </c>
      <c r="AD135" s="14" t="n">
        <f aca="false">IF($AB135=1,V135-Cost_round*D135+P135-W135,"")</f>
        <v>2.5</v>
      </c>
      <c r="AE135" s="14" t="n">
        <f aca="false">IF($AB135=1,W135-Cost_round*E135+Q135-X135,"")</f>
        <v>11.25</v>
      </c>
      <c r="AF135" s="14" t="n">
        <f aca="false">IF($AB135=1,X135-Cost_round*F135+R135-Y135,"")</f>
        <v>15.625</v>
      </c>
      <c r="AI135" s="21" t="n">
        <f aca="false">IF($AB135=1,AC135*1+AD135*Bias_b*Beta_y^1+AE135*Bias_b*Beta_y^2+AF135*Bias_b*Beta_y^3+Bias_b*Beta_y^3*R135/Hurdle_r,"")</f>
        <v>938.052216378663</v>
      </c>
    </row>
    <row r="136" customFormat="false" ht="15" hidden="false" customHeight="false" outlineLevel="0" collapsed="false">
      <c r="A136" s="2" t="n">
        <v>8</v>
      </c>
      <c r="B136" s="2" t="str">
        <f aca="false">""&amp;C136&amp;D136&amp;E136&amp;F136</f>
        <v>1000</v>
      </c>
      <c r="C136" s="15" t="n">
        <f aca="false">MOD(INT($A136/8),2)</f>
        <v>1</v>
      </c>
      <c r="D136" s="15" t="n">
        <f aca="false">MOD(INT($A136/4),2)</f>
        <v>0</v>
      </c>
      <c r="E136" s="15" t="n">
        <f aca="false">MOD(INT($A136/2),2)</f>
        <v>0</v>
      </c>
      <c r="F136" s="15" t="n">
        <f aca="false">MOD(INT($A136/1),2)</f>
        <v>0</v>
      </c>
      <c r="I136" s="14" t="n">
        <f aca="false">$C$8+C136*(Half_gap*(Ceiling_e-$C$8))</f>
        <v>83.25</v>
      </c>
      <c r="J136" s="14" t="n">
        <f aca="false">I136+D136*(Half_gap*(Ceiling_e-I136))</f>
        <v>83.25</v>
      </c>
      <c r="K136" s="14" t="n">
        <f aca="false">J136+E136*(Half_gap*(Ceiling_e-J136))</f>
        <v>83.25</v>
      </c>
      <c r="L136" s="14" t="n">
        <f aca="false">K136+F136*(Half_gap*(Ceiling_e-K136))</f>
        <v>83.25</v>
      </c>
      <c r="O136" s="14" t="n">
        <f aca="false">Val_pt*(I136-E_zero)</f>
        <v>122.5</v>
      </c>
      <c r="P136" s="14" t="n">
        <f aca="false">Val_pt*(J136-E_zero)</f>
        <v>122.5</v>
      </c>
      <c r="Q136" s="14" t="n">
        <f aca="false">Val_pt*(K136-E_zero)</f>
        <v>122.5</v>
      </c>
      <c r="R136" s="14" t="n">
        <f aca="false">Val_pt*(L136-E_zero)</f>
        <v>122.5</v>
      </c>
      <c r="U136" s="14" t="n">
        <f aca="false">MAX(V136+Cost_round*C136-O136,IF(C136=1,Pre_q,0))</f>
        <v>470</v>
      </c>
      <c r="V136" s="14" t="n">
        <f aca="false">MAX(W136+Cost_round*D136-P136,IF(D136=1,Pre_q,0),Floor_q)</f>
        <v>350</v>
      </c>
      <c r="W136" s="14" t="n">
        <f aca="false">MAX(X136+Cost_round*E136-Q136,IF(E136=1,Pre_q,0),Floor_q)</f>
        <v>350</v>
      </c>
      <c r="X136" s="14" t="n">
        <f aca="false">MAX(Y136+Cost_round*F136-R136,IF(F136=1,Pre_q,0),Floor_q)</f>
        <v>350</v>
      </c>
      <c r="Y136" s="14" t="n">
        <f aca="false">MAX(End_q,Floor_q)</f>
        <v>470</v>
      </c>
      <c r="AB136" s="15" t="n">
        <f aca="false">IF($B$8&gt;=U136-0.000000001,1,0)</f>
        <v>0</v>
      </c>
      <c r="AC136" s="14" t="str">
        <f aca="false">IF($AB136=1,$B$8-Cost_round*C136+O136-V136,"")</f>
        <v/>
      </c>
      <c r="AD136" s="14" t="str">
        <f aca="false">IF($AB136=1,V136-Cost_round*D136+P136-W136,"")</f>
        <v/>
      </c>
      <c r="AE136" s="14" t="str">
        <f aca="false">IF($AB136=1,W136-Cost_round*E136+Q136-X136,"")</f>
        <v/>
      </c>
      <c r="AF136" s="14" t="str">
        <f aca="false">IF($AB136=1,X136-Cost_round*F136+R136-Y136,"")</f>
        <v/>
      </c>
      <c r="AI136" s="21" t="str">
        <f aca="false">IF($AB136=1,AC136*1+AD136*Bias_b*Beta_y^1+AE136*Bias_b*Beta_y^2+AF136*Bias_b*Beta_y^3+Bias_b*Beta_y^3*R136/Hurdle_r,"")</f>
        <v/>
      </c>
    </row>
    <row r="137" customFormat="false" ht="15" hidden="false" customHeight="false" outlineLevel="0" collapsed="false">
      <c r="A137" s="2" t="n">
        <v>9</v>
      </c>
      <c r="B137" s="2" t="str">
        <f aca="false">""&amp;C137&amp;D137&amp;E137&amp;F137</f>
        <v>1001</v>
      </c>
      <c r="C137" s="15" t="n">
        <f aca="false">MOD(INT($A137/8),2)</f>
        <v>1</v>
      </c>
      <c r="D137" s="15" t="n">
        <f aca="false">MOD(INT($A137/4),2)</f>
        <v>0</v>
      </c>
      <c r="E137" s="15" t="n">
        <f aca="false">MOD(INT($A137/2),2)</f>
        <v>0</v>
      </c>
      <c r="F137" s="15" t="n">
        <f aca="false">MOD(INT($A137/1),2)</f>
        <v>1</v>
      </c>
      <c r="I137" s="14" t="n">
        <f aca="false">$C$8+C137*(Half_gap*(Ceiling_e-$C$8))</f>
        <v>83.25</v>
      </c>
      <c r="J137" s="14" t="n">
        <f aca="false">I137+D137*(Half_gap*(Ceiling_e-I137))</f>
        <v>83.25</v>
      </c>
      <c r="K137" s="14" t="n">
        <f aca="false">J137+E137*(Half_gap*(Ceiling_e-J137))</f>
        <v>83.25</v>
      </c>
      <c r="L137" s="14" t="n">
        <f aca="false">K137+F137*(Half_gap*(Ceiling_e-K137))</f>
        <v>84.125</v>
      </c>
      <c r="O137" s="14" t="n">
        <f aca="false">Val_pt*(I137-E_zero)</f>
        <v>122.5</v>
      </c>
      <c r="P137" s="14" t="n">
        <f aca="false">Val_pt*(J137-E_zero)</f>
        <v>122.5</v>
      </c>
      <c r="Q137" s="14" t="n">
        <f aca="false">Val_pt*(K137-E_zero)</f>
        <v>122.5</v>
      </c>
      <c r="R137" s="14" t="n">
        <f aca="false">Val_pt*(L137-E_zero)</f>
        <v>131.25</v>
      </c>
      <c r="U137" s="14" t="n">
        <f aca="false">MAX(V137+Cost_round*C137-O137,IF(C137=1,Pre_q,0))</f>
        <v>470</v>
      </c>
      <c r="V137" s="14" t="n">
        <f aca="false">MAX(W137+Cost_round*D137-P137,IF(D137=1,Pre_q,0),Floor_q)</f>
        <v>350</v>
      </c>
      <c r="W137" s="14" t="n">
        <f aca="false">MAX(X137+Cost_round*E137-Q137,IF(E137=1,Pre_q,0),Floor_q)</f>
        <v>350</v>
      </c>
      <c r="X137" s="14" t="n">
        <f aca="false">MAX(Y137+Cost_round*F137-R137,IF(F137=1,Pre_q,0),Floor_q)</f>
        <v>470</v>
      </c>
      <c r="Y137" s="14" t="n">
        <f aca="false">MAX(End_q,Floor_q)</f>
        <v>470</v>
      </c>
      <c r="AB137" s="15" t="n">
        <f aca="false">IF($B$8&gt;=U137-0.000000001,1,0)</f>
        <v>0</v>
      </c>
      <c r="AC137" s="14" t="str">
        <f aca="false">IF($AB137=1,$B$8-Cost_round*C137+O137-V137,"")</f>
        <v/>
      </c>
      <c r="AD137" s="14" t="str">
        <f aca="false">IF($AB137=1,V137-Cost_round*D137+P137-W137,"")</f>
        <v/>
      </c>
      <c r="AE137" s="14" t="str">
        <f aca="false">IF($AB137=1,W137-Cost_round*E137+Q137-X137,"")</f>
        <v/>
      </c>
      <c r="AF137" s="14" t="str">
        <f aca="false">IF($AB137=1,X137-Cost_round*F137+R137-Y137,"")</f>
        <v/>
      </c>
      <c r="AI137" s="21" t="str">
        <f aca="false">IF($AB137=1,AC137*1+AD137*Bias_b*Beta_y^1+AE137*Bias_b*Beta_y^2+AF137*Bias_b*Beta_y^3+Bias_b*Beta_y^3*R137/Hurdle_r,"")</f>
        <v/>
      </c>
    </row>
    <row r="138" customFormat="false" ht="15" hidden="false" customHeight="false" outlineLevel="0" collapsed="false">
      <c r="A138" s="2" t="n">
        <v>10</v>
      </c>
      <c r="B138" s="2" t="str">
        <f aca="false">""&amp;C138&amp;D138&amp;E138&amp;F138</f>
        <v>1010</v>
      </c>
      <c r="C138" s="15" t="n">
        <f aca="false">MOD(INT($A138/8),2)</f>
        <v>1</v>
      </c>
      <c r="D138" s="15" t="n">
        <f aca="false">MOD(INT($A138/4),2)</f>
        <v>0</v>
      </c>
      <c r="E138" s="15" t="n">
        <f aca="false">MOD(INT($A138/2),2)</f>
        <v>1</v>
      </c>
      <c r="F138" s="15" t="n">
        <f aca="false">MOD(INT($A138/1),2)</f>
        <v>0</v>
      </c>
      <c r="I138" s="14" t="n">
        <f aca="false">$C$8+C138*(Half_gap*(Ceiling_e-$C$8))</f>
        <v>83.25</v>
      </c>
      <c r="J138" s="14" t="n">
        <f aca="false">I138+D138*(Half_gap*(Ceiling_e-I138))</f>
        <v>83.25</v>
      </c>
      <c r="K138" s="14" t="n">
        <f aca="false">J138+E138*(Half_gap*(Ceiling_e-J138))</f>
        <v>84.125</v>
      </c>
      <c r="L138" s="14" t="n">
        <f aca="false">K138+F138*(Half_gap*(Ceiling_e-K138))</f>
        <v>84.125</v>
      </c>
      <c r="O138" s="14" t="n">
        <f aca="false">Val_pt*(I138-E_zero)</f>
        <v>122.5</v>
      </c>
      <c r="P138" s="14" t="n">
        <f aca="false">Val_pt*(J138-E_zero)</f>
        <v>122.5</v>
      </c>
      <c r="Q138" s="14" t="n">
        <f aca="false">Val_pt*(K138-E_zero)</f>
        <v>131.25</v>
      </c>
      <c r="R138" s="14" t="n">
        <f aca="false">Val_pt*(L138-E_zero)</f>
        <v>131.25</v>
      </c>
      <c r="U138" s="14" t="n">
        <f aca="false">MAX(V138+Cost_round*C138-O138,IF(C138=1,Pre_q,0))</f>
        <v>470</v>
      </c>
      <c r="V138" s="14" t="n">
        <f aca="false">MAX(W138+Cost_round*D138-P138,IF(D138=1,Pre_q,0),Floor_q)</f>
        <v>350</v>
      </c>
      <c r="W138" s="14" t="n">
        <f aca="false">MAX(X138+Cost_round*E138-Q138,IF(E138=1,Pre_q,0),Floor_q)</f>
        <v>470</v>
      </c>
      <c r="X138" s="14" t="n">
        <f aca="false">MAX(Y138+Cost_round*F138-R138,IF(F138=1,Pre_q,0),Floor_q)</f>
        <v>350</v>
      </c>
      <c r="Y138" s="14" t="n">
        <f aca="false">MAX(End_q,Floor_q)</f>
        <v>470</v>
      </c>
      <c r="AB138" s="15" t="n">
        <f aca="false">IF($B$8&gt;=U138-0.000000001,1,0)</f>
        <v>0</v>
      </c>
      <c r="AC138" s="14" t="str">
        <f aca="false">IF($AB138=1,$B$8-Cost_round*C138+O138-V138,"")</f>
        <v/>
      </c>
      <c r="AD138" s="14" t="str">
        <f aca="false">IF($AB138=1,V138-Cost_round*D138+P138-W138,"")</f>
        <v/>
      </c>
      <c r="AE138" s="14" t="str">
        <f aca="false">IF($AB138=1,W138-Cost_round*E138+Q138-X138,"")</f>
        <v/>
      </c>
      <c r="AF138" s="14" t="str">
        <f aca="false">IF($AB138=1,X138-Cost_round*F138+R138-Y138,"")</f>
        <v/>
      </c>
      <c r="AI138" s="21" t="str">
        <f aca="false">IF($AB138=1,AC138*1+AD138*Bias_b*Beta_y^1+AE138*Bias_b*Beta_y^2+AF138*Bias_b*Beta_y^3+Bias_b*Beta_y^3*R138/Hurdle_r,"")</f>
        <v/>
      </c>
    </row>
    <row r="139" customFormat="false" ht="15" hidden="false" customHeight="false" outlineLevel="0" collapsed="false">
      <c r="A139" s="2" t="n">
        <v>11</v>
      </c>
      <c r="B139" s="2" t="str">
        <f aca="false">""&amp;C139&amp;D139&amp;E139&amp;F139</f>
        <v>1011</v>
      </c>
      <c r="C139" s="15" t="n">
        <f aca="false">MOD(INT($A139/8),2)</f>
        <v>1</v>
      </c>
      <c r="D139" s="15" t="n">
        <f aca="false">MOD(INT($A139/4),2)</f>
        <v>0</v>
      </c>
      <c r="E139" s="15" t="n">
        <f aca="false">MOD(INT($A139/2),2)</f>
        <v>1</v>
      </c>
      <c r="F139" s="15" t="n">
        <f aca="false">MOD(INT($A139/1),2)</f>
        <v>1</v>
      </c>
      <c r="I139" s="14" t="n">
        <f aca="false">$C$8+C139*(Half_gap*(Ceiling_e-$C$8))</f>
        <v>83.25</v>
      </c>
      <c r="J139" s="14" t="n">
        <f aca="false">I139+D139*(Half_gap*(Ceiling_e-I139))</f>
        <v>83.25</v>
      </c>
      <c r="K139" s="14" t="n">
        <f aca="false">J139+E139*(Half_gap*(Ceiling_e-J139))</f>
        <v>84.125</v>
      </c>
      <c r="L139" s="14" t="n">
        <f aca="false">K139+F139*(Half_gap*(Ceiling_e-K139))</f>
        <v>84.5625</v>
      </c>
      <c r="O139" s="14" t="n">
        <f aca="false">Val_pt*(I139-E_zero)</f>
        <v>122.5</v>
      </c>
      <c r="P139" s="14" t="n">
        <f aca="false">Val_pt*(J139-E_zero)</f>
        <v>122.5</v>
      </c>
      <c r="Q139" s="14" t="n">
        <f aca="false">Val_pt*(K139-E_zero)</f>
        <v>131.25</v>
      </c>
      <c r="R139" s="14" t="n">
        <f aca="false">Val_pt*(L139-E_zero)</f>
        <v>135.625</v>
      </c>
      <c r="U139" s="14" t="n">
        <f aca="false">MAX(V139+Cost_round*C139-O139,IF(C139=1,Pre_q,0))</f>
        <v>470</v>
      </c>
      <c r="V139" s="14" t="n">
        <f aca="false">MAX(W139+Cost_round*D139-P139,IF(D139=1,Pre_q,0),Floor_q)</f>
        <v>350</v>
      </c>
      <c r="W139" s="14" t="n">
        <f aca="false">MAX(X139+Cost_round*E139-Q139,IF(E139=1,Pre_q,0),Floor_q)</f>
        <v>470</v>
      </c>
      <c r="X139" s="14" t="n">
        <f aca="false">MAX(Y139+Cost_round*F139-R139,IF(F139=1,Pre_q,0),Floor_q)</f>
        <v>470</v>
      </c>
      <c r="Y139" s="14" t="n">
        <f aca="false">MAX(End_q,Floor_q)</f>
        <v>470</v>
      </c>
      <c r="AB139" s="15" t="n">
        <f aca="false">IF($B$8&gt;=U139-0.000000001,1,0)</f>
        <v>0</v>
      </c>
      <c r="AC139" s="14" t="str">
        <f aca="false">IF($AB139=1,$B$8-Cost_round*C139+O139-V139,"")</f>
        <v/>
      </c>
      <c r="AD139" s="14" t="str">
        <f aca="false">IF($AB139=1,V139-Cost_round*D139+P139-W139,"")</f>
        <v/>
      </c>
      <c r="AE139" s="14" t="str">
        <f aca="false">IF($AB139=1,W139-Cost_round*E139+Q139-X139,"")</f>
        <v/>
      </c>
      <c r="AF139" s="14" t="str">
        <f aca="false">IF($AB139=1,X139-Cost_round*F139+R139-Y139,"")</f>
        <v/>
      </c>
      <c r="AI139" s="21" t="str">
        <f aca="false">IF($AB139=1,AC139*1+AD139*Bias_b*Beta_y^1+AE139*Bias_b*Beta_y^2+AF139*Bias_b*Beta_y^3+Bias_b*Beta_y^3*R139/Hurdle_r,"")</f>
        <v/>
      </c>
    </row>
    <row r="140" customFormat="false" ht="15" hidden="false" customHeight="false" outlineLevel="0" collapsed="false">
      <c r="A140" s="2" t="n">
        <v>12</v>
      </c>
      <c r="B140" s="2" t="str">
        <f aca="false">""&amp;C140&amp;D140&amp;E140&amp;F140</f>
        <v>1100</v>
      </c>
      <c r="C140" s="15" t="n">
        <f aca="false">MOD(INT($A140/8),2)</f>
        <v>1</v>
      </c>
      <c r="D140" s="15" t="n">
        <f aca="false">MOD(INT($A140/4),2)</f>
        <v>1</v>
      </c>
      <c r="E140" s="15" t="n">
        <f aca="false">MOD(INT($A140/2),2)</f>
        <v>0</v>
      </c>
      <c r="F140" s="15" t="n">
        <f aca="false">MOD(INT($A140/1),2)</f>
        <v>0</v>
      </c>
      <c r="I140" s="14" t="n">
        <f aca="false">$C$8+C140*(Half_gap*(Ceiling_e-$C$8))</f>
        <v>83.25</v>
      </c>
      <c r="J140" s="14" t="n">
        <f aca="false">I140+D140*(Half_gap*(Ceiling_e-I140))</f>
        <v>84.125</v>
      </c>
      <c r="K140" s="14" t="n">
        <f aca="false">J140+E140*(Half_gap*(Ceiling_e-J140))</f>
        <v>84.125</v>
      </c>
      <c r="L140" s="14" t="n">
        <f aca="false">K140+F140*(Half_gap*(Ceiling_e-K140))</f>
        <v>84.125</v>
      </c>
      <c r="O140" s="14" t="n">
        <f aca="false">Val_pt*(I140-E_zero)</f>
        <v>122.5</v>
      </c>
      <c r="P140" s="14" t="n">
        <f aca="false">Val_pt*(J140-E_zero)</f>
        <v>131.25</v>
      </c>
      <c r="Q140" s="14" t="n">
        <f aca="false">Val_pt*(K140-E_zero)</f>
        <v>131.25</v>
      </c>
      <c r="R140" s="14" t="n">
        <f aca="false">Val_pt*(L140-E_zero)</f>
        <v>131.25</v>
      </c>
      <c r="U140" s="14" t="n">
        <f aca="false">MAX(V140+Cost_round*C140-O140,IF(C140=1,Pre_q,0))</f>
        <v>470</v>
      </c>
      <c r="V140" s="14" t="n">
        <f aca="false">MAX(W140+Cost_round*D140-P140,IF(D140=1,Pre_q,0),Floor_q)</f>
        <v>470</v>
      </c>
      <c r="W140" s="14" t="n">
        <f aca="false">MAX(X140+Cost_round*E140-Q140,IF(E140=1,Pre_q,0),Floor_q)</f>
        <v>350</v>
      </c>
      <c r="X140" s="14" t="n">
        <f aca="false">MAX(Y140+Cost_round*F140-R140,IF(F140=1,Pre_q,0),Floor_q)</f>
        <v>350</v>
      </c>
      <c r="Y140" s="14" t="n">
        <f aca="false">MAX(End_q,Floor_q)</f>
        <v>470</v>
      </c>
      <c r="AB140" s="15" t="n">
        <f aca="false">IF($B$8&gt;=U140-0.000000001,1,0)</f>
        <v>0</v>
      </c>
      <c r="AC140" s="14" t="str">
        <f aca="false">IF($AB140=1,$B$8-Cost_round*C140+O140-V140,"")</f>
        <v/>
      </c>
      <c r="AD140" s="14" t="str">
        <f aca="false">IF($AB140=1,V140-Cost_round*D140+P140-W140,"")</f>
        <v/>
      </c>
      <c r="AE140" s="14" t="str">
        <f aca="false">IF($AB140=1,W140-Cost_round*E140+Q140-X140,"")</f>
        <v/>
      </c>
      <c r="AF140" s="14" t="str">
        <f aca="false">IF($AB140=1,X140-Cost_round*F140+R140-Y140,"")</f>
        <v/>
      </c>
      <c r="AI140" s="21" t="str">
        <f aca="false">IF($AB140=1,AC140*1+AD140*Bias_b*Beta_y^1+AE140*Bias_b*Beta_y^2+AF140*Bias_b*Beta_y^3+Bias_b*Beta_y^3*R140/Hurdle_r,"")</f>
        <v/>
      </c>
    </row>
    <row r="141" customFormat="false" ht="15" hidden="false" customHeight="false" outlineLevel="0" collapsed="false">
      <c r="A141" s="2" t="n">
        <v>13</v>
      </c>
      <c r="B141" s="2" t="str">
        <f aca="false">""&amp;C141&amp;D141&amp;E141&amp;F141</f>
        <v>1101</v>
      </c>
      <c r="C141" s="15" t="n">
        <f aca="false">MOD(INT($A141/8),2)</f>
        <v>1</v>
      </c>
      <c r="D141" s="15" t="n">
        <f aca="false">MOD(INT($A141/4),2)</f>
        <v>1</v>
      </c>
      <c r="E141" s="15" t="n">
        <f aca="false">MOD(INT($A141/2),2)</f>
        <v>0</v>
      </c>
      <c r="F141" s="15" t="n">
        <f aca="false">MOD(INT($A141/1),2)</f>
        <v>1</v>
      </c>
      <c r="I141" s="14" t="n">
        <f aca="false">$C$8+C141*(Half_gap*(Ceiling_e-$C$8))</f>
        <v>83.25</v>
      </c>
      <c r="J141" s="14" t="n">
        <f aca="false">I141+D141*(Half_gap*(Ceiling_e-I141))</f>
        <v>84.125</v>
      </c>
      <c r="K141" s="14" t="n">
        <f aca="false">J141+E141*(Half_gap*(Ceiling_e-J141))</f>
        <v>84.125</v>
      </c>
      <c r="L141" s="14" t="n">
        <f aca="false">K141+F141*(Half_gap*(Ceiling_e-K141))</f>
        <v>84.5625</v>
      </c>
      <c r="O141" s="14" t="n">
        <f aca="false">Val_pt*(I141-E_zero)</f>
        <v>122.5</v>
      </c>
      <c r="P141" s="14" t="n">
        <f aca="false">Val_pt*(J141-E_zero)</f>
        <v>131.25</v>
      </c>
      <c r="Q141" s="14" t="n">
        <f aca="false">Val_pt*(K141-E_zero)</f>
        <v>131.25</v>
      </c>
      <c r="R141" s="14" t="n">
        <f aca="false">Val_pt*(L141-E_zero)</f>
        <v>135.625</v>
      </c>
      <c r="U141" s="14" t="n">
        <f aca="false">MAX(V141+Cost_round*C141-O141,IF(C141=1,Pre_q,0))</f>
        <v>470</v>
      </c>
      <c r="V141" s="14" t="n">
        <f aca="false">MAX(W141+Cost_round*D141-P141,IF(D141=1,Pre_q,0),Floor_q)</f>
        <v>470</v>
      </c>
      <c r="W141" s="14" t="n">
        <f aca="false">MAX(X141+Cost_round*E141-Q141,IF(E141=1,Pre_q,0),Floor_q)</f>
        <v>350</v>
      </c>
      <c r="X141" s="14" t="n">
        <f aca="false">MAX(Y141+Cost_round*F141-R141,IF(F141=1,Pre_q,0),Floor_q)</f>
        <v>470</v>
      </c>
      <c r="Y141" s="14" t="n">
        <f aca="false">MAX(End_q,Floor_q)</f>
        <v>470</v>
      </c>
      <c r="AB141" s="15" t="n">
        <f aca="false">IF($B$8&gt;=U141-0.000000001,1,0)</f>
        <v>0</v>
      </c>
      <c r="AC141" s="14" t="str">
        <f aca="false">IF($AB141=1,$B$8-Cost_round*C141+O141-V141,"")</f>
        <v/>
      </c>
      <c r="AD141" s="14" t="str">
        <f aca="false">IF($AB141=1,V141-Cost_round*D141+P141-W141,"")</f>
        <v/>
      </c>
      <c r="AE141" s="14" t="str">
        <f aca="false">IF($AB141=1,W141-Cost_round*E141+Q141-X141,"")</f>
        <v/>
      </c>
      <c r="AF141" s="14" t="str">
        <f aca="false">IF($AB141=1,X141-Cost_round*F141+R141-Y141,"")</f>
        <v/>
      </c>
      <c r="AI141" s="21" t="str">
        <f aca="false">IF($AB141=1,AC141*1+AD141*Bias_b*Beta_y^1+AE141*Bias_b*Beta_y^2+AF141*Bias_b*Beta_y^3+Bias_b*Beta_y^3*R141/Hurdle_r,"")</f>
        <v/>
      </c>
    </row>
    <row r="142" customFormat="false" ht="15" hidden="false" customHeight="false" outlineLevel="0" collapsed="false">
      <c r="A142" s="2" t="n">
        <v>14</v>
      </c>
      <c r="B142" s="2" t="str">
        <f aca="false">""&amp;C142&amp;D142&amp;E142&amp;F142</f>
        <v>1110</v>
      </c>
      <c r="C142" s="15" t="n">
        <f aca="false">MOD(INT($A142/8),2)</f>
        <v>1</v>
      </c>
      <c r="D142" s="15" t="n">
        <f aca="false">MOD(INT($A142/4),2)</f>
        <v>1</v>
      </c>
      <c r="E142" s="15" t="n">
        <f aca="false">MOD(INT($A142/2),2)</f>
        <v>1</v>
      </c>
      <c r="F142" s="15" t="n">
        <f aca="false">MOD(INT($A142/1),2)</f>
        <v>0</v>
      </c>
      <c r="I142" s="14" t="n">
        <f aca="false">$C$8+C142*(Half_gap*(Ceiling_e-$C$8))</f>
        <v>83.25</v>
      </c>
      <c r="J142" s="14" t="n">
        <f aca="false">I142+D142*(Half_gap*(Ceiling_e-I142))</f>
        <v>84.125</v>
      </c>
      <c r="K142" s="14" t="n">
        <f aca="false">J142+E142*(Half_gap*(Ceiling_e-J142))</f>
        <v>84.5625</v>
      </c>
      <c r="L142" s="14" t="n">
        <f aca="false">K142+F142*(Half_gap*(Ceiling_e-K142))</f>
        <v>84.5625</v>
      </c>
      <c r="O142" s="14" t="n">
        <f aca="false">Val_pt*(I142-E_zero)</f>
        <v>122.5</v>
      </c>
      <c r="P142" s="14" t="n">
        <f aca="false">Val_pt*(J142-E_zero)</f>
        <v>131.25</v>
      </c>
      <c r="Q142" s="14" t="n">
        <f aca="false">Val_pt*(K142-E_zero)</f>
        <v>135.625</v>
      </c>
      <c r="R142" s="14" t="n">
        <f aca="false">Val_pt*(L142-E_zero)</f>
        <v>135.625</v>
      </c>
      <c r="U142" s="14" t="n">
        <f aca="false">MAX(V142+Cost_round*C142-O142,IF(C142=1,Pre_q,0))</f>
        <v>470</v>
      </c>
      <c r="V142" s="14" t="n">
        <f aca="false">MAX(W142+Cost_round*D142-P142,IF(D142=1,Pre_q,0),Floor_q)</f>
        <v>470</v>
      </c>
      <c r="W142" s="14" t="n">
        <f aca="false">MAX(X142+Cost_round*E142-Q142,IF(E142=1,Pre_q,0),Floor_q)</f>
        <v>470</v>
      </c>
      <c r="X142" s="14" t="n">
        <f aca="false">MAX(Y142+Cost_round*F142-R142,IF(F142=1,Pre_q,0),Floor_q)</f>
        <v>350</v>
      </c>
      <c r="Y142" s="14" t="n">
        <f aca="false">MAX(End_q,Floor_q)</f>
        <v>470</v>
      </c>
      <c r="AB142" s="15" t="n">
        <f aca="false">IF($B$8&gt;=U142-0.000000001,1,0)</f>
        <v>0</v>
      </c>
      <c r="AC142" s="14" t="str">
        <f aca="false">IF($AB142=1,$B$8-Cost_round*C142+O142-V142,"")</f>
        <v/>
      </c>
      <c r="AD142" s="14" t="str">
        <f aca="false">IF($AB142=1,V142-Cost_round*D142+P142-W142,"")</f>
        <v/>
      </c>
      <c r="AE142" s="14" t="str">
        <f aca="false">IF($AB142=1,W142-Cost_round*E142+Q142-X142,"")</f>
        <v/>
      </c>
      <c r="AF142" s="14" t="str">
        <f aca="false">IF($AB142=1,X142-Cost_round*F142+R142-Y142,"")</f>
        <v/>
      </c>
      <c r="AI142" s="21" t="str">
        <f aca="false">IF($AB142=1,AC142*1+AD142*Bias_b*Beta_y^1+AE142*Bias_b*Beta_y^2+AF142*Bias_b*Beta_y^3+Bias_b*Beta_y^3*R142/Hurdle_r,"")</f>
        <v/>
      </c>
    </row>
    <row r="143" customFormat="false" ht="15" hidden="false" customHeight="false" outlineLevel="0" collapsed="false">
      <c r="A143" s="2" t="n">
        <v>15</v>
      </c>
      <c r="B143" s="2" t="str">
        <f aca="false">""&amp;C143&amp;D143&amp;E143&amp;F143</f>
        <v>1111</v>
      </c>
      <c r="C143" s="15" t="n">
        <f aca="false">MOD(INT($A143/8),2)</f>
        <v>1</v>
      </c>
      <c r="D143" s="15" t="n">
        <f aca="false">MOD(INT($A143/4),2)</f>
        <v>1</v>
      </c>
      <c r="E143" s="15" t="n">
        <f aca="false">MOD(INT($A143/2),2)</f>
        <v>1</v>
      </c>
      <c r="F143" s="15" t="n">
        <f aca="false">MOD(INT($A143/1),2)</f>
        <v>1</v>
      </c>
      <c r="I143" s="14" t="n">
        <f aca="false">$C$8+C143*(Half_gap*(Ceiling_e-$C$8))</f>
        <v>83.25</v>
      </c>
      <c r="J143" s="14" t="n">
        <f aca="false">I143+D143*(Half_gap*(Ceiling_e-I143))</f>
        <v>84.125</v>
      </c>
      <c r="K143" s="14" t="n">
        <f aca="false">J143+E143*(Half_gap*(Ceiling_e-J143))</f>
        <v>84.5625</v>
      </c>
      <c r="L143" s="14" t="n">
        <f aca="false">K143+F143*(Half_gap*(Ceiling_e-K143))</f>
        <v>84.78125</v>
      </c>
      <c r="O143" s="14" t="n">
        <f aca="false">Val_pt*(I143-E_zero)</f>
        <v>122.5</v>
      </c>
      <c r="P143" s="14" t="n">
        <f aca="false">Val_pt*(J143-E_zero)</f>
        <v>131.25</v>
      </c>
      <c r="Q143" s="14" t="n">
        <f aca="false">Val_pt*(K143-E_zero)</f>
        <v>135.625</v>
      </c>
      <c r="R143" s="14" t="n">
        <f aca="false">Val_pt*(L143-E_zero)</f>
        <v>137.8125</v>
      </c>
      <c r="U143" s="14" t="n">
        <f aca="false">MAX(V143+Cost_round*C143-O143,IF(C143=1,Pre_q,0))</f>
        <v>470</v>
      </c>
      <c r="V143" s="14" t="n">
        <f aca="false">MAX(W143+Cost_round*D143-P143,IF(D143=1,Pre_q,0),Floor_q)</f>
        <v>470</v>
      </c>
      <c r="W143" s="14" t="n">
        <f aca="false">MAX(X143+Cost_round*E143-Q143,IF(E143=1,Pre_q,0),Floor_q)</f>
        <v>470</v>
      </c>
      <c r="X143" s="14" t="n">
        <f aca="false">MAX(Y143+Cost_round*F143-R143,IF(F143=1,Pre_q,0),Floor_q)</f>
        <v>470</v>
      </c>
      <c r="Y143" s="14" t="n">
        <f aca="false">MAX(End_q,Floor_q)</f>
        <v>470</v>
      </c>
      <c r="AB143" s="15" t="n">
        <f aca="false">IF($B$8&gt;=U143-0.000000001,1,0)</f>
        <v>0</v>
      </c>
      <c r="AC143" s="14" t="str">
        <f aca="false">IF($AB143=1,$B$8-Cost_round*C143+O143-V143,"")</f>
        <v/>
      </c>
      <c r="AD143" s="14" t="str">
        <f aca="false">IF($AB143=1,V143-Cost_round*D143+P143-W143,"")</f>
        <v/>
      </c>
      <c r="AE143" s="14" t="str">
        <f aca="false">IF($AB143=1,W143-Cost_round*E143+Q143-X143,"")</f>
        <v/>
      </c>
      <c r="AF143" s="14" t="str">
        <f aca="false">IF($AB143=1,X143-Cost_round*F143+R143-Y143,"")</f>
        <v/>
      </c>
      <c r="AI143" s="21" t="str">
        <f aca="false">IF($AB143=1,AC143*1+AD143*Bias_b*Beta_y^1+AE143*Bias_b*Beta_y^2+AF143*Bias_b*Beta_y^3+Bias_b*Beta_y^3*R143/Hurdle_r,"")</f>
        <v/>
      </c>
    </row>
    <row r="146" customFormat="false" ht="15" hidden="false" customHeight="false" outlineLevel="0" collapsed="false">
      <c r="A146" s="4" t="s">
        <v>306</v>
      </c>
    </row>
    <row r="147" customFormat="false" ht="46.25" hidden="false" customHeight="false" outlineLevel="0" collapsed="false">
      <c r="A147" s="8" t="s">
        <v>78</v>
      </c>
      <c r="B147" s="8" t="s">
        <v>80</v>
      </c>
      <c r="C147" s="8" t="s">
        <v>81</v>
      </c>
      <c r="D147" s="8" t="s">
        <v>82</v>
      </c>
      <c r="E147" s="8" t="s">
        <v>83</v>
      </c>
      <c r="F147" s="8"/>
      <c r="G147" s="8"/>
      <c r="H147" s="8"/>
      <c r="I147" s="8" t="s">
        <v>87</v>
      </c>
      <c r="J147" s="8" t="s">
        <v>88</v>
      </c>
      <c r="K147" s="8" t="s">
        <v>89</v>
      </c>
      <c r="L147" s="8"/>
      <c r="M147" s="8"/>
      <c r="N147" s="8"/>
      <c r="O147" s="8" t="s">
        <v>93</v>
      </c>
      <c r="P147" s="8" t="s">
        <v>94</v>
      </c>
      <c r="Q147" s="8" t="s">
        <v>95</v>
      </c>
      <c r="R147" s="8"/>
      <c r="S147" s="8"/>
      <c r="T147" s="8"/>
      <c r="U147" s="8" t="s">
        <v>99</v>
      </c>
      <c r="V147" s="8" t="s">
        <v>100</v>
      </c>
      <c r="W147" s="8" t="s">
        <v>101</v>
      </c>
      <c r="X147" s="8" t="s">
        <v>102</v>
      </c>
      <c r="Y147" s="8"/>
      <c r="Z147" s="8"/>
      <c r="AA147" s="8"/>
      <c r="AB147" s="8" t="s">
        <v>106</v>
      </c>
      <c r="AC147" s="8" t="s">
        <v>107</v>
      </c>
      <c r="AD147" s="8" t="s">
        <v>108</v>
      </c>
      <c r="AE147" s="8" t="s">
        <v>109</v>
      </c>
      <c r="AF147" s="8"/>
      <c r="AG147" s="8"/>
      <c r="AH147" s="8"/>
      <c r="AI147" s="8" t="s">
        <v>303</v>
      </c>
    </row>
    <row r="148" customFormat="false" ht="15" hidden="false" customHeight="false" outlineLevel="0" collapsed="false">
      <c r="A148" s="2" t="n">
        <v>0</v>
      </c>
      <c r="B148" s="2" t="str">
        <f aca="false">""&amp;C148&amp;D148&amp;E148</f>
        <v>000</v>
      </c>
      <c r="C148" s="15" t="n">
        <f aca="false">MOD(INT($A148/4),2)</f>
        <v>0</v>
      </c>
      <c r="D148" s="15" t="n">
        <f aca="false">MOD(INT($A148/2),2)</f>
        <v>0</v>
      </c>
      <c r="E148" s="15" t="n">
        <f aca="false">MOD(INT($A148/1),2)</f>
        <v>0</v>
      </c>
      <c r="I148" s="14" t="n">
        <f aca="false">$C$9+C148*(Half_gap*(Ceiling_e-$C$9))</f>
        <v>81.5</v>
      </c>
      <c r="J148" s="14" t="n">
        <f aca="false">I148+D148*(Half_gap*(Ceiling_e-I148))</f>
        <v>81.5</v>
      </c>
      <c r="K148" s="14" t="n">
        <f aca="false">J148+E148*(Half_gap*(Ceiling_e-J148))</f>
        <v>81.5</v>
      </c>
      <c r="O148" s="14" t="n">
        <f aca="false">Val_pt*(I148-E_zero)</f>
        <v>105</v>
      </c>
      <c r="P148" s="14" t="n">
        <f aca="false">Val_pt*(J148-E_zero)</f>
        <v>105</v>
      </c>
      <c r="Q148" s="14" t="n">
        <f aca="false">Val_pt*(K148-E_zero)</f>
        <v>105</v>
      </c>
      <c r="U148" s="14" t="n">
        <f aca="false">MAX(V148+Cost_round*C148-O148,IF(C148=1,Pre_q,0))</f>
        <v>245</v>
      </c>
      <c r="V148" s="14" t="n">
        <f aca="false">MAX(W148+Cost_round*D148-P148,IF(D148=1,Pre_q,0),Floor_q)</f>
        <v>350</v>
      </c>
      <c r="W148" s="14" t="n">
        <f aca="false">MAX(X148+Cost_round*E148-Q148,IF(E148=1,Pre_q,0),Floor_q)</f>
        <v>365</v>
      </c>
      <c r="X148" s="14" t="n">
        <f aca="false">MAX(End_q,Floor_q)</f>
        <v>470</v>
      </c>
      <c r="AB148" s="15" t="n">
        <f aca="false">IF($B$9&gt;=U148-0.000000001,1,0)</f>
        <v>1</v>
      </c>
      <c r="AC148" s="14" t="n">
        <f aca="false">IF($AB148=1,$B$9-Cost_round*C148+O148-V148,"")</f>
        <v>120</v>
      </c>
      <c r="AD148" s="14" t="n">
        <f aca="false">IF($AB148=1,V148-Cost_round*D148+P148-W148,"")</f>
        <v>90</v>
      </c>
      <c r="AE148" s="14" t="n">
        <f aca="false">IF($AB148=1,W148-Cost_round*E148+Q148-X148,"")</f>
        <v>0</v>
      </c>
      <c r="AI148" s="21" t="n">
        <f aca="false">IF($AB148=1,AC148*1+AD148*Bias_b*Beta_y^1+AE148*Bias_b*Beta_y^2+Bias_b*Beta_y^2*Q148/Hurdle_r,"")</f>
        <v>974.628099173554</v>
      </c>
    </row>
    <row r="149" customFormat="false" ht="15" hidden="false" customHeight="false" outlineLevel="0" collapsed="false">
      <c r="A149" s="2" t="n">
        <v>1</v>
      </c>
      <c r="B149" s="2" t="str">
        <f aca="false">""&amp;C149&amp;D149&amp;E149</f>
        <v>001</v>
      </c>
      <c r="C149" s="15" t="n">
        <f aca="false">MOD(INT($A149/4),2)</f>
        <v>0</v>
      </c>
      <c r="D149" s="15" t="n">
        <f aca="false">MOD(INT($A149/2),2)</f>
        <v>0</v>
      </c>
      <c r="E149" s="15" t="n">
        <f aca="false">MOD(INT($A149/1),2)</f>
        <v>1</v>
      </c>
      <c r="I149" s="14" t="n">
        <f aca="false">$C$9+C149*(Half_gap*(Ceiling_e-$C$9))</f>
        <v>81.5</v>
      </c>
      <c r="J149" s="14" t="n">
        <f aca="false">I149+D149*(Half_gap*(Ceiling_e-I149))</f>
        <v>81.5</v>
      </c>
      <c r="K149" s="14" t="n">
        <f aca="false">J149+E149*(Half_gap*(Ceiling_e-J149))</f>
        <v>83.25</v>
      </c>
      <c r="O149" s="14" t="n">
        <f aca="false">Val_pt*(I149-E_zero)</f>
        <v>105</v>
      </c>
      <c r="P149" s="14" t="n">
        <f aca="false">Val_pt*(J149-E_zero)</f>
        <v>105</v>
      </c>
      <c r="Q149" s="14" t="n">
        <f aca="false">Val_pt*(K149-E_zero)</f>
        <v>122.5</v>
      </c>
      <c r="U149" s="14" t="n">
        <f aca="false">MAX(V149+Cost_round*C149-O149,IF(C149=1,Pre_q,0))</f>
        <v>260</v>
      </c>
      <c r="V149" s="14" t="n">
        <f aca="false">MAX(W149+Cost_round*D149-P149,IF(D149=1,Pre_q,0),Floor_q)</f>
        <v>365</v>
      </c>
      <c r="W149" s="14" t="n">
        <f aca="false">MAX(X149+Cost_round*E149-Q149,IF(E149=1,Pre_q,0),Floor_q)</f>
        <v>470</v>
      </c>
      <c r="X149" s="14" t="n">
        <f aca="false">MAX(End_q,Floor_q)</f>
        <v>470</v>
      </c>
      <c r="AB149" s="15" t="n">
        <f aca="false">IF($B$9&gt;=U149-0.000000001,1,0)</f>
        <v>1</v>
      </c>
      <c r="AC149" s="14" t="n">
        <f aca="false">IF($AB149=1,$B$9-Cost_round*C149+O149-V149,"")</f>
        <v>105</v>
      </c>
      <c r="AD149" s="14" t="n">
        <f aca="false">IF($AB149=1,V149-Cost_round*D149+P149-W149,"")</f>
        <v>0</v>
      </c>
      <c r="AE149" s="14" t="n">
        <f aca="false">IF($AB149=1,W149-Cost_round*E149+Q149-X149,"")</f>
        <v>2.5</v>
      </c>
      <c r="AI149" s="21" t="n">
        <f aca="false">IF($AB149=1,AC149*1+AD149*Bias_b*Beta_y^1+AE149*Bias_b*Beta_y^2+Bias_b*Beta_y^2*Q149/Hurdle_r,"")</f>
        <v>1018.01652892562</v>
      </c>
    </row>
    <row r="150" customFormat="false" ht="15" hidden="false" customHeight="false" outlineLevel="0" collapsed="false">
      <c r="A150" s="2" t="n">
        <v>2</v>
      </c>
      <c r="B150" s="2" t="str">
        <f aca="false">""&amp;C150&amp;D150&amp;E150</f>
        <v>010</v>
      </c>
      <c r="C150" s="15" t="n">
        <f aca="false">MOD(INT($A150/4),2)</f>
        <v>0</v>
      </c>
      <c r="D150" s="15" t="n">
        <f aca="false">MOD(INT($A150/2),2)</f>
        <v>1</v>
      </c>
      <c r="E150" s="15" t="n">
        <f aca="false">MOD(INT($A150/1),2)</f>
        <v>0</v>
      </c>
      <c r="I150" s="14" t="n">
        <f aca="false">$C$9+C150*(Half_gap*(Ceiling_e-$C$9))</f>
        <v>81.5</v>
      </c>
      <c r="J150" s="14" t="n">
        <f aca="false">I150+D150*(Half_gap*(Ceiling_e-I150))</f>
        <v>83.25</v>
      </c>
      <c r="K150" s="14" t="n">
        <f aca="false">J150+E150*(Half_gap*(Ceiling_e-J150))</f>
        <v>83.25</v>
      </c>
      <c r="O150" s="14" t="n">
        <f aca="false">Val_pt*(I150-E_zero)</f>
        <v>105</v>
      </c>
      <c r="P150" s="14" t="n">
        <f aca="false">Val_pt*(J150-E_zero)</f>
        <v>122.5</v>
      </c>
      <c r="Q150" s="14" t="n">
        <f aca="false">Val_pt*(K150-E_zero)</f>
        <v>122.5</v>
      </c>
      <c r="U150" s="14" t="n">
        <f aca="false">MAX(V150+Cost_round*C150-O150,IF(C150=1,Pre_q,0))</f>
        <v>365</v>
      </c>
      <c r="V150" s="14" t="n">
        <f aca="false">MAX(W150+Cost_round*D150-P150,IF(D150=1,Pre_q,0),Floor_q)</f>
        <v>470</v>
      </c>
      <c r="W150" s="14" t="n">
        <f aca="false">MAX(X150+Cost_round*E150-Q150,IF(E150=1,Pre_q,0),Floor_q)</f>
        <v>350</v>
      </c>
      <c r="X150" s="14" t="n">
        <f aca="false">MAX(End_q,Floor_q)</f>
        <v>470</v>
      </c>
      <c r="AB150" s="15" t="n">
        <f aca="false">IF($B$9&gt;=U150-0.000000001,1,0)</f>
        <v>1</v>
      </c>
      <c r="AC150" s="14" t="n">
        <f aca="false">IF($AB150=1,$B$9-Cost_round*C150+O150-V150,"")</f>
        <v>0</v>
      </c>
      <c r="AD150" s="14" t="n">
        <f aca="false">IF($AB150=1,V150-Cost_round*D150+P150-W150,"")</f>
        <v>122.5</v>
      </c>
      <c r="AE150" s="14" t="n">
        <f aca="false">IF($AB150=1,W150-Cost_round*E150+Q150-X150,"")</f>
        <v>2.5</v>
      </c>
      <c r="AI150" s="21" t="n">
        <f aca="false">IF($AB150=1,AC150*1+AD150*Bias_b*Beta_y^1+AE150*Bias_b*Beta_y^2+Bias_b*Beta_y^2*Q150/Hurdle_r,"")</f>
        <v>1013.24380165289</v>
      </c>
    </row>
    <row r="151" customFormat="false" ht="15" hidden="false" customHeight="false" outlineLevel="0" collapsed="false">
      <c r="A151" s="2" t="n">
        <v>3</v>
      </c>
      <c r="B151" s="2" t="str">
        <f aca="false">""&amp;C151&amp;D151&amp;E151</f>
        <v>011</v>
      </c>
      <c r="C151" s="15" t="n">
        <f aca="false">MOD(INT($A151/4),2)</f>
        <v>0</v>
      </c>
      <c r="D151" s="15" t="n">
        <f aca="false">MOD(INT($A151/2),2)</f>
        <v>1</v>
      </c>
      <c r="E151" s="15" t="n">
        <f aca="false">MOD(INT($A151/1),2)</f>
        <v>1</v>
      </c>
      <c r="I151" s="14" t="n">
        <f aca="false">$C$9+C151*(Half_gap*(Ceiling_e-$C$9))</f>
        <v>81.5</v>
      </c>
      <c r="J151" s="14" t="n">
        <f aca="false">I151+D151*(Half_gap*(Ceiling_e-I151))</f>
        <v>83.25</v>
      </c>
      <c r="K151" s="14" t="n">
        <f aca="false">J151+E151*(Half_gap*(Ceiling_e-J151))</f>
        <v>84.125</v>
      </c>
      <c r="O151" s="14" t="n">
        <f aca="false">Val_pt*(I151-E_zero)</f>
        <v>105</v>
      </c>
      <c r="P151" s="14" t="n">
        <f aca="false">Val_pt*(J151-E_zero)</f>
        <v>122.5</v>
      </c>
      <c r="Q151" s="14" t="n">
        <f aca="false">Val_pt*(K151-E_zero)</f>
        <v>131.25</v>
      </c>
      <c r="U151" s="14" t="n">
        <f aca="false">MAX(V151+Cost_round*C151-O151,IF(C151=1,Pre_q,0))</f>
        <v>365</v>
      </c>
      <c r="V151" s="14" t="n">
        <f aca="false">MAX(W151+Cost_round*D151-P151,IF(D151=1,Pre_q,0),Floor_q)</f>
        <v>470</v>
      </c>
      <c r="W151" s="14" t="n">
        <f aca="false">MAX(X151+Cost_round*E151-Q151,IF(E151=1,Pre_q,0),Floor_q)</f>
        <v>470</v>
      </c>
      <c r="X151" s="14" t="n">
        <f aca="false">MAX(End_q,Floor_q)</f>
        <v>470</v>
      </c>
      <c r="AB151" s="15" t="n">
        <f aca="false">IF($B$9&gt;=U151-0.000000001,1,0)</f>
        <v>1</v>
      </c>
      <c r="AC151" s="14" t="n">
        <f aca="false">IF($AB151=1,$B$9-Cost_round*C151+O151-V151,"")</f>
        <v>0</v>
      </c>
      <c r="AD151" s="14" t="n">
        <f aca="false">IF($AB151=1,V151-Cost_round*D151+P151-W151,"")</f>
        <v>2.5</v>
      </c>
      <c r="AE151" s="14" t="n">
        <f aca="false">IF($AB151=1,W151-Cost_round*E151+Q151-X151,"")</f>
        <v>11.25</v>
      </c>
      <c r="AI151" s="21" t="n">
        <f aca="false">IF($AB151=1,AC151*1+AD151*Bias_b*Beta_y^1+AE151*Bias_b*Beta_y^2+Bias_b*Beta_y^2*Q151/Hurdle_r,"")</f>
        <v>986.652892561983</v>
      </c>
    </row>
    <row r="152" customFormat="false" ht="15" hidden="false" customHeight="false" outlineLevel="0" collapsed="false">
      <c r="A152" s="2" t="n">
        <v>4</v>
      </c>
      <c r="B152" s="2" t="str">
        <f aca="false">""&amp;C152&amp;D152&amp;E152</f>
        <v>100</v>
      </c>
      <c r="C152" s="15" t="n">
        <f aca="false">MOD(INT($A152/4),2)</f>
        <v>1</v>
      </c>
      <c r="D152" s="15" t="n">
        <f aca="false">MOD(INT($A152/2),2)</f>
        <v>0</v>
      </c>
      <c r="E152" s="15" t="n">
        <f aca="false">MOD(INT($A152/1),2)</f>
        <v>0</v>
      </c>
      <c r="I152" s="14" t="n">
        <f aca="false">$C$9+C152*(Half_gap*(Ceiling_e-$C$9))</f>
        <v>83.25</v>
      </c>
      <c r="J152" s="14" t="n">
        <f aca="false">I152+D152*(Half_gap*(Ceiling_e-I152))</f>
        <v>83.25</v>
      </c>
      <c r="K152" s="14" t="n">
        <f aca="false">J152+E152*(Half_gap*(Ceiling_e-J152))</f>
        <v>83.25</v>
      </c>
      <c r="O152" s="14" t="n">
        <f aca="false">Val_pt*(I152-E_zero)</f>
        <v>122.5</v>
      </c>
      <c r="P152" s="14" t="n">
        <f aca="false">Val_pt*(J152-E_zero)</f>
        <v>122.5</v>
      </c>
      <c r="Q152" s="14" t="n">
        <f aca="false">Val_pt*(K152-E_zero)</f>
        <v>122.5</v>
      </c>
      <c r="U152" s="14" t="n">
        <f aca="false">MAX(V152+Cost_round*C152-O152,IF(C152=1,Pre_q,0))</f>
        <v>470</v>
      </c>
      <c r="V152" s="14" t="n">
        <f aca="false">MAX(W152+Cost_round*D152-P152,IF(D152=1,Pre_q,0),Floor_q)</f>
        <v>350</v>
      </c>
      <c r="W152" s="14" t="n">
        <f aca="false">MAX(X152+Cost_round*E152-Q152,IF(E152=1,Pre_q,0),Floor_q)</f>
        <v>350</v>
      </c>
      <c r="X152" s="14" t="n">
        <f aca="false">MAX(End_q,Floor_q)</f>
        <v>470</v>
      </c>
      <c r="AB152" s="15" t="n">
        <f aca="false">IF($B$9&gt;=U152-0.000000001,1,0)</f>
        <v>0</v>
      </c>
      <c r="AC152" s="14" t="str">
        <f aca="false">IF($AB152=1,$B$9-Cost_round*C152+O152-V152,"")</f>
        <v/>
      </c>
      <c r="AD152" s="14" t="str">
        <f aca="false">IF($AB152=1,V152-Cost_round*D152+P152-W152,"")</f>
        <v/>
      </c>
      <c r="AE152" s="14" t="str">
        <f aca="false">IF($AB152=1,W152-Cost_round*E152+Q152-X152,"")</f>
        <v/>
      </c>
      <c r="AI152" s="21" t="str">
        <f aca="false">IF($AB152=1,AC152*1+AD152*Bias_b*Beta_y^1+AE152*Bias_b*Beta_y^2+Bias_b*Beta_y^2*Q152/Hurdle_r,"")</f>
        <v/>
      </c>
    </row>
    <row r="153" customFormat="false" ht="15" hidden="false" customHeight="false" outlineLevel="0" collapsed="false">
      <c r="A153" s="2" t="n">
        <v>5</v>
      </c>
      <c r="B153" s="2" t="str">
        <f aca="false">""&amp;C153&amp;D153&amp;E153</f>
        <v>101</v>
      </c>
      <c r="C153" s="15" t="n">
        <f aca="false">MOD(INT($A153/4),2)</f>
        <v>1</v>
      </c>
      <c r="D153" s="15" t="n">
        <f aca="false">MOD(INT($A153/2),2)</f>
        <v>0</v>
      </c>
      <c r="E153" s="15" t="n">
        <f aca="false">MOD(INT($A153/1),2)</f>
        <v>1</v>
      </c>
      <c r="I153" s="14" t="n">
        <f aca="false">$C$9+C153*(Half_gap*(Ceiling_e-$C$9))</f>
        <v>83.25</v>
      </c>
      <c r="J153" s="14" t="n">
        <f aca="false">I153+D153*(Half_gap*(Ceiling_e-I153))</f>
        <v>83.25</v>
      </c>
      <c r="K153" s="14" t="n">
        <f aca="false">J153+E153*(Half_gap*(Ceiling_e-J153))</f>
        <v>84.125</v>
      </c>
      <c r="O153" s="14" t="n">
        <f aca="false">Val_pt*(I153-E_zero)</f>
        <v>122.5</v>
      </c>
      <c r="P153" s="14" t="n">
        <f aca="false">Val_pt*(J153-E_zero)</f>
        <v>122.5</v>
      </c>
      <c r="Q153" s="14" t="n">
        <f aca="false">Val_pt*(K153-E_zero)</f>
        <v>131.25</v>
      </c>
      <c r="U153" s="14" t="n">
        <f aca="false">MAX(V153+Cost_round*C153-O153,IF(C153=1,Pre_q,0))</f>
        <v>470</v>
      </c>
      <c r="V153" s="14" t="n">
        <f aca="false">MAX(W153+Cost_round*D153-P153,IF(D153=1,Pre_q,0),Floor_q)</f>
        <v>350</v>
      </c>
      <c r="W153" s="14" t="n">
        <f aca="false">MAX(X153+Cost_round*E153-Q153,IF(E153=1,Pre_q,0),Floor_q)</f>
        <v>470</v>
      </c>
      <c r="X153" s="14" t="n">
        <f aca="false">MAX(End_q,Floor_q)</f>
        <v>470</v>
      </c>
      <c r="AB153" s="15" t="n">
        <f aca="false">IF($B$9&gt;=U153-0.000000001,1,0)</f>
        <v>0</v>
      </c>
      <c r="AC153" s="14" t="str">
        <f aca="false">IF($AB153=1,$B$9-Cost_round*C153+O153-V153,"")</f>
        <v/>
      </c>
      <c r="AD153" s="14" t="str">
        <f aca="false">IF($AB153=1,V153-Cost_round*D153+P153-W153,"")</f>
        <v/>
      </c>
      <c r="AE153" s="14" t="str">
        <f aca="false">IF($AB153=1,W153-Cost_round*E153+Q153-X153,"")</f>
        <v/>
      </c>
      <c r="AI153" s="21" t="str">
        <f aca="false">IF($AB153=1,AC153*1+AD153*Bias_b*Beta_y^1+AE153*Bias_b*Beta_y^2+Bias_b*Beta_y^2*Q153/Hurdle_r,"")</f>
        <v/>
      </c>
    </row>
    <row r="154" customFormat="false" ht="15" hidden="false" customHeight="false" outlineLevel="0" collapsed="false">
      <c r="A154" s="2" t="n">
        <v>6</v>
      </c>
      <c r="B154" s="2" t="str">
        <f aca="false">""&amp;C154&amp;D154&amp;E154</f>
        <v>110</v>
      </c>
      <c r="C154" s="15" t="n">
        <f aca="false">MOD(INT($A154/4),2)</f>
        <v>1</v>
      </c>
      <c r="D154" s="15" t="n">
        <f aca="false">MOD(INT($A154/2),2)</f>
        <v>1</v>
      </c>
      <c r="E154" s="15" t="n">
        <f aca="false">MOD(INT($A154/1),2)</f>
        <v>0</v>
      </c>
      <c r="I154" s="14" t="n">
        <f aca="false">$C$9+C154*(Half_gap*(Ceiling_e-$C$9))</f>
        <v>83.25</v>
      </c>
      <c r="J154" s="14" t="n">
        <f aca="false">I154+D154*(Half_gap*(Ceiling_e-I154))</f>
        <v>84.125</v>
      </c>
      <c r="K154" s="14" t="n">
        <f aca="false">J154+E154*(Half_gap*(Ceiling_e-J154))</f>
        <v>84.125</v>
      </c>
      <c r="O154" s="14" t="n">
        <f aca="false">Val_pt*(I154-E_zero)</f>
        <v>122.5</v>
      </c>
      <c r="P154" s="14" t="n">
        <f aca="false">Val_pt*(J154-E_zero)</f>
        <v>131.25</v>
      </c>
      <c r="Q154" s="14" t="n">
        <f aca="false">Val_pt*(K154-E_zero)</f>
        <v>131.25</v>
      </c>
      <c r="U154" s="14" t="n">
        <f aca="false">MAX(V154+Cost_round*C154-O154,IF(C154=1,Pre_q,0))</f>
        <v>470</v>
      </c>
      <c r="V154" s="14" t="n">
        <f aca="false">MAX(W154+Cost_round*D154-P154,IF(D154=1,Pre_q,0),Floor_q)</f>
        <v>470</v>
      </c>
      <c r="W154" s="14" t="n">
        <f aca="false">MAX(X154+Cost_round*E154-Q154,IF(E154=1,Pre_q,0),Floor_q)</f>
        <v>350</v>
      </c>
      <c r="X154" s="14" t="n">
        <f aca="false">MAX(End_q,Floor_q)</f>
        <v>470</v>
      </c>
      <c r="AB154" s="15" t="n">
        <f aca="false">IF($B$9&gt;=U154-0.000000001,1,0)</f>
        <v>0</v>
      </c>
      <c r="AC154" s="14" t="str">
        <f aca="false">IF($AB154=1,$B$9-Cost_round*C154+O154-V154,"")</f>
        <v/>
      </c>
      <c r="AD154" s="14" t="str">
        <f aca="false">IF($AB154=1,V154-Cost_round*D154+P154-W154,"")</f>
        <v/>
      </c>
      <c r="AE154" s="14" t="str">
        <f aca="false">IF($AB154=1,W154-Cost_round*E154+Q154-X154,"")</f>
        <v/>
      </c>
      <c r="AI154" s="21" t="str">
        <f aca="false">IF($AB154=1,AC154*1+AD154*Bias_b*Beta_y^1+AE154*Bias_b*Beta_y^2+Bias_b*Beta_y^2*Q154/Hurdle_r,"")</f>
        <v/>
      </c>
    </row>
    <row r="155" customFormat="false" ht="15" hidden="false" customHeight="false" outlineLevel="0" collapsed="false">
      <c r="A155" s="2" t="n">
        <v>7</v>
      </c>
      <c r="B155" s="2" t="str">
        <f aca="false">""&amp;C155&amp;D155&amp;E155</f>
        <v>111</v>
      </c>
      <c r="C155" s="15" t="n">
        <f aca="false">MOD(INT($A155/4),2)</f>
        <v>1</v>
      </c>
      <c r="D155" s="15" t="n">
        <f aca="false">MOD(INT($A155/2),2)</f>
        <v>1</v>
      </c>
      <c r="E155" s="15" t="n">
        <f aca="false">MOD(INT($A155/1),2)</f>
        <v>1</v>
      </c>
      <c r="I155" s="14" t="n">
        <f aca="false">$C$9+C155*(Half_gap*(Ceiling_e-$C$9))</f>
        <v>83.25</v>
      </c>
      <c r="J155" s="14" t="n">
        <f aca="false">I155+D155*(Half_gap*(Ceiling_e-I155))</f>
        <v>84.125</v>
      </c>
      <c r="K155" s="14" t="n">
        <f aca="false">J155+E155*(Half_gap*(Ceiling_e-J155))</f>
        <v>84.5625</v>
      </c>
      <c r="O155" s="14" t="n">
        <f aca="false">Val_pt*(I155-E_zero)</f>
        <v>122.5</v>
      </c>
      <c r="P155" s="14" t="n">
        <f aca="false">Val_pt*(J155-E_zero)</f>
        <v>131.25</v>
      </c>
      <c r="Q155" s="14" t="n">
        <f aca="false">Val_pt*(K155-E_zero)</f>
        <v>135.625</v>
      </c>
      <c r="U155" s="14" t="n">
        <f aca="false">MAX(V155+Cost_round*C155-O155,IF(C155=1,Pre_q,0))</f>
        <v>470</v>
      </c>
      <c r="V155" s="14" t="n">
        <f aca="false">MAX(W155+Cost_round*D155-P155,IF(D155=1,Pre_q,0),Floor_q)</f>
        <v>470</v>
      </c>
      <c r="W155" s="14" t="n">
        <f aca="false">MAX(X155+Cost_round*E155-Q155,IF(E155=1,Pre_q,0),Floor_q)</f>
        <v>470</v>
      </c>
      <c r="X155" s="14" t="n">
        <f aca="false">MAX(End_q,Floor_q)</f>
        <v>470</v>
      </c>
      <c r="AB155" s="15" t="n">
        <f aca="false">IF($B$9&gt;=U155-0.000000001,1,0)</f>
        <v>0</v>
      </c>
      <c r="AC155" s="14" t="str">
        <f aca="false">IF($AB155=1,$B$9-Cost_round*C155+O155-V155,"")</f>
        <v/>
      </c>
      <c r="AD155" s="14" t="str">
        <f aca="false">IF($AB155=1,V155-Cost_round*D155+P155-W155,"")</f>
        <v/>
      </c>
      <c r="AE155" s="14" t="str">
        <f aca="false">IF($AB155=1,W155-Cost_round*E155+Q155-X155,"")</f>
        <v/>
      </c>
      <c r="AI155" s="21" t="str">
        <f aca="false">IF($AB155=1,AC155*1+AD155*Bias_b*Beta_y^1+AE155*Bias_b*Beta_y^2+Bias_b*Beta_y^2*Q155/Hurdle_r,"")</f>
        <v/>
      </c>
    </row>
    <row r="158" customFormat="false" ht="15" hidden="false" customHeight="false" outlineLevel="0" collapsed="false">
      <c r="A158" s="4" t="s">
        <v>307</v>
      </c>
    </row>
    <row r="159" customFormat="false" ht="46.25" hidden="false" customHeight="false" outlineLevel="0" collapsed="false">
      <c r="A159" s="8" t="s">
        <v>78</v>
      </c>
      <c r="B159" s="8" t="s">
        <v>80</v>
      </c>
      <c r="C159" s="8" t="s">
        <v>81</v>
      </c>
      <c r="D159" s="8" t="s">
        <v>82</v>
      </c>
      <c r="E159" s="8"/>
      <c r="F159" s="8"/>
      <c r="G159" s="8"/>
      <c r="H159" s="8"/>
      <c r="I159" s="8" t="s">
        <v>87</v>
      </c>
      <c r="J159" s="8" t="s">
        <v>88</v>
      </c>
      <c r="K159" s="8"/>
      <c r="L159" s="8"/>
      <c r="M159" s="8"/>
      <c r="N159" s="8"/>
      <c r="O159" s="8" t="s">
        <v>93</v>
      </c>
      <c r="P159" s="8" t="s">
        <v>94</v>
      </c>
      <c r="Q159" s="8"/>
      <c r="R159" s="8"/>
      <c r="S159" s="8"/>
      <c r="T159" s="8"/>
      <c r="U159" s="8" t="s">
        <v>99</v>
      </c>
      <c r="V159" s="8" t="s">
        <v>100</v>
      </c>
      <c r="W159" s="8" t="s">
        <v>101</v>
      </c>
      <c r="X159" s="8"/>
      <c r="Y159" s="8"/>
      <c r="Z159" s="8"/>
      <c r="AA159" s="8"/>
      <c r="AB159" s="8" t="s">
        <v>106</v>
      </c>
      <c r="AC159" s="8" t="s">
        <v>107</v>
      </c>
      <c r="AD159" s="8" t="s">
        <v>108</v>
      </c>
      <c r="AE159" s="8"/>
      <c r="AF159" s="8"/>
      <c r="AG159" s="8"/>
      <c r="AH159" s="8"/>
      <c r="AI159" s="8" t="s">
        <v>303</v>
      </c>
    </row>
    <row r="160" customFormat="false" ht="15" hidden="false" customHeight="false" outlineLevel="0" collapsed="false">
      <c r="A160" s="2" t="n">
        <v>0</v>
      </c>
      <c r="B160" s="2" t="str">
        <f aca="false">""&amp;C160&amp;D160</f>
        <v>00</v>
      </c>
      <c r="C160" s="15" t="n">
        <f aca="false">MOD(INT($A160/2),2)</f>
        <v>0</v>
      </c>
      <c r="D160" s="15" t="n">
        <f aca="false">MOD(INT($A160/1),2)</f>
        <v>0</v>
      </c>
      <c r="I160" s="14" t="n">
        <f aca="false">$C$10+C160*(Half_gap*(Ceiling_e-$C$10))</f>
        <v>81.5</v>
      </c>
      <c r="J160" s="14" t="n">
        <f aca="false">I160+D160*(Half_gap*(Ceiling_e-I160))</f>
        <v>81.5</v>
      </c>
      <c r="O160" s="14" t="n">
        <f aca="false">Val_pt*(I160-E_zero)</f>
        <v>105</v>
      </c>
      <c r="P160" s="14" t="n">
        <f aca="false">Val_pt*(J160-E_zero)</f>
        <v>105</v>
      </c>
      <c r="U160" s="14" t="n">
        <f aca="false">MAX(V160+Cost_round*C160-O160,IF(C160=1,Pre_q,0))</f>
        <v>260</v>
      </c>
      <c r="V160" s="14" t="n">
        <f aca="false">MAX(W160+Cost_round*D160-P160,IF(D160=1,Pre_q,0),Floor_q)</f>
        <v>365</v>
      </c>
      <c r="W160" s="14" t="n">
        <f aca="false">MAX(End_q,Floor_q)</f>
        <v>470</v>
      </c>
      <c r="AB160" s="15" t="n">
        <f aca="false">IF($B$10&gt;=U160-0.000000001,1,0)</f>
        <v>1</v>
      </c>
      <c r="AC160" s="14" t="n">
        <f aca="false">IF($AB160=1,$B$10-Cost_round*C160+O160-V160,"")</f>
        <v>105</v>
      </c>
      <c r="AD160" s="14" t="n">
        <f aca="false">IF($AB160=1,V160-Cost_round*D160+P160-W160,"")</f>
        <v>0</v>
      </c>
      <c r="AI160" s="21" t="n">
        <f aca="false">IF($AB160=1,AC160*1+AD160*Bias_b*Beta_y^1+Bias_b*Beta_y^1*P160/Hurdle_r,"")</f>
        <v>964.090909090909</v>
      </c>
    </row>
    <row r="161" customFormat="false" ht="15" hidden="false" customHeight="false" outlineLevel="0" collapsed="false">
      <c r="A161" s="2" t="n">
        <v>1</v>
      </c>
      <c r="B161" s="2" t="str">
        <f aca="false">""&amp;C161&amp;D161</f>
        <v>01</v>
      </c>
      <c r="C161" s="15" t="n">
        <f aca="false">MOD(INT($A161/2),2)</f>
        <v>0</v>
      </c>
      <c r="D161" s="15" t="n">
        <f aca="false">MOD(INT($A161/1),2)</f>
        <v>1</v>
      </c>
      <c r="I161" s="14" t="n">
        <f aca="false">$C$10+C161*(Half_gap*(Ceiling_e-$C$10))</f>
        <v>81.5</v>
      </c>
      <c r="J161" s="14" t="n">
        <f aca="false">I161+D161*(Half_gap*(Ceiling_e-I161))</f>
        <v>83.25</v>
      </c>
      <c r="O161" s="14" t="n">
        <f aca="false">Val_pt*(I161-E_zero)</f>
        <v>105</v>
      </c>
      <c r="P161" s="14" t="n">
        <f aca="false">Val_pt*(J161-E_zero)</f>
        <v>122.5</v>
      </c>
      <c r="U161" s="14" t="n">
        <f aca="false">MAX(V161+Cost_round*C161-O161,IF(C161=1,Pre_q,0))</f>
        <v>365</v>
      </c>
      <c r="V161" s="14" t="n">
        <f aca="false">MAX(W161+Cost_round*D161-P161,IF(D161=1,Pre_q,0),Floor_q)</f>
        <v>470</v>
      </c>
      <c r="W161" s="14" t="n">
        <f aca="false">MAX(End_q,Floor_q)</f>
        <v>470</v>
      </c>
      <c r="AB161" s="15" t="n">
        <f aca="false">IF($B$10&gt;=U161-0.000000001,1,0)</f>
        <v>1</v>
      </c>
      <c r="AC161" s="14" t="n">
        <f aca="false">IF($AB161=1,$B$10-Cost_round*C161+O161-V161,"")</f>
        <v>0</v>
      </c>
      <c r="AD161" s="14" t="n">
        <f aca="false">IF($AB161=1,V161-Cost_round*D161+P161-W161,"")</f>
        <v>2.5</v>
      </c>
      <c r="AI161" s="21" t="n">
        <f aca="false">IF($AB161=1,AC161*1+AD161*Bias_b*Beta_y^1+Bias_b*Beta_y^1*P161/Hurdle_r,"")</f>
        <v>1004.31818181818</v>
      </c>
    </row>
    <row r="162" customFormat="false" ht="15" hidden="false" customHeight="false" outlineLevel="0" collapsed="false">
      <c r="A162" s="2" t="n">
        <v>2</v>
      </c>
      <c r="B162" s="2" t="str">
        <f aca="false">""&amp;C162&amp;D162</f>
        <v>10</v>
      </c>
      <c r="C162" s="15" t="n">
        <f aca="false">MOD(INT($A162/2),2)</f>
        <v>1</v>
      </c>
      <c r="D162" s="15" t="n">
        <f aca="false">MOD(INT($A162/1),2)</f>
        <v>0</v>
      </c>
      <c r="I162" s="14" t="n">
        <f aca="false">$C$10+C162*(Half_gap*(Ceiling_e-$C$10))</f>
        <v>83.25</v>
      </c>
      <c r="J162" s="14" t="n">
        <f aca="false">I162+D162*(Half_gap*(Ceiling_e-I162))</f>
        <v>83.25</v>
      </c>
      <c r="O162" s="14" t="n">
        <f aca="false">Val_pt*(I162-E_zero)</f>
        <v>122.5</v>
      </c>
      <c r="P162" s="14" t="n">
        <f aca="false">Val_pt*(J162-E_zero)</f>
        <v>122.5</v>
      </c>
      <c r="U162" s="14" t="n">
        <f aca="false">MAX(V162+Cost_round*C162-O162,IF(C162=1,Pre_q,0))</f>
        <v>470</v>
      </c>
      <c r="V162" s="14" t="n">
        <f aca="false">MAX(W162+Cost_round*D162-P162,IF(D162=1,Pre_q,0),Floor_q)</f>
        <v>350</v>
      </c>
      <c r="W162" s="14" t="n">
        <f aca="false">MAX(End_q,Floor_q)</f>
        <v>470</v>
      </c>
      <c r="AB162" s="15" t="n">
        <f aca="false">IF($B$10&gt;=U162-0.000000001,1,0)</f>
        <v>0</v>
      </c>
      <c r="AC162" s="14" t="str">
        <f aca="false">IF($AB162=1,$B$10-Cost_round*C162+O162-V162,"")</f>
        <v/>
      </c>
      <c r="AD162" s="14" t="str">
        <f aca="false">IF($AB162=1,V162-Cost_round*D162+P162-W162,"")</f>
        <v/>
      </c>
      <c r="AI162" s="21" t="str">
        <f aca="false">IF($AB162=1,AC162*1+AD162*Bias_b*Beta_y^1+Bias_b*Beta_y^1*P162/Hurdle_r,"")</f>
        <v/>
      </c>
    </row>
    <row r="163" customFormat="false" ht="15" hidden="false" customHeight="false" outlineLevel="0" collapsed="false">
      <c r="A163" s="2" t="n">
        <v>3</v>
      </c>
      <c r="B163" s="2" t="str">
        <f aca="false">""&amp;C163&amp;D163</f>
        <v>11</v>
      </c>
      <c r="C163" s="15" t="n">
        <f aca="false">MOD(INT($A163/2),2)</f>
        <v>1</v>
      </c>
      <c r="D163" s="15" t="n">
        <f aca="false">MOD(INT($A163/1),2)</f>
        <v>1</v>
      </c>
      <c r="I163" s="14" t="n">
        <f aca="false">$C$10+C163*(Half_gap*(Ceiling_e-$C$10))</f>
        <v>83.25</v>
      </c>
      <c r="J163" s="14" t="n">
        <f aca="false">I163+D163*(Half_gap*(Ceiling_e-I163))</f>
        <v>84.125</v>
      </c>
      <c r="O163" s="14" t="n">
        <f aca="false">Val_pt*(I163-E_zero)</f>
        <v>122.5</v>
      </c>
      <c r="P163" s="14" t="n">
        <f aca="false">Val_pt*(J163-E_zero)</f>
        <v>131.25</v>
      </c>
      <c r="U163" s="14" t="n">
        <f aca="false">MAX(V163+Cost_round*C163-O163,IF(C163=1,Pre_q,0))</f>
        <v>470</v>
      </c>
      <c r="V163" s="14" t="n">
        <f aca="false">MAX(W163+Cost_round*D163-P163,IF(D163=1,Pre_q,0),Floor_q)</f>
        <v>470</v>
      </c>
      <c r="W163" s="14" t="n">
        <f aca="false">MAX(End_q,Floor_q)</f>
        <v>470</v>
      </c>
      <c r="AB163" s="15" t="n">
        <f aca="false">IF($B$10&gt;=U163-0.000000001,1,0)</f>
        <v>0</v>
      </c>
      <c r="AC163" s="14" t="str">
        <f aca="false">IF($AB163=1,$B$10-Cost_round*C163+O163-V163,"")</f>
        <v/>
      </c>
      <c r="AD163" s="14" t="str">
        <f aca="false">IF($AB163=1,V163-Cost_round*D163+P163-W163,"")</f>
        <v/>
      </c>
      <c r="AI163" s="21" t="str">
        <f aca="false">IF($AB163=1,AC163*1+AD163*Bias_b*Beta_y^1+Bias_b*Beta_y^1*P163/Hurdle_r,"")</f>
        <v/>
      </c>
    </row>
    <row r="166" customFormat="false" ht="15" hidden="false" customHeight="false" outlineLevel="0" collapsed="false">
      <c r="A166" s="4" t="s">
        <v>308</v>
      </c>
    </row>
    <row r="167" customFormat="false" ht="46.25" hidden="false" customHeight="false" outlineLevel="0" collapsed="false">
      <c r="A167" s="8" t="s">
        <v>78</v>
      </c>
      <c r="B167" s="8" t="s">
        <v>80</v>
      </c>
      <c r="C167" s="8" t="s">
        <v>81</v>
      </c>
      <c r="D167" s="8"/>
      <c r="E167" s="8"/>
      <c r="F167" s="8"/>
      <c r="G167" s="8"/>
      <c r="H167" s="8"/>
      <c r="I167" s="8" t="s">
        <v>87</v>
      </c>
      <c r="J167" s="8"/>
      <c r="K167" s="8"/>
      <c r="L167" s="8"/>
      <c r="M167" s="8"/>
      <c r="N167" s="8"/>
      <c r="O167" s="8" t="s">
        <v>93</v>
      </c>
      <c r="P167" s="8"/>
      <c r="Q167" s="8"/>
      <c r="R167" s="8"/>
      <c r="S167" s="8"/>
      <c r="T167" s="8"/>
      <c r="U167" s="8" t="s">
        <v>99</v>
      </c>
      <c r="V167" s="8" t="s">
        <v>100</v>
      </c>
      <c r="W167" s="8"/>
      <c r="X167" s="8"/>
      <c r="Y167" s="8"/>
      <c r="Z167" s="8"/>
      <c r="AA167" s="8"/>
      <c r="AB167" s="8" t="s">
        <v>106</v>
      </c>
      <c r="AC167" s="8" t="s">
        <v>107</v>
      </c>
      <c r="AD167" s="8"/>
      <c r="AE167" s="8"/>
      <c r="AF167" s="8"/>
      <c r="AG167" s="8"/>
      <c r="AH167" s="8"/>
      <c r="AI167" s="8" t="s">
        <v>303</v>
      </c>
    </row>
    <row r="168" customFormat="false" ht="15" hidden="false" customHeight="false" outlineLevel="0" collapsed="false">
      <c r="A168" s="2" t="n">
        <v>0</v>
      </c>
      <c r="B168" s="2" t="str">
        <f aca="false">""&amp;C168</f>
        <v>0</v>
      </c>
      <c r="C168" s="15" t="n">
        <f aca="false">MOD(INT($A168/1),2)</f>
        <v>0</v>
      </c>
      <c r="I168" s="14" t="n">
        <f aca="false">$C$11+C168*(Half_gap*(Ceiling_e-$C$11))</f>
        <v>81.5</v>
      </c>
      <c r="O168" s="14" t="n">
        <f aca="false">Val_pt*(I168-E_zero)</f>
        <v>105</v>
      </c>
      <c r="U168" s="14" t="n">
        <f aca="false">MAX(V168+Cost_round*C168-O168,IF(C168=1,Pre_q,0))</f>
        <v>365</v>
      </c>
      <c r="V168" s="14" t="n">
        <f aca="false">MAX(End_q,Floor_q)</f>
        <v>470</v>
      </c>
      <c r="AB168" s="15" t="n">
        <f aca="false">IF($B$11&gt;=U168-0.000000001,1,0)</f>
        <v>1</v>
      </c>
      <c r="AC168" s="14" t="n">
        <f aca="false">IF($AB168=1,$B$11-Cost_round*C168+O168-V168,"")</f>
        <v>105</v>
      </c>
      <c r="AI168" s="21" t="n">
        <f aca="false">IF($AB168=1,AC168*1+1*O168/Hurdle_r,"")</f>
        <v>1155</v>
      </c>
    </row>
    <row r="169" customFormat="false" ht="15" hidden="false" customHeight="false" outlineLevel="0" collapsed="false">
      <c r="A169" s="2" t="n">
        <v>1</v>
      </c>
      <c r="B169" s="2" t="str">
        <f aca="false">""&amp;C169</f>
        <v>1</v>
      </c>
      <c r="C169" s="15" t="n">
        <f aca="false">MOD(INT($A169/1),2)</f>
        <v>1</v>
      </c>
      <c r="I169" s="14" t="n">
        <f aca="false">$C$11+C169*(Half_gap*(Ceiling_e-$C$11))</f>
        <v>83.25</v>
      </c>
      <c r="O169" s="14" t="n">
        <f aca="false">Val_pt*(I169-E_zero)</f>
        <v>122.5</v>
      </c>
      <c r="U169" s="14" t="n">
        <f aca="false">MAX(V169+Cost_round*C169-O169,IF(C169=1,Pre_q,0))</f>
        <v>470</v>
      </c>
      <c r="V169" s="14" t="n">
        <f aca="false">MAX(End_q,Floor_q)</f>
        <v>470</v>
      </c>
      <c r="AB169" s="15" t="n">
        <f aca="false">IF($B$11&gt;=U169-0.000000001,1,0)</f>
        <v>1</v>
      </c>
      <c r="AC169" s="14" t="n">
        <f aca="false">IF($AB169=1,$B$11-Cost_round*C169+O169-V169,"")</f>
        <v>2.5</v>
      </c>
      <c r="AI169" s="21" t="n">
        <f aca="false">IF($AB169=1,AC169*1+1*O169/Hurdle_r,"")</f>
        <v>1227.5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13"/>
    <col collapsed="false" customWidth="true" hidden="false" outlineLevel="0" max="5" min="5" style="0" width="11"/>
    <col collapsed="false" customWidth="true" hidden="false" outlineLevel="0" max="7" min="6" style="0" width="13"/>
    <col collapsed="false" customWidth="true" hidden="false" outlineLevel="0" max="9" min="8" style="0" width="11"/>
    <col collapsed="false" customWidth="true" hidden="false" outlineLevel="0" max="10" min="10" style="0" width="10"/>
    <col collapsed="false" customWidth="true" hidden="false" outlineLevel="0" max="11" min="11" style="0" width="13"/>
    <col collapsed="false" customWidth="true" hidden="false" outlineLevel="0" max="12" min="12" style="0" width="10"/>
    <col collapsed="false" customWidth="true" hidden="false" outlineLevel="0" max="18" min="13" style="0" width="9"/>
  </cols>
  <sheetData>
    <row r="1" customFormat="false" ht="15" hidden="false" customHeight="false" outlineLevel="0" collapsed="false">
      <c r="A1" s="1" t="s">
        <v>309</v>
      </c>
    </row>
    <row r="2" customFormat="false" ht="15" hidden="false" customHeight="false" outlineLevel="0" collapsed="false">
      <c r="A2" s="10" t="s">
        <v>310</v>
      </c>
    </row>
    <row r="4" customFormat="false" ht="15" hidden="false" customHeight="false" outlineLevel="0" collapsed="false">
      <c r="A4" s="4" t="s">
        <v>311</v>
      </c>
    </row>
    <row r="5" customFormat="false" ht="23.85" hidden="false" customHeight="false" outlineLevel="0" collapsed="false">
      <c r="A5" s="8" t="s">
        <v>50</v>
      </c>
      <c r="B5" s="8" t="s">
        <v>51</v>
      </c>
      <c r="C5" s="8" t="s">
        <v>52</v>
      </c>
      <c r="D5" s="8" t="s">
        <v>53</v>
      </c>
      <c r="E5" s="8" t="s">
        <v>54</v>
      </c>
      <c r="F5" s="8" t="s">
        <v>55</v>
      </c>
      <c r="G5" s="8" t="s">
        <v>56</v>
      </c>
      <c r="H5" s="8" t="s">
        <v>57</v>
      </c>
      <c r="I5" s="8" t="s">
        <v>58</v>
      </c>
      <c r="J5" s="8" t="s">
        <v>59</v>
      </c>
      <c r="K5" s="8" t="s">
        <v>60</v>
      </c>
    </row>
    <row r="6" customFormat="false" ht="15" hidden="false" customHeight="false" outlineLevel="0" collapsed="false">
      <c r="A6" s="2" t="n">
        <v>1</v>
      </c>
      <c r="B6" s="20" t="n">
        <f aca="false">BestPlan!B12</f>
        <v>1</v>
      </c>
      <c r="C6" s="14" t="n">
        <f aca="false">Q_zero</f>
        <v>620</v>
      </c>
      <c r="D6" s="15" t="n">
        <f aca="false">IF(AND(B6=1,C6&gt;=Pre_q-0.000000001),1,0)</f>
        <v>1</v>
      </c>
      <c r="E6" s="14" t="n">
        <f aca="false">E_zero+D6*(Half_gap*(Ceiling_e-E_zero)-Short_pt)</f>
        <v>77</v>
      </c>
      <c r="F6" s="14" t="n">
        <f aca="false">Val_pt*(E6-E_zero)</f>
        <v>60</v>
      </c>
      <c r="G6" s="18" t="n">
        <f aca="false">BestPlan!F12</f>
        <v>85</v>
      </c>
      <c r="H6" s="14" t="n">
        <f aca="false">C6-Cost_round*D6+F6-G6</f>
        <v>475</v>
      </c>
      <c r="I6" s="16" t="n">
        <f aca="false">Beta_y^A6</f>
        <v>0.909090909090909</v>
      </c>
      <c r="J6" s="14" t="n">
        <f aca="false">G6*I6</f>
        <v>77.2727272727273</v>
      </c>
      <c r="K6" s="2" t="str">
        <f aca="false">IF(AND(B6=1,D6=0),"round cannot start; ","")&amp;IF(H6&lt;Floor_q-0.000000001,"floor breached; ","")</f>
        <v/>
      </c>
    </row>
    <row r="7" customFormat="false" ht="15" hidden="false" customHeight="false" outlineLevel="0" collapsed="false">
      <c r="A7" s="2" t="n">
        <v>2</v>
      </c>
      <c r="B7" s="20" t="n">
        <f aca="false">BestPlan!B13</f>
        <v>1</v>
      </c>
      <c r="C7" s="14" t="n">
        <f aca="false">H6</f>
        <v>475</v>
      </c>
      <c r="D7" s="15" t="n">
        <f aca="false">IF(AND(B7=1,C7&gt;=Pre_q-0.000000001),1,0)</f>
        <v>1</v>
      </c>
      <c r="E7" s="14" t="n">
        <f aca="false">E6+D7*(Half_gap*(Ceiling_e-E6)-Short_pt)</f>
        <v>80</v>
      </c>
      <c r="F7" s="14" t="n">
        <f aca="false">Val_pt*(E7-E_zero)</f>
        <v>90</v>
      </c>
      <c r="G7" s="18" t="n">
        <f aca="false">BestPlan!F13</f>
        <v>0</v>
      </c>
      <c r="H7" s="14" t="n">
        <f aca="false">C7-Cost_round*D7+F7-G7</f>
        <v>445</v>
      </c>
      <c r="I7" s="16" t="n">
        <f aca="false">Beta_y^A7</f>
        <v>0.826446280991735</v>
      </c>
      <c r="J7" s="14" t="n">
        <f aca="false">G7*I7</f>
        <v>0</v>
      </c>
      <c r="K7" s="2" t="str">
        <f aca="false">IF(AND(B7=1,D7=0),"round cannot start; ","")&amp;IF(H7&lt;Floor_q-0.000000001,"floor breached; ","")</f>
        <v/>
      </c>
    </row>
    <row r="8" customFormat="false" ht="15" hidden="false" customHeight="false" outlineLevel="0" collapsed="false">
      <c r="A8" s="2" t="n">
        <v>3</v>
      </c>
      <c r="B8" s="20" t="n">
        <f aca="false">BestPlan!B14</f>
        <v>1</v>
      </c>
      <c r="C8" s="14" t="n">
        <f aca="false">H7</f>
        <v>445</v>
      </c>
      <c r="D8" s="15" t="n">
        <f aca="false">IF(AND(B8=1,C8&gt;=Pre_q-0.000000001),1,0)</f>
        <v>0</v>
      </c>
      <c r="E8" s="14" t="n">
        <f aca="false">E7+D8*(Half_gap*(Ceiling_e-E7)-Short_pt)</f>
        <v>80</v>
      </c>
      <c r="F8" s="14" t="n">
        <f aca="false">Val_pt*(E8-E_zero)</f>
        <v>90</v>
      </c>
      <c r="G8" s="18" t="n">
        <f aca="false">BestPlan!F14</f>
        <v>122.5</v>
      </c>
      <c r="H8" s="14" t="n">
        <f aca="false">C8-Cost_round*D8+F8-G8</f>
        <v>412.5</v>
      </c>
      <c r="I8" s="16" t="n">
        <f aca="false">Beta_y^A8</f>
        <v>0.751314800901578</v>
      </c>
      <c r="J8" s="14" t="n">
        <f aca="false">G8*I8</f>
        <v>92.0360631104433</v>
      </c>
      <c r="K8" s="2" t="str">
        <f aca="false">IF(AND(B8=1,D8=0),"round cannot start; ","")&amp;IF(H8&lt;Floor_q-0.000000001,"floor breached; ","")</f>
        <v>round cannot start; </v>
      </c>
    </row>
    <row r="9" customFormat="false" ht="15" hidden="false" customHeight="false" outlineLevel="0" collapsed="false">
      <c r="A9" s="2" t="n">
        <v>4</v>
      </c>
      <c r="B9" s="20" t="n">
        <f aca="false">BestPlan!B15</f>
        <v>0</v>
      </c>
      <c r="C9" s="14" t="n">
        <f aca="false">H8</f>
        <v>412.5</v>
      </c>
      <c r="D9" s="15" t="n">
        <f aca="false">IF(AND(B9=1,C9&gt;=Pre_q-0.000000001),1,0)</f>
        <v>0</v>
      </c>
      <c r="E9" s="14" t="n">
        <f aca="false">E8+D9*(Half_gap*(Ceiling_e-E8)-Short_pt)</f>
        <v>80</v>
      </c>
      <c r="F9" s="14" t="n">
        <f aca="false">Val_pt*(E9-E_zero)</f>
        <v>90</v>
      </c>
      <c r="G9" s="18" t="n">
        <f aca="false">BestPlan!F15</f>
        <v>122.5</v>
      </c>
      <c r="H9" s="14" t="n">
        <f aca="false">C9-Cost_round*D9+F9-G9</f>
        <v>380</v>
      </c>
      <c r="I9" s="16" t="n">
        <f aca="false">Beta_y^A9</f>
        <v>0.683013455365071</v>
      </c>
      <c r="J9" s="14" t="n">
        <f aca="false">G9*I9</f>
        <v>83.6691482822212</v>
      </c>
      <c r="K9" s="2" t="str">
        <f aca="false">IF(AND(B9=1,D9=0),"round cannot start; ","")&amp;IF(H9&lt;Floor_q-0.000000001,"floor breached; ","")</f>
        <v/>
      </c>
    </row>
    <row r="10" customFormat="false" ht="15" hidden="false" customHeight="false" outlineLevel="0" collapsed="false">
      <c r="A10" s="2" t="n">
        <v>5</v>
      </c>
      <c r="B10" s="20" t="n">
        <f aca="false">BestPlan!B16</f>
        <v>0</v>
      </c>
      <c r="C10" s="14" t="n">
        <f aca="false">H9</f>
        <v>380</v>
      </c>
      <c r="D10" s="15" t="n">
        <f aca="false">IF(AND(B10=1,C10&gt;=Pre_q-0.000000001),1,0)</f>
        <v>0</v>
      </c>
      <c r="E10" s="14" t="n">
        <f aca="false">E9+D10*(Half_gap*(Ceiling_e-E9)-Short_pt)</f>
        <v>80</v>
      </c>
      <c r="F10" s="14" t="n">
        <f aca="false">Val_pt*(E10-E_zero)</f>
        <v>90</v>
      </c>
      <c r="G10" s="18" t="n">
        <f aca="false">BestPlan!F16</f>
        <v>122.5</v>
      </c>
      <c r="H10" s="14" t="n">
        <f aca="false">C10-Cost_round*D10+F10-G10</f>
        <v>347.5</v>
      </c>
      <c r="I10" s="16" t="n">
        <f aca="false">Beta_y^A10</f>
        <v>0.620921323059155</v>
      </c>
      <c r="J10" s="14" t="n">
        <f aca="false">G10*I10</f>
        <v>76.0628620747465</v>
      </c>
      <c r="K10" s="2" t="str">
        <f aca="false">IF(AND(B10=1,D10=0),"round cannot start; ","")&amp;IF(H10&lt;Floor_q-0.000000001,"floor breached; ","")</f>
        <v>floor breached; </v>
      </c>
    </row>
    <row r="11" customFormat="false" ht="15" hidden="false" customHeight="false" outlineLevel="0" collapsed="false">
      <c r="A11" s="2" t="n">
        <v>6</v>
      </c>
      <c r="B11" s="20" t="n">
        <f aca="false">BestPlan!B17</f>
        <v>0</v>
      </c>
      <c r="C11" s="14" t="n">
        <f aca="false">H10</f>
        <v>347.5</v>
      </c>
      <c r="D11" s="15" t="n">
        <f aca="false">IF(AND(B11=1,C11&gt;=Pre_q-0.000000001),1,0)</f>
        <v>0</v>
      </c>
      <c r="E11" s="14" t="n">
        <f aca="false">E10+D11*(Half_gap*(Ceiling_e-E10)-Short_pt)</f>
        <v>80</v>
      </c>
      <c r="F11" s="14" t="n">
        <f aca="false">Val_pt*(E11-E_zero)</f>
        <v>90</v>
      </c>
      <c r="G11" s="18" t="n">
        <f aca="false">BestPlan!F17</f>
        <v>2.5</v>
      </c>
      <c r="H11" s="14" t="n">
        <f aca="false">C11-Cost_round*D11+F11-G11</f>
        <v>435</v>
      </c>
      <c r="I11" s="16" t="n">
        <f aca="false">Beta_y^A11</f>
        <v>0.564473930053777</v>
      </c>
      <c r="J11" s="14" t="n">
        <f aca="false">G11*I11</f>
        <v>1.41118482513444</v>
      </c>
      <c r="K11" s="2" t="str">
        <f aca="false">IF(AND(B11=1,D11=0),"round cannot start; ","")&amp;IF(H11&lt;Floor_q-0.000000001,"floor breached; ","")&amp;IF(H11&lt;End_q-0.000000001,"end condition missed","")</f>
        <v>end condition missed</v>
      </c>
    </row>
    <row r="13" customFormat="false" ht="15" hidden="false" customHeight="false" outlineLevel="0" collapsed="false">
      <c r="A13" s="2" t="s">
        <v>61</v>
      </c>
      <c r="H13" s="15" t="n">
        <f aca="false">SUM(D6:D11)</f>
        <v>2</v>
      </c>
    </row>
    <row r="14" customFormat="false" ht="15" hidden="false" customHeight="false" outlineLevel="0" collapsed="false">
      <c r="A14" s="2" t="s">
        <v>62</v>
      </c>
      <c r="H14" s="15" t="n">
        <f aca="false">SUMPRODUCT((B6:B11=1)*(D6:D11=0))</f>
        <v>1</v>
      </c>
    </row>
    <row r="15" customFormat="false" ht="15" hidden="false" customHeight="false" outlineLevel="0" collapsed="false">
      <c r="A15" s="2" t="s">
        <v>63</v>
      </c>
      <c r="H15" s="15" t="n">
        <f aca="false">COUNTIF(H6:H11,"&lt;"&amp;(Floor_q-0.000000001))</f>
        <v>1</v>
      </c>
    </row>
    <row r="16" customFormat="false" ht="15" hidden="false" customHeight="false" outlineLevel="0" collapsed="false">
      <c r="A16" s="2" t="s">
        <v>64</v>
      </c>
      <c r="H16" s="14" t="n">
        <f aca="false">H11</f>
        <v>435</v>
      </c>
    </row>
    <row r="17" customFormat="false" ht="15" hidden="false" customHeight="false" outlineLevel="0" collapsed="false">
      <c r="A17" s="2" t="s">
        <v>65</v>
      </c>
      <c r="H17" s="2" t="str">
        <f aca="false">IF(H11&gt;=End_q-0.000000001,"kept","missed")</f>
        <v>missed</v>
      </c>
    </row>
    <row r="18" customFormat="false" ht="15" hidden="false" customHeight="false" outlineLevel="0" collapsed="false">
      <c r="A18" s="2" t="s">
        <v>66</v>
      </c>
      <c r="H18" s="17" t="n">
        <f aca="false">SUM(J6:J11)</f>
        <v>330.451985565273</v>
      </c>
    </row>
    <row r="19" customFormat="false" ht="15" hidden="false" customHeight="false" outlineLevel="0" collapsed="false">
      <c r="A19" s="2" t="s">
        <v>67</v>
      </c>
      <c r="H19" s="17" t="n">
        <f aca="false">I11*F11/Hurdle_r</f>
        <v>508.0265370484</v>
      </c>
    </row>
    <row r="20" customFormat="false" ht="15" hidden="false" customHeight="false" outlineLevel="0" collapsed="false">
      <c r="A20" s="2" t="s">
        <v>68</v>
      </c>
      <c r="H20" s="17" t="str">
        <f aca="false">IF(H15&gt;0,"--",H18+H19)</f>
        <v>--</v>
      </c>
    </row>
    <row r="23" customFormat="false" ht="15" hidden="false" customHeight="false" outlineLevel="0" collapsed="false">
      <c r="A23" s="4" t="s">
        <v>312</v>
      </c>
    </row>
    <row r="24" customFormat="false" ht="23.85" hidden="false" customHeight="false" outlineLevel="0" collapsed="false">
      <c r="A24" s="8" t="s">
        <v>50</v>
      </c>
      <c r="B24" s="8" t="s">
        <v>139</v>
      </c>
      <c r="C24" s="8" t="s">
        <v>52</v>
      </c>
      <c r="D24" s="8" t="s">
        <v>313</v>
      </c>
      <c r="E24" s="8" t="s">
        <v>55</v>
      </c>
      <c r="F24" s="8" t="s">
        <v>314</v>
      </c>
      <c r="G24" s="8" t="s">
        <v>315</v>
      </c>
      <c r="H24" s="8" t="s">
        <v>56</v>
      </c>
      <c r="I24" s="8" t="s">
        <v>57</v>
      </c>
      <c r="J24" s="8" t="s">
        <v>58</v>
      </c>
      <c r="K24" s="8" t="s">
        <v>59</v>
      </c>
    </row>
    <row r="25" customFormat="false" ht="15" hidden="false" customHeight="false" outlineLevel="0" collapsed="false">
      <c r="A25" s="2" t="n">
        <v>1</v>
      </c>
      <c r="B25" s="20" t="n">
        <f aca="false">BestPlan!B12</f>
        <v>1</v>
      </c>
      <c r="C25" s="14" t="n">
        <f aca="false">Q_zero</f>
        <v>620</v>
      </c>
      <c r="D25" s="14" t="n">
        <f aca="false">E_zero+B25*(Half_gap*(Ceiling_e-E_zero)-Short_pt)</f>
        <v>77</v>
      </c>
      <c r="E25" s="14" t="n">
        <f aca="false">Val_pt*(D25-E_zero)</f>
        <v>60</v>
      </c>
      <c r="F25" s="14" t="n">
        <f aca="false">C25-Cost_round*B25+E25</f>
        <v>560</v>
      </c>
      <c r="G25" s="18" t="n">
        <f aca="false">M34</f>
        <v>500</v>
      </c>
      <c r="H25" s="14" t="n">
        <f aca="false">MAX(0,F25-G25)</f>
        <v>60</v>
      </c>
      <c r="I25" s="14" t="n">
        <f aca="false">F25-H25</f>
        <v>500</v>
      </c>
      <c r="J25" s="16" t="n">
        <f aca="false">Beta_y^A25</f>
        <v>0.909090909090909</v>
      </c>
      <c r="K25" s="17" t="n">
        <f aca="false">H25*J25</f>
        <v>54.5454545454546</v>
      </c>
    </row>
    <row r="26" customFormat="false" ht="15" hidden="false" customHeight="false" outlineLevel="0" collapsed="false">
      <c r="A26" s="2" t="n">
        <v>2</v>
      </c>
      <c r="B26" s="15" t="n">
        <f aca="false">INDEX(ShortfallKnown!$E$8:$E$71,MATCH(MAX(ShortfallKnown!$AL$8:$AL$71),ShortfallKnown!$AL$8:$AL$71,0))</f>
        <v>1</v>
      </c>
      <c r="C26" s="14" t="n">
        <f aca="false">I25</f>
        <v>500</v>
      </c>
      <c r="D26" s="14" t="n">
        <f aca="false">D25+B26*(Half_gap*(Ceiling_e-D25)-Short_pt)</f>
        <v>80</v>
      </c>
      <c r="E26" s="14" t="n">
        <f aca="false">Val_pt*(D26-E_zero)</f>
        <v>90</v>
      </c>
      <c r="F26" s="14" t="n">
        <f aca="false">C26-Cost_round*B26+E26</f>
        <v>470</v>
      </c>
      <c r="G26" s="18" t="n">
        <f aca="false">N35</f>
        <v>470</v>
      </c>
      <c r="H26" s="14" t="n">
        <f aca="false">MAX(0,F26-G26)</f>
        <v>0</v>
      </c>
      <c r="I26" s="14" t="n">
        <f aca="false">F26-H26</f>
        <v>470</v>
      </c>
      <c r="J26" s="16" t="n">
        <f aca="false">Beta_y^A26</f>
        <v>0.826446280991735</v>
      </c>
      <c r="K26" s="17" t="n">
        <f aca="false">H26*J26</f>
        <v>0</v>
      </c>
    </row>
    <row r="27" customFormat="false" ht="15" hidden="false" customHeight="false" outlineLevel="0" collapsed="false">
      <c r="A27" s="2" t="n">
        <v>3</v>
      </c>
      <c r="B27" s="15" t="n">
        <f aca="false">INDEX(ShortfallKnown!$F$8:$F$71,MATCH(MAX(ShortfallKnown!$AL$8:$AL$71),ShortfallKnown!$AL$8:$AL$71,0))</f>
        <v>1</v>
      </c>
      <c r="C27" s="14" t="n">
        <f aca="false">I26</f>
        <v>470</v>
      </c>
      <c r="D27" s="14" t="n">
        <f aca="false">D26+B27*(Half_gap*(Ceiling_e-D26)-Short_pt)</f>
        <v>81.5</v>
      </c>
      <c r="E27" s="14" t="n">
        <f aca="false">Val_pt*(D27-E_zero)</f>
        <v>105</v>
      </c>
      <c r="F27" s="14" t="n">
        <f aca="false">C27-Cost_round*B27+E27</f>
        <v>455</v>
      </c>
      <c r="G27" s="18" t="n">
        <f aca="false">O36</f>
        <v>350</v>
      </c>
      <c r="H27" s="14" t="n">
        <f aca="false">MAX(0,F27-G27)</f>
        <v>105</v>
      </c>
      <c r="I27" s="14" t="n">
        <f aca="false">F27-H27</f>
        <v>350</v>
      </c>
      <c r="J27" s="16" t="n">
        <f aca="false">Beta_y^A27</f>
        <v>0.751314800901578</v>
      </c>
      <c r="K27" s="17" t="n">
        <f aca="false">H27*J27</f>
        <v>78.8880540946657</v>
      </c>
    </row>
    <row r="28" customFormat="false" ht="15" hidden="false" customHeight="false" outlineLevel="0" collapsed="false">
      <c r="A28" s="2" t="n">
        <v>4</v>
      </c>
      <c r="B28" s="15" t="n">
        <f aca="false">INDEX(ShortfallKnown!$G$8:$G$71,MATCH(MAX(ShortfallKnown!$AL$8:$AL$71),ShortfallKnown!$AL$8:$AL$71,0))</f>
        <v>0</v>
      </c>
      <c r="C28" s="14" t="n">
        <f aca="false">I27</f>
        <v>350</v>
      </c>
      <c r="D28" s="14" t="n">
        <f aca="false">D27+B28*(Half_gap*(Ceiling_e-D27)-Short_pt)</f>
        <v>81.5</v>
      </c>
      <c r="E28" s="14" t="n">
        <f aca="false">Val_pt*(D28-E_zero)</f>
        <v>105</v>
      </c>
      <c r="F28" s="14" t="n">
        <f aca="false">C28-Cost_round*B28+E28</f>
        <v>455</v>
      </c>
      <c r="G28" s="18" t="n">
        <f aca="false">P37</f>
        <v>350</v>
      </c>
      <c r="H28" s="14" t="n">
        <f aca="false">MAX(0,F28-G28)</f>
        <v>105</v>
      </c>
      <c r="I28" s="14" t="n">
        <f aca="false">F28-H28</f>
        <v>350</v>
      </c>
      <c r="J28" s="16" t="n">
        <f aca="false">Beta_y^A28</f>
        <v>0.683013455365071</v>
      </c>
      <c r="K28" s="17" t="n">
        <f aca="false">H28*J28</f>
        <v>71.7164128133324</v>
      </c>
    </row>
    <row r="29" customFormat="false" ht="15" hidden="false" customHeight="false" outlineLevel="0" collapsed="false">
      <c r="A29" s="2" t="n">
        <v>5</v>
      </c>
      <c r="B29" s="15" t="n">
        <f aca="false">INDEX(ShortfallKnown!$H$8:$H$71,MATCH(MAX(ShortfallKnown!$AL$8:$AL$71),ShortfallKnown!$AL$8:$AL$71,0))</f>
        <v>0</v>
      </c>
      <c r="C29" s="14" t="n">
        <f aca="false">I28</f>
        <v>350</v>
      </c>
      <c r="D29" s="14" t="n">
        <f aca="false">D28+B29*(Half_gap*(Ceiling_e-D28)-Short_pt)</f>
        <v>81.5</v>
      </c>
      <c r="E29" s="14" t="n">
        <f aca="false">Val_pt*(D29-E_zero)</f>
        <v>105</v>
      </c>
      <c r="F29" s="14" t="n">
        <f aca="false">C29-Cost_round*B29+E29</f>
        <v>455</v>
      </c>
      <c r="G29" s="18" t="n">
        <f aca="false">Q38</f>
        <v>365</v>
      </c>
      <c r="H29" s="14" t="n">
        <f aca="false">MAX(0,F29-G29)</f>
        <v>90</v>
      </c>
      <c r="I29" s="14" t="n">
        <f aca="false">F29-H29</f>
        <v>365</v>
      </c>
      <c r="J29" s="16" t="n">
        <f aca="false">Beta_y^A29</f>
        <v>0.620921323059155</v>
      </c>
      <c r="K29" s="17" t="n">
        <f aca="false">H29*J29</f>
        <v>55.882919075324</v>
      </c>
    </row>
    <row r="30" customFormat="false" ht="15" hidden="false" customHeight="false" outlineLevel="0" collapsed="false">
      <c r="A30" s="2" t="n">
        <v>6</v>
      </c>
      <c r="B30" s="15" t="n">
        <f aca="false">INDEX(ShortfallKnown!$I$8:$I$71,MATCH(MAX(ShortfallKnown!$AL$8:$AL$71),ShortfallKnown!$AL$8:$AL$71,0))</f>
        <v>0</v>
      </c>
      <c r="C30" s="14" t="n">
        <f aca="false">I29</f>
        <v>365</v>
      </c>
      <c r="D30" s="14" t="n">
        <f aca="false">D29+B30*(Half_gap*(Ceiling_e-D29)-Short_pt)</f>
        <v>81.5</v>
      </c>
      <c r="E30" s="14" t="n">
        <f aca="false">Val_pt*(D30-E_zero)</f>
        <v>105</v>
      </c>
      <c r="F30" s="14" t="n">
        <f aca="false">C30-Cost_round*B30+E30</f>
        <v>470</v>
      </c>
      <c r="G30" s="14" t="n">
        <f aca="false">MAX(End_q,Floor_q)</f>
        <v>470</v>
      </c>
      <c r="H30" s="14" t="n">
        <f aca="false">MAX(0,F30-G30)</f>
        <v>0</v>
      </c>
      <c r="I30" s="14" t="n">
        <f aca="false">F30-H30</f>
        <v>470</v>
      </c>
      <c r="J30" s="16" t="n">
        <f aca="false">Beta_y^A30</f>
        <v>0.564473930053777</v>
      </c>
      <c r="K30" s="17" t="n">
        <f aca="false">H30*J30</f>
        <v>0</v>
      </c>
    </row>
    <row r="32" customFormat="false" ht="15" hidden="false" customHeight="false" outlineLevel="0" collapsed="false">
      <c r="A32" s="10" t="s">
        <v>316</v>
      </c>
    </row>
    <row r="33" customFormat="false" ht="15" hidden="false" customHeight="false" outlineLevel="0" collapsed="false">
      <c r="A33" s="8" t="s">
        <v>317</v>
      </c>
      <c r="B33" s="8" t="s">
        <v>87</v>
      </c>
      <c r="C33" s="8" t="s">
        <v>88</v>
      </c>
      <c r="D33" s="8" t="s">
        <v>89</v>
      </c>
      <c r="E33" s="8" t="s">
        <v>90</v>
      </c>
      <c r="F33" s="8" t="s">
        <v>91</v>
      </c>
      <c r="G33" s="8" t="s">
        <v>92</v>
      </c>
      <c r="H33" s="8" t="s">
        <v>94</v>
      </c>
      <c r="I33" s="8" t="s">
        <v>95</v>
      </c>
      <c r="J33" s="8" t="s">
        <v>96</v>
      </c>
      <c r="K33" s="8" t="s">
        <v>97</v>
      </c>
      <c r="L33" s="8" t="s">
        <v>98</v>
      </c>
      <c r="M33" s="8" t="s">
        <v>100</v>
      </c>
      <c r="N33" s="8" t="s">
        <v>101</v>
      </c>
      <c r="O33" s="8" t="s">
        <v>102</v>
      </c>
      <c r="P33" s="8" t="s">
        <v>103</v>
      </c>
      <c r="Q33" s="8" t="s">
        <v>104</v>
      </c>
      <c r="R33" s="8" t="s">
        <v>105</v>
      </c>
    </row>
    <row r="34" customFormat="false" ht="15" hidden="false" customHeight="false" outlineLevel="0" collapsed="false">
      <c r="A34" s="2" t="n">
        <v>1</v>
      </c>
      <c r="B34" s="18" t="n">
        <f aca="false">D25</f>
        <v>77</v>
      </c>
      <c r="C34" s="14" t="n">
        <f aca="false">B34+$B$26*(Half_gap*(Ceiling_e-B34)-Short_pt)</f>
        <v>80</v>
      </c>
      <c r="D34" s="14" t="n">
        <f aca="false">C34+$B$27*(Half_gap*(Ceiling_e-C34)-Short_pt)</f>
        <v>81.5</v>
      </c>
      <c r="E34" s="14" t="n">
        <f aca="false">D34+$B$28*(Half_gap*(Ceiling_e-D34)-Short_pt)</f>
        <v>81.5</v>
      </c>
      <c r="F34" s="14" t="n">
        <f aca="false">E34+$B$29*(Half_gap*(Ceiling_e-E34)-Short_pt)</f>
        <v>81.5</v>
      </c>
      <c r="G34" s="14" t="n">
        <f aca="false">F34+$B$30*(Half_gap*(Ceiling_e-F34)-Short_pt)</f>
        <v>81.5</v>
      </c>
      <c r="H34" s="14" t="n">
        <f aca="false">Val_pt*(C34-E_zero)</f>
        <v>90</v>
      </c>
      <c r="I34" s="14" t="n">
        <f aca="false">Val_pt*(D34-E_zero)</f>
        <v>105</v>
      </c>
      <c r="J34" s="14" t="n">
        <f aca="false">Val_pt*(E34-E_zero)</f>
        <v>105</v>
      </c>
      <c r="K34" s="14" t="n">
        <f aca="false">Val_pt*(F34-E_zero)</f>
        <v>105</v>
      </c>
      <c r="L34" s="14" t="n">
        <f aca="false">Val_pt*(G34-E_zero)</f>
        <v>105</v>
      </c>
      <c r="M34" s="14" t="n">
        <f aca="false">MAX(N34+Cost_round*$B$26-H34,IF($B$26=1,Pre_q,0),Floor_q)</f>
        <v>500</v>
      </c>
      <c r="N34" s="14" t="n">
        <f aca="false">MAX(O34+Cost_round*$B$27-I34,IF($B$27=1,Pre_q,0),Floor_q)</f>
        <v>470</v>
      </c>
      <c r="O34" s="14" t="n">
        <f aca="false">MAX(P34+Cost_round*$B$28-J34,IF($B$28=1,Pre_q,0),Floor_q)</f>
        <v>350</v>
      </c>
      <c r="P34" s="14" t="n">
        <f aca="false">MAX(Q34+Cost_round*$B$29-K34,IF($B$29=1,Pre_q,0),Floor_q)</f>
        <v>350</v>
      </c>
      <c r="Q34" s="14" t="n">
        <f aca="false">MAX(R34+Cost_round*$B$30-L34,IF($B$30=1,Pre_q,0),Floor_q)</f>
        <v>365</v>
      </c>
      <c r="R34" s="14" t="n">
        <f aca="false">MAX(End_q,Floor_q)</f>
        <v>470</v>
      </c>
    </row>
    <row r="35" customFormat="false" ht="15" hidden="false" customHeight="false" outlineLevel="0" collapsed="false">
      <c r="A35" s="2" t="n">
        <v>2</v>
      </c>
      <c r="C35" s="18" t="n">
        <f aca="false">D26</f>
        <v>80</v>
      </c>
      <c r="D35" s="14" t="n">
        <f aca="false">C35+$B$27*(Half_gap*(Ceiling_e-C35)-Short_pt)</f>
        <v>81.5</v>
      </c>
      <c r="E35" s="14" t="n">
        <f aca="false">D35+$B$28*(Half_gap*(Ceiling_e-D35)-Short_pt)</f>
        <v>81.5</v>
      </c>
      <c r="F35" s="14" t="n">
        <f aca="false">E35+$B$29*(Half_gap*(Ceiling_e-E35)-Short_pt)</f>
        <v>81.5</v>
      </c>
      <c r="G35" s="14" t="n">
        <f aca="false">F35+$B$30*(Half_gap*(Ceiling_e-F35)-Short_pt)</f>
        <v>81.5</v>
      </c>
      <c r="I35" s="14" t="n">
        <f aca="false">Val_pt*(D35-E_zero)</f>
        <v>105</v>
      </c>
      <c r="J35" s="14" t="n">
        <f aca="false">Val_pt*(E35-E_zero)</f>
        <v>105</v>
      </c>
      <c r="K35" s="14" t="n">
        <f aca="false">Val_pt*(F35-E_zero)</f>
        <v>105</v>
      </c>
      <c r="L35" s="14" t="n">
        <f aca="false">Val_pt*(G35-E_zero)</f>
        <v>105</v>
      </c>
      <c r="N35" s="14" t="n">
        <f aca="false">MAX(O35+Cost_round*$B$27-I35,IF($B$27=1,Pre_q,0),Floor_q)</f>
        <v>470</v>
      </c>
      <c r="O35" s="14" t="n">
        <f aca="false">MAX(P35+Cost_round*$B$28-J35,IF($B$28=1,Pre_q,0),Floor_q)</f>
        <v>350</v>
      </c>
      <c r="P35" s="14" t="n">
        <f aca="false">MAX(Q35+Cost_round*$B$29-K35,IF($B$29=1,Pre_q,0),Floor_q)</f>
        <v>350</v>
      </c>
      <c r="Q35" s="14" t="n">
        <f aca="false">MAX(R35+Cost_round*$B$30-L35,IF($B$30=1,Pre_q,0),Floor_q)</f>
        <v>365</v>
      </c>
      <c r="R35" s="14" t="n">
        <f aca="false">MAX(End_q,Floor_q)</f>
        <v>470</v>
      </c>
    </row>
    <row r="36" customFormat="false" ht="15" hidden="false" customHeight="false" outlineLevel="0" collapsed="false">
      <c r="A36" s="2" t="n">
        <v>3</v>
      </c>
      <c r="D36" s="18" t="n">
        <f aca="false">D27</f>
        <v>81.5</v>
      </c>
      <c r="E36" s="14" t="n">
        <f aca="false">D36+$B$28*(Half_gap*(Ceiling_e-D36)-Short_pt)</f>
        <v>81.5</v>
      </c>
      <c r="F36" s="14" t="n">
        <f aca="false">E36+$B$29*(Half_gap*(Ceiling_e-E36)-Short_pt)</f>
        <v>81.5</v>
      </c>
      <c r="G36" s="14" t="n">
        <f aca="false">F36+$B$30*(Half_gap*(Ceiling_e-F36)-Short_pt)</f>
        <v>81.5</v>
      </c>
      <c r="J36" s="14" t="n">
        <f aca="false">Val_pt*(E36-E_zero)</f>
        <v>105</v>
      </c>
      <c r="K36" s="14" t="n">
        <f aca="false">Val_pt*(F36-E_zero)</f>
        <v>105</v>
      </c>
      <c r="L36" s="14" t="n">
        <f aca="false">Val_pt*(G36-E_zero)</f>
        <v>105</v>
      </c>
      <c r="O36" s="14" t="n">
        <f aca="false">MAX(P36+Cost_round*$B$28-J36,IF($B$28=1,Pre_q,0),Floor_q)</f>
        <v>350</v>
      </c>
      <c r="P36" s="14" t="n">
        <f aca="false">MAX(Q36+Cost_round*$B$29-K36,IF($B$29=1,Pre_q,0),Floor_q)</f>
        <v>350</v>
      </c>
      <c r="Q36" s="14" t="n">
        <f aca="false">MAX(R36+Cost_round*$B$30-L36,IF($B$30=1,Pre_q,0),Floor_q)</f>
        <v>365</v>
      </c>
      <c r="R36" s="14" t="n">
        <f aca="false">MAX(End_q,Floor_q)</f>
        <v>470</v>
      </c>
    </row>
    <row r="37" customFormat="false" ht="15" hidden="false" customHeight="false" outlineLevel="0" collapsed="false">
      <c r="A37" s="2" t="n">
        <v>4</v>
      </c>
      <c r="E37" s="18" t="n">
        <f aca="false">D28</f>
        <v>81.5</v>
      </c>
      <c r="F37" s="14" t="n">
        <f aca="false">E37+$B$29*(Half_gap*(Ceiling_e-E37)-Short_pt)</f>
        <v>81.5</v>
      </c>
      <c r="G37" s="14" t="n">
        <f aca="false">F37+$B$30*(Half_gap*(Ceiling_e-F37)-Short_pt)</f>
        <v>81.5</v>
      </c>
      <c r="K37" s="14" t="n">
        <f aca="false">Val_pt*(F37-E_zero)</f>
        <v>105</v>
      </c>
      <c r="L37" s="14" t="n">
        <f aca="false">Val_pt*(G37-E_zero)</f>
        <v>105</v>
      </c>
      <c r="P37" s="14" t="n">
        <f aca="false">MAX(Q37+Cost_round*$B$29-K37,IF($B$29=1,Pre_q,0),Floor_q)</f>
        <v>350</v>
      </c>
      <c r="Q37" s="14" t="n">
        <f aca="false">MAX(R37+Cost_round*$B$30-L37,IF($B$30=1,Pre_q,0),Floor_q)</f>
        <v>365</v>
      </c>
      <c r="R37" s="14" t="n">
        <f aca="false">MAX(End_q,Floor_q)</f>
        <v>470</v>
      </c>
    </row>
    <row r="38" customFormat="false" ht="15" hidden="false" customHeight="false" outlineLevel="0" collapsed="false">
      <c r="A38" s="2" t="n">
        <v>5</v>
      </c>
      <c r="F38" s="18" t="n">
        <f aca="false">D29</f>
        <v>81.5</v>
      </c>
      <c r="G38" s="14" t="n">
        <f aca="false">F38+$B$30*(Half_gap*(Ceiling_e-F38)-Short_pt)</f>
        <v>81.5</v>
      </c>
      <c r="L38" s="14" t="n">
        <f aca="false">Val_pt*(G38-E_zero)</f>
        <v>105</v>
      </c>
      <c r="Q38" s="14" t="n">
        <f aca="false">MAX(R38+Cost_round*$B$30-L38,IF($B$30=1,Pre_q,0),Floor_q)</f>
        <v>365</v>
      </c>
      <c r="R38" s="14" t="n">
        <f aca="false">MAX(End_q,Floor_q)</f>
        <v>470</v>
      </c>
    </row>
    <row r="40" customFormat="false" ht="15" hidden="false" customHeight="false" outlineLevel="0" collapsed="false">
      <c r="A40" s="2" t="s">
        <v>318</v>
      </c>
      <c r="H40" s="15" t="n">
        <f aca="false">SUM(B25:B30)</f>
        <v>3</v>
      </c>
    </row>
    <row r="41" customFormat="false" ht="15" hidden="false" customHeight="false" outlineLevel="0" collapsed="false">
      <c r="A41" s="2" t="s">
        <v>319</v>
      </c>
      <c r="H41" s="14" t="n">
        <f aca="false">MIN(I25:I30)</f>
        <v>350</v>
      </c>
      <c r="I41" s="14" t="n">
        <f aca="false">I30</f>
        <v>470</v>
      </c>
    </row>
    <row r="42" customFormat="false" ht="15" hidden="false" customHeight="false" outlineLevel="0" collapsed="false">
      <c r="A42" s="2" t="s">
        <v>301</v>
      </c>
      <c r="H42" s="2" t="str">
        <f aca="false">IF(AND(MIN(I25:I30)&gt;=Floor_q-0.000000001,I30&gt;=End_q-0.000000001,SUMPRODUCT((B25:B30=1)*(C25:C30&lt;Pre_q-0.000000001))=0),"kept","breached")</f>
        <v>kept</v>
      </c>
    </row>
    <row r="43" customFormat="false" ht="15" hidden="false" customHeight="false" outlineLevel="0" collapsed="false">
      <c r="A43" s="2" t="s">
        <v>320</v>
      </c>
      <c r="H43" s="17" t="n">
        <f aca="false">SUM(K25:K30)+J30*E30/Hurdle_r</f>
        <v>853.730467085243</v>
      </c>
    </row>
    <row r="44" customFormat="false" ht="15" hidden="false" customHeight="false" outlineLevel="0" collapsed="false">
      <c r="A44" s="2" t="s">
        <v>321</v>
      </c>
      <c r="H44" s="17" t="n">
        <f aca="false">MAX(ShortfallKnown!$AL$8:$AL$71)</f>
        <v>853.730467085243</v>
      </c>
    </row>
    <row r="45" customFormat="false" ht="15" hidden="false" customHeight="false" outlineLevel="0" collapsed="false">
      <c r="A45" s="2" t="s">
        <v>322</v>
      </c>
      <c r="H45" s="2" t="str">
        <f aca="false">INDEX(ShortfallKnown!$B$8:$B$71,MATCH(MAX(ShortfallKnown!$AL$8:$AL$71),ShortfallKnown!$AL$8:$AL$71,0))</f>
        <v>111000</v>
      </c>
    </row>
    <row r="48" customFormat="false" ht="15" hidden="false" customHeight="false" outlineLevel="0" collapsed="false">
      <c r="A48" s="4" t="s">
        <v>323</v>
      </c>
    </row>
    <row r="49" customFormat="false" ht="23.85" hidden="false" customHeight="false" outlineLevel="0" collapsed="false">
      <c r="A49" s="8" t="s">
        <v>50</v>
      </c>
      <c r="B49" s="8" t="s">
        <v>51</v>
      </c>
      <c r="C49" s="8" t="s">
        <v>52</v>
      </c>
      <c r="D49" s="8" t="s">
        <v>53</v>
      </c>
      <c r="E49" s="8" t="s">
        <v>54</v>
      </c>
      <c r="F49" s="8" t="s">
        <v>55</v>
      </c>
      <c r="G49" s="8" t="s">
        <v>56</v>
      </c>
      <c r="H49" s="8" t="s">
        <v>57</v>
      </c>
      <c r="I49" s="8" t="s">
        <v>58</v>
      </c>
      <c r="J49" s="8" t="s">
        <v>59</v>
      </c>
      <c r="K49" s="8" t="s">
        <v>60</v>
      </c>
    </row>
    <row r="50" customFormat="false" ht="15" hidden="false" customHeight="false" outlineLevel="0" collapsed="false">
      <c r="A50" s="2" t="n">
        <v>1</v>
      </c>
      <c r="B50" s="13" t="n">
        <v>1</v>
      </c>
      <c r="C50" s="14" t="n">
        <f aca="false">Q_zero</f>
        <v>620</v>
      </c>
      <c r="D50" s="15" t="n">
        <f aca="false">IF(AND(B50=1,C50&gt;=Pre_q-0.000000001),1,0)</f>
        <v>1</v>
      </c>
      <c r="E50" s="14" t="n">
        <f aca="false">E_zero+D50*(Half_gap*(Ceiling_e-E_zero)-Short_pt)</f>
        <v>77</v>
      </c>
      <c r="F50" s="14" t="n">
        <f aca="false">Val_pt*(E50-E_zero)</f>
        <v>60</v>
      </c>
      <c r="G50" s="14" t="n">
        <f aca="false">MAX(0,C50-Cost_round*D50+F50-Floor_q)</f>
        <v>210</v>
      </c>
      <c r="H50" s="14" t="n">
        <f aca="false">C50-Cost_round*D50+F50-G50</f>
        <v>350</v>
      </c>
      <c r="I50" s="16" t="n">
        <f aca="false">Beta_y^A50</f>
        <v>0.909090909090909</v>
      </c>
      <c r="J50" s="14" t="n">
        <f aca="false">G50*I50</f>
        <v>190.909090909091</v>
      </c>
      <c r="K50" s="2" t="str">
        <f aca="false">IF(AND(B50=1,D50=0),"round cannot start; ","")&amp;IF(H50&lt;Floor_q-0.000000001,"floor breached; ","")</f>
        <v/>
      </c>
    </row>
    <row r="51" customFormat="false" ht="15" hidden="false" customHeight="false" outlineLevel="0" collapsed="false">
      <c r="A51" s="2" t="n">
        <v>2</v>
      </c>
      <c r="B51" s="13" t="n">
        <v>1</v>
      </c>
      <c r="C51" s="14" t="n">
        <f aca="false">H50</f>
        <v>350</v>
      </c>
      <c r="D51" s="15" t="n">
        <f aca="false">IF(AND(B51=1,C51&gt;=Pre_q-0.000000001),1,0)</f>
        <v>0</v>
      </c>
      <c r="E51" s="14" t="n">
        <f aca="false">E50+D51*(Half_gap*(Ceiling_e-E50)-Short_pt)</f>
        <v>77</v>
      </c>
      <c r="F51" s="14" t="n">
        <f aca="false">Val_pt*(E51-E_zero)</f>
        <v>60</v>
      </c>
      <c r="G51" s="14" t="n">
        <f aca="false">MAX(0,C51-Cost_round*D51+F51-Floor_q)</f>
        <v>60</v>
      </c>
      <c r="H51" s="14" t="n">
        <f aca="false">C51-Cost_round*D51+F51-G51</f>
        <v>350</v>
      </c>
      <c r="I51" s="16" t="n">
        <f aca="false">Beta_y^A51</f>
        <v>0.826446280991735</v>
      </c>
      <c r="J51" s="14" t="n">
        <f aca="false">G51*I51</f>
        <v>49.5867768595041</v>
      </c>
      <c r="K51" s="2" t="str">
        <f aca="false">IF(AND(B51=1,D51=0),"round cannot start; ","")&amp;IF(H51&lt;Floor_q-0.000000001,"floor breached; ","")</f>
        <v>round cannot start; </v>
      </c>
    </row>
    <row r="52" customFormat="false" ht="15" hidden="false" customHeight="false" outlineLevel="0" collapsed="false">
      <c r="A52" s="2" t="n">
        <v>3</v>
      </c>
      <c r="B52" s="13" t="n">
        <v>1</v>
      </c>
      <c r="C52" s="14" t="n">
        <f aca="false">H51</f>
        <v>350</v>
      </c>
      <c r="D52" s="15" t="n">
        <f aca="false">IF(AND(B52=1,C52&gt;=Pre_q-0.000000001),1,0)</f>
        <v>0</v>
      </c>
      <c r="E52" s="14" t="n">
        <f aca="false">E51+D52*(Half_gap*(Ceiling_e-E51)-Short_pt)</f>
        <v>77</v>
      </c>
      <c r="F52" s="14" t="n">
        <f aca="false">Val_pt*(E52-E_zero)</f>
        <v>60</v>
      </c>
      <c r="G52" s="14" t="n">
        <f aca="false">MAX(0,C52-Cost_round*D52+F52-Floor_q)</f>
        <v>60</v>
      </c>
      <c r="H52" s="14" t="n">
        <f aca="false">C52-Cost_round*D52+F52-G52</f>
        <v>350</v>
      </c>
      <c r="I52" s="16" t="n">
        <f aca="false">Beta_y^A52</f>
        <v>0.751314800901578</v>
      </c>
      <c r="J52" s="14" t="n">
        <f aca="false">G52*I52</f>
        <v>45.0788880540947</v>
      </c>
      <c r="K52" s="2" t="str">
        <f aca="false">IF(AND(B52=1,D52=0),"round cannot start; ","")&amp;IF(H52&lt;Floor_q-0.000000001,"floor breached; ","")</f>
        <v>round cannot start; </v>
      </c>
    </row>
    <row r="53" customFormat="false" ht="15" hidden="false" customHeight="false" outlineLevel="0" collapsed="false">
      <c r="A53" s="2" t="n">
        <v>4</v>
      </c>
      <c r="B53" s="13" t="n">
        <v>0</v>
      </c>
      <c r="C53" s="14" t="n">
        <f aca="false">H52</f>
        <v>350</v>
      </c>
      <c r="D53" s="15" t="n">
        <f aca="false">IF(AND(B53=1,C53&gt;=Pre_q-0.000000001),1,0)</f>
        <v>0</v>
      </c>
      <c r="E53" s="14" t="n">
        <f aca="false">E52+D53*(Half_gap*(Ceiling_e-E52)-Short_pt)</f>
        <v>77</v>
      </c>
      <c r="F53" s="14" t="n">
        <f aca="false">Val_pt*(E53-E_zero)</f>
        <v>60</v>
      </c>
      <c r="G53" s="14" t="n">
        <f aca="false">MAX(0,C53-Cost_round*D53+F53-Floor_q)</f>
        <v>60</v>
      </c>
      <c r="H53" s="14" t="n">
        <f aca="false">C53-Cost_round*D53+F53-G53</f>
        <v>350</v>
      </c>
      <c r="I53" s="16" t="n">
        <f aca="false">Beta_y^A53</f>
        <v>0.683013455365071</v>
      </c>
      <c r="J53" s="14" t="n">
        <f aca="false">G53*I53</f>
        <v>40.9808073219042</v>
      </c>
      <c r="K53" s="2" t="str">
        <f aca="false">IF(AND(B53=1,D53=0),"round cannot start; ","")&amp;IF(H53&lt;Floor_q-0.000000001,"floor breached; ","")</f>
        <v/>
      </c>
    </row>
    <row r="54" customFormat="false" ht="15" hidden="false" customHeight="false" outlineLevel="0" collapsed="false">
      <c r="A54" s="2" t="n">
        <v>5</v>
      </c>
      <c r="B54" s="13" t="n">
        <v>0</v>
      </c>
      <c r="C54" s="14" t="n">
        <f aca="false">H53</f>
        <v>350</v>
      </c>
      <c r="D54" s="15" t="n">
        <f aca="false">IF(AND(B54=1,C54&gt;=Pre_q-0.000000001),1,0)</f>
        <v>0</v>
      </c>
      <c r="E54" s="14" t="n">
        <f aca="false">E53+D54*(Half_gap*(Ceiling_e-E53)-Short_pt)</f>
        <v>77</v>
      </c>
      <c r="F54" s="14" t="n">
        <f aca="false">Val_pt*(E54-E_zero)</f>
        <v>60</v>
      </c>
      <c r="G54" s="14" t="n">
        <f aca="false">MAX(0,C54-Cost_round*D54+F54-Floor_q)</f>
        <v>60</v>
      </c>
      <c r="H54" s="14" t="n">
        <f aca="false">C54-Cost_round*D54+F54-G54</f>
        <v>350</v>
      </c>
      <c r="I54" s="16" t="n">
        <f aca="false">Beta_y^A54</f>
        <v>0.620921323059155</v>
      </c>
      <c r="J54" s="14" t="n">
        <f aca="false">G54*I54</f>
        <v>37.2552793835493</v>
      </c>
      <c r="K54" s="2" t="str">
        <f aca="false">IF(AND(B54=1,D54=0),"round cannot start; ","")&amp;IF(H54&lt;Floor_q-0.000000001,"floor breached; ","")</f>
        <v/>
      </c>
    </row>
    <row r="55" customFormat="false" ht="15" hidden="false" customHeight="false" outlineLevel="0" collapsed="false">
      <c r="A55" s="2" t="n">
        <v>6</v>
      </c>
      <c r="B55" s="13" t="n">
        <v>0</v>
      </c>
      <c r="C55" s="14" t="n">
        <f aca="false">H54</f>
        <v>350</v>
      </c>
      <c r="D55" s="15" t="n">
        <f aca="false">IF(AND(B55=1,C55&gt;=Pre_q-0.000000001),1,0)</f>
        <v>0</v>
      </c>
      <c r="E55" s="14" t="n">
        <f aca="false">E54+D55*(Half_gap*(Ceiling_e-E54)-Short_pt)</f>
        <v>77</v>
      </c>
      <c r="F55" s="14" t="n">
        <f aca="false">Val_pt*(E55-E_zero)</f>
        <v>60</v>
      </c>
      <c r="G55" s="14" t="n">
        <f aca="false">MAX(0,C55-Cost_round*D55+F55-Floor_q)</f>
        <v>60</v>
      </c>
      <c r="H55" s="14" t="n">
        <f aca="false">C55-Cost_round*D55+F55-G55</f>
        <v>350</v>
      </c>
      <c r="I55" s="16" t="n">
        <f aca="false">Beta_y^A55</f>
        <v>0.564473930053777</v>
      </c>
      <c r="J55" s="14" t="n">
        <f aca="false">G55*I55</f>
        <v>33.8684358032266</v>
      </c>
      <c r="K55" s="2" t="str">
        <f aca="false">IF(AND(B55=1,D55=0),"round cannot start; ","")&amp;IF(H55&lt;Floor_q-0.000000001,"floor breached; ","")&amp;IF(H55&lt;End_q-0.000000001,"end condition missed","")</f>
        <v>end condition missed</v>
      </c>
    </row>
    <row r="57" customFormat="false" ht="15" hidden="false" customHeight="false" outlineLevel="0" collapsed="false">
      <c r="A57" s="2" t="s">
        <v>61</v>
      </c>
      <c r="H57" s="15" t="n">
        <f aca="false">SUM(D50:D55)</f>
        <v>1</v>
      </c>
    </row>
    <row r="58" customFormat="false" ht="15" hidden="false" customHeight="false" outlineLevel="0" collapsed="false">
      <c r="A58" s="2" t="s">
        <v>62</v>
      </c>
      <c r="H58" s="15" t="n">
        <f aca="false">SUMPRODUCT((B50:B55=1)*(D50:D55=0))</f>
        <v>2</v>
      </c>
    </row>
    <row r="59" customFormat="false" ht="15" hidden="false" customHeight="false" outlineLevel="0" collapsed="false">
      <c r="A59" s="2" t="s">
        <v>63</v>
      </c>
      <c r="H59" s="15" t="n">
        <f aca="false">COUNTIF(H50:H55,"&lt;"&amp;(Floor_q-0.000000001))</f>
        <v>0</v>
      </c>
    </row>
    <row r="60" customFormat="false" ht="15" hidden="false" customHeight="false" outlineLevel="0" collapsed="false">
      <c r="A60" s="2" t="s">
        <v>64</v>
      </c>
      <c r="H60" s="14" t="n">
        <f aca="false">H55</f>
        <v>350</v>
      </c>
    </row>
    <row r="61" customFormat="false" ht="15" hidden="false" customHeight="false" outlineLevel="0" collapsed="false">
      <c r="A61" s="2" t="s">
        <v>65</v>
      </c>
      <c r="H61" s="2" t="str">
        <f aca="false">IF(H55&gt;=End_q-0.000000001,"kept","missed")</f>
        <v>missed</v>
      </c>
    </row>
    <row r="62" customFormat="false" ht="15" hidden="false" customHeight="false" outlineLevel="0" collapsed="false">
      <c r="A62" s="2" t="s">
        <v>66</v>
      </c>
      <c r="H62" s="17" t="n">
        <f aca="false">SUM(J50:J55)</f>
        <v>397.67927833137</v>
      </c>
    </row>
    <row r="63" customFormat="false" ht="15" hidden="false" customHeight="false" outlineLevel="0" collapsed="false">
      <c r="A63" s="2" t="s">
        <v>67</v>
      </c>
      <c r="H63" s="17" t="n">
        <f aca="false">I55*F55/Hurdle_r</f>
        <v>338.684358032266</v>
      </c>
    </row>
    <row r="64" customFormat="false" ht="15" hidden="false" customHeight="false" outlineLevel="0" collapsed="false">
      <c r="A64" s="2" t="s">
        <v>68</v>
      </c>
      <c r="H64" s="17" t="n">
        <f aca="false">IF(H59&gt;0,"--",H62+H63)</f>
        <v>736.363636363636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7"/>
    <col collapsed="false" customWidth="true" hidden="false" outlineLevel="0" max="9" min="4" style="0" width="6"/>
    <col collapsed="false" customWidth="true" hidden="false" outlineLevel="0" max="28" min="10" style="0" width="7"/>
    <col collapsed="false" customWidth="true" hidden="false" outlineLevel="0" max="29" min="29" style="0" width="11"/>
    <col collapsed="false" customWidth="true" hidden="false" outlineLevel="0" max="35" min="30" style="0" width="8"/>
    <col collapsed="false" customWidth="true" hidden="false" outlineLevel="0" max="36" min="36" style="0" width="9"/>
    <col collapsed="false" customWidth="true" hidden="false" outlineLevel="0" max="37" min="37" style="0" width="11"/>
    <col collapsed="false" customWidth="true" hidden="false" outlineLevel="0" max="38" min="38" style="0" width="12"/>
  </cols>
  <sheetData>
    <row r="1" customFormat="false" ht="15" hidden="false" customHeight="false" outlineLevel="0" collapsed="false">
      <c r="A1" s="1" t="s">
        <v>324</v>
      </c>
    </row>
    <row r="2" customFormat="false" ht="15" hidden="false" customHeight="false" outlineLevel="0" collapsed="false">
      <c r="A2" s="10" t="s">
        <v>74</v>
      </c>
    </row>
    <row r="3" customFormat="false" ht="15" hidden="false" customHeight="false" outlineLevel="0" collapsed="false">
      <c r="A3" s="10" t="s">
        <v>75</v>
      </c>
    </row>
    <row r="4" customFormat="false" ht="15" hidden="false" customHeight="false" outlineLevel="0" collapsed="false">
      <c r="A4" s="2" t="s">
        <v>76</v>
      </c>
      <c r="F4" s="18" t="n">
        <f aca="false">Short_pt</f>
        <v>1</v>
      </c>
    </row>
    <row r="7" customFormat="false" ht="46.25" hidden="false" customHeight="false" outlineLevel="0" collapsed="false">
      <c r="A7" s="8" t="s">
        <v>78</v>
      </c>
      <c r="B7" s="8" t="s">
        <v>79</v>
      </c>
      <c r="C7" s="8" t="s">
        <v>80</v>
      </c>
      <c r="D7" s="8" t="s">
        <v>81</v>
      </c>
      <c r="E7" s="8" t="s">
        <v>82</v>
      </c>
      <c r="F7" s="8" t="s">
        <v>83</v>
      </c>
      <c r="G7" s="8" t="s">
        <v>84</v>
      </c>
      <c r="H7" s="8" t="s">
        <v>85</v>
      </c>
      <c r="I7" s="8" t="s">
        <v>86</v>
      </c>
      <c r="J7" s="8" t="s">
        <v>87</v>
      </c>
      <c r="K7" s="8" t="s">
        <v>88</v>
      </c>
      <c r="L7" s="8" t="s">
        <v>89</v>
      </c>
      <c r="M7" s="8" t="s">
        <v>90</v>
      </c>
      <c r="N7" s="8" t="s">
        <v>91</v>
      </c>
      <c r="O7" s="8" t="s">
        <v>92</v>
      </c>
      <c r="P7" s="8" t="s">
        <v>93</v>
      </c>
      <c r="Q7" s="8" t="s">
        <v>94</v>
      </c>
      <c r="R7" s="8" t="s">
        <v>95</v>
      </c>
      <c r="S7" s="8" t="s">
        <v>96</v>
      </c>
      <c r="T7" s="8" t="s">
        <v>97</v>
      </c>
      <c r="U7" s="8" t="s">
        <v>98</v>
      </c>
      <c r="V7" s="8" t="s">
        <v>99</v>
      </c>
      <c r="W7" s="8" t="s">
        <v>100</v>
      </c>
      <c r="X7" s="8" t="s">
        <v>101</v>
      </c>
      <c r="Y7" s="8" t="s">
        <v>102</v>
      </c>
      <c r="Z7" s="8" t="s">
        <v>103</v>
      </c>
      <c r="AA7" s="8" t="s">
        <v>104</v>
      </c>
      <c r="AB7" s="8" t="s">
        <v>105</v>
      </c>
      <c r="AC7" s="8" t="s">
        <v>106</v>
      </c>
      <c r="AD7" s="8" t="s">
        <v>107</v>
      </c>
      <c r="AE7" s="8" t="s">
        <v>108</v>
      </c>
      <c r="AF7" s="8" t="s">
        <v>109</v>
      </c>
      <c r="AG7" s="8" t="s">
        <v>110</v>
      </c>
      <c r="AH7" s="8" t="s">
        <v>111</v>
      </c>
      <c r="AI7" s="8" t="s">
        <v>112</v>
      </c>
      <c r="AJ7" s="8" t="s">
        <v>113</v>
      </c>
      <c r="AK7" s="8" t="s">
        <v>114</v>
      </c>
      <c r="AL7" s="8" t="s">
        <v>115</v>
      </c>
    </row>
    <row r="8" customFormat="false" ht="15" hidden="false" customHeight="false" outlineLevel="0" collapsed="false">
      <c r="A8" s="2" t="n">
        <v>0</v>
      </c>
      <c r="B8" s="2" t="str">
        <f aca="false">D8&amp;E8&amp;F8&amp;G8&amp;H8&amp;I8</f>
        <v>000000</v>
      </c>
      <c r="C8" s="15" t="n">
        <f aca="false">SUM(D8:I8)</f>
        <v>0</v>
      </c>
      <c r="D8" s="15" t="n">
        <f aca="false">MOD(INT($A8/32),2)</f>
        <v>0</v>
      </c>
      <c r="E8" s="15" t="n">
        <f aca="false">MOD(INT($A8/16),2)</f>
        <v>0</v>
      </c>
      <c r="F8" s="15" t="n">
        <f aca="false">MOD(INT($A8/8),2)</f>
        <v>0</v>
      </c>
      <c r="G8" s="15" t="n">
        <f aca="false">MOD(INT($A8/4),2)</f>
        <v>0</v>
      </c>
      <c r="H8" s="15" t="n">
        <f aca="false">MOD(INT($A8/2),2)</f>
        <v>0</v>
      </c>
      <c r="I8" s="15" t="n">
        <f aca="false">MOD(INT($A8/1),2)</f>
        <v>0</v>
      </c>
      <c r="J8" s="14" t="n">
        <f aca="false">E_zero+D8*(Half_gap*(Ceiling_e-E_zero)-$F$4)</f>
        <v>71</v>
      </c>
      <c r="K8" s="14" t="n">
        <f aca="false">J8+E8*(Half_gap*(Ceiling_e-J8)-$F$4)</f>
        <v>71</v>
      </c>
      <c r="L8" s="14" t="n">
        <f aca="false">K8+F8*(Half_gap*(Ceiling_e-K8)-$F$4)</f>
        <v>71</v>
      </c>
      <c r="M8" s="14" t="n">
        <f aca="false">L8+G8*(Half_gap*(Ceiling_e-L8)-$F$4)</f>
        <v>71</v>
      </c>
      <c r="N8" s="14" t="n">
        <f aca="false">M8+H8*(Half_gap*(Ceiling_e-M8)-$F$4)</f>
        <v>71</v>
      </c>
      <c r="O8" s="14" t="n">
        <f aca="false">N8+I8*(Half_gap*(Ceiling_e-N8)-$F$4)</f>
        <v>71</v>
      </c>
      <c r="P8" s="14" t="n">
        <f aca="false">Val_pt*(J8-E_zero)</f>
        <v>0</v>
      </c>
      <c r="Q8" s="14" t="n">
        <f aca="false">Val_pt*(K8-E_zero)</f>
        <v>0</v>
      </c>
      <c r="R8" s="14" t="n">
        <f aca="false">Val_pt*(L8-E_zero)</f>
        <v>0</v>
      </c>
      <c r="S8" s="14" t="n">
        <f aca="false">Val_pt*(M8-E_zero)</f>
        <v>0</v>
      </c>
      <c r="T8" s="14" t="n">
        <f aca="false">Val_pt*(N8-E_zero)</f>
        <v>0</v>
      </c>
      <c r="U8" s="14" t="n">
        <f aca="false">Val_pt*(O8-E_zero)</f>
        <v>0</v>
      </c>
      <c r="V8" s="14" t="n">
        <f aca="false">MAX(W8+Cost_round*D8-P8,IF(D8=1,Pre_q,0))</f>
        <v>470</v>
      </c>
      <c r="W8" s="14" t="n">
        <f aca="false">MAX(X8+Cost_round*E8-Q8,IF(E8=1,Pre_q,0),Floor_q)</f>
        <v>470</v>
      </c>
      <c r="X8" s="14" t="n">
        <f aca="false">MAX(Y8+Cost_round*F8-R8,IF(F8=1,Pre_q,0),Floor_q)</f>
        <v>470</v>
      </c>
      <c r="Y8" s="14" t="n">
        <f aca="false">MAX(Z8+Cost_round*G8-S8,IF(G8=1,Pre_q,0),Floor_q)</f>
        <v>470</v>
      </c>
      <c r="Z8" s="14" t="n">
        <f aca="false">MAX(AA8+Cost_round*H8-T8,IF(H8=1,Pre_q,0),Floor_q)</f>
        <v>470</v>
      </c>
      <c r="AA8" s="14" t="n">
        <f aca="false">MAX(AB8+Cost_round*I8-U8,IF(I8=1,Pre_q,0),Floor_q)</f>
        <v>470</v>
      </c>
      <c r="AB8" s="14" t="n">
        <f aca="false">MAX(End_q,Floor_q)</f>
        <v>470</v>
      </c>
      <c r="AC8" s="15" t="n">
        <f aca="false">IF(Q_zero&gt;=V8-0.000000001,1,0)</f>
        <v>1</v>
      </c>
      <c r="AD8" s="14" t="n">
        <f aca="false">IF($AC8=1,Q_zero-Cost_round*D8+P8-W8,"")</f>
        <v>150</v>
      </c>
      <c r="AE8" s="14" t="n">
        <f aca="false">IF($AC8=1,W8-Cost_round*E8+Q8-X8,"")</f>
        <v>0</v>
      </c>
      <c r="AF8" s="14" t="n">
        <f aca="false">IF($AC8=1,X8-Cost_round*F8+R8-Y8,"")</f>
        <v>0</v>
      </c>
      <c r="AG8" s="14" t="n">
        <f aca="false">IF($AC8=1,Y8-Cost_round*G8+S8-Z8,"")</f>
        <v>0</v>
      </c>
      <c r="AH8" s="14" t="n">
        <f aca="false">IF($AC8=1,Z8-Cost_round*H8+T8-AA8,"")</f>
        <v>0</v>
      </c>
      <c r="AI8" s="14" t="n">
        <f aca="false">IF($AC8=1,AA8-Cost_round*I8+U8-AB8,"")</f>
        <v>0</v>
      </c>
      <c r="AJ8" s="14" t="n">
        <f aca="false">IF($AC8=1,SUM(AD8:AI8),"")</f>
        <v>150</v>
      </c>
      <c r="AK8" s="17" t="n">
        <f aca="false">IF($AC8=1,AD8*Beta_y^1+AE8*Beta_y^2+AF8*Beta_y^3+AG8*Beta_y^4+AH8*Beta_y^5+AI8*Beta_y^6,"")</f>
        <v>136.363636363636</v>
      </c>
      <c r="AL8" s="17" t="n">
        <f aca="false">IF($AC8=1,AK8+Beta_y^6*U8/Hurdle_r,"")</f>
        <v>136.363636363636</v>
      </c>
    </row>
    <row r="9" customFormat="false" ht="15" hidden="false" customHeight="false" outlineLevel="0" collapsed="false">
      <c r="A9" s="2" t="n">
        <v>1</v>
      </c>
      <c r="B9" s="2" t="str">
        <f aca="false">D9&amp;E9&amp;F9&amp;G9&amp;H9&amp;I9</f>
        <v>000001</v>
      </c>
      <c r="C9" s="15" t="n">
        <f aca="false">SUM(D9:I9)</f>
        <v>1</v>
      </c>
      <c r="D9" s="15" t="n">
        <f aca="false">MOD(INT($A9/32),2)</f>
        <v>0</v>
      </c>
      <c r="E9" s="15" t="n">
        <f aca="false">MOD(INT($A9/16),2)</f>
        <v>0</v>
      </c>
      <c r="F9" s="15" t="n">
        <f aca="false">MOD(INT($A9/8),2)</f>
        <v>0</v>
      </c>
      <c r="G9" s="15" t="n">
        <f aca="false">MOD(INT($A9/4),2)</f>
        <v>0</v>
      </c>
      <c r="H9" s="15" t="n">
        <f aca="false">MOD(INT($A9/2),2)</f>
        <v>0</v>
      </c>
      <c r="I9" s="15" t="n">
        <f aca="false">MOD(INT($A9/1),2)</f>
        <v>1</v>
      </c>
      <c r="J9" s="14" t="n">
        <f aca="false">E_zero+D9*(Half_gap*(Ceiling_e-E_zero)-$F$4)</f>
        <v>71</v>
      </c>
      <c r="K9" s="14" t="n">
        <f aca="false">J9+E9*(Half_gap*(Ceiling_e-J9)-$F$4)</f>
        <v>71</v>
      </c>
      <c r="L9" s="14" t="n">
        <f aca="false">K9+F9*(Half_gap*(Ceiling_e-K9)-$F$4)</f>
        <v>71</v>
      </c>
      <c r="M9" s="14" t="n">
        <f aca="false">L9+G9*(Half_gap*(Ceiling_e-L9)-$F$4)</f>
        <v>71</v>
      </c>
      <c r="N9" s="14" t="n">
        <f aca="false">M9+H9*(Half_gap*(Ceiling_e-M9)-$F$4)</f>
        <v>71</v>
      </c>
      <c r="O9" s="14" t="n">
        <f aca="false">N9+I9*(Half_gap*(Ceiling_e-N9)-$F$4)</f>
        <v>77</v>
      </c>
      <c r="P9" s="14" t="n">
        <f aca="false">Val_pt*(J9-E_zero)</f>
        <v>0</v>
      </c>
      <c r="Q9" s="14" t="n">
        <f aca="false">Val_pt*(K9-E_zero)</f>
        <v>0</v>
      </c>
      <c r="R9" s="14" t="n">
        <f aca="false">Val_pt*(L9-E_zero)</f>
        <v>0</v>
      </c>
      <c r="S9" s="14" t="n">
        <f aca="false">Val_pt*(M9-E_zero)</f>
        <v>0</v>
      </c>
      <c r="T9" s="14" t="n">
        <f aca="false">Val_pt*(N9-E_zero)</f>
        <v>0</v>
      </c>
      <c r="U9" s="14" t="n">
        <f aca="false">Val_pt*(O9-E_zero)</f>
        <v>60</v>
      </c>
      <c r="V9" s="14" t="n">
        <f aca="false">MAX(W9+Cost_round*D9-P9,IF(D9=1,Pre_q,0))</f>
        <v>530</v>
      </c>
      <c r="W9" s="14" t="n">
        <f aca="false">MAX(X9+Cost_round*E9-Q9,IF(E9=1,Pre_q,0),Floor_q)</f>
        <v>530</v>
      </c>
      <c r="X9" s="14" t="n">
        <f aca="false">MAX(Y9+Cost_round*F9-R9,IF(F9=1,Pre_q,0),Floor_q)</f>
        <v>530</v>
      </c>
      <c r="Y9" s="14" t="n">
        <f aca="false">MAX(Z9+Cost_round*G9-S9,IF(G9=1,Pre_q,0),Floor_q)</f>
        <v>530</v>
      </c>
      <c r="Z9" s="14" t="n">
        <f aca="false">MAX(AA9+Cost_round*H9-T9,IF(H9=1,Pre_q,0),Floor_q)</f>
        <v>530</v>
      </c>
      <c r="AA9" s="14" t="n">
        <f aca="false">MAX(AB9+Cost_round*I9-U9,IF(I9=1,Pre_q,0),Floor_q)</f>
        <v>530</v>
      </c>
      <c r="AB9" s="14" t="n">
        <f aca="false">MAX(End_q,Floor_q)</f>
        <v>470</v>
      </c>
      <c r="AC9" s="15" t="n">
        <f aca="false">IF(Q_zero&gt;=V9-0.000000001,1,0)</f>
        <v>1</v>
      </c>
      <c r="AD9" s="14" t="n">
        <f aca="false">IF($AC9=1,Q_zero-Cost_round*D9+P9-W9,"")</f>
        <v>90</v>
      </c>
      <c r="AE9" s="14" t="n">
        <f aca="false">IF($AC9=1,W9-Cost_round*E9+Q9-X9,"")</f>
        <v>0</v>
      </c>
      <c r="AF9" s="14" t="n">
        <f aca="false">IF($AC9=1,X9-Cost_round*F9+R9-Y9,"")</f>
        <v>0</v>
      </c>
      <c r="AG9" s="14" t="n">
        <f aca="false">IF($AC9=1,Y9-Cost_round*G9+S9-Z9,"")</f>
        <v>0</v>
      </c>
      <c r="AH9" s="14" t="n">
        <f aca="false">IF($AC9=1,Z9-Cost_round*H9+T9-AA9,"")</f>
        <v>0</v>
      </c>
      <c r="AI9" s="14" t="n">
        <f aca="false">IF($AC9=1,AA9-Cost_round*I9+U9-AB9,"")</f>
        <v>0</v>
      </c>
      <c r="AJ9" s="14" t="n">
        <f aca="false">IF($AC9=1,SUM(AD9:AI9),"")</f>
        <v>90</v>
      </c>
      <c r="AK9" s="17" t="n">
        <f aca="false">IF($AC9=1,AD9*Beta_y^1+AE9*Beta_y^2+AF9*Beta_y^3+AG9*Beta_y^4+AH9*Beta_y^5+AI9*Beta_y^6,"")</f>
        <v>81.8181818181818</v>
      </c>
      <c r="AL9" s="17" t="n">
        <f aca="false">IF($AC9=1,AK9+Beta_y^6*U9/Hurdle_r,"")</f>
        <v>420.502539850448</v>
      </c>
    </row>
    <row r="10" customFormat="false" ht="15" hidden="false" customHeight="false" outlineLevel="0" collapsed="false">
      <c r="A10" s="2" t="n">
        <v>2</v>
      </c>
      <c r="B10" s="2" t="str">
        <f aca="false">D10&amp;E10&amp;F10&amp;G10&amp;H10&amp;I10</f>
        <v>000010</v>
      </c>
      <c r="C10" s="15" t="n">
        <f aca="false">SUM(D10:I10)</f>
        <v>1</v>
      </c>
      <c r="D10" s="15" t="n">
        <f aca="false">MOD(INT($A10/32),2)</f>
        <v>0</v>
      </c>
      <c r="E10" s="15" t="n">
        <f aca="false">MOD(INT($A10/16),2)</f>
        <v>0</v>
      </c>
      <c r="F10" s="15" t="n">
        <f aca="false">MOD(INT($A10/8),2)</f>
        <v>0</v>
      </c>
      <c r="G10" s="15" t="n">
        <f aca="false">MOD(INT($A10/4),2)</f>
        <v>0</v>
      </c>
      <c r="H10" s="15" t="n">
        <f aca="false">MOD(INT($A10/2),2)</f>
        <v>1</v>
      </c>
      <c r="I10" s="15" t="n">
        <f aca="false">MOD(INT($A10/1),2)</f>
        <v>0</v>
      </c>
      <c r="J10" s="14" t="n">
        <f aca="false">E_zero+D10*(Half_gap*(Ceiling_e-E_zero)-$F$4)</f>
        <v>71</v>
      </c>
      <c r="K10" s="14" t="n">
        <f aca="false">J10+E10*(Half_gap*(Ceiling_e-J10)-$F$4)</f>
        <v>71</v>
      </c>
      <c r="L10" s="14" t="n">
        <f aca="false">K10+F10*(Half_gap*(Ceiling_e-K10)-$F$4)</f>
        <v>71</v>
      </c>
      <c r="M10" s="14" t="n">
        <f aca="false">L10+G10*(Half_gap*(Ceiling_e-L10)-$F$4)</f>
        <v>71</v>
      </c>
      <c r="N10" s="14" t="n">
        <f aca="false">M10+H10*(Half_gap*(Ceiling_e-M10)-$F$4)</f>
        <v>77</v>
      </c>
      <c r="O10" s="14" t="n">
        <f aca="false">N10+I10*(Half_gap*(Ceiling_e-N10)-$F$4)</f>
        <v>77</v>
      </c>
      <c r="P10" s="14" t="n">
        <f aca="false">Val_pt*(J10-E_zero)</f>
        <v>0</v>
      </c>
      <c r="Q10" s="14" t="n">
        <f aca="false">Val_pt*(K10-E_zero)</f>
        <v>0</v>
      </c>
      <c r="R10" s="14" t="n">
        <f aca="false">Val_pt*(L10-E_zero)</f>
        <v>0</v>
      </c>
      <c r="S10" s="14" t="n">
        <f aca="false">Val_pt*(M10-E_zero)</f>
        <v>0</v>
      </c>
      <c r="T10" s="14" t="n">
        <f aca="false">Val_pt*(N10-E_zero)</f>
        <v>60</v>
      </c>
      <c r="U10" s="14" t="n">
        <f aca="false">Val_pt*(O10-E_zero)</f>
        <v>60</v>
      </c>
      <c r="V10" s="14" t="n">
        <f aca="false">MAX(W10+Cost_round*D10-P10,IF(D10=1,Pre_q,0))</f>
        <v>470</v>
      </c>
      <c r="W10" s="14" t="n">
        <f aca="false">MAX(X10+Cost_round*E10-Q10,IF(E10=1,Pre_q,0),Floor_q)</f>
        <v>470</v>
      </c>
      <c r="X10" s="14" t="n">
        <f aca="false">MAX(Y10+Cost_round*F10-R10,IF(F10=1,Pre_q,0),Floor_q)</f>
        <v>470</v>
      </c>
      <c r="Y10" s="14" t="n">
        <f aca="false">MAX(Z10+Cost_round*G10-S10,IF(G10=1,Pre_q,0),Floor_q)</f>
        <v>470</v>
      </c>
      <c r="Z10" s="14" t="n">
        <f aca="false">MAX(AA10+Cost_round*H10-T10,IF(H10=1,Pre_q,0),Floor_q)</f>
        <v>470</v>
      </c>
      <c r="AA10" s="14" t="n">
        <f aca="false">MAX(AB10+Cost_round*I10-U10,IF(I10=1,Pre_q,0),Floor_q)</f>
        <v>410</v>
      </c>
      <c r="AB10" s="14" t="n">
        <f aca="false">MAX(End_q,Floor_q)</f>
        <v>470</v>
      </c>
      <c r="AC10" s="15" t="n">
        <f aca="false">IF(Q_zero&gt;=V10-0.000000001,1,0)</f>
        <v>1</v>
      </c>
      <c r="AD10" s="14" t="n">
        <f aca="false">IF($AC10=1,Q_zero-Cost_round*D10+P10-W10,"")</f>
        <v>150</v>
      </c>
      <c r="AE10" s="14" t="n">
        <f aca="false">IF($AC10=1,W10-Cost_round*E10+Q10-X10,"")</f>
        <v>0</v>
      </c>
      <c r="AF10" s="14" t="n">
        <f aca="false">IF($AC10=1,X10-Cost_round*F10+R10-Y10,"")</f>
        <v>0</v>
      </c>
      <c r="AG10" s="14" t="n">
        <f aca="false">IF($AC10=1,Y10-Cost_round*G10+S10-Z10,"")</f>
        <v>0</v>
      </c>
      <c r="AH10" s="14" t="n">
        <f aca="false">IF($AC10=1,Z10-Cost_round*H10+T10-AA10,"")</f>
        <v>0</v>
      </c>
      <c r="AI10" s="14" t="n">
        <f aca="false">IF($AC10=1,AA10-Cost_round*I10+U10-AB10,"")</f>
        <v>0</v>
      </c>
      <c r="AJ10" s="14" t="n">
        <f aca="false">IF($AC10=1,SUM(AD10:AI10),"")</f>
        <v>150</v>
      </c>
      <c r="AK10" s="17" t="n">
        <f aca="false">IF($AC10=1,AD10*Beta_y^1+AE10*Beta_y^2+AF10*Beta_y^3+AG10*Beta_y^4+AH10*Beta_y^5+AI10*Beta_y^6,"")</f>
        <v>136.363636363636</v>
      </c>
      <c r="AL10" s="17" t="n">
        <f aca="false">IF($AC10=1,AK10+Beta_y^6*U10/Hurdle_r,"")</f>
        <v>475.047994395903</v>
      </c>
    </row>
    <row r="11" customFormat="false" ht="15" hidden="false" customHeight="false" outlineLevel="0" collapsed="false">
      <c r="A11" s="2" t="n">
        <v>3</v>
      </c>
      <c r="B11" s="2" t="str">
        <f aca="false">D11&amp;E11&amp;F11&amp;G11&amp;H11&amp;I11</f>
        <v>000011</v>
      </c>
      <c r="C11" s="15" t="n">
        <f aca="false">SUM(D11:I11)</f>
        <v>2</v>
      </c>
      <c r="D11" s="15" t="n">
        <f aca="false">MOD(INT($A11/32),2)</f>
        <v>0</v>
      </c>
      <c r="E11" s="15" t="n">
        <f aca="false">MOD(INT($A11/16),2)</f>
        <v>0</v>
      </c>
      <c r="F11" s="15" t="n">
        <f aca="false">MOD(INT($A11/8),2)</f>
        <v>0</v>
      </c>
      <c r="G11" s="15" t="n">
        <f aca="false">MOD(INT($A11/4),2)</f>
        <v>0</v>
      </c>
      <c r="H11" s="15" t="n">
        <f aca="false">MOD(INT($A11/2),2)</f>
        <v>1</v>
      </c>
      <c r="I11" s="15" t="n">
        <f aca="false">MOD(INT($A11/1),2)</f>
        <v>1</v>
      </c>
      <c r="J11" s="14" t="n">
        <f aca="false">E_zero+D11*(Half_gap*(Ceiling_e-E_zero)-$F$4)</f>
        <v>71</v>
      </c>
      <c r="K11" s="14" t="n">
        <f aca="false">J11+E11*(Half_gap*(Ceiling_e-J11)-$F$4)</f>
        <v>71</v>
      </c>
      <c r="L11" s="14" t="n">
        <f aca="false">K11+F11*(Half_gap*(Ceiling_e-K11)-$F$4)</f>
        <v>71</v>
      </c>
      <c r="M11" s="14" t="n">
        <f aca="false">L11+G11*(Half_gap*(Ceiling_e-L11)-$F$4)</f>
        <v>71</v>
      </c>
      <c r="N11" s="14" t="n">
        <f aca="false">M11+H11*(Half_gap*(Ceiling_e-M11)-$F$4)</f>
        <v>77</v>
      </c>
      <c r="O11" s="14" t="n">
        <f aca="false">N11+I11*(Half_gap*(Ceiling_e-N11)-$F$4)</f>
        <v>80</v>
      </c>
      <c r="P11" s="14" t="n">
        <f aca="false">Val_pt*(J11-E_zero)</f>
        <v>0</v>
      </c>
      <c r="Q11" s="14" t="n">
        <f aca="false">Val_pt*(K11-E_zero)</f>
        <v>0</v>
      </c>
      <c r="R11" s="14" t="n">
        <f aca="false">Val_pt*(L11-E_zero)</f>
        <v>0</v>
      </c>
      <c r="S11" s="14" t="n">
        <f aca="false">Val_pt*(M11-E_zero)</f>
        <v>0</v>
      </c>
      <c r="T11" s="14" t="n">
        <f aca="false">Val_pt*(N11-E_zero)</f>
        <v>60</v>
      </c>
      <c r="U11" s="14" t="n">
        <f aca="false">Val_pt*(O11-E_zero)</f>
        <v>90</v>
      </c>
      <c r="V11" s="14" t="n">
        <f aca="false">MAX(W11+Cost_round*D11-P11,IF(D11=1,Pre_q,0))</f>
        <v>560</v>
      </c>
      <c r="W11" s="14" t="n">
        <f aca="false">MAX(X11+Cost_round*E11-Q11,IF(E11=1,Pre_q,0),Floor_q)</f>
        <v>560</v>
      </c>
      <c r="X11" s="14" t="n">
        <f aca="false">MAX(Y11+Cost_round*F11-R11,IF(F11=1,Pre_q,0),Floor_q)</f>
        <v>560</v>
      </c>
      <c r="Y11" s="14" t="n">
        <f aca="false">MAX(Z11+Cost_round*G11-S11,IF(G11=1,Pre_q,0),Floor_q)</f>
        <v>560</v>
      </c>
      <c r="Z11" s="14" t="n">
        <f aca="false">MAX(AA11+Cost_round*H11-T11,IF(H11=1,Pre_q,0),Floor_q)</f>
        <v>560</v>
      </c>
      <c r="AA11" s="14" t="n">
        <f aca="false">MAX(AB11+Cost_round*I11-U11,IF(I11=1,Pre_q,0),Floor_q)</f>
        <v>500</v>
      </c>
      <c r="AB11" s="14" t="n">
        <f aca="false">MAX(End_q,Floor_q)</f>
        <v>470</v>
      </c>
      <c r="AC11" s="15" t="n">
        <f aca="false">IF(Q_zero&gt;=V11-0.000000001,1,0)</f>
        <v>1</v>
      </c>
      <c r="AD11" s="14" t="n">
        <f aca="false">IF($AC11=1,Q_zero-Cost_round*D11+P11-W11,"")</f>
        <v>60</v>
      </c>
      <c r="AE11" s="14" t="n">
        <f aca="false">IF($AC11=1,W11-Cost_round*E11+Q11-X11,"")</f>
        <v>0</v>
      </c>
      <c r="AF11" s="14" t="n">
        <f aca="false">IF($AC11=1,X11-Cost_round*F11+R11-Y11,"")</f>
        <v>0</v>
      </c>
      <c r="AG11" s="14" t="n">
        <f aca="false">IF($AC11=1,Y11-Cost_round*G11+S11-Z11,"")</f>
        <v>0</v>
      </c>
      <c r="AH11" s="14" t="n">
        <f aca="false">IF($AC11=1,Z11-Cost_round*H11+T11-AA11,"")</f>
        <v>0</v>
      </c>
      <c r="AI11" s="14" t="n">
        <f aca="false">IF($AC11=1,AA11-Cost_round*I11+U11-AB11,"")</f>
        <v>0</v>
      </c>
      <c r="AJ11" s="14" t="n">
        <f aca="false">IF($AC11=1,SUM(AD11:AI11),"")</f>
        <v>60</v>
      </c>
      <c r="AK11" s="17" t="n">
        <f aca="false">IF($AC11=1,AD11*Beta_y^1+AE11*Beta_y^2+AF11*Beta_y^3+AG11*Beta_y^4+AH11*Beta_y^5+AI11*Beta_y^6,"")</f>
        <v>54.5454545454546</v>
      </c>
      <c r="AL11" s="17" t="n">
        <f aca="false">IF($AC11=1,AK11+Beta_y^6*U11/Hurdle_r,"")</f>
        <v>562.571991593854</v>
      </c>
    </row>
    <row r="12" customFormat="false" ht="15" hidden="false" customHeight="false" outlineLevel="0" collapsed="false">
      <c r="A12" s="2" t="n">
        <v>4</v>
      </c>
      <c r="B12" s="2" t="str">
        <f aca="false">D12&amp;E12&amp;F12&amp;G12&amp;H12&amp;I12</f>
        <v>000100</v>
      </c>
      <c r="C12" s="15" t="n">
        <f aca="false">SUM(D12:I12)</f>
        <v>1</v>
      </c>
      <c r="D12" s="15" t="n">
        <f aca="false">MOD(INT($A12/32),2)</f>
        <v>0</v>
      </c>
      <c r="E12" s="15" t="n">
        <f aca="false">MOD(INT($A12/16),2)</f>
        <v>0</v>
      </c>
      <c r="F12" s="15" t="n">
        <f aca="false">MOD(INT($A12/8),2)</f>
        <v>0</v>
      </c>
      <c r="G12" s="15" t="n">
        <f aca="false">MOD(INT($A12/4),2)</f>
        <v>1</v>
      </c>
      <c r="H12" s="15" t="n">
        <f aca="false">MOD(INT($A12/2),2)</f>
        <v>0</v>
      </c>
      <c r="I12" s="15" t="n">
        <f aca="false">MOD(INT($A12/1),2)</f>
        <v>0</v>
      </c>
      <c r="J12" s="14" t="n">
        <f aca="false">E_zero+D12*(Half_gap*(Ceiling_e-E_zero)-$F$4)</f>
        <v>71</v>
      </c>
      <c r="K12" s="14" t="n">
        <f aca="false">J12+E12*(Half_gap*(Ceiling_e-J12)-$F$4)</f>
        <v>71</v>
      </c>
      <c r="L12" s="14" t="n">
        <f aca="false">K12+F12*(Half_gap*(Ceiling_e-K12)-$F$4)</f>
        <v>71</v>
      </c>
      <c r="M12" s="14" t="n">
        <f aca="false">L12+G12*(Half_gap*(Ceiling_e-L12)-$F$4)</f>
        <v>77</v>
      </c>
      <c r="N12" s="14" t="n">
        <f aca="false">M12+H12*(Half_gap*(Ceiling_e-M12)-$F$4)</f>
        <v>77</v>
      </c>
      <c r="O12" s="14" t="n">
        <f aca="false">N12+I12*(Half_gap*(Ceiling_e-N12)-$F$4)</f>
        <v>77</v>
      </c>
      <c r="P12" s="14" t="n">
        <f aca="false">Val_pt*(J12-E_zero)</f>
        <v>0</v>
      </c>
      <c r="Q12" s="14" t="n">
        <f aca="false">Val_pt*(K12-E_zero)</f>
        <v>0</v>
      </c>
      <c r="R12" s="14" t="n">
        <f aca="false">Val_pt*(L12-E_zero)</f>
        <v>0</v>
      </c>
      <c r="S12" s="14" t="n">
        <f aca="false">Val_pt*(M12-E_zero)</f>
        <v>60</v>
      </c>
      <c r="T12" s="14" t="n">
        <f aca="false">Val_pt*(N12-E_zero)</f>
        <v>60</v>
      </c>
      <c r="U12" s="14" t="n">
        <f aca="false">Val_pt*(O12-E_zero)</f>
        <v>60</v>
      </c>
      <c r="V12" s="14" t="n">
        <f aca="false">MAX(W12+Cost_round*D12-P12,IF(D12=1,Pre_q,0))</f>
        <v>470</v>
      </c>
      <c r="W12" s="14" t="n">
        <f aca="false">MAX(X12+Cost_round*E12-Q12,IF(E12=1,Pre_q,0),Floor_q)</f>
        <v>470</v>
      </c>
      <c r="X12" s="14" t="n">
        <f aca="false">MAX(Y12+Cost_round*F12-R12,IF(F12=1,Pre_q,0),Floor_q)</f>
        <v>470</v>
      </c>
      <c r="Y12" s="14" t="n">
        <f aca="false">MAX(Z12+Cost_round*G12-S12,IF(G12=1,Pre_q,0),Floor_q)</f>
        <v>470</v>
      </c>
      <c r="Z12" s="14" t="n">
        <f aca="false">MAX(AA12+Cost_round*H12-T12,IF(H12=1,Pre_q,0),Floor_q)</f>
        <v>350</v>
      </c>
      <c r="AA12" s="14" t="n">
        <f aca="false">MAX(AB12+Cost_round*I12-U12,IF(I12=1,Pre_q,0),Floor_q)</f>
        <v>410</v>
      </c>
      <c r="AB12" s="14" t="n">
        <f aca="false">MAX(End_q,Floor_q)</f>
        <v>470</v>
      </c>
      <c r="AC12" s="15" t="n">
        <f aca="false">IF(Q_zero&gt;=V12-0.000000001,1,0)</f>
        <v>1</v>
      </c>
      <c r="AD12" s="14" t="n">
        <f aca="false">IF($AC12=1,Q_zero-Cost_round*D12+P12-W12,"")</f>
        <v>150</v>
      </c>
      <c r="AE12" s="14" t="n">
        <f aca="false">IF($AC12=1,W12-Cost_round*E12+Q12-X12,"")</f>
        <v>0</v>
      </c>
      <c r="AF12" s="14" t="n">
        <f aca="false">IF($AC12=1,X12-Cost_round*F12+R12-Y12,"")</f>
        <v>0</v>
      </c>
      <c r="AG12" s="14" t="n">
        <f aca="false">IF($AC12=1,Y12-Cost_round*G12+S12-Z12,"")</f>
        <v>60</v>
      </c>
      <c r="AH12" s="14" t="n">
        <f aca="false">IF($AC12=1,Z12-Cost_round*H12+T12-AA12,"")</f>
        <v>0</v>
      </c>
      <c r="AI12" s="14" t="n">
        <f aca="false">IF($AC12=1,AA12-Cost_round*I12+U12-AB12,"")</f>
        <v>0</v>
      </c>
      <c r="AJ12" s="14" t="n">
        <f aca="false">IF($AC12=1,SUM(AD12:AI12),"")</f>
        <v>210</v>
      </c>
      <c r="AK12" s="17" t="n">
        <f aca="false">IF($AC12=1,AD12*Beta_y^1+AE12*Beta_y^2+AF12*Beta_y^3+AG12*Beta_y^4+AH12*Beta_y^5+AI12*Beta_y^6,"")</f>
        <v>177.344443685541</v>
      </c>
      <c r="AL12" s="17" t="n">
        <f aca="false">IF($AC12=1,AK12+Beta_y^6*U12/Hurdle_r,"")</f>
        <v>516.028801717807</v>
      </c>
    </row>
    <row r="13" customFormat="false" ht="15" hidden="false" customHeight="false" outlineLevel="0" collapsed="false">
      <c r="A13" s="2" t="n">
        <v>5</v>
      </c>
      <c r="B13" s="2" t="str">
        <f aca="false">D13&amp;E13&amp;F13&amp;G13&amp;H13&amp;I13</f>
        <v>000101</v>
      </c>
      <c r="C13" s="15" t="n">
        <f aca="false">SUM(D13:I13)</f>
        <v>2</v>
      </c>
      <c r="D13" s="15" t="n">
        <f aca="false">MOD(INT($A13/32),2)</f>
        <v>0</v>
      </c>
      <c r="E13" s="15" t="n">
        <f aca="false">MOD(INT($A13/16),2)</f>
        <v>0</v>
      </c>
      <c r="F13" s="15" t="n">
        <f aca="false">MOD(INT($A13/8),2)</f>
        <v>0</v>
      </c>
      <c r="G13" s="15" t="n">
        <f aca="false">MOD(INT($A13/4),2)</f>
        <v>1</v>
      </c>
      <c r="H13" s="15" t="n">
        <f aca="false">MOD(INT($A13/2),2)</f>
        <v>0</v>
      </c>
      <c r="I13" s="15" t="n">
        <f aca="false">MOD(INT($A13/1),2)</f>
        <v>1</v>
      </c>
      <c r="J13" s="14" t="n">
        <f aca="false">E_zero+D13*(Half_gap*(Ceiling_e-E_zero)-$F$4)</f>
        <v>71</v>
      </c>
      <c r="K13" s="14" t="n">
        <f aca="false">J13+E13*(Half_gap*(Ceiling_e-J13)-$F$4)</f>
        <v>71</v>
      </c>
      <c r="L13" s="14" t="n">
        <f aca="false">K13+F13*(Half_gap*(Ceiling_e-K13)-$F$4)</f>
        <v>71</v>
      </c>
      <c r="M13" s="14" t="n">
        <f aca="false">L13+G13*(Half_gap*(Ceiling_e-L13)-$F$4)</f>
        <v>77</v>
      </c>
      <c r="N13" s="14" t="n">
        <f aca="false">M13+H13*(Half_gap*(Ceiling_e-M13)-$F$4)</f>
        <v>77</v>
      </c>
      <c r="O13" s="14" t="n">
        <f aca="false">N13+I13*(Half_gap*(Ceiling_e-N13)-$F$4)</f>
        <v>80</v>
      </c>
      <c r="P13" s="14" t="n">
        <f aca="false">Val_pt*(J13-E_zero)</f>
        <v>0</v>
      </c>
      <c r="Q13" s="14" t="n">
        <f aca="false">Val_pt*(K13-E_zero)</f>
        <v>0</v>
      </c>
      <c r="R13" s="14" t="n">
        <f aca="false">Val_pt*(L13-E_zero)</f>
        <v>0</v>
      </c>
      <c r="S13" s="14" t="n">
        <f aca="false">Val_pt*(M13-E_zero)</f>
        <v>60</v>
      </c>
      <c r="T13" s="14" t="n">
        <f aca="false">Val_pt*(N13-E_zero)</f>
        <v>60</v>
      </c>
      <c r="U13" s="14" t="n">
        <f aca="false">Val_pt*(O13-E_zero)</f>
        <v>90</v>
      </c>
      <c r="V13" s="14" t="n">
        <f aca="false">MAX(W13+Cost_round*D13-P13,IF(D13=1,Pre_q,0))</f>
        <v>500</v>
      </c>
      <c r="W13" s="14" t="n">
        <f aca="false">MAX(X13+Cost_round*E13-Q13,IF(E13=1,Pre_q,0),Floor_q)</f>
        <v>500</v>
      </c>
      <c r="X13" s="14" t="n">
        <f aca="false">MAX(Y13+Cost_round*F13-R13,IF(F13=1,Pre_q,0),Floor_q)</f>
        <v>500</v>
      </c>
      <c r="Y13" s="14" t="n">
        <f aca="false">MAX(Z13+Cost_round*G13-S13,IF(G13=1,Pre_q,0),Floor_q)</f>
        <v>500</v>
      </c>
      <c r="Z13" s="14" t="n">
        <f aca="false">MAX(AA13+Cost_round*H13-T13,IF(H13=1,Pre_q,0),Floor_q)</f>
        <v>440</v>
      </c>
      <c r="AA13" s="14" t="n">
        <f aca="false">MAX(AB13+Cost_round*I13-U13,IF(I13=1,Pre_q,0),Floor_q)</f>
        <v>500</v>
      </c>
      <c r="AB13" s="14" t="n">
        <f aca="false">MAX(End_q,Floor_q)</f>
        <v>470</v>
      </c>
      <c r="AC13" s="15" t="n">
        <f aca="false">IF(Q_zero&gt;=V13-0.000000001,1,0)</f>
        <v>1</v>
      </c>
      <c r="AD13" s="14" t="n">
        <f aca="false">IF($AC13=1,Q_zero-Cost_round*D13+P13-W13,"")</f>
        <v>120</v>
      </c>
      <c r="AE13" s="14" t="n">
        <f aca="false">IF($AC13=1,W13-Cost_round*E13+Q13-X13,"")</f>
        <v>0</v>
      </c>
      <c r="AF13" s="14" t="n">
        <f aca="false">IF($AC13=1,X13-Cost_round*F13+R13-Y13,"")</f>
        <v>0</v>
      </c>
      <c r="AG13" s="14" t="n">
        <f aca="false">IF($AC13=1,Y13-Cost_round*G13+S13-Z13,"")</f>
        <v>0</v>
      </c>
      <c r="AH13" s="14" t="n">
        <f aca="false">IF($AC13=1,Z13-Cost_round*H13+T13-AA13,"")</f>
        <v>0</v>
      </c>
      <c r="AI13" s="14" t="n">
        <f aca="false">IF($AC13=1,AA13-Cost_round*I13+U13-AB13,"")</f>
        <v>0</v>
      </c>
      <c r="AJ13" s="14" t="n">
        <f aca="false">IF($AC13=1,SUM(AD13:AI13),"")</f>
        <v>120</v>
      </c>
      <c r="AK13" s="17" t="n">
        <f aca="false">IF($AC13=1,AD13*Beta_y^1+AE13*Beta_y^2+AF13*Beta_y^3+AG13*Beta_y^4+AH13*Beta_y^5+AI13*Beta_y^6,"")</f>
        <v>109.090909090909</v>
      </c>
      <c r="AL13" s="17" t="n">
        <f aca="false">IF($AC13=1,AK13+Beta_y^6*U13/Hurdle_r,"")</f>
        <v>617.117446139309</v>
      </c>
    </row>
    <row r="14" customFormat="false" ht="15" hidden="false" customHeight="false" outlineLevel="0" collapsed="false">
      <c r="A14" s="2" t="n">
        <v>6</v>
      </c>
      <c r="B14" s="2" t="str">
        <f aca="false">D14&amp;E14&amp;F14&amp;G14&amp;H14&amp;I14</f>
        <v>000110</v>
      </c>
      <c r="C14" s="15" t="n">
        <f aca="false">SUM(D14:I14)</f>
        <v>2</v>
      </c>
      <c r="D14" s="15" t="n">
        <f aca="false">MOD(INT($A14/32),2)</f>
        <v>0</v>
      </c>
      <c r="E14" s="15" t="n">
        <f aca="false">MOD(INT($A14/16),2)</f>
        <v>0</v>
      </c>
      <c r="F14" s="15" t="n">
        <f aca="false">MOD(INT($A14/8),2)</f>
        <v>0</v>
      </c>
      <c r="G14" s="15" t="n">
        <f aca="false">MOD(INT($A14/4),2)</f>
        <v>1</v>
      </c>
      <c r="H14" s="15" t="n">
        <f aca="false">MOD(INT($A14/2),2)</f>
        <v>1</v>
      </c>
      <c r="I14" s="15" t="n">
        <f aca="false">MOD(INT($A14/1),2)</f>
        <v>0</v>
      </c>
      <c r="J14" s="14" t="n">
        <f aca="false">E_zero+D14*(Half_gap*(Ceiling_e-E_zero)-$F$4)</f>
        <v>71</v>
      </c>
      <c r="K14" s="14" t="n">
        <f aca="false">J14+E14*(Half_gap*(Ceiling_e-J14)-$F$4)</f>
        <v>71</v>
      </c>
      <c r="L14" s="14" t="n">
        <f aca="false">K14+F14*(Half_gap*(Ceiling_e-K14)-$F$4)</f>
        <v>71</v>
      </c>
      <c r="M14" s="14" t="n">
        <f aca="false">L14+G14*(Half_gap*(Ceiling_e-L14)-$F$4)</f>
        <v>77</v>
      </c>
      <c r="N14" s="14" t="n">
        <f aca="false">M14+H14*(Half_gap*(Ceiling_e-M14)-$F$4)</f>
        <v>80</v>
      </c>
      <c r="O14" s="14" t="n">
        <f aca="false">N14+I14*(Half_gap*(Ceiling_e-N14)-$F$4)</f>
        <v>80</v>
      </c>
      <c r="P14" s="14" t="n">
        <f aca="false">Val_pt*(J14-E_zero)</f>
        <v>0</v>
      </c>
      <c r="Q14" s="14" t="n">
        <f aca="false">Val_pt*(K14-E_zero)</f>
        <v>0</v>
      </c>
      <c r="R14" s="14" t="n">
        <f aca="false">Val_pt*(L14-E_zero)</f>
        <v>0</v>
      </c>
      <c r="S14" s="14" t="n">
        <f aca="false">Val_pt*(M14-E_zero)</f>
        <v>60</v>
      </c>
      <c r="T14" s="14" t="n">
        <f aca="false">Val_pt*(N14-E_zero)</f>
        <v>90</v>
      </c>
      <c r="U14" s="14" t="n">
        <f aca="false">Val_pt*(O14-E_zero)</f>
        <v>90</v>
      </c>
      <c r="V14" s="14" t="n">
        <f aca="false">MAX(W14+Cost_round*D14-P14,IF(D14=1,Pre_q,0))</f>
        <v>530</v>
      </c>
      <c r="W14" s="14" t="n">
        <f aca="false">MAX(X14+Cost_round*E14-Q14,IF(E14=1,Pre_q,0),Floor_q)</f>
        <v>530</v>
      </c>
      <c r="X14" s="14" t="n">
        <f aca="false">MAX(Y14+Cost_round*F14-R14,IF(F14=1,Pre_q,0),Floor_q)</f>
        <v>530</v>
      </c>
      <c r="Y14" s="14" t="n">
        <f aca="false">MAX(Z14+Cost_round*G14-S14,IF(G14=1,Pre_q,0),Floor_q)</f>
        <v>530</v>
      </c>
      <c r="Z14" s="14" t="n">
        <f aca="false">MAX(AA14+Cost_round*H14-T14,IF(H14=1,Pre_q,0),Floor_q)</f>
        <v>470</v>
      </c>
      <c r="AA14" s="14" t="n">
        <f aca="false">MAX(AB14+Cost_round*I14-U14,IF(I14=1,Pre_q,0),Floor_q)</f>
        <v>380</v>
      </c>
      <c r="AB14" s="14" t="n">
        <f aca="false">MAX(End_q,Floor_q)</f>
        <v>470</v>
      </c>
      <c r="AC14" s="15" t="n">
        <f aca="false">IF(Q_zero&gt;=V14-0.000000001,1,0)</f>
        <v>1</v>
      </c>
      <c r="AD14" s="14" t="n">
        <f aca="false">IF($AC14=1,Q_zero-Cost_round*D14+P14-W14,"")</f>
        <v>90</v>
      </c>
      <c r="AE14" s="14" t="n">
        <f aca="false">IF($AC14=1,W14-Cost_round*E14+Q14-X14,"")</f>
        <v>0</v>
      </c>
      <c r="AF14" s="14" t="n">
        <f aca="false">IF($AC14=1,X14-Cost_round*F14+R14-Y14,"")</f>
        <v>0</v>
      </c>
      <c r="AG14" s="14" t="n">
        <f aca="false">IF($AC14=1,Y14-Cost_round*G14+S14-Z14,"")</f>
        <v>0</v>
      </c>
      <c r="AH14" s="14" t="n">
        <f aca="false">IF($AC14=1,Z14-Cost_round*H14+T14-AA14,"")</f>
        <v>60</v>
      </c>
      <c r="AI14" s="14" t="n">
        <f aca="false">IF($AC14=1,AA14-Cost_round*I14+U14-AB14,"")</f>
        <v>0</v>
      </c>
      <c r="AJ14" s="14" t="n">
        <f aca="false">IF($AC14=1,SUM(AD14:AI14),"")</f>
        <v>150</v>
      </c>
      <c r="AK14" s="17" t="n">
        <f aca="false">IF($AC14=1,AD14*Beta_y^1+AE14*Beta_y^2+AF14*Beta_y^3+AG14*Beta_y^4+AH14*Beta_y^5+AI14*Beta_y^6,"")</f>
        <v>119.073461201731</v>
      </c>
      <c r="AL14" s="17" t="n">
        <f aca="false">IF($AC14=1,AK14+Beta_y^6*U14/Hurdle_r,"")</f>
        <v>627.099998250131</v>
      </c>
    </row>
    <row r="15" customFormat="false" ht="15" hidden="false" customHeight="false" outlineLevel="0" collapsed="false">
      <c r="A15" s="2" t="n">
        <v>7</v>
      </c>
      <c r="B15" s="2" t="str">
        <f aca="false">D15&amp;E15&amp;F15&amp;G15&amp;H15&amp;I15</f>
        <v>000111</v>
      </c>
      <c r="C15" s="15" t="n">
        <f aca="false">SUM(D15:I15)</f>
        <v>3</v>
      </c>
      <c r="D15" s="15" t="n">
        <f aca="false">MOD(INT($A15/32),2)</f>
        <v>0</v>
      </c>
      <c r="E15" s="15" t="n">
        <f aca="false">MOD(INT($A15/16),2)</f>
        <v>0</v>
      </c>
      <c r="F15" s="15" t="n">
        <f aca="false">MOD(INT($A15/8),2)</f>
        <v>0</v>
      </c>
      <c r="G15" s="15" t="n">
        <f aca="false">MOD(INT($A15/4),2)</f>
        <v>1</v>
      </c>
      <c r="H15" s="15" t="n">
        <f aca="false">MOD(INT($A15/2),2)</f>
        <v>1</v>
      </c>
      <c r="I15" s="15" t="n">
        <f aca="false">MOD(INT($A15/1),2)</f>
        <v>1</v>
      </c>
      <c r="J15" s="14" t="n">
        <f aca="false">E_zero+D15*(Half_gap*(Ceiling_e-E_zero)-$F$4)</f>
        <v>71</v>
      </c>
      <c r="K15" s="14" t="n">
        <f aca="false">J15+E15*(Half_gap*(Ceiling_e-J15)-$F$4)</f>
        <v>71</v>
      </c>
      <c r="L15" s="14" t="n">
        <f aca="false">K15+F15*(Half_gap*(Ceiling_e-K15)-$F$4)</f>
        <v>71</v>
      </c>
      <c r="M15" s="14" t="n">
        <f aca="false">L15+G15*(Half_gap*(Ceiling_e-L15)-$F$4)</f>
        <v>77</v>
      </c>
      <c r="N15" s="14" t="n">
        <f aca="false">M15+H15*(Half_gap*(Ceiling_e-M15)-$F$4)</f>
        <v>80</v>
      </c>
      <c r="O15" s="14" t="n">
        <f aca="false">N15+I15*(Half_gap*(Ceiling_e-N15)-$F$4)</f>
        <v>81.5</v>
      </c>
      <c r="P15" s="14" t="n">
        <f aca="false">Val_pt*(J15-E_zero)</f>
        <v>0</v>
      </c>
      <c r="Q15" s="14" t="n">
        <f aca="false">Val_pt*(K15-E_zero)</f>
        <v>0</v>
      </c>
      <c r="R15" s="14" t="n">
        <f aca="false">Val_pt*(L15-E_zero)</f>
        <v>0</v>
      </c>
      <c r="S15" s="14" t="n">
        <f aca="false">Val_pt*(M15-E_zero)</f>
        <v>60</v>
      </c>
      <c r="T15" s="14" t="n">
        <f aca="false">Val_pt*(N15-E_zero)</f>
        <v>90</v>
      </c>
      <c r="U15" s="14" t="n">
        <f aca="false">Val_pt*(O15-E_zero)</f>
        <v>105</v>
      </c>
      <c r="V15" s="14" t="n">
        <f aca="false">MAX(W15+Cost_round*D15-P15,IF(D15=1,Pre_q,0))</f>
        <v>575</v>
      </c>
      <c r="W15" s="14" t="n">
        <f aca="false">MAX(X15+Cost_round*E15-Q15,IF(E15=1,Pre_q,0),Floor_q)</f>
        <v>575</v>
      </c>
      <c r="X15" s="14" t="n">
        <f aca="false">MAX(Y15+Cost_round*F15-R15,IF(F15=1,Pre_q,0),Floor_q)</f>
        <v>575</v>
      </c>
      <c r="Y15" s="14" t="n">
        <f aca="false">MAX(Z15+Cost_round*G15-S15,IF(G15=1,Pre_q,0),Floor_q)</f>
        <v>575</v>
      </c>
      <c r="Z15" s="14" t="n">
        <f aca="false">MAX(AA15+Cost_round*H15-T15,IF(H15=1,Pre_q,0),Floor_q)</f>
        <v>515</v>
      </c>
      <c r="AA15" s="14" t="n">
        <f aca="false">MAX(AB15+Cost_round*I15-U15,IF(I15=1,Pre_q,0),Floor_q)</f>
        <v>485</v>
      </c>
      <c r="AB15" s="14" t="n">
        <f aca="false">MAX(End_q,Floor_q)</f>
        <v>470</v>
      </c>
      <c r="AC15" s="15" t="n">
        <f aca="false">IF(Q_zero&gt;=V15-0.000000001,1,0)</f>
        <v>1</v>
      </c>
      <c r="AD15" s="14" t="n">
        <f aca="false">IF($AC15=1,Q_zero-Cost_round*D15+P15-W15,"")</f>
        <v>45</v>
      </c>
      <c r="AE15" s="14" t="n">
        <f aca="false">IF($AC15=1,W15-Cost_round*E15+Q15-X15,"")</f>
        <v>0</v>
      </c>
      <c r="AF15" s="14" t="n">
        <f aca="false">IF($AC15=1,X15-Cost_round*F15+R15-Y15,"")</f>
        <v>0</v>
      </c>
      <c r="AG15" s="14" t="n">
        <f aca="false">IF($AC15=1,Y15-Cost_round*G15+S15-Z15,"")</f>
        <v>0</v>
      </c>
      <c r="AH15" s="14" t="n">
        <f aca="false">IF($AC15=1,Z15-Cost_round*H15+T15-AA15,"")</f>
        <v>0</v>
      </c>
      <c r="AI15" s="14" t="n">
        <f aca="false">IF($AC15=1,AA15-Cost_round*I15+U15-AB15,"")</f>
        <v>0</v>
      </c>
      <c r="AJ15" s="14" t="n">
        <f aca="false">IF($AC15=1,SUM(AD15:AI15),"")</f>
        <v>45</v>
      </c>
      <c r="AK15" s="17" t="n">
        <f aca="false">IF($AC15=1,AD15*Beta_y^1+AE15*Beta_y^2+AF15*Beta_y^3+AG15*Beta_y^4+AH15*Beta_y^5+AI15*Beta_y^6,"")</f>
        <v>40.9090909090909</v>
      </c>
      <c r="AL15" s="17" t="n">
        <f aca="false">IF($AC15=1,AK15+Beta_y^6*U15/Hurdle_r,"")</f>
        <v>633.606717465557</v>
      </c>
    </row>
    <row r="16" customFormat="false" ht="15" hidden="false" customHeight="false" outlineLevel="0" collapsed="false">
      <c r="A16" s="2" t="n">
        <v>8</v>
      </c>
      <c r="B16" s="2" t="str">
        <f aca="false">D16&amp;E16&amp;F16&amp;G16&amp;H16&amp;I16</f>
        <v>001000</v>
      </c>
      <c r="C16" s="15" t="n">
        <f aca="false">SUM(D16:I16)</f>
        <v>1</v>
      </c>
      <c r="D16" s="15" t="n">
        <f aca="false">MOD(INT($A16/32),2)</f>
        <v>0</v>
      </c>
      <c r="E16" s="15" t="n">
        <f aca="false">MOD(INT($A16/16),2)</f>
        <v>0</v>
      </c>
      <c r="F16" s="15" t="n">
        <f aca="false">MOD(INT($A16/8),2)</f>
        <v>1</v>
      </c>
      <c r="G16" s="15" t="n">
        <f aca="false">MOD(INT($A16/4),2)</f>
        <v>0</v>
      </c>
      <c r="H16" s="15" t="n">
        <f aca="false">MOD(INT($A16/2),2)</f>
        <v>0</v>
      </c>
      <c r="I16" s="15" t="n">
        <f aca="false">MOD(INT($A16/1),2)</f>
        <v>0</v>
      </c>
      <c r="J16" s="14" t="n">
        <f aca="false">E_zero+D16*(Half_gap*(Ceiling_e-E_zero)-$F$4)</f>
        <v>71</v>
      </c>
      <c r="K16" s="14" t="n">
        <f aca="false">J16+E16*(Half_gap*(Ceiling_e-J16)-$F$4)</f>
        <v>71</v>
      </c>
      <c r="L16" s="14" t="n">
        <f aca="false">K16+F16*(Half_gap*(Ceiling_e-K16)-$F$4)</f>
        <v>77</v>
      </c>
      <c r="M16" s="14" t="n">
        <f aca="false">L16+G16*(Half_gap*(Ceiling_e-L16)-$F$4)</f>
        <v>77</v>
      </c>
      <c r="N16" s="14" t="n">
        <f aca="false">M16+H16*(Half_gap*(Ceiling_e-M16)-$F$4)</f>
        <v>77</v>
      </c>
      <c r="O16" s="14" t="n">
        <f aca="false">N16+I16*(Half_gap*(Ceiling_e-N16)-$F$4)</f>
        <v>77</v>
      </c>
      <c r="P16" s="14" t="n">
        <f aca="false">Val_pt*(J16-E_zero)</f>
        <v>0</v>
      </c>
      <c r="Q16" s="14" t="n">
        <f aca="false">Val_pt*(K16-E_zero)</f>
        <v>0</v>
      </c>
      <c r="R16" s="14" t="n">
        <f aca="false">Val_pt*(L16-E_zero)</f>
        <v>60</v>
      </c>
      <c r="S16" s="14" t="n">
        <f aca="false">Val_pt*(M16-E_zero)</f>
        <v>60</v>
      </c>
      <c r="T16" s="14" t="n">
        <f aca="false">Val_pt*(N16-E_zero)</f>
        <v>60</v>
      </c>
      <c r="U16" s="14" t="n">
        <f aca="false">Val_pt*(O16-E_zero)</f>
        <v>60</v>
      </c>
      <c r="V16" s="14" t="n">
        <f aca="false">MAX(W16+Cost_round*D16-P16,IF(D16=1,Pre_q,0))</f>
        <v>470</v>
      </c>
      <c r="W16" s="14" t="n">
        <f aca="false">MAX(X16+Cost_round*E16-Q16,IF(E16=1,Pre_q,0),Floor_q)</f>
        <v>470</v>
      </c>
      <c r="X16" s="14" t="n">
        <f aca="false">MAX(Y16+Cost_round*F16-R16,IF(F16=1,Pre_q,0),Floor_q)</f>
        <v>470</v>
      </c>
      <c r="Y16" s="14" t="n">
        <f aca="false">MAX(Z16+Cost_round*G16-S16,IF(G16=1,Pre_q,0),Floor_q)</f>
        <v>350</v>
      </c>
      <c r="Z16" s="14" t="n">
        <f aca="false">MAX(AA16+Cost_round*H16-T16,IF(H16=1,Pre_q,0),Floor_q)</f>
        <v>350</v>
      </c>
      <c r="AA16" s="14" t="n">
        <f aca="false">MAX(AB16+Cost_round*I16-U16,IF(I16=1,Pre_q,0),Floor_q)</f>
        <v>410</v>
      </c>
      <c r="AB16" s="14" t="n">
        <f aca="false">MAX(End_q,Floor_q)</f>
        <v>470</v>
      </c>
      <c r="AC16" s="15" t="n">
        <f aca="false">IF(Q_zero&gt;=V16-0.000000001,1,0)</f>
        <v>1</v>
      </c>
      <c r="AD16" s="14" t="n">
        <f aca="false">IF($AC16=1,Q_zero-Cost_round*D16+P16-W16,"")</f>
        <v>150</v>
      </c>
      <c r="AE16" s="14" t="n">
        <f aca="false">IF($AC16=1,W16-Cost_round*E16+Q16-X16,"")</f>
        <v>0</v>
      </c>
      <c r="AF16" s="14" t="n">
        <f aca="false">IF($AC16=1,X16-Cost_round*F16+R16-Y16,"")</f>
        <v>60</v>
      </c>
      <c r="AG16" s="14" t="n">
        <f aca="false">IF($AC16=1,Y16-Cost_round*G16+S16-Z16,"")</f>
        <v>60</v>
      </c>
      <c r="AH16" s="14" t="n">
        <f aca="false">IF($AC16=1,Z16-Cost_round*H16+T16-AA16,"")</f>
        <v>0</v>
      </c>
      <c r="AI16" s="14" t="n">
        <f aca="false">IF($AC16=1,AA16-Cost_round*I16+U16-AB16,"")</f>
        <v>0</v>
      </c>
      <c r="AJ16" s="14" t="n">
        <f aca="false">IF($AC16=1,SUM(AD16:AI16),"")</f>
        <v>270</v>
      </c>
      <c r="AK16" s="17" t="n">
        <f aca="false">IF($AC16=1,AD16*Beta_y^1+AE16*Beta_y^2+AF16*Beta_y^3+AG16*Beta_y^4+AH16*Beta_y^5+AI16*Beta_y^6,"")</f>
        <v>222.423331739635</v>
      </c>
      <c r="AL16" s="17" t="n">
        <f aca="false">IF($AC16=1,AK16+Beta_y^6*U16/Hurdle_r,"")</f>
        <v>561.107689771902</v>
      </c>
    </row>
    <row r="17" customFormat="false" ht="15" hidden="false" customHeight="false" outlineLevel="0" collapsed="false">
      <c r="A17" s="2" t="n">
        <v>9</v>
      </c>
      <c r="B17" s="2" t="str">
        <f aca="false">D17&amp;E17&amp;F17&amp;G17&amp;H17&amp;I17</f>
        <v>001001</v>
      </c>
      <c r="C17" s="15" t="n">
        <f aca="false">SUM(D17:I17)</f>
        <v>2</v>
      </c>
      <c r="D17" s="15" t="n">
        <f aca="false">MOD(INT($A17/32),2)</f>
        <v>0</v>
      </c>
      <c r="E17" s="15" t="n">
        <f aca="false">MOD(INT($A17/16),2)</f>
        <v>0</v>
      </c>
      <c r="F17" s="15" t="n">
        <f aca="false">MOD(INT($A17/8),2)</f>
        <v>1</v>
      </c>
      <c r="G17" s="15" t="n">
        <f aca="false">MOD(INT($A17/4),2)</f>
        <v>0</v>
      </c>
      <c r="H17" s="15" t="n">
        <f aca="false">MOD(INT($A17/2),2)</f>
        <v>0</v>
      </c>
      <c r="I17" s="15" t="n">
        <f aca="false">MOD(INT($A17/1),2)</f>
        <v>1</v>
      </c>
      <c r="J17" s="14" t="n">
        <f aca="false">E_zero+D17*(Half_gap*(Ceiling_e-E_zero)-$F$4)</f>
        <v>71</v>
      </c>
      <c r="K17" s="14" t="n">
        <f aca="false">J17+E17*(Half_gap*(Ceiling_e-J17)-$F$4)</f>
        <v>71</v>
      </c>
      <c r="L17" s="14" t="n">
        <f aca="false">K17+F17*(Half_gap*(Ceiling_e-K17)-$F$4)</f>
        <v>77</v>
      </c>
      <c r="M17" s="14" t="n">
        <f aca="false">L17+G17*(Half_gap*(Ceiling_e-L17)-$F$4)</f>
        <v>77</v>
      </c>
      <c r="N17" s="14" t="n">
        <f aca="false">M17+H17*(Half_gap*(Ceiling_e-M17)-$F$4)</f>
        <v>77</v>
      </c>
      <c r="O17" s="14" t="n">
        <f aca="false">N17+I17*(Half_gap*(Ceiling_e-N17)-$F$4)</f>
        <v>80</v>
      </c>
      <c r="P17" s="14" t="n">
        <f aca="false">Val_pt*(J17-E_zero)</f>
        <v>0</v>
      </c>
      <c r="Q17" s="14" t="n">
        <f aca="false">Val_pt*(K17-E_zero)</f>
        <v>0</v>
      </c>
      <c r="R17" s="14" t="n">
        <f aca="false">Val_pt*(L17-E_zero)</f>
        <v>60</v>
      </c>
      <c r="S17" s="14" t="n">
        <f aca="false">Val_pt*(M17-E_zero)</f>
        <v>60</v>
      </c>
      <c r="T17" s="14" t="n">
        <f aca="false">Val_pt*(N17-E_zero)</f>
        <v>60</v>
      </c>
      <c r="U17" s="14" t="n">
        <f aca="false">Val_pt*(O17-E_zero)</f>
        <v>90</v>
      </c>
      <c r="V17" s="14" t="n">
        <f aca="false">MAX(W17+Cost_round*D17-P17,IF(D17=1,Pre_q,0))</f>
        <v>470</v>
      </c>
      <c r="W17" s="14" t="n">
        <f aca="false">MAX(X17+Cost_round*E17-Q17,IF(E17=1,Pre_q,0),Floor_q)</f>
        <v>470</v>
      </c>
      <c r="X17" s="14" t="n">
        <f aca="false">MAX(Y17+Cost_round*F17-R17,IF(F17=1,Pre_q,0),Floor_q)</f>
        <v>470</v>
      </c>
      <c r="Y17" s="14" t="n">
        <f aca="false">MAX(Z17+Cost_round*G17-S17,IF(G17=1,Pre_q,0),Floor_q)</f>
        <v>380</v>
      </c>
      <c r="Z17" s="14" t="n">
        <f aca="false">MAX(AA17+Cost_round*H17-T17,IF(H17=1,Pre_q,0),Floor_q)</f>
        <v>440</v>
      </c>
      <c r="AA17" s="14" t="n">
        <f aca="false">MAX(AB17+Cost_round*I17-U17,IF(I17=1,Pre_q,0),Floor_q)</f>
        <v>500</v>
      </c>
      <c r="AB17" s="14" t="n">
        <f aca="false">MAX(End_q,Floor_q)</f>
        <v>470</v>
      </c>
      <c r="AC17" s="15" t="n">
        <f aca="false">IF(Q_zero&gt;=V17-0.000000001,1,0)</f>
        <v>1</v>
      </c>
      <c r="AD17" s="14" t="n">
        <f aca="false">IF($AC17=1,Q_zero-Cost_round*D17+P17-W17,"")</f>
        <v>150</v>
      </c>
      <c r="AE17" s="14" t="n">
        <f aca="false">IF($AC17=1,W17-Cost_round*E17+Q17-X17,"")</f>
        <v>0</v>
      </c>
      <c r="AF17" s="14" t="n">
        <f aca="false">IF($AC17=1,X17-Cost_round*F17+R17-Y17,"")</f>
        <v>30</v>
      </c>
      <c r="AG17" s="14" t="n">
        <f aca="false">IF($AC17=1,Y17-Cost_round*G17+S17-Z17,"")</f>
        <v>0</v>
      </c>
      <c r="AH17" s="14" t="n">
        <f aca="false">IF($AC17=1,Z17-Cost_round*H17+T17-AA17,"")</f>
        <v>0</v>
      </c>
      <c r="AI17" s="14" t="n">
        <f aca="false">IF($AC17=1,AA17-Cost_round*I17+U17-AB17,"")</f>
        <v>0</v>
      </c>
      <c r="AJ17" s="14" t="n">
        <f aca="false">IF($AC17=1,SUM(AD17:AI17),"")</f>
        <v>180</v>
      </c>
      <c r="AK17" s="17" t="n">
        <f aca="false">IF($AC17=1,AD17*Beta_y^1+AE17*Beta_y^2+AF17*Beta_y^3+AG17*Beta_y^4+AH17*Beta_y^5+AI17*Beta_y^6,"")</f>
        <v>158.903080390684</v>
      </c>
      <c r="AL17" s="17" t="n">
        <f aca="false">IF($AC17=1,AK17+Beta_y^6*U17/Hurdle_r,"")</f>
        <v>666.929617439083</v>
      </c>
    </row>
    <row r="18" customFormat="false" ht="15" hidden="false" customHeight="false" outlineLevel="0" collapsed="false">
      <c r="A18" s="2" t="n">
        <v>10</v>
      </c>
      <c r="B18" s="2" t="str">
        <f aca="false">D18&amp;E18&amp;F18&amp;G18&amp;H18&amp;I18</f>
        <v>001010</v>
      </c>
      <c r="C18" s="15" t="n">
        <f aca="false">SUM(D18:I18)</f>
        <v>2</v>
      </c>
      <c r="D18" s="15" t="n">
        <f aca="false">MOD(INT($A18/32),2)</f>
        <v>0</v>
      </c>
      <c r="E18" s="15" t="n">
        <f aca="false">MOD(INT($A18/16),2)</f>
        <v>0</v>
      </c>
      <c r="F18" s="15" t="n">
        <f aca="false">MOD(INT($A18/8),2)</f>
        <v>1</v>
      </c>
      <c r="G18" s="15" t="n">
        <f aca="false">MOD(INT($A18/4),2)</f>
        <v>0</v>
      </c>
      <c r="H18" s="15" t="n">
        <f aca="false">MOD(INT($A18/2),2)</f>
        <v>1</v>
      </c>
      <c r="I18" s="15" t="n">
        <f aca="false">MOD(INT($A18/1),2)</f>
        <v>0</v>
      </c>
      <c r="J18" s="14" t="n">
        <f aca="false">E_zero+D18*(Half_gap*(Ceiling_e-E_zero)-$F$4)</f>
        <v>71</v>
      </c>
      <c r="K18" s="14" t="n">
        <f aca="false">J18+E18*(Half_gap*(Ceiling_e-J18)-$F$4)</f>
        <v>71</v>
      </c>
      <c r="L18" s="14" t="n">
        <f aca="false">K18+F18*(Half_gap*(Ceiling_e-K18)-$F$4)</f>
        <v>77</v>
      </c>
      <c r="M18" s="14" t="n">
        <f aca="false">L18+G18*(Half_gap*(Ceiling_e-L18)-$F$4)</f>
        <v>77</v>
      </c>
      <c r="N18" s="14" t="n">
        <f aca="false">M18+H18*(Half_gap*(Ceiling_e-M18)-$F$4)</f>
        <v>80</v>
      </c>
      <c r="O18" s="14" t="n">
        <f aca="false">N18+I18*(Half_gap*(Ceiling_e-N18)-$F$4)</f>
        <v>80</v>
      </c>
      <c r="P18" s="14" t="n">
        <f aca="false">Val_pt*(J18-E_zero)</f>
        <v>0</v>
      </c>
      <c r="Q18" s="14" t="n">
        <f aca="false">Val_pt*(K18-E_zero)</f>
        <v>0</v>
      </c>
      <c r="R18" s="14" t="n">
        <f aca="false">Val_pt*(L18-E_zero)</f>
        <v>60</v>
      </c>
      <c r="S18" s="14" t="n">
        <f aca="false">Val_pt*(M18-E_zero)</f>
        <v>60</v>
      </c>
      <c r="T18" s="14" t="n">
        <f aca="false">Val_pt*(N18-E_zero)</f>
        <v>90</v>
      </c>
      <c r="U18" s="14" t="n">
        <f aca="false">Val_pt*(O18-E_zero)</f>
        <v>90</v>
      </c>
      <c r="V18" s="14" t="n">
        <f aca="false">MAX(W18+Cost_round*D18-P18,IF(D18=1,Pre_q,0))</f>
        <v>470</v>
      </c>
      <c r="W18" s="14" t="n">
        <f aca="false">MAX(X18+Cost_round*E18-Q18,IF(E18=1,Pre_q,0),Floor_q)</f>
        <v>470</v>
      </c>
      <c r="X18" s="14" t="n">
        <f aca="false">MAX(Y18+Cost_round*F18-R18,IF(F18=1,Pre_q,0),Floor_q)</f>
        <v>470</v>
      </c>
      <c r="Y18" s="14" t="n">
        <f aca="false">MAX(Z18+Cost_round*G18-S18,IF(G18=1,Pre_q,0),Floor_q)</f>
        <v>410</v>
      </c>
      <c r="Z18" s="14" t="n">
        <f aca="false">MAX(AA18+Cost_round*H18-T18,IF(H18=1,Pre_q,0),Floor_q)</f>
        <v>470</v>
      </c>
      <c r="AA18" s="14" t="n">
        <f aca="false">MAX(AB18+Cost_round*I18-U18,IF(I18=1,Pre_q,0),Floor_q)</f>
        <v>380</v>
      </c>
      <c r="AB18" s="14" t="n">
        <f aca="false">MAX(End_q,Floor_q)</f>
        <v>470</v>
      </c>
      <c r="AC18" s="15" t="n">
        <f aca="false">IF(Q_zero&gt;=V18-0.000000001,1,0)</f>
        <v>1</v>
      </c>
      <c r="AD18" s="14" t="n">
        <f aca="false">IF($AC18=1,Q_zero-Cost_round*D18+P18-W18,"")</f>
        <v>150</v>
      </c>
      <c r="AE18" s="14" t="n">
        <f aca="false">IF($AC18=1,W18-Cost_round*E18+Q18-X18,"")</f>
        <v>0</v>
      </c>
      <c r="AF18" s="14" t="n">
        <f aca="false">IF($AC18=1,X18-Cost_round*F18+R18-Y18,"")</f>
        <v>0</v>
      </c>
      <c r="AG18" s="14" t="n">
        <f aca="false">IF($AC18=1,Y18-Cost_round*G18+S18-Z18,"")</f>
        <v>0</v>
      </c>
      <c r="AH18" s="14" t="n">
        <f aca="false">IF($AC18=1,Z18-Cost_round*H18+T18-AA18,"")</f>
        <v>60</v>
      </c>
      <c r="AI18" s="14" t="n">
        <f aca="false">IF($AC18=1,AA18-Cost_round*I18+U18-AB18,"")</f>
        <v>0</v>
      </c>
      <c r="AJ18" s="14" t="n">
        <f aca="false">IF($AC18=1,SUM(AD18:AI18),"")</f>
        <v>210</v>
      </c>
      <c r="AK18" s="17" t="n">
        <f aca="false">IF($AC18=1,AD18*Beta_y^1+AE18*Beta_y^2+AF18*Beta_y^3+AG18*Beta_y^4+AH18*Beta_y^5+AI18*Beta_y^6,"")</f>
        <v>173.618915747186</v>
      </c>
      <c r="AL18" s="17" t="n">
        <f aca="false">IF($AC18=1,AK18+Beta_y^6*U18/Hurdle_r,"")</f>
        <v>681.645452795585</v>
      </c>
    </row>
    <row r="19" customFormat="false" ht="15" hidden="false" customHeight="false" outlineLevel="0" collapsed="false">
      <c r="A19" s="2" t="n">
        <v>11</v>
      </c>
      <c r="B19" s="2" t="str">
        <f aca="false">D19&amp;E19&amp;F19&amp;G19&amp;H19&amp;I19</f>
        <v>001011</v>
      </c>
      <c r="C19" s="15" t="n">
        <f aca="false">SUM(D19:I19)</f>
        <v>3</v>
      </c>
      <c r="D19" s="15" t="n">
        <f aca="false">MOD(INT($A19/32),2)</f>
        <v>0</v>
      </c>
      <c r="E19" s="15" t="n">
        <f aca="false">MOD(INT($A19/16),2)</f>
        <v>0</v>
      </c>
      <c r="F19" s="15" t="n">
        <f aca="false">MOD(INT($A19/8),2)</f>
        <v>1</v>
      </c>
      <c r="G19" s="15" t="n">
        <f aca="false">MOD(INT($A19/4),2)</f>
        <v>0</v>
      </c>
      <c r="H19" s="15" t="n">
        <f aca="false">MOD(INT($A19/2),2)</f>
        <v>1</v>
      </c>
      <c r="I19" s="15" t="n">
        <f aca="false">MOD(INT($A19/1),2)</f>
        <v>1</v>
      </c>
      <c r="J19" s="14" t="n">
        <f aca="false">E_zero+D19*(Half_gap*(Ceiling_e-E_zero)-$F$4)</f>
        <v>71</v>
      </c>
      <c r="K19" s="14" t="n">
        <f aca="false">J19+E19*(Half_gap*(Ceiling_e-J19)-$F$4)</f>
        <v>71</v>
      </c>
      <c r="L19" s="14" t="n">
        <f aca="false">K19+F19*(Half_gap*(Ceiling_e-K19)-$F$4)</f>
        <v>77</v>
      </c>
      <c r="M19" s="14" t="n">
        <f aca="false">L19+G19*(Half_gap*(Ceiling_e-L19)-$F$4)</f>
        <v>77</v>
      </c>
      <c r="N19" s="14" t="n">
        <f aca="false">M19+H19*(Half_gap*(Ceiling_e-M19)-$F$4)</f>
        <v>80</v>
      </c>
      <c r="O19" s="14" t="n">
        <f aca="false">N19+I19*(Half_gap*(Ceiling_e-N19)-$F$4)</f>
        <v>81.5</v>
      </c>
      <c r="P19" s="14" t="n">
        <f aca="false">Val_pt*(J19-E_zero)</f>
        <v>0</v>
      </c>
      <c r="Q19" s="14" t="n">
        <f aca="false">Val_pt*(K19-E_zero)</f>
        <v>0</v>
      </c>
      <c r="R19" s="14" t="n">
        <f aca="false">Val_pt*(L19-E_zero)</f>
        <v>60</v>
      </c>
      <c r="S19" s="14" t="n">
        <f aca="false">Val_pt*(M19-E_zero)</f>
        <v>60</v>
      </c>
      <c r="T19" s="14" t="n">
        <f aca="false">Val_pt*(N19-E_zero)</f>
        <v>90</v>
      </c>
      <c r="U19" s="14" t="n">
        <f aca="false">Val_pt*(O19-E_zero)</f>
        <v>105</v>
      </c>
      <c r="V19" s="14" t="n">
        <f aca="false">MAX(W19+Cost_round*D19-P19,IF(D19=1,Pre_q,0))</f>
        <v>515</v>
      </c>
      <c r="W19" s="14" t="n">
        <f aca="false">MAX(X19+Cost_round*E19-Q19,IF(E19=1,Pre_q,0),Floor_q)</f>
        <v>515</v>
      </c>
      <c r="X19" s="14" t="n">
        <f aca="false">MAX(Y19+Cost_round*F19-R19,IF(F19=1,Pre_q,0),Floor_q)</f>
        <v>515</v>
      </c>
      <c r="Y19" s="14" t="n">
        <f aca="false">MAX(Z19+Cost_round*G19-S19,IF(G19=1,Pre_q,0),Floor_q)</f>
        <v>455</v>
      </c>
      <c r="Z19" s="14" t="n">
        <f aca="false">MAX(AA19+Cost_round*H19-T19,IF(H19=1,Pre_q,0),Floor_q)</f>
        <v>515</v>
      </c>
      <c r="AA19" s="14" t="n">
        <f aca="false">MAX(AB19+Cost_round*I19-U19,IF(I19=1,Pre_q,0),Floor_q)</f>
        <v>485</v>
      </c>
      <c r="AB19" s="14" t="n">
        <f aca="false">MAX(End_q,Floor_q)</f>
        <v>470</v>
      </c>
      <c r="AC19" s="15" t="n">
        <f aca="false">IF(Q_zero&gt;=V19-0.000000001,1,0)</f>
        <v>1</v>
      </c>
      <c r="AD19" s="14" t="n">
        <f aca="false">IF($AC19=1,Q_zero-Cost_round*D19+P19-W19,"")</f>
        <v>105</v>
      </c>
      <c r="AE19" s="14" t="n">
        <f aca="false">IF($AC19=1,W19-Cost_round*E19+Q19-X19,"")</f>
        <v>0</v>
      </c>
      <c r="AF19" s="14" t="n">
        <f aca="false">IF($AC19=1,X19-Cost_round*F19+R19-Y19,"")</f>
        <v>0</v>
      </c>
      <c r="AG19" s="14" t="n">
        <f aca="false">IF($AC19=1,Y19-Cost_round*G19+S19-Z19,"")</f>
        <v>0</v>
      </c>
      <c r="AH19" s="14" t="n">
        <f aca="false">IF($AC19=1,Z19-Cost_round*H19+T19-AA19,"")</f>
        <v>0</v>
      </c>
      <c r="AI19" s="14" t="n">
        <f aca="false">IF($AC19=1,AA19-Cost_round*I19+U19-AB19,"")</f>
        <v>0</v>
      </c>
      <c r="AJ19" s="14" t="n">
        <f aca="false">IF($AC19=1,SUM(AD19:AI19),"")</f>
        <v>105</v>
      </c>
      <c r="AK19" s="17" t="n">
        <f aca="false">IF($AC19=1,AD19*Beta_y^1+AE19*Beta_y^2+AF19*Beta_y^3+AG19*Beta_y^4+AH19*Beta_y^5+AI19*Beta_y^6,"")</f>
        <v>95.4545454545455</v>
      </c>
      <c r="AL19" s="17" t="n">
        <f aca="false">IF($AC19=1,AK19+Beta_y^6*U19/Hurdle_r,"")</f>
        <v>688.152172011012</v>
      </c>
    </row>
    <row r="20" customFormat="false" ht="15" hidden="false" customHeight="false" outlineLevel="0" collapsed="false">
      <c r="A20" s="2" t="n">
        <v>12</v>
      </c>
      <c r="B20" s="2" t="str">
        <f aca="false">D20&amp;E20&amp;F20&amp;G20&amp;H20&amp;I20</f>
        <v>001100</v>
      </c>
      <c r="C20" s="15" t="n">
        <f aca="false">SUM(D20:I20)</f>
        <v>2</v>
      </c>
      <c r="D20" s="15" t="n">
        <f aca="false">MOD(INT($A20/32),2)</f>
        <v>0</v>
      </c>
      <c r="E20" s="15" t="n">
        <f aca="false">MOD(INT($A20/16),2)</f>
        <v>0</v>
      </c>
      <c r="F20" s="15" t="n">
        <f aca="false">MOD(INT($A20/8),2)</f>
        <v>1</v>
      </c>
      <c r="G20" s="15" t="n">
        <f aca="false">MOD(INT($A20/4),2)</f>
        <v>1</v>
      </c>
      <c r="H20" s="15" t="n">
        <f aca="false">MOD(INT($A20/2),2)</f>
        <v>0</v>
      </c>
      <c r="I20" s="15" t="n">
        <f aca="false">MOD(INT($A20/1),2)</f>
        <v>0</v>
      </c>
      <c r="J20" s="14" t="n">
        <f aca="false">E_zero+D20*(Half_gap*(Ceiling_e-E_zero)-$F$4)</f>
        <v>71</v>
      </c>
      <c r="K20" s="14" t="n">
        <f aca="false">J20+E20*(Half_gap*(Ceiling_e-J20)-$F$4)</f>
        <v>71</v>
      </c>
      <c r="L20" s="14" t="n">
        <f aca="false">K20+F20*(Half_gap*(Ceiling_e-K20)-$F$4)</f>
        <v>77</v>
      </c>
      <c r="M20" s="14" t="n">
        <f aca="false">L20+G20*(Half_gap*(Ceiling_e-L20)-$F$4)</f>
        <v>80</v>
      </c>
      <c r="N20" s="14" t="n">
        <f aca="false">M20+H20*(Half_gap*(Ceiling_e-M20)-$F$4)</f>
        <v>80</v>
      </c>
      <c r="O20" s="14" t="n">
        <f aca="false">N20+I20*(Half_gap*(Ceiling_e-N20)-$F$4)</f>
        <v>80</v>
      </c>
      <c r="P20" s="14" t="n">
        <f aca="false">Val_pt*(J20-E_zero)</f>
        <v>0</v>
      </c>
      <c r="Q20" s="14" t="n">
        <f aca="false">Val_pt*(K20-E_zero)</f>
        <v>0</v>
      </c>
      <c r="R20" s="14" t="n">
        <f aca="false">Val_pt*(L20-E_zero)</f>
        <v>60</v>
      </c>
      <c r="S20" s="14" t="n">
        <f aca="false">Val_pt*(M20-E_zero)</f>
        <v>90</v>
      </c>
      <c r="T20" s="14" t="n">
        <f aca="false">Val_pt*(N20-E_zero)</f>
        <v>90</v>
      </c>
      <c r="U20" s="14" t="n">
        <f aca="false">Val_pt*(O20-E_zero)</f>
        <v>90</v>
      </c>
      <c r="V20" s="14" t="n">
        <f aca="false">MAX(W20+Cost_round*D20-P20,IF(D20=1,Pre_q,0))</f>
        <v>530</v>
      </c>
      <c r="W20" s="14" t="n">
        <f aca="false">MAX(X20+Cost_round*E20-Q20,IF(E20=1,Pre_q,0),Floor_q)</f>
        <v>530</v>
      </c>
      <c r="X20" s="14" t="n">
        <f aca="false">MAX(Y20+Cost_round*F20-R20,IF(F20=1,Pre_q,0),Floor_q)</f>
        <v>530</v>
      </c>
      <c r="Y20" s="14" t="n">
        <f aca="false">MAX(Z20+Cost_round*G20-S20,IF(G20=1,Pre_q,0),Floor_q)</f>
        <v>470</v>
      </c>
      <c r="Z20" s="14" t="n">
        <f aca="false">MAX(AA20+Cost_round*H20-T20,IF(H20=1,Pre_q,0),Floor_q)</f>
        <v>350</v>
      </c>
      <c r="AA20" s="14" t="n">
        <f aca="false">MAX(AB20+Cost_round*I20-U20,IF(I20=1,Pre_q,0),Floor_q)</f>
        <v>380</v>
      </c>
      <c r="AB20" s="14" t="n">
        <f aca="false">MAX(End_q,Floor_q)</f>
        <v>470</v>
      </c>
      <c r="AC20" s="15" t="n">
        <f aca="false">IF(Q_zero&gt;=V20-0.000000001,1,0)</f>
        <v>1</v>
      </c>
      <c r="AD20" s="14" t="n">
        <f aca="false">IF($AC20=1,Q_zero-Cost_round*D20+P20-W20,"")</f>
        <v>90</v>
      </c>
      <c r="AE20" s="14" t="n">
        <f aca="false">IF($AC20=1,W20-Cost_round*E20+Q20-X20,"")</f>
        <v>0</v>
      </c>
      <c r="AF20" s="14" t="n">
        <f aca="false">IF($AC20=1,X20-Cost_round*F20+R20-Y20,"")</f>
        <v>0</v>
      </c>
      <c r="AG20" s="14" t="n">
        <f aca="false">IF($AC20=1,Y20-Cost_round*G20+S20-Z20,"")</f>
        <v>90</v>
      </c>
      <c r="AH20" s="14" t="n">
        <f aca="false">IF($AC20=1,Z20-Cost_round*H20+T20-AA20,"")</f>
        <v>60</v>
      </c>
      <c r="AI20" s="14" t="n">
        <f aca="false">IF($AC20=1,AA20-Cost_round*I20+U20-AB20,"")</f>
        <v>0</v>
      </c>
      <c r="AJ20" s="14" t="n">
        <f aca="false">IF($AC20=1,SUM(AD20:AI20),"")</f>
        <v>240</v>
      </c>
      <c r="AK20" s="17" t="n">
        <f aca="false">IF($AC20=1,AD20*Beta_y^1+AE20*Beta_y^2+AF20*Beta_y^3+AG20*Beta_y^4+AH20*Beta_y^5+AI20*Beta_y^6,"")</f>
        <v>180.544672184587</v>
      </c>
      <c r="AL20" s="17" t="n">
        <f aca="false">IF($AC20=1,AK20+Beta_y^6*U20/Hurdle_r,"")</f>
        <v>688.571209232987</v>
      </c>
    </row>
    <row r="21" customFormat="false" ht="15" hidden="false" customHeight="false" outlineLevel="0" collapsed="false">
      <c r="A21" s="2" t="n">
        <v>13</v>
      </c>
      <c r="B21" s="2" t="str">
        <f aca="false">D21&amp;E21&amp;F21&amp;G21&amp;H21&amp;I21</f>
        <v>001101</v>
      </c>
      <c r="C21" s="15" t="n">
        <f aca="false">SUM(D21:I21)</f>
        <v>3</v>
      </c>
      <c r="D21" s="15" t="n">
        <f aca="false">MOD(INT($A21/32),2)</f>
        <v>0</v>
      </c>
      <c r="E21" s="15" t="n">
        <f aca="false">MOD(INT($A21/16),2)</f>
        <v>0</v>
      </c>
      <c r="F21" s="15" t="n">
        <f aca="false">MOD(INT($A21/8),2)</f>
        <v>1</v>
      </c>
      <c r="G21" s="15" t="n">
        <f aca="false">MOD(INT($A21/4),2)</f>
        <v>1</v>
      </c>
      <c r="H21" s="15" t="n">
        <f aca="false">MOD(INT($A21/2),2)</f>
        <v>0</v>
      </c>
      <c r="I21" s="15" t="n">
        <f aca="false">MOD(INT($A21/1),2)</f>
        <v>1</v>
      </c>
      <c r="J21" s="14" t="n">
        <f aca="false">E_zero+D21*(Half_gap*(Ceiling_e-E_zero)-$F$4)</f>
        <v>71</v>
      </c>
      <c r="K21" s="14" t="n">
        <f aca="false">J21+E21*(Half_gap*(Ceiling_e-J21)-$F$4)</f>
        <v>71</v>
      </c>
      <c r="L21" s="14" t="n">
        <f aca="false">K21+F21*(Half_gap*(Ceiling_e-K21)-$F$4)</f>
        <v>77</v>
      </c>
      <c r="M21" s="14" t="n">
        <f aca="false">L21+G21*(Half_gap*(Ceiling_e-L21)-$F$4)</f>
        <v>80</v>
      </c>
      <c r="N21" s="14" t="n">
        <f aca="false">M21+H21*(Half_gap*(Ceiling_e-M21)-$F$4)</f>
        <v>80</v>
      </c>
      <c r="O21" s="14" t="n">
        <f aca="false">N21+I21*(Half_gap*(Ceiling_e-N21)-$F$4)</f>
        <v>81.5</v>
      </c>
      <c r="P21" s="14" t="n">
        <f aca="false">Val_pt*(J21-E_zero)</f>
        <v>0</v>
      </c>
      <c r="Q21" s="14" t="n">
        <f aca="false">Val_pt*(K21-E_zero)</f>
        <v>0</v>
      </c>
      <c r="R21" s="14" t="n">
        <f aca="false">Val_pt*(L21-E_zero)</f>
        <v>60</v>
      </c>
      <c r="S21" s="14" t="n">
        <f aca="false">Val_pt*(M21-E_zero)</f>
        <v>90</v>
      </c>
      <c r="T21" s="14" t="n">
        <f aca="false">Val_pt*(N21-E_zero)</f>
        <v>90</v>
      </c>
      <c r="U21" s="14" t="n">
        <f aca="false">Val_pt*(O21-E_zero)</f>
        <v>105</v>
      </c>
      <c r="V21" s="14" t="n">
        <f aca="false">MAX(W21+Cost_round*D21-P21,IF(D21=1,Pre_q,0))</f>
        <v>530</v>
      </c>
      <c r="W21" s="14" t="n">
        <f aca="false">MAX(X21+Cost_round*E21-Q21,IF(E21=1,Pre_q,0),Floor_q)</f>
        <v>530</v>
      </c>
      <c r="X21" s="14" t="n">
        <f aca="false">MAX(Y21+Cost_round*F21-R21,IF(F21=1,Pre_q,0),Floor_q)</f>
        <v>530</v>
      </c>
      <c r="Y21" s="14" t="n">
        <f aca="false">MAX(Z21+Cost_round*G21-S21,IF(G21=1,Pre_q,0),Floor_q)</f>
        <v>470</v>
      </c>
      <c r="Z21" s="14" t="n">
        <f aca="false">MAX(AA21+Cost_round*H21-T21,IF(H21=1,Pre_q,0),Floor_q)</f>
        <v>395</v>
      </c>
      <c r="AA21" s="14" t="n">
        <f aca="false">MAX(AB21+Cost_round*I21-U21,IF(I21=1,Pre_q,0),Floor_q)</f>
        <v>485</v>
      </c>
      <c r="AB21" s="14" t="n">
        <f aca="false">MAX(End_q,Floor_q)</f>
        <v>470</v>
      </c>
      <c r="AC21" s="15" t="n">
        <f aca="false">IF(Q_zero&gt;=V21-0.000000001,1,0)</f>
        <v>1</v>
      </c>
      <c r="AD21" s="14" t="n">
        <f aca="false">IF($AC21=1,Q_zero-Cost_round*D21+P21-W21,"")</f>
        <v>90</v>
      </c>
      <c r="AE21" s="14" t="n">
        <f aca="false">IF($AC21=1,W21-Cost_round*E21+Q21-X21,"")</f>
        <v>0</v>
      </c>
      <c r="AF21" s="14" t="n">
        <f aca="false">IF($AC21=1,X21-Cost_round*F21+R21-Y21,"")</f>
        <v>0</v>
      </c>
      <c r="AG21" s="14" t="n">
        <f aca="false">IF($AC21=1,Y21-Cost_round*G21+S21-Z21,"")</f>
        <v>45</v>
      </c>
      <c r="AH21" s="14" t="n">
        <f aca="false">IF($AC21=1,Z21-Cost_round*H21+T21-AA21,"")</f>
        <v>0</v>
      </c>
      <c r="AI21" s="14" t="n">
        <f aca="false">IF($AC21=1,AA21-Cost_round*I21+U21-AB21,"")</f>
        <v>0</v>
      </c>
      <c r="AJ21" s="14" t="n">
        <f aca="false">IF($AC21=1,SUM(AD21:AI21),"")</f>
        <v>135</v>
      </c>
      <c r="AK21" s="17" t="n">
        <f aca="false">IF($AC21=1,AD21*Beta_y^1+AE21*Beta_y^2+AF21*Beta_y^3+AG21*Beta_y^4+AH21*Beta_y^5+AI21*Beta_y^6,"")</f>
        <v>112.55378730961</v>
      </c>
      <c r="AL21" s="17" t="n">
        <f aca="false">IF($AC21=1,AK21+Beta_y^6*U21/Hurdle_r,"")</f>
        <v>705.251413866076</v>
      </c>
    </row>
    <row r="22" customFormat="false" ht="15" hidden="false" customHeight="false" outlineLevel="0" collapsed="false">
      <c r="A22" s="2" t="n">
        <v>14</v>
      </c>
      <c r="B22" s="2" t="str">
        <f aca="false">D22&amp;E22&amp;F22&amp;G22&amp;H22&amp;I22</f>
        <v>001110</v>
      </c>
      <c r="C22" s="15" t="n">
        <f aca="false">SUM(D22:I22)</f>
        <v>3</v>
      </c>
      <c r="D22" s="15" t="n">
        <f aca="false">MOD(INT($A22/32),2)</f>
        <v>0</v>
      </c>
      <c r="E22" s="15" t="n">
        <f aca="false">MOD(INT($A22/16),2)</f>
        <v>0</v>
      </c>
      <c r="F22" s="15" t="n">
        <f aca="false">MOD(INT($A22/8),2)</f>
        <v>1</v>
      </c>
      <c r="G22" s="15" t="n">
        <f aca="false">MOD(INT($A22/4),2)</f>
        <v>1</v>
      </c>
      <c r="H22" s="15" t="n">
        <f aca="false">MOD(INT($A22/2),2)</f>
        <v>1</v>
      </c>
      <c r="I22" s="15" t="n">
        <f aca="false">MOD(INT($A22/1),2)</f>
        <v>0</v>
      </c>
      <c r="J22" s="14" t="n">
        <f aca="false">E_zero+D22*(Half_gap*(Ceiling_e-E_zero)-$F$4)</f>
        <v>71</v>
      </c>
      <c r="K22" s="14" t="n">
        <f aca="false">J22+E22*(Half_gap*(Ceiling_e-J22)-$F$4)</f>
        <v>71</v>
      </c>
      <c r="L22" s="14" t="n">
        <f aca="false">K22+F22*(Half_gap*(Ceiling_e-K22)-$F$4)</f>
        <v>77</v>
      </c>
      <c r="M22" s="14" t="n">
        <f aca="false">L22+G22*(Half_gap*(Ceiling_e-L22)-$F$4)</f>
        <v>80</v>
      </c>
      <c r="N22" s="14" t="n">
        <f aca="false">M22+H22*(Half_gap*(Ceiling_e-M22)-$F$4)</f>
        <v>81.5</v>
      </c>
      <c r="O22" s="14" t="n">
        <f aca="false">N22+I22*(Half_gap*(Ceiling_e-N22)-$F$4)</f>
        <v>81.5</v>
      </c>
      <c r="P22" s="14" t="n">
        <f aca="false">Val_pt*(J22-E_zero)</f>
        <v>0</v>
      </c>
      <c r="Q22" s="14" t="n">
        <f aca="false">Val_pt*(K22-E_zero)</f>
        <v>0</v>
      </c>
      <c r="R22" s="14" t="n">
        <f aca="false">Val_pt*(L22-E_zero)</f>
        <v>60</v>
      </c>
      <c r="S22" s="14" t="n">
        <f aca="false">Val_pt*(M22-E_zero)</f>
        <v>90</v>
      </c>
      <c r="T22" s="14" t="n">
        <f aca="false">Val_pt*(N22-E_zero)</f>
        <v>105</v>
      </c>
      <c r="U22" s="14" t="n">
        <f aca="false">Val_pt*(O22-E_zero)</f>
        <v>105</v>
      </c>
      <c r="V22" s="14" t="n">
        <f aca="false">MAX(W22+Cost_round*D22-P22,IF(D22=1,Pre_q,0))</f>
        <v>560</v>
      </c>
      <c r="W22" s="14" t="n">
        <f aca="false">MAX(X22+Cost_round*E22-Q22,IF(E22=1,Pre_q,0),Floor_q)</f>
        <v>560</v>
      </c>
      <c r="X22" s="14" t="n">
        <f aca="false">MAX(Y22+Cost_round*F22-R22,IF(F22=1,Pre_q,0),Floor_q)</f>
        <v>560</v>
      </c>
      <c r="Y22" s="14" t="n">
        <f aca="false">MAX(Z22+Cost_round*G22-S22,IF(G22=1,Pre_q,0),Floor_q)</f>
        <v>500</v>
      </c>
      <c r="Z22" s="14" t="n">
        <f aca="false">MAX(AA22+Cost_round*H22-T22,IF(H22=1,Pre_q,0),Floor_q)</f>
        <v>470</v>
      </c>
      <c r="AA22" s="14" t="n">
        <f aca="false">MAX(AB22+Cost_round*I22-U22,IF(I22=1,Pre_q,0),Floor_q)</f>
        <v>365</v>
      </c>
      <c r="AB22" s="14" t="n">
        <f aca="false">MAX(End_q,Floor_q)</f>
        <v>470</v>
      </c>
      <c r="AC22" s="15" t="n">
        <f aca="false">IF(Q_zero&gt;=V22-0.000000001,1,0)</f>
        <v>1</v>
      </c>
      <c r="AD22" s="14" t="n">
        <f aca="false">IF($AC22=1,Q_zero-Cost_round*D22+P22-W22,"")</f>
        <v>60</v>
      </c>
      <c r="AE22" s="14" t="n">
        <f aca="false">IF($AC22=1,W22-Cost_round*E22+Q22-X22,"")</f>
        <v>0</v>
      </c>
      <c r="AF22" s="14" t="n">
        <f aca="false">IF($AC22=1,X22-Cost_round*F22+R22-Y22,"")</f>
        <v>0</v>
      </c>
      <c r="AG22" s="14" t="n">
        <f aca="false">IF($AC22=1,Y22-Cost_round*G22+S22-Z22,"")</f>
        <v>0</v>
      </c>
      <c r="AH22" s="14" t="n">
        <f aca="false">IF($AC22=1,Z22-Cost_round*H22+T22-AA22,"")</f>
        <v>90</v>
      </c>
      <c r="AI22" s="14" t="n">
        <f aca="false">IF($AC22=1,AA22-Cost_round*I22+U22-AB22,"")</f>
        <v>0</v>
      </c>
      <c r="AJ22" s="14" t="n">
        <f aca="false">IF($AC22=1,SUM(AD22:AI22),"")</f>
        <v>150</v>
      </c>
      <c r="AK22" s="17" t="n">
        <f aca="false">IF($AC22=1,AD22*Beta_y^1+AE22*Beta_y^2+AF22*Beta_y^3+AG22*Beta_y^4+AH22*Beta_y^5+AI22*Beta_y^6,"")</f>
        <v>110.428373620779</v>
      </c>
      <c r="AL22" s="17" t="n">
        <f aca="false">IF($AC22=1,AK22+Beta_y^6*U22/Hurdle_r,"")</f>
        <v>703.126000177245</v>
      </c>
    </row>
    <row r="23" customFormat="false" ht="15" hidden="false" customHeight="false" outlineLevel="0" collapsed="false">
      <c r="A23" s="2" t="n">
        <v>15</v>
      </c>
      <c r="B23" s="2" t="str">
        <f aca="false">D23&amp;E23&amp;F23&amp;G23&amp;H23&amp;I23</f>
        <v>001111</v>
      </c>
      <c r="C23" s="15" t="n">
        <f aca="false">SUM(D23:I23)</f>
        <v>4</v>
      </c>
      <c r="D23" s="15" t="n">
        <f aca="false">MOD(INT($A23/32),2)</f>
        <v>0</v>
      </c>
      <c r="E23" s="15" t="n">
        <f aca="false">MOD(INT($A23/16),2)</f>
        <v>0</v>
      </c>
      <c r="F23" s="15" t="n">
        <f aca="false">MOD(INT($A23/8),2)</f>
        <v>1</v>
      </c>
      <c r="G23" s="15" t="n">
        <f aca="false">MOD(INT($A23/4),2)</f>
        <v>1</v>
      </c>
      <c r="H23" s="15" t="n">
        <f aca="false">MOD(INT($A23/2),2)</f>
        <v>1</v>
      </c>
      <c r="I23" s="15" t="n">
        <f aca="false">MOD(INT($A23/1),2)</f>
        <v>1</v>
      </c>
      <c r="J23" s="14" t="n">
        <f aca="false">E_zero+D23*(Half_gap*(Ceiling_e-E_zero)-$F$4)</f>
        <v>71</v>
      </c>
      <c r="K23" s="14" t="n">
        <f aca="false">J23+E23*(Half_gap*(Ceiling_e-J23)-$F$4)</f>
        <v>71</v>
      </c>
      <c r="L23" s="14" t="n">
        <f aca="false">K23+F23*(Half_gap*(Ceiling_e-K23)-$F$4)</f>
        <v>77</v>
      </c>
      <c r="M23" s="14" t="n">
        <f aca="false">L23+G23*(Half_gap*(Ceiling_e-L23)-$F$4)</f>
        <v>80</v>
      </c>
      <c r="N23" s="14" t="n">
        <f aca="false">M23+H23*(Half_gap*(Ceiling_e-M23)-$F$4)</f>
        <v>81.5</v>
      </c>
      <c r="O23" s="14" t="n">
        <f aca="false">N23+I23*(Half_gap*(Ceiling_e-N23)-$F$4)</f>
        <v>82.25</v>
      </c>
      <c r="P23" s="14" t="n">
        <f aca="false">Val_pt*(J23-E_zero)</f>
        <v>0</v>
      </c>
      <c r="Q23" s="14" t="n">
        <f aca="false">Val_pt*(K23-E_zero)</f>
        <v>0</v>
      </c>
      <c r="R23" s="14" t="n">
        <f aca="false">Val_pt*(L23-E_zero)</f>
        <v>60</v>
      </c>
      <c r="S23" s="14" t="n">
        <f aca="false">Val_pt*(M23-E_zero)</f>
        <v>90</v>
      </c>
      <c r="T23" s="14" t="n">
        <f aca="false">Val_pt*(N23-E_zero)</f>
        <v>105</v>
      </c>
      <c r="U23" s="14" t="n">
        <f aca="false">Val_pt*(O23-E_zero)</f>
        <v>112.5</v>
      </c>
      <c r="V23" s="14" t="n">
        <f aca="false">MAX(W23+Cost_round*D23-P23,IF(D23=1,Pre_q,0))</f>
        <v>582.5</v>
      </c>
      <c r="W23" s="14" t="n">
        <f aca="false">MAX(X23+Cost_round*E23-Q23,IF(E23=1,Pre_q,0),Floor_q)</f>
        <v>582.5</v>
      </c>
      <c r="X23" s="14" t="n">
        <f aca="false">MAX(Y23+Cost_round*F23-R23,IF(F23=1,Pre_q,0),Floor_q)</f>
        <v>582.5</v>
      </c>
      <c r="Y23" s="14" t="n">
        <f aca="false">MAX(Z23+Cost_round*G23-S23,IF(G23=1,Pre_q,0),Floor_q)</f>
        <v>522.5</v>
      </c>
      <c r="Z23" s="14" t="n">
        <f aca="false">MAX(AA23+Cost_round*H23-T23,IF(H23=1,Pre_q,0),Floor_q)</f>
        <v>492.5</v>
      </c>
      <c r="AA23" s="14" t="n">
        <f aca="false">MAX(AB23+Cost_round*I23-U23,IF(I23=1,Pre_q,0),Floor_q)</f>
        <v>477.5</v>
      </c>
      <c r="AB23" s="14" t="n">
        <f aca="false">MAX(End_q,Floor_q)</f>
        <v>470</v>
      </c>
      <c r="AC23" s="15" t="n">
        <f aca="false">IF(Q_zero&gt;=V23-0.000000001,1,0)</f>
        <v>1</v>
      </c>
      <c r="AD23" s="14" t="n">
        <f aca="false">IF($AC23=1,Q_zero-Cost_round*D23+P23-W23,"")</f>
        <v>37.5</v>
      </c>
      <c r="AE23" s="14" t="n">
        <f aca="false">IF($AC23=1,W23-Cost_round*E23+Q23-X23,"")</f>
        <v>0</v>
      </c>
      <c r="AF23" s="14" t="n">
        <f aca="false">IF($AC23=1,X23-Cost_round*F23+R23-Y23,"")</f>
        <v>0</v>
      </c>
      <c r="AG23" s="14" t="n">
        <f aca="false">IF($AC23=1,Y23-Cost_round*G23+S23-Z23,"")</f>
        <v>0</v>
      </c>
      <c r="AH23" s="14" t="n">
        <f aca="false">IF($AC23=1,Z23-Cost_round*H23+T23-AA23,"")</f>
        <v>0</v>
      </c>
      <c r="AI23" s="14" t="n">
        <f aca="false">IF($AC23=1,AA23-Cost_round*I23+U23-AB23,"")</f>
        <v>0</v>
      </c>
      <c r="AJ23" s="14" t="n">
        <f aca="false">IF($AC23=1,SUM(AD23:AI23),"")</f>
        <v>37.5</v>
      </c>
      <c r="AK23" s="17" t="n">
        <f aca="false">IF($AC23=1,AD23*Beta_y^1+AE23*Beta_y^2+AF23*Beta_y^3+AG23*Beta_y^4+AH23*Beta_y^5+AI23*Beta_y^6,"")</f>
        <v>34.0909090909091</v>
      </c>
      <c r="AL23" s="17" t="n">
        <f aca="false">IF($AC23=1,AK23+Beta_y^6*U23/Hurdle_r,"")</f>
        <v>669.124080401409</v>
      </c>
    </row>
    <row r="24" customFormat="false" ht="15" hidden="false" customHeight="false" outlineLevel="0" collapsed="false">
      <c r="A24" s="2" t="n">
        <v>16</v>
      </c>
      <c r="B24" s="2" t="str">
        <f aca="false">D24&amp;E24&amp;F24&amp;G24&amp;H24&amp;I24</f>
        <v>010000</v>
      </c>
      <c r="C24" s="15" t="n">
        <f aca="false">SUM(D24:I24)</f>
        <v>1</v>
      </c>
      <c r="D24" s="15" t="n">
        <f aca="false">MOD(INT($A24/32),2)</f>
        <v>0</v>
      </c>
      <c r="E24" s="15" t="n">
        <f aca="false">MOD(INT($A24/16),2)</f>
        <v>1</v>
      </c>
      <c r="F24" s="15" t="n">
        <f aca="false">MOD(INT($A24/8),2)</f>
        <v>0</v>
      </c>
      <c r="G24" s="15" t="n">
        <f aca="false">MOD(INT($A24/4),2)</f>
        <v>0</v>
      </c>
      <c r="H24" s="15" t="n">
        <f aca="false">MOD(INT($A24/2),2)</f>
        <v>0</v>
      </c>
      <c r="I24" s="15" t="n">
        <f aca="false">MOD(INT($A24/1),2)</f>
        <v>0</v>
      </c>
      <c r="J24" s="14" t="n">
        <f aca="false">E_zero+D24*(Half_gap*(Ceiling_e-E_zero)-$F$4)</f>
        <v>71</v>
      </c>
      <c r="K24" s="14" t="n">
        <f aca="false">J24+E24*(Half_gap*(Ceiling_e-J24)-$F$4)</f>
        <v>77</v>
      </c>
      <c r="L24" s="14" t="n">
        <f aca="false">K24+F24*(Half_gap*(Ceiling_e-K24)-$F$4)</f>
        <v>77</v>
      </c>
      <c r="M24" s="14" t="n">
        <f aca="false">L24+G24*(Half_gap*(Ceiling_e-L24)-$F$4)</f>
        <v>77</v>
      </c>
      <c r="N24" s="14" t="n">
        <f aca="false">M24+H24*(Half_gap*(Ceiling_e-M24)-$F$4)</f>
        <v>77</v>
      </c>
      <c r="O24" s="14" t="n">
        <f aca="false">N24+I24*(Half_gap*(Ceiling_e-N24)-$F$4)</f>
        <v>77</v>
      </c>
      <c r="P24" s="14" t="n">
        <f aca="false">Val_pt*(J24-E_zero)</f>
        <v>0</v>
      </c>
      <c r="Q24" s="14" t="n">
        <f aca="false">Val_pt*(K24-E_zero)</f>
        <v>60</v>
      </c>
      <c r="R24" s="14" t="n">
        <f aca="false">Val_pt*(L24-E_zero)</f>
        <v>60</v>
      </c>
      <c r="S24" s="14" t="n">
        <f aca="false">Val_pt*(M24-E_zero)</f>
        <v>60</v>
      </c>
      <c r="T24" s="14" t="n">
        <f aca="false">Val_pt*(N24-E_zero)</f>
        <v>60</v>
      </c>
      <c r="U24" s="14" t="n">
        <f aca="false">Val_pt*(O24-E_zero)</f>
        <v>60</v>
      </c>
      <c r="V24" s="14" t="n">
        <f aca="false">MAX(W24+Cost_round*D24-P24,IF(D24=1,Pre_q,0))</f>
        <v>470</v>
      </c>
      <c r="W24" s="14" t="n">
        <f aca="false">MAX(X24+Cost_round*E24-Q24,IF(E24=1,Pre_q,0),Floor_q)</f>
        <v>470</v>
      </c>
      <c r="X24" s="14" t="n">
        <f aca="false">MAX(Y24+Cost_round*F24-R24,IF(F24=1,Pre_q,0),Floor_q)</f>
        <v>350</v>
      </c>
      <c r="Y24" s="14" t="n">
        <f aca="false">MAX(Z24+Cost_round*G24-S24,IF(G24=1,Pre_q,0),Floor_q)</f>
        <v>350</v>
      </c>
      <c r="Z24" s="14" t="n">
        <f aca="false">MAX(AA24+Cost_round*H24-T24,IF(H24=1,Pre_q,0),Floor_q)</f>
        <v>350</v>
      </c>
      <c r="AA24" s="14" t="n">
        <f aca="false">MAX(AB24+Cost_round*I24-U24,IF(I24=1,Pre_q,0),Floor_q)</f>
        <v>410</v>
      </c>
      <c r="AB24" s="14" t="n">
        <f aca="false">MAX(End_q,Floor_q)</f>
        <v>470</v>
      </c>
      <c r="AC24" s="15" t="n">
        <f aca="false">IF(Q_zero&gt;=V24-0.000000001,1,0)</f>
        <v>1</v>
      </c>
      <c r="AD24" s="14" t="n">
        <f aca="false">IF($AC24=1,Q_zero-Cost_round*D24+P24-W24,"")</f>
        <v>150</v>
      </c>
      <c r="AE24" s="14" t="n">
        <f aca="false">IF($AC24=1,W24-Cost_round*E24+Q24-X24,"")</f>
        <v>60</v>
      </c>
      <c r="AF24" s="14" t="n">
        <f aca="false">IF($AC24=1,X24-Cost_round*F24+R24-Y24,"")</f>
        <v>60</v>
      </c>
      <c r="AG24" s="14" t="n">
        <f aca="false">IF($AC24=1,Y24-Cost_round*G24+S24-Z24,"")</f>
        <v>60</v>
      </c>
      <c r="AH24" s="14" t="n">
        <f aca="false">IF($AC24=1,Z24-Cost_round*H24+T24-AA24,"")</f>
        <v>0</v>
      </c>
      <c r="AI24" s="14" t="n">
        <f aca="false">IF($AC24=1,AA24-Cost_round*I24+U24-AB24,"")</f>
        <v>0</v>
      </c>
      <c r="AJ24" s="14" t="n">
        <f aca="false">IF($AC24=1,SUM(AD24:AI24),"")</f>
        <v>330</v>
      </c>
      <c r="AK24" s="17" t="n">
        <f aca="false">IF($AC24=1,AD24*Beta_y^1+AE24*Beta_y^2+AF24*Beta_y^3+AG24*Beta_y^4+AH24*Beta_y^5+AI24*Beta_y^6,"")</f>
        <v>272.010108599139</v>
      </c>
      <c r="AL24" s="17" t="n">
        <f aca="false">IF($AC24=1,AK24+Beta_y^6*U24/Hurdle_r,"")</f>
        <v>610.694466631406</v>
      </c>
    </row>
    <row r="25" customFormat="false" ht="15" hidden="false" customHeight="false" outlineLevel="0" collapsed="false">
      <c r="A25" s="2" t="n">
        <v>17</v>
      </c>
      <c r="B25" s="2" t="str">
        <f aca="false">D25&amp;E25&amp;F25&amp;G25&amp;H25&amp;I25</f>
        <v>010001</v>
      </c>
      <c r="C25" s="15" t="n">
        <f aca="false">SUM(D25:I25)</f>
        <v>2</v>
      </c>
      <c r="D25" s="15" t="n">
        <f aca="false">MOD(INT($A25/32),2)</f>
        <v>0</v>
      </c>
      <c r="E25" s="15" t="n">
        <f aca="false">MOD(INT($A25/16),2)</f>
        <v>1</v>
      </c>
      <c r="F25" s="15" t="n">
        <f aca="false">MOD(INT($A25/8),2)</f>
        <v>0</v>
      </c>
      <c r="G25" s="15" t="n">
        <f aca="false">MOD(INT($A25/4),2)</f>
        <v>0</v>
      </c>
      <c r="H25" s="15" t="n">
        <f aca="false">MOD(INT($A25/2),2)</f>
        <v>0</v>
      </c>
      <c r="I25" s="15" t="n">
        <f aca="false">MOD(INT($A25/1),2)</f>
        <v>1</v>
      </c>
      <c r="J25" s="14" t="n">
        <f aca="false">E_zero+D25*(Half_gap*(Ceiling_e-E_zero)-$F$4)</f>
        <v>71</v>
      </c>
      <c r="K25" s="14" t="n">
        <f aca="false">J25+E25*(Half_gap*(Ceiling_e-J25)-$F$4)</f>
        <v>77</v>
      </c>
      <c r="L25" s="14" t="n">
        <f aca="false">K25+F25*(Half_gap*(Ceiling_e-K25)-$F$4)</f>
        <v>77</v>
      </c>
      <c r="M25" s="14" t="n">
        <f aca="false">L25+G25*(Half_gap*(Ceiling_e-L25)-$F$4)</f>
        <v>77</v>
      </c>
      <c r="N25" s="14" t="n">
        <f aca="false">M25+H25*(Half_gap*(Ceiling_e-M25)-$F$4)</f>
        <v>77</v>
      </c>
      <c r="O25" s="14" t="n">
        <f aca="false">N25+I25*(Half_gap*(Ceiling_e-N25)-$F$4)</f>
        <v>80</v>
      </c>
      <c r="P25" s="14" t="n">
        <f aca="false">Val_pt*(J25-E_zero)</f>
        <v>0</v>
      </c>
      <c r="Q25" s="14" t="n">
        <f aca="false">Val_pt*(K25-E_zero)</f>
        <v>60</v>
      </c>
      <c r="R25" s="14" t="n">
        <f aca="false">Val_pt*(L25-E_zero)</f>
        <v>60</v>
      </c>
      <c r="S25" s="14" t="n">
        <f aca="false">Val_pt*(M25-E_zero)</f>
        <v>60</v>
      </c>
      <c r="T25" s="14" t="n">
        <f aca="false">Val_pt*(N25-E_zero)</f>
        <v>60</v>
      </c>
      <c r="U25" s="14" t="n">
        <f aca="false">Val_pt*(O25-E_zero)</f>
        <v>90</v>
      </c>
      <c r="V25" s="14" t="n">
        <f aca="false">MAX(W25+Cost_round*D25-P25,IF(D25=1,Pre_q,0))</f>
        <v>470</v>
      </c>
      <c r="W25" s="14" t="n">
        <f aca="false">MAX(X25+Cost_round*E25-Q25,IF(E25=1,Pre_q,0),Floor_q)</f>
        <v>470</v>
      </c>
      <c r="X25" s="14" t="n">
        <f aca="false">MAX(Y25+Cost_round*F25-R25,IF(F25=1,Pre_q,0),Floor_q)</f>
        <v>350</v>
      </c>
      <c r="Y25" s="14" t="n">
        <f aca="false">MAX(Z25+Cost_round*G25-S25,IF(G25=1,Pre_q,0),Floor_q)</f>
        <v>380</v>
      </c>
      <c r="Z25" s="14" t="n">
        <f aca="false">MAX(AA25+Cost_round*H25-T25,IF(H25=1,Pre_q,0),Floor_q)</f>
        <v>440</v>
      </c>
      <c r="AA25" s="14" t="n">
        <f aca="false">MAX(AB25+Cost_round*I25-U25,IF(I25=1,Pre_q,0),Floor_q)</f>
        <v>500</v>
      </c>
      <c r="AB25" s="14" t="n">
        <f aca="false">MAX(End_q,Floor_q)</f>
        <v>470</v>
      </c>
      <c r="AC25" s="15" t="n">
        <f aca="false">IF(Q_zero&gt;=V25-0.000000001,1,0)</f>
        <v>1</v>
      </c>
      <c r="AD25" s="14" t="n">
        <f aca="false">IF($AC25=1,Q_zero-Cost_round*D25+P25-W25,"")</f>
        <v>150</v>
      </c>
      <c r="AE25" s="14" t="n">
        <f aca="false">IF($AC25=1,W25-Cost_round*E25+Q25-X25,"")</f>
        <v>60</v>
      </c>
      <c r="AF25" s="14" t="n">
        <f aca="false">IF($AC25=1,X25-Cost_round*F25+R25-Y25,"")</f>
        <v>30</v>
      </c>
      <c r="AG25" s="14" t="n">
        <f aca="false">IF($AC25=1,Y25-Cost_round*G25+S25-Z25,"")</f>
        <v>0</v>
      </c>
      <c r="AH25" s="14" t="n">
        <f aca="false">IF($AC25=1,Z25-Cost_round*H25+T25-AA25,"")</f>
        <v>0</v>
      </c>
      <c r="AI25" s="14" t="n">
        <f aca="false">IF($AC25=1,AA25-Cost_round*I25+U25-AB25,"")</f>
        <v>0</v>
      </c>
      <c r="AJ25" s="14" t="n">
        <f aca="false">IF($AC25=1,SUM(AD25:AI25),"")</f>
        <v>240</v>
      </c>
      <c r="AK25" s="17" t="n">
        <f aca="false">IF($AC25=1,AD25*Beta_y^1+AE25*Beta_y^2+AF25*Beta_y^3+AG25*Beta_y^4+AH25*Beta_y^5+AI25*Beta_y^6,"")</f>
        <v>208.489857250188</v>
      </c>
      <c r="AL25" s="17" t="n">
        <f aca="false">IF($AC25=1,AK25+Beta_y^6*U25/Hurdle_r,"")</f>
        <v>716.516394298587</v>
      </c>
    </row>
    <row r="26" customFormat="false" ht="15" hidden="false" customHeight="false" outlineLevel="0" collapsed="false">
      <c r="A26" s="2" t="n">
        <v>18</v>
      </c>
      <c r="B26" s="2" t="str">
        <f aca="false">D26&amp;E26&amp;F26&amp;G26&amp;H26&amp;I26</f>
        <v>010010</v>
      </c>
      <c r="C26" s="15" t="n">
        <f aca="false">SUM(D26:I26)</f>
        <v>2</v>
      </c>
      <c r="D26" s="15" t="n">
        <f aca="false">MOD(INT($A26/32),2)</f>
        <v>0</v>
      </c>
      <c r="E26" s="15" t="n">
        <f aca="false">MOD(INT($A26/16),2)</f>
        <v>1</v>
      </c>
      <c r="F26" s="15" t="n">
        <f aca="false">MOD(INT($A26/8),2)</f>
        <v>0</v>
      </c>
      <c r="G26" s="15" t="n">
        <f aca="false">MOD(INT($A26/4),2)</f>
        <v>0</v>
      </c>
      <c r="H26" s="15" t="n">
        <f aca="false">MOD(INT($A26/2),2)</f>
        <v>1</v>
      </c>
      <c r="I26" s="15" t="n">
        <f aca="false">MOD(INT($A26/1),2)</f>
        <v>0</v>
      </c>
      <c r="J26" s="14" t="n">
        <f aca="false">E_zero+D26*(Half_gap*(Ceiling_e-E_zero)-$F$4)</f>
        <v>71</v>
      </c>
      <c r="K26" s="14" t="n">
        <f aca="false">J26+E26*(Half_gap*(Ceiling_e-J26)-$F$4)</f>
        <v>77</v>
      </c>
      <c r="L26" s="14" t="n">
        <f aca="false">K26+F26*(Half_gap*(Ceiling_e-K26)-$F$4)</f>
        <v>77</v>
      </c>
      <c r="M26" s="14" t="n">
        <f aca="false">L26+G26*(Half_gap*(Ceiling_e-L26)-$F$4)</f>
        <v>77</v>
      </c>
      <c r="N26" s="14" t="n">
        <f aca="false">M26+H26*(Half_gap*(Ceiling_e-M26)-$F$4)</f>
        <v>80</v>
      </c>
      <c r="O26" s="14" t="n">
        <f aca="false">N26+I26*(Half_gap*(Ceiling_e-N26)-$F$4)</f>
        <v>80</v>
      </c>
      <c r="P26" s="14" t="n">
        <f aca="false">Val_pt*(J26-E_zero)</f>
        <v>0</v>
      </c>
      <c r="Q26" s="14" t="n">
        <f aca="false">Val_pt*(K26-E_zero)</f>
        <v>60</v>
      </c>
      <c r="R26" s="14" t="n">
        <f aca="false">Val_pt*(L26-E_zero)</f>
        <v>60</v>
      </c>
      <c r="S26" s="14" t="n">
        <f aca="false">Val_pt*(M26-E_zero)</f>
        <v>60</v>
      </c>
      <c r="T26" s="14" t="n">
        <f aca="false">Val_pt*(N26-E_zero)</f>
        <v>90</v>
      </c>
      <c r="U26" s="14" t="n">
        <f aca="false">Val_pt*(O26-E_zero)</f>
        <v>90</v>
      </c>
      <c r="V26" s="14" t="n">
        <f aca="false">MAX(W26+Cost_round*D26-P26,IF(D26=1,Pre_q,0))</f>
        <v>470</v>
      </c>
      <c r="W26" s="14" t="n">
        <f aca="false">MAX(X26+Cost_round*E26-Q26,IF(E26=1,Pre_q,0),Floor_q)</f>
        <v>470</v>
      </c>
      <c r="X26" s="14" t="n">
        <f aca="false">MAX(Y26+Cost_round*F26-R26,IF(F26=1,Pre_q,0),Floor_q)</f>
        <v>350</v>
      </c>
      <c r="Y26" s="14" t="n">
        <f aca="false">MAX(Z26+Cost_round*G26-S26,IF(G26=1,Pre_q,0),Floor_q)</f>
        <v>410</v>
      </c>
      <c r="Z26" s="14" t="n">
        <f aca="false">MAX(AA26+Cost_round*H26-T26,IF(H26=1,Pre_q,0),Floor_q)</f>
        <v>470</v>
      </c>
      <c r="AA26" s="14" t="n">
        <f aca="false">MAX(AB26+Cost_round*I26-U26,IF(I26=1,Pre_q,0),Floor_q)</f>
        <v>380</v>
      </c>
      <c r="AB26" s="14" t="n">
        <f aca="false">MAX(End_q,Floor_q)</f>
        <v>470</v>
      </c>
      <c r="AC26" s="15" t="n">
        <f aca="false">IF(Q_zero&gt;=V26-0.000000001,1,0)</f>
        <v>1</v>
      </c>
      <c r="AD26" s="14" t="n">
        <f aca="false">IF($AC26=1,Q_zero-Cost_round*D26+P26-W26,"")</f>
        <v>150</v>
      </c>
      <c r="AE26" s="14" t="n">
        <f aca="false">IF($AC26=1,W26-Cost_round*E26+Q26-X26,"")</f>
        <v>60</v>
      </c>
      <c r="AF26" s="14" t="n">
        <f aca="false">IF($AC26=1,X26-Cost_round*F26+R26-Y26,"")</f>
        <v>0</v>
      </c>
      <c r="AG26" s="14" t="n">
        <f aca="false">IF($AC26=1,Y26-Cost_round*G26+S26-Z26,"")</f>
        <v>0</v>
      </c>
      <c r="AH26" s="14" t="n">
        <f aca="false">IF($AC26=1,Z26-Cost_round*H26+T26-AA26,"")</f>
        <v>60</v>
      </c>
      <c r="AI26" s="14" t="n">
        <f aca="false">IF($AC26=1,AA26-Cost_round*I26+U26-AB26,"")</f>
        <v>0</v>
      </c>
      <c r="AJ26" s="14" t="n">
        <f aca="false">IF($AC26=1,SUM(AD26:AI26),"")</f>
        <v>270</v>
      </c>
      <c r="AK26" s="17" t="n">
        <f aca="false">IF($AC26=1,AD26*Beta_y^1+AE26*Beta_y^2+AF26*Beta_y^3+AG26*Beta_y^4+AH26*Beta_y^5+AI26*Beta_y^6,"")</f>
        <v>223.20569260669</v>
      </c>
      <c r="AL26" s="17" t="n">
        <f aca="false">IF($AC26=1,AK26+Beta_y^6*U26/Hurdle_r,"")</f>
        <v>731.232229655089</v>
      </c>
    </row>
    <row r="27" customFormat="false" ht="15" hidden="false" customHeight="false" outlineLevel="0" collapsed="false">
      <c r="A27" s="2" t="n">
        <v>19</v>
      </c>
      <c r="B27" s="2" t="str">
        <f aca="false">D27&amp;E27&amp;F27&amp;G27&amp;H27&amp;I27</f>
        <v>010011</v>
      </c>
      <c r="C27" s="15" t="n">
        <f aca="false">SUM(D27:I27)</f>
        <v>3</v>
      </c>
      <c r="D27" s="15" t="n">
        <f aca="false">MOD(INT($A27/32),2)</f>
        <v>0</v>
      </c>
      <c r="E27" s="15" t="n">
        <f aca="false">MOD(INT($A27/16),2)</f>
        <v>1</v>
      </c>
      <c r="F27" s="15" t="n">
        <f aca="false">MOD(INT($A27/8),2)</f>
        <v>0</v>
      </c>
      <c r="G27" s="15" t="n">
        <f aca="false">MOD(INT($A27/4),2)</f>
        <v>0</v>
      </c>
      <c r="H27" s="15" t="n">
        <f aca="false">MOD(INT($A27/2),2)</f>
        <v>1</v>
      </c>
      <c r="I27" s="15" t="n">
        <f aca="false">MOD(INT($A27/1),2)</f>
        <v>1</v>
      </c>
      <c r="J27" s="14" t="n">
        <f aca="false">E_zero+D27*(Half_gap*(Ceiling_e-E_zero)-$F$4)</f>
        <v>71</v>
      </c>
      <c r="K27" s="14" t="n">
        <f aca="false">J27+E27*(Half_gap*(Ceiling_e-J27)-$F$4)</f>
        <v>77</v>
      </c>
      <c r="L27" s="14" t="n">
        <f aca="false">K27+F27*(Half_gap*(Ceiling_e-K27)-$F$4)</f>
        <v>77</v>
      </c>
      <c r="M27" s="14" t="n">
        <f aca="false">L27+G27*(Half_gap*(Ceiling_e-L27)-$F$4)</f>
        <v>77</v>
      </c>
      <c r="N27" s="14" t="n">
        <f aca="false">M27+H27*(Half_gap*(Ceiling_e-M27)-$F$4)</f>
        <v>80</v>
      </c>
      <c r="O27" s="14" t="n">
        <f aca="false">N27+I27*(Half_gap*(Ceiling_e-N27)-$F$4)</f>
        <v>81.5</v>
      </c>
      <c r="P27" s="14" t="n">
        <f aca="false">Val_pt*(J27-E_zero)</f>
        <v>0</v>
      </c>
      <c r="Q27" s="14" t="n">
        <f aca="false">Val_pt*(K27-E_zero)</f>
        <v>60</v>
      </c>
      <c r="R27" s="14" t="n">
        <f aca="false">Val_pt*(L27-E_zero)</f>
        <v>60</v>
      </c>
      <c r="S27" s="14" t="n">
        <f aca="false">Val_pt*(M27-E_zero)</f>
        <v>60</v>
      </c>
      <c r="T27" s="14" t="n">
        <f aca="false">Val_pt*(N27-E_zero)</f>
        <v>90</v>
      </c>
      <c r="U27" s="14" t="n">
        <f aca="false">Val_pt*(O27-E_zero)</f>
        <v>105</v>
      </c>
      <c r="V27" s="14" t="n">
        <f aca="false">MAX(W27+Cost_round*D27-P27,IF(D27=1,Pre_q,0))</f>
        <v>470</v>
      </c>
      <c r="W27" s="14" t="n">
        <f aca="false">MAX(X27+Cost_round*E27-Q27,IF(E27=1,Pre_q,0),Floor_q)</f>
        <v>470</v>
      </c>
      <c r="X27" s="14" t="n">
        <f aca="false">MAX(Y27+Cost_round*F27-R27,IF(F27=1,Pre_q,0),Floor_q)</f>
        <v>395</v>
      </c>
      <c r="Y27" s="14" t="n">
        <f aca="false">MAX(Z27+Cost_round*G27-S27,IF(G27=1,Pre_q,0),Floor_q)</f>
        <v>455</v>
      </c>
      <c r="Z27" s="14" t="n">
        <f aca="false">MAX(AA27+Cost_round*H27-T27,IF(H27=1,Pre_q,0),Floor_q)</f>
        <v>515</v>
      </c>
      <c r="AA27" s="14" t="n">
        <f aca="false">MAX(AB27+Cost_round*I27-U27,IF(I27=1,Pre_q,0),Floor_q)</f>
        <v>485</v>
      </c>
      <c r="AB27" s="14" t="n">
        <f aca="false">MAX(End_q,Floor_q)</f>
        <v>470</v>
      </c>
      <c r="AC27" s="15" t="n">
        <f aca="false">IF(Q_zero&gt;=V27-0.000000001,1,0)</f>
        <v>1</v>
      </c>
      <c r="AD27" s="14" t="n">
        <f aca="false">IF($AC27=1,Q_zero-Cost_round*D27+P27-W27,"")</f>
        <v>150</v>
      </c>
      <c r="AE27" s="14" t="n">
        <f aca="false">IF($AC27=1,W27-Cost_round*E27+Q27-X27,"")</f>
        <v>15</v>
      </c>
      <c r="AF27" s="14" t="n">
        <f aca="false">IF($AC27=1,X27-Cost_round*F27+R27-Y27,"")</f>
        <v>0</v>
      </c>
      <c r="AG27" s="14" t="n">
        <f aca="false">IF($AC27=1,Y27-Cost_round*G27+S27-Z27,"")</f>
        <v>0</v>
      </c>
      <c r="AH27" s="14" t="n">
        <f aca="false">IF($AC27=1,Z27-Cost_round*H27+T27-AA27,"")</f>
        <v>0</v>
      </c>
      <c r="AI27" s="14" t="n">
        <f aca="false">IF($AC27=1,AA27-Cost_round*I27+U27-AB27,"")</f>
        <v>0</v>
      </c>
      <c r="AJ27" s="14" t="n">
        <f aca="false">IF($AC27=1,SUM(AD27:AI27),"")</f>
        <v>165</v>
      </c>
      <c r="AK27" s="17" t="n">
        <f aca="false">IF($AC27=1,AD27*Beta_y^1+AE27*Beta_y^2+AF27*Beta_y^3+AG27*Beta_y^4+AH27*Beta_y^5+AI27*Beta_y^6,"")</f>
        <v>148.760330578512</v>
      </c>
      <c r="AL27" s="17" t="n">
        <f aca="false">IF($AC27=1,AK27+Beta_y^6*U27/Hurdle_r,"")</f>
        <v>741.457957134979</v>
      </c>
    </row>
    <row r="28" customFormat="false" ht="15" hidden="false" customHeight="false" outlineLevel="0" collapsed="false">
      <c r="A28" s="2" t="n">
        <v>20</v>
      </c>
      <c r="B28" s="2" t="str">
        <f aca="false">D28&amp;E28&amp;F28&amp;G28&amp;H28&amp;I28</f>
        <v>010100</v>
      </c>
      <c r="C28" s="15" t="n">
        <f aca="false">SUM(D28:I28)</f>
        <v>2</v>
      </c>
      <c r="D28" s="15" t="n">
        <f aca="false">MOD(INT($A28/32),2)</f>
        <v>0</v>
      </c>
      <c r="E28" s="15" t="n">
        <f aca="false">MOD(INT($A28/16),2)</f>
        <v>1</v>
      </c>
      <c r="F28" s="15" t="n">
        <f aca="false">MOD(INT($A28/8),2)</f>
        <v>0</v>
      </c>
      <c r="G28" s="15" t="n">
        <f aca="false">MOD(INT($A28/4),2)</f>
        <v>1</v>
      </c>
      <c r="H28" s="15" t="n">
        <f aca="false">MOD(INT($A28/2),2)</f>
        <v>0</v>
      </c>
      <c r="I28" s="15" t="n">
        <f aca="false">MOD(INT($A28/1),2)</f>
        <v>0</v>
      </c>
      <c r="J28" s="14" t="n">
        <f aca="false">E_zero+D28*(Half_gap*(Ceiling_e-E_zero)-$F$4)</f>
        <v>71</v>
      </c>
      <c r="K28" s="14" t="n">
        <f aca="false">J28+E28*(Half_gap*(Ceiling_e-J28)-$F$4)</f>
        <v>77</v>
      </c>
      <c r="L28" s="14" t="n">
        <f aca="false">K28+F28*(Half_gap*(Ceiling_e-K28)-$F$4)</f>
        <v>77</v>
      </c>
      <c r="M28" s="14" t="n">
        <f aca="false">L28+G28*(Half_gap*(Ceiling_e-L28)-$F$4)</f>
        <v>80</v>
      </c>
      <c r="N28" s="14" t="n">
        <f aca="false">M28+H28*(Half_gap*(Ceiling_e-M28)-$F$4)</f>
        <v>80</v>
      </c>
      <c r="O28" s="14" t="n">
        <f aca="false">N28+I28*(Half_gap*(Ceiling_e-N28)-$F$4)</f>
        <v>80</v>
      </c>
      <c r="P28" s="14" t="n">
        <f aca="false">Val_pt*(J28-E_zero)</f>
        <v>0</v>
      </c>
      <c r="Q28" s="14" t="n">
        <f aca="false">Val_pt*(K28-E_zero)</f>
        <v>60</v>
      </c>
      <c r="R28" s="14" t="n">
        <f aca="false">Val_pt*(L28-E_zero)</f>
        <v>60</v>
      </c>
      <c r="S28" s="14" t="n">
        <f aca="false">Val_pt*(M28-E_zero)</f>
        <v>90</v>
      </c>
      <c r="T28" s="14" t="n">
        <f aca="false">Val_pt*(N28-E_zero)</f>
        <v>90</v>
      </c>
      <c r="U28" s="14" t="n">
        <f aca="false">Val_pt*(O28-E_zero)</f>
        <v>90</v>
      </c>
      <c r="V28" s="14" t="n">
        <f aca="false">MAX(W28+Cost_round*D28-P28,IF(D28=1,Pre_q,0))</f>
        <v>470</v>
      </c>
      <c r="W28" s="14" t="n">
        <f aca="false">MAX(X28+Cost_round*E28-Q28,IF(E28=1,Pre_q,0),Floor_q)</f>
        <v>470</v>
      </c>
      <c r="X28" s="14" t="n">
        <f aca="false">MAX(Y28+Cost_round*F28-R28,IF(F28=1,Pre_q,0),Floor_q)</f>
        <v>410</v>
      </c>
      <c r="Y28" s="14" t="n">
        <f aca="false">MAX(Z28+Cost_round*G28-S28,IF(G28=1,Pre_q,0),Floor_q)</f>
        <v>470</v>
      </c>
      <c r="Z28" s="14" t="n">
        <f aca="false">MAX(AA28+Cost_round*H28-T28,IF(H28=1,Pre_q,0),Floor_q)</f>
        <v>350</v>
      </c>
      <c r="AA28" s="14" t="n">
        <f aca="false">MAX(AB28+Cost_round*I28-U28,IF(I28=1,Pre_q,0),Floor_q)</f>
        <v>380</v>
      </c>
      <c r="AB28" s="14" t="n">
        <f aca="false">MAX(End_q,Floor_q)</f>
        <v>470</v>
      </c>
      <c r="AC28" s="15" t="n">
        <f aca="false">IF(Q_zero&gt;=V28-0.000000001,1,0)</f>
        <v>1</v>
      </c>
      <c r="AD28" s="14" t="n">
        <f aca="false">IF($AC28=1,Q_zero-Cost_round*D28+P28-W28,"")</f>
        <v>150</v>
      </c>
      <c r="AE28" s="14" t="n">
        <f aca="false">IF($AC28=1,W28-Cost_round*E28+Q28-X28,"")</f>
        <v>0</v>
      </c>
      <c r="AF28" s="14" t="n">
        <f aca="false">IF($AC28=1,X28-Cost_round*F28+R28-Y28,"")</f>
        <v>0</v>
      </c>
      <c r="AG28" s="14" t="n">
        <f aca="false">IF($AC28=1,Y28-Cost_round*G28+S28-Z28,"")</f>
        <v>90</v>
      </c>
      <c r="AH28" s="14" t="n">
        <f aca="false">IF($AC28=1,Z28-Cost_round*H28+T28-AA28,"")</f>
        <v>60</v>
      </c>
      <c r="AI28" s="14" t="n">
        <f aca="false">IF($AC28=1,AA28-Cost_round*I28+U28-AB28,"")</f>
        <v>0</v>
      </c>
      <c r="AJ28" s="14" t="n">
        <f aca="false">IF($AC28=1,SUM(AD28:AI28),"")</f>
        <v>300</v>
      </c>
      <c r="AK28" s="17" t="n">
        <f aca="false">IF($AC28=1,AD28*Beta_y^1+AE28*Beta_y^2+AF28*Beta_y^3+AG28*Beta_y^4+AH28*Beta_y^5+AI28*Beta_y^6,"")</f>
        <v>235.090126730042</v>
      </c>
      <c r="AL28" s="17" t="n">
        <f aca="false">IF($AC28=1,AK28+Beta_y^6*U28/Hurdle_r,"")</f>
        <v>743.116663778442</v>
      </c>
    </row>
    <row r="29" customFormat="false" ht="15" hidden="false" customHeight="false" outlineLevel="0" collapsed="false">
      <c r="A29" s="2" t="n">
        <v>21</v>
      </c>
      <c r="B29" s="2" t="str">
        <f aca="false">D29&amp;E29&amp;F29&amp;G29&amp;H29&amp;I29</f>
        <v>010101</v>
      </c>
      <c r="C29" s="15" t="n">
        <f aca="false">SUM(D29:I29)</f>
        <v>3</v>
      </c>
      <c r="D29" s="15" t="n">
        <f aca="false">MOD(INT($A29/32),2)</f>
        <v>0</v>
      </c>
      <c r="E29" s="15" t="n">
        <f aca="false">MOD(INT($A29/16),2)</f>
        <v>1</v>
      </c>
      <c r="F29" s="15" t="n">
        <f aca="false">MOD(INT($A29/8),2)</f>
        <v>0</v>
      </c>
      <c r="G29" s="15" t="n">
        <f aca="false">MOD(INT($A29/4),2)</f>
        <v>1</v>
      </c>
      <c r="H29" s="15" t="n">
        <f aca="false">MOD(INT($A29/2),2)</f>
        <v>0</v>
      </c>
      <c r="I29" s="15" t="n">
        <f aca="false">MOD(INT($A29/1),2)</f>
        <v>1</v>
      </c>
      <c r="J29" s="14" t="n">
        <f aca="false">E_zero+D29*(Half_gap*(Ceiling_e-E_zero)-$F$4)</f>
        <v>71</v>
      </c>
      <c r="K29" s="14" t="n">
        <f aca="false">J29+E29*(Half_gap*(Ceiling_e-J29)-$F$4)</f>
        <v>77</v>
      </c>
      <c r="L29" s="14" t="n">
        <f aca="false">K29+F29*(Half_gap*(Ceiling_e-K29)-$F$4)</f>
        <v>77</v>
      </c>
      <c r="M29" s="14" t="n">
        <f aca="false">L29+G29*(Half_gap*(Ceiling_e-L29)-$F$4)</f>
        <v>80</v>
      </c>
      <c r="N29" s="14" t="n">
        <f aca="false">M29+H29*(Half_gap*(Ceiling_e-M29)-$F$4)</f>
        <v>80</v>
      </c>
      <c r="O29" s="14" t="n">
        <f aca="false">N29+I29*(Half_gap*(Ceiling_e-N29)-$F$4)</f>
        <v>81.5</v>
      </c>
      <c r="P29" s="14" t="n">
        <f aca="false">Val_pt*(J29-E_zero)</f>
        <v>0</v>
      </c>
      <c r="Q29" s="14" t="n">
        <f aca="false">Val_pt*(K29-E_zero)</f>
        <v>60</v>
      </c>
      <c r="R29" s="14" t="n">
        <f aca="false">Val_pt*(L29-E_zero)</f>
        <v>60</v>
      </c>
      <c r="S29" s="14" t="n">
        <f aca="false">Val_pt*(M29-E_zero)</f>
        <v>90</v>
      </c>
      <c r="T29" s="14" t="n">
        <f aca="false">Val_pt*(N29-E_zero)</f>
        <v>90</v>
      </c>
      <c r="U29" s="14" t="n">
        <f aca="false">Val_pt*(O29-E_zero)</f>
        <v>105</v>
      </c>
      <c r="V29" s="14" t="n">
        <f aca="false">MAX(W29+Cost_round*D29-P29,IF(D29=1,Pre_q,0))</f>
        <v>470</v>
      </c>
      <c r="W29" s="14" t="n">
        <f aca="false">MAX(X29+Cost_round*E29-Q29,IF(E29=1,Pre_q,0),Floor_q)</f>
        <v>470</v>
      </c>
      <c r="X29" s="14" t="n">
        <f aca="false">MAX(Y29+Cost_round*F29-R29,IF(F29=1,Pre_q,0),Floor_q)</f>
        <v>410</v>
      </c>
      <c r="Y29" s="14" t="n">
        <f aca="false">MAX(Z29+Cost_round*G29-S29,IF(G29=1,Pre_q,0),Floor_q)</f>
        <v>470</v>
      </c>
      <c r="Z29" s="14" t="n">
        <f aca="false">MAX(AA29+Cost_round*H29-T29,IF(H29=1,Pre_q,0),Floor_q)</f>
        <v>395</v>
      </c>
      <c r="AA29" s="14" t="n">
        <f aca="false">MAX(AB29+Cost_round*I29-U29,IF(I29=1,Pre_q,0),Floor_q)</f>
        <v>485</v>
      </c>
      <c r="AB29" s="14" t="n">
        <f aca="false">MAX(End_q,Floor_q)</f>
        <v>470</v>
      </c>
      <c r="AC29" s="15" t="n">
        <f aca="false">IF(Q_zero&gt;=V29-0.000000001,1,0)</f>
        <v>1</v>
      </c>
      <c r="AD29" s="14" t="n">
        <f aca="false">IF($AC29=1,Q_zero-Cost_round*D29+P29-W29,"")</f>
        <v>150</v>
      </c>
      <c r="AE29" s="14" t="n">
        <f aca="false">IF($AC29=1,W29-Cost_round*E29+Q29-X29,"")</f>
        <v>0</v>
      </c>
      <c r="AF29" s="14" t="n">
        <f aca="false">IF($AC29=1,X29-Cost_round*F29+R29-Y29,"")</f>
        <v>0</v>
      </c>
      <c r="AG29" s="14" t="n">
        <f aca="false">IF($AC29=1,Y29-Cost_round*G29+S29-Z29,"")</f>
        <v>45</v>
      </c>
      <c r="AH29" s="14" t="n">
        <f aca="false">IF($AC29=1,Z29-Cost_round*H29+T29-AA29,"")</f>
        <v>0</v>
      </c>
      <c r="AI29" s="14" t="n">
        <f aca="false">IF($AC29=1,AA29-Cost_round*I29+U29-AB29,"")</f>
        <v>0</v>
      </c>
      <c r="AJ29" s="14" t="n">
        <f aca="false">IF($AC29=1,SUM(AD29:AI29),"")</f>
        <v>195</v>
      </c>
      <c r="AK29" s="17" t="n">
        <f aca="false">IF($AC29=1,AD29*Beta_y^1+AE29*Beta_y^2+AF29*Beta_y^3+AG29*Beta_y^4+AH29*Beta_y^5+AI29*Beta_y^6,"")</f>
        <v>167.099241855065</v>
      </c>
      <c r="AL29" s="17" t="n">
        <f aca="false">IF($AC29=1,AK29+Beta_y^6*U29/Hurdle_r,"")</f>
        <v>759.796868411531</v>
      </c>
    </row>
    <row r="30" customFormat="false" ht="15" hidden="false" customHeight="false" outlineLevel="0" collapsed="false">
      <c r="A30" s="2" t="n">
        <v>22</v>
      </c>
      <c r="B30" s="2" t="str">
        <f aca="false">D30&amp;E30&amp;F30&amp;G30&amp;H30&amp;I30</f>
        <v>010110</v>
      </c>
      <c r="C30" s="15" t="n">
        <f aca="false">SUM(D30:I30)</f>
        <v>3</v>
      </c>
      <c r="D30" s="15" t="n">
        <f aca="false">MOD(INT($A30/32),2)</f>
        <v>0</v>
      </c>
      <c r="E30" s="15" t="n">
        <f aca="false">MOD(INT($A30/16),2)</f>
        <v>1</v>
      </c>
      <c r="F30" s="15" t="n">
        <f aca="false">MOD(INT($A30/8),2)</f>
        <v>0</v>
      </c>
      <c r="G30" s="15" t="n">
        <f aca="false">MOD(INT($A30/4),2)</f>
        <v>1</v>
      </c>
      <c r="H30" s="15" t="n">
        <f aca="false">MOD(INT($A30/2),2)</f>
        <v>1</v>
      </c>
      <c r="I30" s="15" t="n">
        <f aca="false">MOD(INT($A30/1),2)</f>
        <v>0</v>
      </c>
      <c r="J30" s="14" t="n">
        <f aca="false">E_zero+D30*(Half_gap*(Ceiling_e-E_zero)-$F$4)</f>
        <v>71</v>
      </c>
      <c r="K30" s="14" t="n">
        <f aca="false">J30+E30*(Half_gap*(Ceiling_e-J30)-$F$4)</f>
        <v>77</v>
      </c>
      <c r="L30" s="14" t="n">
        <f aca="false">K30+F30*(Half_gap*(Ceiling_e-K30)-$F$4)</f>
        <v>77</v>
      </c>
      <c r="M30" s="14" t="n">
        <f aca="false">L30+G30*(Half_gap*(Ceiling_e-L30)-$F$4)</f>
        <v>80</v>
      </c>
      <c r="N30" s="14" t="n">
        <f aca="false">M30+H30*(Half_gap*(Ceiling_e-M30)-$F$4)</f>
        <v>81.5</v>
      </c>
      <c r="O30" s="14" t="n">
        <f aca="false">N30+I30*(Half_gap*(Ceiling_e-N30)-$F$4)</f>
        <v>81.5</v>
      </c>
      <c r="P30" s="14" t="n">
        <f aca="false">Val_pt*(J30-E_zero)</f>
        <v>0</v>
      </c>
      <c r="Q30" s="14" t="n">
        <f aca="false">Val_pt*(K30-E_zero)</f>
        <v>60</v>
      </c>
      <c r="R30" s="14" t="n">
        <f aca="false">Val_pt*(L30-E_zero)</f>
        <v>60</v>
      </c>
      <c r="S30" s="14" t="n">
        <f aca="false">Val_pt*(M30-E_zero)</f>
        <v>90</v>
      </c>
      <c r="T30" s="14" t="n">
        <f aca="false">Val_pt*(N30-E_zero)</f>
        <v>105</v>
      </c>
      <c r="U30" s="14" t="n">
        <f aca="false">Val_pt*(O30-E_zero)</f>
        <v>105</v>
      </c>
      <c r="V30" s="14" t="n">
        <f aca="false">MAX(W30+Cost_round*D30-P30,IF(D30=1,Pre_q,0))</f>
        <v>500</v>
      </c>
      <c r="W30" s="14" t="n">
        <f aca="false">MAX(X30+Cost_round*E30-Q30,IF(E30=1,Pre_q,0),Floor_q)</f>
        <v>500</v>
      </c>
      <c r="X30" s="14" t="n">
        <f aca="false">MAX(Y30+Cost_round*F30-R30,IF(F30=1,Pre_q,0),Floor_q)</f>
        <v>440</v>
      </c>
      <c r="Y30" s="14" t="n">
        <f aca="false">MAX(Z30+Cost_round*G30-S30,IF(G30=1,Pre_q,0),Floor_q)</f>
        <v>500</v>
      </c>
      <c r="Z30" s="14" t="n">
        <f aca="false">MAX(AA30+Cost_round*H30-T30,IF(H30=1,Pre_q,0),Floor_q)</f>
        <v>470</v>
      </c>
      <c r="AA30" s="14" t="n">
        <f aca="false">MAX(AB30+Cost_round*I30-U30,IF(I30=1,Pre_q,0),Floor_q)</f>
        <v>365</v>
      </c>
      <c r="AB30" s="14" t="n">
        <f aca="false">MAX(End_q,Floor_q)</f>
        <v>470</v>
      </c>
      <c r="AC30" s="15" t="n">
        <f aca="false">IF(Q_zero&gt;=V30-0.000000001,1,0)</f>
        <v>1</v>
      </c>
      <c r="AD30" s="14" t="n">
        <f aca="false">IF($AC30=1,Q_zero-Cost_round*D30+P30-W30,"")</f>
        <v>120</v>
      </c>
      <c r="AE30" s="14" t="n">
        <f aca="false">IF($AC30=1,W30-Cost_round*E30+Q30-X30,"")</f>
        <v>0</v>
      </c>
      <c r="AF30" s="14" t="n">
        <f aca="false">IF($AC30=1,X30-Cost_round*F30+R30-Y30,"")</f>
        <v>0</v>
      </c>
      <c r="AG30" s="14" t="n">
        <f aca="false">IF($AC30=1,Y30-Cost_round*G30+S30-Z30,"")</f>
        <v>0</v>
      </c>
      <c r="AH30" s="14" t="n">
        <f aca="false">IF($AC30=1,Z30-Cost_round*H30+T30-AA30,"")</f>
        <v>90</v>
      </c>
      <c r="AI30" s="14" t="n">
        <f aca="false">IF($AC30=1,AA30-Cost_round*I30+U30-AB30,"")</f>
        <v>0</v>
      </c>
      <c r="AJ30" s="14" t="n">
        <f aca="false">IF($AC30=1,SUM(AD30:AI30),"")</f>
        <v>210</v>
      </c>
      <c r="AK30" s="17" t="n">
        <f aca="false">IF($AC30=1,AD30*Beta_y^1+AE30*Beta_y^2+AF30*Beta_y^3+AG30*Beta_y^4+AH30*Beta_y^5+AI30*Beta_y^6,"")</f>
        <v>164.973828166233</v>
      </c>
      <c r="AL30" s="17" t="n">
        <f aca="false">IF($AC30=1,AK30+Beta_y^6*U30/Hurdle_r,"")</f>
        <v>757.671454722699</v>
      </c>
    </row>
    <row r="31" customFormat="false" ht="15" hidden="false" customHeight="false" outlineLevel="0" collapsed="false">
      <c r="A31" s="2" t="n">
        <v>23</v>
      </c>
      <c r="B31" s="2" t="str">
        <f aca="false">D31&amp;E31&amp;F31&amp;G31&amp;H31&amp;I31</f>
        <v>010111</v>
      </c>
      <c r="C31" s="15" t="n">
        <f aca="false">SUM(D31:I31)</f>
        <v>4</v>
      </c>
      <c r="D31" s="15" t="n">
        <f aca="false">MOD(INT($A31/32),2)</f>
        <v>0</v>
      </c>
      <c r="E31" s="15" t="n">
        <f aca="false">MOD(INT($A31/16),2)</f>
        <v>1</v>
      </c>
      <c r="F31" s="15" t="n">
        <f aca="false">MOD(INT($A31/8),2)</f>
        <v>0</v>
      </c>
      <c r="G31" s="15" t="n">
        <f aca="false">MOD(INT($A31/4),2)</f>
        <v>1</v>
      </c>
      <c r="H31" s="15" t="n">
        <f aca="false">MOD(INT($A31/2),2)</f>
        <v>1</v>
      </c>
      <c r="I31" s="15" t="n">
        <f aca="false">MOD(INT($A31/1),2)</f>
        <v>1</v>
      </c>
      <c r="J31" s="14" t="n">
        <f aca="false">E_zero+D31*(Half_gap*(Ceiling_e-E_zero)-$F$4)</f>
        <v>71</v>
      </c>
      <c r="K31" s="14" t="n">
        <f aca="false">J31+E31*(Half_gap*(Ceiling_e-J31)-$F$4)</f>
        <v>77</v>
      </c>
      <c r="L31" s="14" t="n">
        <f aca="false">K31+F31*(Half_gap*(Ceiling_e-K31)-$F$4)</f>
        <v>77</v>
      </c>
      <c r="M31" s="14" t="n">
        <f aca="false">L31+G31*(Half_gap*(Ceiling_e-L31)-$F$4)</f>
        <v>80</v>
      </c>
      <c r="N31" s="14" t="n">
        <f aca="false">M31+H31*(Half_gap*(Ceiling_e-M31)-$F$4)</f>
        <v>81.5</v>
      </c>
      <c r="O31" s="14" t="n">
        <f aca="false">N31+I31*(Half_gap*(Ceiling_e-N31)-$F$4)</f>
        <v>82.25</v>
      </c>
      <c r="P31" s="14" t="n">
        <f aca="false">Val_pt*(J31-E_zero)</f>
        <v>0</v>
      </c>
      <c r="Q31" s="14" t="n">
        <f aca="false">Val_pt*(K31-E_zero)</f>
        <v>60</v>
      </c>
      <c r="R31" s="14" t="n">
        <f aca="false">Val_pt*(L31-E_zero)</f>
        <v>60</v>
      </c>
      <c r="S31" s="14" t="n">
        <f aca="false">Val_pt*(M31-E_zero)</f>
        <v>90</v>
      </c>
      <c r="T31" s="14" t="n">
        <f aca="false">Val_pt*(N31-E_zero)</f>
        <v>105</v>
      </c>
      <c r="U31" s="14" t="n">
        <f aca="false">Val_pt*(O31-E_zero)</f>
        <v>112.5</v>
      </c>
      <c r="V31" s="14" t="n">
        <f aca="false">MAX(W31+Cost_round*D31-P31,IF(D31=1,Pre_q,0))</f>
        <v>522.5</v>
      </c>
      <c r="W31" s="14" t="n">
        <f aca="false">MAX(X31+Cost_round*E31-Q31,IF(E31=1,Pre_q,0),Floor_q)</f>
        <v>522.5</v>
      </c>
      <c r="X31" s="14" t="n">
        <f aca="false">MAX(Y31+Cost_round*F31-R31,IF(F31=1,Pre_q,0),Floor_q)</f>
        <v>462.5</v>
      </c>
      <c r="Y31" s="14" t="n">
        <f aca="false">MAX(Z31+Cost_round*G31-S31,IF(G31=1,Pre_q,0),Floor_q)</f>
        <v>522.5</v>
      </c>
      <c r="Z31" s="14" t="n">
        <f aca="false">MAX(AA31+Cost_round*H31-T31,IF(H31=1,Pre_q,0),Floor_q)</f>
        <v>492.5</v>
      </c>
      <c r="AA31" s="14" t="n">
        <f aca="false">MAX(AB31+Cost_round*I31-U31,IF(I31=1,Pre_q,0),Floor_q)</f>
        <v>477.5</v>
      </c>
      <c r="AB31" s="14" t="n">
        <f aca="false">MAX(End_q,Floor_q)</f>
        <v>470</v>
      </c>
      <c r="AC31" s="15" t="n">
        <f aca="false">IF(Q_zero&gt;=V31-0.000000001,1,0)</f>
        <v>1</v>
      </c>
      <c r="AD31" s="14" t="n">
        <f aca="false">IF($AC31=1,Q_zero-Cost_round*D31+P31-W31,"")</f>
        <v>97.5</v>
      </c>
      <c r="AE31" s="14" t="n">
        <f aca="false">IF($AC31=1,W31-Cost_round*E31+Q31-X31,"")</f>
        <v>0</v>
      </c>
      <c r="AF31" s="14" t="n">
        <f aca="false">IF($AC31=1,X31-Cost_round*F31+R31-Y31,"")</f>
        <v>0</v>
      </c>
      <c r="AG31" s="14" t="n">
        <f aca="false">IF($AC31=1,Y31-Cost_round*G31+S31-Z31,"")</f>
        <v>0</v>
      </c>
      <c r="AH31" s="14" t="n">
        <f aca="false">IF($AC31=1,Z31-Cost_round*H31+T31-AA31,"")</f>
        <v>0</v>
      </c>
      <c r="AI31" s="14" t="n">
        <f aca="false">IF($AC31=1,AA31-Cost_round*I31+U31-AB31,"")</f>
        <v>0</v>
      </c>
      <c r="AJ31" s="14" t="n">
        <f aca="false">IF($AC31=1,SUM(AD31:AI31),"")</f>
        <v>97.5</v>
      </c>
      <c r="AK31" s="17" t="n">
        <f aca="false">IF($AC31=1,AD31*Beta_y^1+AE31*Beta_y^2+AF31*Beta_y^3+AG31*Beta_y^4+AH31*Beta_y^5+AI31*Beta_y^6,"")</f>
        <v>88.6363636363636</v>
      </c>
      <c r="AL31" s="17" t="n">
        <f aca="false">IF($AC31=1,AK31+Beta_y^6*U31/Hurdle_r,"")</f>
        <v>723.669534946863</v>
      </c>
    </row>
    <row r="32" customFormat="false" ht="15" hidden="false" customHeight="false" outlineLevel="0" collapsed="false">
      <c r="A32" s="2" t="n">
        <v>24</v>
      </c>
      <c r="B32" s="2" t="str">
        <f aca="false">D32&amp;E32&amp;F32&amp;G32&amp;H32&amp;I32</f>
        <v>011000</v>
      </c>
      <c r="C32" s="15" t="n">
        <f aca="false">SUM(D32:I32)</f>
        <v>2</v>
      </c>
      <c r="D32" s="15" t="n">
        <f aca="false">MOD(INT($A32/32),2)</f>
        <v>0</v>
      </c>
      <c r="E32" s="15" t="n">
        <f aca="false">MOD(INT($A32/16),2)</f>
        <v>1</v>
      </c>
      <c r="F32" s="15" t="n">
        <f aca="false">MOD(INT($A32/8),2)</f>
        <v>1</v>
      </c>
      <c r="G32" s="15" t="n">
        <f aca="false">MOD(INT($A32/4),2)</f>
        <v>0</v>
      </c>
      <c r="H32" s="15" t="n">
        <f aca="false">MOD(INT($A32/2),2)</f>
        <v>0</v>
      </c>
      <c r="I32" s="15" t="n">
        <f aca="false">MOD(INT($A32/1),2)</f>
        <v>0</v>
      </c>
      <c r="J32" s="14" t="n">
        <f aca="false">E_zero+D32*(Half_gap*(Ceiling_e-E_zero)-$F$4)</f>
        <v>71</v>
      </c>
      <c r="K32" s="14" t="n">
        <f aca="false">J32+E32*(Half_gap*(Ceiling_e-J32)-$F$4)</f>
        <v>77</v>
      </c>
      <c r="L32" s="14" t="n">
        <f aca="false">K32+F32*(Half_gap*(Ceiling_e-K32)-$F$4)</f>
        <v>80</v>
      </c>
      <c r="M32" s="14" t="n">
        <f aca="false">L32+G32*(Half_gap*(Ceiling_e-L32)-$F$4)</f>
        <v>80</v>
      </c>
      <c r="N32" s="14" t="n">
        <f aca="false">M32+H32*(Half_gap*(Ceiling_e-M32)-$F$4)</f>
        <v>80</v>
      </c>
      <c r="O32" s="14" t="n">
        <f aca="false">N32+I32*(Half_gap*(Ceiling_e-N32)-$F$4)</f>
        <v>80</v>
      </c>
      <c r="P32" s="14" t="n">
        <f aca="false">Val_pt*(J32-E_zero)</f>
        <v>0</v>
      </c>
      <c r="Q32" s="14" t="n">
        <f aca="false">Val_pt*(K32-E_zero)</f>
        <v>60</v>
      </c>
      <c r="R32" s="14" t="n">
        <f aca="false">Val_pt*(L32-E_zero)</f>
        <v>90</v>
      </c>
      <c r="S32" s="14" t="n">
        <f aca="false">Val_pt*(M32-E_zero)</f>
        <v>90</v>
      </c>
      <c r="T32" s="14" t="n">
        <f aca="false">Val_pt*(N32-E_zero)</f>
        <v>90</v>
      </c>
      <c r="U32" s="14" t="n">
        <f aca="false">Val_pt*(O32-E_zero)</f>
        <v>90</v>
      </c>
      <c r="V32" s="14" t="n">
        <f aca="false">MAX(W32+Cost_round*D32-P32,IF(D32=1,Pre_q,0))</f>
        <v>530</v>
      </c>
      <c r="W32" s="14" t="n">
        <f aca="false">MAX(X32+Cost_round*E32-Q32,IF(E32=1,Pre_q,0),Floor_q)</f>
        <v>530</v>
      </c>
      <c r="X32" s="14" t="n">
        <f aca="false">MAX(Y32+Cost_round*F32-R32,IF(F32=1,Pre_q,0),Floor_q)</f>
        <v>470</v>
      </c>
      <c r="Y32" s="14" t="n">
        <f aca="false">MAX(Z32+Cost_round*G32-S32,IF(G32=1,Pre_q,0),Floor_q)</f>
        <v>350</v>
      </c>
      <c r="Z32" s="14" t="n">
        <f aca="false">MAX(AA32+Cost_round*H32-T32,IF(H32=1,Pre_q,0),Floor_q)</f>
        <v>350</v>
      </c>
      <c r="AA32" s="14" t="n">
        <f aca="false">MAX(AB32+Cost_round*I32-U32,IF(I32=1,Pre_q,0),Floor_q)</f>
        <v>380</v>
      </c>
      <c r="AB32" s="14" t="n">
        <f aca="false">MAX(End_q,Floor_q)</f>
        <v>470</v>
      </c>
      <c r="AC32" s="15" t="n">
        <f aca="false">IF(Q_zero&gt;=V32-0.000000001,1,0)</f>
        <v>1</v>
      </c>
      <c r="AD32" s="14" t="n">
        <f aca="false">IF($AC32=1,Q_zero-Cost_round*D32+P32-W32,"")</f>
        <v>90</v>
      </c>
      <c r="AE32" s="14" t="n">
        <f aca="false">IF($AC32=1,W32-Cost_round*E32+Q32-X32,"")</f>
        <v>0</v>
      </c>
      <c r="AF32" s="14" t="n">
        <f aca="false">IF($AC32=1,X32-Cost_round*F32+R32-Y32,"")</f>
        <v>90</v>
      </c>
      <c r="AG32" s="14" t="n">
        <f aca="false">IF($AC32=1,Y32-Cost_round*G32+S32-Z32,"")</f>
        <v>90</v>
      </c>
      <c r="AH32" s="14" t="n">
        <f aca="false">IF($AC32=1,Z32-Cost_round*H32+T32-AA32,"")</f>
        <v>60</v>
      </c>
      <c r="AI32" s="14" t="n">
        <f aca="false">IF($AC32=1,AA32-Cost_round*I32+U32-AB32,"")</f>
        <v>0</v>
      </c>
      <c r="AJ32" s="14" t="n">
        <f aca="false">IF($AC32=1,SUM(AD32:AI32),"")</f>
        <v>330</v>
      </c>
      <c r="AK32" s="17" t="n">
        <f aca="false">IF($AC32=1,AD32*Beta_y^1+AE32*Beta_y^2+AF32*Beta_y^3+AG32*Beta_y^4+AH32*Beta_y^5+AI32*Beta_y^6,"")</f>
        <v>248.163004265729</v>
      </c>
      <c r="AL32" s="17" t="n">
        <f aca="false">IF($AC32=1,AK32+Beta_y^6*U32/Hurdle_r,"")</f>
        <v>756.189541314129</v>
      </c>
    </row>
    <row r="33" customFormat="false" ht="15" hidden="false" customHeight="false" outlineLevel="0" collapsed="false">
      <c r="A33" s="2" t="n">
        <v>25</v>
      </c>
      <c r="B33" s="2" t="str">
        <f aca="false">D33&amp;E33&amp;F33&amp;G33&amp;H33&amp;I33</f>
        <v>011001</v>
      </c>
      <c r="C33" s="15" t="n">
        <f aca="false">SUM(D33:I33)</f>
        <v>3</v>
      </c>
      <c r="D33" s="15" t="n">
        <f aca="false">MOD(INT($A33/32),2)</f>
        <v>0</v>
      </c>
      <c r="E33" s="15" t="n">
        <f aca="false">MOD(INT($A33/16),2)</f>
        <v>1</v>
      </c>
      <c r="F33" s="15" t="n">
        <f aca="false">MOD(INT($A33/8),2)</f>
        <v>1</v>
      </c>
      <c r="G33" s="15" t="n">
        <f aca="false">MOD(INT($A33/4),2)</f>
        <v>0</v>
      </c>
      <c r="H33" s="15" t="n">
        <f aca="false">MOD(INT($A33/2),2)</f>
        <v>0</v>
      </c>
      <c r="I33" s="15" t="n">
        <f aca="false">MOD(INT($A33/1),2)</f>
        <v>1</v>
      </c>
      <c r="J33" s="14" t="n">
        <f aca="false">E_zero+D33*(Half_gap*(Ceiling_e-E_zero)-$F$4)</f>
        <v>71</v>
      </c>
      <c r="K33" s="14" t="n">
        <f aca="false">J33+E33*(Half_gap*(Ceiling_e-J33)-$F$4)</f>
        <v>77</v>
      </c>
      <c r="L33" s="14" t="n">
        <f aca="false">K33+F33*(Half_gap*(Ceiling_e-K33)-$F$4)</f>
        <v>80</v>
      </c>
      <c r="M33" s="14" t="n">
        <f aca="false">L33+G33*(Half_gap*(Ceiling_e-L33)-$F$4)</f>
        <v>80</v>
      </c>
      <c r="N33" s="14" t="n">
        <f aca="false">M33+H33*(Half_gap*(Ceiling_e-M33)-$F$4)</f>
        <v>80</v>
      </c>
      <c r="O33" s="14" t="n">
        <f aca="false">N33+I33*(Half_gap*(Ceiling_e-N33)-$F$4)</f>
        <v>81.5</v>
      </c>
      <c r="P33" s="14" t="n">
        <f aca="false">Val_pt*(J33-E_zero)</f>
        <v>0</v>
      </c>
      <c r="Q33" s="14" t="n">
        <f aca="false">Val_pt*(K33-E_zero)</f>
        <v>60</v>
      </c>
      <c r="R33" s="14" t="n">
        <f aca="false">Val_pt*(L33-E_zero)</f>
        <v>90</v>
      </c>
      <c r="S33" s="14" t="n">
        <f aca="false">Val_pt*(M33-E_zero)</f>
        <v>90</v>
      </c>
      <c r="T33" s="14" t="n">
        <f aca="false">Val_pt*(N33-E_zero)</f>
        <v>90</v>
      </c>
      <c r="U33" s="14" t="n">
        <f aca="false">Val_pt*(O33-E_zero)</f>
        <v>105</v>
      </c>
      <c r="V33" s="14" t="n">
        <f aca="false">MAX(W33+Cost_round*D33-P33,IF(D33=1,Pre_q,0))</f>
        <v>530</v>
      </c>
      <c r="W33" s="14" t="n">
        <f aca="false">MAX(X33+Cost_round*E33-Q33,IF(E33=1,Pre_q,0),Floor_q)</f>
        <v>530</v>
      </c>
      <c r="X33" s="14" t="n">
        <f aca="false">MAX(Y33+Cost_round*F33-R33,IF(F33=1,Pre_q,0),Floor_q)</f>
        <v>470</v>
      </c>
      <c r="Y33" s="14" t="n">
        <f aca="false">MAX(Z33+Cost_round*G33-S33,IF(G33=1,Pre_q,0),Floor_q)</f>
        <v>350</v>
      </c>
      <c r="Z33" s="14" t="n">
        <f aca="false">MAX(AA33+Cost_round*H33-T33,IF(H33=1,Pre_q,0),Floor_q)</f>
        <v>395</v>
      </c>
      <c r="AA33" s="14" t="n">
        <f aca="false">MAX(AB33+Cost_round*I33-U33,IF(I33=1,Pre_q,0),Floor_q)</f>
        <v>485</v>
      </c>
      <c r="AB33" s="14" t="n">
        <f aca="false">MAX(End_q,Floor_q)</f>
        <v>470</v>
      </c>
      <c r="AC33" s="15" t="n">
        <f aca="false">IF(Q_zero&gt;=V33-0.000000001,1,0)</f>
        <v>1</v>
      </c>
      <c r="AD33" s="14" t="n">
        <f aca="false">IF($AC33=1,Q_zero-Cost_round*D33+P33-W33,"")</f>
        <v>90</v>
      </c>
      <c r="AE33" s="14" t="n">
        <f aca="false">IF($AC33=1,W33-Cost_round*E33+Q33-X33,"")</f>
        <v>0</v>
      </c>
      <c r="AF33" s="14" t="n">
        <f aca="false">IF($AC33=1,X33-Cost_round*F33+R33-Y33,"")</f>
        <v>90</v>
      </c>
      <c r="AG33" s="14" t="n">
        <f aca="false">IF($AC33=1,Y33-Cost_round*G33+S33-Z33,"")</f>
        <v>45</v>
      </c>
      <c r="AH33" s="14" t="n">
        <f aca="false">IF($AC33=1,Z33-Cost_round*H33+T33-AA33,"")</f>
        <v>0</v>
      </c>
      <c r="AI33" s="14" t="n">
        <f aca="false">IF($AC33=1,AA33-Cost_round*I33+U33-AB33,"")</f>
        <v>0</v>
      </c>
      <c r="AJ33" s="14" t="n">
        <f aca="false">IF($AC33=1,SUM(AD33:AI33),"")</f>
        <v>225</v>
      </c>
      <c r="AK33" s="17" t="n">
        <f aca="false">IF($AC33=1,AD33*Beta_y^1+AE33*Beta_y^2+AF33*Beta_y^3+AG33*Beta_y^4+AH33*Beta_y^5+AI33*Beta_y^6,"")</f>
        <v>180.172119390752</v>
      </c>
      <c r="AL33" s="17" t="n">
        <f aca="false">IF($AC33=1,AK33+Beta_y^6*U33/Hurdle_r,"")</f>
        <v>772.869745947218</v>
      </c>
    </row>
    <row r="34" customFormat="false" ht="15" hidden="false" customHeight="false" outlineLevel="0" collapsed="false">
      <c r="A34" s="2" t="n">
        <v>26</v>
      </c>
      <c r="B34" s="2" t="str">
        <f aca="false">D34&amp;E34&amp;F34&amp;G34&amp;H34&amp;I34</f>
        <v>011010</v>
      </c>
      <c r="C34" s="15" t="n">
        <f aca="false">SUM(D34:I34)</f>
        <v>3</v>
      </c>
      <c r="D34" s="15" t="n">
        <f aca="false">MOD(INT($A34/32),2)</f>
        <v>0</v>
      </c>
      <c r="E34" s="15" t="n">
        <f aca="false">MOD(INT($A34/16),2)</f>
        <v>1</v>
      </c>
      <c r="F34" s="15" t="n">
        <f aca="false">MOD(INT($A34/8),2)</f>
        <v>1</v>
      </c>
      <c r="G34" s="15" t="n">
        <f aca="false">MOD(INT($A34/4),2)</f>
        <v>0</v>
      </c>
      <c r="H34" s="15" t="n">
        <f aca="false">MOD(INT($A34/2),2)</f>
        <v>1</v>
      </c>
      <c r="I34" s="15" t="n">
        <f aca="false">MOD(INT($A34/1),2)</f>
        <v>0</v>
      </c>
      <c r="J34" s="14" t="n">
        <f aca="false">E_zero+D34*(Half_gap*(Ceiling_e-E_zero)-$F$4)</f>
        <v>71</v>
      </c>
      <c r="K34" s="14" t="n">
        <f aca="false">J34+E34*(Half_gap*(Ceiling_e-J34)-$F$4)</f>
        <v>77</v>
      </c>
      <c r="L34" s="14" t="n">
        <f aca="false">K34+F34*(Half_gap*(Ceiling_e-K34)-$F$4)</f>
        <v>80</v>
      </c>
      <c r="M34" s="14" t="n">
        <f aca="false">L34+G34*(Half_gap*(Ceiling_e-L34)-$F$4)</f>
        <v>80</v>
      </c>
      <c r="N34" s="14" t="n">
        <f aca="false">M34+H34*(Half_gap*(Ceiling_e-M34)-$F$4)</f>
        <v>81.5</v>
      </c>
      <c r="O34" s="14" t="n">
        <f aca="false">N34+I34*(Half_gap*(Ceiling_e-N34)-$F$4)</f>
        <v>81.5</v>
      </c>
      <c r="P34" s="14" t="n">
        <f aca="false">Val_pt*(J34-E_zero)</f>
        <v>0</v>
      </c>
      <c r="Q34" s="14" t="n">
        <f aca="false">Val_pt*(K34-E_zero)</f>
        <v>60</v>
      </c>
      <c r="R34" s="14" t="n">
        <f aca="false">Val_pt*(L34-E_zero)</f>
        <v>90</v>
      </c>
      <c r="S34" s="14" t="n">
        <f aca="false">Val_pt*(M34-E_zero)</f>
        <v>90</v>
      </c>
      <c r="T34" s="14" t="n">
        <f aca="false">Val_pt*(N34-E_zero)</f>
        <v>105</v>
      </c>
      <c r="U34" s="14" t="n">
        <f aca="false">Val_pt*(O34-E_zero)</f>
        <v>105</v>
      </c>
      <c r="V34" s="14" t="n">
        <f aca="false">MAX(W34+Cost_round*D34-P34,IF(D34=1,Pre_q,0))</f>
        <v>530</v>
      </c>
      <c r="W34" s="14" t="n">
        <f aca="false">MAX(X34+Cost_round*E34-Q34,IF(E34=1,Pre_q,0),Floor_q)</f>
        <v>530</v>
      </c>
      <c r="X34" s="14" t="n">
        <f aca="false">MAX(Y34+Cost_round*F34-R34,IF(F34=1,Pre_q,0),Floor_q)</f>
        <v>470</v>
      </c>
      <c r="Y34" s="14" t="n">
        <f aca="false">MAX(Z34+Cost_round*G34-S34,IF(G34=1,Pre_q,0),Floor_q)</f>
        <v>380</v>
      </c>
      <c r="Z34" s="14" t="n">
        <f aca="false">MAX(AA34+Cost_round*H34-T34,IF(H34=1,Pre_q,0),Floor_q)</f>
        <v>470</v>
      </c>
      <c r="AA34" s="14" t="n">
        <f aca="false">MAX(AB34+Cost_round*I34-U34,IF(I34=1,Pre_q,0),Floor_q)</f>
        <v>365</v>
      </c>
      <c r="AB34" s="14" t="n">
        <f aca="false">MAX(End_q,Floor_q)</f>
        <v>470</v>
      </c>
      <c r="AC34" s="15" t="n">
        <f aca="false">IF(Q_zero&gt;=V34-0.000000001,1,0)</f>
        <v>1</v>
      </c>
      <c r="AD34" s="14" t="n">
        <f aca="false">IF($AC34=1,Q_zero-Cost_round*D34+P34-W34,"")</f>
        <v>90</v>
      </c>
      <c r="AE34" s="14" t="n">
        <f aca="false">IF($AC34=1,W34-Cost_round*E34+Q34-X34,"")</f>
        <v>0</v>
      </c>
      <c r="AF34" s="14" t="n">
        <f aca="false">IF($AC34=1,X34-Cost_round*F34+R34-Y34,"")</f>
        <v>60</v>
      </c>
      <c r="AG34" s="14" t="n">
        <f aca="false">IF($AC34=1,Y34-Cost_round*G34+S34-Z34,"")</f>
        <v>0</v>
      </c>
      <c r="AH34" s="14" t="n">
        <f aca="false">IF($AC34=1,Z34-Cost_round*H34+T34-AA34,"")</f>
        <v>90</v>
      </c>
      <c r="AI34" s="14" t="n">
        <f aca="false">IF($AC34=1,AA34-Cost_round*I34+U34-AB34,"")</f>
        <v>0</v>
      </c>
      <c r="AJ34" s="14" t="n">
        <f aca="false">IF($AC34=1,SUM(AD34:AI34),"")</f>
        <v>240</v>
      </c>
      <c r="AK34" s="17" t="n">
        <f aca="false">IF($AC34=1,AD34*Beta_y^1+AE34*Beta_y^2+AF34*Beta_y^3+AG34*Beta_y^4+AH34*Beta_y^5+AI34*Beta_y^6,"")</f>
        <v>182.7799889476</v>
      </c>
      <c r="AL34" s="17" t="n">
        <f aca="false">IF($AC34=1,AK34+Beta_y^6*U34/Hurdle_r,"")</f>
        <v>775.477615504067</v>
      </c>
    </row>
    <row r="35" customFormat="false" ht="15" hidden="false" customHeight="false" outlineLevel="0" collapsed="false">
      <c r="A35" s="2" t="n">
        <v>27</v>
      </c>
      <c r="B35" s="2" t="str">
        <f aca="false">D35&amp;E35&amp;F35&amp;G35&amp;H35&amp;I35</f>
        <v>011011</v>
      </c>
      <c r="C35" s="15" t="n">
        <f aca="false">SUM(D35:I35)</f>
        <v>4</v>
      </c>
      <c r="D35" s="15" t="n">
        <f aca="false">MOD(INT($A35/32),2)</f>
        <v>0</v>
      </c>
      <c r="E35" s="15" t="n">
        <f aca="false">MOD(INT($A35/16),2)</f>
        <v>1</v>
      </c>
      <c r="F35" s="15" t="n">
        <f aca="false">MOD(INT($A35/8),2)</f>
        <v>1</v>
      </c>
      <c r="G35" s="15" t="n">
        <f aca="false">MOD(INT($A35/4),2)</f>
        <v>0</v>
      </c>
      <c r="H35" s="15" t="n">
        <f aca="false">MOD(INT($A35/2),2)</f>
        <v>1</v>
      </c>
      <c r="I35" s="15" t="n">
        <f aca="false">MOD(INT($A35/1),2)</f>
        <v>1</v>
      </c>
      <c r="J35" s="14" t="n">
        <f aca="false">E_zero+D35*(Half_gap*(Ceiling_e-E_zero)-$F$4)</f>
        <v>71</v>
      </c>
      <c r="K35" s="14" t="n">
        <f aca="false">J35+E35*(Half_gap*(Ceiling_e-J35)-$F$4)</f>
        <v>77</v>
      </c>
      <c r="L35" s="14" t="n">
        <f aca="false">K35+F35*(Half_gap*(Ceiling_e-K35)-$F$4)</f>
        <v>80</v>
      </c>
      <c r="M35" s="14" t="n">
        <f aca="false">L35+G35*(Half_gap*(Ceiling_e-L35)-$F$4)</f>
        <v>80</v>
      </c>
      <c r="N35" s="14" t="n">
        <f aca="false">M35+H35*(Half_gap*(Ceiling_e-M35)-$F$4)</f>
        <v>81.5</v>
      </c>
      <c r="O35" s="14" t="n">
        <f aca="false">N35+I35*(Half_gap*(Ceiling_e-N35)-$F$4)</f>
        <v>82.25</v>
      </c>
      <c r="P35" s="14" t="n">
        <f aca="false">Val_pt*(J35-E_zero)</f>
        <v>0</v>
      </c>
      <c r="Q35" s="14" t="n">
        <f aca="false">Val_pt*(K35-E_zero)</f>
        <v>60</v>
      </c>
      <c r="R35" s="14" t="n">
        <f aca="false">Val_pt*(L35-E_zero)</f>
        <v>90</v>
      </c>
      <c r="S35" s="14" t="n">
        <f aca="false">Val_pt*(M35-E_zero)</f>
        <v>90</v>
      </c>
      <c r="T35" s="14" t="n">
        <f aca="false">Val_pt*(N35-E_zero)</f>
        <v>105</v>
      </c>
      <c r="U35" s="14" t="n">
        <f aca="false">Val_pt*(O35-E_zero)</f>
        <v>112.5</v>
      </c>
      <c r="V35" s="14" t="n">
        <f aca="false">MAX(W35+Cost_round*D35-P35,IF(D35=1,Pre_q,0))</f>
        <v>530</v>
      </c>
      <c r="W35" s="14" t="n">
        <f aca="false">MAX(X35+Cost_round*E35-Q35,IF(E35=1,Pre_q,0),Floor_q)</f>
        <v>530</v>
      </c>
      <c r="X35" s="14" t="n">
        <f aca="false">MAX(Y35+Cost_round*F35-R35,IF(F35=1,Pre_q,0),Floor_q)</f>
        <v>470</v>
      </c>
      <c r="Y35" s="14" t="n">
        <f aca="false">MAX(Z35+Cost_round*G35-S35,IF(G35=1,Pre_q,0),Floor_q)</f>
        <v>402.5</v>
      </c>
      <c r="Z35" s="14" t="n">
        <f aca="false">MAX(AA35+Cost_round*H35-T35,IF(H35=1,Pre_q,0),Floor_q)</f>
        <v>492.5</v>
      </c>
      <c r="AA35" s="14" t="n">
        <f aca="false">MAX(AB35+Cost_round*I35-U35,IF(I35=1,Pre_q,0),Floor_q)</f>
        <v>477.5</v>
      </c>
      <c r="AB35" s="14" t="n">
        <f aca="false">MAX(End_q,Floor_q)</f>
        <v>470</v>
      </c>
      <c r="AC35" s="15" t="n">
        <f aca="false">IF(Q_zero&gt;=V35-0.000000001,1,0)</f>
        <v>1</v>
      </c>
      <c r="AD35" s="14" t="n">
        <f aca="false">IF($AC35=1,Q_zero-Cost_round*D35+P35-W35,"")</f>
        <v>90</v>
      </c>
      <c r="AE35" s="14" t="n">
        <f aca="false">IF($AC35=1,W35-Cost_round*E35+Q35-X35,"")</f>
        <v>0</v>
      </c>
      <c r="AF35" s="14" t="n">
        <f aca="false">IF($AC35=1,X35-Cost_round*F35+R35-Y35,"")</f>
        <v>37.5</v>
      </c>
      <c r="AG35" s="14" t="n">
        <f aca="false">IF($AC35=1,Y35-Cost_round*G35+S35-Z35,"")</f>
        <v>0</v>
      </c>
      <c r="AH35" s="14" t="n">
        <f aca="false">IF($AC35=1,Z35-Cost_round*H35+T35-AA35,"")</f>
        <v>0</v>
      </c>
      <c r="AI35" s="14" t="n">
        <f aca="false">IF($AC35=1,AA35-Cost_round*I35+U35-AB35,"")</f>
        <v>0</v>
      </c>
      <c r="AJ35" s="14" t="n">
        <f aca="false">IF($AC35=1,SUM(AD35:AI35),"")</f>
        <v>127.5</v>
      </c>
      <c r="AK35" s="17" t="n">
        <f aca="false">IF($AC35=1,AD35*Beta_y^1+AE35*Beta_y^2+AF35*Beta_y^3+AG35*Beta_y^4+AH35*Beta_y^5+AI35*Beta_y^6,"")</f>
        <v>109.992486851991</v>
      </c>
      <c r="AL35" s="17" t="n">
        <f aca="false">IF($AC35=1,AK35+Beta_y^6*U35/Hurdle_r,"")</f>
        <v>745.025658162491</v>
      </c>
    </row>
    <row r="36" customFormat="false" ht="15" hidden="false" customHeight="false" outlineLevel="0" collapsed="false">
      <c r="A36" s="2" t="n">
        <v>28</v>
      </c>
      <c r="B36" s="2" t="str">
        <f aca="false">D36&amp;E36&amp;F36&amp;G36&amp;H36&amp;I36</f>
        <v>011100</v>
      </c>
      <c r="C36" s="15" t="n">
        <f aca="false">SUM(D36:I36)</f>
        <v>3</v>
      </c>
      <c r="D36" s="15" t="n">
        <f aca="false">MOD(INT($A36/32),2)</f>
        <v>0</v>
      </c>
      <c r="E36" s="15" t="n">
        <f aca="false">MOD(INT($A36/16),2)</f>
        <v>1</v>
      </c>
      <c r="F36" s="15" t="n">
        <f aca="false">MOD(INT($A36/8),2)</f>
        <v>1</v>
      </c>
      <c r="G36" s="15" t="n">
        <f aca="false">MOD(INT($A36/4),2)</f>
        <v>1</v>
      </c>
      <c r="H36" s="15" t="n">
        <f aca="false">MOD(INT($A36/2),2)</f>
        <v>0</v>
      </c>
      <c r="I36" s="15" t="n">
        <f aca="false">MOD(INT($A36/1),2)</f>
        <v>0</v>
      </c>
      <c r="J36" s="14" t="n">
        <f aca="false">E_zero+D36*(Half_gap*(Ceiling_e-E_zero)-$F$4)</f>
        <v>71</v>
      </c>
      <c r="K36" s="14" t="n">
        <f aca="false">J36+E36*(Half_gap*(Ceiling_e-J36)-$F$4)</f>
        <v>77</v>
      </c>
      <c r="L36" s="14" t="n">
        <f aca="false">K36+F36*(Half_gap*(Ceiling_e-K36)-$F$4)</f>
        <v>80</v>
      </c>
      <c r="M36" s="14" t="n">
        <f aca="false">L36+G36*(Half_gap*(Ceiling_e-L36)-$F$4)</f>
        <v>81.5</v>
      </c>
      <c r="N36" s="14" t="n">
        <f aca="false">M36+H36*(Half_gap*(Ceiling_e-M36)-$F$4)</f>
        <v>81.5</v>
      </c>
      <c r="O36" s="14" t="n">
        <f aca="false">N36+I36*(Half_gap*(Ceiling_e-N36)-$F$4)</f>
        <v>81.5</v>
      </c>
      <c r="P36" s="14" t="n">
        <f aca="false">Val_pt*(J36-E_zero)</f>
        <v>0</v>
      </c>
      <c r="Q36" s="14" t="n">
        <f aca="false">Val_pt*(K36-E_zero)</f>
        <v>60</v>
      </c>
      <c r="R36" s="14" t="n">
        <f aca="false">Val_pt*(L36-E_zero)</f>
        <v>90</v>
      </c>
      <c r="S36" s="14" t="n">
        <f aca="false">Val_pt*(M36-E_zero)</f>
        <v>105</v>
      </c>
      <c r="T36" s="14" t="n">
        <f aca="false">Val_pt*(N36-E_zero)</f>
        <v>105</v>
      </c>
      <c r="U36" s="14" t="n">
        <f aca="false">Val_pt*(O36-E_zero)</f>
        <v>105</v>
      </c>
      <c r="V36" s="14" t="n">
        <f aca="false">MAX(W36+Cost_round*D36-P36,IF(D36=1,Pre_q,0))</f>
        <v>560</v>
      </c>
      <c r="W36" s="14" t="n">
        <f aca="false">MAX(X36+Cost_round*E36-Q36,IF(E36=1,Pre_q,0),Floor_q)</f>
        <v>560</v>
      </c>
      <c r="X36" s="14" t="n">
        <f aca="false">MAX(Y36+Cost_round*F36-R36,IF(F36=1,Pre_q,0),Floor_q)</f>
        <v>500</v>
      </c>
      <c r="Y36" s="14" t="n">
        <f aca="false">MAX(Z36+Cost_round*G36-S36,IF(G36=1,Pre_q,0),Floor_q)</f>
        <v>470</v>
      </c>
      <c r="Z36" s="14" t="n">
        <f aca="false">MAX(AA36+Cost_round*H36-T36,IF(H36=1,Pre_q,0),Floor_q)</f>
        <v>350</v>
      </c>
      <c r="AA36" s="14" t="n">
        <f aca="false">MAX(AB36+Cost_round*I36-U36,IF(I36=1,Pre_q,0),Floor_q)</f>
        <v>365</v>
      </c>
      <c r="AB36" s="14" t="n">
        <f aca="false">MAX(End_q,Floor_q)</f>
        <v>470</v>
      </c>
      <c r="AC36" s="15" t="n">
        <f aca="false">IF(Q_zero&gt;=V36-0.000000001,1,0)</f>
        <v>1</v>
      </c>
      <c r="AD36" s="14" t="n">
        <f aca="false">IF($AC36=1,Q_zero-Cost_round*D36+P36-W36,"")</f>
        <v>60</v>
      </c>
      <c r="AE36" s="14" t="n">
        <f aca="false">IF($AC36=1,W36-Cost_round*E36+Q36-X36,"")</f>
        <v>0</v>
      </c>
      <c r="AF36" s="14" t="n">
        <f aca="false">IF($AC36=1,X36-Cost_round*F36+R36-Y36,"")</f>
        <v>0</v>
      </c>
      <c r="AG36" s="14" t="n">
        <f aca="false">IF($AC36=1,Y36-Cost_round*G36+S36-Z36,"")</f>
        <v>105</v>
      </c>
      <c r="AH36" s="14" t="n">
        <f aca="false">IF($AC36=1,Z36-Cost_round*H36+T36-AA36,"")</f>
        <v>90</v>
      </c>
      <c r="AI36" s="14" t="n">
        <f aca="false">IF($AC36=1,AA36-Cost_round*I36+U36-AB36,"")</f>
        <v>0</v>
      </c>
      <c r="AJ36" s="14" t="n">
        <f aca="false">IF($AC36=1,SUM(AD36:AI36),"")</f>
        <v>255</v>
      </c>
      <c r="AK36" s="17" t="n">
        <f aca="false">IF($AC36=1,AD36*Beta_y^1+AE36*Beta_y^2+AF36*Beta_y^3+AG36*Beta_y^4+AH36*Beta_y^5+AI36*Beta_y^6,"")</f>
        <v>182.144786434111</v>
      </c>
      <c r="AL36" s="17" t="n">
        <f aca="false">IF($AC36=1,AK36+Beta_y^6*U36/Hurdle_r,"")</f>
        <v>774.842412990577</v>
      </c>
    </row>
    <row r="37" customFormat="false" ht="15" hidden="false" customHeight="false" outlineLevel="0" collapsed="false">
      <c r="A37" s="2" t="n">
        <v>29</v>
      </c>
      <c r="B37" s="2" t="str">
        <f aca="false">D37&amp;E37&amp;F37&amp;G37&amp;H37&amp;I37</f>
        <v>011101</v>
      </c>
      <c r="C37" s="15" t="n">
        <f aca="false">SUM(D37:I37)</f>
        <v>4</v>
      </c>
      <c r="D37" s="15" t="n">
        <f aca="false">MOD(INT($A37/32),2)</f>
        <v>0</v>
      </c>
      <c r="E37" s="15" t="n">
        <f aca="false">MOD(INT($A37/16),2)</f>
        <v>1</v>
      </c>
      <c r="F37" s="15" t="n">
        <f aca="false">MOD(INT($A37/8),2)</f>
        <v>1</v>
      </c>
      <c r="G37" s="15" t="n">
        <f aca="false">MOD(INT($A37/4),2)</f>
        <v>1</v>
      </c>
      <c r="H37" s="15" t="n">
        <f aca="false">MOD(INT($A37/2),2)</f>
        <v>0</v>
      </c>
      <c r="I37" s="15" t="n">
        <f aca="false">MOD(INT($A37/1),2)</f>
        <v>1</v>
      </c>
      <c r="J37" s="14" t="n">
        <f aca="false">E_zero+D37*(Half_gap*(Ceiling_e-E_zero)-$F$4)</f>
        <v>71</v>
      </c>
      <c r="K37" s="14" t="n">
        <f aca="false">J37+E37*(Half_gap*(Ceiling_e-J37)-$F$4)</f>
        <v>77</v>
      </c>
      <c r="L37" s="14" t="n">
        <f aca="false">K37+F37*(Half_gap*(Ceiling_e-K37)-$F$4)</f>
        <v>80</v>
      </c>
      <c r="M37" s="14" t="n">
        <f aca="false">L37+G37*(Half_gap*(Ceiling_e-L37)-$F$4)</f>
        <v>81.5</v>
      </c>
      <c r="N37" s="14" t="n">
        <f aca="false">M37+H37*(Half_gap*(Ceiling_e-M37)-$F$4)</f>
        <v>81.5</v>
      </c>
      <c r="O37" s="14" t="n">
        <f aca="false">N37+I37*(Half_gap*(Ceiling_e-N37)-$F$4)</f>
        <v>82.25</v>
      </c>
      <c r="P37" s="14" t="n">
        <f aca="false">Val_pt*(J37-E_zero)</f>
        <v>0</v>
      </c>
      <c r="Q37" s="14" t="n">
        <f aca="false">Val_pt*(K37-E_zero)</f>
        <v>60</v>
      </c>
      <c r="R37" s="14" t="n">
        <f aca="false">Val_pt*(L37-E_zero)</f>
        <v>90</v>
      </c>
      <c r="S37" s="14" t="n">
        <f aca="false">Val_pt*(M37-E_zero)</f>
        <v>105</v>
      </c>
      <c r="T37" s="14" t="n">
        <f aca="false">Val_pt*(N37-E_zero)</f>
        <v>105</v>
      </c>
      <c r="U37" s="14" t="n">
        <f aca="false">Val_pt*(O37-E_zero)</f>
        <v>112.5</v>
      </c>
      <c r="V37" s="14" t="n">
        <f aca="false">MAX(W37+Cost_round*D37-P37,IF(D37=1,Pre_q,0))</f>
        <v>560</v>
      </c>
      <c r="W37" s="14" t="n">
        <f aca="false">MAX(X37+Cost_round*E37-Q37,IF(E37=1,Pre_q,0),Floor_q)</f>
        <v>560</v>
      </c>
      <c r="X37" s="14" t="n">
        <f aca="false">MAX(Y37+Cost_round*F37-R37,IF(F37=1,Pre_q,0),Floor_q)</f>
        <v>500</v>
      </c>
      <c r="Y37" s="14" t="n">
        <f aca="false">MAX(Z37+Cost_round*G37-S37,IF(G37=1,Pre_q,0),Floor_q)</f>
        <v>470</v>
      </c>
      <c r="Z37" s="14" t="n">
        <f aca="false">MAX(AA37+Cost_round*H37-T37,IF(H37=1,Pre_q,0),Floor_q)</f>
        <v>372.5</v>
      </c>
      <c r="AA37" s="14" t="n">
        <f aca="false">MAX(AB37+Cost_round*I37-U37,IF(I37=1,Pre_q,0),Floor_q)</f>
        <v>477.5</v>
      </c>
      <c r="AB37" s="14" t="n">
        <f aca="false">MAX(End_q,Floor_q)</f>
        <v>470</v>
      </c>
      <c r="AC37" s="15" t="n">
        <f aca="false">IF(Q_zero&gt;=V37-0.000000001,1,0)</f>
        <v>1</v>
      </c>
      <c r="AD37" s="14" t="n">
        <f aca="false">IF($AC37=1,Q_zero-Cost_round*D37+P37-W37,"")</f>
        <v>60</v>
      </c>
      <c r="AE37" s="14" t="n">
        <f aca="false">IF($AC37=1,W37-Cost_round*E37+Q37-X37,"")</f>
        <v>0</v>
      </c>
      <c r="AF37" s="14" t="n">
        <f aca="false">IF($AC37=1,X37-Cost_round*F37+R37-Y37,"")</f>
        <v>0</v>
      </c>
      <c r="AG37" s="14" t="n">
        <f aca="false">IF($AC37=1,Y37-Cost_round*G37+S37-Z37,"")</f>
        <v>82.5</v>
      </c>
      <c r="AH37" s="14" t="n">
        <f aca="false">IF($AC37=1,Z37-Cost_round*H37+T37-AA37,"")</f>
        <v>0</v>
      </c>
      <c r="AI37" s="14" t="n">
        <f aca="false">IF($AC37=1,AA37-Cost_round*I37+U37-AB37,"")</f>
        <v>0</v>
      </c>
      <c r="AJ37" s="14" t="n">
        <f aca="false">IF($AC37=1,SUM(AD37:AI37),"")</f>
        <v>142.5</v>
      </c>
      <c r="AK37" s="17" t="n">
        <f aca="false">IF($AC37=1,AD37*Beta_y^1+AE37*Beta_y^2+AF37*Beta_y^3+AG37*Beta_y^4+AH37*Beta_y^5+AI37*Beta_y^6,"")</f>
        <v>110.894064613073</v>
      </c>
      <c r="AL37" s="17" t="n">
        <f aca="false">IF($AC37=1,AK37+Beta_y^6*U37/Hurdle_r,"")</f>
        <v>745.927235923572</v>
      </c>
    </row>
    <row r="38" customFormat="false" ht="15" hidden="false" customHeight="false" outlineLevel="0" collapsed="false">
      <c r="A38" s="2" t="n">
        <v>30</v>
      </c>
      <c r="B38" s="2" t="str">
        <f aca="false">D38&amp;E38&amp;F38&amp;G38&amp;H38&amp;I38</f>
        <v>011110</v>
      </c>
      <c r="C38" s="15" t="n">
        <f aca="false">SUM(D38:I38)</f>
        <v>4</v>
      </c>
      <c r="D38" s="15" t="n">
        <f aca="false">MOD(INT($A38/32),2)</f>
        <v>0</v>
      </c>
      <c r="E38" s="15" t="n">
        <f aca="false">MOD(INT($A38/16),2)</f>
        <v>1</v>
      </c>
      <c r="F38" s="15" t="n">
        <f aca="false">MOD(INT($A38/8),2)</f>
        <v>1</v>
      </c>
      <c r="G38" s="15" t="n">
        <f aca="false">MOD(INT($A38/4),2)</f>
        <v>1</v>
      </c>
      <c r="H38" s="15" t="n">
        <f aca="false">MOD(INT($A38/2),2)</f>
        <v>1</v>
      </c>
      <c r="I38" s="15" t="n">
        <f aca="false">MOD(INT($A38/1),2)</f>
        <v>0</v>
      </c>
      <c r="J38" s="14" t="n">
        <f aca="false">E_zero+D38*(Half_gap*(Ceiling_e-E_zero)-$F$4)</f>
        <v>71</v>
      </c>
      <c r="K38" s="14" t="n">
        <f aca="false">J38+E38*(Half_gap*(Ceiling_e-J38)-$F$4)</f>
        <v>77</v>
      </c>
      <c r="L38" s="14" t="n">
        <f aca="false">K38+F38*(Half_gap*(Ceiling_e-K38)-$F$4)</f>
        <v>80</v>
      </c>
      <c r="M38" s="14" t="n">
        <f aca="false">L38+G38*(Half_gap*(Ceiling_e-L38)-$F$4)</f>
        <v>81.5</v>
      </c>
      <c r="N38" s="14" t="n">
        <f aca="false">M38+H38*(Half_gap*(Ceiling_e-M38)-$F$4)</f>
        <v>82.25</v>
      </c>
      <c r="O38" s="14" t="n">
        <f aca="false">N38+I38*(Half_gap*(Ceiling_e-N38)-$F$4)</f>
        <v>82.25</v>
      </c>
      <c r="P38" s="14" t="n">
        <f aca="false">Val_pt*(J38-E_zero)</f>
        <v>0</v>
      </c>
      <c r="Q38" s="14" t="n">
        <f aca="false">Val_pt*(K38-E_zero)</f>
        <v>60</v>
      </c>
      <c r="R38" s="14" t="n">
        <f aca="false">Val_pt*(L38-E_zero)</f>
        <v>90</v>
      </c>
      <c r="S38" s="14" t="n">
        <f aca="false">Val_pt*(M38-E_zero)</f>
        <v>105</v>
      </c>
      <c r="T38" s="14" t="n">
        <f aca="false">Val_pt*(N38-E_zero)</f>
        <v>112.5</v>
      </c>
      <c r="U38" s="14" t="n">
        <f aca="false">Val_pt*(O38-E_zero)</f>
        <v>112.5</v>
      </c>
      <c r="V38" s="14" t="n">
        <f aca="false">MAX(W38+Cost_round*D38-P38,IF(D38=1,Pre_q,0))</f>
        <v>575</v>
      </c>
      <c r="W38" s="14" t="n">
        <f aca="false">MAX(X38+Cost_round*E38-Q38,IF(E38=1,Pre_q,0),Floor_q)</f>
        <v>575</v>
      </c>
      <c r="X38" s="14" t="n">
        <f aca="false">MAX(Y38+Cost_round*F38-R38,IF(F38=1,Pre_q,0),Floor_q)</f>
        <v>515</v>
      </c>
      <c r="Y38" s="14" t="n">
        <f aca="false">MAX(Z38+Cost_round*G38-S38,IF(G38=1,Pre_q,0),Floor_q)</f>
        <v>485</v>
      </c>
      <c r="Z38" s="14" t="n">
        <f aca="false">MAX(AA38+Cost_round*H38-T38,IF(H38=1,Pre_q,0),Floor_q)</f>
        <v>470</v>
      </c>
      <c r="AA38" s="14" t="n">
        <f aca="false">MAX(AB38+Cost_round*I38-U38,IF(I38=1,Pre_q,0),Floor_q)</f>
        <v>357.5</v>
      </c>
      <c r="AB38" s="14" t="n">
        <f aca="false">MAX(End_q,Floor_q)</f>
        <v>470</v>
      </c>
      <c r="AC38" s="15" t="n">
        <f aca="false">IF(Q_zero&gt;=V38-0.000000001,1,0)</f>
        <v>1</v>
      </c>
      <c r="AD38" s="14" t="n">
        <f aca="false">IF($AC38=1,Q_zero-Cost_round*D38+P38-W38,"")</f>
        <v>45</v>
      </c>
      <c r="AE38" s="14" t="n">
        <f aca="false">IF($AC38=1,W38-Cost_round*E38+Q38-X38,"")</f>
        <v>0</v>
      </c>
      <c r="AF38" s="14" t="n">
        <f aca="false">IF($AC38=1,X38-Cost_round*F38+R38-Y38,"")</f>
        <v>0</v>
      </c>
      <c r="AG38" s="14" t="n">
        <f aca="false">IF($AC38=1,Y38-Cost_round*G38+S38-Z38,"")</f>
        <v>0</v>
      </c>
      <c r="AH38" s="14" t="n">
        <f aca="false">IF($AC38=1,Z38-Cost_round*H38+T38-AA38,"")</f>
        <v>105</v>
      </c>
      <c r="AI38" s="14" t="n">
        <f aca="false">IF($AC38=1,AA38-Cost_round*I38+U38-AB38,"")</f>
        <v>0</v>
      </c>
      <c r="AJ38" s="14" t="n">
        <f aca="false">IF($AC38=1,SUM(AD38:AI38),"")</f>
        <v>150</v>
      </c>
      <c r="AK38" s="17" t="n">
        <f aca="false">IF($AC38=1,AD38*Beta_y^1+AE38*Beta_y^2+AF38*Beta_y^3+AG38*Beta_y^4+AH38*Beta_y^5+AI38*Beta_y^6,"")</f>
        <v>106.105829830302</v>
      </c>
      <c r="AL38" s="17" t="n">
        <f aca="false">IF($AC38=1,AK38+Beta_y^6*U38/Hurdle_r,"")</f>
        <v>741.139001140802</v>
      </c>
    </row>
    <row r="39" customFormat="false" ht="15" hidden="false" customHeight="false" outlineLevel="0" collapsed="false">
      <c r="A39" s="2" t="n">
        <v>31</v>
      </c>
      <c r="B39" s="2" t="str">
        <f aca="false">D39&amp;E39&amp;F39&amp;G39&amp;H39&amp;I39</f>
        <v>011111</v>
      </c>
      <c r="C39" s="15" t="n">
        <f aca="false">SUM(D39:I39)</f>
        <v>5</v>
      </c>
      <c r="D39" s="15" t="n">
        <f aca="false">MOD(INT($A39/32),2)</f>
        <v>0</v>
      </c>
      <c r="E39" s="15" t="n">
        <f aca="false">MOD(INT($A39/16),2)</f>
        <v>1</v>
      </c>
      <c r="F39" s="15" t="n">
        <f aca="false">MOD(INT($A39/8),2)</f>
        <v>1</v>
      </c>
      <c r="G39" s="15" t="n">
        <f aca="false">MOD(INT($A39/4),2)</f>
        <v>1</v>
      </c>
      <c r="H39" s="15" t="n">
        <f aca="false">MOD(INT($A39/2),2)</f>
        <v>1</v>
      </c>
      <c r="I39" s="15" t="n">
        <f aca="false">MOD(INT($A39/1),2)</f>
        <v>1</v>
      </c>
      <c r="J39" s="14" t="n">
        <f aca="false">E_zero+D39*(Half_gap*(Ceiling_e-E_zero)-$F$4)</f>
        <v>71</v>
      </c>
      <c r="K39" s="14" t="n">
        <f aca="false">J39+E39*(Half_gap*(Ceiling_e-J39)-$F$4)</f>
        <v>77</v>
      </c>
      <c r="L39" s="14" t="n">
        <f aca="false">K39+F39*(Half_gap*(Ceiling_e-K39)-$F$4)</f>
        <v>80</v>
      </c>
      <c r="M39" s="14" t="n">
        <f aca="false">L39+G39*(Half_gap*(Ceiling_e-L39)-$F$4)</f>
        <v>81.5</v>
      </c>
      <c r="N39" s="14" t="n">
        <f aca="false">M39+H39*(Half_gap*(Ceiling_e-M39)-$F$4)</f>
        <v>82.25</v>
      </c>
      <c r="O39" s="14" t="n">
        <f aca="false">N39+I39*(Half_gap*(Ceiling_e-N39)-$F$4)</f>
        <v>82.625</v>
      </c>
      <c r="P39" s="14" t="n">
        <f aca="false">Val_pt*(J39-E_zero)</f>
        <v>0</v>
      </c>
      <c r="Q39" s="14" t="n">
        <f aca="false">Val_pt*(K39-E_zero)</f>
        <v>60</v>
      </c>
      <c r="R39" s="14" t="n">
        <f aca="false">Val_pt*(L39-E_zero)</f>
        <v>90</v>
      </c>
      <c r="S39" s="14" t="n">
        <f aca="false">Val_pt*(M39-E_zero)</f>
        <v>105</v>
      </c>
      <c r="T39" s="14" t="n">
        <f aca="false">Val_pt*(N39-E_zero)</f>
        <v>112.5</v>
      </c>
      <c r="U39" s="14" t="n">
        <f aca="false">Val_pt*(O39-E_zero)</f>
        <v>116.25</v>
      </c>
      <c r="V39" s="14" t="n">
        <f aca="false">MAX(W39+Cost_round*D39-P39,IF(D39=1,Pre_q,0))</f>
        <v>586.25</v>
      </c>
      <c r="W39" s="14" t="n">
        <f aca="false">MAX(X39+Cost_round*E39-Q39,IF(E39=1,Pre_q,0),Floor_q)</f>
        <v>586.25</v>
      </c>
      <c r="X39" s="14" t="n">
        <f aca="false">MAX(Y39+Cost_round*F39-R39,IF(F39=1,Pre_q,0),Floor_q)</f>
        <v>526.25</v>
      </c>
      <c r="Y39" s="14" t="n">
        <f aca="false">MAX(Z39+Cost_round*G39-S39,IF(G39=1,Pre_q,0),Floor_q)</f>
        <v>496.25</v>
      </c>
      <c r="Z39" s="14" t="n">
        <f aca="false">MAX(AA39+Cost_round*H39-T39,IF(H39=1,Pre_q,0),Floor_q)</f>
        <v>481.25</v>
      </c>
      <c r="AA39" s="14" t="n">
        <f aca="false">MAX(AB39+Cost_round*I39-U39,IF(I39=1,Pre_q,0),Floor_q)</f>
        <v>473.75</v>
      </c>
      <c r="AB39" s="14" t="n">
        <f aca="false">MAX(End_q,Floor_q)</f>
        <v>470</v>
      </c>
      <c r="AC39" s="15" t="n">
        <f aca="false">IF(Q_zero&gt;=V39-0.000000001,1,0)</f>
        <v>1</v>
      </c>
      <c r="AD39" s="14" t="n">
        <f aca="false">IF($AC39=1,Q_zero-Cost_round*D39+P39-W39,"")</f>
        <v>33.75</v>
      </c>
      <c r="AE39" s="14" t="n">
        <f aca="false">IF($AC39=1,W39-Cost_round*E39+Q39-X39,"")</f>
        <v>0</v>
      </c>
      <c r="AF39" s="14" t="n">
        <f aca="false">IF($AC39=1,X39-Cost_round*F39+R39-Y39,"")</f>
        <v>0</v>
      </c>
      <c r="AG39" s="14" t="n">
        <f aca="false">IF($AC39=1,Y39-Cost_round*G39+S39-Z39,"")</f>
        <v>0</v>
      </c>
      <c r="AH39" s="14" t="n">
        <f aca="false">IF($AC39=1,Z39-Cost_round*H39+T39-AA39,"")</f>
        <v>0</v>
      </c>
      <c r="AI39" s="14" t="n">
        <f aca="false">IF($AC39=1,AA39-Cost_round*I39+U39-AB39,"")</f>
        <v>0</v>
      </c>
      <c r="AJ39" s="14" t="n">
        <f aca="false">IF($AC39=1,SUM(AD39:AI39),"")</f>
        <v>33.75</v>
      </c>
      <c r="AK39" s="17" t="n">
        <f aca="false">IF($AC39=1,AD39*Beta_y^1+AE39*Beta_y^2+AF39*Beta_y^3+AG39*Beta_y^4+AH39*Beta_y^5+AI39*Beta_y^6,"")</f>
        <v>30.6818181818182</v>
      </c>
      <c r="AL39" s="17" t="n">
        <f aca="false">IF($AC39=1,AK39+Beta_y^6*U39/Hurdle_r,"")</f>
        <v>686.882761869334</v>
      </c>
    </row>
    <row r="40" customFormat="false" ht="15" hidden="false" customHeight="false" outlineLevel="0" collapsed="false">
      <c r="A40" s="2" t="n">
        <v>32</v>
      </c>
      <c r="B40" s="2" t="str">
        <f aca="false">D40&amp;E40&amp;F40&amp;G40&amp;H40&amp;I40</f>
        <v>100000</v>
      </c>
      <c r="C40" s="15" t="n">
        <f aca="false">SUM(D40:I40)</f>
        <v>1</v>
      </c>
      <c r="D40" s="15" t="n">
        <f aca="false">MOD(INT($A40/32),2)</f>
        <v>1</v>
      </c>
      <c r="E40" s="15" t="n">
        <f aca="false">MOD(INT($A40/16),2)</f>
        <v>0</v>
      </c>
      <c r="F40" s="15" t="n">
        <f aca="false">MOD(INT($A40/8),2)</f>
        <v>0</v>
      </c>
      <c r="G40" s="15" t="n">
        <f aca="false">MOD(INT($A40/4),2)</f>
        <v>0</v>
      </c>
      <c r="H40" s="15" t="n">
        <f aca="false">MOD(INT($A40/2),2)</f>
        <v>0</v>
      </c>
      <c r="I40" s="15" t="n">
        <f aca="false">MOD(INT($A40/1),2)</f>
        <v>0</v>
      </c>
      <c r="J40" s="14" t="n">
        <f aca="false">E_zero+D40*(Half_gap*(Ceiling_e-E_zero)-$F$4)</f>
        <v>77</v>
      </c>
      <c r="K40" s="14" t="n">
        <f aca="false">J40+E40*(Half_gap*(Ceiling_e-J40)-$F$4)</f>
        <v>77</v>
      </c>
      <c r="L40" s="14" t="n">
        <f aca="false">K40+F40*(Half_gap*(Ceiling_e-K40)-$F$4)</f>
        <v>77</v>
      </c>
      <c r="M40" s="14" t="n">
        <f aca="false">L40+G40*(Half_gap*(Ceiling_e-L40)-$F$4)</f>
        <v>77</v>
      </c>
      <c r="N40" s="14" t="n">
        <f aca="false">M40+H40*(Half_gap*(Ceiling_e-M40)-$F$4)</f>
        <v>77</v>
      </c>
      <c r="O40" s="14" t="n">
        <f aca="false">N40+I40*(Half_gap*(Ceiling_e-N40)-$F$4)</f>
        <v>77</v>
      </c>
      <c r="P40" s="14" t="n">
        <f aca="false">Val_pt*(J40-E_zero)</f>
        <v>60</v>
      </c>
      <c r="Q40" s="14" t="n">
        <f aca="false">Val_pt*(K40-E_zero)</f>
        <v>60</v>
      </c>
      <c r="R40" s="14" t="n">
        <f aca="false">Val_pt*(L40-E_zero)</f>
        <v>60</v>
      </c>
      <c r="S40" s="14" t="n">
        <f aca="false">Val_pt*(M40-E_zero)</f>
        <v>60</v>
      </c>
      <c r="T40" s="14" t="n">
        <f aca="false">Val_pt*(N40-E_zero)</f>
        <v>60</v>
      </c>
      <c r="U40" s="14" t="n">
        <f aca="false">Val_pt*(O40-E_zero)</f>
        <v>60</v>
      </c>
      <c r="V40" s="14" t="n">
        <f aca="false">MAX(W40+Cost_round*D40-P40,IF(D40=1,Pre_q,0))</f>
        <v>470</v>
      </c>
      <c r="W40" s="14" t="n">
        <f aca="false">MAX(X40+Cost_round*E40-Q40,IF(E40=1,Pre_q,0),Floor_q)</f>
        <v>350</v>
      </c>
      <c r="X40" s="14" t="n">
        <f aca="false">MAX(Y40+Cost_round*F40-R40,IF(F40=1,Pre_q,0),Floor_q)</f>
        <v>350</v>
      </c>
      <c r="Y40" s="14" t="n">
        <f aca="false">MAX(Z40+Cost_round*G40-S40,IF(G40=1,Pre_q,0),Floor_q)</f>
        <v>350</v>
      </c>
      <c r="Z40" s="14" t="n">
        <f aca="false">MAX(AA40+Cost_round*H40-T40,IF(H40=1,Pre_q,0),Floor_q)</f>
        <v>350</v>
      </c>
      <c r="AA40" s="14" t="n">
        <f aca="false">MAX(AB40+Cost_round*I40-U40,IF(I40=1,Pre_q,0),Floor_q)</f>
        <v>410</v>
      </c>
      <c r="AB40" s="14" t="n">
        <f aca="false">MAX(End_q,Floor_q)</f>
        <v>470</v>
      </c>
      <c r="AC40" s="15" t="n">
        <f aca="false">IF(Q_zero&gt;=V40-0.000000001,1,0)</f>
        <v>1</v>
      </c>
      <c r="AD40" s="14" t="n">
        <f aca="false">IF($AC40=1,Q_zero-Cost_round*D40+P40-W40,"")</f>
        <v>210</v>
      </c>
      <c r="AE40" s="14" t="n">
        <f aca="false">IF($AC40=1,W40-Cost_round*E40+Q40-X40,"")</f>
        <v>60</v>
      </c>
      <c r="AF40" s="14" t="n">
        <f aca="false">IF($AC40=1,X40-Cost_round*F40+R40-Y40,"")</f>
        <v>60</v>
      </c>
      <c r="AG40" s="14" t="n">
        <f aca="false">IF($AC40=1,Y40-Cost_round*G40+S40-Z40,"")</f>
        <v>60</v>
      </c>
      <c r="AH40" s="14" t="n">
        <f aca="false">IF($AC40=1,Z40-Cost_round*H40+T40-AA40,"")</f>
        <v>0</v>
      </c>
      <c r="AI40" s="14" t="n">
        <f aca="false">IF($AC40=1,AA40-Cost_round*I40+U40-AB40,"")</f>
        <v>0</v>
      </c>
      <c r="AJ40" s="14" t="n">
        <f aca="false">IF($AC40=1,SUM(AD40:AI40),"")</f>
        <v>390</v>
      </c>
      <c r="AK40" s="17" t="n">
        <f aca="false">IF($AC40=1,AD40*Beta_y^1+AE40*Beta_y^2+AF40*Beta_y^3+AG40*Beta_y^4+AH40*Beta_y^5+AI40*Beta_y^6,"")</f>
        <v>326.555563144594</v>
      </c>
      <c r="AL40" s="17" t="n">
        <f aca="false">IF($AC40=1,AK40+Beta_y^6*U40/Hurdle_r,"")</f>
        <v>665.23992117686</v>
      </c>
    </row>
    <row r="41" customFormat="false" ht="15" hidden="false" customHeight="false" outlineLevel="0" collapsed="false">
      <c r="A41" s="2" t="n">
        <v>33</v>
      </c>
      <c r="B41" s="2" t="str">
        <f aca="false">D41&amp;E41&amp;F41&amp;G41&amp;H41&amp;I41</f>
        <v>100001</v>
      </c>
      <c r="C41" s="15" t="n">
        <f aca="false">SUM(D41:I41)</f>
        <v>2</v>
      </c>
      <c r="D41" s="15" t="n">
        <f aca="false">MOD(INT($A41/32),2)</f>
        <v>1</v>
      </c>
      <c r="E41" s="15" t="n">
        <f aca="false">MOD(INT($A41/16),2)</f>
        <v>0</v>
      </c>
      <c r="F41" s="15" t="n">
        <f aca="false">MOD(INT($A41/8),2)</f>
        <v>0</v>
      </c>
      <c r="G41" s="15" t="n">
        <f aca="false">MOD(INT($A41/4),2)</f>
        <v>0</v>
      </c>
      <c r="H41" s="15" t="n">
        <f aca="false">MOD(INT($A41/2),2)</f>
        <v>0</v>
      </c>
      <c r="I41" s="15" t="n">
        <f aca="false">MOD(INT($A41/1),2)</f>
        <v>1</v>
      </c>
      <c r="J41" s="14" t="n">
        <f aca="false">E_zero+D41*(Half_gap*(Ceiling_e-E_zero)-$F$4)</f>
        <v>77</v>
      </c>
      <c r="K41" s="14" t="n">
        <f aca="false">J41+E41*(Half_gap*(Ceiling_e-J41)-$F$4)</f>
        <v>77</v>
      </c>
      <c r="L41" s="14" t="n">
        <f aca="false">K41+F41*(Half_gap*(Ceiling_e-K41)-$F$4)</f>
        <v>77</v>
      </c>
      <c r="M41" s="14" t="n">
        <f aca="false">L41+G41*(Half_gap*(Ceiling_e-L41)-$F$4)</f>
        <v>77</v>
      </c>
      <c r="N41" s="14" t="n">
        <f aca="false">M41+H41*(Half_gap*(Ceiling_e-M41)-$F$4)</f>
        <v>77</v>
      </c>
      <c r="O41" s="14" t="n">
        <f aca="false">N41+I41*(Half_gap*(Ceiling_e-N41)-$F$4)</f>
        <v>80</v>
      </c>
      <c r="P41" s="14" t="n">
        <f aca="false">Val_pt*(J41-E_zero)</f>
        <v>60</v>
      </c>
      <c r="Q41" s="14" t="n">
        <f aca="false">Val_pt*(K41-E_zero)</f>
        <v>60</v>
      </c>
      <c r="R41" s="14" t="n">
        <f aca="false">Val_pt*(L41-E_zero)</f>
        <v>60</v>
      </c>
      <c r="S41" s="14" t="n">
        <f aca="false">Val_pt*(M41-E_zero)</f>
        <v>60</v>
      </c>
      <c r="T41" s="14" t="n">
        <f aca="false">Val_pt*(N41-E_zero)</f>
        <v>60</v>
      </c>
      <c r="U41" s="14" t="n">
        <f aca="false">Val_pt*(O41-E_zero)</f>
        <v>90</v>
      </c>
      <c r="V41" s="14" t="n">
        <f aca="false">MAX(W41+Cost_round*D41-P41,IF(D41=1,Pre_q,0))</f>
        <v>470</v>
      </c>
      <c r="W41" s="14" t="n">
        <f aca="false">MAX(X41+Cost_round*E41-Q41,IF(E41=1,Pre_q,0),Floor_q)</f>
        <v>350</v>
      </c>
      <c r="X41" s="14" t="n">
        <f aca="false">MAX(Y41+Cost_round*F41-R41,IF(F41=1,Pre_q,0),Floor_q)</f>
        <v>350</v>
      </c>
      <c r="Y41" s="14" t="n">
        <f aca="false">MAX(Z41+Cost_round*G41-S41,IF(G41=1,Pre_q,0),Floor_q)</f>
        <v>380</v>
      </c>
      <c r="Z41" s="14" t="n">
        <f aca="false">MAX(AA41+Cost_round*H41-T41,IF(H41=1,Pre_q,0),Floor_q)</f>
        <v>440</v>
      </c>
      <c r="AA41" s="14" t="n">
        <f aca="false">MAX(AB41+Cost_round*I41-U41,IF(I41=1,Pre_q,0),Floor_q)</f>
        <v>500</v>
      </c>
      <c r="AB41" s="14" t="n">
        <f aca="false">MAX(End_q,Floor_q)</f>
        <v>470</v>
      </c>
      <c r="AC41" s="15" t="n">
        <f aca="false">IF(Q_zero&gt;=V41-0.000000001,1,0)</f>
        <v>1</v>
      </c>
      <c r="AD41" s="14" t="n">
        <f aca="false">IF($AC41=1,Q_zero-Cost_round*D41+P41-W41,"")</f>
        <v>210</v>
      </c>
      <c r="AE41" s="14" t="n">
        <f aca="false">IF($AC41=1,W41-Cost_round*E41+Q41-X41,"")</f>
        <v>60</v>
      </c>
      <c r="AF41" s="14" t="n">
        <f aca="false">IF($AC41=1,X41-Cost_round*F41+R41-Y41,"")</f>
        <v>30</v>
      </c>
      <c r="AG41" s="14" t="n">
        <f aca="false">IF($AC41=1,Y41-Cost_round*G41+S41-Z41,"")</f>
        <v>0</v>
      </c>
      <c r="AH41" s="14" t="n">
        <f aca="false">IF($AC41=1,Z41-Cost_round*H41+T41-AA41,"")</f>
        <v>0</v>
      </c>
      <c r="AI41" s="14" t="n">
        <f aca="false">IF($AC41=1,AA41-Cost_round*I41+U41-AB41,"")</f>
        <v>0</v>
      </c>
      <c r="AJ41" s="14" t="n">
        <f aca="false">IF($AC41=1,SUM(AD41:AI41),"")</f>
        <v>300</v>
      </c>
      <c r="AK41" s="17" t="n">
        <f aca="false">IF($AC41=1,AD41*Beta_y^1+AE41*Beta_y^2+AF41*Beta_y^3+AG41*Beta_y^4+AH41*Beta_y^5+AI41*Beta_y^6,"")</f>
        <v>263.035311795642</v>
      </c>
      <c r="AL41" s="17" t="n">
        <f aca="false">IF($AC41=1,AK41+Beta_y^6*U41/Hurdle_r,"")</f>
        <v>771.061848844042</v>
      </c>
    </row>
    <row r="42" customFormat="false" ht="15" hidden="false" customHeight="false" outlineLevel="0" collapsed="false">
      <c r="A42" s="2" t="n">
        <v>34</v>
      </c>
      <c r="B42" s="2" t="str">
        <f aca="false">D42&amp;E42&amp;F42&amp;G42&amp;H42&amp;I42</f>
        <v>100010</v>
      </c>
      <c r="C42" s="15" t="n">
        <f aca="false">SUM(D42:I42)</f>
        <v>2</v>
      </c>
      <c r="D42" s="15" t="n">
        <f aca="false">MOD(INT($A42/32),2)</f>
        <v>1</v>
      </c>
      <c r="E42" s="15" t="n">
        <f aca="false">MOD(INT($A42/16),2)</f>
        <v>0</v>
      </c>
      <c r="F42" s="15" t="n">
        <f aca="false">MOD(INT($A42/8),2)</f>
        <v>0</v>
      </c>
      <c r="G42" s="15" t="n">
        <f aca="false">MOD(INT($A42/4),2)</f>
        <v>0</v>
      </c>
      <c r="H42" s="15" t="n">
        <f aca="false">MOD(INT($A42/2),2)</f>
        <v>1</v>
      </c>
      <c r="I42" s="15" t="n">
        <f aca="false">MOD(INT($A42/1),2)</f>
        <v>0</v>
      </c>
      <c r="J42" s="14" t="n">
        <f aca="false">E_zero+D42*(Half_gap*(Ceiling_e-E_zero)-$F$4)</f>
        <v>77</v>
      </c>
      <c r="K42" s="14" t="n">
        <f aca="false">J42+E42*(Half_gap*(Ceiling_e-J42)-$F$4)</f>
        <v>77</v>
      </c>
      <c r="L42" s="14" t="n">
        <f aca="false">K42+F42*(Half_gap*(Ceiling_e-K42)-$F$4)</f>
        <v>77</v>
      </c>
      <c r="M42" s="14" t="n">
        <f aca="false">L42+G42*(Half_gap*(Ceiling_e-L42)-$F$4)</f>
        <v>77</v>
      </c>
      <c r="N42" s="14" t="n">
        <f aca="false">M42+H42*(Half_gap*(Ceiling_e-M42)-$F$4)</f>
        <v>80</v>
      </c>
      <c r="O42" s="14" t="n">
        <f aca="false">N42+I42*(Half_gap*(Ceiling_e-N42)-$F$4)</f>
        <v>80</v>
      </c>
      <c r="P42" s="14" t="n">
        <f aca="false">Val_pt*(J42-E_zero)</f>
        <v>60</v>
      </c>
      <c r="Q42" s="14" t="n">
        <f aca="false">Val_pt*(K42-E_zero)</f>
        <v>60</v>
      </c>
      <c r="R42" s="14" t="n">
        <f aca="false">Val_pt*(L42-E_zero)</f>
        <v>60</v>
      </c>
      <c r="S42" s="14" t="n">
        <f aca="false">Val_pt*(M42-E_zero)</f>
        <v>60</v>
      </c>
      <c r="T42" s="14" t="n">
        <f aca="false">Val_pt*(N42-E_zero)</f>
        <v>90</v>
      </c>
      <c r="U42" s="14" t="n">
        <f aca="false">Val_pt*(O42-E_zero)</f>
        <v>90</v>
      </c>
      <c r="V42" s="14" t="n">
        <f aca="false">MAX(W42+Cost_round*D42-P42,IF(D42=1,Pre_q,0))</f>
        <v>470</v>
      </c>
      <c r="W42" s="14" t="n">
        <f aca="false">MAX(X42+Cost_round*E42-Q42,IF(E42=1,Pre_q,0),Floor_q)</f>
        <v>350</v>
      </c>
      <c r="X42" s="14" t="n">
        <f aca="false">MAX(Y42+Cost_round*F42-R42,IF(F42=1,Pre_q,0),Floor_q)</f>
        <v>350</v>
      </c>
      <c r="Y42" s="14" t="n">
        <f aca="false">MAX(Z42+Cost_round*G42-S42,IF(G42=1,Pre_q,0),Floor_q)</f>
        <v>410</v>
      </c>
      <c r="Z42" s="14" t="n">
        <f aca="false">MAX(AA42+Cost_round*H42-T42,IF(H42=1,Pre_q,0),Floor_q)</f>
        <v>470</v>
      </c>
      <c r="AA42" s="14" t="n">
        <f aca="false">MAX(AB42+Cost_round*I42-U42,IF(I42=1,Pre_q,0),Floor_q)</f>
        <v>380</v>
      </c>
      <c r="AB42" s="14" t="n">
        <f aca="false">MAX(End_q,Floor_q)</f>
        <v>470</v>
      </c>
      <c r="AC42" s="15" t="n">
        <f aca="false">IF(Q_zero&gt;=V42-0.000000001,1,0)</f>
        <v>1</v>
      </c>
      <c r="AD42" s="14" t="n">
        <f aca="false">IF($AC42=1,Q_zero-Cost_round*D42+P42-W42,"")</f>
        <v>210</v>
      </c>
      <c r="AE42" s="14" t="n">
        <f aca="false">IF($AC42=1,W42-Cost_round*E42+Q42-X42,"")</f>
        <v>60</v>
      </c>
      <c r="AF42" s="14" t="n">
        <f aca="false">IF($AC42=1,X42-Cost_round*F42+R42-Y42,"")</f>
        <v>0</v>
      </c>
      <c r="AG42" s="14" t="n">
        <f aca="false">IF($AC42=1,Y42-Cost_round*G42+S42-Z42,"")</f>
        <v>0</v>
      </c>
      <c r="AH42" s="14" t="n">
        <f aca="false">IF($AC42=1,Z42-Cost_round*H42+T42-AA42,"")</f>
        <v>60</v>
      </c>
      <c r="AI42" s="14" t="n">
        <f aca="false">IF($AC42=1,AA42-Cost_round*I42+U42-AB42,"")</f>
        <v>0</v>
      </c>
      <c r="AJ42" s="14" t="n">
        <f aca="false">IF($AC42=1,SUM(AD42:AI42),"")</f>
        <v>330</v>
      </c>
      <c r="AK42" s="17" t="n">
        <f aca="false">IF($AC42=1,AD42*Beta_y^1+AE42*Beta_y^2+AF42*Beta_y^3+AG42*Beta_y^4+AH42*Beta_y^5+AI42*Beta_y^6,"")</f>
        <v>277.751147152144</v>
      </c>
      <c r="AL42" s="17" t="n">
        <f aca="false">IF($AC42=1,AK42+Beta_y^6*U42/Hurdle_r,"")</f>
        <v>785.777684200544</v>
      </c>
    </row>
    <row r="43" customFormat="false" ht="15" hidden="false" customHeight="false" outlineLevel="0" collapsed="false">
      <c r="A43" s="2" t="n">
        <v>35</v>
      </c>
      <c r="B43" s="2" t="str">
        <f aca="false">D43&amp;E43&amp;F43&amp;G43&amp;H43&amp;I43</f>
        <v>100011</v>
      </c>
      <c r="C43" s="15" t="n">
        <f aca="false">SUM(D43:I43)</f>
        <v>3</v>
      </c>
      <c r="D43" s="15" t="n">
        <f aca="false">MOD(INT($A43/32),2)</f>
        <v>1</v>
      </c>
      <c r="E43" s="15" t="n">
        <f aca="false">MOD(INT($A43/16),2)</f>
        <v>0</v>
      </c>
      <c r="F43" s="15" t="n">
        <f aca="false">MOD(INT($A43/8),2)</f>
        <v>0</v>
      </c>
      <c r="G43" s="15" t="n">
        <f aca="false">MOD(INT($A43/4),2)</f>
        <v>0</v>
      </c>
      <c r="H43" s="15" t="n">
        <f aca="false">MOD(INT($A43/2),2)</f>
        <v>1</v>
      </c>
      <c r="I43" s="15" t="n">
        <f aca="false">MOD(INT($A43/1),2)</f>
        <v>1</v>
      </c>
      <c r="J43" s="14" t="n">
        <f aca="false">E_zero+D43*(Half_gap*(Ceiling_e-E_zero)-$F$4)</f>
        <v>77</v>
      </c>
      <c r="K43" s="14" t="n">
        <f aca="false">J43+E43*(Half_gap*(Ceiling_e-J43)-$F$4)</f>
        <v>77</v>
      </c>
      <c r="L43" s="14" t="n">
        <f aca="false">K43+F43*(Half_gap*(Ceiling_e-K43)-$F$4)</f>
        <v>77</v>
      </c>
      <c r="M43" s="14" t="n">
        <f aca="false">L43+G43*(Half_gap*(Ceiling_e-L43)-$F$4)</f>
        <v>77</v>
      </c>
      <c r="N43" s="14" t="n">
        <f aca="false">M43+H43*(Half_gap*(Ceiling_e-M43)-$F$4)</f>
        <v>80</v>
      </c>
      <c r="O43" s="14" t="n">
        <f aca="false">N43+I43*(Half_gap*(Ceiling_e-N43)-$F$4)</f>
        <v>81.5</v>
      </c>
      <c r="P43" s="14" t="n">
        <f aca="false">Val_pt*(J43-E_zero)</f>
        <v>60</v>
      </c>
      <c r="Q43" s="14" t="n">
        <f aca="false">Val_pt*(K43-E_zero)</f>
        <v>60</v>
      </c>
      <c r="R43" s="14" t="n">
        <f aca="false">Val_pt*(L43-E_zero)</f>
        <v>60</v>
      </c>
      <c r="S43" s="14" t="n">
        <f aca="false">Val_pt*(M43-E_zero)</f>
        <v>60</v>
      </c>
      <c r="T43" s="14" t="n">
        <f aca="false">Val_pt*(N43-E_zero)</f>
        <v>90</v>
      </c>
      <c r="U43" s="14" t="n">
        <f aca="false">Val_pt*(O43-E_zero)</f>
        <v>105</v>
      </c>
      <c r="V43" s="14" t="n">
        <f aca="false">MAX(W43+Cost_round*D43-P43,IF(D43=1,Pre_q,0))</f>
        <v>470</v>
      </c>
      <c r="W43" s="14" t="n">
        <f aca="false">MAX(X43+Cost_round*E43-Q43,IF(E43=1,Pre_q,0),Floor_q)</f>
        <v>350</v>
      </c>
      <c r="X43" s="14" t="n">
        <f aca="false">MAX(Y43+Cost_round*F43-R43,IF(F43=1,Pre_q,0),Floor_q)</f>
        <v>395</v>
      </c>
      <c r="Y43" s="14" t="n">
        <f aca="false">MAX(Z43+Cost_round*G43-S43,IF(G43=1,Pre_q,0),Floor_q)</f>
        <v>455</v>
      </c>
      <c r="Z43" s="14" t="n">
        <f aca="false">MAX(AA43+Cost_round*H43-T43,IF(H43=1,Pre_q,0),Floor_q)</f>
        <v>515</v>
      </c>
      <c r="AA43" s="14" t="n">
        <f aca="false">MAX(AB43+Cost_round*I43-U43,IF(I43=1,Pre_q,0),Floor_q)</f>
        <v>485</v>
      </c>
      <c r="AB43" s="14" t="n">
        <f aca="false">MAX(End_q,Floor_q)</f>
        <v>470</v>
      </c>
      <c r="AC43" s="15" t="n">
        <f aca="false">IF(Q_zero&gt;=V43-0.000000001,1,0)</f>
        <v>1</v>
      </c>
      <c r="AD43" s="14" t="n">
        <f aca="false">IF($AC43=1,Q_zero-Cost_round*D43+P43-W43,"")</f>
        <v>210</v>
      </c>
      <c r="AE43" s="14" t="n">
        <f aca="false">IF($AC43=1,W43-Cost_round*E43+Q43-X43,"")</f>
        <v>15</v>
      </c>
      <c r="AF43" s="14" t="n">
        <f aca="false">IF($AC43=1,X43-Cost_round*F43+R43-Y43,"")</f>
        <v>0</v>
      </c>
      <c r="AG43" s="14" t="n">
        <f aca="false">IF($AC43=1,Y43-Cost_round*G43+S43-Z43,"")</f>
        <v>0</v>
      </c>
      <c r="AH43" s="14" t="n">
        <f aca="false">IF($AC43=1,Z43-Cost_round*H43+T43-AA43,"")</f>
        <v>0</v>
      </c>
      <c r="AI43" s="14" t="n">
        <f aca="false">IF($AC43=1,AA43-Cost_round*I43+U43-AB43,"")</f>
        <v>0</v>
      </c>
      <c r="AJ43" s="14" t="n">
        <f aca="false">IF($AC43=1,SUM(AD43:AI43),"")</f>
        <v>225</v>
      </c>
      <c r="AK43" s="17" t="n">
        <f aca="false">IF($AC43=1,AD43*Beta_y^1+AE43*Beta_y^2+AF43*Beta_y^3+AG43*Beta_y^4+AH43*Beta_y^5+AI43*Beta_y^6,"")</f>
        <v>203.305785123967</v>
      </c>
      <c r="AL43" s="17" t="n">
        <f aca="false">IF($AC43=1,AK43+Beta_y^6*U43/Hurdle_r,"")</f>
        <v>796.003411680433</v>
      </c>
    </row>
    <row r="44" customFormat="false" ht="15" hidden="false" customHeight="false" outlineLevel="0" collapsed="false">
      <c r="A44" s="2" t="n">
        <v>36</v>
      </c>
      <c r="B44" s="2" t="str">
        <f aca="false">D44&amp;E44&amp;F44&amp;G44&amp;H44&amp;I44</f>
        <v>100100</v>
      </c>
      <c r="C44" s="15" t="n">
        <f aca="false">SUM(D44:I44)</f>
        <v>2</v>
      </c>
      <c r="D44" s="15" t="n">
        <f aca="false">MOD(INT($A44/32),2)</f>
        <v>1</v>
      </c>
      <c r="E44" s="15" t="n">
        <f aca="false">MOD(INT($A44/16),2)</f>
        <v>0</v>
      </c>
      <c r="F44" s="15" t="n">
        <f aca="false">MOD(INT($A44/8),2)</f>
        <v>0</v>
      </c>
      <c r="G44" s="15" t="n">
        <f aca="false">MOD(INT($A44/4),2)</f>
        <v>1</v>
      </c>
      <c r="H44" s="15" t="n">
        <f aca="false">MOD(INT($A44/2),2)</f>
        <v>0</v>
      </c>
      <c r="I44" s="15" t="n">
        <f aca="false">MOD(INT($A44/1),2)</f>
        <v>0</v>
      </c>
      <c r="J44" s="14" t="n">
        <f aca="false">E_zero+D44*(Half_gap*(Ceiling_e-E_zero)-$F$4)</f>
        <v>77</v>
      </c>
      <c r="K44" s="14" t="n">
        <f aca="false">J44+E44*(Half_gap*(Ceiling_e-J44)-$F$4)</f>
        <v>77</v>
      </c>
      <c r="L44" s="14" t="n">
        <f aca="false">K44+F44*(Half_gap*(Ceiling_e-K44)-$F$4)</f>
        <v>77</v>
      </c>
      <c r="M44" s="14" t="n">
        <f aca="false">L44+G44*(Half_gap*(Ceiling_e-L44)-$F$4)</f>
        <v>80</v>
      </c>
      <c r="N44" s="14" t="n">
        <f aca="false">M44+H44*(Half_gap*(Ceiling_e-M44)-$F$4)</f>
        <v>80</v>
      </c>
      <c r="O44" s="14" t="n">
        <f aca="false">N44+I44*(Half_gap*(Ceiling_e-N44)-$F$4)</f>
        <v>80</v>
      </c>
      <c r="P44" s="14" t="n">
        <f aca="false">Val_pt*(J44-E_zero)</f>
        <v>60</v>
      </c>
      <c r="Q44" s="14" t="n">
        <f aca="false">Val_pt*(K44-E_zero)</f>
        <v>60</v>
      </c>
      <c r="R44" s="14" t="n">
        <f aca="false">Val_pt*(L44-E_zero)</f>
        <v>60</v>
      </c>
      <c r="S44" s="14" t="n">
        <f aca="false">Val_pt*(M44-E_zero)</f>
        <v>90</v>
      </c>
      <c r="T44" s="14" t="n">
        <f aca="false">Val_pt*(N44-E_zero)</f>
        <v>90</v>
      </c>
      <c r="U44" s="14" t="n">
        <f aca="false">Val_pt*(O44-E_zero)</f>
        <v>90</v>
      </c>
      <c r="V44" s="14" t="n">
        <f aca="false">MAX(W44+Cost_round*D44-P44,IF(D44=1,Pre_q,0))</f>
        <v>470</v>
      </c>
      <c r="W44" s="14" t="n">
        <f aca="false">MAX(X44+Cost_round*E44-Q44,IF(E44=1,Pre_q,0),Floor_q)</f>
        <v>350</v>
      </c>
      <c r="X44" s="14" t="n">
        <f aca="false">MAX(Y44+Cost_round*F44-R44,IF(F44=1,Pre_q,0),Floor_q)</f>
        <v>410</v>
      </c>
      <c r="Y44" s="14" t="n">
        <f aca="false">MAX(Z44+Cost_round*G44-S44,IF(G44=1,Pre_q,0),Floor_q)</f>
        <v>470</v>
      </c>
      <c r="Z44" s="14" t="n">
        <f aca="false">MAX(AA44+Cost_round*H44-T44,IF(H44=1,Pre_q,0),Floor_q)</f>
        <v>350</v>
      </c>
      <c r="AA44" s="14" t="n">
        <f aca="false">MAX(AB44+Cost_round*I44-U44,IF(I44=1,Pre_q,0),Floor_q)</f>
        <v>380</v>
      </c>
      <c r="AB44" s="14" t="n">
        <f aca="false">MAX(End_q,Floor_q)</f>
        <v>470</v>
      </c>
      <c r="AC44" s="15" t="n">
        <f aca="false">IF(Q_zero&gt;=V44-0.000000001,1,0)</f>
        <v>1</v>
      </c>
      <c r="AD44" s="14" t="n">
        <f aca="false">IF($AC44=1,Q_zero-Cost_round*D44+P44-W44,"")</f>
        <v>210</v>
      </c>
      <c r="AE44" s="14" t="n">
        <f aca="false">IF($AC44=1,W44-Cost_round*E44+Q44-X44,"")</f>
        <v>0</v>
      </c>
      <c r="AF44" s="14" t="n">
        <f aca="false">IF($AC44=1,X44-Cost_round*F44+R44-Y44,"")</f>
        <v>0</v>
      </c>
      <c r="AG44" s="14" t="n">
        <f aca="false">IF($AC44=1,Y44-Cost_round*G44+S44-Z44,"")</f>
        <v>90</v>
      </c>
      <c r="AH44" s="14" t="n">
        <f aca="false">IF($AC44=1,Z44-Cost_round*H44+T44-AA44,"")</f>
        <v>60</v>
      </c>
      <c r="AI44" s="14" t="n">
        <f aca="false">IF($AC44=1,AA44-Cost_round*I44+U44-AB44,"")</f>
        <v>0</v>
      </c>
      <c r="AJ44" s="14" t="n">
        <f aca="false">IF($AC44=1,SUM(AD44:AI44),"")</f>
        <v>360</v>
      </c>
      <c r="AK44" s="17" t="n">
        <f aca="false">IF($AC44=1,AD44*Beta_y^1+AE44*Beta_y^2+AF44*Beta_y^3+AG44*Beta_y^4+AH44*Beta_y^5+AI44*Beta_y^6,"")</f>
        <v>289.635581275497</v>
      </c>
      <c r="AL44" s="17" t="n">
        <f aca="false">IF($AC44=1,AK44+Beta_y^6*U44/Hurdle_r,"")</f>
        <v>797.662118323896</v>
      </c>
    </row>
    <row r="45" customFormat="false" ht="15" hidden="false" customHeight="false" outlineLevel="0" collapsed="false">
      <c r="A45" s="2" t="n">
        <v>37</v>
      </c>
      <c r="B45" s="2" t="str">
        <f aca="false">D45&amp;E45&amp;F45&amp;G45&amp;H45&amp;I45</f>
        <v>100101</v>
      </c>
      <c r="C45" s="15" t="n">
        <f aca="false">SUM(D45:I45)</f>
        <v>3</v>
      </c>
      <c r="D45" s="15" t="n">
        <f aca="false">MOD(INT($A45/32),2)</f>
        <v>1</v>
      </c>
      <c r="E45" s="15" t="n">
        <f aca="false">MOD(INT($A45/16),2)</f>
        <v>0</v>
      </c>
      <c r="F45" s="15" t="n">
        <f aca="false">MOD(INT($A45/8),2)</f>
        <v>0</v>
      </c>
      <c r="G45" s="15" t="n">
        <f aca="false">MOD(INT($A45/4),2)</f>
        <v>1</v>
      </c>
      <c r="H45" s="15" t="n">
        <f aca="false">MOD(INT($A45/2),2)</f>
        <v>0</v>
      </c>
      <c r="I45" s="15" t="n">
        <f aca="false">MOD(INT($A45/1),2)</f>
        <v>1</v>
      </c>
      <c r="J45" s="14" t="n">
        <f aca="false">E_zero+D45*(Half_gap*(Ceiling_e-E_zero)-$F$4)</f>
        <v>77</v>
      </c>
      <c r="K45" s="14" t="n">
        <f aca="false">J45+E45*(Half_gap*(Ceiling_e-J45)-$F$4)</f>
        <v>77</v>
      </c>
      <c r="L45" s="14" t="n">
        <f aca="false">K45+F45*(Half_gap*(Ceiling_e-K45)-$F$4)</f>
        <v>77</v>
      </c>
      <c r="M45" s="14" t="n">
        <f aca="false">L45+G45*(Half_gap*(Ceiling_e-L45)-$F$4)</f>
        <v>80</v>
      </c>
      <c r="N45" s="14" t="n">
        <f aca="false">M45+H45*(Half_gap*(Ceiling_e-M45)-$F$4)</f>
        <v>80</v>
      </c>
      <c r="O45" s="14" t="n">
        <f aca="false">N45+I45*(Half_gap*(Ceiling_e-N45)-$F$4)</f>
        <v>81.5</v>
      </c>
      <c r="P45" s="14" t="n">
        <f aca="false">Val_pt*(J45-E_zero)</f>
        <v>60</v>
      </c>
      <c r="Q45" s="14" t="n">
        <f aca="false">Val_pt*(K45-E_zero)</f>
        <v>60</v>
      </c>
      <c r="R45" s="14" t="n">
        <f aca="false">Val_pt*(L45-E_zero)</f>
        <v>60</v>
      </c>
      <c r="S45" s="14" t="n">
        <f aca="false">Val_pt*(M45-E_zero)</f>
        <v>90</v>
      </c>
      <c r="T45" s="14" t="n">
        <f aca="false">Val_pt*(N45-E_zero)</f>
        <v>90</v>
      </c>
      <c r="U45" s="14" t="n">
        <f aca="false">Val_pt*(O45-E_zero)</f>
        <v>105</v>
      </c>
      <c r="V45" s="14" t="n">
        <f aca="false">MAX(W45+Cost_round*D45-P45,IF(D45=1,Pre_q,0))</f>
        <v>470</v>
      </c>
      <c r="W45" s="14" t="n">
        <f aca="false">MAX(X45+Cost_round*E45-Q45,IF(E45=1,Pre_q,0),Floor_q)</f>
        <v>350</v>
      </c>
      <c r="X45" s="14" t="n">
        <f aca="false">MAX(Y45+Cost_round*F45-R45,IF(F45=1,Pre_q,0),Floor_q)</f>
        <v>410</v>
      </c>
      <c r="Y45" s="14" t="n">
        <f aca="false">MAX(Z45+Cost_round*G45-S45,IF(G45=1,Pre_q,0),Floor_q)</f>
        <v>470</v>
      </c>
      <c r="Z45" s="14" t="n">
        <f aca="false">MAX(AA45+Cost_round*H45-T45,IF(H45=1,Pre_q,0),Floor_q)</f>
        <v>395</v>
      </c>
      <c r="AA45" s="14" t="n">
        <f aca="false">MAX(AB45+Cost_round*I45-U45,IF(I45=1,Pre_q,0),Floor_q)</f>
        <v>485</v>
      </c>
      <c r="AB45" s="14" t="n">
        <f aca="false">MAX(End_q,Floor_q)</f>
        <v>470</v>
      </c>
      <c r="AC45" s="15" t="n">
        <f aca="false">IF(Q_zero&gt;=V45-0.000000001,1,0)</f>
        <v>1</v>
      </c>
      <c r="AD45" s="14" t="n">
        <f aca="false">IF($AC45=1,Q_zero-Cost_round*D45+P45-W45,"")</f>
        <v>210</v>
      </c>
      <c r="AE45" s="14" t="n">
        <f aca="false">IF($AC45=1,W45-Cost_round*E45+Q45-X45,"")</f>
        <v>0</v>
      </c>
      <c r="AF45" s="14" t="n">
        <f aca="false">IF($AC45=1,X45-Cost_round*F45+R45-Y45,"")</f>
        <v>0</v>
      </c>
      <c r="AG45" s="14" t="n">
        <f aca="false">IF($AC45=1,Y45-Cost_round*G45+S45-Z45,"")</f>
        <v>45</v>
      </c>
      <c r="AH45" s="14" t="n">
        <f aca="false">IF($AC45=1,Z45-Cost_round*H45+T45-AA45,"")</f>
        <v>0</v>
      </c>
      <c r="AI45" s="14" t="n">
        <f aca="false">IF($AC45=1,AA45-Cost_round*I45+U45-AB45,"")</f>
        <v>0</v>
      </c>
      <c r="AJ45" s="14" t="n">
        <f aca="false">IF($AC45=1,SUM(AD45:AI45),"")</f>
        <v>255</v>
      </c>
      <c r="AK45" s="17" t="n">
        <f aca="false">IF($AC45=1,AD45*Beta_y^1+AE45*Beta_y^2+AF45*Beta_y^3+AG45*Beta_y^4+AH45*Beta_y^5+AI45*Beta_y^6,"")</f>
        <v>221.644696400519</v>
      </c>
      <c r="AL45" s="17" t="n">
        <f aca="false">IF($AC45=1,AK45+Beta_y^6*U45/Hurdle_r,"")</f>
        <v>814.342322956985</v>
      </c>
    </row>
    <row r="46" customFormat="false" ht="15" hidden="false" customHeight="false" outlineLevel="0" collapsed="false">
      <c r="A46" s="2" t="n">
        <v>38</v>
      </c>
      <c r="B46" s="2" t="str">
        <f aca="false">D46&amp;E46&amp;F46&amp;G46&amp;H46&amp;I46</f>
        <v>100110</v>
      </c>
      <c r="C46" s="15" t="n">
        <f aca="false">SUM(D46:I46)</f>
        <v>3</v>
      </c>
      <c r="D46" s="15" t="n">
        <f aca="false">MOD(INT($A46/32),2)</f>
        <v>1</v>
      </c>
      <c r="E46" s="15" t="n">
        <f aca="false">MOD(INT($A46/16),2)</f>
        <v>0</v>
      </c>
      <c r="F46" s="15" t="n">
        <f aca="false">MOD(INT($A46/8),2)</f>
        <v>0</v>
      </c>
      <c r="G46" s="15" t="n">
        <f aca="false">MOD(INT($A46/4),2)</f>
        <v>1</v>
      </c>
      <c r="H46" s="15" t="n">
        <f aca="false">MOD(INT($A46/2),2)</f>
        <v>1</v>
      </c>
      <c r="I46" s="15" t="n">
        <f aca="false">MOD(INT($A46/1),2)</f>
        <v>0</v>
      </c>
      <c r="J46" s="14" t="n">
        <f aca="false">E_zero+D46*(Half_gap*(Ceiling_e-E_zero)-$F$4)</f>
        <v>77</v>
      </c>
      <c r="K46" s="14" t="n">
        <f aca="false">J46+E46*(Half_gap*(Ceiling_e-J46)-$F$4)</f>
        <v>77</v>
      </c>
      <c r="L46" s="14" t="n">
        <f aca="false">K46+F46*(Half_gap*(Ceiling_e-K46)-$F$4)</f>
        <v>77</v>
      </c>
      <c r="M46" s="14" t="n">
        <f aca="false">L46+G46*(Half_gap*(Ceiling_e-L46)-$F$4)</f>
        <v>80</v>
      </c>
      <c r="N46" s="14" t="n">
        <f aca="false">M46+H46*(Half_gap*(Ceiling_e-M46)-$F$4)</f>
        <v>81.5</v>
      </c>
      <c r="O46" s="14" t="n">
        <f aca="false">N46+I46*(Half_gap*(Ceiling_e-N46)-$F$4)</f>
        <v>81.5</v>
      </c>
      <c r="P46" s="14" t="n">
        <f aca="false">Val_pt*(J46-E_zero)</f>
        <v>60</v>
      </c>
      <c r="Q46" s="14" t="n">
        <f aca="false">Val_pt*(K46-E_zero)</f>
        <v>60</v>
      </c>
      <c r="R46" s="14" t="n">
        <f aca="false">Val_pt*(L46-E_zero)</f>
        <v>60</v>
      </c>
      <c r="S46" s="14" t="n">
        <f aca="false">Val_pt*(M46-E_zero)</f>
        <v>90</v>
      </c>
      <c r="T46" s="14" t="n">
        <f aca="false">Val_pt*(N46-E_zero)</f>
        <v>105</v>
      </c>
      <c r="U46" s="14" t="n">
        <f aca="false">Val_pt*(O46-E_zero)</f>
        <v>105</v>
      </c>
      <c r="V46" s="14" t="n">
        <f aca="false">MAX(W46+Cost_round*D46-P46,IF(D46=1,Pre_q,0))</f>
        <v>470</v>
      </c>
      <c r="W46" s="14" t="n">
        <f aca="false">MAX(X46+Cost_round*E46-Q46,IF(E46=1,Pre_q,0),Floor_q)</f>
        <v>380</v>
      </c>
      <c r="X46" s="14" t="n">
        <f aca="false">MAX(Y46+Cost_round*F46-R46,IF(F46=1,Pre_q,0),Floor_q)</f>
        <v>440</v>
      </c>
      <c r="Y46" s="14" t="n">
        <f aca="false">MAX(Z46+Cost_round*G46-S46,IF(G46=1,Pre_q,0),Floor_q)</f>
        <v>500</v>
      </c>
      <c r="Z46" s="14" t="n">
        <f aca="false">MAX(AA46+Cost_round*H46-T46,IF(H46=1,Pre_q,0),Floor_q)</f>
        <v>470</v>
      </c>
      <c r="AA46" s="14" t="n">
        <f aca="false">MAX(AB46+Cost_round*I46-U46,IF(I46=1,Pre_q,0),Floor_q)</f>
        <v>365</v>
      </c>
      <c r="AB46" s="14" t="n">
        <f aca="false">MAX(End_q,Floor_q)</f>
        <v>470</v>
      </c>
      <c r="AC46" s="15" t="n">
        <f aca="false">IF(Q_zero&gt;=V46-0.000000001,1,0)</f>
        <v>1</v>
      </c>
      <c r="AD46" s="14" t="n">
        <f aca="false">IF($AC46=1,Q_zero-Cost_round*D46+P46-W46,"")</f>
        <v>180</v>
      </c>
      <c r="AE46" s="14" t="n">
        <f aca="false">IF($AC46=1,W46-Cost_round*E46+Q46-X46,"")</f>
        <v>0</v>
      </c>
      <c r="AF46" s="14" t="n">
        <f aca="false">IF($AC46=1,X46-Cost_round*F46+R46-Y46,"")</f>
        <v>0</v>
      </c>
      <c r="AG46" s="14" t="n">
        <f aca="false">IF($AC46=1,Y46-Cost_round*G46+S46-Z46,"")</f>
        <v>0</v>
      </c>
      <c r="AH46" s="14" t="n">
        <f aca="false">IF($AC46=1,Z46-Cost_round*H46+T46-AA46,"")</f>
        <v>90</v>
      </c>
      <c r="AI46" s="14" t="n">
        <f aca="false">IF($AC46=1,AA46-Cost_round*I46+U46-AB46,"")</f>
        <v>0</v>
      </c>
      <c r="AJ46" s="14" t="n">
        <f aca="false">IF($AC46=1,SUM(AD46:AI46),"")</f>
        <v>270</v>
      </c>
      <c r="AK46" s="17" t="n">
        <f aca="false">IF($AC46=1,AD46*Beta_y^1+AE46*Beta_y^2+AF46*Beta_y^3+AG46*Beta_y^4+AH46*Beta_y^5+AI46*Beta_y^6,"")</f>
        <v>219.519282711688</v>
      </c>
      <c r="AL46" s="17" t="n">
        <f aca="false">IF($AC46=1,AK46+Beta_y^6*U46/Hurdle_r,"")</f>
        <v>812.216909268154</v>
      </c>
    </row>
    <row r="47" customFormat="false" ht="15" hidden="false" customHeight="false" outlineLevel="0" collapsed="false">
      <c r="A47" s="2" t="n">
        <v>39</v>
      </c>
      <c r="B47" s="2" t="str">
        <f aca="false">D47&amp;E47&amp;F47&amp;G47&amp;H47&amp;I47</f>
        <v>100111</v>
      </c>
      <c r="C47" s="15" t="n">
        <f aca="false">SUM(D47:I47)</f>
        <v>4</v>
      </c>
      <c r="D47" s="15" t="n">
        <f aca="false">MOD(INT($A47/32),2)</f>
        <v>1</v>
      </c>
      <c r="E47" s="15" t="n">
        <f aca="false">MOD(INT($A47/16),2)</f>
        <v>0</v>
      </c>
      <c r="F47" s="15" t="n">
        <f aca="false">MOD(INT($A47/8),2)</f>
        <v>0</v>
      </c>
      <c r="G47" s="15" t="n">
        <f aca="false">MOD(INT($A47/4),2)</f>
        <v>1</v>
      </c>
      <c r="H47" s="15" t="n">
        <f aca="false">MOD(INT($A47/2),2)</f>
        <v>1</v>
      </c>
      <c r="I47" s="15" t="n">
        <f aca="false">MOD(INT($A47/1),2)</f>
        <v>1</v>
      </c>
      <c r="J47" s="14" t="n">
        <f aca="false">E_zero+D47*(Half_gap*(Ceiling_e-E_zero)-$F$4)</f>
        <v>77</v>
      </c>
      <c r="K47" s="14" t="n">
        <f aca="false">J47+E47*(Half_gap*(Ceiling_e-J47)-$F$4)</f>
        <v>77</v>
      </c>
      <c r="L47" s="14" t="n">
        <f aca="false">K47+F47*(Half_gap*(Ceiling_e-K47)-$F$4)</f>
        <v>77</v>
      </c>
      <c r="M47" s="14" t="n">
        <f aca="false">L47+G47*(Half_gap*(Ceiling_e-L47)-$F$4)</f>
        <v>80</v>
      </c>
      <c r="N47" s="14" t="n">
        <f aca="false">M47+H47*(Half_gap*(Ceiling_e-M47)-$F$4)</f>
        <v>81.5</v>
      </c>
      <c r="O47" s="14" t="n">
        <f aca="false">N47+I47*(Half_gap*(Ceiling_e-N47)-$F$4)</f>
        <v>82.25</v>
      </c>
      <c r="P47" s="14" t="n">
        <f aca="false">Val_pt*(J47-E_zero)</f>
        <v>60</v>
      </c>
      <c r="Q47" s="14" t="n">
        <f aca="false">Val_pt*(K47-E_zero)</f>
        <v>60</v>
      </c>
      <c r="R47" s="14" t="n">
        <f aca="false">Val_pt*(L47-E_zero)</f>
        <v>60</v>
      </c>
      <c r="S47" s="14" t="n">
        <f aca="false">Val_pt*(M47-E_zero)</f>
        <v>90</v>
      </c>
      <c r="T47" s="14" t="n">
        <f aca="false">Val_pt*(N47-E_zero)</f>
        <v>105</v>
      </c>
      <c r="U47" s="14" t="n">
        <f aca="false">Val_pt*(O47-E_zero)</f>
        <v>112.5</v>
      </c>
      <c r="V47" s="14" t="n">
        <f aca="false">MAX(W47+Cost_round*D47-P47,IF(D47=1,Pre_q,0))</f>
        <v>470</v>
      </c>
      <c r="W47" s="14" t="n">
        <f aca="false">MAX(X47+Cost_round*E47-Q47,IF(E47=1,Pre_q,0),Floor_q)</f>
        <v>402.5</v>
      </c>
      <c r="X47" s="14" t="n">
        <f aca="false">MAX(Y47+Cost_round*F47-R47,IF(F47=1,Pre_q,0),Floor_q)</f>
        <v>462.5</v>
      </c>
      <c r="Y47" s="14" t="n">
        <f aca="false">MAX(Z47+Cost_round*G47-S47,IF(G47=1,Pre_q,0),Floor_q)</f>
        <v>522.5</v>
      </c>
      <c r="Z47" s="14" t="n">
        <f aca="false">MAX(AA47+Cost_round*H47-T47,IF(H47=1,Pre_q,0),Floor_q)</f>
        <v>492.5</v>
      </c>
      <c r="AA47" s="14" t="n">
        <f aca="false">MAX(AB47+Cost_round*I47-U47,IF(I47=1,Pre_q,0),Floor_q)</f>
        <v>477.5</v>
      </c>
      <c r="AB47" s="14" t="n">
        <f aca="false">MAX(End_q,Floor_q)</f>
        <v>470</v>
      </c>
      <c r="AC47" s="15" t="n">
        <f aca="false">IF(Q_zero&gt;=V47-0.000000001,1,0)</f>
        <v>1</v>
      </c>
      <c r="AD47" s="14" t="n">
        <f aca="false">IF($AC47=1,Q_zero-Cost_round*D47+P47-W47,"")</f>
        <v>157.5</v>
      </c>
      <c r="AE47" s="14" t="n">
        <f aca="false">IF($AC47=1,W47-Cost_round*E47+Q47-X47,"")</f>
        <v>0</v>
      </c>
      <c r="AF47" s="14" t="n">
        <f aca="false">IF($AC47=1,X47-Cost_round*F47+R47-Y47,"")</f>
        <v>0</v>
      </c>
      <c r="AG47" s="14" t="n">
        <f aca="false">IF($AC47=1,Y47-Cost_round*G47+S47-Z47,"")</f>
        <v>0</v>
      </c>
      <c r="AH47" s="14" t="n">
        <f aca="false">IF($AC47=1,Z47-Cost_round*H47+T47-AA47,"")</f>
        <v>0</v>
      </c>
      <c r="AI47" s="14" t="n">
        <f aca="false">IF($AC47=1,AA47-Cost_round*I47+U47-AB47,"")</f>
        <v>0</v>
      </c>
      <c r="AJ47" s="14" t="n">
        <f aca="false">IF($AC47=1,SUM(AD47:AI47),"")</f>
        <v>157.5</v>
      </c>
      <c r="AK47" s="17" t="n">
        <f aca="false">IF($AC47=1,AD47*Beta_y^1+AE47*Beta_y^2+AF47*Beta_y^3+AG47*Beta_y^4+AH47*Beta_y^5+AI47*Beta_y^6,"")</f>
        <v>143.181818181818</v>
      </c>
      <c r="AL47" s="17" t="n">
        <f aca="false">IF($AC47=1,AK47+Beta_y^6*U47/Hurdle_r,"")</f>
        <v>778.214989492318</v>
      </c>
    </row>
    <row r="48" customFormat="false" ht="15" hidden="false" customHeight="false" outlineLevel="0" collapsed="false">
      <c r="A48" s="2" t="n">
        <v>40</v>
      </c>
      <c r="B48" s="2" t="str">
        <f aca="false">D48&amp;E48&amp;F48&amp;G48&amp;H48&amp;I48</f>
        <v>101000</v>
      </c>
      <c r="C48" s="15" t="n">
        <f aca="false">SUM(D48:I48)</f>
        <v>2</v>
      </c>
      <c r="D48" s="15" t="n">
        <f aca="false">MOD(INT($A48/32),2)</f>
        <v>1</v>
      </c>
      <c r="E48" s="15" t="n">
        <f aca="false">MOD(INT($A48/16),2)</f>
        <v>0</v>
      </c>
      <c r="F48" s="15" t="n">
        <f aca="false">MOD(INT($A48/8),2)</f>
        <v>1</v>
      </c>
      <c r="G48" s="15" t="n">
        <f aca="false">MOD(INT($A48/4),2)</f>
        <v>0</v>
      </c>
      <c r="H48" s="15" t="n">
        <f aca="false">MOD(INT($A48/2),2)</f>
        <v>0</v>
      </c>
      <c r="I48" s="15" t="n">
        <f aca="false">MOD(INT($A48/1),2)</f>
        <v>0</v>
      </c>
      <c r="J48" s="14" t="n">
        <f aca="false">E_zero+D48*(Half_gap*(Ceiling_e-E_zero)-$F$4)</f>
        <v>77</v>
      </c>
      <c r="K48" s="14" t="n">
        <f aca="false">J48+E48*(Half_gap*(Ceiling_e-J48)-$F$4)</f>
        <v>77</v>
      </c>
      <c r="L48" s="14" t="n">
        <f aca="false">K48+F48*(Half_gap*(Ceiling_e-K48)-$F$4)</f>
        <v>80</v>
      </c>
      <c r="M48" s="14" t="n">
        <f aca="false">L48+G48*(Half_gap*(Ceiling_e-L48)-$F$4)</f>
        <v>80</v>
      </c>
      <c r="N48" s="14" t="n">
        <f aca="false">M48+H48*(Half_gap*(Ceiling_e-M48)-$F$4)</f>
        <v>80</v>
      </c>
      <c r="O48" s="14" t="n">
        <f aca="false">N48+I48*(Half_gap*(Ceiling_e-N48)-$F$4)</f>
        <v>80</v>
      </c>
      <c r="P48" s="14" t="n">
        <f aca="false">Val_pt*(J48-E_zero)</f>
        <v>60</v>
      </c>
      <c r="Q48" s="14" t="n">
        <f aca="false">Val_pt*(K48-E_zero)</f>
        <v>60</v>
      </c>
      <c r="R48" s="14" t="n">
        <f aca="false">Val_pt*(L48-E_zero)</f>
        <v>90</v>
      </c>
      <c r="S48" s="14" t="n">
        <f aca="false">Val_pt*(M48-E_zero)</f>
        <v>90</v>
      </c>
      <c r="T48" s="14" t="n">
        <f aca="false">Val_pt*(N48-E_zero)</f>
        <v>90</v>
      </c>
      <c r="U48" s="14" t="n">
        <f aca="false">Val_pt*(O48-E_zero)</f>
        <v>90</v>
      </c>
      <c r="V48" s="14" t="n">
        <f aca="false">MAX(W48+Cost_round*D48-P48,IF(D48=1,Pre_q,0))</f>
        <v>470</v>
      </c>
      <c r="W48" s="14" t="n">
        <f aca="false">MAX(X48+Cost_round*E48-Q48,IF(E48=1,Pre_q,0),Floor_q)</f>
        <v>410</v>
      </c>
      <c r="X48" s="14" t="n">
        <f aca="false">MAX(Y48+Cost_round*F48-R48,IF(F48=1,Pre_q,0),Floor_q)</f>
        <v>470</v>
      </c>
      <c r="Y48" s="14" t="n">
        <f aca="false">MAX(Z48+Cost_round*G48-S48,IF(G48=1,Pre_q,0),Floor_q)</f>
        <v>350</v>
      </c>
      <c r="Z48" s="14" t="n">
        <f aca="false">MAX(AA48+Cost_round*H48-T48,IF(H48=1,Pre_q,0),Floor_q)</f>
        <v>350</v>
      </c>
      <c r="AA48" s="14" t="n">
        <f aca="false">MAX(AB48+Cost_round*I48-U48,IF(I48=1,Pre_q,0),Floor_q)</f>
        <v>380</v>
      </c>
      <c r="AB48" s="14" t="n">
        <f aca="false">MAX(End_q,Floor_q)</f>
        <v>470</v>
      </c>
      <c r="AC48" s="15" t="n">
        <f aca="false">IF(Q_zero&gt;=V48-0.000000001,1,0)</f>
        <v>1</v>
      </c>
      <c r="AD48" s="14" t="n">
        <f aca="false">IF($AC48=1,Q_zero-Cost_round*D48+P48-W48,"")</f>
        <v>150</v>
      </c>
      <c r="AE48" s="14" t="n">
        <f aca="false">IF($AC48=1,W48-Cost_round*E48+Q48-X48,"")</f>
        <v>0</v>
      </c>
      <c r="AF48" s="14" t="n">
        <f aca="false">IF($AC48=1,X48-Cost_round*F48+R48-Y48,"")</f>
        <v>90</v>
      </c>
      <c r="AG48" s="14" t="n">
        <f aca="false">IF($AC48=1,Y48-Cost_round*G48+S48-Z48,"")</f>
        <v>90</v>
      </c>
      <c r="AH48" s="14" t="n">
        <f aca="false">IF($AC48=1,Z48-Cost_round*H48+T48-AA48,"")</f>
        <v>60</v>
      </c>
      <c r="AI48" s="14" t="n">
        <f aca="false">IF($AC48=1,AA48-Cost_round*I48+U48-AB48,"")</f>
        <v>0</v>
      </c>
      <c r="AJ48" s="14" t="n">
        <f aca="false">IF($AC48=1,SUM(AD48:AI48),"")</f>
        <v>390</v>
      </c>
      <c r="AK48" s="17" t="n">
        <f aca="false">IF($AC48=1,AD48*Beta_y^1+AE48*Beta_y^2+AF48*Beta_y^3+AG48*Beta_y^4+AH48*Beta_y^5+AI48*Beta_y^6,"")</f>
        <v>302.708458811184</v>
      </c>
      <c r="AL48" s="17" t="n">
        <f aca="false">IF($AC48=1,AK48+Beta_y^6*U48/Hurdle_r,"")</f>
        <v>810.734995859584</v>
      </c>
    </row>
    <row r="49" customFormat="false" ht="15" hidden="false" customHeight="false" outlineLevel="0" collapsed="false">
      <c r="A49" s="2" t="n">
        <v>41</v>
      </c>
      <c r="B49" s="2" t="str">
        <f aca="false">D49&amp;E49&amp;F49&amp;G49&amp;H49&amp;I49</f>
        <v>101001</v>
      </c>
      <c r="C49" s="15" t="n">
        <f aca="false">SUM(D49:I49)</f>
        <v>3</v>
      </c>
      <c r="D49" s="15" t="n">
        <f aca="false">MOD(INT($A49/32),2)</f>
        <v>1</v>
      </c>
      <c r="E49" s="15" t="n">
        <f aca="false">MOD(INT($A49/16),2)</f>
        <v>0</v>
      </c>
      <c r="F49" s="15" t="n">
        <f aca="false">MOD(INT($A49/8),2)</f>
        <v>1</v>
      </c>
      <c r="G49" s="15" t="n">
        <f aca="false">MOD(INT($A49/4),2)</f>
        <v>0</v>
      </c>
      <c r="H49" s="15" t="n">
        <f aca="false">MOD(INT($A49/2),2)</f>
        <v>0</v>
      </c>
      <c r="I49" s="15" t="n">
        <f aca="false">MOD(INT($A49/1),2)</f>
        <v>1</v>
      </c>
      <c r="J49" s="14" t="n">
        <f aca="false">E_zero+D49*(Half_gap*(Ceiling_e-E_zero)-$F$4)</f>
        <v>77</v>
      </c>
      <c r="K49" s="14" t="n">
        <f aca="false">J49+E49*(Half_gap*(Ceiling_e-J49)-$F$4)</f>
        <v>77</v>
      </c>
      <c r="L49" s="14" t="n">
        <f aca="false">K49+F49*(Half_gap*(Ceiling_e-K49)-$F$4)</f>
        <v>80</v>
      </c>
      <c r="M49" s="14" t="n">
        <f aca="false">L49+G49*(Half_gap*(Ceiling_e-L49)-$F$4)</f>
        <v>80</v>
      </c>
      <c r="N49" s="14" t="n">
        <f aca="false">M49+H49*(Half_gap*(Ceiling_e-M49)-$F$4)</f>
        <v>80</v>
      </c>
      <c r="O49" s="14" t="n">
        <f aca="false">N49+I49*(Half_gap*(Ceiling_e-N49)-$F$4)</f>
        <v>81.5</v>
      </c>
      <c r="P49" s="14" t="n">
        <f aca="false">Val_pt*(J49-E_zero)</f>
        <v>60</v>
      </c>
      <c r="Q49" s="14" t="n">
        <f aca="false">Val_pt*(K49-E_zero)</f>
        <v>60</v>
      </c>
      <c r="R49" s="14" t="n">
        <f aca="false">Val_pt*(L49-E_zero)</f>
        <v>90</v>
      </c>
      <c r="S49" s="14" t="n">
        <f aca="false">Val_pt*(M49-E_zero)</f>
        <v>90</v>
      </c>
      <c r="T49" s="14" t="n">
        <f aca="false">Val_pt*(N49-E_zero)</f>
        <v>90</v>
      </c>
      <c r="U49" s="14" t="n">
        <f aca="false">Val_pt*(O49-E_zero)</f>
        <v>105</v>
      </c>
      <c r="V49" s="14" t="n">
        <f aca="false">MAX(W49+Cost_round*D49-P49,IF(D49=1,Pre_q,0))</f>
        <v>470</v>
      </c>
      <c r="W49" s="14" t="n">
        <f aca="false">MAX(X49+Cost_round*E49-Q49,IF(E49=1,Pre_q,0),Floor_q)</f>
        <v>410</v>
      </c>
      <c r="X49" s="14" t="n">
        <f aca="false">MAX(Y49+Cost_round*F49-R49,IF(F49=1,Pre_q,0),Floor_q)</f>
        <v>470</v>
      </c>
      <c r="Y49" s="14" t="n">
        <f aca="false">MAX(Z49+Cost_round*G49-S49,IF(G49=1,Pre_q,0),Floor_q)</f>
        <v>350</v>
      </c>
      <c r="Z49" s="14" t="n">
        <f aca="false">MAX(AA49+Cost_round*H49-T49,IF(H49=1,Pre_q,0),Floor_q)</f>
        <v>395</v>
      </c>
      <c r="AA49" s="14" t="n">
        <f aca="false">MAX(AB49+Cost_round*I49-U49,IF(I49=1,Pre_q,0),Floor_q)</f>
        <v>485</v>
      </c>
      <c r="AB49" s="14" t="n">
        <f aca="false">MAX(End_q,Floor_q)</f>
        <v>470</v>
      </c>
      <c r="AC49" s="15" t="n">
        <f aca="false">IF(Q_zero&gt;=V49-0.000000001,1,0)</f>
        <v>1</v>
      </c>
      <c r="AD49" s="14" t="n">
        <f aca="false">IF($AC49=1,Q_zero-Cost_round*D49+P49-W49,"")</f>
        <v>150</v>
      </c>
      <c r="AE49" s="14" t="n">
        <f aca="false">IF($AC49=1,W49-Cost_round*E49+Q49-X49,"")</f>
        <v>0</v>
      </c>
      <c r="AF49" s="14" t="n">
        <f aca="false">IF($AC49=1,X49-Cost_round*F49+R49-Y49,"")</f>
        <v>90</v>
      </c>
      <c r="AG49" s="14" t="n">
        <f aca="false">IF($AC49=1,Y49-Cost_round*G49+S49-Z49,"")</f>
        <v>45</v>
      </c>
      <c r="AH49" s="14" t="n">
        <f aca="false">IF($AC49=1,Z49-Cost_round*H49+T49-AA49,"")</f>
        <v>0</v>
      </c>
      <c r="AI49" s="14" t="n">
        <f aca="false">IF($AC49=1,AA49-Cost_round*I49+U49-AB49,"")</f>
        <v>0</v>
      </c>
      <c r="AJ49" s="14" t="n">
        <f aca="false">IF($AC49=1,SUM(AD49:AI49),"")</f>
        <v>285</v>
      </c>
      <c r="AK49" s="17" t="n">
        <f aca="false">IF($AC49=1,AD49*Beta_y^1+AE49*Beta_y^2+AF49*Beta_y^3+AG49*Beta_y^4+AH49*Beta_y^5+AI49*Beta_y^6,"")</f>
        <v>234.717573936207</v>
      </c>
      <c r="AL49" s="17" t="n">
        <f aca="false">IF($AC49=1,AK49+Beta_y^6*U49/Hurdle_r,"")</f>
        <v>827.415200492673</v>
      </c>
    </row>
    <row r="50" customFormat="false" ht="15" hidden="false" customHeight="false" outlineLevel="0" collapsed="false">
      <c r="A50" s="2" t="n">
        <v>42</v>
      </c>
      <c r="B50" s="2" t="str">
        <f aca="false">D50&amp;E50&amp;F50&amp;G50&amp;H50&amp;I50</f>
        <v>101010</v>
      </c>
      <c r="C50" s="15" t="n">
        <f aca="false">SUM(D50:I50)</f>
        <v>3</v>
      </c>
      <c r="D50" s="15" t="n">
        <f aca="false">MOD(INT($A50/32),2)</f>
        <v>1</v>
      </c>
      <c r="E50" s="15" t="n">
        <f aca="false">MOD(INT($A50/16),2)</f>
        <v>0</v>
      </c>
      <c r="F50" s="15" t="n">
        <f aca="false">MOD(INT($A50/8),2)</f>
        <v>1</v>
      </c>
      <c r="G50" s="15" t="n">
        <f aca="false">MOD(INT($A50/4),2)</f>
        <v>0</v>
      </c>
      <c r="H50" s="15" t="n">
        <f aca="false">MOD(INT($A50/2),2)</f>
        <v>1</v>
      </c>
      <c r="I50" s="15" t="n">
        <f aca="false">MOD(INT($A50/1),2)</f>
        <v>0</v>
      </c>
      <c r="J50" s="14" t="n">
        <f aca="false">E_zero+D50*(Half_gap*(Ceiling_e-E_zero)-$F$4)</f>
        <v>77</v>
      </c>
      <c r="K50" s="14" t="n">
        <f aca="false">J50+E50*(Half_gap*(Ceiling_e-J50)-$F$4)</f>
        <v>77</v>
      </c>
      <c r="L50" s="14" t="n">
        <f aca="false">K50+F50*(Half_gap*(Ceiling_e-K50)-$F$4)</f>
        <v>80</v>
      </c>
      <c r="M50" s="14" t="n">
        <f aca="false">L50+G50*(Half_gap*(Ceiling_e-L50)-$F$4)</f>
        <v>80</v>
      </c>
      <c r="N50" s="14" t="n">
        <f aca="false">M50+H50*(Half_gap*(Ceiling_e-M50)-$F$4)</f>
        <v>81.5</v>
      </c>
      <c r="O50" s="14" t="n">
        <f aca="false">N50+I50*(Half_gap*(Ceiling_e-N50)-$F$4)</f>
        <v>81.5</v>
      </c>
      <c r="P50" s="14" t="n">
        <f aca="false">Val_pt*(J50-E_zero)</f>
        <v>60</v>
      </c>
      <c r="Q50" s="14" t="n">
        <f aca="false">Val_pt*(K50-E_zero)</f>
        <v>60</v>
      </c>
      <c r="R50" s="14" t="n">
        <f aca="false">Val_pt*(L50-E_zero)</f>
        <v>90</v>
      </c>
      <c r="S50" s="14" t="n">
        <f aca="false">Val_pt*(M50-E_zero)</f>
        <v>90</v>
      </c>
      <c r="T50" s="14" t="n">
        <f aca="false">Val_pt*(N50-E_zero)</f>
        <v>105</v>
      </c>
      <c r="U50" s="14" t="n">
        <f aca="false">Val_pt*(O50-E_zero)</f>
        <v>105</v>
      </c>
      <c r="V50" s="14" t="n">
        <f aca="false">MAX(W50+Cost_round*D50-P50,IF(D50=1,Pre_q,0))</f>
        <v>470</v>
      </c>
      <c r="W50" s="14" t="n">
        <f aca="false">MAX(X50+Cost_round*E50-Q50,IF(E50=1,Pre_q,0),Floor_q)</f>
        <v>410</v>
      </c>
      <c r="X50" s="14" t="n">
        <f aca="false">MAX(Y50+Cost_round*F50-R50,IF(F50=1,Pre_q,0),Floor_q)</f>
        <v>470</v>
      </c>
      <c r="Y50" s="14" t="n">
        <f aca="false">MAX(Z50+Cost_round*G50-S50,IF(G50=1,Pre_q,0),Floor_q)</f>
        <v>380</v>
      </c>
      <c r="Z50" s="14" t="n">
        <f aca="false">MAX(AA50+Cost_round*H50-T50,IF(H50=1,Pre_q,0),Floor_q)</f>
        <v>470</v>
      </c>
      <c r="AA50" s="14" t="n">
        <f aca="false">MAX(AB50+Cost_round*I50-U50,IF(I50=1,Pre_q,0),Floor_q)</f>
        <v>365</v>
      </c>
      <c r="AB50" s="14" t="n">
        <f aca="false">MAX(End_q,Floor_q)</f>
        <v>470</v>
      </c>
      <c r="AC50" s="15" t="n">
        <f aca="false">IF(Q_zero&gt;=V50-0.000000001,1,0)</f>
        <v>1</v>
      </c>
      <c r="AD50" s="14" t="n">
        <f aca="false">IF($AC50=1,Q_zero-Cost_round*D50+P50-W50,"")</f>
        <v>150</v>
      </c>
      <c r="AE50" s="14" t="n">
        <f aca="false">IF($AC50=1,W50-Cost_round*E50+Q50-X50,"")</f>
        <v>0</v>
      </c>
      <c r="AF50" s="14" t="n">
        <f aca="false">IF($AC50=1,X50-Cost_round*F50+R50-Y50,"")</f>
        <v>60</v>
      </c>
      <c r="AG50" s="14" t="n">
        <f aca="false">IF($AC50=1,Y50-Cost_round*G50+S50-Z50,"")</f>
        <v>0</v>
      </c>
      <c r="AH50" s="14" t="n">
        <f aca="false">IF($AC50=1,Z50-Cost_round*H50+T50-AA50,"")</f>
        <v>90</v>
      </c>
      <c r="AI50" s="14" t="n">
        <f aca="false">IF($AC50=1,AA50-Cost_round*I50+U50-AB50,"")</f>
        <v>0</v>
      </c>
      <c r="AJ50" s="14" t="n">
        <f aca="false">IF($AC50=1,SUM(AD50:AI50),"")</f>
        <v>300</v>
      </c>
      <c r="AK50" s="17" t="n">
        <f aca="false">IF($AC50=1,AD50*Beta_y^1+AE50*Beta_y^2+AF50*Beta_y^3+AG50*Beta_y^4+AH50*Beta_y^5+AI50*Beta_y^6,"")</f>
        <v>237.325443493055</v>
      </c>
      <c r="AL50" s="17" t="n">
        <f aca="false">IF($AC50=1,AK50+Beta_y^6*U50/Hurdle_r,"")</f>
        <v>830.023070049521</v>
      </c>
    </row>
    <row r="51" customFormat="false" ht="15" hidden="false" customHeight="false" outlineLevel="0" collapsed="false">
      <c r="A51" s="2" t="n">
        <v>43</v>
      </c>
      <c r="B51" s="2" t="str">
        <f aca="false">D51&amp;E51&amp;F51&amp;G51&amp;H51&amp;I51</f>
        <v>101011</v>
      </c>
      <c r="C51" s="15" t="n">
        <f aca="false">SUM(D51:I51)</f>
        <v>4</v>
      </c>
      <c r="D51" s="15" t="n">
        <f aca="false">MOD(INT($A51/32),2)</f>
        <v>1</v>
      </c>
      <c r="E51" s="15" t="n">
        <f aca="false">MOD(INT($A51/16),2)</f>
        <v>0</v>
      </c>
      <c r="F51" s="15" t="n">
        <f aca="false">MOD(INT($A51/8),2)</f>
        <v>1</v>
      </c>
      <c r="G51" s="15" t="n">
        <f aca="false">MOD(INT($A51/4),2)</f>
        <v>0</v>
      </c>
      <c r="H51" s="15" t="n">
        <f aca="false">MOD(INT($A51/2),2)</f>
        <v>1</v>
      </c>
      <c r="I51" s="15" t="n">
        <f aca="false">MOD(INT($A51/1),2)</f>
        <v>1</v>
      </c>
      <c r="J51" s="14" t="n">
        <f aca="false">E_zero+D51*(Half_gap*(Ceiling_e-E_zero)-$F$4)</f>
        <v>77</v>
      </c>
      <c r="K51" s="14" t="n">
        <f aca="false">J51+E51*(Half_gap*(Ceiling_e-J51)-$F$4)</f>
        <v>77</v>
      </c>
      <c r="L51" s="14" t="n">
        <f aca="false">K51+F51*(Half_gap*(Ceiling_e-K51)-$F$4)</f>
        <v>80</v>
      </c>
      <c r="M51" s="14" t="n">
        <f aca="false">L51+G51*(Half_gap*(Ceiling_e-L51)-$F$4)</f>
        <v>80</v>
      </c>
      <c r="N51" s="14" t="n">
        <f aca="false">M51+H51*(Half_gap*(Ceiling_e-M51)-$F$4)</f>
        <v>81.5</v>
      </c>
      <c r="O51" s="14" t="n">
        <f aca="false">N51+I51*(Half_gap*(Ceiling_e-N51)-$F$4)</f>
        <v>82.25</v>
      </c>
      <c r="P51" s="14" t="n">
        <f aca="false">Val_pt*(J51-E_zero)</f>
        <v>60</v>
      </c>
      <c r="Q51" s="14" t="n">
        <f aca="false">Val_pt*(K51-E_zero)</f>
        <v>60</v>
      </c>
      <c r="R51" s="14" t="n">
        <f aca="false">Val_pt*(L51-E_zero)</f>
        <v>90</v>
      </c>
      <c r="S51" s="14" t="n">
        <f aca="false">Val_pt*(M51-E_zero)</f>
        <v>90</v>
      </c>
      <c r="T51" s="14" t="n">
        <f aca="false">Val_pt*(N51-E_zero)</f>
        <v>105</v>
      </c>
      <c r="U51" s="14" t="n">
        <f aca="false">Val_pt*(O51-E_zero)</f>
        <v>112.5</v>
      </c>
      <c r="V51" s="14" t="n">
        <f aca="false">MAX(W51+Cost_round*D51-P51,IF(D51=1,Pre_q,0))</f>
        <v>470</v>
      </c>
      <c r="W51" s="14" t="n">
        <f aca="false">MAX(X51+Cost_round*E51-Q51,IF(E51=1,Pre_q,0),Floor_q)</f>
        <v>410</v>
      </c>
      <c r="X51" s="14" t="n">
        <f aca="false">MAX(Y51+Cost_round*F51-R51,IF(F51=1,Pre_q,0),Floor_q)</f>
        <v>470</v>
      </c>
      <c r="Y51" s="14" t="n">
        <f aca="false">MAX(Z51+Cost_round*G51-S51,IF(G51=1,Pre_q,0),Floor_q)</f>
        <v>402.5</v>
      </c>
      <c r="Z51" s="14" t="n">
        <f aca="false">MAX(AA51+Cost_round*H51-T51,IF(H51=1,Pre_q,0),Floor_q)</f>
        <v>492.5</v>
      </c>
      <c r="AA51" s="14" t="n">
        <f aca="false">MAX(AB51+Cost_round*I51-U51,IF(I51=1,Pre_q,0),Floor_q)</f>
        <v>477.5</v>
      </c>
      <c r="AB51" s="14" t="n">
        <f aca="false">MAX(End_q,Floor_q)</f>
        <v>470</v>
      </c>
      <c r="AC51" s="15" t="n">
        <f aca="false">IF(Q_zero&gt;=V51-0.000000001,1,0)</f>
        <v>1</v>
      </c>
      <c r="AD51" s="14" t="n">
        <f aca="false">IF($AC51=1,Q_zero-Cost_round*D51+P51-W51,"")</f>
        <v>150</v>
      </c>
      <c r="AE51" s="14" t="n">
        <f aca="false">IF($AC51=1,W51-Cost_round*E51+Q51-X51,"")</f>
        <v>0</v>
      </c>
      <c r="AF51" s="14" t="n">
        <f aca="false">IF($AC51=1,X51-Cost_round*F51+R51-Y51,"")</f>
        <v>37.5</v>
      </c>
      <c r="AG51" s="14" t="n">
        <f aca="false">IF($AC51=1,Y51-Cost_round*G51+S51-Z51,"")</f>
        <v>0</v>
      </c>
      <c r="AH51" s="14" t="n">
        <f aca="false">IF($AC51=1,Z51-Cost_round*H51+T51-AA51,"")</f>
        <v>0</v>
      </c>
      <c r="AI51" s="14" t="n">
        <f aca="false">IF($AC51=1,AA51-Cost_round*I51+U51-AB51,"")</f>
        <v>0</v>
      </c>
      <c r="AJ51" s="14" t="n">
        <f aca="false">IF($AC51=1,SUM(AD51:AI51),"")</f>
        <v>187.5</v>
      </c>
      <c r="AK51" s="17" t="n">
        <f aca="false">IF($AC51=1,AD51*Beta_y^1+AE51*Beta_y^2+AF51*Beta_y^3+AG51*Beta_y^4+AH51*Beta_y^5+AI51*Beta_y^6,"")</f>
        <v>164.537941397446</v>
      </c>
      <c r="AL51" s="17" t="n">
        <f aca="false">IF($AC51=1,AK51+Beta_y^6*U51/Hurdle_r,"")</f>
        <v>799.571112707945</v>
      </c>
    </row>
    <row r="52" customFormat="false" ht="15" hidden="false" customHeight="false" outlineLevel="0" collapsed="false">
      <c r="A52" s="2" t="n">
        <v>44</v>
      </c>
      <c r="B52" s="2" t="str">
        <f aca="false">D52&amp;E52&amp;F52&amp;G52&amp;H52&amp;I52</f>
        <v>101100</v>
      </c>
      <c r="C52" s="15" t="n">
        <f aca="false">SUM(D52:I52)</f>
        <v>3</v>
      </c>
      <c r="D52" s="15" t="n">
        <f aca="false">MOD(INT($A52/32),2)</f>
        <v>1</v>
      </c>
      <c r="E52" s="15" t="n">
        <f aca="false">MOD(INT($A52/16),2)</f>
        <v>0</v>
      </c>
      <c r="F52" s="15" t="n">
        <f aca="false">MOD(INT($A52/8),2)</f>
        <v>1</v>
      </c>
      <c r="G52" s="15" t="n">
        <f aca="false">MOD(INT($A52/4),2)</f>
        <v>1</v>
      </c>
      <c r="H52" s="15" t="n">
        <f aca="false">MOD(INT($A52/2),2)</f>
        <v>0</v>
      </c>
      <c r="I52" s="15" t="n">
        <f aca="false">MOD(INT($A52/1),2)</f>
        <v>0</v>
      </c>
      <c r="J52" s="14" t="n">
        <f aca="false">E_zero+D52*(Half_gap*(Ceiling_e-E_zero)-$F$4)</f>
        <v>77</v>
      </c>
      <c r="K52" s="14" t="n">
        <f aca="false">J52+E52*(Half_gap*(Ceiling_e-J52)-$F$4)</f>
        <v>77</v>
      </c>
      <c r="L52" s="14" t="n">
        <f aca="false">K52+F52*(Half_gap*(Ceiling_e-K52)-$F$4)</f>
        <v>80</v>
      </c>
      <c r="M52" s="14" t="n">
        <f aca="false">L52+G52*(Half_gap*(Ceiling_e-L52)-$F$4)</f>
        <v>81.5</v>
      </c>
      <c r="N52" s="14" t="n">
        <f aca="false">M52+H52*(Half_gap*(Ceiling_e-M52)-$F$4)</f>
        <v>81.5</v>
      </c>
      <c r="O52" s="14" t="n">
        <f aca="false">N52+I52*(Half_gap*(Ceiling_e-N52)-$F$4)</f>
        <v>81.5</v>
      </c>
      <c r="P52" s="14" t="n">
        <f aca="false">Val_pt*(J52-E_zero)</f>
        <v>60</v>
      </c>
      <c r="Q52" s="14" t="n">
        <f aca="false">Val_pt*(K52-E_zero)</f>
        <v>60</v>
      </c>
      <c r="R52" s="14" t="n">
        <f aca="false">Val_pt*(L52-E_zero)</f>
        <v>90</v>
      </c>
      <c r="S52" s="14" t="n">
        <f aca="false">Val_pt*(M52-E_zero)</f>
        <v>105</v>
      </c>
      <c r="T52" s="14" t="n">
        <f aca="false">Val_pt*(N52-E_zero)</f>
        <v>105</v>
      </c>
      <c r="U52" s="14" t="n">
        <f aca="false">Val_pt*(O52-E_zero)</f>
        <v>105</v>
      </c>
      <c r="V52" s="14" t="n">
        <f aca="false">MAX(W52+Cost_round*D52-P52,IF(D52=1,Pre_q,0))</f>
        <v>500</v>
      </c>
      <c r="W52" s="14" t="n">
        <f aca="false">MAX(X52+Cost_round*E52-Q52,IF(E52=1,Pre_q,0),Floor_q)</f>
        <v>440</v>
      </c>
      <c r="X52" s="14" t="n">
        <f aca="false">MAX(Y52+Cost_round*F52-R52,IF(F52=1,Pre_q,0),Floor_q)</f>
        <v>500</v>
      </c>
      <c r="Y52" s="14" t="n">
        <f aca="false">MAX(Z52+Cost_round*G52-S52,IF(G52=1,Pre_q,0),Floor_q)</f>
        <v>470</v>
      </c>
      <c r="Z52" s="14" t="n">
        <f aca="false">MAX(AA52+Cost_round*H52-T52,IF(H52=1,Pre_q,0),Floor_q)</f>
        <v>350</v>
      </c>
      <c r="AA52" s="14" t="n">
        <f aca="false">MAX(AB52+Cost_round*I52-U52,IF(I52=1,Pre_q,0),Floor_q)</f>
        <v>365</v>
      </c>
      <c r="AB52" s="14" t="n">
        <f aca="false">MAX(End_q,Floor_q)</f>
        <v>470</v>
      </c>
      <c r="AC52" s="15" t="n">
        <f aca="false">IF(Q_zero&gt;=V52-0.000000001,1,0)</f>
        <v>1</v>
      </c>
      <c r="AD52" s="14" t="n">
        <f aca="false">IF($AC52=1,Q_zero-Cost_round*D52+P52-W52,"")</f>
        <v>120</v>
      </c>
      <c r="AE52" s="14" t="n">
        <f aca="false">IF($AC52=1,W52-Cost_round*E52+Q52-X52,"")</f>
        <v>0</v>
      </c>
      <c r="AF52" s="14" t="n">
        <f aca="false">IF($AC52=1,X52-Cost_round*F52+R52-Y52,"")</f>
        <v>0</v>
      </c>
      <c r="AG52" s="14" t="n">
        <f aca="false">IF($AC52=1,Y52-Cost_round*G52+S52-Z52,"")</f>
        <v>105</v>
      </c>
      <c r="AH52" s="14" t="n">
        <f aca="false">IF($AC52=1,Z52-Cost_round*H52+T52-AA52,"")</f>
        <v>90</v>
      </c>
      <c r="AI52" s="14" t="n">
        <f aca="false">IF($AC52=1,AA52-Cost_round*I52+U52-AB52,"")</f>
        <v>0</v>
      </c>
      <c r="AJ52" s="14" t="n">
        <f aca="false">IF($AC52=1,SUM(AD52:AI52),"")</f>
        <v>315</v>
      </c>
      <c r="AK52" s="17" t="n">
        <f aca="false">IF($AC52=1,AD52*Beta_y^1+AE52*Beta_y^2+AF52*Beta_y^3+AG52*Beta_y^4+AH52*Beta_y^5+AI52*Beta_y^6,"")</f>
        <v>236.690240979566</v>
      </c>
      <c r="AL52" s="17" t="n">
        <f aca="false">IF($AC52=1,AK52+Beta_y^6*U52/Hurdle_r,"")</f>
        <v>829.387867536032</v>
      </c>
    </row>
    <row r="53" customFormat="false" ht="15" hidden="false" customHeight="false" outlineLevel="0" collapsed="false">
      <c r="A53" s="2" t="n">
        <v>45</v>
      </c>
      <c r="B53" s="2" t="str">
        <f aca="false">D53&amp;E53&amp;F53&amp;G53&amp;H53&amp;I53</f>
        <v>101101</v>
      </c>
      <c r="C53" s="15" t="n">
        <f aca="false">SUM(D53:I53)</f>
        <v>4</v>
      </c>
      <c r="D53" s="15" t="n">
        <f aca="false">MOD(INT($A53/32),2)</f>
        <v>1</v>
      </c>
      <c r="E53" s="15" t="n">
        <f aca="false">MOD(INT($A53/16),2)</f>
        <v>0</v>
      </c>
      <c r="F53" s="15" t="n">
        <f aca="false">MOD(INT($A53/8),2)</f>
        <v>1</v>
      </c>
      <c r="G53" s="15" t="n">
        <f aca="false">MOD(INT($A53/4),2)</f>
        <v>1</v>
      </c>
      <c r="H53" s="15" t="n">
        <f aca="false">MOD(INT($A53/2),2)</f>
        <v>0</v>
      </c>
      <c r="I53" s="15" t="n">
        <f aca="false">MOD(INT($A53/1),2)</f>
        <v>1</v>
      </c>
      <c r="J53" s="14" t="n">
        <f aca="false">E_zero+D53*(Half_gap*(Ceiling_e-E_zero)-$F$4)</f>
        <v>77</v>
      </c>
      <c r="K53" s="14" t="n">
        <f aca="false">J53+E53*(Half_gap*(Ceiling_e-J53)-$F$4)</f>
        <v>77</v>
      </c>
      <c r="L53" s="14" t="n">
        <f aca="false">K53+F53*(Half_gap*(Ceiling_e-K53)-$F$4)</f>
        <v>80</v>
      </c>
      <c r="M53" s="14" t="n">
        <f aca="false">L53+G53*(Half_gap*(Ceiling_e-L53)-$F$4)</f>
        <v>81.5</v>
      </c>
      <c r="N53" s="14" t="n">
        <f aca="false">M53+H53*(Half_gap*(Ceiling_e-M53)-$F$4)</f>
        <v>81.5</v>
      </c>
      <c r="O53" s="14" t="n">
        <f aca="false">N53+I53*(Half_gap*(Ceiling_e-N53)-$F$4)</f>
        <v>82.25</v>
      </c>
      <c r="P53" s="14" t="n">
        <f aca="false">Val_pt*(J53-E_zero)</f>
        <v>60</v>
      </c>
      <c r="Q53" s="14" t="n">
        <f aca="false">Val_pt*(K53-E_zero)</f>
        <v>60</v>
      </c>
      <c r="R53" s="14" t="n">
        <f aca="false">Val_pt*(L53-E_zero)</f>
        <v>90</v>
      </c>
      <c r="S53" s="14" t="n">
        <f aca="false">Val_pt*(M53-E_zero)</f>
        <v>105</v>
      </c>
      <c r="T53" s="14" t="n">
        <f aca="false">Val_pt*(N53-E_zero)</f>
        <v>105</v>
      </c>
      <c r="U53" s="14" t="n">
        <f aca="false">Val_pt*(O53-E_zero)</f>
        <v>112.5</v>
      </c>
      <c r="V53" s="14" t="n">
        <f aca="false">MAX(W53+Cost_round*D53-P53,IF(D53=1,Pre_q,0))</f>
        <v>500</v>
      </c>
      <c r="W53" s="14" t="n">
        <f aca="false">MAX(X53+Cost_round*E53-Q53,IF(E53=1,Pre_q,0),Floor_q)</f>
        <v>440</v>
      </c>
      <c r="X53" s="14" t="n">
        <f aca="false">MAX(Y53+Cost_round*F53-R53,IF(F53=1,Pre_q,0),Floor_q)</f>
        <v>500</v>
      </c>
      <c r="Y53" s="14" t="n">
        <f aca="false">MAX(Z53+Cost_round*G53-S53,IF(G53=1,Pre_q,0),Floor_q)</f>
        <v>470</v>
      </c>
      <c r="Z53" s="14" t="n">
        <f aca="false">MAX(AA53+Cost_round*H53-T53,IF(H53=1,Pre_q,0),Floor_q)</f>
        <v>372.5</v>
      </c>
      <c r="AA53" s="14" t="n">
        <f aca="false">MAX(AB53+Cost_round*I53-U53,IF(I53=1,Pre_q,0),Floor_q)</f>
        <v>477.5</v>
      </c>
      <c r="AB53" s="14" t="n">
        <f aca="false">MAX(End_q,Floor_q)</f>
        <v>470</v>
      </c>
      <c r="AC53" s="15" t="n">
        <f aca="false">IF(Q_zero&gt;=V53-0.000000001,1,0)</f>
        <v>1</v>
      </c>
      <c r="AD53" s="14" t="n">
        <f aca="false">IF($AC53=1,Q_zero-Cost_round*D53+P53-W53,"")</f>
        <v>120</v>
      </c>
      <c r="AE53" s="14" t="n">
        <f aca="false">IF($AC53=1,W53-Cost_round*E53+Q53-X53,"")</f>
        <v>0</v>
      </c>
      <c r="AF53" s="14" t="n">
        <f aca="false">IF($AC53=1,X53-Cost_round*F53+R53-Y53,"")</f>
        <v>0</v>
      </c>
      <c r="AG53" s="14" t="n">
        <f aca="false">IF($AC53=1,Y53-Cost_round*G53+S53-Z53,"")</f>
        <v>82.5</v>
      </c>
      <c r="AH53" s="14" t="n">
        <f aca="false">IF($AC53=1,Z53-Cost_round*H53+T53-AA53,"")</f>
        <v>0</v>
      </c>
      <c r="AI53" s="14" t="n">
        <f aca="false">IF($AC53=1,AA53-Cost_round*I53+U53-AB53,"")</f>
        <v>0</v>
      </c>
      <c r="AJ53" s="14" t="n">
        <f aca="false">IF($AC53=1,SUM(AD53:AI53),"")</f>
        <v>202.5</v>
      </c>
      <c r="AK53" s="17" t="n">
        <f aca="false">IF($AC53=1,AD53*Beta_y^1+AE53*Beta_y^2+AF53*Beta_y^3+AG53*Beta_y^4+AH53*Beta_y^5+AI53*Beta_y^6,"")</f>
        <v>165.439519158527</v>
      </c>
      <c r="AL53" s="17" t="n">
        <f aca="false">IF($AC53=1,AK53+Beta_y^6*U53/Hurdle_r,"")</f>
        <v>800.472690469027</v>
      </c>
    </row>
    <row r="54" customFormat="false" ht="15" hidden="false" customHeight="false" outlineLevel="0" collapsed="false">
      <c r="A54" s="2" t="n">
        <v>46</v>
      </c>
      <c r="B54" s="2" t="str">
        <f aca="false">D54&amp;E54&amp;F54&amp;G54&amp;H54&amp;I54</f>
        <v>101110</v>
      </c>
      <c r="C54" s="15" t="n">
        <f aca="false">SUM(D54:I54)</f>
        <v>4</v>
      </c>
      <c r="D54" s="15" t="n">
        <f aca="false">MOD(INT($A54/32),2)</f>
        <v>1</v>
      </c>
      <c r="E54" s="15" t="n">
        <f aca="false">MOD(INT($A54/16),2)</f>
        <v>0</v>
      </c>
      <c r="F54" s="15" t="n">
        <f aca="false">MOD(INT($A54/8),2)</f>
        <v>1</v>
      </c>
      <c r="G54" s="15" t="n">
        <f aca="false">MOD(INT($A54/4),2)</f>
        <v>1</v>
      </c>
      <c r="H54" s="15" t="n">
        <f aca="false">MOD(INT($A54/2),2)</f>
        <v>1</v>
      </c>
      <c r="I54" s="15" t="n">
        <f aca="false">MOD(INT($A54/1),2)</f>
        <v>0</v>
      </c>
      <c r="J54" s="14" t="n">
        <f aca="false">E_zero+D54*(Half_gap*(Ceiling_e-E_zero)-$F$4)</f>
        <v>77</v>
      </c>
      <c r="K54" s="14" t="n">
        <f aca="false">J54+E54*(Half_gap*(Ceiling_e-J54)-$F$4)</f>
        <v>77</v>
      </c>
      <c r="L54" s="14" t="n">
        <f aca="false">K54+F54*(Half_gap*(Ceiling_e-K54)-$F$4)</f>
        <v>80</v>
      </c>
      <c r="M54" s="14" t="n">
        <f aca="false">L54+G54*(Half_gap*(Ceiling_e-L54)-$F$4)</f>
        <v>81.5</v>
      </c>
      <c r="N54" s="14" t="n">
        <f aca="false">M54+H54*(Half_gap*(Ceiling_e-M54)-$F$4)</f>
        <v>82.25</v>
      </c>
      <c r="O54" s="14" t="n">
        <f aca="false">N54+I54*(Half_gap*(Ceiling_e-N54)-$F$4)</f>
        <v>82.25</v>
      </c>
      <c r="P54" s="14" t="n">
        <f aca="false">Val_pt*(J54-E_zero)</f>
        <v>60</v>
      </c>
      <c r="Q54" s="14" t="n">
        <f aca="false">Val_pt*(K54-E_zero)</f>
        <v>60</v>
      </c>
      <c r="R54" s="14" t="n">
        <f aca="false">Val_pt*(L54-E_zero)</f>
        <v>90</v>
      </c>
      <c r="S54" s="14" t="n">
        <f aca="false">Val_pt*(M54-E_zero)</f>
        <v>105</v>
      </c>
      <c r="T54" s="14" t="n">
        <f aca="false">Val_pt*(N54-E_zero)</f>
        <v>112.5</v>
      </c>
      <c r="U54" s="14" t="n">
        <f aca="false">Val_pt*(O54-E_zero)</f>
        <v>112.5</v>
      </c>
      <c r="V54" s="14" t="n">
        <f aca="false">MAX(W54+Cost_round*D54-P54,IF(D54=1,Pre_q,0))</f>
        <v>515</v>
      </c>
      <c r="W54" s="14" t="n">
        <f aca="false">MAX(X54+Cost_round*E54-Q54,IF(E54=1,Pre_q,0),Floor_q)</f>
        <v>455</v>
      </c>
      <c r="X54" s="14" t="n">
        <f aca="false">MAX(Y54+Cost_round*F54-R54,IF(F54=1,Pre_q,0),Floor_q)</f>
        <v>515</v>
      </c>
      <c r="Y54" s="14" t="n">
        <f aca="false">MAX(Z54+Cost_round*G54-S54,IF(G54=1,Pre_q,0),Floor_q)</f>
        <v>485</v>
      </c>
      <c r="Z54" s="14" t="n">
        <f aca="false">MAX(AA54+Cost_round*H54-T54,IF(H54=1,Pre_q,0),Floor_q)</f>
        <v>470</v>
      </c>
      <c r="AA54" s="14" t="n">
        <f aca="false">MAX(AB54+Cost_round*I54-U54,IF(I54=1,Pre_q,0),Floor_q)</f>
        <v>357.5</v>
      </c>
      <c r="AB54" s="14" t="n">
        <f aca="false">MAX(End_q,Floor_q)</f>
        <v>470</v>
      </c>
      <c r="AC54" s="15" t="n">
        <f aca="false">IF(Q_zero&gt;=V54-0.000000001,1,0)</f>
        <v>1</v>
      </c>
      <c r="AD54" s="14" t="n">
        <f aca="false">IF($AC54=1,Q_zero-Cost_round*D54+P54-W54,"")</f>
        <v>105</v>
      </c>
      <c r="AE54" s="14" t="n">
        <f aca="false">IF($AC54=1,W54-Cost_round*E54+Q54-X54,"")</f>
        <v>0</v>
      </c>
      <c r="AF54" s="14" t="n">
        <f aca="false">IF($AC54=1,X54-Cost_round*F54+R54-Y54,"")</f>
        <v>0</v>
      </c>
      <c r="AG54" s="14" t="n">
        <f aca="false">IF($AC54=1,Y54-Cost_round*G54+S54-Z54,"")</f>
        <v>0</v>
      </c>
      <c r="AH54" s="14" t="n">
        <f aca="false">IF($AC54=1,Z54-Cost_round*H54+T54-AA54,"")</f>
        <v>105</v>
      </c>
      <c r="AI54" s="14" t="n">
        <f aca="false">IF($AC54=1,AA54-Cost_round*I54+U54-AB54,"")</f>
        <v>0</v>
      </c>
      <c r="AJ54" s="14" t="n">
        <f aca="false">IF($AC54=1,SUM(AD54:AI54),"")</f>
        <v>210</v>
      </c>
      <c r="AK54" s="17" t="n">
        <f aca="false">IF($AC54=1,AD54*Beta_y^1+AE54*Beta_y^2+AF54*Beta_y^3+AG54*Beta_y^4+AH54*Beta_y^5+AI54*Beta_y^6,"")</f>
        <v>160.651284375757</v>
      </c>
      <c r="AL54" s="17" t="n">
        <f aca="false">IF($AC54=1,AK54+Beta_y^6*U54/Hurdle_r,"")</f>
        <v>795.684455686256</v>
      </c>
    </row>
    <row r="55" customFormat="false" ht="15" hidden="false" customHeight="false" outlineLevel="0" collapsed="false">
      <c r="A55" s="2" t="n">
        <v>47</v>
      </c>
      <c r="B55" s="2" t="str">
        <f aca="false">D55&amp;E55&amp;F55&amp;G55&amp;H55&amp;I55</f>
        <v>101111</v>
      </c>
      <c r="C55" s="15" t="n">
        <f aca="false">SUM(D55:I55)</f>
        <v>5</v>
      </c>
      <c r="D55" s="15" t="n">
        <f aca="false">MOD(INT($A55/32),2)</f>
        <v>1</v>
      </c>
      <c r="E55" s="15" t="n">
        <f aca="false">MOD(INT($A55/16),2)</f>
        <v>0</v>
      </c>
      <c r="F55" s="15" t="n">
        <f aca="false">MOD(INT($A55/8),2)</f>
        <v>1</v>
      </c>
      <c r="G55" s="15" t="n">
        <f aca="false">MOD(INT($A55/4),2)</f>
        <v>1</v>
      </c>
      <c r="H55" s="15" t="n">
        <f aca="false">MOD(INT($A55/2),2)</f>
        <v>1</v>
      </c>
      <c r="I55" s="15" t="n">
        <f aca="false">MOD(INT($A55/1),2)</f>
        <v>1</v>
      </c>
      <c r="J55" s="14" t="n">
        <f aca="false">E_zero+D55*(Half_gap*(Ceiling_e-E_zero)-$F$4)</f>
        <v>77</v>
      </c>
      <c r="K55" s="14" t="n">
        <f aca="false">J55+E55*(Half_gap*(Ceiling_e-J55)-$F$4)</f>
        <v>77</v>
      </c>
      <c r="L55" s="14" t="n">
        <f aca="false">K55+F55*(Half_gap*(Ceiling_e-K55)-$F$4)</f>
        <v>80</v>
      </c>
      <c r="M55" s="14" t="n">
        <f aca="false">L55+G55*(Half_gap*(Ceiling_e-L55)-$F$4)</f>
        <v>81.5</v>
      </c>
      <c r="N55" s="14" t="n">
        <f aca="false">M55+H55*(Half_gap*(Ceiling_e-M55)-$F$4)</f>
        <v>82.25</v>
      </c>
      <c r="O55" s="14" t="n">
        <f aca="false">N55+I55*(Half_gap*(Ceiling_e-N55)-$F$4)</f>
        <v>82.625</v>
      </c>
      <c r="P55" s="14" t="n">
        <f aca="false">Val_pt*(J55-E_zero)</f>
        <v>60</v>
      </c>
      <c r="Q55" s="14" t="n">
        <f aca="false">Val_pt*(K55-E_zero)</f>
        <v>60</v>
      </c>
      <c r="R55" s="14" t="n">
        <f aca="false">Val_pt*(L55-E_zero)</f>
        <v>90</v>
      </c>
      <c r="S55" s="14" t="n">
        <f aca="false">Val_pt*(M55-E_zero)</f>
        <v>105</v>
      </c>
      <c r="T55" s="14" t="n">
        <f aca="false">Val_pt*(N55-E_zero)</f>
        <v>112.5</v>
      </c>
      <c r="U55" s="14" t="n">
        <f aca="false">Val_pt*(O55-E_zero)</f>
        <v>116.25</v>
      </c>
      <c r="V55" s="14" t="n">
        <f aca="false">MAX(W55+Cost_round*D55-P55,IF(D55=1,Pre_q,0))</f>
        <v>526.25</v>
      </c>
      <c r="W55" s="14" t="n">
        <f aca="false">MAX(X55+Cost_round*E55-Q55,IF(E55=1,Pre_q,0),Floor_q)</f>
        <v>466.25</v>
      </c>
      <c r="X55" s="14" t="n">
        <f aca="false">MAX(Y55+Cost_round*F55-R55,IF(F55=1,Pre_q,0),Floor_q)</f>
        <v>526.25</v>
      </c>
      <c r="Y55" s="14" t="n">
        <f aca="false">MAX(Z55+Cost_round*G55-S55,IF(G55=1,Pre_q,0),Floor_q)</f>
        <v>496.25</v>
      </c>
      <c r="Z55" s="14" t="n">
        <f aca="false">MAX(AA55+Cost_round*H55-T55,IF(H55=1,Pre_q,0),Floor_q)</f>
        <v>481.25</v>
      </c>
      <c r="AA55" s="14" t="n">
        <f aca="false">MAX(AB55+Cost_round*I55-U55,IF(I55=1,Pre_q,0),Floor_q)</f>
        <v>473.75</v>
      </c>
      <c r="AB55" s="14" t="n">
        <f aca="false">MAX(End_q,Floor_q)</f>
        <v>470</v>
      </c>
      <c r="AC55" s="15" t="n">
        <f aca="false">IF(Q_zero&gt;=V55-0.000000001,1,0)</f>
        <v>1</v>
      </c>
      <c r="AD55" s="14" t="n">
        <f aca="false">IF($AC55=1,Q_zero-Cost_round*D55+P55-W55,"")</f>
        <v>93.75</v>
      </c>
      <c r="AE55" s="14" t="n">
        <f aca="false">IF($AC55=1,W55-Cost_round*E55+Q55-X55,"")</f>
        <v>0</v>
      </c>
      <c r="AF55" s="14" t="n">
        <f aca="false">IF($AC55=1,X55-Cost_round*F55+R55-Y55,"")</f>
        <v>0</v>
      </c>
      <c r="AG55" s="14" t="n">
        <f aca="false">IF($AC55=1,Y55-Cost_round*G55+S55-Z55,"")</f>
        <v>0</v>
      </c>
      <c r="AH55" s="14" t="n">
        <f aca="false">IF($AC55=1,Z55-Cost_round*H55+T55-AA55,"")</f>
        <v>0</v>
      </c>
      <c r="AI55" s="14" t="n">
        <f aca="false">IF($AC55=1,AA55-Cost_round*I55+U55-AB55,"")</f>
        <v>0</v>
      </c>
      <c r="AJ55" s="14" t="n">
        <f aca="false">IF($AC55=1,SUM(AD55:AI55),"")</f>
        <v>93.75</v>
      </c>
      <c r="AK55" s="17" t="n">
        <f aca="false">IF($AC55=1,AD55*Beta_y^1+AE55*Beta_y^2+AF55*Beta_y^3+AG55*Beta_y^4+AH55*Beta_y^5+AI55*Beta_y^6,"")</f>
        <v>85.2272727272727</v>
      </c>
      <c r="AL55" s="17" t="n">
        <f aca="false">IF($AC55=1,AK55+Beta_y^6*U55/Hurdle_r,"")</f>
        <v>741.428216414789</v>
      </c>
    </row>
    <row r="56" customFormat="false" ht="15" hidden="false" customHeight="false" outlineLevel="0" collapsed="false">
      <c r="A56" s="2" t="n">
        <v>48</v>
      </c>
      <c r="B56" s="2" t="str">
        <f aca="false">D56&amp;E56&amp;F56&amp;G56&amp;H56&amp;I56</f>
        <v>110000</v>
      </c>
      <c r="C56" s="15" t="n">
        <f aca="false">SUM(D56:I56)</f>
        <v>2</v>
      </c>
      <c r="D56" s="15" t="n">
        <f aca="false">MOD(INT($A56/32),2)</f>
        <v>1</v>
      </c>
      <c r="E56" s="15" t="n">
        <f aca="false">MOD(INT($A56/16),2)</f>
        <v>1</v>
      </c>
      <c r="F56" s="15" t="n">
        <f aca="false">MOD(INT($A56/8),2)</f>
        <v>0</v>
      </c>
      <c r="G56" s="15" t="n">
        <f aca="false">MOD(INT($A56/4),2)</f>
        <v>0</v>
      </c>
      <c r="H56" s="15" t="n">
        <f aca="false">MOD(INT($A56/2),2)</f>
        <v>0</v>
      </c>
      <c r="I56" s="15" t="n">
        <f aca="false">MOD(INT($A56/1),2)</f>
        <v>0</v>
      </c>
      <c r="J56" s="14" t="n">
        <f aca="false">E_zero+D56*(Half_gap*(Ceiling_e-E_zero)-$F$4)</f>
        <v>77</v>
      </c>
      <c r="K56" s="14" t="n">
        <f aca="false">J56+E56*(Half_gap*(Ceiling_e-J56)-$F$4)</f>
        <v>80</v>
      </c>
      <c r="L56" s="14" t="n">
        <f aca="false">K56+F56*(Half_gap*(Ceiling_e-K56)-$F$4)</f>
        <v>80</v>
      </c>
      <c r="M56" s="14" t="n">
        <f aca="false">L56+G56*(Half_gap*(Ceiling_e-L56)-$F$4)</f>
        <v>80</v>
      </c>
      <c r="N56" s="14" t="n">
        <f aca="false">M56+H56*(Half_gap*(Ceiling_e-M56)-$F$4)</f>
        <v>80</v>
      </c>
      <c r="O56" s="14" t="n">
        <f aca="false">N56+I56*(Half_gap*(Ceiling_e-N56)-$F$4)</f>
        <v>80</v>
      </c>
      <c r="P56" s="14" t="n">
        <f aca="false">Val_pt*(J56-E_zero)</f>
        <v>60</v>
      </c>
      <c r="Q56" s="14" t="n">
        <f aca="false">Val_pt*(K56-E_zero)</f>
        <v>90</v>
      </c>
      <c r="R56" s="14" t="n">
        <f aca="false">Val_pt*(L56-E_zero)</f>
        <v>90</v>
      </c>
      <c r="S56" s="14" t="n">
        <f aca="false">Val_pt*(M56-E_zero)</f>
        <v>90</v>
      </c>
      <c r="T56" s="14" t="n">
        <f aca="false">Val_pt*(N56-E_zero)</f>
        <v>90</v>
      </c>
      <c r="U56" s="14" t="n">
        <f aca="false">Val_pt*(O56-E_zero)</f>
        <v>90</v>
      </c>
      <c r="V56" s="14" t="n">
        <f aca="false">MAX(W56+Cost_round*D56-P56,IF(D56=1,Pre_q,0))</f>
        <v>530</v>
      </c>
      <c r="W56" s="14" t="n">
        <f aca="false">MAX(X56+Cost_round*E56-Q56,IF(E56=1,Pre_q,0),Floor_q)</f>
        <v>470</v>
      </c>
      <c r="X56" s="14" t="n">
        <f aca="false">MAX(Y56+Cost_round*F56-R56,IF(F56=1,Pre_q,0),Floor_q)</f>
        <v>350</v>
      </c>
      <c r="Y56" s="14" t="n">
        <f aca="false">MAX(Z56+Cost_round*G56-S56,IF(G56=1,Pre_q,0),Floor_q)</f>
        <v>350</v>
      </c>
      <c r="Z56" s="14" t="n">
        <f aca="false">MAX(AA56+Cost_round*H56-T56,IF(H56=1,Pre_q,0),Floor_q)</f>
        <v>350</v>
      </c>
      <c r="AA56" s="14" t="n">
        <f aca="false">MAX(AB56+Cost_round*I56-U56,IF(I56=1,Pre_q,0),Floor_q)</f>
        <v>380</v>
      </c>
      <c r="AB56" s="14" t="n">
        <f aca="false">MAX(End_q,Floor_q)</f>
        <v>470</v>
      </c>
      <c r="AC56" s="15" t="n">
        <f aca="false">IF(Q_zero&gt;=V56-0.000000001,1,0)</f>
        <v>1</v>
      </c>
      <c r="AD56" s="14" t="n">
        <f aca="false">IF($AC56=1,Q_zero-Cost_round*D56+P56-W56,"")</f>
        <v>90</v>
      </c>
      <c r="AE56" s="14" t="n">
        <f aca="false">IF($AC56=1,W56-Cost_round*E56+Q56-X56,"")</f>
        <v>90</v>
      </c>
      <c r="AF56" s="14" t="n">
        <f aca="false">IF($AC56=1,X56-Cost_round*F56+R56-Y56,"")</f>
        <v>90</v>
      </c>
      <c r="AG56" s="14" t="n">
        <f aca="false">IF($AC56=1,Y56-Cost_round*G56+S56-Z56,"")</f>
        <v>90</v>
      </c>
      <c r="AH56" s="14" t="n">
        <f aca="false">IF($AC56=1,Z56-Cost_round*H56+T56-AA56,"")</f>
        <v>60</v>
      </c>
      <c r="AI56" s="14" t="n">
        <f aca="false">IF($AC56=1,AA56-Cost_round*I56+U56-AB56,"")</f>
        <v>0</v>
      </c>
      <c r="AJ56" s="14" t="n">
        <f aca="false">IF($AC56=1,SUM(AD56:AI56),"")</f>
        <v>420</v>
      </c>
      <c r="AK56" s="17" t="n">
        <f aca="false">IF($AC56=1,AD56*Beta_y^1+AE56*Beta_y^2+AF56*Beta_y^3+AG56*Beta_y^4+AH56*Beta_y^5+AI56*Beta_y^6,"")</f>
        <v>322.543169554986</v>
      </c>
      <c r="AL56" s="17" t="n">
        <f aca="false">IF($AC56=1,AK56+Beta_y^6*U56/Hurdle_r,"")</f>
        <v>830.569706603385</v>
      </c>
    </row>
    <row r="57" customFormat="false" ht="15" hidden="false" customHeight="false" outlineLevel="0" collapsed="false">
      <c r="A57" s="2" t="n">
        <v>49</v>
      </c>
      <c r="B57" s="2" t="str">
        <f aca="false">D57&amp;E57&amp;F57&amp;G57&amp;H57&amp;I57</f>
        <v>110001</v>
      </c>
      <c r="C57" s="15" t="n">
        <f aca="false">SUM(D57:I57)</f>
        <v>3</v>
      </c>
      <c r="D57" s="15" t="n">
        <f aca="false">MOD(INT($A57/32),2)</f>
        <v>1</v>
      </c>
      <c r="E57" s="15" t="n">
        <f aca="false">MOD(INT($A57/16),2)</f>
        <v>1</v>
      </c>
      <c r="F57" s="15" t="n">
        <f aca="false">MOD(INT($A57/8),2)</f>
        <v>0</v>
      </c>
      <c r="G57" s="15" t="n">
        <f aca="false">MOD(INT($A57/4),2)</f>
        <v>0</v>
      </c>
      <c r="H57" s="15" t="n">
        <f aca="false">MOD(INT($A57/2),2)</f>
        <v>0</v>
      </c>
      <c r="I57" s="15" t="n">
        <f aca="false">MOD(INT($A57/1),2)</f>
        <v>1</v>
      </c>
      <c r="J57" s="14" t="n">
        <f aca="false">E_zero+D57*(Half_gap*(Ceiling_e-E_zero)-$F$4)</f>
        <v>77</v>
      </c>
      <c r="K57" s="14" t="n">
        <f aca="false">J57+E57*(Half_gap*(Ceiling_e-J57)-$F$4)</f>
        <v>80</v>
      </c>
      <c r="L57" s="14" t="n">
        <f aca="false">K57+F57*(Half_gap*(Ceiling_e-K57)-$F$4)</f>
        <v>80</v>
      </c>
      <c r="M57" s="14" t="n">
        <f aca="false">L57+G57*(Half_gap*(Ceiling_e-L57)-$F$4)</f>
        <v>80</v>
      </c>
      <c r="N57" s="14" t="n">
        <f aca="false">M57+H57*(Half_gap*(Ceiling_e-M57)-$F$4)</f>
        <v>80</v>
      </c>
      <c r="O57" s="14" t="n">
        <f aca="false">N57+I57*(Half_gap*(Ceiling_e-N57)-$F$4)</f>
        <v>81.5</v>
      </c>
      <c r="P57" s="14" t="n">
        <f aca="false">Val_pt*(J57-E_zero)</f>
        <v>60</v>
      </c>
      <c r="Q57" s="14" t="n">
        <f aca="false">Val_pt*(K57-E_zero)</f>
        <v>90</v>
      </c>
      <c r="R57" s="14" t="n">
        <f aca="false">Val_pt*(L57-E_zero)</f>
        <v>90</v>
      </c>
      <c r="S57" s="14" t="n">
        <f aca="false">Val_pt*(M57-E_zero)</f>
        <v>90</v>
      </c>
      <c r="T57" s="14" t="n">
        <f aca="false">Val_pt*(N57-E_zero)</f>
        <v>90</v>
      </c>
      <c r="U57" s="14" t="n">
        <f aca="false">Val_pt*(O57-E_zero)</f>
        <v>105</v>
      </c>
      <c r="V57" s="14" t="n">
        <f aca="false">MAX(W57+Cost_round*D57-P57,IF(D57=1,Pre_q,0))</f>
        <v>530</v>
      </c>
      <c r="W57" s="14" t="n">
        <f aca="false">MAX(X57+Cost_round*E57-Q57,IF(E57=1,Pre_q,0),Floor_q)</f>
        <v>470</v>
      </c>
      <c r="X57" s="14" t="n">
        <f aca="false">MAX(Y57+Cost_round*F57-R57,IF(F57=1,Pre_q,0),Floor_q)</f>
        <v>350</v>
      </c>
      <c r="Y57" s="14" t="n">
        <f aca="false">MAX(Z57+Cost_round*G57-S57,IF(G57=1,Pre_q,0),Floor_q)</f>
        <v>350</v>
      </c>
      <c r="Z57" s="14" t="n">
        <f aca="false">MAX(AA57+Cost_round*H57-T57,IF(H57=1,Pre_q,0),Floor_q)</f>
        <v>395</v>
      </c>
      <c r="AA57" s="14" t="n">
        <f aca="false">MAX(AB57+Cost_round*I57-U57,IF(I57=1,Pre_q,0),Floor_q)</f>
        <v>485</v>
      </c>
      <c r="AB57" s="14" t="n">
        <f aca="false">MAX(End_q,Floor_q)</f>
        <v>470</v>
      </c>
      <c r="AC57" s="15" t="n">
        <f aca="false">IF(Q_zero&gt;=V57-0.000000001,1,0)</f>
        <v>1</v>
      </c>
      <c r="AD57" s="14" t="n">
        <f aca="false">IF($AC57=1,Q_zero-Cost_round*D57+P57-W57,"")</f>
        <v>90</v>
      </c>
      <c r="AE57" s="14" t="n">
        <f aca="false">IF($AC57=1,W57-Cost_round*E57+Q57-X57,"")</f>
        <v>90</v>
      </c>
      <c r="AF57" s="14" t="n">
        <f aca="false">IF($AC57=1,X57-Cost_round*F57+R57-Y57,"")</f>
        <v>90</v>
      </c>
      <c r="AG57" s="14" t="n">
        <f aca="false">IF($AC57=1,Y57-Cost_round*G57+S57-Z57,"")</f>
        <v>45</v>
      </c>
      <c r="AH57" s="14" t="n">
        <f aca="false">IF($AC57=1,Z57-Cost_round*H57+T57-AA57,"")</f>
        <v>0</v>
      </c>
      <c r="AI57" s="14" t="n">
        <f aca="false">IF($AC57=1,AA57-Cost_round*I57+U57-AB57,"")</f>
        <v>0</v>
      </c>
      <c r="AJ57" s="14" t="n">
        <f aca="false">IF($AC57=1,SUM(AD57:AI57),"")</f>
        <v>315</v>
      </c>
      <c r="AK57" s="17" t="n">
        <f aca="false">IF($AC57=1,AD57*Beta_y^1+AE57*Beta_y^2+AF57*Beta_y^3+AG57*Beta_y^4+AH57*Beta_y^5+AI57*Beta_y^6,"")</f>
        <v>254.552284680008</v>
      </c>
      <c r="AL57" s="17" t="n">
        <f aca="false">IF($AC57=1,AK57+Beta_y^6*U57/Hurdle_r,"")</f>
        <v>847.249911236474</v>
      </c>
    </row>
    <row r="58" customFormat="false" ht="15" hidden="false" customHeight="false" outlineLevel="0" collapsed="false">
      <c r="A58" s="2" t="n">
        <v>50</v>
      </c>
      <c r="B58" s="2" t="str">
        <f aca="false">D58&amp;E58&amp;F58&amp;G58&amp;H58&amp;I58</f>
        <v>110010</v>
      </c>
      <c r="C58" s="15" t="n">
        <f aca="false">SUM(D58:I58)</f>
        <v>3</v>
      </c>
      <c r="D58" s="15" t="n">
        <f aca="false">MOD(INT($A58/32),2)</f>
        <v>1</v>
      </c>
      <c r="E58" s="15" t="n">
        <f aca="false">MOD(INT($A58/16),2)</f>
        <v>1</v>
      </c>
      <c r="F58" s="15" t="n">
        <f aca="false">MOD(INT($A58/8),2)</f>
        <v>0</v>
      </c>
      <c r="G58" s="15" t="n">
        <f aca="false">MOD(INT($A58/4),2)</f>
        <v>0</v>
      </c>
      <c r="H58" s="15" t="n">
        <f aca="false">MOD(INT($A58/2),2)</f>
        <v>1</v>
      </c>
      <c r="I58" s="15" t="n">
        <f aca="false">MOD(INT($A58/1),2)</f>
        <v>0</v>
      </c>
      <c r="J58" s="14" t="n">
        <f aca="false">E_zero+D58*(Half_gap*(Ceiling_e-E_zero)-$F$4)</f>
        <v>77</v>
      </c>
      <c r="K58" s="14" t="n">
        <f aca="false">J58+E58*(Half_gap*(Ceiling_e-J58)-$F$4)</f>
        <v>80</v>
      </c>
      <c r="L58" s="14" t="n">
        <f aca="false">K58+F58*(Half_gap*(Ceiling_e-K58)-$F$4)</f>
        <v>80</v>
      </c>
      <c r="M58" s="14" t="n">
        <f aca="false">L58+G58*(Half_gap*(Ceiling_e-L58)-$F$4)</f>
        <v>80</v>
      </c>
      <c r="N58" s="14" t="n">
        <f aca="false">M58+H58*(Half_gap*(Ceiling_e-M58)-$F$4)</f>
        <v>81.5</v>
      </c>
      <c r="O58" s="14" t="n">
        <f aca="false">N58+I58*(Half_gap*(Ceiling_e-N58)-$F$4)</f>
        <v>81.5</v>
      </c>
      <c r="P58" s="14" t="n">
        <f aca="false">Val_pt*(J58-E_zero)</f>
        <v>60</v>
      </c>
      <c r="Q58" s="14" t="n">
        <f aca="false">Val_pt*(K58-E_zero)</f>
        <v>90</v>
      </c>
      <c r="R58" s="14" t="n">
        <f aca="false">Val_pt*(L58-E_zero)</f>
        <v>90</v>
      </c>
      <c r="S58" s="14" t="n">
        <f aca="false">Val_pt*(M58-E_zero)</f>
        <v>90</v>
      </c>
      <c r="T58" s="14" t="n">
        <f aca="false">Val_pt*(N58-E_zero)</f>
        <v>105</v>
      </c>
      <c r="U58" s="14" t="n">
        <f aca="false">Val_pt*(O58-E_zero)</f>
        <v>105</v>
      </c>
      <c r="V58" s="14" t="n">
        <f aca="false">MAX(W58+Cost_round*D58-P58,IF(D58=1,Pre_q,0))</f>
        <v>530</v>
      </c>
      <c r="W58" s="14" t="n">
        <f aca="false">MAX(X58+Cost_round*E58-Q58,IF(E58=1,Pre_q,0),Floor_q)</f>
        <v>470</v>
      </c>
      <c r="X58" s="14" t="n">
        <f aca="false">MAX(Y58+Cost_round*F58-R58,IF(F58=1,Pre_q,0),Floor_q)</f>
        <v>350</v>
      </c>
      <c r="Y58" s="14" t="n">
        <f aca="false">MAX(Z58+Cost_round*G58-S58,IF(G58=1,Pre_q,0),Floor_q)</f>
        <v>380</v>
      </c>
      <c r="Z58" s="14" t="n">
        <f aca="false">MAX(AA58+Cost_round*H58-T58,IF(H58=1,Pre_q,0),Floor_q)</f>
        <v>470</v>
      </c>
      <c r="AA58" s="14" t="n">
        <f aca="false">MAX(AB58+Cost_round*I58-U58,IF(I58=1,Pre_q,0),Floor_q)</f>
        <v>365</v>
      </c>
      <c r="AB58" s="14" t="n">
        <f aca="false">MAX(End_q,Floor_q)</f>
        <v>470</v>
      </c>
      <c r="AC58" s="15" t="n">
        <f aca="false">IF(Q_zero&gt;=V58-0.000000001,1,0)</f>
        <v>1</v>
      </c>
      <c r="AD58" s="14" t="n">
        <f aca="false">IF($AC58=1,Q_zero-Cost_round*D58+P58-W58,"")</f>
        <v>90</v>
      </c>
      <c r="AE58" s="14" t="n">
        <f aca="false">IF($AC58=1,W58-Cost_round*E58+Q58-X58,"")</f>
        <v>90</v>
      </c>
      <c r="AF58" s="14" t="n">
        <f aca="false">IF($AC58=1,X58-Cost_round*F58+R58-Y58,"")</f>
        <v>60</v>
      </c>
      <c r="AG58" s="14" t="n">
        <f aca="false">IF($AC58=1,Y58-Cost_round*G58+S58-Z58,"")</f>
        <v>0</v>
      </c>
      <c r="AH58" s="14" t="n">
        <f aca="false">IF($AC58=1,Z58-Cost_round*H58+T58-AA58,"")</f>
        <v>90</v>
      </c>
      <c r="AI58" s="14" t="n">
        <f aca="false">IF($AC58=1,AA58-Cost_round*I58+U58-AB58,"")</f>
        <v>0</v>
      </c>
      <c r="AJ58" s="14" t="n">
        <f aca="false">IF($AC58=1,SUM(AD58:AI58),"")</f>
        <v>330</v>
      </c>
      <c r="AK58" s="17" t="n">
        <f aca="false">IF($AC58=1,AD58*Beta_y^1+AE58*Beta_y^2+AF58*Beta_y^3+AG58*Beta_y^4+AH58*Beta_y^5+AI58*Beta_y^6,"")</f>
        <v>257.160154236857</v>
      </c>
      <c r="AL58" s="17" t="n">
        <f aca="false">IF($AC58=1,AK58+Beta_y^6*U58/Hurdle_r,"")</f>
        <v>849.857780793323</v>
      </c>
    </row>
    <row r="59" customFormat="false" ht="15" hidden="false" customHeight="false" outlineLevel="0" collapsed="false">
      <c r="A59" s="2" t="n">
        <v>51</v>
      </c>
      <c r="B59" s="2" t="str">
        <f aca="false">D59&amp;E59&amp;F59&amp;G59&amp;H59&amp;I59</f>
        <v>110011</v>
      </c>
      <c r="C59" s="15" t="n">
        <f aca="false">SUM(D59:I59)</f>
        <v>4</v>
      </c>
      <c r="D59" s="15" t="n">
        <f aca="false">MOD(INT($A59/32),2)</f>
        <v>1</v>
      </c>
      <c r="E59" s="15" t="n">
        <f aca="false">MOD(INT($A59/16),2)</f>
        <v>1</v>
      </c>
      <c r="F59" s="15" t="n">
        <f aca="false">MOD(INT($A59/8),2)</f>
        <v>0</v>
      </c>
      <c r="G59" s="15" t="n">
        <f aca="false">MOD(INT($A59/4),2)</f>
        <v>0</v>
      </c>
      <c r="H59" s="15" t="n">
        <f aca="false">MOD(INT($A59/2),2)</f>
        <v>1</v>
      </c>
      <c r="I59" s="15" t="n">
        <f aca="false">MOD(INT($A59/1),2)</f>
        <v>1</v>
      </c>
      <c r="J59" s="14" t="n">
        <f aca="false">E_zero+D59*(Half_gap*(Ceiling_e-E_zero)-$F$4)</f>
        <v>77</v>
      </c>
      <c r="K59" s="14" t="n">
        <f aca="false">J59+E59*(Half_gap*(Ceiling_e-J59)-$F$4)</f>
        <v>80</v>
      </c>
      <c r="L59" s="14" t="n">
        <f aca="false">K59+F59*(Half_gap*(Ceiling_e-K59)-$F$4)</f>
        <v>80</v>
      </c>
      <c r="M59" s="14" t="n">
        <f aca="false">L59+G59*(Half_gap*(Ceiling_e-L59)-$F$4)</f>
        <v>80</v>
      </c>
      <c r="N59" s="14" t="n">
        <f aca="false">M59+H59*(Half_gap*(Ceiling_e-M59)-$F$4)</f>
        <v>81.5</v>
      </c>
      <c r="O59" s="14" t="n">
        <f aca="false">N59+I59*(Half_gap*(Ceiling_e-N59)-$F$4)</f>
        <v>82.25</v>
      </c>
      <c r="P59" s="14" t="n">
        <f aca="false">Val_pt*(J59-E_zero)</f>
        <v>60</v>
      </c>
      <c r="Q59" s="14" t="n">
        <f aca="false">Val_pt*(K59-E_zero)</f>
        <v>90</v>
      </c>
      <c r="R59" s="14" t="n">
        <f aca="false">Val_pt*(L59-E_zero)</f>
        <v>90</v>
      </c>
      <c r="S59" s="14" t="n">
        <f aca="false">Val_pt*(M59-E_zero)</f>
        <v>90</v>
      </c>
      <c r="T59" s="14" t="n">
        <f aca="false">Val_pt*(N59-E_zero)</f>
        <v>105</v>
      </c>
      <c r="U59" s="14" t="n">
        <f aca="false">Val_pt*(O59-E_zero)</f>
        <v>112.5</v>
      </c>
      <c r="V59" s="14" t="n">
        <f aca="false">MAX(W59+Cost_round*D59-P59,IF(D59=1,Pre_q,0))</f>
        <v>530</v>
      </c>
      <c r="W59" s="14" t="n">
        <f aca="false">MAX(X59+Cost_round*E59-Q59,IF(E59=1,Pre_q,0),Floor_q)</f>
        <v>470</v>
      </c>
      <c r="X59" s="14" t="n">
        <f aca="false">MAX(Y59+Cost_round*F59-R59,IF(F59=1,Pre_q,0),Floor_q)</f>
        <v>350</v>
      </c>
      <c r="Y59" s="14" t="n">
        <f aca="false">MAX(Z59+Cost_round*G59-S59,IF(G59=1,Pre_q,0),Floor_q)</f>
        <v>402.5</v>
      </c>
      <c r="Z59" s="14" t="n">
        <f aca="false">MAX(AA59+Cost_round*H59-T59,IF(H59=1,Pre_q,0),Floor_q)</f>
        <v>492.5</v>
      </c>
      <c r="AA59" s="14" t="n">
        <f aca="false">MAX(AB59+Cost_round*I59-U59,IF(I59=1,Pre_q,0),Floor_q)</f>
        <v>477.5</v>
      </c>
      <c r="AB59" s="14" t="n">
        <f aca="false">MAX(End_q,Floor_q)</f>
        <v>470</v>
      </c>
      <c r="AC59" s="15" t="n">
        <f aca="false">IF(Q_zero&gt;=V59-0.000000001,1,0)</f>
        <v>1</v>
      </c>
      <c r="AD59" s="14" t="n">
        <f aca="false">IF($AC59=1,Q_zero-Cost_round*D59+P59-W59,"")</f>
        <v>90</v>
      </c>
      <c r="AE59" s="14" t="n">
        <f aca="false">IF($AC59=1,W59-Cost_round*E59+Q59-X59,"")</f>
        <v>90</v>
      </c>
      <c r="AF59" s="14" t="n">
        <f aca="false">IF($AC59=1,X59-Cost_round*F59+R59-Y59,"")</f>
        <v>37.5</v>
      </c>
      <c r="AG59" s="14" t="n">
        <f aca="false">IF($AC59=1,Y59-Cost_round*G59+S59-Z59,"")</f>
        <v>0</v>
      </c>
      <c r="AH59" s="14" t="n">
        <f aca="false">IF($AC59=1,Z59-Cost_round*H59+T59-AA59,"")</f>
        <v>0</v>
      </c>
      <c r="AI59" s="14" t="n">
        <f aca="false">IF($AC59=1,AA59-Cost_round*I59+U59-AB59,"")</f>
        <v>0</v>
      </c>
      <c r="AJ59" s="14" t="n">
        <f aca="false">IF($AC59=1,SUM(AD59:AI59),"")</f>
        <v>217.5</v>
      </c>
      <c r="AK59" s="17" t="n">
        <f aca="false">IF($AC59=1,AD59*Beta_y^1+AE59*Beta_y^2+AF59*Beta_y^3+AG59*Beta_y^4+AH59*Beta_y^5+AI59*Beta_y^6,"")</f>
        <v>184.372652141247</v>
      </c>
      <c r="AL59" s="17" t="n">
        <f aca="false">IF($AC59=1,AK59+Beta_y^6*U59/Hurdle_r,"")</f>
        <v>819.405823451747</v>
      </c>
    </row>
    <row r="60" customFormat="false" ht="15" hidden="false" customHeight="false" outlineLevel="0" collapsed="false">
      <c r="A60" s="2" t="n">
        <v>52</v>
      </c>
      <c r="B60" s="2" t="str">
        <f aca="false">D60&amp;E60&amp;F60&amp;G60&amp;H60&amp;I60</f>
        <v>110100</v>
      </c>
      <c r="C60" s="15" t="n">
        <f aca="false">SUM(D60:I60)</f>
        <v>3</v>
      </c>
      <c r="D60" s="15" t="n">
        <f aca="false">MOD(INT($A60/32),2)</f>
        <v>1</v>
      </c>
      <c r="E60" s="15" t="n">
        <f aca="false">MOD(INT($A60/16),2)</f>
        <v>1</v>
      </c>
      <c r="F60" s="15" t="n">
        <f aca="false">MOD(INT($A60/8),2)</f>
        <v>0</v>
      </c>
      <c r="G60" s="15" t="n">
        <f aca="false">MOD(INT($A60/4),2)</f>
        <v>1</v>
      </c>
      <c r="H60" s="15" t="n">
        <f aca="false">MOD(INT($A60/2),2)</f>
        <v>0</v>
      </c>
      <c r="I60" s="15" t="n">
        <f aca="false">MOD(INT($A60/1),2)</f>
        <v>0</v>
      </c>
      <c r="J60" s="14" t="n">
        <f aca="false">E_zero+D60*(Half_gap*(Ceiling_e-E_zero)-$F$4)</f>
        <v>77</v>
      </c>
      <c r="K60" s="14" t="n">
        <f aca="false">J60+E60*(Half_gap*(Ceiling_e-J60)-$F$4)</f>
        <v>80</v>
      </c>
      <c r="L60" s="14" t="n">
        <f aca="false">K60+F60*(Half_gap*(Ceiling_e-K60)-$F$4)</f>
        <v>80</v>
      </c>
      <c r="M60" s="14" t="n">
        <f aca="false">L60+G60*(Half_gap*(Ceiling_e-L60)-$F$4)</f>
        <v>81.5</v>
      </c>
      <c r="N60" s="14" t="n">
        <f aca="false">M60+H60*(Half_gap*(Ceiling_e-M60)-$F$4)</f>
        <v>81.5</v>
      </c>
      <c r="O60" s="14" t="n">
        <f aca="false">N60+I60*(Half_gap*(Ceiling_e-N60)-$F$4)</f>
        <v>81.5</v>
      </c>
      <c r="P60" s="14" t="n">
        <f aca="false">Val_pt*(J60-E_zero)</f>
        <v>60</v>
      </c>
      <c r="Q60" s="14" t="n">
        <f aca="false">Val_pt*(K60-E_zero)</f>
        <v>90</v>
      </c>
      <c r="R60" s="14" t="n">
        <f aca="false">Val_pt*(L60-E_zero)</f>
        <v>90</v>
      </c>
      <c r="S60" s="14" t="n">
        <f aca="false">Val_pt*(M60-E_zero)</f>
        <v>105</v>
      </c>
      <c r="T60" s="14" t="n">
        <f aca="false">Val_pt*(N60-E_zero)</f>
        <v>105</v>
      </c>
      <c r="U60" s="14" t="n">
        <f aca="false">Val_pt*(O60-E_zero)</f>
        <v>105</v>
      </c>
      <c r="V60" s="14" t="n">
        <f aca="false">MAX(W60+Cost_round*D60-P60,IF(D60=1,Pre_q,0))</f>
        <v>530</v>
      </c>
      <c r="W60" s="14" t="n">
        <f aca="false">MAX(X60+Cost_round*E60-Q60,IF(E60=1,Pre_q,0),Floor_q)</f>
        <v>470</v>
      </c>
      <c r="X60" s="14" t="n">
        <f aca="false">MAX(Y60+Cost_round*F60-R60,IF(F60=1,Pre_q,0),Floor_q)</f>
        <v>380</v>
      </c>
      <c r="Y60" s="14" t="n">
        <f aca="false">MAX(Z60+Cost_round*G60-S60,IF(G60=1,Pre_q,0),Floor_q)</f>
        <v>470</v>
      </c>
      <c r="Z60" s="14" t="n">
        <f aca="false">MAX(AA60+Cost_round*H60-T60,IF(H60=1,Pre_q,0),Floor_q)</f>
        <v>350</v>
      </c>
      <c r="AA60" s="14" t="n">
        <f aca="false">MAX(AB60+Cost_round*I60-U60,IF(I60=1,Pre_q,0),Floor_q)</f>
        <v>365</v>
      </c>
      <c r="AB60" s="14" t="n">
        <f aca="false">MAX(End_q,Floor_q)</f>
        <v>470</v>
      </c>
      <c r="AC60" s="15" t="n">
        <f aca="false">IF(Q_zero&gt;=V60-0.000000001,1,0)</f>
        <v>1</v>
      </c>
      <c r="AD60" s="14" t="n">
        <f aca="false">IF($AC60=1,Q_zero-Cost_round*D60+P60-W60,"")</f>
        <v>90</v>
      </c>
      <c r="AE60" s="14" t="n">
        <f aca="false">IF($AC60=1,W60-Cost_round*E60+Q60-X60,"")</f>
        <v>60</v>
      </c>
      <c r="AF60" s="14" t="n">
        <f aca="false">IF($AC60=1,X60-Cost_round*F60+R60-Y60,"")</f>
        <v>0</v>
      </c>
      <c r="AG60" s="14" t="n">
        <f aca="false">IF($AC60=1,Y60-Cost_round*G60+S60-Z60,"")</f>
        <v>105</v>
      </c>
      <c r="AH60" s="14" t="n">
        <f aca="false">IF($AC60=1,Z60-Cost_round*H60+T60-AA60,"")</f>
        <v>90</v>
      </c>
      <c r="AI60" s="14" t="n">
        <f aca="false">IF($AC60=1,AA60-Cost_round*I60+U60-AB60,"")</f>
        <v>0</v>
      </c>
      <c r="AJ60" s="14" t="n">
        <f aca="false">IF($AC60=1,SUM(AD60:AI60),"")</f>
        <v>345</v>
      </c>
      <c r="AK60" s="17" t="n">
        <f aca="false">IF($AC60=1,AD60*Beta_y^1+AE60*Beta_y^2+AF60*Beta_y^3+AG60*Beta_y^4+AH60*Beta_y^5+AI60*Beta_y^6,"")</f>
        <v>259.004290566342</v>
      </c>
      <c r="AL60" s="17" t="n">
        <f aca="false">IF($AC60=1,AK60+Beta_y^6*U60/Hurdle_r,"")</f>
        <v>851.701917122809</v>
      </c>
    </row>
    <row r="61" customFormat="false" ht="15" hidden="false" customHeight="false" outlineLevel="0" collapsed="false">
      <c r="A61" s="2" t="n">
        <v>53</v>
      </c>
      <c r="B61" s="2" t="str">
        <f aca="false">D61&amp;E61&amp;F61&amp;G61&amp;H61&amp;I61</f>
        <v>110101</v>
      </c>
      <c r="C61" s="15" t="n">
        <f aca="false">SUM(D61:I61)</f>
        <v>4</v>
      </c>
      <c r="D61" s="15" t="n">
        <f aca="false">MOD(INT($A61/32),2)</f>
        <v>1</v>
      </c>
      <c r="E61" s="15" t="n">
        <f aca="false">MOD(INT($A61/16),2)</f>
        <v>1</v>
      </c>
      <c r="F61" s="15" t="n">
        <f aca="false">MOD(INT($A61/8),2)</f>
        <v>0</v>
      </c>
      <c r="G61" s="15" t="n">
        <f aca="false">MOD(INT($A61/4),2)</f>
        <v>1</v>
      </c>
      <c r="H61" s="15" t="n">
        <f aca="false">MOD(INT($A61/2),2)</f>
        <v>0</v>
      </c>
      <c r="I61" s="15" t="n">
        <f aca="false">MOD(INT($A61/1),2)</f>
        <v>1</v>
      </c>
      <c r="J61" s="14" t="n">
        <f aca="false">E_zero+D61*(Half_gap*(Ceiling_e-E_zero)-$F$4)</f>
        <v>77</v>
      </c>
      <c r="K61" s="14" t="n">
        <f aca="false">J61+E61*(Half_gap*(Ceiling_e-J61)-$F$4)</f>
        <v>80</v>
      </c>
      <c r="L61" s="14" t="n">
        <f aca="false">K61+F61*(Half_gap*(Ceiling_e-K61)-$F$4)</f>
        <v>80</v>
      </c>
      <c r="M61" s="14" t="n">
        <f aca="false">L61+G61*(Half_gap*(Ceiling_e-L61)-$F$4)</f>
        <v>81.5</v>
      </c>
      <c r="N61" s="14" t="n">
        <f aca="false">M61+H61*(Half_gap*(Ceiling_e-M61)-$F$4)</f>
        <v>81.5</v>
      </c>
      <c r="O61" s="14" t="n">
        <f aca="false">N61+I61*(Half_gap*(Ceiling_e-N61)-$F$4)</f>
        <v>82.25</v>
      </c>
      <c r="P61" s="14" t="n">
        <f aca="false">Val_pt*(J61-E_zero)</f>
        <v>60</v>
      </c>
      <c r="Q61" s="14" t="n">
        <f aca="false">Val_pt*(K61-E_zero)</f>
        <v>90</v>
      </c>
      <c r="R61" s="14" t="n">
        <f aca="false">Val_pt*(L61-E_zero)</f>
        <v>90</v>
      </c>
      <c r="S61" s="14" t="n">
        <f aca="false">Val_pt*(M61-E_zero)</f>
        <v>105</v>
      </c>
      <c r="T61" s="14" t="n">
        <f aca="false">Val_pt*(N61-E_zero)</f>
        <v>105</v>
      </c>
      <c r="U61" s="14" t="n">
        <f aca="false">Val_pt*(O61-E_zero)</f>
        <v>112.5</v>
      </c>
      <c r="V61" s="14" t="n">
        <f aca="false">MAX(W61+Cost_round*D61-P61,IF(D61=1,Pre_q,0))</f>
        <v>530</v>
      </c>
      <c r="W61" s="14" t="n">
        <f aca="false">MAX(X61+Cost_round*E61-Q61,IF(E61=1,Pre_q,0),Floor_q)</f>
        <v>470</v>
      </c>
      <c r="X61" s="14" t="n">
        <f aca="false">MAX(Y61+Cost_round*F61-R61,IF(F61=1,Pre_q,0),Floor_q)</f>
        <v>380</v>
      </c>
      <c r="Y61" s="14" t="n">
        <f aca="false">MAX(Z61+Cost_round*G61-S61,IF(G61=1,Pre_q,0),Floor_q)</f>
        <v>470</v>
      </c>
      <c r="Z61" s="14" t="n">
        <f aca="false">MAX(AA61+Cost_round*H61-T61,IF(H61=1,Pre_q,0),Floor_q)</f>
        <v>372.5</v>
      </c>
      <c r="AA61" s="14" t="n">
        <f aca="false">MAX(AB61+Cost_round*I61-U61,IF(I61=1,Pre_q,0),Floor_q)</f>
        <v>477.5</v>
      </c>
      <c r="AB61" s="14" t="n">
        <f aca="false">MAX(End_q,Floor_q)</f>
        <v>470</v>
      </c>
      <c r="AC61" s="15" t="n">
        <f aca="false">IF(Q_zero&gt;=V61-0.000000001,1,0)</f>
        <v>1</v>
      </c>
      <c r="AD61" s="14" t="n">
        <f aca="false">IF($AC61=1,Q_zero-Cost_round*D61+P61-W61,"")</f>
        <v>90</v>
      </c>
      <c r="AE61" s="14" t="n">
        <f aca="false">IF($AC61=1,W61-Cost_round*E61+Q61-X61,"")</f>
        <v>60</v>
      </c>
      <c r="AF61" s="14" t="n">
        <f aca="false">IF($AC61=1,X61-Cost_round*F61+R61-Y61,"")</f>
        <v>0</v>
      </c>
      <c r="AG61" s="14" t="n">
        <f aca="false">IF($AC61=1,Y61-Cost_round*G61+S61-Z61,"")</f>
        <v>82.5</v>
      </c>
      <c r="AH61" s="14" t="n">
        <f aca="false">IF($AC61=1,Z61-Cost_round*H61+T61-AA61,"")</f>
        <v>0</v>
      </c>
      <c r="AI61" s="14" t="n">
        <f aca="false">IF($AC61=1,AA61-Cost_round*I61+U61-AB61,"")</f>
        <v>0</v>
      </c>
      <c r="AJ61" s="14" t="n">
        <f aca="false">IF($AC61=1,SUM(AD61:AI61),"")</f>
        <v>232.5</v>
      </c>
      <c r="AK61" s="17" t="n">
        <f aca="false">IF($AC61=1,AD61*Beta_y^1+AE61*Beta_y^2+AF61*Beta_y^3+AG61*Beta_y^4+AH61*Beta_y^5+AI61*Beta_y^6,"")</f>
        <v>187.753568745304</v>
      </c>
      <c r="AL61" s="17" t="n">
        <f aca="false">IF($AC61=1,AK61+Beta_y^6*U61/Hurdle_r,"")</f>
        <v>822.786740055804</v>
      </c>
    </row>
    <row r="62" customFormat="false" ht="15" hidden="false" customHeight="false" outlineLevel="0" collapsed="false">
      <c r="A62" s="2" t="n">
        <v>54</v>
      </c>
      <c r="B62" s="2" t="str">
        <f aca="false">D62&amp;E62&amp;F62&amp;G62&amp;H62&amp;I62</f>
        <v>110110</v>
      </c>
      <c r="C62" s="15" t="n">
        <f aca="false">SUM(D62:I62)</f>
        <v>4</v>
      </c>
      <c r="D62" s="15" t="n">
        <f aca="false">MOD(INT($A62/32),2)</f>
        <v>1</v>
      </c>
      <c r="E62" s="15" t="n">
        <f aca="false">MOD(INT($A62/16),2)</f>
        <v>1</v>
      </c>
      <c r="F62" s="15" t="n">
        <f aca="false">MOD(INT($A62/8),2)</f>
        <v>0</v>
      </c>
      <c r="G62" s="15" t="n">
        <f aca="false">MOD(INT($A62/4),2)</f>
        <v>1</v>
      </c>
      <c r="H62" s="15" t="n">
        <f aca="false">MOD(INT($A62/2),2)</f>
        <v>1</v>
      </c>
      <c r="I62" s="15" t="n">
        <f aca="false">MOD(INT($A62/1),2)</f>
        <v>0</v>
      </c>
      <c r="J62" s="14" t="n">
        <f aca="false">E_zero+D62*(Half_gap*(Ceiling_e-E_zero)-$F$4)</f>
        <v>77</v>
      </c>
      <c r="K62" s="14" t="n">
        <f aca="false">J62+E62*(Half_gap*(Ceiling_e-J62)-$F$4)</f>
        <v>80</v>
      </c>
      <c r="L62" s="14" t="n">
        <f aca="false">K62+F62*(Half_gap*(Ceiling_e-K62)-$F$4)</f>
        <v>80</v>
      </c>
      <c r="M62" s="14" t="n">
        <f aca="false">L62+G62*(Half_gap*(Ceiling_e-L62)-$F$4)</f>
        <v>81.5</v>
      </c>
      <c r="N62" s="14" t="n">
        <f aca="false">M62+H62*(Half_gap*(Ceiling_e-M62)-$F$4)</f>
        <v>82.25</v>
      </c>
      <c r="O62" s="14" t="n">
        <f aca="false">N62+I62*(Half_gap*(Ceiling_e-N62)-$F$4)</f>
        <v>82.25</v>
      </c>
      <c r="P62" s="14" t="n">
        <f aca="false">Val_pt*(J62-E_zero)</f>
        <v>60</v>
      </c>
      <c r="Q62" s="14" t="n">
        <f aca="false">Val_pt*(K62-E_zero)</f>
        <v>90</v>
      </c>
      <c r="R62" s="14" t="n">
        <f aca="false">Val_pt*(L62-E_zero)</f>
        <v>90</v>
      </c>
      <c r="S62" s="14" t="n">
        <f aca="false">Val_pt*(M62-E_zero)</f>
        <v>105</v>
      </c>
      <c r="T62" s="14" t="n">
        <f aca="false">Val_pt*(N62-E_zero)</f>
        <v>112.5</v>
      </c>
      <c r="U62" s="14" t="n">
        <f aca="false">Val_pt*(O62-E_zero)</f>
        <v>112.5</v>
      </c>
      <c r="V62" s="14" t="n">
        <f aca="false">MAX(W62+Cost_round*D62-P62,IF(D62=1,Pre_q,0))</f>
        <v>530</v>
      </c>
      <c r="W62" s="14" t="n">
        <f aca="false">MAX(X62+Cost_round*E62-Q62,IF(E62=1,Pre_q,0),Floor_q)</f>
        <v>470</v>
      </c>
      <c r="X62" s="14" t="n">
        <f aca="false">MAX(Y62+Cost_round*F62-R62,IF(F62=1,Pre_q,0),Floor_q)</f>
        <v>395</v>
      </c>
      <c r="Y62" s="14" t="n">
        <f aca="false">MAX(Z62+Cost_round*G62-S62,IF(G62=1,Pre_q,0),Floor_q)</f>
        <v>485</v>
      </c>
      <c r="Z62" s="14" t="n">
        <f aca="false">MAX(AA62+Cost_round*H62-T62,IF(H62=1,Pre_q,0),Floor_q)</f>
        <v>470</v>
      </c>
      <c r="AA62" s="14" t="n">
        <f aca="false">MAX(AB62+Cost_round*I62-U62,IF(I62=1,Pre_q,0),Floor_q)</f>
        <v>357.5</v>
      </c>
      <c r="AB62" s="14" t="n">
        <f aca="false">MAX(End_q,Floor_q)</f>
        <v>470</v>
      </c>
      <c r="AC62" s="15" t="n">
        <f aca="false">IF(Q_zero&gt;=V62-0.000000001,1,0)</f>
        <v>1</v>
      </c>
      <c r="AD62" s="14" t="n">
        <f aca="false">IF($AC62=1,Q_zero-Cost_round*D62+P62-W62,"")</f>
        <v>90</v>
      </c>
      <c r="AE62" s="14" t="n">
        <f aca="false">IF($AC62=1,W62-Cost_round*E62+Q62-X62,"")</f>
        <v>45</v>
      </c>
      <c r="AF62" s="14" t="n">
        <f aca="false">IF($AC62=1,X62-Cost_round*F62+R62-Y62,"")</f>
        <v>0</v>
      </c>
      <c r="AG62" s="14" t="n">
        <f aca="false">IF($AC62=1,Y62-Cost_round*G62+S62-Z62,"")</f>
        <v>0</v>
      </c>
      <c r="AH62" s="14" t="n">
        <f aca="false">IF($AC62=1,Z62-Cost_round*H62+T62-AA62,"")</f>
        <v>105</v>
      </c>
      <c r="AI62" s="14" t="n">
        <f aca="false">IF($AC62=1,AA62-Cost_round*I62+U62-AB62,"")</f>
        <v>0</v>
      </c>
      <c r="AJ62" s="14" t="n">
        <f aca="false">IF($AC62=1,SUM(AD62:AI62),"")</f>
        <v>240</v>
      </c>
      <c r="AK62" s="17" t="n">
        <f aca="false">IF($AC62=1,AD62*Beta_y^1+AE62*Beta_y^2+AF62*Beta_y^3+AG62*Beta_y^4+AH62*Beta_y^5+AI62*Beta_y^6,"")</f>
        <v>184.205003384021</v>
      </c>
      <c r="AL62" s="17" t="n">
        <f aca="false">IF($AC62=1,AK62+Beta_y^6*U62/Hurdle_r,"")</f>
        <v>819.238174694521</v>
      </c>
    </row>
    <row r="63" customFormat="false" ht="15" hidden="false" customHeight="false" outlineLevel="0" collapsed="false">
      <c r="A63" s="2" t="n">
        <v>55</v>
      </c>
      <c r="B63" s="2" t="str">
        <f aca="false">D63&amp;E63&amp;F63&amp;G63&amp;H63&amp;I63</f>
        <v>110111</v>
      </c>
      <c r="C63" s="15" t="n">
        <f aca="false">SUM(D63:I63)</f>
        <v>5</v>
      </c>
      <c r="D63" s="15" t="n">
        <f aca="false">MOD(INT($A63/32),2)</f>
        <v>1</v>
      </c>
      <c r="E63" s="15" t="n">
        <f aca="false">MOD(INT($A63/16),2)</f>
        <v>1</v>
      </c>
      <c r="F63" s="15" t="n">
        <f aca="false">MOD(INT($A63/8),2)</f>
        <v>0</v>
      </c>
      <c r="G63" s="15" t="n">
        <f aca="false">MOD(INT($A63/4),2)</f>
        <v>1</v>
      </c>
      <c r="H63" s="15" t="n">
        <f aca="false">MOD(INT($A63/2),2)</f>
        <v>1</v>
      </c>
      <c r="I63" s="15" t="n">
        <f aca="false">MOD(INT($A63/1),2)</f>
        <v>1</v>
      </c>
      <c r="J63" s="14" t="n">
        <f aca="false">E_zero+D63*(Half_gap*(Ceiling_e-E_zero)-$F$4)</f>
        <v>77</v>
      </c>
      <c r="K63" s="14" t="n">
        <f aca="false">J63+E63*(Half_gap*(Ceiling_e-J63)-$F$4)</f>
        <v>80</v>
      </c>
      <c r="L63" s="14" t="n">
        <f aca="false">K63+F63*(Half_gap*(Ceiling_e-K63)-$F$4)</f>
        <v>80</v>
      </c>
      <c r="M63" s="14" t="n">
        <f aca="false">L63+G63*(Half_gap*(Ceiling_e-L63)-$F$4)</f>
        <v>81.5</v>
      </c>
      <c r="N63" s="14" t="n">
        <f aca="false">M63+H63*(Half_gap*(Ceiling_e-M63)-$F$4)</f>
        <v>82.25</v>
      </c>
      <c r="O63" s="14" t="n">
        <f aca="false">N63+I63*(Half_gap*(Ceiling_e-N63)-$F$4)</f>
        <v>82.625</v>
      </c>
      <c r="P63" s="14" t="n">
        <f aca="false">Val_pt*(J63-E_zero)</f>
        <v>60</v>
      </c>
      <c r="Q63" s="14" t="n">
        <f aca="false">Val_pt*(K63-E_zero)</f>
        <v>90</v>
      </c>
      <c r="R63" s="14" t="n">
        <f aca="false">Val_pt*(L63-E_zero)</f>
        <v>90</v>
      </c>
      <c r="S63" s="14" t="n">
        <f aca="false">Val_pt*(M63-E_zero)</f>
        <v>105</v>
      </c>
      <c r="T63" s="14" t="n">
        <f aca="false">Val_pt*(N63-E_zero)</f>
        <v>112.5</v>
      </c>
      <c r="U63" s="14" t="n">
        <f aca="false">Val_pt*(O63-E_zero)</f>
        <v>116.25</v>
      </c>
      <c r="V63" s="14" t="n">
        <f aca="false">MAX(W63+Cost_round*D63-P63,IF(D63=1,Pre_q,0))</f>
        <v>530</v>
      </c>
      <c r="W63" s="14" t="n">
        <f aca="false">MAX(X63+Cost_round*E63-Q63,IF(E63=1,Pre_q,0),Floor_q)</f>
        <v>470</v>
      </c>
      <c r="X63" s="14" t="n">
        <f aca="false">MAX(Y63+Cost_round*F63-R63,IF(F63=1,Pre_q,0),Floor_q)</f>
        <v>406.25</v>
      </c>
      <c r="Y63" s="14" t="n">
        <f aca="false">MAX(Z63+Cost_round*G63-S63,IF(G63=1,Pre_q,0),Floor_q)</f>
        <v>496.25</v>
      </c>
      <c r="Z63" s="14" t="n">
        <f aca="false">MAX(AA63+Cost_round*H63-T63,IF(H63=1,Pre_q,0),Floor_q)</f>
        <v>481.25</v>
      </c>
      <c r="AA63" s="14" t="n">
        <f aca="false">MAX(AB63+Cost_round*I63-U63,IF(I63=1,Pre_q,0),Floor_q)</f>
        <v>473.75</v>
      </c>
      <c r="AB63" s="14" t="n">
        <f aca="false">MAX(End_q,Floor_q)</f>
        <v>470</v>
      </c>
      <c r="AC63" s="15" t="n">
        <f aca="false">IF(Q_zero&gt;=V63-0.000000001,1,0)</f>
        <v>1</v>
      </c>
      <c r="AD63" s="14" t="n">
        <f aca="false">IF($AC63=1,Q_zero-Cost_round*D63+P63-W63,"")</f>
        <v>90</v>
      </c>
      <c r="AE63" s="14" t="n">
        <f aca="false">IF($AC63=1,W63-Cost_round*E63+Q63-X63,"")</f>
        <v>33.75</v>
      </c>
      <c r="AF63" s="14" t="n">
        <f aca="false">IF($AC63=1,X63-Cost_round*F63+R63-Y63,"")</f>
        <v>0</v>
      </c>
      <c r="AG63" s="14" t="n">
        <f aca="false">IF($AC63=1,Y63-Cost_round*G63+S63-Z63,"")</f>
        <v>0</v>
      </c>
      <c r="AH63" s="14" t="n">
        <f aca="false">IF($AC63=1,Z63-Cost_round*H63+T63-AA63,"")</f>
        <v>0</v>
      </c>
      <c r="AI63" s="14" t="n">
        <f aca="false">IF($AC63=1,AA63-Cost_round*I63+U63-AB63,"")</f>
        <v>0</v>
      </c>
      <c r="AJ63" s="14" t="n">
        <f aca="false">IF($AC63=1,SUM(AD63:AI63),"")</f>
        <v>123.75</v>
      </c>
      <c r="AK63" s="17" t="n">
        <f aca="false">IF($AC63=1,AD63*Beta_y^1+AE63*Beta_y^2+AF63*Beta_y^3+AG63*Beta_y^4+AH63*Beta_y^5+AI63*Beta_y^6,"")</f>
        <v>109.710743801653</v>
      </c>
      <c r="AL63" s="17" t="n">
        <f aca="false">IF($AC63=1,AK63+Beta_y^6*U63/Hurdle_r,"")</f>
        <v>765.911687489169</v>
      </c>
    </row>
    <row r="64" customFormat="false" ht="15" hidden="false" customHeight="false" outlineLevel="0" collapsed="false">
      <c r="A64" s="2" t="n">
        <v>56</v>
      </c>
      <c r="B64" s="2" t="str">
        <f aca="false">D64&amp;E64&amp;F64&amp;G64&amp;H64&amp;I64</f>
        <v>111000</v>
      </c>
      <c r="C64" s="15" t="n">
        <f aca="false">SUM(D64:I64)</f>
        <v>3</v>
      </c>
      <c r="D64" s="15" t="n">
        <f aca="false">MOD(INT($A64/32),2)</f>
        <v>1</v>
      </c>
      <c r="E64" s="15" t="n">
        <f aca="false">MOD(INT($A64/16),2)</f>
        <v>1</v>
      </c>
      <c r="F64" s="15" t="n">
        <f aca="false">MOD(INT($A64/8),2)</f>
        <v>1</v>
      </c>
      <c r="G64" s="15" t="n">
        <f aca="false">MOD(INT($A64/4),2)</f>
        <v>0</v>
      </c>
      <c r="H64" s="15" t="n">
        <f aca="false">MOD(INT($A64/2),2)</f>
        <v>0</v>
      </c>
      <c r="I64" s="15" t="n">
        <f aca="false">MOD(INT($A64/1),2)</f>
        <v>0</v>
      </c>
      <c r="J64" s="14" t="n">
        <f aca="false">E_zero+D64*(Half_gap*(Ceiling_e-E_zero)-$F$4)</f>
        <v>77</v>
      </c>
      <c r="K64" s="14" t="n">
        <f aca="false">J64+E64*(Half_gap*(Ceiling_e-J64)-$F$4)</f>
        <v>80</v>
      </c>
      <c r="L64" s="14" t="n">
        <f aca="false">K64+F64*(Half_gap*(Ceiling_e-K64)-$F$4)</f>
        <v>81.5</v>
      </c>
      <c r="M64" s="14" t="n">
        <f aca="false">L64+G64*(Half_gap*(Ceiling_e-L64)-$F$4)</f>
        <v>81.5</v>
      </c>
      <c r="N64" s="14" t="n">
        <f aca="false">M64+H64*(Half_gap*(Ceiling_e-M64)-$F$4)</f>
        <v>81.5</v>
      </c>
      <c r="O64" s="14" t="n">
        <f aca="false">N64+I64*(Half_gap*(Ceiling_e-N64)-$F$4)</f>
        <v>81.5</v>
      </c>
      <c r="P64" s="14" t="n">
        <f aca="false">Val_pt*(J64-E_zero)</f>
        <v>60</v>
      </c>
      <c r="Q64" s="14" t="n">
        <f aca="false">Val_pt*(K64-E_zero)</f>
        <v>90</v>
      </c>
      <c r="R64" s="14" t="n">
        <f aca="false">Val_pt*(L64-E_zero)</f>
        <v>105</v>
      </c>
      <c r="S64" s="14" t="n">
        <f aca="false">Val_pt*(M64-E_zero)</f>
        <v>105</v>
      </c>
      <c r="T64" s="14" t="n">
        <f aca="false">Val_pt*(N64-E_zero)</f>
        <v>105</v>
      </c>
      <c r="U64" s="14" t="n">
        <f aca="false">Val_pt*(O64-E_zero)</f>
        <v>105</v>
      </c>
      <c r="V64" s="14" t="n">
        <f aca="false">MAX(W64+Cost_round*D64-P64,IF(D64=1,Pre_q,0))</f>
        <v>560</v>
      </c>
      <c r="W64" s="14" t="n">
        <f aca="false">MAX(X64+Cost_round*E64-Q64,IF(E64=1,Pre_q,0),Floor_q)</f>
        <v>500</v>
      </c>
      <c r="X64" s="14" t="n">
        <f aca="false">MAX(Y64+Cost_round*F64-R64,IF(F64=1,Pre_q,0),Floor_q)</f>
        <v>470</v>
      </c>
      <c r="Y64" s="14" t="n">
        <f aca="false">MAX(Z64+Cost_round*G64-S64,IF(G64=1,Pre_q,0),Floor_q)</f>
        <v>350</v>
      </c>
      <c r="Z64" s="14" t="n">
        <f aca="false">MAX(AA64+Cost_round*H64-T64,IF(H64=1,Pre_q,0),Floor_q)</f>
        <v>350</v>
      </c>
      <c r="AA64" s="14" t="n">
        <f aca="false">MAX(AB64+Cost_round*I64-U64,IF(I64=1,Pre_q,0),Floor_q)</f>
        <v>365</v>
      </c>
      <c r="AB64" s="14" t="n">
        <f aca="false">MAX(End_q,Floor_q)</f>
        <v>470</v>
      </c>
      <c r="AC64" s="15" t="n">
        <f aca="false">IF(Q_zero&gt;=V64-0.000000001,1,0)</f>
        <v>1</v>
      </c>
      <c r="AD64" s="14" t="n">
        <f aca="false">IF($AC64=1,Q_zero-Cost_round*D64+P64-W64,"")</f>
        <v>60</v>
      </c>
      <c r="AE64" s="14" t="n">
        <f aca="false">IF($AC64=1,W64-Cost_round*E64+Q64-X64,"")</f>
        <v>0</v>
      </c>
      <c r="AF64" s="14" t="n">
        <f aca="false">IF($AC64=1,X64-Cost_round*F64+R64-Y64,"")</f>
        <v>105</v>
      </c>
      <c r="AG64" s="14" t="n">
        <f aca="false">IF($AC64=1,Y64-Cost_round*G64+S64-Z64,"")</f>
        <v>105</v>
      </c>
      <c r="AH64" s="14" t="n">
        <f aca="false">IF($AC64=1,Z64-Cost_round*H64+T64-AA64,"")</f>
        <v>90</v>
      </c>
      <c r="AI64" s="14" t="n">
        <f aca="false">IF($AC64=1,AA64-Cost_round*I64+U64-AB64,"")</f>
        <v>0</v>
      </c>
      <c r="AJ64" s="14" t="n">
        <f aca="false">IF($AC64=1,SUM(AD64:AI64),"")</f>
        <v>360</v>
      </c>
      <c r="AK64" s="17" t="n">
        <f aca="false">IF($AC64=1,AD64*Beta_y^1+AE64*Beta_y^2+AF64*Beta_y^3+AG64*Beta_y^4+AH64*Beta_y^5+AI64*Beta_y^6,"")</f>
        <v>261.032840528777</v>
      </c>
      <c r="AL64" s="17" t="n">
        <f aca="false">IF($AC64=1,AK64+Beta_y^6*U64/Hurdle_r,"")</f>
        <v>853.730467085243</v>
      </c>
    </row>
    <row r="65" customFormat="false" ht="15" hidden="false" customHeight="false" outlineLevel="0" collapsed="false">
      <c r="A65" s="2" t="n">
        <v>57</v>
      </c>
      <c r="B65" s="2" t="str">
        <f aca="false">D65&amp;E65&amp;F65&amp;G65&amp;H65&amp;I65</f>
        <v>111001</v>
      </c>
      <c r="C65" s="15" t="n">
        <f aca="false">SUM(D65:I65)</f>
        <v>4</v>
      </c>
      <c r="D65" s="15" t="n">
        <f aca="false">MOD(INT($A65/32),2)</f>
        <v>1</v>
      </c>
      <c r="E65" s="15" t="n">
        <f aca="false">MOD(INT($A65/16),2)</f>
        <v>1</v>
      </c>
      <c r="F65" s="15" t="n">
        <f aca="false">MOD(INT($A65/8),2)</f>
        <v>1</v>
      </c>
      <c r="G65" s="15" t="n">
        <f aca="false">MOD(INT($A65/4),2)</f>
        <v>0</v>
      </c>
      <c r="H65" s="15" t="n">
        <f aca="false">MOD(INT($A65/2),2)</f>
        <v>0</v>
      </c>
      <c r="I65" s="15" t="n">
        <f aca="false">MOD(INT($A65/1),2)</f>
        <v>1</v>
      </c>
      <c r="J65" s="14" t="n">
        <f aca="false">E_zero+D65*(Half_gap*(Ceiling_e-E_zero)-$F$4)</f>
        <v>77</v>
      </c>
      <c r="K65" s="14" t="n">
        <f aca="false">J65+E65*(Half_gap*(Ceiling_e-J65)-$F$4)</f>
        <v>80</v>
      </c>
      <c r="L65" s="14" t="n">
        <f aca="false">K65+F65*(Half_gap*(Ceiling_e-K65)-$F$4)</f>
        <v>81.5</v>
      </c>
      <c r="M65" s="14" t="n">
        <f aca="false">L65+G65*(Half_gap*(Ceiling_e-L65)-$F$4)</f>
        <v>81.5</v>
      </c>
      <c r="N65" s="14" t="n">
        <f aca="false">M65+H65*(Half_gap*(Ceiling_e-M65)-$F$4)</f>
        <v>81.5</v>
      </c>
      <c r="O65" s="14" t="n">
        <f aca="false">N65+I65*(Half_gap*(Ceiling_e-N65)-$F$4)</f>
        <v>82.25</v>
      </c>
      <c r="P65" s="14" t="n">
        <f aca="false">Val_pt*(J65-E_zero)</f>
        <v>60</v>
      </c>
      <c r="Q65" s="14" t="n">
        <f aca="false">Val_pt*(K65-E_zero)</f>
        <v>90</v>
      </c>
      <c r="R65" s="14" t="n">
        <f aca="false">Val_pt*(L65-E_zero)</f>
        <v>105</v>
      </c>
      <c r="S65" s="14" t="n">
        <f aca="false">Val_pt*(M65-E_zero)</f>
        <v>105</v>
      </c>
      <c r="T65" s="14" t="n">
        <f aca="false">Val_pt*(N65-E_zero)</f>
        <v>105</v>
      </c>
      <c r="U65" s="14" t="n">
        <f aca="false">Val_pt*(O65-E_zero)</f>
        <v>112.5</v>
      </c>
      <c r="V65" s="14" t="n">
        <f aca="false">MAX(W65+Cost_round*D65-P65,IF(D65=1,Pre_q,0))</f>
        <v>560</v>
      </c>
      <c r="W65" s="14" t="n">
        <f aca="false">MAX(X65+Cost_round*E65-Q65,IF(E65=1,Pre_q,0),Floor_q)</f>
        <v>500</v>
      </c>
      <c r="X65" s="14" t="n">
        <f aca="false">MAX(Y65+Cost_round*F65-R65,IF(F65=1,Pre_q,0),Floor_q)</f>
        <v>470</v>
      </c>
      <c r="Y65" s="14" t="n">
        <f aca="false">MAX(Z65+Cost_round*G65-S65,IF(G65=1,Pre_q,0),Floor_q)</f>
        <v>350</v>
      </c>
      <c r="Z65" s="14" t="n">
        <f aca="false">MAX(AA65+Cost_round*H65-T65,IF(H65=1,Pre_q,0),Floor_q)</f>
        <v>372.5</v>
      </c>
      <c r="AA65" s="14" t="n">
        <f aca="false">MAX(AB65+Cost_round*I65-U65,IF(I65=1,Pre_q,0),Floor_q)</f>
        <v>477.5</v>
      </c>
      <c r="AB65" s="14" t="n">
        <f aca="false">MAX(End_q,Floor_q)</f>
        <v>470</v>
      </c>
      <c r="AC65" s="15" t="n">
        <f aca="false">IF(Q_zero&gt;=V65-0.000000001,1,0)</f>
        <v>1</v>
      </c>
      <c r="AD65" s="14" t="n">
        <f aca="false">IF($AC65=1,Q_zero-Cost_round*D65+P65-W65,"")</f>
        <v>60</v>
      </c>
      <c r="AE65" s="14" t="n">
        <f aca="false">IF($AC65=1,W65-Cost_round*E65+Q65-X65,"")</f>
        <v>0</v>
      </c>
      <c r="AF65" s="14" t="n">
        <f aca="false">IF($AC65=1,X65-Cost_round*F65+R65-Y65,"")</f>
        <v>105</v>
      </c>
      <c r="AG65" s="14" t="n">
        <f aca="false">IF($AC65=1,Y65-Cost_round*G65+S65-Z65,"")</f>
        <v>82.5</v>
      </c>
      <c r="AH65" s="14" t="n">
        <f aca="false">IF($AC65=1,Z65-Cost_round*H65+T65-AA65,"")</f>
        <v>0</v>
      </c>
      <c r="AI65" s="14" t="n">
        <f aca="false">IF($AC65=1,AA65-Cost_round*I65+U65-AB65,"")</f>
        <v>0</v>
      </c>
      <c r="AJ65" s="14" t="n">
        <f aca="false">IF($AC65=1,SUM(AD65:AI65),"")</f>
        <v>247.5</v>
      </c>
      <c r="AK65" s="17" t="n">
        <f aca="false">IF($AC65=1,AD65*Beta_y^1+AE65*Beta_y^2+AF65*Beta_y^3+AG65*Beta_y^4+AH65*Beta_y^5+AI65*Beta_y^6,"")</f>
        <v>189.782118707739</v>
      </c>
      <c r="AL65" s="17" t="n">
        <f aca="false">IF($AC65=1,AK65+Beta_y^6*U65/Hurdle_r,"")</f>
        <v>824.815290018238</v>
      </c>
    </row>
    <row r="66" customFormat="false" ht="15" hidden="false" customHeight="false" outlineLevel="0" collapsed="false">
      <c r="A66" s="2" t="n">
        <v>58</v>
      </c>
      <c r="B66" s="2" t="str">
        <f aca="false">D66&amp;E66&amp;F66&amp;G66&amp;H66&amp;I66</f>
        <v>111010</v>
      </c>
      <c r="C66" s="15" t="n">
        <f aca="false">SUM(D66:I66)</f>
        <v>4</v>
      </c>
      <c r="D66" s="15" t="n">
        <f aca="false">MOD(INT($A66/32),2)</f>
        <v>1</v>
      </c>
      <c r="E66" s="15" t="n">
        <f aca="false">MOD(INT($A66/16),2)</f>
        <v>1</v>
      </c>
      <c r="F66" s="15" t="n">
        <f aca="false">MOD(INT($A66/8),2)</f>
        <v>1</v>
      </c>
      <c r="G66" s="15" t="n">
        <f aca="false">MOD(INT($A66/4),2)</f>
        <v>0</v>
      </c>
      <c r="H66" s="15" t="n">
        <f aca="false">MOD(INT($A66/2),2)</f>
        <v>1</v>
      </c>
      <c r="I66" s="15" t="n">
        <f aca="false">MOD(INT($A66/1),2)</f>
        <v>0</v>
      </c>
      <c r="J66" s="14" t="n">
        <f aca="false">E_zero+D66*(Half_gap*(Ceiling_e-E_zero)-$F$4)</f>
        <v>77</v>
      </c>
      <c r="K66" s="14" t="n">
        <f aca="false">J66+E66*(Half_gap*(Ceiling_e-J66)-$F$4)</f>
        <v>80</v>
      </c>
      <c r="L66" s="14" t="n">
        <f aca="false">K66+F66*(Half_gap*(Ceiling_e-K66)-$F$4)</f>
        <v>81.5</v>
      </c>
      <c r="M66" s="14" t="n">
        <f aca="false">L66+G66*(Half_gap*(Ceiling_e-L66)-$F$4)</f>
        <v>81.5</v>
      </c>
      <c r="N66" s="14" t="n">
        <f aca="false">M66+H66*(Half_gap*(Ceiling_e-M66)-$F$4)</f>
        <v>82.25</v>
      </c>
      <c r="O66" s="14" t="n">
        <f aca="false">N66+I66*(Half_gap*(Ceiling_e-N66)-$F$4)</f>
        <v>82.25</v>
      </c>
      <c r="P66" s="14" t="n">
        <f aca="false">Val_pt*(J66-E_zero)</f>
        <v>60</v>
      </c>
      <c r="Q66" s="14" t="n">
        <f aca="false">Val_pt*(K66-E_zero)</f>
        <v>90</v>
      </c>
      <c r="R66" s="14" t="n">
        <f aca="false">Val_pt*(L66-E_zero)</f>
        <v>105</v>
      </c>
      <c r="S66" s="14" t="n">
        <f aca="false">Val_pt*(M66-E_zero)</f>
        <v>105</v>
      </c>
      <c r="T66" s="14" t="n">
        <f aca="false">Val_pt*(N66-E_zero)</f>
        <v>112.5</v>
      </c>
      <c r="U66" s="14" t="n">
        <f aca="false">Val_pt*(O66-E_zero)</f>
        <v>112.5</v>
      </c>
      <c r="V66" s="14" t="n">
        <f aca="false">MAX(W66+Cost_round*D66-P66,IF(D66=1,Pre_q,0))</f>
        <v>560</v>
      </c>
      <c r="W66" s="14" t="n">
        <f aca="false">MAX(X66+Cost_round*E66-Q66,IF(E66=1,Pre_q,0),Floor_q)</f>
        <v>500</v>
      </c>
      <c r="X66" s="14" t="n">
        <f aca="false">MAX(Y66+Cost_round*F66-R66,IF(F66=1,Pre_q,0),Floor_q)</f>
        <v>470</v>
      </c>
      <c r="Y66" s="14" t="n">
        <f aca="false">MAX(Z66+Cost_round*G66-S66,IF(G66=1,Pre_q,0),Floor_q)</f>
        <v>365</v>
      </c>
      <c r="Z66" s="14" t="n">
        <f aca="false">MAX(AA66+Cost_round*H66-T66,IF(H66=1,Pre_q,0),Floor_q)</f>
        <v>470</v>
      </c>
      <c r="AA66" s="14" t="n">
        <f aca="false">MAX(AB66+Cost_round*I66-U66,IF(I66=1,Pre_q,0),Floor_q)</f>
        <v>357.5</v>
      </c>
      <c r="AB66" s="14" t="n">
        <f aca="false">MAX(End_q,Floor_q)</f>
        <v>470</v>
      </c>
      <c r="AC66" s="15" t="n">
        <f aca="false">IF(Q_zero&gt;=V66-0.000000001,1,0)</f>
        <v>1</v>
      </c>
      <c r="AD66" s="14" t="n">
        <f aca="false">IF($AC66=1,Q_zero-Cost_round*D66+P66-W66,"")</f>
        <v>60</v>
      </c>
      <c r="AE66" s="14" t="n">
        <f aca="false">IF($AC66=1,W66-Cost_round*E66+Q66-X66,"")</f>
        <v>0</v>
      </c>
      <c r="AF66" s="14" t="n">
        <f aca="false">IF($AC66=1,X66-Cost_round*F66+R66-Y66,"")</f>
        <v>90</v>
      </c>
      <c r="AG66" s="14" t="n">
        <f aca="false">IF($AC66=1,Y66-Cost_round*G66+S66-Z66,"")</f>
        <v>0</v>
      </c>
      <c r="AH66" s="14" t="n">
        <f aca="false">IF($AC66=1,Z66-Cost_round*H66+T66-AA66,"")</f>
        <v>105</v>
      </c>
      <c r="AI66" s="14" t="n">
        <f aca="false">IF($AC66=1,AA66-Cost_round*I66+U66-AB66,"")</f>
        <v>0</v>
      </c>
      <c r="AJ66" s="14" t="n">
        <f aca="false">IF($AC66=1,SUM(AD66:AI66),"")</f>
        <v>255</v>
      </c>
      <c r="AK66" s="17" t="n">
        <f aca="false">IF($AC66=1,AD66*Beta_y^1+AE66*Beta_y^2+AF66*Beta_y^3+AG66*Beta_y^4+AH66*Beta_y^5+AI66*Beta_y^6,"")</f>
        <v>187.360525547808</v>
      </c>
      <c r="AL66" s="17" t="n">
        <f aca="false">IF($AC66=1,AK66+Beta_y^6*U66/Hurdle_r,"")</f>
        <v>822.393696858307</v>
      </c>
    </row>
    <row r="67" customFormat="false" ht="15" hidden="false" customHeight="false" outlineLevel="0" collapsed="false">
      <c r="A67" s="2" t="n">
        <v>59</v>
      </c>
      <c r="B67" s="2" t="str">
        <f aca="false">D67&amp;E67&amp;F67&amp;G67&amp;H67&amp;I67</f>
        <v>111011</v>
      </c>
      <c r="C67" s="15" t="n">
        <f aca="false">SUM(D67:I67)</f>
        <v>5</v>
      </c>
      <c r="D67" s="15" t="n">
        <f aca="false">MOD(INT($A67/32),2)</f>
        <v>1</v>
      </c>
      <c r="E67" s="15" t="n">
        <f aca="false">MOD(INT($A67/16),2)</f>
        <v>1</v>
      </c>
      <c r="F67" s="15" t="n">
        <f aca="false">MOD(INT($A67/8),2)</f>
        <v>1</v>
      </c>
      <c r="G67" s="15" t="n">
        <f aca="false">MOD(INT($A67/4),2)</f>
        <v>0</v>
      </c>
      <c r="H67" s="15" t="n">
        <f aca="false">MOD(INT($A67/2),2)</f>
        <v>1</v>
      </c>
      <c r="I67" s="15" t="n">
        <f aca="false">MOD(INT($A67/1),2)</f>
        <v>1</v>
      </c>
      <c r="J67" s="14" t="n">
        <f aca="false">E_zero+D67*(Half_gap*(Ceiling_e-E_zero)-$F$4)</f>
        <v>77</v>
      </c>
      <c r="K67" s="14" t="n">
        <f aca="false">J67+E67*(Half_gap*(Ceiling_e-J67)-$F$4)</f>
        <v>80</v>
      </c>
      <c r="L67" s="14" t="n">
        <f aca="false">K67+F67*(Half_gap*(Ceiling_e-K67)-$F$4)</f>
        <v>81.5</v>
      </c>
      <c r="M67" s="14" t="n">
        <f aca="false">L67+G67*(Half_gap*(Ceiling_e-L67)-$F$4)</f>
        <v>81.5</v>
      </c>
      <c r="N67" s="14" t="n">
        <f aca="false">M67+H67*(Half_gap*(Ceiling_e-M67)-$F$4)</f>
        <v>82.25</v>
      </c>
      <c r="O67" s="14" t="n">
        <f aca="false">N67+I67*(Half_gap*(Ceiling_e-N67)-$F$4)</f>
        <v>82.625</v>
      </c>
      <c r="P67" s="14" t="n">
        <f aca="false">Val_pt*(J67-E_zero)</f>
        <v>60</v>
      </c>
      <c r="Q67" s="14" t="n">
        <f aca="false">Val_pt*(K67-E_zero)</f>
        <v>90</v>
      </c>
      <c r="R67" s="14" t="n">
        <f aca="false">Val_pt*(L67-E_zero)</f>
        <v>105</v>
      </c>
      <c r="S67" s="14" t="n">
        <f aca="false">Val_pt*(M67-E_zero)</f>
        <v>105</v>
      </c>
      <c r="T67" s="14" t="n">
        <f aca="false">Val_pt*(N67-E_zero)</f>
        <v>112.5</v>
      </c>
      <c r="U67" s="14" t="n">
        <f aca="false">Val_pt*(O67-E_zero)</f>
        <v>116.25</v>
      </c>
      <c r="V67" s="14" t="n">
        <f aca="false">MAX(W67+Cost_round*D67-P67,IF(D67=1,Pre_q,0))</f>
        <v>560</v>
      </c>
      <c r="W67" s="14" t="n">
        <f aca="false">MAX(X67+Cost_round*E67-Q67,IF(E67=1,Pre_q,0),Floor_q)</f>
        <v>500</v>
      </c>
      <c r="X67" s="14" t="n">
        <f aca="false">MAX(Y67+Cost_round*F67-R67,IF(F67=1,Pre_q,0),Floor_q)</f>
        <v>470</v>
      </c>
      <c r="Y67" s="14" t="n">
        <f aca="false">MAX(Z67+Cost_round*G67-S67,IF(G67=1,Pre_q,0),Floor_q)</f>
        <v>376.25</v>
      </c>
      <c r="Z67" s="14" t="n">
        <f aca="false">MAX(AA67+Cost_round*H67-T67,IF(H67=1,Pre_q,0),Floor_q)</f>
        <v>481.25</v>
      </c>
      <c r="AA67" s="14" t="n">
        <f aca="false">MAX(AB67+Cost_round*I67-U67,IF(I67=1,Pre_q,0),Floor_q)</f>
        <v>473.75</v>
      </c>
      <c r="AB67" s="14" t="n">
        <f aca="false">MAX(End_q,Floor_q)</f>
        <v>470</v>
      </c>
      <c r="AC67" s="15" t="n">
        <f aca="false">IF(Q_zero&gt;=V67-0.000000001,1,0)</f>
        <v>1</v>
      </c>
      <c r="AD67" s="14" t="n">
        <f aca="false">IF($AC67=1,Q_zero-Cost_round*D67+P67-W67,"")</f>
        <v>60</v>
      </c>
      <c r="AE67" s="14" t="n">
        <f aca="false">IF($AC67=1,W67-Cost_round*E67+Q67-X67,"")</f>
        <v>0</v>
      </c>
      <c r="AF67" s="14" t="n">
        <f aca="false">IF($AC67=1,X67-Cost_round*F67+R67-Y67,"")</f>
        <v>78.75</v>
      </c>
      <c r="AG67" s="14" t="n">
        <f aca="false">IF($AC67=1,Y67-Cost_round*G67+S67-Z67,"")</f>
        <v>0</v>
      </c>
      <c r="AH67" s="14" t="n">
        <f aca="false">IF($AC67=1,Z67-Cost_round*H67+T67-AA67,"")</f>
        <v>0</v>
      </c>
      <c r="AI67" s="14" t="n">
        <f aca="false">IF($AC67=1,AA67-Cost_round*I67+U67-AB67,"")</f>
        <v>0</v>
      </c>
      <c r="AJ67" s="14" t="n">
        <f aca="false">IF($AC67=1,SUM(AD67:AI67),"")</f>
        <v>138.75</v>
      </c>
      <c r="AK67" s="17" t="n">
        <f aca="false">IF($AC67=1,AD67*Beta_y^1+AE67*Beta_y^2+AF67*Beta_y^3+AG67*Beta_y^4+AH67*Beta_y^5+AI67*Beta_y^6,"")</f>
        <v>113.711495116454</v>
      </c>
      <c r="AL67" s="17" t="n">
        <f aca="false">IF($AC67=1,AK67+Beta_y^6*U67/Hurdle_r,"")</f>
        <v>769.91243880397</v>
      </c>
    </row>
    <row r="68" customFormat="false" ht="15" hidden="false" customHeight="false" outlineLevel="0" collapsed="false">
      <c r="A68" s="2" t="n">
        <v>60</v>
      </c>
      <c r="B68" s="2" t="str">
        <f aca="false">D68&amp;E68&amp;F68&amp;G68&amp;H68&amp;I68</f>
        <v>111100</v>
      </c>
      <c r="C68" s="15" t="n">
        <f aca="false">SUM(D68:I68)</f>
        <v>4</v>
      </c>
      <c r="D68" s="15" t="n">
        <f aca="false">MOD(INT($A68/32),2)</f>
        <v>1</v>
      </c>
      <c r="E68" s="15" t="n">
        <f aca="false">MOD(INT($A68/16),2)</f>
        <v>1</v>
      </c>
      <c r="F68" s="15" t="n">
        <f aca="false">MOD(INT($A68/8),2)</f>
        <v>1</v>
      </c>
      <c r="G68" s="15" t="n">
        <f aca="false">MOD(INT($A68/4),2)</f>
        <v>1</v>
      </c>
      <c r="H68" s="15" t="n">
        <f aca="false">MOD(INT($A68/2),2)</f>
        <v>0</v>
      </c>
      <c r="I68" s="15" t="n">
        <f aca="false">MOD(INT($A68/1),2)</f>
        <v>0</v>
      </c>
      <c r="J68" s="14" t="n">
        <f aca="false">E_zero+D68*(Half_gap*(Ceiling_e-E_zero)-$F$4)</f>
        <v>77</v>
      </c>
      <c r="K68" s="14" t="n">
        <f aca="false">J68+E68*(Half_gap*(Ceiling_e-J68)-$F$4)</f>
        <v>80</v>
      </c>
      <c r="L68" s="14" t="n">
        <f aca="false">K68+F68*(Half_gap*(Ceiling_e-K68)-$F$4)</f>
        <v>81.5</v>
      </c>
      <c r="M68" s="14" t="n">
        <f aca="false">L68+G68*(Half_gap*(Ceiling_e-L68)-$F$4)</f>
        <v>82.25</v>
      </c>
      <c r="N68" s="14" t="n">
        <f aca="false">M68+H68*(Half_gap*(Ceiling_e-M68)-$F$4)</f>
        <v>82.25</v>
      </c>
      <c r="O68" s="14" t="n">
        <f aca="false">N68+I68*(Half_gap*(Ceiling_e-N68)-$F$4)</f>
        <v>82.25</v>
      </c>
      <c r="P68" s="14" t="n">
        <f aca="false">Val_pt*(J68-E_zero)</f>
        <v>60</v>
      </c>
      <c r="Q68" s="14" t="n">
        <f aca="false">Val_pt*(K68-E_zero)</f>
        <v>90</v>
      </c>
      <c r="R68" s="14" t="n">
        <f aca="false">Val_pt*(L68-E_zero)</f>
        <v>105</v>
      </c>
      <c r="S68" s="14" t="n">
        <f aca="false">Val_pt*(M68-E_zero)</f>
        <v>112.5</v>
      </c>
      <c r="T68" s="14" t="n">
        <f aca="false">Val_pt*(N68-E_zero)</f>
        <v>112.5</v>
      </c>
      <c r="U68" s="14" t="n">
        <f aca="false">Val_pt*(O68-E_zero)</f>
        <v>112.5</v>
      </c>
      <c r="V68" s="14" t="n">
        <f aca="false">MAX(W68+Cost_round*D68-P68,IF(D68=1,Pre_q,0))</f>
        <v>575</v>
      </c>
      <c r="W68" s="14" t="n">
        <f aca="false">MAX(X68+Cost_round*E68-Q68,IF(E68=1,Pre_q,0),Floor_q)</f>
        <v>515</v>
      </c>
      <c r="X68" s="14" t="n">
        <f aca="false">MAX(Y68+Cost_round*F68-R68,IF(F68=1,Pre_q,0),Floor_q)</f>
        <v>485</v>
      </c>
      <c r="Y68" s="14" t="n">
        <f aca="false">MAX(Z68+Cost_round*G68-S68,IF(G68=1,Pre_q,0),Floor_q)</f>
        <v>470</v>
      </c>
      <c r="Z68" s="14" t="n">
        <f aca="false">MAX(AA68+Cost_round*H68-T68,IF(H68=1,Pre_q,0),Floor_q)</f>
        <v>350</v>
      </c>
      <c r="AA68" s="14" t="n">
        <f aca="false">MAX(AB68+Cost_round*I68-U68,IF(I68=1,Pre_q,0),Floor_q)</f>
        <v>357.5</v>
      </c>
      <c r="AB68" s="14" t="n">
        <f aca="false">MAX(End_q,Floor_q)</f>
        <v>470</v>
      </c>
      <c r="AC68" s="15" t="n">
        <f aca="false">IF(Q_zero&gt;=V68-0.000000001,1,0)</f>
        <v>1</v>
      </c>
      <c r="AD68" s="14" t="n">
        <f aca="false">IF($AC68=1,Q_zero-Cost_round*D68+P68-W68,"")</f>
        <v>45</v>
      </c>
      <c r="AE68" s="14" t="n">
        <f aca="false">IF($AC68=1,W68-Cost_round*E68+Q68-X68,"")</f>
        <v>0</v>
      </c>
      <c r="AF68" s="14" t="n">
        <f aca="false">IF($AC68=1,X68-Cost_round*F68+R68-Y68,"")</f>
        <v>0</v>
      </c>
      <c r="AG68" s="14" t="n">
        <f aca="false">IF($AC68=1,Y68-Cost_round*G68+S68-Z68,"")</f>
        <v>112.5</v>
      </c>
      <c r="AH68" s="14" t="n">
        <f aca="false">IF($AC68=1,Z68-Cost_round*H68+T68-AA68,"")</f>
        <v>105</v>
      </c>
      <c r="AI68" s="14" t="n">
        <f aca="false">IF($AC68=1,AA68-Cost_round*I68+U68-AB68,"")</f>
        <v>0</v>
      </c>
      <c r="AJ68" s="14" t="n">
        <f aca="false">IF($AC68=1,SUM(AD68:AI68),"")</f>
        <v>262.5</v>
      </c>
      <c r="AK68" s="17" t="n">
        <f aca="false">IF($AC68=1,AD68*Beta_y^1+AE68*Beta_y^2+AF68*Beta_y^3+AG68*Beta_y^4+AH68*Beta_y^5+AI68*Beta_y^6,"")</f>
        <v>182.944843558873</v>
      </c>
      <c r="AL68" s="17" t="n">
        <f aca="false">IF($AC68=1,AK68+Beta_y^6*U68/Hurdle_r,"")</f>
        <v>817.978014869372</v>
      </c>
    </row>
    <row r="69" customFormat="false" ht="15" hidden="false" customHeight="false" outlineLevel="0" collapsed="false">
      <c r="A69" s="2" t="n">
        <v>61</v>
      </c>
      <c r="B69" s="2" t="str">
        <f aca="false">D69&amp;E69&amp;F69&amp;G69&amp;H69&amp;I69</f>
        <v>111101</v>
      </c>
      <c r="C69" s="15" t="n">
        <f aca="false">SUM(D69:I69)</f>
        <v>5</v>
      </c>
      <c r="D69" s="15" t="n">
        <f aca="false">MOD(INT($A69/32),2)</f>
        <v>1</v>
      </c>
      <c r="E69" s="15" t="n">
        <f aca="false">MOD(INT($A69/16),2)</f>
        <v>1</v>
      </c>
      <c r="F69" s="15" t="n">
        <f aca="false">MOD(INT($A69/8),2)</f>
        <v>1</v>
      </c>
      <c r="G69" s="15" t="n">
        <f aca="false">MOD(INT($A69/4),2)</f>
        <v>1</v>
      </c>
      <c r="H69" s="15" t="n">
        <f aca="false">MOD(INT($A69/2),2)</f>
        <v>0</v>
      </c>
      <c r="I69" s="15" t="n">
        <f aca="false">MOD(INT($A69/1),2)</f>
        <v>1</v>
      </c>
      <c r="J69" s="14" t="n">
        <f aca="false">E_zero+D69*(Half_gap*(Ceiling_e-E_zero)-$F$4)</f>
        <v>77</v>
      </c>
      <c r="K69" s="14" t="n">
        <f aca="false">J69+E69*(Half_gap*(Ceiling_e-J69)-$F$4)</f>
        <v>80</v>
      </c>
      <c r="L69" s="14" t="n">
        <f aca="false">K69+F69*(Half_gap*(Ceiling_e-K69)-$F$4)</f>
        <v>81.5</v>
      </c>
      <c r="M69" s="14" t="n">
        <f aca="false">L69+G69*(Half_gap*(Ceiling_e-L69)-$F$4)</f>
        <v>82.25</v>
      </c>
      <c r="N69" s="14" t="n">
        <f aca="false">M69+H69*(Half_gap*(Ceiling_e-M69)-$F$4)</f>
        <v>82.25</v>
      </c>
      <c r="O69" s="14" t="n">
        <f aca="false">N69+I69*(Half_gap*(Ceiling_e-N69)-$F$4)</f>
        <v>82.625</v>
      </c>
      <c r="P69" s="14" t="n">
        <f aca="false">Val_pt*(J69-E_zero)</f>
        <v>60</v>
      </c>
      <c r="Q69" s="14" t="n">
        <f aca="false">Val_pt*(K69-E_zero)</f>
        <v>90</v>
      </c>
      <c r="R69" s="14" t="n">
        <f aca="false">Val_pt*(L69-E_zero)</f>
        <v>105</v>
      </c>
      <c r="S69" s="14" t="n">
        <f aca="false">Val_pt*(M69-E_zero)</f>
        <v>112.5</v>
      </c>
      <c r="T69" s="14" t="n">
        <f aca="false">Val_pt*(N69-E_zero)</f>
        <v>112.5</v>
      </c>
      <c r="U69" s="14" t="n">
        <f aca="false">Val_pt*(O69-E_zero)</f>
        <v>116.25</v>
      </c>
      <c r="V69" s="14" t="n">
        <f aca="false">MAX(W69+Cost_round*D69-P69,IF(D69=1,Pre_q,0))</f>
        <v>575</v>
      </c>
      <c r="W69" s="14" t="n">
        <f aca="false">MAX(X69+Cost_round*E69-Q69,IF(E69=1,Pre_q,0),Floor_q)</f>
        <v>515</v>
      </c>
      <c r="X69" s="14" t="n">
        <f aca="false">MAX(Y69+Cost_round*F69-R69,IF(F69=1,Pre_q,0),Floor_q)</f>
        <v>485</v>
      </c>
      <c r="Y69" s="14" t="n">
        <f aca="false">MAX(Z69+Cost_round*G69-S69,IF(G69=1,Pre_q,0),Floor_q)</f>
        <v>470</v>
      </c>
      <c r="Z69" s="14" t="n">
        <f aca="false">MAX(AA69+Cost_round*H69-T69,IF(H69=1,Pre_q,0),Floor_q)</f>
        <v>361.25</v>
      </c>
      <c r="AA69" s="14" t="n">
        <f aca="false">MAX(AB69+Cost_round*I69-U69,IF(I69=1,Pre_q,0),Floor_q)</f>
        <v>473.75</v>
      </c>
      <c r="AB69" s="14" t="n">
        <f aca="false">MAX(End_q,Floor_q)</f>
        <v>470</v>
      </c>
      <c r="AC69" s="15" t="n">
        <f aca="false">IF(Q_zero&gt;=V69-0.000000001,1,0)</f>
        <v>1</v>
      </c>
      <c r="AD69" s="14" t="n">
        <f aca="false">IF($AC69=1,Q_zero-Cost_round*D69+P69-W69,"")</f>
        <v>45</v>
      </c>
      <c r="AE69" s="14" t="n">
        <f aca="false">IF($AC69=1,W69-Cost_round*E69+Q69-X69,"")</f>
        <v>0</v>
      </c>
      <c r="AF69" s="14" t="n">
        <f aca="false">IF($AC69=1,X69-Cost_round*F69+R69-Y69,"")</f>
        <v>0</v>
      </c>
      <c r="AG69" s="14" t="n">
        <f aca="false">IF($AC69=1,Y69-Cost_round*G69+S69-Z69,"")</f>
        <v>101.25</v>
      </c>
      <c r="AH69" s="14" t="n">
        <f aca="false">IF($AC69=1,Z69-Cost_round*H69+T69-AA69,"")</f>
        <v>0</v>
      </c>
      <c r="AI69" s="14" t="n">
        <f aca="false">IF($AC69=1,AA69-Cost_round*I69+U69-AB69,"")</f>
        <v>0</v>
      </c>
      <c r="AJ69" s="14" t="n">
        <f aca="false">IF($AC69=1,SUM(AD69:AI69),"")</f>
        <v>146.25</v>
      </c>
      <c r="AK69" s="17" t="n">
        <f aca="false">IF($AC69=1,AD69*Beta_y^1+AE69*Beta_y^2+AF69*Beta_y^3+AG69*Beta_y^4+AH69*Beta_y^5+AI69*Beta_y^6,"")</f>
        <v>110.064203264804</v>
      </c>
      <c r="AL69" s="17" t="n">
        <f aca="false">IF($AC69=1,AK69+Beta_y^6*U69/Hurdle_r,"")</f>
        <v>766.26514695232</v>
      </c>
    </row>
    <row r="70" customFormat="false" ht="15" hidden="false" customHeight="false" outlineLevel="0" collapsed="false">
      <c r="A70" s="2" t="n">
        <v>62</v>
      </c>
      <c r="B70" s="2" t="str">
        <f aca="false">D70&amp;E70&amp;F70&amp;G70&amp;H70&amp;I70</f>
        <v>111110</v>
      </c>
      <c r="C70" s="15" t="n">
        <f aca="false">SUM(D70:I70)</f>
        <v>5</v>
      </c>
      <c r="D70" s="15" t="n">
        <f aca="false">MOD(INT($A70/32),2)</f>
        <v>1</v>
      </c>
      <c r="E70" s="15" t="n">
        <f aca="false">MOD(INT($A70/16),2)</f>
        <v>1</v>
      </c>
      <c r="F70" s="15" t="n">
        <f aca="false">MOD(INT($A70/8),2)</f>
        <v>1</v>
      </c>
      <c r="G70" s="15" t="n">
        <f aca="false">MOD(INT($A70/4),2)</f>
        <v>1</v>
      </c>
      <c r="H70" s="15" t="n">
        <f aca="false">MOD(INT($A70/2),2)</f>
        <v>1</v>
      </c>
      <c r="I70" s="15" t="n">
        <f aca="false">MOD(INT($A70/1),2)</f>
        <v>0</v>
      </c>
      <c r="J70" s="14" t="n">
        <f aca="false">E_zero+D70*(Half_gap*(Ceiling_e-E_zero)-$F$4)</f>
        <v>77</v>
      </c>
      <c r="K70" s="14" t="n">
        <f aca="false">J70+E70*(Half_gap*(Ceiling_e-J70)-$F$4)</f>
        <v>80</v>
      </c>
      <c r="L70" s="14" t="n">
        <f aca="false">K70+F70*(Half_gap*(Ceiling_e-K70)-$F$4)</f>
        <v>81.5</v>
      </c>
      <c r="M70" s="14" t="n">
        <f aca="false">L70+G70*(Half_gap*(Ceiling_e-L70)-$F$4)</f>
        <v>82.25</v>
      </c>
      <c r="N70" s="14" t="n">
        <f aca="false">M70+H70*(Half_gap*(Ceiling_e-M70)-$F$4)</f>
        <v>82.625</v>
      </c>
      <c r="O70" s="14" t="n">
        <f aca="false">N70+I70*(Half_gap*(Ceiling_e-N70)-$F$4)</f>
        <v>82.625</v>
      </c>
      <c r="P70" s="14" t="n">
        <f aca="false">Val_pt*(J70-E_zero)</f>
        <v>60</v>
      </c>
      <c r="Q70" s="14" t="n">
        <f aca="false">Val_pt*(K70-E_zero)</f>
        <v>90</v>
      </c>
      <c r="R70" s="14" t="n">
        <f aca="false">Val_pt*(L70-E_zero)</f>
        <v>105</v>
      </c>
      <c r="S70" s="14" t="n">
        <f aca="false">Val_pt*(M70-E_zero)</f>
        <v>112.5</v>
      </c>
      <c r="T70" s="14" t="n">
        <f aca="false">Val_pt*(N70-E_zero)</f>
        <v>116.25</v>
      </c>
      <c r="U70" s="14" t="n">
        <f aca="false">Val_pt*(O70-E_zero)</f>
        <v>116.25</v>
      </c>
      <c r="V70" s="14" t="n">
        <f aca="false">MAX(W70+Cost_round*D70-P70,IF(D70=1,Pre_q,0))</f>
        <v>582.5</v>
      </c>
      <c r="W70" s="14" t="n">
        <f aca="false">MAX(X70+Cost_round*E70-Q70,IF(E70=1,Pre_q,0),Floor_q)</f>
        <v>522.5</v>
      </c>
      <c r="X70" s="14" t="n">
        <f aca="false">MAX(Y70+Cost_round*F70-R70,IF(F70=1,Pre_q,0),Floor_q)</f>
        <v>492.5</v>
      </c>
      <c r="Y70" s="14" t="n">
        <f aca="false">MAX(Z70+Cost_round*G70-S70,IF(G70=1,Pre_q,0),Floor_q)</f>
        <v>477.5</v>
      </c>
      <c r="Z70" s="14" t="n">
        <f aca="false">MAX(AA70+Cost_round*H70-T70,IF(H70=1,Pre_q,0),Floor_q)</f>
        <v>470</v>
      </c>
      <c r="AA70" s="14" t="n">
        <f aca="false">MAX(AB70+Cost_round*I70-U70,IF(I70=1,Pre_q,0),Floor_q)</f>
        <v>353.75</v>
      </c>
      <c r="AB70" s="14" t="n">
        <f aca="false">MAX(End_q,Floor_q)</f>
        <v>470</v>
      </c>
      <c r="AC70" s="15" t="n">
        <f aca="false">IF(Q_zero&gt;=V70-0.000000001,1,0)</f>
        <v>1</v>
      </c>
      <c r="AD70" s="14" t="n">
        <f aca="false">IF($AC70=1,Q_zero-Cost_round*D70+P70-W70,"")</f>
        <v>37.5</v>
      </c>
      <c r="AE70" s="14" t="n">
        <f aca="false">IF($AC70=1,W70-Cost_round*E70+Q70-X70,"")</f>
        <v>0</v>
      </c>
      <c r="AF70" s="14" t="n">
        <f aca="false">IF($AC70=1,X70-Cost_round*F70+R70-Y70,"")</f>
        <v>0</v>
      </c>
      <c r="AG70" s="14" t="n">
        <f aca="false">IF($AC70=1,Y70-Cost_round*G70+S70-Z70,"")</f>
        <v>0</v>
      </c>
      <c r="AH70" s="14" t="n">
        <f aca="false">IF($AC70=1,Z70-Cost_round*H70+T70-AA70,"")</f>
        <v>112.5</v>
      </c>
      <c r="AI70" s="14" t="n">
        <f aca="false">IF($AC70=1,AA70-Cost_round*I70+U70-AB70,"")</f>
        <v>0</v>
      </c>
      <c r="AJ70" s="14" t="n">
        <f aca="false">IF($AC70=1,SUM(AD70:AI70),"")</f>
        <v>150</v>
      </c>
      <c r="AK70" s="17" t="n">
        <f aca="false">IF($AC70=1,AD70*Beta_y^1+AE70*Beta_y^2+AF70*Beta_y^3+AG70*Beta_y^4+AH70*Beta_y^5+AI70*Beta_y^6,"")</f>
        <v>103.944557935064</v>
      </c>
      <c r="AL70" s="17" t="n">
        <f aca="false">IF($AC70=1,AK70+Beta_y^6*U70/Hurdle_r,"")</f>
        <v>760.14550162258</v>
      </c>
    </row>
    <row r="71" customFormat="false" ht="15" hidden="false" customHeight="false" outlineLevel="0" collapsed="false">
      <c r="A71" s="2" t="n">
        <v>63</v>
      </c>
      <c r="B71" s="2" t="str">
        <f aca="false">D71&amp;E71&amp;F71&amp;G71&amp;H71&amp;I71</f>
        <v>111111</v>
      </c>
      <c r="C71" s="15" t="n">
        <f aca="false">SUM(D71:I71)</f>
        <v>6</v>
      </c>
      <c r="D71" s="15" t="n">
        <f aca="false">MOD(INT($A71/32),2)</f>
        <v>1</v>
      </c>
      <c r="E71" s="15" t="n">
        <f aca="false">MOD(INT($A71/16),2)</f>
        <v>1</v>
      </c>
      <c r="F71" s="15" t="n">
        <f aca="false">MOD(INT($A71/8),2)</f>
        <v>1</v>
      </c>
      <c r="G71" s="15" t="n">
        <f aca="false">MOD(INT($A71/4),2)</f>
        <v>1</v>
      </c>
      <c r="H71" s="15" t="n">
        <f aca="false">MOD(INT($A71/2),2)</f>
        <v>1</v>
      </c>
      <c r="I71" s="15" t="n">
        <f aca="false">MOD(INT($A71/1),2)</f>
        <v>1</v>
      </c>
      <c r="J71" s="14" t="n">
        <f aca="false">E_zero+D71*(Half_gap*(Ceiling_e-E_zero)-$F$4)</f>
        <v>77</v>
      </c>
      <c r="K71" s="14" t="n">
        <f aca="false">J71+E71*(Half_gap*(Ceiling_e-J71)-$F$4)</f>
        <v>80</v>
      </c>
      <c r="L71" s="14" t="n">
        <f aca="false">K71+F71*(Half_gap*(Ceiling_e-K71)-$F$4)</f>
        <v>81.5</v>
      </c>
      <c r="M71" s="14" t="n">
        <f aca="false">L71+G71*(Half_gap*(Ceiling_e-L71)-$F$4)</f>
        <v>82.25</v>
      </c>
      <c r="N71" s="14" t="n">
        <f aca="false">M71+H71*(Half_gap*(Ceiling_e-M71)-$F$4)</f>
        <v>82.625</v>
      </c>
      <c r="O71" s="14" t="n">
        <f aca="false">N71+I71*(Half_gap*(Ceiling_e-N71)-$F$4)</f>
        <v>82.8125</v>
      </c>
      <c r="P71" s="14" t="n">
        <f aca="false">Val_pt*(J71-E_zero)</f>
        <v>60</v>
      </c>
      <c r="Q71" s="14" t="n">
        <f aca="false">Val_pt*(K71-E_zero)</f>
        <v>90</v>
      </c>
      <c r="R71" s="14" t="n">
        <f aca="false">Val_pt*(L71-E_zero)</f>
        <v>105</v>
      </c>
      <c r="S71" s="14" t="n">
        <f aca="false">Val_pt*(M71-E_zero)</f>
        <v>112.5</v>
      </c>
      <c r="T71" s="14" t="n">
        <f aca="false">Val_pt*(N71-E_zero)</f>
        <v>116.25</v>
      </c>
      <c r="U71" s="14" t="n">
        <f aca="false">Val_pt*(O71-E_zero)</f>
        <v>118.125</v>
      </c>
      <c r="V71" s="14" t="n">
        <f aca="false">MAX(W71+Cost_round*D71-P71,IF(D71=1,Pre_q,0))</f>
        <v>588.125</v>
      </c>
      <c r="W71" s="14" t="n">
        <f aca="false">MAX(X71+Cost_round*E71-Q71,IF(E71=1,Pre_q,0),Floor_q)</f>
        <v>528.125</v>
      </c>
      <c r="X71" s="14" t="n">
        <f aca="false">MAX(Y71+Cost_round*F71-R71,IF(F71=1,Pre_q,0),Floor_q)</f>
        <v>498.125</v>
      </c>
      <c r="Y71" s="14" t="n">
        <f aca="false">MAX(Z71+Cost_round*G71-S71,IF(G71=1,Pre_q,0),Floor_q)</f>
        <v>483.125</v>
      </c>
      <c r="Z71" s="14" t="n">
        <f aca="false">MAX(AA71+Cost_round*H71-T71,IF(H71=1,Pre_q,0),Floor_q)</f>
        <v>475.625</v>
      </c>
      <c r="AA71" s="14" t="n">
        <f aca="false">MAX(AB71+Cost_round*I71-U71,IF(I71=1,Pre_q,0),Floor_q)</f>
        <v>471.875</v>
      </c>
      <c r="AB71" s="14" t="n">
        <f aca="false">MAX(End_q,Floor_q)</f>
        <v>470</v>
      </c>
      <c r="AC71" s="15" t="n">
        <f aca="false">IF(Q_zero&gt;=V71-0.000000001,1,0)</f>
        <v>1</v>
      </c>
      <c r="AD71" s="14" t="n">
        <f aca="false">IF($AC71=1,Q_zero-Cost_round*D71+P71-W71,"")</f>
        <v>31.875</v>
      </c>
      <c r="AE71" s="14" t="n">
        <f aca="false">IF($AC71=1,W71-Cost_round*E71+Q71-X71,"")</f>
        <v>0</v>
      </c>
      <c r="AF71" s="14" t="n">
        <f aca="false">IF($AC71=1,X71-Cost_round*F71+R71-Y71,"")</f>
        <v>0</v>
      </c>
      <c r="AG71" s="14" t="n">
        <f aca="false">IF($AC71=1,Y71-Cost_round*G71+S71-Z71,"")</f>
        <v>0</v>
      </c>
      <c r="AH71" s="14" t="n">
        <f aca="false">IF($AC71=1,Z71-Cost_round*H71+T71-AA71,"")</f>
        <v>0</v>
      </c>
      <c r="AI71" s="14" t="n">
        <f aca="false">IF($AC71=1,AA71-Cost_round*I71+U71-AB71,"")</f>
        <v>0</v>
      </c>
      <c r="AJ71" s="14" t="n">
        <f aca="false">IF($AC71=1,SUM(AD71:AI71),"")</f>
        <v>31.875</v>
      </c>
      <c r="AK71" s="17" t="n">
        <f aca="false">IF($AC71=1,AD71*Beta_y^1+AE71*Beta_y^2+AF71*Beta_y^3+AG71*Beta_y^4+AH71*Beta_y^5+AI71*Beta_y^6,"")</f>
        <v>28.9772727272727</v>
      </c>
      <c r="AL71" s="17" t="n">
        <f aca="false">IF($AC71=1,AK71+Beta_y^6*U71/Hurdle_r,"")</f>
        <v>695.762102603297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8" min="3" style="0" width="10"/>
    <col collapsed="false" customWidth="true" hidden="false" outlineLevel="0" max="9" min="9" style="0" width="12"/>
    <col collapsed="false" customWidth="true" hidden="false" outlineLevel="0" max="10" min="10" style="0" width="22"/>
  </cols>
  <sheetData>
    <row r="1" customFormat="false" ht="15" hidden="false" customHeight="false" outlineLevel="0" collapsed="false">
      <c r="A1" s="1" t="s">
        <v>325</v>
      </c>
    </row>
    <row r="3" customFormat="false" ht="23.85" hidden="false" customHeight="false" outlineLevel="0" collapsed="false">
      <c r="A3" s="8" t="s">
        <v>326</v>
      </c>
      <c r="B3" s="8" t="s">
        <v>327</v>
      </c>
      <c r="C3" s="8" t="s">
        <v>328</v>
      </c>
      <c r="D3" s="8" t="s">
        <v>329</v>
      </c>
      <c r="E3" s="8" t="s">
        <v>330</v>
      </c>
      <c r="F3" s="8" t="s">
        <v>331</v>
      </c>
      <c r="G3" s="8" t="s">
        <v>332</v>
      </c>
      <c r="H3" s="8" t="s">
        <v>333</v>
      </c>
      <c r="I3" s="8" t="s">
        <v>17</v>
      </c>
      <c r="J3" s="8" t="s">
        <v>301</v>
      </c>
    </row>
    <row r="4" customFormat="false" ht="15" hidden="false" customHeight="false" outlineLevel="0" collapsed="false">
      <c r="A4" s="2" t="s">
        <v>334</v>
      </c>
      <c r="B4" s="2" t="str">
        <f aca="false">MID(IF(Simulate!D6=1,", 1","")&amp;IF(Simulate!D7=1,", 2","")&amp;IF(Simulate!D8=1,", 3","")&amp;IF(Simulate!D9=1,", 4","")&amp;IF(Simulate!D10=1,", 5","")&amp;IF(Simulate!D11=1,", 6",""),3,40)</f>
        <v>1</v>
      </c>
      <c r="C4" s="18" t="n">
        <f aca="false">Simulate!G6</f>
        <v>220</v>
      </c>
      <c r="D4" s="18" t="n">
        <f aca="false">Simulate!G7</f>
        <v>70</v>
      </c>
      <c r="E4" s="18" t="n">
        <f aca="false">Simulate!G8</f>
        <v>70</v>
      </c>
      <c r="F4" s="18" t="n">
        <f aca="false">Simulate!G9</f>
        <v>70</v>
      </c>
      <c r="G4" s="18" t="n">
        <f aca="false">Simulate!G10</f>
        <v>70</v>
      </c>
      <c r="H4" s="18" t="n">
        <f aca="false">Simulate!G11</f>
        <v>70</v>
      </c>
      <c r="I4" s="29" t="n">
        <f aca="false">Simulate!H20</f>
        <v>836.363636363636</v>
      </c>
      <c r="J4" s="30" t="str">
        <f aca="false">IF(Simulate!H17="kept","kept","end missed")</f>
        <v>end missed</v>
      </c>
    </row>
    <row r="5" customFormat="false" ht="15" hidden="false" customHeight="false" outlineLevel="0" collapsed="false">
      <c r="A5" s="4" t="s">
        <v>181</v>
      </c>
      <c r="B5" s="2" t="str">
        <f aca="false">MID(IF(BestPlan!B12=1,", 1","")&amp;IF(BestPlan!B13=1,", 2","")&amp;IF(BestPlan!B14=1,", 3","")&amp;IF(BestPlan!B15=1,", 4","")&amp;IF(BestPlan!B16=1,", 5","")&amp;IF(BestPlan!B17=1,", 6",""),3,40)</f>
        <v>1, 2, 3</v>
      </c>
      <c r="C5" s="18" t="n">
        <f aca="false">BestPlan!F12</f>
        <v>85</v>
      </c>
      <c r="D5" s="18" t="n">
        <f aca="false">BestPlan!F13</f>
        <v>0</v>
      </c>
      <c r="E5" s="18" t="n">
        <f aca="false">BestPlan!F14</f>
        <v>122.5</v>
      </c>
      <c r="F5" s="18" t="n">
        <f aca="false">BestPlan!F15</f>
        <v>122.5</v>
      </c>
      <c r="G5" s="18" t="n">
        <f aca="false">BestPlan!F16</f>
        <v>122.5</v>
      </c>
      <c r="H5" s="18" t="n">
        <f aca="false">BestPlan!F17</f>
        <v>2.5</v>
      </c>
      <c r="I5" s="29" t="n">
        <f aca="false">BestPlan!H22</f>
        <v>1021.93254988115</v>
      </c>
      <c r="J5" s="30" t="str">
        <f aca="false">IF(BestPlan!H27="yes","kept","check")</f>
        <v>kept</v>
      </c>
    </row>
    <row r="6" customFormat="false" ht="15" hidden="false" customHeight="false" outlineLevel="0" collapsed="false">
      <c r="A6" s="2" t="s">
        <v>231</v>
      </c>
      <c r="B6" s="2" t="str">
        <f aca="false">MID(IF(INDEX(Transcribe!$D$8:$D$71,Horizons!C5)=1,", 1","")&amp;IF(INDEX(Transcribe!$E$8:$E$71,Horizons!C5)=1,", 2","")&amp;IF(INDEX(Transcribe!$F$8:$F$71,Horizons!C5)=1,", 3","")&amp;IF(INDEX(Transcribe!$G$8:$G$71,Horizons!C5)=1,", 4","")&amp;IF(INDEX(Transcribe!$H$8:$H$71,Horizons!C5)=1,", 5","")&amp;IF(INDEX(Transcribe!$I$8:$I$71,Horizons!C5)=1,", 6",""),3,40)</f>
        <v>1, 2</v>
      </c>
      <c r="C6" s="18" t="n">
        <f aca="false">INDEX(Transcribe!$AD$8:$AD$71,Horizons!C5)</f>
        <v>100</v>
      </c>
      <c r="D6" s="18" t="n">
        <f aca="false">INDEX(Transcribe!$AE$8:$AE$71,Horizons!C5)</f>
        <v>105</v>
      </c>
      <c r="E6" s="18" t="n">
        <f aca="false">INDEX(Transcribe!$AF$8:$AF$71,Horizons!C5)</f>
        <v>105</v>
      </c>
      <c r="F6" s="18" t="n">
        <f aca="false">INDEX(Transcribe!$AG$8:$AG$71,Horizons!C5)</f>
        <v>105</v>
      </c>
      <c r="G6" s="18" t="n">
        <f aca="false">INDEX(Transcribe!$AH$8:$AH$71,Horizons!C5)</f>
        <v>90</v>
      </c>
      <c r="H6" s="18" t="n">
        <f aca="false">INDEX(Transcribe!$AI$8:$AI$71,Horizons!C5)</f>
        <v>0</v>
      </c>
      <c r="I6" s="29" t="n">
        <f aca="false">Horizons!E5</f>
        <v>976.870962953011</v>
      </c>
      <c r="J6" s="30" t="str">
        <f aca="false">IF(INDEX(Transcribe!$AC$8:$AC$71,Horizons!C5)=1,"kept","breached")</f>
        <v>kept</v>
      </c>
    </row>
    <row r="7" customFormat="false" ht="15" hidden="false" customHeight="false" outlineLevel="0" collapsed="false">
      <c r="A7" s="2" t="s">
        <v>335</v>
      </c>
      <c r="B7" s="2" t="str">
        <f aca="false">MID(IF(Replan!F6=1,", 1","")&amp;IF(Replan!F7=1,", 2","")&amp;IF(Replan!F8=1,", 3","")&amp;IF(Replan!F9=1,", 4","")&amp;IF(Replan!F10=1,", 5","")&amp;IF(Replan!F11=1,", 6",""),3,40)</f>
        <v>1, 2, 6</v>
      </c>
      <c r="C7" s="18" t="n">
        <f aca="false">Replan!I6</f>
        <v>85</v>
      </c>
      <c r="D7" s="18" t="n">
        <f aca="false">Replan!I7</f>
        <v>105</v>
      </c>
      <c r="E7" s="18" t="n">
        <f aca="false">Replan!I8</f>
        <v>105</v>
      </c>
      <c r="F7" s="18" t="n">
        <f aca="false">Replan!I9</f>
        <v>105</v>
      </c>
      <c r="G7" s="18" t="n">
        <f aca="false">Replan!I10</f>
        <v>0</v>
      </c>
      <c r="H7" s="18" t="n">
        <f aca="false">Replan!I11</f>
        <v>2.5</v>
      </c>
      <c r="I7" s="29" t="n">
        <f aca="false">Replan!D16</f>
        <v>1007.54580282587</v>
      </c>
      <c r="J7" s="30" t="str">
        <f aca="false">Replan!D18</f>
        <v>kept</v>
      </c>
    </row>
    <row r="8" customFormat="false" ht="15" hidden="false" customHeight="false" outlineLevel="0" collapsed="false">
      <c r="A8" s="2" t="s">
        <v>336</v>
      </c>
      <c r="B8" s="2" t="str">
        <f aca="false">MID(IF(Stress!D6=1,", 1","")&amp;IF(Stress!D7=1,", 2","")&amp;IF(Stress!D8=1,", 3","")&amp;IF(Stress!D9=1,", 4","")&amp;IF(Stress!D10=1,", 5","")&amp;IF(Stress!D11=1,", 6",""),3,40)</f>
        <v>1, 2</v>
      </c>
      <c r="C8" s="18" t="n">
        <f aca="false">Stress!G6</f>
        <v>85</v>
      </c>
      <c r="D8" s="18" t="n">
        <f aca="false">Stress!G7</f>
        <v>0</v>
      </c>
      <c r="E8" s="18" t="n">
        <f aca="false">Stress!G8</f>
        <v>122.5</v>
      </c>
      <c r="F8" s="18" t="n">
        <f aca="false">Stress!G9</f>
        <v>122.5</v>
      </c>
      <c r="G8" s="18" t="n">
        <f aca="false">Stress!G10</f>
        <v>122.5</v>
      </c>
      <c r="H8" s="18" t="n">
        <f aca="false">Stress!G11</f>
        <v>2.5</v>
      </c>
      <c r="I8" s="31" t="s">
        <v>337</v>
      </c>
      <c r="J8" s="30" t="str">
        <f aca="false">TRIM(IF(Stress!H15&gt;0,"floor","")&amp;IF(Stress!H17="missed",IF(Stress!H15&gt;0,", end","end"),"")&amp;IF(OR(Stress!H15&gt;0,Stress!H17="missed")," breached","kept"))</f>
        <v>floor, end breached</v>
      </c>
    </row>
    <row r="9" customFormat="false" ht="15" hidden="false" customHeight="false" outlineLevel="0" collapsed="false">
      <c r="A9" s="2" t="s">
        <v>338</v>
      </c>
      <c r="B9" s="2" t="str">
        <f aca="false">MID(IF(Stress!B25=1,", 1","")&amp;IF(Stress!B26=1,", 2","")&amp;IF(Stress!B27=1,", 3","")&amp;IF(Stress!B28=1,", 4","")&amp;IF(Stress!B29=1,", 5","")&amp;IF(Stress!B30=1,", 6",""),3,40)</f>
        <v>1, 2, 3</v>
      </c>
      <c r="C9" s="18" t="n">
        <f aca="false">Stress!H25</f>
        <v>60</v>
      </c>
      <c r="D9" s="18" t="n">
        <f aca="false">Stress!H26</f>
        <v>0</v>
      </c>
      <c r="E9" s="18" t="n">
        <f aca="false">Stress!H27</f>
        <v>105</v>
      </c>
      <c r="F9" s="18" t="n">
        <f aca="false">Stress!H28</f>
        <v>105</v>
      </c>
      <c r="G9" s="18" t="n">
        <f aca="false">Stress!H29</f>
        <v>90</v>
      </c>
      <c r="H9" s="18" t="n">
        <f aca="false">Stress!H30</f>
        <v>0</v>
      </c>
      <c r="I9" s="29" t="n">
        <f aca="false">Stress!H43</f>
        <v>853.730467085243</v>
      </c>
      <c r="J9" s="30" t="str">
        <f aca="false">Stress!H42</f>
        <v>kept</v>
      </c>
    </row>
    <row r="11" customFormat="false" ht="15" hidden="false" customHeight="false" outlineLevel="0" collapsed="false">
      <c r="A11" s="10"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340</v>
      </c>
      <c r="B1" s="8" t="s">
        <v>341</v>
      </c>
      <c r="C1" s="8" t="s">
        <v>342</v>
      </c>
    </row>
    <row r="2" customFormat="false" ht="15" hidden="false" customHeight="false" outlineLevel="0" collapsed="false">
      <c r="A2" s="2" t="s">
        <v>343</v>
      </c>
      <c r="B2" s="32" t="n">
        <v>1021.93254988115</v>
      </c>
      <c r="C2" s="2" t="s">
        <v>344</v>
      </c>
    </row>
    <row r="3" customFormat="false" ht="15" hidden="false" customHeight="false" outlineLevel="0" collapsed="false">
      <c r="A3" s="2" t="s">
        <v>345</v>
      </c>
      <c r="B3" s="32" t="n">
        <v>3</v>
      </c>
      <c r="C3" s="2" t="s">
        <v>346</v>
      </c>
    </row>
    <row r="4" customFormat="false" ht="15" hidden="false" customHeight="false" outlineLevel="0" collapsed="false">
      <c r="A4" s="2" t="s">
        <v>347</v>
      </c>
      <c r="B4" s="32" t="n">
        <v>330.451985565273</v>
      </c>
      <c r="C4" s="2" t="s">
        <v>348</v>
      </c>
    </row>
    <row r="5" customFormat="false" ht="15" hidden="false" customHeight="false" outlineLevel="0" collapsed="false">
      <c r="A5" s="2" t="s">
        <v>349</v>
      </c>
      <c r="B5" s="32" t="n">
        <v>691.480564315877</v>
      </c>
      <c r="C5" s="2" t="s">
        <v>350</v>
      </c>
    </row>
    <row r="6" customFormat="false" ht="15" hidden="false" customHeight="false" outlineLevel="0" collapsed="false">
      <c r="A6" s="2" t="s">
        <v>351</v>
      </c>
      <c r="B6" s="32" t="n">
        <v>455</v>
      </c>
      <c r="C6" s="2" t="s">
        <v>352</v>
      </c>
    </row>
    <row r="7" customFormat="false" ht="15" hidden="false" customHeight="false" outlineLevel="0" collapsed="false">
      <c r="A7" s="2" t="s">
        <v>353</v>
      </c>
      <c r="B7" s="32" t="n">
        <v>485</v>
      </c>
      <c r="C7" s="2" t="s">
        <v>354</v>
      </c>
    </row>
    <row r="8" customFormat="false" ht="15" hidden="false" customHeight="false" outlineLevel="0" collapsed="false">
      <c r="A8" s="2" t="s">
        <v>355</v>
      </c>
      <c r="B8" s="32" t="n">
        <v>73.6163473908041</v>
      </c>
      <c r="C8" s="2" t="s">
        <v>356</v>
      </c>
    </row>
    <row r="9" customFormat="false" ht="15" hidden="false" customHeight="false" outlineLevel="0" collapsed="false">
      <c r="A9" s="2" t="s">
        <v>357</v>
      </c>
      <c r="B9" s="32" t="n">
        <v>836.363636363636</v>
      </c>
      <c r="C9" s="2" t="s">
        <v>358</v>
      </c>
    </row>
    <row r="10" customFormat="false" ht="15" hidden="false" customHeight="false" outlineLevel="0" collapsed="false">
      <c r="A10" s="2" t="s">
        <v>359</v>
      </c>
      <c r="B10" s="32" t="n">
        <v>1</v>
      </c>
      <c r="C10" s="2" t="s">
        <v>360</v>
      </c>
    </row>
    <row r="11" customFormat="false" ht="15" hidden="false" customHeight="false" outlineLevel="0" collapsed="false">
      <c r="A11" s="2" t="s">
        <v>361</v>
      </c>
      <c r="B11" s="32" t="n">
        <v>185.568913517514</v>
      </c>
      <c r="C11" s="2" t="s">
        <v>362</v>
      </c>
    </row>
    <row r="12" customFormat="false" ht="15" hidden="false" customHeight="false" outlineLevel="0" collapsed="false">
      <c r="A12" s="2" t="s">
        <v>363</v>
      </c>
      <c r="B12" s="32" t="n">
        <v>245.454545454545</v>
      </c>
      <c r="C12" s="2" t="s">
        <v>364</v>
      </c>
    </row>
    <row r="13" customFormat="false" ht="15" hidden="false" customHeight="false" outlineLevel="0" collapsed="false">
      <c r="A13" s="2" t="s">
        <v>365</v>
      </c>
      <c r="B13" s="32" t="n">
        <v>0.909090909090909</v>
      </c>
      <c r="C13" s="2" t="s">
        <v>366</v>
      </c>
    </row>
    <row r="14" customFormat="false" ht="15" hidden="false" customHeight="false" outlineLevel="0" collapsed="false">
      <c r="A14" s="2" t="s">
        <v>367</v>
      </c>
      <c r="B14" s="32" t="n">
        <v>0.751314800901578</v>
      </c>
      <c r="C14" s="2" t="s">
        <v>368</v>
      </c>
    </row>
    <row r="15" customFormat="false" ht="15" hidden="false" customHeight="false" outlineLevel="0" collapsed="false">
      <c r="A15" s="2" t="s">
        <v>369</v>
      </c>
      <c r="B15" s="32" t="n">
        <v>0.909090909090909</v>
      </c>
      <c r="C15" s="2" t="s">
        <v>370</v>
      </c>
    </row>
    <row r="16" customFormat="false" ht="15" hidden="false" customHeight="false" outlineLevel="0" collapsed="false">
      <c r="A16" s="2" t="s">
        <v>371</v>
      </c>
      <c r="B16" s="32" t="n">
        <v>0.157776108189331</v>
      </c>
      <c r="C16" s="2" t="s">
        <v>372</v>
      </c>
    </row>
    <row r="17" customFormat="false" ht="15" hidden="false" customHeight="false" outlineLevel="0" collapsed="false">
      <c r="A17" s="2" t="s">
        <v>373</v>
      </c>
      <c r="B17" s="32" t="n">
        <v>67.7368716064533</v>
      </c>
      <c r="C17" s="2" t="s">
        <v>374</v>
      </c>
    </row>
    <row r="18" customFormat="false" ht="15" hidden="false" customHeight="false" outlineLevel="0" collapsed="false">
      <c r="A18" s="2" t="s">
        <v>375</v>
      </c>
      <c r="B18" s="32" t="n">
        <v>34.297520661157</v>
      </c>
      <c r="C18" s="2" t="s">
        <v>376</v>
      </c>
    </row>
    <row r="19" customFormat="false" ht="15" hidden="false" customHeight="false" outlineLevel="0" collapsed="false">
      <c r="A19" s="2" t="s">
        <v>377</v>
      </c>
      <c r="B19" s="32" t="n">
        <v>82.6446280991735</v>
      </c>
      <c r="C19" s="2" t="s">
        <v>378</v>
      </c>
    </row>
    <row r="20" customFormat="false" ht="15" hidden="false" customHeight="false" outlineLevel="0" collapsed="false">
      <c r="A20" s="2" t="s">
        <v>379</v>
      </c>
      <c r="B20" s="32" t="n">
        <v>82.6446280991735</v>
      </c>
      <c r="C20" s="2" t="s">
        <v>380</v>
      </c>
    </row>
    <row r="21" customFormat="false" ht="15" hidden="false" customHeight="false" outlineLevel="0" collapsed="false">
      <c r="A21" s="2" t="s">
        <v>381</v>
      </c>
      <c r="B21" s="32" t="n">
        <v>0</v>
      </c>
      <c r="C21" s="2" t="s">
        <v>382</v>
      </c>
    </row>
    <row r="22" customFormat="false" ht="15" hidden="false" customHeight="false" outlineLevel="0" collapsed="false">
      <c r="A22" s="2" t="s">
        <v>383</v>
      </c>
      <c r="B22" s="32" t="n">
        <v>175</v>
      </c>
      <c r="C22" s="2" t="s">
        <v>384</v>
      </c>
    </row>
    <row r="23" customFormat="false" ht="15" hidden="false" customHeight="false" outlineLevel="0" collapsed="false">
      <c r="A23" s="2" t="s">
        <v>385</v>
      </c>
      <c r="B23" s="32" t="n">
        <v>87.5</v>
      </c>
      <c r="C23" s="2" t="s">
        <v>386</v>
      </c>
    </row>
    <row r="24" customFormat="false" ht="15" hidden="false" customHeight="false" outlineLevel="0" collapsed="false">
      <c r="A24" s="2" t="s">
        <v>387</v>
      </c>
      <c r="B24" s="32" t="n">
        <v>384.173336396545</v>
      </c>
      <c r="C24" s="2" t="s">
        <v>388</v>
      </c>
    </row>
    <row r="25" customFormat="false" ht="15" hidden="false" customHeight="false" outlineLevel="0" collapsed="false">
      <c r="A25" s="2" t="s">
        <v>389</v>
      </c>
      <c r="B25" s="32" t="n">
        <v>976.870962953011</v>
      </c>
      <c r="C25" s="2" t="s">
        <v>390</v>
      </c>
    </row>
    <row r="26" customFormat="false" ht="15" hidden="false" customHeight="false" outlineLevel="0" collapsed="false">
      <c r="A26" s="2" t="s">
        <v>391</v>
      </c>
      <c r="B26" s="32" t="n">
        <v>45.0615869281387</v>
      </c>
      <c r="C26" s="2" t="s">
        <v>392</v>
      </c>
    </row>
    <row r="27" customFormat="false" ht="15" hidden="false" customHeight="false" outlineLevel="0" collapsed="false">
      <c r="A27" s="2" t="s">
        <v>393</v>
      </c>
      <c r="B27" s="32" t="n">
        <v>919.148370093056</v>
      </c>
      <c r="C27" s="2" t="s">
        <v>394</v>
      </c>
    </row>
    <row r="28" customFormat="false" ht="15" hidden="false" customHeight="false" outlineLevel="0" collapsed="false">
      <c r="A28" s="2" t="s">
        <v>395</v>
      </c>
      <c r="B28" s="32" t="n">
        <v>1679.99999999108</v>
      </c>
      <c r="C28" s="2" t="s">
        <v>396</v>
      </c>
    </row>
    <row r="29" customFormat="false" ht="15" hidden="false" customHeight="false" outlineLevel="0" collapsed="false">
      <c r="A29" s="2" t="s">
        <v>397</v>
      </c>
      <c r="B29" s="32" t="n">
        <v>2261.13982349744</v>
      </c>
      <c r="C29" s="2" t="s">
        <v>398</v>
      </c>
    </row>
    <row r="30" customFormat="false" ht="15" hidden="false" customHeight="false" outlineLevel="0" collapsed="false">
      <c r="A30" s="2" t="s">
        <v>399</v>
      </c>
      <c r="B30" s="32" t="n">
        <v>4011.01135693223</v>
      </c>
      <c r="C30" s="2" t="s">
        <v>400</v>
      </c>
    </row>
    <row r="31" customFormat="false" ht="15" hidden="false" customHeight="false" outlineLevel="0" collapsed="false">
      <c r="A31" s="2" t="s">
        <v>401</v>
      </c>
      <c r="B31" s="32" t="n">
        <v>1</v>
      </c>
      <c r="C31" s="2" t="s">
        <v>360</v>
      </c>
    </row>
    <row r="32" customFormat="false" ht="15" hidden="false" customHeight="false" outlineLevel="0" collapsed="false">
      <c r="A32" s="2" t="s">
        <v>402</v>
      </c>
      <c r="B32" s="32" t="n">
        <v>0</v>
      </c>
      <c r="C32" s="2" t="s">
        <v>403</v>
      </c>
    </row>
    <row r="33" customFormat="false" ht="15" hidden="false" customHeight="false" outlineLevel="0" collapsed="false">
      <c r="A33" s="2" t="s">
        <v>404</v>
      </c>
      <c r="B33" s="32" t="n">
        <v>0.0729166666659162</v>
      </c>
      <c r="C33" s="2" t="s">
        <v>405</v>
      </c>
    </row>
    <row r="34" customFormat="false" ht="15" hidden="false" customHeight="false" outlineLevel="0" collapsed="false">
      <c r="A34" s="2" t="s">
        <v>406</v>
      </c>
      <c r="B34" s="32" t="n">
        <v>0</v>
      </c>
      <c r="C34" s="2" t="s">
        <v>407</v>
      </c>
    </row>
    <row r="35" customFormat="false" ht="15" hidden="false" customHeight="false" outlineLevel="0" collapsed="false">
      <c r="A35" s="2" t="s">
        <v>408</v>
      </c>
      <c r="B35" s="32" t="n">
        <v>0</v>
      </c>
      <c r="C35" s="2" t="s">
        <v>409</v>
      </c>
    </row>
    <row r="36" customFormat="false" ht="15" hidden="false" customHeight="false" outlineLevel="0" collapsed="false">
      <c r="A36" s="2" t="s">
        <v>410</v>
      </c>
      <c r="B36" s="32" t="n">
        <v>15</v>
      </c>
      <c r="C36" s="2" t="s">
        <v>411</v>
      </c>
    </row>
    <row r="37" customFormat="false" ht="15" hidden="false" customHeight="false" outlineLevel="0" collapsed="false">
      <c r="A37" s="2" t="s">
        <v>412</v>
      </c>
      <c r="B37" s="32" t="n">
        <v>3</v>
      </c>
      <c r="C37" s="2" t="s">
        <v>413</v>
      </c>
    </row>
    <row r="38" customFormat="false" ht="15" hidden="false" customHeight="false" outlineLevel="0" collapsed="false">
      <c r="A38" s="2" t="s">
        <v>414</v>
      </c>
      <c r="B38" s="32" t="n">
        <v>2</v>
      </c>
      <c r="C38" s="2" t="s">
        <v>415</v>
      </c>
    </row>
    <row r="39" customFormat="false" ht="15" hidden="false" customHeight="false" outlineLevel="0" collapsed="false">
      <c r="A39" s="2" t="s">
        <v>416</v>
      </c>
      <c r="B39" s="32" t="n">
        <v>1007.54580282587</v>
      </c>
      <c r="C39" s="2" t="s">
        <v>417</v>
      </c>
    </row>
    <row r="40" customFormat="false" ht="15" hidden="false" customHeight="false" outlineLevel="0" collapsed="false">
      <c r="A40" s="2" t="s">
        <v>418</v>
      </c>
      <c r="B40" s="32" t="n">
        <v>14.3867470552807</v>
      </c>
      <c r="C40" s="2" t="s">
        <v>419</v>
      </c>
    </row>
    <row r="41" customFormat="false" ht="15" hidden="false" customHeight="false" outlineLevel="0" collapsed="false">
      <c r="A41" s="2" t="s">
        <v>420</v>
      </c>
      <c r="B41" s="32" t="n">
        <v>1</v>
      </c>
      <c r="C41" s="2" t="s">
        <v>421</v>
      </c>
    </row>
    <row r="42" customFormat="false" ht="15" hidden="false" customHeight="false" outlineLevel="0" collapsed="false">
      <c r="A42" s="2" t="s">
        <v>422</v>
      </c>
      <c r="B42" s="32" t="n">
        <v>445</v>
      </c>
      <c r="C42" s="2" t="s">
        <v>423</v>
      </c>
    </row>
    <row r="43" customFormat="false" ht="15" hidden="false" customHeight="false" outlineLevel="0" collapsed="false">
      <c r="A43" s="2" t="s">
        <v>424</v>
      </c>
      <c r="B43" s="32" t="n">
        <v>347.5</v>
      </c>
      <c r="C43" s="2" t="s">
        <v>425</v>
      </c>
    </row>
    <row r="44" customFormat="false" ht="15" hidden="false" customHeight="false" outlineLevel="0" collapsed="false">
      <c r="A44" s="2" t="s">
        <v>426</v>
      </c>
      <c r="B44" s="32" t="n">
        <v>1</v>
      </c>
      <c r="C44" s="2" t="s">
        <v>427</v>
      </c>
    </row>
    <row r="45" customFormat="false" ht="15" hidden="false" customHeight="false" outlineLevel="0" collapsed="false">
      <c r="A45" s="2" t="s">
        <v>428</v>
      </c>
      <c r="B45" s="32" t="n">
        <v>853.730467085243</v>
      </c>
      <c r="C45" s="2" t="s">
        <v>429</v>
      </c>
    </row>
    <row r="46" customFormat="false" ht="15" hidden="false" customHeight="false" outlineLevel="0" collapsed="false">
      <c r="A46" s="2" t="s">
        <v>430</v>
      </c>
      <c r="B46" s="32" t="n">
        <v>853.730467085243</v>
      </c>
      <c r="C46" s="2" t="s">
        <v>431</v>
      </c>
    </row>
    <row r="47" customFormat="false" ht="15" hidden="false" customHeight="false" outlineLevel="0" collapsed="false">
      <c r="A47" s="2" t="s">
        <v>432</v>
      </c>
      <c r="B47" s="32" t="n">
        <v>736.363636363636</v>
      </c>
      <c r="C47" s="2" t="s">
        <v>433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340</v>
      </c>
      <c r="B1" s="8" t="s">
        <v>434</v>
      </c>
      <c r="C1" s="8" t="s">
        <v>341</v>
      </c>
      <c r="D1" s="8" t="s">
        <v>435</v>
      </c>
      <c r="E1" s="8" t="s">
        <v>436</v>
      </c>
      <c r="F1" s="8" t="s">
        <v>437</v>
      </c>
    </row>
    <row r="2" customFormat="false" ht="15" hidden="false" customHeight="false" outlineLevel="0" collapsed="false">
      <c r="A2" s="2" t="s">
        <v>343</v>
      </c>
      <c r="B2" s="11" t="n">
        <f aca="false">BestPlan!H22</f>
        <v>1021.93254988115</v>
      </c>
      <c r="C2" s="33" t="n">
        <f aca="false">Reference_Values!B2</f>
        <v>1021.93254988115</v>
      </c>
      <c r="D2" s="23" t="n">
        <f aca="false">ABS(B2-C2)</f>
        <v>0</v>
      </c>
      <c r="E2" s="34" t="n">
        <v>1E-009</v>
      </c>
      <c r="F2" s="4" t="str">
        <f aca="false">IF(D2&lt;=E2,"PASS","FAIL")</f>
        <v>PASS</v>
      </c>
    </row>
    <row r="3" customFormat="false" ht="15" hidden="false" customHeight="false" outlineLevel="0" collapsed="false">
      <c r="A3" s="2" t="s">
        <v>345</v>
      </c>
      <c r="B3" s="11" t="n">
        <f aca="false">BestPlan!H7</f>
        <v>3</v>
      </c>
      <c r="C3" s="33" t="n">
        <f aca="false">Reference_Values!B3</f>
        <v>3</v>
      </c>
      <c r="D3" s="23" t="n">
        <f aca="false">ABS(B3-C3)</f>
        <v>0</v>
      </c>
      <c r="E3" s="34" t="n">
        <v>0</v>
      </c>
      <c r="F3" s="4" t="str">
        <f aca="false">IF(D3&lt;=E3,"PASS","FAIL")</f>
        <v>PASS</v>
      </c>
    </row>
    <row r="4" customFormat="false" ht="15" hidden="false" customHeight="false" outlineLevel="0" collapsed="false">
      <c r="A4" s="2" t="s">
        <v>347</v>
      </c>
      <c r="B4" s="11" t="n">
        <f aca="false">BestPlan!H19</f>
        <v>330.451985565273</v>
      </c>
      <c r="C4" s="33" t="n">
        <f aca="false">Reference_Values!B4</f>
        <v>330.451985565273</v>
      </c>
      <c r="D4" s="23" t="n">
        <f aca="false">ABS(B4-C4)</f>
        <v>0</v>
      </c>
      <c r="E4" s="34" t="n">
        <v>1E-009</v>
      </c>
      <c r="F4" s="4" t="str">
        <f aca="false">IF(D4&lt;=E4,"PASS","FAIL")</f>
        <v>PASS</v>
      </c>
    </row>
    <row r="5" customFormat="false" ht="15" hidden="false" customHeight="false" outlineLevel="0" collapsed="false">
      <c r="A5" s="2" t="s">
        <v>349</v>
      </c>
      <c r="B5" s="11" t="n">
        <f aca="false">BestPlan!H21</f>
        <v>691.480564315877</v>
      </c>
      <c r="C5" s="33" t="n">
        <f aca="false">Reference_Values!B5</f>
        <v>691.480564315877</v>
      </c>
      <c r="D5" s="23" t="n">
        <f aca="false">ABS(B5-C5)</f>
        <v>0</v>
      </c>
      <c r="E5" s="34" t="n">
        <v>1E-009</v>
      </c>
      <c r="F5" s="4" t="str">
        <f aca="false">IF(D5&lt;=E5,"PASS","FAIL")</f>
        <v>PASS</v>
      </c>
    </row>
    <row r="6" customFormat="false" ht="15" hidden="false" customHeight="false" outlineLevel="0" collapsed="false">
      <c r="A6" s="2" t="s">
        <v>351</v>
      </c>
      <c r="B6" s="11" t="n">
        <f aca="false">BestPlan!H23</f>
        <v>455</v>
      </c>
      <c r="C6" s="33" t="n">
        <f aca="false">Reference_Values!B6</f>
        <v>455</v>
      </c>
      <c r="D6" s="23" t="n">
        <f aca="false">ABS(B6-C6)</f>
        <v>0</v>
      </c>
      <c r="E6" s="34" t="n">
        <v>1E-009</v>
      </c>
      <c r="F6" s="4" t="str">
        <f aca="false">IF(D6&lt;=E6,"PASS","FAIL")</f>
        <v>PASS</v>
      </c>
    </row>
    <row r="7" customFormat="false" ht="15" hidden="false" customHeight="false" outlineLevel="0" collapsed="false">
      <c r="A7" s="2" t="s">
        <v>353</v>
      </c>
      <c r="B7" s="11" t="n">
        <f aca="false">BestPlan!E12</f>
        <v>485</v>
      </c>
      <c r="C7" s="33" t="n">
        <f aca="false">Reference_Values!B7</f>
        <v>485</v>
      </c>
      <c r="D7" s="23" t="n">
        <f aca="false">ABS(B7-C7)</f>
        <v>0</v>
      </c>
      <c r="E7" s="34" t="n">
        <v>1E-009</v>
      </c>
      <c r="F7" s="4" t="str">
        <f aca="false">IF(D7&lt;=E7,"PASS","FAIL")</f>
        <v>PASS</v>
      </c>
    </row>
    <row r="8" customFormat="false" ht="15" hidden="false" customHeight="false" outlineLevel="0" collapsed="false">
      <c r="A8" s="2" t="s">
        <v>355</v>
      </c>
      <c r="B8" s="11" t="n">
        <f aca="false">BestPlan!H25</f>
        <v>73.6163473908039</v>
      </c>
      <c r="C8" s="33" t="n">
        <f aca="false">Reference_Values!B8</f>
        <v>73.6163473908041</v>
      </c>
      <c r="D8" s="23" t="n">
        <f aca="false">ABS(B8-C8)</f>
        <v>0</v>
      </c>
      <c r="E8" s="34" t="n">
        <v>1E-009</v>
      </c>
      <c r="F8" s="4" t="str">
        <f aca="false">IF(D8&lt;=E8,"PASS","FAIL")</f>
        <v>PASS</v>
      </c>
    </row>
    <row r="9" customFormat="false" ht="15" hidden="false" customHeight="false" outlineLevel="0" collapsed="false">
      <c r="A9" s="2" t="s">
        <v>357</v>
      </c>
      <c r="B9" s="11" t="n">
        <f aca="false">Simulate!H20</f>
        <v>836.363636363636</v>
      </c>
      <c r="C9" s="33" t="n">
        <f aca="false">Reference_Values!B9</f>
        <v>836.363636363636</v>
      </c>
      <c r="D9" s="23" t="n">
        <f aca="false">ABS(B9-C9)</f>
        <v>0</v>
      </c>
      <c r="E9" s="34" t="n">
        <v>1E-009</v>
      </c>
      <c r="F9" s="4" t="str">
        <f aca="false">IF(D9&lt;=E9,"PASS","FAIL")</f>
        <v>PASS</v>
      </c>
    </row>
    <row r="10" customFormat="false" ht="15" hidden="false" customHeight="false" outlineLevel="0" collapsed="false">
      <c r="A10" s="2" t="s">
        <v>359</v>
      </c>
      <c r="B10" s="11" t="n">
        <f aca="false">Simulate!H13</f>
        <v>1</v>
      </c>
      <c r="C10" s="33" t="n">
        <f aca="false">Reference_Values!B10</f>
        <v>1</v>
      </c>
      <c r="D10" s="23" t="n">
        <f aca="false">ABS(B10-C10)</f>
        <v>0</v>
      </c>
      <c r="E10" s="34" t="n">
        <v>0</v>
      </c>
      <c r="F10" s="4" t="str">
        <f aca="false">IF(D10&lt;=E10,"PASS","FAIL")</f>
        <v>PASS</v>
      </c>
    </row>
    <row r="11" customFormat="false" ht="15" hidden="false" customHeight="false" outlineLevel="0" collapsed="false">
      <c r="A11" s="2" t="s">
        <v>361</v>
      </c>
      <c r="B11" s="11" t="n">
        <f aca="false">BestPlan!H26</f>
        <v>185.568913517513</v>
      </c>
      <c r="C11" s="33" t="n">
        <f aca="false">Reference_Values!B11</f>
        <v>185.568913517514</v>
      </c>
      <c r="D11" s="23" t="n">
        <f aca="false">ABS(B11-C11)</f>
        <v>0</v>
      </c>
      <c r="E11" s="34" t="n">
        <v>1E-009</v>
      </c>
      <c r="F11" s="4" t="str">
        <f aca="false">IF(D11&lt;=E11,"PASS","FAIL")</f>
        <v>PASS</v>
      </c>
    </row>
    <row r="12" customFormat="false" ht="15" hidden="false" customHeight="false" outlineLevel="0" collapsed="false">
      <c r="A12" s="2" t="s">
        <v>363</v>
      </c>
      <c r="B12" s="11" t="n">
        <f aca="false">Simulate!H39</f>
        <v>245.454545454545</v>
      </c>
      <c r="C12" s="33" t="n">
        <f aca="false">Reference_Values!B12</f>
        <v>245.454545454545</v>
      </c>
      <c r="D12" s="23" t="n">
        <f aca="false">ABS(B12-C12)</f>
        <v>0</v>
      </c>
      <c r="E12" s="34" t="n">
        <v>1E-009</v>
      </c>
      <c r="F12" s="4" t="str">
        <f aca="false">IF(D12&lt;=E12,"PASS","FAIL")</f>
        <v>PASS</v>
      </c>
    </row>
    <row r="13" customFormat="false" ht="15" hidden="false" customHeight="false" outlineLevel="0" collapsed="false">
      <c r="A13" s="2" t="s">
        <v>365</v>
      </c>
      <c r="B13" s="11" t="n">
        <f aca="false">Prices!I7</f>
        <v>0.909090909090909</v>
      </c>
      <c r="C13" s="33" t="n">
        <f aca="false">Reference_Values!B13</f>
        <v>0.909090909090909</v>
      </c>
      <c r="D13" s="23" t="n">
        <f aca="false">ABS(B13-C13)</f>
        <v>0</v>
      </c>
      <c r="E13" s="34" t="n">
        <v>1E-009</v>
      </c>
      <c r="F13" s="4" t="str">
        <f aca="false">IF(D13&lt;=E13,"PASS","FAIL")</f>
        <v>PASS</v>
      </c>
    </row>
    <row r="14" customFormat="false" ht="15" hidden="false" customHeight="false" outlineLevel="0" collapsed="false">
      <c r="A14" s="2" t="s">
        <v>367</v>
      </c>
      <c r="B14" s="11" t="n">
        <f aca="false">Prices!I8</f>
        <v>0.751314800901578</v>
      </c>
      <c r="C14" s="33" t="n">
        <f aca="false">Reference_Values!B14</f>
        <v>0.751314800901578</v>
      </c>
      <c r="D14" s="23" t="n">
        <f aca="false">ABS(B14-C14)</f>
        <v>0</v>
      </c>
      <c r="E14" s="34" t="n">
        <v>1E-009</v>
      </c>
      <c r="F14" s="4" t="str">
        <f aca="false">IF(D14&lt;=E14,"PASS","FAIL")</f>
        <v>PASS</v>
      </c>
    </row>
    <row r="15" customFormat="false" ht="15" hidden="false" customHeight="false" outlineLevel="0" collapsed="false">
      <c r="A15" s="2" t="s">
        <v>369</v>
      </c>
      <c r="B15" s="11" t="n">
        <f aca="false">Prices!AF20</f>
        <v>0.909090909090764</v>
      </c>
      <c r="C15" s="33" t="n">
        <f aca="false">Reference_Values!B15</f>
        <v>0.909090909090909</v>
      </c>
      <c r="D15" s="23" t="n">
        <f aca="false">ABS(B15-C15)</f>
        <v>1.44662060108658E-013</v>
      </c>
      <c r="E15" s="34" t="n">
        <v>1E-009</v>
      </c>
      <c r="F15" s="4" t="str">
        <f aca="false">IF(D15&lt;=E15,"PASS","FAIL")</f>
        <v>PASS</v>
      </c>
    </row>
    <row r="16" customFormat="false" ht="15" hidden="false" customHeight="false" outlineLevel="0" collapsed="false">
      <c r="A16" s="2" t="s">
        <v>371</v>
      </c>
      <c r="B16" s="11" t="n">
        <f aca="false">Prices!H14</f>
        <v>0.157776108189331</v>
      </c>
      <c r="C16" s="33" t="n">
        <f aca="false">Reference_Values!B16</f>
        <v>0.157776108189331</v>
      </c>
      <c r="D16" s="23" t="n">
        <f aca="false">ABS(B16-C16)</f>
        <v>0</v>
      </c>
      <c r="E16" s="34" t="n">
        <v>1E-009</v>
      </c>
      <c r="F16" s="4" t="str">
        <f aca="false">IF(D16&lt;=E16,"PASS","FAIL")</f>
        <v>PASS</v>
      </c>
    </row>
    <row r="17" customFormat="false" ht="15" hidden="false" customHeight="false" outlineLevel="0" collapsed="false">
      <c r="A17" s="2" t="s">
        <v>373</v>
      </c>
      <c r="B17" s="11" t="n">
        <f aca="false">Prices!H13</f>
        <v>67.7368716064533</v>
      </c>
      <c r="C17" s="33" t="n">
        <f aca="false">Reference_Values!B17</f>
        <v>67.7368716064533</v>
      </c>
      <c r="D17" s="23" t="n">
        <f aca="false">ABS(B17-C17)</f>
        <v>0</v>
      </c>
      <c r="E17" s="34" t="n">
        <v>1E-009</v>
      </c>
      <c r="F17" s="4" t="str">
        <f aca="false">IF(D17&lt;=E17,"PASS","FAIL")</f>
        <v>PASS</v>
      </c>
    </row>
    <row r="18" customFormat="false" ht="15" hidden="false" customHeight="false" outlineLevel="0" collapsed="false">
      <c r="A18" s="2" t="s">
        <v>375</v>
      </c>
      <c r="B18" s="11" t="n">
        <f aca="false">Prices!N6</f>
        <v>34.297520661157</v>
      </c>
      <c r="C18" s="33" t="n">
        <f aca="false">Reference_Values!B18</f>
        <v>34.297520661157</v>
      </c>
      <c r="D18" s="23" t="n">
        <f aca="false">ABS(B18-C18)</f>
        <v>0</v>
      </c>
      <c r="E18" s="34" t="n">
        <v>1E-009</v>
      </c>
      <c r="F18" s="4" t="str">
        <f aca="false">IF(D18&lt;=E18,"PASS","FAIL")</f>
        <v>PASS</v>
      </c>
    </row>
    <row r="19" customFormat="false" ht="15" hidden="false" customHeight="false" outlineLevel="0" collapsed="false">
      <c r="A19" s="2" t="s">
        <v>377</v>
      </c>
      <c r="B19" s="11" t="n">
        <f aca="false">Prices!N8</f>
        <v>82.6446280991735</v>
      </c>
      <c r="C19" s="33" t="n">
        <f aca="false">Reference_Values!B19</f>
        <v>82.6446280991735</v>
      </c>
      <c r="D19" s="23" t="n">
        <f aca="false">ABS(B19-C19)</f>
        <v>0</v>
      </c>
      <c r="E19" s="34" t="n">
        <v>1E-009</v>
      </c>
      <c r="F19" s="4" t="str">
        <f aca="false">IF(D19&lt;=E19,"PASS","FAIL")</f>
        <v>PASS</v>
      </c>
    </row>
    <row r="20" customFormat="false" ht="15" hidden="false" customHeight="false" outlineLevel="0" collapsed="false">
      <c r="A20" s="2" t="s">
        <v>379</v>
      </c>
      <c r="B20" s="11" t="n">
        <f aca="false">Prices!AF27</f>
        <v>82.6446280992059</v>
      </c>
      <c r="C20" s="33" t="n">
        <f aca="false">Reference_Values!B20</f>
        <v>82.6446280991735</v>
      </c>
      <c r="D20" s="23" t="n">
        <f aca="false">ABS(B20-C20)</f>
        <v>3.23296944770846E-011</v>
      </c>
      <c r="E20" s="34" t="n">
        <v>1E-006</v>
      </c>
      <c r="F20" s="4" t="str">
        <f aca="false">IF(D20&lt;=E20,"PASS","FAIL")</f>
        <v>PASS</v>
      </c>
    </row>
    <row r="21" customFormat="false" ht="15" hidden="false" customHeight="false" outlineLevel="0" collapsed="false">
      <c r="A21" s="2" t="s">
        <v>381</v>
      </c>
      <c r="B21" s="11" t="n">
        <f aca="false">Prices!AH31</f>
        <v>3.75734998669941E-011</v>
      </c>
      <c r="C21" s="33" t="n">
        <f aca="false">Reference_Values!B21</f>
        <v>0</v>
      </c>
      <c r="D21" s="23" t="n">
        <f aca="false">ABS(B21-C21)</f>
        <v>3.75734998669941E-011</v>
      </c>
      <c r="E21" s="34" t="n">
        <v>1E-006</v>
      </c>
      <c r="F21" s="4" t="str">
        <f aca="false">IF(D21&lt;=E21,"PASS","FAIL")</f>
        <v>PASS</v>
      </c>
    </row>
    <row r="22" customFormat="false" ht="15" hidden="false" customHeight="false" outlineLevel="0" collapsed="false">
      <c r="A22" s="2" t="s">
        <v>383</v>
      </c>
      <c r="B22" s="11" t="n">
        <f aca="false">Prices!D37</f>
        <v>175</v>
      </c>
      <c r="C22" s="33" t="n">
        <f aca="false">Reference_Values!B22</f>
        <v>175</v>
      </c>
      <c r="D22" s="23" t="n">
        <f aca="false">ABS(B22-C22)</f>
        <v>0</v>
      </c>
      <c r="E22" s="34" t="n">
        <v>1E-009</v>
      </c>
      <c r="F22" s="4" t="str">
        <f aca="false">IF(D22&lt;=E22,"PASS","FAIL")</f>
        <v>PASS</v>
      </c>
    </row>
    <row r="23" customFormat="false" ht="15" hidden="false" customHeight="false" outlineLevel="0" collapsed="false">
      <c r="A23" s="2" t="s">
        <v>385</v>
      </c>
      <c r="B23" s="11" t="n">
        <f aca="false">Prices!D38</f>
        <v>87.5</v>
      </c>
      <c r="C23" s="33" t="n">
        <f aca="false">Reference_Values!B23</f>
        <v>87.5</v>
      </c>
      <c r="D23" s="23" t="n">
        <f aca="false">ABS(B23-C23)</f>
        <v>0</v>
      </c>
      <c r="E23" s="34" t="n">
        <v>1E-009</v>
      </c>
      <c r="F23" s="4" t="str">
        <f aca="false">IF(D23&lt;=E23,"PASS","FAIL")</f>
        <v>PASS</v>
      </c>
    </row>
    <row r="24" customFormat="false" ht="15" hidden="false" customHeight="false" outlineLevel="0" collapsed="false">
      <c r="A24" s="2" t="s">
        <v>387</v>
      </c>
      <c r="B24" s="11" t="n">
        <f aca="false">Horizons!B5</f>
        <v>384.173336396545</v>
      </c>
      <c r="C24" s="33" t="n">
        <f aca="false">Reference_Values!B24</f>
        <v>384.173336396545</v>
      </c>
      <c r="D24" s="23" t="n">
        <f aca="false">ABS(B24-C24)</f>
        <v>0</v>
      </c>
      <c r="E24" s="34" t="n">
        <v>1E-009</v>
      </c>
      <c r="F24" s="4" t="str">
        <f aca="false">IF(D24&lt;=E24,"PASS","FAIL")</f>
        <v>PASS</v>
      </c>
    </row>
    <row r="25" customFormat="false" ht="15" hidden="false" customHeight="false" outlineLevel="0" collapsed="false">
      <c r="A25" s="2" t="s">
        <v>389</v>
      </c>
      <c r="B25" s="11" t="n">
        <f aca="false">Horizons!E5</f>
        <v>976.870962953011</v>
      </c>
      <c r="C25" s="33" t="n">
        <f aca="false">Reference_Values!B25</f>
        <v>976.870962953011</v>
      </c>
      <c r="D25" s="23" t="n">
        <f aca="false">ABS(B25-C25)</f>
        <v>0</v>
      </c>
      <c r="E25" s="34" t="n">
        <v>1E-009</v>
      </c>
      <c r="F25" s="4" t="str">
        <f aca="false">IF(D25&lt;=E25,"PASS","FAIL")</f>
        <v>PASS</v>
      </c>
    </row>
    <row r="26" customFormat="false" ht="15" hidden="false" customHeight="false" outlineLevel="0" collapsed="false">
      <c r="A26" s="2" t="s">
        <v>391</v>
      </c>
      <c r="B26" s="11" t="n">
        <f aca="false">Horizons!E9</f>
        <v>45.0615869281385</v>
      </c>
      <c r="C26" s="33" t="n">
        <f aca="false">Reference_Values!B26</f>
        <v>45.0615869281387</v>
      </c>
      <c r="D26" s="23" t="n">
        <f aca="false">ABS(B26-C26)</f>
        <v>2.20268248085631E-013</v>
      </c>
      <c r="E26" s="34" t="n">
        <v>1E-009</v>
      </c>
      <c r="F26" s="4" t="str">
        <f aca="false">IF(D26&lt;=E26,"PASS","FAIL")</f>
        <v>PASS</v>
      </c>
    </row>
    <row r="27" customFormat="false" ht="15" hidden="false" customHeight="false" outlineLevel="0" collapsed="false">
      <c r="A27" s="2" t="s">
        <v>393</v>
      </c>
      <c r="B27" s="11" t="n">
        <f aca="false">Horizons!B6</f>
        <v>919.148370093056</v>
      </c>
      <c r="C27" s="33" t="n">
        <f aca="false">Reference_Values!B27</f>
        <v>919.148370093056</v>
      </c>
      <c r="D27" s="23" t="n">
        <f aca="false">ABS(B27-C27)</f>
        <v>0</v>
      </c>
      <c r="E27" s="34" t="n">
        <v>1E-009</v>
      </c>
      <c r="F27" s="4" t="str">
        <f aca="false">IF(D27&lt;=E27,"PASS","FAIL")</f>
        <v>PASS</v>
      </c>
    </row>
    <row r="28" customFormat="false" ht="15" hidden="false" customHeight="false" outlineLevel="0" collapsed="false">
      <c r="A28" s="2" t="s">
        <v>395</v>
      </c>
      <c r="B28" s="11" t="n">
        <f aca="false">Horizons!B7</f>
        <v>1680</v>
      </c>
      <c r="C28" s="33" t="n">
        <f aca="false">Reference_Values!B28</f>
        <v>1679.99999999108</v>
      </c>
      <c r="D28" s="23" t="n">
        <f aca="false">ABS(B28-C28)</f>
        <v>8.92100615601521E-009</v>
      </c>
      <c r="E28" s="34" t="n">
        <v>1E-006</v>
      </c>
      <c r="F28" s="4" t="str">
        <f aca="false">IF(D28&lt;=E28,"PASS","FAIL")</f>
        <v>PASS</v>
      </c>
    </row>
    <row r="29" customFormat="false" ht="15" hidden="false" customHeight="false" outlineLevel="0" collapsed="false">
      <c r="A29" s="2" t="s">
        <v>397</v>
      </c>
      <c r="B29" s="11" t="n">
        <f aca="false">Rates!B6</f>
        <v>2261.13982349744</v>
      </c>
      <c r="C29" s="33" t="n">
        <f aca="false">Reference_Values!B29</f>
        <v>2261.13982349744</v>
      </c>
      <c r="D29" s="23" t="n">
        <f aca="false">ABS(B29-C29)</f>
        <v>0</v>
      </c>
      <c r="E29" s="34" t="n">
        <v>1E-009</v>
      </c>
      <c r="F29" s="4" t="str">
        <f aca="false">IF(D29&lt;=E29,"PASS","FAIL")</f>
        <v>PASS</v>
      </c>
    </row>
    <row r="30" customFormat="false" ht="15" hidden="false" customHeight="false" outlineLevel="0" collapsed="false">
      <c r="A30" s="2" t="s">
        <v>399</v>
      </c>
      <c r="B30" s="11" t="n">
        <f aca="false">Rates!B5</f>
        <v>4011.01135693223</v>
      </c>
      <c r="C30" s="33" t="n">
        <f aca="false">Reference_Values!B30</f>
        <v>4011.01135693223</v>
      </c>
      <c r="D30" s="23" t="n">
        <f aca="false">ABS(B30-C30)</f>
        <v>0</v>
      </c>
      <c r="E30" s="34" t="n">
        <v>1E-009</v>
      </c>
      <c r="F30" s="4" t="str">
        <f aca="false">IF(D30&lt;=E30,"PASS","FAIL")</f>
        <v>PASS</v>
      </c>
    </row>
    <row r="31" customFormat="false" ht="15" hidden="false" customHeight="false" outlineLevel="0" collapsed="false">
      <c r="A31" s="2" t="s">
        <v>401</v>
      </c>
      <c r="B31" s="11" t="n">
        <f aca="false">Rates!E12</f>
        <v>1</v>
      </c>
      <c r="C31" s="33" t="n">
        <f aca="false">Reference_Values!B31</f>
        <v>1</v>
      </c>
      <c r="D31" s="23" t="n">
        <f aca="false">ABS(B31-C31)</f>
        <v>0</v>
      </c>
      <c r="E31" s="34" t="n">
        <v>0</v>
      </c>
      <c r="F31" s="4" t="str">
        <f aca="false">IF(D31&lt;=E31,"PASS","FAIL")</f>
        <v>PASS</v>
      </c>
    </row>
    <row r="32" customFormat="false" ht="15" hidden="false" customHeight="false" outlineLevel="0" collapsed="false">
      <c r="A32" s="2" t="s">
        <v>402</v>
      </c>
      <c r="B32" s="11" t="n">
        <f aca="false">MAX(Rates!F19:F23)</f>
        <v>1.00135366665199E-009</v>
      </c>
      <c r="C32" s="33" t="n">
        <f aca="false">Reference_Values!B32</f>
        <v>0</v>
      </c>
      <c r="D32" s="23" t="n">
        <f aca="false">ABS(B32-C32)</f>
        <v>1.00135366665199E-009</v>
      </c>
      <c r="E32" s="34" t="n">
        <v>1E-006</v>
      </c>
      <c r="F32" s="4" t="str">
        <f aca="false">IF(D32&lt;=E32,"PASS","FAIL")</f>
        <v>PASS</v>
      </c>
    </row>
    <row r="33" customFormat="false" ht="15" hidden="false" customHeight="false" outlineLevel="0" collapsed="false">
      <c r="A33" s="2" t="s">
        <v>404</v>
      </c>
      <c r="B33" s="11" t="n">
        <f aca="false">Rates!H21</f>
        <v>0.0729166666666667</v>
      </c>
      <c r="C33" s="33" t="n">
        <f aca="false">Reference_Values!B33</f>
        <v>0.0729166666659162</v>
      </c>
      <c r="D33" s="23" t="n">
        <f aca="false">ABS(B33-C33)</f>
        <v>7.50469131283182E-013</v>
      </c>
      <c r="E33" s="34" t="n">
        <v>1E-009</v>
      </c>
      <c r="F33" s="4" t="str">
        <f aca="false">IF(D33&lt;=E33,"PASS","FAIL")</f>
        <v>PASS</v>
      </c>
    </row>
    <row r="34" customFormat="false" ht="15" hidden="false" customHeight="false" outlineLevel="0" collapsed="false">
      <c r="A34" s="2" t="s">
        <v>406</v>
      </c>
      <c r="B34" s="11" t="n">
        <f aca="false">Rates!F22</f>
        <v>1.00021679827478E-009</v>
      </c>
      <c r="C34" s="33" t="n">
        <f aca="false">Reference_Values!B34</f>
        <v>0</v>
      </c>
      <c r="D34" s="23" t="n">
        <f aca="false">ABS(B34-C34)</f>
        <v>1.00021679827478E-009</v>
      </c>
      <c r="E34" s="34" t="n">
        <v>1E-006</v>
      </c>
      <c r="F34" s="4" t="str">
        <f aca="false">IF(D34&lt;=E34,"PASS","FAIL")</f>
        <v>PASS</v>
      </c>
    </row>
    <row r="35" customFormat="false" ht="15" hidden="false" customHeight="false" outlineLevel="0" collapsed="false">
      <c r="A35" s="2" t="s">
        <v>408</v>
      </c>
      <c r="B35" s="11" t="n">
        <f aca="false">SUMPRODUCT(ABS(Rates!G19:G23-Rates!D19:D23))</f>
        <v>0</v>
      </c>
      <c r="C35" s="33" t="n">
        <f aca="false">Reference_Values!B35</f>
        <v>0</v>
      </c>
      <c r="D35" s="23" t="n">
        <f aca="false">ABS(B35-C35)</f>
        <v>0</v>
      </c>
      <c r="E35" s="34" t="n">
        <v>1E-006</v>
      </c>
      <c r="F35" s="4" t="str">
        <f aca="false">IF(D35&lt;=E35,"PASS","FAIL")</f>
        <v>PASS</v>
      </c>
    </row>
    <row r="36" customFormat="false" ht="15" hidden="false" customHeight="false" outlineLevel="0" collapsed="false">
      <c r="A36" s="2" t="s">
        <v>410</v>
      </c>
      <c r="B36" s="11" t="n">
        <f aca="false">Horizons!E35</f>
        <v>15</v>
      </c>
      <c r="C36" s="33" t="n">
        <f aca="false">Reference_Values!B36</f>
        <v>15</v>
      </c>
      <c r="D36" s="23" t="n">
        <f aca="false">ABS(B36-C36)</f>
        <v>0</v>
      </c>
      <c r="E36" s="34" t="n">
        <v>0</v>
      </c>
      <c r="F36" s="4" t="str">
        <f aca="false">IF(D36&lt;=E36,"PASS","FAIL")</f>
        <v>PASS</v>
      </c>
    </row>
    <row r="37" customFormat="false" ht="15" hidden="false" customHeight="false" outlineLevel="0" collapsed="false">
      <c r="A37" s="2" t="s">
        <v>412</v>
      </c>
      <c r="B37" s="11" t="n">
        <f aca="false">Horizons!E36</f>
        <v>3</v>
      </c>
      <c r="C37" s="33" t="n">
        <f aca="false">Reference_Values!B37</f>
        <v>3</v>
      </c>
      <c r="D37" s="23" t="n">
        <f aca="false">ABS(B37-C37)</f>
        <v>0</v>
      </c>
      <c r="E37" s="34" t="n">
        <v>0</v>
      </c>
      <c r="F37" s="4" t="str">
        <f aca="false">IF(D37&lt;=E37,"PASS","FAIL")</f>
        <v>PASS</v>
      </c>
    </row>
    <row r="38" customFormat="false" ht="15" hidden="false" customHeight="false" outlineLevel="0" collapsed="false">
      <c r="A38" s="2" t="s">
        <v>414</v>
      </c>
      <c r="B38" s="11" t="n">
        <f aca="false">Horizons!C19</f>
        <v>2</v>
      </c>
      <c r="C38" s="33" t="n">
        <f aca="false">Reference_Values!B38</f>
        <v>2</v>
      </c>
      <c r="D38" s="23" t="n">
        <f aca="false">ABS(B38-C38)</f>
        <v>0</v>
      </c>
      <c r="E38" s="34" t="n">
        <v>0</v>
      </c>
      <c r="F38" s="4" t="str">
        <f aca="false">IF(D38&lt;=E38,"PASS","FAIL")</f>
        <v>PASS</v>
      </c>
    </row>
    <row r="39" customFormat="false" ht="15" hidden="false" customHeight="false" outlineLevel="0" collapsed="false">
      <c r="A39" s="2" t="s">
        <v>416</v>
      </c>
      <c r="B39" s="11" t="n">
        <f aca="false">Replan!D16</f>
        <v>1007.54580282587</v>
      </c>
      <c r="C39" s="33" t="n">
        <f aca="false">Reference_Values!B39</f>
        <v>1007.54580282587</v>
      </c>
      <c r="D39" s="23" t="n">
        <f aca="false">ABS(B39-C39)</f>
        <v>0</v>
      </c>
      <c r="E39" s="34" t="n">
        <v>1E-009</v>
      </c>
      <c r="F39" s="4" t="str">
        <f aca="false">IF(D39&lt;=E39,"PASS","FAIL")</f>
        <v>PASS</v>
      </c>
    </row>
    <row r="40" customFormat="false" ht="15" hidden="false" customHeight="false" outlineLevel="0" collapsed="false">
      <c r="A40" s="2" t="s">
        <v>418</v>
      </c>
      <c r="B40" s="11" t="n">
        <f aca="false">Replan!D17</f>
        <v>14.3867470552806</v>
      </c>
      <c r="C40" s="33" t="n">
        <f aca="false">Reference_Values!B40</f>
        <v>14.3867470552807</v>
      </c>
      <c r="D40" s="23" t="n">
        <f aca="false">ABS(B40-C40)</f>
        <v>1.10134124042816E-013</v>
      </c>
      <c r="E40" s="34" t="n">
        <v>1E-009</v>
      </c>
      <c r="F40" s="4" t="str">
        <f aca="false">IF(D40&lt;=E40,"PASS","FAIL")</f>
        <v>PASS</v>
      </c>
    </row>
    <row r="41" customFormat="false" ht="15" hidden="false" customHeight="false" outlineLevel="0" collapsed="false">
      <c r="A41" s="2" t="s">
        <v>420</v>
      </c>
      <c r="B41" s="11" t="n">
        <f aca="false">VALUE(RIGHT(Replan!D13,1))</f>
        <v>1</v>
      </c>
      <c r="C41" s="33" t="n">
        <f aca="false">Reference_Values!B41</f>
        <v>1</v>
      </c>
      <c r="D41" s="23" t="n">
        <f aca="false">ABS(B41-C41)</f>
        <v>0</v>
      </c>
      <c r="E41" s="34" t="n">
        <v>0</v>
      </c>
      <c r="F41" s="4" t="str">
        <f aca="false">IF(D41&lt;=E41,"PASS","FAIL")</f>
        <v>PASS</v>
      </c>
    </row>
    <row r="42" customFormat="false" ht="15" hidden="false" customHeight="false" outlineLevel="0" collapsed="false">
      <c r="A42" s="2" t="s">
        <v>422</v>
      </c>
      <c r="B42" s="11" t="n">
        <f aca="false">Stress!H7</f>
        <v>445</v>
      </c>
      <c r="C42" s="33" t="n">
        <f aca="false">Reference_Values!B42</f>
        <v>445</v>
      </c>
      <c r="D42" s="23" t="n">
        <f aca="false">ABS(B42-C42)</f>
        <v>0</v>
      </c>
      <c r="E42" s="34" t="n">
        <v>1E-009</v>
      </c>
      <c r="F42" s="4" t="str">
        <f aca="false">IF(D42&lt;=E42,"PASS","FAIL")</f>
        <v>PASS</v>
      </c>
    </row>
    <row r="43" customFormat="false" ht="15" hidden="false" customHeight="false" outlineLevel="0" collapsed="false">
      <c r="A43" s="2" t="s">
        <v>424</v>
      </c>
      <c r="B43" s="11" t="n">
        <f aca="false">Stress!H10</f>
        <v>347.5</v>
      </c>
      <c r="C43" s="33" t="n">
        <f aca="false">Reference_Values!B43</f>
        <v>347.5</v>
      </c>
      <c r="D43" s="23" t="n">
        <f aca="false">ABS(B43-C43)</f>
        <v>0</v>
      </c>
      <c r="E43" s="34" t="n">
        <v>1E-009</v>
      </c>
      <c r="F43" s="4" t="str">
        <f aca="false">IF(D43&lt;=E43,"PASS","FAIL")</f>
        <v>PASS</v>
      </c>
    </row>
    <row r="44" customFormat="false" ht="15" hidden="false" customHeight="false" outlineLevel="0" collapsed="false">
      <c r="A44" s="2" t="s">
        <v>426</v>
      </c>
      <c r="B44" s="11" t="n">
        <f aca="false">Stress!H14</f>
        <v>1</v>
      </c>
      <c r="C44" s="33" t="n">
        <f aca="false">Reference_Values!B44</f>
        <v>1</v>
      </c>
      <c r="D44" s="23" t="n">
        <f aca="false">ABS(B44-C44)</f>
        <v>0</v>
      </c>
      <c r="E44" s="34" t="n">
        <v>0</v>
      </c>
      <c r="F44" s="4" t="str">
        <f aca="false">IF(D44&lt;=E44,"PASS","FAIL")</f>
        <v>PASS</v>
      </c>
    </row>
    <row r="45" customFormat="false" ht="15" hidden="false" customHeight="false" outlineLevel="0" collapsed="false">
      <c r="A45" s="2" t="s">
        <v>428</v>
      </c>
      <c r="B45" s="11" t="n">
        <f aca="false">Stress!H43</f>
        <v>853.730467085243</v>
      </c>
      <c r="C45" s="33" t="n">
        <f aca="false">Reference_Values!B45</f>
        <v>853.730467085243</v>
      </c>
      <c r="D45" s="23" t="n">
        <f aca="false">ABS(B45-C45)</f>
        <v>0</v>
      </c>
      <c r="E45" s="34" t="n">
        <v>1E-009</v>
      </c>
      <c r="F45" s="4" t="str">
        <f aca="false">IF(D45&lt;=E45,"PASS","FAIL")</f>
        <v>PASS</v>
      </c>
    </row>
    <row r="46" customFormat="false" ht="15" hidden="false" customHeight="false" outlineLevel="0" collapsed="false">
      <c r="A46" s="2" t="s">
        <v>430</v>
      </c>
      <c r="B46" s="11" t="n">
        <f aca="false">Stress!H44</f>
        <v>853.730467085243</v>
      </c>
      <c r="C46" s="33" t="n">
        <f aca="false">Reference_Values!B46</f>
        <v>853.730467085243</v>
      </c>
      <c r="D46" s="23" t="n">
        <f aca="false">ABS(B46-C46)</f>
        <v>0</v>
      </c>
      <c r="E46" s="34" t="n">
        <v>1E-009</v>
      </c>
      <c r="F46" s="4" t="str">
        <f aca="false">IF(D46&lt;=E46,"PASS","FAIL")</f>
        <v>PASS</v>
      </c>
    </row>
    <row r="47" customFormat="false" ht="15" hidden="false" customHeight="false" outlineLevel="0" collapsed="false">
      <c r="A47" s="2" t="s">
        <v>432</v>
      </c>
      <c r="B47" s="11" t="n">
        <f aca="false">Stress!H64</f>
        <v>736.363636363636</v>
      </c>
      <c r="C47" s="33" t="n">
        <f aca="false">Reference_Values!B47</f>
        <v>736.363636363636</v>
      </c>
      <c r="D47" s="23" t="n">
        <f aca="false">ABS(B47-C47)</f>
        <v>0</v>
      </c>
      <c r="E47" s="34" t="n">
        <v>1E-009</v>
      </c>
      <c r="F47" s="4" t="str">
        <f aca="false">IF(D47&lt;=E47,"PASS","FAIL")</f>
        <v>PASS</v>
      </c>
    </row>
    <row r="49" customFormat="false" ht="15" hidden="false" customHeight="false" outlineLevel="0" collapsed="false">
      <c r="A49" s="4" t="s">
        <v>438</v>
      </c>
      <c r="F49" s="4" t="str">
        <f aca="false">IF(COUNTIF(F2:F47,"PASS")=46,"ALL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2026-10-05T08:40:39Z</dcterms:created>
  <dc:creator>openpyxl</dc:creator>
  <dc:description/>
  <dc:language>en-US</dc:language>
  <cp:lastModifiedBy/>
  <dcterms:modified xsi:type="dcterms:W3CDTF">2026-10-05T08:40:39Z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