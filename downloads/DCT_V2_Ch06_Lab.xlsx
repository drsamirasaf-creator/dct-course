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Simulate" sheetId="3" state="visible" r:id="rId5"/>
    <sheet name="Plans" sheetId="4" state="visible" r:id="rId6"/>
    <sheet name="Floor" sheetId="5" state="visible" r:id="rId7"/>
    <sheet name="Prices" sheetId="6" state="visible" r:id="rId8"/>
    <sheet name="Hamiltonian" sheetId="7" state="visible" r:id="rId9"/>
    <sheet name="Shooting" sheetId="8" state="visible" r:id="rId10"/>
    <sheet name="Transcription" sheetId="9" state="visible" r:id="rId11"/>
    <sheet name="Certify" sheetId="10" state="visible" r:id="rId12"/>
    <sheet name="Compare" sheetId="11" state="visible" r:id="rId13"/>
    <sheet name="CapitalProblems" sheetId="12" state="visible" r:id="rId14"/>
    <sheet name="Reference_Values" sheetId="13" state="visible" r:id="rId15"/>
    <sheet name="Checks" sheetId="14" state="visible" r:id="rId16"/>
  </sheets>
  <definedNames>
    <definedName function="false" hidden="false" name="Attr_q" vbProcedure="false">Declarations!$B$4</definedName>
    <definedName function="false" hidden="false" name="Cap_q" vbProcedure="false">Declarations!$B$6</definedName>
    <definedName function="false" hidden="false" name="Cap_top" vbProcedure="false">Declarations!$B$7</definedName>
    <definedName function="false" hidden="false" name="Cost_k" vbProcedure="false">Declarations!$B$9</definedName>
    <definedName function="false" hidden="false" name="C_gone" vbProcedure="false">Declarations!$B$16</definedName>
    <definedName function="false" hidden="false" name="C_kept" vbProcedure="false">Declarations!$B$15</definedName>
    <definedName function="false" hidden="false" name="Delay_D" vbProcedure="false">Declarations!$B$12</definedName>
    <definedName function="false" hidden="false" name="Delay_q" vbProcedure="false">Declarations!$B$11</definedName>
    <definedName function="false" hidden="false" name="Delta_a" vbProcedure="false">Declarations!$B$5</definedName>
    <definedName function="false" hidden="false" name="Eta_floor" vbProcedure="false">Floor!$B$9</definedName>
    <definedName function="false" hidden="false" name="Floor_F" vbProcedure="false">Declarations!$B$10</definedName>
    <definedName function="false" hidden="false" name="Hurdle" vbProcedure="false">Declarations!$B$13</definedName>
    <definedName function="false" hidden="false" name="Proc_gone" vbProcedure="false">Declarations!$B$18</definedName>
    <definedName function="false" hidden="false" name="Proc_kept" vbProcedure="false">Declarations!$B$17</definedName>
    <definedName function="false" hidden="false" name="Rho_a" vbProcedure="false">Declarations!$B$14</definedName>
    <definedName function="false" hidden="false" name="Rho_delta" vbProcedure="false">Declarations!$B$19</definedName>
    <definedName function="false" hidden="false" name="Tau_drift" vbProcedure="false">Simulate!$B$5</definedName>
    <definedName function="false" hidden="false" name="Tau_race" vbProcedure="false">Simulate!$B$4</definedName>
    <definedName function="false" hidden="false" name="Time_58" vbProcedure="false">Simulate!$B$6</definedName>
    <definedName function="false" hidden="false" name="Ubar_a" vbProcedure="false">Declarations!$B$8</definedName>
    <definedName function="false" hidden="false" name="V_F" vbProcedure="false">Floor!$B$6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<sst xmlns="http://schemas.openxmlformats.org/spreadsheetml/2006/main" count="495" uniqueCount="396">
  <si>
    <t xml:space="preserve">DCT Laboratory — Vol II, Ch 6: Optimal Control of Enterprise Systems</t>
  </si>
  <si>
    <t xml:space="preserve">Seed 26206 · Companion to DCT_V2_Ch06_Lab.ipynb and AXIOM Lab 2.6 (module AXIOM-06). Money in $ million.</t>
  </si>
  <si>
    <t xml:space="preserve">Worked Example 6.1, What Is Meridian's Engineering Team Worth?, with the book's declarations.</t>
  </si>
  <si>
    <t xml:space="preserve">Declarations: the inputs of Step 1. Simulate: the race, the drift and Volume I's schedules over three years (Figure 6.3(a)). Plans: Table 6.3.</t>
  </si>
  <si>
    <t xml:space="preserve">Hamiltonian: the part hiring moves at three prices (Figure 6.1(b)) and the switching function along each plan.</t>
  </si>
  <si>
    <t xml:space="preserve">Floor: the rent and the floor's price, the user cost. Prices: the value of a position and the price of a point, with finite differences (Figure 6.1(a)).</t>
  </si>
  <si>
    <t xml:space="preserve">Shooting: the starting prices by bisection. Transcription: the linear program's best plan on weekly and daily calendars, in closed form, beside the HiGHS solutions the notebook computes.</t>
  </si>
  <si>
    <t xml:space="preserve">Certify: c_a, the dynamic-programming condition, and the team's value. Compare: the declarations tested (Step 6).</t>
  </si>
  <si>
    <t xml:space="preserve">CapitalProblems: the chapter's two small capital problems, with a rising and a linear cost (Figure 6.2).</t>
  </si>
  <si>
    <t xml:space="preserve">The state simulator, the HiGHS solves and the random-plan test of the certificate run in the notebook.</t>
  </si>
  <si>
    <t xml:space="preserve">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</si>
  <si>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</si>
  <si>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</si>
  <si>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</si>
  <si>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</si>
  <si>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</si>
  <si>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6.1, Step 1). Money in $ million; capability in points; time in years.</t>
  </si>
  <si>
    <t xml:space="preserve">Quantity</t>
  </si>
  <si>
    <t xml:space="preserve">Value</t>
  </si>
  <si>
    <t xml:space="preserve">Source</t>
  </si>
  <si>
    <t xml:space="preserve">Attrition a quarter</t>
  </si>
  <si>
    <t xml:space="preserve">2.5 percent a quarter (Volume I, Chapter 10)</t>
  </si>
  <si>
    <t xml:space="preserve">Attrition a year in continuous time, delta</t>
  </si>
  <si>
    <t xml:space="preserve">delta = 4 ln(1/0.975) = 0.101</t>
  </si>
  <si>
    <t xml:space="preserve">Hiring cap a quarter (points)</t>
  </si>
  <si>
    <t xml:space="preserve">At most 2.5 points a quarter (Volume I, Chapter 10)</t>
  </si>
  <si>
    <t xml:space="preserve">Volume I's ceiling (points)</t>
  </si>
  <si>
    <t xml:space="preserve">2.5 / 0.025 = 100</t>
  </si>
  <si>
    <t xml:space="preserve">Hiring cap a year, u bar = ceiling x delta</t>
  </si>
  <si>
    <t xml:space="preserve">10.13 points a year: keeps Volume I's ceiling and its time to build exactly</t>
  </si>
  <si>
    <t xml:space="preserve">Cost of hiring and training a point, k</t>
  </si>
  <si>
    <t xml:space="preserve">$4 million a point (Volume I, Worked Example 10.1)</t>
  </si>
  <si>
    <t xml:space="preserve">Capability floor of the digital build</t>
  </si>
  <si>
    <t xml:space="preserve">The build runs from the first moment capability reaches 55; from then on capability stays at or above 55</t>
  </si>
  <si>
    <t xml:space="preserve">A quarter of delay</t>
  </si>
  <si>
    <t xml:space="preserve">$8 million (Volume I, Chapter 15)</t>
  </si>
  <si>
    <t xml:space="preserve">Delay a year while the build waits, D</t>
  </si>
  <si>
    <t xml:space="preserve">$32 million a year</t>
  </si>
  <si>
    <t xml:space="preserve">Hurdle rate a year</t>
  </si>
  <si>
    <t xml:space="preserve">The board's 10 percent (Chapter 5)</t>
  </si>
  <si>
    <t xml:space="preserve">rho = ln(1 + hurdle rate)</t>
  </si>
  <si>
    <t xml:space="preserve">9.5 percent in continuous time</t>
  </si>
  <si>
    <t xml:space="preserve">Capability with the engineering team</t>
  </si>
  <si>
    <t xml:space="preserve">Team kept</t>
  </si>
  <si>
    <t xml:space="preserve">Capability without it</t>
  </si>
  <si>
    <t xml:space="preserve">Team gone: below the floor</t>
  </si>
  <si>
    <t xml:space="preserve">Proceeds with the team kept</t>
  </si>
  <si>
    <t xml:space="preserve">$92 million net</t>
  </si>
  <si>
    <t xml:space="preserve">Proceeds with the team gone</t>
  </si>
  <si>
    <t xml:space="preserve">$112 million net</t>
  </si>
  <si>
    <t xml:space="preserve">rho + delta</t>
  </si>
  <si>
    <t xml:space="preserve">Off the floor the price of a point grows at 19.7 percent a year</t>
  </si>
  <si>
    <t xml:space="preserve">State: capability c, with dc/dt = u - delta c. Decision: hiring and training u in [0, u bar]. Value of a position: minus the present value of hiring and delay over an open horizon.</t>
  </si>
  <si>
    <t xml:space="preserve">Simulate: Volume I's schedules and the race-and-rent plan (AXIOM Lab 2.6, step 1; Figure 6.3(a))</t>
  </si>
  <si>
    <t xml:space="preserve">Years</t>
  </si>
  <si>
    <t xml:space="preserve">Quarters</t>
  </si>
  <si>
    <t xml:space="preserve">Reading</t>
  </si>
  <si>
    <t xml:space="preserve">Race from 53 to the floor at the cap</t>
  </si>
  <si>
    <t xml:space="preserve">Volume I's time to build: the build starts</t>
  </si>
  <si>
    <t xml:space="preserve">Drift from 58 to the floor, hiring nothing</t>
  </si>
  <si>
    <t xml:space="preserve">Then pay the rent</t>
  </si>
  <si>
    <t xml:space="preserve">Rebuild from 53 to 58 at the cap</t>
  </si>
  <si>
    <t xml:space="preserve">Volume I's schedule</t>
  </si>
  <si>
    <t xml:space="preserve">Build starts, team kept</t>
  </si>
  <si>
    <t xml:space="preserve">Capability is above the floor at once</t>
  </si>
  <si>
    <t xml:space="preserve">Build starts, team gone (race or rebuild)</t>
  </si>
  <si>
    <t xml:space="preserve">Both pass 55 at the cap</t>
  </si>
  <si>
    <t xml:space="preserve">Years after the sale</t>
  </si>
  <si>
    <t xml:space="preserve">Team kept: drift, then the rent</t>
  </si>
  <si>
    <t xml:space="preserve">Team gone: race, then the rent</t>
  </si>
  <si>
    <t xml:space="preserve">Volume I: hold 58</t>
  </si>
  <si>
    <t xml:space="preserve">Volume I: rebuild to 58</t>
  </si>
  <si>
    <t xml:space="preserve">Hiring, team kept</t>
  </si>
  <si>
    <t xml:space="preserve">Hiring, team gone</t>
  </si>
  <si>
    <t xml:space="preserve">Hiring, hold 58</t>
  </si>
  <si>
    <t xml:space="preserve">Hiring, rebuild</t>
  </si>
  <si>
    <t xml:space="preserve">Capability at the cap: 100 - (100 - c0) e^(-delta t); with no hiring: c0 e^(-delta t); the rent delta x 55 holds the floor. Hiring in points a year.</t>
  </si>
  <si>
    <t xml:space="preserve">Table 6.3: the plans compared ($ million, present values at 10 percent over an open horizon)</t>
  </si>
  <si>
    <t xml:space="preserve">Plan</t>
  </si>
  <si>
    <t xml:space="preserve">Build starts (quarters)</t>
  </si>
  <si>
    <t xml:space="preserve">Hiring</t>
  </si>
  <si>
    <t xml:space="preserve">Delay</t>
  </si>
  <si>
    <t xml:space="preserve">Total cost</t>
  </si>
  <si>
    <t xml:space="preserve">Proceeds</t>
  </si>
  <si>
    <t xml:space="preserve">Proceeds less costs</t>
  </si>
  <si>
    <t xml:space="preserve">Team kept: drift to 55, pay the rent</t>
  </si>
  <si>
    <t xml:space="preserve">Team gone: race to 55, pay the rent</t>
  </si>
  <si>
    <t xml:space="preserve">Volume I's schedules</t>
  </si>
  <si>
    <t xml:space="preserve">Team kept: hold 58</t>
  </si>
  <si>
    <t xml:space="preserve">Team gone: rebuild to 58, hold it</t>
  </si>
  <si>
    <t xml:space="preserve">Holding 58 costs more than the drift</t>
  </si>
  <si>
    <t xml:space="preserve">Step 4: $24.1 million</t>
  </si>
  <si>
    <t xml:space="preserve">Rebuilding to 58 costs more than the race</t>
  </si>
  <si>
    <t xml:space="preserve">Step 4: $23.0 million</t>
  </si>
  <si>
    <t xml:space="preserve">Keeping the team leads by (best plans)</t>
  </si>
  <si>
    <t xml:space="preserve">Step 5: $12.5 million</t>
  </si>
  <si>
    <t xml:space="preserve">Keeping the team leads by (Volume I's schedules)</t>
  </si>
  <si>
    <t xml:space="preserve">Online Appendix 6.B.3: 11.39</t>
  </si>
  <si>
    <t xml:space="preserve">The team: V(58) - V(53)</t>
  </si>
  <si>
    <t xml:space="preserve">$32.5 million</t>
  </si>
  <si>
    <t xml:space="preserve">Price the floor: the rent and the user cost (Worked Example 6.1, Step 3; Proposition 6.3(ii))</t>
  </si>
  <si>
    <t xml:space="preserve">The rent: points a year that hold capability at 55, delta x 55</t>
  </si>
  <si>
    <t xml:space="preserve">5.57 points a year</t>
  </si>
  <si>
    <t xml:space="preserve">The rent in $ million a year</t>
  </si>
  <si>
    <t xml:space="preserve">$22.3 million</t>
  </si>
  <si>
    <t xml:space="preserve">V(55): paying the rent forever</t>
  </si>
  <si>
    <t xml:space="preserve">-$233.8 million</t>
  </si>
  <si>
    <t xml:space="preserve">Interest on a point's $4 million, rho k</t>
  </si>
  <si>
    <t xml:space="preserve">$0.38 million a year</t>
  </si>
  <si>
    <t xml:space="preserve">Attrition of a point, delta k</t>
  </si>
  <si>
    <t xml:space="preserve">$0.41 million a year</t>
  </si>
  <si>
    <t xml:space="preserve">The floor's price: the user cost (rho + delta) k</t>
  </si>
  <si>
    <t xml:space="preserve">$0.79 million a point a year</t>
  </si>
  <si>
    <t xml:space="preserve">Costate equation on the floor: (rho + delta) x 4 - 0 - the floor's price</t>
  </si>
  <si>
    <t xml:space="preserve">Zero: the price stays at $4 million</t>
  </si>
  <si>
    <t xml:space="preserve">Five points of margin over the floor, a year</t>
  </si>
  <si>
    <t xml:space="preserve">$3.9 million a year</t>
  </si>
  <si>
    <t xml:space="preserve">On the floor the build runs and a point earns nothing directly; the floor's price is what one more point saves in rent (Proposition 6.3(ii): eta = (rho + delta) k less the marginal earnings).</t>
  </si>
  <si>
    <t xml:space="preserve">Price capability: the value of a position and the price of a point, checked by finite differences (AXIOM Lab 2.6, step 3; Theorem 6.1; Figure 6.1(a))</t>
  </si>
  <si>
    <t xml:space="preserve">Capability c</t>
  </si>
  <si>
    <t xml:space="preserve">V(c)</t>
  </si>
  <si>
    <t xml:space="preserve">Price m = V'(c)</t>
  </si>
  <si>
    <t xml:space="preserve">Central finite difference</t>
  </si>
  <si>
    <t xml:space="preserve">Tobin's q</t>
  </si>
  <si>
    <t xml:space="preserve">Team gone: hire at the cap</t>
  </si>
  <si>
    <t xml:space="preserve">Just below the floor</t>
  </si>
  <si>
    <t xml:space="preserve">On the floor, build running: the cost</t>
  </si>
  <si>
    <t xml:space="preserve">Team kept: hire nothing</t>
  </si>
  <si>
    <t xml:space="preserve">Price as capability reaches 55: the cost plus the delay a point saves, 4 + D/(u bar - 55 delta)</t>
  </si>
  <si>
    <t xml:space="preserve">Years sooner the build starts with one more point, 1/(u bar - 55 delta)</t>
  </si>
  <si>
    <t xml:space="preserve">Price at 53 grown at rho + delta over the race</t>
  </si>
  <si>
    <t xml:space="preserve">Price at 58 grown at rho + delta over the drift</t>
  </si>
  <si>
    <t xml:space="preserve">The floor's price as earnings from the drift's end, discounted at rho + delta</t>
  </si>
  <si>
    <t xml:space="preserve">Theorem 6.1(iii): along a best plan the price is the slope of the best value. Off the floor it grows at rho + delta; it falls to the $4 million cost the moment the build starts.</t>
  </si>
  <si>
    <t xml:space="preserve">Capability today</t>
  </si>
  <si>
    <t xml:space="preserve">PV of hiring and delay, -V(c)</t>
  </si>
  <si>
    <t xml:space="preserve">Price m</t>
  </si>
  <si>
    <t xml:space="preserve">Figure 6.1(a): the cost of the position and its slope. At 55 the price jumps from $11.0 million (it starts the build) to the $4 million cost (once the build runs); no finite difference across the jump.</t>
  </si>
  <si>
    <t xml:space="preserve">Read the Hamiltonian: hire at the cap, nothing, or the rent (AXIOM Lab 2.6, step 2; Theorem 6.2; Figure 6.1(b))</t>
  </si>
  <si>
    <t xml:space="preserve">H = -4u - 32 1{c &lt; 55} + m(u - delta c): the value earned now plus the value banked. Hiring moves only (m - 4)u, so the switching function m - 4 decides: the cap above 0, nothing below, any rate at 0.</t>
  </si>
  <si>
    <t xml:space="preserve">Where</t>
  </si>
  <si>
    <t xml:space="preserve">Switching function m - 4</t>
  </si>
  <si>
    <t xml:space="preserve">Best hiring</t>
  </si>
  <si>
    <t xml:space="preserve">Best rate on the grid</t>
  </si>
  <si>
    <t xml:space="preserve">At 53, team gone</t>
  </si>
  <si>
    <t xml:space="preserve">On the floor, build running</t>
  </si>
  <si>
    <t xml:space="preserve">At 58, team kept</t>
  </si>
  <si>
    <t xml:space="preserve">Hiring u (points a year)</t>
  </si>
  <si>
    <t xml:space="preserve">(m - 4)u at 53</t>
  </si>
  <si>
    <t xml:space="preserve">(m - 4)u on the floor</t>
  </si>
  <si>
    <t xml:space="preserve">(m - 4)u at 58</t>
  </si>
  <si>
    <t xml:space="preserve">Quarter</t>
  </si>
  <si>
    <t xml:space="preserve">Gone: capability</t>
  </si>
  <si>
    <t xml:space="preserve">Gone: price</t>
  </si>
  <si>
    <t xml:space="preserve">Gone: m - 4</t>
  </si>
  <si>
    <t xml:space="preserve">Gone: hiring</t>
  </si>
  <si>
    <t xml:space="preserve">Gone: max H</t>
  </si>
  <si>
    <t xml:space="preserve">Gone: rho V(c)</t>
  </si>
  <si>
    <t xml:space="preserve">Gone: |max H - rho V|</t>
  </si>
  <si>
    <t xml:space="preserve">Kept: capability</t>
  </si>
  <si>
    <t xml:space="preserve">Kept: price</t>
  </si>
  <si>
    <t xml:space="preserve">Kept: m - 4</t>
  </si>
  <si>
    <t xml:space="preserve">Kept: hiring</t>
  </si>
  <si>
    <t xml:space="preserve">Kept: max H</t>
  </si>
  <si>
    <t xml:space="preserve">Kept: rho V(c)</t>
  </si>
  <si>
    <t xml:space="preserve">Kept: |max H - rho V|</t>
  </si>
  <si>
    <t xml:space="preserve">Largest |max H - rho V(c)| along both plans (the dynamic-programming condition of Step 5)</t>
  </si>
  <si>
    <t xml:space="preserve">Gone: the price grows from $10.1 million to $11.0 million, then falls to the $4 million cost when the build starts. Kept: it grows from $3.6 million to $4 million as capability reaches the floor.</t>
  </si>
  <si>
    <t xml:space="preserve">Solve by shooting: guess the starting price, run forward, correct (AXIOM Lab 2.6, step 4; Theorem 6.2)</t>
  </si>
  <si>
    <t xml:space="preserve">The forward run is exact: off the floor the price grows at rho + delta; while the price stays above the cost the decision is the cap (race), while below it nothing (drift). Bisection corrects the guess.</t>
  </si>
  <si>
    <t xml:space="preserve">Race from 53: the price on arrival must be the cost plus the delay a point saves</t>
  </si>
  <si>
    <t xml:space="preserve">Drift from 58: the price must reach the $4 million cost as capability reaches 55</t>
  </si>
  <si>
    <t xml:space="preserve">Race from 53: years to the floor at the cap</t>
  </si>
  <si>
    <t xml:space="preserve">Drift from 58: years to the floor, hiring nothing</t>
  </si>
  <si>
    <t xml:space="preserve">Step</t>
  </si>
  <si>
    <t xml:space="preserve">Low guess</t>
  </si>
  <si>
    <t xml:space="preserve">High guess</t>
  </si>
  <si>
    <t xml:space="preserve">Guess</t>
  </si>
  <si>
    <t xml:space="preserve">Price on arrival</t>
  </si>
  <si>
    <t xml:space="preserve">Miss</t>
  </si>
  <si>
    <t xml:space="preserve">Years until the price reaches $4m</t>
  </si>
  <si>
    <t xml:space="preserve">Starting price found by shooting: race from 53</t>
  </si>
  <si>
    <t xml:space="preserve">Drift from 58</t>
  </si>
  <si>
    <t xml:space="preserve">They are the prices at 53 and 58 of the Prices sheet: shooting recovers the costate at the start.</t>
  </si>
  <si>
    <t xml:space="preserve">Solve by direct transcription: the linear program's best plan, in formulas (AXIOM Lab 2.6, step 4; Section 6.6; Online Appendix 6.B.3)</t>
  </si>
  <si>
    <t xml:space="preserve">Hiring held level in each step of h years (exact discretization: c' = a c + b u); capability at or above 55 at every grid date from the start step; the delay charged up to it. HiGHS solves the program in the notebook (green). Its best plan is simple, and computed here: nothing, one partial step, then the cap, arriving at 55 exactly on the start date; then the rent.</t>
  </si>
  <si>
    <t xml:space="preserve">Weekly</t>
  </si>
  <si>
    <t xml:space="preserve">Daily</t>
  </si>
  <si>
    <t xml:space="preserve">Step h (years)</t>
  </si>
  <si>
    <t xml:space="preserve">a = exp(-delta h)</t>
  </si>
  <si>
    <t xml:space="preserve">b = (1 - a)/delta</t>
  </si>
  <si>
    <t xml:space="preserve">w = (1 - exp(-rho h))/rho: PV weight of a step</t>
  </si>
  <si>
    <t xml:space="preserve">Earliest reachable start step</t>
  </si>
  <si>
    <t xml:space="preserve">Earliest start in years</t>
  </si>
  <si>
    <t xml:space="preserve">Price of a point on the floor from the multipliers: k w exp(rho h)/b</t>
  </si>
  <si>
    <t xml:space="preserve">The floor's price a point a year: price x (1 - exp(-(rho + delta) h))/h</t>
  </si>
  <si>
    <t xml:space="preserve">HiGHS (engine): price of a point on the floor</t>
  </si>
  <si>
    <t xml:space="preserve">HiGHS (engine): the floor's price a point a year</t>
  </si>
  <si>
    <t xml:space="preserve">Calendar</t>
  </si>
  <si>
    <t xml:space="preserve">Start step K</t>
  </si>
  <si>
    <t xml:space="preserve">Steps hiring, n</t>
  </si>
  <si>
    <t xml:space="preserve">Need: 55 - 53 a^K</t>
  </si>
  <si>
    <t xml:space="preserve">Partial rate, first hiring step</t>
  </si>
  <si>
    <t xml:space="preserve">Cost (formulas)</t>
  </si>
  <si>
    <t xml:space="preserve">Cost (HiGHS, engine)</t>
  </si>
  <si>
    <t xml:space="preserve">|difference|</t>
  </si>
  <si>
    <t xml:space="preserve">Above the closed form</t>
  </si>
  <si>
    <t xml:space="preserve">weekly</t>
  </si>
  <si>
    <t xml:space="preserve">daily</t>
  </si>
  <si>
    <t xml:space="preserve">Last grid date before 55, j</t>
  </si>
  <si>
    <t xml:space="preserve">Partial rate at step j</t>
  </si>
  <si>
    <t xml:space="preserve">Week j</t>
  </si>
  <si>
    <t xml:space="preserve">Hiring u_j (points a year)</t>
  </si>
  <si>
    <t xml:space="preserve">Capability c_j</t>
  </si>
  <si>
    <t xml:space="preserve">PV of the week's hiring</t>
  </si>
  <si>
    <t xml:space="preserve">Capability at the start week</t>
  </si>
  <si>
    <t xml:space="preserve">PV of the hiring before the start</t>
  </si>
  <si>
    <t xml:space="preserve">PV of the delay to the start week</t>
  </si>
  <si>
    <t xml:space="preserve">PV of the rent from the start week</t>
  </si>
  <si>
    <t xml:space="preserve">Total: the weekly program's optimum</t>
  </si>
  <si>
    <t xml:space="preserve">The program never beats the closed form (Theorem 5.1(i)): it starts the build on a grid date, $0.38 million above it weekly, $0.02 million daily. Its multipliers give the $4 million cost on the floor and the floor's price, the user cost.</t>
  </si>
  <si>
    <t xml:space="preserve">Certify the race and value the team (Worked Example 6.1, Step 5; Theorem 6.3; Online Appendix 6.B.3)</t>
  </si>
  <si>
    <t xml:space="preserve">Never starting the build: the delay forever, D/rho</t>
  </si>
  <si>
    <t xml:space="preserve">Below c_a racing to the floor costs more than never starting the build: find V(c_a) = -D/rho by bisection.</t>
  </si>
  <si>
    <t xml:space="preserve">Low</t>
  </si>
  <si>
    <t xml:space="preserve">High</t>
  </si>
  <si>
    <t xml:space="preserve">Middle</t>
  </si>
  <si>
    <t xml:space="preserve">V(middle) + D/rho</t>
  </si>
  <si>
    <t xml:space="preserve">c_a: racing beats never starting the build above it</t>
  </si>
  <si>
    <t xml:space="preserve">Smallest price of a point below the floor, at c_a (it exceeds the $4 million cost)</t>
  </si>
  <si>
    <t xml:space="preserve">V'(c)</t>
  </si>
  <si>
    <t xml:space="preserve">Delay running</t>
  </si>
  <si>
    <t xml:space="preserve">Best of {0, cap}</t>
  </si>
  <si>
    <t xml:space="preserve">rho V - best</t>
  </si>
  <si>
    <t xml:space="preserve">Largest residual: the closed form satisfies the condition at every level above c_a</t>
  </si>
  <si>
    <t xml:space="preserve">Hiring the rebuild needs: k u bar (1 - exp(-rho tau))/rho</t>
  </si>
  <si>
    <t xml:space="preserve">$17.0 million</t>
  </si>
  <si>
    <t xml:space="preserve">The build's delay: D (1 - exp(-rho tau))/rho</t>
  </si>
  <si>
    <t xml:space="preserve">$13.5 million</t>
  </si>
  <si>
    <t xml:space="preserve">The rent starts later</t>
  </si>
  <si>
    <t xml:space="preserve">$2.0 million</t>
  </si>
  <si>
    <t xml:space="preserve">Net of the buyer's $20 million: keep the team by</t>
  </si>
  <si>
    <t xml:space="preserve">$12.5 million</t>
  </si>
  <si>
    <t xml:space="preserve">The team-kept plan is certified by Theorem 6.3 (linear Hamiltonian and floor; the floor's multiplier is the user cost). The race is certified by its closed form, as above.</t>
  </si>
  <si>
    <t xml:space="preserve">Compare: test the declarations, record the team's value (AXIOM Lab 2.6, step 5; Worked Example 6.1, Step 6)</t>
  </si>
  <si>
    <t xml:space="preserve">Declaration</t>
  </si>
  <si>
    <t xml:space="preserve">Base</t>
  </si>
  <si>
    <t xml:space="preserve">Attrition 6% a year</t>
  </si>
  <si>
    <t xml:space="preserve">Attrition 11% a year</t>
  </si>
  <si>
    <t xml:space="preserve">Cap 2.0 a quarter</t>
  </si>
  <si>
    <t xml:space="preserve">Delay $4m a quarter</t>
  </si>
  <si>
    <t xml:space="preserve">Delay $16m a quarter</t>
  </si>
  <si>
    <t xml:space="preserve">Floor 60</t>
  </si>
  <si>
    <t xml:space="preserve">Attrition a year</t>
  </si>
  <si>
    <t xml:space="preserve">delta</t>
  </si>
  <si>
    <t xml:space="preserve">Ceiling, cap / quarterly attrition</t>
  </si>
  <si>
    <t xml:space="preserve">u bar</t>
  </si>
  <si>
    <t xml:space="preserve">D, delay a year</t>
  </si>
  <si>
    <t xml:space="preserve">Floor</t>
  </si>
  <si>
    <t xml:space="preserve">k</t>
  </si>
  <si>
    <t xml:space="preserve">rho</t>
  </si>
  <si>
    <t xml:space="preserve">Race from 53 to the floor (quarters)</t>
  </si>
  <si>
    <t xml:space="preserve">Drift from 58 to the floor (quarters)</t>
  </si>
  <si>
    <t xml:space="preserve">V(53)</t>
  </si>
  <si>
    <t xml:space="preserve">V(58)</t>
  </si>
  <si>
    <t xml:space="preserve">Price of a point at 53</t>
  </si>
  <si>
    <t xml:space="preserve">Team kept: race from 58 to the floor (quarters)</t>
  </si>
  <si>
    <t xml:space="preserve">Figures below a $20 million ask</t>
  </si>
  <si>
    <t xml:space="preserve">Figures below a $30 million ask</t>
  </si>
  <si>
    <t xml:space="preserve">A floor at 60: five points of margin cost a year</t>
  </si>
  <si>
    <t xml:space="preserve">Attrition scenarios keep the cap at 2.5 points a quarter (Volume I's sensitivities); the floor at 60 answers a survey good to +/-5 points (Volume I, Worked Example 16.1).</t>
  </si>
  <si>
    <t xml:space="preserve">Two small capital problems: a rising cost and a linear one (Proposition 6.2; Figure 6.2; Online Appendix 6.B.2)</t>
  </si>
  <si>
    <t xml:space="preserve">Generic, not Meridian: one stock dx/dt = u - delta x earning v a year a unit, no terminal value. The costate m(t) = v/(rho + delta)(1 - exp(-(rho + delta)(T - t))) does not depend on the plan.</t>
  </si>
  <si>
    <t xml:space="preserve">Race to a level and hold it</t>
  </si>
  <si>
    <t xml:space="preserve">Earnings a year of a unit, v</t>
  </si>
  <si>
    <t xml:space="preserve">Figure 6.2(c): the level held</t>
  </si>
  <si>
    <t xml:space="preserve">Decay, delta</t>
  </si>
  <si>
    <t xml:space="preserve">Cap (units a year)</t>
  </si>
  <si>
    <t xml:space="preserve">Discount rate, rho</t>
  </si>
  <si>
    <t xml:space="preserve">Decay</t>
  </si>
  <si>
    <t xml:space="preserve">Horizon T (years)</t>
  </si>
  <si>
    <t xml:space="preserve">Cost of a unit, k</t>
  </si>
  <si>
    <t xml:space="preserve">From 35, building at the cap (years)</t>
  </si>
  <si>
    <t xml:space="preserve">Investment cap (linear cost)</t>
  </si>
  <si>
    <t xml:space="preserve">From 75, letting the stock decay (years)</t>
  </si>
  <si>
    <t xml:space="preserve">Rising cost: k u + kappa u^2/2, kappa</t>
  </si>
  <si>
    <t xml:space="preserve">Then the rent a year</t>
  </si>
  <si>
    <t xml:space="preserve">Price of a unit at the start, m(0)</t>
  </si>
  <si>
    <t xml:space="preserve">Switch: the price falls through the cost at t_s</t>
  </si>
  <si>
    <t xml:space="preserve">Rising cost: investment at the start, (m(0) - k)/kappa</t>
  </si>
  <si>
    <t xml:space="preserve">Marginal value of capital at the start: v times the integral of exp(-(rho + delta)t), Simpson's rule</t>
  </si>
  <si>
    <t xml:space="preserve">Linear cost: number of switches on the grid</t>
  </si>
  <si>
    <t xml:space="preserve">Price m(t)</t>
  </si>
  <si>
    <t xml:space="preserve">Switching function m - k</t>
  </si>
  <si>
    <t xml:space="preserve">Linear cost: invest</t>
  </si>
  <si>
    <t xml:space="preserve">Rising cost: invest</t>
  </si>
  <si>
    <t xml:space="preserve">exp(-(rho + delta)t)</t>
  </si>
  <si>
    <t xml:space="preserve">Simpson weight</t>
  </si>
  <si>
    <t xml:space="preserve">Checkpoint</t>
  </si>
  <si>
    <t xml:space="preserve">Engine value</t>
  </si>
  <si>
    <t xml:space="preserve">Meaning (where in the book)</t>
  </si>
  <si>
    <t xml:space="preserve">delta, attrition a year</t>
  </si>
  <si>
    <t xml:space="preserve">Worked Example 6.1, Step 1: 0.101</t>
  </si>
  <si>
    <t xml:space="preserve">u bar, hiring cap a year</t>
  </si>
  <si>
    <t xml:space="preserve">10.13 points a year</t>
  </si>
  <si>
    <t xml:space="preserve">Race 53 to 55 (quarters)</t>
  </si>
  <si>
    <t xml:space="preserve">1.7 quarters</t>
  </si>
  <si>
    <t xml:space="preserve">Drift 58 to 55 (quarters)</t>
  </si>
  <si>
    <t xml:space="preserve">2.1 quarters</t>
  </si>
  <si>
    <t xml:space="preserve">Rebuild 53 to 58 (quarters)</t>
  </si>
  <si>
    <t xml:space="preserve">Online Appendix 6.B.3: 4.443</t>
  </si>
  <si>
    <t xml:space="preserve">Rent at the floor ($ a year)</t>
  </si>
  <si>
    <t xml:space="preserve">Step 3: $22.3 million</t>
  </si>
  <si>
    <t xml:space="preserve">V(55), the rent forever</t>
  </si>
  <si>
    <t xml:space="preserve">Step 3: -$233.8 million</t>
  </si>
  <si>
    <t xml:space="preserve">The floor's price, user cost</t>
  </si>
  <si>
    <t xml:space="preserve">Step 3: $0.79 million a point a year</t>
  </si>
  <si>
    <t xml:space="preserve">-222.36</t>
  </si>
  <si>
    <t xml:space="preserve">-254.89</t>
  </si>
  <si>
    <t xml:space="preserve">The team V(58) - V(53)</t>
  </si>
  <si>
    <t xml:space="preserve">Step 5: $32.5 million</t>
  </si>
  <si>
    <t xml:space="preserve">Team: hiring the rebuild needs</t>
  </si>
  <si>
    <t xml:space="preserve">Team: the build's delay</t>
  </si>
  <si>
    <t xml:space="preserve">Team: the rent starts later</t>
  </si>
  <si>
    <t xml:space="preserve">$10.1 million</t>
  </si>
  <si>
    <t xml:space="preserve">Price of a point at 54</t>
  </si>
  <si>
    <t xml:space="preserve">10.562</t>
  </si>
  <si>
    <t xml:space="preserve">Price as capability reaches 55</t>
  </si>
  <si>
    <t xml:space="preserve">$11.0 million</t>
  </si>
  <si>
    <t xml:space="preserve">Price of a point at 56</t>
  </si>
  <si>
    <t xml:space="preserve">3.863</t>
  </si>
  <si>
    <t xml:space="preserve">Price of a point at 58</t>
  </si>
  <si>
    <t xml:space="preserve">$3.6 million</t>
  </si>
  <si>
    <t xml:space="preserve">Price of a point at 60</t>
  </si>
  <si>
    <t xml:space="preserve">3.378</t>
  </si>
  <si>
    <t xml:space="preserve">Finite difference of V at 53</t>
  </si>
  <si>
    <t xml:space="preserve">Lab step 3: check by finite differences</t>
  </si>
  <si>
    <t xml:space="preserve">Hamiltonian: largest |max H - rho V| along the plans</t>
  </si>
  <si>
    <t xml:space="preserve">Step 5's dynamic-programming condition</t>
  </si>
  <si>
    <t xml:space="preserve">Shooting: starting price of the race</t>
  </si>
  <si>
    <t xml:space="preserve">The price at 53</t>
  </si>
  <si>
    <t xml:space="preserve">Shooting: starting price of the drift</t>
  </si>
  <si>
    <t xml:space="preserve">The price at 58</t>
  </si>
  <si>
    <t xml:space="preserve">Transcription weekly: earliest start week</t>
  </si>
  <si>
    <t xml:space="preserve">Week 23</t>
  </si>
  <si>
    <t xml:space="preserve">Transcription daily: earliest start day</t>
  </si>
  <si>
    <t xml:space="preserve">Day 157</t>
  </si>
  <si>
    <t xml:space="preserve">Transcription weekly: cost, start week 23</t>
  </si>
  <si>
    <t xml:space="preserve">Online Appendix 6.B.3: 255.269</t>
  </si>
  <si>
    <t xml:space="preserve">Transcription weekly: cost, start week 36</t>
  </si>
  <si>
    <t xml:space="preserve">262.40</t>
  </si>
  <si>
    <t xml:space="preserve">Transcription weekly: the schedule's total</t>
  </si>
  <si>
    <t xml:space="preserve">Week-by-week schedule</t>
  </si>
  <si>
    <t xml:space="preserve">Transcription daily: above the closed form</t>
  </si>
  <si>
    <t xml:space="preserve">$0.02 million</t>
  </si>
  <si>
    <t xml:space="preserve">Transcription weekly: team kept</t>
  </si>
  <si>
    <t xml:space="preserve">222.363</t>
  </si>
  <si>
    <t xml:space="preserve">Transcription weekly: price on the floor</t>
  </si>
  <si>
    <t xml:space="preserve">4.008</t>
  </si>
  <si>
    <t xml:space="preserve">Transcription daily: the floor's price</t>
  </si>
  <si>
    <t xml:space="preserve">0.7863</t>
  </si>
  <si>
    <t xml:space="preserve">Racing beats never starting above c_a</t>
  </si>
  <si>
    <t xml:space="preserve">Step 5: 43.4</t>
  </si>
  <si>
    <t xml:space="preserve">Dynamic-programming condition: largest residual</t>
  </si>
  <si>
    <t xml:space="preserve">Step 5: zero at every level above c_a</t>
  </si>
  <si>
    <t xml:space="preserve">Holding 58 less the drift</t>
  </si>
  <si>
    <t xml:space="preserve">Rebuilding to 58 less the race</t>
  </si>
  <si>
    <t xml:space="preserve">Table 6.3: team gone, proceeds less costs</t>
  </si>
  <si>
    <t xml:space="preserve">-142.9</t>
  </si>
  <si>
    <t xml:space="preserve">Table 6.3: rebuild to 58, proceeds less costs</t>
  </si>
  <si>
    <t xml:space="preserve">-165.9</t>
  </si>
  <si>
    <t xml:space="preserve">Team, attrition 6% a year</t>
  </si>
  <si>
    <t xml:space="preserve">Step 6: $28.4 million</t>
  </si>
  <si>
    <t xml:space="preserve">Team, attrition 11% a year</t>
  </si>
  <si>
    <t xml:space="preserve">$35.2 million</t>
  </si>
  <si>
    <t xml:space="preserve">Team, cap 2.0 a quarter</t>
  </si>
  <si>
    <t xml:space="preserve">$42.3 million</t>
  </si>
  <si>
    <t xml:space="preserve">Team, delay $4m a quarter</t>
  </si>
  <si>
    <t xml:space="preserve">$25.8 million</t>
  </si>
  <si>
    <t xml:space="preserve">Team, delay $16m a quarter</t>
  </si>
  <si>
    <t xml:space="preserve">$46.0 million</t>
  </si>
  <si>
    <t xml:space="preserve">Team, floor 60</t>
  </si>
  <si>
    <t xml:space="preserve">$48.5 million</t>
  </si>
  <si>
    <t xml:space="preserve">Capital problem: price at the start</t>
  </si>
  <si>
    <t xml:space="preserve">Online Appendix 6.B.2: 4.239</t>
  </si>
  <si>
    <t xml:space="preserve">Capital problem: marginal value of capital, Simpson</t>
  </si>
  <si>
    <t xml:space="preserve">The costate is the marginal value of capital</t>
  </si>
  <si>
    <t xml:space="preserve">Capital problem: the switch (years)</t>
  </si>
  <si>
    <t xml:space="preserve">3.69</t>
  </si>
  <si>
    <t xml:space="preserve">Capital problem: smooth investment at the start</t>
  </si>
  <si>
    <t xml:space="preserve">0.310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</si>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</sst>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0.000000"/>
    <numFmt numFmtId="167" formatCode="0.00"/>
    <numFmt numFmtId="168" formatCode="0.000"/>
    <numFmt numFmtId="169" formatCode="0.0"/>
    <numFmt numFmtId="170" formatCode="0.0E+00"/>
    <numFmt numFmtId="171" formatCode="0"/>
    <numFmt numFmtId="172" formatCode="0.00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5" t="s">
        <v>12</v>
      </c>
    </row>
    <row r="16" customFormat="false" ht="15" hidden="false" customHeight="false" outlineLevel="0" collapsed="false">
      <c r="B16" s="2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" t="s">
        <v>16</v>
      </c>
    </row>
    <row r="3" customFormat="false" ht="15" hidden="false" customHeight="false" outlineLevel="0" collapsed="false">
      <c r="A3" s="8" t="s">
        <v>17</v>
      </c>
      <c r="B3" s="8" t="s">
        <v>18</v>
      </c>
      <c r="C3" s="8" t="s">
        <v>19</v>
      </c>
    </row>
    <row r="4" customFormat="false" ht="15" hidden="false" customHeight="false" outlineLevel="0" collapsed="false">
      <c r="A4" s="2" t="s">
        <v>20</v>
      </c>
      <c r="B4" s="9" t="n">
        <v>0.025</v>
      </c>
      <c r="C4" s="10" t="s">
        <v>21</v>
      </c>
    </row>
    <row r="5" customFormat="false" ht="15" hidden="false" customHeight="false" outlineLevel="0" collapsed="false">
      <c r="A5" s="2" t="s">
        <v>22</v>
      </c>
      <c r="B5" s="11" t="n">
        <f aca="false">-4*LN(1-B4)</f>
        <v>0.10127123193716</v>
      </c>
      <c r="C5" s="10" t="s">
        <v>23</v>
      </c>
    </row>
    <row r="6" customFormat="false" ht="15" hidden="false" customHeight="false" outlineLevel="0" collapsed="false">
      <c r="A6" s="2" t="s">
        <v>24</v>
      </c>
      <c r="B6" s="12" t="n">
        <v>2.5</v>
      </c>
      <c r="C6" s="10" t="s">
        <v>25</v>
      </c>
    </row>
    <row r="7" customFormat="false" ht="15" hidden="false" customHeight="false" outlineLevel="0" collapsed="false">
      <c r="A7" s="2" t="s">
        <v>26</v>
      </c>
      <c r="B7" s="13" t="n">
        <f aca="false">B6/B4</f>
        <v>100</v>
      </c>
      <c r="C7" s="10" t="s">
        <v>27</v>
      </c>
    </row>
    <row r="8" customFormat="false" ht="15" hidden="false" customHeight="false" outlineLevel="0" collapsed="false">
      <c r="A8" s="2" t="s">
        <v>28</v>
      </c>
      <c r="B8" s="14" t="n">
        <f aca="false">B7*B5</f>
        <v>10.127123193716</v>
      </c>
      <c r="C8" s="10" t="s">
        <v>29</v>
      </c>
    </row>
    <row r="9" customFormat="false" ht="15" hidden="false" customHeight="false" outlineLevel="0" collapsed="false">
      <c r="A9" s="2" t="s">
        <v>30</v>
      </c>
      <c r="B9" s="12" t="n">
        <v>4</v>
      </c>
      <c r="C9" s="10" t="s">
        <v>31</v>
      </c>
    </row>
    <row r="10" customFormat="false" ht="15" hidden="false" customHeight="false" outlineLevel="0" collapsed="false">
      <c r="A10" s="2" t="s">
        <v>32</v>
      </c>
      <c r="B10" s="12" t="n">
        <v>55</v>
      </c>
      <c r="C10" s="10" t="s">
        <v>33</v>
      </c>
    </row>
    <row r="11" customFormat="false" ht="15" hidden="false" customHeight="false" outlineLevel="0" collapsed="false">
      <c r="A11" s="2" t="s">
        <v>34</v>
      </c>
      <c r="B11" s="12" t="n">
        <v>8</v>
      </c>
      <c r="C11" s="10" t="s">
        <v>35</v>
      </c>
    </row>
    <row r="12" customFormat="false" ht="15" hidden="false" customHeight="false" outlineLevel="0" collapsed="false">
      <c r="A12" s="2" t="s">
        <v>36</v>
      </c>
      <c r="B12" s="13" t="n">
        <f aca="false">4*B11</f>
        <v>32</v>
      </c>
      <c r="C12" s="10" t="s">
        <v>37</v>
      </c>
    </row>
    <row r="13" customFormat="false" ht="15" hidden="false" customHeight="false" outlineLevel="0" collapsed="false">
      <c r="A13" s="2" t="s">
        <v>38</v>
      </c>
      <c r="B13" s="12" t="n">
        <v>0.1</v>
      </c>
      <c r="C13" s="10" t="s">
        <v>39</v>
      </c>
    </row>
    <row r="14" customFormat="false" ht="15" hidden="false" customHeight="false" outlineLevel="0" collapsed="false">
      <c r="A14" s="2" t="s">
        <v>40</v>
      </c>
      <c r="B14" s="11" t="n">
        <f aca="false">LN(1+B13)</f>
        <v>0.0953101798043249</v>
      </c>
      <c r="C14" s="10" t="s">
        <v>41</v>
      </c>
    </row>
    <row r="15" customFormat="false" ht="15" hidden="false" customHeight="false" outlineLevel="0" collapsed="false">
      <c r="A15" s="2" t="s">
        <v>42</v>
      </c>
      <c r="B15" s="12" t="n">
        <v>58</v>
      </c>
      <c r="C15" s="10" t="s">
        <v>43</v>
      </c>
    </row>
    <row r="16" customFormat="false" ht="15" hidden="false" customHeight="false" outlineLevel="0" collapsed="false">
      <c r="A16" s="2" t="s">
        <v>44</v>
      </c>
      <c r="B16" s="12" t="n">
        <v>53</v>
      </c>
      <c r="C16" s="10" t="s">
        <v>45</v>
      </c>
    </row>
    <row r="17" customFormat="false" ht="15" hidden="false" customHeight="false" outlineLevel="0" collapsed="false">
      <c r="A17" s="2" t="s">
        <v>46</v>
      </c>
      <c r="B17" s="12" t="n">
        <v>92</v>
      </c>
      <c r="C17" s="10" t="s">
        <v>47</v>
      </c>
    </row>
    <row r="18" customFormat="false" ht="15" hidden="false" customHeight="false" outlineLevel="0" collapsed="false">
      <c r="A18" s="2" t="s">
        <v>48</v>
      </c>
      <c r="B18" s="12" t="n">
        <v>112</v>
      </c>
      <c r="C18" s="10" t="s">
        <v>49</v>
      </c>
    </row>
    <row r="19" customFormat="false" ht="15" hidden="false" customHeight="false" outlineLevel="0" collapsed="false">
      <c r="A19" s="2" t="s">
        <v>50</v>
      </c>
      <c r="B19" s="11" t="n">
        <f aca="false">B14+B5</f>
        <v>0.196581411741485</v>
      </c>
      <c r="C19" s="10" t="s">
        <v>51</v>
      </c>
    </row>
    <row r="21" customFormat="false" ht="15" hidden="false" customHeight="false" outlineLevel="0" collapsed="false">
      <c r="A21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9" min="6" style="0" width="12"/>
  </cols>
  <sheetData>
    <row r="1" customFormat="false" ht="15" hidden="false" customHeight="false" outlineLevel="0" collapsed="false">
      <c r="A1" s="1" t="s">
        <v>53</v>
      </c>
    </row>
    <row r="3" customFormat="false" ht="15" hidden="false" customHeight="false" outlineLevel="0" collapsed="false">
      <c r="A3" s="8" t="s">
        <v>17</v>
      </c>
      <c r="B3" s="8" t="s">
        <v>54</v>
      </c>
      <c r="C3" s="8" t="s">
        <v>55</v>
      </c>
      <c r="D3" s="8" t="s">
        <v>56</v>
      </c>
    </row>
    <row r="4" customFormat="false" ht="15" hidden="false" customHeight="false" outlineLevel="0" collapsed="false">
      <c r="A4" s="2" t="s">
        <v>57</v>
      </c>
      <c r="B4" s="14" t="n">
        <f aca="false">LN((Cap_top-C_gone)/(Cap_top-Floor_F))/Delta_a</f>
        <v>0.429392544239238</v>
      </c>
      <c r="C4" s="15" t="n">
        <f aca="false">4*B4</f>
        <v>1.71757017695695</v>
      </c>
      <c r="D4" s="10" t="s">
        <v>58</v>
      </c>
    </row>
    <row r="5" customFormat="false" ht="15" hidden="false" customHeight="false" outlineLevel="0" collapsed="false">
      <c r="A5" s="2" t="s">
        <v>59</v>
      </c>
      <c r="B5" s="14" t="n">
        <f aca="false">LN(C_kept/Floor_F)/Delta_a</f>
        <v>0.524431512267016</v>
      </c>
      <c r="C5" s="15" t="n">
        <f aca="false">4*B5</f>
        <v>2.09772604906806</v>
      </c>
      <c r="D5" s="10" t="s">
        <v>60</v>
      </c>
    </row>
    <row r="6" customFormat="false" ht="15" hidden="false" customHeight="false" outlineLevel="0" collapsed="false">
      <c r="A6" s="2" t="s">
        <v>61</v>
      </c>
      <c r="B6" s="14" t="n">
        <f aca="false">LN((Cap_top-C_gone)/(Cap_top-C_kept))/Delta_a</f>
        <v>1.11066075997263</v>
      </c>
      <c r="C6" s="15" t="n">
        <f aca="false">4*B6</f>
        <v>4.44264303989053</v>
      </c>
      <c r="D6" s="10" t="s">
        <v>62</v>
      </c>
    </row>
    <row r="7" customFormat="false" ht="15" hidden="false" customHeight="false" outlineLevel="0" collapsed="false">
      <c r="A7" s="2" t="s">
        <v>63</v>
      </c>
      <c r="B7" s="14" t="n">
        <v>0</v>
      </c>
      <c r="C7" s="15" t="n">
        <f aca="false">4*B7</f>
        <v>0</v>
      </c>
      <c r="D7" s="10" t="s">
        <v>64</v>
      </c>
    </row>
    <row r="8" customFormat="false" ht="15" hidden="false" customHeight="false" outlineLevel="0" collapsed="false">
      <c r="A8" s="2" t="s">
        <v>65</v>
      </c>
      <c r="B8" s="14" t="n">
        <f aca="false">B4</f>
        <v>0.429392544239238</v>
      </c>
      <c r="C8" s="15" t="n">
        <f aca="false">4*B8</f>
        <v>1.71757017695695</v>
      </c>
      <c r="D8" s="10" t="s">
        <v>66</v>
      </c>
    </row>
    <row r="10" customFormat="false" ht="23.85" hidden="false" customHeight="false" outlineLevel="0" collapsed="false">
      <c r="A10" s="8" t="s">
        <v>67</v>
      </c>
      <c r="B10" s="8" t="s">
        <v>68</v>
      </c>
      <c r="C10" s="8" t="s">
        <v>69</v>
      </c>
      <c r="D10" s="8" t="s">
        <v>70</v>
      </c>
      <c r="E10" s="8" t="s">
        <v>71</v>
      </c>
      <c r="F10" s="8" t="s">
        <v>72</v>
      </c>
      <c r="G10" s="8" t="s">
        <v>73</v>
      </c>
      <c r="H10" s="8" t="s">
        <v>74</v>
      </c>
      <c r="I10" s="8" t="s">
        <v>75</v>
      </c>
    </row>
    <row r="11" customFormat="false" ht="15" hidden="false" customHeight="false" outlineLevel="0" collapsed="false">
      <c r="A11" s="13" t="n">
        <v>0</v>
      </c>
      <c r="B11" s="15" t="n">
        <f aca="false">IF(A11&lt;Tau_drift,C_kept*EXP(-Delta_a*A11),Floor_F)</f>
        <v>58</v>
      </c>
      <c r="C11" s="15" t="n">
        <f aca="false">IF(A11&lt;Tau_race,Cap_top-(Cap_top-C_gone)*EXP(-Delta_a*A11),Floor_F)</f>
        <v>53</v>
      </c>
      <c r="D11" s="15" t="n">
        <f aca="false">C_kept</f>
        <v>58</v>
      </c>
      <c r="E11" s="15" t="n">
        <f aca="false">IF(A11&lt;Time_58,Cap_top-(Cap_top-C_gone)*EXP(-Delta_a*A11),C_kept)</f>
        <v>53</v>
      </c>
      <c r="F11" s="15" t="n">
        <f aca="false">IF(A11&lt;Tau_drift,0,Delta_a*Floor_F)</f>
        <v>0</v>
      </c>
      <c r="G11" s="15" t="n">
        <f aca="false">IF(A11&lt;Tau_race,Ubar_a,Delta_a*Floor_F)</f>
        <v>10.127123193716</v>
      </c>
      <c r="H11" s="15" t="n">
        <f aca="false">Delta_a*C_kept</f>
        <v>5.87373145235526</v>
      </c>
      <c r="I11" s="15" t="n">
        <f aca="false">IF(A11&lt;Time_58,Ubar_a,Delta_a*C_kept)</f>
        <v>10.127123193716</v>
      </c>
    </row>
    <row r="12" customFormat="false" ht="15" hidden="false" customHeight="false" outlineLevel="0" collapsed="false">
      <c r="A12" s="13" t="n">
        <v>0.05</v>
      </c>
      <c r="B12" s="15" t="n">
        <f aca="false">IF(A12&lt;Tau_drift,C_kept*EXP(-Delta_a*A12),Floor_F)</f>
        <v>57.7070557239909</v>
      </c>
      <c r="C12" s="15" t="n">
        <f aca="false">IF(A12&lt;Tau_race,Cap_top-(Cap_top-C_gone)*EXP(-Delta_a*A12),Floor_F)</f>
        <v>53.237385878835</v>
      </c>
      <c r="D12" s="15" t="n">
        <f aca="false">C_kept</f>
        <v>58</v>
      </c>
      <c r="E12" s="15" t="n">
        <f aca="false">IF(A12&lt;Time_58,Cap_top-(Cap_top-C_gone)*EXP(-Delta_a*A12),C_kept)</f>
        <v>53.237385878835</v>
      </c>
      <c r="F12" s="15" t="n">
        <f aca="false">IF(A12&lt;Tau_drift,0,Delta_a*Floor_F)</f>
        <v>0</v>
      </c>
      <c r="G12" s="15" t="n">
        <f aca="false">IF(A12&lt;Tau_race,Ubar_a,Delta_a*Floor_F)</f>
        <v>10.127123193716</v>
      </c>
      <c r="H12" s="15" t="n">
        <f aca="false">Delta_a*C_kept</f>
        <v>5.87373145235526</v>
      </c>
      <c r="I12" s="15" t="n">
        <f aca="false">IF(A12&lt;Time_58,Ubar_a,Delta_a*C_kept)</f>
        <v>10.127123193716</v>
      </c>
    </row>
    <row r="13" customFormat="false" ht="15" hidden="false" customHeight="false" outlineLevel="0" collapsed="false">
      <c r="A13" s="13" t="n">
        <v>0.1</v>
      </c>
      <c r="B13" s="15" t="n">
        <f aca="false">IF(A13&lt;Tau_drift,C_kept*EXP(-Delta_a*A13),Floor_F)</f>
        <v>57.4155910402032</v>
      </c>
      <c r="C13" s="15" t="n">
        <f aca="false">IF(A13&lt;Tau_race,Cap_top-(Cap_top-C_gone)*EXP(-Delta_a*A13),Floor_F)</f>
        <v>53.4735727777664</v>
      </c>
      <c r="D13" s="15" t="n">
        <f aca="false">C_kept</f>
        <v>58</v>
      </c>
      <c r="E13" s="15" t="n">
        <f aca="false">IF(A13&lt;Time_58,Cap_top-(Cap_top-C_gone)*EXP(-Delta_a*A13),C_kept)</f>
        <v>53.4735727777664</v>
      </c>
      <c r="F13" s="15" t="n">
        <f aca="false">IF(A13&lt;Tau_drift,0,Delta_a*Floor_F)</f>
        <v>0</v>
      </c>
      <c r="G13" s="15" t="n">
        <f aca="false">IF(A13&lt;Tau_race,Ubar_a,Delta_a*Floor_F)</f>
        <v>10.127123193716</v>
      </c>
      <c r="H13" s="15" t="n">
        <f aca="false">Delta_a*C_kept</f>
        <v>5.87373145235526</v>
      </c>
      <c r="I13" s="15" t="n">
        <f aca="false">IF(A13&lt;Time_58,Ubar_a,Delta_a*C_kept)</f>
        <v>10.127123193716</v>
      </c>
    </row>
    <row r="14" customFormat="false" ht="15" hidden="false" customHeight="false" outlineLevel="0" collapsed="false">
      <c r="A14" s="13" t="n">
        <v>0.15</v>
      </c>
      <c r="B14" s="15" t="n">
        <f aca="false">IF(A14&lt;Tau_drift,C_kept*EXP(-Delta_a*A14),Floor_F)</f>
        <v>57.1255984755668</v>
      </c>
      <c r="C14" s="15" t="n">
        <f aca="false">IF(A14&lt;Tau_race,Cap_top-(Cap_top-C_gone)*EXP(-Delta_a*A14),Floor_F)</f>
        <v>53.7085667525579</v>
      </c>
      <c r="D14" s="15" t="n">
        <f aca="false">C_kept</f>
        <v>58</v>
      </c>
      <c r="E14" s="15" t="n">
        <f aca="false">IF(A14&lt;Time_58,Cap_top-(Cap_top-C_gone)*EXP(-Delta_a*A14),C_kept)</f>
        <v>53.7085667525579</v>
      </c>
      <c r="F14" s="15" t="n">
        <f aca="false">IF(A14&lt;Tau_drift,0,Delta_a*Floor_F)</f>
        <v>0</v>
      </c>
      <c r="G14" s="15" t="n">
        <f aca="false">IF(A14&lt;Tau_race,Ubar_a,Delta_a*Floor_F)</f>
        <v>10.127123193716</v>
      </c>
      <c r="H14" s="15" t="n">
        <f aca="false">Delta_a*C_kept</f>
        <v>5.87373145235526</v>
      </c>
      <c r="I14" s="15" t="n">
        <f aca="false">IF(A14&lt;Time_58,Ubar_a,Delta_a*C_kept)</f>
        <v>10.127123193716</v>
      </c>
    </row>
    <row r="15" customFormat="false" ht="15" hidden="false" customHeight="false" outlineLevel="0" collapsed="false">
      <c r="A15" s="13" t="n">
        <v>0.2</v>
      </c>
      <c r="B15" s="15" t="n">
        <f aca="false">IF(A15&lt;Tau_drift,C_kept*EXP(-Delta_a*A15),Floor_F)</f>
        <v>56.8370705947562</v>
      </c>
      <c r="C15" s="15" t="n">
        <f aca="false">IF(A15&lt;Tau_race,Cap_top-(Cap_top-C_gone)*EXP(-Delta_a*A15),Floor_F)</f>
        <v>53.9423738283872</v>
      </c>
      <c r="D15" s="15" t="n">
        <f aca="false">C_kept</f>
        <v>58</v>
      </c>
      <c r="E15" s="15" t="n">
        <f aca="false">IF(A15&lt;Time_58,Cap_top-(Cap_top-C_gone)*EXP(-Delta_a*A15),C_kept)</f>
        <v>53.9423738283872</v>
      </c>
      <c r="F15" s="15" t="n">
        <f aca="false">IF(A15&lt;Tau_drift,0,Delta_a*Floor_F)</f>
        <v>0</v>
      </c>
      <c r="G15" s="15" t="n">
        <f aca="false">IF(A15&lt;Tau_race,Ubar_a,Delta_a*Floor_F)</f>
        <v>10.127123193716</v>
      </c>
      <c r="H15" s="15" t="n">
        <f aca="false">Delta_a*C_kept</f>
        <v>5.87373145235526</v>
      </c>
      <c r="I15" s="15" t="n">
        <f aca="false">IF(A15&lt;Time_58,Ubar_a,Delta_a*C_kept)</f>
        <v>10.127123193716</v>
      </c>
    </row>
    <row r="16" customFormat="false" ht="15" hidden="false" customHeight="false" outlineLevel="0" collapsed="false">
      <c r="A16" s="13" t="n">
        <v>0.25</v>
      </c>
      <c r="B16" s="15" t="n">
        <f aca="false">IF(A16&lt;Tau_drift,C_kept*EXP(-Delta_a*A16),Floor_F)</f>
        <v>56.55</v>
      </c>
      <c r="C16" s="15" t="n">
        <f aca="false">IF(A16&lt;Tau_race,Cap_top-(Cap_top-C_gone)*EXP(-Delta_a*A16),Floor_F)</f>
        <v>54.175</v>
      </c>
      <c r="D16" s="15" t="n">
        <f aca="false">C_kept</f>
        <v>58</v>
      </c>
      <c r="E16" s="15" t="n">
        <f aca="false">IF(A16&lt;Time_58,Cap_top-(Cap_top-C_gone)*EXP(-Delta_a*A16),C_kept)</f>
        <v>54.175</v>
      </c>
      <c r="F16" s="15" t="n">
        <f aca="false">IF(A16&lt;Tau_drift,0,Delta_a*Floor_F)</f>
        <v>0</v>
      </c>
      <c r="G16" s="15" t="n">
        <f aca="false">IF(A16&lt;Tau_race,Ubar_a,Delta_a*Floor_F)</f>
        <v>10.127123193716</v>
      </c>
      <c r="H16" s="15" t="n">
        <f aca="false">Delta_a*C_kept</f>
        <v>5.87373145235526</v>
      </c>
      <c r="I16" s="15" t="n">
        <f aca="false">IF(A16&lt;Time_58,Ubar_a,Delta_a*C_kept)</f>
        <v>10.127123193716</v>
      </c>
    </row>
    <row r="17" customFormat="false" ht="15" hidden="false" customHeight="false" outlineLevel="0" collapsed="false">
      <c r="A17" s="13" t="n">
        <v>0.3</v>
      </c>
      <c r="B17" s="15" t="n">
        <f aca="false">IF(A17&lt;Tau_drift,C_kept*EXP(-Delta_a*A17),Floor_F)</f>
        <v>56.2643793308911</v>
      </c>
      <c r="C17" s="15" t="n">
        <f aca="false">IF(A17&lt;Tau_race,Cap_top-(Cap_top-C_gone)*EXP(-Delta_a*A17),Floor_F)</f>
        <v>54.4064512318641</v>
      </c>
      <c r="D17" s="15" t="n">
        <f aca="false">C_kept</f>
        <v>58</v>
      </c>
      <c r="E17" s="15" t="n">
        <f aca="false">IF(A17&lt;Time_58,Cap_top-(Cap_top-C_gone)*EXP(-Delta_a*A17),C_kept)</f>
        <v>54.4064512318641</v>
      </c>
      <c r="F17" s="15" t="n">
        <f aca="false">IF(A17&lt;Tau_drift,0,Delta_a*Floor_F)</f>
        <v>0</v>
      </c>
      <c r="G17" s="15" t="n">
        <f aca="false">IF(A17&lt;Tau_race,Ubar_a,Delta_a*Floor_F)</f>
        <v>10.127123193716</v>
      </c>
      <c r="H17" s="15" t="n">
        <f aca="false">Delta_a*C_kept</f>
        <v>5.87373145235526</v>
      </c>
      <c r="I17" s="15" t="n">
        <f aca="false">IF(A17&lt;Time_58,Ubar_a,Delta_a*C_kept)</f>
        <v>10.127123193716</v>
      </c>
    </row>
    <row r="18" customFormat="false" ht="15" hidden="false" customHeight="false" outlineLevel="0" collapsed="false">
      <c r="A18" s="13" t="n">
        <v>0.35</v>
      </c>
      <c r="B18" s="15" t="n">
        <f aca="false">IF(A18&lt;Tau_drift,C_kept*EXP(-Delta_a*A18),Floor_F)</f>
        <v>55.9802012641981</v>
      </c>
      <c r="C18" s="15" t="n">
        <f aca="false">IF(A18&lt;Tau_race,Cap_top-(Cap_top-C_gone)*EXP(-Delta_a*A18),Floor_F)</f>
        <v>54.6367334583222</v>
      </c>
      <c r="D18" s="15" t="n">
        <f aca="false">C_kept</f>
        <v>58</v>
      </c>
      <c r="E18" s="15" t="n">
        <f aca="false">IF(A18&lt;Time_58,Cap_top-(Cap_top-C_gone)*EXP(-Delta_a*A18),C_kept)</f>
        <v>54.6367334583222</v>
      </c>
      <c r="F18" s="15" t="n">
        <f aca="false">IF(A18&lt;Tau_drift,0,Delta_a*Floor_F)</f>
        <v>0</v>
      </c>
      <c r="G18" s="15" t="n">
        <f aca="false">IF(A18&lt;Tau_race,Ubar_a,Delta_a*Floor_F)</f>
        <v>10.127123193716</v>
      </c>
      <c r="H18" s="15" t="n">
        <f aca="false">Delta_a*C_kept</f>
        <v>5.87373145235526</v>
      </c>
      <c r="I18" s="15" t="n">
        <f aca="false">IF(A18&lt;Time_58,Ubar_a,Delta_a*C_kept)</f>
        <v>10.127123193716</v>
      </c>
    </row>
    <row r="19" customFormat="false" ht="15" hidden="false" customHeight="false" outlineLevel="0" collapsed="false">
      <c r="A19" s="13" t="n">
        <v>0.4</v>
      </c>
      <c r="B19" s="15" t="n">
        <f aca="false">IF(A19&lt;Tau_drift,C_kept*EXP(-Delta_a*A19),Floor_F)</f>
        <v>55.6974585136777</v>
      </c>
      <c r="C19" s="15" t="n">
        <f aca="false">IF(A19&lt;Tau_race,Cap_top-(Cap_top-C_gone)*EXP(-Delta_a*A19),Floor_F)</f>
        <v>54.865852583744</v>
      </c>
      <c r="D19" s="15" t="n">
        <f aca="false">C_kept</f>
        <v>58</v>
      </c>
      <c r="E19" s="15" t="n">
        <f aca="false">IF(A19&lt;Time_58,Cap_top-(Cap_top-C_gone)*EXP(-Delta_a*A19),C_kept)</f>
        <v>54.865852583744</v>
      </c>
      <c r="F19" s="15" t="n">
        <f aca="false">IF(A19&lt;Tau_drift,0,Delta_a*Floor_F)</f>
        <v>0</v>
      </c>
      <c r="G19" s="15" t="n">
        <f aca="false">IF(A19&lt;Tau_race,Ubar_a,Delta_a*Floor_F)</f>
        <v>10.127123193716</v>
      </c>
      <c r="H19" s="15" t="n">
        <f aca="false">Delta_a*C_kept</f>
        <v>5.87373145235526</v>
      </c>
      <c r="I19" s="15" t="n">
        <f aca="false">IF(A19&lt;Time_58,Ubar_a,Delta_a*C_kept)</f>
        <v>10.127123193716</v>
      </c>
    </row>
    <row r="20" customFormat="false" ht="15" hidden="false" customHeight="false" outlineLevel="0" collapsed="false">
      <c r="A20" s="13" t="n">
        <v>0.45</v>
      </c>
      <c r="B20" s="15" t="n">
        <f aca="false">IF(A20&lt;Tau_drift,C_kept*EXP(-Delta_a*A20),Floor_F)</f>
        <v>55.4161438298873</v>
      </c>
      <c r="C20" s="15" t="n">
        <f aca="false">IF(A20&lt;Tau_race,Cap_top-(Cap_top-C_gone)*EXP(-Delta_a*A20),Floor_F)</f>
        <v>55</v>
      </c>
      <c r="D20" s="15" t="n">
        <f aca="false">C_kept</f>
        <v>58</v>
      </c>
      <c r="E20" s="15" t="n">
        <f aca="false">IF(A20&lt;Time_58,Cap_top-(Cap_top-C_gone)*EXP(-Delta_a*A20),C_kept)</f>
        <v>55.0938144826775</v>
      </c>
      <c r="F20" s="15" t="n">
        <f aca="false">IF(A20&lt;Tau_drift,0,Delta_a*Floor_F)</f>
        <v>0</v>
      </c>
      <c r="G20" s="15" t="n">
        <f aca="false">IF(A20&lt;Tau_race,Ubar_a,Delta_a*Floor_F)</f>
        <v>5.56991775654378</v>
      </c>
      <c r="H20" s="15" t="n">
        <f aca="false">Delta_a*C_kept</f>
        <v>5.87373145235526</v>
      </c>
      <c r="I20" s="15" t="n">
        <f aca="false">IF(A20&lt;Time_58,Ubar_a,Delta_a*C_kept)</f>
        <v>10.127123193716</v>
      </c>
    </row>
    <row r="21" customFormat="false" ht="15" hidden="false" customHeight="false" outlineLevel="0" collapsed="false">
      <c r="A21" s="13" t="n">
        <v>0.5</v>
      </c>
      <c r="B21" s="15" t="n">
        <f aca="false">IF(A21&lt;Tau_drift,C_kept*EXP(-Delta_a*A21),Floor_F)</f>
        <v>55.13625</v>
      </c>
      <c r="C21" s="15" t="n">
        <f aca="false">IF(A21&lt;Tau_race,Cap_top-(Cap_top-C_gone)*EXP(-Delta_a*A21),Floor_F)</f>
        <v>55</v>
      </c>
      <c r="D21" s="15" t="n">
        <f aca="false">C_kept</f>
        <v>58</v>
      </c>
      <c r="E21" s="15" t="n">
        <f aca="false">IF(A21&lt;Time_58,Cap_top-(Cap_top-C_gone)*EXP(-Delta_a*A21),C_kept)</f>
        <v>55.320625</v>
      </c>
      <c r="F21" s="15" t="n">
        <f aca="false">IF(A21&lt;Tau_drift,0,Delta_a*Floor_F)</f>
        <v>0</v>
      </c>
      <c r="G21" s="15" t="n">
        <f aca="false">IF(A21&lt;Tau_race,Ubar_a,Delta_a*Floor_F)</f>
        <v>5.56991775654378</v>
      </c>
      <c r="H21" s="15" t="n">
        <f aca="false">Delta_a*C_kept</f>
        <v>5.87373145235526</v>
      </c>
      <c r="I21" s="15" t="n">
        <f aca="false">IF(A21&lt;Time_58,Ubar_a,Delta_a*C_kept)</f>
        <v>10.127123193716</v>
      </c>
    </row>
    <row r="22" customFormat="false" ht="15" hidden="false" customHeight="false" outlineLevel="0" collapsed="false">
      <c r="A22" s="13" t="n">
        <v>0.55</v>
      </c>
      <c r="B22" s="15" t="n">
        <f aca="false">IF(A22&lt;Tau_drift,C_kept*EXP(-Delta_a*A22),Floor_F)</f>
        <v>55</v>
      </c>
      <c r="C22" s="15" t="n">
        <f aca="false">IF(A22&lt;Tau_race,Cap_top-(Cap_top-C_gone)*EXP(-Delta_a*A22),Floor_F)</f>
        <v>55</v>
      </c>
      <c r="D22" s="15" t="n">
        <f aca="false">C_kept</f>
        <v>58</v>
      </c>
      <c r="E22" s="15" t="n">
        <f aca="false">IF(A22&lt;Time_58,Cap_top-(Cap_top-C_gone)*EXP(-Delta_a*A22),C_kept)</f>
        <v>55.5462899510675</v>
      </c>
      <c r="F22" s="15" t="n">
        <f aca="false">IF(A22&lt;Tau_drift,0,Delta_a*Floor_F)</f>
        <v>5.56991775654378</v>
      </c>
      <c r="G22" s="15" t="n">
        <f aca="false">IF(A22&lt;Tau_race,Ubar_a,Delta_a*Floor_F)</f>
        <v>5.56991775654378</v>
      </c>
      <c r="H22" s="15" t="n">
        <f aca="false">Delta_a*C_kept</f>
        <v>5.87373145235526</v>
      </c>
      <c r="I22" s="15" t="n">
        <f aca="false">IF(A22&lt;Time_58,Ubar_a,Delta_a*C_kept)</f>
        <v>10.127123193716</v>
      </c>
    </row>
    <row r="23" customFormat="false" ht="15" hidden="false" customHeight="false" outlineLevel="0" collapsed="false">
      <c r="A23" s="13" t="n">
        <v>0.6</v>
      </c>
      <c r="B23" s="15" t="n">
        <f aca="false">IF(A23&lt;Tau_drift,C_kept*EXP(-Delta_a*A23),Floor_F)</f>
        <v>55</v>
      </c>
      <c r="C23" s="15" t="n">
        <f aca="false">IF(A23&lt;Tau_race,Cap_top-(Cap_top-C_gone)*EXP(-Delta_a*A23),Floor_F)</f>
        <v>55</v>
      </c>
      <c r="D23" s="15" t="n">
        <f aca="false">C_kept</f>
        <v>58</v>
      </c>
      <c r="E23" s="15" t="n">
        <f aca="false">IF(A23&lt;Time_58,Cap_top-(Cap_top-C_gone)*EXP(-Delta_a*A23),C_kept)</f>
        <v>55.7708151218642</v>
      </c>
      <c r="F23" s="15" t="n">
        <f aca="false">IF(A23&lt;Tau_drift,0,Delta_a*Floor_F)</f>
        <v>5.56991775654378</v>
      </c>
      <c r="G23" s="15" t="n">
        <f aca="false">IF(A23&lt;Tau_race,Ubar_a,Delta_a*Floor_F)</f>
        <v>5.56991775654378</v>
      </c>
      <c r="H23" s="15" t="n">
        <f aca="false">Delta_a*C_kept</f>
        <v>5.87373145235526</v>
      </c>
      <c r="I23" s="15" t="n">
        <f aca="false">IF(A23&lt;Time_58,Ubar_a,Delta_a*C_kept)</f>
        <v>10.127123193716</v>
      </c>
    </row>
    <row r="24" customFormat="false" ht="15" hidden="false" customHeight="false" outlineLevel="0" collapsed="false">
      <c r="A24" s="13" t="n">
        <v>0.65</v>
      </c>
      <c r="B24" s="15" t="n">
        <f aca="false">IF(A24&lt;Tau_drift,C_kept*EXP(-Delta_a*A24),Floor_F)</f>
        <v>55</v>
      </c>
      <c r="C24" s="15" t="n">
        <f aca="false">IF(A24&lt;Tau_race,Cap_top-(Cap_top-C_gone)*EXP(-Delta_a*A24),Floor_F)</f>
        <v>55</v>
      </c>
      <c r="D24" s="15" t="n">
        <f aca="false">C_kept</f>
        <v>58</v>
      </c>
      <c r="E24" s="15" t="n">
        <f aca="false">IF(A24&lt;Time_58,Cap_top-(Cap_top-C_gone)*EXP(-Delta_a*A24),C_kept)</f>
        <v>55.9942062691504</v>
      </c>
      <c r="F24" s="15" t="n">
        <f aca="false">IF(A24&lt;Tau_drift,0,Delta_a*Floor_F)</f>
        <v>5.56991775654378</v>
      </c>
      <c r="G24" s="15" t="n">
        <f aca="false">IF(A24&lt;Tau_race,Ubar_a,Delta_a*Floor_F)</f>
        <v>5.56991775654378</v>
      </c>
      <c r="H24" s="15" t="n">
        <f aca="false">Delta_a*C_kept</f>
        <v>5.87373145235526</v>
      </c>
      <c r="I24" s="15" t="n">
        <f aca="false">IF(A24&lt;Time_58,Ubar_a,Delta_a*C_kept)</f>
        <v>10.127123193716</v>
      </c>
    </row>
    <row r="25" customFormat="false" ht="15" hidden="false" customHeight="false" outlineLevel="0" collapsed="false">
      <c r="A25" s="13" t="n">
        <v>0.7</v>
      </c>
      <c r="B25" s="15" t="n">
        <f aca="false">IF(A25&lt;Tau_drift,C_kept*EXP(-Delta_a*A25),Floor_F)</f>
        <v>55</v>
      </c>
      <c r="C25" s="15" t="n">
        <f aca="false">IF(A25&lt;Tau_race,Cap_top-(Cap_top-C_gone)*EXP(-Delta_a*A25),Floor_F)</f>
        <v>55</v>
      </c>
      <c r="D25" s="15" t="n">
        <f aca="false">C_kept</f>
        <v>58</v>
      </c>
      <c r="E25" s="15" t="n">
        <f aca="false">IF(A25&lt;Time_58,Cap_top-(Cap_top-C_gone)*EXP(-Delta_a*A25),C_kept)</f>
        <v>56.2164691206106</v>
      </c>
      <c r="F25" s="15" t="n">
        <f aca="false">IF(A25&lt;Tau_drift,0,Delta_a*Floor_F)</f>
        <v>5.56991775654378</v>
      </c>
      <c r="G25" s="15" t="n">
        <f aca="false">IF(A25&lt;Tau_race,Ubar_a,Delta_a*Floor_F)</f>
        <v>5.56991775654378</v>
      </c>
      <c r="H25" s="15" t="n">
        <f aca="false">Delta_a*C_kept</f>
        <v>5.87373145235526</v>
      </c>
      <c r="I25" s="15" t="n">
        <f aca="false">IF(A25&lt;Time_58,Ubar_a,Delta_a*C_kept)</f>
        <v>10.127123193716</v>
      </c>
    </row>
    <row r="26" customFormat="false" ht="15" hidden="false" customHeight="false" outlineLevel="0" collapsed="false">
      <c r="A26" s="13" t="n">
        <v>0.75</v>
      </c>
      <c r="B26" s="15" t="n">
        <f aca="false">IF(A26&lt;Tau_drift,C_kept*EXP(-Delta_a*A26),Floor_F)</f>
        <v>55</v>
      </c>
      <c r="C26" s="15" t="n">
        <f aca="false">IF(A26&lt;Tau_race,Cap_top-(Cap_top-C_gone)*EXP(-Delta_a*A26),Floor_F)</f>
        <v>55</v>
      </c>
      <c r="D26" s="15" t="n">
        <f aca="false">C_kept</f>
        <v>58</v>
      </c>
      <c r="E26" s="15" t="n">
        <f aca="false">IF(A26&lt;Time_58,Cap_top-(Cap_top-C_gone)*EXP(-Delta_a*A26),C_kept)</f>
        <v>56.437609375</v>
      </c>
      <c r="F26" s="15" t="n">
        <f aca="false">IF(A26&lt;Tau_drift,0,Delta_a*Floor_F)</f>
        <v>5.56991775654378</v>
      </c>
      <c r="G26" s="15" t="n">
        <f aca="false">IF(A26&lt;Tau_race,Ubar_a,Delta_a*Floor_F)</f>
        <v>5.56991775654378</v>
      </c>
      <c r="H26" s="15" t="n">
        <f aca="false">Delta_a*C_kept</f>
        <v>5.87373145235526</v>
      </c>
      <c r="I26" s="15" t="n">
        <f aca="false">IF(A26&lt;Time_58,Ubar_a,Delta_a*C_kept)</f>
        <v>10.127123193716</v>
      </c>
    </row>
    <row r="27" customFormat="false" ht="15" hidden="false" customHeight="false" outlineLevel="0" collapsed="false">
      <c r="A27" s="13" t="n">
        <v>0.8</v>
      </c>
      <c r="B27" s="15" t="n">
        <f aca="false">IF(A27&lt;Tau_drift,C_kept*EXP(-Delta_a*A27),Floor_F)</f>
        <v>55</v>
      </c>
      <c r="C27" s="15" t="n">
        <f aca="false">IF(A27&lt;Tau_race,Cap_top-(Cap_top-C_gone)*EXP(-Delta_a*A27),Floor_F)</f>
        <v>55</v>
      </c>
      <c r="D27" s="15" t="n">
        <f aca="false">C_kept</f>
        <v>58</v>
      </c>
      <c r="E27" s="15" t="n">
        <f aca="false">IF(A27&lt;Time_58,Cap_top-(Cap_top-C_gone)*EXP(-Delta_a*A27),C_kept)</f>
        <v>56.6576327022908</v>
      </c>
      <c r="F27" s="15" t="n">
        <f aca="false">IF(A27&lt;Tau_drift,0,Delta_a*Floor_F)</f>
        <v>5.56991775654378</v>
      </c>
      <c r="G27" s="15" t="n">
        <f aca="false">IF(A27&lt;Tau_race,Ubar_a,Delta_a*Floor_F)</f>
        <v>5.56991775654378</v>
      </c>
      <c r="H27" s="15" t="n">
        <f aca="false">Delta_a*C_kept</f>
        <v>5.87373145235526</v>
      </c>
      <c r="I27" s="15" t="n">
        <f aca="false">IF(A27&lt;Time_58,Ubar_a,Delta_a*C_kept)</f>
        <v>10.127123193716</v>
      </c>
    </row>
    <row r="28" customFormat="false" ht="15" hidden="false" customHeight="false" outlineLevel="0" collapsed="false">
      <c r="A28" s="13" t="n">
        <v>0.85</v>
      </c>
      <c r="B28" s="15" t="n">
        <f aca="false">IF(A28&lt;Tau_drift,C_kept*EXP(-Delta_a*A28),Floor_F)</f>
        <v>55</v>
      </c>
      <c r="C28" s="15" t="n">
        <f aca="false">IF(A28&lt;Tau_race,Cap_top-(Cap_top-C_gone)*EXP(-Delta_a*A28),Floor_F)</f>
        <v>55</v>
      </c>
      <c r="D28" s="15" t="n">
        <f aca="false">C_kept</f>
        <v>58</v>
      </c>
      <c r="E28" s="15" t="n">
        <f aca="false">IF(A28&lt;Time_58,Cap_top-(Cap_top-C_gone)*EXP(-Delta_a*A28),C_kept)</f>
        <v>56.8765447438176</v>
      </c>
      <c r="F28" s="15" t="n">
        <f aca="false">IF(A28&lt;Tau_drift,0,Delta_a*Floor_F)</f>
        <v>5.56991775654378</v>
      </c>
      <c r="G28" s="15" t="n">
        <f aca="false">IF(A28&lt;Tau_race,Ubar_a,Delta_a*Floor_F)</f>
        <v>5.56991775654378</v>
      </c>
      <c r="H28" s="15" t="n">
        <f aca="false">Delta_a*C_kept</f>
        <v>5.87373145235526</v>
      </c>
      <c r="I28" s="15" t="n">
        <f aca="false">IF(A28&lt;Time_58,Ubar_a,Delta_a*C_kept)</f>
        <v>10.127123193716</v>
      </c>
    </row>
    <row r="29" customFormat="false" ht="15" hidden="false" customHeight="false" outlineLevel="0" collapsed="false">
      <c r="A29" s="13" t="n">
        <v>0.9</v>
      </c>
      <c r="B29" s="15" t="n">
        <f aca="false">IF(A29&lt;Tau_drift,C_kept*EXP(-Delta_a*A29),Floor_F)</f>
        <v>55</v>
      </c>
      <c r="C29" s="15" t="n">
        <f aca="false">IF(A29&lt;Tau_race,Cap_top-(Cap_top-C_gone)*EXP(-Delta_a*A29),Floor_F)</f>
        <v>55</v>
      </c>
      <c r="D29" s="15" t="n">
        <f aca="false">C_kept</f>
        <v>58</v>
      </c>
      <c r="E29" s="15" t="n">
        <f aca="false">IF(A29&lt;Time_58,Cap_top-(Cap_top-C_gone)*EXP(-Delta_a*A29),C_kept)</f>
        <v>57.0943511124216</v>
      </c>
      <c r="F29" s="15" t="n">
        <f aca="false">IF(A29&lt;Tau_drift,0,Delta_a*Floor_F)</f>
        <v>5.56991775654378</v>
      </c>
      <c r="G29" s="15" t="n">
        <f aca="false">IF(A29&lt;Tau_race,Ubar_a,Delta_a*Floor_F)</f>
        <v>5.56991775654378</v>
      </c>
      <c r="H29" s="15" t="n">
        <f aca="false">Delta_a*C_kept</f>
        <v>5.87373145235526</v>
      </c>
      <c r="I29" s="15" t="n">
        <f aca="false">IF(A29&lt;Time_58,Ubar_a,Delta_a*C_kept)</f>
        <v>10.127123193716</v>
      </c>
    </row>
    <row r="30" customFormat="false" ht="15" hidden="false" customHeight="false" outlineLevel="0" collapsed="false">
      <c r="A30" s="13" t="n">
        <v>0.95</v>
      </c>
      <c r="B30" s="15" t="n">
        <f aca="false">IF(A30&lt;Tau_drift,C_kept*EXP(-Delta_a*A30),Floor_F)</f>
        <v>55</v>
      </c>
      <c r="C30" s="15" t="n">
        <f aca="false">IF(A30&lt;Tau_race,Cap_top-(Cap_top-C_gone)*EXP(-Delta_a*A30),Floor_F)</f>
        <v>55</v>
      </c>
      <c r="D30" s="15" t="n">
        <f aca="false">C_kept</f>
        <v>58</v>
      </c>
      <c r="E30" s="15" t="n">
        <f aca="false">IF(A30&lt;Time_58,Cap_top-(Cap_top-C_gone)*EXP(-Delta_a*A30),C_kept)</f>
        <v>57.3110573925953</v>
      </c>
      <c r="F30" s="15" t="n">
        <f aca="false">IF(A30&lt;Tau_drift,0,Delta_a*Floor_F)</f>
        <v>5.56991775654378</v>
      </c>
      <c r="G30" s="15" t="n">
        <f aca="false">IF(A30&lt;Tau_race,Ubar_a,Delta_a*Floor_F)</f>
        <v>5.56991775654378</v>
      </c>
      <c r="H30" s="15" t="n">
        <f aca="false">Delta_a*C_kept</f>
        <v>5.87373145235526</v>
      </c>
      <c r="I30" s="15" t="n">
        <f aca="false">IF(A30&lt;Time_58,Ubar_a,Delta_a*C_kept)</f>
        <v>10.127123193716</v>
      </c>
    </row>
    <row r="31" customFormat="false" ht="15" hidden="false" customHeight="false" outlineLevel="0" collapsed="false">
      <c r="A31" s="13" t="n">
        <v>1</v>
      </c>
      <c r="B31" s="15" t="n">
        <f aca="false">IF(A31&lt;Tau_drift,C_kept*EXP(-Delta_a*A31),Floor_F)</f>
        <v>55</v>
      </c>
      <c r="C31" s="15" t="n">
        <f aca="false">IF(A31&lt;Tau_race,Cap_top-(Cap_top-C_gone)*EXP(-Delta_a*A31),Floor_F)</f>
        <v>55</v>
      </c>
      <c r="D31" s="15" t="n">
        <f aca="false">C_kept</f>
        <v>58</v>
      </c>
      <c r="E31" s="15" t="n">
        <f aca="false">IF(A31&lt;Time_58,Cap_top-(Cap_top-C_gone)*EXP(-Delta_a*A31),C_kept)</f>
        <v>57.526669140625</v>
      </c>
      <c r="F31" s="15" t="n">
        <f aca="false">IF(A31&lt;Tau_drift,0,Delta_a*Floor_F)</f>
        <v>5.56991775654378</v>
      </c>
      <c r="G31" s="15" t="n">
        <f aca="false">IF(A31&lt;Tau_race,Ubar_a,Delta_a*Floor_F)</f>
        <v>5.56991775654378</v>
      </c>
      <c r="H31" s="15" t="n">
        <f aca="false">Delta_a*C_kept</f>
        <v>5.87373145235526</v>
      </c>
      <c r="I31" s="15" t="n">
        <f aca="false">IF(A31&lt;Time_58,Ubar_a,Delta_a*C_kept)</f>
        <v>10.127123193716</v>
      </c>
    </row>
    <row r="32" customFormat="false" ht="15" hidden="false" customHeight="false" outlineLevel="0" collapsed="false">
      <c r="A32" s="13" t="n">
        <v>1.05</v>
      </c>
      <c r="B32" s="15" t="n">
        <f aca="false">IF(A32&lt;Tau_drift,C_kept*EXP(-Delta_a*A32),Floor_F)</f>
        <v>55</v>
      </c>
      <c r="C32" s="15" t="n">
        <f aca="false">IF(A32&lt;Tau_race,Cap_top-(Cap_top-C_gone)*EXP(-Delta_a*A32),Floor_F)</f>
        <v>55</v>
      </c>
      <c r="D32" s="15" t="n">
        <f aca="false">C_kept</f>
        <v>58</v>
      </c>
      <c r="E32" s="15" t="n">
        <f aca="false">IF(A32&lt;Time_58,Cap_top-(Cap_top-C_gone)*EXP(-Delta_a*A32),C_kept)</f>
        <v>57.7411918847336</v>
      </c>
      <c r="F32" s="15" t="n">
        <f aca="false">IF(A32&lt;Tau_drift,0,Delta_a*Floor_F)</f>
        <v>5.56991775654378</v>
      </c>
      <c r="G32" s="15" t="n">
        <f aca="false">IF(A32&lt;Tau_race,Ubar_a,Delta_a*Floor_F)</f>
        <v>5.56991775654378</v>
      </c>
      <c r="H32" s="15" t="n">
        <f aca="false">Delta_a*C_kept</f>
        <v>5.87373145235526</v>
      </c>
      <c r="I32" s="15" t="n">
        <f aca="false">IF(A32&lt;Time_58,Ubar_a,Delta_a*C_kept)</f>
        <v>10.127123193716</v>
      </c>
    </row>
    <row r="33" customFormat="false" ht="15" hidden="false" customHeight="false" outlineLevel="0" collapsed="false">
      <c r="A33" s="13" t="n">
        <v>1.1</v>
      </c>
      <c r="B33" s="15" t="n">
        <f aca="false">IF(A33&lt;Tau_drift,C_kept*EXP(-Delta_a*A33),Floor_F)</f>
        <v>55</v>
      </c>
      <c r="C33" s="15" t="n">
        <f aca="false">IF(A33&lt;Tau_race,Cap_top-(Cap_top-C_gone)*EXP(-Delta_a*A33),Floor_F)</f>
        <v>55</v>
      </c>
      <c r="D33" s="15" t="n">
        <f aca="false">C_kept</f>
        <v>58</v>
      </c>
      <c r="E33" s="15" t="n">
        <f aca="false">IF(A33&lt;Time_58,Cap_top-(Cap_top-C_gone)*EXP(-Delta_a*A33),C_kept)</f>
        <v>57.9546311252221</v>
      </c>
      <c r="F33" s="15" t="n">
        <f aca="false">IF(A33&lt;Tau_drift,0,Delta_a*Floor_F)</f>
        <v>5.56991775654378</v>
      </c>
      <c r="G33" s="15" t="n">
        <f aca="false">IF(A33&lt;Tau_race,Ubar_a,Delta_a*Floor_F)</f>
        <v>5.56991775654378</v>
      </c>
      <c r="H33" s="15" t="n">
        <f aca="false">Delta_a*C_kept</f>
        <v>5.87373145235526</v>
      </c>
      <c r="I33" s="15" t="n">
        <f aca="false">IF(A33&lt;Time_58,Ubar_a,Delta_a*C_kept)</f>
        <v>10.127123193716</v>
      </c>
    </row>
    <row r="34" customFormat="false" ht="15" hidden="false" customHeight="false" outlineLevel="0" collapsed="false">
      <c r="A34" s="13" t="n">
        <v>1.15</v>
      </c>
      <c r="B34" s="15" t="n">
        <f aca="false">IF(A34&lt;Tau_drift,C_kept*EXP(-Delta_a*A34),Floor_F)</f>
        <v>55</v>
      </c>
      <c r="C34" s="15" t="n">
        <f aca="false">IF(A34&lt;Tau_race,Cap_top-(Cap_top-C_gone)*EXP(-Delta_a*A34),Floor_F)</f>
        <v>55</v>
      </c>
      <c r="D34" s="15" t="n">
        <f aca="false">C_kept</f>
        <v>58</v>
      </c>
      <c r="E34" s="15" t="n">
        <f aca="false">IF(A34&lt;Time_58,Cap_top-(Cap_top-C_gone)*EXP(-Delta_a*A34),C_kept)</f>
        <v>58</v>
      </c>
      <c r="F34" s="15" t="n">
        <f aca="false">IF(A34&lt;Tau_drift,0,Delta_a*Floor_F)</f>
        <v>5.56991775654378</v>
      </c>
      <c r="G34" s="15" t="n">
        <f aca="false">IF(A34&lt;Tau_race,Ubar_a,Delta_a*Floor_F)</f>
        <v>5.56991775654378</v>
      </c>
      <c r="H34" s="15" t="n">
        <f aca="false">Delta_a*C_kept</f>
        <v>5.87373145235526</v>
      </c>
      <c r="I34" s="15" t="n">
        <f aca="false">IF(A34&lt;Time_58,Ubar_a,Delta_a*C_kept)</f>
        <v>5.87373145235526</v>
      </c>
    </row>
    <row r="35" customFormat="false" ht="15" hidden="false" customHeight="false" outlineLevel="0" collapsed="false">
      <c r="A35" s="13" t="n">
        <v>1.2</v>
      </c>
      <c r="B35" s="15" t="n">
        <f aca="false">IF(A35&lt;Tau_drift,C_kept*EXP(-Delta_a*A35),Floor_F)</f>
        <v>55</v>
      </c>
      <c r="C35" s="15" t="n">
        <f aca="false">IF(A35&lt;Tau_race,Cap_top-(Cap_top-C_gone)*EXP(-Delta_a*A35),Floor_F)</f>
        <v>55</v>
      </c>
      <c r="D35" s="15" t="n">
        <f aca="false">C_kept</f>
        <v>58</v>
      </c>
      <c r="E35" s="15" t="n">
        <f aca="false">IF(A35&lt;Time_58,Cap_top-(Cap_top-C_gone)*EXP(-Delta_a*A35),C_kept)</f>
        <v>58</v>
      </c>
      <c r="F35" s="15" t="n">
        <f aca="false">IF(A35&lt;Tau_drift,0,Delta_a*Floor_F)</f>
        <v>5.56991775654378</v>
      </c>
      <c r="G35" s="15" t="n">
        <f aca="false">IF(A35&lt;Tau_race,Ubar_a,Delta_a*Floor_F)</f>
        <v>5.56991775654378</v>
      </c>
      <c r="H35" s="15" t="n">
        <f aca="false">Delta_a*C_kept</f>
        <v>5.87373145235526</v>
      </c>
      <c r="I35" s="15" t="n">
        <f aca="false">IF(A35&lt;Time_58,Ubar_a,Delta_a*C_kept)</f>
        <v>5.87373145235526</v>
      </c>
    </row>
    <row r="36" customFormat="false" ht="15" hidden="false" customHeight="false" outlineLevel="0" collapsed="false">
      <c r="A36" s="13" t="n">
        <v>1.25</v>
      </c>
      <c r="B36" s="15" t="n">
        <f aca="false">IF(A36&lt;Tau_drift,C_kept*EXP(-Delta_a*A36),Floor_F)</f>
        <v>55</v>
      </c>
      <c r="C36" s="15" t="n">
        <f aca="false">IF(A36&lt;Tau_race,Cap_top-(Cap_top-C_gone)*EXP(-Delta_a*A36),Floor_F)</f>
        <v>55</v>
      </c>
      <c r="D36" s="15" t="n">
        <f aca="false">C_kept</f>
        <v>58</v>
      </c>
      <c r="E36" s="15" t="n">
        <f aca="false">IF(A36&lt;Time_58,Cap_top-(Cap_top-C_gone)*EXP(-Delta_a*A36),C_kept)</f>
        <v>58</v>
      </c>
      <c r="F36" s="15" t="n">
        <f aca="false">IF(A36&lt;Tau_drift,0,Delta_a*Floor_F)</f>
        <v>5.56991775654378</v>
      </c>
      <c r="G36" s="15" t="n">
        <f aca="false">IF(A36&lt;Tau_race,Ubar_a,Delta_a*Floor_F)</f>
        <v>5.56991775654378</v>
      </c>
      <c r="H36" s="15" t="n">
        <f aca="false">Delta_a*C_kept</f>
        <v>5.87373145235526</v>
      </c>
      <c r="I36" s="15" t="n">
        <f aca="false">IF(A36&lt;Time_58,Ubar_a,Delta_a*C_kept)</f>
        <v>5.87373145235526</v>
      </c>
    </row>
    <row r="37" customFormat="false" ht="15" hidden="false" customHeight="false" outlineLevel="0" collapsed="false">
      <c r="A37" s="13" t="n">
        <v>1.3</v>
      </c>
      <c r="B37" s="15" t="n">
        <f aca="false">IF(A37&lt;Tau_drift,C_kept*EXP(-Delta_a*A37),Floor_F)</f>
        <v>55</v>
      </c>
      <c r="C37" s="15" t="n">
        <f aca="false">IF(A37&lt;Tau_race,Cap_top-(Cap_top-C_gone)*EXP(-Delta_a*A37),Floor_F)</f>
        <v>55</v>
      </c>
      <c r="D37" s="15" t="n">
        <f aca="false">C_kept</f>
        <v>58</v>
      </c>
      <c r="E37" s="15" t="n">
        <f aca="false">IF(A37&lt;Time_58,Cap_top-(Cap_top-C_gone)*EXP(-Delta_a*A37),C_kept)</f>
        <v>58</v>
      </c>
      <c r="F37" s="15" t="n">
        <f aca="false">IF(A37&lt;Tau_drift,0,Delta_a*Floor_F)</f>
        <v>5.56991775654378</v>
      </c>
      <c r="G37" s="15" t="n">
        <f aca="false">IF(A37&lt;Tau_race,Ubar_a,Delta_a*Floor_F)</f>
        <v>5.56991775654378</v>
      </c>
      <c r="H37" s="15" t="n">
        <f aca="false">Delta_a*C_kept</f>
        <v>5.87373145235526</v>
      </c>
      <c r="I37" s="15" t="n">
        <f aca="false">IF(A37&lt;Time_58,Ubar_a,Delta_a*C_kept)</f>
        <v>5.87373145235526</v>
      </c>
    </row>
    <row r="38" customFormat="false" ht="15" hidden="false" customHeight="false" outlineLevel="0" collapsed="false">
      <c r="A38" s="13" t="n">
        <v>1.35</v>
      </c>
      <c r="B38" s="15" t="n">
        <f aca="false">IF(A38&lt;Tau_drift,C_kept*EXP(-Delta_a*A38),Floor_F)</f>
        <v>55</v>
      </c>
      <c r="C38" s="15" t="n">
        <f aca="false">IF(A38&lt;Tau_race,Cap_top-(Cap_top-C_gone)*EXP(-Delta_a*A38),Floor_F)</f>
        <v>55</v>
      </c>
      <c r="D38" s="15" t="n">
        <f aca="false">C_kept</f>
        <v>58</v>
      </c>
      <c r="E38" s="15" t="n">
        <f aca="false">IF(A38&lt;Time_58,Cap_top-(Cap_top-C_gone)*EXP(-Delta_a*A38),C_kept)</f>
        <v>58</v>
      </c>
      <c r="F38" s="15" t="n">
        <f aca="false">IF(A38&lt;Tau_drift,0,Delta_a*Floor_F)</f>
        <v>5.56991775654378</v>
      </c>
      <c r="G38" s="15" t="n">
        <f aca="false">IF(A38&lt;Tau_race,Ubar_a,Delta_a*Floor_F)</f>
        <v>5.56991775654378</v>
      </c>
      <c r="H38" s="15" t="n">
        <f aca="false">Delta_a*C_kept</f>
        <v>5.87373145235526</v>
      </c>
      <c r="I38" s="15" t="n">
        <f aca="false">IF(A38&lt;Time_58,Ubar_a,Delta_a*C_kept)</f>
        <v>5.87373145235526</v>
      </c>
    </row>
    <row r="39" customFormat="false" ht="15" hidden="false" customHeight="false" outlineLevel="0" collapsed="false">
      <c r="A39" s="13" t="n">
        <v>1.4</v>
      </c>
      <c r="B39" s="15" t="n">
        <f aca="false">IF(A39&lt;Tau_drift,C_kept*EXP(-Delta_a*A39),Floor_F)</f>
        <v>55</v>
      </c>
      <c r="C39" s="15" t="n">
        <f aca="false">IF(A39&lt;Tau_race,Cap_top-(Cap_top-C_gone)*EXP(-Delta_a*A39),Floor_F)</f>
        <v>55</v>
      </c>
      <c r="D39" s="15" t="n">
        <f aca="false">C_kept</f>
        <v>58</v>
      </c>
      <c r="E39" s="15" t="n">
        <f aca="false">IF(A39&lt;Time_58,Cap_top-(Cap_top-C_gone)*EXP(-Delta_a*A39),C_kept)</f>
        <v>58</v>
      </c>
      <c r="F39" s="15" t="n">
        <f aca="false">IF(A39&lt;Tau_drift,0,Delta_a*Floor_F)</f>
        <v>5.56991775654378</v>
      </c>
      <c r="G39" s="15" t="n">
        <f aca="false">IF(A39&lt;Tau_race,Ubar_a,Delta_a*Floor_F)</f>
        <v>5.56991775654378</v>
      </c>
      <c r="H39" s="15" t="n">
        <f aca="false">Delta_a*C_kept</f>
        <v>5.87373145235526</v>
      </c>
      <c r="I39" s="15" t="n">
        <f aca="false">IF(A39&lt;Time_58,Ubar_a,Delta_a*C_kept)</f>
        <v>5.87373145235526</v>
      </c>
    </row>
    <row r="40" customFormat="false" ht="15" hidden="false" customHeight="false" outlineLevel="0" collapsed="false">
      <c r="A40" s="13" t="n">
        <v>1.45</v>
      </c>
      <c r="B40" s="15" t="n">
        <f aca="false">IF(A40&lt;Tau_drift,C_kept*EXP(-Delta_a*A40),Floor_F)</f>
        <v>55</v>
      </c>
      <c r="C40" s="15" t="n">
        <f aca="false">IF(A40&lt;Tau_race,Cap_top-(Cap_top-C_gone)*EXP(-Delta_a*A40),Floor_F)</f>
        <v>55</v>
      </c>
      <c r="D40" s="15" t="n">
        <f aca="false">C_kept</f>
        <v>58</v>
      </c>
      <c r="E40" s="15" t="n">
        <f aca="false">IF(A40&lt;Time_58,Cap_top-(Cap_top-C_gone)*EXP(-Delta_a*A40),C_kept)</f>
        <v>58</v>
      </c>
      <c r="F40" s="15" t="n">
        <f aca="false">IF(A40&lt;Tau_drift,0,Delta_a*Floor_F)</f>
        <v>5.56991775654378</v>
      </c>
      <c r="G40" s="15" t="n">
        <f aca="false">IF(A40&lt;Tau_race,Ubar_a,Delta_a*Floor_F)</f>
        <v>5.56991775654378</v>
      </c>
      <c r="H40" s="15" t="n">
        <f aca="false">Delta_a*C_kept</f>
        <v>5.87373145235526</v>
      </c>
      <c r="I40" s="15" t="n">
        <f aca="false">IF(A40&lt;Time_58,Ubar_a,Delta_a*C_kept)</f>
        <v>5.87373145235526</v>
      </c>
    </row>
    <row r="41" customFormat="false" ht="15" hidden="false" customHeight="false" outlineLevel="0" collapsed="false">
      <c r="A41" s="13" t="n">
        <v>1.5</v>
      </c>
      <c r="B41" s="15" t="n">
        <f aca="false">IF(A41&lt;Tau_drift,C_kept*EXP(-Delta_a*A41),Floor_F)</f>
        <v>55</v>
      </c>
      <c r="C41" s="15" t="n">
        <f aca="false">IF(A41&lt;Tau_race,Cap_top-(Cap_top-C_gone)*EXP(-Delta_a*A41),Floor_F)</f>
        <v>55</v>
      </c>
      <c r="D41" s="15" t="n">
        <f aca="false">C_kept</f>
        <v>58</v>
      </c>
      <c r="E41" s="15" t="n">
        <f aca="false">IF(A41&lt;Time_58,Cap_top-(Cap_top-C_gone)*EXP(-Delta_a*A41),C_kept)</f>
        <v>58</v>
      </c>
      <c r="F41" s="15" t="n">
        <f aca="false">IF(A41&lt;Tau_drift,0,Delta_a*Floor_F)</f>
        <v>5.56991775654378</v>
      </c>
      <c r="G41" s="15" t="n">
        <f aca="false">IF(A41&lt;Tau_race,Ubar_a,Delta_a*Floor_F)</f>
        <v>5.56991775654378</v>
      </c>
      <c r="H41" s="15" t="n">
        <f aca="false">Delta_a*C_kept</f>
        <v>5.87373145235526</v>
      </c>
      <c r="I41" s="15" t="n">
        <f aca="false">IF(A41&lt;Time_58,Ubar_a,Delta_a*C_kept)</f>
        <v>5.87373145235526</v>
      </c>
    </row>
    <row r="42" customFormat="false" ht="15" hidden="false" customHeight="false" outlineLevel="0" collapsed="false">
      <c r="A42" s="13" t="n">
        <v>1.55</v>
      </c>
      <c r="B42" s="15" t="n">
        <f aca="false">IF(A42&lt;Tau_drift,C_kept*EXP(-Delta_a*A42),Floor_F)</f>
        <v>55</v>
      </c>
      <c r="C42" s="15" t="n">
        <f aca="false">IF(A42&lt;Tau_race,Cap_top-(Cap_top-C_gone)*EXP(-Delta_a*A42),Floor_F)</f>
        <v>55</v>
      </c>
      <c r="D42" s="15" t="n">
        <f aca="false">C_kept</f>
        <v>58</v>
      </c>
      <c r="E42" s="15" t="n">
        <f aca="false">IF(A42&lt;Time_58,Cap_top-(Cap_top-C_gone)*EXP(-Delta_a*A42),C_kept)</f>
        <v>58</v>
      </c>
      <c r="F42" s="15" t="n">
        <f aca="false">IF(A42&lt;Tau_drift,0,Delta_a*Floor_F)</f>
        <v>5.56991775654378</v>
      </c>
      <c r="G42" s="15" t="n">
        <f aca="false">IF(A42&lt;Tau_race,Ubar_a,Delta_a*Floor_F)</f>
        <v>5.56991775654378</v>
      </c>
      <c r="H42" s="15" t="n">
        <f aca="false">Delta_a*C_kept</f>
        <v>5.87373145235526</v>
      </c>
      <c r="I42" s="15" t="n">
        <f aca="false">IF(A42&lt;Time_58,Ubar_a,Delta_a*C_kept)</f>
        <v>5.87373145235526</v>
      </c>
    </row>
    <row r="43" customFormat="false" ht="15" hidden="false" customHeight="false" outlineLevel="0" collapsed="false">
      <c r="A43" s="13" t="n">
        <v>1.6</v>
      </c>
      <c r="B43" s="15" t="n">
        <f aca="false">IF(A43&lt;Tau_drift,C_kept*EXP(-Delta_a*A43),Floor_F)</f>
        <v>55</v>
      </c>
      <c r="C43" s="15" t="n">
        <f aca="false">IF(A43&lt;Tau_race,Cap_top-(Cap_top-C_gone)*EXP(-Delta_a*A43),Floor_F)</f>
        <v>55</v>
      </c>
      <c r="D43" s="15" t="n">
        <f aca="false">C_kept</f>
        <v>58</v>
      </c>
      <c r="E43" s="15" t="n">
        <f aca="false">IF(A43&lt;Time_58,Cap_top-(Cap_top-C_gone)*EXP(-Delta_a*A43),C_kept)</f>
        <v>58</v>
      </c>
      <c r="F43" s="15" t="n">
        <f aca="false">IF(A43&lt;Tau_drift,0,Delta_a*Floor_F)</f>
        <v>5.56991775654378</v>
      </c>
      <c r="G43" s="15" t="n">
        <f aca="false">IF(A43&lt;Tau_race,Ubar_a,Delta_a*Floor_F)</f>
        <v>5.56991775654378</v>
      </c>
      <c r="H43" s="15" t="n">
        <f aca="false">Delta_a*C_kept</f>
        <v>5.87373145235526</v>
      </c>
      <c r="I43" s="15" t="n">
        <f aca="false">IF(A43&lt;Time_58,Ubar_a,Delta_a*C_kept)</f>
        <v>5.87373145235526</v>
      </c>
    </row>
    <row r="44" customFormat="false" ht="15" hidden="false" customHeight="false" outlineLevel="0" collapsed="false">
      <c r="A44" s="13" t="n">
        <v>1.65</v>
      </c>
      <c r="B44" s="15" t="n">
        <f aca="false">IF(A44&lt;Tau_drift,C_kept*EXP(-Delta_a*A44),Floor_F)</f>
        <v>55</v>
      </c>
      <c r="C44" s="15" t="n">
        <f aca="false">IF(A44&lt;Tau_race,Cap_top-(Cap_top-C_gone)*EXP(-Delta_a*A44),Floor_F)</f>
        <v>55</v>
      </c>
      <c r="D44" s="15" t="n">
        <f aca="false">C_kept</f>
        <v>58</v>
      </c>
      <c r="E44" s="15" t="n">
        <f aca="false">IF(A44&lt;Time_58,Cap_top-(Cap_top-C_gone)*EXP(-Delta_a*A44),C_kept)</f>
        <v>58</v>
      </c>
      <c r="F44" s="15" t="n">
        <f aca="false">IF(A44&lt;Tau_drift,0,Delta_a*Floor_F)</f>
        <v>5.56991775654378</v>
      </c>
      <c r="G44" s="15" t="n">
        <f aca="false">IF(A44&lt;Tau_race,Ubar_a,Delta_a*Floor_F)</f>
        <v>5.56991775654378</v>
      </c>
      <c r="H44" s="15" t="n">
        <f aca="false">Delta_a*C_kept</f>
        <v>5.87373145235526</v>
      </c>
      <c r="I44" s="15" t="n">
        <f aca="false">IF(A44&lt;Time_58,Ubar_a,Delta_a*C_kept)</f>
        <v>5.87373145235526</v>
      </c>
    </row>
    <row r="45" customFormat="false" ht="15" hidden="false" customHeight="false" outlineLevel="0" collapsed="false">
      <c r="A45" s="13" t="n">
        <v>1.7</v>
      </c>
      <c r="B45" s="15" t="n">
        <f aca="false">IF(A45&lt;Tau_drift,C_kept*EXP(-Delta_a*A45),Floor_F)</f>
        <v>55</v>
      </c>
      <c r="C45" s="15" t="n">
        <f aca="false">IF(A45&lt;Tau_race,Cap_top-(Cap_top-C_gone)*EXP(-Delta_a*A45),Floor_F)</f>
        <v>55</v>
      </c>
      <c r="D45" s="15" t="n">
        <f aca="false">C_kept</f>
        <v>58</v>
      </c>
      <c r="E45" s="15" t="n">
        <f aca="false">IF(A45&lt;Time_58,Cap_top-(Cap_top-C_gone)*EXP(-Delta_a*A45),C_kept)</f>
        <v>58</v>
      </c>
      <c r="F45" s="15" t="n">
        <f aca="false">IF(A45&lt;Tau_drift,0,Delta_a*Floor_F)</f>
        <v>5.56991775654378</v>
      </c>
      <c r="G45" s="15" t="n">
        <f aca="false">IF(A45&lt;Tau_race,Ubar_a,Delta_a*Floor_F)</f>
        <v>5.56991775654378</v>
      </c>
      <c r="H45" s="15" t="n">
        <f aca="false">Delta_a*C_kept</f>
        <v>5.87373145235526</v>
      </c>
      <c r="I45" s="15" t="n">
        <f aca="false">IF(A45&lt;Time_58,Ubar_a,Delta_a*C_kept)</f>
        <v>5.87373145235526</v>
      </c>
    </row>
    <row r="46" customFormat="false" ht="15" hidden="false" customHeight="false" outlineLevel="0" collapsed="false">
      <c r="A46" s="13" t="n">
        <v>1.75</v>
      </c>
      <c r="B46" s="15" t="n">
        <f aca="false">IF(A46&lt;Tau_drift,C_kept*EXP(-Delta_a*A46),Floor_F)</f>
        <v>55</v>
      </c>
      <c r="C46" s="15" t="n">
        <f aca="false">IF(A46&lt;Tau_race,Cap_top-(Cap_top-C_gone)*EXP(-Delta_a*A46),Floor_F)</f>
        <v>55</v>
      </c>
      <c r="D46" s="15" t="n">
        <f aca="false">C_kept</f>
        <v>58</v>
      </c>
      <c r="E46" s="15" t="n">
        <f aca="false">IF(A46&lt;Time_58,Cap_top-(Cap_top-C_gone)*EXP(-Delta_a*A46),C_kept)</f>
        <v>58</v>
      </c>
      <c r="F46" s="15" t="n">
        <f aca="false">IF(A46&lt;Tau_drift,0,Delta_a*Floor_F)</f>
        <v>5.56991775654378</v>
      </c>
      <c r="G46" s="15" t="n">
        <f aca="false">IF(A46&lt;Tau_race,Ubar_a,Delta_a*Floor_F)</f>
        <v>5.56991775654378</v>
      </c>
      <c r="H46" s="15" t="n">
        <f aca="false">Delta_a*C_kept</f>
        <v>5.87373145235526</v>
      </c>
      <c r="I46" s="15" t="n">
        <f aca="false">IF(A46&lt;Time_58,Ubar_a,Delta_a*C_kept)</f>
        <v>5.87373145235526</v>
      </c>
    </row>
    <row r="47" customFormat="false" ht="15" hidden="false" customHeight="false" outlineLevel="0" collapsed="false">
      <c r="A47" s="13" t="n">
        <v>1.8</v>
      </c>
      <c r="B47" s="15" t="n">
        <f aca="false">IF(A47&lt;Tau_drift,C_kept*EXP(-Delta_a*A47),Floor_F)</f>
        <v>55</v>
      </c>
      <c r="C47" s="15" t="n">
        <f aca="false">IF(A47&lt;Tau_race,Cap_top-(Cap_top-C_gone)*EXP(-Delta_a*A47),Floor_F)</f>
        <v>55</v>
      </c>
      <c r="D47" s="15" t="n">
        <f aca="false">C_kept</f>
        <v>58</v>
      </c>
      <c r="E47" s="15" t="n">
        <f aca="false">IF(A47&lt;Time_58,Cap_top-(Cap_top-C_gone)*EXP(-Delta_a*A47),C_kept)</f>
        <v>58</v>
      </c>
      <c r="F47" s="15" t="n">
        <f aca="false">IF(A47&lt;Tau_drift,0,Delta_a*Floor_F)</f>
        <v>5.56991775654378</v>
      </c>
      <c r="G47" s="15" t="n">
        <f aca="false">IF(A47&lt;Tau_race,Ubar_a,Delta_a*Floor_F)</f>
        <v>5.56991775654378</v>
      </c>
      <c r="H47" s="15" t="n">
        <f aca="false">Delta_a*C_kept</f>
        <v>5.87373145235526</v>
      </c>
      <c r="I47" s="15" t="n">
        <f aca="false">IF(A47&lt;Time_58,Ubar_a,Delta_a*C_kept)</f>
        <v>5.87373145235526</v>
      </c>
    </row>
    <row r="48" customFormat="false" ht="15" hidden="false" customHeight="false" outlineLevel="0" collapsed="false">
      <c r="A48" s="13" t="n">
        <v>1.85</v>
      </c>
      <c r="B48" s="15" t="n">
        <f aca="false">IF(A48&lt;Tau_drift,C_kept*EXP(-Delta_a*A48),Floor_F)</f>
        <v>55</v>
      </c>
      <c r="C48" s="15" t="n">
        <f aca="false">IF(A48&lt;Tau_race,Cap_top-(Cap_top-C_gone)*EXP(-Delta_a*A48),Floor_F)</f>
        <v>55</v>
      </c>
      <c r="D48" s="15" t="n">
        <f aca="false">C_kept</f>
        <v>58</v>
      </c>
      <c r="E48" s="15" t="n">
        <f aca="false">IF(A48&lt;Time_58,Cap_top-(Cap_top-C_gone)*EXP(-Delta_a*A48),C_kept)</f>
        <v>58</v>
      </c>
      <c r="F48" s="15" t="n">
        <f aca="false">IF(A48&lt;Tau_drift,0,Delta_a*Floor_F)</f>
        <v>5.56991775654378</v>
      </c>
      <c r="G48" s="15" t="n">
        <f aca="false">IF(A48&lt;Tau_race,Ubar_a,Delta_a*Floor_F)</f>
        <v>5.56991775654378</v>
      </c>
      <c r="H48" s="15" t="n">
        <f aca="false">Delta_a*C_kept</f>
        <v>5.87373145235526</v>
      </c>
      <c r="I48" s="15" t="n">
        <f aca="false">IF(A48&lt;Time_58,Ubar_a,Delta_a*C_kept)</f>
        <v>5.87373145235526</v>
      </c>
    </row>
    <row r="49" customFormat="false" ht="15" hidden="false" customHeight="false" outlineLevel="0" collapsed="false">
      <c r="A49" s="13" t="n">
        <v>1.9</v>
      </c>
      <c r="B49" s="15" t="n">
        <f aca="false">IF(A49&lt;Tau_drift,C_kept*EXP(-Delta_a*A49),Floor_F)</f>
        <v>55</v>
      </c>
      <c r="C49" s="15" t="n">
        <f aca="false">IF(A49&lt;Tau_race,Cap_top-(Cap_top-C_gone)*EXP(-Delta_a*A49),Floor_F)</f>
        <v>55</v>
      </c>
      <c r="D49" s="15" t="n">
        <f aca="false">C_kept</f>
        <v>58</v>
      </c>
      <c r="E49" s="15" t="n">
        <f aca="false">IF(A49&lt;Time_58,Cap_top-(Cap_top-C_gone)*EXP(-Delta_a*A49),C_kept)</f>
        <v>58</v>
      </c>
      <c r="F49" s="15" t="n">
        <f aca="false">IF(A49&lt;Tau_drift,0,Delta_a*Floor_F)</f>
        <v>5.56991775654378</v>
      </c>
      <c r="G49" s="15" t="n">
        <f aca="false">IF(A49&lt;Tau_race,Ubar_a,Delta_a*Floor_F)</f>
        <v>5.56991775654378</v>
      </c>
      <c r="H49" s="15" t="n">
        <f aca="false">Delta_a*C_kept</f>
        <v>5.87373145235526</v>
      </c>
      <c r="I49" s="15" t="n">
        <f aca="false">IF(A49&lt;Time_58,Ubar_a,Delta_a*C_kept)</f>
        <v>5.87373145235526</v>
      </c>
    </row>
    <row r="50" customFormat="false" ht="15" hidden="false" customHeight="false" outlineLevel="0" collapsed="false">
      <c r="A50" s="13" t="n">
        <v>1.95</v>
      </c>
      <c r="B50" s="15" t="n">
        <f aca="false">IF(A50&lt;Tau_drift,C_kept*EXP(-Delta_a*A50),Floor_F)</f>
        <v>55</v>
      </c>
      <c r="C50" s="15" t="n">
        <f aca="false">IF(A50&lt;Tau_race,Cap_top-(Cap_top-C_gone)*EXP(-Delta_a*A50),Floor_F)</f>
        <v>55</v>
      </c>
      <c r="D50" s="15" t="n">
        <f aca="false">C_kept</f>
        <v>58</v>
      </c>
      <c r="E50" s="15" t="n">
        <f aca="false">IF(A50&lt;Time_58,Cap_top-(Cap_top-C_gone)*EXP(-Delta_a*A50),C_kept)</f>
        <v>58</v>
      </c>
      <c r="F50" s="15" t="n">
        <f aca="false">IF(A50&lt;Tau_drift,0,Delta_a*Floor_F)</f>
        <v>5.56991775654378</v>
      </c>
      <c r="G50" s="15" t="n">
        <f aca="false">IF(A50&lt;Tau_race,Ubar_a,Delta_a*Floor_F)</f>
        <v>5.56991775654378</v>
      </c>
      <c r="H50" s="15" t="n">
        <f aca="false">Delta_a*C_kept</f>
        <v>5.87373145235526</v>
      </c>
      <c r="I50" s="15" t="n">
        <f aca="false">IF(A50&lt;Time_58,Ubar_a,Delta_a*C_kept)</f>
        <v>5.87373145235526</v>
      </c>
    </row>
    <row r="51" customFormat="false" ht="15" hidden="false" customHeight="false" outlineLevel="0" collapsed="false">
      <c r="A51" s="13" t="n">
        <v>2</v>
      </c>
      <c r="B51" s="15" t="n">
        <f aca="false">IF(A51&lt;Tau_drift,C_kept*EXP(-Delta_a*A51),Floor_F)</f>
        <v>55</v>
      </c>
      <c r="C51" s="15" t="n">
        <f aca="false">IF(A51&lt;Tau_race,Cap_top-(Cap_top-C_gone)*EXP(-Delta_a*A51),Floor_F)</f>
        <v>55</v>
      </c>
      <c r="D51" s="15" t="n">
        <f aca="false">C_kept</f>
        <v>58</v>
      </c>
      <c r="E51" s="15" t="n">
        <f aca="false">IF(A51&lt;Time_58,Cap_top-(Cap_top-C_gone)*EXP(-Delta_a*A51),C_kept)</f>
        <v>58</v>
      </c>
      <c r="F51" s="15" t="n">
        <f aca="false">IF(A51&lt;Tau_drift,0,Delta_a*Floor_F)</f>
        <v>5.56991775654378</v>
      </c>
      <c r="G51" s="15" t="n">
        <f aca="false">IF(A51&lt;Tau_race,Ubar_a,Delta_a*Floor_F)</f>
        <v>5.56991775654378</v>
      </c>
      <c r="H51" s="15" t="n">
        <f aca="false">Delta_a*C_kept</f>
        <v>5.87373145235526</v>
      </c>
      <c r="I51" s="15" t="n">
        <f aca="false">IF(A51&lt;Time_58,Ubar_a,Delta_a*C_kept)</f>
        <v>5.87373145235526</v>
      </c>
    </row>
    <row r="52" customFormat="false" ht="15" hidden="false" customHeight="false" outlineLevel="0" collapsed="false">
      <c r="A52" s="13" t="n">
        <v>2.05</v>
      </c>
      <c r="B52" s="15" t="n">
        <f aca="false">IF(A52&lt;Tau_drift,C_kept*EXP(-Delta_a*A52),Floor_F)</f>
        <v>55</v>
      </c>
      <c r="C52" s="15" t="n">
        <f aca="false">IF(A52&lt;Tau_race,Cap_top-(Cap_top-C_gone)*EXP(-Delta_a*A52),Floor_F)</f>
        <v>55</v>
      </c>
      <c r="D52" s="15" t="n">
        <f aca="false">C_kept</f>
        <v>58</v>
      </c>
      <c r="E52" s="15" t="n">
        <f aca="false">IF(A52&lt;Time_58,Cap_top-(Cap_top-C_gone)*EXP(-Delta_a*A52),C_kept)</f>
        <v>58</v>
      </c>
      <c r="F52" s="15" t="n">
        <f aca="false">IF(A52&lt;Tau_drift,0,Delta_a*Floor_F)</f>
        <v>5.56991775654378</v>
      </c>
      <c r="G52" s="15" t="n">
        <f aca="false">IF(A52&lt;Tau_race,Ubar_a,Delta_a*Floor_F)</f>
        <v>5.56991775654378</v>
      </c>
      <c r="H52" s="15" t="n">
        <f aca="false">Delta_a*C_kept</f>
        <v>5.87373145235526</v>
      </c>
      <c r="I52" s="15" t="n">
        <f aca="false">IF(A52&lt;Time_58,Ubar_a,Delta_a*C_kept)</f>
        <v>5.87373145235526</v>
      </c>
    </row>
    <row r="53" customFormat="false" ht="15" hidden="false" customHeight="false" outlineLevel="0" collapsed="false">
      <c r="A53" s="13" t="n">
        <v>2.1</v>
      </c>
      <c r="B53" s="15" t="n">
        <f aca="false">IF(A53&lt;Tau_drift,C_kept*EXP(-Delta_a*A53),Floor_F)</f>
        <v>55</v>
      </c>
      <c r="C53" s="15" t="n">
        <f aca="false">IF(A53&lt;Tau_race,Cap_top-(Cap_top-C_gone)*EXP(-Delta_a*A53),Floor_F)</f>
        <v>55</v>
      </c>
      <c r="D53" s="15" t="n">
        <f aca="false">C_kept</f>
        <v>58</v>
      </c>
      <c r="E53" s="15" t="n">
        <f aca="false">IF(A53&lt;Time_58,Cap_top-(Cap_top-C_gone)*EXP(-Delta_a*A53),C_kept)</f>
        <v>58</v>
      </c>
      <c r="F53" s="15" t="n">
        <f aca="false">IF(A53&lt;Tau_drift,0,Delta_a*Floor_F)</f>
        <v>5.56991775654378</v>
      </c>
      <c r="G53" s="15" t="n">
        <f aca="false">IF(A53&lt;Tau_race,Ubar_a,Delta_a*Floor_F)</f>
        <v>5.56991775654378</v>
      </c>
      <c r="H53" s="15" t="n">
        <f aca="false">Delta_a*C_kept</f>
        <v>5.87373145235526</v>
      </c>
      <c r="I53" s="15" t="n">
        <f aca="false">IF(A53&lt;Time_58,Ubar_a,Delta_a*C_kept)</f>
        <v>5.87373145235526</v>
      </c>
    </row>
    <row r="54" customFormat="false" ht="15" hidden="false" customHeight="false" outlineLevel="0" collapsed="false">
      <c r="A54" s="13" t="n">
        <v>2.15</v>
      </c>
      <c r="B54" s="15" t="n">
        <f aca="false">IF(A54&lt;Tau_drift,C_kept*EXP(-Delta_a*A54),Floor_F)</f>
        <v>55</v>
      </c>
      <c r="C54" s="15" t="n">
        <f aca="false">IF(A54&lt;Tau_race,Cap_top-(Cap_top-C_gone)*EXP(-Delta_a*A54),Floor_F)</f>
        <v>55</v>
      </c>
      <c r="D54" s="15" t="n">
        <f aca="false">C_kept</f>
        <v>58</v>
      </c>
      <c r="E54" s="15" t="n">
        <f aca="false">IF(A54&lt;Time_58,Cap_top-(Cap_top-C_gone)*EXP(-Delta_a*A54),C_kept)</f>
        <v>58</v>
      </c>
      <c r="F54" s="15" t="n">
        <f aca="false">IF(A54&lt;Tau_drift,0,Delta_a*Floor_F)</f>
        <v>5.56991775654378</v>
      </c>
      <c r="G54" s="15" t="n">
        <f aca="false">IF(A54&lt;Tau_race,Ubar_a,Delta_a*Floor_F)</f>
        <v>5.56991775654378</v>
      </c>
      <c r="H54" s="15" t="n">
        <f aca="false">Delta_a*C_kept</f>
        <v>5.87373145235526</v>
      </c>
      <c r="I54" s="15" t="n">
        <f aca="false">IF(A54&lt;Time_58,Ubar_a,Delta_a*C_kept)</f>
        <v>5.87373145235526</v>
      </c>
    </row>
    <row r="55" customFormat="false" ht="15" hidden="false" customHeight="false" outlineLevel="0" collapsed="false">
      <c r="A55" s="13" t="n">
        <v>2.2</v>
      </c>
      <c r="B55" s="15" t="n">
        <f aca="false">IF(A55&lt;Tau_drift,C_kept*EXP(-Delta_a*A55),Floor_F)</f>
        <v>55</v>
      </c>
      <c r="C55" s="15" t="n">
        <f aca="false">IF(A55&lt;Tau_race,Cap_top-(Cap_top-C_gone)*EXP(-Delta_a*A55),Floor_F)</f>
        <v>55</v>
      </c>
      <c r="D55" s="15" t="n">
        <f aca="false">C_kept</f>
        <v>58</v>
      </c>
      <c r="E55" s="15" t="n">
        <f aca="false">IF(A55&lt;Time_58,Cap_top-(Cap_top-C_gone)*EXP(-Delta_a*A55),C_kept)</f>
        <v>58</v>
      </c>
      <c r="F55" s="15" t="n">
        <f aca="false">IF(A55&lt;Tau_drift,0,Delta_a*Floor_F)</f>
        <v>5.56991775654378</v>
      </c>
      <c r="G55" s="15" t="n">
        <f aca="false">IF(A55&lt;Tau_race,Ubar_a,Delta_a*Floor_F)</f>
        <v>5.56991775654378</v>
      </c>
      <c r="H55" s="15" t="n">
        <f aca="false">Delta_a*C_kept</f>
        <v>5.87373145235526</v>
      </c>
      <c r="I55" s="15" t="n">
        <f aca="false">IF(A55&lt;Time_58,Ubar_a,Delta_a*C_kept)</f>
        <v>5.87373145235526</v>
      </c>
    </row>
    <row r="56" customFormat="false" ht="15" hidden="false" customHeight="false" outlineLevel="0" collapsed="false">
      <c r="A56" s="13" t="n">
        <v>2.25</v>
      </c>
      <c r="B56" s="15" t="n">
        <f aca="false">IF(A56&lt;Tau_drift,C_kept*EXP(-Delta_a*A56),Floor_F)</f>
        <v>55</v>
      </c>
      <c r="C56" s="15" t="n">
        <f aca="false">IF(A56&lt;Tau_race,Cap_top-(Cap_top-C_gone)*EXP(-Delta_a*A56),Floor_F)</f>
        <v>55</v>
      </c>
      <c r="D56" s="15" t="n">
        <f aca="false">C_kept</f>
        <v>58</v>
      </c>
      <c r="E56" s="15" t="n">
        <f aca="false">IF(A56&lt;Time_58,Cap_top-(Cap_top-C_gone)*EXP(-Delta_a*A56),C_kept)</f>
        <v>58</v>
      </c>
      <c r="F56" s="15" t="n">
        <f aca="false">IF(A56&lt;Tau_drift,0,Delta_a*Floor_F)</f>
        <v>5.56991775654378</v>
      </c>
      <c r="G56" s="15" t="n">
        <f aca="false">IF(A56&lt;Tau_race,Ubar_a,Delta_a*Floor_F)</f>
        <v>5.56991775654378</v>
      </c>
      <c r="H56" s="15" t="n">
        <f aca="false">Delta_a*C_kept</f>
        <v>5.87373145235526</v>
      </c>
      <c r="I56" s="15" t="n">
        <f aca="false">IF(A56&lt;Time_58,Ubar_a,Delta_a*C_kept)</f>
        <v>5.87373145235526</v>
      </c>
    </row>
    <row r="57" customFormat="false" ht="15" hidden="false" customHeight="false" outlineLevel="0" collapsed="false">
      <c r="A57" s="13" t="n">
        <v>2.3</v>
      </c>
      <c r="B57" s="15" t="n">
        <f aca="false">IF(A57&lt;Tau_drift,C_kept*EXP(-Delta_a*A57),Floor_F)</f>
        <v>55</v>
      </c>
      <c r="C57" s="15" t="n">
        <f aca="false">IF(A57&lt;Tau_race,Cap_top-(Cap_top-C_gone)*EXP(-Delta_a*A57),Floor_F)</f>
        <v>55</v>
      </c>
      <c r="D57" s="15" t="n">
        <f aca="false">C_kept</f>
        <v>58</v>
      </c>
      <c r="E57" s="15" t="n">
        <f aca="false">IF(A57&lt;Time_58,Cap_top-(Cap_top-C_gone)*EXP(-Delta_a*A57),C_kept)</f>
        <v>58</v>
      </c>
      <c r="F57" s="15" t="n">
        <f aca="false">IF(A57&lt;Tau_drift,0,Delta_a*Floor_F)</f>
        <v>5.56991775654378</v>
      </c>
      <c r="G57" s="15" t="n">
        <f aca="false">IF(A57&lt;Tau_race,Ubar_a,Delta_a*Floor_F)</f>
        <v>5.56991775654378</v>
      </c>
      <c r="H57" s="15" t="n">
        <f aca="false">Delta_a*C_kept</f>
        <v>5.87373145235526</v>
      </c>
      <c r="I57" s="15" t="n">
        <f aca="false">IF(A57&lt;Time_58,Ubar_a,Delta_a*C_kept)</f>
        <v>5.87373145235526</v>
      </c>
    </row>
    <row r="58" customFormat="false" ht="15" hidden="false" customHeight="false" outlineLevel="0" collapsed="false">
      <c r="A58" s="13" t="n">
        <v>2.35</v>
      </c>
      <c r="B58" s="15" t="n">
        <f aca="false">IF(A58&lt;Tau_drift,C_kept*EXP(-Delta_a*A58),Floor_F)</f>
        <v>55</v>
      </c>
      <c r="C58" s="15" t="n">
        <f aca="false">IF(A58&lt;Tau_race,Cap_top-(Cap_top-C_gone)*EXP(-Delta_a*A58),Floor_F)</f>
        <v>55</v>
      </c>
      <c r="D58" s="15" t="n">
        <f aca="false">C_kept</f>
        <v>58</v>
      </c>
      <c r="E58" s="15" t="n">
        <f aca="false">IF(A58&lt;Time_58,Cap_top-(Cap_top-C_gone)*EXP(-Delta_a*A58),C_kept)</f>
        <v>58</v>
      </c>
      <c r="F58" s="15" t="n">
        <f aca="false">IF(A58&lt;Tau_drift,0,Delta_a*Floor_F)</f>
        <v>5.56991775654378</v>
      </c>
      <c r="G58" s="15" t="n">
        <f aca="false">IF(A58&lt;Tau_race,Ubar_a,Delta_a*Floor_F)</f>
        <v>5.56991775654378</v>
      </c>
      <c r="H58" s="15" t="n">
        <f aca="false">Delta_a*C_kept</f>
        <v>5.87373145235526</v>
      </c>
      <c r="I58" s="15" t="n">
        <f aca="false">IF(A58&lt;Time_58,Ubar_a,Delta_a*C_kept)</f>
        <v>5.87373145235526</v>
      </c>
    </row>
    <row r="59" customFormat="false" ht="15" hidden="false" customHeight="false" outlineLevel="0" collapsed="false">
      <c r="A59" s="13" t="n">
        <v>2.4</v>
      </c>
      <c r="B59" s="15" t="n">
        <f aca="false">IF(A59&lt;Tau_drift,C_kept*EXP(-Delta_a*A59),Floor_F)</f>
        <v>55</v>
      </c>
      <c r="C59" s="15" t="n">
        <f aca="false">IF(A59&lt;Tau_race,Cap_top-(Cap_top-C_gone)*EXP(-Delta_a*A59),Floor_F)</f>
        <v>55</v>
      </c>
      <c r="D59" s="15" t="n">
        <f aca="false">C_kept</f>
        <v>58</v>
      </c>
      <c r="E59" s="15" t="n">
        <f aca="false">IF(A59&lt;Time_58,Cap_top-(Cap_top-C_gone)*EXP(-Delta_a*A59),C_kept)</f>
        <v>58</v>
      </c>
      <c r="F59" s="15" t="n">
        <f aca="false">IF(A59&lt;Tau_drift,0,Delta_a*Floor_F)</f>
        <v>5.56991775654378</v>
      </c>
      <c r="G59" s="15" t="n">
        <f aca="false">IF(A59&lt;Tau_race,Ubar_a,Delta_a*Floor_F)</f>
        <v>5.56991775654378</v>
      </c>
      <c r="H59" s="15" t="n">
        <f aca="false">Delta_a*C_kept</f>
        <v>5.87373145235526</v>
      </c>
      <c r="I59" s="15" t="n">
        <f aca="false">IF(A59&lt;Time_58,Ubar_a,Delta_a*C_kept)</f>
        <v>5.87373145235526</v>
      </c>
    </row>
    <row r="60" customFormat="false" ht="15" hidden="false" customHeight="false" outlineLevel="0" collapsed="false">
      <c r="A60" s="13" t="n">
        <v>2.45</v>
      </c>
      <c r="B60" s="15" t="n">
        <f aca="false">IF(A60&lt;Tau_drift,C_kept*EXP(-Delta_a*A60),Floor_F)</f>
        <v>55</v>
      </c>
      <c r="C60" s="15" t="n">
        <f aca="false">IF(A60&lt;Tau_race,Cap_top-(Cap_top-C_gone)*EXP(-Delta_a*A60),Floor_F)</f>
        <v>55</v>
      </c>
      <c r="D60" s="15" t="n">
        <f aca="false">C_kept</f>
        <v>58</v>
      </c>
      <c r="E60" s="15" t="n">
        <f aca="false">IF(A60&lt;Time_58,Cap_top-(Cap_top-C_gone)*EXP(-Delta_a*A60),C_kept)</f>
        <v>58</v>
      </c>
      <c r="F60" s="15" t="n">
        <f aca="false">IF(A60&lt;Tau_drift,0,Delta_a*Floor_F)</f>
        <v>5.56991775654378</v>
      </c>
      <c r="G60" s="15" t="n">
        <f aca="false">IF(A60&lt;Tau_race,Ubar_a,Delta_a*Floor_F)</f>
        <v>5.56991775654378</v>
      </c>
      <c r="H60" s="15" t="n">
        <f aca="false">Delta_a*C_kept</f>
        <v>5.87373145235526</v>
      </c>
      <c r="I60" s="15" t="n">
        <f aca="false">IF(A60&lt;Time_58,Ubar_a,Delta_a*C_kept)</f>
        <v>5.87373145235526</v>
      </c>
    </row>
    <row r="61" customFormat="false" ht="15" hidden="false" customHeight="false" outlineLevel="0" collapsed="false">
      <c r="A61" s="13" t="n">
        <v>2.5</v>
      </c>
      <c r="B61" s="15" t="n">
        <f aca="false">IF(A61&lt;Tau_drift,C_kept*EXP(-Delta_a*A61),Floor_F)</f>
        <v>55</v>
      </c>
      <c r="C61" s="15" t="n">
        <f aca="false">IF(A61&lt;Tau_race,Cap_top-(Cap_top-C_gone)*EXP(-Delta_a*A61),Floor_F)</f>
        <v>55</v>
      </c>
      <c r="D61" s="15" t="n">
        <f aca="false">C_kept</f>
        <v>58</v>
      </c>
      <c r="E61" s="15" t="n">
        <f aca="false">IF(A61&lt;Time_58,Cap_top-(Cap_top-C_gone)*EXP(-Delta_a*A61),C_kept)</f>
        <v>58</v>
      </c>
      <c r="F61" s="15" t="n">
        <f aca="false">IF(A61&lt;Tau_drift,0,Delta_a*Floor_F)</f>
        <v>5.56991775654378</v>
      </c>
      <c r="G61" s="15" t="n">
        <f aca="false">IF(A61&lt;Tau_race,Ubar_a,Delta_a*Floor_F)</f>
        <v>5.56991775654378</v>
      </c>
      <c r="H61" s="15" t="n">
        <f aca="false">Delta_a*C_kept</f>
        <v>5.87373145235526</v>
      </c>
      <c r="I61" s="15" t="n">
        <f aca="false">IF(A61&lt;Time_58,Ubar_a,Delta_a*C_kept)</f>
        <v>5.87373145235526</v>
      </c>
    </row>
    <row r="62" customFormat="false" ht="15" hidden="false" customHeight="false" outlineLevel="0" collapsed="false">
      <c r="A62" s="13" t="n">
        <v>2.55</v>
      </c>
      <c r="B62" s="15" t="n">
        <f aca="false">IF(A62&lt;Tau_drift,C_kept*EXP(-Delta_a*A62),Floor_F)</f>
        <v>55</v>
      </c>
      <c r="C62" s="15" t="n">
        <f aca="false">IF(A62&lt;Tau_race,Cap_top-(Cap_top-C_gone)*EXP(-Delta_a*A62),Floor_F)</f>
        <v>55</v>
      </c>
      <c r="D62" s="15" t="n">
        <f aca="false">C_kept</f>
        <v>58</v>
      </c>
      <c r="E62" s="15" t="n">
        <f aca="false">IF(A62&lt;Time_58,Cap_top-(Cap_top-C_gone)*EXP(-Delta_a*A62),C_kept)</f>
        <v>58</v>
      </c>
      <c r="F62" s="15" t="n">
        <f aca="false">IF(A62&lt;Tau_drift,0,Delta_a*Floor_F)</f>
        <v>5.56991775654378</v>
      </c>
      <c r="G62" s="15" t="n">
        <f aca="false">IF(A62&lt;Tau_race,Ubar_a,Delta_a*Floor_F)</f>
        <v>5.56991775654378</v>
      </c>
      <c r="H62" s="15" t="n">
        <f aca="false">Delta_a*C_kept</f>
        <v>5.87373145235526</v>
      </c>
      <c r="I62" s="15" t="n">
        <f aca="false">IF(A62&lt;Time_58,Ubar_a,Delta_a*C_kept)</f>
        <v>5.87373145235526</v>
      </c>
    </row>
    <row r="63" customFormat="false" ht="15" hidden="false" customHeight="false" outlineLevel="0" collapsed="false">
      <c r="A63" s="13" t="n">
        <v>2.6</v>
      </c>
      <c r="B63" s="15" t="n">
        <f aca="false">IF(A63&lt;Tau_drift,C_kept*EXP(-Delta_a*A63),Floor_F)</f>
        <v>55</v>
      </c>
      <c r="C63" s="15" t="n">
        <f aca="false">IF(A63&lt;Tau_race,Cap_top-(Cap_top-C_gone)*EXP(-Delta_a*A63),Floor_F)</f>
        <v>55</v>
      </c>
      <c r="D63" s="15" t="n">
        <f aca="false">C_kept</f>
        <v>58</v>
      </c>
      <c r="E63" s="15" t="n">
        <f aca="false">IF(A63&lt;Time_58,Cap_top-(Cap_top-C_gone)*EXP(-Delta_a*A63),C_kept)</f>
        <v>58</v>
      </c>
      <c r="F63" s="15" t="n">
        <f aca="false">IF(A63&lt;Tau_drift,0,Delta_a*Floor_F)</f>
        <v>5.56991775654378</v>
      </c>
      <c r="G63" s="15" t="n">
        <f aca="false">IF(A63&lt;Tau_race,Ubar_a,Delta_a*Floor_F)</f>
        <v>5.56991775654378</v>
      </c>
      <c r="H63" s="15" t="n">
        <f aca="false">Delta_a*C_kept</f>
        <v>5.87373145235526</v>
      </c>
      <c r="I63" s="15" t="n">
        <f aca="false">IF(A63&lt;Time_58,Ubar_a,Delta_a*C_kept)</f>
        <v>5.87373145235526</v>
      </c>
    </row>
    <row r="64" customFormat="false" ht="15" hidden="false" customHeight="false" outlineLevel="0" collapsed="false">
      <c r="A64" s="13" t="n">
        <v>2.65</v>
      </c>
      <c r="B64" s="15" t="n">
        <f aca="false">IF(A64&lt;Tau_drift,C_kept*EXP(-Delta_a*A64),Floor_F)</f>
        <v>55</v>
      </c>
      <c r="C64" s="15" t="n">
        <f aca="false">IF(A64&lt;Tau_race,Cap_top-(Cap_top-C_gone)*EXP(-Delta_a*A64),Floor_F)</f>
        <v>55</v>
      </c>
      <c r="D64" s="15" t="n">
        <f aca="false">C_kept</f>
        <v>58</v>
      </c>
      <c r="E64" s="15" t="n">
        <f aca="false">IF(A64&lt;Time_58,Cap_top-(Cap_top-C_gone)*EXP(-Delta_a*A64),C_kept)</f>
        <v>58</v>
      </c>
      <c r="F64" s="15" t="n">
        <f aca="false">IF(A64&lt;Tau_drift,0,Delta_a*Floor_F)</f>
        <v>5.56991775654378</v>
      </c>
      <c r="G64" s="15" t="n">
        <f aca="false">IF(A64&lt;Tau_race,Ubar_a,Delta_a*Floor_F)</f>
        <v>5.56991775654378</v>
      </c>
      <c r="H64" s="15" t="n">
        <f aca="false">Delta_a*C_kept</f>
        <v>5.87373145235526</v>
      </c>
      <c r="I64" s="15" t="n">
        <f aca="false">IF(A64&lt;Time_58,Ubar_a,Delta_a*C_kept)</f>
        <v>5.87373145235526</v>
      </c>
    </row>
    <row r="65" customFormat="false" ht="15" hidden="false" customHeight="false" outlineLevel="0" collapsed="false">
      <c r="A65" s="13" t="n">
        <v>2.7</v>
      </c>
      <c r="B65" s="15" t="n">
        <f aca="false">IF(A65&lt;Tau_drift,C_kept*EXP(-Delta_a*A65),Floor_F)</f>
        <v>55</v>
      </c>
      <c r="C65" s="15" t="n">
        <f aca="false">IF(A65&lt;Tau_race,Cap_top-(Cap_top-C_gone)*EXP(-Delta_a*A65),Floor_F)</f>
        <v>55</v>
      </c>
      <c r="D65" s="15" t="n">
        <f aca="false">C_kept</f>
        <v>58</v>
      </c>
      <c r="E65" s="15" t="n">
        <f aca="false">IF(A65&lt;Time_58,Cap_top-(Cap_top-C_gone)*EXP(-Delta_a*A65),C_kept)</f>
        <v>58</v>
      </c>
      <c r="F65" s="15" t="n">
        <f aca="false">IF(A65&lt;Tau_drift,0,Delta_a*Floor_F)</f>
        <v>5.56991775654378</v>
      </c>
      <c r="G65" s="15" t="n">
        <f aca="false">IF(A65&lt;Tau_race,Ubar_a,Delta_a*Floor_F)</f>
        <v>5.56991775654378</v>
      </c>
      <c r="H65" s="15" t="n">
        <f aca="false">Delta_a*C_kept</f>
        <v>5.87373145235526</v>
      </c>
      <c r="I65" s="15" t="n">
        <f aca="false">IF(A65&lt;Time_58,Ubar_a,Delta_a*C_kept)</f>
        <v>5.87373145235526</v>
      </c>
    </row>
    <row r="66" customFormat="false" ht="15" hidden="false" customHeight="false" outlineLevel="0" collapsed="false">
      <c r="A66" s="13" t="n">
        <v>2.75</v>
      </c>
      <c r="B66" s="15" t="n">
        <f aca="false">IF(A66&lt;Tau_drift,C_kept*EXP(-Delta_a*A66),Floor_F)</f>
        <v>55</v>
      </c>
      <c r="C66" s="15" t="n">
        <f aca="false">IF(A66&lt;Tau_race,Cap_top-(Cap_top-C_gone)*EXP(-Delta_a*A66),Floor_F)</f>
        <v>55</v>
      </c>
      <c r="D66" s="15" t="n">
        <f aca="false">C_kept</f>
        <v>58</v>
      </c>
      <c r="E66" s="15" t="n">
        <f aca="false">IF(A66&lt;Time_58,Cap_top-(Cap_top-C_gone)*EXP(-Delta_a*A66),C_kept)</f>
        <v>58</v>
      </c>
      <c r="F66" s="15" t="n">
        <f aca="false">IF(A66&lt;Tau_drift,0,Delta_a*Floor_F)</f>
        <v>5.56991775654378</v>
      </c>
      <c r="G66" s="15" t="n">
        <f aca="false">IF(A66&lt;Tau_race,Ubar_a,Delta_a*Floor_F)</f>
        <v>5.56991775654378</v>
      </c>
      <c r="H66" s="15" t="n">
        <f aca="false">Delta_a*C_kept</f>
        <v>5.87373145235526</v>
      </c>
      <c r="I66" s="15" t="n">
        <f aca="false">IF(A66&lt;Time_58,Ubar_a,Delta_a*C_kept)</f>
        <v>5.87373145235526</v>
      </c>
    </row>
    <row r="67" customFormat="false" ht="15" hidden="false" customHeight="false" outlineLevel="0" collapsed="false">
      <c r="A67" s="13" t="n">
        <v>2.8</v>
      </c>
      <c r="B67" s="15" t="n">
        <f aca="false">IF(A67&lt;Tau_drift,C_kept*EXP(-Delta_a*A67),Floor_F)</f>
        <v>55</v>
      </c>
      <c r="C67" s="15" t="n">
        <f aca="false">IF(A67&lt;Tau_race,Cap_top-(Cap_top-C_gone)*EXP(-Delta_a*A67),Floor_F)</f>
        <v>55</v>
      </c>
      <c r="D67" s="15" t="n">
        <f aca="false">C_kept</f>
        <v>58</v>
      </c>
      <c r="E67" s="15" t="n">
        <f aca="false">IF(A67&lt;Time_58,Cap_top-(Cap_top-C_gone)*EXP(-Delta_a*A67),C_kept)</f>
        <v>58</v>
      </c>
      <c r="F67" s="15" t="n">
        <f aca="false">IF(A67&lt;Tau_drift,0,Delta_a*Floor_F)</f>
        <v>5.56991775654378</v>
      </c>
      <c r="G67" s="15" t="n">
        <f aca="false">IF(A67&lt;Tau_race,Ubar_a,Delta_a*Floor_F)</f>
        <v>5.56991775654378</v>
      </c>
      <c r="H67" s="15" t="n">
        <f aca="false">Delta_a*C_kept</f>
        <v>5.87373145235526</v>
      </c>
      <c r="I67" s="15" t="n">
        <f aca="false">IF(A67&lt;Time_58,Ubar_a,Delta_a*C_kept)</f>
        <v>5.87373145235526</v>
      </c>
    </row>
    <row r="68" customFormat="false" ht="15" hidden="false" customHeight="false" outlineLevel="0" collapsed="false">
      <c r="A68" s="13" t="n">
        <v>2.85</v>
      </c>
      <c r="B68" s="15" t="n">
        <f aca="false">IF(A68&lt;Tau_drift,C_kept*EXP(-Delta_a*A68),Floor_F)</f>
        <v>55</v>
      </c>
      <c r="C68" s="15" t="n">
        <f aca="false">IF(A68&lt;Tau_race,Cap_top-(Cap_top-C_gone)*EXP(-Delta_a*A68),Floor_F)</f>
        <v>55</v>
      </c>
      <c r="D68" s="15" t="n">
        <f aca="false">C_kept</f>
        <v>58</v>
      </c>
      <c r="E68" s="15" t="n">
        <f aca="false">IF(A68&lt;Time_58,Cap_top-(Cap_top-C_gone)*EXP(-Delta_a*A68),C_kept)</f>
        <v>58</v>
      </c>
      <c r="F68" s="15" t="n">
        <f aca="false">IF(A68&lt;Tau_drift,0,Delta_a*Floor_F)</f>
        <v>5.56991775654378</v>
      </c>
      <c r="G68" s="15" t="n">
        <f aca="false">IF(A68&lt;Tau_race,Ubar_a,Delta_a*Floor_F)</f>
        <v>5.56991775654378</v>
      </c>
      <c r="H68" s="15" t="n">
        <f aca="false">Delta_a*C_kept</f>
        <v>5.87373145235526</v>
      </c>
      <c r="I68" s="15" t="n">
        <f aca="false">IF(A68&lt;Time_58,Ubar_a,Delta_a*C_kept)</f>
        <v>5.87373145235526</v>
      </c>
    </row>
    <row r="69" customFormat="false" ht="15" hidden="false" customHeight="false" outlineLevel="0" collapsed="false">
      <c r="A69" s="13" t="n">
        <v>2.9</v>
      </c>
      <c r="B69" s="15" t="n">
        <f aca="false">IF(A69&lt;Tau_drift,C_kept*EXP(-Delta_a*A69),Floor_F)</f>
        <v>55</v>
      </c>
      <c r="C69" s="15" t="n">
        <f aca="false">IF(A69&lt;Tau_race,Cap_top-(Cap_top-C_gone)*EXP(-Delta_a*A69),Floor_F)</f>
        <v>55</v>
      </c>
      <c r="D69" s="15" t="n">
        <f aca="false">C_kept</f>
        <v>58</v>
      </c>
      <c r="E69" s="15" t="n">
        <f aca="false">IF(A69&lt;Time_58,Cap_top-(Cap_top-C_gone)*EXP(-Delta_a*A69),C_kept)</f>
        <v>58</v>
      </c>
      <c r="F69" s="15" t="n">
        <f aca="false">IF(A69&lt;Tau_drift,0,Delta_a*Floor_F)</f>
        <v>5.56991775654378</v>
      </c>
      <c r="G69" s="15" t="n">
        <f aca="false">IF(A69&lt;Tau_race,Ubar_a,Delta_a*Floor_F)</f>
        <v>5.56991775654378</v>
      </c>
      <c r="H69" s="15" t="n">
        <f aca="false">Delta_a*C_kept</f>
        <v>5.87373145235526</v>
      </c>
      <c r="I69" s="15" t="n">
        <f aca="false">IF(A69&lt;Time_58,Ubar_a,Delta_a*C_kept)</f>
        <v>5.87373145235526</v>
      </c>
    </row>
    <row r="70" customFormat="false" ht="15" hidden="false" customHeight="false" outlineLevel="0" collapsed="false">
      <c r="A70" s="13" t="n">
        <v>2.95</v>
      </c>
      <c r="B70" s="15" t="n">
        <f aca="false">IF(A70&lt;Tau_drift,C_kept*EXP(-Delta_a*A70),Floor_F)</f>
        <v>55</v>
      </c>
      <c r="C70" s="15" t="n">
        <f aca="false">IF(A70&lt;Tau_race,Cap_top-(Cap_top-C_gone)*EXP(-Delta_a*A70),Floor_F)</f>
        <v>55</v>
      </c>
      <c r="D70" s="15" t="n">
        <f aca="false">C_kept</f>
        <v>58</v>
      </c>
      <c r="E70" s="15" t="n">
        <f aca="false">IF(A70&lt;Time_58,Cap_top-(Cap_top-C_gone)*EXP(-Delta_a*A70),C_kept)</f>
        <v>58</v>
      </c>
      <c r="F70" s="15" t="n">
        <f aca="false">IF(A70&lt;Tau_drift,0,Delta_a*Floor_F)</f>
        <v>5.56991775654378</v>
      </c>
      <c r="G70" s="15" t="n">
        <f aca="false">IF(A70&lt;Tau_race,Ubar_a,Delta_a*Floor_F)</f>
        <v>5.56991775654378</v>
      </c>
      <c r="H70" s="15" t="n">
        <f aca="false">Delta_a*C_kept</f>
        <v>5.87373145235526</v>
      </c>
      <c r="I70" s="15" t="n">
        <f aca="false">IF(A70&lt;Time_58,Ubar_a,Delta_a*C_kept)</f>
        <v>5.87373145235526</v>
      </c>
    </row>
    <row r="71" customFormat="false" ht="15" hidden="false" customHeight="false" outlineLevel="0" collapsed="false">
      <c r="A71" s="13" t="n">
        <v>3</v>
      </c>
      <c r="B71" s="15" t="n">
        <f aca="false">IF(A71&lt;Tau_drift,C_kept*EXP(-Delta_a*A71),Floor_F)</f>
        <v>55</v>
      </c>
      <c r="C71" s="15" t="n">
        <f aca="false">IF(A71&lt;Tau_race,Cap_top-(Cap_top-C_gone)*EXP(-Delta_a*A71),Floor_F)</f>
        <v>55</v>
      </c>
      <c r="D71" s="15" t="n">
        <f aca="false">C_kept</f>
        <v>58</v>
      </c>
      <c r="E71" s="15" t="n">
        <f aca="false">IF(A71&lt;Time_58,Cap_top-(Cap_top-C_gone)*EXP(-Delta_a*A71),C_kept)</f>
        <v>58</v>
      </c>
      <c r="F71" s="15" t="n">
        <f aca="false">IF(A71&lt;Tau_drift,0,Delta_a*Floor_F)</f>
        <v>5.56991775654378</v>
      </c>
      <c r="G71" s="15" t="n">
        <f aca="false">IF(A71&lt;Tau_race,Ubar_a,Delta_a*Floor_F)</f>
        <v>5.56991775654378</v>
      </c>
      <c r="H71" s="15" t="n">
        <f aca="false">Delta_a*C_kept</f>
        <v>5.87373145235526</v>
      </c>
      <c r="I71" s="15" t="n">
        <f aca="false">IF(A71&lt;Time_58,Ubar_a,Delta_a*C_kept)</f>
        <v>5.87373145235526</v>
      </c>
    </row>
    <row r="73" customFormat="false" ht="15" hidden="false" customHeight="false" outlineLevel="0" collapsed="false">
      <c r="A73" s="1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77</v>
      </c>
    </row>
    <row r="3" customFormat="false" ht="23.85" hidden="false" customHeight="false" outlineLevel="0" collapsed="false">
      <c r="A3" s="8" t="s">
        <v>78</v>
      </c>
      <c r="B3" s="8" t="s">
        <v>79</v>
      </c>
      <c r="C3" s="8" t="s">
        <v>80</v>
      </c>
      <c r="D3" s="8" t="s">
        <v>81</v>
      </c>
      <c r="E3" s="8" t="s">
        <v>82</v>
      </c>
      <c r="F3" s="8" t="s">
        <v>83</v>
      </c>
      <c r="G3" s="8" t="s">
        <v>84</v>
      </c>
    </row>
    <row r="4" customFormat="false" ht="15" hidden="false" customHeight="false" outlineLevel="0" collapsed="false">
      <c r="A4" s="2" t="s">
        <v>85</v>
      </c>
      <c r="B4" s="16" t="n">
        <f aca="false">4*Simulate!B7</f>
        <v>0</v>
      </c>
      <c r="C4" s="13" t="n">
        <f aca="false">EXP(-Rho_a*Tau_drift)*Cost_k*Delta_a*Floor_F/Rho_a</f>
        <v>222.36265793319</v>
      </c>
      <c r="D4" s="13" t="n">
        <v>0</v>
      </c>
      <c r="E4" s="13" t="n">
        <f aca="false">C4+D4</f>
        <v>222.36265793319</v>
      </c>
      <c r="F4" s="13" t="n">
        <f aca="false">Proc_kept</f>
        <v>92</v>
      </c>
      <c r="G4" s="13" t="n">
        <f aca="false">F4-E4</f>
        <v>-130.36265793319</v>
      </c>
    </row>
    <row r="5" customFormat="false" ht="15" hidden="false" customHeight="false" outlineLevel="0" collapsed="false">
      <c r="A5" s="2" t="s">
        <v>86</v>
      </c>
      <c r="B5" s="16" t="n">
        <f aca="false">4*Tau_race</f>
        <v>1.71757017695695</v>
      </c>
      <c r="C5" s="13" t="n">
        <f aca="false">Cost_k*Ubar_a*(1-EXP(-Rho_a*Tau_race))/Rho_a+EXP(-Rho_a*Tau_race)*Cost_k*Delta_a*Floor_F/Rho_a</f>
        <v>241.428930485262</v>
      </c>
      <c r="D5" s="13" t="n">
        <f aca="false">Delay_D*(1-EXP(-Rho_a*Tau_race))/Rho_a</f>
        <v>13.4631886169443</v>
      </c>
      <c r="E5" s="13" t="n">
        <f aca="false">C5+D5</f>
        <v>254.892119102206</v>
      </c>
      <c r="F5" s="13" t="n">
        <f aca="false">Proc_gone</f>
        <v>112</v>
      </c>
      <c r="G5" s="13" t="n">
        <f aca="false">F5-E5</f>
        <v>-142.892119102206</v>
      </c>
    </row>
    <row r="6" customFormat="false" ht="15" hidden="false" customHeight="false" outlineLevel="0" collapsed="false">
      <c r="A6" s="17" t="s">
        <v>87</v>
      </c>
    </row>
    <row r="7" customFormat="false" ht="15" hidden="false" customHeight="false" outlineLevel="0" collapsed="false">
      <c r="A7" s="2" t="s">
        <v>88</v>
      </c>
      <c r="B7" s="16" t="n">
        <v>0</v>
      </c>
      <c r="C7" s="13" t="n">
        <f aca="false">Cost_k*Delta_a*C_kept/Rho_a</f>
        <v>246.510140445196</v>
      </c>
      <c r="D7" s="13" t="n">
        <v>0</v>
      </c>
      <c r="E7" s="13" t="n">
        <f aca="false">C7+D7</f>
        <v>246.510140445196</v>
      </c>
      <c r="F7" s="13" t="n">
        <f aca="false">Proc_kept</f>
        <v>92</v>
      </c>
      <c r="G7" s="13" t="n">
        <f aca="false">F7-E7</f>
        <v>-154.510140445196</v>
      </c>
    </row>
    <row r="8" customFormat="false" ht="15" hidden="false" customHeight="false" outlineLevel="0" collapsed="false">
      <c r="A8" s="2" t="s">
        <v>89</v>
      </c>
      <c r="B8" s="16" t="n">
        <f aca="false">4*Tau_race</f>
        <v>1.71757017695695</v>
      </c>
      <c r="C8" s="13" t="n">
        <f aca="false">Cost_k*Ubar_a*(1-EXP(-Rho_a*Time_58))/Rho_a+EXP(-Rho_a*Time_58)*Cost_k*Delta_a*C_kept/Rho_a</f>
        <v>264.440662883802</v>
      </c>
      <c r="D8" s="13" t="n">
        <f aca="false">Delay_D*(1-EXP(-Rho_a*Tau_race))/Rho_a</f>
        <v>13.4631886169443</v>
      </c>
      <c r="E8" s="13" t="n">
        <f aca="false">C8+D8</f>
        <v>277.903851500746</v>
      </c>
      <c r="F8" s="13" t="n">
        <f aca="false">Proc_gone</f>
        <v>112</v>
      </c>
      <c r="G8" s="13" t="n">
        <f aca="false">F8-E8</f>
        <v>-165.903851500746</v>
      </c>
    </row>
    <row r="10" customFormat="false" ht="15" hidden="false" customHeight="false" outlineLevel="0" collapsed="false">
      <c r="A10" s="2" t="s">
        <v>90</v>
      </c>
      <c r="B10" s="15" t="n">
        <f aca="false">C7-C4</f>
        <v>24.1474825120057</v>
      </c>
      <c r="C10" s="10" t="s">
        <v>91</v>
      </c>
    </row>
    <row r="11" customFormat="false" ht="15" hidden="false" customHeight="false" outlineLevel="0" collapsed="false">
      <c r="A11" s="2" t="s">
        <v>92</v>
      </c>
      <c r="B11" s="15" t="n">
        <f aca="false">E8-E5</f>
        <v>23.0117323985399</v>
      </c>
      <c r="C11" s="10" t="s">
        <v>93</v>
      </c>
    </row>
    <row r="12" customFormat="false" ht="15" hidden="false" customHeight="false" outlineLevel="0" collapsed="false">
      <c r="A12" s="2" t="s">
        <v>94</v>
      </c>
      <c r="B12" s="15" t="n">
        <f aca="false">G4-G5</f>
        <v>12.5294611690156</v>
      </c>
      <c r="C12" s="10" t="s">
        <v>95</v>
      </c>
    </row>
    <row r="13" customFormat="false" ht="15" hidden="false" customHeight="false" outlineLevel="0" collapsed="false">
      <c r="A13" s="2" t="s">
        <v>96</v>
      </c>
      <c r="B13" s="15" t="n">
        <f aca="false">G7-G8</f>
        <v>11.3937110555499</v>
      </c>
      <c r="C13" s="10" t="s">
        <v>97</v>
      </c>
    </row>
    <row r="14" customFormat="false" ht="15" hidden="false" customHeight="false" outlineLevel="0" collapsed="false">
      <c r="A14" s="2" t="s">
        <v>98</v>
      </c>
      <c r="B14" s="15" t="n">
        <f aca="false">E5-E4</f>
        <v>32.5294611690156</v>
      </c>
      <c r="C14" s="1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100</v>
      </c>
    </row>
    <row r="3" customFormat="false" ht="15" hidden="false" customHeight="false" outlineLevel="0" collapsed="false">
      <c r="A3" s="8" t="s">
        <v>17</v>
      </c>
      <c r="B3" s="8" t="s">
        <v>18</v>
      </c>
      <c r="C3" s="8" t="s">
        <v>56</v>
      </c>
    </row>
    <row r="4" customFormat="false" ht="15" hidden="false" customHeight="false" outlineLevel="0" collapsed="false">
      <c r="A4" s="2" t="s">
        <v>101</v>
      </c>
      <c r="B4" s="14" t="n">
        <f aca="false">Delta_a*Floor_F</f>
        <v>5.56991775654378</v>
      </c>
      <c r="C4" s="10" t="s">
        <v>102</v>
      </c>
    </row>
    <row r="5" customFormat="false" ht="15" hidden="false" customHeight="false" outlineLevel="0" collapsed="false">
      <c r="A5" s="2" t="s">
        <v>103</v>
      </c>
      <c r="B5" s="15" t="n">
        <f aca="false">Cost_k*B4</f>
        <v>22.2796710261751</v>
      </c>
      <c r="C5" s="10" t="s">
        <v>104</v>
      </c>
    </row>
    <row r="6" customFormat="false" ht="15" hidden="false" customHeight="false" outlineLevel="0" collapsed="false">
      <c r="A6" s="2" t="s">
        <v>105</v>
      </c>
      <c r="B6" s="15" t="n">
        <f aca="false">-B5/Rho_a</f>
        <v>-233.75961593941</v>
      </c>
      <c r="C6" s="10" t="s">
        <v>106</v>
      </c>
    </row>
    <row r="7" customFormat="false" ht="15" hidden="false" customHeight="false" outlineLevel="0" collapsed="false">
      <c r="A7" s="2" t="s">
        <v>107</v>
      </c>
      <c r="B7" s="14" t="n">
        <f aca="false">Rho_a*Cost_k</f>
        <v>0.3812407192173</v>
      </c>
      <c r="C7" s="10" t="s">
        <v>108</v>
      </c>
    </row>
    <row r="8" customFormat="false" ht="15" hidden="false" customHeight="false" outlineLevel="0" collapsed="false">
      <c r="A8" s="2" t="s">
        <v>109</v>
      </c>
      <c r="B8" s="14" t="n">
        <f aca="false">Delta_a*Cost_k</f>
        <v>0.405084927748638</v>
      </c>
      <c r="C8" s="10" t="s">
        <v>110</v>
      </c>
    </row>
    <row r="9" customFormat="false" ht="15" hidden="false" customHeight="false" outlineLevel="0" collapsed="false">
      <c r="A9" s="2" t="s">
        <v>111</v>
      </c>
      <c r="B9" s="14" t="n">
        <f aca="false">B7+B8</f>
        <v>0.786325646965938</v>
      </c>
      <c r="C9" s="10" t="s">
        <v>112</v>
      </c>
    </row>
    <row r="10" customFormat="false" ht="15" hidden="false" customHeight="false" outlineLevel="0" collapsed="false">
      <c r="A10" s="2" t="s">
        <v>113</v>
      </c>
      <c r="B10" s="18" t="n">
        <f aca="false">Rho_delta*Cost_k-B9</f>
        <v>0</v>
      </c>
      <c r="C10" s="10" t="s">
        <v>114</v>
      </c>
    </row>
    <row r="11" customFormat="false" ht="15" hidden="false" customHeight="false" outlineLevel="0" collapsed="false">
      <c r="A11" s="2" t="s">
        <v>115</v>
      </c>
      <c r="B11" s="15" t="n">
        <f aca="false">5*B9</f>
        <v>3.93162823482969</v>
      </c>
      <c r="C11" s="10" t="s">
        <v>116</v>
      </c>
    </row>
    <row r="13" customFormat="false" ht="15" hidden="false" customHeight="false" outlineLevel="0" collapsed="false">
      <c r="A13" s="1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36"/>
  </cols>
  <sheetData>
    <row r="1" customFormat="false" ht="1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8" t="s">
        <v>119</v>
      </c>
      <c r="B3" s="8" t="s">
        <v>120</v>
      </c>
      <c r="C3" s="8" t="s">
        <v>121</v>
      </c>
      <c r="D3" s="8" t="s">
        <v>122</v>
      </c>
      <c r="E3" s="8" t="s">
        <v>123</v>
      </c>
      <c r="F3" s="8" t="s">
        <v>56</v>
      </c>
    </row>
    <row r="4" customFormat="false" ht="15" hidden="false" customHeight="false" outlineLevel="0" collapsed="false">
      <c r="A4" s="19" t="n">
        <v>53</v>
      </c>
      <c r="B4" s="11" t="n">
        <f aca="false">IF(A4&lt;Floor_F,-(Cost_k*Ubar_a+Delay_D)*(1-EXP(-Rho_a*LN((Cap_top-A4)/(Cap_top-Floor_F))/Delta_a))/Rho_a+EXP(-Rho_a*LN((Cap_top-A4)/(Cap_top-Floor_F))/Delta_a)*(-Cost_k*Delta_a*Floor_F/Rho_a),EXP(-Rho_a*LN(A4/Floor_F)/Delta_a)*(-Cost_k*Delta_a*Floor_F/Rho_a))</f>
        <v>-254.892119102206</v>
      </c>
      <c r="C4" s="11" t="n">
        <f aca="false">IF(A4&lt;Floor_F,EXP(-Rho_a*LN((Cap_top-A4)/(Cap_top-Floor_F))/Delta_a)*(Cost_k*Ubar_a+Delay_D+Rho_a*(-Cost_k*Delta_a*Floor_F/Rho_a))/(Ubar_a-Delta_a*A4),IF(A4=Floor_F,Cost_k,EXP(-Rho_a*LN(A4/Floor_F)/Delta_a)*(-Rho_a*(-Cost_k*Delta_a*Floor_F/Rho_a))/(Delta_a*A4)))</f>
        <v>10.129670746202</v>
      </c>
      <c r="D4" s="11" t="n">
        <f aca="false">(IF((A4+0.0001)&lt;Floor_F,-(Cost_k*Ubar_a+Delay_D)*(1-EXP(-Rho_a*LN((Cap_top-(A4+0.0001))/(Cap_top-Floor_F))/Delta_a))/Rho_a+EXP(-Rho_a*LN((Cap_top-(A4+0.0001))/(Cap_top-Floor_F))/Delta_a)*(-Cost_k*Delta_a*Floor_F/Rho_a),EXP(-Rho_a*LN((A4+0.0001)/Floor_F)/Delta_a)*(-Cost_k*Delta_a*Floor_F/Rho_a))-IF((A4-0.0001)&lt;Floor_F,-(Cost_k*Ubar_a+Delay_D)*(1-EXP(-Rho_a*LN((Cap_top-(A4-0.0001))/(Cap_top-Floor_F))/Delta_a))/Rho_a+EXP(-Rho_a*LN((Cap_top-(A4-0.0001))/(Cap_top-Floor_F))/Delta_a)*(-Cost_k*Delta_a*Floor_F/Rho_a),EXP(-Rho_a*LN((A4-0.0001)/Floor_F)/Delta_a)*(-Cost_k*Delta_a*Floor_F/Rho_a)))/(2*0.0001)</f>
        <v>10.1296707468634</v>
      </c>
      <c r="E4" s="15" t="n">
        <f aca="false">C4/Cost_k</f>
        <v>2.5324176865505</v>
      </c>
      <c r="F4" s="10" t="s">
        <v>124</v>
      </c>
    </row>
    <row r="5" customFormat="false" ht="15" hidden="false" customHeight="false" outlineLevel="0" collapsed="false">
      <c r="A5" s="19" t="n">
        <v>54</v>
      </c>
      <c r="B5" s="11" t="n">
        <f aca="false">IF(A5&lt;Floor_F,-(Cost_k*Ubar_a+Delay_D)*(1-EXP(-Rho_a*LN((Cap_top-A5)/(Cap_top-Floor_F))/Delta_a))/Rho_a+EXP(-Rho_a*LN((Cap_top-A5)/(Cap_top-Floor_F))/Delta_a)*(-Cost_k*Delta_a*Floor_F/Rho_a),EXP(-Rho_a*LN(A5/Floor_F)/Delta_a)*(-Cost_k*Delta_a*Floor_F/Rho_a))</f>
        <v>-244.548809800479</v>
      </c>
      <c r="C5" s="11" t="n">
        <f aca="false">IF(A5&lt;Floor_F,EXP(-Rho_a*LN((Cap_top-A5)/(Cap_top-Floor_F))/Delta_a)*(Cost_k*Ubar_a+Delay_D+Rho_a*(-Cost_k*Delta_a*Floor_F/Rho_a))/(Ubar_a-Delta_a*A5),IF(A5=Floor_F,Cost_k,EXP(-Rho_a*LN(A5/Floor_F)/Delta_a)*(-Rho_a*(-Cost_k*Delta_a*Floor_F/Rho_a))/(Delta_a*A5)))</f>
        <v>10.56150008609</v>
      </c>
      <c r="D5" s="11" t="n">
        <f aca="false">(IF((A5+0.0001)&lt;Floor_F,-(Cost_k*Ubar_a+Delay_D)*(1-EXP(-Rho_a*LN((Cap_top-(A5+0.0001))/(Cap_top-Floor_F))/Delta_a))/Rho_a+EXP(-Rho_a*LN((Cap_top-(A5+0.0001))/(Cap_top-Floor_F))/Delta_a)*(-Cost_k*Delta_a*Floor_F/Rho_a),EXP(-Rho_a*LN((A5+0.0001)/Floor_F)/Delta_a)*(-Cost_k*Delta_a*Floor_F/Rho_a))-IF((A5-0.0001)&lt;Floor_F,-(Cost_k*Ubar_a+Delay_D)*(1-EXP(-Rho_a*LN((Cap_top-(A5-0.0001))/(Cap_top-Floor_F))/Delta_a))/Rho_a+EXP(-Rho_a*LN((Cap_top-(A5-0.0001))/(Cap_top-Floor_F))/Delta_a)*(-Cost_k*Delta_a*Floor_F/Rho_a),EXP(-Rho_a*LN((A5-0.0001)/Floor_F)/Delta_a)*(-Cost_k*Delta_a*Floor_F/Rho_a)))/(2*0.0001)</f>
        <v>10.5615000867942</v>
      </c>
      <c r="E5" s="15" t="n">
        <f aca="false">C5/Cost_k</f>
        <v>2.6403750215225</v>
      </c>
      <c r="F5" s="10"/>
    </row>
    <row r="6" customFormat="false" ht="15" hidden="false" customHeight="false" outlineLevel="0" collapsed="false">
      <c r="A6" s="19" t="n">
        <v>54.999</v>
      </c>
      <c r="B6" s="11" t="n">
        <f aca="false">IF(A6&lt;Floor_F,-(Cost_k*Ubar_a+Delay_D)*(1-EXP(-Rho_a*LN((Cap_top-A6)/(Cap_top-Floor_F))/Delta_a))/Rho_a+EXP(-Rho_a*LN((Cap_top-A6)/(Cap_top-Floor_F))/Delta_a)*(-Cost_k*Delta_a*Floor_F/Rho_a),EXP(-Rho_a*LN(A6/Floor_F)/Delta_a)*(-Cost_k*Delta_a*Floor_F/Rho_a))</f>
        <v>-233.770637548841</v>
      </c>
      <c r="C6" s="11" t="n">
        <f aca="false">IF(A6&lt;Floor_F,EXP(-Rho_a*LN((Cap_top-A6)/(Cap_top-Floor_F))/Delta_a)*(Cost_k*Ubar_a+Delay_D+Rho_a*(-Cost_k*Delta_a*Floor_F/Rho_a))/(Ubar_a-Delta_a*A6),IF(A6=Floor_F,Cost_k,EXP(-Rho_a*LN(A6/Floor_F)/Delta_a)*(-Rho_a*(-Cost_k*Delta_a*Floor_F/Rho_a))/(Delta_a*A6)))</f>
        <v>11.0213717203819</v>
      </c>
      <c r="D6" s="11" t="n">
        <f aca="false">(IF((A6+0.0001)&lt;Floor_F,-(Cost_k*Ubar_a+Delay_D)*(1-EXP(-Rho_a*LN((Cap_top-(A6+0.0001))/(Cap_top-Floor_F))/Delta_a))/Rho_a+EXP(-Rho_a*LN((Cap_top-(A6+0.0001))/(Cap_top-Floor_F))/Delta_a)*(-Cost_k*Delta_a*Floor_F/Rho_a),EXP(-Rho_a*LN((A6+0.0001)/Floor_F)/Delta_a)*(-Cost_k*Delta_a*Floor_F/Rho_a))-IF((A6-0.0001)&lt;Floor_F,-(Cost_k*Ubar_a+Delay_D)*(1-EXP(-Rho_a*LN((Cap_top-(A6-0.0001))/(Cap_top-Floor_F))/Delta_a))/Rho_a+EXP(-Rho_a*LN((Cap_top-(A6-0.0001))/(Cap_top-Floor_F))/Delta_a)*(-Cost_k*Delta_a*Floor_F/Rho_a),EXP(-Rho_a*LN((A6-0.0001)/Floor_F)/Delta_a)*(-Cost_k*Delta_a*Floor_F/Rho_a)))/(2*0.0001)</f>
        <v>11.0213717205454</v>
      </c>
      <c r="E6" s="15" t="n">
        <f aca="false">C6/Cost_k</f>
        <v>2.75534293009549</v>
      </c>
      <c r="F6" s="10" t="s">
        <v>125</v>
      </c>
    </row>
    <row r="7" customFormat="false" ht="15" hidden="false" customHeight="false" outlineLevel="0" collapsed="false">
      <c r="A7" s="19" t="n">
        <v>55</v>
      </c>
      <c r="B7" s="11" t="n">
        <f aca="false">IF(A7&lt;Floor_F,-(Cost_k*Ubar_a+Delay_D)*(1-EXP(-Rho_a*LN((Cap_top-A7)/(Cap_top-Floor_F))/Delta_a))/Rho_a+EXP(-Rho_a*LN((Cap_top-A7)/(Cap_top-Floor_F))/Delta_a)*(-Cost_k*Delta_a*Floor_F/Rho_a),EXP(-Rho_a*LN(A7/Floor_F)/Delta_a)*(-Cost_k*Delta_a*Floor_F/Rho_a))</f>
        <v>-233.75961593941</v>
      </c>
      <c r="C7" s="11" t="n">
        <f aca="false">IF(A7&lt;Floor_F,EXP(-Rho_a*LN((Cap_top-A7)/(Cap_top-Floor_F))/Delta_a)*(Cost_k*Ubar_a+Delay_D+Rho_a*(-Cost_k*Delta_a*Floor_F/Rho_a))/(Ubar_a-Delta_a*A7),IF(A7=Floor_F,Cost_k,EXP(-Rho_a*LN(A7/Floor_F)/Delta_a)*(-Rho_a*(-Cost_k*Delta_a*Floor_F/Rho_a))/(Delta_a*A7)))</f>
        <v>4</v>
      </c>
      <c r="E7" s="15" t="n">
        <f aca="false">C7/Cost_k</f>
        <v>1</v>
      </c>
      <c r="F7" s="10" t="s">
        <v>126</v>
      </c>
    </row>
    <row r="8" customFormat="false" ht="15" hidden="false" customHeight="false" outlineLevel="0" collapsed="false">
      <c r="A8" s="19" t="n">
        <v>56</v>
      </c>
      <c r="B8" s="11" t="n">
        <f aca="false">IF(A8&lt;Floor_F,-(Cost_k*Ubar_a+Delay_D)*(1-EXP(-Rho_a*LN((Cap_top-A8)/(Cap_top-Floor_F))/Delta_a))/Rho_a+EXP(-Rho_a*LN((Cap_top-A8)/(Cap_top-Floor_F))/Delta_a)*(-Cost_k*Delta_a*Floor_F/Rho_a),EXP(-Rho_a*LN(A8/Floor_F)/Delta_a)*(-Cost_k*Delta_a*Floor_F/Rho_a))</f>
        <v>-229.828966693359</v>
      </c>
      <c r="C8" s="11" t="n">
        <f aca="false">IF(A8&lt;Floor_F,EXP(-Rho_a*LN((Cap_top-A8)/(Cap_top-Floor_F))/Delta_a)*(Cost_k*Ubar_a+Delay_D+Rho_a*(-Cost_k*Delta_a*Floor_F/Rho_a))/(Ubar_a-Delta_a*A8),IF(A8=Floor_F,Cost_k,EXP(-Rho_a*LN(A8/Floor_F)/Delta_a)*(-Rho_a*(-Cost_k*Delta_a*Floor_F/Rho_a))/(Delta_a*A8)))</f>
        <v>3.86251281420506</v>
      </c>
      <c r="D8" s="11" t="n">
        <f aca="false">(IF((A8+0.0001)&lt;Floor_F,-(Cost_k*Ubar_a+Delay_D)*(1-EXP(-Rho_a*LN((Cap_top-(A8+0.0001))/(Cap_top-Floor_F))/Delta_a))/Rho_a+EXP(-Rho_a*LN((Cap_top-(A8+0.0001))/(Cap_top-Floor_F))/Delta_a)*(-Cost_k*Delta_a*Floor_F/Rho_a),EXP(-Rho_a*LN((A8+0.0001)/Floor_F)/Delta_a)*(-Cost_k*Delta_a*Floor_F/Rho_a))-IF((A8-0.0001)&lt;Floor_F,-(Cost_k*Ubar_a+Delay_D)*(1-EXP(-Rho_a*LN((Cap_top-(A8-0.0001))/(Cap_top-Floor_F))/Delta_a))/Rho_a+EXP(-Rho_a*LN((Cap_top-(A8-0.0001))/(Cap_top-Floor_F))/Delta_a)*(-Cost_k*Delta_a*Floor_F/Rho_a),EXP(-Rho_a*LN((A8-0.0001)/Floor_F)/Delta_a)*(-Cost_k*Delta_a*Floor_F/Rho_a)))/(2*0.0001)</f>
        <v>3.86251281440764</v>
      </c>
      <c r="E8" s="15" t="n">
        <f aca="false">C8/Cost_k</f>
        <v>0.965628203551266</v>
      </c>
      <c r="F8" s="10"/>
    </row>
    <row r="9" customFormat="false" ht="15" hidden="false" customHeight="false" outlineLevel="0" collapsed="false">
      <c r="A9" s="19" t="n">
        <v>58</v>
      </c>
      <c r="B9" s="11" t="n">
        <f aca="false">IF(A9&lt;Floor_F,-(Cost_k*Ubar_a+Delay_D)*(1-EXP(-Rho_a*LN((Cap_top-A9)/(Cap_top-Floor_F))/Delta_a))/Rho_a+EXP(-Rho_a*LN((Cap_top-A9)/(Cap_top-Floor_F))/Delta_a)*(-Cost_k*Delta_a*Floor_F/Rho_a),EXP(-Rho_a*LN(A9/Floor_F)/Delta_a)*(-Cost_k*Delta_a*Floor_F/Rho_a))</f>
        <v>-222.36265793319</v>
      </c>
      <c r="C9" s="11" t="n">
        <f aca="false">IF(A9&lt;Floor_F,EXP(-Rho_a*LN((Cap_top-A9)/(Cap_top-Floor_F))/Delta_a)*(Cost_k*Ubar_a+Delay_D+Rho_a*(-Cost_k*Delta_a*Floor_F/Rho_a))/(Ubar_a-Delta_a*A9),IF(A9=Floor_F,Cost_k,EXP(-Rho_a*LN(A9/Floor_F)/Delta_a)*(-Rho_a*(-Cost_k*Delta_a*Floor_F/Rho_a))/(Delta_a*A9)))</f>
        <v>3.60817056096118</v>
      </c>
      <c r="D9" s="11" t="n">
        <f aca="false">(IF((A9+0.0001)&lt;Floor_F,-(Cost_k*Ubar_a+Delay_D)*(1-EXP(-Rho_a*LN((Cap_top-(A9+0.0001))/(Cap_top-Floor_F))/Delta_a))/Rho_a+EXP(-Rho_a*LN((Cap_top-(A9+0.0001))/(Cap_top-Floor_F))/Delta_a)*(-Cost_k*Delta_a*Floor_F/Rho_a),EXP(-Rho_a*LN((A9+0.0001)/Floor_F)/Delta_a)*(-Cost_k*Delta_a*Floor_F/Rho_a))-IF((A9-0.0001)&lt;Floor_F,-(Cost_k*Ubar_a+Delay_D)*(1-EXP(-Rho_a*LN((Cap_top-(A9-0.0001))/(Cap_top-Floor_F))/Delta_a))/Rho_a+EXP(-Rho_a*LN((Cap_top-(A9-0.0001))/(Cap_top-Floor_F))/Delta_a)*(-Cost_k*Delta_a*Floor_F/Rho_a),EXP(-Rho_a*LN((A9-0.0001)/Floor_F)/Delta_a)*(-Cost_k*Delta_a*Floor_F/Rho_a)))/(2*0.0001)</f>
        <v>3.60817056119345</v>
      </c>
      <c r="E9" s="15" t="n">
        <f aca="false">C9/Cost_k</f>
        <v>0.902042640240294</v>
      </c>
      <c r="F9" s="10" t="s">
        <v>127</v>
      </c>
    </row>
    <row r="10" customFormat="false" ht="15" hidden="false" customHeight="false" outlineLevel="0" collapsed="false">
      <c r="A10" s="19" t="n">
        <v>60</v>
      </c>
      <c r="B10" s="11" t="n">
        <f aca="false">IF(A10&lt;Floor_F,-(Cost_k*Ubar_a+Delay_D)*(1-EXP(-Rho_a*LN((Cap_top-A10)/(Cap_top-Floor_F))/Delta_a))/Rho_a+EXP(-Rho_a*LN((Cap_top-A10)/(Cap_top-Floor_F))/Delta_a)*(-Cost_k*Delta_a*Floor_F/Rho_a),EXP(-Rho_a*LN(A10/Floor_F)/Delta_a)*(-Cost_k*Delta_a*Floor_F/Rho_a))</f>
        <v>-215.379936072815</v>
      </c>
      <c r="C10" s="11" t="n">
        <f aca="false">IF(A10&lt;Floor_F,EXP(-Rho_a*LN((Cap_top-A10)/(Cap_top-Floor_F))/Delta_a)*(Cost_k*Ubar_a+Delay_D+Rho_a*(-Cost_k*Delta_a*Floor_F/Rho_a))/(Ubar_a-Delta_a*A10),IF(A10=Floor_F,Cost_k,EXP(-Rho_a*LN(A10/Floor_F)/Delta_a)*(-Rho_a*(-Cost_k*Delta_a*Floor_F/Rho_a))/(Delta_a*A10)))</f>
        <v>3.37836982274852</v>
      </c>
      <c r="D10" s="11" t="n">
        <f aca="false">(IF((A10+0.0001)&lt;Floor_F,-(Cost_k*Ubar_a+Delay_D)*(1-EXP(-Rho_a*LN((Cap_top-(A10+0.0001))/(Cap_top-Floor_F))/Delta_a))/Rho_a+EXP(-Rho_a*LN((Cap_top-(A10+0.0001))/(Cap_top-Floor_F))/Delta_a)*(-Cost_k*Delta_a*Floor_F/Rho_a),EXP(-Rho_a*LN((A10+0.0001)/Floor_F)/Delta_a)*(-Cost_k*Delta_a*Floor_F/Rho_a))-IF((A10-0.0001)&lt;Floor_F,-(Cost_k*Ubar_a+Delay_D)*(1-EXP(-Rho_a*LN((Cap_top-(A10-0.0001))/(Cap_top-Floor_F))/Delta_a))/Rho_a+EXP(-Rho_a*LN((Cap_top-(A10-0.0001))/(Cap_top-Floor_F))/Delta_a)*(-Cost_k*Delta_a*Floor_F/Rho_a),EXP(-Rho_a*LN((A10-0.0001)/Floor_F)/Delta_a)*(-Cost_k*Delta_a*Floor_F/Rho_a)))/(2*0.0001)</f>
        <v>3.37836982282624</v>
      </c>
      <c r="E10" s="15" t="n">
        <f aca="false">C10/Cost_k</f>
        <v>0.84459245568713</v>
      </c>
      <c r="F10" s="10"/>
    </row>
    <row r="12" customFormat="false" ht="15" hidden="false" customHeight="false" outlineLevel="0" collapsed="false">
      <c r="A12" s="2" t="s">
        <v>128</v>
      </c>
      <c r="C12" s="14" t="n">
        <f aca="false">Cost_k+Delay_D/(Ubar_a-Delta_a*Floor_F)</f>
        <v>11.0218471475924</v>
      </c>
    </row>
    <row r="13" customFormat="false" ht="15" hidden="false" customHeight="false" outlineLevel="0" collapsed="false">
      <c r="A13" s="2" t="s">
        <v>129</v>
      </c>
      <c r="C13" s="14" t="n">
        <f aca="false">1/(Ubar_a-Delta_a*Floor_F)</f>
        <v>0.219432723362262</v>
      </c>
    </row>
    <row r="14" customFormat="false" ht="15" hidden="false" customHeight="false" outlineLevel="0" collapsed="false">
      <c r="A14" s="2" t="s">
        <v>130</v>
      </c>
      <c r="C14" s="14" t="n">
        <f aca="false">C4*EXP(Rho_delta*Tau_race)</f>
        <v>11.0218471475924</v>
      </c>
    </row>
    <row r="15" customFormat="false" ht="15" hidden="false" customHeight="false" outlineLevel="0" collapsed="false">
      <c r="A15" s="2" t="s">
        <v>131</v>
      </c>
      <c r="C15" s="14" t="n">
        <f aca="false">C9*EXP(Rho_delta*Tau_drift)</f>
        <v>4</v>
      </c>
    </row>
    <row r="16" customFormat="false" ht="15" hidden="false" customHeight="false" outlineLevel="0" collapsed="false">
      <c r="A16" s="2" t="s">
        <v>132</v>
      </c>
      <c r="C16" s="14" t="n">
        <f aca="false">Eta_floor*EXP(-Rho_delta*Tau_drift)/Rho_delta</f>
        <v>3.60817056096118</v>
      </c>
    </row>
    <row r="17" customFormat="false" ht="15" hidden="false" customHeight="false" outlineLevel="0" collapsed="false">
      <c r="A17" s="2" t="s">
        <v>98</v>
      </c>
      <c r="C17" s="15" t="n">
        <f aca="false">B9-B4</f>
        <v>32.5294611690157</v>
      </c>
    </row>
    <row r="19" customFormat="false" ht="15" hidden="false" customHeight="false" outlineLevel="0" collapsed="false">
      <c r="A19" s="10" t="s">
        <v>133</v>
      </c>
    </row>
    <row r="21" customFormat="false" ht="23.85" hidden="false" customHeight="false" outlineLevel="0" collapsed="false">
      <c r="A21" s="8" t="s">
        <v>134</v>
      </c>
      <c r="B21" s="8" t="s">
        <v>135</v>
      </c>
      <c r="C21" s="8" t="s">
        <v>136</v>
      </c>
      <c r="D21" s="8" t="s">
        <v>122</v>
      </c>
    </row>
    <row r="22" customFormat="false" ht="15" hidden="false" customHeight="false" outlineLevel="0" collapsed="false">
      <c r="A22" s="13" t="n">
        <v>50</v>
      </c>
      <c r="B22" s="15" t="n">
        <f aca="false">-IF(A22&lt;Floor_F,-(Cost_k*Ubar_a+Delay_D)*(1-EXP(-Rho_a*LN((Cap_top-A22)/(Cap_top-Floor_F))/Delta_a))/Rho_a+EXP(-Rho_a*LN((Cap_top-A22)/(Cap_top-Floor_F))/Delta_a)*(-Cost_k*Delta_a*Floor_F/Rho_a),EXP(-Rho_a*LN(A22/Floor_F)/Delta_a)*(-Cost_k*Delta_a*Floor_F/Rho_a))</f>
        <v>283.509336294407</v>
      </c>
      <c r="C22" s="15" t="n">
        <f aca="false">IF(A22&lt;Floor_F,EXP(-Rho_a*LN((Cap_top-A22)/(Cap_top-Floor_F))/Delta_a)*(Cost_k*Ubar_a+Delay_D+Rho_a*(-Cost_k*Delta_a*Floor_F/Rho_a))/(Ubar_a-Delta_a*A22),IF(A22=Floor_F,Cost_k,EXP(-Rho_a*LN(A22/Floor_F)/Delta_a)*(-Rho_a*(-Cost_k*Delta_a*Floor_F/Rho_a))/(Delta_a*A22)))</f>
        <v>8.9832356309568</v>
      </c>
      <c r="D22" s="15" t="n">
        <f aca="false">(IF((A22+0.0001)&lt;Floor_F,-(Cost_k*Ubar_a+Delay_D)*(1-EXP(-Rho_a*LN((Cap_top-(A22+0.0001))/(Cap_top-Floor_F))/Delta_a))/Rho_a+EXP(-Rho_a*LN((Cap_top-(A22+0.0001))/(Cap_top-Floor_F))/Delta_a)*(-Cost_k*Delta_a*Floor_F/Rho_a),EXP(-Rho_a*LN((A22+0.0001)/Floor_F)/Delta_a)*(-Cost_k*Delta_a*Floor_F/Rho_a))-IF((A22-0.0001)&lt;Floor_F,-(Cost_k*Ubar_a+Delay_D)*(1-EXP(-Rho_a*LN((Cap_top-(A22-0.0001))/(Cap_top-Floor_F))/Delta_a))/Rho_a+EXP(-Rho_a*LN((Cap_top-(A22-0.0001))/(Cap_top-Floor_F))/Delta_a)*(-Cost_k*Delta_a*Floor_F/Rho_a),EXP(-Rho_a*LN((A22-0.0001)/Floor_F)/Delta_a)*(-Cost_k*Delta_a*Floor_F/Rho_a)))/(2*0.0001)</f>
        <v>8.98323563092163</v>
      </c>
    </row>
    <row r="23" customFormat="false" ht="15" hidden="false" customHeight="false" outlineLevel="0" collapsed="false">
      <c r="A23" s="13" t="n">
        <v>50.25</v>
      </c>
      <c r="B23" s="15" t="n">
        <f aca="false">-IF(A23&lt;Floor_F,-(Cost_k*Ubar_a+Delay_D)*(1-EXP(-Rho_a*LN((Cap_top-A23)/(Cap_top-Floor_F))/Delta_a))/Rho_a+EXP(-Rho_a*LN((Cap_top-A23)/(Cap_top-Floor_F))/Delta_a)*(-Cost_k*Delta_a*Floor_F/Rho_a),EXP(-Rho_a*LN(A23/Floor_F)/Delta_a)*(-Cost_k*Delta_a*Floor_F/Rho_a))</f>
        <v>281.252575137408</v>
      </c>
      <c r="C23" s="15" t="n">
        <f aca="false">IF(A23&lt;Floor_F,EXP(-Rho_a*LN((Cap_top-A23)/(Cap_top-Floor_F))/Delta_a)*(Cost_k*Ubar_a+Delay_D+Rho_a*(-Cost_k*Delta_a*Floor_F/Rho_a))/(Ubar_a-Delta_a*A23),IF(A23=Floor_F,Cost_k,EXP(-Rho_a*LN(A23/Floor_F)/Delta_a)*(-Rho_a*(-Cost_k*Delta_a*Floor_F/Rho_a))/(Delta_a*A23)))</f>
        <v>9.07106944070782</v>
      </c>
      <c r="D23" s="15" t="n">
        <f aca="false">(IF((A23+0.0001)&lt;Floor_F,-(Cost_k*Ubar_a+Delay_D)*(1-EXP(-Rho_a*LN((Cap_top-(A23+0.0001))/(Cap_top-Floor_F))/Delta_a))/Rho_a+EXP(-Rho_a*LN((Cap_top-(A23+0.0001))/(Cap_top-Floor_F))/Delta_a)*(-Cost_k*Delta_a*Floor_F/Rho_a),EXP(-Rho_a*LN((A23+0.0001)/Floor_F)/Delta_a)*(-Cost_k*Delta_a*Floor_F/Rho_a))-IF((A23-0.0001)&lt;Floor_F,-(Cost_k*Ubar_a+Delay_D)*(1-EXP(-Rho_a*LN((Cap_top-(A23-0.0001))/(Cap_top-Floor_F))/Delta_a))/Rho_a+EXP(-Rho_a*LN((Cap_top-(A23-0.0001))/(Cap_top-Floor_F))/Delta_a)*(-Cost_k*Delta_a*Floor_F/Rho_a),EXP(-Rho_a*LN((A23-0.0001)/Floor_F)/Delta_a)*(-Cost_k*Delta_a*Floor_F/Rho_a)))/(2*0.0001)</f>
        <v>9.07106944140423</v>
      </c>
    </row>
    <row r="24" customFormat="false" ht="15" hidden="false" customHeight="false" outlineLevel="0" collapsed="false">
      <c r="A24" s="13" t="n">
        <v>50.5</v>
      </c>
      <c r="B24" s="15" t="n">
        <f aca="false">-IF(A24&lt;Floor_F,-(Cost_k*Ubar_a+Delay_D)*(1-EXP(-Rho_a*LN((Cap_top-A24)/(Cap_top-Floor_F))/Delta_a))/Rho_a+EXP(-Rho_a*LN((Cap_top-A24)/(Cap_top-Floor_F))/Delta_a)*(-Cost_k*Delta_a*Floor_F/Rho_a),EXP(-Rho_a*LN(A24/Floor_F)/Delta_a)*(-Cost_k*Delta_a*Floor_F/Rho_a))</f>
        <v>278.973692592374</v>
      </c>
      <c r="C24" s="15" t="n">
        <f aca="false">IF(A24&lt;Floor_F,EXP(-Rho_a*LN((Cap_top-A24)/(Cap_top-Floor_F))/Delta_a)*(Cost_k*Ubar_a+Delay_D+Rho_a*(-Cost_k*Delta_a*Floor_F/Rho_a))/(Ubar_a-Delta_a*A24),IF(A24=Floor_F,Cost_k,EXP(-Rho_a*LN(A24/Floor_F)/Delta_a)*(-Rho_a*(-Cost_k*Delta_a*Floor_F/Rho_a))/(Delta_a*A24)))</f>
        <v>9.16021105204132</v>
      </c>
      <c r="D24" s="15" t="n">
        <f aca="false">(IF((A24+0.0001)&lt;Floor_F,-(Cost_k*Ubar_a+Delay_D)*(1-EXP(-Rho_a*LN((Cap_top-(A24+0.0001))/(Cap_top-Floor_F))/Delta_a))/Rho_a+EXP(-Rho_a*LN((Cap_top-(A24+0.0001))/(Cap_top-Floor_F))/Delta_a)*(-Cost_k*Delta_a*Floor_F/Rho_a),EXP(-Rho_a*LN((A24+0.0001)/Floor_F)/Delta_a)*(-Cost_k*Delta_a*Floor_F/Rho_a))-IF((A24-0.0001)&lt;Floor_F,-(Cost_k*Ubar_a+Delay_D)*(1-EXP(-Rho_a*LN((Cap_top-(A24-0.0001))/(Cap_top-Floor_F))/Delta_a))/Rho_a+EXP(-Rho_a*LN((Cap_top-(A24-0.0001))/(Cap_top-Floor_F))/Delta_a)*(-Cost_k*Delta_a*Floor_F/Rho_a),EXP(-Rho_a*LN((A24-0.0001)/Floor_F)/Delta_a)*(-Cost_k*Delta_a*Floor_F/Rho_a)))/(2*0.0001)</f>
        <v>9.16021105240361</v>
      </c>
    </row>
    <row r="25" customFormat="false" ht="15" hidden="false" customHeight="false" outlineLevel="0" collapsed="false">
      <c r="A25" s="13" t="n">
        <v>50.75</v>
      </c>
      <c r="B25" s="15" t="n">
        <f aca="false">-IF(A25&lt;Floor_F,-(Cost_k*Ubar_a+Delay_D)*(1-EXP(-Rho_a*LN((Cap_top-A25)/(Cap_top-Floor_F))/Delta_a))/Rho_a+EXP(-Rho_a*LN((Cap_top-A25)/(Cap_top-Floor_F))/Delta_a)*(-Cost_k*Delta_a*Floor_F/Rho_a),EXP(-Rho_a*LN(A25/Floor_F)/Delta_a)*(-Cost_k*Delta_a*Floor_F/Rho_a))</f>
        <v>276.672358444265</v>
      </c>
      <c r="C25" s="15" t="n">
        <f aca="false">IF(A25&lt;Floor_F,EXP(-Rho_a*LN((Cap_top-A25)/(Cap_top-Floor_F))/Delta_a)*(Cost_k*Ubar_a+Delay_D+Rho_a*(-Cost_k*Delta_a*Floor_F/Rho_a))/(Ubar_a-Delta_a*A25),IF(A25=Floor_F,Cost_k,EXP(-Rho_a*LN(A25/Floor_F)/Delta_a)*(-Rho_a*(-Cost_k*Delta_a*Floor_F/Rho_a))/(Delta_a*A25)))</f>
        <v>9.25068669092745</v>
      </c>
      <c r="D25" s="15" t="n">
        <f aca="false">(IF((A25+0.0001)&lt;Floor_F,-(Cost_k*Ubar_a+Delay_D)*(1-EXP(-Rho_a*LN((Cap_top-(A25+0.0001))/(Cap_top-Floor_F))/Delta_a))/Rho_a+EXP(-Rho_a*LN((Cap_top-(A25+0.0001))/(Cap_top-Floor_F))/Delta_a)*(-Cost_k*Delta_a*Floor_F/Rho_a),EXP(-Rho_a*LN((A25+0.0001)/Floor_F)/Delta_a)*(-Cost_k*Delta_a*Floor_F/Rho_a))-IF((A25-0.0001)&lt;Floor_F,-(Cost_k*Ubar_a+Delay_D)*(1-EXP(-Rho_a*LN((Cap_top-(A25-0.0001))/(Cap_top-Floor_F))/Delta_a))/Rho_a+EXP(-Rho_a*LN((Cap_top-(A25-0.0001))/(Cap_top-Floor_F))/Delta_a)*(-Cost_k*Delta_a*Floor_F/Rho_a),EXP(-Rho_a*LN((A25-0.0001)/Floor_F)/Delta_a)*(-Cost_k*Delta_a*Floor_F/Rho_a)))/(2*0.0001)</f>
        <v>9.25068669175744</v>
      </c>
    </row>
    <row r="26" customFormat="false" ht="15" hidden="false" customHeight="false" outlineLevel="0" collapsed="false">
      <c r="A26" s="13" t="n">
        <v>51</v>
      </c>
      <c r="B26" s="15" t="n">
        <f aca="false">-IF(A26&lt;Floor_F,-(Cost_k*Ubar_a+Delay_D)*(1-EXP(-Rho_a*LN((Cap_top-A26)/(Cap_top-Floor_F))/Delta_a))/Rho_a+EXP(-Rho_a*LN((Cap_top-A26)/(Cap_top-Floor_F))/Delta_a)*(-Cost_k*Delta_a*Floor_F/Rho_a),EXP(-Rho_a*LN(A26/Floor_F)/Delta_a)*(-Cost_k*Delta_a*Floor_F/Rho_a))</f>
        <v>274.348235839119</v>
      </c>
      <c r="C26" s="15" t="n">
        <f aca="false">IF(A26&lt;Floor_F,EXP(-Rho_a*LN((Cap_top-A26)/(Cap_top-Floor_F))/Delta_a)*(Cost_k*Ubar_a+Delay_D+Rho_a*(-Cost_k*Delta_a*Floor_F/Rho_a))/(Ubar_a-Delta_a*A26),IF(A26=Floor_F,Cost_k,EXP(-Rho_a*LN(A26/Floor_F)/Delta_a)*(-Rho_a*(-Cost_k*Delta_a*Floor_F/Rho_a))/(Delta_a*A26)))</f>
        <v>9.34252324607325</v>
      </c>
      <c r="D26" s="15" t="n">
        <f aca="false">(IF((A26+0.0001)&lt;Floor_F,-(Cost_k*Ubar_a+Delay_D)*(1-EXP(-Rho_a*LN((Cap_top-(A26+0.0001))/(Cap_top-Floor_F))/Delta_a))/Rho_a+EXP(-Rho_a*LN((Cap_top-(A26+0.0001))/(Cap_top-Floor_F))/Delta_a)*(-Cost_k*Delta_a*Floor_F/Rho_a),EXP(-Rho_a*LN((A26+0.0001)/Floor_F)/Delta_a)*(-Cost_k*Delta_a*Floor_F/Rho_a))-IF((A26-0.0001)&lt;Floor_F,-(Cost_k*Ubar_a+Delay_D)*(1-EXP(-Rho_a*LN((Cap_top-(A26-0.0001))/(Cap_top-Floor_F))/Delta_a))/Rho_a+EXP(-Rho_a*LN((Cap_top-(A26-0.0001))/(Cap_top-Floor_F))/Delta_a)*(-Cost_k*Delta_a*Floor_F/Rho_a),EXP(-Rho_a*LN((A26-0.0001)/Floor_F)/Delta_a)*(-Cost_k*Delta_a*Floor_F/Rho_a)))/(2*0.0001)</f>
        <v>9.34252324640283</v>
      </c>
    </row>
    <row r="27" customFormat="false" ht="15" hidden="false" customHeight="false" outlineLevel="0" collapsed="false">
      <c r="A27" s="13" t="n">
        <v>51.25</v>
      </c>
      <c r="B27" s="15" t="n">
        <f aca="false">-IF(A27&lt;Floor_F,-(Cost_k*Ubar_a+Delay_D)*(1-EXP(-Rho_a*LN((Cap_top-A27)/(Cap_top-Floor_F))/Delta_a))/Rho_a+EXP(-Rho_a*LN((Cap_top-A27)/(Cap_top-Floor_F))/Delta_a)*(-Cost_k*Delta_a*Floor_F/Rho_a),EXP(-Rho_a*LN(A27/Floor_F)/Delta_a)*(-Cost_k*Delta_a*Floor_F/Rho_a))</f>
        <v>272.000981115855</v>
      </c>
      <c r="C27" s="15" t="n">
        <f aca="false">IF(A27&lt;Floor_F,EXP(-Rho_a*LN((Cap_top-A27)/(Cap_top-Floor_F))/Delta_a)*(Cost_k*Ubar_a+Delay_D+Rho_a*(-Cost_k*Delta_a*Floor_F/Rho_a))/(Ubar_a-Delta_a*A27),IF(A27=Floor_F,Cost_k,EXP(-Rho_a*LN(A27/Floor_F)/Delta_a)*(-Rho_a*(-Cost_k*Delta_a*Floor_F/Rho_a))/(Delta_a*A27)))</f>
        <v>9.43574828916307</v>
      </c>
      <c r="D27" s="15" t="n">
        <f aca="false">(IF((A27+0.0001)&lt;Floor_F,-(Cost_k*Ubar_a+Delay_D)*(1-EXP(-Rho_a*LN((Cap_top-(A27+0.0001))/(Cap_top-Floor_F))/Delta_a))/Rho_a+EXP(-Rho_a*LN((Cap_top-(A27+0.0001))/(Cap_top-Floor_F))/Delta_a)*(-Cost_k*Delta_a*Floor_F/Rho_a),EXP(-Rho_a*LN((A27+0.0001)/Floor_F)/Delta_a)*(-Cost_k*Delta_a*Floor_F/Rho_a))-IF((A27-0.0001)&lt;Floor_F,-(Cost_k*Ubar_a+Delay_D)*(1-EXP(-Rho_a*LN((Cap_top-(A27-0.0001))/(Cap_top-Floor_F))/Delta_a))/Rho_a+EXP(-Rho_a*LN((Cap_top-(A27-0.0001))/(Cap_top-Floor_F))/Delta_a)*(-Cost_k*Delta_a*Floor_F/Rho_a),EXP(-Rho_a*LN((A27-0.0001)/Floor_F)/Delta_a)*(-Cost_k*Delta_a*Floor_F/Rho_a)))/(2*0.0001)</f>
        <v>9.43574828994542</v>
      </c>
    </row>
    <row r="28" customFormat="false" ht="15" hidden="false" customHeight="false" outlineLevel="0" collapsed="false">
      <c r="A28" s="13" t="n">
        <v>51.5</v>
      </c>
      <c r="B28" s="15" t="n">
        <f aca="false">-IF(A28&lt;Floor_F,-(Cost_k*Ubar_a+Delay_D)*(1-EXP(-Rho_a*LN((Cap_top-A28)/(Cap_top-Floor_F))/Delta_a))/Rho_a+EXP(-Rho_a*LN((Cap_top-A28)/(Cap_top-Floor_F))/Delta_a)*(-Cost_k*Delta_a*Floor_F/Rho_a),EXP(-Rho_a*LN(A28/Floor_F)/Delta_a)*(-Cost_k*Delta_a*Floor_F/Rho_a))</f>
        <v>269.630243632922</v>
      </c>
      <c r="C28" s="15" t="n">
        <f aca="false">IF(A28&lt;Floor_F,EXP(-Rho_a*LN((Cap_top-A28)/(Cap_top-Floor_F))/Delta_a)*(Cost_k*Ubar_a+Delay_D+Rho_a*(-Cost_k*Delta_a*Floor_F/Rho_a))/(Ubar_a-Delta_a*A28),IF(A28=Floor_F,Cost_k,EXP(-Rho_a*LN(A28/Floor_F)/Delta_a)*(-Rho_a*(-Cost_k*Delta_a*Floor_F/Rho_a))/(Delta_a*A28)))</f>
        <v>9.53039009582497</v>
      </c>
      <c r="D28" s="15" t="n">
        <f aca="false">(IF((A28+0.0001)&lt;Floor_F,-(Cost_k*Ubar_a+Delay_D)*(1-EXP(-Rho_a*LN((Cap_top-(A28+0.0001))/(Cap_top-Floor_F))/Delta_a))/Rho_a+EXP(-Rho_a*LN((Cap_top-(A28+0.0001))/(Cap_top-Floor_F))/Delta_a)*(-Cost_k*Delta_a*Floor_F/Rho_a),EXP(-Rho_a*LN((A28+0.0001)/Floor_F)/Delta_a)*(-Cost_k*Delta_a*Floor_F/Rho_a))-IF((A28-0.0001)&lt;Floor_F,-(Cost_k*Ubar_a+Delay_D)*(1-EXP(-Rho_a*LN((Cap_top-(A28-0.0001))/(Cap_top-Floor_F))/Delta_a))/Rho_a+EXP(-Rho_a*LN((Cap_top-(A28-0.0001))/(Cap_top-Floor_F))/Delta_a)*(-Cost_k*Delta_a*Floor_F/Rho_a),EXP(-Rho_a*LN((A28-0.0001)/Floor_F)/Delta_a)*(-Cost_k*Delta_a*Floor_F/Rho_a)))/(2*0.0001)</f>
        <v>9.53039009658596</v>
      </c>
    </row>
    <row r="29" customFormat="false" ht="15" hidden="false" customHeight="false" outlineLevel="0" collapsed="false">
      <c r="A29" s="13" t="n">
        <v>51.75</v>
      </c>
      <c r="B29" s="15" t="n">
        <f aca="false">-IF(A29&lt;Floor_F,-(Cost_k*Ubar_a+Delay_D)*(1-EXP(-Rho_a*LN((Cap_top-A29)/(Cap_top-Floor_F))/Delta_a))/Rho_a+EXP(-Rho_a*LN((Cap_top-A29)/(Cap_top-Floor_F))/Delta_a)*(-Cost_k*Delta_a*Floor_F/Rho_a),EXP(-Rho_a*LN(A29/Floor_F)/Delta_a)*(-Cost_k*Delta_a*Floor_F/Rho_a))</f>
        <v>267.235665589615</v>
      </c>
      <c r="C29" s="15" t="n">
        <f aca="false">IF(A29&lt;Floor_F,EXP(-Rho_a*LN((Cap_top-A29)/(Cap_top-Floor_F))/Delta_a)*(Cost_k*Ubar_a+Delay_D+Rho_a*(-Cost_k*Delta_a*Floor_F/Rho_a))/(Ubar_a-Delta_a*A29),IF(A29=Floor_F,Cost_k,EXP(-Rho_a*LN(A29/Floor_F)/Delta_a)*(-Rho_a*(-Cost_k*Delta_a*Floor_F/Rho_a))/(Delta_a*A29)))</f>
        <v>9.62647766735284</v>
      </c>
      <c r="D29" s="15" t="n">
        <f aca="false">(IF((A29+0.0001)&lt;Floor_F,-(Cost_k*Ubar_a+Delay_D)*(1-EXP(-Rho_a*LN((Cap_top-(A29+0.0001))/(Cap_top-Floor_F))/Delta_a))/Rho_a+EXP(-Rho_a*LN((Cap_top-(A29+0.0001))/(Cap_top-Floor_F))/Delta_a)*(-Cost_k*Delta_a*Floor_F/Rho_a),EXP(-Rho_a*LN((A29+0.0001)/Floor_F)/Delta_a)*(-Cost_k*Delta_a*Floor_F/Rho_a))-IF((A29-0.0001)&lt;Floor_F,-(Cost_k*Ubar_a+Delay_D)*(1-EXP(-Rho_a*LN((Cap_top-(A29-0.0001))/(Cap_top-Floor_F))/Delta_a))/Rho_a+EXP(-Rho_a*LN((Cap_top-(A29-0.0001))/(Cap_top-Floor_F))/Delta_a)*(-Cost_k*Delta_a*Floor_F/Rho_a),EXP(-Rho_a*LN((A29-0.0001)/Floor_F)/Delta_a)*(-Cost_k*Delta_a*Floor_F/Rho_a)))/(2*0.0001)</f>
        <v>9.62647766755254</v>
      </c>
    </row>
    <row r="30" customFormat="false" ht="15" hidden="false" customHeight="false" outlineLevel="0" collapsed="false">
      <c r="A30" s="13" t="n">
        <v>52</v>
      </c>
      <c r="B30" s="15" t="n">
        <f aca="false">-IF(A30&lt;Floor_F,-(Cost_k*Ubar_a+Delay_D)*(1-EXP(-Rho_a*LN((Cap_top-A30)/(Cap_top-Floor_F))/Delta_a))/Rho_a+EXP(-Rho_a*LN((Cap_top-A30)/(Cap_top-Floor_F))/Delta_a)*(-Cost_k*Delta_a*Floor_F/Rho_a),EXP(-Rho_a*LN(A30/Floor_F)/Delta_a)*(-Cost_k*Delta_a*Floor_F/Rho_a))</f>
        <v>264.81688184186</v>
      </c>
      <c r="C30" s="15" t="n">
        <f aca="false">IF(A30&lt;Floor_F,EXP(-Rho_a*LN((Cap_top-A30)/(Cap_top-Floor_F))/Delta_a)*(Cost_k*Ubar_a+Delay_D+Rho_a*(-Cost_k*Delta_a*Floor_F/Rho_a))/(Ubar_a-Delta_a*A30),IF(A30=Floor_F,Cost_k,EXP(-Rho_a*LN(A30/Floor_F)/Delta_a)*(-Rho_a*(-Cost_k*Delta_a*Floor_F/Rho_a))/(Delta_a*A30)))</f>
        <v>9.72404075321592</v>
      </c>
      <c r="D30" s="15" t="n">
        <f aca="false">(IF((A30+0.0001)&lt;Floor_F,-(Cost_k*Ubar_a+Delay_D)*(1-EXP(-Rho_a*LN((Cap_top-(A30+0.0001))/(Cap_top-Floor_F))/Delta_a))/Rho_a+EXP(-Rho_a*LN((Cap_top-(A30+0.0001))/(Cap_top-Floor_F))/Delta_a)*(-Cost_k*Delta_a*Floor_F/Rho_a),EXP(-Rho_a*LN((A30+0.0001)/Floor_F)/Delta_a)*(-Cost_k*Delta_a*Floor_F/Rho_a))-IF((A30-0.0001)&lt;Floor_F,-(Cost_k*Ubar_a+Delay_D)*(1-EXP(-Rho_a*LN((Cap_top-(A30-0.0001))/(Cap_top-Floor_F))/Delta_a))/Rho_a+EXP(-Rho_a*LN((Cap_top-(A30-0.0001))/(Cap_top-Floor_F))/Delta_a)*(-Cost_k*Delta_a*Floor_F/Rho_a),EXP(-Rho_a*LN((A30-0.0001)/Floor_F)/Delta_a)*(-Cost_k*Delta_a*Floor_F/Rho_a)))/(2*0.0001)</f>
        <v>9.72404075326949</v>
      </c>
    </row>
    <row r="31" customFormat="false" ht="15" hidden="false" customHeight="false" outlineLevel="0" collapsed="false">
      <c r="A31" s="13" t="n">
        <v>52.25</v>
      </c>
      <c r="B31" s="15" t="n">
        <f aca="false">-IF(A31&lt;Floor_F,-(Cost_k*Ubar_a+Delay_D)*(1-EXP(-Rho_a*LN((Cap_top-A31)/(Cap_top-Floor_F))/Delta_a))/Rho_a+EXP(-Rho_a*LN((Cap_top-A31)/(Cap_top-Floor_F))/Delta_a)*(-Cost_k*Delta_a*Floor_F/Rho_a),EXP(-Rho_a*LN(A31/Floor_F)/Delta_a)*(-Cost_k*Delta_a*Floor_F/Rho_a))</f>
        <v>262.373519712274</v>
      </c>
      <c r="C31" s="15" t="n">
        <f aca="false">IF(A31&lt;Floor_F,EXP(-Rho_a*LN((Cap_top-A31)/(Cap_top-Floor_F))/Delta_a)*(Cost_k*Ubar_a+Delay_D+Rho_a*(-Cost_k*Delta_a*Floor_F/Rho_a))/(Ubar_a-Delta_a*A31),IF(A31=Floor_F,Cost_k,EXP(-Rho_a*LN(A31/Floor_F)/Delta_a)*(-Rho_a*(-Cost_k*Delta_a*Floor_F/Rho_a))/(Delta_a*A31)))</f>
        <v>9.82310987438819</v>
      </c>
      <c r="D31" s="15" t="n">
        <f aca="false">(IF((A31+0.0001)&lt;Floor_F,-(Cost_k*Ubar_a+Delay_D)*(1-EXP(-Rho_a*LN((Cap_top-(A31+0.0001))/(Cap_top-Floor_F))/Delta_a))/Rho_a+EXP(-Rho_a*LN((Cap_top-(A31+0.0001))/(Cap_top-Floor_F))/Delta_a)*(-Cost_k*Delta_a*Floor_F/Rho_a),EXP(-Rho_a*LN((A31+0.0001)/Floor_F)/Delta_a)*(-Cost_k*Delta_a*Floor_F/Rho_a))-IF((A31-0.0001)&lt;Floor_F,-(Cost_k*Ubar_a+Delay_D)*(1-EXP(-Rho_a*LN((Cap_top-(A31-0.0001))/(Cap_top-Floor_F))/Delta_a))/Rho_a+EXP(-Rho_a*LN((Cap_top-(A31-0.0001))/(Cap_top-Floor_F))/Delta_a)*(-Cost_k*Delta_a*Floor_F/Rho_a),EXP(-Rho_a*LN((A31-0.0001)/Floor_F)/Delta_a)*(-Cost_k*Delta_a*Floor_F/Rho_a)))/(2*0.0001)</f>
        <v>9.8231098743895</v>
      </c>
    </row>
    <row r="32" customFormat="false" ht="15" hidden="false" customHeight="false" outlineLevel="0" collapsed="false">
      <c r="A32" s="13" t="n">
        <v>52.5</v>
      </c>
      <c r="B32" s="15" t="n">
        <f aca="false">-IF(A32&lt;Floor_F,-(Cost_k*Ubar_a+Delay_D)*(1-EXP(-Rho_a*LN((Cap_top-A32)/(Cap_top-Floor_F))/Delta_a))/Rho_a+EXP(-Rho_a*LN((Cap_top-A32)/(Cap_top-Floor_F))/Delta_a)*(-Cost_k*Delta_a*Floor_F/Rho_a),EXP(-Rho_a*LN(A32/Floor_F)/Delta_a)*(-Cost_k*Delta_a*Floor_F/Rho_a))</f>
        <v>259.905198794282</v>
      </c>
      <c r="C32" s="15" t="n">
        <f aca="false">IF(A32&lt;Floor_F,EXP(-Rho_a*LN((Cap_top-A32)/(Cap_top-Floor_F))/Delta_a)*(Cost_k*Ubar_a+Delay_D+Rho_a*(-Cost_k*Delta_a*Floor_F/Rho_a))/(Ubar_a-Delta_a*A32),IF(A32=Floor_F,Cost_k,EXP(-Rho_a*LN(A32/Floor_F)/Delta_a)*(-Rho_a*(-Cost_k*Delta_a*Floor_F/Rho_a))/(Delta_a*A32)))</f>
        <v>9.92371634753221</v>
      </c>
      <c r="D32" s="15" t="n">
        <f aca="false">(IF((A32+0.0001)&lt;Floor_F,-(Cost_k*Ubar_a+Delay_D)*(1-EXP(-Rho_a*LN((Cap_top-(A32+0.0001))/(Cap_top-Floor_F))/Delta_a))/Rho_a+EXP(-Rho_a*LN((Cap_top-(A32+0.0001))/(Cap_top-Floor_F))/Delta_a)*(-Cost_k*Delta_a*Floor_F/Rho_a),EXP(-Rho_a*LN((A32+0.0001)/Floor_F)/Delta_a)*(-Cost_k*Delta_a*Floor_F/Rho_a))-IF((A32-0.0001)&lt;Floor_F,-(Cost_k*Ubar_a+Delay_D)*(1-EXP(-Rho_a*LN((Cap_top-(A32-0.0001))/(Cap_top-Floor_F))/Delta_a))/Rho_a+EXP(-Rho_a*LN((Cap_top-(A32-0.0001))/(Cap_top-Floor_F))/Delta_a)*(-Cost_k*Delta_a*Floor_F/Rho_a),EXP(-Rho_a*LN((A32-0.0001)/Floor_F)/Delta_a)*(-Cost_k*Delta_a*Floor_F/Rho_a)))/(2*0.0001)</f>
        <v>9.9237163473731</v>
      </c>
    </row>
    <row r="33" customFormat="false" ht="15" hidden="false" customHeight="false" outlineLevel="0" collapsed="false">
      <c r="A33" s="13" t="n">
        <v>52.75</v>
      </c>
      <c r="B33" s="15" t="n">
        <f aca="false">-IF(A33&lt;Floor_F,-(Cost_k*Ubar_a+Delay_D)*(1-EXP(-Rho_a*LN((Cap_top-A33)/(Cap_top-Floor_F))/Delta_a))/Rho_a+EXP(-Rho_a*LN((Cap_top-A33)/(Cap_top-Floor_F))/Delta_a)*(-Cost_k*Delta_a*Floor_F/Rho_a),EXP(-Rho_a*LN(A33/Floor_F)/Delta_a)*(-Cost_k*Delta_a*Floor_F/Rho_a))</f>
        <v>257.411530750077</v>
      </c>
      <c r="C33" s="15" t="n">
        <f aca="false">IF(A33&lt;Floor_F,EXP(-Rho_a*LN((Cap_top-A33)/(Cap_top-Floor_F))/Delta_a)*(Cost_k*Ubar_a+Delay_D+Rho_a*(-Cost_k*Delta_a*Floor_F/Rho_a))/(Ubar_a-Delta_a*A33),IF(A33=Floor_F,Cost_k,EXP(-Rho_a*LN(A33/Floor_F)/Delta_a)*(-Rho_a*(-Cost_k*Delta_a*Floor_F/Rho_a))/(Delta_a*A33)))</f>
        <v>10.0258923100733</v>
      </c>
      <c r="D33" s="15" t="n">
        <f aca="false">(IF((A33+0.0001)&lt;Floor_F,-(Cost_k*Ubar_a+Delay_D)*(1-EXP(-Rho_a*LN((Cap_top-(A33+0.0001))/(Cap_top-Floor_F))/Delta_a))/Rho_a+EXP(-Rho_a*LN((Cap_top-(A33+0.0001))/(Cap_top-Floor_F))/Delta_a)*(-Cost_k*Delta_a*Floor_F/Rho_a),EXP(-Rho_a*LN((A33+0.0001)/Floor_F)/Delta_a)*(-Cost_k*Delta_a*Floor_F/Rho_a))-IF((A33-0.0001)&lt;Floor_F,-(Cost_k*Ubar_a+Delay_D)*(1-EXP(-Rho_a*LN((Cap_top-(A33-0.0001))/(Cap_top-Floor_F))/Delta_a))/Rho_a+EXP(-Rho_a*LN((Cap_top-(A33-0.0001))/(Cap_top-Floor_F))/Delta_a)*(-Cost_k*Delta_a*Floor_F/Rho_a),EXP(-Rho_a*LN((A33-0.0001)/Floor_F)/Delta_a)*(-Cost_k*Delta_a*Floor_F/Rho_a)))/(2*0.0001)</f>
        <v>10.0258923103524</v>
      </c>
    </row>
    <row r="34" customFormat="false" ht="15" hidden="false" customHeight="false" outlineLevel="0" collapsed="false">
      <c r="A34" s="13" t="n">
        <v>53</v>
      </c>
      <c r="B34" s="15" t="n">
        <f aca="false">-IF(A34&lt;Floor_F,-(Cost_k*Ubar_a+Delay_D)*(1-EXP(-Rho_a*LN((Cap_top-A34)/(Cap_top-Floor_F))/Delta_a))/Rho_a+EXP(-Rho_a*LN((Cap_top-A34)/(Cap_top-Floor_F))/Delta_a)*(-Cost_k*Delta_a*Floor_F/Rho_a),EXP(-Rho_a*LN(A34/Floor_F)/Delta_a)*(-Cost_k*Delta_a*Floor_F/Rho_a))</f>
        <v>254.892119102206</v>
      </c>
      <c r="C34" s="15" t="n">
        <f aca="false">IF(A34&lt;Floor_F,EXP(-Rho_a*LN((Cap_top-A34)/(Cap_top-Floor_F))/Delta_a)*(Cost_k*Ubar_a+Delay_D+Rho_a*(-Cost_k*Delta_a*Floor_F/Rho_a))/(Ubar_a-Delta_a*A34),IF(A34=Floor_F,Cost_k,EXP(-Rho_a*LN(A34/Floor_F)/Delta_a)*(-Rho_a*(-Cost_k*Delta_a*Floor_F/Rho_a))/(Delta_a*A34)))</f>
        <v>10.129670746202</v>
      </c>
      <c r="D34" s="15" t="n">
        <f aca="false">(IF((A34+0.0001)&lt;Floor_F,-(Cost_k*Ubar_a+Delay_D)*(1-EXP(-Rho_a*LN((Cap_top-(A34+0.0001))/(Cap_top-Floor_F))/Delta_a))/Rho_a+EXP(-Rho_a*LN((Cap_top-(A34+0.0001))/(Cap_top-Floor_F))/Delta_a)*(-Cost_k*Delta_a*Floor_F/Rho_a),EXP(-Rho_a*LN((A34+0.0001)/Floor_F)/Delta_a)*(-Cost_k*Delta_a*Floor_F/Rho_a))-IF((A34-0.0001)&lt;Floor_F,-(Cost_k*Ubar_a+Delay_D)*(1-EXP(-Rho_a*LN((Cap_top-(A34-0.0001))/(Cap_top-Floor_F))/Delta_a))/Rho_a+EXP(-Rho_a*LN((Cap_top-(A34-0.0001))/(Cap_top-Floor_F))/Delta_a)*(-Cost_k*Delta_a*Floor_F/Rho_a),EXP(-Rho_a*LN((A34-0.0001)/Floor_F)/Delta_a)*(-Cost_k*Delta_a*Floor_F/Rho_a)))/(2*0.0001)</f>
        <v>10.1296707468634</v>
      </c>
    </row>
    <row r="35" customFormat="false" ht="15" hidden="false" customHeight="false" outlineLevel="0" collapsed="false">
      <c r="A35" s="13" t="n">
        <v>53.25</v>
      </c>
      <c r="B35" s="15" t="n">
        <f aca="false">-IF(A35&lt;Floor_F,-(Cost_k*Ubar_a+Delay_D)*(1-EXP(-Rho_a*LN((Cap_top-A35)/(Cap_top-Floor_F))/Delta_a))/Rho_a+EXP(-Rho_a*LN((Cap_top-A35)/(Cap_top-Floor_F))/Delta_a)*(-Cost_k*Delta_a*Floor_F/Rho_a),EXP(-Rho_a*LN(A35/Floor_F)/Delta_a)*(-Cost_k*Delta_a*Floor_F/Rho_a))</f>
        <v>252.346559018521</v>
      </c>
      <c r="C35" s="15" t="n">
        <f aca="false">IF(A35&lt;Floor_F,EXP(-Rho_a*LN((Cap_top-A35)/(Cap_top-Floor_F))/Delta_a)*(Cost_k*Ubar_a+Delay_D+Rho_a*(-Cost_k*Delta_a*Floor_F/Rho_a))/(Ubar_a-Delta_a*A35),IF(A35=Floor_F,Cost_k,EXP(-Rho_a*LN(A35/Floor_F)/Delta_a)*(-Rho_a*(-Cost_k*Delta_a*Floor_F/Rho_a))/(Delta_a*A35)))</f>
        <v>10.2350855138435</v>
      </c>
      <c r="D35" s="15" t="n">
        <f aca="false">(IF((A35+0.0001)&lt;Floor_F,-(Cost_k*Ubar_a+Delay_D)*(1-EXP(-Rho_a*LN((Cap_top-(A35+0.0001))/(Cap_top-Floor_F))/Delta_a))/Rho_a+EXP(-Rho_a*LN((Cap_top-(A35+0.0001))/(Cap_top-Floor_F))/Delta_a)*(-Cost_k*Delta_a*Floor_F/Rho_a),EXP(-Rho_a*LN((A35+0.0001)/Floor_F)/Delta_a)*(-Cost_k*Delta_a*Floor_F/Rho_a))-IF((A35-0.0001)&lt;Floor_F,-(Cost_k*Ubar_a+Delay_D)*(1-EXP(-Rho_a*LN((Cap_top-(A35-0.0001))/(Cap_top-Floor_F))/Delta_a))/Rho_a+EXP(-Rho_a*LN((Cap_top-(A35-0.0001))/(Cap_top-Floor_F))/Delta_a)*(-Cost_k*Delta_a*Floor_F/Rho_a),EXP(-Rho_a*LN((A35-0.0001)/Floor_F)/Delta_a)*(-Cost_k*Delta_a*Floor_F/Rho_a)))/(2*0.0001)</f>
        <v>10.2350855142674</v>
      </c>
    </row>
    <row r="36" customFormat="false" ht="15" hidden="false" customHeight="false" outlineLevel="0" collapsed="false">
      <c r="A36" s="13" t="n">
        <v>53.5</v>
      </c>
      <c r="B36" s="15" t="n">
        <f aca="false">-IF(A36&lt;Floor_F,-(Cost_k*Ubar_a+Delay_D)*(1-EXP(-Rho_a*LN((Cap_top-A36)/(Cap_top-Floor_F))/Delta_a))/Rho_a+EXP(-Rho_a*LN((Cap_top-A36)/(Cap_top-Floor_F))/Delta_a)*(-Cost_k*Delta_a*Floor_F/Rho_a),EXP(-Rho_a*LN(A36/Floor_F)/Delta_a)*(-Cost_k*Delta_a*Floor_F/Rho_a))</f>
        <v>249.774437090273</v>
      </c>
      <c r="C36" s="15" t="n">
        <f aca="false">IF(A36&lt;Floor_F,EXP(-Rho_a*LN((Cap_top-A36)/(Cap_top-Floor_F))/Delta_a)*(Cost_k*Ubar_a+Delay_D+Rho_a*(-Cost_k*Delta_a*Floor_F/Rho_a))/(Ubar_a-Delta_a*A36),IF(A36=Floor_F,Cost_k,EXP(-Rho_a*LN(A36/Floor_F)/Delta_a)*(-Rho_a*(-Cost_k*Delta_a*Floor_F/Rho_a))/(Delta_a*A36)))</f>
        <v>10.3421713726369</v>
      </c>
      <c r="D36" s="15" t="n">
        <f aca="false">(IF((A36+0.0001)&lt;Floor_F,-(Cost_k*Ubar_a+Delay_D)*(1-EXP(-Rho_a*LN((Cap_top-(A36+0.0001))/(Cap_top-Floor_F))/Delta_a))/Rho_a+EXP(-Rho_a*LN((Cap_top-(A36+0.0001))/(Cap_top-Floor_F))/Delta_a)*(-Cost_k*Delta_a*Floor_F/Rho_a),EXP(-Rho_a*LN((A36+0.0001)/Floor_F)/Delta_a)*(-Cost_k*Delta_a*Floor_F/Rho_a))-IF((A36-0.0001)&lt;Floor_F,-(Cost_k*Ubar_a+Delay_D)*(1-EXP(-Rho_a*LN((Cap_top-(A36-0.0001))/(Cap_top-Floor_F))/Delta_a))/Rho_a+EXP(-Rho_a*LN((Cap_top-(A36-0.0001))/(Cap_top-Floor_F))/Delta_a)*(-Cost_k*Delta_a*Floor_F/Rho_a),EXP(-Rho_a*LN((A36-0.0001)/Floor_F)/Delta_a)*(-Cost_k*Delta_a*Floor_F/Rho_a)))/(2*0.0001)</f>
        <v>10.3421713733098</v>
      </c>
    </row>
    <row r="37" customFormat="false" ht="15" hidden="false" customHeight="false" outlineLevel="0" collapsed="false">
      <c r="A37" s="13" t="n">
        <v>53.75</v>
      </c>
      <c r="B37" s="15" t="n">
        <f aca="false">-IF(A37&lt;Floor_F,-(Cost_k*Ubar_a+Delay_D)*(1-EXP(-Rho_a*LN((Cap_top-A37)/(Cap_top-Floor_F))/Delta_a))/Rho_a+EXP(-Rho_a*LN((Cap_top-A37)/(Cap_top-Floor_F))/Delta_a)*(-Cost_k*Delta_a*Floor_F/Rho_a),EXP(-Rho_a*LN(A37/Floor_F)/Delta_a)*(-Cost_k*Delta_a*Floor_F/Rho_a))</f>
        <v>247.175331103077</v>
      </c>
      <c r="C37" s="15" t="n">
        <f aca="false">IF(A37&lt;Floor_F,EXP(-Rho_a*LN((Cap_top-A37)/(Cap_top-Floor_F))/Delta_a)*(Cost_k*Ubar_a+Delay_D+Rho_a*(-Cost_k*Delta_a*Floor_F/Rho_a))/(Ubar_a-Delta_a*A37),IF(A37=Floor_F,Cost_k,EXP(-Rho_a*LN(A37/Floor_F)/Delta_a)*(-Rho_a*(-Cost_k*Delta_a*Floor_F/Rho_a))/(Delta_a*A37)))</f>
        <v>10.4509640129663</v>
      </c>
      <c r="D37" s="15" t="n">
        <f aca="false">(IF((A37+0.0001)&lt;Floor_F,-(Cost_k*Ubar_a+Delay_D)*(1-EXP(-Rho_a*LN((Cap_top-(A37+0.0001))/(Cap_top-Floor_F))/Delta_a))/Rho_a+EXP(-Rho_a*LN((Cap_top-(A37+0.0001))/(Cap_top-Floor_F))/Delta_a)*(-Cost_k*Delta_a*Floor_F/Rho_a),EXP(-Rho_a*LN((A37+0.0001)/Floor_F)/Delta_a)*(-Cost_k*Delta_a*Floor_F/Rho_a))-IF((A37-0.0001)&lt;Floor_F,-(Cost_k*Ubar_a+Delay_D)*(1-EXP(-Rho_a*LN((Cap_top-(A37-0.0001))/(Cap_top-Floor_F))/Delta_a))/Rho_a+EXP(-Rho_a*LN((Cap_top-(A37-0.0001))/(Cap_top-Floor_F))/Delta_a)*(-Cost_k*Delta_a*Floor_F/Rho_a),EXP(-Rho_a*LN((A37-0.0001)/Floor_F)/Delta_a)*(-Cost_k*Delta_a*Floor_F/Rho_a)))/(2*0.0001)</f>
        <v>10.4509640136996</v>
      </c>
    </row>
    <row r="38" customFormat="false" ht="15" hidden="false" customHeight="false" outlineLevel="0" collapsed="false">
      <c r="A38" s="13" t="n">
        <v>54</v>
      </c>
      <c r="B38" s="15" t="n">
        <f aca="false">-IF(A38&lt;Floor_F,-(Cost_k*Ubar_a+Delay_D)*(1-EXP(-Rho_a*LN((Cap_top-A38)/(Cap_top-Floor_F))/Delta_a))/Rho_a+EXP(-Rho_a*LN((Cap_top-A38)/(Cap_top-Floor_F))/Delta_a)*(-Cost_k*Delta_a*Floor_F/Rho_a),EXP(-Rho_a*LN(A38/Floor_F)/Delta_a)*(-Cost_k*Delta_a*Floor_F/Rho_a))</f>
        <v>244.548809800479</v>
      </c>
      <c r="C38" s="15" t="n">
        <f aca="false">IF(A38&lt;Floor_F,EXP(-Rho_a*LN((Cap_top-A38)/(Cap_top-Floor_F))/Delta_a)*(Cost_k*Ubar_a+Delay_D+Rho_a*(-Cost_k*Delta_a*Floor_F/Rho_a))/(Ubar_a-Delta_a*A38),IF(A38=Floor_F,Cost_k,EXP(-Rho_a*LN(A38/Floor_F)/Delta_a)*(-Rho_a*(-Cost_k*Delta_a*Floor_F/Rho_a))/(Delta_a*A38)))</f>
        <v>10.56150008609</v>
      </c>
      <c r="D38" s="15" t="n">
        <f aca="false">(IF((A38+0.0001)&lt;Floor_F,-(Cost_k*Ubar_a+Delay_D)*(1-EXP(-Rho_a*LN((Cap_top-(A38+0.0001))/(Cap_top-Floor_F))/Delta_a))/Rho_a+EXP(-Rho_a*LN((Cap_top-(A38+0.0001))/(Cap_top-Floor_F))/Delta_a)*(-Cost_k*Delta_a*Floor_F/Rho_a),EXP(-Rho_a*LN((A38+0.0001)/Floor_F)/Delta_a)*(-Cost_k*Delta_a*Floor_F/Rho_a))-IF((A38-0.0001)&lt;Floor_F,-(Cost_k*Ubar_a+Delay_D)*(1-EXP(-Rho_a*LN((Cap_top-(A38-0.0001))/(Cap_top-Floor_F))/Delta_a))/Rho_a+EXP(-Rho_a*LN((Cap_top-(A38-0.0001))/(Cap_top-Floor_F))/Delta_a)*(-Cost_k*Delta_a*Floor_F/Rho_a),EXP(-Rho_a*LN((A38-0.0001)/Floor_F)/Delta_a)*(-Cost_k*Delta_a*Floor_F/Rho_a)))/(2*0.0001)</f>
        <v>10.5615000867942</v>
      </c>
    </row>
    <row r="39" customFormat="false" ht="15" hidden="false" customHeight="false" outlineLevel="0" collapsed="false">
      <c r="A39" s="13" t="n">
        <v>54.25</v>
      </c>
      <c r="B39" s="15" t="n">
        <f aca="false">-IF(A39&lt;Floor_F,-(Cost_k*Ubar_a+Delay_D)*(1-EXP(-Rho_a*LN((Cap_top-A39)/(Cap_top-Floor_F))/Delta_a))/Rho_a+EXP(-Rho_a*LN((Cap_top-A39)/(Cap_top-Floor_F))/Delta_a)*(-Cost_k*Delta_a*Floor_F/Rho_a),EXP(-Rho_a*LN(A39/Floor_F)/Delta_a)*(-Cost_k*Delta_a*Floor_F/Rho_a))</f>
        <v>241.894432639861</v>
      </c>
      <c r="C39" s="15" t="n">
        <f aca="false">IF(A39&lt;Floor_F,EXP(-Rho_a*LN((Cap_top-A39)/(Cap_top-Floor_F))/Delta_a)*(Cost_k*Ubar_a+Delay_D+Rho_a*(-Cost_k*Delta_a*Floor_F/Rho_a))/(Ubar_a-Delta_a*A39),IF(A39=Floor_F,Cost_k,EXP(-Rho_a*LN(A39/Floor_F)/Delta_a)*(-Rho_a*(-Cost_k*Delta_a*Floor_F/Rho_a))/(Delta_a*A39)))</f>
        <v>10.6738172354153</v>
      </c>
      <c r="D39" s="15" t="n">
        <f aca="false">(IF((A39+0.0001)&lt;Floor_F,-(Cost_k*Ubar_a+Delay_D)*(1-EXP(-Rho_a*LN((Cap_top-(A39+0.0001))/(Cap_top-Floor_F))/Delta_a))/Rho_a+EXP(-Rho_a*LN((Cap_top-(A39+0.0001))/(Cap_top-Floor_F))/Delta_a)*(-Cost_k*Delta_a*Floor_F/Rho_a),EXP(-Rho_a*LN((A39+0.0001)/Floor_F)/Delta_a)*(-Cost_k*Delta_a*Floor_F/Rho_a))-IF((A39-0.0001)&lt;Floor_F,-(Cost_k*Ubar_a+Delay_D)*(1-EXP(-Rho_a*LN((Cap_top-(A39-0.0001))/(Cap_top-Floor_F))/Delta_a))/Rho_a+EXP(-Rho_a*LN((Cap_top-(A39-0.0001))/(Cap_top-Floor_F))/Delta_a)*(-Cost_k*Delta_a*Floor_F/Rho_a),EXP(-Rho_a*LN((A39-0.0001)/Floor_F)/Delta_a)*(-Cost_k*Delta_a*Floor_F/Rho_a)))/(2*0.0001)</f>
        <v>10.6738172361531</v>
      </c>
    </row>
    <row r="40" customFormat="false" ht="15" hidden="false" customHeight="false" outlineLevel="0" collapsed="false">
      <c r="A40" s="13" t="n">
        <v>54.5</v>
      </c>
      <c r="B40" s="15" t="n">
        <f aca="false">-IF(A40&lt;Floor_F,-(Cost_k*Ubar_a+Delay_D)*(1-EXP(-Rho_a*LN((Cap_top-A40)/(Cap_top-Floor_F))/Delta_a))/Rho_a+EXP(-Rho_a*LN((Cap_top-A40)/(Cap_top-Floor_F))/Delta_a)*(-Cost_k*Delta_a*Floor_F/Rho_a),EXP(-Rho_a*LN(A40/Floor_F)/Delta_a)*(-Cost_k*Delta_a*Floor_F/Rho_a))</f>
        <v>239.211749540359</v>
      </c>
      <c r="C40" s="15" t="n">
        <f aca="false">IF(A40&lt;Floor_F,EXP(-Rho_a*LN((Cap_top-A40)/(Cap_top-Floor_F))/Delta_a)*(Cost_k*Ubar_a+Delay_D+Rho_a*(-Cost_k*Delta_a*Floor_F/Rho_a))/(Ubar_a-Delta_a*A40),IF(A40=Floor_F,Cost_k,EXP(-Rho_a*LN(A40/Floor_F)/Delta_a)*(-Rho_a*(-Cost_k*Delta_a*Floor_F/Rho_a))/(Delta_a*A40)))</f>
        <v>10.7879541289695</v>
      </c>
      <c r="D40" s="15" t="n">
        <f aca="false">(IF((A40+0.0001)&lt;Floor_F,-(Cost_k*Ubar_a+Delay_D)*(1-EXP(-Rho_a*LN((Cap_top-(A40+0.0001))/(Cap_top-Floor_F))/Delta_a))/Rho_a+EXP(-Rho_a*LN((Cap_top-(A40+0.0001))/(Cap_top-Floor_F))/Delta_a)*(-Cost_k*Delta_a*Floor_F/Rho_a),EXP(-Rho_a*LN((A40+0.0001)/Floor_F)/Delta_a)*(-Cost_k*Delta_a*Floor_F/Rho_a))-IF((A40-0.0001)&lt;Floor_F,-(Cost_k*Ubar_a+Delay_D)*(1-EXP(-Rho_a*LN((Cap_top-(A40-0.0001))/(Cap_top-Floor_F))/Delta_a))/Rho_a+EXP(-Rho_a*LN((Cap_top-(A40-0.0001))/(Cap_top-Floor_F))/Delta_a)*(-Cost_k*Delta_a*Floor_F/Rho_a),EXP(-Rho_a*LN((A40-0.0001)/Floor_F)/Delta_a)*(-Cost_k*Delta_a*Floor_F/Rho_a)))/(2*0.0001)</f>
        <v>10.7879541288014</v>
      </c>
    </row>
    <row r="41" customFormat="false" ht="15" hidden="false" customHeight="false" outlineLevel="0" collapsed="false">
      <c r="A41" s="13" t="n">
        <v>54.75</v>
      </c>
      <c r="B41" s="15" t="n">
        <f aca="false">-IF(A41&lt;Floor_F,-(Cost_k*Ubar_a+Delay_D)*(1-EXP(-Rho_a*LN((Cap_top-A41)/(Cap_top-Floor_F))/Delta_a))/Rho_a+EXP(-Rho_a*LN((Cap_top-A41)/(Cap_top-Floor_F))/Delta_a)*(-Cost_k*Delta_a*Floor_F/Rho_a),EXP(-Rho_a*LN(A41/Floor_F)/Delta_a)*(-Cost_k*Delta_a*Floor_F/Rho_a))</f>
        <v>236.50030062253</v>
      </c>
      <c r="C41" s="15" t="n">
        <f aca="false">IF(A41&lt;Floor_F,EXP(-Rho_a*LN((Cap_top-A41)/(Cap_top-Floor_F))/Delta_a)*(Cost_k*Ubar_a+Delay_D+Rho_a*(-Cost_k*Delta_a*Floor_F/Rho_a))/(Ubar_a-Delta_a*A41),IF(A41=Floor_F,Cost_k,EXP(-Rho_a*LN(A41/Floor_F)/Delta_a)*(-Rho_a*(-Cost_k*Delta_a*Floor_F/Rho_a))/(Delta_a*A41)))</f>
        <v>10.9039504931191</v>
      </c>
      <c r="D41" s="15" t="n">
        <f aca="false">(IF((A41+0.0001)&lt;Floor_F,-(Cost_k*Ubar_a+Delay_D)*(1-EXP(-Rho_a*LN((Cap_top-(A41+0.0001))/(Cap_top-Floor_F))/Delta_a))/Rho_a+EXP(-Rho_a*LN((Cap_top-(A41+0.0001))/(Cap_top-Floor_F))/Delta_a)*(-Cost_k*Delta_a*Floor_F/Rho_a),EXP(-Rho_a*LN((A41+0.0001)/Floor_F)/Delta_a)*(-Cost_k*Delta_a*Floor_F/Rho_a))-IF((A41-0.0001)&lt;Floor_F,-(Cost_k*Ubar_a+Delay_D)*(1-EXP(-Rho_a*LN((Cap_top-(A41-0.0001))/(Cap_top-Floor_F))/Delta_a))/Rho_a+EXP(-Rho_a*LN((Cap_top-(A41-0.0001))/(Cap_top-Floor_F))/Delta_a)*(-Cost_k*Delta_a*Floor_F/Rho_a),EXP(-Rho_a*LN((A41-0.0001)/Floor_F)/Delta_a)*(-Cost_k*Delta_a*Floor_F/Rho_a)))/(2*0.0001)</f>
        <v>10.9039504933151</v>
      </c>
    </row>
    <row r="42" customFormat="false" ht="15" hidden="false" customHeight="false" outlineLevel="0" collapsed="false">
      <c r="A42" s="13" t="n">
        <v>55</v>
      </c>
      <c r="B42" s="15" t="n">
        <f aca="false">-IF(A42&lt;Floor_F,-(Cost_k*Ubar_a+Delay_D)*(1-EXP(-Rho_a*LN((Cap_top-A42)/(Cap_top-Floor_F))/Delta_a))/Rho_a+EXP(-Rho_a*LN((Cap_top-A42)/(Cap_top-Floor_F))/Delta_a)*(-Cost_k*Delta_a*Floor_F/Rho_a),EXP(-Rho_a*LN(A42/Floor_F)/Delta_a)*(-Cost_k*Delta_a*Floor_F/Rho_a))</f>
        <v>233.75961593941</v>
      </c>
      <c r="C42" s="15" t="n">
        <f aca="false">IF(A42&lt;Floor_F,EXP(-Rho_a*LN((Cap_top-A42)/(Cap_top-Floor_F))/Delta_a)*(Cost_k*Ubar_a+Delay_D+Rho_a*(-Cost_k*Delta_a*Floor_F/Rho_a))/(Ubar_a-Delta_a*A42),IF(A42=Floor_F,Cost_k,EXP(-Rho_a*LN(A42/Floor_F)/Delta_a)*(-Rho_a*(-Cost_k*Delta_a*Floor_F/Rho_a))/(Delta_a*A42)))</f>
        <v>4</v>
      </c>
    </row>
    <row r="43" customFormat="false" ht="15" hidden="false" customHeight="false" outlineLevel="0" collapsed="false">
      <c r="A43" s="13" t="n">
        <v>55.25</v>
      </c>
      <c r="B43" s="15" t="n">
        <f aca="false">-IF(A43&lt;Floor_F,-(Cost_k*Ubar_a+Delay_D)*(1-EXP(-Rho_a*LN((Cap_top-A43)/(Cap_top-Floor_F))/Delta_a))/Rho_a+EXP(-Rho_a*LN((Cap_top-A43)/(Cap_top-Floor_F))/Delta_a)*(-Cost_k*Delta_a*Floor_F/Rho_a),EXP(-Rho_a*LN(A43/Floor_F)/Delta_a)*(-Cost_k*Delta_a*Floor_F/Rho_a))</f>
        <v>232.764008044158</v>
      </c>
      <c r="C43" s="15" t="n">
        <f aca="false">IF(A43&lt;Floor_F,EXP(-Rho_a*LN((Cap_top-A43)/(Cap_top-Floor_F))/Delta_a)*(Cost_k*Ubar_a+Delay_D+Rho_a*(-Cost_k*Delta_a*Floor_F/Rho_a))/(Ubar_a-Delta_a*A43),IF(A43=Floor_F,Cost_k,EXP(-Rho_a*LN(A43/Floor_F)/Delta_a)*(-Rho_a*(-Cost_k*Delta_a*Floor_F/Rho_a))/(Delta_a*A43)))</f>
        <v>3.96494110083732</v>
      </c>
      <c r="D43" s="15" t="n">
        <f aca="false">(IF((A43+0.0001)&lt;Floor_F,-(Cost_k*Ubar_a+Delay_D)*(1-EXP(-Rho_a*LN((Cap_top-(A43+0.0001))/(Cap_top-Floor_F))/Delta_a))/Rho_a+EXP(-Rho_a*LN((Cap_top-(A43+0.0001))/(Cap_top-Floor_F))/Delta_a)*(-Cost_k*Delta_a*Floor_F/Rho_a),EXP(-Rho_a*LN((A43+0.0001)/Floor_F)/Delta_a)*(-Cost_k*Delta_a*Floor_F/Rho_a))-IF((A43-0.0001)&lt;Floor_F,-(Cost_k*Ubar_a+Delay_D)*(1-EXP(-Rho_a*LN((Cap_top-(A43-0.0001))/(Cap_top-Floor_F))/Delta_a))/Rho_a+EXP(-Rho_a*LN((Cap_top-(A43-0.0001))/(Cap_top-Floor_F))/Delta_a)*(-Cost_k*Delta_a*Floor_F/Rho_a),EXP(-Rho_a*LN((A43-0.0001)/Floor_F)/Delta_a)*(-Cost_k*Delta_a*Floor_F/Rho_a)))/(2*0.0001)</f>
        <v>3.96494110106005</v>
      </c>
    </row>
    <row r="44" customFormat="false" ht="15" hidden="false" customHeight="false" outlineLevel="0" collapsed="false">
      <c r="A44" s="13" t="n">
        <v>55.5</v>
      </c>
      <c r="B44" s="15" t="n">
        <f aca="false">-IF(A44&lt;Floor_F,-(Cost_k*Ubar_a+Delay_D)*(1-EXP(-Rho_a*LN((Cap_top-A44)/(Cap_top-Floor_F))/Delta_a))/Rho_a+EXP(-Rho_a*LN((Cap_top-A44)/(Cap_top-Floor_F))/Delta_a)*(-Cost_k*Delta_a*Floor_F/Rho_a),EXP(-Rho_a*LN(A44/Floor_F)/Delta_a)*(-Cost_k*Delta_a*Floor_F/Rho_a))</f>
        <v>231.777106765518</v>
      </c>
      <c r="C44" s="15" t="n">
        <f aca="false">IF(A44&lt;Floor_F,EXP(-Rho_a*LN((Cap_top-A44)/(Cap_top-Floor_F))/Delta_a)*(Cost_k*Ubar_a+Delay_D+Rho_a*(-Cost_k*Delta_a*Floor_F/Rho_a))/(Ubar_a-Delta_a*A44),IF(A44=Floor_F,Cost_k,EXP(-Rho_a*LN(A44/Floor_F)/Delta_a)*(-Rho_a*(-Cost_k*Delta_a*Floor_F/Rho_a))/(Delta_a*A44)))</f>
        <v>3.93034568951585</v>
      </c>
      <c r="D44" s="15" t="n">
        <f aca="false">(IF((A44+0.0001)&lt;Floor_F,-(Cost_k*Ubar_a+Delay_D)*(1-EXP(-Rho_a*LN((Cap_top-(A44+0.0001))/(Cap_top-Floor_F))/Delta_a))/Rho_a+EXP(-Rho_a*LN((Cap_top-(A44+0.0001))/(Cap_top-Floor_F))/Delta_a)*(-Cost_k*Delta_a*Floor_F/Rho_a),EXP(-Rho_a*LN((A44+0.0001)/Floor_F)/Delta_a)*(-Cost_k*Delta_a*Floor_F/Rho_a))-IF((A44-0.0001)&lt;Floor_F,-(Cost_k*Ubar_a+Delay_D)*(1-EXP(-Rho_a*LN((Cap_top-(A44-0.0001))/(Cap_top-Floor_F))/Delta_a))/Rho_a+EXP(-Rho_a*LN((Cap_top-(A44-0.0001))/(Cap_top-Floor_F))/Delta_a)*(-Cost_k*Delta_a*Floor_F/Rho_a),EXP(-Rho_a*LN((A44-0.0001)/Floor_F)/Delta_a)*(-Cost_k*Delta_a*Floor_F/Rho_a)))/(2*0.0001)</f>
        <v>3.93034568958228</v>
      </c>
    </row>
    <row r="45" customFormat="false" ht="15" hidden="false" customHeight="false" outlineLevel="0" collapsed="false">
      <c r="A45" s="13" t="n">
        <v>55.75</v>
      </c>
      <c r="B45" s="15" t="n">
        <f aca="false">-IF(A45&lt;Floor_F,-(Cost_k*Ubar_a+Delay_D)*(1-EXP(-Rho_a*LN((Cap_top-A45)/(Cap_top-Floor_F))/Delta_a))/Rho_a+EXP(-Rho_a*LN((Cap_top-A45)/(Cap_top-Floor_F))/Delta_a)*(-Cost_k*Delta_a*Floor_F/Rho_a),EXP(-Rho_a*LN(A45/Floor_F)/Delta_a)*(-Cost_k*Delta_a*Floor_F/Rho_a))</f>
        <v>230.798797257082</v>
      </c>
      <c r="C45" s="15" t="n">
        <f aca="false">IF(A45&lt;Floor_F,EXP(-Rho_a*LN((Cap_top-A45)/(Cap_top-Floor_F))/Delta_a)*(Cost_k*Ubar_a+Delay_D+Rho_a*(-Cost_k*Delta_a*Floor_F/Rho_a))/(Ubar_a-Delta_a*A45),IF(A45=Floor_F,Cost_k,EXP(-Rho_a*LN(A45/Floor_F)/Delta_a)*(-Rho_a*(-Cost_k*Delta_a*Floor_F/Rho_a))/(Delta_a*A45)))</f>
        <v>3.89620559200563</v>
      </c>
      <c r="D45" s="15" t="n">
        <f aca="false">(IF((A45+0.0001)&lt;Floor_F,-(Cost_k*Ubar_a+Delay_D)*(1-EXP(-Rho_a*LN((Cap_top-(A45+0.0001))/(Cap_top-Floor_F))/Delta_a))/Rho_a+EXP(-Rho_a*LN((Cap_top-(A45+0.0001))/(Cap_top-Floor_F))/Delta_a)*(-Cost_k*Delta_a*Floor_F/Rho_a),EXP(-Rho_a*LN((A45+0.0001)/Floor_F)/Delta_a)*(-Cost_k*Delta_a*Floor_F/Rho_a))-IF((A45-0.0001)&lt;Floor_F,-(Cost_k*Ubar_a+Delay_D)*(1-EXP(-Rho_a*LN((Cap_top-(A45-0.0001))/(Cap_top-Floor_F))/Delta_a))/Rho_a+EXP(-Rho_a*LN((Cap_top-(A45-0.0001))/(Cap_top-Floor_F))/Delta_a)*(-Cost_k*Delta_a*Floor_F/Rho_a),EXP(-Rho_a*LN((A45-0.0001)/Floor_F)/Delta_a)*(-Cost_k*Delta_a*Floor_F/Rho_a)))/(2*0.0001)</f>
        <v>3.89620559204218</v>
      </c>
    </row>
    <row r="46" customFormat="false" ht="15" hidden="false" customHeight="false" outlineLevel="0" collapsed="false">
      <c r="A46" s="13" t="n">
        <v>56</v>
      </c>
      <c r="B46" s="15" t="n">
        <f aca="false">-IF(A46&lt;Floor_F,-(Cost_k*Ubar_a+Delay_D)*(1-EXP(-Rho_a*LN((Cap_top-A46)/(Cap_top-Floor_F))/Delta_a))/Rho_a+EXP(-Rho_a*LN((Cap_top-A46)/(Cap_top-Floor_F))/Delta_a)*(-Cost_k*Delta_a*Floor_F/Rho_a),EXP(-Rho_a*LN(A46/Floor_F)/Delta_a)*(-Cost_k*Delta_a*Floor_F/Rho_a))</f>
        <v>229.828966693359</v>
      </c>
      <c r="C46" s="15" t="n">
        <f aca="false">IF(A46&lt;Floor_F,EXP(-Rho_a*LN((Cap_top-A46)/(Cap_top-Floor_F))/Delta_a)*(Cost_k*Ubar_a+Delay_D+Rho_a*(-Cost_k*Delta_a*Floor_F/Rho_a))/(Ubar_a-Delta_a*A46),IF(A46=Floor_F,Cost_k,EXP(-Rho_a*LN(A46/Floor_F)/Delta_a)*(-Rho_a*(-Cost_k*Delta_a*Floor_F/Rho_a))/(Delta_a*A46)))</f>
        <v>3.86251281420506</v>
      </c>
      <c r="D46" s="15" t="n">
        <f aca="false">(IF((A46+0.0001)&lt;Floor_F,-(Cost_k*Ubar_a+Delay_D)*(1-EXP(-Rho_a*LN((Cap_top-(A46+0.0001))/(Cap_top-Floor_F))/Delta_a))/Rho_a+EXP(-Rho_a*LN((Cap_top-(A46+0.0001))/(Cap_top-Floor_F))/Delta_a)*(-Cost_k*Delta_a*Floor_F/Rho_a),EXP(-Rho_a*LN((A46+0.0001)/Floor_F)/Delta_a)*(-Cost_k*Delta_a*Floor_F/Rho_a))-IF((A46-0.0001)&lt;Floor_F,-(Cost_k*Ubar_a+Delay_D)*(1-EXP(-Rho_a*LN((Cap_top-(A46-0.0001))/(Cap_top-Floor_F))/Delta_a))/Rho_a+EXP(-Rho_a*LN((Cap_top-(A46-0.0001))/(Cap_top-Floor_F))/Delta_a)*(-Cost_k*Delta_a*Floor_F/Rho_a),EXP(-Rho_a*LN((A46-0.0001)/Floor_F)/Delta_a)*(-Cost_k*Delta_a*Floor_F/Rho_a)))/(2*0.0001)</f>
        <v>3.86251281440764</v>
      </c>
    </row>
    <row r="47" customFormat="false" ht="15" hidden="false" customHeight="false" outlineLevel="0" collapsed="false">
      <c r="A47" s="13" t="n">
        <v>56.25</v>
      </c>
      <c r="B47" s="15" t="n">
        <f aca="false">-IF(A47&lt;Floor_F,-(Cost_k*Ubar_a+Delay_D)*(1-EXP(-Rho_a*LN((Cap_top-A47)/(Cap_top-Floor_F))/Delta_a))/Rho_a+EXP(-Rho_a*LN((Cap_top-A47)/(Cap_top-Floor_F))/Delta_a)*(-Cost_k*Delta_a*Floor_F/Rho_a),EXP(-Rho_a*LN(A47/Floor_F)/Delta_a)*(-Cost_k*Delta_a*Floor_F/Rho_a))</f>
        <v>228.867504225387</v>
      </c>
      <c r="C47" s="15" t="n">
        <f aca="false">IF(A47&lt;Floor_F,EXP(-Rho_a*LN((Cap_top-A47)/(Cap_top-Floor_F))/Delta_a)*(Cost_k*Ubar_a+Delay_D+Rho_a*(-Cost_k*Delta_a*Floor_F/Rho_a))/(Ubar_a-Delta_a*A47),IF(A47=Floor_F,Cost_k,EXP(-Rho_a*LN(A47/Floor_F)/Delta_a)*(-Rho_a*(-Cost_k*Delta_a*Floor_F/Rho_a))/(Delta_a*A47)))</f>
        <v>3.82925953719994</v>
      </c>
      <c r="D47" s="15" t="n">
        <f aca="false">(IF((A47+0.0001)&lt;Floor_F,-(Cost_k*Ubar_a+Delay_D)*(1-EXP(-Rho_a*LN((Cap_top-(A47+0.0001))/(Cap_top-Floor_F))/Delta_a))/Rho_a+EXP(-Rho_a*LN((Cap_top-(A47+0.0001))/(Cap_top-Floor_F))/Delta_a)*(-Cost_k*Delta_a*Floor_F/Rho_a),EXP(-Rho_a*LN((A47+0.0001)/Floor_F)/Delta_a)*(-Cost_k*Delta_a*Floor_F/Rho_a))-IF((A47-0.0001)&lt;Floor_F,-(Cost_k*Ubar_a+Delay_D)*(1-EXP(-Rho_a*LN((Cap_top-(A47-0.0001))/(Cap_top-Floor_F))/Delta_a))/Rho_a+EXP(-Rho_a*LN((Cap_top-(A47-0.0001))/(Cap_top-Floor_F))/Delta_a)*(-Cost_k*Delta_a*Floor_F/Rho_a),EXP(-Rho_a*LN((A47-0.0001)/Floor_F)/Delta_a)*(-Cost_k*Delta_a*Floor_F/Rho_a)))/(2*0.0001)</f>
        <v>3.82925953715585</v>
      </c>
    </row>
    <row r="48" customFormat="false" ht="15" hidden="false" customHeight="false" outlineLevel="0" collapsed="false">
      <c r="A48" s="13" t="n">
        <v>56.5</v>
      </c>
      <c r="B48" s="15" t="n">
        <f aca="false">-IF(A48&lt;Floor_F,-(Cost_k*Ubar_a+Delay_D)*(1-EXP(-Rho_a*LN((Cap_top-A48)/(Cap_top-Floor_F))/Delta_a))/Rho_a+EXP(-Rho_a*LN((Cap_top-A48)/(Cap_top-Floor_F))/Delta_a)*(-Cost_k*Delta_a*Floor_F/Rho_a),EXP(-Rho_a*LN(A48/Floor_F)/Delta_a)*(-Cost_k*Delta_a*Floor_F/Rho_a))</f>
        <v>227.914300937515</v>
      </c>
      <c r="C48" s="15" t="n">
        <f aca="false">IF(A48&lt;Floor_F,EXP(-Rho_a*LN((Cap_top-A48)/(Cap_top-Floor_F))/Delta_a)*(Cost_k*Ubar_a+Delay_D+Rho_a*(-Cost_k*Delta_a*Floor_F/Rho_a))/(Ubar_a-Delta_a*A48),IF(A48=Floor_F,Cost_k,EXP(-Rho_a*LN(A48/Floor_F)/Delta_a)*(-Rho_a*(-Cost_k*Delta_a*Floor_F/Rho_a))/(Delta_a*A48)))</f>
        <v>3.79643811266763</v>
      </c>
      <c r="D48" s="15" t="n">
        <f aca="false">(IF((A48+0.0001)&lt;Floor_F,-(Cost_k*Ubar_a+Delay_D)*(1-EXP(-Rho_a*LN((Cap_top-(A48+0.0001))/(Cap_top-Floor_F))/Delta_a))/Rho_a+EXP(-Rho_a*LN((Cap_top-(A48+0.0001))/(Cap_top-Floor_F))/Delta_a)*(-Cost_k*Delta_a*Floor_F/Rho_a),EXP(-Rho_a*LN((A48+0.0001)/Floor_F)/Delta_a)*(-Cost_k*Delta_a*Floor_F/Rho_a))-IF((A48-0.0001)&lt;Floor_F,-(Cost_k*Ubar_a+Delay_D)*(1-EXP(-Rho_a*LN((Cap_top-(A48-0.0001))/(Cap_top-Floor_F))/Delta_a))/Rho_a+EXP(-Rho_a*LN((Cap_top-(A48-0.0001))/(Cap_top-Floor_F))/Delta_a)*(-Cost_k*Delta_a*Floor_F/Rho_a),EXP(-Rho_a*LN((A48-0.0001)/Floor_F)/Delta_a)*(-Cost_k*Delta_a*Floor_F/Rho_a)))/(2*0.0001)</f>
        <v>3.79643811271535</v>
      </c>
    </row>
    <row r="49" customFormat="false" ht="15" hidden="false" customHeight="false" outlineLevel="0" collapsed="false">
      <c r="A49" s="13" t="n">
        <v>56.75</v>
      </c>
      <c r="B49" s="15" t="n">
        <f aca="false">-IF(A49&lt;Floor_F,-(Cost_k*Ubar_a+Delay_D)*(1-EXP(-Rho_a*LN((Cap_top-A49)/(Cap_top-Floor_F))/Delta_a))/Rho_a+EXP(-Rho_a*LN((Cap_top-A49)/(Cap_top-Floor_F))/Delta_a)*(-Cost_k*Delta_a*Floor_F/Rho_a),EXP(-Rho_a*LN(A49/Floor_F)/Delta_a)*(-Cost_k*Delta_a*Floor_F/Rho_a))</f>
        <v>226.969249805312</v>
      </c>
      <c r="C49" s="15" t="n">
        <f aca="false">IF(A49&lt;Floor_F,EXP(-Rho_a*LN((Cap_top-A49)/(Cap_top-Floor_F))/Delta_a)*(Cost_k*Ubar_a+Delay_D+Rho_a*(-Cost_k*Delta_a*Floor_F/Rho_a))/(Ubar_a-Delta_a*A49),IF(A49=Floor_F,Cost_k,EXP(-Rho_a*LN(A49/Floor_F)/Delta_a)*(-Rho_a*(-Cost_k*Delta_a*Floor_F/Rho_a))/(Delta_a*A49)))</f>
        <v>3.76404105842161</v>
      </c>
      <c r="D49" s="15" t="n">
        <f aca="false">(IF((A49+0.0001)&lt;Floor_F,-(Cost_k*Ubar_a+Delay_D)*(1-EXP(-Rho_a*LN((Cap_top-(A49+0.0001))/(Cap_top-Floor_F))/Delta_a))/Rho_a+EXP(-Rho_a*LN((Cap_top-(A49+0.0001))/(Cap_top-Floor_F))/Delta_a)*(-Cost_k*Delta_a*Floor_F/Rho_a),EXP(-Rho_a*LN((A49+0.0001)/Floor_F)/Delta_a)*(-Cost_k*Delta_a*Floor_F/Rho_a))-IF((A49-0.0001)&lt;Floor_F,-(Cost_k*Ubar_a+Delay_D)*(1-EXP(-Rho_a*LN((Cap_top-(A49-0.0001))/(Cap_top-Floor_F))/Delta_a))/Rho_a+EXP(-Rho_a*LN((Cap_top-(A49-0.0001))/(Cap_top-Floor_F))/Delta_a)*(-Cost_k*Delta_a*Floor_F/Rho_a),EXP(-Rho_a*LN((A49-0.0001)/Floor_F)/Delta_a)*(-Cost_k*Delta_a*Floor_F/Rho_a)))/(2*0.0001)</f>
        <v>3.7640410585027</v>
      </c>
    </row>
    <row r="50" customFormat="false" ht="15" hidden="false" customHeight="false" outlineLevel="0" collapsed="false">
      <c r="A50" s="13" t="n">
        <v>57</v>
      </c>
      <c r="B50" s="15" t="n">
        <f aca="false">-IF(A50&lt;Floor_F,-(Cost_k*Ubar_a+Delay_D)*(1-EXP(-Rho_a*LN((Cap_top-A50)/(Cap_top-Floor_F))/Delta_a))/Rho_a+EXP(-Rho_a*LN((Cap_top-A50)/(Cap_top-Floor_F))/Delta_a)*(-Cost_k*Delta_a*Floor_F/Rho_a),EXP(-Rho_a*LN(A50/Floor_F)/Delta_a)*(-Cost_k*Delta_a*Floor_F/Rho_a))</f>
        <v>226.032245654582</v>
      </c>
      <c r="C50" s="15" t="n">
        <f aca="false">IF(A50&lt;Floor_F,EXP(-Rho_a*LN((Cap_top-A50)/(Cap_top-Floor_F))/Delta_a)*(Cost_k*Ubar_a+Delay_D+Rho_a*(-Cost_k*Delta_a*Floor_F/Rho_a))/(Ubar_a-Delta_a*A50),IF(A50=Floor_F,Cost_k,EXP(-Rho_a*LN(A50/Floor_F)/Delta_a)*(-Rho_a*(-Cost_k*Delta_a*Floor_F/Rho_a))/(Delta_a*A50)))</f>
        <v>3.73206105409128</v>
      </c>
      <c r="D50" s="15" t="n">
        <f aca="false">(IF((A50+0.0001)&lt;Floor_F,-(Cost_k*Ubar_a+Delay_D)*(1-EXP(-Rho_a*LN((Cap_top-(A50+0.0001))/(Cap_top-Floor_F))/Delta_a))/Rho_a+EXP(-Rho_a*LN((Cap_top-(A50+0.0001))/(Cap_top-Floor_F))/Delta_a)*(-Cost_k*Delta_a*Floor_F/Rho_a),EXP(-Rho_a*LN((A50+0.0001)/Floor_F)/Delta_a)*(-Cost_k*Delta_a*Floor_F/Rho_a))-IF((A50-0.0001)&lt;Floor_F,-(Cost_k*Ubar_a+Delay_D)*(1-EXP(-Rho_a*LN((Cap_top-(A50-0.0001))/(Cap_top-Floor_F))/Delta_a))/Rho_a+EXP(-Rho_a*LN((Cap_top-(A50-0.0001))/(Cap_top-Floor_F))/Delta_a)*(-Cost_k*Delta_a*Floor_F/Rho_a),EXP(-Rho_a*LN((A50-0.0001)/Floor_F)/Delta_a)*(-Cost_k*Delta_a*Floor_F/Rho_a)))/(2*0.0001)</f>
        <v>3.73206105422241</v>
      </c>
    </row>
    <row r="51" customFormat="false" ht="15" hidden="false" customHeight="false" outlineLevel="0" collapsed="false">
      <c r="A51" s="13" t="n">
        <v>57.25</v>
      </c>
      <c r="B51" s="15" t="n">
        <f aca="false">-IF(A51&lt;Floor_F,-(Cost_k*Ubar_a+Delay_D)*(1-EXP(-Rho_a*LN((Cap_top-A51)/(Cap_top-Floor_F))/Delta_a))/Rho_a+EXP(-Rho_a*LN((Cap_top-A51)/(Cap_top-Floor_F))/Delta_a)*(-Cost_k*Delta_a*Floor_F/Rho_a),EXP(-Rho_a*LN(A51/Floor_F)/Delta_a)*(-Cost_k*Delta_a*Floor_F/Rho_a))</f>
        <v>225.103185121429</v>
      </c>
      <c r="C51" s="15" t="n">
        <f aca="false">IF(A51&lt;Floor_F,EXP(-Rho_a*LN((Cap_top-A51)/(Cap_top-Floor_F))/Delta_a)*(Cost_k*Ubar_a+Delay_D+Rho_a*(-Cost_k*Delta_a*Floor_F/Rho_a))/(Ubar_a-Delta_a*A51),IF(A51=Floor_F,Cost_k,EXP(-Rho_a*LN(A51/Floor_F)/Delta_a)*(-Rho_a*(-Cost_k*Delta_a*Floor_F/Rho_a))/(Delta_a*A51)))</f>
        <v>3.70049093693254</v>
      </c>
      <c r="D51" s="15" t="n">
        <f aca="false">(IF((A51+0.0001)&lt;Floor_F,-(Cost_k*Ubar_a+Delay_D)*(1-EXP(-Rho_a*LN((Cap_top-(A51+0.0001))/(Cap_top-Floor_F))/Delta_a))/Rho_a+EXP(-Rho_a*LN((Cap_top-(A51+0.0001))/(Cap_top-Floor_F))/Delta_a)*(-Cost_k*Delta_a*Floor_F/Rho_a),EXP(-Rho_a*LN((A51+0.0001)/Floor_F)/Delta_a)*(-Cost_k*Delta_a*Floor_F/Rho_a))-IF((A51-0.0001)&lt;Floor_F,-(Cost_k*Ubar_a+Delay_D)*(1-EXP(-Rho_a*LN((Cap_top-(A51-0.0001))/(Cap_top-Floor_F))/Delta_a))/Rho_a+EXP(-Rho_a*LN((Cap_top-(A51-0.0001))/(Cap_top-Floor_F))/Delta_a)*(-Cost_k*Delta_a*Floor_F/Rho_a),EXP(-Rho_a*LN((A51-0.0001)/Floor_F)/Delta_a)*(-Cost_k*Delta_a*Floor_F/Rho_a)))/(2*0.0001)</f>
        <v>3.70049093717739</v>
      </c>
    </row>
    <row r="52" customFormat="false" ht="15" hidden="false" customHeight="false" outlineLevel="0" collapsed="false">
      <c r="A52" s="13" t="n">
        <v>57.5</v>
      </c>
      <c r="B52" s="15" t="n">
        <f aca="false">-IF(A52&lt;Floor_F,-(Cost_k*Ubar_a+Delay_D)*(1-EXP(-Rho_a*LN((Cap_top-A52)/(Cap_top-Floor_F))/Delta_a))/Rho_a+EXP(-Rho_a*LN((Cap_top-A52)/(Cap_top-Floor_F))/Delta_a)*(-Cost_k*Delta_a*Floor_F/Rho_a),EXP(-Rho_a*LN(A52/Floor_F)/Delta_a)*(-Cost_k*Delta_a*Floor_F/Rho_a))</f>
        <v>224.181966613365</v>
      </c>
      <c r="C52" s="15" t="n">
        <f aca="false">IF(A52&lt;Floor_F,EXP(-Rho_a*LN((Cap_top-A52)/(Cap_top-Floor_F))/Delta_a)*(Cost_k*Ubar_a+Delay_D+Rho_a*(-Cost_k*Delta_a*Floor_F/Rho_a))/(Ubar_a-Delta_a*A52),IF(A52=Floor_F,Cost_k,EXP(-Rho_a*LN(A52/Floor_F)/Delta_a)*(-Rho_a*(-Cost_k*Delta_a*Floor_F/Rho_a))/(Delta_a*A52)))</f>
        <v>3.66932369776443</v>
      </c>
      <c r="D52" s="15" t="n">
        <f aca="false">(IF((A52+0.0001)&lt;Floor_F,-(Cost_k*Ubar_a+Delay_D)*(1-EXP(-Rho_a*LN((Cap_top-(A52+0.0001))/(Cap_top-Floor_F))/Delta_a))/Rho_a+EXP(-Rho_a*LN((Cap_top-(A52+0.0001))/(Cap_top-Floor_F))/Delta_a)*(-Cost_k*Delta_a*Floor_F/Rho_a),EXP(-Rho_a*LN((A52+0.0001)/Floor_F)/Delta_a)*(-Cost_k*Delta_a*Floor_F/Rho_a))-IF((A52-0.0001)&lt;Floor_F,-(Cost_k*Ubar_a+Delay_D)*(1-EXP(-Rho_a*LN((Cap_top-(A52-0.0001))/(Cap_top-Floor_F))/Delta_a))/Rho_a+EXP(-Rho_a*LN((Cap_top-(A52-0.0001))/(Cap_top-Floor_F))/Delta_a)*(-Cost_k*Delta_a*Floor_F/Rho_a),EXP(-Rho_a*LN((A52-0.0001)/Floor_F)/Delta_a)*(-Cost_k*Delta_a*Floor_F/Rho_a)))/(2*0.0001)</f>
        <v>3.66932369786355</v>
      </c>
    </row>
    <row r="53" customFormat="false" ht="15" hidden="false" customHeight="false" outlineLevel="0" collapsed="false">
      <c r="A53" s="13" t="n">
        <v>57.75</v>
      </c>
      <c r="B53" s="15" t="n">
        <f aca="false">-IF(A53&lt;Floor_F,-(Cost_k*Ubar_a+Delay_D)*(1-EXP(-Rho_a*LN((Cap_top-A53)/(Cap_top-Floor_F))/Delta_a))/Rho_a+EXP(-Rho_a*LN((Cap_top-A53)/(Cap_top-Floor_F))/Delta_a)*(-Cost_k*Delta_a*Floor_F/Rho_a),EXP(-Rho_a*LN(A53/Floor_F)/Delta_a)*(-Cost_k*Delta_a*Floor_F/Rho_a))</f>
        <v>223.268490271416</v>
      </c>
      <c r="C53" s="15" t="n">
        <f aca="false">IF(A53&lt;Floor_F,EXP(-Rho_a*LN((Cap_top-A53)/(Cap_top-Floor_F))/Delta_a)*(Cost_k*Ubar_a+Delay_D+Rho_a*(-Cost_k*Delta_a*Floor_F/Rho_a))/(Ubar_a-Delta_a*A53),IF(A53=Floor_F,Cost_k,EXP(-Rho_a*LN(A53/Floor_F)/Delta_a)*(-Rho_a*(-Cost_k*Delta_a*Floor_F/Rho_a))/(Delta_a*A53)))</f>
        <v>3.63855247702774</v>
      </c>
      <c r="D53" s="15" t="n">
        <f aca="false">(IF((A53+0.0001)&lt;Floor_F,-(Cost_k*Ubar_a+Delay_D)*(1-EXP(-Rho_a*LN((Cap_top-(A53+0.0001))/(Cap_top-Floor_F))/Delta_a))/Rho_a+EXP(-Rho_a*LN((Cap_top-(A53+0.0001))/(Cap_top-Floor_F))/Delta_a)*(-Cost_k*Delta_a*Floor_F/Rho_a),EXP(-Rho_a*LN((A53+0.0001)/Floor_F)/Delta_a)*(-Cost_k*Delta_a*Floor_F/Rho_a))-IF((A53-0.0001)&lt;Floor_F,-(Cost_k*Ubar_a+Delay_D)*(1-EXP(-Rho_a*LN((Cap_top-(A53-0.0001))/(Cap_top-Floor_F))/Delta_a))/Rho_a+EXP(-Rho_a*LN((Cap_top-(A53-0.0001))/(Cap_top-Floor_F))/Delta_a)*(-Cost_k*Delta_a*Floor_F/Rho_a),EXP(-Rho_a*LN((A53-0.0001)/Floor_F)/Delta_a)*(-Cost_k*Delta_a*Floor_F/Rho_a)))/(2*0.0001)</f>
        <v>3.63855247698552</v>
      </c>
    </row>
    <row r="54" customFormat="false" ht="15" hidden="false" customHeight="false" outlineLevel="0" collapsed="false">
      <c r="A54" s="13" t="n">
        <v>58</v>
      </c>
      <c r="B54" s="15" t="n">
        <f aca="false">-IF(A54&lt;Floor_F,-(Cost_k*Ubar_a+Delay_D)*(1-EXP(-Rho_a*LN((Cap_top-A54)/(Cap_top-Floor_F))/Delta_a))/Rho_a+EXP(-Rho_a*LN((Cap_top-A54)/(Cap_top-Floor_F))/Delta_a)*(-Cost_k*Delta_a*Floor_F/Rho_a),EXP(-Rho_a*LN(A54/Floor_F)/Delta_a)*(-Cost_k*Delta_a*Floor_F/Rho_a))</f>
        <v>222.36265793319</v>
      </c>
      <c r="C54" s="15" t="n">
        <f aca="false">IF(A54&lt;Floor_F,EXP(-Rho_a*LN((Cap_top-A54)/(Cap_top-Floor_F))/Delta_a)*(Cost_k*Ubar_a+Delay_D+Rho_a*(-Cost_k*Delta_a*Floor_F/Rho_a))/(Ubar_a-Delta_a*A54),IF(A54=Floor_F,Cost_k,EXP(-Rho_a*LN(A54/Floor_F)/Delta_a)*(-Rho_a*(-Cost_k*Delta_a*Floor_F/Rho_a))/(Delta_a*A54)))</f>
        <v>3.60817056096118</v>
      </c>
      <c r="D54" s="15" t="n">
        <f aca="false">(IF((A54+0.0001)&lt;Floor_F,-(Cost_k*Ubar_a+Delay_D)*(1-EXP(-Rho_a*LN((Cap_top-(A54+0.0001))/(Cap_top-Floor_F))/Delta_a))/Rho_a+EXP(-Rho_a*LN((Cap_top-(A54+0.0001))/(Cap_top-Floor_F))/Delta_a)*(-Cost_k*Delta_a*Floor_F/Rho_a),EXP(-Rho_a*LN((A54+0.0001)/Floor_F)/Delta_a)*(-Cost_k*Delta_a*Floor_F/Rho_a))-IF((A54-0.0001)&lt;Floor_F,-(Cost_k*Ubar_a+Delay_D)*(1-EXP(-Rho_a*LN((Cap_top-(A54-0.0001))/(Cap_top-Floor_F))/Delta_a))/Rho_a+EXP(-Rho_a*LN((Cap_top-(A54-0.0001))/(Cap_top-Floor_F))/Delta_a)*(-Cost_k*Delta_a*Floor_F/Rho_a),EXP(-Rho_a*LN((A54-0.0001)/Floor_F)/Delta_a)*(-Cost_k*Delta_a*Floor_F/Rho_a)))/(2*0.0001)</f>
        <v>3.60817056119345</v>
      </c>
    </row>
    <row r="55" customFormat="false" ht="15" hidden="false" customHeight="false" outlineLevel="0" collapsed="false">
      <c r="A55" s="13" t="n">
        <v>58.25</v>
      </c>
      <c r="B55" s="15" t="n">
        <f aca="false">-IF(A55&lt;Floor_F,-(Cost_k*Ubar_a+Delay_D)*(1-EXP(-Rho_a*LN((Cap_top-A55)/(Cap_top-Floor_F))/Delta_a))/Rho_a+EXP(-Rho_a*LN((Cap_top-A55)/(Cap_top-Floor_F))/Delta_a)*(-Cost_k*Delta_a*Floor_F/Rho_a),EXP(-Rho_a*LN(A55/Floor_F)/Delta_a)*(-Cost_k*Delta_a*Floor_F/Rho_a))</f>
        <v>221.464373096903</v>
      </c>
      <c r="C55" s="15" t="n">
        <f aca="false">IF(A55&lt;Floor_F,EXP(-Rho_a*LN((Cap_top-A55)/(Cap_top-Floor_F))/Delta_a)*(Cost_k*Ubar_a+Delay_D+Rho_a*(-Cost_k*Delta_a*Floor_F/Rho_a))/(Ubar_a-Delta_a*A55),IF(A55=Floor_F,Cost_k,EXP(-Rho_a*LN(A55/Floor_F)/Delta_a)*(-Rho_a*(-Cost_k*Delta_a*Floor_F/Rho_a))/(Delta_a*A55)))</f>
        <v>3.57817137789133</v>
      </c>
      <c r="D55" s="15" t="n">
        <f aca="false">(IF((A55+0.0001)&lt;Floor_F,-(Cost_k*Ubar_a+Delay_D)*(1-EXP(-Rho_a*LN((Cap_top-(A55+0.0001))/(Cap_top-Floor_F))/Delta_a))/Rho_a+EXP(-Rho_a*LN((Cap_top-(A55+0.0001))/(Cap_top-Floor_F))/Delta_a)*(-Cost_k*Delta_a*Floor_F/Rho_a),EXP(-Rho_a*LN((A55+0.0001)/Floor_F)/Delta_a)*(-Cost_k*Delta_a*Floor_F/Rho_a))-IF((A55-0.0001)&lt;Floor_F,-(Cost_k*Ubar_a+Delay_D)*(1-EXP(-Rho_a*LN((Cap_top-(A55-0.0001))/(Cap_top-Floor_F))/Delta_a))/Rho_a+EXP(-Rho_a*LN((Cap_top-(A55-0.0001))/(Cap_top-Floor_F))/Delta_a)*(-Cost_k*Delta_a*Floor_F/Rho_a),EXP(-Rho_a*LN((A55-0.0001)/Floor_F)/Delta_a)*(-Cost_k*Delta_a*Floor_F/Rho_a)))/(2*0.0001)</f>
        <v>3.57817137796701</v>
      </c>
    </row>
    <row r="56" customFormat="false" ht="15" hidden="false" customHeight="false" outlineLevel="0" collapsed="false">
      <c r="A56" s="13" t="n">
        <v>58.5</v>
      </c>
      <c r="B56" s="15" t="n">
        <f aca="false">-IF(A56&lt;Floor_F,-(Cost_k*Ubar_a+Delay_D)*(1-EXP(-Rho_a*LN((Cap_top-A56)/(Cap_top-Floor_F))/Delta_a))/Rho_a+EXP(-Rho_a*LN((Cap_top-A56)/(Cap_top-Floor_F))/Delta_a)*(-Cost_k*Delta_a*Floor_F/Rho_a),EXP(-Rho_a*LN(A56/Floor_F)/Delta_a)*(-Cost_k*Delta_a*Floor_F/Rho_a))</f>
        <v>220.573540886302</v>
      </c>
      <c r="C56" s="15" t="n">
        <f aca="false">IF(A56&lt;Floor_F,EXP(-Rho_a*LN((Cap_top-A56)/(Cap_top-Floor_F))/Delta_a)*(Cost_k*Ubar_a+Delay_D+Rho_a*(-Cost_k*Delta_a*Floor_F/Rho_a))/(Ubar_a-Delta_a*A56),IF(A56=Floor_F,Cost_k,EXP(-Rho_a*LN(A56/Floor_F)/Delta_a)*(-Rho_a*(-Cost_k*Delta_a*Floor_F/Rho_a))/(Delta_a*A56)))</f>
        <v>3.54854849463236</v>
      </c>
      <c r="D56" s="15" t="n">
        <f aca="false">(IF((A56+0.0001)&lt;Floor_F,-(Cost_k*Ubar_a+Delay_D)*(1-EXP(-Rho_a*LN((Cap_top-(A56+0.0001))/(Cap_top-Floor_F))/Delta_a))/Rho_a+EXP(-Rho_a*LN((Cap_top-(A56+0.0001))/(Cap_top-Floor_F))/Delta_a)*(-Cost_k*Delta_a*Floor_F/Rho_a),EXP(-Rho_a*LN((A56+0.0001)/Floor_F)/Delta_a)*(-Cost_k*Delta_a*Floor_F/Rho_a))-IF((A56-0.0001)&lt;Floor_F,-(Cost_k*Ubar_a+Delay_D)*(1-EXP(-Rho_a*LN((Cap_top-(A56-0.0001))/(Cap_top-Floor_F))/Delta_a))/Rho_a+EXP(-Rho_a*LN((Cap_top-(A56-0.0001))/(Cap_top-Floor_F))/Delta_a)*(-Cost_k*Delta_a*Floor_F/Rho_a),EXP(-Rho_a*LN((A56-0.0001)/Floor_F)/Delta_a)*(-Cost_k*Delta_a*Floor_F/Rho_a)))/(2*0.0001)</f>
        <v>3.54854849476283</v>
      </c>
    </row>
    <row r="57" customFormat="false" ht="15" hidden="false" customHeight="false" outlineLevel="0" collapsed="false">
      <c r="A57" s="13" t="n">
        <v>58.75</v>
      </c>
      <c r="B57" s="15" t="n">
        <f aca="false">-IF(A57&lt;Floor_F,-(Cost_k*Ubar_a+Delay_D)*(1-EXP(-Rho_a*LN((Cap_top-A57)/(Cap_top-Floor_F))/Delta_a))/Rho_a+EXP(-Rho_a*LN((Cap_top-A57)/(Cap_top-Floor_F))/Delta_a)*(-Cost_k*Delta_a*Floor_F/Rho_a),EXP(-Rho_a*LN(A57/Floor_F)/Delta_a)*(-Cost_k*Delta_a*Floor_F/Rho_a))</f>
        <v>219.690068016484</v>
      </c>
      <c r="C57" s="15" t="n">
        <f aca="false">IF(A57&lt;Floor_F,EXP(-Rho_a*LN((Cap_top-A57)/(Cap_top-Floor_F))/Delta_a)*(Cost_k*Ubar_a+Delay_D+Rho_a*(-Cost_k*Delta_a*Floor_F/Rho_a))/(Ubar_a-Delta_a*A57),IF(A57=Floor_F,Cost_k,EXP(-Rho_a*LN(A57/Floor_F)/Delta_a)*(-Rho_a*(-Cost_k*Delta_a*Floor_F/Rho_a))/(Delta_a*A57)))</f>
        <v>3.51929561299191</v>
      </c>
      <c r="D57" s="15" t="n">
        <f aca="false">(IF((A57+0.0001)&lt;Floor_F,-(Cost_k*Ubar_a+Delay_D)*(1-EXP(-Rho_a*LN((Cap_top-(A57+0.0001))/(Cap_top-Floor_F))/Delta_a))/Rho_a+EXP(-Rho_a*LN((Cap_top-(A57+0.0001))/(Cap_top-Floor_F))/Delta_a)*(-Cost_k*Delta_a*Floor_F/Rho_a),EXP(-Rho_a*LN((A57+0.0001)/Floor_F)/Delta_a)*(-Cost_k*Delta_a*Floor_F/Rho_a))-IF((A57-0.0001)&lt;Floor_F,-(Cost_k*Ubar_a+Delay_D)*(1-EXP(-Rho_a*LN((Cap_top-(A57-0.0001))/(Cap_top-Floor_F))/Delta_a))/Rho_a+EXP(-Rho_a*LN((Cap_top-(A57-0.0001))/(Cap_top-Floor_F))/Delta_a)*(-Cost_k*Delta_a*Floor_F/Rho_a),EXP(-Rho_a*LN((A57-0.0001)/Floor_F)/Delta_a)*(-Cost_k*Delta_a*Floor_F/Rho_a)))/(2*0.0001)</f>
        <v>3.51929561290376</v>
      </c>
    </row>
    <row r="58" customFormat="false" ht="15" hidden="false" customHeight="false" outlineLevel="0" collapsed="false">
      <c r="A58" s="13" t="n">
        <v>59</v>
      </c>
      <c r="B58" s="15" t="n">
        <f aca="false">-IF(A58&lt;Floor_F,-(Cost_k*Ubar_a+Delay_D)*(1-EXP(-Rho_a*LN((Cap_top-A58)/(Cap_top-Floor_F))/Delta_a))/Rho_a+EXP(-Rho_a*LN((Cap_top-A58)/(Cap_top-Floor_F))/Delta_a)*(-Cost_k*Delta_a*Floor_F/Rho_a),EXP(-Rho_a*LN(A58/Floor_F)/Delta_a)*(-Cost_k*Delta_a*Floor_F/Rho_a))</f>
        <v>218.813862760577</v>
      </c>
      <c r="C58" s="15" t="n">
        <f aca="false">IF(A58&lt;Floor_F,EXP(-Rho_a*LN((Cap_top-A58)/(Cap_top-Floor_F))/Delta_a)*(Cost_k*Ubar_a+Delay_D+Rho_a*(-Cost_k*Delta_a*Floor_F/Rho_a))/(Ubar_a-Delta_a*A58),IF(A58=Floor_F,Cost_k,EXP(-Rho_a*LN(A58/Floor_F)/Delta_a)*(-Rho_a*(-Cost_k*Delta_a*Floor_F/Rho_a))/(Delta_a*A58)))</f>
        <v>3.49040656637951</v>
      </c>
      <c r="D58" s="15" t="n">
        <f aca="false">(IF((A58+0.0001)&lt;Floor_F,-(Cost_k*Ubar_a+Delay_D)*(1-EXP(-Rho_a*LN((Cap_top-(A58+0.0001))/(Cap_top-Floor_F))/Delta_a))/Rho_a+EXP(-Rho_a*LN((Cap_top-(A58+0.0001))/(Cap_top-Floor_F))/Delta_a)*(-Cost_k*Delta_a*Floor_F/Rho_a),EXP(-Rho_a*LN((A58+0.0001)/Floor_F)/Delta_a)*(-Cost_k*Delta_a*Floor_F/Rho_a))-IF((A58-0.0001)&lt;Floor_F,-(Cost_k*Ubar_a+Delay_D)*(1-EXP(-Rho_a*LN((Cap_top-(A58-0.0001))/(Cap_top-Floor_F))/Delta_a))/Rho_a+EXP(-Rho_a*LN((Cap_top-(A58-0.0001))/(Cap_top-Floor_F))/Delta_a)*(-Cost_k*Delta_a*Floor_F/Rho_a),EXP(-Rho_a*LN((A58-0.0001)/Floor_F)/Delta_a)*(-Cost_k*Delta_a*Floor_F/Rho_a)))/(2*0.0001)</f>
        <v>3.49040656644206</v>
      </c>
    </row>
    <row r="59" customFormat="false" ht="15" hidden="false" customHeight="false" outlineLevel="0" collapsed="false">
      <c r="A59" s="13" t="n">
        <v>59.25</v>
      </c>
      <c r="B59" s="15" t="n">
        <f aca="false">-IF(A59&lt;Floor_F,-(Cost_k*Ubar_a+Delay_D)*(1-EXP(-Rho_a*LN((Cap_top-A59)/(Cap_top-Floor_F))/Delta_a))/Rho_a+EXP(-Rho_a*LN((Cap_top-A59)/(Cap_top-Floor_F))/Delta_a)*(-Cost_k*Delta_a*Floor_F/Rho_a),EXP(-Rho_a*LN(A59/Floor_F)/Delta_a)*(-Cost_k*Delta_a*Floor_F/Rho_a))</f>
        <v>217.944834917247</v>
      </c>
      <c r="C59" s="15" t="n">
        <f aca="false">IF(A59&lt;Floor_F,EXP(-Rho_a*LN((Cap_top-A59)/(Cap_top-Floor_F))/Delta_a)*(Cost_k*Ubar_a+Delay_D+Rho_a*(-Cost_k*Delta_a*Floor_F/Rho_a))/(Ubar_a-Delta_a*A59),IF(A59=Floor_F,Cost_k,EXP(-Rho_a*LN(A59/Floor_F)/Delta_a)*(-Rho_a*(-Cost_k*Delta_a*Floor_F/Rho_a))/(Delta_a*A59)))</f>
        <v>3.46187531651414</v>
      </c>
      <c r="D59" s="15" t="n">
        <f aca="false">(IF((A59+0.0001)&lt;Floor_F,-(Cost_k*Ubar_a+Delay_D)*(1-EXP(-Rho_a*LN((Cap_top-(A59+0.0001))/(Cap_top-Floor_F))/Delta_a))/Rho_a+EXP(-Rho_a*LN((Cap_top-(A59+0.0001))/(Cap_top-Floor_F))/Delta_a)*(-Cost_k*Delta_a*Floor_F/Rho_a),EXP(-Rho_a*LN((A59+0.0001)/Floor_F)/Delta_a)*(-Cost_k*Delta_a*Floor_F/Rho_a))-IF((A59-0.0001)&lt;Floor_F,-(Cost_k*Ubar_a+Delay_D)*(1-EXP(-Rho_a*LN((Cap_top-(A59-0.0001))/(Cap_top-Floor_F))/Delta_a))/Rho_a+EXP(-Rho_a*LN((Cap_top-(A59-0.0001))/(Cap_top-Floor_F))/Delta_a)*(-Cost_k*Delta_a*Floor_F/Rho_a),EXP(-Rho_a*LN((A59-0.0001)/Floor_F)/Delta_a)*(-Cost_k*Delta_a*Floor_F/Rho_a)))/(2*0.0001)</f>
        <v>3.46187531675923</v>
      </c>
    </row>
    <row r="60" customFormat="false" ht="15" hidden="false" customHeight="false" outlineLevel="0" collapsed="false">
      <c r="A60" s="13" t="n">
        <v>59.5</v>
      </c>
      <c r="B60" s="15" t="n">
        <f aca="false">-IF(A60&lt;Floor_F,-(Cost_k*Ubar_a+Delay_D)*(1-EXP(-Rho_a*LN((Cap_top-A60)/(Cap_top-Floor_F))/Delta_a))/Rho_a+EXP(-Rho_a*LN((Cap_top-A60)/(Cap_top-Floor_F))/Delta_a)*(-Cost_k*Delta_a*Floor_F/Rho_a),EXP(-Rho_a*LN(A60/Floor_F)/Delta_a)*(-Cost_k*Delta_a*Floor_F/Rho_a))</f>
        <v>217.082895779027</v>
      </c>
      <c r="C60" s="15" t="n">
        <f aca="false">IF(A60&lt;Floor_F,EXP(-Rho_a*LN((Cap_top-A60)/(Cap_top-Floor_F))/Delta_a)*(Cost_k*Ubar_a+Delay_D+Rho_a*(-Cost_k*Delta_a*Floor_F/Rho_a))/(Ubar_a-Delta_a*A60),IF(A60=Floor_F,Cost_k,EXP(-Rho_a*LN(A60/Floor_F)/Delta_a)*(-Rho_a*(-Cost_k*Delta_a*Floor_F/Rho_a))/(Delta_a*A60)))</f>
        <v>3.43369595022762</v>
      </c>
      <c r="D60" s="15" t="n">
        <f aca="false">(IF((A60+0.0001)&lt;Floor_F,-(Cost_k*Ubar_a+Delay_D)*(1-EXP(-Rho_a*LN((Cap_top-(A60+0.0001))/(Cap_top-Floor_F))/Delta_a))/Rho_a+EXP(-Rho_a*LN((Cap_top-(A60+0.0001))/(Cap_top-Floor_F))/Delta_a)*(-Cost_k*Delta_a*Floor_F/Rho_a),EXP(-Rho_a*LN((A60+0.0001)/Floor_F)/Delta_a)*(-Cost_k*Delta_a*Floor_F/Rho_a))-IF((A60-0.0001)&lt;Floor_F,-(Cost_k*Ubar_a+Delay_D)*(1-EXP(-Rho_a*LN((Cap_top-(A60-0.0001))/(Cap_top-Floor_F))/Delta_a))/Rho_a+EXP(-Rho_a*LN((Cap_top-(A60-0.0001))/(Cap_top-Floor_F))/Delta_a)*(-Cost_k*Delta_a*Floor_F/Rho_a),EXP(-Rho_a*LN((A60-0.0001)/Floor_F)/Delta_a)*(-Cost_k*Delta_a*Floor_F/Rho_a)))/(2*0.0001)</f>
        <v>3.4336959502923</v>
      </c>
    </row>
    <row r="61" customFormat="false" ht="15" hidden="false" customHeight="false" outlineLevel="0" collapsed="false">
      <c r="A61" s="13" t="n">
        <v>59.75</v>
      </c>
      <c r="B61" s="15" t="n">
        <f aca="false">-IF(A61&lt;Floor_F,-(Cost_k*Ubar_a+Delay_D)*(1-EXP(-Rho_a*LN((Cap_top-A61)/(Cap_top-Floor_F))/Delta_a))/Rho_a+EXP(-Rho_a*LN((Cap_top-A61)/(Cap_top-Floor_F))/Delta_a)*(-Cost_k*Delta_a*Floor_F/Rho_a),EXP(-Rho_a*LN(A61/Floor_F)/Delta_a)*(-Cost_k*Delta_a*Floor_F/Rho_a))</f>
        <v>216.227958101428</v>
      </c>
      <c r="C61" s="15" t="n">
        <f aca="false">IF(A61&lt;Floor_F,EXP(-Rho_a*LN((Cap_top-A61)/(Cap_top-Floor_F))/Delta_a)*(Cost_k*Ubar_a+Delay_D+Rho_a*(-Cost_k*Delta_a*Floor_F/Rho_a))/(Ubar_a-Delta_a*A61),IF(A61=Floor_F,Cost_k,EXP(-Rho_a*LN(A61/Floor_F)/Delta_a)*(-Rho_a*(-Cost_k*Delta_a*Floor_F/Rho_a))/(Delta_a*A61)))</f>
        <v>3.40586267636066</v>
      </c>
      <c r="D61" s="15" t="n">
        <f aca="false">(IF((A61+0.0001)&lt;Floor_F,-(Cost_k*Ubar_a+Delay_D)*(1-EXP(-Rho_a*LN((Cap_top-(A61+0.0001))/(Cap_top-Floor_F))/Delta_a))/Rho_a+EXP(-Rho_a*LN((Cap_top-(A61+0.0001))/(Cap_top-Floor_F))/Delta_a)*(-Cost_k*Delta_a*Floor_F/Rho_a),EXP(-Rho_a*LN((A61+0.0001)/Floor_F)/Delta_a)*(-Cost_k*Delta_a*Floor_F/Rho_a))-IF((A61-0.0001)&lt;Floor_F,-(Cost_k*Ubar_a+Delay_D)*(1-EXP(-Rho_a*LN((Cap_top-(A61-0.0001))/(Cap_top-Floor_F))/Delta_a))/Rho_a+EXP(-Rho_a*LN((Cap_top-(A61-0.0001))/(Cap_top-Floor_F))/Delta_a)*(-Cost_k*Delta_a*Floor_F/Rho_a),EXP(-Rho_a*LN((A61-0.0001)/Floor_F)/Delta_a)*(-Cost_k*Delta_a*Floor_F/Rho_a)))/(2*0.0001)</f>
        <v>3.40586267640219</v>
      </c>
    </row>
    <row r="62" customFormat="false" ht="15" hidden="false" customHeight="false" outlineLevel="0" collapsed="false">
      <c r="A62" s="13" t="n">
        <v>60</v>
      </c>
      <c r="B62" s="15" t="n">
        <f aca="false">-IF(A62&lt;Floor_F,-(Cost_k*Ubar_a+Delay_D)*(1-EXP(-Rho_a*LN((Cap_top-A62)/(Cap_top-Floor_F))/Delta_a))/Rho_a+EXP(-Rho_a*LN((Cap_top-A62)/(Cap_top-Floor_F))/Delta_a)*(-Cost_k*Delta_a*Floor_F/Rho_a),EXP(-Rho_a*LN(A62/Floor_F)/Delta_a)*(-Cost_k*Delta_a*Floor_F/Rho_a))</f>
        <v>215.379936072815</v>
      </c>
      <c r="C62" s="15" t="n">
        <f aca="false">IF(A62&lt;Floor_F,EXP(-Rho_a*LN((Cap_top-A62)/(Cap_top-Floor_F))/Delta_a)*(Cost_k*Ubar_a+Delay_D+Rho_a*(-Cost_k*Delta_a*Floor_F/Rho_a))/(Ubar_a-Delta_a*A62),IF(A62=Floor_F,Cost_k,EXP(-Rho_a*LN(A62/Floor_F)/Delta_a)*(-Rho_a*(-Cost_k*Delta_a*Floor_F/Rho_a))/(Delta_a*A62)))</f>
        <v>3.37836982274852</v>
      </c>
      <c r="D62" s="15" t="n">
        <f aca="false">(IF((A62+0.0001)&lt;Floor_F,-(Cost_k*Ubar_a+Delay_D)*(1-EXP(-Rho_a*LN((Cap_top-(A62+0.0001))/(Cap_top-Floor_F))/Delta_a))/Rho_a+EXP(-Rho_a*LN((Cap_top-(A62+0.0001))/(Cap_top-Floor_F))/Delta_a)*(-Cost_k*Delta_a*Floor_F/Rho_a),EXP(-Rho_a*LN((A62+0.0001)/Floor_F)/Delta_a)*(-Cost_k*Delta_a*Floor_F/Rho_a))-IF((A62-0.0001)&lt;Floor_F,-(Cost_k*Ubar_a+Delay_D)*(1-EXP(-Rho_a*LN((Cap_top-(A62-0.0001))/(Cap_top-Floor_F))/Delta_a))/Rho_a+EXP(-Rho_a*LN((Cap_top-(A62-0.0001))/(Cap_top-Floor_F))/Delta_a)*(-Cost_k*Delta_a*Floor_F/Rho_a),EXP(-Rho_a*LN((A62-0.0001)/Floor_F)/Delta_a)*(-Cost_k*Delta_a*Floor_F/Rho_a)))/(2*0.0001)</f>
        <v>3.37836982282624</v>
      </c>
    </row>
    <row r="63" customFormat="false" ht="15" hidden="false" customHeight="false" outlineLevel="0" collapsed="false">
      <c r="A63" s="13" t="n">
        <v>60.25</v>
      </c>
      <c r="B63" s="15" t="n">
        <f aca="false">-IF(A63&lt;Floor_F,-(Cost_k*Ubar_a+Delay_D)*(1-EXP(-Rho_a*LN((Cap_top-A63)/(Cap_top-Floor_F))/Delta_a))/Rho_a+EXP(-Rho_a*LN((Cap_top-A63)/(Cap_top-Floor_F))/Delta_a)*(-Cost_k*Delta_a*Floor_F/Rho_a),EXP(-Rho_a*LN(A63/Floor_F)/Delta_a)*(-Cost_k*Delta_a*Floor_F/Rho_a))</f>
        <v>214.538745285022</v>
      </c>
      <c r="C63" s="15" t="n">
        <f aca="false">IF(A63&lt;Floor_F,EXP(-Rho_a*LN((Cap_top-A63)/(Cap_top-Floor_F))/Delta_a)*(Cost_k*Ubar_a+Delay_D+Rho_a*(-Cost_k*Delta_a*Floor_F/Rho_a))/(Ubar_a-Delta_a*A63),IF(A63=Floor_F,Cost_k,EXP(-Rho_a*LN(A63/Floor_F)/Delta_a)*(-Rho_a*(-Cost_k*Delta_a*Floor_F/Rho_a))/(Delta_a*A63)))</f>
        <v>3.35121183329326</v>
      </c>
      <c r="D63" s="15" t="n">
        <f aca="false">(IF((A63+0.0001)&lt;Floor_F,-(Cost_k*Ubar_a+Delay_D)*(1-EXP(-Rho_a*LN((Cap_top-(A63+0.0001))/(Cap_top-Floor_F))/Delta_a))/Rho_a+EXP(-Rho_a*LN((Cap_top-(A63+0.0001))/(Cap_top-Floor_F))/Delta_a)*(-Cost_k*Delta_a*Floor_F/Rho_a),EXP(-Rho_a*LN((A63+0.0001)/Floor_F)/Delta_a)*(-Cost_k*Delta_a*Floor_F/Rho_a))-IF((A63-0.0001)&lt;Floor_F,-(Cost_k*Ubar_a+Delay_D)*(1-EXP(-Rho_a*LN((Cap_top-(A63-0.0001))/(Cap_top-Floor_F))/Delta_a))/Rho_a+EXP(-Rho_a*LN((Cap_top-(A63-0.0001))/(Cap_top-Floor_F))/Delta_a)*(-Cost_k*Delta_a*Floor_F/Rho_a),EXP(-Rho_a*LN((A63-0.0001)/Floor_F)/Delta_a)*(-Cost_k*Delta_a*Floor_F/Rho_a)))/(2*0.0001)</f>
        <v>3.35121183326237</v>
      </c>
    </row>
    <row r="64" customFormat="false" ht="15" hidden="false" customHeight="false" outlineLevel="0" collapsed="false">
      <c r="A64" s="13" t="n">
        <v>60.5</v>
      </c>
      <c r="B64" s="15" t="n">
        <f aca="false">-IF(A64&lt;Floor_F,-(Cost_k*Ubar_a+Delay_D)*(1-EXP(-Rho_a*LN((Cap_top-A64)/(Cap_top-Floor_F))/Delta_a))/Rho_a+EXP(-Rho_a*LN((Cap_top-A64)/(Cap_top-Floor_F))/Delta_a)*(-Cost_k*Delta_a*Floor_F/Rho_a),EXP(-Rho_a*LN(A64/Floor_F)/Delta_a)*(-Cost_k*Delta_a*Floor_F/Rho_a))</f>
        <v>213.704302704701</v>
      </c>
      <c r="C64" s="15" t="n">
        <f aca="false">IF(A64&lt;Floor_F,EXP(-Rho_a*LN((Cap_top-A64)/(Cap_top-Floor_F))/Delta_a)*(Cost_k*Ubar_a+Delay_D+Rho_a*(-Cost_k*Delta_a*Floor_F/Rho_a))/(Ubar_a-Delta_a*A64),IF(A64=Floor_F,Cost_k,EXP(-Rho_a*LN(A64/Floor_F)/Delta_a)*(-Rho_a*(-Cost_k*Delta_a*Floor_F/Rho_a))/(Delta_a*A64)))</f>
        <v>3.32438326511987</v>
      </c>
      <c r="D64" s="15" t="n">
        <f aca="false">(IF((A64+0.0001)&lt;Floor_F,-(Cost_k*Ubar_a+Delay_D)*(1-EXP(-Rho_a*LN((Cap_top-(A64+0.0001))/(Cap_top-Floor_F))/Delta_a))/Rho_a+EXP(-Rho_a*LN((Cap_top-(A64+0.0001))/(Cap_top-Floor_F))/Delta_a)*(-Cost_k*Delta_a*Floor_F/Rho_a),EXP(-Rho_a*LN((A64+0.0001)/Floor_F)/Delta_a)*(-Cost_k*Delta_a*Floor_F/Rho_a))-IF((A64-0.0001)&lt;Floor_F,-(Cost_k*Ubar_a+Delay_D)*(1-EXP(-Rho_a*LN((Cap_top-(A64-0.0001))/(Cap_top-Floor_F))/Delta_a))/Rho_a+EXP(-Rho_a*LN((Cap_top-(A64-0.0001))/(Cap_top-Floor_F))/Delta_a)*(-Cost_k*Delta_a*Floor_F/Rho_a),EXP(-Rho_a*LN((A64-0.0001)/Floor_F)/Delta_a)*(-Cost_k*Delta_a*Floor_F/Rho_a)))/(2*0.0001)</f>
        <v>3.32438326552165</v>
      </c>
    </row>
    <row r="65" customFormat="false" ht="15" hidden="false" customHeight="false" outlineLevel="0" collapsed="false">
      <c r="A65" s="13" t="n">
        <v>60.75</v>
      </c>
      <c r="B65" s="15" t="n">
        <f aca="false">-IF(A65&lt;Floor_F,-(Cost_k*Ubar_a+Delay_D)*(1-EXP(-Rho_a*LN((Cap_top-A65)/(Cap_top-Floor_F))/Delta_a))/Rho_a+EXP(-Rho_a*LN((Cap_top-A65)/(Cap_top-Floor_F))/Delta_a)*(-Cost_k*Delta_a*Floor_F/Rho_a),EXP(-Rho_a*LN(A65/Floor_F)/Delta_a)*(-Cost_k*Delta_a*Floor_F/Rho_a))</f>
        <v>212.876526645356</v>
      </c>
      <c r="C65" s="15" t="n">
        <f aca="false">IF(A65&lt;Floor_F,EXP(-Rho_a*LN((Cap_top-A65)/(Cap_top-Floor_F))/Delta_a)*(Cost_k*Ubar_a+Delay_D+Rho_a*(-Cost_k*Delta_a*Floor_F/Rho_a))/(Ubar_a-Delta_a*A65),IF(A65=Floor_F,Cost_k,EXP(-Rho_a*LN(A65/Floor_F)/Delta_a)*(-Rho_a*(-Cost_k*Delta_a*Floor_F/Rho_a))/(Delta_a*A65)))</f>
        <v>3.29787878581343</v>
      </c>
      <c r="D65" s="15" t="n">
        <f aca="false">(IF((A65+0.0001)&lt;Floor_F,-(Cost_k*Ubar_a+Delay_D)*(1-EXP(-Rho_a*LN((Cap_top-(A65+0.0001))/(Cap_top-Floor_F))/Delta_a))/Rho_a+EXP(-Rho_a*LN((Cap_top-(A65+0.0001))/(Cap_top-Floor_F))/Delta_a)*(-Cost_k*Delta_a*Floor_F/Rho_a),EXP(-Rho_a*LN((A65+0.0001)/Floor_F)/Delta_a)*(-Cost_k*Delta_a*Floor_F/Rho_a))-IF((A65-0.0001)&lt;Floor_F,-(Cost_k*Ubar_a+Delay_D)*(1-EXP(-Rho_a*LN((Cap_top-(A65-0.0001))/(Cap_top-Floor_F))/Delta_a))/Rho_a+EXP(-Rho_a*LN((Cap_top-(A65-0.0001))/(Cap_top-Floor_F))/Delta_a)*(-Cost_k*Delta_a*Floor_F/Rho_a),EXP(-Rho_a*LN((A65-0.0001)/Floor_F)/Delta_a)*(-Cost_k*Delta_a*Floor_F/Rho_a)))/(2*0.0001)</f>
        <v>3.29787878584398</v>
      </c>
    </row>
    <row r="66" customFormat="false" ht="15" hidden="false" customHeight="false" outlineLevel="0" collapsed="false">
      <c r="A66" s="13" t="n">
        <v>61</v>
      </c>
      <c r="B66" s="15" t="n">
        <f aca="false">-IF(A66&lt;Floor_F,-(Cost_k*Ubar_a+Delay_D)*(1-EXP(-Rho_a*LN((Cap_top-A66)/(Cap_top-Floor_F))/Delta_a))/Rho_a+EXP(-Rho_a*LN((Cap_top-A66)/(Cap_top-Floor_F))/Delta_a)*(-Cost_k*Delta_a*Floor_F/Rho_a),EXP(-Rho_a*LN(A66/Floor_F)/Delta_a)*(-Cost_k*Delta_a*Floor_F/Rho_a))</f>
        <v>212.055336740068</v>
      </c>
      <c r="C66" s="15" t="n">
        <f aca="false">IF(A66&lt;Floor_F,EXP(-Rho_a*LN((Cap_top-A66)/(Cap_top-Floor_F))/Delta_a)*(Cost_k*Ubar_a+Delay_D+Rho_a*(-Cost_k*Delta_a*Floor_F/Rho_a))/(Ubar_a-Delta_a*A66),IF(A66=Floor_F,Cost_k,EXP(-Rho_a*LN(A66/Floor_F)/Delta_a)*(-Rho_a*(-Cost_k*Delta_a*Floor_F/Rho_a))/(Delta_a*A66)))</f>
        <v>3.27169317073472</v>
      </c>
      <c r="D66" s="15" t="n">
        <f aca="false">(IF((A66+0.0001)&lt;Floor_F,-(Cost_k*Ubar_a+Delay_D)*(1-EXP(-Rho_a*LN((Cap_top-(A66+0.0001))/(Cap_top-Floor_F))/Delta_a))/Rho_a+EXP(-Rho_a*LN((Cap_top-(A66+0.0001))/(Cap_top-Floor_F))/Delta_a)*(-Cost_k*Delta_a*Floor_F/Rho_a),EXP(-Rho_a*LN((A66+0.0001)/Floor_F)/Delta_a)*(-Cost_k*Delta_a*Floor_F/Rho_a))-IF((A66-0.0001)&lt;Floor_F,-(Cost_k*Ubar_a+Delay_D)*(1-EXP(-Rho_a*LN((Cap_top-(A66-0.0001))/(Cap_top-Floor_F))/Delta_a))/Rho_a+EXP(-Rho_a*LN((Cap_top-(A66-0.0001))/(Cap_top-Floor_F))/Delta_a)*(-Cost_k*Delta_a*Floor_F/Rho_a),EXP(-Rho_a*LN((A66-0.0001)/Floor_F)/Delta_a)*(-Cost_k*Delta_a*Floor_F/Rho_a)))/(2*0.0001)</f>
        <v>3.2716931708876</v>
      </c>
    </row>
    <row r="67" customFormat="false" ht="15" hidden="false" customHeight="false" outlineLevel="0" collapsed="false">
      <c r="A67" s="13" t="n">
        <v>61.25</v>
      </c>
      <c r="B67" s="15" t="n">
        <f aca="false">-IF(A67&lt;Floor_F,-(Cost_k*Ubar_a+Delay_D)*(1-EXP(-Rho_a*LN((Cap_top-A67)/(Cap_top-Floor_F))/Delta_a))/Rho_a+EXP(-Rho_a*LN((Cap_top-A67)/(Cap_top-Floor_F))/Delta_a)*(-Cost_k*Delta_a*Floor_F/Rho_a),EXP(-Rho_a*LN(A67/Floor_F)/Delta_a)*(-Cost_k*Delta_a*Floor_F/Rho_a))</f>
        <v>211.240653914877</v>
      </c>
      <c r="C67" s="15" t="n">
        <f aca="false">IF(A67&lt;Floor_F,EXP(-Rho_a*LN((Cap_top-A67)/(Cap_top-Floor_F))/Delta_a)*(Cost_k*Ubar_a+Delay_D+Rho_a*(-Cost_k*Delta_a*Floor_F/Rho_a))/(Ubar_a-Delta_a*A67),IF(A67=Floor_F,Cost_k,EXP(-Rho_a*LN(A67/Floor_F)/Delta_a)*(-Rho_a*(-Cost_k*Delta_a*Floor_F/Rho_a))/(Delta_a*A67)))</f>
        <v>3.24582130041178</v>
      </c>
      <c r="D67" s="15" t="n">
        <f aca="false">(IF((A67+0.0001)&lt;Floor_F,-(Cost_k*Ubar_a+Delay_D)*(1-EXP(-Rho_a*LN((Cap_top-(A67+0.0001))/(Cap_top-Floor_F))/Delta_a))/Rho_a+EXP(-Rho_a*LN((Cap_top-(A67+0.0001))/(Cap_top-Floor_F))/Delta_a)*(-Cost_k*Delta_a*Floor_F/Rho_a),EXP(-Rho_a*LN((A67+0.0001)/Floor_F)/Delta_a)*(-Cost_k*Delta_a*Floor_F/Rho_a))-IF((A67-0.0001)&lt;Floor_F,-(Cost_k*Ubar_a+Delay_D)*(1-EXP(-Rho_a*LN((Cap_top-(A67-0.0001))/(Cap_top-Floor_F))/Delta_a))/Rho_a+EXP(-Rho_a*LN((Cap_top-(A67-0.0001))/(Cap_top-Floor_F))/Delta_a)*(-Cost_k*Delta_a*Floor_F/Rho_a),EXP(-Rho_a*LN((A67-0.0001)/Floor_F)/Delta_a)*(-Cost_k*Delta_a*Floor_F/Rho_a)))/(2*0.0001)</f>
        <v>3.24582130062367</v>
      </c>
    </row>
    <row r="68" customFormat="false" ht="15" hidden="false" customHeight="false" outlineLevel="0" collapsed="false">
      <c r="A68" s="13" t="n">
        <v>61.5</v>
      </c>
      <c r="B68" s="15" t="n">
        <f aca="false">-IF(A68&lt;Floor_F,-(Cost_k*Ubar_a+Delay_D)*(1-EXP(-Rho_a*LN((Cap_top-A68)/(Cap_top-Floor_F))/Delta_a))/Rho_a+EXP(-Rho_a*LN((Cap_top-A68)/(Cap_top-Floor_F))/Delta_a)*(-Cost_k*Delta_a*Floor_F/Rho_a),EXP(-Rho_a*LN(A68/Floor_F)/Delta_a)*(-Cost_k*Delta_a*Floor_F/Rho_a))</f>
        <v>210.432400362814</v>
      </c>
      <c r="C68" s="15" t="n">
        <f aca="false">IF(A68&lt;Floor_F,EXP(-Rho_a*LN((Cap_top-A68)/(Cap_top-Floor_F))/Delta_a)*(Cost_k*Ubar_a+Delay_D+Rho_a*(-Cost_k*Delta_a*Floor_F/Rho_a))/(Ubar_a-Delta_a*A68),IF(A68=Floor_F,Cost_k,EXP(-Rho_a*LN(A68/Floor_F)/Delta_a)*(-Rho_a*(-Cost_k*Delta_a*Floor_F/Rho_a))/(Delta_a*A68)))</f>
        <v>3.22025815800482</v>
      </c>
      <c r="D68" s="15" t="n">
        <f aca="false">(IF((A68+0.0001)&lt;Floor_F,-(Cost_k*Ubar_a+Delay_D)*(1-EXP(-Rho_a*LN((Cap_top-(A68+0.0001))/(Cap_top-Floor_F))/Delta_a))/Rho_a+EXP(-Rho_a*LN((Cap_top-(A68+0.0001))/(Cap_top-Floor_F))/Delta_a)*(-Cost_k*Delta_a*Floor_F/Rho_a),EXP(-Rho_a*LN((A68+0.0001)/Floor_F)/Delta_a)*(-Cost_k*Delta_a*Floor_F/Rho_a))-IF((A68-0.0001)&lt;Floor_F,-(Cost_k*Ubar_a+Delay_D)*(1-EXP(-Rho_a*LN((Cap_top-(A68-0.0001))/(Cap_top-Floor_F))/Delta_a))/Rho_a+EXP(-Rho_a*LN((Cap_top-(A68-0.0001))/(Cap_top-Floor_F))/Delta_a)*(-Cost_k*Delta_a*Floor_F/Rho_a),EXP(-Rho_a*LN((A68-0.0001)/Floor_F)/Delta_a)*(-Cost_k*Delta_a*Floor_F/Rho_a)))/(2*0.0001)</f>
        <v>3.22025815819416</v>
      </c>
    </row>
    <row r="69" customFormat="false" ht="15" hidden="false" customHeight="false" outlineLevel="0" collapsed="false">
      <c r="A69" s="13" t="n">
        <v>61.75</v>
      </c>
      <c r="B69" s="15" t="n">
        <f aca="false">-IF(A69&lt;Floor_F,-(Cost_k*Ubar_a+Delay_D)*(1-EXP(-Rho_a*LN((Cap_top-A69)/(Cap_top-Floor_F))/Delta_a))/Rho_a+EXP(-Rho_a*LN((Cap_top-A69)/(Cap_top-Floor_F))/Delta_a)*(-Cost_k*Delta_a*Floor_F/Rho_a),EXP(-Rho_a*LN(A69/Floor_F)/Delta_a)*(-Cost_k*Delta_a*Floor_F/Rho_a))</f>
        <v>209.630499518543</v>
      </c>
      <c r="C69" s="15" t="n">
        <f aca="false">IF(A69&lt;Floor_F,EXP(-Rho_a*LN((Cap_top-A69)/(Cap_top-Floor_F))/Delta_a)*(Cost_k*Ubar_a+Delay_D+Rho_a*(-Cost_k*Delta_a*Floor_F/Rho_a))/(Ubar_a-Delta_a*A69),IF(A69=Floor_F,Cost_k,EXP(-Rho_a*LN(A69/Floor_F)/Delta_a)*(-Rho_a*(-Cost_k*Delta_a*Floor_F/Rho_a))/(Delta_a*A69)))</f>
        <v>3.1949988268424</v>
      </c>
      <c r="D69" s="15" t="n">
        <f aca="false">(IF((A69+0.0001)&lt;Floor_F,-(Cost_k*Ubar_a+Delay_D)*(1-EXP(-Rho_a*LN((Cap_top-(A69+0.0001))/(Cap_top-Floor_F))/Delta_a))/Rho_a+EXP(-Rho_a*LN((Cap_top-(A69+0.0001))/(Cap_top-Floor_F))/Delta_a)*(-Cost_k*Delta_a*Floor_F/Rho_a),EXP(-Rho_a*LN((A69+0.0001)/Floor_F)/Delta_a)*(-Cost_k*Delta_a*Floor_F/Rho_a))-IF((A69-0.0001)&lt;Floor_F,-(Cost_k*Ubar_a+Delay_D)*(1-EXP(-Rho_a*LN((Cap_top-(A69-0.0001))/(Cap_top-Floor_F))/Delta_a))/Rho_a+EXP(-Rho_a*LN((Cap_top-(A69-0.0001))/(Cap_top-Floor_F))/Delta_a)*(-Cost_k*Delta_a*Floor_F/Rho_a),EXP(-Rho_a*LN((A69-0.0001)/Floor_F)/Delta_a)*(-Cost_k*Delta_a*Floor_F/Rho_a)))/(2*0.0001)</f>
        <v>3.19499882692753</v>
      </c>
    </row>
    <row r="70" customFormat="false" ht="15" hidden="false" customHeight="false" outlineLevel="0" collapsed="false">
      <c r="A70" s="13" t="n">
        <v>62</v>
      </c>
      <c r="B70" s="15" t="n">
        <f aca="false">-IF(A70&lt;Floor_F,-(Cost_k*Ubar_a+Delay_D)*(1-EXP(-Rho_a*LN((Cap_top-A70)/(Cap_top-Floor_F))/Delta_a))/Rho_a+EXP(-Rho_a*LN((Cap_top-A70)/(Cap_top-Floor_F))/Delta_a)*(-Cost_k*Delta_a*Floor_F/Rho_a),EXP(-Rho_a*LN(A70/Floor_F)/Delta_a)*(-Cost_k*Delta_a*Floor_F/Rho_a))</f>
        <v>208.834876033629</v>
      </c>
      <c r="C70" s="15" t="n">
        <f aca="false">IF(A70&lt;Floor_F,EXP(-Rho_a*LN((Cap_top-A70)/(Cap_top-Floor_F))/Delta_a)*(Cost_k*Ubar_a+Delay_D+Rho_a*(-Cost_k*Delta_a*Floor_F/Rho_a))/(Ubar_a-Delta_a*A70),IF(A70=Floor_F,Cost_k,EXP(-Rho_a*LN(A70/Floor_F)/Delta_a)*(-Rho_a*(-Cost_k*Delta_a*Floor_F/Rho_a))/(Delta_a*A70)))</f>
        <v>3.17003848802626</v>
      </c>
      <c r="D70" s="15" t="n">
        <f aca="false">(IF((A70+0.0001)&lt;Floor_F,-(Cost_k*Ubar_a+Delay_D)*(1-EXP(-Rho_a*LN((Cap_top-(A70+0.0001))/(Cap_top-Floor_F))/Delta_a))/Rho_a+EXP(-Rho_a*LN((Cap_top-(A70+0.0001))/(Cap_top-Floor_F))/Delta_a)*(-Cost_k*Delta_a*Floor_F/Rho_a),EXP(-Rho_a*LN((A70+0.0001)/Floor_F)/Delta_a)*(-Cost_k*Delta_a*Floor_F/Rho_a))-IF((A70-0.0001)&lt;Floor_F,-(Cost_k*Ubar_a+Delay_D)*(1-EXP(-Rho_a*LN((Cap_top-(A70-0.0001))/(Cap_top-Floor_F))/Delta_a))/Rho_a+EXP(-Rho_a*LN((Cap_top-(A70-0.0001))/(Cap_top-Floor_F))/Delta_a)*(-Cost_k*Delta_a*Floor_F/Rho_a),EXP(-Rho_a*LN((A70-0.0001)/Floor_F)/Delta_a)*(-Cost_k*Delta_a*Floor_F/Rho_a)))/(2*0.0001)</f>
        <v>3.17003848806507</v>
      </c>
    </row>
    <row r="71" customFormat="false" ht="15" hidden="false" customHeight="false" outlineLevel="0" collapsed="false">
      <c r="A71" s="1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16" min="5" style="0" width="13"/>
  </cols>
  <sheetData>
    <row r="1" customFormat="false" ht="1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10" t="s">
        <v>139</v>
      </c>
    </row>
    <row r="4" customFormat="false" ht="23.85" hidden="false" customHeight="false" outlineLevel="0" collapsed="false">
      <c r="A4" s="8" t="s">
        <v>140</v>
      </c>
      <c r="B4" s="8" t="s">
        <v>136</v>
      </c>
      <c r="C4" s="8" t="s">
        <v>141</v>
      </c>
      <c r="D4" s="8" t="s">
        <v>142</v>
      </c>
      <c r="E4" s="8" t="s">
        <v>143</v>
      </c>
    </row>
    <row r="5" customFormat="false" ht="15" hidden="false" customHeight="false" outlineLevel="0" collapsed="false">
      <c r="A5" s="2" t="s">
        <v>144</v>
      </c>
      <c r="B5" s="20" t="n">
        <f aca="false">Prices!C4</f>
        <v>10.129670746202</v>
      </c>
      <c r="C5" s="15" t="n">
        <f aca="false">B5-Cost_k</f>
        <v>6.12967074620201</v>
      </c>
      <c r="D5" s="2" t="str">
        <f aca="false">IF(C5&gt;0.000000001,"the cap",IF(C5&lt;-0.000000001,"nothing","any rate: the rent"))</f>
        <v>the cap</v>
      </c>
      <c r="E5" s="13" t="n">
        <f aca="false">INDEX($A$10:$A$31,MATCH(MAX(B10:B31),B10:B31,0))</f>
        <v>10.127123193716</v>
      </c>
    </row>
    <row r="6" customFormat="false" ht="15" hidden="false" customHeight="false" outlineLevel="0" collapsed="false">
      <c r="A6" s="2" t="s">
        <v>145</v>
      </c>
      <c r="B6" s="15" t="n">
        <f aca="false">Cost_k</f>
        <v>4</v>
      </c>
      <c r="C6" s="15" t="n">
        <f aca="false">B6-Cost_k</f>
        <v>0</v>
      </c>
      <c r="D6" s="2" t="str">
        <f aca="false">IF(C6&gt;0.000000001,"the cap",IF(C6&lt;-0.000000001,"nothing","any rate: the rent"))</f>
        <v>any rate: the rent</v>
      </c>
      <c r="E6" s="13" t="n">
        <f aca="false">INDEX($A$10:$A$31,MATCH(MAX(C10:C31),C10:C31,0))</f>
        <v>0</v>
      </c>
    </row>
    <row r="7" customFormat="false" ht="15" hidden="false" customHeight="false" outlineLevel="0" collapsed="false">
      <c r="A7" s="2" t="s">
        <v>146</v>
      </c>
      <c r="B7" s="20" t="n">
        <f aca="false">Prices!C9</f>
        <v>3.60817056096118</v>
      </c>
      <c r="C7" s="15" t="n">
        <f aca="false">B7-Cost_k</f>
        <v>-0.391829439038823</v>
      </c>
      <c r="D7" s="2" t="str">
        <f aca="false">IF(C7&gt;0.000000001,"the cap",IF(C7&lt;-0.000000001,"nothing","any rate: the rent"))</f>
        <v>nothing</v>
      </c>
      <c r="E7" s="13" t="n">
        <f aca="false">INDEX($A$10:$A$31,MATCH(MAX(D10:D31),D10:D31,0))</f>
        <v>0</v>
      </c>
    </row>
    <row r="9" customFormat="false" ht="23.85" hidden="false" customHeight="false" outlineLevel="0" collapsed="false">
      <c r="A9" s="8" t="s">
        <v>147</v>
      </c>
      <c r="B9" s="8" t="s">
        <v>148</v>
      </c>
      <c r="C9" s="8" t="s">
        <v>149</v>
      </c>
      <c r="D9" s="8" t="s">
        <v>150</v>
      </c>
    </row>
    <row r="10" customFormat="false" ht="15" hidden="false" customHeight="false" outlineLevel="0" collapsed="false">
      <c r="A10" s="15" t="n">
        <v>0</v>
      </c>
      <c r="B10" s="15" t="n">
        <f aca="false">($B$5-Cost_k)*$A10</f>
        <v>0</v>
      </c>
      <c r="C10" s="15" t="n">
        <f aca="false">($B$6-Cost_k)*$A10</f>
        <v>0</v>
      </c>
      <c r="D10" s="15" t="n">
        <f aca="false">($B$7-Cost_k)*$A10</f>
        <v>-0</v>
      </c>
    </row>
    <row r="11" customFormat="false" ht="15" hidden="false" customHeight="false" outlineLevel="0" collapsed="false">
      <c r="A11" s="15" t="n">
        <v>0.5</v>
      </c>
      <c r="B11" s="15" t="n">
        <f aca="false">($B$5-Cost_k)*$A11</f>
        <v>3.06483537310101</v>
      </c>
      <c r="C11" s="15" t="n">
        <f aca="false">($B$6-Cost_k)*$A11</f>
        <v>0</v>
      </c>
      <c r="D11" s="15" t="n">
        <f aca="false">($B$7-Cost_k)*$A11</f>
        <v>-0.195914719519412</v>
      </c>
    </row>
    <row r="12" customFormat="false" ht="15" hidden="false" customHeight="false" outlineLevel="0" collapsed="false">
      <c r="A12" s="15" t="n">
        <v>1</v>
      </c>
      <c r="B12" s="15" t="n">
        <f aca="false">($B$5-Cost_k)*$A12</f>
        <v>6.12967074620201</v>
      </c>
      <c r="C12" s="15" t="n">
        <f aca="false">($B$6-Cost_k)*$A12</f>
        <v>0</v>
      </c>
      <c r="D12" s="15" t="n">
        <f aca="false">($B$7-Cost_k)*$A12</f>
        <v>-0.391829439038823</v>
      </c>
    </row>
    <row r="13" customFormat="false" ht="15" hidden="false" customHeight="false" outlineLevel="0" collapsed="false">
      <c r="A13" s="15" t="n">
        <v>1.5</v>
      </c>
      <c r="B13" s="15" t="n">
        <f aca="false">($B$5-Cost_k)*$A13</f>
        <v>9.19450611930302</v>
      </c>
      <c r="C13" s="15" t="n">
        <f aca="false">($B$6-Cost_k)*$A13</f>
        <v>0</v>
      </c>
      <c r="D13" s="15" t="n">
        <f aca="false">($B$7-Cost_k)*$A13</f>
        <v>-0.587744158558235</v>
      </c>
    </row>
    <row r="14" customFormat="false" ht="15" hidden="false" customHeight="false" outlineLevel="0" collapsed="false">
      <c r="A14" s="15" t="n">
        <v>2</v>
      </c>
      <c r="B14" s="15" t="n">
        <f aca="false">($B$5-Cost_k)*$A14</f>
        <v>12.259341492404</v>
      </c>
      <c r="C14" s="15" t="n">
        <f aca="false">($B$6-Cost_k)*$A14</f>
        <v>0</v>
      </c>
      <c r="D14" s="15" t="n">
        <f aca="false">($B$7-Cost_k)*$A14</f>
        <v>-0.783658878077646</v>
      </c>
    </row>
    <row r="15" customFormat="false" ht="15" hidden="false" customHeight="false" outlineLevel="0" collapsed="false">
      <c r="A15" s="15" t="n">
        <v>2.5</v>
      </c>
      <c r="B15" s="15" t="n">
        <f aca="false">($B$5-Cost_k)*$A15</f>
        <v>15.324176865505</v>
      </c>
      <c r="C15" s="15" t="n">
        <f aca="false">($B$6-Cost_k)*$A15</f>
        <v>0</v>
      </c>
      <c r="D15" s="15" t="n">
        <f aca="false">($B$7-Cost_k)*$A15</f>
        <v>-0.979573597597058</v>
      </c>
    </row>
    <row r="16" customFormat="false" ht="15" hidden="false" customHeight="false" outlineLevel="0" collapsed="false">
      <c r="A16" s="15" t="n">
        <v>3</v>
      </c>
      <c r="B16" s="15" t="n">
        <f aca="false">($B$5-Cost_k)*$A16</f>
        <v>18.389012238606</v>
      </c>
      <c r="C16" s="15" t="n">
        <f aca="false">($B$6-Cost_k)*$A16</f>
        <v>0</v>
      </c>
      <c r="D16" s="15" t="n">
        <f aca="false">($B$7-Cost_k)*$A16</f>
        <v>-1.17548831711647</v>
      </c>
    </row>
    <row r="17" customFormat="false" ht="15" hidden="false" customHeight="false" outlineLevel="0" collapsed="false">
      <c r="A17" s="15" t="n">
        <v>3.5</v>
      </c>
      <c r="B17" s="15" t="n">
        <f aca="false">($B$5-Cost_k)*$A17</f>
        <v>21.453847611707</v>
      </c>
      <c r="C17" s="15" t="n">
        <f aca="false">($B$6-Cost_k)*$A17</f>
        <v>0</v>
      </c>
      <c r="D17" s="15" t="n">
        <f aca="false">($B$7-Cost_k)*$A17</f>
        <v>-1.37140303663588</v>
      </c>
    </row>
    <row r="18" customFormat="false" ht="15" hidden="false" customHeight="false" outlineLevel="0" collapsed="false">
      <c r="A18" s="15" t="n">
        <v>4</v>
      </c>
      <c r="B18" s="15" t="n">
        <f aca="false">($B$5-Cost_k)*$A18</f>
        <v>24.5186829848081</v>
      </c>
      <c r="C18" s="15" t="n">
        <f aca="false">($B$6-Cost_k)*$A18</f>
        <v>0</v>
      </c>
      <c r="D18" s="15" t="n">
        <f aca="false">($B$7-Cost_k)*$A18</f>
        <v>-1.56731775615529</v>
      </c>
    </row>
    <row r="19" customFormat="false" ht="15" hidden="false" customHeight="false" outlineLevel="0" collapsed="false">
      <c r="A19" s="15" t="n">
        <v>4.5</v>
      </c>
      <c r="B19" s="15" t="n">
        <f aca="false">($B$5-Cost_k)*$A19</f>
        <v>27.5835183579091</v>
      </c>
      <c r="C19" s="15" t="n">
        <f aca="false">($B$6-Cost_k)*$A19</f>
        <v>0</v>
      </c>
      <c r="D19" s="15" t="n">
        <f aca="false">($B$7-Cost_k)*$A19</f>
        <v>-1.7632324756747</v>
      </c>
    </row>
    <row r="20" customFormat="false" ht="15" hidden="false" customHeight="false" outlineLevel="0" collapsed="false">
      <c r="A20" s="15" t="n">
        <v>5</v>
      </c>
      <c r="B20" s="15" t="n">
        <f aca="false">($B$5-Cost_k)*$A20</f>
        <v>30.6483537310101</v>
      </c>
      <c r="C20" s="15" t="n">
        <f aca="false">($B$6-Cost_k)*$A20</f>
        <v>0</v>
      </c>
      <c r="D20" s="15" t="n">
        <f aca="false">($B$7-Cost_k)*$A20</f>
        <v>-1.95914719519412</v>
      </c>
    </row>
    <row r="21" customFormat="false" ht="15" hidden="false" customHeight="false" outlineLevel="0" collapsed="false">
      <c r="A21" s="15" t="n">
        <v>5.5</v>
      </c>
      <c r="B21" s="15" t="n">
        <f aca="false">($B$5-Cost_k)*$A21</f>
        <v>33.7131891041111</v>
      </c>
      <c r="C21" s="15" t="n">
        <f aca="false">($B$6-Cost_k)*$A21</f>
        <v>0</v>
      </c>
      <c r="D21" s="15" t="n">
        <f aca="false">($B$7-Cost_k)*$A21</f>
        <v>-2.15506191471353</v>
      </c>
    </row>
    <row r="22" customFormat="false" ht="15" hidden="false" customHeight="false" outlineLevel="0" collapsed="false">
      <c r="A22" s="15" t="n">
        <v>6</v>
      </c>
      <c r="B22" s="15" t="n">
        <f aca="false">($B$5-Cost_k)*$A22</f>
        <v>36.7780244772121</v>
      </c>
      <c r="C22" s="15" t="n">
        <f aca="false">($B$6-Cost_k)*$A22</f>
        <v>0</v>
      </c>
      <c r="D22" s="15" t="n">
        <f aca="false">($B$7-Cost_k)*$A22</f>
        <v>-2.35097663423294</v>
      </c>
    </row>
    <row r="23" customFormat="false" ht="15" hidden="false" customHeight="false" outlineLevel="0" collapsed="false">
      <c r="A23" s="15" t="n">
        <v>6.5</v>
      </c>
      <c r="B23" s="15" t="n">
        <f aca="false">($B$5-Cost_k)*$A23</f>
        <v>39.8428598503131</v>
      </c>
      <c r="C23" s="15" t="n">
        <f aca="false">($B$6-Cost_k)*$A23</f>
        <v>0</v>
      </c>
      <c r="D23" s="15" t="n">
        <f aca="false">($B$7-Cost_k)*$A23</f>
        <v>-2.54689135375235</v>
      </c>
    </row>
    <row r="24" customFormat="false" ht="15" hidden="false" customHeight="false" outlineLevel="0" collapsed="false">
      <c r="A24" s="15" t="n">
        <v>7</v>
      </c>
      <c r="B24" s="15" t="n">
        <f aca="false">($B$5-Cost_k)*$A24</f>
        <v>42.9076952234141</v>
      </c>
      <c r="C24" s="15" t="n">
        <f aca="false">($B$6-Cost_k)*$A24</f>
        <v>0</v>
      </c>
      <c r="D24" s="15" t="n">
        <f aca="false">($B$7-Cost_k)*$A24</f>
        <v>-2.74280607327176</v>
      </c>
    </row>
    <row r="25" customFormat="false" ht="15" hidden="false" customHeight="false" outlineLevel="0" collapsed="false">
      <c r="A25" s="15" t="n">
        <v>7.5</v>
      </c>
      <c r="B25" s="15" t="n">
        <f aca="false">($B$5-Cost_k)*$A25</f>
        <v>45.9725305965151</v>
      </c>
      <c r="C25" s="15" t="n">
        <f aca="false">($B$6-Cost_k)*$A25</f>
        <v>0</v>
      </c>
      <c r="D25" s="15" t="n">
        <f aca="false">($B$7-Cost_k)*$A25</f>
        <v>-2.93872079279117</v>
      </c>
    </row>
    <row r="26" customFormat="false" ht="15" hidden="false" customHeight="false" outlineLevel="0" collapsed="false">
      <c r="A26" s="15" t="n">
        <v>8</v>
      </c>
      <c r="B26" s="15" t="n">
        <f aca="false">($B$5-Cost_k)*$A26</f>
        <v>49.0373659696161</v>
      </c>
      <c r="C26" s="15" t="n">
        <f aca="false">($B$6-Cost_k)*$A26</f>
        <v>0</v>
      </c>
      <c r="D26" s="15" t="n">
        <f aca="false">($B$7-Cost_k)*$A26</f>
        <v>-3.13463551231058</v>
      </c>
    </row>
    <row r="27" customFormat="false" ht="15" hidden="false" customHeight="false" outlineLevel="0" collapsed="false">
      <c r="A27" s="15" t="n">
        <v>8.5</v>
      </c>
      <c r="B27" s="15" t="n">
        <f aca="false">($B$5-Cost_k)*$A27</f>
        <v>52.1022013427171</v>
      </c>
      <c r="C27" s="15" t="n">
        <f aca="false">($B$6-Cost_k)*$A27</f>
        <v>0</v>
      </c>
      <c r="D27" s="15" t="n">
        <f aca="false">($B$7-Cost_k)*$A27</f>
        <v>-3.33055023183</v>
      </c>
    </row>
    <row r="28" customFormat="false" ht="15" hidden="false" customHeight="false" outlineLevel="0" collapsed="false">
      <c r="A28" s="15" t="n">
        <v>9</v>
      </c>
      <c r="B28" s="15" t="n">
        <f aca="false">($B$5-Cost_k)*$A28</f>
        <v>55.1670367158181</v>
      </c>
      <c r="C28" s="15" t="n">
        <f aca="false">($B$6-Cost_k)*$A28</f>
        <v>0</v>
      </c>
      <c r="D28" s="15" t="n">
        <f aca="false">($B$7-Cost_k)*$A28</f>
        <v>-3.52646495134941</v>
      </c>
    </row>
    <row r="29" customFormat="false" ht="15" hidden="false" customHeight="false" outlineLevel="0" collapsed="false">
      <c r="A29" s="15" t="n">
        <v>9.5</v>
      </c>
      <c r="B29" s="15" t="n">
        <f aca="false">($B$5-Cost_k)*$A29</f>
        <v>58.2318720889191</v>
      </c>
      <c r="C29" s="15" t="n">
        <f aca="false">($B$6-Cost_k)*$A29</f>
        <v>0</v>
      </c>
      <c r="D29" s="15" t="n">
        <f aca="false">($B$7-Cost_k)*$A29</f>
        <v>-3.72237967086882</v>
      </c>
    </row>
    <row r="30" customFormat="false" ht="15" hidden="false" customHeight="false" outlineLevel="0" collapsed="false">
      <c r="A30" s="15" t="n">
        <v>10</v>
      </c>
      <c r="B30" s="15" t="n">
        <f aca="false">($B$5-Cost_k)*$A30</f>
        <v>61.2967074620201</v>
      </c>
      <c r="C30" s="15" t="n">
        <f aca="false">($B$6-Cost_k)*$A30</f>
        <v>0</v>
      </c>
      <c r="D30" s="15" t="n">
        <f aca="false">($B$7-Cost_k)*$A30</f>
        <v>-3.91829439038823</v>
      </c>
    </row>
    <row r="31" customFormat="false" ht="15" hidden="false" customHeight="false" outlineLevel="0" collapsed="false">
      <c r="A31" s="15" t="n">
        <f aca="false">Ubar_a</f>
        <v>10.127123193716</v>
      </c>
      <c r="B31" s="15" t="n">
        <f aca="false">($B$5-Cost_k)*$A31</f>
        <v>62.0759307837046</v>
      </c>
      <c r="C31" s="15" t="n">
        <f aca="false">($B$6-Cost_k)*$A31</f>
        <v>0</v>
      </c>
      <c r="D31" s="15" t="n">
        <f aca="false">($B$7-Cost_k)*$A31</f>
        <v>-3.96810500007078</v>
      </c>
    </row>
    <row r="34" customFormat="false" ht="23.85" hidden="false" customHeight="false" outlineLevel="0" collapsed="false">
      <c r="A34" s="8" t="s">
        <v>151</v>
      </c>
      <c r="B34" s="8" t="s">
        <v>54</v>
      </c>
      <c r="C34" s="8" t="s">
        <v>152</v>
      </c>
      <c r="D34" s="8" t="s">
        <v>153</v>
      </c>
      <c r="E34" s="8" t="s">
        <v>154</v>
      </c>
      <c r="F34" s="8" t="s">
        <v>155</v>
      </c>
      <c r="G34" s="8" t="s">
        <v>156</v>
      </c>
      <c r="H34" s="8" t="s">
        <v>157</v>
      </c>
      <c r="I34" s="8" t="s">
        <v>158</v>
      </c>
      <c r="J34" s="8" t="s">
        <v>159</v>
      </c>
      <c r="K34" s="8" t="s">
        <v>160</v>
      </c>
      <c r="L34" s="8" t="s">
        <v>161</v>
      </c>
      <c r="M34" s="8" t="s">
        <v>162</v>
      </c>
      <c r="N34" s="8" t="s">
        <v>163</v>
      </c>
      <c r="O34" s="8" t="s">
        <v>164</v>
      </c>
      <c r="P34" s="8" t="s">
        <v>165</v>
      </c>
    </row>
    <row r="35" customFormat="false" ht="15" hidden="false" customHeight="false" outlineLevel="0" collapsed="false">
      <c r="A35" s="16" t="n">
        <v>0</v>
      </c>
      <c r="B35" s="15" t="n">
        <f aca="false">A35/4</f>
        <v>0</v>
      </c>
      <c r="C35" s="15" t="n">
        <f aca="false">IF(B35&lt;Tau_race,Cap_top-(Cap_top-C_gone)*EXP(-Delta_a*B35),Floor_F)</f>
        <v>53</v>
      </c>
      <c r="D35" s="15" t="n">
        <f aca="false">IF(B35&lt;Tau_race,IF(C35&lt;Floor_F,EXP(-Rho_a*LN((Cap_top-C35)/(Cap_top-Floor_F))/Delta_a)*(Cost_k*Ubar_a+Delay_D+Rho_a*(-Cost_k*Delta_a*Floor_F/Rho_a))/(Ubar_a-Delta_a*C35),IF(C35=Floor_F,Cost_k,EXP(-Rho_a*LN(C35/Floor_F)/Delta_a)*(-Rho_a*(-Cost_k*Delta_a*Floor_F/Rho_a))/(Delta_a*C35))),Cost_k)</f>
        <v>10.129670746202</v>
      </c>
      <c r="E35" s="15" t="n">
        <f aca="false">D35-Cost_k</f>
        <v>6.12967074620201</v>
      </c>
      <c r="F35" s="15" t="n">
        <f aca="false">IF(E35&gt;0.000000001,Ubar_a,IF(E35&lt;-0.000000001,0,Delta_a*Floor_F))</f>
        <v>10.127123193716</v>
      </c>
      <c r="G35" s="15" t="n">
        <f aca="false">MAX(-Delay_D*IF(B35&lt;Tau_race,1,0)-D35*Delta_a*C35,-Cost_k*Ubar_a-Delay_D*IF(B35&lt;Tau_race,1,0)+D35*(Ubar_a-Delta_a*C35))</f>
        <v>-24.2938137023367</v>
      </c>
      <c r="H35" s="15" t="n">
        <f aca="false">Rho_a*IF(B35&lt;Tau_race,IF(C35&lt;Floor_F,-(Cost_k*Ubar_a+Delay_D)*(1-EXP(-Rho_a*LN((Cap_top-C35)/(Cap_top-Floor_F))/Delta_a))/Rho_a+EXP(-Rho_a*LN((Cap_top-C35)/(Cap_top-Floor_F))/Delta_a)*(-Cost_k*Delta_a*Floor_F/Rho_a),EXP(-Rho_a*LN(C35/Floor_F)/Delta_a)*(-Cost_k*Delta_a*Floor_F/Rho_a)),V_F)</f>
        <v>-24.2938137023367</v>
      </c>
      <c r="I35" s="18" t="n">
        <f aca="false">ABS(G35-H35)</f>
        <v>0</v>
      </c>
      <c r="J35" s="15" t="n">
        <f aca="false">IF(B35&lt;Tau_drift,C_kept*EXP(-Delta_a*B35),Floor_F)</f>
        <v>58</v>
      </c>
      <c r="K35" s="15" t="n">
        <f aca="false">IF(B35&lt;Tau_drift,IF(J35&lt;Floor_F,EXP(-Rho_a*LN((Cap_top-J35)/(Cap_top-Floor_F))/Delta_a)*(Cost_k*Ubar_a+Delay_D+Rho_a*(-Cost_k*Delta_a*Floor_F/Rho_a))/(Ubar_a-Delta_a*J35),IF(J35=Floor_F,Cost_k,EXP(-Rho_a*LN(J35/Floor_F)/Delta_a)*(-Rho_a*(-Cost_k*Delta_a*Floor_F/Rho_a))/(Delta_a*J35))),Cost_k)</f>
        <v>3.60817056096118</v>
      </c>
      <c r="L35" s="15" t="n">
        <f aca="false">K35-Cost_k</f>
        <v>-0.391829439038823</v>
      </c>
      <c r="M35" s="15" t="n">
        <f aca="false">IF(L35&gt;0.000000001,Ubar_a,IF(L35&lt;-0.000000001,0,Delta_a*Floor_F))</f>
        <v>0</v>
      </c>
      <c r="N35" s="15" t="n">
        <f aca="false">MAX(-Delay_D*0-K35*Delta_a*J35,-Cost_k*Ubar_a-Delay_D*0+K35*(Ubar_a-Delta_a*J35))</f>
        <v>-21.19342490938</v>
      </c>
      <c r="O35" s="15" t="n">
        <f aca="false">Rho_a*IF(B35&lt;Tau_drift,IF(J35&lt;Floor_F,-(Cost_k*Ubar_a+Delay_D)*(1-EXP(-Rho_a*LN((Cap_top-J35)/(Cap_top-Floor_F))/Delta_a))/Rho_a+EXP(-Rho_a*LN((Cap_top-J35)/(Cap_top-Floor_F))/Delta_a)*(-Cost_k*Delta_a*Floor_F/Rho_a),EXP(-Rho_a*LN(J35/Floor_F)/Delta_a)*(-Cost_k*Delta_a*Floor_F/Rho_a)),V_F)</f>
        <v>-21.19342490938</v>
      </c>
      <c r="P35" s="18" t="n">
        <f aca="false">ABS(N35-O35)</f>
        <v>0</v>
      </c>
    </row>
    <row r="36" customFormat="false" ht="15" hidden="false" customHeight="false" outlineLevel="0" collapsed="false">
      <c r="A36" s="16" t="n">
        <v>0.5</v>
      </c>
      <c r="B36" s="15" t="n">
        <f aca="false">A36/4</f>
        <v>0.125</v>
      </c>
      <c r="C36" s="15" t="n">
        <f aca="false">IF(B36&lt;Tau_race,Cap_top-(Cap_top-C_gone)*EXP(-Delta_a*B36),Floor_F)</f>
        <v>53.591218503391</v>
      </c>
      <c r="D36" s="15" t="n">
        <f aca="false">IF(B36&lt;Tau_race,IF(C36&lt;Floor_F,EXP(-Rho_a*LN((Cap_top-C36)/(Cap_top-Floor_F))/Delta_a)*(Cost_k*Ubar_a+Delay_D+Rho_a*(-Cost_k*Delta_a*Floor_F/Rho_a))/(Ubar_a-Delta_a*C36),IF(C36=Floor_F,Cost_k,EXP(-Rho_a*LN(C36/Floor_F)/Delta_a)*(-Rho_a*(-Cost_k*Delta_a*Floor_F/Rho_a))/(Delta_a*C36))),Cost_k)</f>
        <v>10.3816673032623</v>
      </c>
      <c r="E36" s="15" t="n">
        <f aca="false">D36-Cost_k</f>
        <v>6.38166730326226</v>
      </c>
      <c r="F36" s="15" t="n">
        <f aca="false">IF(E36&gt;0.000000001,Ubar_a,IF(E36&lt;-0.000000001,0,Delta_a*Floor_F))</f>
        <v>10.127123193716</v>
      </c>
      <c r="G36" s="15" t="n">
        <f aca="false">MAX(-Delay_D*IF(B36&lt;Tau_race,1,0)-D36*Delta_a*C36,-Cost_k*Ubar_a-Delay_D*IF(B36&lt;Tau_race,1,0)+D36*(Ubar_a-Delta_a*C36))</f>
        <v>-23.7159596097308</v>
      </c>
      <c r="H36" s="15" t="n">
        <f aca="false">Rho_a*IF(B36&lt;Tau_race,IF(C36&lt;Floor_F,-(Cost_k*Ubar_a+Delay_D)*(1-EXP(-Rho_a*LN((Cap_top-C36)/(Cap_top-Floor_F))/Delta_a))/Rho_a+EXP(-Rho_a*LN((Cap_top-C36)/(Cap_top-Floor_F))/Delta_a)*(-Cost_k*Delta_a*Floor_F/Rho_a),EXP(-Rho_a*LN(C36/Floor_F)/Delta_a)*(-Cost_k*Delta_a*Floor_F/Rho_a)),V_F)</f>
        <v>-23.7159596097308</v>
      </c>
      <c r="I36" s="18" t="n">
        <f aca="false">ABS(G36-H36)</f>
        <v>0</v>
      </c>
      <c r="J36" s="15" t="n">
        <f aca="false">IF(B36&lt;Tau_drift,C_kept*EXP(-Delta_a*B36),Floor_F)</f>
        <v>57.2704112085813</v>
      </c>
      <c r="K36" s="15" t="n">
        <f aca="false">IF(B36&lt;Tau_drift,IF(J36&lt;Floor_F,EXP(-Rho_a*LN((Cap_top-J36)/(Cap_top-Floor_F))/Delta_a)*(Cost_k*Ubar_a+Delay_D+Rho_a*(-Cost_k*Delta_a*Floor_F/Rho_a))/(Ubar_a-Delta_a*J36),IF(J36=Floor_F,Cost_k,EXP(-Rho_a*LN(J36/Floor_F)/Delta_a)*(-Rho_a*(-Cost_k*Delta_a*Floor_F/Rho_a))/(Delta_a*J36))),Cost_k)</f>
        <v>3.69793128284735</v>
      </c>
      <c r="L36" s="15" t="n">
        <f aca="false">K36-Cost_k</f>
        <v>-0.302068717152648</v>
      </c>
      <c r="M36" s="15" t="n">
        <f aca="false">IF(L36&gt;0.000000001,Ubar_a,IF(L36&lt;-0.000000001,0,Delta_a*Floor_F))</f>
        <v>0</v>
      </c>
      <c r="N36" s="15" t="n">
        <f aca="false">MAX(-Delay_D*0-K36*Delta_a*J36,-Cost_k*Ubar_a-Delay_D*0+K36*(Ubar_a-Delta_a*J36))</f>
        <v>-21.4474286185366</v>
      </c>
      <c r="O36" s="15" t="n">
        <f aca="false">Rho_a*IF(B36&lt;Tau_drift,IF(J36&lt;Floor_F,-(Cost_k*Ubar_a+Delay_D)*(1-EXP(-Rho_a*LN((Cap_top-J36)/(Cap_top-Floor_F))/Delta_a))/Rho_a+EXP(-Rho_a*LN((Cap_top-J36)/(Cap_top-Floor_F))/Delta_a)*(-Cost_k*Delta_a*Floor_F/Rho_a),EXP(-Rho_a*LN(J36/Floor_F)/Delta_a)*(-Cost_k*Delta_a*Floor_F/Rho_a)),V_F)</f>
        <v>-21.4474286185366</v>
      </c>
      <c r="P36" s="18" t="n">
        <f aca="false">ABS(N36-O36)</f>
        <v>0</v>
      </c>
    </row>
    <row r="37" customFormat="false" ht="15" hidden="false" customHeight="false" outlineLevel="0" collapsed="false">
      <c r="A37" s="16" t="n">
        <v>1</v>
      </c>
      <c r="B37" s="15" t="n">
        <f aca="false">A37/4</f>
        <v>0.25</v>
      </c>
      <c r="C37" s="15" t="n">
        <f aca="false">IF(B37&lt;Tau_race,Cap_top-(Cap_top-C_gone)*EXP(-Delta_a*B37),Floor_F)</f>
        <v>54.175</v>
      </c>
      <c r="D37" s="15" t="n">
        <f aca="false">IF(B37&lt;Tau_race,IF(C37&lt;Floor_F,EXP(-Rho_a*LN((Cap_top-C37)/(Cap_top-Floor_F))/Delta_a)*(Cost_k*Ubar_a+Delay_D+Rho_a*(-Cost_k*Delta_a*Floor_F/Rho_a))/(Ubar_a-Delta_a*C37),IF(C37=Floor_F,Cost_k,EXP(-Rho_a*LN(C37/Floor_F)/Delta_a)*(-Rho_a*(-Cost_k*Delta_a*Floor_F/Rho_a))/(Delta_a*C37))),Cost_k)</f>
        <v>10.6399327970295</v>
      </c>
      <c r="E37" s="15" t="n">
        <f aca="false">D37-Cost_k</f>
        <v>6.63993279702947</v>
      </c>
      <c r="F37" s="15" t="n">
        <f aca="false">IF(E37&gt;0.000000001,Ubar_a,IF(E37&lt;-0.000000001,0,Delta_a*Floor_F))</f>
        <v>10.127123193716</v>
      </c>
      <c r="G37" s="15" t="n">
        <f aca="false">MAX(-Delay_D*IF(B37&lt;Tau_race,1,0)-D37*Delta_a*C37,-Cost_k*Ubar_a-Delay_D*IF(B37&lt;Tau_race,1,0)+D37*(Ubar_a-Delta_a*C37))</f>
        <v>-23.1311799218754</v>
      </c>
      <c r="H37" s="15" t="n">
        <f aca="false">Rho_a*IF(B37&lt;Tau_race,IF(C37&lt;Floor_F,-(Cost_k*Ubar_a+Delay_D)*(1-EXP(-Rho_a*LN((Cap_top-C37)/(Cap_top-Floor_F))/Delta_a))/Rho_a+EXP(-Rho_a*LN((Cap_top-C37)/(Cap_top-Floor_F))/Delta_a)*(-Cost_k*Delta_a*Floor_F/Rho_a),EXP(-Rho_a*LN(C37/Floor_F)/Delta_a)*(-Cost_k*Delta_a*Floor_F/Rho_a)),V_F)</f>
        <v>-23.1311799218754</v>
      </c>
      <c r="I37" s="18" t="n">
        <f aca="false">ABS(G37-H37)</f>
        <v>0</v>
      </c>
      <c r="J37" s="15" t="n">
        <f aca="false">IF(B37&lt;Tau_drift,C_kept*EXP(-Delta_a*B37),Floor_F)</f>
        <v>56.55</v>
      </c>
      <c r="K37" s="15" t="n">
        <f aca="false">IF(B37&lt;Tau_drift,IF(J37&lt;Floor_F,EXP(-Rho_a*LN((Cap_top-J37)/(Cap_top-Floor_F))/Delta_a)*(Cost_k*Ubar_a+Delay_D+Rho_a*(-Cost_k*Delta_a*Floor_F/Rho_a))/(Ubar_a-Delta_a*J37),IF(J37=Floor_F,Cost_k,EXP(-Rho_a*LN(J37/Floor_F)/Delta_a)*(-Rho_a*(-Cost_k*Delta_a*Floor_F/Rho_a))/(Delta_a*J37))),Cost_k)</f>
        <v>3.78992498875061</v>
      </c>
      <c r="L37" s="15" t="n">
        <f aca="false">K37-Cost_k</f>
        <v>-0.210075011249392</v>
      </c>
      <c r="M37" s="15" t="n">
        <f aca="false">IF(L37&gt;0.000000001,Ubar_a,IF(L37&lt;-0.000000001,0,Delta_a*Floor_F))</f>
        <v>0</v>
      </c>
      <c r="N37" s="15" t="n">
        <f aca="false">MAX(-Delay_D*0-K37*Delta_a*J37,-Cost_k*Ubar_a-Delay_D*0+K37*(Ubar_a-Delta_a*J37))</f>
        <v>-21.7044765682793</v>
      </c>
      <c r="O37" s="15" t="n">
        <f aca="false">Rho_a*IF(B37&lt;Tau_drift,IF(J37&lt;Floor_F,-(Cost_k*Ubar_a+Delay_D)*(1-EXP(-Rho_a*LN((Cap_top-J37)/(Cap_top-Floor_F))/Delta_a))/Rho_a+EXP(-Rho_a*LN((Cap_top-J37)/(Cap_top-Floor_F))/Delta_a)*(-Cost_k*Delta_a*Floor_F/Rho_a),EXP(-Rho_a*LN(J37/Floor_F)/Delta_a)*(-Cost_k*Delta_a*Floor_F/Rho_a)),V_F)</f>
        <v>-21.7044765682793</v>
      </c>
      <c r="P37" s="18" t="n">
        <f aca="false">ABS(N37-O37)</f>
        <v>0</v>
      </c>
    </row>
    <row r="38" customFormat="false" ht="15" hidden="false" customHeight="false" outlineLevel="0" collapsed="false">
      <c r="A38" s="16" t="n">
        <v>1.5</v>
      </c>
      <c r="B38" s="15" t="n">
        <f aca="false">A38/4</f>
        <v>0.375</v>
      </c>
      <c r="C38" s="15" t="n">
        <f aca="false">IF(B38&lt;Tau_race,Cap_top-(Cap_top-C_gone)*EXP(-Delta_a*B38),Floor_F)</f>
        <v>54.7514380408062</v>
      </c>
      <c r="D38" s="15" t="n">
        <f aca="false">IF(B38&lt;Tau_race,IF(C38&lt;Floor_F,EXP(-Rho_a*LN((Cap_top-C38)/(Cap_top-Floor_F))/Delta_a)*(Cost_k*Ubar_a+Delay_D+Rho_a*(-Cost_k*Delta_a*Floor_F/Rho_a))/(Ubar_a-Delta_a*C38),IF(C38=Floor_F,Cost_k,EXP(-Rho_a*LN(C38/Floor_F)/Delta_a)*(-Rho_a*(-Cost_k*Delta_a*Floor_F/Rho_a))/(Delta_a*C38))),Cost_k)</f>
        <v>10.9046231802988</v>
      </c>
      <c r="E38" s="15" t="n">
        <f aca="false">D38-Cost_k</f>
        <v>6.90462318029875</v>
      </c>
      <c r="F38" s="15" t="n">
        <f aca="false">IF(E38&gt;0.000000001,Ubar_a,IF(E38&lt;-0.000000001,0,Delta_a*Floor_F))</f>
        <v>10.127123193716</v>
      </c>
      <c r="G38" s="15" t="n">
        <f aca="false">MAX(-Delay_D*IF(B38&lt;Tau_race,1,0)-D38*Delta_a*C38,-Cost_k*Ubar_a-Delay_D*IF(B38&lt;Tau_race,1,0)+D38*(Ubar_a-Delta_a*C38))</f>
        <v>-22.5393916353443</v>
      </c>
      <c r="H38" s="15" t="n">
        <f aca="false">Rho_a*IF(B38&lt;Tau_race,IF(C38&lt;Floor_F,-(Cost_k*Ubar_a+Delay_D)*(1-EXP(-Rho_a*LN((Cap_top-C38)/(Cap_top-Floor_F))/Delta_a))/Rho_a+EXP(-Rho_a*LN((Cap_top-C38)/(Cap_top-Floor_F))/Delta_a)*(-Cost_k*Delta_a*Floor_F/Rho_a),EXP(-Rho_a*LN(C38/Floor_F)/Delta_a)*(-Cost_k*Delta_a*Floor_F/Rho_a)),V_F)</f>
        <v>-22.5393916353443</v>
      </c>
      <c r="I38" s="18" t="n">
        <f aca="false">ABS(G38-H38)</f>
        <v>0</v>
      </c>
      <c r="J38" s="15" t="n">
        <f aca="false">IF(B38&lt;Tau_drift,C_kept*EXP(-Delta_a*B38),Floor_F)</f>
        <v>55.8386509283668</v>
      </c>
      <c r="K38" s="15" t="n">
        <f aca="false">IF(B38&lt;Tau_drift,IF(J38&lt;Floor_F,EXP(-Rho_a*LN((Cap_top-J38)/(Cap_top-Floor_F))/Delta_a)*(Cost_k*Ubar_a+Delay_D+Rho_a*(-Cost_k*Delta_a*Floor_F/Rho_a))/(Ubar_a-Delta_a*J38),IF(J38=Floor_F,Cost_k,EXP(-Rho_a*LN(J38/Floor_F)/Delta_a)*(-Rho_a*(-Cost_k*Delta_a*Floor_F/Rho_a))/(Delta_a*J38))),Cost_k)</f>
        <v>3.884207228777</v>
      </c>
      <c r="L38" s="15" t="n">
        <f aca="false">K38-Cost_k</f>
        <v>-0.115792771222998</v>
      </c>
      <c r="M38" s="15" t="n">
        <f aca="false">IF(L38&gt;0.000000001,Ubar_a,IF(L38&lt;-0.000000001,0,Delta_a*Floor_F))</f>
        <v>0</v>
      </c>
      <c r="N38" s="15" t="n">
        <f aca="false">MAX(-Delay_D*0-K38*Delta_a*J38,-Cost_k*Ubar_a-Delay_D*0+K38*(Ubar_a-Delta_a*J38))</f>
        <v>-21.9646052439049</v>
      </c>
      <c r="O38" s="15" t="n">
        <f aca="false">Rho_a*IF(B38&lt;Tau_drift,IF(J38&lt;Floor_F,-(Cost_k*Ubar_a+Delay_D)*(1-EXP(-Rho_a*LN((Cap_top-J38)/(Cap_top-Floor_F))/Delta_a))/Rho_a+EXP(-Rho_a*LN((Cap_top-J38)/(Cap_top-Floor_F))/Delta_a)*(-Cost_k*Delta_a*Floor_F/Rho_a),EXP(-Rho_a*LN(J38/Floor_F)/Delta_a)*(-Cost_k*Delta_a*Floor_F/Rho_a)),V_F)</f>
        <v>-21.9646052439049</v>
      </c>
      <c r="P38" s="18" t="n">
        <f aca="false">ABS(N38-O38)</f>
        <v>0</v>
      </c>
    </row>
    <row r="39" customFormat="false" ht="15" hidden="false" customHeight="false" outlineLevel="0" collapsed="false">
      <c r="A39" s="16" t="n">
        <v>2</v>
      </c>
      <c r="B39" s="15" t="n">
        <f aca="false">A39/4</f>
        <v>0.5</v>
      </c>
      <c r="C39" s="15" t="n">
        <f aca="false">IF(B39&lt;Tau_race,Cap_top-(Cap_top-C_gone)*EXP(-Delta_a*B39),Floor_F)</f>
        <v>55</v>
      </c>
      <c r="D39" s="15" t="n">
        <f aca="false">IF(B39&lt;Tau_race,IF(C39&lt;Floor_F,EXP(-Rho_a*LN((Cap_top-C39)/(Cap_top-Floor_F))/Delta_a)*(Cost_k*Ubar_a+Delay_D+Rho_a*(-Cost_k*Delta_a*Floor_F/Rho_a))/(Ubar_a-Delta_a*C39),IF(C39=Floor_F,Cost_k,EXP(-Rho_a*LN(C39/Floor_F)/Delta_a)*(-Rho_a*(-Cost_k*Delta_a*Floor_F/Rho_a))/(Delta_a*C39))),Cost_k)</f>
        <v>4</v>
      </c>
      <c r="E39" s="15" t="n">
        <f aca="false">D39-Cost_k</f>
        <v>0</v>
      </c>
      <c r="F39" s="15" t="n">
        <f aca="false">IF(E39&gt;0.000000001,Ubar_a,IF(E39&lt;-0.000000001,0,Delta_a*Floor_F))</f>
        <v>5.56991775654378</v>
      </c>
      <c r="G39" s="15" t="n">
        <f aca="false">MAX(-Delay_D*IF(B39&lt;Tau_race,1,0)-D39*Delta_a*C39,-Cost_k*Ubar_a-Delay_D*IF(B39&lt;Tau_race,1,0)+D39*(Ubar_a-Delta_a*C39))</f>
        <v>-22.2796710261751</v>
      </c>
      <c r="H39" s="15" t="n">
        <f aca="false">Rho_a*IF(B39&lt;Tau_race,IF(C39&lt;Floor_F,-(Cost_k*Ubar_a+Delay_D)*(1-EXP(-Rho_a*LN((Cap_top-C39)/(Cap_top-Floor_F))/Delta_a))/Rho_a+EXP(-Rho_a*LN((Cap_top-C39)/(Cap_top-Floor_F))/Delta_a)*(-Cost_k*Delta_a*Floor_F/Rho_a),EXP(-Rho_a*LN(C39/Floor_F)/Delta_a)*(-Cost_k*Delta_a*Floor_F/Rho_a)),V_F)</f>
        <v>-22.2796710261751</v>
      </c>
      <c r="I39" s="18" t="n">
        <f aca="false">ABS(G39-H39)</f>
        <v>0</v>
      </c>
      <c r="J39" s="15" t="n">
        <f aca="false">IF(B39&lt;Tau_drift,C_kept*EXP(-Delta_a*B39),Floor_F)</f>
        <v>55.13625</v>
      </c>
      <c r="K39" s="15" t="n">
        <f aca="false">IF(B39&lt;Tau_drift,IF(J39&lt;Floor_F,EXP(-Rho_a*LN((Cap_top-J39)/(Cap_top-Floor_F))/Delta_a)*(Cost_k*Ubar_a+Delay_D+Rho_a*(-Cost_k*Delta_a*Floor_F/Rho_a))/(Ubar_a-Delta_a*J39),IF(J39=Floor_F,Cost_k,EXP(-Rho_a*LN(J39/Floor_F)/Delta_a)*(-Rho_a*(-Cost_k*Delta_a*Floor_F/Rho_a))/(Delta_a*J39))),Cost_k)</f>
        <v>3.98083493495663</v>
      </c>
      <c r="L39" s="15" t="n">
        <f aca="false">K39-Cost_k</f>
        <v>-0.0191650650433739</v>
      </c>
      <c r="M39" s="15" t="n">
        <f aca="false">IF(L39&gt;0.000000001,Ubar_a,IF(L39&lt;-0.000000001,0,Delta_a*Floor_F))</f>
        <v>0</v>
      </c>
      <c r="N39" s="15" t="n">
        <f aca="false">MAX(-Delay_D*0-K39*Delta_a*J39,-Cost_k*Ubar_a-Delay_D*0+K39*(Ubar_a-Delta_a*J39))</f>
        <v>-22.2278515679874</v>
      </c>
      <c r="O39" s="15" t="n">
        <f aca="false">Rho_a*IF(B39&lt;Tau_drift,IF(J39&lt;Floor_F,-(Cost_k*Ubar_a+Delay_D)*(1-EXP(-Rho_a*LN((Cap_top-J39)/(Cap_top-Floor_F))/Delta_a))/Rho_a+EXP(-Rho_a*LN((Cap_top-J39)/(Cap_top-Floor_F))/Delta_a)*(-Cost_k*Delta_a*Floor_F/Rho_a),EXP(-Rho_a*LN(J39/Floor_F)/Delta_a)*(-Cost_k*Delta_a*Floor_F/Rho_a)),V_F)</f>
        <v>-22.2278515679874</v>
      </c>
      <c r="P39" s="18" t="n">
        <f aca="false">ABS(N39-O39)</f>
        <v>0</v>
      </c>
    </row>
    <row r="40" customFormat="false" ht="15" hidden="false" customHeight="false" outlineLevel="0" collapsed="false">
      <c r="A40" s="16" t="n">
        <v>2.5</v>
      </c>
      <c r="B40" s="15" t="n">
        <f aca="false">A40/4</f>
        <v>0.625</v>
      </c>
      <c r="C40" s="15" t="n">
        <f aca="false">IF(B40&lt;Tau_race,Cap_top-(Cap_top-C_gone)*EXP(-Delta_a*B40),Floor_F)</f>
        <v>55</v>
      </c>
      <c r="D40" s="15" t="n">
        <f aca="false">IF(B40&lt;Tau_race,IF(C40&lt;Floor_F,EXP(-Rho_a*LN((Cap_top-C40)/(Cap_top-Floor_F))/Delta_a)*(Cost_k*Ubar_a+Delay_D+Rho_a*(-Cost_k*Delta_a*Floor_F/Rho_a))/(Ubar_a-Delta_a*C40),IF(C40=Floor_F,Cost_k,EXP(-Rho_a*LN(C40/Floor_F)/Delta_a)*(-Rho_a*(-Cost_k*Delta_a*Floor_F/Rho_a))/(Delta_a*C40))),Cost_k)</f>
        <v>4</v>
      </c>
      <c r="E40" s="15" t="n">
        <f aca="false">D40-Cost_k</f>
        <v>0</v>
      </c>
      <c r="F40" s="15" t="n">
        <f aca="false">IF(E40&gt;0.000000001,Ubar_a,IF(E40&lt;-0.000000001,0,Delta_a*Floor_F))</f>
        <v>5.56991775654378</v>
      </c>
      <c r="G40" s="15" t="n">
        <f aca="false">MAX(-Delay_D*IF(B40&lt;Tau_race,1,0)-D40*Delta_a*C40,-Cost_k*Ubar_a-Delay_D*IF(B40&lt;Tau_race,1,0)+D40*(Ubar_a-Delta_a*C40))</f>
        <v>-22.2796710261751</v>
      </c>
      <c r="H40" s="15" t="n">
        <f aca="false">Rho_a*IF(B40&lt;Tau_race,IF(C40&lt;Floor_F,-(Cost_k*Ubar_a+Delay_D)*(1-EXP(-Rho_a*LN((Cap_top-C40)/(Cap_top-Floor_F))/Delta_a))/Rho_a+EXP(-Rho_a*LN((Cap_top-C40)/(Cap_top-Floor_F))/Delta_a)*(-Cost_k*Delta_a*Floor_F/Rho_a),EXP(-Rho_a*LN(C40/Floor_F)/Delta_a)*(-Cost_k*Delta_a*Floor_F/Rho_a)),V_F)</f>
        <v>-22.2796710261751</v>
      </c>
      <c r="I40" s="18" t="n">
        <f aca="false">ABS(G40-H40)</f>
        <v>0</v>
      </c>
      <c r="J40" s="15" t="n">
        <f aca="false">IF(B40&lt;Tau_drift,C_kept*EXP(-Delta_a*B40),Floor_F)</f>
        <v>55</v>
      </c>
      <c r="K40" s="15" t="n">
        <f aca="false">IF(B40&lt;Tau_drift,IF(J40&lt;Floor_F,EXP(-Rho_a*LN((Cap_top-J40)/(Cap_top-Floor_F))/Delta_a)*(Cost_k*Ubar_a+Delay_D+Rho_a*(-Cost_k*Delta_a*Floor_F/Rho_a))/(Ubar_a-Delta_a*J40),IF(J40=Floor_F,Cost_k,EXP(-Rho_a*LN(J40/Floor_F)/Delta_a)*(-Rho_a*(-Cost_k*Delta_a*Floor_F/Rho_a))/(Delta_a*J40))),Cost_k)</f>
        <v>4</v>
      </c>
      <c r="L40" s="15" t="n">
        <f aca="false">K40-Cost_k</f>
        <v>0</v>
      </c>
      <c r="M40" s="15" t="n">
        <f aca="false">IF(L40&gt;0.000000001,Ubar_a,IF(L40&lt;-0.000000001,0,Delta_a*Floor_F))</f>
        <v>5.56991775654378</v>
      </c>
      <c r="N40" s="15" t="n">
        <f aca="false">MAX(-Delay_D*0-K40*Delta_a*J40,-Cost_k*Ubar_a-Delay_D*0+K40*(Ubar_a-Delta_a*J40))</f>
        <v>-22.2796710261751</v>
      </c>
      <c r="O40" s="15" t="n">
        <f aca="false">Rho_a*IF(B40&lt;Tau_drift,IF(J40&lt;Floor_F,-(Cost_k*Ubar_a+Delay_D)*(1-EXP(-Rho_a*LN((Cap_top-J40)/(Cap_top-Floor_F))/Delta_a))/Rho_a+EXP(-Rho_a*LN((Cap_top-J40)/(Cap_top-Floor_F))/Delta_a)*(-Cost_k*Delta_a*Floor_F/Rho_a),EXP(-Rho_a*LN(J40/Floor_F)/Delta_a)*(-Cost_k*Delta_a*Floor_F/Rho_a)),V_F)</f>
        <v>-22.2796710261751</v>
      </c>
      <c r="P40" s="18" t="n">
        <f aca="false">ABS(N40-O40)</f>
        <v>0</v>
      </c>
    </row>
    <row r="41" customFormat="false" ht="15" hidden="false" customHeight="false" outlineLevel="0" collapsed="false">
      <c r="A41" s="16" t="n">
        <v>3</v>
      </c>
      <c r="B41" s="15" t="n">
        <f aca="false">A41/4</f>
        <v>0.75</v>
      </c>
      <c r="C41" s="15" t="n">
        <f aca="false">IF(B41&lt;Tau_race,Cap_top-(Cap_top-C_gone)*EXP(-Delta_a*B41),Floor_F)</f>
        <v>55</v>
      </c>
      <c r="D41" s="15" t="n">
        <f aca="false">IF(B41&lt;Tau_race,IF(C41&lt;Floor_F,EXP(-Rho_a*LN((Cap_top-C41)/(Cap_top-Floor_F))/Delta_a)*(Cost_k*Ubar_a+Delay_D+Rho_a*(-Cost_k*Delta_a*Floor_F/Rho_a))/(Ubar_a-Delta_a*C41),IF(C41=Floor_F,Cost_k,EXP(-Rho_a*LN(C41/Floor_F)/Delta_a)*(-Rho_a*(-Cost_k*Delta_a*Floor_F/Rho_a))/(Delta_a*C41))),Cost_k)</f>
        <v>4</v>
      </c>
      <c r="E41" s="15" t="n">
        <f aca="false">D41-Cost_k</f>
        <v>0</v>
      </c>
      <c r="F41" s="15" t="n">
        <f aca="false">IF(E41&gt;0.000000001,Ubar_a,IF(E41&lt;-0.000000001,0,Delta_a*Floor_F))</f>
        <v>5.56991775654378</v>
      </c>
      <c r="G41" s="15" t="n">
        <f aca="false">MAX(-Delay_D*IF(B41&lt;Tau_race,1,0)-D41*Delta_a*C41,-Cost_k*Ubar_a-Delay_D*IF(B41&lt;Tau_race,1,0)+D41*(Ubar_a-Delta_a*C41))</f>
        <v>-22.2796710261751</v>
      </c>
      <c r="H41" s="15" t="n">
        <f aca="false">Rho_a*IF(B41&lt;Tau_race,IF(C41&lt;Floor_F,-(Cost_k*Ubar_a+Delay_D)*(1-EXP(-Rho_a*LN((Cap_top-C41)/(Cap_top-Floor_F))/Delta_a))/Rho_a+EXP(-Rho_a*LN((Cap_top-C41)/(Cap_top-Floor_F))/Delta_a)*(-Cost_k*Delta_a*Floor_F/Rho_a),EXP(-Rho_a*LN(C41/Floor_F)/Delta_a)*(-Cost_k*Delta_a*Floor_F/Rho_a)),V_F)</f>
        <v>-22.2796710261751</v>
      </c>
      <c r="I41" s="18" t="n">
        <f aca="false">ABS(G41-H41)</f>
        <v>0</v>
      </c>
      <c r="J41" s="15" t="n">
        <f aca="false">IF(B41&lt;Tau_drift,C_kept*EXP(-Delta_a*B41),Floor_F)</f>
        <v>55</v>
      </c>
      <c r="K41" s="15" t="n">
        <f aca="false">IF(B41&lt;Tau_drift,IF(J41&lt;Floor_F,EXP(-Rho_a*LN((Cap_top-J41)/(Cap_top-Floor_F))/Delta_a)*(Cost_k*Ubar_a+Delay_D+Rho_a*(-Cost_k*Delta_a*Floor_F/Rho_a))/(Ubar_a-Delta_a*J41),IF(J41=Floor_F,Cost_k,EXP(-Rho_a*LN(J41/Floor_F)/Delta_a)*(-Rho_a*(-Cost_k*Delta_a*Floor_F/Rho_a))/(Delta_a*J41))),Cost_k)</f>
        <v>4</v>
      </c>
      <c r="L41" s="15" t="n">
        <f aca="false">K41-Cost_k</f>
        <v>0</v>
      </c>
      <c r="M41" s="15" t="n">
        <f aca="false">IF(L41&gt;0.000000001,Ubar_a,IF(L41&lt;-0.000000001,0,Delta_a*Floor_F))</f>
        <v>5.56991775654378</v>
      </c>
      <c r="N41" s="15" t="n">
        <f aca="false">MAX(-Delay_D*0-K41*Delta_a*J41,-Cost_k*Ubar_a-Delay_D*0+K41*(Ubar_a-Delta_a*J41))</f>
        <v>-22.2796710261751</v>
      </c>
      <c r="O41" s="15" t="n">
        <f aca="false">Rho_a*IF(B41&lt;Tau_drift,IF(J41&lt;Floor_F,-(Cost_k*Ubar_a+Delay_D)*(1-EXP(-Rho_a*LN((Cap_top-J41)/(Cap_top-Floor_F))/Delta_a))/Rho_a+EXP(-Rho_a*LN((Cap_top-J41)/(Cap_top-Floor_F))/Delta_a)*(-Cost_k*Delta_a*Floor_F/Rho_a),EXP(-Rho_a*LN(J41/Floor_F)/Delta_a)*(-Cost_k*Delta_a*Floor_F/Rho_a)),V_F)</f>
        <v>-22.2796710261751</v>
      </c>
      <c r="P41" s="18" t="n">
        <f aca="false">ABS(N41-O41)</f>
        <v>0</v>
      </c>
    </row>
    <row r="42" customFormat="false" ht="15" hidden="false" customHeight="false" outlineLevel="0" collapsed="false">
      <c r="A42" s="16" t="n">
        <v>3.5</v>
      </c>
      <c r="B42" s="15" t="n">
        <f aca="false">A42/4</f>
        <v>0.875</v>
      </c>
      <c r="C42" s="15" t="n">
        <f aca="false">IF(B42&lt;Tau_race,Cap_top-(Cap_top-C_gone)*EXP(-Delta_a*B42),Floor_F)</f>
        <v>55</v>
      </c>
      <c r="D42" s="15" t="n">
        <f aca="false">IF(B42&lt;Tau_race,IF(C42&lt;Floor_F,EXP(-Rho_a*LN((Cap_top-C42)/(Cap_top-Floor_F))/Delta_a)*(Cost_k*Ubar_a+Delay_D+Rho_a*(-Cost_k*Delta_a*Floor_F/Rho_a))/(Ubar_a-Delta_a*C42),IF(C42=Floor_F,Cost_k,EXP(-Rho_a*LN(C42/Floor_F)/Delta_a)*(-Rho_a*(-Cost_k*Delta_a*Floor_F/Rho_a))/(Delta_a*C42))),Cost_k)</f>
        <v>4</v>
      </c>
      <c r="E42" s="15" t="n">
        <f aca="false">D42-Cost_k</f>
        <v>0</v>
      </c>
      <c r="F42" s="15" t="n">
        <f aca="false">IF(E42&gt;0.000000001,Ubar_a,IF(E42&lt;-0.000000001,0,Delta_a*Floor_F))</f>
        <v>5.56991775654378</v>
      </c>
      <c r="G42" s="15" t="n">
        <f aca="false">MAX(-Delay_D*IF(B42&lt;Tau_race,1,0)-D42*Delta_a*C42,-Cost_k*Ubar_a-Delay_D*IF(B42&lt;Tau_race,1,0)+D42*(Ubar_a-Delta_a*C42))</f>
        <v>-22.2796710261751</v>
      </c>
      <c r="H42" s="15" t="n">
        <f aca="false">Rho_a*IF(B42&lt;Tau_race,IF(C42&lt;Floor_F,-(Cost_k*Ubar_a+Delay_D)*(1-EXP(-Rho_a*LN((Cap_top-C42)/(Cap_top-Floor_F))/Delta_a))/Rho_a+EXP(-Rho_a*LN((Cap_top-C42)/(Cap_top-Floor_F))/Delta_a)*(-Cost_k*Delta_a*Floor_F/Rho_a),EXP(-Rho_a*LN(C42/Floor_F)/Delta_a)*(-Cost_k*Delta_a*Floor_F/Rho_a)),V_F)</f>
        <v>-22.2796710261751</v>
      </c>
      <c r="I42" s="18" t="n">
        <f aca="false">ABS(G42-H42)</f>
        <v>0</v>
      </c>
      <c r="J42" s="15" t="n">
        <f aca="false">IF(B42&lt;Tau_drift,C_kept*EXP(-Delta_a*B42),Floor_F)</f>
        <v>55</v>
      </c>
      <c r="K42" s="15" t="n">
        <f aca="false">IF(B42&lt;Tau_drift,IF(J42&lt;Floor_F,EXP(-Rho_a*LN((Cap_top-J42)/(Cap_top-Floor_F))/Delta_a)*(Cost_k*Ubar_a+Delay_D+Rho_a*(-Cost_k*Delta_a*Floor_F/Rho_a))/(Ubar_a-Delta_a*J42),IF(J42=Floor_F,Cost_k,EXP(-Rho_a*LN(J42/Floor_F)/Delta_a)*(-Rho_a*(-Cost_k*Delta_a*Floor_F/Rho_a))/(Delta_a*J42))),Cost_k)</f>
        <v>4</v>
      </c>
      <c r="L42" s="15" t="n">
        <f aca="false">K42-Cost_k</f>
        <v>0</v>
      </c>
      <c r="M42" s="15" t="n">
        <f aca="false">IF(L42&gt;0.000000001,Ubar_a,IF(L42&lt;-0.000000001,0,Delta_a*Floor_F))</f>
        <v>5.56991775654378</v>
      </c>
      <c r="N42" s="15" t="n">
        <f aca="false">MAX(-Delay_D*0-K42*Delta_a*J42,-Cost_k*Ubar_a-Delay_D*0+K42*(Ubar_a-Delta_a*J42))</f>
        <v>-22.2796710261751</v>
      </c>
      <c r="O42" s="15" t="n">
        <f aca="false">Rho_a*IF(B42&lt;Tau_drift,IF(J42&lt;Floor_F,-(Cost_k*Ubar_a+Delay_D)*(1-EXP(-Rho_a*LN((Cap_top-J42)/(Cap_top-Floor_F))/Delta_a))/Rho_a+EXP(-Rho_a*LN((Cap_top-J42)/(Cap_top-Floor_F))/Delta_a)*(-Cost_k*Delta_a*Floor_F/Rho_a),EXP(-Rho_a*LN(J42/Floor_F)/Delta_a)*(-Cost_k*Delta_a*Floor_F/Rho_a)),V_F)</f>
        <v>-22.2796710261751</v>
      </c>
      <c r="P42" s="18" t="n">
        <f aca="false">ABS(N42-O42)</f>
        <v>0</v>
      </c>
    </row>
    <row r="43" customFormat="false" ht="15" hidden="false" customHeight="false" outlineLevel="0" collapsed="false">
      <c r="A43" s="16" t="n">
        <v>4</v>
      </c>
      <c r="B43" s="15" t="n">
        <f aca="false">A43/4</f>
        <v>1</v>
      </c>
      <c r="C43" s="15" t="n">
        <f aca="false">IF(B43&lt;Tau_race,Cap_top-(Cap_top-C_gone)*EXP(-Delta_a*B43),Floor_F)</f>
        <v>55</v>
      </c>
      <c r="D43" s="15" t="n">
        <f aca="false">IF(B43&lt;Tau_race,IF(C43&lt;Floor_F,EXP(-Rho_a*LN((Cap_top-C43)/(Cap_top-Floor_F))/Delta_a)*(Cost_k*Ubar_a+Delay_D+Rho_a*(-Cost_k*Delta_a*Floor_F/Rho_a))/(Ubar_a-Delta_a*C43),IF(C43=Floor_F,Cost_k,EXP(-Rho_a*LN(C43/Floor_F)/Delta_a)*(-Rho_a*(-Cost_k*Delta_a*Floor_F/Rho_a))/(Delta_a*C43))),Cost_k)</f>
        <v>4</v>
      </c>
      <c r="E43" s="15" t="n">
        <f aca="false">D43-Cost_k</f>
        <v>0</v>
      </c>
      <c r="F43" s="15" t="n">
        <f aca="false">IF(E43&gt;0.000000001,Ubar_a,IF(E43&lt;-0.000000001,0,Delta_a*Floor_F))</f>
        <v>5.56991775654378</v>
      </c>
      <c r="G43" s="15" t="n">
        <f aca="false">MAX(-Delay_D*IF(B43&lt;Tau_race,1,0)-D43*Delta_a*C43,-Cost_k*Ubar_a-Delay_D*IF(B43&lt;Tau_race,1,0)+D43*(Ubar_a-Delta_a*C43))</f>
        <v>-22.2796710261751</v>
      </c>
      <c r="H43" s="15" t="n">
        <f aca="false">Rho_a*IF(B43&lt;Tau_race,IF(C43&lt;Floor_F,-(Cost_k*Ubar_a+Delay_D)*(1-EXP(-Rho_a*LN((Cap_top-C43)/(Cap_top-Floor_F))/Delta_a))/Rho_a+EXP(-Rho_a*LN((Cap_top-C43)/(Cap_top-Floor_F))/Delta_a)*(-Cost_k*Delta_a*Floor_F/Rho_a),EXP(-Rho_a*LN(C43/Floor_F)/Delta_a)*(-Cost_k*Delta_a*Floor_F/Rho_a)),V_F)</f>
        <v>-22.2796710261751</v>
      </c>
      <c r="I43" s="18" t="n">
        <f aca="false">ABS(G43-H43)</f>
        <v>0</v>
      </c>
      <c r="J43" s="15" t="n">
        <f aca="false">IF(B43&lt;Tau_drift,C_kept*EXP(-Delta_a*B43),Floor_F)</f>
        <v>55</v>
      </c>
      <c r="K43" s="15" t="n">
        <f aca="false">IF(B43&lt;Tau_drift,IF(J43&lt;Floor_F,EXP(-Rho_a*LN((Cap_top-J43)/(Cap_top-Floor_F))/Delta_a)*(Cost_k*Ubar_a+Delay_D+Rho_a*(-Cost_k*Delta_a*Floor_F/Rho_a))/(Ubar_a-Delta_a*J43),IF(J43=Floor_F,Cost_k,EXP(-Rho_a*LN(J43/Floor_F)/Delta_a)*(-Rho_a*(-Cost_k*Delta_a*Floor_F/Rho_a))/(Delta_a*J43))),Cost_k)</f>
        <v>4</v>
      </c>
      <c r="L43" s="15" t="n">
        <f aca="false">K43-Cost_k</f>
        <v>0</v>
      </c>
      <c r="M43" s="15" t="n">
        <f aca="false">IF(L43&gt;0.000000001,Ubar_a,IF(L43&lt;-0.000000001,0,Delta_a*Floor_F))</f>
        <v>5.56991775654378</v>
      </c>
      <c r="N43" s="15" t="n">
        <f aca="false">MAX(-Delay_D*0-K43*Delta_a*J43,-Cost_k*Ubar_a-Delay_D*0+K43*(Ubar_a-Delta_a*J43))</f>
        <v>-22.2796710261751</v>
      </c>
      <c r="O43" s="15" t="n">
        <f aca="false">Rho_a*IF(B43&lt;Tau_drift,IF(J43&lt;Floor_F,-(Cost_k*Ubar_a+Delay_D)*(1-EXP(-Rho_a*LN((Cap_top-J43)/(Cap_top-Floor_F))/Delta_a))/Rho_a+EXP(-Rho_a*LN((Cap_top-J43)/(Cap_top-Floor_F))/Delta_a)*(-Cost_k*Delta_a*Floor_F/Rho_a),EXP(-Rho_a*LN(J43/Floor_F)/Delta_a)*(-Cost_k*Delta_a*Floor_F/Rho_a)),V_F)</f>
        <v>-22.2796710261751</v>
      </c>
      <c r="P43" s="18" t="n">
        <f aca="false">ABS(N43-O43)</f>
        <v>0</v>
      </c>
    </row>
    <row r="44" customFormat="false" ht="15" hidden="false" customHeight="false" outlineLevel="0" collapsed="false">
      <c r="A44" s="16" t="n">
        <v>4.5</v>
      </c>
      <c r="B44" s="15" t="n">
        <f aca="false">A44/4</f>
        <v>1.125</v>
      </c>
      <c r="C44" s="15" t="n">
        <f aca="false">IF(B44&lt;Tau_race,Cap_top-(Cap_top-C_gone)*EXP(-Delta_a*B44),Floor_F)</f>
        <v>55</v>
      </c>
      <c r="D44" s="15" t="n">
        <f aca="false">IF(B44&lt;Tau_race,IF(C44&lt;Floor_F,EXP(-Rho_a*LN((Cap_top-C44)/(Cap_top-Floor_F))/Delta_a)*(Cost_k*Ubar_a+Delay_D+Rho_a*(-Cost_k*Delta_a*Floor_F/Rho_a))/(Ubar_a-Delta_a*C44),IF(C44=Floor_F,Cost_k,EXP(-Rho_a*LN(C44/Floor_F)/Delta_a)*(-Rho_a*(-Cost_k*Delta_a*Floor_F/Rho_a))/(Delta_a*C44))),Cost_k)</f>
        <v>4</v>
      </c>
      <c r="E44" s="15" t="n">
        <f aca="false">D44-Cost_k</f>
        <v>0</v>
      </c>
      <c r="F44" s="15" t="n">
        <f aca="false">IF(E44&gt;0.000000001,Ubar_a,IF(E44&lt;-0.000000001,0,Delta_a*Floor_F))</f>
        <v>5.56991775654378</v>
      </c>
      <c r="G44" s="15" t="n">
        <f aca="false">MAX(-Delay_D*IF(B44&lt;Tau_race,1,0)-D44*Delta_a*C44,-Cost_k*Ubar_a-Delay_D*IF(B44&lt;Tau_race,1,0)+D44*(Ubar_a-Delta_a*C44))</f>
        <v>-22.2796710261751</v>
      </c>
      <c r="H44" s="15" t="n">
        <f aca="false">Rho_a*IF(B44&lt;Tau_race,IF(C44&lt;Floor_F,-(Cost_k*Ubar_a+Delay_D)*(1-EXP(-Rho_a*LN((Cap_top-C44)/(Cap_top-Floor_F))/Delta_a))/Rho_a+EXP(-Rho_a*LN((Cap_top-C44)/(Cap_top-Floor_F))/Delta_a)*(-Cost_k*Delta_a*Floor_F/Rho_a),EXP(-Rho_a*LN(C44/Floor_F)/Delta_a)*(-Cost_k*Delta_a*Floor_F/Rho_a)),V_F)</f>
        <v>-22.2796710261751</v>
      </c>
      <c r="I44" s="18" t="n">
        <f aca="false">ABS(G44-H44)</f>
        <v>0</v>
      </c>
      <c r="J44" s="15" t="n">
        <f aca="false">IF(B44&lt;Tau_drift,C_kept*EXP(-Delta_a*B44),Floor_F)</f>
        <v>55</v>
      </c>
      <c r="K44" s="15" t="n">
        <f aca="false">IF(B44&lt;Tau_drift,IF(J44&lt;Floor_F,EXP(-Rho_a*LN((Cap_top-J44)/(Cap_top-Floor_F))/Delta_a)*(Cost_k*Ubar_a+Delay_D+Rho_a*(-Cost_k*Delta_a*Floor_F/Rho_a))/(Ubar_a-Delta_a*J44),IF(J44=Floor_F,Cost_k,EXP(-Rho_a*LN(J44/Floor_F)/Delta_a)*(-Rho_a*(-Cost_k*Delta_a*Floor_F/Rho_a))/(Delta_a*J44))),Cost_k)</f>
        <v>4</v>
      </c>
      <c r="L44" s="15" t="n">
        <f aca="false">K44-Cost_k</f>
        <v>0</v>
      </c>
      <c r="M44" s="15" t="n">
        <f aca="false">IF(L44&gt;0.000000001,Ubar_a,IF(L44&lt;-0.000000001,0,Delta_a*Floor_F))</f>
        <v>5.56991775654378</v>
      </c>
      <c r="N44" s="15" t="n">
        <f aca="false">MAX(-Delay_D*0-K44*Delta_a*J44,-Cost_k*Ubar_a-Delay_D*0+K44*(Ubar_a-Delta_a*J44))</f>
        <v>-22.2796710261751</v>
      </c>
      <c r="O44" s="15" t="n">
        <f aca="false">Rho_a*IF(B44&lt;Tau_drift,IF(J44&lt;Floor_F,-(Cost_k*Ubar_a+Delay_D)*(1-EXP(-Rho_a*LN((Cap_top-J44)/(Cap_top-Floor_F))/Delta_a))/Rho_a+EXP(-Rho_a*LN((Cap_top-J44)/(Cap_top-Floor_F))/Delta_a)*(-Cost_k*Delta_a*Floor_F/Rho_a),EXP(-Rho_a*LN(J44/Floor_F)/Delta_a)*(-Cost_k*Delta_a*Floor_F/Rho_a)),V_F)</f>
        <v>-22.2796710261751</v>
      </c>
      <c r="P44" s="18" t="n">
        <f aca="false">ABS(N44-O44)</f>
        <v>0</v>
      </c>
    </row>
    <row r="45" customFormat="false" ht="15" hidden="false" customHeight="false" outlineLevel="0" collapsed="false">
      <c r="A45" s="16" t="n">
        <v>5</v>
      </c>
      <c r="B45" s="15" t="n">
        <f aca="false">A45/4</f>
        <v>1.25</v>
      </c>
      <c r="C45" s="15" t="n">
        <f aca="false">IF(B45&lt;Tau_race,Cap_top-(Cap_top-C_gone)*EXP(-Delta_a*B45),Floor_F)</f>
        <v>55</v>
      </c>
      <c r="D45" s="15" t="n">
        <f aca="false">IF(B45&lt;Tau_race,IF(C45&lt;Floor_F,EXP(-Rho_a*LN((Cap_top-C45)/(Cap_top-Floor_F))/Delta_a)*(Cost_k*Ubar_a+Delay_D+Rho_a*(-Cost_k*Delta_a*Floor_F/Rho_a))/(Ubar_a-Delta_a*C45),IF(C45=Floor_F,Cost_k,EXP(-Rho_a*LN(C45/Floor_F)/Delta_a)*(-Rho_a*(-Cost_k*Delta_a*Floor_F/Rho_a))/(Delta_a*C45))),Cost_k)</f>
        <v>4</v>
      </c>
      <c r="E45" s="15" t="n">
        <f aca="false">D45-Cost_k</f>
        <v>0</v>
      </c>
      <c r="F45" s="15" t="n">
        <f aca="false">IF(E45&gt;0.000000001,Ubar_a,IF(E45&lt;-0.000000001,0,Delta_a*Floor_F))</f>
        <v>5.56991775654378</v>
      </c>
      <c r="G45" s="15" t="n">
        <f aca="false">MAX(-Delay_D*IF(B45&lt;Tau_race,1,0)-D45*Delta_a*C45,-Cost_k*Ubar_a-Delay_D*IF(B45&lt;Tau_race,1,0)+D45*(Ubar_a-Delta_a*C45))</f>
        <v>-22.2796710261751</v>
      </c>
      <c r="H45" s="15" t="n">
        <f aca="false">Rho_a*IF(B45&lt;Tau_race,IF(C45&lt;Floor_F,-(Cost_k*Ubar_a+Delay_D)*(1-EXP(-Rho_a*LN((Cap_top-C45)/(Cap_top-Floor_F))/Delta_a))/Rho_a+EXP(-Rho_a*LN((Cap_top-C45)/(Cap_top-Floor_F))/Delta_a)*(-Cost_k*Delta_a*Floor_F/Rho_a),EXP(-Rho_a*LN(C45/Floor_F)/Delta_a)*(-Cost_k*Delta_a*Floor_F/Rho_a)),V_F)</f>
        <v>-22.2796710261751</v>
      </c>
      <c r="I45" s="18" t="n">
        <f aca="false">ABS(G45-H45)</f>
        <v>0</v>
      </c>
      <c r="J45" s="15" t="n">
        <f aca="false">IF(B45&lt;Tau_drift,C_kept*EXP(-Delta_a*B45),Floor_F)</f>
        <v>55</v>
      </c>
      <c r="K45" s="15" t="n">
        <f aca="false">IF(B45&lt;Tau_drift,IF(J45&lt;Floor_F,EXP(-Rho_a*LN((Cap_top-J45)/(Cap_top-Floor_F))/Delta_a)*(Cost_k*Ubar_a+Delay_D+Rho_a*(-Cost_k*Delta_a*Floor_F/Rho_a))/(Ubar_a-Delta_a*J45),IF(J45=Floor_F,Cost_k,EXP(-Rho_a*LN(J45/Floor_F)/Delta_a)*(-Rho_a*(-Cost_k*Delta_a*Floor_F/Rho_a))/(Delta_a*J45))),Cost_k)</f>
        <v>4</v>
      </c>
      <c r="L45" s="15" t="n">
        <f aca="false">K45-Cost_k</f>
        <v>0</v>
      </c>
      <c r="M45" s="15" t="n">
        <f aca="false">IF(L45&gt;0.000000001,Ubar_a,IF(L45&lt;-0.000000001,0,Delta_a*Floor_F))</f>
        <v>5.56991775654378</v>
      </c>
      <c r="N45" s="15" t="n">
        <f aca="false">MAX(-Delay_D*0-K45*Delta_a*J45,-Cost_k*Ubar_a-Delay_D*0+K45*(Ubar_a-Delta_a*J45))</f>
        <v>-22.2796710261751</v>
      </c>
      <c r="O45" s="15" t="n">
        <f aca="false">Rho_a*IF(B45&lt;Tau_drift,IF(J45&lt;Floor_F,-(Cost_k*Ubar_a+Delay_D)*(1-EXP(-Rho_a*LN((Cap_top-J45)/(Cap_top-Floor_F))/Delta_a))/Rho_a+EXP(-Rho_a*LN((Cap_top-J45)/(Cap_top-Floor_F))/Delta_a)*(-Cost_k*Delta_a*Floor_F/Rho_a),EXP(-Rho_a*LN(J45/Floor_F)/Delta_a)*(-Cost_k*Delta_a*Floor_F/Rho_a)),V_F)</f>
        <v>-22.2796710261751</v>
      </c>
      <c r="P45" s="18" t="n">
        <f aca="false">ABS(N45-O45)</f>
        <v>0</v>
      </c>
    </row>
    <row r="46" customFormat="false" ht="15" hidden="false" customHeight="false" outlineLevel="0" collapsed="false">
      <c r="A46" s="16" t="n">
        <v>5.5</v>
      </c>
      <c r="B46" s="15" t="n">
        <f aca="false">A46/4</f>
        <v>1.375</v>
      </c>
      <c r="C46" s="15" t="n">
        <f aca="false">IF(B46&lt;Tau_race,Cap_top-(Cap_top-C_gone)*EXP(-Delta_a*B46),Floor_F)</f>
        <v>55</v>
      </c>
      <c r="D46" s="15" t="n">
        <f aca="false">IF(B46&lt;Tau_race,IF(C46&lt;Floor_F,EXP(-Rho_a*LN((Cap_top-C46)/(Cap_top-Floor_F))/Delta_a)*(Cost_k*Ubar_a+Delay_D+Rho_a*(-Cost_k*Delta_a*Floor_F/Rho_a))/(Ubar_a-Delta_a*C46),IF(C46=Floor_F,Cost_k,EXP(-Rho_a*LN(C46/Floor_F)/Delta_a)*(-Rho_a*(-Cost_k*Delta_a*Floor_F/Rho_a))/(Delta_a*C46))),Cost_k)</f>
        <v>4</v>
      </c>
      <c r="E46" s="15" t="n">
        <f aca="false">D46-Cost_k</f>
        <v>0</v>
      </c>
      <c r="F46" s="15" t="n">
        <f aca="false">IF(E46&gt;0.000000001,Ubar_a,IF(E46&lt;-0.000000001,0,Delta_a*Floor_F))</f>
        <v>5.56991775654378</v>
      </c>
      <c r="G46" s="15" t="n">
        <f aca="false">MAX(-Delay_D*IF(B46&lt;Tau_race,1,0)-D46*Delta_a*C46,-Cost_k*Ubar_a-Delay_D*IF(B46&lt;Tau_race,1,0)+D46*(Ubar_a-Delta_a*C46))</f>
        <v>-22.2796710261751</v>
      </c>
      <c r="H46" s="15" t="n">
        <f aca="false">Rho_a*IF(B46&lt;Tau_race,IF(C46&lt;Floor_F,-(Cost_k*Ubar_a+Delay_D)*(1-EXP(-Rho_a*LN((Cap_top-C46)/(Cap_top-Floor_F))/Delta_a))/Rho_a+EXP(-Rho_a*LN((Cap_top-C46)/(Cap_top-Floor_F))/Delta_a)*(-Cost_k*Delta_a*Floor_F/Rho_a),EXP(-Rho_a*LN(C46/Floor_F)/Delta_a)*(-Cost_k*Delta_a*Floor_F/Rho_a)),V_F)</f>
        <v>-22.2796710261751</v>
      </c>
      <c r="I46" s="18" t="n">
        <f aca="false">ABS(G46-H46)</f>
        <v>0</v>
      </c>
      <c r="J46" s="15" t="n">
        <f aca="false">IF(B46&lt;Tau_drift,C_kept*EXP(-Delta_a*B46),Floor_F)</f>
        <v>55</v>
      </c>
      <c r="K46" s="15" t="n">
        <f aca="false">IF(B46&lt;Tau_drift,IF(J46&lt;Floor_F,EXP(-Rho_a*LN((Cap_top-J46)/(Cap_top-Floor_F))/Delta_a)*(Cost_k*Ubar_a+Delay_D+Rho_a*(-Cost_k*Delta_a*Floor_F/Rho_a))/(Ubar_a-Delta_a*J46),IF(J46=Floor_F,Cost_k,EXP(-Rho_a*LN(J46/Floor_F)/Delta_a)*(-Rho_a*(-Cost_k*Delta_a*Floor_F/Rho_a))/(Delta_a*J46))),Cost_k)</f>
        <v>4</v>
      </c>
      <c r="L46" s="15" t="n">
        <f aca="false">K46-Cost_k</f>
        <v>0</v>
      </c>
      <c r="M46" s="15" t="n">
        <f aca="false">IF(L46&gt;0.000000001,Ubar_a,IF(L46&lt;-0.000000001,0,Delta_a*Floor_F))</f>
        <v>5.56991775654378</v>
      </c>
      <c r="N46" s="15" t="n">
        <f aca="false">MAX(-Delay_D*0-K46*Delta_a*J46,-Cost_k*Ubar_a-Delay_D*0+K46*(Ubar_a-Delta_a*J46))</f>
        <v>-22.2796710261751</v>
      </c>
      <c r="O46" s="15" t="n">
        <f aca="false">Rho_a*IF(B46&lt;Tau_drift,IF(J46&lt;Floor_F,-(Cost_k*Ubar_a+Delay_D)*(1-EXP(-Rho_a*LN((Cap_top-J46)/(Cap_top-Floor_F))/Delta_a))/Rho_a+EXP(-Rho_a*LN((Cap_top-J46)/(Cap_top-Floor_F))/Delta_a)*(-Cost_k*Delta_a*Floor_F/Rho_a),EXP(-Rho_a*LN(J46/Floor_F)/Delta_a)*(-Cost_k*Delta_a*Floor_F/Rho_a)),V_F)</f>
        <v>-22.2796710261751</v>
      </c>
      <c r="P46" s="18" t="n">
        <f aca="false">ABS(N46-O46)</f>
        <v>0</v>
      </c>
    </row>
    <row r="47" customFormat="false" ht="15" hidden="false" customHeight="false" outlineLevel="0" collapsed="false">
      <c r="A47" s="16" t="n">
        <v>6</v>
      </c>
      <c r="B47" s="15" t="n">
        <f aca="false">A47/4</f>
        <v>1.5</v>
      </c>
      <c r="C47" s="15" t="n">
        <f aca="false">IF(B47&lt;Tau_race,Cap_top-(Cap_top-C_gone)*EXP(-Delta_a*B47),Floor_F)</f>
        <v>55</v>
      </c>
      <c r="D47" s="15" t="n">
        <f aca="false">IF(B47&lt;Tau_race,IF(C47&lt;Floor_F,EXP(-Rho_a*LN((Cap_top-C47)/(Cap_top-Floor_F))/Delta_a)*(Cost_k*Ubar_a+Delay_D+Rho_a*(-Cost_k*Delta_a*Floor_F/Rho_a))/(Ubar_a-Delta_a*C47),IF(C47=Floor_F,Cost_k,EXP(-Rho_a*LN(C47/Floor_F)/Delta_a)*(-Rho_a*(-Cost_k*Delta_a*Floor_F/Rho_a))/(Delta_a*C47))),Cost_k)</f>
        <v>4</v>
      </c>
      <c r="E47" s="15" t="n">
        <f aca="false">D47-Cost_k</f>
        <v>0</v>
      </c>
      <c r="F47" s="15" t="n">
        <f aca="false">IF(E47&gt;0.000000001,Ubar_a,IF(E47&lt;-0.000000001,0,Delta_a*Floor_F))</f>
        <v>5.56991775654378</v>
      </c>
      <c r="G47" s="15" t="n">
        <f aca="false">MAX(-Delay_D*IF(B47&lt;Tau_race,1,0)-D47*Delta_a*C47,-Cost_k*Ubar_a-Delay_D*IF(B47&lt;Tau_race,1,0)+D47*(Ubar_a-Delta_a*C47))</f>
        <v>-22.2796710261751</v>
      </c>
      <c r="H47" s="15" t="n">
        <f aca="false">Rho_a*IF(B47&lt;Tau_race,IF(C47&lt;Floor_F,-(Cost_k*Ubar_a+Delay_D)*(1-EXP(-Rho_a*LN((Cap_top-C47)/(Cap_top-Floor_F))/Delta_a))/Rho_a+EXP(-Rho_a*LN((Cap_top-C47)/(Cap_top-Floor_F))/Delta_a)*(-Cost_k*Delta_a*Floor_F/Rho_a),EXP(-Rho_a*LN(C47/Floor_F)/Delta_a)*(-Cost_k*Delta_a*Floor_F/Rho_a)),V_F)</f>
        <v>-22.2796710261751</v>
      </c>
      <c r="I47" s="18" t="n">
        <f aca="false">ABS(G47-H47)</f>
        <v>0</v>
      </c>
      <c r="J47" s="15" t="n">
        <f aca="false">IF(B47&lt;Tau_drift,C_kept*EXP(-Delta_a*B47),Floor_F)</f>
        <v>55</v>
      </c>
      <c r="K47" s="15" t="n">
        <f aca="false">IF(B47&lt;Tau_drift,IF(J47&lt;Floor_F,EXP(-Rho_a*LN((Cap_top-J47)/(Cap_top-Floor_F))/Delta_a)*(Cost_k*Ubar_a+Delay_D+Rho_a*(-Cost_k*Delta_a*Floor_F/Rho_a))/(Ubar_a-Delta_a*J47),IF(J47=Floor_F,Cost_k,EXP(-Rho_a*LN(J47/Floor_F)/Delta_a)*(-Rho_a*(-Cost_k*Delta_a*Floor_F/Rho_a))/(Delta_a*J47))),Cost_k)</f>
        <v>4</v>
      </c>
      <c r="L47" s="15" t="n">
        <f aca="false">K47-Cost_k</f>
        <v>0</v>
      </c>
      <c r="M47" s="15" t="n">
        <f aca="false">IF(L47&gt;0.000000001,Ubar_a,IF(L47&lt;-0.000000001,0,Delta_a*Floor_F))</f>
        <v>5.56991775654378</v>
      </c>
      <c r="N47" s="15" t="n">
        <f aca="false">MAX(-Delay_D*0-K47*Delta_a*J47,-Cost_k*Ubar_a-Delay_D*0+K47*(Ubar_a-Delta_a*J47))</f>
        <v>-22.2796710261751</v>
      </c>
      <c r="O47" s="15" t="n">
        <f aca="false">Rho_a*IF(B47&lt;Tau_drift,IF(J47&lt;Floor_F,-(Cost_k*Ubar_a+Delay_D)*(1-EXP(-Rho_a*LN((Cap_top-J47)/(Cap_top-Floor_F))/Delta_a))/Rho_a+EXP(-Rho_a*LN((Cap_top-J47)/(Cap_top-Floor_F))/Delta_a)*(-Cost_k*Delta_a*Floor_F/Rho_a),EXP(-Rho_a*LN(J47/Floor_F)/Delta_a)*(-Cost_k*Delta_a*Floor_F/Rho_a)),V_F)</f>
        <v>-22.2796710261751</v>
      </c>
      <c r="P47" s="18" t="n">
        <f aca="false">ABS(N47-O47)</f>
        <v>0</v>
      </c>
    </row>
    <row r="49" customFormat="false" ht="15" hidden="false" customHeight="false" outlineLevel="0" collapsed="false">
      <c r="A49" s="2" t="s">
        <v>166</v>
      </c>
      <c r="I49" s="18" t="n">
        <f aca="false">MAX(I35:I47,P35:P47)</f>
        <v>0</v>
      </c>
    </row>
    <row r="50" customFormat="false" ht="15" hidden="false" customHeight="false" outlineLevel="0" collapsed="false">
      <c r="A50" s="1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8" min="7" style="0" width="3"/>
    <col collapsed="false" customWidth="true" hidden="false" outlineLevel="0" max="11" min="9" style="0" width="13"/>
    <col collapsed="false" customWidth="true" hidden="false" outlineLevel="0" max="12" min="12" style="0" width="22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10" t="s">
        <v>169</v>
      </c>
    </row>
    <row r="4" customFormat="false" ht="15" hidden="false" customHeight="false" outlineLevel="0" collapsed="false">
      <c r="A4" s="2" t="s">
        <v>170</v>
      </c>
      <c r="F4" s="21" t="n">
        <f aca="false">Prices!C12</f>
        <v>11.0218471475924</v>
      </c>
      <c r="H4" s="2" t="s">
        <v>171</v>
      </c>
    </row>
    <row r="5" customFormat="false" ht="15" hidden="false" customHeight="false" outlineLevel="0" collapsed="false">
      <c r="A5" s="2" t="s">
        <v>172</v>
      </c>
      <c r="F5" s="11" t="n">
        <f aca="false">Tau_race</f>
        <v>0.429392544239238</v>
      </c>
      <c r="H5" s="2" t="s">
        <v>173</v>
      </c>
      <c r="M5" s="11" t="n">
        <f aca="false">Tau_drift</f>
        <v>0.524431512267016</v>
      </c>
    </row>
    <row r="7" customFormat="false" ht="23.85" hidden="false" customHeight="false" outlineLevel="0" collapsed="false">
      <c r="A7" s="8" t="s">
        <v>174</v>
      </c>
      <c r="B7" s="8" t="s">
        <v>175</v>
      </c>
      <c r="C7" s="8" t="s">
        <v>176</v>
      </c>
      <c r="D7" s="8" t="s">
        <v>177</v>
      </c>
      <c r="E7" s="8" t="s">
        <v>178</v>
      </c>
      <c r="F7" s="8" t="s">
        <v>179</v>
      </c>
      <c r="I7" s="8" t="s">
        <v>175</v>
      </c>
      <c r="J7" s="8" t="s">
        <v>176</v>
      </c>
      <c r="K7" s="8" t="s">
        <v>177</v>
      </c>
      <c r="L7" s="8" t="s">
        <v>180</v>
      </c>
      <c r="M7" s="8" t="s">
        <v>179</v>
      </c>
    </row>
    <row r="8" customFormat="false" ht="15" hidden="false" customHeight="false" outlineLevel="0" collapsed="false">
      <c r="A8" s="22" t="n">
        <v>1</v>
      </c>
      <c r="B8" s="23" t="n">
        <v>4</v>
      </c>
      <c r="C8" s="23" t="n">
        <v>20</v>
      </c>
      <c r="D8" s="11" t="n">
        <f aca="false">(B8+C8)/2</f>
        <v>12</v>
      </c>
      <c r="E8" s="11" t="n">
        <f aca="false">D8*EXP(Rho_delta*$F$5)</f>
        <v>13.0569066937046</v>
      </c>
      <c r="F8" s="18" t="n">
        <f aca="false">E8-$F$4</f>
        <v>2.03505954611221</v>
      </c>
      <c r="I8" s="23" t="n">
        <v>0.5</v>
      </c>
      <c r="J8" s="23" t="n">
        <v>4</v>
      </c>
      <c r="K8" s="11" t="n">
        <f aca="false">(I8+J8)/2</f>
        <v>2.25</v>
      </c>
      <c r="L8" s="11" t="n">
        <f aca="false">LN(Cost_k/K8)/Rho_delta</f>
        <v>2.92684918582331</v>
      </c>
      <c r="M8" s="18" t="n">
        <f aca="false">L8-$M$5</f>
        <v>2.4024176735563</v>
      </c>
    </row>
    <row r="9" customFormat="false" ht="15" hidden="false" customHeight="false" outlineLevel="0" collapsed="false">
      <c r="A9" s="22" t="n">
        <v>2</v>
      </c>
      <c r="B9" s="11" t="n">
        <f aca="false">IF(F8&lt;0,D8,B8)</f>
        <v>4</v>
      </c>
      <c r="C9" s="11" t="n">
        <f aca="false">IF(F8&lt;0,C8,D8)</f>
        <v>12</v>
      </c>
      <c r="D9" s="11" t="n">
        <f aca="false">(B9+C9)/2</f>
        <v>8</v>
      </c>
      <c r="E9" s="11" t="n">
        <f aca="false">D9*EXP(Rho_delta*$F$5)</f>
        <v>8.70460446246973</v>
      </c>
      <c r="F9" s="18" t="n">
        <f aca="false">E9-$F$4</f>
        <v>-2.31724268512266</v>
      </c>
      <c r="I9" s="11" t="n">
        <f aca="false">IF(M8&gt;0,K8,I8)</f>
        <v>2.25</v>
      </c>
      <c r="J9" s="11" t="n">
        <f aca="false">IF(M8&gt;0,J8,K8)</f>
        <v>4</v>
      </c>
      <c r="K9" s="11" t="n">
        <f aca="false">(I9+J9)/2</f>
        <v>3.125</v>
      </c>
      <c r="L9" s="11" t="n">
        <f aca="false">LN(Cost_k/K9)/Rho_delta</f>
        <v>1.25576510894204</v>
      </c>
      <c r="M9" s="18" t="n">
        <f aca="false">L9-$M$5</f>
        <v>0.731333596675027</v>
      </c>
    </row>
    <row r="10" customFormat="false" ht="15" hidden="false" customHeight="false" outlineLevel="0" collapsed="false">
      <c r="A10" s="22" t="n">
        <v>3</v>
      </c>
      <c r="B10" s="11" t="n">
        <f aca="false">IF(F9&lt;0,D9,B9)</f>
        <v>8</v>
      </c>
      <c r="C10" s="11" t="n">
        <f aca="false">IF(F9&lt;0,C9,D9)</f>
        <v>12</v>
      </c>
      <c r="D10" s="11" t="n">
        <f aca="false">(B10+C10)/2</f>
        <v>10</v>
      </c>
      <c r="E10" s="11" t="n">
        <f aca="false">D10*EXP(Rho_delta*$F$5)</f>
        <v>10.8807555780872</v>
      </c>
      <c r="F10" s="18" t="n">
        <f aca="false">E10-$F$4</f>
        <v>-0.141091569505225</v>
      </c>
      <c r="I10" s="11" t="n">
        <f aca="false">IF(M9&gt;0,K9,I9)</f>
        <v>3.125</v>
      </c>
      <c r="J10" s="11" t="n">
        <f aca="false">IF(M9&gt;0,J9,K9)</f>
        <v>4</v>
      </c>
      <c r="K10" s="11" t="n">
        <f aca="false">(I10+J10)/2</f>
        <v>3.5625</v>
      </c>
      <c r="L10" s="11" t="n">
        <f aca="false">LN(Cost_k/K10)/Rho_delta</f>
        <v>0.58923076449083</v>
      </c>
      <c r="M10" s="18" t="n">
        <f aca="false">L10-$M$5</f>
        <v>0.0647992522238144</v>
      </c>
    </row>
    <row r="11" customFormat="false" ht="15" hidden="false" customHeight="false" outlineLevel="0" collapsed="false">
      <c r="A11" s="22" t="n">
        <v>4</v>
      </c>
      <c r="B11" s="11" t="n">
        <f aca="false">IF(F10&lt;0,D10,B10)</f>
        <v>10</v>
      </c>
      <c r="C11" s="11" t="n">
        <f aca="false">IF(F10&lt;0,C10,D10)</f>
        <v>12</v>
      </c>
      <c r="D11" s="11" t="n">
        <f aca="false">(B11+C11)/2</f>
        <v>11</v>
      </c>
      <c r="E11" s="11" t="n">
        <f aca="false">D11*EXP(Rho_delta*$F$5)</f>
        <v>11.9688311358959</v>
      </c>
      <c r="F11" s="18" t="n">
        <f aca="false">E11-$F$4</f>
        <v>0.94698398830349</v>
      </c>
      <c r="I11" s="11" t="n">
        <f aca="false">IF(M10&gt;0,K10,I10)</f>
        <v>3.5625</v>
      </c>
      <c r="J11" s="11" t="n">
        <f aca="false">IF(M10&gt;0,J10,K10)</f>
        <v>4</v>
      </c>
      <c r="K11" s="11" t="n">
        <f aca="false">(I11+J11)/2</f>
        <v>3.78125</v>
      </c>
      <c r="L11" s="11" t="n">
        <f aca="false">LN(Cost_k/K11)/Rho_delta</f>
        <v>0.286088688776101</v>
      </c>
      <c r="M11" s="18" t="n">
        <f aca="false">L11-$M$5</f>
        <v>-0.238342823490915</v>
      </c>
    </row>
    <row r="12" customFormat="false" ht="15" hidden="false" customHeight="false" outlineLevel="0" collapsed="false">
      <c r="A12" s="22" t="n">
        <v>5</v>
      </c>
      <c r="B12" s="11" t="n">
        <f aca="false">IF(F11&lt;0,D11,B11)</f>
        <v>10</v>
      </c>
      <c r="C12" s="11" t="n">
        <f aca="false">IF(F11&lt;0,C11,D11)</f>
        <v>11</v>
      </c>
      <c r="D12" s="11" t="n">
        <f aca="false">(B12+C12)/2</f>
        <v>10.5</v>
      </c>
      <c r="E12" s="11" t="n">
        <f aca="false">D12*EXP(Rho_delta*$F$5)</f>
        <v>11.4247933569915</v>
      </c>
      <c r="F12" s="18" t="n">
        <f aca="false">E12-$F$4</f>
        <v>0.402946209399133</v>
      </c>
      <c r="I12" s="11" t="n">
        <f aca="false">IF(M11&gt;0,K11,I11)</f>
        <v>3.5625</v>
      </c>
      <c r="J12" s="11" t="n">
        <f aca="false">IF(M11&gt;0,J11,K11)</f>
        <v>3.78125</v>
      </c>
      <c r="K12" s="11" t="n">
        <f aca="false">(I12+J12)/2</f>
        <v>3.671875</v>
      </c>
      <c r="L12" s="11" t="n">
        <f aca="false">LN(Cost_k/K12)/Rho_delta</f>
        <v>0.435401951675684</v>
      </c>
      <c r="M12" s="18" t="n">
        <f aca="false">L12-$M$5</f>
        <v>-0.0890295605913323</v>
      </c>
    </row>
    <row r="13" customFormat="false" ht="15" hidden="false" customHeight="false" outlineLevel="0" collapsed="false">
      <c r="A13" s="22" t="n">
        <v>6</v>
      </c>
      <c r="B13" s="11" t="n">
        <f aca="false">IF(F12&lt;0,D12,B12)</f>
        <v>10</v>
      </c>
      <c r="C13" s="11" t="n">
        <f aca="false">IF(F12&lt;0,C12,D12)</f>
        <v>10.5</v>
      </c>
      <c r="D13" s="11" t="n">
        <f aca="false">(B13+C13)/2</f>
        <v>10.25</v>
      </c>
      <c r="E13" s="11" t="n">
        <f aca="false">D13*EXP(Rho_delta*$F$5)</f>
        <v>11.1527744675393</v>
      </c>
      <c r="F13" s="18" t="n">
        <f aca="false">E13-$F$4</f>
        <v>0.130927319946954</v>
      </c>
      <c r="I13" s="11" t="n">
        <f aca="false">IF(M12&gt;0,K12,I12)</f>
        <v>3.5625</v>
      </c>
      <c r="J13" s="11" t="n">
        <f aca="false">IF(M12&gt;0,J12,K12)</f>
        <v>3.671875</v>
      </c>
      <c r="K13" s="11" t="n">
        <f aca="false">(I13+J13)/2</f>
        <v>3.6171875</v>
      </c>
      <c r="L13" s="11" t="n">
        <f aca="false">LN(Cost_k/K13)/Rho_delta</f>
        <v>0.511734909532368</v>
      </c>
      <c r="M13" s="18" t="n">
        <f aca="false">L13-$M$5</f>
        <v>-0.012696602734648</v>
      </c>
    </row>
    <row r="14" customFormat="false" ht="15" hidden="false" customHeight="false" outlineLevel="0" collapsed="false">
      <c r="A14" s="22" t="n">
        <v>7</v>
      </c>
      <c r="B14" s="11" t="n">
        <f aca="false">IF(F13&lt;0,D13,B13)</f>
        <v>10</v>
      </c>
      <c r="C14" s="11" t="n">
        <f aca="false">IF(F13&lt;0,C13,D13)</f>
        <v>10.25</v>
      </c>
      <c r="D14" s="11" t="n">
        <f aca="false">(B14+C14)/2</f>
        <v>10.125</v>
      </c>
      <c r="E14" s="11" t="n">
        <f aca="false">D14*EXP(Rho_delta*$F$5)</f>
        <v>11.0167650228133</v>
      </c>
      <c r="F14" s="18" t="n">
        <f aca="false">E14-$F$4</f>
        <v>-0.00508212477913617</v>
      </c>
      <c r="I14" s="11" t="n">
        <f aca="false">IF(M13&gt;0,K13,I13)</f>
        <v>3.5625</v>
      </c>
      <c r="J14" s="11" t="n">
        <f aca="false">IF(M13&gt;0,J13,K13)</f>
        <v>3.6171875</v>
      </c>
      <c r="K14" s="11" t="n">
        <f aca="false">(I14+J14)/2</f>
        <v>3.58984375</v>
      </c>
      <c r="L14" s="11" t="n">
        <f aca="false">LN(Cost_k/K14)/Rho_delta</f>
        <v>0.550335264587662</v>
      </c>
      <c r="M14" s="18" t="n">
        <f aca="false">L14-$M$5</f>
        <v>0.0259037523206462</v>
      </c>
    </row>
    <row r="15" customFormat="false" ht="15" hidden="false" customHeight="false" outlineLevel="0" collapsed="false">
      <c r="A15" s="22" t="n">
        <v>8</v>
      </c>
      <c r="B15" s="11" t="n">
        <f aca="false">IF(F14&lt;0,D14,B14)</f>
        <v>10.125</v>
      </c>
      <c r="C15" s="11" t="n">
        <f aca="false">IF(F14&lt;0,C14,D14)</f>
        <v>10.25</v>
      </c>
      <c r="D15" s="11" t="n">
        <f aca="false">(B15+C15)/2</f>
        <v>10.1875</v>
      </c>
      <c r="E15" s="11" t="n">
        <f aca="false">D15*EXP(Rho_delta*$F$5)</f>
        <v>11.0847697451763</v>
      </c>
      <c r="F15" s="18" t="n">
        <f aca="false">E15-$F$4</f>
        <v>0.0629225975839081</v>
      </c>
      <c r="I15" s="11" t="n">
        <f aca="false">IF(M14&gt;0,K14,I14)</f>
        <v>3.58984375</v>
      </c>
      <c r="J15" s="11" t="n">
        <f aca="false">IF(M14&gt;0,J14,K14)</f>
        <v>3.6171875</v>
      </c>
      <c r="K15" s="11" t="n">
        <f aca="false">(I15+J15)/2</f>
        <v>3.603515625</v>
      </c>
      <c r="L15" s="11" t="n">
        <f aca="false">LN(Cost_k/K15)/Rho_delta</f>
        <v>0.530998474169278</v>
      </c>
      <c r="M15" s="18" t="n">
        <f aca="false">L15-$M$5</f>
        <v>0.0065669619022618</v>
      </c>
    </row>
    <row r="16" customFormat="false" ht="15" hidden="false" customHeight="false" outlineLevel="0" collapsed="false">
      <c r="A16" s="22" t="n">
        <v>9</v>
      </c>
      <c r="B16" s="11" t="n">
        <f aca="false">IF(F15&lt;0,D15,B15)</f>
        <v>10.125</v>
      </c>
      <c r="C16" s="11" t="n">
        <f aca="false">IF(F15&lt;0,C15,D15)</f>
        <v>10.1875</v>
      </c>
      <c r="D16" s="11" t="n">
        <f aca="false">(B16+C16)/2</f>
        <v>10.15625</v>
      </c>
      <c r="E16" s="11" t="n">
        <f aca="false">D16*EXP(Rho_delta*$F$5)</f>
        <v>11.0507673839948</v>
      </c>
      <c r="F16" s="18" t="n">
        <f aca="false">E16-$F$4</f>
        <v>0.0289202364023868</v>
      </c>
      <c r="I16" s="11" t="n">
        <f aca="false">IF(M15&gt;0,K15,I15)</f>
        <v>3.603515625</v>
      </c>
      <c r="J16" s="11" t="n">
        <f aca="false">IF(M15&gt;0,J15,K15)</f>
        <v>3.6171875</v>
      </c>
      <c r="K16" s="11" t="n">
        <f aca="false">(I16+J16)/2</f>
        <v>3.6103515625</v>
      </c>
      <c r="L16" s="11" t="n">
        <f aca="false">LN(Cost_k/K16)/Rho_delta</f>
        <v>0.521357573306528</v>
      </c>
      <c r="M16" s="18" t="n">
        <f aca="false">L16-$M$5</f>
        <v>-0.00307393896048791</v>
      </c>
    </row>
    <row r="17" customFormat="false" ht="15" hidden="false" customHeight="false" outlineLevel="0" collapsed="false">
      <c r="A17" s="22" t="n">
        <v>10</v>
      </c>
      <c r="B17" s="11" t="n">
        <f aca="false">IF(F16&lt;0,D16,B16)</f>
        <v>10.125</v>
      </c>
      <c r="C17" s="11" t="n">
        <f aca="false">IF(F16&lt;0,C16,D16)</f>
        <v>10.15625</v>
      </c>
      <c r="D17" s="11" t="n">
        <f aca="false">(B17+C17)/2</f>
        <v>10.140625</v>
      </c>
      <c r="E17" s="11" t="n">
        <f aca="false">D17*EXP(Rho_delta*$F$5)</f>
        <v>11.033766203404</v>
      </c>
      <c r="F17" s="18" t="n">
        <f aca="false">E17-$F$4</f>
        <v>0.0119190558116244</v>
      </c>
      <c r="I17" s="11" t="n">
        <f aca="false">IF(M16&gt;0,K16,I16)</f>
        <v>3.603515625</v>
      </c>
      <c r="J17" s="11" t="n">
        <f aca="false">IF(M16&gt;0,J16,K16)</f>
        <v>3.6103515625</v>
      </c>
      <c r="K17" s="11" t="n">
        <f aca="false">(I17+J17)/2</f>
        <v>3.60693359375</v>
      </c>
      <c r="L17" s="11" t="n">
        <f aca="false">LN(Cost_k/K17)/Rho_delta</f>
        <v>0.526175739782436</v>
      </c>
      <c r="M17" s="18" t="n">
        <f aca="false">L17-$M$5</f>
        <v>0.00174422751542036</v>
      </c>
    </row>
    <row r="18" customFormat="false" ht="15" hidden="false" customHeight="false" outlineLevel="0" collapsed="false">
      <c r="A18" s="22" t="n">
        <v>11</v>
      </c>
      <c r="B18" s="11" t="n">
        <f aca="false">IF(F17&lt;0,D17,B17)</f>
        <v>10.125</v>
      </c>
      <c r="C18" s="11" t="n">
        <f aca="false">IF(F17&lt;0,C17,D17)</f>
        <v>10.140625</v>
      </c>
      <c r="D18" s="11" t="n">
        <f aca="false">(B18+C18)/2</f>
        <v>10.1328125</v>
      </c>
      <c r="E18" s="11" t="n">
        <f aca="false">D18*EXP(Rho_delta*$F$5)</f>
        <v>11.0252656131086</v>
      </c>
      <c r="F18" s="18" t="n">
        <f aca="false">E18-$F$4</f>
        <v>0.00341846551624414</v>
      </c>
      <c r="I18" s="11" t="n">
        <f aca="false">IF(M17&gt;0,K17,I17)</f>
        <v>3.60693359375</v>
      </c>
      <c r="J18" s="11" t="n">
        <f aca="false">IF(M17&gt;0,J17,K17)</f>
        <v>3.6103515625</v>
      </c>
      <c r="K18" s="11" t="n">
        <f aca="false">(I18+J18)/2</f>
        <v>3.608642578125</v>
      </c>
      <c r="L18" s="11" t="n">
        <f aca="false">LN(Cost_k/K18)/Rho_delta</f>
        <v>0.523766086096499</v>
      </c>
      <c r="M18" s="18" t="n">
        <f aca="false">L18-$M$5</f>
        <v>-0.000665426170517458</v>
      </c>
    </row>
    <row r="19" customFormat="false" ht="15" hidden="false" customHeight="false" outlineLevel="0" collapsed="false">
      <c r="A19" s="22" t="n">
        <v>12</v>
      </c>
      <c r="B19" s="11" t="n">
        <f aca="false">IF(F18&lt;0,D18,B18)</f>
        <v>10.125</v>
      </c>
      <c r="C19" s="11" t="n">
        <f aca="false">IF(F18&lt;0,C18,D18)</f>
        <v>10.1328125</v>
      </c>
      <c r="D19" s="11" t="n">
        <f aca="false">(B19+C19)/2</f>
        <v>10.12890625</v>
      </c>
      <c r="E19" s="11" t="n">
        <f aca="false">D19*EXP(Rho_delta*$F$5)</f>
        <v>11.0210153179609</v>
      </c>
      <c r="F19" s="18" t="n">
        <f aca="false">E19-$F$4</f>
        <v>-0.000831829631446013</v>
      </c>
      <c r="I19" s="11" t="n">
        <f aca="false">IF(M18&gt;0,K18,I18)</f>
        <v>3.60693359375</v>
      </c>
      <c r="J19" s="11" t="n">
        <f aca="false">IF(M18&gt;0,J18,K18)</f>
        <v>3.608642578125</v>
      </c>
      <c r="K19" s="11" t="n">
        <f aca="false">(I19+J19)/2</f>
        <v>3.6077880859375</v>
      </c>
      <c r="L19" s="11" t="n">
        <f aca="false">LN(Cost_k/K19)/Rho_delta</f>
        <v>0.524970770259921</v>
      </c>
      <c r="M19" s="18" t="n">
        <f aca="false">L19-$M$5</f>
        <v>0.000539257992904774</v>
      </c>
    </row>
    <row r="20" customFormat="false" ht="15" hidden="false" customHeight="false" outlineLevel="0" collapsed="false">
      <c r="A20" s="22" t="n">
        <v>13</v>
      </c>
      <c r="B20" s="11" t="n">
        <f aca="false">IF(F19&lt;0,D19,B19)</f>
        <v>10.12890625</v>
      </c>
      <c r="C20" s="11" t="n">
        <f aca="false">IF(F19&lt;0,C19,D19)</f>
        <v>10.1328125</v>
      </c>
      <c r="D20" s="11" t="n">
        <f aca="false">(B20+C20)/2</f>
        <v>10.130859375</v>
      </c>
      <c r="E20" s="11" t="n">
        <f aca="false">D20*EXP(Rho_delta*$F$5)</f>
        <v>11.0231404655348</v>
      </c>
      <c r="F20" s="18" t="n">
        <f aca="false">E20-$F$4</f>
        <v>0.00129331794239995</v>
      </c>
      <c r="I20" s="11" t="n">
        <f aca="false">IF(M19&gt;0,K19,I19)</f>
        <v>3.6077880859375</v>
      </c>
      <c r="J20" s="11" t="n">
        <f aca="false">IF(M19&gt;0,J19,K19)</f>
        <v>3.608642578125</v>
      </c>
      <c r="K20" s="11" t="n">
        <f aca="false">(I20+J20)/2</f>
        <v>3.60821533203125</v>
      </c>
      <c r="L20" s="11" t="n">
        <f aca="false">LN(Cost_k/K20)/Rho_delta</f>
        <v>0.52436839251677</v>
      </c>
      <c r="M20" s="18" t="n">
        <f aca="false">L20-$M$5</f>
        <v>-6.31197502456438E-005</v>
      </c>
    </row>
    <row r="21" customFormat="false" ht="15" hidden="false" customHeight="false" outlineLevel="0" collapsed="false">
      <c r="A21" s="22" t="n">
        <v>14</v>
      </c>
      <c r="B21" s="11" t="n">
        <f aca="false">IF(F20&lt;0,D20,B20)</f>
        <v>10.12890625</v>
      </c>
      <c r="C21" s="11" t="n">
        <f aca="false">IF(F20&lt;0,C20,D20)</f>
        <v>10.130859375</v>
      </c>
      <c r="D21" s="11" t="n">
        <f aca="false">(B21+C21)/2</f>
        <v>10.1298828125</v>
      </c>
      <c r="E21" s="11" t="n">
        <f aca="false">D21*EXP(Rho_delta*$F$5)</f>
        <v>11.0220778917479</v>
      </c>
      <c r="F21" s="18" t="n">
        <f aca="false">E21-$F$4</f>
        <v>0.00023074415547697</v>
      </c>
      <c r="I21" s="11" t="n">
        <f aca="false">IF(M20&gt;0,K20,I20)</f>
        <v>3.6077880859375</v>
      </c>
      <c r="J21" s="11" t="n">
        <f aca="false">IF(M20&gt;0,J20,K20)</f>
        <v>3.60821533203125</v>
      </c>
      <c r="K21" s="11" t="n">
        <f aca="false">(I21+J21)/2</f>
        <v>3.60800170898438</v>
      </c>
      <c r="L21" s="11" t="n">
        <f aca="false">LN(Cost_k/K21)/Rho_delta</f>
        <v>0.52466957247193</v>
      </c>
      <c r="M21" s="18" t="n">
        <f aca="false">L21-$M$5</f>
        <v>0.000238060204914348</v>
      </c>
    </row>
    <row r="22" customFormat="false" ht="15" hidden="false" customHeight="false" outlineLevel="0" collapsed="false">
      <c r="A22" s="22" t="n">
        <v>15</v>
      </c>
      <c r="B22" s="11" t="n">
        <f aca="false">IF(F21&lt;0,D21,B21)</f>
        <v>10.12890625</v>
      </c>
      <c r="C22" s="11" t="n">
        <f aca="false">IF(F21&lt;0,C21,D21)</f>
        <v>10.1298828125</v>
      </c>
      <c r="D22" s="11" t="n">
        <f aca="false">(B22+C22)/2</f>
        <v>10.12939453125</v>
      </c>
      <c r="E22" s="11" t="n">
        <f aca="false">D22*EXP(Rho_delta*$F$5)</f>
        <v>11.0215466048544</v>
      </c>
      <c r="F22" s="18" t="n">
        <f aca="false">E22-$F$4</f>
        <v>-0.000300542737983633</v>
      </c>
      <c r="I22" s="11" t="n">
        <f aca="false">IF(M21&gt;0,K21,I21)</f>
        <v>3.60800170898438</v>
      </c>
      <c r="J22" s="11" t="n">
        <f aca="false">IF(M21&gt;0,J21,K21)</f>
        <v>3.60821533203125</v>
      </c>
      <c r="K22" s="11" t="n">
        <f aca="false">(I22+J22)/2</f>
        <v>3.60810852050781</v>
      </c>
      <c r="L22" s="11" t="n">
        <f aca="false">LN(Cost_k/K22)/Rho_delta</f>
        <v>0.524518980265378</v>
      </c>
      <c r="M22" s="18" t="n">
        <f aca="false">L22-$M$5</f>
        <v>8.7467998362345E-005</v>
      </c>
    </row>
    <row r="23" customFormat="false" ht="15" hidden="false" customHeight="false" outlineLevel="0" collapsed="false">
      <c r="A23" s="22" t="n">
        <v>16</v>
      </c>
      <c r="B23" s="11" t="n">
        <f aca="false">IF(F22&lt;0,D22,B22)</f>
        <v>10.12939453125</v>
      </c>
      <c r="C23" s="11" t="n">
        <f aca="false">IF(F22&lt;0,C22,D22)</f>
        <v>10.1298828125</v>
      </c>
      <c r="D23" s="11" t="n">
        <f aca="false">(B23+C23)/2</f>
        <v>10.129638671875</v>
      </c>
      <c r="E23" s="11" t="n">
        <f aca="false">D23*EXP(Rho_delta*$F$5)</f>
        <v>11.0218122483011</v>
      </c>
      <c r="F23" s="18" t="n">
        <f aca="false">E23-$F$4</f>
        <v>-3.48992912542201E-005</v>
      </c>
      <c r="I23" s="11" t="n">
        <f aca="false">IF(M22&gt;0,K22,I22)</f>
        <v>3.60810852050781</v>
      </c>
      <c r="J23" s="11" t="n">
        <f aca="false">IF(M22&gt;0,J22,K22)</f>
        <v>3.60821533203125</v>
      </c>
      <c r="K23" s="11" t="n">
        <f aca="false">(I23+J23)/2</f>
        <v>3.60816192626953</v>
      </c>
      <c r="L23" s="11" t="n">
        <f aca="false">LN(Cost_k/K23)/Rho_delta</f>
        <v>0.524443685833848</v>
      </c>
      <c r="M23" s="18" t="n">
        <f aca="false">L23-$M$5</f>
        <v>1.21735668319189E-005</v>
      </c>
    </row>
    <row r="24" customFormat="false" ht="15" hidden="false" customHeight="false" outlineLevel="0" collapsed="false">
      <c r="A24" s="22" t="n">
        <v>17</v>
      </c>
      <c r="B24" s="11" t="n">
        <f aca="false">IF(F23&lt;0,D23,B23)</f>
        <v>10.129638671875</v>
      </c>
      <c r="C24" s="11" t="n">
        <f aca="false">IF(F23&lt;0,C23,D23)</f>
        <v>10.1298828125</v>
      </c>
      <c r="D24" s="11" t="n">
        <f aca="false">(B24+C24)/2</f>
        <v>10.1297607421875</v>
      </c>
      <c r="E24" s="11" t="n">
        <f aca="false">D24*EXP(Rho_delta*$F$5)</f>
        <v>11.0219450700245</v>
      </c>
      <c r="F24" s="18" t="n">
        <f aca="false">E24-$F$4</f>
        <v>9.79224321113748E-005</v>
      </c>
      <c r="I24" s="11" t="n">
        <f aca="false">IF(M23&gt;0,K23,I23)</f>
        <v>3.60816192626953</v>
      </c>
      <c r="J24" s="11" t="n">
        <f aca="false">IF(M23&gt;0,J23,K23)</f>
        <v>3.60821533203125</v>
      </c>
      <c r="K24" s="11" t="n">
        <f aca="false">(I24+J24)/2</f>
        <v>3.60818862915039</v>
      </c>
      <c r="L24" s="11" t="n">
        <f aca="false">LN(Cost_k/K24)/Rho_delta</f>
        <v>0.524406039036005</v>
      </c>
      <c r="M24" s="18" t="n">
        <f aca="false">L24-$M$5</f>
        <v>-2.54732310115413E-005</v>
      </c>
    </row>
    <row r="25" customFormat="false" ht="15" hidden="false" customHeight="false" outlineLevel="0" collapsed="false">
      <c r="A25" s="22" t="n">
        <v>18</v>
      </c>
      <c r="B25" s="11" t="n">
        <f aca="false">IF(F24&lt;0,D24,B24)</f>
        <v>10.129638671875</v>
      </c>
      <c r="C25" s="11" t="n">
        <f aca="false">IF(F24&lt;0,C24,D24)</f>
        <v>10.1297607421875</v>
      </c>
      <c r="D25" s="11" t="n">
        <f aca="false">(B25+C25)/2</f>
        <v>10.1296997070313</v>
      </c>
      <c r="E25" s="11" t="n">
        <f aca="false">D25*EXP(Rho_delta*$F$5)</f>
        <v>11.0218786591628</v>
      </c>
      <c r="F25" s="18" t="n">
        <f aca="false">E25-$F$4</f>
        <v>3.15115704285773E-005</v>
      </c>
      <c r="I25" s="11" t="n">
        <f aca="false">IF(M24&gt;0,K24,I24)</f>
        <v>3.60816192626953</v>
      </c>
      <c r="J25" s="11" t="n">
        <f aca="false">IF(M24&gt;0,J24,K24)</f>
        <v>3.60818862915039</v>
      </c>
      <c r="K25" s="11" t="n">
        <f aca="false">(I25+J25)/2</f>
        <v>3.60817527770996</v>
      </c>
      <c r="L25" s="11" t="n">
        <f aca="false">LN(Cost_k/K25)/Rho_delta</f>
        <v>0.5244248624001</v>
      </c>
      <c r="M25" s="18" t="n">
        <f aca="false">L25-$M$5</f>
        <v>-6.64986691589764E-006</v>
      </c>
    </row>
    <row r="26" customFormat="false" ht="15" hidden="false" customHeight="false" outlineLevel="0" collapsed="false">
      <c r="A26" s="22" t="n">
        <v>19</v>
      </c>
      <c r="B26" s="11" t="n">
        <f aca="false">IF(F25&lt;0,D25,B25)</f>
        <v>10.129638671875</v>
      </c>
      <c r="C26" s="11" t="n">
        <f aca="false">IF(F25&lt;0,C25,D25)</f>
        <v>10.1296997070313</v>
      </c>
      <c r="D26" s="11" t="n">
        <f aca="false">(B26+C26)/2</f>
        <v>10.1296691894531</v>
      </c>
      <c r="E26" s="11" t="n">
        <f aca="false">D26*EXP(Rho_delta*$F$5)</f>
        <v>11.021845453732</v>
      </c>
      <c r="F26" s="18" t="n">
        <f aca="false">E26-$F$4</f>
        <v>-1.6938604119332E-006</v>
      </c>
      <c r="I26" s="11" t="n">
        <f aca="false">IF(M25&gt;0,K25,I25)</f>
        <v>3.60816192626953</v>
      </c>
      <c r="J26" s="11" t="n">
        <f aca="false">IF(M25&gt;0,J25,K25)</f>
        <v>3.60817527770996</v>
      </c>
      <c r="K26" s="11" t="n">
        <f aca="false">(I26+J26)/2</f>
        <v>3.60816860198975</v>
      </c>
      <c r="L26" s="11" t="n">
        <f aca="false">LN(Cost_k/K26)/Rho_delta</f>
        <v>0.524434274108267</v>
      </c>
      <c r="M26" s="18" t="n">
        <f aca="false">L26-$M$5</f>
        <v>2.76184125080903E-006</v>
      </c>
    </row>
    <row r="27" customFormat="false" ht="15" hidden="false" customHeight="false" outlineLevel="0" collapsed="false">
      <c r="A27" s="22" t="n">
        <v>20</v>
      </c>
      <c r="B27" s="11" t="n">
        <f aca="false">IF(F26&lt;0,D26,B26)</f>
        <v>10.1296691894531</v>
      </c>
      <c r="C27" s="11" t="n">
        <f aca="false">IF(F26&lt;0,C26,D26)</f>
        <v>10.1296997070313</v>
      </c>
      <c r="D27" s="11" t="n">
        <f aca="false">(B27+C27)/2</f>
        <v>10.1296844482422</v>
      </c>
      <c r="E27" s="11" t="n">
        <f aca="false">D27*EXP(Rho_delta*$F$5)</f>
        <v>11.0218620564474</v>
      </c>
      <c r="F27" s="18" t="n">
        <f aca="false">E27-$F$4</f>
        <v>1.49088550074339E-005</v>
      </c>
      <c r="I27" s="11" t="n">
        <f aca="false">IF(M26&gt;0,K26,I26)</f>
        <v>3.60816860198975</v>
      </c>
      <c r="J27" s="11" t="n">
        <f aca="false">IF(M26&gt;0,J26,K26)</f>
        <v>3.60817527770996</v>
      </c>
      <c r="K27" s="11" t="n">
        <f aca="false">(I27+J27)/2</f>
        <v>3.60817193984985</v>
      </c>
      <c r="L27" s="11" t="n">
        <f aca="false">LN(Cost_k/K27)/Rho_delta</f>
        <v>0.524429568252008</v>
      </c>
      <c r="M27" s="18" t="n">
        <f aca="false">L27-$M$5</f>
        <v>-1.94401500852592E-006</v>
      </c>
    </row>
    <row r="28" customFormat="false" ht="15" hidden="false" customHeight="false" outlineLevel="0" collapsed="false">
      <c r="A28" s="22" t="n">
        <v>21</v>
      </c>
      <c r="B28" s="11" t="n">
        <f aca="false">IF(F27&lt;0,D27,B27)</f>
        <v>10.1296691894531</v>
      </c>
      <c r="C28" s="11" t="n">
        <f aca="false">IF(F27&lt;0,C27,D27)</f>
        <v>10.1296844482422</v>
      </c>
      <c r="D28" s="11" t="n">
        <f aca="false">(B28+C28)/2</f>
        <v>10.1296768188477</v>
      </c>
      <c r="E28" s="11" t="n">
        <f aca="false">D28*EXP(Rho_delta*$F$5)</f>
        <v>11.0218537550897</v>
      </c>
      <c r="F28" s="18" t="n">
        <f aca="false">E28-$F$4</f>
        <v>6.60749729775034E-006</v>
      </c>
      <c r="I28" s="11" t="n">
        <f aca="false">IF(M27&gt;0,K27,I27)</f>
        <v>3.60816860198975</v>
      </c>
      <c r="J28" s="11" t="n">
        <f aca="false">IF(M27&gt;0,J27,K27)</f>
        <v>3.60817193984985</v>
      </c>
      <c r="K28" s="11" t="n">
        <f aca="false">(I28+J28)/2</f>
        <v>3.6081702709198</v>
      </c>
      <c r="L28" s="11" t="n">
        <f aca="false">LN(Cost_k/K28)/Rho_delta</f>
        <v>0.524431921179593</v>
      </c>
      <c r="M28" s="18" t="n">
        <f aca="false">L28-$M$5</f>
        <v>4.08912576688181E-007</v>
      </c>
    </row>
    <row r="29" customFormat="false" ht="15" hidden="false" customHeight="false" outlineLevel="0" collapsed="false">
      <c r="A29" s="22" t="n">
        <v>22</v>
      </c>
      <c r="B29" s="11" t="n">
        <f aca="false">IF(F28&lt;0,D28,B28)</f>
        <v>10.1296691894531</v>
      </c>
      <c r="C29" s="11" t="n">
        <f aca="false">IF(F28&lt;0,C28,D28)</f>
        <v>10.1296768188477</v>
      </c>
      <c r="D29" s="11" t="n">
        <f aca="false">(B29+C29)/2</f>
        <v>10.1296730041504</v>
      </c>
      <c r="E29" s="11" t="n">
        <f aca="false">D29*EXP(Rho_delta*$F$5)</f>
        <v>11.0218496044108</v>
      </c>
      <c r="F29" s="18" t="n">
        <f aca="false">E29-$F$4</f>
        <v>2.45681844290857E-006</v>
      </c>
      <c r="I29" s="11" t="n">
        <f aca="false">IF(M28&gt;0,K28,I28)</f>
        <v>3.6081702709198</v>
      </c>
      <c r="J29" s="11" t="n">
        <f aca="false">IF(M28&gt;0,J28,K28)</f>
        <v>3.60817193984985</v>
      </c>
      <c r="K29" s="11" t="n">
        <f aca="false">(I29+J29)/2</f>
        <v>3.60817110538483</v>
      </c>
      <c r="L29" s="11" t="n">
        <f aca="false">LN(Cost_k/K29)/Rho_delta</f>
        <v>0.524430744715664</v>
      </c>
      <c r="M29" s="18" t="n">
        <f aca="false">L29-$M$5</f>
        <v>-7.67551352476303E-007</v>
      </c>
    </row>
    <row r="30" customFormat="false" ht="15" hidden="false" customHeight="false" outlineLevel="0" collapsed="false">
      <c r="A30" s="22" t="n">
        <v>23</v>
      </c>
      <c r="B30" s="11" t="n">
        <f aca="false">IF(F29&lt;0,D29,B29)</f>
        <v>10.1296691894531</v>
      </c>
      <c r="C30" s="11" t="n">
        <f aca="false">IF(F29&lt;0,C29,D29)</f>
        <v>10.1296730041504</v>
      </c>
      <c r="D30" s="11" t="n">
        <f aca="false">(B30+C30)/2</f>
        <v>10.1296710968018</v>
      </c>
      <c r="E30" s="11" t="n">
        <f aca="false">D30*EXP(Rho_delta*$F$5)</f>
        <v>11.0218475290714</v>
      </c>
      <c r="F30" s="18" t="n">
        <f aca="false">E30-$F$4</f>
        <v>3.81479015487685E-007</v>
      </c>
      <c r="I30" s="11" t="n">
        <f aca="false">IF(M29&gt;0,K29,I29)</f>
        <v>3.6081702709198</v>
      </c>
      <c r="J30" s="11" t="n">
        <f aca="false">IF(M29&gt;0,J29,K29)</f>
        <v>3.60817110538483</v>
      </c>
      <c r="K30" s="11" t="n">
        <f aca="false">(I30+J30)/2</f>
        <v>3.60817068815231</v>
      </c>
      <c r="L30" s="11" t="n">
        <f aca="false">LN(Cost_k/K30)/Rho_delta</f>
        <v>0.524431332947594</v>
      </c>
      <c r="M30" s="18" t="n">
        <f aca="false">L30-$M$5</f>
        <v>-1.79319421644841E-007</v>
      </c>
    </row>
    <row r="31" customFormat="false" ht="15" hidden="false" customHeight="false" outlineLevel="0" collapsed="false">
      <c r="A31" s="22" t="n">
        <v>24</v>
      </c>
      <c r="B31" s="11" t="n">
        <f aca="false">IF(F30&lt;0,D30,B30)</f>
        <v>10.1296691894531</v>
      </c>
      <c r="C31" s="11" t="n">
        <f aca="false">IF(F30&lt;0,C30,D30)</f>
        <v>10.1296710968018</v>
      </c>
      <c r="D31" s="11" t="n">
        <f aca="false">(B31+C31)/2</f>
        <v>10.1296701431274</v>
      </c>
      <c r="E31" s="11" t="n">
        <f aca="false">D31*EXP(Rho_delta*$F$5)</f>
        <v>11.0218464914017</v>
      </c>
      <c r="F31" s="18" t="n">
        <f aca="false">E31-$F$4</f>
        <v>-6.56190698222758E-007</v>
      </c>
      <c r="I31" s="11" t="n">
        <f aca="false">IF(M30&gt;0,K30,I30)</f>
        <v>3.6081702709198</v>
      </c>
      <c r="J31" s="11" t="n">
        <f aca="false">IF(M30&gt;0,J30,K30)</f>
        <v>3.60817068815231</v>
      </c>
      <c r="K31" s="11" t="n">
        <f aca="false">(I31+J31)/2</f>
        <v>3.60817047953606</v>
      </c>
      <c r="L31" s="11" t="n">
        <f aca="false">LN(Cost_k/K31)/Rho_delta</f>
        <v>0.524431627063585</v>
      </c>
      <c r="M31" s="18" t="n">
        <f aca="false">L31-$M$5</f>
        <v>1.14796569139486E-007</v>
      </c>
    </row>
    <row r="32" customFormat="false" ht="15" hidden="false" customHeight="false" outlineLevel="0" collapsed="false">
      <c r="A32" s="22" t="n">
        <v>25</v>
      </c>
      <c r="B32" s="11" t="n">
        <f aca="false">IF(F31&lt;0,D31,B31)</f>
        <v>10.1296701431274</v>
      </c>
      <c r="C32" s="11" t="n">
        <f aca="false">IF(F31&lt;0,C31,D31)</f>
        <v>10.1296710968018</v>
      </c>
      <c r="D32" s="11" t="n">
        <f aca="false">(B32+C32)/2</f>
        <v>10.1296706199646</v>
      </c>
      <c r="E32" s="11" t="n">
        <f aca="false">D32*EXP(Rho_delta*$F$5)</f>
        <v>11.0218470102365</v>
      </c>
      <c r="F32" s="18" t="n">
        <f aca="false">E32-$F$4</f>
        <v>-1.37355842255715E-007</v>
      </c>
      <c r="I32" s="11" t="n">
        <f aca="false">IF(M31&gt;0,K31,I31)</f>
        <v>3.60817047953606</v>
      </c>
      <c r="J32" s="11" t="n">
        <f aca="false">IF(M31&gt;0,J31,K31)</f>
        <v>3.60817068815231</v>
      </c>
      <c r="K32" s="11" t="n">
        <f aca="false">(I32+J32)/2</f>
        <v>3.60817058384419</v>
      </c>
      <c r="L32" s="11" t="n">
        <f aca="false">LN(Cost_k/K32)/Rho_delta</f>
        <v>0.524431480005587</v>
      </c>
      <c r="M32" s="18" t="n">
        <f aca="false">L32-$M$5</f>
        <v>-3.22614287506795E-008</v>
      </c>
    </row>
    <row r="33" customFormat="false" ht="15" hidden="false" customHeight="false" outlineLevel="0" collapsed="false">
      <c r="A33" s="22" t="n">
        <v>26</v>
      </c>
      <c r="B33" s="11" t="n">
        <f aca="false">IF(F32&lt;0,D32,B32)</f>
        <v>10.1296706199646</v>
      </c>
      <c r="C33" s="11" t="n">
        <f aca="false">IF(F32&lt;0,C32,D32)</f>
        <v>10.1296710968018</v>
      </c>
      <c r="D33" s="11" t="n">
        <f aca="false">(B33+C33)/2</f>
        <v>10.1296708583832</v>
      </c>
      <c r="E33" s="11" t="n">
        <f aca="false">D33*EXP(Rho_delta*$F$5)</f>
        <v>11.021847269654</v>
      </c>
      <c r="F33" s="18" t="n">
        <f aca="false">E33-$F$4</f>
        <v>1.22061587504163E-007</v>
      </c>
      <c r="I33" s="11" t="n">
        <f aca="false">IF(M32&gt;0,K32,I32)</f>
        <v>3.60817047953606</v>
      </c>
      <c r="J33" s="11" t="n">
        <f aca="false">IF(M32&gt;0,J32,K32)</f>
        <v>3.60817058384419</v>
      </c>
      <c r="K33" s="11" t="n">
        <f aca="false">(I33+J33)/2</f>
        <v>3.60817053169012</v>
      </c>
      <c r="L33" s="11" t="n">
        <f aca="false">LN(Cost_k/K33)/Rho_delta</f>
        <v>0.524431553534586</v>
      </c>
      <c r="M33" s="18" t="n">
        <f aca="false">L33-$M$5</f>
        <v>4.12675696948028E-008</v>
      </c>
    </row>
    <row r="34" customFormat="false" ht="15" hidden="false" customHeight="false" outlineLevel="0" collapsed="false">
      <c r="A34" s="22" t="n">
        <v>27</v>
      </c>
      <c r="B34" s="11" t="n">
        <f aca="false">IF(F33&lt;0,D33,B33)</f>
        <v>10.1296706199646</v>
      </c>
      <c r="C34" s="11" t="n">
        <f aca="false">IF(F33&lt;0,C33,D33)</f>
        <v>10.1296708583832</v>
      </c>
      <c r="D34" s="11" t="n">
        <f aca="false">(B34+C34)/2</f>
        <v>10.1296707391739</v>
      </c>
      <c r="E34" s="11" t="n">
        <f aca="false">D34*EXP(Rho_delta*$F$5)</f>
        <v>11.0218471399453</v>
      </c>
      <c r="F34" s="18" t="n">
        <f aca="false">E34-$F$4</f>
        <v>-7.64712737577611E-009</v>
      </c>
      <c r="I34" s="11" t="n">
        <f aca="false">IF(M33&gt;0,K33,I33)</f>
        <v>3.60817053169012</v>
      </c>
      <c r="J34" s="11" t="n">
        <f aca="false">IF(M33&gt;0,J33,K33)</f>
        <v>3.60817058384419</v>
      </c>
      <c r="K34" s="11" t="n">
        <f aca="false">(I34+J34)/2</f>
        <v>3.60817055776715</v>
      </c>
      <c r="L34" s="11" t="n">
        <f aca="false">LN(Cost_k/K34)/Rho_delta</f>
        <v>0.524431516770087</v>
      </c>
      <c r="M34" s="18" t="n">
        <f aca="false">L34-$M$5</f>
        <v>4.50307113819548E-009</v>
      </c>
    </row>
    <row r="35" customFormat="false" ht="15" hidden="false" customHeight="false" outlineLevel="0" collapsed="false">
      <c r="A35" s="22" t="n">
        <v>28</v>
      </c>
      <c r="B35" s="11" t="n">
        <f aca="false">IF(F34&lt;0,D34,B34)</f>
        <v>10.1296707391739</v>
      </c>
      <c r="C35" s="11" t="n">
        <f aca="false">IF(F34&lt;0,C34,D34)</f>
        <v>10.1296708583832</v>
      </c>
      <c r="D35" s="11" t="n">
        <f aca="false">(B35+C35)/2</f>
        <v>10.1296707987785</v>
      </c>
      <c r="E35" s="11" t="n">
        <f aca="false">D35*EXP(Rho_delta*$F$5)</f>
        <v>11.0218472047996</v>
      </c>
      <c r="F35" s="18" t="n">
        <f aca="false">E35-$F$4</f>
        <v>5.72072291760151E-008</v>
      </c>
      <c r="I35" s="11" t="n">
        <f aca="false">IF(M34&gt;0,K34,I34)</f>
        <v>3.60817055776715</v>
      </c>
      <c r="J35" s="11" t="n">
        <f aca="false">IF(M34&gt;0,J34,K34)</f>
        <v>3.60817058384419</v>
      </c>
      <c r="K35" s="11" t="n">
        <f aca="false">(I35+J35)/2</f>
        <v>3.60817057080567</v>
      </c>
      <c r="L35" s="11" t="n">
        <f aca="false">LN(Cost_k/K35)/Rho_delta</f>
        <v>0.524431498387837</v>
      </c>
      <c r="M35" s="18" t="n">
        <f aca="false">L35-$M$5</f>
        <v>-1.38791786952197E-008</v>
      </c>
    </row>
    <row r="36" customFormat="false" ht="15" hidden="false" customHeight="false" outlineLevel="0" collapsed="false">
      <c r="A36" s="22" t="n">
        <v>29</v>
      </c>
      <c r="B36" s="11" t="n">
        <f aca="false">IF(F35&lt;0,D35,B35)</f>
        <v>10.1296707391739</v>
      </c>
      <c r="C36" s="11" t="n">
        <f aca="false">IF(F35&lt;0,C35,D35)</f>
        <v>10.1296707987785</v>
      </c>
      <c r="D36" s="11" t="n">
        <f aca="false">(B36+C36)/2</f>
        <v>10.1296707689762</v>
      </c>
      <c r="E36" s="11" t="n">
        <f aca="false">D36*EXP(Rho_delta*$F$5)</f>
        <v>11.0218471723724</v>
      </c>
      <c r="F36" s="18" t="n">
        <f aca="false">E36-$F$4</f>
        <v>2.47800517882979E-008</v>
      </c>
      <c r="I36" s="11" t="n">
        <f aca="false">IF(M35&gt;0,K35,I35)</f>
        <v>3.60817055776715</v>
      </c>
      <c r="J36" s="11" t="n">
        <f aca="false">IF(M35&gt;0,J35,K35)</f>
        <v>3.60817057080567</v>
      </c>
      <c r="K36" s="11" t="n">
        <f aca="false">(I36+J36)/2</f>
        <v>3.60817056428641</v>
      </c>
      <c r="L36" s="11" t="n">
        <f aca="false">LN(Cost_k/K36)/Rho_delta</f>
        <v>0.524431507578962</v>
      </c>
      <c r="M36" s="18" t="n">
        <f aca="false">L36-$M$5</f>
        <v>-4.68805427811247E-009</v>
      </c>
    </row>
    <row r="37" customFormat="false" ht="15" hidden="false" customHeight="false" outlineLevel="0" collapsed="false">
      <c r="A37" s="22" t="n">
        <v>30</v>
      </c>
      <c r="B37" s="11" t="n">
        <f aca="false">IF(F36&lt;0,D36,B36)</f>
        <v>10.1296707391739</v>
      </c>
      <c r="C37" s="11" t="n">
        <f aca="false">IF(F36&lt;0,C36,D36)</f>
        <v>10.1296707689762</v>
      </c>
      <c r="D37" s="11" t="n">
        <f aca="false">(B37+C37)/2</f>
        <v>10.1296707540751</v>
      </c>
      <c r="E37" s="11" t="n">
        <f aca="false">D37*EXP(Rho_delta*$F$5)</f>
        <v>11.0218471561588</v>
      </c>
      <c r="F37" s="18" t="n">
        <f aca="false">E37-$F$4</f>
        <v>8.56646131808247E-009</v>
      </c>
      <c r="I37" s="11" t="n">
        <f aca="false">IF(M36&gt;0,K36,I36)</f>
        <v>3.60817055776715</v>
      </c>
      <c r="J37" s="11" t="n">
        <f aca="false">IF(M36&gt;0,J36,K36)</f>
        <v>3.60817056428641</v>
      </c>
      <c r="K37" s="11" t="n">
        <f aca="false">(I37+J37)/2</f>
        <v>3.60817056102678</v>
      </c>
      <c r="L37" s="11" t="n">
        <f aca="false">LN(Cost_k/K37)/Rho_delta</f>
        <v>0.524431512174524</v>
      </c>
      <c r="M37" s="18" t="n">
        <f aca="false">L37-$M$5</f>
        <v>-9.24921250700095E-011</v>
      </c>
    </row>
    <row r="38" customFormat="false" ht="15" hidden="false" customHeight="false" outlineLevel="0" collapsed="false">
      <c r="A38" s="22" t="n">
        <v>31</v>
      </c>
      <c r="B38" s="11" t="n">
        <f aca="false">IF(F37&lt;0,D37,B37)</f>
        <v>10.1296707391739</v>
      </c>
      <c r="C38" s="11" t="n">
        <f aca="false">IF(F37&lt;0,C37,D37)</f>
        <v>10.1296707540751</v>
      </c>
      <c r="D38" s="11" t="n">
        <f aca="false">(B38+C38)/2</f>
        <v>10.1296707466245</v>
      </c>
      <c r="E38" s="11" t="n">
        <f aca="false">D38*EXP(Rho_delta*$F$5)</f>
        <v>11.0218471480521</v>
      </c>
      <c r="F38" s="18" t="n">
        <f aca="false">E38-$F$4</f>
        <v>4.59667859331603E-010</v>
      </c>
      <c r="I38" s="11" t="n">
        <f aca="false">IF(M37&gt;0,K37,I37)</f>
        <v>3.60817055776715</v>
      </c>
      <c r="J38" s="11" t="n">
        <f aca="false">IF(M37&gt;0,J37,K37)</f>
        <v>3.60817056102678</v>
      </c>
      <c r="K38" s="11" t="n">
        <f aca="false">(I38+J38)/2</f>
        <v>3.60817055939697</v>
      </c>
      <c r="L38" s="11" t="n">
        <f aca="false">LN(Cost_k/K38)/Rho_delta</f>
        <v>0.524431514472306</v>
      </c>
      <c r="M38" s="18" t="n">
        <f aca="false">L38-$M$5</f>
        <v>2.20528950656274E-009</v>
      </c>
    </row>
    <row r="39" customFormat="false" ht="15" hidden="false" customHeight="false" outlineLevel="0" collapsed="false">
      <c r="A39" s="22" t="n">
        <v>32</v>
      </c>
      <c r="B39" s="11" t="n">
        <f aca="false">IF(F38&lt;0,D38,B38)</f>
        <v>10.1296707391739</v>
      </c>
      <c r="C39" s="11" t="n">
        <f aca="false">IF(F38&lt;0,C38,D38)</f>
        <v>10.1296707466245</v>
      </c>
      <c r="D39" s="11" t="n">
        <f aca="false">(B39+C39)/2</f>
        <v>10.1296707428992</v>
      </c>
      <c r="E39" s="11" t="n">
        <f aca="false">D39*EXP(Rho_delta*$F$5)</f>
        <v>11.0218471439987</v>
      </c>
      <c r="F39" s="18" t="n">
        <f aca="false">E39-$F$4</f>
        <v>-3.59372975822225E-009</v>
      </c>
      <c r="I39" s="11" t="n">
        <f aca="false">IF(M38&gt;0,K38,I38)</f>
        <v>3.60817055939697</v>
      </c>
      <c r="J39" s="11" t="n">
        <f aca="false">IF(M38&gt;0,J38,K38)</f>
        <v>3.60817056102678</v>
      </c>
      <c r="K39" s="11" t="n">
        <f aca="false">(I39+J39)/2</f>
        <v>3.60817056021187</v>
      </c>
      <c r="L39" s="11" t="n">
        <f aca="false">LN(Cost_k/K39)/Rho_delta</f>
        <v>0.524431513323415</v>
      </c>
      <c r="M39" s="18" t="n">
        <f aca="false">L39-$M$5</f>
        <v>1.05639874625751E-009</v>
      </c>
    </row>
    <row r="40" customFormat="false" ht="15" hidden="false" customHeight="false" outlineLevel="0" collapsed="false">
      <c r="A40" s="22" t="n">
        <v>33</v>
      </c>
      <c r="B40" s="11" t="n">
        <f aca="false">IF(F39&lt;0,D39,B39)</f>
        <v>10.1296707428992</v>
      </c>
      <c r="C40" s="11" t="n">
        <f aca="false">IF(F39&lt;0,C39,D39)</f>
        <v>10.1296707466245</v>
      </c>
      <c r="D40" s="11" t="n">
        <f aca="false">(B40+C40)/2</f>
        <v>10.1296707447618</v>
      </c>
      <c r="E40" s="11" t="n">
        <f aca="false">D40*EXP(Rho_delta*$F$5)</f>
        <v>11.0218471460254</v>
      </c>
      <c r="F40" s="18" t="n">
        <f aca="false">E40-$F$4</f>
        <v>-1.56703094944533E-009</v>
      </c>
      <c r="I40" s="11" t="n">
        <f aca="false">IF(M39&gt;0,K39,I39)</f>
        <v>3.60817056021187</v>
      </c>
      <c r="J40" s="11" t="n">
        <f aca="false">IF(M39&gt;0,J39,K39)</f>
        <v>3.60817056102678</v>
      </c>
      <c r="K40" s="11" t="n">
        <f aca="false">(I40+J40)/2</f>
        <v>3.60817056061933</v>
      </c>
      <c r="L40" s="11" t="n">
        <f aca="false">LN(Cost_k/K40)/Rho_delta</f>
        <v>0.52443151274897</v>
      </c>
      <c r="M40" s="18" t="n">
        <f aca="false">L40-$M$5</f>
        <v>4.81953810194113E-010</v>
      </c>
    </row>
    <row r="41" customFormat="false" ht="15" hidden="false" customHeight="false" outlineLevel="0" collapsed="false">
      <c r="A41" s="22" t="n">
        <v>34</v>
      </c>
      <c r="B41" s="11" t="n">
        <f aca="false">IF(F40&lt;0,D40,B40)</f>
        <v>10.1296707447618</v>
      </c>
      <c r="C41" s="11" t="n">
        <f aca="false">IF(F40&lt;0,C40,D40)</f>
        <v>10.1296707466245</v>
      </c>
      <c r="D41" s="11" t="n">
        <f aca="false">(B41+C41)/2</f>
        <v>10.1296707456931</v>
      </c>
      <c r="E41" s="11" t="n">
        <f aca="false">D41*EXP(Rho_delta*$F$5)</f>
        <v>11.0218471470387</v>
      </c>
      <c r="F41" s="18" t="n">
        <f aca="false">E41-$F$4</f>
        <v>-5.53681545056861E-010</v>
      </c>
      <c r="I41" s="11" t="n">
        <f aca="false">IF(M40&gt;0,K40,I40)</f>
        <v>3.60817056061933</v>
      </c>
      <c r="J41" s="11" t="n">
        <f aca="false">IF(M40&gt;0,J40,K40)</f>
        <v>3.60817056102678</v>
      </c>
      <c r="K41" s="11" t="n">
        <f aca="false">(I41+J41)/2</f>
        <v>3.60817056082306</v>
      </c>
      <c r="L41" s="11" t="n">
        <f aca="false">LN(Cost_k/K41)/Rho_delta</f>
        <v>0.524431512461748</v>
      </c>
      <c r="M41" s="18" t="n">
        <f aca="false">L41-$M$5</f>
        <v>1.94731453184716E-010</v>
      </c>
    </row>
    <row r="42" customFormat="false" ht="15" hidden="false" customHeight="false" outlineLevel="0" collapsed="false">
      <c r="A42" s="22" t="n">
        <v>35</v>
      </c>
      <c r="B42" s="11" t="n">
        <f aca="false">IF(F41&lt;0,D41,B41)</f>
        <v>10.1296707456931</v>
      </c>
      <c r="C42" s="11" t="n">
        <f aca="false">IF(F41&lt;0,C41,D41)</f>
        <v>10.1296707466245</v>
      </c>
      <c r="D42" s="11" t="n">
        <f aca="false">(B42+C42)/2</f>
        <v>10.1296707461588</v>
      </c>
      <c r="E42" s="11" t="n">
        <f aca="false">D42*EXP(Rho_delta*$F$5)</f>
        <v>11.0218471475454</v>
      </c>
      <c r="F42" s="18" t="n">
        <f aca="false">E42-$F$4</f>
        <v>-4.70077310410488E-011</v>
      </c>
      <c r="I42" s="11" t="n">
        <f aca="false">IF(M41&gt;0,K41,I41)</f>
        <v>3.60817056082306</v>
      </c>
      <c r="J42" s="11" t="n">
        <f aca="false">IF(M41&gt;0,J41,K41)</f>
        <v>3.60817056102678</v>
      </c>
      <c r="K42" s="11" t="n">
        <f aca="false">(I42+J42)/2</f>
        <v>3.60817056092492</v>
      </c>
      <c r="L42" s="11" t="n">
        <f aca="false">LN(Cost_k/K42)/Rho_delta</f>
        <v>0.524431512318136</v>
      </c>
      <c r="M42" s="18" t="n">
        <f aca="false">L42-$M$5</f>
        <v>5.1119664057353E-011</v>
      </c>
    </row>
    <row r="43" customFormat="false" ht="15" hidden="false" customHeight="false" outlineLevel="0" collapsed="false">
      <c r="A43" s="22" t="n">
        <v>36</v>
      </c>
      <c r="B43" s="11" t="n">
        <f aca="false">IF(F42&lt;0,D42,B42)</f>
        <v>10.1296707461588</v>
      </c>
      <c r="C43" s="11" t="n">
        <f aca="false">IF(F42&lt;0,C42,D42)</f>
        <v>10.1296707466245</v>
      </c>
      <c r="D43" s="11" t="n">
        <f aca="false">(B43+C43)/2</f>
        <v>10.1296707463916</v>
      </c>
      <c r="E43" s="11" t="n">
        <f aca="false">D43*EXP(Rho_delta*$F$5)</f>
        <v>11.0218471477987</v>
      </c>
      <c r="F43" s="18" t="n">
        <f aca="false">E43-$F$4</f>
        <v>2.06329175966857E-010</v>
      </c>
      <c r="I43" s="11" t="n">
        <f aca="false">IF(M42&gt;0,K42,I42)</f>
        <v>3.60817056092492</v>
      </c>
      <c r="J43" s="11" t="n">
        <f aca="false">IF(M42&gt;0,J42,K42)</f>
        <v>3.60817056102678</v>
      </c>
      <c r="K43" s="11" t="n">
        <f aca="false">(I43+J43)/2</f>
        <v>3.60817056097585</v>
      </c>
      <c r="L43" s="11" t="n">
        <f aca="false">LN(Cost_k/K43)/Rho_delta</f>
        <v>0.52443151224633</v>
      </c>
      <c r="M43" s="18" t="n">
        <f aca="false">L43-$M$5</f>
        <v>-2.06862305063282E-011</v>
      </c>
    </row>
    <row r="44" customFormat="false" ht="15" hidden="false" customHeight="false" outlineLevel="0" collapsed="false">
      <c r="A44" s="22" t="n">
        <v>37</v>
      </c>
      <c r="B44" s="11" t="n">
        <f aca="false">IF(F43&lt;0,D43,B43)</f>
        <v>10.1296707461588</v>
      </c>
      <c r="C44" s="11" t="n">
        <f aca="false">IF(F43&lt;0,C43,D43)</f>
        <v>10.1296707463916</v>
      </c>
      <c r="D44" s="11" t="n">
        <f aca="false">(B44+C44)/2</f>
        <v>10.1296707462752</v>
      </c>
      <c r="E44" s="11" t="n">
        <f aca="false">D44*EXP(Rho_delta*$F$5)</f>
        <v>11.021847147672</v>
      </c>
      <c r="F44" s="18" t="n">
        <f aca="false">E44-$F$4</f>
        <v>7.96607224629042E-011</v>
      </c>
      <c r="I44" s="11" t="n">
        <f aca="false">IF(M43&gt;0,K43,I43)</f>
        <v>3.60817056092492</v>
      </c>
      <c r="J44" s="11" t="n">
        <f aca="false">IF(M43&gt;0,J43,K43)</f>
        <v>3.60817056097585</v>
      </c>
      <c r="K44" s="11" t="n">
        <f aca="false">(I44+J44)/2</f>
        <v>3.60817056095038</v>
      </c>
      <c r="L44" s="11" t="n">
        <f aca="false">LN(Cost_k/K44)/Rho_delta</f>
        <v>0.524431512282233</v>
      </c>
      <c r="M44" s="18" t="n">
        <f aca="false">L44-$M$5</f>
        <v>1.52172718870247E-011</v>
      </c>
    </row>
    <row r="45" customFormat="false" ht="15" hidden="false" customHeight="false" outlineLevel="0" collapsed="false">
      <c r="A45" s="22" t="n">
        <v>38</v>
      </c>
      <c r="B45" s="11" t="n">
        <f aca="false">IF(F44&lt;0,D44,B44)</f>
        <v>10.1296707461588</v>
      </c>
      <c r="C45" s="11" t="n">
        <f aca="false">IF(F44&lt;0,C44,D44)</f>
        <v>10.1296707462752</v>
      </c>
      <c r="D45" s="11" t="n">
        <f aca="false">(B45+C45)/2</f>
        <v>10.129670746217</v>
      </c>
      <c r="E45" s="11" t="n">
        <f aca="false">D45*EXP(Rho_delta*$F$5)</f>
        <v>11.0218471476087</v>
      </c>
      <c r="F45" s="18" t="n">
        <f aca="false">E45-$F$4</f>
        <v>1.63264957109277E-011</v>
      </c>
      <c r="I45" s="11" t="n">
        <f aca="false">IF(M44&gt;0,K44,I44)</f>
        <v>3.60817056095038</v>
      </c>
      <c r="J45" s="11" t="n">
        <f aca="false">IF(M44&gt;0,J44,K44)</f>
        <v>3.60817056097585</v>
      </c>
      <c r="K45" s="11" t="n">
        <f aca="false">(I45+J45)/2</f>
        <v>3.60817056096312</v>
      </c>
      <c r="L45" s="11" t="n">
        <f aca="false">LN(Cost_k/K45)/Rho_delta</f>
        <v>0.524431512264282</v>
      </c>
      <c r="M45" s="18" t="n">
        <f aca="false">L45-$M$5</f>
        <v>-2.73447930965176E-012</v>
      </c>
    </row>
    <row r="46" customFormat="false" ht="15" hidden="false" customHeight="false" outlineLevel="0" collapsed="false">
      <c r="A46" s="22" t="n">
        <v>39</v>
      </c>
      <c r="B46" s="11" t="n">
        <f aca="false">IF(F45&lt;0,D45,B45)</f>
        <v>10.1296707461588</v>
      </c>
      <c r="C46" s="11" t="n">
        <f aca="false">IF(F45&lt;0,C45,D45)</f>
        <v>10.129670746217</v>
      </c>
      <c r="D46" s="11" t="n">
        <f aca="false">(B46+C46)/2</f>
        <v>10.1296707461879</v>
      </c>
      <c r="E46" s="11" t="n">
        <f aca="false">D46*EXP(Rho_delta*$F$5)</f>
        <v>11.021847147577</v>
      </c>
      <c r="F46" s="18" t="n">
        <f aca="false">E46-$F$4</f>
        <v>-1.53406176650606E-011</v>
      </c>
      <c r="I46" s="11" t="n">
        <f aca="false">IF(M45&gt;0,K45,I45)</f>
        <v>3.60817056095038</v>
      </c>
      <c r="J46" s="11" t="n">
        <f aca="false">IF(M45&gt;0,J45,K45)</f>
        <v>3.60817056096312</v>
      </c>
      <c r="K46" s="11" t="n">
        <f aca="false">(I46+J46)/2</f>
        <v>3.60817056095675</v>
      </c>
      <c r="L46" s="11" t="n">
        <f aca="false">LN(Cost_k/K46)/Rho_delta</f>
        <v>0.524431512273257</v>
      </c>
      <c r="M46" s="18" t="n">
        <f aca="false">L46-$M$5</f>
        <v>6.24089668832539E-012</v>
      </c>
    </row>
    <row r="47" customFormat="false" ht="15" hidden="false" customHeight="false" outlineLevel="0" collapsed="false">
      <c r="A47" s="22" t="n">
        <v>40</v>
      </c>
      <c r="B47" s="11" t="n">
        <f aca="false">IF(F46&lt;0,D46,B46)</f>
        <v>10.1296707461879</v>
      </c>
      <c r="C47" s="11" t="n">
        <f aca="false">IF(F46&lt;0,C46,D46)</f>
        <v>10.129670746217</v>
      </c>
      <c r="D47" s="11" t="n">
        <f aca="false">(B47+C47)/2</f>
        <v>10.1296707462025</v>
      </c>
      <c r="E47" s="11" t="n">
        <f aca="false">D47*EXP(Rho_delta*$F$5)</f>
        <v>11.0218471475929</v>
      </c>
      <c r="F47" s="18" t="n">
        <f aca="false">E47-$F$4</f>
        <v>4.9382720135327E-013</v>
      </c>
      <c r="I47" s="11" t="n">
        <f aca="false">IF(M46&gt;0,K46,I46)</f>
        <v>3.60817056095675</v>
      </c>
      <c r="J47" s="11" t="n">
        <f aca="false">IF(M46&gt;0,J46,K46)</f>
        <v>3.60817056096312</v>
      </c>
      <c r="K47" s="11" t="n">
        <f aca="false">(I47+J47)/2</f>
        <v>3.60817056095993</v>
      </c>
      <c r="L47" s="11" t="n">
        <f aca="false">LN(Cost_k/K47)/Rho_delta</f>
        <v>0.52443151226877</v>
      </c>
      <c r="M47" s="18" t="n">
        <f aca="false">L47-$M$5</f>
        <v>1.7537082896979E-012</v>
      </c>
    </row>
    <row r="48" customFormat="false" ht="15" hidden="false" customHeight="false" outlineLevel="0" collapsed="false">
      <c r="A48" s="22" t="n">
        <v>41</v>
      </c>
      <c r="B48" s="11" t="n">
        <f aca="false">IF(F47&lt;0,D47,B47)</f>
        <v>10.1296707461879</v>
      </c>
      <c r="C48" s="11" t="n">
        <f aca="false">IF(F47&lt;0,C47,D47)</f>
        <v>10.1296707462025</v>
      </c>
      <c r="D48" s="11" t="n">
        <f aca="false">(B48+C48)/2</f>
        <v>10.1296707461952</v>
      </c>
      <c r="E48" s="11" t="n">
        <f aca="false">D48*EXP(Rho_delta*$F$5)</f>
        <v>11.021847147585</v>
      </c>
      <c r="F48" s="18" t="n">
        <f aca="false">E48-$F$4</f>
        <v>-7.42339523185365E-012</v>
      </c>
      <c r="I48" s="11" t="n">
        <f aca="false">IF(M47&gt;0,K47,I47)</f>
        <v>3.60817056095993</v>
      </c>
      <c r="J48" s="11" t="n">
        <f aca="false">IF(M47&gt;0,J47,K47)</f>
        <v>3.60817056096312</v>
      </c>
      <c r="K48" s="11" t="n">
        <f aca="false">(I48+J48)/2</f>
        <v>3.60817056096153</v>
      </c>
      <c r="L48" s="11" t="n">
        <f aca="false">LN(Cost_k/K48)/Rho_delta</f>
        <v>0.524431512266525</v>
      </c>
      <c r="M48" s="18" t="n">
        <f aca="false">L48-$M$5</f>
        <v>-4.90940621489244E-013</v>
      </c>
    </row>
    <row r="49" customFormat="false" ht="15" hidden="false" customHeight="false" outlineLevel="0" collapsed="false">
      <c r="A49" s="22" t="n">
        <v>42</v>
      </c>
      <c r="B49" s="11" t="n">
        <f aca="false">IF(F48&lt;0,D48,B48)</f>
        <v>10.1296707461952</v>
      </c>
      <c r="C49" s="11" t="n">
        <f aca="false">IF(F48&lt;0,C48,D48)</f>
        <v>10.1296707462025</v>
      </c>
      <c r="D49" s="11" t="n">
        <f aca="false">(B49+C49)/2</f>
        <v>10.1296707461988</v>
      </c>
      <c r="E49" s="11" t="n">
        <f aca="false">D49*EXP(Rho_delta*$F$5)</f>
        <v>11.0218471475889</v>
      </c>
      <c r="F49" s="18" t="n">
        <f aca="false">E49-$F$4</f>
        <v>-3.46567219366989E-012</v>
      </c>
      <c r="I49" s="11" t="n">
        <f aca="false">IF(M48&gt;0,K48,I48)</f>
        <v>3.60817056095993</v>
      </c>
      <c r="J49" s="11" t="n">
        <f aca="false">IF(M48&gt;0,J48,K48)</f>
        <v>3.60817056096153</v>
      </c>
      <c r="K49" s="11" t="n">
        <f aca="false">(I49+J49)/2</f>
        <v>3.60817056096073</v>
      </c>
      <c r="L49" s="11" t="n">
        <f aca="false">LN(Cost_k/K49)/Rho_delta</f>
        <v>0.524431512267647</v>
      </c>
      <c r="M49" s="18" t="n">
        <f aca="false">L49-$M$5</f>
        <v>6.30828722592014E-013</v>
      </c>
    </row>
    <row r="50" customFormat="false" ht="15" hidden="false" customHeight="false" outlineLevel="0" collapsed="false">
      <c r="A50" s="22" t="n">
        <v>43</v>
      </c>
      <c r="B50" s="11" t="n">
        <f aca="false">IF(F49&lt;0,D49,B49)</f>
        <v>10.1296707461988</v>
      </c>
      <c r="C50" s="11" t="n">
        <f aca="false">IF(F49&lt;0,C49,D49)</f>
        <v>10.1296707462025</v>
      </c>
      <c r="D50" s="11" t="n">
        <f aca="false">(B50+C50)/2</f>
        <v>10.1296707462006</v>
      </c>
      <c r="E50" s="11" t="n">
        <f aca="false">D50*EXP(Rho_delta*$F$5)</f>
        <v>11.0218471475909</v>
      </c>
      <c r="F50" s="18" t="n">
        <f aca="false">E50-$F$4</f>
        <v>-1.48681067457801E-012</v>
      </c>
      <c r="I50" s="11" t="n">
        <f aca="false">IF(M49&gt;0,K49,I49)</f>
        <v>3.60817056096073</v>
      </c>
      <c r="J50" s="11" t="n">
        <f aca="false">IF(M49&gt;0,J49,K49)</f>
        <v>3.60817056096153</v>
      </c>
      <c r="K50" s="11" t="n">
        <f aca="false">(I50+J50)/2</f>
        <v>3.60817056096113</v>
      </c>
      <c r="L50" s="11" t="n">
        <f aca="false">LN(Cost_k/K50)/Rho_delta</f>
        <v>0.524431512267087</v>
      </c>
      <c r="M50" s="18" t="n">
        <f aca="false">L50-$M$5</f>
        <v>7.04991620636974E-014</v>
      </c>
    </row>
    <row r="51" customFormat="false" ht="15" hidden="false" customHeight="false" outlineLevel="0" collapsed="false">
      <c r="A51" s="22" t="n">
        <v>44</v>
      </c>
      <c r="B51" s="11" t="n">
        <f aca="false">IF(F50&lt;0,D50,B50)</f>
        <v>10.1296707462006</v>
      </c>
      <c r="C51" s="11" t="n">
        <f aca="false">IF(F50&lt;0,C50,D50)</f>
        <v>10.1296707462025</v>
      </c>
      <c r="D51" s="11" t="n">
        <f aca="false">(B51+C51)/2</f>
        <v>10.1296707462016</v>
      </c>
      <c r="E51" s="11" t="n">
        <f aca="false">D51*EXP(Rho_delta*$F$5)</f>
        <v>11.0218471475919</v>
      </c>
      <c r="F51" s="18" t="n">
        <f aca="false">E51-$F$4</f>
        <v>-4.9560355819267E-013</v>
      </c>
      <c r="I51" s="11" t="n">
        <f aca="false">IF(M50&gt;0,K50,I50)</f>
        <v>3.60817056096113</v>
      </c>
      <c r="J51" s="11" t="n">
        <f aca="false">IF(M50&gt;0,J50,K50)</f>
        <v>3.60817056096153</v>
      </c>
      <c r="K51" s="11" t="n">
        <f aca="false">(I51+J51)/2</f>
        <v>3.60817056096133</v>
      </c>
      <c r="L51" s="11" t="n">
        <f aca="false">LN(Cost_k/K51)/Rho_delta</f>
        <v>0.524431512266806</v>
      </c>
      <c r="M51" s="18" t="n">
        <f aca="false">L51-$M$5</f>
        <v>-2.09721129351692E-013</v>
      </c>
    </row>
    <row r="52" customFormat="false" ht="15" hidden="false" customHeight="false" outlineLevel="0" collapsed="false">
      <c r="A52" s="22" t="n">
        <v>45</v>
      </c>
      <c r="B52" s="11" t="n">
        <f aca="false">IF(F51&lt;0,D51,B51)</f>
        <v>10.1296707462016</v>
      </c>
      <c r="C52" s="11" t="n">
        <f aca="false">IF(F51&lt;0,C51,D51)</f>
        <v>10.1296707462025</v>
      </c>
      <c r="D52" s="11" t="n">
        <f aca="false">(B52+C52)/2</f>
        <v>10.129670746202</v>
      </c>
      <c r="E52" s="11" t="n">
        <f aca="false">D52*EXP(Rho_delta*$F$5)</f>
        <v>11.0218471475924</v>
      </c>
      <c r="F52" s="18" t="n">
        <f aca="false">E52-$F$4</f>
        <v>0</v>
      </c>
      <c r="I52" s="11" t="n">
        <f aca="false">IF(M51&gt;0,K51,I51)</f>
        <v>3.60817056096113</v>
      </c>
      <c r="J52" s="11" t="n">
        <f aca="false">IF(M51&gt;0,J51,K51)</f>
        <v>3.60817056096133</v>
      </c>
      <c r="K52" s="11" t="n">
        <f aca="false">(I52+J52)/2</f>
        <v>3.60817056096123</v>
      </c>
      <c r="L52" s="11" t="n">
        <f aca="false">LN(Cost_k/K52)/Rho_delta</f>
        <v>0.524431512266946</v>
      </c>
      <c r="M52" s="18" t="n">
        <f aca="false">L52-$M$5</f>
        <v>-7.00550728538474E-014</v>
      </c>
    </row>
    <row r="53" customFormat="false" ht="15" hidden="false" customHeight="false" outlineLevel="0" collapsed="false">
      <c r="A53" s="22" t="n">
        <v>46</v>
      </c>
      <c r="B53" s="11" t="n">
        <f aca="false">IF(F52&lt;0,D52,B52)</f>
        <v>10.1296707462016</v>
      </c>
      <c r="C53" s="11" t="n">
        <f aca="false">IF(F52&lt;0,C52,D52)</f>
        <v>10.129670746202</v>
      </c>
      <c r="D53" s="11" t="n">
        <f aca="false">(B53+C53)/2</f>
        <v>10.1296707462018</v>
      </c>
      <c r="E53" s="11" t="n">
        <f aca="false">D53*EXP(Rho_delta*$F$5)</f>
        <v>11.0218471475921</v>
      </c>
      <c r="F53" s="18" t="n">
        <f aca="false">E53-$F$4</f>
        <v>-2.48689957516035E-013</v>
      </c>
      <c r="I53" s="11" t="n">
        <f aca="false">IF(M52&gt;0,K52,I52)</f>
        <v>3.60817056096113</v>
      </c>
      <c r="J53" s="11" t="n">
        <f aca="false">IF(M52&gt;0,J52,K52)</f>
        <v>3.60817056096123</v>
      </c>
      <c r="K53" s="11" t="n">
        <f aca="false">(I53+J53)/2</f>
        <v>3.60817056096118</v>
      </c>
      <c r="L53" s="11" t="n">
        <f aca="false">LN(Cost_k/K53)/Rho_delta</f>
        <v>0.524431512267016</v>
      </c>
      <c r="M53" s="18" t="n">
        <f aca="false">L53-$M$5</f>
        <v>0</v>
      </c>
    </row>
    <row r="54" customFormat="false" ht="15" hidden="false" customHeight="false" outlineLevel="0" collapsed="false">
      <c r="A54" s="22" t="n">
        <v>47</v>
      </c>
      <c r="B54" s="11" t="n">
        <f aca="false">IF(F53&lt;0,D53,B53)</f>
        <v>10.1296707462018</v>
      </c>
      <c r="C54" s="11" t="n">
        <f aca="false">IF(F53&lt;0,C53,D53)</f>
        <v>10.129670746202</v>
      </c>
      <c r="D54" s="11" t="n">
        <f aca="false">(B54+C54)/2</f>
        <v>10.1296707462019</v>
      </c>
      <c r="E54" s="11" t="n">
        <f aca="false">D54*EXP(Rho_delta*$F$5)</f>
        <v>11.0218471475923</v>
      </c>
      <c r="F54" s="18" t="n">
        <f aca="false">E54-$F$4</f>
        <v>-1.26121335597418E-013</v>
      </c>
      <c r="I54" s="11" t="n">
        <f aca="false">IF(M53&gt;0,K53,I53)</f>
        <v>3.60817056096113</v>
      </c>
      <c r="J54" s="11" t="n">
        <f aca="false">IF(M53&gt;0,J53,K53)</f>
        <v>3.60817056096118</v>
      </c>
      <c r="K54" s="11" t="n">
        <f aca="false">(I54+J54)/2</f>
        <v>3.60817056096115</v>
      </c>
      <c r="L54" s="11" t="n">
        <f aca="false">LN(Cost_k/K54)/Rho_delta</f>
        <v>0.524431512267051</v>
      </c>
      <c r="M54" s="18" t="n">
        <f aca="false">L54-$M$5</f>
        <v>3.48610029732299E-014</v>
      </c>
    </row>
    <row r="55" customFormat="false" ht="15" hidden="false" customHeight="false" outlineLevel="0" collapsed="false">
      <c r="A55" s="22" t="n">
        <v>48</v>
      </c>
      <c r="B55" s="11" t="n">
        <f aca="false">IF(F54&lt;0,D54,B54)</f>
        <v>10.1296707462019</v>
      </c>
      <c r="C55" s="11" t="n">
        <f aca="false">IF(F54&lt;0,C54,D54)</f>
        <v>10.129670746202</v>
      </c>
      <c r="D55" s="11" t="n">
        <f aca="false">(B55+C55)/2</f>
        <v>10.129670746202</v>
      </c>
      <c r="E55" s="11" t="n">
        <f aca="false">D55*EXP(Rho_delta*$F$5)</f>
        <v>11.0218471475923</v>
      </c>
      <c r="F55" s="18" t="n">
        <f aca="false">E55-$F$4</f>
        <v>-6.3948846218409E-014</v>
      </c>
      <c r="I55" s="11" t="n">
        <f aca="false">IF(M54&gt;0,K54,I54)</f>
        <v>3.60817056096115</v>
      </c>
      <c r="J55" s="11" t="n">
        <f aca="false">IF(M54&gt;0,J54,K54)</f>
        <v>3.60817056096118</v>
      </c>
      <c r="K55" s="11" t="n">
        <f aca="false">(I55+J55)/2</f>
        <v>3.60817056096117</v>
      </c>
      <c r="L55" s="11" t="n">
        <f aca="false">LN(Cost_k/K55)/Rho_delta</f>
        <v>0.524431512267034</v>
      </c>
      <c r="M55" s="18" t="n">
        <f aca="false">L55-$M$5</f>
        <v>1.75415237890775E-014</v>
      </c>
    </row>
    <row r="56" customFormat="false" ht="15" hidden="false" customHeight="false" outlineLevel="0" collapsed="false">
      <c r="A56" s="22" t="n">
        <v>49</v>
      </c>
      <c r="B56" s="11" t="n">
        <f aca="false">IF(F55&lt;0,D55,B55)</f>
        <v>10.129670746202</v>
      </c>
      <c r="C56" s="11" t="n">
        <f aca="false">IF(F55&lt;0,C55,D55)</f>
        <v>10.129670746202</v>
      </c>
      <c r="D56" s="11" t="n">
        <f aca="false">(B56+C56)/2</f>
        <v>10.129670746202</v>
      </c>
      <c r="E56" s="11" t="n">
        <f aca="false">D56*EXP(Rho_delta*$F$5)</f>
        <v>11.0218471475924</v>
      </c>
      <c r="F56" s="18" t="n">
        <f aca="false">E56-$F$4</f>
        <v>0</v>
      </c>
      <c r="I56" s="11" t="n">
        <f aca="false">IF(M55&gt;0,K55,I55)</f>
        <v>3.60817056096117</v>
      </c>
      <c r="J56" s="11" t="n">
        <f aca="false">IF(M55&gt;0,J55,K55)</f>
        <v>3.60817056096118</v>
      </c>
      <c r="K56" s="11" t="n">
        <f aca="false">(I56+J56)/2</f>
        <v>3.60817056096117</v>
      </c>
      <c r="L56" s="11" t="n">
        <f aca="false">LN(Cost_k/K56)/Rho_delta</f>
        <v>0.524431512267025</v>
      </c>
      <c r="M56" s="18" t="n">
        <f aca="false">L56-$M$5</f>
        <v>9.32587340685132E-015</v>
      </c>
    </row>
    <row r="57" customFormat="false" ht="15" hidden="false" customHeight="false" outlineLevel="0" collapsed="false">
      <c r="A57" s="22" t="n">
        <v>50</v>
      </c>
      <c r="B57" s="11" t="n">
        <f aca="false">IF(F56&lt;0,D56,B56)</f>
        <v>10.129670746202</v>
      </c>
      <c r="C57" s="11" t="n">
        <f aca="false">IF(F56&lt;0,C56,D56)</f>
        <v>10.129670746202</v>
      </c>
      <c r="D57" s="11" t="n">
        <f aca="false">(B57+C57)/2</f>
        <v>10.129670746202</v>
      </c>
      <c r="E57" s="11" t="n">
        <f aca="false">D57*EXP(Rho_delta*$F$5)</f>
        <v>11.0218471475923</v>
      </c>
      <c r="F57" s="18" t="n">
        <f aca="false">E57-$F$4</f>
        <v>-4.79616346638068E-014</v>
      </c>
      <c r="I57" s="11" t="n">
        <f aca="false">IF(M56&gt;0,K56,I56)</f>
        <v>3.60817056096117</v>
      </c>
      <c r="J57" s="11" t="n">
        <f aca="false">IF(M56&gt;0,J56,K56)</f>
        <v>3.60817056096118</v>
      </c>
      <c r="K57" s="11" t="n">
        <f aca="false">(I57+J57)/2</f>
        <v>3.60817056096117</v>
      </c>
      <c r="L57" s="11" t="n">
        <f aca="false">LN(Cost_k/K57)/Rho_delta</f>
        <v>0.52443151226702</v>
      </c>
      <c r="M57" s="18" t="n">
        <f aca="false">L57-$M$5</f>
        <v>4.2188474935756E-015</v>
      </c>
    </row>
    <row r="59" customFormat="false" ht="15" hidden="false" customHeight="false" outlineLevel="0" collapsed="false">
      <c r="A59" s="4" t="s">
        <v>181</v>
      </c>
      <c r="D59" s="11" t="n">
        <f aca="false">D57</f>
        <v>10.129670746202</v>
      </c>
      <c r="H59" s="4" t="s">
        <v>182</v>
      </c>
      <c r="K59" s="11" t="n">
        <f aca="false">K57</f>
        <v>3.60817056096117</v>
      </c>
    </row>
    <row r="60" customFormat="false" ht="15" hidden="false" customHeight="false" outlineLevel="0" collapsed="false">
      <c r="A60" s="1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10" t="s">
        <v>185</v>
      </c>
    </row>
    <row r="4" customFormat="false" ht="15" hidden="false" customHeight="false" outlineLevel="0" collapsed="false">
      <c r="A4" s="8" t="s">
        <v>17</v>
      </c>
      <c r="B4" s="8" t="s">
        <v>186</v>
      </c>
      <c r="C4" s="8" t="s">
        <v>187</v>
      </c>
    </row>
    <row r="5" customFormat="false" ht="15" hidden="false" customHeight="false" outlineLevel="0" collapsed="false">
      <c r="A5" s="2" t="s">
        <v>188</v>
      </c>
      <c r="B5" s="11" t="n">
        <f aca="false">1/52</f>
        <v>0.0192307692307692</v>
      </c>
      <c r="C5" s="11" t="n">
        <f aca="false">1/365</f>
        <v>0.00273972602739726</v>
      </c>
    </row>
    <row r="6" customFormat="false" ht="15" hidden="false" customHeight="false" outlineLevel="0" collapsed="false">
      <c r="A6" s="2" t="s">
        <v>189</v>
      </c>
      <c r="B6" s="24" t="n">
        <f aca="false">EXP(-Delta_a*B5)</f>
        <v>0.998054371502653</v>
      </c>
      <c r="C6" s="24" t="n">
        <f aca="false">EXP(-Delta_a*C5)</f>
        <v>0.999722583057233</v>
      </c>
    </row>
    <row r="7" customFormat="false" ht="15" hidden="false" customHeight="false" outlineLevel="0" collapsed="false">
      <c r="A7" s="2" t="s">
        <v>190</v>
      </c>
      <c r="B7" s="24" t="n">
        <f aca="false">(1-B6)/Delta_a</f>
        <v>0.0192120551920805</v>
      </c>
      <c r="C7" s="24" t="n">
        <f aca="false">(1-C6)/Delta_a</f>
        <v>0.00273934598661502</v>
      </c>
    </row>
    <row r="8" customFormat="false" ht="15" hidden="false" customHeight="false" outlineLevel="0" collapsed="false">
      <c r="A8" s="2" t="s">
        <v>191</v>
      </c>
      <c r="B8" s="24" t="n">
        <f aca="false">(1-EXP(-Rho_a*B5))/Rho_a</f>
        <v>0.0192131560696162</v>
      </c>
      <c r="C8" s="24" t="n">
        <f aca="false">(1-EXP(-Rho_a*C5))/Rho_a</f>
        <v>0.00273936835472177</v>
      </c>
    </row>
    <row r="9" customFormat="false" ht="15" hidden="false" customHeight="false" outlineLevel="0" collapsed="false">
      <c r="A9" s="2" t="s">
        <v>192</v>
      </c>
      <c r="B9" s="22" t="n">
        <f aca="false">ROUNDUP(Tau_race/B5-0.000000001,0)</f>
        <v>23</v>
      </c>
      <c r="C9" s="22" t="n">
        <f aca="false">ROUNDUP(Tau_race/C5-0.000000001,0)</f>
        <v>157</v>
      </c>
    </row>
    <row r="10" customFormat="false" ht="15" hidden="false" customHeight="false" outlineLevel="0" collapsed="false">
      <c r="A10" s="2" t="s">
        <v>193</v>
      </c>
      <c r="B10" s="14" t="n">
        <f aca="false">B9*B5</f>
        <v>0.442307692307692</v>
      </c>
      <c r="C10" s="14" t="n">
        <f aca="false">C9*C5</f>
        <v>0.43013698630137</v>
      </c>
    </row>
    <row r="11" customFormat="false" ht="15" hidden="false" customHeight="false" outlineLevel="0" collapsed="false">
      <c r="A11" s="2" t="s">
        <v>194</v>
      </c>
      <c r="B11" s="11" t="n">
        <f aca="false">Cost_k*B8*EXP(Rho_a*B5)/B7</f>
        <v>4.00756790142459</v>
      </c>
      <c r="C11" s="11" t="n">
        <f aca="false">Cost_k*C8*EXP(Rho_a*C5)/C7</f>
        <v>4.00107730200075</v>
      </c>
    </row>
    <row r="12" customFormat="false" ht="15" hidden="false" customHeight="false" outlineLevel="0" collapsed="false">
      <c r="A12" s="2" t="s">
        <v>195</v>
      </c>
      <c r="B12" s="11" t="n">
        <f aca="false">B11*(1-EXP(-Rho_delta*B5))/B5</f>
        <v>0.786326101008254</v>
      </c>
      <c r="C12" s="11" t="n">
        <f aca="false">C11*(1-EXP(-Rho_delta*C5))/C5</f>
        <v>0.786325656181345</v>
      </c>
    </row>
    <row r="13" customFormat="false" ht="15" hidden="false" customHeight="false" outlineLevel="0" collapsed="false">
      <c r="A13" s="2" t="s">
        <v>196</v>
      </c>
      <c r="B13" s="25" t="n">
        <v>4.00756790142438</v>
      </c>
      <c r="C13" s="25" t="n">
        <v>4.00107730200076</v>
      </c>
    </row>
    <row r="14" customFormat="false" ht="15" hidden="false" customHeight="false" outlineLevel="0" collapsed="false">
      <c r="A14" s="2" t="s">
        <v>197</v>
      </c>
      <c r="B14" s="25" t="n">
        <v>0.786326101008217</v>
      </c>
      <c r="C14" s="25" t="n">
        <v>0.786325656181419</v>
      </c>
    </row>
    <row r="16" customFormat="false" ht="23.85" hidden="false" customHeight="false" outlineLevel="0" collapsed="false">
      <c r="A16" s="8" t="s">
        <v>198</v>
      </c>
      <c r="B16" s="8" t="s">
        <v>199</v>
      </c>
      <c r="C16" s="8" t="s">
        <v>200</v>
      </c>
      <c r="D16" s="8" t="s">
        <v>201</v>
      </c>
      <c r="E16" s="8" t="s">
        <v>202</v>
      </c>
      <c r="F16" s="8" t="s">
        <v>203</v>
      </c>
      <c r="G16" s="8" t="s">
        <v>204</v>
      </c>
      <c r="H16" s="8" t="s">
        <v>205</v>
      </c>
      <c r="I16" s="8" t="s">
        <v>206</v>
      </c>
    </row>
    <row r="17" customFormat="false" ht="15" hidden="false" customHeight="false" outlineLevel="0" collapsed="false">
      <c r="A17" s="2" t="s">
        <v>207</v>
      </c>
      <c r="B17" s="26" t="n">
        <v>23</v>
      </c>
      <c r="C17" s="22" t="n">
        <f aca="false">ROUNDUP(LN(1-D17/Cap_top)/LN($B$6)-0.000000000001,0)</f>
        <v>23</v>
      </c>
      <c r="D17" s="11" t="n">
        <f aca="false">Floor_F-C_gone*$B$6^B17</f>
        <v>4.32164640408288</v>
      </c>
      <c r="E17" s="14" t="n">
        <f aca="false">(D17-Cap_top*(1-$B$6^(C17-1)))/($B$7*$B$6^(C17-1))</f>
        <v>6.93155741825022</v>
      </c>
      <c r="F17" s="11" t="n">
        <f aca="false">Cost_k*$B$8*(Ubar_a*EXP(-Rho_a*$B$5*(B17-C17+1))*(1-EXP(-Rho_a*$B$5*(C17-1)))/(1-EXP(-Rho_a*$B$5))+E17*EXP(-Rho_a*$B$5*(B17-C17)))+Delay_D*(1-EXP(-Rho_a*$B$5*B17))/Rho_a+EXP(-Rho_a*$B$5*B17)*Cost_k*Delta_a*Floor_F/Rho_a</f>
        <v>255.268848108229</v>
      </c>
      <c r="G17" s="25" t="n">
        <v>255.268848108228</v>
      </c>
      <c r="H17" s="18" t="n">
        <f aca="false">ABS(F17-G17)</f>
        <v>0</v>
      </c>
      <c r="I17" s="15" t="n">
        <f aca="false">F17+Prices!$B$4</f>
        <v>0.37672900602314</v>
      </c>
    </row>
    <row r="18" customFormat="false" ht="15" hidden="false" customHeight="false" outlineLevel="0" collapsed="false">
      <c r="A18" s="2" t="s">
        <v>207</v>
      </c>
      <c r="B18" s="26" t="n">
        <v>24</v>
      </c>
      <c r="C18" s="22" t="n">
        <f aca="false">ROUNDUP(LN(1-D18/Cap_top)/LN($B$6)-0.000000000001,0)</f>
        <v>24</v>
      </c>
      <c r="D18" s="11" t="n">
        <f aca="false">Floor_F-C_gone*$B$6^B18</f>
        <v>4.42024765303771</v>
      </c>
      <c r="E18" s="14" t="n">
        <f aca="false">(D18-Cap_top*(1-$B$6^(C18-1)))/($B$7*$B$6^(C18-1))</f>
        <v>2.16558001306495</v>
      </c>
      <c r="F18" s="11" t="n">
        <f aca="false">Cost_k*$B$8*(Ubar_a*EXP(-Rho_a*$B$5*(B18-C18+1))*(1-EXP(-Rho_a*$B$5*(C18-1)))/(1-EXP(-Rho_a*$B$5))+E18*EXP(-Rho_a*$B$5*(B18-C18)))+Delay_D*(1-EXP(-Rho_a*$B$5*B18))/Rho_a+EXP(-Rho_a*$B$5*B18)*Cost_k*Delta_a*Floor_F/Rho_a</f>
        <v>255.827786799233</v>
      </c>
      <c r="G18" s="25" t="n">
        <v>255.827786799232</v>
      </c>
      <c r="H18" s="18" t="n">
        <f aca="false">ABS(F18-G18)</f>
        <v>0</v>
      </c>
      <c r="I18" s="15" t="n">
        <f aca="false">F18+Prices!$B$4</f>
        <v>0.935667697027014</v>
      </c>
    </row>
    <row r="19" customFormat="false" ht="15" hidden="false" customHeight="false" outlineLevel="0" collapsed="false">
      <c r="A19" s="2" t="s">
        <v>207</v>
      </c>
      <c r="B19" s="26" t="n">
        <v>26</v>
      </c>
      <c r="C19" s="22" t="n">
        <f aca="false">ROUNDUP(LN(1-D19/Cap_top)/LN($B$6)-0.000000000001,0)</f>
        <v>25</v>
      </c>
      <c r="D19" s="11" t="n">
        <f aca="false">Floor_F-C_gone*$B$6^B19</f>
        <v>4.61687499999993</v>
      </c>
      <c r="E19" s="14" t="n">
        <f aca="false">(D19-Cap_top*(1-$B$6^(C19-1)))/($B$7*$B$6^(C19-1))</f>
        <v>2.74724408413014</v>
      </c>
      <c r="F19" s="11" t="n">
        <f aca="false">Cost_k*$B$8*(Ubar_a*EXP(-Rho_a*$B$5*(B19-C19+1))*(1-EXP(-Rho_a*$B$5*(C19-1)))/(1-EXP(-Rho_a*$B$5))+E19*EXP(-Rho_a*$B$5*(B19-C19)))+Delay_D*(1-EXP(-Rho_a*$B$5*B19))/Rho_a+EXP(-Rho_a*$B$5*B19)*Cost_k*Delta_a*Floor_F/Rho_a</f>
        <v>256.940585240608</v>
      </c>
      <c r="G19" s="25" t="n">
        <v>256.940585240608</v>
      </c>
      <c r="H19" s="18" t="n">
        <f aca="false">ABS(F19-G19)</f>
        <v>0</v>
      </c>
      <c r="I19" s="15" t="n">
        <f aca="false">F19+Prices!$B$4</f>
        <v>2.04846613840212</v>
      </c>
    </row>
    <row r="20" customFormat="false" ht="15" hidden="false" customHeight="false" outlineLevel="0" collapsed="false">
      <c r="A20" s="2" t="s">
        <v>207</v>
      </c>
      <c r="B20" s="26" t="n">
        <v>30</v>
      </c>
      <c r="C20" s="22" t="n">
        <f aca="false">ROUNDUP(LN(1-D20/Cap_top)/LN($B$6)-0.000000000001,0)</f>
        <v>27</v>
      </c>
      <c r="D20" s="11" t="n">
        <f aca="false">Floor_F-C_gone*$B$6^B20</f>
        <v>5.00783951580564</v>
      </c>
      <c r="E20" s="14" t="n">
        <f aca="false">(D20-Cap_top*(1-$B$6^(C20-1)))/($B$7*$B$6^(C20-1))</f>
        <v>3.85137952682395</v>
      </c>
      <c r="F20" s="11" t="n">
        <f aca="false">Cost_k*$B$8*(Ubar_a*EXP(-Rho_a*$B$5*(B20-C20+1))*(1-EXP(-Rho_a*$B$5*(C20-1)))/(1-EXP(-Rho_a*$B$5))+E20*EXP(-Rho_a*$B$5*(B20-C20)))+Delay_D*(1-EXP(-Rho_a*$B$5*B20))/Rho_a+EXP(-Rho_a*$B$5*B20)*Cost_k*Delta_a*Floor_F/Rho_a</f>
        <v>259.145202953554</v>
      </c>
      <c r="G20" s="25" t="n">
        <v>259.145202953553</v>
      </c>
      <c r="H20" s="18" t="n">
        <f aca="false">ABS(F20-G20)</f>
        <v>0</v>
      </c>
      <c r="I20" s="15" t="n">
        <f aca="false">F20+Prices!$B$4</f>
        <v>4.25308385134801</v>
      </c>
    </row>
    <row r="21" customFormat="false" ht="15" hidden="false" customHeight="false" outlineLevel="0" collapsed="false">
      <c r="A21" s="2" t="s">
        <v>207</v>
      </c>
      <c r="B21" s="26" t="n">
        <v>36</v>
      </c>
      <c r="C21" s="22" t="n">
        <f aca="false">ROUNDUP(LN(1-D21/Cap_top)/LN($B$6)-0.000000000001,0)</f>
        <v>30</v>
      </c>
      <c r="D21" s="11" t="n">
        <f aca="false">Floor_F-C_gone*$B$6^B21</f>
        <v>5.58860524398077</v>
      </c>
      <c r="E21" s="14" t="n">
        <f aca="false">(D21-Cap_top*(1-$B$6^(C21-1)))/($B$7*$B$6^(C21-1))</f>
        <v>5.3596317897338</v>
      </c>
      <c r="F21" s="11" t="n">
        <f aca="false">Cost_k*$B$8*(Ubar_a*EXP(-Rho_a*$B$5*(B21-C21+1))*(1-EXP(-Rho_a*$B$5*(C21-1)))/(1-EXP(-Rho_a*$B$5))+E21*EXP(-Rho_a*$B$5*(B21-C21)))+Delay_D*(1-EXP(-Rho_a*$B$5*B21))/Rho_a+EXP(-Rho_a*$B$5*B21)*Cost_k*Delta_a*Floor_F/Rho_a</f>
        <v>262.400144933611</v>
      </c>
      <c r="G21" s="25" t="n">
        <v>262.40014493361</v>
      </c>
      <c r="H21" s="18" t="n">
        <f aca="false">ABS(F21-G21)</f>
        <v>0</v>
      </c>
      <c r="I21" s="15" t="n">
        <f aca="false">F21+Prices!$B$4</f>
        <v>7.50802583140481</v>
      </c>
    </row>
    <row r="22" customFormat="false" ht="15" hidden="false" customHeight="false" outlineLevel="0" collapsed="false">
      <c r="A22" s="2" t="s">
        <v>208</v>
      </c>
      <c r="B22" s="26" t="n">
        <v>157</v>
      </c>
      <c r="C22" s="22" t="n">
        <f aca="false">ROUNDUP(LN(1-D22/Cap_top)/LN($C$6)-0.000000000001,0)</f>
        <v>157</v>
      </c>
      <c r="D22" s="11" t="n">
        <f aca="false">Floor_F-C_gone*$C$6^B22</f>
        <v>4.25914467487712</v>
      </c>
      <c r="E22" s="14" t="n">
        <f aca="false">(D22-Cap_top*(1-$C$6^(C22-1)))/($C$7*$C$6^(C22-1))</f>
        <v>8.8339287205851</v>
      </c>
      <c r="F22" s="11" t="n">
        <f aca="false">Cost_k*$C$8*(Ubar_a*EXP(-Rho_a*$C$5*(B22-C22+1))*(1-EXP(-Rho_a*$C$5*(C22-1)))/(1-EXP(-Rho_a*$C$5))+E22*EXP(-Rho_a*$C$5*(B22-C22)))+Delay_D*(1-EXP(-Rho_a*$C$5*B22))/Rho_a+EXP(-Rho_a*$C$5*B22)*Cost_k*Delta_a*Floor_F/Rho_a</f>
        <v>254.913840719928</v>
      </c>
      <c r="G22" s="25" t="n">
        <v>254.913840719909</v>
      </c>
      <c r="H22" s="18" t="n">
        <f aca="false">ABS(F22-G22)</f>
        <v>1.90709670278011E-011</v>
      </c>
      <c r="I22" s="15" t="n">
        <f aca="false">F22+Prices!$B$4</f>
        <v>0.0217216177215676</v>
      </c>
    </row>
    <row r="23" customFormat="false" ht="15" hidden="false" customHeight="false" outlineLevel="0" collapsed="false">
      <c r="A23" s="2" t="s">
        <v>208</v>
      </c>
      <c r="B23" s="26" t="n">
        <v>158</v>
      </c>
      <c r="C23" s="22" t="n">
        <f aca="false">ROUNDUP(LN(1-D23/Cap_top)/LN($C$6)-0.000000000001,0)</f>
        <v>158</v>
      </c>
      <c r="D23" s="11" t="n">
        <f aca="false">Floor_F-C_gone*$C$6^B23</f>
        <v>4.27322104783478</v>
      </c>
      <c r="E23" s="14" t="n">
        <f aca="false">(D23-Cap_top*(1-$C$6^(C23-1)))/($C$7*$C$6^(C23-1))</f>
        <v>4.0738219659291</v>
      </c>
      <c r="F23" s="11" t="n">
        <f aca="false">Cost_k*$C$8*(Ubar_a*EXP(-Rho_a*$C$5*(B23-C23+1))*(1-EXP(-Rho_a*$C$5*(C23-1)))/(1-EXP(-Rho_a*$C$5))+E23*EXP(-Rho_a*$C$5*(B23-C23)))+Delay_D*(1-EXP(-Rho_a*$C$5*B23))/Rho_a+EXP(-Rho_a*$C$5*B23)*Cost_k*Delta_a*Floor_F/Rho_a</f>
        <v>254.993750371808</v>
      </c>
      <c r="G23" s="25" t="n">
        <v>254.993750371789</v>
      </c>
      <c r="H23" s="18" t="n">
        <f aca="false">ABS(F23-G23)</f>
        <v>1.90425453183707E-011</v>
      </c>
      <c r="I23" s="15" t="n">
        <f aca="false">F23+Prices!$B$4</f>
        <v>0.101631269601739</v>
      </c>
    </row>
    <row r="24" customFormat="false" ht="15" hidden="false" customHeight="false" outlineLevel="0" collapsed="false">
      <c r="A24" s="2" t="s">
        <v>208</v>
      </c>
      <c r="B24" s="26" t="n">
        <v>164</v>
      </c>
      <c r="C24" s="22" t="n">
        <f aca="false">ROUNDUP(LN(1-D24/Cap_top)/LN($C$6)-0.000000000001,0)</f>
        <v>161</v>
      </c>
      <c r="D24" s="11" t="n">
        <f aca="false">Floor_F-C_gone*$C$6^B24</f>
        <v>4.35759731797504</v>
      </c>
      <c r="E24" s="14" t="n">
        <f aca="false">(D24-Cap_top*(1-$C$6^(C24-1)))/($C$7*$C$6^(C24-1))</f>
        <v>5.87876835659452</v>
      </c>
      <c r="F24" s="11" t="n">
        <f aca="false">Cost_k*$C$8*(Ubar_a*EXP(-Rho_a*$C$5*(B24-C24+1))*(1-EXP(-Rho_a*$C$5*(C24-1)))/(1-EXP(-Rho_a*$C$5))+E24*EXP(-Rho_a*$C$5*(B24-C24)))+Delay_D*(1-EXP(-Rho_a*$C$5*B24))/Rho_a+EXP(-Rho_a*$C$5*B24)*Cost_k*Delta_a*Floor_F/Rho_a</f>
        <v>255.472434906989</v>
      </c>
      <c r="G24" s="25" t="n">
        <v>255.47243490697</v>
      </c>
      <c r="H24" s="18" t="n">
        <f aca="false">ABS(F24-G24)</f>
        <v>1.89288584806491E-011</v>
      </c>
      <c r="I24" s="15" t="n">
        <f aca="false">F24+Prices!$B$4</f>
        <v>0.580315804782714</v>
      </c>
    </row>
    <row r="26" customFormat="false" ht="23.85" hidden="false" customHeight="false" outlineLevel="0" collapsed="false">
      <c r="A26" s="8" t="s">
        <v>43</v>
      </c>
      <c r="B26" s="8" t="s">
        <v>209</v>
      </c>
      <c r="C26" s="8" t="s">
        <v>210</v>
      </c>
      <c r="D26" s="8" t="s">
        <v>203</v>
      </c>
      <c r="E26" s="8" t="s">
        <v>204</v>
      </c>
      <c r="F26" s="8" t="s">
        <v>205</v>
      </c>
      <c r="G26" s="8" t="s">
        <v>206</v>
      </c>
    </row>
    <row r="27" customFormat="false" ht="15" hidden="false" customHeight="false" outlineLevel="0" collapsed="false">
      <c r="A27" s="2" t="s">
        <v>207</v>
      </c>
      <c r="B27" s="22" t="n">
        <f aca="false">INT(LN(C_kept/Floor_F)/(Delta_a*$B$5))</f>
        <v>27</v>
      </c>
      <c r="C27" s="14" t="n">
        <f aca="false">(Floor_F-$B$6^(B27+1)*C_kept)/$B$7</f>
        <v>4.06466674485322</v>
      </c>
      <c r="D27" s="11" t="n">
        <f aca="false">Cost_k*$B$8*C27*EXP(-Rho_a*$B$5*B27)+EXP(-Rho_a*$B$5*(B27+1))*Cost_k*Delta_a*Floor_F/Rho_a</f>
        <v>222.36280986579</v>
      </c>
      <c r="E27" s="25" t="n">
        <v>222.36280986579</v>
      </c>
      <c r="F27" s="18" t="n">
        <f aca="false">ABS(D27-E27)</f>
        <v>0</v>
      </c>
      <c r="G27" s="14" t="n">
        <f aca="false">D27+Prices!$B$9</f>
        <v>0.000151932599436577</v>
      </c>
    </row>
    <row r="28" customFormat="false" ht="15" hidden="false" customHeight="false" outlineLevel="0" collapsed="false">
      <c r="A28" s="2" t="s">
        <v>208</v>
      </c>
      <c r="B28" s="22" t="n">
        <f aca="false">INT(LN(C_kept/Floor_F)/(Delta_a*$C$5))</f>
        <v>191</v>
      </c>
      <c r="C28" s="14" t="n">
        <f aca="false">(Floor_F-$C$6^(B28+1)*C_kept)/$C$7</f>
        <v>3.24465399410726</v>
      </c>
      <c r="D28" s="11" t="n">
        <f aca="false">Cost_k*$C$8*C28*EXP(-Rho_a*$C$5*B28)+EXP(-Rho_a*$C$5*(B28+1))*Cost_k*Delta_a*Floor_F/Rho_a</f>
        <v>222.36266173571</v>
      </c>
      <c r="E28" s="25" t="n">
        <v>222.362661735691</v>
      </c>
      <c r="F28" s="18" t="n">
        <f aca="false">ABS(D28-E28)</f>
        <v>1.88151716429275E-011</v>
      </c>
      <c r="G28" s="14" t="n">
        <f aca="false">D28+Prices!$B$9</f>
        <v>3.80251947262877E-006</v>
      </c>
    </row>
    <row r="30" customFormat="false" ht="23.85" hidden="false" customHeight="false" outlineLevel="0" collapsed="false">
      <c r="A30" s="8" t="s">
        <v>211</v>
      </c>
      <c r="B30" s="8" t="s">
        <v>212</v>
      </c>
      <c r="C30" s="8" t="s">
        <v>213</v>
      </c>
      <c r="D30" s="8" t="s">
        <v>214</v>
      </c>
    </row>
    <row r="31" customFormat="false" ht="15" hidden="false" customHeight="false" outlineLevel="0" collapsed="false">
      <c r="A31" s="22" t="n">
        <v>0</v>
      </c>
      <c r="B31" s="14" t="n">
        <f aca="false">IF(A31&gt;=$B$17,Delta_a*Floor_F,IF(A31&lt;$B$17-$C$17,0,IF(A31=$B$17-$C$17,$E$17,Ubar_a)))</f>
        <v>6.93155741825022</v>
      </c>
      <c r="C31" s="14" t="n">
        <f aca="false">C_gone</f>
        <v>53</v>
      </c>
      <c r="D31" s="11" t="n">
        <f aca="false">Cost_k*$B$8*B31*EXP(-Rho_a*$B$5*A31)</f>
        <v>0.532708377929391</v>
      </c>
    </row>
    <row r="32" customFormat="false" ht="15" hidden="false" customHeight="false" outlineLevel="0" collapsed="false">
      <c r="A32" s="22" t="n">
        <v>1</v>
      </c>
      <c r="B32" s="14" t="n">
        <f aca="false">IF(A32&gt;=$B$17,Delta_a*Floor_F,IF(A32&lt;$B$17-$C$17,0,IF(A32=$B$17-$C$17,$E$17,Ubar_a)))</f>
        <v>10.127123193716</v>
      </c>
      <c r="C32" s="14" t="n">
        <f aca="false">$B$6*C31+$B$7*B31</f>
        <v>53.0300511533271</v>
      </c>
      <c r="D32" s="11" t="n">
        <f aca="false">Cost_k*$B$8*B32*EXP(-Rho_a*$B$5*A32)</f>
        <v>0.77687077091994</v>
      </c>
    </row>
    <row r="33" customFormat="false" ht="15" hidden="false" customHeight="false" outlineLevel="0" collapsed="false">
      <c r="A33" s="22" t="n">
        <v>2</v>
      </c>
      <c r="B33" s="14" t="n">
        <f aca="false">IF(A33&gt;=$B$17,Delta_a*Floor_F,IF(A33&lt;$B$17-$C$17,0,IF(A33=$B$17-$C$17,$E$17,Ubar_a)))</f>
        <v>10.127123193716</v>
      </c>
      <c r="C33" s="14" t="n">
        <f aca="false">$B$6*C32+$B$7*B32</f>
        <v>53.1214372243221</v>
      </c>
      <c r="D33" s="11" t="n">
        <f aca="false">Cost_k*$B$8*B33*EXP(-Rho_a*$B$5*A33)</f>
        <v>0.775448157893029</v>
      </c>
    </row>
    <row r="34" customFormat="false" ht="15" hidden="false" customHeight="false" outlineLevel="0" collapsed="false">
      <c r="A34" s="22" t="n">
        <v>3</v>
      </c>
      <c r="B34" s="14" t="n">
        <f aca="false">IF(A34&gt;=$B$17,Delta_a*Floor_F,IF(A34&lt;$B$17-$C$17,0,IF(A34=$B$17-$C$17,$E$17,Ubar_a)))</f>
        <v>10.127123193716</v>
      </c>
      <c r="C34" s="14" t="n">
        <f aca="false">$B$6*C33+$B$7*B33</f>
        <v>53.2126454919732</v>
      </c>
      <c r="D34" s="11" t="n">
        <f aca="false">Cost_k*$B$8*B34*EXP(-Rho_a*$B$5*A34)</f>
        <v>0.774028149968408</v>
      </c>
    </row>
    <row r="35" customFormat="false" ht="15" hidden="false" customHeight="false" outlineLevel="0" collapsed="false">
      <c r="A35" s="22" t="n">
        <v>4</v>
      </c>
      <c r="B35" s="14" t="n">
        <f aca="false">IF(A35&gt;=$B$17,Delta_a*Floor_F,IF(A35&lt;$B$17-$C$17,0,IF(A35=$B$17-$C$17,$E$17,Ubar_a)))</f>
        <v>10.127123193716</v>
      </c>
      <c r="C35" s="14" t="n">
        <f aca="false">$B$6*C34+$B$7*B34</f>
        <v>53.3036763022194</v>
      </c>
      <c r="D35" s="11" t="n">
        <f aca="false">Cost_k*$B$8*B35*EXP(-Rho_a*$B$5*A35)</f>
        <v>0.772610742375589</v>
      </c>
    </row>
    <row r="36" customFormat="false" ht="15" hidden="false" customHeight="false" outlineLevel="0" collapsed="false">
      <c r="A36" s="22" t="n">
        <v>5</v>
      </c>
      <c r="B36" s="14" t="n">
        <f aca="false">IF(A36&gt;=$B$17,Delta_a*Floor_F,IF(A36&lt;$B$17-$C$17,0,IF(A36=$B$17-$C$17,$E$17,Ubar_a)))</f>
        <v>10.127123193716</v>
      </c>
      <c r="C36" s="14" t="n">
        <f aca="false">$B$6*C35+$B$7*B35</f>
        <v>53.3945300003272</v>
      </c>
      <c r="D36" s="11" t="n">
        <f aca="false">Cost_k*$B$8*B36*EXP(-Rho_a*$B$5*A36)</f>
        <v>0.77119593035282</v>
      </c>
    </row>
    <row r="37" customFormat="false" ht="15" hidden="false" customHeight="false" outlineLevel="0" collapsed="false">
      <c r="A37" s="22" t="n">
        <v>6</v>
      </c>
      <c r="B37" s="14" t="n">
        <f aca="false">IF(A37&gt;=$B$17,Delta_a*Floor_F,IF(A37&lt;$B$17-$C$17,0,IF(A37=$B$17-$C$17,$E$17,Ubar_a)))</f>
        <v>10.127123193716</v>
      </c>
      <c r="C37" s="14" t="n">
        <f aca="false">$B$6*C36+$B$7*B36</f>
        <v>53.4852069308908</v>
      </c>
      <c r="D37" s="11" t="n">
        <f aca="false">Cost_k*$B$8*B37*EXP(-Rho_a*$B$5*A37)</f>
        <v>0.76978370914707</v>
      </c>
    </row>
    <row r="38" customFormat="false" ht="15" hidden="false" customHeight="false" outlineLevel="0" collapsed="false">
      <c r="A38" s="22" t="n">
        <v>7</v>
      </c>
      <c r="B38" s="14" t="n">
        <f aca="false">IF(A38&gt;=$B$17,Delta_a*Floor_F,IF(A38&lt;$B$17-$C$17,0,IF(A38=$B$17-$C$17,$E$17,Ubar_a)))</f>
        <v>10.127123193716</v>
      </c>
      <c r="C38" s="14" t="n">
        <f aca="false">$B$6*C37+$B$7*B37</f>
        <v>53.5757074378342</v>
      </c>
      <c r="D38" s="11" t="n">
        <f aca="false">Cost_k*$B$8*B38*EXP(-Rho_a*$B$5*A38)</f>
        <v>0.768374074014009</v>
      </c>
    </row>
    <row r="39" customFormat="false" ht="15" hidden="false" customHeight="false" outlineLevel="0" collapsed="false">
      <c r="A39" s="22" t="n">
        <v>8</v>
      </c>
      <c r="B39" s="14" t="n">
        <f aca="false">IF(A39&gt;=$B$17,Delta_a*Floor_F,IF(A39&lt;$B$17-$C$17,0,IF(A39=$B$17-$C$17,$E$17,Ubar_a)))</f>
        <v>10.127123193716</v>
      </c>
      <c r="C39" s="14" t="n">
        <f aca="false">$B$6*C38+$B$7*B38</f>
        <v>53.6660318644123</v>
      </c>
      <c r="D39" s="11" t="n">
        <f aca="false">Cost_k*$B$8*B39*EXP(-Rho_a*$B$5*A39)</f>
        <v>0.766967020217998</v>
      </c>
    </row>
    <row r="40" customFormat="false" ht="15" hidden="false" customHeight="false" outlineLevel="0" collapsed="false">
      <c r="A40" s="22" t="n">
        <v>9</v>
      </c>
      <c r="B40" s="14" t="n">
        <f aca="false">IF(A40&gt;=$B$17,Delta_a*Floor_F,IF(A40&lt;$B$17-$C$17,0,IF(A40=$B$17-$C$17,$E$17,Ubar_a)))</f>
        <v>10.127123193716</v>
      </c>
      <c r="C40" s="14" t="n">
        <f aca="false">$B$6*C39+$B$7*B39</f>
        <v>53.7561805532121</v>
      </c>
      <c r="D40" s="11" t="n">
        <f aca="false">Cost_k*$B$8*B40*EXP(-Rho_a*$B$5*A40)</f>
        <v>0.765562543032067</v>
      </c>
    </row>
    <row r="41" customFormat="false" ht="15" hidden="false" customHeight="false" outlineLevel="0" collapsed="false">
      <c r="A41" s="22" t="n">
        <v>10</v>
      </c>
      <c r="B41" s="14" t="n">
        <f aca="false">IF(A41&gt;=$B$17,Delta_a*Floor_F,IF(A41&lt;$B$17-$C$17,0,IF(A41=$B$17-$C$17,$E$17,Ubar_a)))</f>
        <v>10.127123193716</v>
      </c>
      <c r="C41" s="14" t="n">
        <f aca="false">$B$6*C40+$B$7*B40</f>
        <v>53.8461538461539</v>
      </c>
      <c r="D41" s="11" t="n">
        <f aca="false">Cost_k*$B$8*B41*EXP(-Rho_a*$B$5*A41)</f>
        <v>0.764160637737905</v>
      </c>
    </row>
    <row r="42" customFormat="false" ht="15" hidden="false" customHeight="false" outlineLevel="0" collapsed="false">
      <c r="A42" s="22" t="n">
        <v>11</v>
      </c>
      <c r="B42" s="14" t="n">
        <f aca="false">IF(A42&gt;=$B$17,Delta_a*Floor_F,IF(A42&lt;$B$17-$C$17,0,IF(A42=$B$17-$C$17,$E$17,Ubar_a)))</f>
        <v>10.127123193716</v>
      </c>
      <c r="C42" s="14" t="n">
        <f aca="false">$B$6*C41+$B$7*B41</f>
        <v>53.935952084493</v>
      </c>
      <c r="D42" s="11" t="n">
        <f aca="false">Cost_k*$B$8*B42*EXP(-Rho_a*$B$5*A42)</f>
        <v>0.762761299625839</v>
      </c>
    </row>
    <row r="43" customFormat="false" ht="15" hidden="false" customHeight="false" outlineLevel="0" collapsed="false">
      <c r="A43" s="22" t="n">
        <v>12</v>
      </c>
      <c r="B43" s="14" t="n">
        <f aca="false">IF(A43&gt;=$B$17,Delta_a*Floor_F,IF(A43&lt;$B$17-$C$17,0,IF(A43=$B$17-$C$17,$E$17,Ubar_a)))</f>
        <v>10.127123193716</v>
      </c>
      <c r="C43" s="14" t="n">
        <f aca="false">$B$6*C42+$B$7*B42</f>
        <v>54.0255756088205</v>
      </c>
      <c r="D43" s="11" t="n">
        <f aca="false">Cost_k*$B$8*B43*EXP(-Rho_a*$B$5*A43)</f>
        <v>0.76136452399482</v>
      </c>
    </row>
    <row r="44" customFormat="false" ht="15" hidden="false" customHeight="false" outlineLevel="0" collapsed="false">
      <c r="A44" s="22" t="n">
        <v>13</v>
      </c>
      <c r="B44" s="14" t="n">
        <f aca="false">IF(A44&gt;=$B$17,Delta_a*Floor_F,IF(A44&lt;$B$17-$C$17,0,IF(A44=$B$17-$C$17,$E$17,Ubar_a)))</f>
        <v>10.127123193716</v>
      </c>
      <c r="C44" s="14" t="n">
        <f aca="false">$B$6*C43+$B$7*B43</f>
        <v>54.1150247590651</v>
      </c>
      <c r="D44" s="11" t="n">
        <f aca="false">Cost_k*$B$8*B44*EXP(-Rho_a*$B$5*A44)</f>
        <v>0.759970306152411</v>
      </c>
    </row>
    <row r="45" customFormat="false" ht="15" hidden="false" customHeight="false" outlineLevel="0" collapsed="false">
      <c r="A45" s="22" t="n">
        <v>14</v>
      </c>
      <c r="B45" s="14" t="n">
        <f aca="false">IF(A45&gt;=$B$17,Delta_a*Floor_F,IF(A45&lt;$B$17-$C$17,0,IF(A45=$B$17-$C$17,$E$17,Ubar_a)))</f>
        <v>10.127123193716</v>
      </c>
      <c r="C45" s="14" t="n">
        <f aca="false">$B$6*C44+$B$7*B44</f>
        <v>54.204299874494</v>
      </c>
      <c r="D45" s="11" t="n">
        <f aca="false">Cost_k*$B$8*B45*EXP(-Rho_a*$B$5*A45)</f>
        <v>0.758578641414764</v>
      </c>
    </row>
    <row r="46" customFormat="false" ht="15" hidden="false" customHeight="false" outlineLevel="0" collapsed="false">
      <c r="A46" s="22" t="n">
        <v>15</v>
      </c>
      <c r="B46" s="14" t="n">
        <f aca="false">IF(A46&gt;=$B$17,Delta_a*Floor_F,IF(A46&lt;$B$17-$C$17,0,IF(A46=$B$17-$C$17,$E$17,Ubar_a)))</f>
        <v>10.127123193716</v>
      </c>
      <c r="C46" s="14" t="n">
        <f aca="false">$B$6*C45+$B$7*B45</f>
        <v>54.2934012937141</v>
      </c>
      <c r="D46" s="11" t="n">
        <f aca="false">Cost_k*$B$8*B46*EXP(-Rho_a*$B$5*A46)</f>
        <v>0.757189525106609</v>
      </c>
    </row>
    <row r="47" customFormat="false" ht="15" hidden="false" customHeight="false" outlineLevel="0" collapsed="false">
      <c r="A47" s="22" t="n">
        <v>16</v>
      </c>
      <c r="B47" s="14" t="n">
        <f aca="false">IF(A47&gt;=$B$17,Delta_a*Floor_F,IF(A47&lt;$B$17-$C$17,0,IF(A47=$B$17-$C$17,$E$17,Ubar_a)))</f>
        <v>10.127123193716</v>
      </c>
      <c r="C47" s="14" t="n">
        <f aca="false">$B$6*C46+$B$7*B46</f>
        <v>54.3823293546738</v>
      </c>
      <c r="D47" s="11" t="n">
        <f aca="false">Cost_k*$B$8*B47*EXP(-Rho_a*$B$5*A47)</f>
        <v>0.75580295256124</v>
      </c>
    </row>
    <row r="48" customFormat="false" ht="15" hidden="false" customHeight="false" outlineLevel="0" collapsed="false">
      <c r="A48" s="22" t="n">
        <v>17</v>
      </c>
      <c r="B48" s="14" t="n">
        <f aca="false">IF(A48&gt;=$B$17,Delta_a*Floor_F,IF(A48&lt;$B$17-$C$17,0,IF(A48=$B$17-$C$17,$E$17,Ubar_a)))</f>
        <v>10.127123193716</v>
      </c>
      <c r="C48" s="14" t="n">
        <f aca="false">$B$6*C47+$B$7*B47</f>
        <v>54.471084394664</v>
      </c>
      <c r="D48" s="11" t="n">
        <f aca="false">Cost_k*$B$8*B48*EXP(-Rho_a*$B$5*A48)</f>
        <v>0.754418919120494</v>
      </c>
    </row>
    <row r="49" customFormat="false" ht="15" hidden="false" customHeight="false" outlineLevel="0" collapsed="false">
      <c r="A49" s="22" t="n">
        <v>18</v>
      </c>
      <c r="B49" s="14" t="n">
        <f aca="false">IF(A49&gt;=$B$17,Delta_a*Floor_F,IF(A49&lt;$B$17-$C$17,0,IF(A49=$B$17-$C$17,$E$17,Ubar_a)))</f>
        <v>10.127123193716</v>
      </c>
      <c r="C49" s="14" t="n">
        <f aca="false">$B$6*C48+$B$7*B48</f>
        <v>54.559666750319</v>
      </c>
      <c r="D49" s="11" t="n">
        <f aca="false">Cost_k*$B$8*B49*EXP(-Rho_a*$B$5*A49)</f>
        <v>0.753037420134738</v>
      </c>
    </row>
    <row r="50" customFormat="false" ht="15" hidden="false" customHeight="false" outlineLevel="0" collapsed="false">
      <c r="A50" s="22" t="n">
        <v>19</v>
      </c>
      <c r="B50" s="14" t="n">
        <f aca="false">IF(A50&gt;=$B$17,Delta_a*Floor_F,IF(A50&lt;$B$17-$C$17,0,IF(A50=$B$17-$C$17,$E$17,Ubar_a)))</f>
        <v>10.127123193716</v>
      </c>
      <c r="C50" s="14" t="n">
        <f aca="false">$B$6*C49+$B$7*B49</f>
        <v>54.6480767576185</v>
      </c>
      <c r="D50" s="11" t="n">
        <f aca="false">Cost_k*$B$8*B50*EXP(-Rho_a*$B$5*A50)</f>
        <v>0.751658450962856</v>
      </c>
    </row>
    <row r="51" customFormat="false" ht="15" hidden="false" customHeight="false" outlineLevel="0" collapsed="false">
      <c r="A51" s="22" t="n">
        <v>20</v>
      </c>
      <c r="B51" s="14" t="n">
        <f aca="false">IF(A51&gt;=$B$17,Delta_a*Floor_F,IF(A51&lt;$B$17-$C$17,0,IF(A51=$B$17-$C$17,$E$17,Ubar_a)))</f>
        <v>10.127123193716</v>
      </c>
      <c r="C51" s="14" t="n">
        <f aca="false">$B$6*C50+$B$7*B50</f>
        <v>54.7363147518884</v>
      </c>
      <c r="D51" s="11" t="n">
        <f aca="false">Cost_k*$B$8*B51*EXP(-Rho_a*$B$5*A51)</f>
        <v>0.750282006972228</v>
      </c>
    </row>
    <row r="52" customFormat="false" ht="15" hidden="false" customHeight="false" outlineLevel="0" collapsed="false">
      <c r="A52" s="22" t="n">
        <v>21</v>
      </c>
      <c r="B52" s="14" t="n">
        <f aca="false">IF(A52&gt;=$B$17,Delta_a*Floor_F,IF(A52&lt;$B$17-$C$17,0,IF(A52=$B$17-$C$17,$E$17,Ubar_a)))</f>
        <v>10.127123193716</v>
      </c>
      <c r="C52" s="14" t="n">
        <f aca="false">$B$6*C51+$B$7*B51</f>
        <v>54.824381067802</v>
      </c>
      <c r="D52" s="11" t="n">
        <f aca="false">Cost_k*$B$8*B52*EXP(-Rho_a*$B$5*A52)</f>
        <v>0.748908083538718</v>
      </c>
    </row>
    <row r="53" customFormat="false" ht="15" hidden="false" customHeight="false" outlineLevel="0" collapsed="false">
      <c r="A53" s="22" t="n">
        <v>22</v>
      </c>
      <c r="B53" s="14" t="n">
        <f aca="false">IF(A53&gt;=$B$17,Delta_a*Floor_F,IF(A53&lt;$B$17-$C$17,0,IF(A53=$B$17-$C$17,$E$17,Ubar_a)))</f>
        <v>10.127123193716</v>
      </c>
      <c r="C53" s="14" t="n">
        <f aca="false">$B$6*C52+$B$7*B52</f>
        <v>54.9122760393818</v>
      </c>
      <c r="D53" s="11" t="n">
        <f aca="false">Cost_k*$B$8*B53*EXP(-Rho_a*$B$5*A53)</f>
        <v>0.747536676046659</v>
      </c>
    </row>
    <row r="54" customFormat="false" ht="15" hidden="false" customHeight="false" outlineLevel="0" collapsed="false">
      <c r="A54" s="22" t="n">
        <v>23</v>
      </c>
      <c r="B54" s="14" t="n">
        <f aca="false">IF(A54&gt;=$B$17,Delta_a*Floor_F,IF(A54&lt;$B$17-$C$17,0,IF(A54=$B$17-$C$17,$E$17,Ubar_a)))</f>
        <v>5.56991775654378</v>
      </c>
      <c r="C54" s="14" t="n">
        <f aca="false">$B$6*C53+$B$7*B53</f>
        <v>55.0000000000001</v>
      </c>
      <c r="D54" s="11" t="n">
        <f aca="false">Cost_k*$B$8*B54*EXP(-Rho_a*$B$5*A54)</f>
        <v>0.410392278938859</v>
      </c>
    </row>
    <row r="55" customFormat="false" ht="15" hidden="false" customHeight="false" outlineLevel="0" collapsed="false">
      <c r="A55" s="22" t="n">
        <v>24</v>
      </c>
      <c r="B55" s="14" t="n">
        <f aca="false">IF(A55&gt;=$B$17,Delta_a*Floor_F,IF(A55&lt;$B$17-$C$17,0,IF(A55=$B$17-$C$17,$E$17,Ubar_a)))</f>
        <v>5.56991775654378</v>
      </c>
      <c r="C55" s="14" t="n">
        <f aca="false">$B$6*C54+$B$7*B54</f>
        <v>55.0000000000001</v>
      </c>
      <c r="D55" s="11" t="n">
        <f aca="false">Cost_k*$B$8*B55*EXP(-Rho_a*$B$5*A55)</f>
        <v>0.409640764756557</v>
      </c>
    </row>
    <row r="56" customFormat="false" ht="15" hidden="false" customHeight="false" outlineLevel="0" collapsed="false">
      <c r="A56" s="22" t="n">
        <v>25</v>
      </c>
      <c r="B56" s="14" t="n">
        <f aca="false">IF(A56&gt;=$B$17,Delta_a*Floor_F,IF(A56&lt;$B$17-$C$17,0,IF(A56=$B$17-$C$17,$E$17,Ubar_a)))</f>
        <v>5.56991775654378</v>
      </c>
      <c r="C56" s="14" t="n">
        <f aca="false">$B$6*C55+$B$7*B55</f>
        <v>55.0000000000001</v>
      </c>
      <c r="D56" s="11" t="n">
        <f aca="false">Cost_k*$B$8*B56*EXP(-Rho_a*$B$5*A56)</f>
        <v>0.40889062675406</v>
      </c>
    </row>
    <row r="57" customFormat="false" ht="15" hidden="false" customHeight="false" outlineLevel="0" collapsed="false">
      <c r="A57" s="22" t="n">
        <v>26</v>
      </c>
      <c r="B57" s="14" t="n">
        <f aca="false">IF(A57&gt;=$B$17,Delta_a*Floor_F,IF(A57&lt;$B$17-$C$17,0,IF(A57=$B$17-$C$17,$E$17,Ubar_a)))</f>
        <v>5.56991775654378</v>
      </c>
      <c r="C57" s="14" t="n">
        <f aca="false">$B$6*C56+$B$7*B56</f>
        <v>55.0000000000001</v>
      </c>
      <c r="D57" s="11" t="n">
        <f aca="false">Cost_k*$B$8*B57*EXP(-Rho_a*$B$5*A57)</f>
        <v>0.408141862411294</v>
      </c>
    </row>
    <row r="58" customFormat="false" ht="15" hidden="false" customHeight="false" outlineLevel="0" collapsed="false">
      <c r="A58" s="22" t="n">
        <v>27</v>
      </c>
      <c r="B58" s="14" t="n">
        <f aca="false">IF(A58&gt;=$B$17,Delta_a*Floor_F,IF(A58&lt;$B$17-$C$17,0,IF(A58=$B$17-$C$17,$E$17,Ubar_a)))</f>
        <v>5.56991775654378</v>
      </c>
      <c r="C58" s="14" t="n">
        <f aca="false">$B$6*C57+$B$7*B57</f>
        <v>55.0000000000001</v>
      </c>
      <c r="D58" s="11" t="n">
        <f aca="false">Cost_k*$B$8*B58*EXP(-Rho_a*$B$5*A58)</f>
        <v>0.4073944692128</v>
      </c>
    </row>
    <row r="59" customFormat="false" ht="15" hidden="false" customHeight="false" outlineLevel="0" collapsed="false">
      <c r="A59" s="22" t="n">
        <v>28</v>
      </c>
      <c r="B59" s="14" t="n">
        <f aca="false">IF(A59&gt;=$B$17,Delta_a*Floor_F,IF(A59&lt;$B$17-$C$17,0,IF(A59=$B$17-$C$17,$E$17,Ubar_a)))</f>
        <v>5.56991775654378</v>
      </c>
      <c r="C59" s="14" t="n">
        <f aca="false">$B$6*C58+$B$7*B58</f>
        <v>55.0000000000001</v>
      </c>
      <c r="D59" s="11" t="n">
        <f aca="false">Cost_k*$B$8*B59*EXP(-Rho_a*$B$5*A59)</f>
        <v>0.406648444647727</v>
      </c>
    </row>
    <row r="60" customFormat="false" ht="15" hidden="false" customHeight="false" outlineLevel="0" collapsed="false">
      <c r="A60" s="22" t="n">
        <v>29</v>
      </c>
      <c r="B60" s="14" t="n">
        <f aca="false">IF(A60&gt;=$B$17,Delta_a*Floor_F,IF(A60&lt;$B$17-$C$17,0,IF(A60=$B$17-$C$17,$E$17,Ubar_a)))</f>
        <v>5.56991775654378</v>
      </c>
      <c r="C60" s="14" t="n">
        <f aca="false">$B$6*C59+$B$7*B59</f>
        <v>55.0000000000001</v>
      </c>
      <c r="D60" s="11" t="n">
        <f aca="false">Cost_k*$B$8*B60*EXP(-Rho_a*$B$5*A60)</f>
        <v>0.405903786209819</v>
      </c>
    </row>
    <row r="61" customFormat="false" ht="15" hidden="false" customHeight="false" outlineLevel="0" collapsed="false">
      <c r="A61" s="22" t="n">
        <v>30</v>
      </c>
      <c r="B61" s="14" t="n">
        <f aca="false">IF(A61&gt;=$B$17,Delta_a*Floor_F,IF(A61&lt;$B$17-$C$17,0,IF(A61=$B$17-$C$17,$E$17,Ubar_a)))</f>
        <v>5.56991775654378</v>
      </c>
      <c r="C61" s="14" t="n">
        <f aca="false">$B$6*C60+$B$7*B60</f>
        <v>55.0000000000001</v>
      </c>
      <c r="D61" s="11" t="n">
        <f aca="false">Cost_k*$B$8*B61*EXP(-Rho_a*$B$5*A61)</f>
        <v>0.405160491397413</v>
      </c>
    </row>
    <row r="63" customFormat="false" ht="15" hidden="false" customHeight="false" outlineLevel="0" collapsed="false">
      <c r="A63" s="2" t="s">
        <v>215</v>
      </c>
      <c r="B63" s="11" t="n">
        <f aca="false">INDEX(C31:C61,$B$17+1)</f>
        <v>55.0000000000001</v>
      </c>
    </row>
    <row r="64" customFormat="false" ht="15" hidden="false" customHeight="false" outlineLevel="0" collapsed="false">
      <c r="A64" s="2" t="s">
        <v>216</v>
      </c>
      <c r="B64" s="11" t="n">
        <f aca="false">SUMPRODUCT((A31:A61&lt;$B$17)*D31:D61)</f>
        <v>17.2992189192196</v>
      </c>
    </row>
    <row r="65" customFormat="false" ht="15" hidden="false" customHeight="false" outlineLevel="0" collapsed="false">
      <c r="A65" s="2" t="s">
        <v>217</v>
      </c>
      <c r="B65" s="11" t="n">
        <f aca="false">Delay_D*(1-EXP(-Rho_a*$B$5*$B$17))/Rho_a</f>
        <v>13.8596568439146</v>
      </c>
    </row>
    <row r="66" customFormat="false" ht="15" hidden="false" customHeight="false" outlineLevel="0" collapsed="false">
      <c r="A66" s="2" t="s">
        <v>218</v>
      </c>
      <c r="B66" s="11" t="n">
        <f aca="false">EXP(-Rho_a*$B$5*$B$17)*Cost_k*Delta_a*Floor_F/Rho_a</f>
        <v>224.109972345095</v>
      </c>
    </row>
    <row r="67" customFormat="false" ht="15" hidden="false" customHeight="false" outlineLevel="0" collapsed="false">
      <c r="A67" s="2" t="s">
        <v>219</v>
      </c>
      <c r="B67" s="11" t="n">
        <f aca="false">SUM(B64:B66)</f>
        <v>255.268848108229</v>
      </c>
    </row>
    <row r="69" customFormat="false" ht="15" hidden="false" customHeight="false" outlineLevel="0" collapsed="false">
      <c r="A69" s="1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221</v>
      </c>
    </row>
    <row r="3" customFormat="false" ht="15" hidden="false" customHeight="false" outlineLevel="0" collapsed="false">
      <c r="A3" s="2" t="s">
        <v>222</v>
      </c>
      <c r="E3" s="15" t="n">
        <f aca="false">Delay_D/Rho_a</f>
        <v>335.745877992226</v>
      </c>
    </row>
    <row r="4" customFormat="false" ht="15" hidden="false" customHeight="false" outlineLevel="0" collapsed="false">
      <c r="A4" s="10" t="s">
        <v>223</v>
      </c>
    </row>
    <row r="6" customFormat="false" ht="15" hidden="false" customHeight="false" outlineLevel="0" collapsed="false">
      <c r="A6" s="8" t="s">
        <v>174</v>
      </c>
      <c r="B6" s="8" t="s">
        <v>224</v>
      </c>
      <c r="C6" s="8" t="s">
        <v>225</v>
      </c>
      <c r="D6" s="8" t="s">
        <v>226</v>
      </c>
      <c r="E6" s="8" t="s">
        <v>227</v>
      </c>
    </row>
    <row r="7" customFormat="false" ht="15" hidden="false" customHeight="false" outlineLevel="0" collapsed="false">
      <c r="A7" s="22" t="n">
        <v>1</v>
      </c>
      <c r="B7" s="23" t="n">
        <v>30</v>
      </c>
      <c r="C7" s="23" t="n">
        <v>54.99</v>
      </c>
      <c r="D7" s="11" t="n">
        <f aca="false">(B7+C7)/2</f>
        <v>42.495</v>
      </c>
      <c r="E7" s="18" t="n">
        <f aca="false">IF(D7&lt;Floor_F,-(Cost_k*Ubar_a+Delay_D)*(1-EXP(-Rho_a*LN((Cap_top-D7)/(Cap_top-Floor_F))/Delta_a))/Rho_a+EXP(-Rho_a*LN((Cap_top-D7)/(Cap_top-Floor_F))/Delta_a)*(-Cost_k*Delta_a*Floor_F/Rho_a),EXP(-Rho_a*LN(D7/Floor_F)/Delta_a)*(-Cost_k*Delta_a*Floor_F/Rho_a))+$E$3</f>
        <v>-6.62003202317607</v>
      </c>
    </row>
    <row r="8" customFormat="false" ht="15" hidden="false" customHeight="false" outlineLevel="0" collapsed="false">
      <c r="A8" s="22" t="n">
        <v>2</v>
      </c>
      <c r="B8" s="11" t="n">
        <f aca="false">IF(E7&lt;0,D7,B7)</f>
        <v>42.495</v>
      </c>
      <c r="C8" s="11" t="n">
        <f aca="false">IF(E7&lt;0,C7,D7)</f>
        <v>54.99</v>
      </c>
      <c r="D8" s="11" t="n">
        <f aca="false">(B8+C8)/2</f>
        <v>48.7425</v>
      </c>
      <c r="E8" s="18" t="n">
        <f aca="false">IF(D8&lt;Floor_F,-(Cost_k*Ubar_a+Delay_D)*(1-EXP(-Rho_a*LN((Cap_top-D8)/(Cap_top-Floor_F))/Delta_a))/Rho_a+EXP(-Rho_a*LN((Cap_top-D8)/(Cap_top-Floor_F))/Delta_a)*(-Cost_k*Delta_a*Floor_F/Rho_a),EXP(-Rho_a*LN(D8/Floor_F)/Delta_a)*(-Cost_k*Delta_a*Floor_F/Rho_a))+$E$3</f>
        <v>41.2092318098686</v>
      </c>
    </row>
    <row r="9" customFormat="false" ht="15" hidden="false" customHeight="false" outlineLevel="0" collapsed="false">
      <c r="A9" s="22" t="n">
        <v>3</v>
      </c>
      <c r="B9" s="11" t="n">
        <f aca="false">IF(E8&lt;0,D8,B8)</f>
        <v>42.495</v>
      </c>
      <c r="C9" s="11" t="n">
        <f aca="false">IF(E8&lt;0,C8,D8)</f>
        <v>48.7425</v>
      </c>
      <c r="D9" s="11" t="n">
        <f aca="false">(B9+C9)/2</f>
        <v>45.61875</v>
      </c>
      <c r="E9" s="18" t="n">
        <f aca="false">IF(D9&lt;Floor_F,-(Cost_k*Ubar_a+Delay_D)*(1-EXP(-Rho_a*LN((Cap_top-D9)/(Cap_top-Floor_F))/Delta_a))/Rho_a+EXP(-Rho_a*LN((Cap_top-D9)/(Cap_top-Floor_F))/Delta_a)*(-Cost_k*Delta_a*Floor_F/Rho_a),EXP(-Rho_a*LN(D9/Floor_F)/Delta_a)*(-Cost_k*Delta_a*Floor_F/Rho_a))+$E$3</f>
        <v>15.9612693088161</v>
      </c>
    </row>
    <row r="10" customFormat="false" ht="15" hidden="false" customHeight="false" outlineLevel="0" collapsed="false">
      <c r="A10" s="22" t="n">
        <v>4</v>
      </c>
      <c r="B10" s="11" t="n">
        <f aca="false">IF(E9&lt;0,D9,B9)</f>
        <v>42.495</v>
      </c>
      <c r="C10" s="11" t="n">
        <f aca="false">IF(E9&lt;0,C9,D9)</f>
        <v>45.61875</v>
      </c>
      <c r="D10" s="11" t="n">
        <f aca="false">(B10+C10)/2</f>
        <v>44.056875</v>
      </c>
      <c r="E10" s="18" t="n">
        <f aca="false">IF(D10&lt;Floor_F,-(Cost_k*Ubar_a+Delay_D)*(1-EXP(-Rho_a*LN((Cap_top-D10)/(Cap_top-Floor_F))/Delta_a))/Rho_a+EXP(-Rho_a*LN((Cap_top-D10)/(Cap_top-Floor_F))/Delta_a)*(-Cost_k*Delta_a*Floor_F/Rho_a),EXP(-Rho_a*LN(D10/Floor_F)/Delta_a)*(-Cost_k*Delta_a*Floor_F/Rho_a))+$E$3</f>
        <v>4.36466912904342</v>
      </c>
    </row>
    <row r="11" customFormat="false" ht="15" hidden="false" customHeight="false" outlineLevel="0" collapsed="false">
      <c r="A11" s="22" t="n">
        <v>5</v>
      </c>
      <c r="B11" s="11" t="n">
        <f aca="false">IF(E10&lt;0,D10,B10)</f>
        <v>42.495</v>
      </c>
      <c r="C11" s="11" t="n">
        <f aca="false">IF(E10&lt;0,C10,D10)</f>
        <v>44.056875</v>
      </c>
      <c r="D11" s="11" t="n">
        <f aca="false">(B11+C11)/2</f>
        <v>43.2759375</v>
      </c>
      <c r="E11" s="18" t="n">
        <f aca="false">IF(D11&lt;Floor_F,-(Cost_k*Ubar_a+Delay_D)*(1-EXP(-Rho_a*LN((Cap_top-D11)/(Cap_top-Floor_F))/Delta_a))/Rho_a+EXP(-Rho_a*LN((Cap_top-D11)/(Cap_top-Floor_F))/Delta_a)*(-Cost_k*Delta_a*Floor_F/Rho_a),EXP(-Rho_a*LN(D11/Floor_F)/Delta_a)*(-Cost_k*Delta_a*Floor_F/Rho_a))+$E$3</f>
        <v>-1.20107108579833</v>
      </c>
    </row>
    <row r="12" customFormat="false" ht="15" hidden="false" customHeight="false" outlineLevel="0" collapsed="false">
      <c r="A12" s="22" t="n">
        <v>6</v>
      </c>
      <c r="B12" s="11" t="n">
        <f aca="false">IF(E11&lt;0,D11,B11)</f>
        <v>43.2759375</v>
      </c>
      <c r="C12" s="11" t="n">
        <f aca="false">IF(E11&lt;0,C11,D11)</f>
        <v>44.056875</v>
      </c>
      <c r="D12" s="11" t="n">
        <f aca="false">(B12+C12)/2</f>
        <v>43.66640625</v>
      </c>
      <c r="E12" s="18" t="n">
        <f aca="false">IF(D12&lt;Floor_F,-(Cost_k*Ubar_a+Delay_D)*(1-EXP(-Rho_a*LN((Cap_top-D12)/(Cap_top-Floor_F))/Delta_a))/Rho_a+EXP(-Rho_a*LN((Cap_top-D12)/(Cap_top-Floor_F))/Delta_a)*(-Cost_k*Delta_a*Floor_F/Rho_a),EXP(-Rho_a*LN(D12/Floor_F)/Delta_a)*(-Cost_k*Delta_a*Floor_F/Rho_a))+$E$3</f>
        <v>1.56307761732063</v>
      </c>
    </row>
    <row r="13" customFormat="false" ht="15" hidden="false" customHeight="false" outlineLevel="0" collapsed="false">
      <c r="A13" s="22" t="n">
        <v>7</v>
      </c>
      <c r="B13" s="11" t="n">
        <f aca="false">IF(E12&lt;0,D12,B12)</f>
        <v>43.2759375</v>
      </c>
      <c r="C13" s="11" t="n">
        <f aca="false">IF(E12&lt;0,C12,D12)</f>
        <v>43.66640625</v>
      </c>
      <c r="D13" s="11" t="n">
        <f aca="false">(B13+C13)/2</f>
        <v>43.471171875</v>
      </c>
      <c r="E13" s="18" t="n">
        <f aca="false">IF(D13&lt;Floor_F,-(Cost_k*Ubar_a+Delay_D)*(1-EXP(-Rho_a*LN((Cap_top-D13)/(Cap_top-Floor_F))/Delta_a))/Rho_a+EXP(-Rho_a*LN((Cap_top-D13)/(Cap_top-Floor_F))/Delta_a)*(-Cost_k*Delta_a*Floor_F/Rho_a),EXP(-Rho_a*LN(D13/Floor_F)/Delta_a)*(-Cost_k*Delta_a*Floor_F/Rho_a))+$E$3</f>
        <v>0.176370459411771</v>
      </c>
    </row>
    <row r="14" customFormat="false" ht="15" hidden="false" customHeight="false" outlineLevel="0" collapsed="false">
      <c r="A14" s="22" t="n">
        <v>8</v>
      </c>
      <c r="B14" s="11" t="n">
        <f aca="false">IF(E13&lt;0,D13,B13)</f>
        <v>43.2759375</v>
      </c>
      <c r="C14" s="11" t="n">
        <f aca="false">IF(E13&lt;0,C13,D13)</f>
        <v>43.471171875</v>
      </c>
      <c r="D14" s="11" t="n">
        <f aca="false">(B14+C14)/2</f>
        <v>43.3735546875</v>
      </c>
      <c r="E14" s="18" t="n">
        <f aca="false">IF(D14&lt;Floor_F,-(Cost_k*Ubar_a+Delay_D)*(1-EXP(-Rho_a*LN((Cap_top-D14)/(Cap_top-Floor_F))/Delta_a))/Rho_a+EXP(-Rho_a*LN((Cap_top-D14)/(Cap_top-Floor_F))/Delta_a)*(-Cost_k*Delta_a*Floor_F/Rho_a),EXP(-Rho_a*LN(D14/Floor_F)/Delta_a)*(-Cost_k*Delta_a*Floor_F/Rho_a))+$E$3</f>
        <v>-0.513502642354411</v>
      </c>
    </row>
    <row r="15" customFormat="false" ht="15" hidden="false" customHeight="false" outlineLevel="0" collapsed="false">
      <c r="A15" s="22" t="n">
        <v>9</v>
      </c>
      <c r="B15" s="11" t="n">
        <f aca="false">IF(E14&lt;0,D14,B14)</f>
        <v>43.3735546875</v>
      </c>
      <c r="C15" s="11" t="n">
        <f aca="false">IF(E14&lt;0,C14,D14)</f>
        <v>43.471171875</v>
      </c>
      <c r="D15" s="11" t="n">
        <f aca="false">(B15+C15)/2</f>
        <v>43.42236328125</v>
      </c>
      <c r="E15" s="18" t="n">
        <f aca="false">IF(D15&lt;Floor_F,-(Cost_k*Ubar_a+Delay_D)*(1-EXP(-Rho_a*LN((Cap_top-D15)/(Cap_top-Floor_F))/Delta_a))/Rho_a+EXP(-Rho_a*LN((Cap_top-D15)/(Cap_top-Floor_F))/Delta_a)*(-Cost_k*Delta_a*Floor_F/Rho_a),EXP(-Rho_a*LN(D15/Floor_F)/Delta_a)*(-Cost_k*Delta_a*Floor_F/Rho_a))+$E$3</f>
        <v>-0.168854904695138</v>
      </c>
    </row>
    <row r="16" customFormat="false" ht="15" hidden="false" customHeight="false" outlineLevel="0" collapsed="false">
      <c r="A16" s="22" t="n">
        <v>10</v>
      </c>
      <c r="B16" s="11" t="n">
        <f aca="false">IF(E15&lt;0,D15,B15)</f>
        <v>43.42236328125</v>
      </c>
      <c r="C16" s="11" t="n">
        <f aca="false">IF(E15&lt;0,C15,D15)</f>
        <v>43.471171875</v>
      </c>
      <c r="D16" s="11" t="n">
        <f aca="false">(B16+C16)/2</f>
        <v>43.446767578125</v>
      </c>
      <c r="E16" s="18" t="n">
        <f aca="false">IF(D16&lt;Floor_F,-(Cost_k*Ubar_a+Delay_D)*(1-EXP(-Rho_a*LN((Cap_top-D16)/(Cap_top-Floor_F))/Delta_a))/Rho_a+EXP(-Rho_a*LN((Cap_top-D16)/(Cap_top-Floor_F))/Delta_a)*(-Cost_k*Delta_a*Floor_F/Rho_a),EXP(-Rho_a*LN(D16/Floor_F)/Delta_a)*(-Cost_k*Delta_a*Floor_F/Rho_a))+$E$3</f>
        <v>0.00368548241368671</v>
      </c>
    </row>
    <row r="17" customFormat="false" ht="15" hidden="false" customHeight="false" outlineLevel="0" collapsed="false">
      <c r="A17" s="22" t="n">
        <v>11</v>
      </c>
      <c r="B17" s="11" t="n">
        <f aca="false">IF(E16&lt;0,D16,B16)</f>
        <v>43.42236328125</v>
      </c>
      <c r="C17" s="11" t="n">
        <f aca="false">IF(E16&lt;0,C16,D16)</f>
        <v>43.446767578125</v>
      </c>
      <c r="D17" s="11" t="n">
        <f aca="false">(B17+C17)/2</f>
        <v>43.4345654296875</v>
      </c>
      <c r="E17" s="18" t="n">
        <f aca="false">IF(D17&lt;Floor_F,-(Cost_k*Ubar_a+Delay_D)*(1-EXP(-Rho_a*LN((Cap_top-D17)/(Cap_top-Floor_F))/Delta_a))/Rho_a+EXP(-Rho_a*LN((Cap_top-D17)/(Cap_top-Floor_F))/Delta_a)*(-Cost_k*Delta_a*Floor_F/Rho_a),EXP(-Rho_a*LN(D17/Floor_F)/Delta_a)*(-Cost_k*Delta_a*Floor_F/Rho_a))+$E$3</f>
        <v>-0.0826027734098034</v>
      </c>
    </row>
    <row r="18" customFormat="false" ht="15" hidden="false" customHeight="false" outlineLevel="0" collapsed="false">
      <c r="A18" s="22" t="n">
        <v>12</v>
      </c>
      <c r="B18" s="11" t="n">
        <f aca="false">IF(E17&lt;0,D17,B17)</f>
        <v>43.4345654296875</v>
      </c>
      <c r="C18" s="11" t="n">
        <f aca="false">IF(E17&lt;0,C17,D17)</f>
        <v>43.446767578125</v>
      </c>
      <c r="D18" s="11" t="n">
        <f aca="false">(B18+C18)/2</f>
        <v>43.4406665039063</v>
      </c>
      <c r="E18" s="18" t="n">
        <f aca="false">IF(D18&lt;Floor_F,-(Cost_k*Ubar_a+Delay_D)*(1-EXP(-Rho_a*LN((Cap_top-D18)/(Cap_top-Floor_F))/Delta_a))/Rho_a+EXP(-Rho_a*LN((Cap_top-D18)/(Cap_top-Floor_F))/Delta_a)*(-Cost_k*Delta_a*Floor_F/Rho_a),EXP(-Rho_a*LN(D18/Floor_F)/Delta_a)*(-Cost_k*Delta_a*Floor_F/Rho_a))+$E$3</f>
        <v>-0.0394631624979525</v>
      </c>
    </row>
    <row r="19" customFormat="false" ht="15" hidden="false" customHeight="false" outlineLevel="0" collapsed="false">
      <c r="A19" s="22" t="n">
        <v>13</v>
      </c>
      <c r="B19" s="11" t="n">
        <f aca="false">IF(E18&lt;0,D18,B18)</f>
        <v>43.4406665039063</v>
      </c>
      <c r="C19" s="11" t="n">
        <f aca="false">IF(E18&lt;0,C18,D18)</f>
        <v>43.446767578125</v>
      </c>
      <c r="D19" s="11" t="n">
        <f aca="false">(B19+C19)/2</f>
        <v>43.4437170410156</v>
      </c>
      <c r="E19" s="18" t="n">
        <f aca="false">IF(D19&lt;Floor_F,-(Cost_k*Ubar_a+Delay_D)*(1-EXP(-Rho_a*LN((Cap_top-D19)/(Cap_top-Floor_F))/Delta_a))/Rho_a+EXP(-Rho_a*LN((Cap_top-D19)/(Cap_top-Floor_F))/Delta_a)*(-Cost_k*Delta_a*Floor_F/Rho_a),EXP(-Rho_a*LN(D19/Floor_F)/Delta_a)*(-Cost_k*Delta_a*Floor_F/Rho_a))+$E$3</f>
        <v>-0.0178899694712413</v>
      </c>
    </row>
    <row r="20" customFormat="false" ht="15" hidden="false" customHeight="false" outlineLevel="0" collapsed="false">
      <c r="A20" s="22" t="n">
        <v>14</v>
      </c>
      <c r="B20" s="11" t="n">
        <f aca="false">IF(E19&lt;0,D19,B19)</f>
        <v>43.4437170410156</v>
      </c>
      <c r="C20" s="11" t="n">
        <f aca="false">IF(E19&lt;0,C19,D19)</f>
        <v>43.446767578125</v>
      </c>
      <c r="D20" s="11" t="n">
        <f aca="false">(B20+C20)/2</f>
        <v>43.4452423095703</v>
      </c>
      <c r="E20" s="18" t="n">
        <f aca="false">IF(D20&lt;Floor_F,-(Cost_k*Ubar_a+Delay_D)*(1-EXP(-Rho_a*LN((Cap_top-D20)/(Cap_top-Floor_F))/Delta_a))/Rho_a+EXP(-Rho_a*LN((Cap_top-D20)/(Cap_top-Floor_F))/Delta_a)*(-Cost_k*Delta_a*Floor_F/Rho_a),EXP(-Rho_a*LN(D20/Floor_F)/Delta_a)*(-Cost_k*Delta_a*Floor_F/Rho_a))+$E$3</f>
        <v>-0.00710252590846494</v>
      </c>
    </row>
    <row r="21" customFormat="false" ht="15" hidden="false" customHeight="false" outlineLevel="0" collapsed="false">
      <c r="A21" s="22" t="n">
        <v>15</v>
      </c>
      <c r="B21" s="11" t="n">
        <f aca="false">IF(E20&lt;0,D20,B20)</f>
        <v>43.4452423095703</v>
      </c>
      <c r="C21" s="11" t="n">
        <f aca="false">IF(E20&lt;0,C20,D20)</f>
        <v>43.446767578125</v>
      </c>
      <c r="D21" s="11" t="n">
        <f aca="false">(B21+C21)/2</f>
        <v>43.4460049438477</v>
      </c>
      <c r="E21" s="18" t="n">
        <f aca="false">IF(D21&lt;Floor_F,-(Cost_k*Ubar_a+Delay_D)*(1-EXP(-Rho_a*LN((Cap_top-D21)/(Cap_top-Floor_F))/Delta_a))/Rho_a+EXP(-Rho_a*LN((Cap_top-D21)/(Cap_top-Floor_F))/Delta_a)*(-Cost_k*Delta_a*Floor_F/Rho_a),EXP(-Rho_a*LN(D21/Floor_F)/Delta_a)*(-Cost_k*Delta_a*Floor_F/Rho_a))+$E$3</f>
        <v>-0.00170859234509635</v>
      </c>
    </row>
    <row r="22" customFormat="false" ht="15" hidden="false" customHeight="false" outlineLevel="0" collapsed="false">
      <c r="A22" s="22" t="n">
        <v>16</v>
      </c>
      <c r="B22" s="11" t="n">
        <f aca="false">IF(E21&lt;0,D21,B21)</f>
        <v>43.4460049438477</v>
      </c>
      <c r="C22" s="11" t="n">
        <f aca="false">IF(E21&lt;0,C21,D21)</f>
        <v>43.446767578125</v>
      </c>
      <c r="D22" s="11" t="n">
        <f aca="false">(B22+C22)/2</f>
        <v>43.4463862609863</v>
      </c>
      <c r="E22" s="18" t="n">
        <f aca="false">IF(D22&lt;Floor_F,-(Cost_k*Ubar_a+Delay_D)*(1-EXP(-Rho_a*LN((Cap_top-D22)/(Cap_top-Floor_F))/Delta_a))/Rho_a+EXP(-Rho_a*LN((Cap_top-D22)/(Cap_top-Floor_F))/Delta_a)*(-Cost_k*Delta_a*Floor_F/Rho_a),EXP(-Rho_a*LN(D22/Floor_F)/Delta_a)*(-Cost_k*Delta_a*Floor_F/Rho_a))+$E$3</f>
        <v>0.000988427384584156</v>
      </c>
    </row>
    <row r="23" customFormat="false" ht="15" hidden="false" customHeight="false" outlineLevel="0" collapsed="false">
      <c r="A23" s="22" t="n">
        <v>17</v>
      </c>
      <c r="B23" s="11" t="n">
        <f aca="false">IF(E22&lt;0,D22,B22)</f>
        <v>43.4460049438477</v>
      </c>
      <c r="C23" s="11" t="n">
        <f aca="false">IF(E22&lt;0,C22,D22)</f>
        <v>43.4463862609863</v>
      </c>
      <c r="D23" s="11" t="n">
        <f aca="false">(B23+C23)/2</f>
        <v>43.446195602417</v>
      </c>
      <c r="E23" s="18" t="n">
        <f aca="false">IF(D23&lt;Floor_F,-(Cost_k*Ubar_a+Delay_D)*(1-EXP(-Rho_a*LN((Cap_top-D23)/(Cap_top-Floor_F))/Delta_a))/Rho_a+EXP(-Rho_a*LN((Cap_top-D23)/(Cap_top-Floor_F))/Delta_a)*(-Cost_k*Delta_a*Floor_F/Rho_a),EXP(-Rho_a*LN(D23/Floor_F)/Delta_a)*(-Cost_k*Delta_a*Floor_F/Rho_a))+$E$3</f>
        <v>-0.000360086892726486</v>
      </c>
    </row>
    <row r="24" customFormat="false" ht="15" hidden="false" customHeight="false" outlineLevel="0" collapsed="false">
      <c r="A24" s="22" t="n">
        <v>18</v>
      </c>
      <c r="B24" s="11" t="n">
        <f aca="false">IF(E23&lt;0,D23,B23)</f>
        <v>43.446195602417</v>
      </c>
      <c r="C24" s="11" t="n">
        <f aca="false">IF(E23&lt;0,C23,D23)</f>
        <v>43.4463862609863</v>
      </c>
      <c r="D24" s="11" t="n">
        <f aca="false">(B24+C24)/2</f>
        <v>43.4462909317017</v>
      </c>
      <c r="E24" s="18" t="n">
        <f aca="false">IF(D24&lt;Floor_F,-(Cost_k*Ubar_a+Delay_D)*(1-EXP(-Rho_a*LN((Cap_top-D24)/(Cap_top-Floor_F))/Delta_a))/Rho_a+EXP(-Rho_a*LN((Cap_top-D24)/(Cap_top-Floor_F))/Delta_a)*(-Cost_k*Delta_a*Floor_F/Rho_a),EXP(-Rho_a*LN(D24/Floor_F)/Delta_a)*(-Cost_k*Delta_a*Floor_F/Rho_a))+$E$3</f>
        <v>0.000314169142768606</v>
      </c>
    </row>
    <row r="25" customFormat="false" ht="15" hidden="false" customHeight="false" outlineLevel="0" collapsed="false">
      <c r="A25" s="22" t="n">
        <v>19</v>
      </c>
      <c r="B25" s="11" t="n">
        <f aca="false">IF(E24&lt;0,D24,B24)</f>
        <v>43.446195602417</v>
      </c>
      <c r="C25" s="11" t="n">
        <f aca="false">IF(E24&lt;0,C24,D24)</f>
        <v>43.4462909317017</v>
      </c>
      <c r="D25" s="11" t="n">
        <f aca="false">(B25+C25)/2</f>
        <v>43.4462432670593</v>
      </c>
      <c r="E25" s="18" t="n">
        <f aca="false">IF(D25&lt;Floor_F,-(Cost_k*Ubar_a+Delay_D)*(1-EXP(-Rho_a*LN((Cap_top-D25)/(Cap_top-Floor_F))/Delta_a))/Rho_a+EXP(-Rho_a*LN((Cap_top-D25)/(Cap_top-Floor_F))/Delta_a)*(-Cost_k*Delta_a*Floor_F/Rho_a),EXP(-Rho_a*LN(D25/Floor_F)/Delta_a)*(-Cost_k*Delta_a*Floor_F/Rho_a))+$E$3</f>
        <v>-2.29591506695215E-005</v>
      </c>
    </row>
    <row r="26" customFormat="false" ht="15" hidden="false" customHeight="false" outlineLevel="0" collapsed="false">
      <c r="A26" s="22" t="n">
        <v>20</v>
      </c>
      <c r="B26" s="11" t="n">
        <f aca="false">IF(E25&lt;0,D25,B25)</f>
        <v>43.4462432670593</v>
      </c>
      <c r="C26" s="11" t="n">
        <f aca="false">IF(E25&lt;0,C25,D25)</f>
        <v>43.4462909317017</v>
      </c>
      <c r="D26" s="11" t="n">
        <f aca="false">(B26+C26)/2</f>
        <v>43.4462670993805</v>
      </c>
      <c r="E26" s="18" t="n">
        <f aca="false">IF(D26&lt;Floor_F,-(Cost_k*Ubar_a+Delay_D)*(1-EXP(-Rho_a*LN((Cap_top-D26)/(Cap_top-Floor_F))/Delta_a))/Rho_a+EXP(-Rho_a*LN((Cap_top-D26)/(Cap_top-Floor_F))/Delta_a)*(-Cost_k*Delta_a*Floor_F/Rho_a),EXP(-Rho_a*LN(D26/Floor_F)/Delta_a)*(-Cost_k*Delta_a*Floor_F/Rho_a))+$E$3</f>
        <v>0.000145604927070053</v>
      </c>
    </row>
    <row r="27" customFormat="false" ht="15" hidden="false" customHeight="false" outlineLevel="0" collapsed="false">
      <c r="A27" s="22" t="n">
        <v>21</v>
      </c>
      <c r="B27" s="11" t="n">
        <f aca="false">IF(E26&lt;0,D26,B26)</f>
        <v>43.4462432670593</v>
      </c>
      <c r="C27" s="11" t="n">
        <f aca="false">IF(E26&lt;0,C26,D26)</f>
        <v>43.4462670993805</v>
      </c>
      <c r="D27" s="11" t="n">
        <f aca="false">(B27+C27)/2</f>
        <v>43.4462551832199</v>
      </c>
      <c r="E27" s="18" t="n">
        <f aca="false">IF(D27&lt;Floor_F,-(Cost_k*Ubar_a+Delay_D)*(1-EXP(-Rho_a*LN((Cap_top-D27)/(Cap_top-Floor_F))/Delta_a))/Rho_a+EXP(-Rho_a*LN((Cap_top-D27)/(Cap_top-Floor_F))/Delta_a)*(-Cost_k*Delta_a*Floor_F/Rho_a),EXP(-Rho_a*LN(D27/Floor_F)/Delta_a)*(-Cost_k*Delta_a*Floor_F/Rho_a))+$E$3</f>
        <v>6.132287097671E-005</v>
      </c>
    </row>
    <row r="28" customFormat="false" ht="15" hidden="false" customHeight="false" outlineLevel="0" collapsed="false">
      <c r="A28" s="22" t="n">
        <v>22</v>
      </c>
      <c r="B28" s="11" t="n">
        <f aca="false">IF(E27&lt;0,D27,B27)</f>
        <v>43.4462432670593</v>
      </c>
      <c r="C28" s="11" t="n">
        <f aca="false">IF(E27&lt;0,C27,D27)</f>
        <v>43.4462551832199</v>
      </c>
      <c r="D28" s="11" t="n">
        <f aca="false">(B28+C28)/2</f>
        <v>43.4462492251396</v>
      </c>
      <c r="E28" s="18" t="n">
        <f aca="false">IF(D28&lt;Floor_F,-(Cost_k*Ubar_a+Delay_D)*(1-EXP(-Rho_a*LN((Cap_top-D28)/(Cap_top-Floor_F))/Delta_a))/Rho_a+EXP(-Rho_a*LN((Cap_top-D28)/(Cap_top-Floor_F))/Delta_a)*(-Cost_k*Delta_a*Floor_F/Rho_a),EXP(-Rho_a*LN(D28/Floor_F)/Delta_a)*(-Cost_k*Delta_a*Floor_F/Rho_a))+$E$3</f>
        <v>1.91818558619161E-005</v>
      </c>
    </row>
    <row r="29" customFormat="false" ht="15" hidden="false" customHeight="false" outlineLevel="0" collapsed="false">
      <c r="A29" s="22" t="n">
        <v>23</v>
      </c>
      <c r="B29" s="11" t="n">
        <f aca="false">IF(E28&lt;0,D28,B28)</f>
        <v>43.4462432670593</v>
      </c>
      <c r="C29" s="11" t="n">
        <f aca="false">IF(E28&lt;0,C28,D28)</f>
        <v>43.4462492251396</v>
      </c>
      <c r="D29" s="11" t="n">
        <f aca="false">(B29+C29)/2</f>
        <v>43.4462462460995</v>
      </c>
      <c r="E29" s="18" t="n">
        <f aca="false">IF(D29&lt;Floor_F,-(Cost_k*Ubar_a+Delay_D)*(1-EXP(-Rho_a*LN((Cap_top-D29)/(Cap_top-Floor_F))/Delta_a))/Rho_a+EXP(-Rho_a*LN((Cap_top-D29)/(Cap_top-Floor_F))/Delta_a)*(-Cost_k*Delta_a*Floor_F/Rho_a),EXP(-Rho_a*LN(D29/Floor_F)/Delta_a)*(-Cost_k*Delta_a*Floor_F/Rho_a))+$E$3</f>
        <v>-1.88864851224935E-006</v>
      </c>
    </row>
    <row r="30" customFormat="false" ht="15" hidden="false" customHeight="false" outlineLevel="0" collapsed="false">
      <c r="A30" s="22" t="n">
        <v>24</v>
      </c>
      <c r="B30" s="11" t="n">
        <f aca="false">IF(E29&lt;0,D29,B29)</f>
        <v>43.4462462460995</v>
      </c>
      <c r="C30" s="11" t="n">
        <f aca="false">IF(E29&lt;0,C29,D29)</f>
        <v>43.4462492251396</v>
      </c>
      <c r="D30" s="11" t="n">
        <f aca="false">(B30+C30)/2</f>
        <v>43.4462477356196</v>
      </c>
      <c r="E30" s="18" t="n">
        <f aca="false">IF(D30&lt;Floor_F,-(Cost_k*Ubar_a+Delay_D)*(1-EXP(-Rho_a*LN((Cap_top-D30)/(Cap_top-Floor_F))/Delta_a))/Rho_a+EXP(-Rho_a*LN((Cap_top-D30)/(Cap_top-Floor_F))/Delta_a)*(-Cost_k*Delta_a*Floor_F/Rho_a),EXP(-Rho_a*LN(D30/Floor_F)/Delta_a)*(-Cost_k*Delta_a*Floor_F/Rho_a))+$E$3</f>
        <v>8.646603419038E-006</v>
      </c>
    </row>
    <row r="31" customFormat="false" ht="15" hidden="false" customHeight="false" outlineLevel="0" collapsed="false">
      <c r="A31" s="22" t="n">
        <v>25</v>
      </c>
      <c r="B31" s="11" t="n">
        <f aca="false">IF(E30&lt;0,D30,B30)</f>
        <v>43.4462462460995</v>
      </c>
      <c r="C31" s="11" t="n">
        <f aca="false">IF(E30&lt;0,C30,D30)</f>
        <v>43.4462477356196</v>
      </c>
      <c r="D31" s="11" t="n">
        <f aca="false">(B31+C31)/2</f>
        <v>43.4462469908595</v>
      </c>
      <c r="E31" s="18" t="n">
        <f aca="false">IF(D31&lt;Floor_F,-(Cost_k*Ubar_a+Delay_D)*(1-EXP(-Rho_a*LN((Cap_top-D31)/(Cap_top-Floor_F))/Delta_a))/Rho_a+EXP(-Rho_a*LN((Cap_top-D31)/(Cap_top-Floor_F))/Delta_a)*(-Cost_k*Delta_a*Floor_F/Rho_a),EXP(-Rho_a*LN(D31/Floor_F)/Delta_a)*(-Cost_k*Delta_a*Floor_F/Rho_a))+$E$3</f>
        <v>3.37897733970749E-006</v>
      </c>
    </row>
    <row r="32" customFormat="false" ht="15" hidden="false" customHeight="false" outlineLevel="0" collapsed="false">
      <c r="A32" s="22" t="n">
        <v>26</v>
      </c>
      <c r="B32" s="11" t="n">
        <f aca="false">IF(E31&lt;0,D31,B31)</f>
        <v>43.4462462460995</v>
      </c>
      <c r="C32" s="11" t="n">
        <f aca="false">IF(E31&lt;0,C31,D31)</f>
        <v>43.4462469908595</v>
      </c>
      <c r="D32" s="11" t="n">
        <f aca="false">(B32+C32)/2</f>
        <v>43.4462466184795</v>
      </c>
      <c r="E32" s="18" t="n">
        <f aca="false">IF(D32&lt;Floor_F,-(Cost_k*Ubar_a+Delay_D)*(1-EXP(-Rho_a*LN((Cap_top-D32)/(Cap_top-Floor_F))/Delta_a))/Rho_a+EXP(-Rho_a*LN((Cap_top-D32)/(Cap_top-Floor_F))/Delta_a)*(-Cost_k*Delta_a*Floor_F/Rho_a),EXP(-Rho_a*LN(D32/Floor_F)/Delta_a)*(-Cost_k*Delta_a*Floor_F/Rho_a))+$E$3</f>
        <v>7.45164413729071E-007</v>
      </c>
    </row>
    <row r="33" customFormat="false" ht="15" hidden="false" customHeight="false" outlineLevel="0" collapsed="false">
      <c r="A33" s="22" t="n">
        <v>27</v>
      </c>
      <c r="B33" s="11" t="n">
        <f aca="false">IF(E32&lt;0,D32,B32)</f>
        <v>43.4462462460995</v>
      </c>
      <c r="C33" s="11" t="n">
        <f aca="false">IF(E32&lt;0,C32,D32)</f>
        <v>43.4462466184795</v>
      </c>
      <c r="D33" s="11" t="n">
        <f aca="false">(B33+C33)/2</f>
        <v>43.4462464322895</v>
      </c>
      <c r="E33" s="18" t="n">
        <f aca="false">IF(D33&lt;Floor_F,-(Cost_k*Ubar_a+Delay_D)*(1-EXP(-Rho_a*LN((Cap_top-D33)/(Cap_top-Floor_F))/Delta_a))/Rho_a+EXP(-Rho_a*LN((Cap_top-D33)/(Cap_top-Floor_F))/Delta_a)*(-Cost_k*Delta_a*Floor_F/Rho_a),EXP(-Rho_a*LN(D33/Floor_F)/Delta_a)*(-Cost_k*Delta_a*Floor_F/Rho_a))+$E$3</f>
        <v>-5.71742077681847E-007</v>
      </c>
    </row>
    <row r="34" customFormat="false" ht="15" hidden="false" customHeight="false" outlineLevel="0" collapsed="false">
      <c r="A34" s="22" t="n">
        <v>28</v>
      </c>
      <c r="B34" s="11" t="n">
        <f aca="false">IF(E33&lt;0,D33,B33)</f>
        <v>43.4462464322895</v>
      </c>
      <c r="C34" s="11" t="n">
        <f aca="false">IF(E33&lt;0,C33,D33)</f>
        <v>43.4462466184795</v>
      </c>
      <c r="D34" s="11" t="n">
        <f aca="false">(B34+C34)/2</f>
        <v>43.4462465253845</v>
      </c>
      <c r="E34" s="18" t="n">
        <f aca="false">IF(D34&lt;Floor_F,-(Cost_k*Ubar_a+Delay_D)*(1-EXP(-Rho_a*LN((Cap_top-D34)/(Cap_top-Floor_F))/Delta_a))/Rho_a+EXP(-Rho_a*LN((Cap_top-D34)/(Cap_top-Floor_F))/Delta_a)*(-Cost_k*Delta_a*Floor_F/Rho_a),EXP(-Rho_a*LN(D34/Floor_F)/Delta_a)*(-Cost_k*Delta_a*Floor_F/Rho_a))+$E$3</f>
        <v>8.67111680236121E-008</v>
      </c>
    </row>
    <row r="35" customFormat="false" ht="15" hidden="false" customHeight="false" outlineLevel="0" collapsed="false">
      <c r="A35" s="22" t="n">
        <v>29</v>
      </c>
      <c r="B35" s="11" t="n">
        <f aca="false">IF(E34&lt;0,D34,B34)</f>
        <v>43.4462464322895</v>
      </c>
      <c r="C35" s="11" t="n">
        <f aca="false">IF(E34&lt;0,C34,D34)</f>
        <v>43.4462465253845</v>
      </c>
      <c r="D35" s="11" t="n">
        <f aca="false">(B35+C35)/2</f>
        <v>43.446246478837</v>
      </c>
      <c r="E35" s="18" t="n">
        <f aca="false">IF(D35&lt;Floor_F,-(Cost_k*Ubar_a+Delay_D)*(1-EXP(-Rho_a*LN((Cap_top-D35)/(Cap_top-Floor_F))/Delta_a))/Rho_a+EXP(-Rho_a*LN((Cap_top-D35)/(Cap_top-Floor_F))/Delta_a)*(-Cost_k*Delta_a*Floor_F/Rho_a),EXP(-Rho_a*LN(D35/Floor_F)/Delta_a)*(-Cost_k*Delta_a*Floor_F/Rho_a))+$E$3</f>
        <v>-2.42515454829118E-007</v>
      </c>
    </row>
    <row r="36" customFormat="false" ht="15" hidden="false" customHeight="false" outlineLevel="0" collapsed="false">
      <c r="A36" s="22" t="n">
        <v>30</v>
      </c>
      <c r="B36" s="11" t="n">
        <f aca="false">IF(E35&lt;0,D35,B35)</f>
        <v>43.446246478837</v>
      </c>
      <c r="C36" s="11" t="n">
        <f aca="false">IF(E35&lt;0,C35,D35)</f>
        <v>43.4462465253845</v>
      </c>
      <c r="D36" s="11" t="n">
        <f aca="false">(B36+C36)/2</f>
        <v>43.4462465021107</v>
      </c>
      <c r="E36" s="18" t="n">
        <f aca="false">IF(D36&lt;Floor_F,-(Cost_k*Ubar_a+Delay_D)*(1-EXP(-Rho_a*LN((Cap_top-D36)/(Cap_top-Floor_F))/Delta_a))/Rho_a+EXP(-Rho_a*LN((Cap_top-D36)/(Cap_top-Floor_F))/Delta_a)*(-Cost_k*Delta_a*Floor_F/Rho_a),EXP(-Rho_a*LN(D36/Floor_F)/Delta_a)*(-Cost_k*Delta_a*Floor_F/Rho_a))+$E$3</f>
        <v>-7.79021434027527E-008</v>
      </c>
    </row>
    <row r="37" customFormat="false" ht="15" hidden="false" customHeight="false" outlineLevel="0" collapsed="false">
      <c r="A37" s="22" t="n">
        <v>31</v>
      </c>
      <c r="B37" s="11" t="n">
        <f aca="false">IF(E36&lt;0,D36,B36)</f>
        <v>43.4462465021107</v>
      </c>
      <c r="C37" s="11" t="n">
        <f aca="false">IF(E36&lt;0,C36,D36)</f>
        <v>43.4462465253845</v>
      </c>
      <c r="D37" s="11" t="n">
        <f aca="false">(B37+C37)/2</f>
        <v>43.4462465137476</v>
      </c>
      <c r="E37" s="18" t="n">
        <f aca="false">IF(D37&lt;Floor_F,-(Cost_k*Ubar_a+Delay_D)*(1-EXP(-Rho_a*LN((Cap_top-D37)/(Cap_top-Floor_F))/Delta_a))/Rho_a+EXP(-Rho_a*LN((Cap_top-D37)/(Cap_top-Floor_F))/Delta_a)*(-Cost_k*Delta_a*Floor_F/Rho_a),EXP(-Rho_a*LN(D37/Floor_F)/Delta_a)*(-Cost_k*Delta_a*Floor_F/Rho_a))+$E$3</f>
        <v>4.40445546701085E-009</v>
      </c>
    </row>
    <row r="38" customFormat="false" ht="15" hidden="false" customHeight="false" outlineLevel="0" collapsed="false">
      <c r="A38" s="22" t="n">
        <v>32</v>
      </c>
      <c r="B38" s="11" t="n">
        <f aca="false">IF(E37&lt;0,D37,B37)</f>
        <v>43.4462465021107</v>
      </c>
      <c r="C38" s="11" t="n">
        <f aca="false">IF(E37&lt;0,C37,D37)</f>
        <v>43.4462465137476</v>
      </c>
      <c r="D38" s="11" t="n">
        <f aca="false">(B38+C38)/2</f>
        <v>43.4462465079292</v>
      </c>
      <c r="E38" s="18" t="n">
        <f aca="false">IF(D38&lt;Floor_F,-(Cost_k*Ubar_a+Delay_D)*(1-EXP(-Rho_a*LN((Cap_top-D38)/(Cap_top-Floor_F))/Delta_a))/Rho_a+EXP(-Rho_a*LN((Cap_top-D38)/(Cap_top-Floor_F))/Delta_a)*(-Cost_k*Delta_a*Floor_F/Rho_a),EXP(-Rho_a*LN(D38/Floor_F)/Delta_a)*(-Cost_k*Delta_a*Floor_F/Rho_a))+$E$3</f>
        <v>-3.67488723895804E-008</v>
      </c>
    </row>
    <row r="39" customFormat="false" ht="15" hidden="false" customHeight="false" outlineLevel="0" collapsed="false">
      <c r="A39" s="22" t="n">
        <v>33</v>
      </c>
      <c r="B39" s="11" t="n">
        <f aca="false">IF(E38&lt;0,D38,B38)</f>
        <v>43.4462465079292</v>
      </c>
      <c r="C39" s="11" t="n">
        <f aca="false">IF(E38&lt;0,C38,D38)</f>
        <v>43.4462465137476</v>
      </c>
      <c r="D39" s="11" t="n">
        <f aca="false">(B39+C39)/2</f>
        <v>43.4462465108384</v>
      </c>
      <c r="E39" s="18" t="n">
        <f aca="false">IF(D39&lt;Floor_F,-(Cost_k*Ubar_a+Delay_D)*(1-EXP(-Rho_a*LN((Cap_top-D39)/(Cap_top-Floor_F))/Delta_a))/Rho_a+EXP(-Rho_a*LN((Cap_top-D39)/(Cap_top-Floor_F))/Delta_a)*(-Cost_k*Delta_a*Floor_F/Rho_a),EXP(-Rho_a*LN(D39/Floor_F)/Delta_a)*(-Cost_k*Delta_a*Floor_F/Rho_a))+$E$3</f>
        <v>-1.61722368829942E-008</v>
      </c>
    </row>
    <row r="40" customFormat="false" ht="15" hidden="false" customHeight="false" outlineLevel="0" collapsed="false">
      <c r="A40" s="22" t="n">
        <v>34</v>
      </c>
      <c r="B40" s="11" t="n">
        <f aca="false">IF(E39&lt;0,D39,B39)</f>
        <v>43.4462465108384</v>
      </c>
      <c r="C40" s="11" t="n">
        <f aca="false">IF(E39&lt;0,C39,D39)</f>
        <v>43.4462465137476</v>
      </c>
      <c r="D40" s="11" t="n">
        <f aca="false">(B40+C40)/2</f>
        <v>43.446246512293</v>
      </c>
      <c r="E40" s="18" t="n">
        <f aca="false">IF(D40&lt;Floor_F,-(Cost_k*Ubar_a+Delay_D)*(1-EXP(-Rho_a*LN((Cap_top-D40)/(Cap_top-Floor_F))/Delta_a))/Rho_a+EXP(-Rho_a*LN((Cap_top-D40)/(Cap_top-Floor_F))/Delta_a)*(-Cost_k*Delta_a*Floor_F/Rho_a),EXP(-Rho_a*LN(D40/Floor_F)/Delta_a)*(-Cost_k*Delta_a*Floor_F/Rho_a))+$E$3</f>
        <v>-5.88380544286338E-009</v>
      </c>
    </row>
    <row r="41" customFormat="false" ht="15" hidden="false" customHeight="false" outlineLevel="0" collapsed="false">
      <c r="A41" s="22" t="n">
        <v>35</v>
      </c>
      <c r="B41" s="11" t="n">
        <f aca="false">IF(E40&lt;0,D40,B40)</f>
        <v>43.446246512293</v>
      </c>
      <c r="C41" s="11" t="n">
        <f aca="false">IF(E40&lt;0,C40,D40)</f>
        <v>43.4462465137476</v>
      </c>
      <c r="D41" s="11" t="n">
        <f aca="false">(B41+C41)/2</f>
        <v>43.4462465130203</v>
      </c>
      <c r="E41" s="18" t="n">
        <f aca="false">IF(D41&lt;Floor_F,-(Cost_k*Ubar_a+Delay_D)*(1-EXP(-Rho_a*LN((Cap_top-D41)/(Cap_top-Floor_F))/Delta_a))/Rho_a+EXP(-Rho_a*LN((Cap_top-D41)/(Cap_top-Floor_F))/Delta_a)*(-Cost_k*Delta_a*Floor_F/Rho_a),EXP(-Rho_a*LN(D41/Floor_F)/Delta_a)*(-Cost_k*Delta_a*Floor_F/Rho_a))+$E$3</f>
        <v>-7.39703409635695E-010</v>
      </c>
    </row>
    <row r="42" customFormat="false" ht="15" hidden="false" customHeight="false" outlineLevel="0" collapsed="false">
      <c r="A42" s="22" t="n">
        <v>36</v>
      </c>
      <c r="B42" s="11" t="n">
        <f aca="false">IF(E41&lt;0,D41,B41)</f>
        <v>43.4462465130203</v>
      </c>
      <c r="C42" s="11" t="n">
        <f aca="false">IF(E41&lt;0,C41,D41)</f>
        <v>43.4462465137476</v>
      </c>
      <c r="D42" s="11" t="n">
        <f aca="false">(B42+C42)/2</f>
        <v>43.446246513384</v>
      </c>
      <c r="E42" s="18" t="n">
        <f aca="false">IF(D42&lt;Floor_F,-(Cost_k*Ubar_a+Delay_D)*(1-EXP(-Rho_a*LN((Cap_top-D42)/(Cap_top-Floor_F))/Delta_a))/Rho_a+EXP(-Rho_a*LN((Cap_top-D42)/(Cap_top-Floor_F))/Delta_a)*(-Cost_k*Delta_a*Floor_F/Rho_a),EXP(-Rho_a*LN(D42/Floor_F)/Delta_a)*(-Cost_k*Delta_a*Floor_F/Rho_a))+$E$3</f>
        <v>1.83234760697815E-009</v>
      </c>
    </row>
    <row r="43" customFormat="false" ht="15" hidden="false" customHeight="false" outlineLevel="0" collapsed="false">
      <c r="A43" s="22" t="n">
        <v>37</v>
      </c>
      <c r="B43" s="11" t="n">
        <f aca="false">IF(E42&lt;0,D42,B42)</f>
        <v>43.4462465130203</v>
      </c>
      <c r="C43" s="11" t="n">
        <f aca="false">IF(E42&lt;0,C42,D42)</f>
        <v>43.446246513384</v>
      </c>
      <c r="D43" s="11" t="n">
        <f aca="false">(B43+C43)/2</f>
        <v>43.4462465132021</v>
      </c>
      <c r="E43" s="18" t="n">
        <f aca="false">IF(D43&lt;Floor_F,-(Cost_k*Ubar_a+Delay_D)*(1-EXP(-Rho_a*LN((Cap_top-D43)/(Cap_top-Floor_F))/Delta_a))/Rho_a+EXP(-Rho_a*LN((Cap_top-D43)/(Cap_top-Floor_F))/Delta_a)*(-Cost_k*Delta_a*Floor_F/Rho_a),EXP(-Rho_a*LN(D43/Floor_F)/Delta_a)*(-Cost_k*Delta_a*Floor_F/Rho_a))+$E$3</f>
        <v>5.46322098671226E-010</v>
      </c>
    </row>
    <row r="44" customFormat="false" ht="15" hidden="false" customHeight="false" outlineLevel="0" collapsed="false">
      <c r="A44" s="22" t="n">
        <v>38</v>
      </c>
      <c r="B44" s="11" t="n">
        <f aca="false">IF(E43&lt;0,D43,B43)</f>
        <v>43.4462465130203</v>
      </c>
      <c r="C44" s="11" t="n">
        <f aca="false">IF(E43&lt;0,C43,D43)</f>
        <v>43.4462465132021</v>
      </c>
      <c r="D44" s="11" t="n">
        <f aca="false">(B44+C44)/2</f>
        <v>43.4462465131112</v>
      </c>
      <c r="E44" s="18" t="n">
        <f aca="false">IF(D44&lt;Floor_F,-(Cost_k*Ubar_a+Delay_D)*(1-EXP(-Rho_a*LN((Cap_top-D44)/(Cap_top-Floor_F))/Delta_a))/Rho_a+EXP(-Rho_a*LN((Cap_top-D44)/(Cap_top-Floor_F))/Delta_a)*(-Cost_k*Delta_a*Floor_F/Rho_a),EXP(-Rho_a*LN(D44/Floor_F)/Delta_a)*(-Cost_k*Delta_a*Floor_F/Rho_a))+$E$3</f>
        <v>-9.66338120633736E-011</v>
      </c>
    </row>
    <row r="45" customFormat="false" ht="15" hidden="false" customHeight="false" outlineLevel="0" collapsed="false">
      <c r="A45" s="22" t="n">
        <v>39</v>
      </c>
      <c r="B45" s="11" t="n">
        <f aca="false">IF(E44&lt;0,D44,B44)</f>
        <v>43.4462465131112</v>
      </c>
      <c r="C45" s="11" t="n">
        <f aca="false">IF(E44&lt;0,C44,D44)</f>
        <v>43.4462465132021</v>
      </c>
      <c r="D45" s="11" t="n">
        <f aca="false">(B45+C45)/2</f>
        <v>43.4462465131567</v>
      </c>
      <c r="E45" s="18" t="n">
        <f aca="false">IF(D45&lt;Floor_F,-(Cost_k*Ubar_a+Delay_D)*(1-EXP(-Rho_a*LN((Cap_top-D45)/(Cap_top-Floor_F))/Delta_a))/Rho_a+EXP(-Rho_a*LN((Cap_top-D45)/(Cap_top-Floor_F))/Delta_a)*(-Cost_k*Delta_a*Floor_F/Rho_a),EXP(-Rho_a*LN(D45/Floor_F)/Delta_a)*(-Cost_k*Delta_a*Floor_F/Rho_a))+$E$3</f>
        <v>2.24815721594496E-010</v>
      </c>
    </row>
    <row r="46" customFormat="false" ht="15" hidden="false" customHeight="false" outlineLevel="0" collapsed="false">
      <c r="A46" s="22" t="n">
        <v>40</v>
      </c>
      <c r="B46" s="11" t="n">
        <f aca="false">IF(E45&lt;0,D45,B45)</f>
        <v>43.4462465131112</v>
      </c>
      <c r="C46" s="11" t="n">
        <f aca="false">IF(E45&lt;0,C45,D45)</f>
        <v>43.4462465131567</v>
      </c>
      <c r="D46" s="11" t="n">
        <f aca="false">(B46+C46)/2</f>
        <v>43.4462465131339</v>
      </c>
      <c r="E46" s="18" t="n">
        <f aca="false">IF(D46&lt;Floor_F,-(Cost_k*Ubar_a+Delay_D)*(1-EXP(-Rho_a*LN((Cap_top-D46)/(Cap_top-Floor_F))/Delta_a))/Rho_a+EXP(-Rho_a*LN((Cap_top-D46)/(Cap_top-Floor_F))/Delta_a)*(-Cost_k*Delta_a*Floor_F/Rho_a),EXP(-Rho_a*LN(D46/Floor_F)/Delta_a)*(-Cost_k*Delta_a*Floor_F/Rho_a))+$E$3</f>
        <v>6.40625330561306E-011</v>
      </c>
    </row>
    <row r="47" customFormat="false" ht="15" hidden="false" customHeight="false" outlineLevel="0" collapsed="false">
      <c r="A47" s="22" t="n">
        <v>41</v>
      </c>
      <c r="B47" s="11" t="n">
        <f aca="false">IF(E46&lt;0,D46,B46)</f>
        <v>43.4462465131112</v>
      </c>
      <c r="C47" s="11" t="n">
        <f aca="false">IF(E46&lt;0,C46,D46)</f>
        <v>43.4462465131339</v>
      </c>
      <c r="D47" s="11" t="n">
        <f aca="false">(B47+C47)/2</f>
        <v>43.4462465131226</v>
      </c>
      <c r="E47" s="18" t="n">
        <f aca="false">IF(D47&lt;Floor_F,-(Cost_k*Ubar_a+Delay_D)*(1-EXP(-Rho_a*LN((Cap_top-D47)/(Cap_top-Floor_F))/Delta_a))/Rho_a+EXP(-Rho_a*LN((Cap_top-D47)/(Cap_top-Floor_F))/Delta_a)*(-Cost_k*Delta_a*Floor_F/Rho_a),EXP(-Rho_a*LN(D47/Floor_F)/Delta_a)*(-Cost_k*Delta_a*Floor_F/Rho_a))+$E$3</f>
        <v>-1.63140612130519E-011</v>
      </c>
    </row>
    <row r="48" customFormat="false" ht="15" hidden="false" customHeight="false" outlineLevel="0" collapsed="false">
      <c r="A48" s="22" t="n">
        <v>42</v>
      </c>
      <c r="B48" s="11" t="n">
        <f aca="false">IF(E47&lt;0,D47,B47)</f>
        <v>43.4462465131226</v>
      </c>
      <c r="C48" s="11" t="n">
        <f aca="false">IF(E47&lt;0,C47,D47)</f>
        <v>43.4462465131339</v>
      </c>
      <c r="D48" s="11" t="n">
        <f aca="false">(B48+C48)/2</f>
        <v>43.4462465131283</v>
      </c>
      <c r="E48" s="18" t="n">
        <f aca="false">IF(D48&lt;Floor_F,-(Cost_k*Ubar_a+Delay_D)*(1-EXP(-Rho_a*LN((Cap_top-D48)/(Cap_top-Floor_F))/Delta_a))/Rho_a+EXP(-Rho_a*LN((Cap_top-D48)/(Cap_top-Floor_F))/Delta_a)*(-Cost_k*Delta_a*Floor_F/Rho_a),EXP(-Rho_a*LN(D48/Floor_F)/Delta_a)*(-Cost_k*Delta_a*Floor_F/Rho_a))+$E$3</f>
        <v>2.38173925026786E-011</v>
      </c>
    </row>
    <row r="49" customFormat="false" ht="15" hidden="false" customHeight="false" outlineLevel="0" collapsed="false">
      <c r="A49" s="22" t="n">
        <v>43</v>
      </c>
      <c r="B49" s="11" t="n">
        <f aca="false">IF(E48&lt;0,D48,B48)</f>
        <v>43.4462465131226</v>
      </c>
      <c r="C49" s="11" t="n">
        <f aca="false">IF(E48&lt;0,C48,D48)</f>
        <v>43.4462465131283</v>
      </c>
      <c r="D49" s="11" t="n">
        <f aca="false">(B49+C49)/2</f>
        <v>43.4462465131254</v>
      </c>
      <c r="E49" s="18" t="n">
        <f aca="false">IF(D49&lt;Floor_F,-(Cost_k*Ubar_a+Delay_D)*(1-EXP(-Rho_a*LN((Cap_top-D49)/(Cap_top-Floor_F))/Delta_a))/Rho_a+EXP(-Rho_a*LN((Cap_top-D49)/(Cap_top-Floor_F))/Delta_a)*(-Cost_k*Delta_a*Floor_F/Rho_a),EXP(-Rho_a*LN(D49/Floor_F)/Delta_a)*(-Cost_k*Delta_a*Floor_F/Rho_a))+$E$3</f>
        <v>3.80850906367414E-012</v>
      </c>
    </row>
    <row r="50" customFormat="false" ht="15" hidden="false" customHeight="false" outlineLevel="0" collapsed="false">
      <c r="A50" s="22" t="n">
        <v>44</v>
      </c>
      <c r="B50" s="11" t="n">
        <f aca="false">IF(E49&lt;0,D49,B49)</f>
        <v>43.4462465131226</v>
      </c>
      <c r="C50" s="11" t="n">
        <f aca="false">IF(E49&lt;0,C49,D49)</f>
        <v>43.4462465131254</v>
      </c>
      <c r="D50" s="11" t="n">
        <f aca="false">(B50+C50)/2</f>
        <v>43.446246513124</v>
      </c>
      <c r="E50" s="18" t="n">
        <f aca="false">IF(D50&lt;Floor_F,-(Cost_k*Ubar_a+Delay_D)*(1-EXP(-Rho_a*LN((Cap_top-D50)/(Cap_top-Floor_F))/Delta_a))/Rho_a+EXP(-Rho_a*LN((Cap_top-D50)/(Cap_top-Floor_F))/Delta_a)*(-Cost_k*Delta_a*Floor_F/Rho_a),EXP(-Rho_a*LN(D50/Floor_F)/Delta_a)*(-Cost_k*Delta_a*Floor_F/Rho_a))+$E$3</f>
        <v>-6.30961949354969E-012</v>
      </c>
    </row>
    <row r="51" customFormat="false" ht="15" hidden="false" customHeight="false" outlineLevel="0" collapsed="false">
      <c r="A51" s="22" t="n">
        <v>45</v>
      </c>
      <c r="B51" s="11" t="n">
        <f aca="false">IF(E50&lt;0,D50,B50)</f>
        <v>43.446246513124</v>
      </c>
      <c r="C51" s="11" t="n">
        <f aca="false">IF(E50&lt;0,C50,D50)</f>
        <v>43.4462465131254</v>
      </c>
      <c r="D51" s="11" t="n">
        <f aca="false">(B51+C51)/2</f>
        <v>43.4462465131247</v>
      </c>
      <c r="E51" s="18" t="n">
        <f aca="false">IF(D51&lt;Floor_F,-(Cost_k*Ubar_a+Delay_D)*(1-EXP(-Rho_a*LN((Cap_top-D51)/(Cap_top-Floor_F))/Delta_a))/Rho_a+EXP(-Rho_a*LN((Cap_top-D51)/(Cap_top-Floor_F))/Delta_a)*(-Cost_k*Delta_a*Floor_F/Rho_a),EXP(-Rho_a*LN(D51/Floor_F)/Delta_a)*(-Cost_k*Delta_a*Floor_F/Rho_a))+$E$3</f>
        <v>-1.30739863379858E-012</v>
      </c>
    </row>
    <row r="52" customFormat="false" ht="15" hidden="false" customHeight="false" outlineLevel="0" collapsed="false">
      <c r="A52" s="22" t="n">
        <v>46</v>
      </c>
      <c r="B52" s="11" t="n">
        <f aca="false">IF(E51&lt;0,D51,B51)</f>
        <v>43.4462465131247</v>
      </c>
      <c r="C52" s="11" t="n">
        <f aca="false">IF(E51&lt;0,C51,D51)</f>
        <v>43.4462465131254</v>
      </c>
      <c r="D52" s="11" t="n">
        <f aca="false">(B52+C52)/2</f>
        <v>43.4462465131251</v>
      </c>
      <c r="E52" s="18" t="n">
        <f aca="false">IF(D52&lt;Floor_F,-(Cost_k*Ubar_a+Delay_D)*(1-EXP(-Rho_a*LN((Cap_top-D52)/(Cap_top-Floor_F))/Delta_a))/Rho_a+EXP(-Rho_a*LN((Cap_top-D52)/(Cap_top-Floor_F))/Delta_a)*(-Cost_k*Delta_a*Floor_F/Rho_a),EXP(-Rho_a*LN(D52/Floor_F)/Delta_a)*(-Cost_k*Delta_a*Floor_F/Rho_a))+$E$3</f>
        <v>1.25055521493778E-012</v>
      </c>
    </row>
    <row r="53" customFormat="false" ht="15" hidden="false" customHeight="false" outlineLevel="0" collapsed="false">
      <c r="A53" s="22" t="n">
        <v>47</v>
      </c>
      <c r="B53" s="11" t="n">
        <f aca="false">IF(E52&lt;0,D52,B52)</f>
        <v>43.4462465131247</v>
      </c>
      <c r="C53" s="11" t="n">
        <f aca="false">IF(E52&lt;0,C52,D52)</f>
        <v>43.4462465131251</v>
      </c>
      <c r="D53" s="11" t="n">
        <f aca="false">(B53+C53)/2</f>
        <v>43.4462465131249</v>
      </c>
      <c r="E53" s="18" t="n">
        <f aca="false">IF(D53&lt;Floor_F,-(Cost_k*Ubar_a+Delay_D)*(1-EXP(-Rho_a*LN((Cap_top-D53)/(Cap_top-Floor_F))/Delta_a))/Rho_a+EXP(-Rho_a*LN((Cap_top-D53)/(Cap_top-Floor_F))/Delta_a)*(-Cost_k*Delta_a*Floor_F/Rho_a),EXP(-Rho_a*LN(D53/Floor_F)/Delta_a)*(-Cost_k*Delta_a*Floor_F/Rho_a))+$E$3</f>
        <v>0</v>
      </c>
    </row>
    <row r="54" customFormat="false" ht="15" hidden="false" customHeight="false" outlineLevel="0" collapsed="false">
      <c r="A54" s="22" t="n">
        <v>48</v>
      </c>
      <c r="B54" s="11" t="n">
        <f aca="false">IF(E53&lt;0,D53,B53)</f>
        <v>43.4462465131247</v>
      </c>
      <c r="C54" s="11" t="n">
        <f aca="false">IF(E53&lt;0,C53,D53)</f>
        <v>43.4462465131249</v>
      </c>
      <c r="D54" s="11" t="n">
        <f aca="false">(B54+C54)/2</f>
        <v>43.4462465131248</v>
      </c>
      <c r="E54" s="18" t="n">
        <f aca="false">IF(D54&lt;Floor_F,-(Cost_k*Ubar_a+Delay_D)*(1-EXP(-Rho_a*LN((Cap_top-D54)/(Cap_top-Floor_F))/Delta_a))/Rho_a+EXP(-Rho_a*LN((Cap_top-D54)/(Cap_top-Floor_F))/Delta_a)*(-Cost_k*Delta_a*Floor_F/Rho_a),EXP(-Rho_a*LN(D54/Floor_F)/Delta_a)*(-Cost_k*Delta_a*Floor_F/Rho_a))+$E$3</f>
        <v>0</v>
      </c>
    </row>
    <row r="55" customFormat="false" ht="15" hidden="false" customHeight="false" outlineLevel="0" collapsed="false">
      <c r="A55" s="22" t="n">
        <v>49</v>
      </c>
      <c r="B55" s="11" t="n">
        <f aca="false">IF(E54&lt;0,D54,B54)</f>
        <v>43.4462465131247</v>
      </c>
      <c r="C55" s="11" t="n">
        <f aca="false">IF(E54&lt;0,C54,D54)</f>
        <v>43.4462465131248</v>
      </c>
      <c r="D55" s="11" t="n">
        <f aca="false">(B55+C55)/2</f>
        <v>43.4462465131248</v>
      </c>
      <c r="E55" s="18" t="n">
        <f aca="false">IF(D55&lt;Floor_F,-(Cost_k*Ubar_a+Delay_D)*(1-EXP(-Rho_a*LN((Cap_top-D55)/(Cap_top-Floor_F))/Delta_a))/Rho_a+EXP(-Rho_a*LN((Cap_top-D55)/(Cap_top-Floor_F))/Delta_a)*(-Cost_k*Delta_a*Floor_F/Rho_a),EXP(-Rho_a*LN(D55/Floor_F)/Delta_a)*(-Cost_k*Delta_a*Floor_F/Rho_a))+$E$3</f>
        <v>0</v>
      </c>
    </row>
    <row r="56" customFormat="false" ht="15" hidden="false" customHeight="false" outlineLevel="0" collapsed="false">
      <c r="A56" s="22" t="n">
        <v>50</v>
      </c>
      <c r="B56" s="11" t="n">
        <f aca="false">IF(E55&lt;0,D55,B55)</f>
        <v>43.4462465131247</v>
      </c>
      <c r="C56" s="11" t="n">
        <f aca="false">IF(E55&lt;0,C55,D55)</f>
        <v>43.4462465131248</v>
      </c>
      <c r="D56" s="11" t="n">
        <f aca="false">(B56+C56)/2</f>
        <v>43.4462465131247</v>
      </c>
      <c r="E56" s="18" t="n">
        <f aca="false">IF(D56&lt;Floor_F,-(Cost_k*Ubar_a+Delay_D)*(1-EXP(-Rho_a*LN((Cap_top-D56)/(Cap_top-Floor_F))/Delta_a))/Rho_a+EXP(-Rho_a*LN((Cap_top-D56)/(Cap_top-Floor_F))/Delta_a)*(-Cost_k*Delta_a*Floor_F/Rho_a),EXP(-Rho_a*LN(D56/Floor_F)/Delta_a)*(-Cost_k*Delta_a*Floor_F/Rho_a))+$E$3</f>
        <v>0</v>
      </c>
    </row>
    <row r="58" customFormat="false" ht="15" hidden="false" customHeight="false" outlineLevel="0" collapsed="false">
      <c r="A58" s="4" t="s">
        <v>228</v>
      </c>
      <c r="E58" s="14" t="n">
        <f aca="false">D56</f>
        <v>43.4462465131247</v>
      </c>
    </row>
    <row r="59" customFormat="false" ht="15" hidden="false" customHeight="false" outlineLevel="0" collapsed="false">
      <c r="A59" s="2" t="s">
        <v>229</v>
      </c>
      <c r="E59" s="14" t="n">
        <f aca="false">IF(E58&lt;Floor_F,EXP(-Rho_a*LN((Cap_top-E58)/(Cap_top-Floor_F))/Delta_a)*(Cost_k*Ubar_a+Delay_D+Rho_a*(-Cost_k*Delta_a*Floor_F/Rho_a))/(Ubar_a-Delta_a*E58),IF(E58=Floor_F,Cost_k,EXP(-Rho_a*LN(E58/Floor_F)/Delta_a)*(-Rho_a*(-Cost_k*Delta_a*Floor_F/Rho_a))/(Delta_a*E58)))</f>
        <v>7.07291692129381</v>
      </c>
    </row>
    <row r="61" customFormat="false" ht="15" hidden="false" customHeight="false" outlineLevel="0" collapsed="false">
      <c r="A61" s="8" t="s">
        <v>119</v>
      </c>
      <c r="B61" s="8" t="s">
        <v>120</v>
      </c>
      <c r="C61" s="8" t="s">
        <v>230</v>
      </c>
      <c r="D61" s="8" t="s">
        <v>231</v>
      </c>
      <c r="E61" s="8" t="s">
        <v>232</v>
      </c>
      <c r="F61" s="8" t="s">
        <v>233</v>
      </c>
    </row>
    <row r="62" customFormat="false" ht="15" hidden="false" customHeight="false" outlineLevel="0" collapsed="false">
      <c r="A62" s="27" t="n">
        <v>44</v>
      </c>
      <c r="B62" s="15" t="n">
        <f aca="false">IF(A62&lt;Floor_F,-(Cost_k*Ubar_a+Delay_D)*(1-EXP(-Rho_a*LN((Cap_top-A62)/(Cap_top-Floor_F))/Delta_a))/Rho_a+EXP(-Rho_a*LN((Cap_top-A62)/(Cap_top-Floor_F))/Delta_a)*(-Cost_k*Delta_a*Floor_F/Rho_a),EXP(-Rho_a*LN(A62/Floor_F)/Delta_a)*(-Cost_k*Delta_a*Floor_F/Rho_a))</f>
        <v>-331.791643074071</v>
      </c>
      <c r="C62" s="15" t="n">
        <f aca="false">IF(A62&lt;Floor_F,EXP(-Rho_a*LN((Cap_top-A62)/(Cap_top-Floor_F))/Delta_a)*(Cost_k*Ubar_a+Delay_D+Rho_a*(-Cost_k*Delta_a*Floor_F/Rho_a))/(Ubar_a-Delta_a*A62),IF(A62=Floor_F,Cost_k,EXP(-Rho_a*LN(A62/Floor_F)/Delta_a)*(-Rho_a*(-Cost_k*Delta_a*Floor_F/Rho_a))/(Delta_a*A62)))</f>
        <v>7.20931213876777</v>
      </c>
      <c r="D62" s="22" t="n">
        <f aca="false">IF(A62&lt;Floor_F,1,0)</f>
        <v>1</v>
      </c>
      <c r="E62" s="15" t="n">
        <f aca="false">MAX(-Delay_D*D62-C62*Delta_a*A62,-Cost_k*Ubar_a-Delay_D*D62+C62*(Ubar_a-Delta_a*A62))</f>
        <v>-31.6231211589621</v>
      </c>
      <c r="F62" s="18" t="n">
        <f aca="false">Rho_a*B62-E62</f>
        <v>0</v>
      </c>
    </row>
    <row r="63" customFormat="false" ht="15" hidden="false" customHeight="false" outlineLevel="0" collapsed="false">
      <c r="A63" s="27" t="n">
        <v>46</v>
      </c>
      <c r="B63" s="15" t="n">
        <f aca="false">IF(A63&lt;Floor_F,-(Cost_k*Ubar_a+Delay_D)*(1-EXP(-Rho_a*LN((Cap_top-A63)/(Cap_top-Floor_F))/Delta_a))/Rho_a+EXP(-Rho_a*LN((Cap_top-A63)/(Cap_top-Floor_F))/Delta_a)*(-Cost_k*Delta_a*Floor_F/Rho_a),EXP(-Rho_a*LN(A63/Floor_F)/Delta_a)*(-Cost_k*Delta_a*Floor_F/Rho_a))</f>
        <v>-316.855085587942</v>
      </c>
      <c r="C63" s="15" t="n">
        <f aca="false">IF(A63&lt;Floor_F,EXP(-Rho_a*LN((Cap_top-A63)/(Cap_top-Floor_F))/Delta_a)*(Cost_k*Ubar_a+Delay_D+Rho_a*(-Cost_k*Delta_a*Floor_F/Rho_a))/(Ubar_a-Delta_a*A63),IF(A63=Floor_F,Cost_k,EXP(-Rho_a*LN(A63/Floor_F)/Delta_a)*(-Rho_a*(-Cost_k*Delta_a*Floor_F/Rho_a))/(Delta_a*A63)))</f>
        <v>7.73664514705597</v>
      </c>
      <c r="D63" s="22" t="n">
        <f aca="false">IF(A63&lt;Floor_F,1,0)</f>
        <v>1</v>
      </c>
      <c r="E63" s="15" t="n">
        <f aca="false">MAX(-Delay_D*D63-C63*Delta_a*A63,-Cost_k*Ubar_a-Delay_D*D63+C63*(Ubar_a-Delta_a*A63))</f>
        <v>-30.1995151793015</v>
      </c>
      <c r="F63" s="18" t="n">
        <f aca="false">Rho_a*B63-E63</f>
        <v>0</v>
      </c>
    </row>
    <row r="64" customFormat="false" ht="15" hidden="false" customHeight="false" outlineLevel="0" collapsed="false">
      <c r="A64" s="27" t="n">
        <v>48</v>
      </c>
      <c r="B64" s="15" t="n">
        <f aca="false">IF(A64&lt;Floor_F,-(Cost_k*Ubar_a+Delay_D)*(1-EXP(-Rho_a*LN((Cap_top-A64)/(Cap_top-Floor_F))/Delta_a))/Rho_a+EXP(-Rho_a*LN((Cap_top-A64)/(Cap_top-Floor_F))/Delta_a)*(-Cost_k*Delta_a*Floor_F/Rho_a),EXP(-Rho_a*LN(A64/Floor_F)/Delta_a)*(-Cost_k*Delta_a*Floor_F/Rho_a))</f>
        <v>-300.804615508623</v>
      </c>
      <c r="C64" s="15" t="n">
        <f aca="false">IF(A64&lt;Floor_F,EXP(-Rho_a*LN((Cap_top-A64)/(Cap_top-Floor_F))/Delta_a)*(Cost_k*Ubar_a+Delay_D+Rho_a*(-Cost_k*Delta_a*Floor_F/Rho_a))/(Ubar_a-Delta_a*A64),IF(A64=Floor_F,Cost_k,EXP(-Rho_a*LN(A64/Floor_F)/Delta_a)*(-Rho_a*(-Cost_k*Delta_a*Floor_F/Rho_a))/(Delta_a*A64)))</f>
        <v>8.32470271745257</v>
      </c>
      <c r="D64" s="22" t="n">
        <f aca="false">IF(A64&lt;Floor_F,1,0)</f>
        <v>1</v>
      </c>
      <c r="E64" s="15" t="n">
        <f aca="false">MAX(-Delay_D*D64-C64*Delta_a*A64,-Cost_k*Ubar_a-Delay_D*D64+C64*(Ubar_a-Delta_a*A64))</f>
        <v>-28.6697419900977</v>
      </c>
      <c r="F64" s="18" t="n">
        <f aca="false">Rho_a*B64-E64</f>
        <v>0</v>
      </c>
    </row>
    <row r="65" customFormat="false" ht="15" hidden="false" customHeight="false" outlineLevel="0" collapsed="false">
      <c r="A65" s="27" t="n">
        <v>50</v>
      </c>
      <c r="B65" s="15" t="n">
        <f aca="false">IF(A65&lt;Floor_F,-(Cost_k*Ubar_a+Delay_D)*(1-EXP(-Rho_a*LN((Cap_top-A65)/(Cap_top-Floor_F))/Delta_a))/Rho_a+EXP(-Rho_a*LN((Cap_top-A65)/(Cap_top-Floor_F))/Delta_a)*(-Cost_k*Delta_a*Floor_F/Rho_a),EXP(-Rho_a*LN(A65/Floor_F)/Delta_a)*(-Cost_k*Delta_a*Floor_F/Rho_a))</f>
        <v>-283.509336294407</v>
      </c>
      <c r="C65" s="15" t="n">
        <f aca="false">IF(A65&lt;Floor_F,EXP(-Rho_a*LN((Cap_top-A65)/(Cap_top-Floor_F))/Delta_a)*(Cost_k*Ubar_a+Delay_D+Rho_a*(-Cost_k*Delta_a*Floor_F/Rho_a))/(Ubar_a-Delta_a*A65),IF(A65=Floor_F,Cost_k,EXP(-Rho_a*LN(A65/Floor_F)/Delta_a)*(-Rho_a*(-Cost_k*Delta_a*Floor_F/Rho_a))/(Delta_a*A65)))</f>
        <v>8.9832356309568</v>
      </c>
      <c r="D65" s="22" t="n">
        <f aca="false">IF(A65&lt;Floor_F,1,0)</f>
        <v>1</v>
      </c>
      <c r="E65" s="15" t="n">
        <f aca="false">MAX(-Delay_D*D65-C65*Delta_a*A65,-Cost_k*Ubar_a-Delay_D*D65+C65*(Ubar_a-Delta_a*A65))</f>
        <v>-27.0213258184247</v>
      </c>
      <c r="F65" s="18" t="n">
        <f aca="false">Rho_a*B65-E65</f>
        <v>0</v>
      </c>
    </row>
    <row r="66" customFormat="false" ht="15" hidden="false" customHeight="false" outlineLevel="0" collapsed="false">
      <c r="A66" s="27" t="n">
        <v>52</v>
      </c>
      <c r="B66" s="15" t="n">
        <f aca="false">IF(A66&lt;Floor_F,-(Cost_k*Ubar_a+Delay_D)*(1-EXP(-Rho_a*LN((Cap_top-A66)/(Cap_top-Floor_F))/Delta_a))/Rho_a+EXP(-Rho_a*LN((Cap_top-A66)/(Cap_top-Floor_F))/Delta_a)*(-Cost_k*Delta_a*Floor_F/Rho_a),EXP(-Rho_a*LN(A66/Floor_F)/Delta_a)*(-Cost_k*Delta_a*Floor_F/Rho_a))</f>
        <v>-264.81688184186</v>
      </c>
      <c r="C66" s="15" t="n">
        <f aca="false">IF(A66&lt;Floor_F,EXP(-Rho_a*LN((Cap_top-A66)/(Cap_top-Floor_F))/Delta_a)*(Cost_k*Ubar_a+Delay_D+Rho_a*(-Cost_k*Delta_a*Floor_F/Rho_a))/(Ubar_a-Delta_a*A66),IF(A66=Floor_F,Cost_k,EXP(-Rho_a*LN(A66/Floor_F)/Delta_a)*(-Rho_a*(-Cost_k*Delta_a*Floor_F/Rho_a))/(Delta_a*A66)))</f>
        <v>9.72404075321592</v>
      </c>
      <c r="D66" s="22" t="n">
        <f aca="false">IF(A66&lt;Floor_F,1,0)</f>
        <v>1</v>
      </c>
      <c r="E66" s="15" t="n">
        <f aca="false">MAX(-Delay_D*D66-C66*Delta_a*A66,-Cost_k*Ubar_a-Delay_D*D66+C66*(Ubar_a-Delta_a*A66))</f>
        <v>-25.2397446235684</v>
      </c>
      <c r="F66" s="18" t="n">
        <f aca="false">Rho_a*B66-E66</f>
        <v>0</v>
      </c>
    </row>
    <row r="67" customFormat="false" ht="15" hidden="false" customHeight="false" outlineLevel="0" collapsed="false">
      <c r="A67" s="27" t="n">
        <v>53</v>
      </c>
      <c r="B67" s="15" t="n">
        <f aca="false">IF(A67&lt;Floor_F,-(Cost_k*Ubar_a+Delay_D)*(1-EXP(-Rho_a*LN((Cap_top-A67)/(Cap_top-Floor_F))/Delta_a))/Rho_a+EXP(-Rho_a*LN((Cap_top-A67)/(Cap_top-Floor_F))/Delta_a)*(-Cost_k*Delta_a*Floor_F/Rho_a),EXP(-Rho_a*LN(A67/Floor_F)/Delta_a)*(-Cost_k*Delta_a*Floor_F/Rho_a))</f>
        <v>-254.892119102206</v>
      </c>
      <c r="C67" s="15" t="n">
        <f aca="false">IF(A67&lt;Floor_F,EXP(-Rho_a*LN((Cap_top-A67)/(Cap_top-Floor_F))/Delta_a)*(Cost_k*Ubar_a+Delay_D+Rho_a*(-Cost_k*Delta_a*Floor_F/Rho_a))/(Ubar_a-Delta_a*A67),IF(A67=Floor_F,Cost_k,EXP(-Rho_a*LN(A67/Floor_F)/Delta_a)*(-Rho_a*(-Cost_k*Delta_a*Floor_F/Rho_a))/(Delta_a*A67)))</f>
        <v>10.129670746202</v>
      </c>
      <c r="D67" s="22" t="n">
        <f aca="false">IF(A67&lt;Floor_F,1,0)</f>
        <v>1</v>
      </c>
      <c r="E67" s="15" t="n">
        <f aca="false">MAX(-Delay_D*D67-C67*Delta_a*A67,-Cost_k*Ubar_a-Delay_D*D67+C67*(Ubar_a-Delta_a*A67))</f>
        <v>-24.2938137023367</v>
      </c>
      <c r="F67" s="18" t="n">
        <f aca="false">Rho_a*B67-E67</f>
        <v>0</v>
      </c>
    </row>
    <row r="68" customFormat="false" ht="15" hidden="false" customHeight="false" outlineLevel="0" collapsed="false">
      <c r="A68" s="27" t="n">
        <v>54</v>
      </c>
      <c r="B68" s="15" t="n">
        <f aca="false">IF(A68&lt;Floor_F,-(Cost_k*Ubar_a+Delay_D)*(1-EXP(-Rho_a*LN((Cap_top-A68)/(Cap_top-Floor_F))/Delta_a))/Rho_a+EXP(-Rho_a*LN((Cap_top-A68)/(Cap_top-Floor_F))/Delta_a)*(-Cost_k*Delta_a*Floor_F/Rho_a),EXP(-Rho_a*LN(A68/Floor_F)/Delta_a)*(-Cost_k*Delta_a*Floor_F/Rho_a))</f>
        <v>-244.548809800479</v>
      </c>
      <c r="C68" s="15" t="n">
        <f aca="false">IF(A68&lt;Floor_F,EXP(-Rho_a*LN((Cap_top-A68)/(Cap_top-Floor_F))/Delta_a)*(Cost_k*Ubar_a+Delay_D+Rho_a*(-Cost_k*Delta_a*Floor_F/Rho_a))/(Ubar_a-Delta_a*A68),IF(A68=Floor_F,Cost_k,EXP(-Rho_a*LN(A68/Floor_F)/Delta_a)*(-Rho_a*(-Cost_k*Delta_a*Floor_F/Rho_a))/(Delta_a*A68)))</f>
        <v>10.56150008609</v>
      </c>
      <c r="D68" s="22" t="n">
        <f aca="false">IF(A68&lt;Floor_F,1,0)</f>
        <v>1</v>
      </c>
      <c r="E68" s="15" t="n">
        <f aca="false">MAX(-Delay_D*D68-C68*Delta_a*A68,-Cost_k*Ubar_a-Delay_D*D68+C68*(Ubar_a-Delta_a*A68))</f>
        <v>-23.3079910330174</v>
      </c>
      <c r="F68" s="18" t="n">
        <f aca="false">Rho_a*B68-E68</f>
        <v>0</v>
      </c>
    </row>
    <row r="69" customFormat="false" ht="15" hidden="false" customHeight="false" outlineLevel="0" collapsed="false">
      <c r="A69" s="27" t="n">
        <v>54.5</v>
      </c>
      <c r="B69" s="15" t="n">
        <f aca="false">IF(A69&lt;Floor_F,-(Cost_k*Ubar_a+Delay_D)*(1-EXP(-Rho_a*LN((Cap_top-A69)/(Cap_top-Floor_F))/Delta_a))/Rho_a+EXP(-Rho_a*LN((Cap_top-A69)/(Cap_top-Floor_F))/Delta_a)*(-Cost_k*Delta_a*Floor_F/Rho_a),EXP(-Rho_a*LN(A69/Floor_F)/Delta_a)*(-Cost_k*Delta_a*Floor_F/Rho_a))</f>
        <v>-239.211749540359</v>
      </c>
      <c r="C69" s="15" t="n">
        <f aca="false">IF(A69&lt;Floor_F,EXP(-Rho_a*LN((Cap_top-A69)/(Cap_top-Floor_F))/Delta_a)*(Cost_k*Ubar_a+Delay_D+Rho_a*(-Cost_k*Delta_a*Floor_F/Rho_a))/(Ubar_a-Delta_a*A69),IF(A69=Floor_F,Cost_k,EXP(-Rho_a*LN(A69/Floor_F)/Delta_a)*(-Rho_a*(-Cost_k*Delta_a*Floor_F/Rho_a))/(Delta_a*A69)))</f>
        <v>10.7879541289695</v>
      </c>
      <c r="D69" s="22" t="n">
        <f aca="false">IF(A69&lt;Floor_F,1,0)</f>
        <v>1</v>
      </c>
      <c r="E69" s="15" t="n">
        <f aca="false">MAX(-Delay_D*D69-C69*Delta_a*A69,-Cost_k*Ubar_a-Delay_D*D69+C69*(Ubar_a-Delta_a*A69))</f>
        <v>-22.7993148599987</v>
      </c>
      <c r="F69" s="18" t="n">
        <f aca="false">Rho_a*B69-E69</f>
        <v>0</v>
      </c>
    </row>
    <row r="70" customFormat="false" ht="15" hidden="false" customHeight="false" outlineLevel="0" collapsed="false">
      <c r="A70" s="27" t="n">
        <v>54.9</v>
      </c>
      <c r="B70" s="15" t="n">
        <f aca="false">IF(A70&lt;Floor_F,-(Cost_k*Ubar_a+Delay_D)*(1-EXP(-Rho_a*LN((Cap_top-A70)/(Cap_top-Floor_F))/Delta_a))/Rho_a+EXP(-Rho_a*LN((Cap_top-A70)/(Cap_top-Floor_F))/Delta_a)*(-Cost_k*Delta_a*Floor_F/Rho_a),EXP(-Rho_a*LN(A70/Floor_F)/Delta_a)*(-Cost_k*Delta_a*Floor_F/Rho_a))</f>
        <v>-234.859428608166</v>
      </c>
      <c r="C70" s="15" t="n">
        <f aca="false">IF(A70&lt;Floor_F,EXP(-Rho_a*LN((Cap_top-A70)/(Cap_top-Floor_F))/Delta_a)*(Cost_k*Ubar_a+Delay_D+Rho_a*(-Cost_k*Delta_a*Floor_F/Rho_a))/(Ubar_a-Delta_a*A70),IF(A70=Floor_F,Cost_k,EXP(-Rho_a*LN(A70/Floor_F)/Delta_a)*(-Rho_a*(-Cost_k*Delta_a*Floor_F/Rho_a))/(Delta_a*A70)))</f>
        <v>10.9744577919378</v>
      </c>
      <c r="D70" s="22" t="n">
        <f aca="false">IF(A70&lt;Floor_F,1,0)</f>
        <v>1</v>
      </c>
      <c r="E70" s="15" t="n">
        <f aca="false">MAX(-Delay_D*D70-C70*Delta_a*A70,-Cost_k*Ubar_a-Delay_D*D70+C70*(Ubar_a-Delta_a*A70))</f>
        <v>-22.3844943693853</v>
      </c>
      <c r="F70" s="18" t="n">
        <f aca="false">Rho_a*B70-E70</f>
        <v>0</v>
      </c>
    </row>
    <row r="71" customFormat="false" ht="15" hidden="false" customHeight="false" outlineLevel="0" collapsed="false">
      <c r="A71" s="27" t="n">
        <v>55.5</v>
      </c>
      <c r="B71" s="15" t="n">
        <f aca="false">IF(A71&lt;Floor_F,-(Cost_k*Ubar_a+Delay_D)*(1-EXP(-Rho_a*LN((Cap_top-A71)/(Cap_top-Floor_F))/Delta_a))/Rho_a+EXP(-Rho_a*LN((Cap_top-A71)/(Cap_top-Floor_F))/Delta_a)*(-Cost_k*Delta_a*Floor_F/Rho_a),EXP(-Rho_a*LN(A71/Floor_F)/Delta_a)*(-Cost_k*Delta_a*Floor_F/Rho_a))</f>
        <v>-231.777106765518</v>
      </c>
      <c r="C71" s="15" t="n">
        <f aca="false">IF(A71&lt;Floor_F,EXP(-Rho_a*LN((Cap_top-A71)/(Cap_top-Floor_F))/Delta_a)*(Cost_k*Ubar_a+Delay_D+Rho_a*(-Cost_k*Delta_a*Floor_F/Rho_a))/(Ubar_a-Delta_a*A71),IF(A71=Floor_F,Cost_k,EXP(-Rho_a*LN(A71/Floor_F)/Delta_a)*(-Rho_a*(-Cost_k*Delta_a*Floor_F/Rho_a))/(Delta_a*A71)))</f>
        <v>3.93034568951585</v>
      </c>
      <c r="D71" s="22" t="n">
        <f aca="false">IF(A71&lt;Floor_F,1,0)</f>
        <v>0</v>
      </c>
      <c r="E71" s="15" t="n">
        <f aca="false">MAX(-Delay_D*D71-C71*Delta_a*A71,-Cost_k*Ubar_a-Delay_D*D71+C71*(Ubar_a-Delta_a*A71))</f>
        <v>-22.0907177203477</v>
      </c>
      <c r="F71" s="18" t="n">
        <f aca="false">Rho_a*B71-E71</f>
        <v>0</v>
      </c>
    </row>
    <row r="72" customFormat="false" ht="15" hidden="false" customHeight="false" outlineLevel="0" collapsed="false">
      <c r="A72" s="27" t="n">
        <v>56</v>
      </c>
      <c r="B72" s="15" t="n">
        <f aca="false">IF(A72&lt;Floor_F,-(Cost_k*Ubar_a+Delay_D)*(1-EXP(-Rho_a*LN((Cap_top-A72)/(Cap_top-Floor_F))/Delta_a))/Rho_a+EXP(-Rho_a*LN((Cap_top-A72)/(Cap_top-Floor_F))/Delta_a)*(-Cost_k*Delta_a*Floor_F/Rho_a),EXP(-Rho_a*LN(A72/Floor_F)/Delta_a)*(-Cost_k*Delta_a*Floor_F/Rho_a))</f>
        <v>-229.828966693359</v>
      </c>
      <c r="C72" s="15" t="n">
        <f aca="false">IF(A72&lt;Floor_F,EXP(-Rho_a*LN((Cap_top-A72)/(Cap_top-Floor_F))/Delta_a)*(Cost_k*Ubar_a+Delay_D+Rho_a*(-Cost_k*Delta_a*Floor_F/Rho_a))/(Ubar_a-Delta_a*A72),IF(A72=Floor_F,Cost_k,EXP(-Rho_a*LN(A72/Floor_F)/Delta_a)*(-Rho_a*(-Cost_k*Delta_a*Floor_F/Rho_a))/(Delta_a*A72)))</f>
        <v>3.86251281420506</v>
      </c>
      <c r="D72" s="22" t="n">
        <f aca="false">IF(A72&lt;Floor_F,1,0)</f>
        <v>0</v>
      </c>
      <c r="E72" s="15" t="n">
        <f aca="false">MAX(-Delay_D*D72-C72*Delta_a*A72,-Cost_k*Ubar_a-Delay_D*D72+C72*(Ubar_a-Delta_a*A72))</f>
        <v>-21.9050401397863</v>
      </c>
      <c r="F72" s="18" t="n">
        <f aca="false">Rho_a*B72-E72</f>
        <v>0</v>
      </c>
    </row>
    <row r="73" customFormat="false" ht="15" hidden="false" customHeight="false" outlineLevel="0" collapsed="false">
      <c r="A73" s="27" t="n">
        <v>57</v>
      </c>
      <c r="B73" s="15" t="n">
        <f aca="false">IF(A73&lt;Floor_F,-(Cost_k*Ubar_a+Delay_D)*(1-EXP(-Rho_a*LN((Cap_top-A73)/(Cap_top-Floor_F))/Delta_a))/Rho_a+EXP(-Rho_a*LN((Cap_top-A73)/(Cap_top-Floor_F))/Delta_a)*(-Cost_k*Delta_a*Floor_F/Rho_a),EXP(-Rho_a*LN(A73/Floor_F)/Delta_a)*(-Cost_k*Delta_a*Floor_F/Rho_a))</f>
        <v>-226.032245654582</v>
      </c>
      <c r="C73" s="15" t="n">
        <f aca="false">IF(A73&lt;Floor_F,EXP(-Rho_a*LN((Cap_top-A73)/(Cap_top-Floor_F))/Delta_a)*(Cost_k*Ubar_a+Delay_D+Rho_a*(-Cost_k*Delta_a*Floor_F/Rho_a))/(Ubar_a-Delta_a*A73),IF(A73=Floor_F,Cost_k,EXP(-Rho_a*LN(A73/Floor_F)/Delta_a)*(-Rho_a*(-Cost_k*Delta_a*Floor_F/Rho_a))/(Delta_a*A73)))</f>
        <v>3.73206105409128</v>
      </c>
      <c r="D73" s="22" t="n">
        <f aca="false">IF(A73&lt;Floor_F,1,0)</f>
        <v>0</v>
      </c>
      <c r="E73" s="15" t="n">
        <f aca="false">MAX(-Delay_D*D73-C73*Delta_a*A73,-Cost_k*Ubar_a-Delay_D*D73+C73*(Ubar_a-Delta_a*A73))</f>
        <v>-21.5431739749136</v>
      </c>
      <c r="F73" s="18" t="n">
        <f aca="false">Rho_a*B73-E73</f>
        <v>0</v>
      </c>
    </row>
    <row r="74" customFormat="false" ht="15" hidden="false" customHeight="false" outlineLevel="0" collapsed="false">
      <c r="A74" s="27" t="n">
        <v>58</v>
      </c>
      <c r="B74" s="15" t="n">
        <f aca="false">IF(A74&lt;Floor_F,-(Cost_k*Ubar_a+Delay_D)*(1-EXP(-Rho_a*LN((Cap_top-A74)/(Cap_top-Floor_F))/Delta_a))/Rho_a+EXP(-Rho_a*LN((Cap_top-A74)/(Cap_top-Floor_F))/Delta_a)*(-Cost_k*Delta_a*Floor_F/Rho_a),EXP(-Rho_a*LN(A74/Floor_F)/Delta_a)*(-Cost_k*Delta_a*Floor_F/Rho_a))</f>
        <v>-222.36265793319</v>
      </c>
      <c r="C74" s="15" t="n">
        <f aca="false">IF(A74&lt;Floor_F,EXP(-Rho_a*LN((Cap_top-A74)/(Cap_top-Floor_F))/Delta_a)*(Cost_k*Ubar_a+Delay_D+Rho_a*(-Cost_k*Delta_a*Floor_F/Rho_a))/(Ubar_a-Delta_a*A74),IF(A74=Floor_F,Cost_k,EXP(-Rho_a*LN(A74/Floor_F)/Delta_a)*(-Rho_a*(-Cost_k*Delta_a*Floor_F/Rho_a))/(Delta_a*A74)))</f>
        <v>3.60817056096118</v>
      </c>
      <c r="D74" s="22" t="n">
        <f aca="false">IF(A74&lt;Floor_F,1,0)</f>
        <v>0</v>
      </c>
      <c r="E74" s="15" t="n">
        <f aca="false">MAX(-Delay_D*D74-C74*Delta_a*A74,-Cost_k*Ubar_a-Delay_D*D74+C74*(Ubar_a-Delta_a*A74))</f>
        <v>-21.19342490938</v>
      </c>
      <c r="F74" s="18" t="n">
        <f aca="false">Rho_a*B74-E74</f>
        <v>0</v>
      </c>
    </row>
    <row r="75" customFormat="false" ht="15" hidden="false" customHeight="false" outlineLevel="0" collapsed="false">
      <c r="A75" s="27" t="n">
        <v>60</v>
      </c>
      <c r="B75" s="15" t="n">
        <f aca="false">IF(A75&lt;Floor_F,-(Cost_k*Ubar_a+Delay_D)*(1-EXP(-Rho_a*LN((Cap_top-A75)/(Cap_top-Floor_F))/Delta_a))/Rho_a+EXP(-Rho_a*LN((Cap_top-A75)/(Cap_top-Floor_F))/Delta_a)*(-Cost_k*Delta_a*Floor_F/Rho_a),EXP(-Rho_a*LN(A75/Floor_F)/Delta_a)*(-Cost_k*Delta_a*Floor_F/Rho_a))</f>
        <v>-215.379936072815</v>
      </c>
      <c r="C75" s="15" t="n">
        <f aca="false">IF(A75&lt;Floor_F,EXP(-Rho_a*LN((Cap_top-A75)/(Cap_top-Floor_F))/Delta_a)*(Cost_k*Ubar_a+Delay_D+Rho_a*(-Cost_k*Delta_a*Floor_F/Rho_a))/(Ubar_a-Delta_a*A75),IF(A75=Floor_F,Cost_k,EXP(-Rho_a*LN(A75/Floor_F)/Delta_a)*(-Rho_a*(-Cost_k*Delta_a*Floor_F/Rho_a))/(Delta_a*A75)))</f>
        <v>3.37836982274852</v>
      </c>
      <c r="D75" s="22" t="n">
        <f aca="false">IF(A75&lt;Floor_F,1,0)</f>
        <v>0</v>
      </c>
      <c r="E75" s="15" t="n">
        <f aca="false">MAX(-Delay_D*D75-C75*Delta_a*A75,-Cost_k*Ubar_a-Delay_D*D75+C75*(Ubar_a-Delta_a*A75))</f>
        <v>-20.527900433344</v>
      </c>
      <c r="F75" s="18" t="n">
        <f aca="false">Rho_a*B75-E75</f>
        <v>0</v>
      </c>
    </row>
    <row r="76" customFormat="false" ht="15" hidden="false" customHeight="false" outlineLevel="0" collapsed="false">
      <c r="A76" s="27" t="n">
        <v>62</v>
      </c>
      <c r="B76" s="15" t="n">
        <f aca="false">IF(A76&lt;Floor_F,-(Cost_k*Ubar_a+Delay_D)*(1-EXP(-Rho_a*LN((Cap_top-A76)/(Cap_top-Floor_F))/Delta_a))/Rho_a+EXP(-Rho_a*LN((Cap_top-A76)/(Cap_top-Floor_F))/Delta_a)*(-Cost_k*Delta_a*Floor_F/Rho_a),EXP(-Rho_a*LN(A76/Floor_F)/Delta_a)*(-Cost_k*Delta_a*Floor_F/Rho_a))</f>
        <v>-208.834876033629</v>
      </c>
      <c r="C76" s="15" t="n">
        <f aca="false">IF(A76&lt;Floor_F,EXP(-Rho_a*LN((Cap_top-A76)/(Cap_top-Floor_F))/Delta_a)*(Cost_k*Ubar_a+Delay_D+Rho_a*(-Cost_k*Delta_a*Floor_F/Rho_a))/(Ubar_a-Delta_a*A76),IF(A76=Floor_F,Cost_k,EXP(-Rho_a*LN(A76/Floor_F)/Delta_a)*(-Rho_a*(-Cost_k*Delta_a*Floor_F/Rho_a))/(Delta_a*A76)))</f>
        <v>3.17003848802626</v>
      </c>
      <c r="D76" s="22" t="n">
        <f aca="false">IF(A76&lt;Floor_F,1,0)</f>
        <v>0</v>
      </c>
      <c r="E76" s="15" t="n">
        <f aca="false">MAX(-Delay_D*D76-C76*Delta_a*A76,-Cost_k*Ubar_a-Delay_D*D76+C76*(Ubar_a-Delta_a*A76))</f>
        <v>-19.9040895841791</v>
      </c>
      <c r="F76" s="18" t="n">
        <f aca="false">Rho_a*B76-E76</f>
        <v>0</v>
      </c>
    </row>
    <row r="77" customFormat="false" ht="15" hidden="false" customHeight="false" outlineLevel="0" collapsed="false">
      <c r="A77" s="27" t="n">
        <v>65</v>
      </c>
      <c r="B77" s="15" t="n">
        <f aca="false">IF(A77&lt;Floor_F,-(Cost_k*Ubar_a+Delay_D)*(1-EXP(-Rho_a*LN((Cap_top-A77)/(Cap_top-Floor_F))/Delta_a))/Rho_a+EXP(-Rho_a*LN((Cap_top-A77)/(Cap_top-Floor_F))/Delta_a)*(-Cost_k*Delta_a*Floor_F/Rho_a),EXP(-Rho_a*LN(A77/Floor_F)/Delta_a)*(-Cost_k*Delta_a*Floor_F/Rho_a))</f>
        <v>-199.751161408243</v>
      </c>
      <c r="C77" s="15" t="n">
        <f aca="false">IF(A77&lt;Floor_F,EXP(-Rho_a*LN((Cap_top-A77)/(Cap_top-Floor_F))/Delta_a)*(Cost_k*Ubar_a+Delay_D+Rho_a*(-Cost_k*Delta_a*Floor_F/Rho_a))/(Ubar_a-Delta_a*A77),IF(A77=Floor_F,Cost_k,EXP(-Rho_a*LN(A77/Floor_F)/Delta_a)*(-Rho_a*(-Cost_k*Delta_a*Floor_F/Rho_a))/(Delta_a*A77)))</f>
        <v>2.89220553037</v>
      </c>
      <c r="D77" s="22" t="n">
        <f aca="false">IF(A77&lt;Floor_F,1,0)</f>
        <v>0</v>
      </c>
      <c r="E77" s="15" t="n">
        <f aca="false">MAX(-Delay_D*D77-C77*Delta_a*A77,-Cost_k*Ubar_a-Delay_D*D77+C77*(Ubar_a-Delta_a*A77))</f>
        <v>-19.0383191099423</v>
      </c>
      <c r="F77" s="18" t="n">
        <f aca="false">Rho_a*B77-E77</f>
        <v>0</v>
      </c>
    </row>
    <row r="78" customFormat="false" ht="15" hidden="false" customHeight="false" outlineLevel="0" collapsed="false">
      <c r="A78" s="27" t="n">
        <v>70</v>
      </c>
      <c r="B78" s="15" t="n">
        <f aca="false">IF(A78&lt;Floor_F,-(Cost_k*Ubar_a+Delay_D)*(1-EXP(-Rho_a*LN((Cap_top-A78)/(Cap_top-Floor_F))/Delta_a))/Rho_a+EXP(-Rho_a*LN((Cap_top-A78)/(Cap_top-Floor_F))/Delta_a)*(-Cost_k*Delta_a*Floor_F/Rho_a),EXP(-Rho_a*LN(A78/Floor_F)/Delta_a)*(-Cost_k*Delta_a*Floor_F/Rho_a))</f>
        <v>-186.294096402992</v>
      </c>
      <c r="C78" s="15" t="n">
        <f aca="false">IF(A78&lt;Floor_F,EXP(-Rho_a*LN((Cap_top-A78)/(Cap_top-Floor_F))/Delta_a)*(Cost_k*Ubar_a+Delay_D+Rho_a*(-Cost_k*Delta_a*Floor_F/Rho_a))/(Ubar_a-Delta_a*A78),IF(A78=Floor_F,Cost_k,EXP(-Rho_a*LN(A78/Floor_F)/Delta_a)*(-Rho_a*(-Cost_k*Delta_a*Floor_F/Rho_a))/(Delta_a*A78)))</f>
        <v>2.50469153621479</v>
      </c>
      <c r="D78" s="22" t="n">
        <f aca="false">IF(A78&lt;Floor_F,1,0)</f>
        <v>0</v>
      </c>
      <c r="E78" s="15" t="n">
        <f aca="false">MAX(-Delay_D*D78-C78*Delta_a*A78,-Cost_k*Ubar_a-Delay_D*D78+C78*(Ubar_a-Delta_a*A78))</f>
        <v>-17.7557238246534</v>
      </c>
      <c r="F78" s="18" t="n">
        <f aca="false">Rho_a*B78-E78</f>
        <v>0</v>
      </c>
    </row>
    <row r="79" customFormat="false" ht="15" hidden="false" customHeight="false" outlineLevel="0" collapsed="false">
      <c r="A79" s="4" t="s">
        <v>234</v>
      </c>
      <c r="F79" s="18" t="n">
        <f aca="false">MAX(ABS(MAX(F62:F78)),ABS(MIN(F62:F78)))</f>
        <v>0</v>
      </c>
    </row>
    <row r="81" customFormat="false" ht="15" hidden="false" customHeight="false" outlineLevel="0" collapsed="false">
      <c r="A81" s="2" t="s">
        <v>235</v>
      </c>
      <c r="B81" s="15" t="n">
        <f aca="false">Cost_k*Ubar_a*(1-EXP(-Rho_a*Tau_race))/Rho_a</f>
        <v>17.0429212130037</v>
      </c>
      <c r="C81" s="10" t="s">
        <v>236</v>
      </c>
    </row>
    <row r="82" customFormat="false" ht="15" hidden="false" customHeight="false" outlineLevel="0" collapsed="false">
      <c r="A82" s="2" t="s">
        <v>237</v>
      </c>
      <c r="B82" s="15" t="n">
        <f aca="false">Delay_D*(1-EXP(-Rho_a*Tau_race))/Rho_a</f>
        <v>13.4631886169443</v>
      </c>
      <c r="C82" s="10" t="s">
        <v>238</v>
      </c>
    </row>
    <row r="83" customFormat="false" ht="15" hidden="false" customHeight="false" outlineLevel="0" collapsed="false">
      <c r="A83" s="2" t="s">
        <v>239</v>
      </c>
      <c r="B83" s="15" t="n">
        <f aca="false">(EXP(-Rho_a*Tau_race)-EXP(-Rho_a*Tau_drift))*-V_F</f>
        <v>2.02335133906762</v>
      </c>
      <c r="C83" s="10" t="s">
        <v>240</v>
      </c>
    </row>
    <row r="84" customFormat="false" ht="15" hidden="false" customHeight="false" outlineLevel="0" collapsed="false">
      <c r="A84" s="2" t="s">
        <v>98</v>
      </c>
      <c r="B84" s="15" t="n">
        <f aca="false">SUM(B81:B83)</f>
        <v>32.5294611690156</v>
      </c>
      <c r="C84" s="10" t="s">
        <v>99</v>
      </c>
    </row>
    <row r="85" customFormat="false" ht="15" hidden="false" customHeight="false" outlineLevel="0" collapsed="false">
      <c r="A85" s="2" t="s">
        <v>241</v>
      </c>
      <c r="B85" s="15" t="n">
        <f aca="false">B84-(Proc_gone-Proc_kept)</f>
        <v>12.5294611690156</v>
      </c>
      <c r="C85" s="10" t="s">
        <v>242</v>
      </c>
    </row>
    <row r="87" customFormat="false" ht="15" hidden="false" customHeight="false" outlineLevel="0" collapsed="false">
      <c r="A87" s="10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1" t="s">
        <v>244</v>
      </c>
    </row>
    <row r="3" customFormat="false" ht="23.85" hidden="false" customHeight="false" outlineLevel="0" collapsed="false">
      <c r="A3" s="8" t="s">
        <v>245</v>
      </c>
      <c r="B3" s="8" t="s">
        <v>246</v>
      </c>
      <c r="C3" s="8" t="s">
        <v>247</v>
      </c>
      <c r="D3" s="8" t="s">
        <v>248</v>
      </c>
      <c r="E3" s="8" t="s">
        <v>249</v>
      </c>
      <c r="F3" s="8" t="s">
        <v>250</v>
      </c>
      <c r="G3" s="8" t="s">
        <v>251</v>
      </c>
      <c r="H3" s="8" t="s">
        <v>252</v>
      </c>
    </row>
    <row r="4" customFormat="false" ht="15" hidden="false" customHeight="false" outlineLevel="0" collapsed="false">
      <c r="A4" s="2" t="s">
        <v>253</v>
      </c>
      <c r="B4" s="14" t="n">
        <f aca="false">1-(1-Attr_q)^4</f>
        <v>0.0963121093750001</v>
      </c>
      <c r="C4" s="9" t="n">
        <v>0.06</v>
      </c>
      <c r="D4" s="9" t="n">
        <v>0.11</v>
      </c>
      <c r="E4" s="14" t="n">
        <f aca="false">$B$4</f>
        <v>0.0963121093750001</v>
      </c>
      <c r="F4" s="14" t="n">
        <f aca="false">$B$4</f>
        <v>0.0963121093750001</v>
      </c>
      <c r="G4" s="14" t="n">
        <f aca="false">$B$4</f>
        <v>0.0963121093750001</v>
      </c>
      <c r="H4" s="14" t="n">
        <f aca="false">$B$4</f>
        <v>0.0963121093750001</v>
      </c>
    </row>
    <row r="5" customFormat="false" ht="15" hidden="false" customHeight="false" outlineLevel="0" collapsed="false">
      <c r="A5" s="2" t="s">
        <v>20</v>
      </c>
      <c r="B5" s="11" t="n">
        <f aca="false">1-(1-B4)^(1/4)</f>
        <v>0.025</v>
      </c>
      <c r="C5" s="11" t="n">
        <f aca="false">1-(1-C4)^(1/4)</f>
        <v>0.0153498227881814</v>
      </c>
      <c r="D5" s="11" t="n">
        <f aca="false">1-(1-D4)^(1/4)</f>
        <v>0.0287131663583304</v>
      </c>
      <c r="E5" s="11" t="n">
        <f aca="false">1-(1-E4)^(1/4)</f>
        <v>0.025</v>
      </c>
      <c r="F5" s="11" t="n">
        <f aca="false">1-(1-F4)^(1/4)</f>
        <v>0.025</v>
      </c>
      <c r="G5" s="11" t="n">
        <f aca="false">1-(1-G4)^(1/4)</f>
        <v>0.025</v>
      </c>
      <c r="H5" s="11" t="n">
        <f aca="false">1-(1-H4)^(1/4)</f>
        <v>0.025</v>
      </c>
    </row>
    <row r="6" customFormat="false" ht="15" hidden="false" customHeight="false" outlineLevel="0" collapsed="false">
      <c r="A6" s="2" t="s">
        <v>254</v>
      </c>
      <c r="B6" s="11" t="n">
        <f aca="false">-LN(1-B4)</f>
        <v>0.10127123193716</v>
      </c>
      <c r="C6" s="11" t="n">
        <f aca="false">-LN(1-C4)</f>
        <v>0.0618754037180875</v>
      </c>
      <c r="D6" s="11" t="n">
        <f aca="false">-LN(1-D4)</f>
        <v>0.116533816255952</v>
      </c>
      <c r="E6" s="11" t="n">
        <f aca="false">-LN(1-E4)</f>
        <v>0.10127123193716</v>
      </c>
      <c r="F6" s="11" t="n">
        <f aca="false">-LN(1-F4)</f>
        <v>0.10127123193716</v>
      </c>
      <c r="G6" s="11" t="n">
        <f aca="false">-LN(1-G4)</f>
        <v>0.10127123193716</v>
      </c>
      <c r="H6" s="11" t="n">
        <f aca="false">-LN(1-H4)</f>
        <v>0.10127123193716</v>
      </c>
    </row>
    <row r="7" customFormat="false" ht="15" hidden="false" customHeight="false" outlineLevel="0" collapsed="false">
      <c r="A7" s="2" t="s">
        <v>24</v>
      </c>
      <c r="B7" s="13" t="n">
        <f aca="false">Cap_q</f>
        <v>2.5</v>
      </c>
      <c r="C7" s="12" t="n">
        <v>2.5</v>
      </c>
      <c r="D7" s="12" t="n">
        <v>2.5</v>
      </c>
      <c r="E7" s="12" t="n">
        <v>2</v>
      </c>
      <c r="F7" s="13" t="n">
        <f aca="false">$B$7</f>
        <v>2.5</v>
      </c>
      <c r="G7" s="13" t="n">
        <f aca="false">$B$7</f>
        <v>2.5</v>
      </c>
      <c r="H7" s="13" t="n">
        <f aca="false">$B$7</f>
        <v>2.5</v>
      </c>
    </row>
    <row r="8" customFormat="false" ht="15" hidden="false" customHeight="false" outlineLevel="0" collapsed="false">
      <c r="A8" s="2" t="s">
        <v>255</v>
      </c>
      <c r="B8" s="13" t="n">
        <f aca="false">B7/B5</f>
        <v>99.9999999999999</v>
      </c>
      <c r="C8" s="13" t="n">
        <f aca="false">C7/C5</f>
        <v>162.868329784554</v>
      </c>
      <c r="D8" s="13" t="n">
        <f aca="false">D7/D5</f>
        <v>87.0680707519631</v>
      </c>
      <c r="E8" s="13" t="n">
        <f aca="false">E7/E5</f>
        <v>79.9999999999999</v>
      </c>
      <c r="F8" s="13" t="n">
        <f aca="false">F7/F5</f>
        <v>99.9999999999999</v>
      </c>
      <c r="G8" s="13" t="n">
        <f aca="false">G7/G5</f>
        <v>99.9999999999999</v>
      </c>
      <c r="H8" s="13" t="n">
        <f aca="false">H7/H5</f>
        <v>99.9999999999999</v>
      </c>
    </row>
    <row r="9" customFormat="false" ht="15" hidden="false" customHeight="false" outlineLevel="0" collapsed="false">
      <c r="A9" s="2" t="s">
        <v>256</v>
      </c>
      <c r="B9" s="14" t="n">
        <f aca="false">B8*B6</f>
        <v>10.127123193716</v>
      </c>
      <c r="C9" s="14" t="n">
        <f aca="false">C8*C6</f>
        <v>10.0775436583099</v>
      </c>
      <c r="D9" s="14" t="n">
        <f aca="false">D8*D6</f>
        <v>10.1463745587695</v>
      </c>
      <c r="E9" s="14" t="n">
        <f aca="false">E8*E6</f>
        <v>8.10169855497276</v>
      </c>
      <c r="F9" s="14" t="n">
        <f aca="false">F8*F6</f>
        <v>10.127123193716</v>
      </c>
      <c r="G9" s="14" t="n">
        <f aca="false">G8*G6</f>
        <v>10.127123193716</v>
      </c>
      <c r="H9" s="14" t="n">
        <f aca="false">H8*H6</f>
        <v>10.127123193716</v>
      </c>
    </row>
    <row r="10" customFormat="false" ht="15" hidden="false" customHeight="false" outlineLevel="0" collapsed="false">
      <c r="A10" s="2" t="s">
        <v>34</v>
      </c>
      <c r="B10" s="13" t="n">
        <f aca="false">Delay_q</f>
        <v>8</v>
      </c>
      <c r="C10" s="13" t="n">
        <f aca="false">$B$10</f>
        <v>8</v>
      </c>
      <c r="D10" s="13" t="n">
        <f aca="false">$B$10</f>
        <v>8</v>
      </c>
      <c r="E10" s="13" t="n">
        <f aca="false">$B$10</f>
        <v>8</v>
      </c>
      <c r="F10" s="12" t="n">
        <v>4</v>
      </c>
      <c r="G10" s="12" t="n">
        <v>16</v>
      </c>
      <c r="H10" s="13" t="n">
        <f aca="false">$B$10</f>
        <v>8</v>
      </c>
    </row>
    <row r="11" customFormat="false" ht="15" hidden="false" customHeight="false" outlineLevel="0" collapsed="false">
      <c r="A11" s="2" t="s">
        <v>257</v>
      </c>
      <c r="B11" s="13" t="n">
        <f aca="false">4*B10</f>
        <v>32</v>
      </c>
      <c r="C11" s="13" t="n">
        <f aca="false">4*C10</f>
        <v>32</v>
      </c>
      <c r="D11" s="13" t="n">
        <f aca="false">4*D10</f>
        <v>32</v>
      </c>
      <c r="E11" s="13" t="n">
        <f aca="false">4*E10</f>
        <v>32</v>
      </c>
      <c r="F11" s="13" t="n">
        <f aca="false">4*F10</f>
        <v>16</v>
      </c>
      <c r="G11" s="13" t="n">
        <f aca="false">4*G10</f>
        <v>64</v>
      </c>
      <c r="H11" s="13" t="n">
        <f aca="false">4*H10</f>
        <v>32</v>
      </c>
    </row>
    <row r="12" customFormat="false" ht="15" hidden="false" customHeight="false" outlineLevel="0" collapsed="false">
      <c r="A12" s="2" t="s">
        <v>258</v>
      </c>
      <c r="B12" s="13" t="n">
        <f aca="false">Floor_F</f>
        <v>55</v>
      </c>
      <c r="C12" s="13" t="n">
        <f aca="false">$B$12</f>
        <v>55</v>
      </c>
      <c r="D12" s="13" t="n">
        <f aca="false">$B$12</f>
        <v>55</v>
      </c>
      <c r="E12" s="13" t="n">
        <f aca="false">$B$12</f>
        <v>55</v>
      </c>
      <c r="F12" s="13" t="n">
        <f aca="false">$B$12</f>
        <v>55</v>
      </c>
      <c r="G12" s="13" t="n">
        <f aca="false">$B$12</f>
        <v>55</v>
      </c>
      <c r="H12" s="12" t="n">
        <v>60</v>
      </c>
    </row>
    <row r="13" customFormat="false" ht="15" hidden="false" customHeight="false" outlineLevel="0" collapsed="false">
      <c r="A13" s="2" t="s">
        <v>259</v>
      </c>
      <c r="B13" s="13" t="n">
        <f aca="false">Cost_k</f>
        <v>4</v>
      </c>
      <c r="C13" s="13" t="n">
        <f aca="false">Cost_k</f>
        <v>4</v>
      </c>
      <c r="D13" s="13" t="n">
        <f aca="false">Cost_k</f>
        <v>4</v>
      </c>
      <c r="E13" s="13" t="n">
        <f aca="false">Cost_k</f>
        <v>4</v>
      </c>
      <c r="F13" s="13" t="n">
        <f aca="false">Cost_k</f>
        <v>4</v>
      </c>
      <c r="G13" s="13" t="n">
        <f aca="false">Cost_k</f>
        <v>4</v>
      </c>
      <c r="H13" s="13" t="n">
        <f aca="false">Cost_k</f>
        <v>4</v>
      </c>
    </row>
    <row r="14" customFormat="false" ht="15" hidden="false" customHeight="false" outlineLevel="0" collapsed="false">
      <c r="A14" s="2" t="s">
        <v>260</v>
      </c>
      <c r="B14" s="11" t="n">
        <f aca="false">Rho_a</f>
        <v>0.0953101798043249</v>
      </c>
      <c r="C14" s="11" t="n">
        <f aca="false">Rho_a</f>
        <v>0.0953101798043249</v>
      </c>
      <c r="D14" s="11" t="n">
        <f aca="false">Rho_a</f>
        <v>0.0953101798043249</v>
      </c>
      <c r="E14" s="11" t="n">
        <f aca="false">Rho_a</f>
        <v>0.0953101798043249</v>
      </c>
      <c r="F14" s="11" t="n">
        <f aca="false">Rho_a</f>
        <v>0.0953101798043249</v>
      </c>
      <c r="G14" s="11" t="n">
        <f aca="false">Rho_a</f>
        <v>0.0953101798043249</v>
      </c>
      <c r="H14" s="11" t="n">
        <f aca="false">Rho_a</f>
        <v>0.0953101798043249</v>
      </c>
    </row>
    <row r="16" customFormat="false" ht="15" hidden="false" customHeight="false" outlineLevel="0" collapsed="false">
      <c r="A16" s="2" t="s">
        <v>261</v>
      </c>
      <c r="B16" s="13" t="n">
        <f aca="false">4*IF(C_gone&lt;B12,LN((B8-C_gone)/(B8-B12))/B6,0)</f>
        <v>1.71757017695695</v>
      </c>
      <c r="C16" s="13" t="n">
        <f aca="false">4*IF(C_gone&lt;C12,LN((C8-C_gone)/(C8-C12))/C6,0)</f>
        <v>1.18763392746466</v>
      </c>
      <c r="D16" s="13" t="n">
        <f aca="false">4*IF(C_gone&lt;D12,LN((D8-C_gone)/(D8-D12))/D6,0)</f>
        <v>2.07664183730524</v>
      </c>
      <c r="E16" s="13" t="n">
        <f aca="false">4*IF(C_gone&lt;E12,LN((E8-C_gone)/(E8-E12))/E6,0)</f>
        <v>3.03979875287324</v>
      </c>
      <c r="F16" s="13" t="n">
        <f aca="false">4*IF(C_gone&lt;F12,LN((F8-C_gone)/(F8-F12))/F6,0)</f>
        <v>1.71757017695695</v>
      </c>
      <c r="G16" s="13" t="n">
        <f aca="false">4*IF(C_gone&lt;G12,LN((G8-C_gone)/(G8-G12))/G6,0)</f>
        <v>1.71757017695695</v>
      </c>
      <c r="H16" s="13" t="n">
        <f aca="false">4*IF(C_gone&lt;H12,LN((H8-C_gone)/(H8-H12))/H6,0)</f>
        <v>6.36975158734879</v>
      </c>
    </row>
    <row r="17" customFormat="false" ht="15" hidden="false" customHeight="false" outlineLevel="0" collapsed="false">
      <c r="A17" s="2" t="s">
        <v>262</v>
      </c>
      <c r="B17" s="13" t="n">
        <f aca="false">4*IF(C_kept&gt;B12,LN(C_kept/B12)/B6,0)</f>
        <v>2.09772604906806</v>
      </c>
      <c r="C17" s="13" t="n">
        <f aca="false">4*IF(C_kept&gt;C12,LN(C_kept/C12)/C6,0)</f>
        <v>3.43334004289806</v>
      </c>
      <c r="D17" s="13" t="n">
        <f aca="false">4*IF(C_kept&gt;D12,LN(C_kept/D12)/D6,0)</f>
        <v>1.82298416100266</v>
      </c>
      <c r="E17" s="13" t="n">
        <f aca="false">4*IF(C_kept&gt;E12,LN(C_kept/E12)/E6,0)</f>
        <v>2.09772604906806</v>
      </c>
      <c r="F17" s="13" t="n">
        <f aca="false">4*IF(C_kept&gt;F12,LN(C_kept/F12)/F6,0)</f>
        <v>2.09772604906806</v>
      </c>
      <c r="G17" s="13" t="n">
        <f aca="false">4*IF(C_kept&gt;G12,LN(C_kept/G12)/G6,0)</f>
        <v>2.09772604906806</v>
      </c>
      <c r="H17" s="13" t="n">
        <f aca="false">4*IF(C_kept&gt;H12,LN(C_kept/H12)/H6,0)</f>
        <v>0</v>
      </c>
    </row>
    <row r="18" customFormat="false" ht="15" hidden="false" customHeight="false" outlineLevel="0" collapsed="false">
      <c r="A18" s="2" t="s">
        <v>263</v>
      </c>
      <c r="B18" s="15" t="n">
        <f aca="false">IF(C_gone&lt;B12,-(B13*B9+B11)*(1-EXP(-B14*LN((B8-C_gone)/(B8-B12))/B6))/B14+EXP(-B14*LN((B8-C_gone)/(B8-B12))/B6)*(-B13*B6*B12/B14),EXP(-B14*LN(C_gone/B12)/B6)*(-B13*B6*B12/B14))</f>
        <v>-254.892119102206</v>
      </c>
      <c r="C18" s="15" t="n">
        <f aca="false">IF(C_gone&lt;C12,-(C13*C9+C11)*(1-EXP(-C14*LN((C8-C_gone)/(C8-C12))/C6))/C14+EXP(-C14*LN((C8-C_gone)/(C8-C12))/C6)*(-C13*C6*C12/C14),EXP(-C14*LN(C_gone/C12)/C6)*(-C13*C6*C12/C14))</f>
        <v>-160.007611933054</v>
      </c>
      <c r="D18" s="15" t="n">
        <f aca="false">IF(C_gone&lt;D12,-(D13*D9+D11)*(1-EXP(-D14*LN((D8-C_gone)/(D8-D12))/D6))/D14+EXP(-D14*LN((D8-C_gone)/(D8-D12))/D6)*(-D13*D6*D12/D14),EXP(-D14*LN(C_gone/D12)/D6)*(-D13*D6*D12/D14))</f>
        <v>-292.769902704082</v>
      </c>
      <c r="E18" s="15" t="n">
        <f aca="false">IF(C_gone&lt;E12,-(E13*E9+E11)*(1-EXP(-E14*LN((E8-C_gone)/(E8-E12))/E6))/E14+EXP(-E14*LN((E8-C_gone)/(E8-E12))/E6)*(-E13*E6*E12/E14),EXP(-E14*LN(C_gone/E12)/E6)*(-E13*E6*E12/E14))</f>
        <v>-264.642183099964</v>
      </c>
      <c r="F18" s="15" t="n">
        <f aca="false">IF(C_gone&lt;F12,-(F13*F9+F11)*(1-EXP(-F14*LN((F8-C_gone)/(F8-F12))/F6))/F14+EXP(-F14*LN((F8-C_gone)/(F8-F12))/F6)*(-F13*F6*F12/F14),EXP(-F14*LN(C_gone/F12)/F6)*(-F13*F6*F12/F14))</f>
        <v>-248.160524793734</v>
      </c>
      <c r="G18" s="15" t="n">
        <f aca="false">IF(C_gone&lt;G12,-(G13*G9+G11)*(1-EXP(-G14*LN((G8-C_gone)/(G8-G12))/G6))/G14+EXP(-G14*LN((G8-C_gone)/(G8-G12))/G6)*(-G13*G6*G12/G14),EXP(-G14*LN(C_gone/G12)/G6)*(-G13*G6*G12/G14))</f>
        <v>-268.35530771915</v>
      </c>
      <c r="H18" s="15" t="n">
        <f aca="false">IF(C_gone&lt;H12,-(H13*H9+H11)*(1-EXP(-H14*LN((H8-C_gone)/(H8-H12))/H6))/H14+EXP(-H14*LN((H8-C_gone)/(H8-H12))/H6)*(-H13*H6*H12/H14),EXP(-H14*LN(C_gone/H12)/H6)*(-H13*H6*H12/H14))</f>
        <v>-326.230048618732</v>
      </c>
    </row>
    <row r="19" customFormat="false" ht="15" hidden="false" customHeight="false" outlineLevel="0" collapsed="false">
      <c r="A19" s="2" t="s">
        <v>264</v>
      </c>
      <c r="B19" s="15" t="n">
        <f aca="false">IF(C_kept&lt;B12,-(B13*B9+B11)*(1-EXP(-B14*LN((B8-C_kept)/(B8-B12))/B6))/B14+EXP(-B14*LN((B8-C_kept)/(B8-B12))/B6)*(-B13*B6*B12/B14),EXP(-B14*LN(C_kept/B12)/B6)*(-B13*B6*B12/B14))</f>
        <v>-222.362657933191</v>
      </c>
      <c r="C19" s="15" t="n">
        <f aca="false">IF(C_kept&lt;C12,-(C13*C9+C11)*(1-EXP(-C14*LN((C8-C_kept)/(C8-C12))/C6))/C14+EXP(-C14*LN((C8-C_kept)/(C8-C12))/C6)*(-C13*C6*C12/C14),EXP(-C14*LN(C_kept/C12)/C6)*(-C13*C6*C12/C14))</f>
        <v>-131.605077935572</v>
      </c>
      <c r="D19" s="15" t="n">
        <f aca="false">IF(C_kept&lt;D12,-(D13*D9+D11)*(1-EXP(-D14*LN((D8-C_kept)/(D8-D12))/D6))/D14+EXP(-D14*LN((D8-C_kept)/(D8-D12))/D6)*(-D13*D6*D12/D14),EXP(-D14*LN(C_kept/D12)/D6)*(-D13*D6*D12/D14))</f>
        <v>-257.555488193489</v>
      </c>
      <c r="E19" s="15" t="n">
        <f aca="false">IF(C_kept&lt;E12,-(E13*E9+E11)*(1-EXP(-E14*LN((E8-C_kept)/(E8-E12))/E6))/E14+EXP(-E14*LN((E8-C_kept)/(E8-E12))/E6)*(-E13*E6*E12/E14),EXP(-E14*LN(C_kept/E12)/E6)*(-E13*E6*E12/E14))</f>
        <v>-222.362657933191</v>
      </c>
      <c r="F19" s="15" t="n">
        <f aca="false">IF(C_kept&lt;F12,-(F13*F9+F11)*(1-EXP(-F14*LN((F8-C_kept)/(F8-F12))/F6))/F14+EXP(-F14*LN((F8-C_kept)/(F8-F12))/F6)*(-F13*F6*F12/F14),EXP(-F14*LN(C_kept/F12)/F6)*(-F13*F6*F12/F14))</f>
        <v>-222.362657933191</v>
      </c>
      <c r="G19" s="15" t="n">
        <f aca="false">IF(C_kept&lt;G12,-(G13*G9+G11)*(1-EXP(-G14*LN((G8-C_kept)/(G8-G12))/G6))/G14+EXP(-G14*LN((G8-C_kept)/(G8-G12))/G6)*(-G13*G6*G12/G14),EXP(-G14*LN(C_kept/G12)/G6)*(-G13*G6*G12/G14))</f>
        <v>-222.362657933191</v>
      </c>
      <c r="H19" s="15" t="n">
        <f aca="false">IF(C_kept&lt;H12,-(H13*H9+H11)*(1-EXP(-H14*LN((H8-C_kept)/(H8-H12))/H6))/H14+EXP(-H14*LN((H8-C_kept)/(H8-H12))/H6)*(-H13*H6*H12/H14),EXP(-H14*LN(C_kept/H12)/H6)*(-H13*H6*H12/H14))</f>
        <v>-277.708666229297</v>
      </c>
    </row>
    <row r="20" customFormat="false" ht="15" hidden="false" customHeight="false" outlineLevel="0" collapsed="false">
      <c r="A20" s="4" t="s">
        <v>98</v>
      </c>
      <c r="B20" s="13" t="n">
        <f aca="false">B19-B18</f>
        <v>32.5294611690156</v>
      </c>
      <c r="C20" s="13" t="n">
        <f aca="false">C19-C18</f>
        <v>28.4025339974826</v>
      </c>
      <c r="D20" s="13" t="n">
        <f aca="false">D19-D18</f>
        <v>35.2144145105931</v>
      </c>
      <c r="E20" s="13" t="n">
        <f aca="false">E19-E18</f>
        <v>42.279525166773</v>
      </c>
      <c r="F20" s="13" t="n">
        <f aca="false">F19-F18</f>
        <v>25.7978668605434</v>
      </c>
      <c r="G20" s="13" t="n">
        <f aca="false">G19-G18</f>
        <v>45.9926497859599</v>
      </c>
      <c r="H20" s="13" t="n">
        <f aca="false">H19-H18</f>
        <v>48.5213823894354</v>
      </c>
    </row>
    <row r="21" customFormat="false" ht="15" hidden="false" customHeight="false" outlineLevel="0" collapsed="false">
      <c r="A21" s="2" t="s">
        <v>265</v>
      </c>
      <c r="B21" s="13" t="n">
        <f aca="false">IF(C_gone&lt;B12,EXP(-B14*LN((B8-C_gone)/(B8-B12))/B6)*(B13*B9+B11+B14*(-B13*B6*B12/B14))/(B9-B6*C_gone),IF(C_gone=B12,B13,EXP(-B14*LN(C_gone/B12)/B6)*(-B14*(-B13*B6*B12/B14))/(B6*C_gone)))</f>
        <v>10.129670746202</v>
      </c>
      <c r="C21" s="13" t="n">
        <f aca="false">IF(C_gone&lt;C12,EXP(-C14*LN((C8-C_gone)/(C8-C12))/C6)*(C13*C9+C11+C14*(-C13*C6*C12/C14))/(C9-C6*C_gone),IF(C_gone=C12,C13,EXP(-C14*LN(C_gone/C12)/C6)*(-C14*(-C13*C6*C12/C14))/(C6*C_gone)))</f>
        <v>8.39343694348525</v>
      </c>
      <c r="D21" s="13" t="n">
        <f aca="false">IF(C_gone&lt;D12,EXP(-D14*LN((D8-C_gone)/(D8-D12))/D6)*(D13*D9+D11+D14*(-D13*D6*D12/D14))/(D9-D6*C_gone),IF(C_gone=D12,D13,EXP(-D14*LN(C_gone/D12)/D6)*(-D14*(-D13*D6*D12/D14))/(D6*C_gone)))</f>
        <v>11.2545642186119</v>
      </c>
      <c r="E21" s="13" t="n">
        <f aca="false">IF(C_gone&lt;E12,EXP(-E14*LN((E8-C_gone)/(E8-E12))/E6)*(E13*E9+E11+E14*(-E13*E6*E12/E14))/(E9-E6*C_gone),IF(C_gone=E12,E13,EXP(-E14*LN(C_gone/E12)/E6)*(-E14*(-E13*E6*E12/E14))/(E6*C_gone)))</f>
        <v>14.3303100642963</v>
      </c>
      <c r="F21" s="13" t="n">
        <f aca="false">IF(C_gone&lt;F12,EXP(-F14*LN((F8-C_gone)/(F8-F12))/F6)*(F13*F9+F11+F14*(-F13*F6*F12/F14))/(F9-F6*C_gone),IF(C_gone=F12,F13,EXP(-F14*LN(C_gone/F12)/F6)*(-F14*(-F13*F6*F12/F14))/(F6*C_gone)))</f>
        <v>6.90294301704792</v>
      </c>
      <c r="G21" s="13" t="n">
        <f aca="false">IF(C_gone&lt;G12,EXP(-G14*LN((G8-C_gone)/(G8-G12))/G6)*(G13*G9+G11+G14*(-G13*G6*G12/G14))/(G9-G6*C_gone),IF(C_gone=G12,G13,EXP(-G14*LN(C_gone/G12)/G6)*(-G14*(-G13*G6*G12/G14))/(G6*C_gone)))</f>
        <v>16.5831262045102</v>
      </c>
      <c r="H21" s="13" t="n">
        <f aca="false">IF(C_gone&lt;H12,EXP(-H14*LN((H8-C_gone)/(H8-H12))/H6)*(H13*H9+H11+H14*(-H13*H6*H12/H14))/(H9-H6*C_gone),IF(C_gone=H12,H13,EXP(-H14*LN(C_gone/H12)/H6)*(-H14*(-H13*H6*H12/H14))/(H6*C_gone)))</f>
        <v>8.7011852401538</v>
      </c>
    </row>
    <row r="22" customFormat="false" ht="15" hidden="false" customHeight="false" outlineLevel="0" collapsed="false">
      <c r="A22" s="2" t="s">
        <v>266</v>
      </c>
      <c r="B22" s="13" t="n">
        <f aca="false">4*IF(C_kept&lt;B12,LN((B8-C_kept)/(B8-B12))/B6,0)</f>
        <v>0</v>
      </c>
      <c r="C22" s="13" t="n">
        <f aca="false">4*IF(C_kept&lt;C12,LN((C8-C_kept)/(C8-C12))/C6,0)</f>
        <v>0</v>
      </c>
      <c r="D22" s="13" t="n">
        <f aca="false">4*IF(C_kept&lt;D12,LN((D8-C_kept)/(D8-D12))/D6,0)</f>
        <v>0</v>
      </c>
      <c r="E22" s="13" t="n">
        <f aca="false">4*IF(C_kept&lt;E12,LN((E8-C_kept)/(E8-E12))/E6,0)</f>
        <v>0</v>
      </c>
      <c r="F22" s="13" t="n">
        <f aca="false">4*IF(C_kept&lt;F12,LN((F8-C_kept)/(F8-F12))/F6,0)</f>
        <v>0</v>
      </c>
      <c r="G22" s="13" t="n">
        <f aca="false">4*IF(C_kept&lt;G12,LN((G8-C_kept)/(G8-G12))/G6,0)</f>
        <v>0</v>
      </c>
      <c r="H22" s="13" t="n">
        <f aca="false">4*IF(C_kept&lt;H12,LN((H8-C_kept)/(H8-H12))/H6,0)</f>
        <v>1.92710854745826</v>
      </c>
    </row>
    <row r="24" customFormat="false" ht="15" hidden="false" customHeight="false" outlineLevel="0" collapsed="false">
      <c r="A24" s="2" t="s">
        <v>267</v>
      </c>
      <c r="B24" s="22" t="n">
        <f aca="false">COUNTIF(B20:H20,"&lt;20")</f>
        <v>0</v>
      </c>
    </row>
    <row r="25" customFormat="false" ht="15" hidden="false" customHeight="false" outlineLevel="0" collapsed="false">
      <c r="A25" s="2" t="s">
        <v>268</v>
      </c>
      <c r="B25" s="22" t="n">
        <f aca="false">COUNTIF(B20:H20,"&lt;30")</f>
        <v>2</v>
      </c>
    </row>
    <row r="26" customFormat="false" ht="15" hidden="false" customHeight="false" outlineLevel="0" collapsed="false">
      <c r="A26" s="2" t="s">
        <v>269</v>
      </c>
      <c r="B26" s="15" t="n">
        <f aca="false">5*Eta_floor</f>
        <v>3.93162823482969</v>
      </c>
    </row>
    <row r="28" customFormat="false" ht="15" hidden="false" customHeight="false" outlineLevel="0" collapsed="false">
      <c r="A28" s="10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10" t="s">
        <v>272</v>
      </c>
    </row>
    <row r="3" customFormat="false" ht="15" hidden="false" customHeight="false" outlineLevel="0" collapsed="false">
      <c r="A3" s="8" t="s">
        <v>245</v>
      </c>
      <c r="B3" s="8" t="s">
        <v>18</v>
      </c>
      <c r="D3" s="8" t="s">
        <v>273</v>
      </c>
      <c r="E3" s="8" t="s">
        <v>18</v>
      </c>
    </row>
    <row r="4" customFormat="false" ht="15" hidden="false" customHeight="false" outlineLevel="0" collapsed="false">
      <c r="A4" s="2" t="s">
        <v>274</v>
      </c>
      <c r="B4" s="12" t="n">
        <v>1</v>
      </c>
      <c r="D4" s="2" t="s">
        <v>275</v>
      </c>
      <c r="E4" s="12" t="n">
        <v>60</v>
      </c>
    </row>
    <row r="5" customFormat="false" ht="15" hidden="false" customHeight="false" outlineLevel="0" collapsed="false">
      <c r="A5" s="2" t="s">
        <v>276</v>
      </c>
      <c r="B5" s="12" t="n">
        <v>0.1</v>
      </c>
      <c r="D5" s="2" t="s">
        <v>277</v>
      </c>
      <c r="E5" s="12" t="n">
        <v>12</v>
      </c>
    </row>
    <row r="6" customFormat="false" ht="15" hidden="false" customHeight="false" outlineLevel="0" collapsed="false">
      <c r="A6" s="2" t="s">
        <v>278</v>
      </c>
      <c r="B6" s="12" t="n">
        <v>0.08</v>
      </c>
      <c r="D6" s="2" t="s">
        <v>279</v>
      </c>
      <c r="E6" s="12" t="n">
        <v>0.1</v>
      </c>
    </row>
    <row r="7" customFormat="false" ht="15" hidden="false" customHeight="false" outlineLevel="0" collapsed="false">
      <c r="A7" s="2" t="s">
        <v>280</v>
      </c>
      <c r="B7" s="12" t="n">
        <v>8</v>
      </c>
    </row>
    <row r="8" customFormat="false" ht="15" hidden="false" customHeight="false" outlineLevel="0" collapsed="false">
      <c r="A8" s="2" t="s">
        <v>281</v>
      </c>
      <c r="B8" s="12" t="n">
        <v>3</v>
      </c>
      <c r="D8" s="2" t="s">
        <v>282</v>
      </c>
      <c r="E8" s="13" t="n">
        <f aca="false">LN((E5/E6-35)/(E5/E6-E4))/E6</f>
        <v>3.48306694268216</v>
      </c>
    </row>
    <row r="9" customFormat="false" ht="15" hidden="false" customHeight="false" outlineLevel="0" collapsed="false">
      <c r="A9" s="2" t="s">
        <v>283</v>
      </c>
      <c r="B9" s="12" t="n">
        <v>1</v>
      </c>
      <c r="D9" s="2" t="s">
        <v>284</v>
      </c>
      <c r="E9" s="13" t="n">
        <f aca="false">LN(75/E4)/E6</f>
        <v>2.2314355131421</v>
      </c>
    </row>
    <row r="10" customFormat="false" ht="15" hidden="false" customHeight="false" outlineLevel="0" collapsed="false">
      <c r="A10" s="2" t="s">
        <v>285</v>
      </c>
      <c r="B10" s="12" t="n">
        <v>4</v>
      </c>
      <c r="D10" s="2" t="s">
        <v>286</v>
      </c>
      <c r="E10" s="13" t="n">
        <f aca="false">E6*E4</f>
        <v>6</v>
      </c>
    </row>
    <row r="12" customFormat="false" ht="15" hidden="false" customHeight="false" outlineLevel="0" collapsed="false">
      <c r="A12" s="2" t="s">
        <v>287</v>
      </c>
      <c r="B12" s="14" t="n">
        <f aca="false">B4/(B5+B6)*(1-EXP(-(B5+B6)*B7))</f>
        <v>4.23929022954377</v>
      </c>
    </row>
    <row r="13" customFormat="false" ht="15" hidden="false" customHeight="false" outlineLevel="0" collapsed="false">
      <c r="A13" s="2" t="s">
        <v>288</v>
      </c>
      <c r="B13" s="14" t="n">
        <f aca="false">B7+LN(1-B8*(B5+B6)/B4)/(B5+B6)</f>
        <v>3.68595116945002</v>
      </c>
    </row>
    <row r="14" customFormat="false" ht="15" hidden="false" customHeight="false" outlineLevel="0" collapsed="false">
      <c r="A14" s="2" t="s">
        <v>289</v>
      </c>
      <c r="B14" s="14" t="n">
        <f aca="false">(B12-B8)/B10</f>
        <v>0.309822557385942</v>
      </c>
    </row>
    <row r="15" customFormat="false" ht="15" hidden="false" customHeight="false" outlineLevel="0" collapsed="false">
      <c r="A15" s="2" t="s">
        <v>290</v>
      </c>
      <c r="B15" s="11" t="n">
        <f aca="false">B4*SUMPRODUCT(I20:I100,J20:J100)</f>
        <v>4.23929023201603</v>
      </c>
    </row>
    <row r="16" customFormat="false" ht="15" hidden="false" customHeight="false" outlineLevel="0" collapsed="false">
      <c r="A16" s="2" t="s">
        <v>291</v>
      </c>
      <c r="B16" s="22" t="n">
        <f aca="false">SUMPRODUCT(--(G21:G100&lt;&gt;G20:G99))</f>
        <v>1</v>
      </c>
    </row>
    <row r="19" customFormat="false" ht="23.85" hidden="false" customHeight="false" outlineLevel="0" collapsed="false">
      <c r="D19" s="8" t="s">
        <v>54</v>
      </c>
      <c r="E19" s="8" t="s">
        <v>292</v>
      </c>
      <c r="F19" s="8" t="s">
        <v>293</v>
      </c>
      <c r="G19" s="8" t="s">
        <v>294</v>
      </c>
      <c r="H19" s="8" t="s">
        <v>295</v>
      </c>
      <c r="I19" s="8" t="s">
        <v>296</v>
      </c>
      <c r="J19" s="8" t="s">
        <v>297</v>
      </c>
    </row>
    <row r="20" customFormat="false" ht="15" hidden="false" customHeight="false" outlineLevel="0" collapsed="false">
      <c r="D20" s="16" t="n">
        <v>0</v>
      </c>
      <c r="E20" s="14" t="n">
        <f aca="false">$B$4/($B$5+$B$6)*(1-EXP(-($B$5+$B$6)*($B$7-D20)))</f>
        <v>4.23929022954377</v>
      </c>
      <c r="F20" s="14" t="n">
        <f aca="false">E20-$B$8</f>
        <v>1.23929022954377</v>
      </c>
      <c r="G20" s="13" t="n">
        <f aca="false">IF(F20&gt;0,$B$9,0)</f>
        <v>1</v>
      </c>
      <c r="H20" s="14" t="n">
        <f aca="false">MAX(0,F20/$B$10)</f>
        <v>0.309822557385942</v>
      </c>
      <c r="I20" s="11" t="n">
        <f aca="false">EXP(-($B$5+$B$6)*D20)</f>
        <v>1</v>
      </c>
      <c r="J20" s="11" t="n">
        <f aca="false">1*0.1/3</f>
        <v>0.0333333333333333</v>
      </c>
    </row>
    <row r="21" customFormat="false" ht="15" hidden="false" customHeight="false" outlineLevel="0" collapsed="false">
      <c r="D21" s="16" t="n">
        <v>0.1</v>
      </c>
      <c r="E21" s="14" t="n">
        <f aca="false">$B$4/($B$5+$B$6)*(1-EXP(-($B$5+$B$6)*($B$7-D21)))</f>
        <v>4.21538293350471</v>
      </c>
      <c r="F21" s="14" t="n">
        <f aca="false">E21-$B$8</f>
        <v>1.21538293350471</v>
      </c>
      <c r="G21" s="13" t="n">
        <f aca="false">IF(F21&gt;0,$B$9,0)</f>
        <v>1</v>
      </c>
      <c r="H21" s="14" t="n">
        <f aca="false">MAX(0,F21/$B$10)</f>
        <v>0.303845733376178</v>
      </c>
      <c r="I21" s="11" t="n">
        <f aca="false">EXP(-($B$5+$B$6)*D21)</f>
        <v>0.982161032358301</v>
      </c>
      <c r="J21" s="11" t="n">
        <f aca="false">4*0.1/3</f>
        <v>0.133333333333333</v>
      </c>
    </row>
    <row r="22" customFormat="false" ht="15" hidden="false" customHeight="false" outlineLevel="0" collapsed="false">
      <c r="D22" s="16" t="n">
        <v>0.2</v>
      </c>
      <c r="E22" s="14" t="n">
        <f aca="false">$B$4/($B$5+$B$6)*(1-EXP(-($B$5+$B$6)*($B$7-D22)))</f>
        <v>4.19104140981215</v>
      </c>
      <c r="F22" s="14" t="n">
        <f aca="false">E22-$B$8</f>
        <v>1.19104140981215</v>
      </c>
      <c r="G22" s="13" t="n">
        <f aca="false">IF(F22&gt;0,$B$9,0)</f>
        <v>1</v>
      </c>
      <c r="H22" s="14" t="n">
        <f aca="false">MAX(0,F22/$B$10)</f>
        <v>0.297760352453039</v>
      </c>
      <c r="I22" s="11" t="n">
        <f aca="false">EXP(-($B$5+$B$6)*D22)</f>
        <v>0.964640293483123</v>
      </c>
      <c r="J22" s="11" t="n">
        <f aca="false">2*0.1/3</f>
        <v>0.0666666666666667</v>
      </c>
    </row>
    <row r="23" customFormat="false" ht="15" hidden="false" customHeight="false" outlineLevel="0" collapsed="false">
      <c r="D23" s="16" t="n">
        <v>0.3</v>
      </c>
      <c r="E23" s="14" t="n">
        <f aca="false">$B$4/($B$5+$B$6)*(1-EXP(-($B$5+$B$6)*($B$7-D23)))</f>
        <v>4.16625777159948</v>
      </c>
      <c r="F23" s="14" t="n">
        <f aca="false">E23-$B$8</f>
        <v>1.16625777159948</v>
      </c>
      <c r="G23" s="13" t="n">
        <f aca="false">IF(F23&gt;0,$B$9,0)</f>
        <v>1</v>
      </c>
      <c r="H23" s="14" t="n">
        <f aca="false">MAX(0,F23/$B$10)</f>
        <v>0.291564442899869</v>
      </c>
      <c r="I23" s="11" t="n">
        <f aca="false">EXP(-($B$5+$B$6)*D23)</f>
        <v>0.947432106501798</v>
      </c>
      <c r="J23" s="11" t="n">
        <f aca="false">4*0.1/3</f>
        <v>0.133333333333333</v>
      </c>
    </row>
    <row r="24" customFormat="false" ht="15" hidden="false" customHeight="false" outlineLevel="0" collapsed="false">
      <c r="D24" s="16" t="n">
        <v>0.4</v>
      </c>
      <c r="E24" s="14" t="n">
        <f aca="false">$B$4/($B$5+$B$6)*(1-EXP(-($B$5+$B$6)*($B$7-D24)))</f>
        <v>4.14102398875109</v>
      </c>
      <c r="F24" s="14" t="n">
        <f aca="false">E24-$B$8</f>
        <v>1.14102398875109</v>
      </c>
      <c r="G24" s="13" t="n">
        <f aca="false">IF(F24&gt;0,$B$9,0)</f>
        <v>1</v>
      </c>
      <c r="H24" s="14" t="n">
        <f aca="false">MAX(0,F24/$B$10)</f>
        <v>0.285255997187772</v>
      </c>
      <c r="I24" s="11" t="n">
        <f aca="false">EXP(-($B$5+$B$6)*D24)</f>
        <v>0.930530895811206</v>
      </c>
      <c r="J24" s="11" t="n">
        <f aca="false">2*0.1/3</f>
        <v>0.0666666666666667</v>
      </c>
    </row>
    <row r="25" customFormat="false" ht="15" hidden="false" customHeight="false" outlineLevel="0" collapsed="false">
      <c r="D25" s="16" t="n">
        <v>0.5</v>
      </c>
      <c r="E25" s="14" t="n">
        <f aca="false">$B$4/($B$5+$B$6)*(1-EXP(-($B$5+$B$6)*($B$7-D25)))</f>
        <v>4.1153318853006</v>
      </c>
      <c r="F25" s="14" t="n">
        <f aca="false">E25-$B$8</f>
        <v>1.1153318853006</v>
      </c>
      <c r="G25" s="13" t="n">
        <f aca="false">IF(F25&gt;0,$B$9,0)</f>
        <v>1</v>
      </c>
      <c r="H25" s="14" t="n">
        <f aca="false">MAX(0,F25/$B$10)</f>
        <v>0.278832971325151</v>
      </c>
      <c r="I25" s="11" t="n">
        <f aca="false">EXP(-($B$5+$B$6)*D25)</f>
        <v>0.913931185271228</v>
      </c>
      <c r="J25" s="11" t="n">
        <f aca="false">4*0.1/3</f>
        <v>0.133333333333333</v>
      </c>
    </row>
    <row r="26" customFormat="false" ht="15" hidden="false" customHeight="false" outlineLevel="0" collapsed="false">
      <c r="D26" s="16" t="n">
        <v>0.6</v>
      </c>
      <c r="E26" s="14" t="n">
        <f aca="false">$B$4/($B$5+$B$6)*(1-EXP(-($B$5+$B$6)*($B$7-D26)))</f>
        <v>4.08917313678174</v>
      </c>
      <c r="F26" s="14" t="n">
        <f aca="false">E26-$B$8</f>
        <v>1.08917313678174</v>
      </c>
      <c r="G26" s="13" t="n">
        <f aca="false">IF(F26&gt;0,$B$9,0)</f>
        <v>1</v>
      </c>
      <c r="H26" s="14" t="n">
        <f aca="false">MAX(0,F26/$B$10)</f>
        <v>0.272293284195435</v>
      </c>
      <c r="I26" s="11" t="n">
        <f aca="false">EXP(-($B$5+$B$6)*D26)</f>
        <v>0.897627596430435</v>
      </c>
      <c r="J26" s="11" t="n">
        <f aca="false">2*0.1/3</f>
        <v>0.0666666666666667</v>
      </c>
    </row>
    <row r="27" customFormat="false" ht="15" hidden="false" customHeight="false" outlineLevel="0" collapsed="false">
      <c r="D27" s="16" t="n">
        <v>0.7</v>
      </c>
      <c r="E27" s="14" t="n">
        <f aca="false">$B$4/($B$5+$B$6)*(1-EXP(-($B$5+$B$6)*($B$7-D27)))</f>
        <v>4.06253926753114</v>
      </c>
      <c r="F27" s="14" t="n">
        <f aca="false">E27-$B$8</f>
        <v>1.06253926753114</v>
      </c>
      <c r="G27" s="13" t="n">
        <f aca="false">IF(F27&gt;0,$B$9,0)</f>
        <v>1</v>
      </c>
      <c r="H27" s="14" t="n">
        <f aca="false">MAX(0,F27/$B$10)</f>
        <v>0.265634816882786</v>
      </c>
      <c r="I27" s="11" t="n">
        <f aca="false">EXP(-($B$5+$B$6)*D27)</f>
        <v>0.881614846783416</v>
      </c>
      <c r="J27" s="11" t="n">
        <f aca="false">4*0.1/3</f>
        <v>0.133333333333333</v>
      </c>
    </row>
    <row r="28" customFormat="false" ht="15" hidden="false" customHeight="false" outlineLevel="0" collapsed="false">
      <c r="D28" s="16" t="n">
        <v>0.8</v>
      </c>
      <c r="E28" s="14" t="n">
        <f aca="false">$B$4/($B$5+$B$6)*(1-EXP(-($B$5+$B$6)*($B$7-D28)))</f>
        <v>4.03542164794218</v>
      </c>
      <c r="F28" s="14" t="n">
        <f aca="false">E28-$B$8</f>
        <v>1.03542164794218</v>
      </c>
      <c r="G28" s="13" t="n">
        <f aca="false">IF(F28&gt;0,$B$9,0)</f>
        <v>1</v>
      </c>
      <c r="H28" s="14" t="n">
        <f aca="false">MAX(0,F28/$B$10)</f>
        <v>0.258855411985544</v>
      </c>
      <c r="I28" s="11" t="n">
        <f aca="false">EXP(-($B$5+$B$6)*D28)</f>
        <v>0.865887748059205</v>
      </c>
      <c r="J28" s="11" t="n">
        <f aca="false">2*0.1/3</f>
        <v>0.0666666666666667</v>
      </c>
    </row>
    <row r="29" customFormat="false" ht="15" hidden="false" customHeight="false" outlineLevel="0" collapsed="false">
      <c r="D29" s="16" t="n">
        <v>0.9</v>
      </c>
      <c r="E29" s="14" t="n">
        <f aca="false">$B$4/($B$5+$B$6)*(1-EXP(-($B$5+$B$6)*($B$7-D29)))</f>
        <v>4.00781149166887</v>
      </c>
      <c r="F29" s="14" t="n">
        <f aca="false">E29-$B$8</f>
        <v>1.00781149166887</v>
      </c>
      <c r="G29" s="13" t="n">
        <f aca="false">IF(F29&gt;0,$B$9,0)</f>
        <v>1</v>
      </c>
      <c r="H29" s="14" t="n">
        <f aca="false">MAX(0,F29/$B$10)</f>
        <v>0.251952872917218</v>
      </c>
      <c r="I29" s="11" t="n">
        <f aca="false">EXP(-($B$5+$B$6)*D29)</f>
        <v>0.850441204540233</v>
      </c>
      <c r="J29" s="11" t="n">
        <f aca="false">4*0.1/3</f>
        <v>0.133333333333333</v>
      </c>
    </row>
    <row r="30" customFormat="false" ht="15" hidden="false" customHeight="false" outlineLevel="0" collapsed="false">
      <c r="D30" s="16" t="n">
        <v>1</v>
      </c>
      <c r="E30" s="14" t="n">
        <f aca="false">$B$4/($B$5+$B$6)*(1-EXP(-($B$5+$B$6)*($B$7-D30)))</f>
        <v>3.97969985277905</v>
      </c>
      <c r="F30" s="14" t="n">
        <f aca="false">E30-$B$8</f>
        <v>0.979699852779053</v>
      </c>
      <c r="G30" s="13" t="n">
        <f aca="false">IF(F30&gt;0,$B$9,0)</f>
        <v>1</v>
      </c>
      <c r="H30" s="14" t="n">
        <f aca="false">MAX(0,F30/$B$10)</f>
        <v>0.244924963194763</v>
      </c>
      <c r="I30" s="11" t="n">
        <f aca="false">EXP(-($B$5+$B$6)*D30)</f>
        <v>0.835270211411272</v>
      </c>
      <c r="J30" s="11" t="n">
        <f aca="false">2*0.1/3</f>
        <v>0.0666666666666667</v>
      </c>
    </row>
    <row r="31" customFormat="false" ht="15" hidden="false" customHeight="false" outlineLevel="0" collapsed="false">
      <c r="D31" s="16" t="n">
        <v>1.1</v>
      </c>
      <c r="E31" s="14" t="n">
        <f aca="false">$B$4/($B$5+$B$6)*(1-EXP(-($B$5+$B$6)*($B$7-D31)))</f>
        <v>3.9510776228558</v>
      </c>
      <c r="F31" s="14" t="n">
        <f aca="false">E31-$B$8</f>
        <v>0.951077622855802</v>
      </c>
      <c r="G31" s="13" t="n">
        <f aca="false">IF(F31&gt;0,$B$9,0)</f>
        <v>1</v>
      </c>
      <c r="H31" s="14" t="n">
        <f aca="false">MAX(0,F31/$B$10)</f>
        <v>0.23776940571395</v>
      </c>
      <c r="I31" s="11" t="n">
        <f aca="false">EXP(-($B$5+$B$6)*D31)</f>
        <v>0.820369853137831</v>
      </c>
      <c r="J31" s="11" t="n">
        <f aca="false">4*0.1/3</f>
        <v>0.133333333333333</v>
      </c>
    </row>
    <row r="32" customFormat="false" ht="15" hidden="false" customHeight="false" outlineLevel="0" collapsed="false">
      <c r="D32" s="16" t="n">
        <v>1.2</v>
      </c>
      <c r="E32" s="14" t="n">
        <f aca="false">$B$4/($B$5+$B$6)*(1-EXP(-($B$5+$B$6)*($B$7-D32)))</f>
        <v>3.92193552804623</v>
      </c>
      <c r="F32" s="14" t="n">
        <f aca="false">E32-$B$8</f>
        <v>0.921935528046231</v>
      </c>
      <c r="G32" s="13" t="n">
        <f aca="false">IF(F32&gt;0,$B$9,0)</f>
        <v>1</v>
      </c>
      <c r="H32" s="14" t="n">
        <f aca="false">MAX(0,F32/$B$10)</f>
        <v>0.230483882011558</v>
      </c>
      <c r="I32" s="11" t="n">
        <f aca="false">EXP(-($B$5+$B$6)*D32)</f>
        <v>0.80573530187348</v>
      </c>
      <c r="J32" s="11" t="n">
        <f aca="false">2*0.1/3</f>
        <v>0.0666666666666667</v>
      </c>
    </row>
    <row r="33" customFormat="false" ht="15" hidden="false" customHeight="false" outlineLevel="0" collapsed="false">
      <c r="D33" s="16" t="n">
        <v>1.3</v>
      </c>
      <c r="E33" s="14" t="n">
        <f aca="false">$B$4/($B$5+$B$6)*(1-EXP(-($B$5+$B$6)*($B$7-D33)))</f>
        <v>3.89226412605669</v>
      </c>
      <c r="F33" s="14" t="n">
        <f aca="false">E33-$B$8</f>
        <v>0.892264126056685</v>
      </c>
      <c r="G33" s="13" t="n">
        <f aca="false">IF(F33&gt;0,$B$9,0)</f>
        <v>1</v>
      </c>
      <c r="H33" s="14" t="n">
        <f aca="false">MAX(0,F33/$B$10)</f>
        <v>0.223066031514171</v>
      </c>
      <c r="I33" s="11" t="n">
        <f aca="false">EXP(-($B$5+$B$6)*D33)</f>
        <v>0.791361815895584</v>
      </c>
      <c r="J33" s="11" t="n">
        <f aca="false">4*0.1/3</f>
        <v>0.133333333333333</v>
      </c>
    </row>
    <row r="34" customFormat="false" ht="15" hidden="false" customHeight="false" outlineLevel="0" collapsed="false">
      <c r="D34" s="16" t="n">
        <v>1.4</v>
      </c>
      <c r="E34" s="14" t="n">
        <f aca="false">$B$4/($B$5+$B$6)*(1-EXP(-($B$5+$B$6)*($B$7-D34)))</f>
        <v>3.86205380309335</v>
      </c>
      <c r="F34" s="14" t="n">
        <f aca="false">E34-$B$8</f>
        <v>0.862053803093351</v>
      </c>
      <c r="G34" s="13" t="n">
        <f aca="false">IF(F34&gt;0,$B$9,0)</f>
        <v>1</v>
      </c>
      <c r="H34" s="14" t="n">
        <f aca="false">MAX(0,F34/$B$10)</f>
        <v>0.215513450773338</v>
      </c>
      <c r="I34" s="11" t="n">
        <f aca="false">EXP(-($B$5+$B$6)*D34)</f>
        <v>0.777244738068946</v>
      </c>
      <c r="J34" s="11" t="n">
        <f aca="false">2*0.1/3</f>
        <v>0.0666666666666667</v>
      </c>
    </row>
    <row r="35" customFormat="false" ht="15" hidden="false" customHeight="false" outlineLevel="0" collapsed="false">
      <c r="D35" s="16" t="n">
        <v>1.5</v>
      </c>
      <c r="E35" s="14" t="n">
        <f aca="false">$B$4/($B$5+$B$6)*(1-EXP(-($B$5+$B$6)*($B$7-D35)))</f>
        <v>3.83129477074731</v>
      </c>
      <c r="F35" s="14" t="n">
        <f aca="false">E35-$B$8</f>
        <v>0.831294770747305</v>
      </c>
      <c r="G35" s="13" t="n">
        <f aca="false">IF(F35&gt;0,$B$9,0)</f>
        <v>1</v>
      </c>
      <c r="H35" s="14" t="n">
        <f aca="false">MAX(0,F35/$B$10)</f>
        <v>0.207823692686826</v>
      </c>
      <c r="I35" s="11" t="n">
        <f aca="false">EXP(-($B$5+$B$6)*D35)</f>
        <v>0.763379494336853</v>
      </c>
      <c r="J35" s="11" t="n">
        <f aca="false">4*0.1/3</f>
        <v>0.133333333333333</v>
      </c>
    </row>
    <row r="36" customFormat="false" ht="15" hidden="false" customHeight="false" outlineLevel="0" collapsed="false">
      <c r="D36" s="16" t="n">
        <v>1.6</v>
      </c>
      <c r="E36" s="14" t="n">
        <f aca="false">$B$4/($B$5+$B$6)*(1-EXP(-($B$5+$B$6)*($B$7-D36)))</f>
        <v>3.79997706282299</v>
      </c>
      <c r="F36" s="14" t="n">
        <f aca="false">E36-$B$8</f>
        <v>0.799977062822986</v>
      </c>
      <c r="G36" s="13" t="n">
        <f aca="false">IF(F36&gt;0,$B$9,0)</f>
        <v>1</v>
      </c>
      <c r="H36" s="14" t="n">
        <f aca="false">MAX(0,F36/$B$10)</f>
        <v>0.199994265705746</v>
      </c>
      <c r="I36" s="11" t="n">
        <f aca="false">EXP(-($B$5+$B$6)*D36)</f>
        <v>0.749761592239041</v>
      </c>
      <c r="J36" s="11" t="n">
        <f aca="false">2*0.1/3</f>
        <v>0.0666666666666667</v>
      </c>
    </row>
    <row r="37" customFormat="false" ht="15" hidden="false" customHeight="false" outlineLevel="0" collapsed="false">
      <c r="D37" s="16" t="n">
        <v>1.7</v>
      </c>
      <c r="E37" s="14" t="n">
        <f aca="false">$B$4/($B$5+$B$6)*(1-EXP(-($B$5+$B$6)*($B$7-D37)))</f>
        <v>3.76809053210905</v>
      </c>
      <c r="F37" s="14" t="n">
        <f aca="false">E37-$B$8</f>
        <v>0.768090532109055</v>
      </c>
      <c r="G37" s="13" t="n">
        <f aca="false">IF(F37&gt;0,$B$9,0)</f>
        <v>1</v>
      </c>
      <c r="H37" s="14" t="n">
        <f aca="false">MAX(0,F37/$B$10)</f>
        <v>0.192022633027264</v>
      </c>
      <c r="I37" s="11" t="n">
        <f aca="false">EXP(-($B$5+$B$6)*D37)</f>
        <v>0.7363866194561</v>
      </c>
      <c r="J37" s="11" t="n">
        <f aca="false">4*0.1/3</f>
        <v>0.133333333333333</v>
      </c>
    </row>
    <row r="38" customFormat="false" ht="15" hidden="false" customHeight="false" outlineLevel="0" collapsed="false">
      <c r="D38" s="16" t="n">
        <v>1.8</v>
      </c>
      <c r="E38" s="14" t="n">
        <f aca="false">$B$4/($B$5+$B$6)*(1-EXP(-($B$5+$B$6)*($B$7-D38)))</f>
        <v>3.73562484709061</v>
      </c>
      <c r="F38" s="14" t="n">
        <f aca="false">E38-$B$8</f>
        <v>0.735624847090613</v>
      </c>
      <c r="G38" s="13" t="n">
        <f aca="false">IF(F38&gt;0,$B$9,0)</f>
        <v>1</v>
      </c>
      <c r="H38" s="14" t="n">
        <f aca="false">MAX(0,F38/$B$10)</f>
        <v>0.183906211772653</v>
      </c>
      <c r="I38" s="11" t="n">
        <f aca="false">EXP(-($B$5+$B$6)*D38)</f>
        <v>0.723250242379842</v>
      </c>
      <c r="J38" s="11" t="n">
        <f aca="false">2*0.1/3</f>
        <v>0.0666666666666667</v>
      </c>
    </row>
    <row r="39" customFormat="false" ht="15" hidden="false" customHeight="false" outlineLevel="0" collapsed="false">
      <c r="D39" s="16" t="n">
        <v>1.9</v>
      </c>
      <c r="E39" s="14" t="n">
        <f aca="false">$B$4/($B$5+$B$6)*(1-EXP(-($B$5+$B$6)*($B$7-D39)))</f>
        <v>3.7025694886017</v>
      </c>
      <c r="F39" s="14" t="n">
        <f aca="false">E39-$B$8</f>
        <v>0.702569488601704</v>
      </c>
      <c r="G39" s="13" t="n">
        <f aca="false">IF(F39&gt;0,$B$9,0)</f>
        <v>1</v>
      </c>
      <c r="H39" s="14" t="n">
        <f aca="false">MAX(0,F39/$B$10)</f>
        <v>0.175642372150426</v>
      </c>
      <c r="I39" s="11" t="n">
        <f aca="false">EXP(-($B$5+$B$6)*D39)</f>
        <v>0.710348204709177</v>
      </c>
      <c r="J39" s="11" t="n">
        <f aca="false">4*0.1/3</f>
        <v>0.133333333333333</v>
      </c>
    </row>
    <row r="40" customFormat="false" ht="15" hidden="false" customHeight="false" outlineLevel="0" collapsed="false">
      <c r="D40" s="16" t="n">
        <v>2</v>
      </c>
      <c r="E40" s="14" t="n">
        <f aca="false">$B$4/($B$5+$B$6)*(1-EXP(-($B$5+$B$6)*($B$7-D40)))</f>
        <v>3.66891374641701</v>
      </c>
      <c r="F40" s="14" t="n">
        <f aca="false">E40-$B$8</f>
        <v>0.668913746417005</v>
      </c>
      <c r="G40" s="13" t="n">
        <f aca="false">IF(F40&gt;0,$B$9,0)</f>
        <v>1</v>
      </c>
      <c r="H40" s="14" t="n">
        <f aca="false">MAX(0,F40/$B$10)</f>
        <v>0.167228436604251</v>
      </c>
      <c r="I40" s="11" t="n">
        <f aca="false">EXP(-($B$5+$B$6)*D40)</f>
        <v>0.697676326071031</v>
      </c>
      <c r="J40" s="11" t="n">
        <f aca="false">2*0.1/3</f>
        <v>0.0666666666666667</v>
      </c>
    </row>
    <row r="41" customFormat="false" ht="15" hidden="false" customHeight="false" outlineLevel="0" collapsed="false">
      <c r="D41" s="16" t="n">
        <v>2.1</v>
      </c>
      <c r="E41" s="14" t="n">
        <f aca="false">$B$4/($B$5+$B$6)*(1-EXP(-($B$5+$B$6)*($B$7-D41)))</f>
        <v>3.63464671578162</v>
      </c>
      <c r="F41" s="14" t="n">
        <f aca="false">E41-$B$8</f>
        <v>0.634646715781623</v>
      </c>
      <c r="G41" s="13" t="n">
        <f aca="false">IF(F41&gt;0,$B$9,0)</f>
        <v>1</v>
      </c>
      <c r="H41" s="14" t="n">
        <f aca="false">MAX(0,F41/$B$10)</f>
        <v>0.158661678945406</v>
      </c>
      <c r="I41" s="11" t="n">
        <f aca="false">EXP(-($B$5+$B$6)*D41)</f>
        <v>0.68523050066587</v>
      </c>
      <c r="J41" s="11" t="n">
        <f aca="false">4*0.1/3</f>
        <v>0.133333333333333</v>
      </c>
    </row>
    <row r="42" customFormat="false" ht="15" hidden="false" customHeight="false" outlineLevel="0" collapsed="false">
      <c r="D42" s="16" t="n">
        <v>2.2</v>
      </c>
      <c r="E42" s="14" t="n">
        <f aca="false">$B$4/($B$5+$B$6)*(1-EXP(-($B$5+$B$6)*($B$7-D42)))</f>
        <v>3.59975729387786</v>
      </c>
      <c r="F42" s="14" t="n">
        <f aca="false">E42-$B$8</f>
        <v>0.599757293877864</v>
      </c>
      <c r="G42" s="13" t="n">
        <f aca="false">IF(F42&gt;0,$B$9,0)</f>
        <v>1</v>
      </c>
      <c r="H42" s="14" t="n">
        <f aca="false">MAX(0,F42/$B$10)</f>
        <v>0.149939323469466</v>
      </c>
      <c r="I42" s="11" t="n">
        <f aca="false">EXP(-($B$5+$B$6)*D42)</f>
        <v>0.673006695937386</v>
      </c>
      <c r="J42" s="11" t="n">
        <f aca="false">2*0.1/3</f>
        <v>0.0666666666666667</v>
      </c>
    </row>
    <row r="43" customFormat="false" ht="15" hidden="false" customHeight="false" outlineLevel="0" collapsed="false">
      <c r="D43" s="16" t="n">
        <v>2.3</v>
      </c>
      <c r="E43" s="14" t="n">
        <f aca="false">$B$4/($B$5+$B$6)*(1-EXP(-($B$5+$B$6)*($B$7-D43)))</f>
        <v>3.56423417622781</v>
      </c>
      <c r="F43" s="14" t="n">
        <f aca="false">E43-$B$8</f>
        <v>0.564234176227812</v>
      </c>
      <c r="G43" s="13" t="n">
        <f aca="false">IF(F43&gt;0,$B$9,0)</f>
        <v>1</v>
      </c>
      <c r="H43" s="14" t="n">
        <f aca="false">MAX(0,F43/$B$10)</f>
        <v>0.141058544056953</v>
      </c>
      <c r="I43" s="11" t="n">
        <f aca="false">EXP(-($B$5+$B$6)*D43)</f>
        <v>0.661000951265913</v>
      </c>
      <c r="J43" s="11" t="n">
        <f aca="false">4*0.1/3</f>
        <v>0.133333333333333</v>
      </c>
    </row>
    <row r="44" customFormat="false" ht="15" hidden="false" customHeight="false" outlineLevel="0" collapsed="false">
      <c r="D44" s="16" t="n">
        <v>2.4</v>
      </c>
      <c r="E44" s="14" t="n">
        <f aca="false">$B$4/($B$5+$B$6)*(1-EXP(-($B$5+$B$6)*($B$7-D44)))</f>
        <v>3.52806585303059</v>
      </c>
      <c r="F44" s="14" t="n">
        <f aca="false">E44-$B$8</f>
        <v>0.52806585303059</v>
      </c>
      <c r="G44" s="13" t="n">
        <f aca="false">IF(F44&gt;0,$B$9,0)</f>
        <v>1</v>
      </c>
      <c r="H44" s="14" t="n">
        <f aca="false">MAX(0,F44/$B$10)</f>
        <v>0.132016463257648</v>
      </c>
      <c r="I44" s="11" t="n">
        <f aca="false">EXP(-($B$5+$B$6)*D44)</f>
        <v>0.649209376685147</v>
      </c>
      <c r="J44" s="11" t="n">
        <f aca="false">2*0.1/3</f>
        <v>0.0666666666666667</v>
      </c>
    </row>
    <row r="45" customFormat="false" ht="15" hidden="false" customHeight="false" outlineLevel="0" collapsed="false">
      <c r="D45" s="16" t="n">
        <v>2.5</v>
      </c>
      <c r="E45" s="14" t="n">
        <f aca="false">$B$4/($B$5+$B$6)*(1-EXP(-($B$5+$B$6)*($B$7-D45)))</f>
        <v>3.49124060543308</v>
      </c>
      <c r="F45" s="14" t="n">
        <f aca="false">E45-$B$8</f>
        <v>0.491240605433079</v>
      </c>
      <c r="G45" s="13" t="n">
        <f aca="false">IF(F45&gt;0,$B$9,0)</f>
        <v>1</v>
      </c>
      <c r="H45" s="14" t="n">
        <f aca="false">MAX(0,F45/$B$10)</f>
        <v>0.12281015135827</v>
      </c>
      <c r="I45" s="11" t="n">
        <f aca="false">EXP(-($B$5+$B$6)*D45)</f>
        <v>0.637628151621773</v>
      </c>
      <c r="J45" s="11" t="n">
        <f aca="false">4*0.1/3</f>
        <v>0.133333333333333</v>
      </c>
    </row>
    <row r="46" customFormat="false" ht="15" hidden="false" customHeight="false" outlineLevel="0" collapsed="false">
      <c r="D46" s="16" t="n">
        <v>2.6</v>
      </c>
      <c r="E46" s="14" t="n">
        <f aca="false">$B$4/($B$5+$B$6)*(1-EXP(-($B$5+$B$6)*($B$7-D46)))</f>
        <v>3.45374650173291</v>
      </c>
      <c r="F46" s="14" t="n">
        <f aca="false">E46-$B$8</f>
        <v>0.453746501732907</v>
      </c>
      <c r="G46" s="13" t="n">
        <f aca="false">IF(F46&gt;0,$B$9,0)</f>
        <v>1</v>
      </c>
      <c r="H46" s="14" t="n">
        <f aca="false">MAX(0,F46/$B$10)</f>
        <v>0.113436625433227</v>
      </c>
      <c r="I46" s="11" t="n">
        <f aca="false">EXP(-($B$5+$B$6)*D46)</f>
        <v>0.626253523657556</v>
      </c>
      <c r="J46" s="11" t="n">
        <f aca="false">2*0.1/3</f>
        <v>0.0666666666666667</v>
      </c>
    </row>
    <row r="47" customFormat="false" ht="15" hidden="false" customHeight="false" outlineLevel="0" collapsed="false">
      <c r="D47" s="16" t="n">
        <v>2.7</v>
      </c>
      <c r="E47" s="14" t="n">
        <f aca="false">$B$4/($B$5+$B$6)*(1-EXP(-($B$5+$B$6)*($B$7-D47)))</f>
        <v>3.41557139351247</v>
      </c>
      <c r="F47" s="14" t="n">
        <f aca="false">E47-$B$8</f>
        <v>0.415571393512471</v>
      </c>
      <c r="G47" s="13" t="n">
        <f aca="false">IF(F47&gt;0,$B$9,0)</f>
        <v>1</v>
      </c>
      <c r="H47" s="14" t="n">
        <f aca="false">MAX(0,F47/$B$10)</f>
        <v>0.103892848378118</v>
      </c>
      <c r="I47" s="11" t="n">
        <f aca="false">EXP(-($B$5+$B$6)*D47)</f>
        <v>0.615081807313529</v>
      </c>
      <c r="J47" s="11" t="n">
        <f aca="false">4*0.1/3</f>
        <v>0.133333333333333</v>
      </c>
    </row>
    <row r="48" customFormat="false" ht="15" hidden="false" customHeight="false" outlineLevel="0" collapsed="false">
      <c r="D48" s="16" t="n">
        <v>2.8</v>
      </c>
      <c r="E48" s="14" t="n">
        <f aca="false">$B$4/($B$5+$B$6)*(1-EXP(-($B$5+$B$6)*($B$7-D48)))</f>
        <v>3.37670291170275</v>
      </c>
      <c r="F48" s="14" t="n">
        <f aca="false">E48-$B$8</f>
        <v>0.37670291170275</v>
      </c>
      <c r="G48" s="13" t="n">
        <f aca="false">IF(F48&gt;0,$B$9,0)</f>
        <v>1</v>
      </c>
      <c r="H48" s="14" t="n">
        <f aca="false">MAX(0,F48/$B$10)</f>
        <v>0.0941757279256874</v>
      </c>
      <c r="I48" s="11" t="n">
        <f aca="false">EXP(-($B$5+$B$6)*D48)</f>
        <v>0.604109382855865</v>
      </c>
      <c r="J48" s="11" t="n">
        <f aca="false">2*0.1/3</f>
        <v>0.0666666666666667</v>
      </c>
    </row>
    <row r="49" customFormat="false" ht="15" hidden="false" customHeight="false" outlineLevel="0" collapsed="false">
      <c r="D49" s="16" t="n">
        <v>2.9</v>
      </c>
      <c r="E49" s="14" t="n">
        <f aca="false">$B$4/($B$5+$B$6)*(1-EXP(-($B$5+$B$6)*($B$7-D49)))</f>
        <v>3.33712846257561</v>
      </c>
      <c r="F49" s="14" t="n">
        <f aca="false">E49-$B$8</f>
        <v>0.337128462575611</v>
      </c>
      <c r="G49" s="13" t="n">
        <f aca="false">IF(F49&gt;0,$B$9,0)</f>
        <v>1</v>
      </c>
      <c r="H49" s="14" t="n">
        <f aca="false">MAX(0,F49/$B$10)</f>
        <v>0.0842821156439029</v>
      </c>
      <c r="I49" s="11" t="n">
        <f aca="false">EXP(-($B$5+$B$6)*D49)</f>
        <v>0.593332695123052</v>
      </c>
      <c r="J49" s="11" t="n">
        <f aca="false">4*0.1/3</f>
        <v>0.133333333333333</v>
      </c>
    </row>
    <row r="50" customFormat="false" ht="15" hidden="false" customHeight="false" outlineLevel="0" collapsed="false">
      <c r="D50" s="16" t="n">
        <v>3</v>
      </c>
      <c r="E50" s="14" t="n">
        <f aca="false">$B$4/($B$5+$B$6)*(1-EXP(-($B$5+$B$6)*($B$7-D50)))</f>
        <v>3.29683522366334</v>
      </c>
      <c r="F50" s="14" t="n">
        <f aca="false">E50-$B$8</f>
        <v>0.296835223663337</v>
      </c>
      <c r="G50" s="13" t="n">
        <f aca="false">IF(F50&gt;0,$B$9,0)</f>
        <v>1</v>
      </c>
      <c r="H50" s="14" t="n">
        <f aca="false">MAX(0,F50/$B$10)</f>
        <v>0.0742088059158343</v>
      </c>
      <c r="I50" s="11" t="n">
        <f aca="false">EXP(-($B$5+$B$6)*D50)</f>
        <v>0.58274825237399</v>
      </c>
      <c r="J50" s="11" t="n">
        <f aca="false">2*0.1/3</f>
        <v>0.0666666666666667</v>
      </c>
    </row>
    <row r="51" customFormat="false" ht="15" hidden="false" customHeight="false" outlineLevel="0" collapsed="false">
      <c r="D51" s="16" t="n">
        <v>3.1</v>
      </c>
      <c r="E51" s="14" t="n">
        <f aca="false">$B$4/($B$5+$B$6)*(1-EXP(-($B$5+$B$6)*($B$7-D51)))</f>
        <v>3.25581013960403</v>
      </c>
      <c r="F51" s="14" t="n">
        <f aca="false">E51-$B$8</f>
        <v>0.255810139604033</v>
      </c>
      <c r="G51" s="13" t="n">
        <f aca="false">IF(F51&gt;0,$B$9,0)</f>
        <v>1</v>
      </c>
      <c r="H51" s="14" t="n">
        <f aca="false">MAX(0,F51/$B$10)</f>
        <v>0.0639525349010083</v>
      </c>
      <c r="I51" s="11" t="n">
        <f aca="false">EXP(-($B$5+$B$6)*D51)</f>
        <v>0.572352625156633</v>
      </c>
      <c r="J51" s="11" t="n">
        <f aca="false">4*0.1/3</f>
        <v>0.133333333333333</v>
      </c>
    </row>
    <row r="52" customFormat="false" ht="15" hidden="false" customHeight="false" outlineLevel="0" collapsed="false">
      <c r="D52" s="16" t="n">
        <v>3.2</v>
      </c>
      <c r="E52" s="14" t="n">
        <f aca="false">$B$4/($B$5+$B$6)*(1-EXP(-($B$5+$B$6)*($B$7-D52)))</f>
        <v>3.21403991791157</v>
      </c>
      <c r="F52" s="14" t="n">
        <f aca="false">E52-$B$8</f>
        <v>0.214039917911568</v>
      </c>
      <c r="G52" s="13" t="n">
        <f aca="false">IF(F52&gt;0,$B$9,0)</f>
        <v>1</v>
      </c>
      <c r="H52" s="14" t="n">
        <f aca="false">MAX(0,F52/$B$10)</f>
        <v>0.053509979477892</v>
      </c>
      <c r="I52" s="11" t="n">
        <f aca="false">EXP(-($B$5+$B$6)*D52)</f>
        <v>0.562142445196822</v>
      </c>
      <c r="J52" s="11" t="n">
        <f aca="false">2*0.1/3</f>
        <v>0.0666666666666667</v>
      </c>
    </row>
    <row r="53" customFormat="false" ht="15" hidden="false" customHeight="false" outlineLevel="0" collapsed="false">
      <c r="D53" s="16" t="n">
        <v>3.3</v>
      </c>
      <c r="E53" s="14" t="n">
        <f aca="false">$B$4/($B$5+$B$6)*(1-EXP(-($B$5+$B$6)*($B$7-D53)))</f>
        <v>3.17151102466871</v>
      </c>
      <c r="F53" s="14" t="n">
        <f aca="false">E53-$B$8</f>
        <v>0.171511024668708</v>
      </c>
      <c r="G53" s="13" t="n">
        <f aca="false">IF(F53&gt;0,$B$9,0)</f>
        <v>1</v>
      </c>
      <c r="H53" s="14" t="n">
        <f aca="false">MAX(0,F53/$B$10)</f>
        <v>0.042877756167177</v>
      </c>
      <c r="I53" s="11" t="n">
        <f aca="false">EXP(-($B$5+$B$6)*D53)</f>
        <v>0.552114404306931</v>
      </c>
      <c r="J53" s="11" t="n">
        <f aca="false">4*0.1/3</f>
        <v>0.133333333333333</v>
      </c>
    </row>
    <row r="54" customFormat="false" ht="15" hidden="false" customHeight="false" outlineLevel="0" collapsed="false">
      <c r="D54" s="16" t="n">
        <v>3.4</v>
      </c>
      <c r="E54" s="14" t="n">
        <f aca="false">$B$4/($B$5+$B$6)*(1-EXP(-($B$5+$B$6)*($B$7-D54)))</f>
        <v>3.12820968014199</v>
      </c>
      <c r="F54" s="14" t="n">
        <f aca="false">E54-$B$8</f>
        <v>0.128209680141993</v>
      </c>
      <c r="G54" s="13" t="n">
        <f aca="false">IF(F54&gt;0,$B$9,0)</f>
        <v>1</v>
      </c>
      <c r="H54" s="14" t="n">
        <f aca="false">MAX(0,F54/$B$10)</f>
        <v>0.0320524200354984</v>
      </c>
      <c r="I54" s="11" t="n">
        <f aca="false">EXP(-($B$5+$B$6)*D54)</f>
        <v>0.542265253313983</v>
      </c>
      <c r="J54" s="11" t="n">
        <f aca="false">2*0.1/3</f>
        <v>0.0666666666666667</v>
      </c>
    </row>
    <row r="55" customFormat="false" ht="15" hidden="false" customHeight="false" outlineLevel="0" collapsed="false">
      <c r="D55" s="16" t="n">
        <v>3.5</v>
      </c>
      <c r="E55" s="14" t="n">
        <f aca="false">$B$4/($B$5+$B$6)*(1-EXP(-($B$5+$B$6)*($B$7-D55)))</f>
        <v>3.08412185431699</v>
      </c>
      <c r="F55" s="14" t="n">
        <f aca="false">E55-$B$8</f>
        <v>0.0841218543169937</v>
      </c>
      <c r="G55" s="13" t="n">
        <f aca="false">IF(F55&gt;0,$B$9,0)</f>
        <v>1</v>
      </c>
      <c r="H55" s="14" t="n">
        <f aca="false">MAX(0,F55/$B$10)</f>
        <v>0.0210304635792484</v>
      </c>
      <c r="I55" s="11" t="n">
        <f aca="false">EXP(-($B$5+$B$6)*D55)</f>
        <v>0.532591801006897</v>
      </c>
      <c r="J55" s="11" t="n">
        <f aca="false">4*0.1/3</f>
        <v>0.133333333333333</v>
      </c>
    </row>
    <row r="56" customFormat="false" ht="15" hidden="false" customHeight="false" outlineLevel="0" collapsed="false">
      <c r="D56" s="16" t="n">
        <v>3.6</v>
      </c>
      <c r="E56" s="14" t="n">
        <f aca="false">$B$4/($B$5+$B$6)*(1-EXP(-($B$5+$B$6)*($B$7-D56)))</f>
        <v>3.03923326235246</v>
      </c>
      <c r="F56" s="14" t="n">
        <f aca="false">E56-$B$8</f>
        <v>0.0392332623524574</v>
      </c>
      <c r="G56" s="13" t="n">
        <f aca="false">IF(F56&gt;0,$B$9,0)</f>
        <v>1</v>
      </c>
      <c r="H56" s="14" t="n">
        <f aca="false">MAX(0,F56/$B$10)</f>
        <v>0.00980831558811435</v>
      </c>
      <c r="I56" s="11" t="n">
        <f aca="false">EXP(-($B$5+$B$6)*D56)</f>
        <v>0.523090913102501</v>
      </c>
      <c r="J56" s="11" t="n">
        <f aca="false">2*0.1/3</f>
        <v>0.0666666666666667</v>
      </c>
    </row>
    <row r="57" customFormat="false" ht="15" hidden="false" customHeight="false" outlineLevel="0" collapsed="false">
      <c r="D57" s="16" t="n">
        <v>3.7</v>
      </c>
      <c r="E57" s="14" t="n">
        <f aca="false">$B$4/($B$5+$B$6)*(1-EXP(-($B$5+$B$6)*($B$7-D57)))</f>
        <v>2.9935293599519</v>
      </c>
      <c r="F57" s="14" t="n">
        <f aca="false">E57-$B$8</f>
        <v>-0.00647064004810227</v>
      </c>
      <c r="G57" s="13" t="n">
        <f aca="false">IF(F57&gt;0,$B$9,0)</f>
        <v>0</v>
      </c>
      <c r="H57" s="14" t="n">
        <f aca="false">MAX(0,F57/$B$10)</f>
        <v>0</v>
      </c>
      <c r="I57" s="11" t="n">
        <f aca="false">EXP(-($B$5+$B$6)*D57)</f>
        <v>0.513759511229998</v>
      </c>
      <c r="J57" s="11" t="n">
        <f aca="false">4*0.1/3</f>
        <v>0.133333333333333</v>
      </c>
    </row>
    <row r="58" customFormat="false" ht="15" hidden="false" customHeight="false" outlineLevel="0" collapsed="false">
      <c r="D58" s="16" t="n">
        <v>3.8</v>
      </c>
      <c r="E58" s="14" t="n">
        <f aca="false">$B$4/($B$5+$B$6)*(1-EXP(-($B$5+$B$6)*($B$7-D58)))</f>
        <v>2.94699533865112</v>
      </c>
      <c r="F58" s="14" t="n">
        <f aca="false">E58-$B$8</f>
        <v>-0.053004661348885</v>
      </c>
      <c r="G58" s="13" t="n">
        <f aca="false">IF(F58&gt;0,$B$9,0)</f>
        <v>0</v>
      </c>
      <c r="H58" s="14" t="n">
        <f aca="false">MAX(0,F58/$B$10)</f>
        <v>0</v>
      </c>
      <c r="I58" s="11" t="n">
        <f aca="false">EXP(-($B$5+$B$6)*D58)</f>
        <v>0.504594571933551</v>
      </c>
      <c r="J58" s="11" t="n">
        <f aca="false">2*0.1/3</f>
        <v>0.0666666666666667</v>
      </c>
    </row>
    <row r="59" customFormat="false" ht="15" hidden="false" customHeight="false" outlineLevel="0" collapsed="false">
      <c r="D59" s="16" t="n">
        <v>3.9</v>
      </c>
      <c r="E59" s="14" t="n">
        <f aca="false">$B$4/($B$5+$B$6)*(1-EXP(-($B$5+$B$6)*($B$7-D59)))</f>
        <v>2.89961612102012</v>
      </c>
      <c r="F59" s="14" t="n">
        <f aca="false">E59-$B$8</f>
        <v>-0.100383878979876</v>
      </c>
      <c r="G59" s="13" t="n">
        <f aca="false">IF(F59&gt;0,$B$9,0)</f>
        <v>0</v>
      </c>
      <c r="H59" s="14" t="n">
        <f aca="false">MAX(0,F59/$B$10)</f>
        <v>0</v>
      </c>
      <c r="I59" s="11" t="n">
        <f aca="false">EXP(-($B$5+$B$6)*D59)</f>
        <v>0.495593125692651</v>
      </c>
      <c r="J59" s="11" t="n">
        <f aca="false">4*0.1/3</f>
        <v>0.133333333333333</v>
      </c>
    </row>
    <row r="60" customFormat="false" ht="15" hidden="false" customHeight="false" outlineLevel="0" collapsed="false">
      <c r="D60" s="16" t="n">
        <v>4</v>
      </c>
      <c r="E60" s="14" t="n">
        <f aca="false">$B$4/($B$5+$B$6)*(1-EXP(-($B$5+$B$6)*($B$7-D60)))</f>
        <v>2.85137635577794</v>
      </c>
      <c r="F60" s="14" t="n">
        <f aca="false">E60-$B$8</f>
        <v>-0.148623644222065</v>
      </c>
      <c r="G60" s="13" t="n">
        <f aca="false">IF(F60&gt;0,$B$9,0)</f>
        <v>0</v>
      </c>
      <c r="H60" s="14" t="n">
        <f aca="false">MAX(0,F60/$B$10)</f>
        <v>0</v>
      </c>
      <c r="I60" s="11" t="n">
        <f aca="false">EXP(-($B$5+$B$6)*D60)</f>
        <v>0.486752255959972</v>
      </c>
      <c r="J60" s="11" t="n">
        <f aca="false">2*0.1/3</f>
        <v>0.0666666666666667</v>
      </c>
    </row>
    <row r="61" customFormat="false" ht="15" hidden="false" customHeight="false" outlineLevel="0" collapsed="false">
      <c r="D61" s="16" t="n">
        <v>4.1</v>
      </c>
      <c r="E61" s="14" t="n">
        <f aca="false">$B$4/($B$5+$B$6)*(1-EXP(-($B$5+$B$6)*($B$7-D61)))</f>
        <v>2.8022604128186</v>
      </c>
      <c r="F61" s="14" t="n">
        <f aca="false">E61-$B$8</f>
        <v>-0.197739587181396</v>
      </c>
      <c r="G61" s="13" t="n">
        <f aca="false">IF(F61&gt;0,$B$9,0)</f>
        <v>0</v>
      </c>
      <c r="H61" s="14" t="n">
        <f aca="false">MAX(0,F61/$B$10)</f>
        <v>0</v>
      </c>
      <c r="I61" s="11" t="n">
        <f aca="false">EXP(-($B$5+$B$6)*D61)</f>
        <v>0.478069098216378</v>
      </c>
      <c r="J61" s="11" t="n">
        <f aca="false">4*0.1/3</f>
        <v>0.133333333333333</v>
      </c>
    </row>
    <row r="62" customFormat="false" ht="15" hidden="false" customHeight="false" outlineLevel="0" collapsed="false">
      <c r="D62" s="16" t="n">
        <v>4.2</v>
      </c>
      <c r="E62" s="14" t="n">
        <f aca="false">$B$4/($B$5+$B$6)*(1-EXP(-($B$5+$B$6)*($B$7-D62)))</f>
        <v>2.75225237814694</v>
      </c>
      <c r="F62" s="14" t="n">
        <f aca="false">E62-$B$8</f>
        <v>-0.247747621853062</v>
      </c>
      <c r="G62" s="13" t="n">
        <f aca="false">IF(F62&gt;0,$B$9,0)</f>
        <v>0</v>
      </c>
      <c r="H62" s="14" t="n">
        <f aca="false">MAX(0,F62/$B$10)</f>
        <v>0</v>
      </c>
      <c r="I62" s="11" t="n">
        <f aca="false">EXP(-($B$5+$B$6)*D62)</f>
        <v>0.469540839042799</v>
      </c>
      <c r="J62" s="11" t="n">
        <f aca="false">2*0.1/3</f>
        <v>0.0666666666666667</v>
      </c>
    </row>
    <row r="63" customFormat="false" ht="15" hidden="false" customHeight="false" outlineLevel="0" collapsed="false">
      <c r="D63" s="16" t="n">
        <v>4.3</v>
      </c>
      <c r="E63" s="14" t="n">
        <f aca="false">$B$4/($B$5+$B$6)*(1-EXP(-($B$5+$B$6)*($B$7-D63)))</f>
        <v>2.70133604872223</v>
      </c>
      <c r="F63" s="14" t="n">
        <f aca="false">E63-$B$8</f>
        <v>-0.298663951277768</v>
      </c>
      <c r="G63" s="13" t="n">
        <f aca="false">IF(F63&gt;0,$B$9,0)</f>
        <v>0</v>
      </c>
      <c r="H63" s="14" t="n">
        <f aca="false">MAX(0,F63/$B$10)</f>
        <v>0</v>
      </c>
      <c r="I63" s="11" t="n">
        <f aca="false">EXP(-($B$5+$B$6)*D63)</f>
        <v>0.461164715208659</v>
      </c>
      <c r="J63" s="11" t="n">
        <f aca="false">4*0.1/3</f>
        <v>0.133333333333333</v>
      </c>
    </row>
    <row r="64" customFormat="false" ht="15" hidden="false" customHeight="false" outlineLevel="0" collapsed="false">
      <c r="D64" s="16" t="n">
        <v>4.4</v>
      </c>
      <c r="E64" s="14" t="n">
        <f aca="false">$B$4/($B$5+$B$6)*(1-EXP(-($B$5+$B$6)*($B$7-D64)))</f>
        <v>2.64949492720833</v>
      </c>
      <c r="F64" s="14" t="n">
        <f aca="false">E64-$B$8</f>
        <v>-0.350505072791672</v>
      </c>
      <c r="G64" s="13" t="n">
        <f aca="false">IF(F64&gt;0,$B$9,0)</f>
        <v>0</v>
      </c>
      <c r="H64" s="14" t="n">
        <f aca="false">MAX(0,F64/$B$10)</f>
        <v>0</v>
      </c>
      <c r="I64" s="11" t="n">
        <f aca="false">EXP(-($B$5+$B$6)*D64)</f>
        <v>0.452938012776558</v>
      </c>
      <c r="J64" s="11" t="n">
        <f aca="false">2*0.1/3</f>
        <v>0.0666666666666667</v>
      </c>
    </row>
    <row r="65" customFormat="false" ht="15" hidden="false" customHeight="false" outlineLevel="0" collapsed="false">
      <c r="D65" s="16" t="n">
        <v>4.5</v>
      </c>
      <c r="E65" s="14" t="n">
        <f aca="false">$B$4/($B$5+$B$6)*(1-EXP(-($B$5+$B$6)*($B$7-D65)))</f>
        <v>2.59671221662835</v>
      </c>
      <c r="F65" s="14" t="n">
        <f aca="false">E65-$B$8</f>
        <v>-0.403287783371651</v>
      </c>
      <c r="G65" s="13" t="n">
        <f aca="false">IF(F65&gt;0,$B$9,0)</f>
        <v>0</v>
      </c>
      <c r="H65" s="14" t="n">
        <f aca="false">MAX(0,F65/$B$10)</f>
        <v>0</v>
      </c>
      <c r="I65" s="11" t="n">
        <f aca="false">EXP(-($B$5+$B$6)*D65)</f>
        <v>0.444858066222941</v>
      </c>
      <c r="J65" s="11" t="n">
        <f aca="false">4*0.1/3</f>
        <v>0.133333333333333</v>
      </c>
    </row>
    <row r="66" customFormat="false" ht="15" hidden="false" customHeight="false" outlineLevel="0" collapsed="false">
      <c r="D66" s="16" t="n">
        <v>4.6</v>
      </c>
      <c r="E66" s="14" t="n">
        <f aca="false">$B$4/($B$5+$B$6)*(1-EXP(-($B$5+$B$6)*($B$7-D66)))</f>
        <v>2.54297081492232</v>
      </c>
      <c r="F66" s="14" t="n">
        <f aca="false">E66-$B$8</f>
        <v>-0.457029185077685</v>
      </c>
      <c r="G66" s="13" t="n">
        <f aca="false">IF(F66&gt;0,$B$9,0)</f>
        <v>0</v>
      </c>
      <c r="H66" s="14" t="n">
        <f aca="false">MAX(0,F66/$B$10)</f>
        <v>0</v>
      </c>
      <c r="I66" s="11" t="n">
        <f aca="false">EXP(-($B$5+$B$6)*D66)</f>
        <v>0.436922257574441</v>
      </c>
      <c r="J66" s="11" t="n">
        <f aca="false">2*0.1/3</f>
        <v>0.0666666666666667</v>
      </c>
    </row>
    <row r="67" customFormat="false" ht="15" hidden="false" customHeight="false" outlineLevel="0" collapsed="false">
      <c r="D67" s="16" t="n">
        <v>4.7</v>
      </c>
      <c r="E67" s="14" t="n">
        <f aca="false">$B$4/($B$5+$B$6)*(1-EXP(-($B$5+$B$6)*($B$7-D67)))</f>
        <v>2.48825330940594</v>
      </c>
      <c r="F67" s="14" t="n">
        <f aca="false">E67-$B$8</f>
        <v>-0.511746690594059</v>
      </c>
      <c r="G67" s="13" t="n">
        <f aca="false">IF(F67&gt;0,$B$9,0)</f>
        <v>0</v>
      </c>
      <c r="H67" s="14" t="n">
        <f aca="false">MAX(0,F67/$B$10)</f>
        <v>0</v>
      </c>
      <c r="I67" s="11" t="n">
        <f aca="false">EXP(-($B$5+$B$6)*D67)</f>
        <v>0.429128015559633</v>
      </c>
      <c r="J67" s="11" t="n">
        <f aca="false">4*0.1/3</f>
        <v>0.133333333333333</v>
      </c>
    </row>
    <row r="68" customFormat="false" ht="15" hidden="false" customHeight="false" outlineLevel="0" collapsed="false">
      <c r="D68" s="16" t="n">
        <v>4.8</v>
      </c>
      <c r="E68" s="14" t="n">
        <f aca="false">$B$4/($B$5+$B$6)*(1-EXP(-($B$5+$B$6)*($B$7-D68)))</f>
        <v>2.43254197112876</v>
      </c>
      <c r="F68" s="14" t="n">
        <f aca="false">E68-$B$8</f>
        <v>-0.567458028871236</v>
      </c>
      <c r="G68" s="13" t="n">
        <f aca="false">IF(F68&gt;0,$B$9,0)</f>
        <v>0</v>
      </c>
      <c r="H68" s="14" t="n">
        <f aca="false">MAX(0,F68/$B$10)</f>
        <v>0</v>
      </c>
      <c r="I68" s="11" t="n">
        <f aca="false">EXP(-($B$5+$B$6)*D68)</f>
        <v>0.421472814775918</v>
      </c>
      <c r="J68" s="11" t="n">
        <f aca="false">2*0.1/3</f>
        <v>0.0666666666666667</v>
      </c>
    </row>
    <row r="69" customFormat="false" ht="15" hidden="false" customHeight="false" outlineLevel="0" collapsed="false">
      <c r="D69" s="16" t="n">
        <v>4.9</v>
      </c>
      <c r="E69" s="14" t="n">
        <f aca="false">$B$4/($B$5+$B$6)*(1-EXP(-($B$5+$B$6)*($B$7-D69)))</f>
        <v>2.37581874912982</v>
      </c>
      <c r="F69" s="14" t="n">
        <f aca="false">E69-$B$8</f>
        <v>-0.624181250870185</v>
      </c>
      <c r="G69" s="13" t="n">
        <f aca="false">IF(F69&gt;0,$B$9,0)</f>
        <v>0</v>
      </c>
      <c r="H69" s="14" t="n">
        <f aca="false">MAX(0,F69/$B$10)</f>
        <v>0</v>
      </c>
      <c r="I69" s="11" t="n">
        <f aca="false">EXP(-($B$5+$B$6)*D69)</f>
        <v>0.413954174871274</v>
      </c>
      <c r="J69" s="11" t="n">
        <f aca="false">4*0.1/3</f>
        <v>0.133333333333333</v>
      </c>
    </row>
    <row r="70" customFormat="false" ht="15" hidden="false" customHeight="false" outlineLevel="0" collapsed="false">
      <c r="D70" s="16" t="n">
        <v>5</v>
      </c>
      <c r="E70" s="14" t="n">
        <f aca="false">$B$4/($B$5+$B$6)*(1-EXP(-($B$5+$B$6)*($B$7-D70)))</f>
        <v>2.31806526458895</v>
      </c>
      <c r="F70" s="14" t="n">
        <f aca="false">E70-$B$8</f>
        <v>-0.681934735411053</v>
      </c>
      <c r="G70" s="13" t="n">
        <f aca="false">IF(F70&gt;0,$B$9,0)</f>
        <v>0</v>
      </c>
      <c r="H70" s="14" t="n">
        <f aca="false">MAX(0,F70/$B$10)</f>
        <v>0</v>
      </c>
      <c r="I70" s="11" t="n">
        <f aca="false">EXP(-($B$5+$B$6)*D70)</f>
        <v>0.406569659740599</v>
      </c>
      <c r="J70" s="11" t="n">
        <f aca="false">2*0.1/3</f>
        <v>0.0666666666666667</v>
      </c>
    </row>
    <row r="71" customFormat="false" ht="15" hidden="false" customHeight="false" outlineLevel="0" collapsed="false">
      <c r="D71" s="16" t="n">
        <v>5.1</v>
      </c>
      <c r="E71" s="14" t="n">
        <f aca="false">$B$4/($B$5+$B$6)*(1-EXP(-($B$5+$B$6)*($B$7-D71)))</f>
        <v>2.25926280487193</v>
      </c>
      <c r="F71" s="14" t="n">
        <f aca="false">E71-$B$8</f>
        <v>-0.740737195128067</v>
      </c>
      <c r="G71" s="13" t="n">
        <f aca="false">IF(F71&gt;0,$B$9,0)</f>
        <v>0</v>
      </c>
      <c r="H71" s="14" t="n">
        <f aca="false">MAX(0,F71/$B$10)</f>
        <v>0</v>
      </c>
      <c r="I71" s="11" t="n">
        <f aca="false">EXP(-($B$5+$B$6)*D71)</f>
        <v>0.39931687673639</v>
      </c>
      <c r="J71" s="11" t="n">
        <f aca="false">4*0.1/3</f>
        <v>0.133333333333333</v>
      </c>
    </row>
    <row r="72" customFormat="false" ht="15" hidden="false" customHeight="false" outlineLevel="0" collapsed="false">
      <c r="D72" s="16" t="n">
        <v>5.2</v>
      </c>
      <c r="E72" s="14" t="n">
        <f aca="false">$B$4/($B$5+$B$6)*(1-EXP(-($B$5+$B$6)*($B$7-D72)))</f>
        <v>2.19939231746742</v>
      </c>
      <c r="F72" s="14" t="n">
        <f aca="false">E72-$B$8</f>
        <v>-0.800607682532582</v>
      </c>
      <c r="G72" s="13" t="n">
        <f aca="false">IF(F72&gt;0,$B$9,0)</f>
        <v>0</v>
      </c>
      <c r="H72" s="14" t="n">
        <f aca="false">MAX(0,F72/$B$10)</f>
        <v>0</v>
      </c>
      <c r="I72" s="11" t="n">
        <f aca="false">EXP(-($B$5+$B$6)*D72)</f>
        <v>0.392193475893505</v>
      </c>
      <c r="J72" s="11" t="n">
        <f aca="false">2*0.1/3</f>
        <v>0.0666666666666667</v>
      </c>
    </row>
    <row r="73" customFormat="false" ht="15" hidden="false" customHeight="false" outlineLevel="0" collapsed="false">
      <c r="D73" s="16" t="n">
        <v>5.3</v>
      </c>
      <c r="E73" s="14" t="n">
        <f aca="false">$B$4/($B$5+$B$6)*(1-EXP(-($B$5+$B$6)*($B$7-D73)))</f>
        <v>2.13843440381373</v>
      </c>
      <c r="F73" s="14" t="n">
        <f aca="false">E73-$B$8</f>
        <v>-0.861565596186271</v>
      </c>
      <c r="G73" s="13" t="n">
        <f aca="false">IF(F73&gt;0,$B$9,0)</f>
        <v>0</v>
      </c>
      <c r="H73" s="14" t="n">
        <f aca="false">MAX(0,F73/$B$10)</f>
        <v>0</v>
      </c>
      <c r="I73" s="11" t="n">
        <f aca="false">EXP(-($B$5+$B$6)*D73)</f>
        <v>0.385197149167755</v>
      </c>
      <c r="J73" s="11" t="n">
        <f aca="false">4*0.1/3</f>
        <v>0.133333333333333</v>
      </c>
    </row>
    <row r="74" customFormat="false" ht="15" hidden="false" customHeight="false" outlineLevel="0" collapsed="false">
      <c r="D74" s="16" t="n">
        <v>5.4</v>
      </c>
      <c r="E74" s="14" t="n">
        <f aca="false">$B$4/($B$5+$B$6)*(1-EXP(-($B$5+$B$6)*($B$7-D74)))</f>
        <v>2.07636931301358</v>
      </c>
      <c r="F74" s="14" t="n">
        <f aca="false">E74-$B$8</f>
        <v>-0.923630686986423</v>
      </c>
      <c r="G74" s="13" t="n">
        <f aca="false">IF(F74&gt;0,$B$9,0)</f>
        <v>0</v>
      </c>
      <c r="H74" s="14" t="n">
        <f aca="false">MAX(0,F74/$B$10)</f>
        <v>0</v>
      </c>
      <c r="I74" s="11" t="n">
        <f aca="false">EXP(-($B$5+$B$6)*D74)</f>
        <v>0.378325629688077</v>
      </c>
      <c r="J74" s="11" t="n">
        <f aca="false">2*0.1/3</f>
        <v>0.0666666666666667</v>
      </c>
    </row>
    <row r="75" customFormat="false" ht="15" hidden="false" customHeight="false" outlineLevel="0" collapsed="false">
      <c r="D75" s="16" t="n">
        <v>5.5</v>
      </c>
      <c r="E75" s="14" t="n">
        <f aca="false">$B$4/($B$5+$B$6)*(1-EXP(-($B$5+$B$6)*($B$7-D75)))</f>
        <v>2.01317693543459</v>
      </c>
      <c r="F75" s="14" t="n">
        <f aca="false">E75-$B$8</f>
        <v>-0.986823064565408</v>
      </c>
      <c r="G75" s="13" t="n">
        <f aca="false">IF(F75&gt;0,$B$9,0)</f>
        <v>0</v>
      </c>
      <c r="H75" s="14" t="n">
        <f aca="false">MAX(0,F75/$B$10)</f>
        <v>0</v>
      </c>
      <c r="I75" s="11" t="n">
        <f aca="false">EXP(-($B$5+$B$6)*D75)</f>
        <v>0.371576691022046</v>
      </c>
      <c r="J75" s="11" t="n">
        <f aca="false">4*0.1/3</f>
        <v>0.133333333333333</v>
      </c>
    </row>
    <row r="76" customFormat="false" ht="15" hidden="false" customHeight="false" outlineLevel="0" collapsed="false">
      <c r="D76" s="16" t="n">
        <v>5.6</v>
      </c>
      <c r="E76" s="14" t="n">
        <f aca="false">$B$4/($B$5+$B$6)*(1-EXP(-($B$5+$B$6)*($B$7-D76)))</f>
        <v>1.94883679619363</v>
      </c>
      <c r="F76" s="14" t="n">
        <f aca="false">E76-$B$8</f>
        <v>-1.05116320380637</v>
      </c>
      <c r="G76" s="13" t="n">
        <f aca="false">IF(F76&gt;0,$B$9,0)</f>
        <v>0</v>
      </c>
      <c r="H76" s="14" t="n">
        <f aca="false">MAX(0,F76/$B$10)</f>
        <v>0</v>
      </c>
      <c r="I76" s="11" t="n">
        <f aca="false">EXP(-($B$5+$B$6)*D76)</f>
        <v>0.364948146454494</v>
      </c>
      <c r="J76" s="11" t="n">
        <f aca="false">2*0.1/3</f>
        <v>0.0666666666666667</v>
      </c>
    </row>
    <row r="77" customFormat="false" ht="15" hidden="false" customHeight="false" outlineLevel="0" collapsed="false">
      <c r="D77" s="16" t="n">
        <v>5.7</v>
      </c>
      <c r="E77" s="14" t="n">
        <f aca="false">$B$4/($B$5+$B$6)*(1-EXP(-($B$5+$B$6)*($B$7-D77)))</f>
        <v>1.88332804852271</v>
      </c>
      <c r="F77" s="14" t="n">
        <f aca="false">E77-$B$8</f>
        <v>-1.11667195147729</v>
      </c>
      <c r="G77" s="13" t="n">
        <f aca="false">IF(F77&gt;0,$B$9,0)</f>
        <v>0</v>
      </c>
      <c r="H77" s="14" t="n">
        <f aca="false">MAX(0,F77/$B$10)</f>
        <v>0</v>
      </c>
      <c r="I77" s="11" t="n">
        <f aca="false">EXP(-($B$5+$B$6)*D77)</f>
        <v>0.358437848278994</v>
      </c>
      <c r="J77" s="11" t="n">
        <f aca="false">4*0.1/3</f>
        <v>0.133333333333333</v>
      </c>
    </row>
    <row r="78" customFormat="false" ht="15" hidden="false" customHeight="false" outlineLevel="0" collapsed="false">
      <c r="D78" s="16" t="n">
        <v>5.8</v>
      </c>
      <c r="E78" s="14" t="n">
        <f aca="false">$B$4/($B$5+$B$6)*(1-EXP(-($B$5+$B$6)*($B$7-D78)))</f>
        <v>1.81662946701452</v>
      </c>
      <c r="F78" s="14" t="n">
        <f aca="false">E78-$B$8</f>
        <v>-1.18337053298548</v>
      </c>
      <c r="G78" s="13" t="n">
        <f aca="false">IF(F78&gt;0,$B$9,0)</f>
        <v>0</v>
      </c>
      <c r="H78" s="14" t="n">
        <f aca="false">MAX(0,F78/$B$10)</f>
        <v>0</v>
      </c>
      <c r="I78" s="11" t="n">
        <f aca="false">EXP(-($B$5+$B$6)*D78)</f>
        <v>0.352043687101985</v>
      </c>
      <c r="J78" s="11" t="n">
        <f aca="false">2*0.1/3</f>
        <v>0.0666666666666667</v>
      </c>
    </row>
    <row r="79" customFormat="false" ht="15" hidden="false" customHeight="false" outlineLevel="0" collapsed="false">
      <c r="D79" s="16" t="n">
        <v>5.9</v>
      </c>
      <c r="E79" s="14" t="n">
        <f aca="false">$B$4/($B$5+$B$6)*(1-EXP(-($B$5+$B$6)*($B$7-D79)))</f>
        <v>1.74871944074516</v>
      </c>
      <c r="F79" s="14" t="n">
        <f aca="false">E79-$B$8</f>
        <v>-1.25128055925484</v>
      </c>
      <c r="G79" s="13" t="n">
        <f aca="false">IF(F79&gt;0,$B$9,0)</f>
        <v>0</v>
      </c>
      <c r="H79" s="14" t="n">
        <f aca="false">MAX(0,F79/$B$10)</f>
        <v>0</v>
      </c>
      <c r="I79" s="11" t="n">
        <f aca="false">EXP(-($B$5+$B$6)*D79)</f>
        <v>0.345763591159308</v>
      </c>
      <c r="J79" s="11" t="n">
        <f aca="false">4*0.1/3</f>
        <v>0.133333333333333</v>
      </c>
    </row>
    <row r="80" customFormat="false" ht="15" hidden="false" customHeight="false" outlineLevel="0" collapsed="false">
      <c r="D80" s="16" t="n">
        <v>6</v>
      </c>
      <c r="E80" s="14" t="n">
        <f aca="false">$B$4/($B$5+$B$6)*(1-EXP(-($B$5+$B$6)*($B$7-D80)))</f>
        <v>1.67957596627205</v>
      </c>
      <c r="F80" s="14" t="n">
        <f aca="false">E80-$B$8</f>
        <v>-1.32042403372795</v>
      </c>
      <c r="G80" s="13" t="n">
        <f aca="false">IF(F80&gt;0,$B$9,0)</f>
        <v>0</v>
      </c>
      <c r="H80" s="14" t="n">
        <f aca="false">MAX(0,F80/$B$10)</f>
        <v>0</v>
      </c>
      <c r="I80" s="11" t="n">
        <f aca="false">EXP(-($B$5+$B$6)*D80)</f>
        <v>0.339595525644939</v>
      </c>
      <c r="J80" s="11" t="n">
        <f aca="false">2*0.1/3</f>
        <v>0.0666666666666667</v>
      </c>
    </row>
    <row r="81" customFormat="false" ht="15" hidden="false" customHeight="false" outlineLevel="0" collapsed="false">
      <c r="D81" s="16" t="n">
        <v>6.1</v>
      </c>
      <c r="E81" s="14" t="n">
        <f aca="false">$B$4/($B$5+$B$6)*(1-EXP(-($B$5+$B$6)*($B$7-D81)))</f>
        <v>1.60917664050457</v>
      </c>
      <c r="F81" s="14" t="n">
        <f aca="false">E81-$B$8</f>
        <v>-1.39082335949543</v>
      </c>
      <c r="G81" s="13" t="n">
        <f aca="false">IF(F81&gt;0,$B$9,0)</f>
        <v>0</v>
      </c>
      <c r="H81" s="14" t="n">
        <f aca="false">MAX(0,F81/$B$10)</f>
        <v>0</v>
      </c>
      <c r="I81" s="11" t="n">
        <f aca="false">EXP(-($B$5+$B$6)*D81)</f>
        <v>0.333537492051693</v>
      </c>
      <c r="J81" s="11" t="n">
        <f aca="false">4*0.1/3</f>
        <v>0.133333333333333</v>
      </c>
    </row>
    <row r="82" customFormat="false" ht="15" hidden="false" customHeight="false" outlineLevel="0" collapsed="false">
      <c r="D82" s="16" t="n">
        <v>6.2</v>
      </c>
      <c r="E82" s="14" t="n">
        <f aca="false">$B$4/($B$5+$B$6)*(1-EXP(-($B$5+$B$6)*($B$7-D82)))</f>
        <v>1.53749865344532</v>
      </c>
      <c r="F82" s="14" t="n">
        <f aca="false">E82-$B$8</f>
        <v>-1.46250134655468</v>
      </c>
      <c r="G82" s="13" t="n">
        <f aca="false">IF(F82&gt;0,$B$9,0)</f>
        <v>0</v>
      </c>
      <c r="H82" s="14" t="n">
        <f aca="false">MAX(0,F82/$B$10)</f>
        <v>0</v>
      </c>
      <c r="I82" s="11" t="n">
        <f aca="false">EXP(-($B$5+$B$6)*D82)</f>
        <v>0.32758752752369</v>
      </c>
      <c r="J82" s="11" t="n">
        <f aca="false">2*0.1/3</f>
        <v>0.0666666666666667</v>
      </c>
    </row>
    <row r="83" customFormat="false" ht="15" hidden="false" customHeight="false" outlineLevel="0" collapsed="false">
      <c r="D83" s="16" t="n">
        <v>6.3</v>
      </c>
      <c r="E83" s="14" t="n">
        <f aca="false">$B$4/($B$5+$B$6)*(1-EXP(-($B$5+$B$6)*($B$7-D83)))</f>
        <v>1.46451878079944</v>
      </c>
      <c r="F83" s="14" t="n">
        <f aca="false">E83-$B$8</f>
        <v>-1.53548121920056</v>
      </c>
      <c r="G83" s="13" t="n">
        <f aca="false">IF(F83&gt;0,$B$9,0)</f>
        <v>0</v>
      </c>
      <c r="H83" s="14" t="n">
        <f aca="false">MAX(0,F83/$B$10)</f>
        <v>0</v>
      </c>
      <c r="I83" s="11" t="n">
        <f aca="false">EXP(-($B$5+$B$6)*D83)</f>
        <v>0.32174370422037</v>
      </c>
      <c r="J83" s="11" t="n">
        <f aca="false">4*0.1/3</f>
        <v>0.133333333333333</v>
      </c>
    </row>
    <row r="84" customFormat="false" ht="15" hidden="false" customHeight="false" outlineLevel="0" collapsed="false">
      <c r="D84" s="16" t="n">
        <v>6.4</v>
      </c>
      <c r="E84" s="14" t="n">
        <f aca="false">$B$4/($B$5+$B$6)*(1-EXP(-($B$5+$B$6)*($B$7-D84)))</f>
        <v>1.39021337644977</v>
      </c>
      <c r="F84" s="14" t="n">
        <f aca="false">E84-$B$8</f>
        <v>-1.60978662355023</v>
      </c>
      <c r="G84" s="13" t="n">
        <f aca="false">IF(F84&gt;0,$B$9,0)</f>
        <v>0</v>
      </c>
      <c r="H84" s="14" t="n">
        <f aca="false">MAX(0,F84/$B$10)</f>
        <v>0</v>
      </c>
      <c r="I84" s="11" t="n">
        <f aca="false">EXP(-($B$5+$B$6)*D84)</f>
        <v>0.316004128691863</v>
      </c>
      <c r="J84" s="11" t="n">
        <f aca="false">2*0.1/3</f>
        <v>0.0666666666666667</v>
      </c>
    </row>
    <row r="85" customFormat="false" ht="15" hidden="false" customHeight="false" outlineLevel="0" collapsed="false">
      <c r="D85" s="16" t="n">
        <v>6.5</v>
      </c>
      <c r="E85" s="14" t="n">
        <f aca="false">$B$4/($B$5+$B$6)*(1-EXP(-($B$5+$B$6)*($B$7-D85)))</f>
        <v>1.31455836479526</v>
      </c>
      <c r="F85" s="14" t="n">
        <f aca="false">E85-$B$8</f>
        <v>-1.68544163520474</v>
      </c>
      <c r="G85" s="13" t="n">
        <f aca="false">IF(F85&gt;0,$B$9,0)</f>
        <v>0</v>
      </c>
      <c r="H85" s="14" t="n">
        <f aca="false">MAX(0,F85/$B$10)</f>
        <v>0</v>
      </c>
      <c r="I85" s="11" t="n">
        <f aca="false">EXP(-($B$5+$B$6)*D85)</f>
        <v>0.310366941265485</v>
      </c>
      <c r="J85" s="11" t="n">
        <f aca="false">4*0.1/3</f>
        <v>0.133333333333333</v>
      </c>
    </row>
    <row r="86" customFormat="false" ht="15" hidden="false" customHeight="false" outlineLevel="0" collapsed="false">
      <c r="D86" s="16" t="n">
        <v>6.6</v>
      </c>
      <c r="E86" s="14" t="n">
        <f aca="false">$B$4/($B$5+$B$6)*(1-EXP(-($B$5+$B$6)*($B$7-D86)))</f>
        <v>1.2375292329503</v>
      </c>
      <c r="F86" s="14" t="n">
        <f aca="false">E86-$B$8</f>
        <v>-1.7624707670497</v>
      </c>
      <c r="G86" s="13" t="n">
        <f aca="false">IF(F86&gt;0,$B$9,0)</f>
        <v>0</v>
      </c>
      <c r="H86" s="14" t="n">
        <f aca="false">MAX(0,F86/$B$10)</f>
        <v>0</v>
      </c>
      <c r="I86" s="11" t="n">
        <f aca="false">EXP(-($B$5+$B$6)*D86)</f>
        <v>0.304830315443197</v>
      </c>
      <c r="J86" s="11" t="n">
        <f aca="false">2*0.1/3</f>
        <v>0.0666666666666667</v>
      </c>
    </row>
    <row r="87" customFormat="false" ht="15" hidden="false" customHeight="false" outlineLevel="0" collapsed="false">
      <c r="D87" s="16" t="n">
        <v>6.7</v>
      </c>
      <c r="E87" s="14" t="n">
        <f aca="false">$B$4/($B$5+$B$6)*(1-EXP(-($B$5+$B$6)*($B$7-D87)))</f>
        <v>1.15910102280231</v>
      </c>
      <c r="F87" s="14" t="n">
        <f aca="false">E87-$B$8</f>
        <v>-1.84089897719769</v>
      </c>
      <c r="G87" s="13" t="n">
        <f aca="false">IF(F87&gt;0,$B$9,0)</f>
        <v>0</v>
      </c>
      <c r="H87" s="14" t="n">
        <f aca="false">MAX(0,F87/$B$10)</f>
        <v>0</v>
      </c>
      <c r="I87" s="11" t="n">
        <f aca="false">EXP(-($B$5+$B$6)*D87)</f>
        <v>0.299392457309797</v>
      </c>
      <c r="J87" s="11" t="n">
        <f aca="false">4*0.1/3</f>
        <v>0.133333333333333</v>
      </c>
    </row>
    <row r="88" customFormat="false" ht="15" hidden="false" customHeight="false" outlineLevel="0" collapsed="false">
      <c r="D88" s="16" t="n">
        <v>6.8</v>
      </c>
      <c r="E88" s="14" t="n">
        <f aca="false">$B$4/($B$5+$B$6)*(1-EXP(-($B$5+$B$6)*($B$7-D88)))</f>
        <v>1.07924832292511</v>
      </c>
      <c r="F88" s="14" t="n">
        <f aca="false">E88-$B$8</f>
        <v>-1.92075167707489</v>
      </c>
      <c r="G88" s="13" t="n">
        <f aca="false">IF(F88&gt;0,$B$9,0)</f>
        <v>0</v>
      </c>
      <c r="H88" s="14" t="n">
        <f aca="false">MAX(0,F88/$B$10)</f>
        <v>0</v>
      </c>
      <c r="I88" s="11" t="n">
        <f aca="false">EXP(-($B$5+$B$6)*D88)</f>
        <v>0.294051604951678</v>
      </c>
      <c r="J88" s="11" t="n">
        <f aca="false">2*0.1/3</f>
        <v>0.0666666666666667</v>
      </c>
    </row>
    <row r="89" customFormat="false" ht="15" hidden="false" customHeight="false" outlineLevel="0" collapsed="false">
      <c r="D89" s="16" t="n">
        <v>6.9</v>
      </c>
      <c r="E89" s="14" t="n">
        <f aca="false">$B$4/($B$5+$B$6)*(1-EXP(-($B$5+$B$6)*($B$7-D89)))</f>
        <v>0.997945260345383</v>
      </c>
      <c r="F89" s="14" t="n">
        <f aca="false">E89-$B$8</f>
        <v>-2.00205473965462</v>
      </c>
      <c r="G89" s="13" t="n">
        <f aca="false">IF(F89&gt;0,$B$9,0)</f>
        <v>0</v>
      </c>
      <c r="H89" s="14" t="n">
        <f aca="false">MAX(0,F89/$B$10)</f>
        <v>0</v>
      </c>
      <c r="I89" s="11" t="n">
        <f aca="false">EXP(-($B$5+$B$6)*D89)</f>
        <v>0.288806027885956</v>
      </c>
      <c r="J89" s="11" t="n">
        <f aca="false">4*0.1/3</f>
        <v>0.133333333333333</v>
      </c>
    </row>
    <row r="90" customFormat="false" ht="15" hidden="false" customHeight="false" outlineLevel="0" collapsed="false">
      <c r="D90" s="16" t="n">
        <v>7</v>
      </c>
      <c r="E90" s="14" t="n">
        <f aca="false">$B$4/($B$5+$B$6)*(1-EXP(-($B$5+$B$6)*($B$7-D90)))</f>
        <v>0.9151654921596</v>
      </c>
      <c r="F90" s="14" t="n">
        <f aca="false">E90-$B$8</f>
        <v>-2.0848345078404</v>
      </c>
      <c r="G90" s="13" t="n">
        <f aca="false">IF(F90&gt;0,$B$9,0)</f>
        <v>0</v>
      </c>
      <c r="H90" s="14" t="n">
        <f aca="false">MAX(0,F90/$B$10)</f>
        <v>0</v>
      </c>
      <c r="I90" s="11" t="n">
        <f aca="false">EXP(-($B$5+$B$6)*D90)</f>
        <v>0.28365402649977</v>
      </c>
      <c r="J90" s="11" t="n">
        <f aca="false">2*0.1/3</f>
        <v>0.0666666666666667</v>
      </c>
    </row>
    <row r="91" customFormat="false" ht="15" hidden="false" customHeight="false" outlineLevel="0" collapsed="false">
      <c r="D91" s="16" t="n">
        <v>7.1</v>
      </c>
      <c r="E91" s="14" t="n">
        <f aca="false">$B$4/($B$5+$B$6)*(1-EXP(-($B$5+$B$6)*($B$7-D91)))</f>
        <v>0.830882196998706</v>
      </c>
      <c r="F91" s="14" t="n">
        <f aca="false">E91-$B$8</f>
        <v>-2.16911780300129</v>
      </c>
      <c r="G91" s="13" t="n">
        <f aca="false">IF(F91&gt;0,$B$9,0)</f>
        <v>0</v>
      </c>
      <c r="H91" s="14" t="n">
        <f aca="false">MAX(0,F91/$B$10)</f>
        <v>0</v>
      </c>
      <c r="I91" s="11" t="n">
        <f aca="false">EXP(-($B$5+$B$6)*D91)</f>
        <v>0.278593931499603</v>
      </c>
      <c r="J91" s="11" t="n">
        <f aca="false">4*0.1/3</f>
        <v>0.133333333333333</v>
      </c>
    </row>
    <row r="92" customFormat="false" ht="15" hidden="false" customHeight="false" outlineLevel="0" collapsed="false">
      <c r="D92" s="16" t="n">
        <v>7.2</v>
      </c>
      <c r="E92" s="14" t="n">
        <f aca="false">$B$4/($B$5+$B$6)*(1-EXP(-($B$5+$B$6)*($B$7-D92)))</f>
        <v>0.74506806633775</v>
      </c>
      <c r="F92" s="14" t="n">
        <f aca="false">E92-$B$8</f>
        <v>-2.25493193366225</v>
      </c>
      <c r="G92" s="13" t="n">
        <f aca="false">IF(F92&gt;0,$B$9,0)</f>
        <v>0</v>
      </c>
      <c r="H92" s="14" t="n">
        <f aca="false">MAX(0,F92/$B$10)</f>
        <v>0</v>
      </c>
      <c r="I92" s="11" t="n">
        <f aca="false">EXP(-($B$5+$B$6)*D92)</f>
        <v>0.273624103370408</v>
      </c>
      <c r="J92" s="11" t="n">
        <f aca="false">2*0.1/3</f>
        <v>0.0666666666666667</v>
      </c>
    </row>
    <row r="93" customFormat="false" ht="15" hidden="false" customHeight="false" outlineLevel="0" collapsed="false">
      <c r="D93" s="16" t="n">
        <v>7.3</v>
      </c>
      <c r="E93" s="14" t="n">
        <f aca="false">$B$4/($B$5+$B$6)*(1-EXP(-($B$5+$B$6)*($B$7-D93)))</f>
        <v>0.657695295647689</v>
      </c>
      <c r="F93" s="14" t="n">
        <f aca="false">E93-$B$8</f>
        <v>-2.34230470435231</v>
      </c>
      <c r="G93" s="13" t="n">
        <f aca="false">IF(F93&gt;0,$B$9,0)</f>
        <v>0</v>
      </c>
      <c r="H93" s="14" t="n">
        <f aca="false">MAX(0,F93/$B$10)</f>
        <v>0</v>
      </c>
      <c r="I93" s="11" t="n">
        <f aca="false">EXP(-($B$5+$B$6)*D93)</f>
        <v>0.268742931844394</v>
      </c>
      <c r="J93" s="11" t="n">
        <f aca="false">4*0.1/3</f>
        <v>0.133333333333333</v>
      </c>
    </row>
    <row r="94" customFormat="false" ht="15" hidden="false" customHeight="false" outlineLevel="0" collapsed="false">
      <c r="D94" s="16" t="n">
        <v>7.4</v>
      </c>
      <c r="E94" s="14" t="n">
        <f aca="false">$B$4/($B$5+$B$6)*(1-EXP(-($B$5+$B$6)*($B$7-D94)))</f>
        <v>0.568735575386472</v>
      </c>
      <c r="F94" s="14" t="n">
        <f aca="false">E94-$B$8</f>
        <v>-2.43126442461353</v>
      </c>
      <c r="G94" s="13" t="n">
        <f aca="false">IF(F94&gt;0,$B$9,0)</f>
        <v>0</v>
      </c>
      <c r="H94" s="14" t="n">
        <f aca="false">MAX(0,F94/$B$10)</f>
        <v>0</v>
      </c>
      <c r="I94" s="11" t="n">
        <f aca="false">EXP(-($B$5+$B$6)*D94)</f>
        <v>0.263948835379287</v>
      </c>
      <c r="J94" s="11" t="n">
        <f aca="false">2*0.1/3</f>
        <v>0.0666666666666667</v>
      </c>
    </row>
    <row r="95" customFormat="false" ht="15" hidden="false" customHeight="false" outlineLevel="0" collapsed="false">
      <c r="D95" s="16" t="n">
        <v>7.5</v>
      </c>
      <c r="E95" s="14" t="n">
        <f aca="false">$B$4/($B$5+$B$6)*(1-EXP(-($B$5+$B$6)*($B$7-D95)))</f>
        <v>0.47816008182651</v>
      </c>
      <c r="F95" s="14" t="n">
        <f aca="false">E95-$B$8</f>
        <v>-2.52183991817349</v>
      </c>
      <c r="G95" s="13" t="n">
        <f aca="false">IF(F95&gt;0,$B$9,0)</f>
        <v>0</v>
      </c>
      <c r="H95" s="14" t="n">
        <f aca="false">MAX(0,F95/$B$10)</f>
        <v>0</v>
      </c>
      <c r="I95" s="11" t="n">
        <f aca="false">EXP(-($B$5+$B$6)*D95)</f>
        <v>0.259240260645892</v>
      </c>
      <c r="J95" s="11" t="n">
        <f aca="false">4*0.1/3</f>
        <v>0.133333333333333</v>
      </c>
    </row>
    <row r="96" customFormat="false" ht="15" hidden="false" customHeight="false" outlineLevel="0" collapsed="false">
      <c r="D96" s="16" t="n">
        <v>7.6</v>
      </c>
      <c r="E96" s="14" t="n">
        <f aca="false">$B$4/($B$5+$B$6)*(1-EXP(-($B$5+$B$6)*($B$7-D96)))</f>
        <v>0.385939467715524</v>
      </c>
      <c r="F96" s="14" t="n">
        <f aca="false">E96-$B$8</f>
        <v>-2.61406053228448</v>
      </c>
      <c r="G96" s="13" t="n">
        <f aca="false">IF(F96&gt;0,$B$9,0)</f>
        <v>0</v>
      </c>
      <c r="H96" s="14" t="n">
        <f aca="false">MAX(0,F96/$B$10)</f>
        <v>0</v>
      </c>
      <c r="I96" s="11" t="n">
        <f aca="false">EXP(-($B$5+$B$6)*D96)</f>
        <v>0.254615682024804</v>
      </c>
      <c r="J96" s="11" t="n">
        <f aca="false">2*0.1/3</f>
        <v>0.0666666666666667</v>
      </c>
    </row>
    <row r="97" customFormat="false" ht="15" hidden="false" customHeight="false" outlineLevel="0" collapsed="false">
      <c r="D97" s="16" t="n">
        <v>7.7</v>
      </c>
      <c r="E97" s="14" t="n">
        <f aca="false">$B$4/($B$5+$B$6)*(1-EXP(-($B$5+$B$6)*($B$7-D97)))</f>
        <v>0.292043852767787</v>
      </c>
      <c r="F97" s="14" t="n">
        <f aca="false">E97-$B$8</f>
        <v>-2.70795614723221</v>
      </c>
      <c r="G97" s="13" t="n">
        <f aca="false">IF(F97&gt;0,$B$9,0)</f>
        <v>0</v>
      </c>
      <c r="H97" s="14" t="n">
        <f aca="false">MAX(0,F97/$B$10)</f>
        <v>0</v>
      </c>
      <c r="I97" s="11" t="n">
        <f aca="false">EXP(-($B$5+$B$6)*D97)</f>
        <v>0.250073601112094</v>
      </c>
      <c r="J97" s="11" t="n">
        <f aca="false">4*0.1/3</f>
        <v>0.133333333333333</v>
      </c>
    </row>
    <row r="98" customFormat="false" ht="15" hidden="false" customHeight="false" outlineLevel="0" collapsed="false">
      <c r="D98" s="16" t="n">
        <v>7.8</v>
      </c>
      <c r="E98" s="14" t="n">
        <f aca="false">$B$4/($B$5+$B$6)*(1-EXP(-($B$5+$B$6)*($B$7-D98)))</f>
        <v>0.19644281398265</v>
      </c>
      <c r="F98" s="14" t="n">
        <f aca="false">E98-$B$8</f>
        <v>-2.80355718601735</v>
      </c>
      <c r="G98" s="13" t="n">
        <f aca="false">IF(F98&gt;0,$B$9,0)</f>
        <v>0</v>
      </c>
      <c r="H98" s="14" t="n">
        <f aca="false">MAX(0,F98/$B$10)</f>
        <v>0</v>
      </c>
      <c r="I98" s="11" t="n">
        <f aca="false">EXP(-($B$5+$B$6)*D98)</f>
        <v>0.245612546233812</v>
      </c>
      <c r="J98" s="11" t="n">
        <f aca="false">2*0.1/3</f>
        <v>0.0666666666666667</v>
      </c>
    </row>
    <row r="99" customFormat="false" ht="15" hidden="false" customHeight="false" outlineLevel="0" collapsed="false">
      <c r="D99" s="16" t="n">
        <v>7.9</v>
      </c>
      <c r="E99" s="14" t="n">
        <f aca="false">$B$4/($B$5+$B$6)*(1-EXP(-($B$5+$B$6)*($B$7-D99)))</f>
        <v>0.099105375787218</v>
      </c>
      <c r="F99" s="14" t="n">
        <f aca="false">E99-$B$8</f>
        <v>-2.90089462421278</v>
      </c>
      <c r="G99" s="13" t="n">
        <f aca="false">IF(F99&gt;0,$B$9,0)</f>
        <v>0</v>
      </c>
      <c r="H99" s="14" t="n">
        <f aca="false">MAX(0,F99/$B$10)</f>
        <v>0</v>
      </c>
      <c r="I99" s="11" t="n">
        <f aca="false">EXP(-($B$5+$B$6)*D99)</f>
        <v>0.241231071969152</v>
      </c>
      <c r="J99" s="11" t="n">
        <f aca="false">4*0.1/3</f>
        <v>0.133333333333333</v>
      </c>
    </row>
    <row r="100" customFormat="false" ht="15" hidden="false" customHeight="false" outlineLevel="0" collapsed="false">
      <c r="D100" s="16" t="n">
        <v>8</v>
      </c>
      <c r="E100" s="14" t="n">
        <f aca="false">$B$4/($B$5+$B$6)*(1-EXP(-($B$5+$B$6)*($B$7-D100)))</f>
        <v>0</v>
      </c>
      <c r="F100" s="14" t="n">
        <f aca="false">E100-$B$8</f>
        <v>-3</v>
      </c>
      <c r="G100" s="13" t="n">
        <f aca="false">IF(F100&gt;0,$B$9,0)</f>
        <v>0</v>
      </c>
      <c r="H100" s="14" t="n">
        <f aca="false">MAX(0,F100/$B$10)</f>
        <v>0</v>
      </c>
      <c r="I100" s="11" t="n">
        <f aca="false">EXP(-($B$5+$B$6)*D100)</f>
        <v>0.236927758682122</v>
      </c>
      <c r="J100" s="11" t="n">
        <f aca="false">1*0.1/3</f>
        <v>0.0333333333333333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298</v>
      </c>
      <c r="B1" s="8" t="s">
        <v>299</v>
      </c>
      <c r="C1" s="8" t="s">
        <v>300</v>
      </c>
    </row>
    <row r="2" customFormat="false" ht="15" hidden="false" customHeight="false" outlineLevel="0" collapsed="false">
      <c r="A2" s="2" t="s">
        <v>301</v>
      </c>
      <c r="B2" s="25" t="n">
        <v>0.10127123193716</v>
      </c>
      <c r="C2" s="2" t="s">
        <v>302</v>
      </c>
    </row>
    <row r="3" customFormat="false" ht="15" hidden="false" customHeight="false" outlineLevel="0" collapsed="false">
      <c r="A3" s="2" t="s">
        <v>303</v>
      </c>
      <c r="B3" s="25" t="n">
        <v>10.127123193716</v>
      </c>
      <c r="C3" s="2" t="s">
        <v>304</v>
      </c>
    </row>
    <row r="4" customFormat="false" ht="15" hidden="false" customHeight="false" outlineLevel="0" collapsed="false">
      <c r="A4" s="2" t="s">
        <v>305</v>
      </c>
      <c r="B4" s="25" t="n">
        <v>1.71757017695694</v>
      </c>
      <c r="C4" s="2" t="s">
        <v>306</v>
      </c>
    </row>
    <row r="5" customFormat="false" ht="15" hidden="false" customHeight="false" outlineLevel="0" collapsed="false">
      <c r="A5" s="2" t="s">
        <v>307</v>
      </c>
      <c r="B5" s="25" t="n">
        <v>2.09772604906806</v>
      </c>
      <c r="C5" s="2" t="s">
        <v>308</v>
      </c>
    </row>
    <row r="6" customFormat="false" ht="15" hidden="false" customHeight="false" outlineLevel="0" collapsed="false">
      <c r="A6" s="2" t="s">
        <v>309</v>
      </c>
      <c r="B6" s="25" t="n">
        <v>4.44264303989051</v>
      </c>
      <c r="C6" s="2" t="s">
        <v>310</v>
      </c>
    </row>
    <row r="7" customFormat="false" ht="15" hidden="false" customHeight="false" outlineLevel="0" collapsed="false">
      <c r="A7" s="2" t="s">
        <v>311</v>
      </c>
      <c r="B7" s="25" t="n">
        <v>22.2796710261752</v>
      </c>
      <c r="C7" s="2" t="s">
        <v>312</v>
      </c>
    </row>
    <row r="8" customFormat="false" ht="15" hidden="false" customHeight="false" outlineLevel="0" collapsed="false">
      <c r="A8" s="2" t="s">
        <v>313</v>
      </c>
      <c r="B8" s="25" t="n">
        <v>-233.759615939411</v>
      </c>
      <c r="C8" s="2" t="s">
        <v>314</v>
      </c>
    </row>
    <row r="9" customFormat="false" ht="15" hidden="false" customHeight="false" outlineLevel="0" collapsed="false">
      <c r="A9" s="2" t="s">
        <v>315</v>
      </c>
      <c r="B9" s="25" t="n">
        <v>0.78632564696594</v>
      </c>
      <c r="C9" s="2" t="s">
        <v>316</v>
      </c>
    </row>
    <row r="10" customFormat="false" ht="15" hidden="false" customHeight="false" outlineLevel="0" collapsed="false">
      <c r="A10" s="2" t="s">
        <v>264</v>
      </c>
      <c r="B10" s="25" t="n">
        <v>-222.362657933191</v>
      </c>
      <c r="C10" s="2" t="s">
        <v>317</v>
      </c>
    </row>
    <row r="11" customFormat="false" ht="15" hidden="false" customHeight="false" outlineLevel="0" collapsed="false">
      <c r="A11" s="2" t="s">
        <v>263</v>
      </c>
      <c r="B11" s="25" t="n">
        <v>-254.892119102207</v>
      </c>
      <c r="C11" s="2" t="s">
        <v>318</v>
      </c>
    </row>
    <row r="12" customFormat="false" ht="15" hidden="false" customHeight="false" outlineLevel="0" collapsed="false">
      <c r="A12" s="2" t="s">
        <v>319</v>
      </c>
      <c r="B12" s="25" t="n">
        <v>32.5294611690156</v>
      </c>
      <c r="C12" s="2" t="s">
        <v>320</v>
      </c>
    </row>
    <row r="13" customFormat="false" ht="15" hidden="false" customHeight="false" outlineLevel="0" collapsed="false">
      <c r="A13" s="2" t="s">
        <v>321</v>
      </c>
      <c r="B13" s="25" t="n">
        <v>17.0429212130037</v>
      </c>
      <c r="C13" s="2" t="s">
        <v>236</v>
      </c>
    </row>
    <row r="14" customFormat="false" ht="15" hidden="false" customHeight="false" outlineLevel="0" collapsed="false">
      <c r="A14" s="2" t="s">
        <v>322</v>
      </c>
      <c r="B14" s="25" t="n">
        <v>13.4631886169443</v>
      </c>
      <c r="C14" s="2" t="s">
        <v>238</v>
      </c>
    </row>
    <row r="15" customFormat="false" ht="15" hidden="false" customHeight="false" outlineLevel="0" collapsed="false">
      <c r="A15" s="2" t="s">
        <v>323</v>
      </c>
      <c r="B15" s="25" t="n">
        <v>2.0233513390676</v>
      </c>
      <c r="C15" s="2" t="s">
        <v>240</v>
      </c>
    </row>
    <row r="16" customFormat="false" ht="15" hidden="false" customHeight="false" outlineLevel="0" collapsed="false">
      <c r="A16" s="2" t="s">
        <v>265</v>
      </c>
      <c r="B16" s="25" t="n">
        <v>10.129670746202</v>
      </c>
      <c r="C16" s="2" t="s">
        <v>324</v>
      </c>
    </row>
    <row r="17" customFormat="false" ht="15" hidden="false" customHeight="false" outlineLevel="0" collapsed="false">
      <c r="A17" s="2" t="s">
        <v>325</v>
      </c>
      <c r="B17" s="25" t="n">
        <v>10.56150008609</v>
      </c>
      <c r="C17" s="2" t="s">
        <v>326</v>
      </c>
    </row>
    <row r="18" customFormat="false" ht="15" hidden="false" customHeight="false" outlineLevel="0" collapsed="false">
      <c r="A18" s="2" t="s">
        <v>327</v>
      </c>
      <c r="B18" s="25" t="n">
        <v>11.0218471475924</v>
      </c>
      <c r="C18" s="2" t="s">
        <v>328</v>
      </c>
    </row>
    <row r="19" customFormat="false" ht="15" hidden="false" customHeight="false" outlineLevel="0" collapsed="false">
      <c r="A19" s="2" t="s">
        <v>329</v>
      </c>
      <c r="B19" s="25" t="n">
        <v>3.86251281420507</v>
      </c>
      <c r="C19" s="2" t="s">
        <v>330</v>
      </c>
    </row>
    <row r="20" customFormat="false" ht="15" hidden="false" customHeight="false" outlineLevel="0" collapsed="false">
      <c r="A20" s="2" t="s">
        <v>331</v>
      </c>
      <c r="B20" s="25" t="n">
        <v>3.60817056096118</v>
      </c>
      <c r="C20" s="2" t="s">
        <v>332</v>
      </c>
    </row>
    <row r="21" customFormat="false" ht="15" hidden="false" customHeight="false" outlineLevel="0" collapsed="false">
      <c r="A21" s="2" t="s">
        <v>333</v>
      </c>
      <c r="B21" s="25" t="n">
        <v>3.37836982274852</v>
      </c>
      <c r="C21" s="2" t="s">
        <v>334</v>
      </c>
    </row>
    <row r="22" customFormat="false" ht="15" hidden="false" customHeight="false" outlineLevel="0" collapsed="false">
      <c r="A22" s="2" t="s">
        <v>335</v>
      </c>
      <c r="B22" s="25" t="n">
        <v>10.1296707484266</v>
      </c>
      <c r="C22" s="2" t="s">
        <v>336</v>
      </c>
    </row>
    <row r="23" customFormat="false" ht="15" hidden="false" customHeight="false" outlineLevel="0" collapsed="false">
      <c r="A23" s="2" t="s">
        <v>337</v>
      </c>
      <c r="B23" s="25" t="n">
        <v>1.4210854715202E-014</v>
      </c>
      <c r="C23" s="2" t="s">
        <v>338</v>
      </c>
    </row>
    <row r="24" customFormat="false" ht="15" hidden="false" customHeight="false" outlineLevel="0" collapsed="false">
      <c r="A24" s="2" t="s">
        <v>339</v>
      </c>
      <c r="B24" s="25" t="n">
        <v>10.1296707462016</v>
      </c>
      <c r="C24" s="2" t="s">
        <v>340</v>
      </c>
    </row>
    <row r="25" customFormat="false" ht="15" hidden="false" customHeight="false" outlineLevel="0" collapsed="false">
      <c r="A25" s="2" t="s">
        <v>341</v>
      </c>
      <c r="B25" s="25" t="n">
        <v>3.60817056096092</v>
      </c>
      <c r="C25" s="2" t="s">
        <v>342</v>
      </c>
    </row>
    <row r="26" customFormat="false" ht="15" hidden="false" customHeight="false" outlineLevel="0" collapsed="false">
      <c r="A26" s="2" t="s">
        <v>343</v>
      </c>
      <c r="B26" s="25" t="n">
        <v>23</v>
      </c>
      <c r="C26" s="2" t="s">
        <v>344</v>
      </c>
    </row>
    <row r="27" customFormat="false" ht="15" hidden="false" customHeight="false" outlineLevel="0" collapsed="false">
      <c r="A27" s="2" t="s">
        <v>345</v>
      </c>
      <c r="B27" s="25" t="n">
        <v>157</v>
      </c>
      <c r="C27" s="2" t="s">
        <v>346</v>
      </c>
    </row>
    <row r="28" customFormat="false" ht="15" hidden="false" customHeight="false" outlineLevel="0" collapsed="false">
      <c r="A28" s="2" t="s">
        <v>347</v>
      </c>
      <c r="B28" s="25" t="n">
        <v>255.268848108228</v>
      </c>
      <c r="C28" s="2" t="s">
        <v>348</v>
      </c>
    </row>
    <row r="29" customFormat="false" ht="15" hidden="false" customHeight="false" outlineLevel="0" collapsed="false">
      <c r="A29" s="2" t="s">
        <v>349</v>
      </c>
      <c r="B29" s="25" t="n">
        <v>262.40014493361</v>
      </c>
      <c r="C29" s="2" t="s">
        <v>350</v>
      </c>
    </row>
    <row r="30" customFormat="false" ht="15" hidden="false" customHeight="false" outlineLevel="0" collapsed="false">
      <c r="A30" s="2" t="s">
        <v>351</v>
      </c>
      <c r="B30" s="25" t="n">
        <v>255.268848108228</v>
      </c>
      <c r="C30" s="2" t="s">
        <v>352</v>
      </c>
    </row>
    <row r="31" customFormat="false" ht="15" hidden="false" customHeight="false" outlineLevel="0" collapsed="false">
      <c r="A31" s="2" t="s">
        <v>353</v>
      </c>
      <c r="B31" s="25" t="n">
        <v>0.0217216177015587</v>
      </c>
      <c r="C31" s="2" t="s">
        <v>354</v>
      </c>
    </row>
    <row r="32" customFormat="false" ht="15" hidden="false" customHeight="false" outlineLevel="0" collapsed="false">
      <c r="A32" s="2" t="s">
        <v>355</v>
      </c>
      <c r="B32" s="25" t="n">
        <v>222.36280986579</v>
      </c>
      <c r="C32" s="2" t="s">
        <v>356</v>
      </c>
    </row>
    <row r="33" customFormat="false" ht="15" hidden="false" customHeight="false" outlineLevel="0" collapsed="false">
      <c r="A33" s="2" t="s">
        <v>357</v>
      </c>
      <c r="B33" s="25" t="n">
        <v>4.00756790142438</v>
      </c>
      <c r="C33" s="2" t="s">
        <v>358</v>
      </c>
    </row>
    <row r="34" customFormat="false" ht="15" hidden="false" customHeight="false" outlineLevel="0" collapsed="false">
      <c r="A34" s="2" t="s">
        <v>359</v>
      </c>
      <c r="B34" s="25" t="n">
        <v>0.786325656181419</v>
      </c>
      <c r="C34" s="2" t="s">
        <v>360</v>
      </c>
    </row>
    <row r="35" customFormat="false" ht="15" hidden="false" customHeight="false" outlineLevel="0" collapsed="false">
      <c r="A35" s="2" t="s">
        <v>361</v>
      </c>
      <c r="B35" s="25" t="n">
        <v>43.446246513125</v>
      </c>
      <c r="C35" s="2" t="s">
        <v>362</v>
      </c>
    </row>
    <row r="36" customFormat="false" ht="15" hidden="false" customHeight="false" outlineLevel="0" collapsed="false">
      <c r="A36" s="2" t="s">
        <v>363</v>
      </c>
      <c r="B36" s="25" t="n">
        <v>1.4210854715202E-014</v>
      </c>
      <c r="C36" s="2" t="s">
        <v>364</v>
      </c>
    </row>
    <row r="37" customFormat="false" ht="15" hidden="false" customHeight="false" outlineLevel="0" collapsed="false">
      <c r="A37" s="2" t="s">
        <v>365</v>
      </c>
      <c r="B37" s="25" t="n">
        <v>24.1474825120057</v>
      </c>
      <c r="C37" s="2" t="s">
        <v>91</v>
      </c>
    </row>
    <row r="38" customFormat="false" ht="15" hidden="false" customHeight="false" outlineLevel="0" collapsed="false">
      <c r="A38" s="2" t="s">
        <v>366</v>
      </c>
      <c r="B38" s="25" t="n">
        <v>23.01173239854</v>
      </c>
      <c r="C38" s="2" t="s">
        <v>93</v>
      </c>
    </row>
    <row r="39" customFormat="false" ht="15" hidden="false" customHeight="false" outlineLevel="0" collapsed="false">
      <c r="A39" s="2" t="s">
        <v>367</v>
      </c>
      <c r="B39" s="25" t="n">
        <v>-142.892119102207</v>
      </c>
      <c r="C39" s="2" t="s">
        <v>368</v>
      </c>
    </row>
    <row r="40" customFormat="false" ht="15" hidden="false" customHeight="false" outlineLevel="0" collapsed="false">
      <c r="A40" s="2" t="s">
        <v>369</v>
      </c>
      <c r="B40" s="25" t="n">
        <v>-165.903851500747</v>
      </c>
      <c r="C40" s="2" t="s">
        <v>370</v>
      </c>
    </row>
    <row r="41" customFormat="false" ht="15" hidden="false" customHeight="false" outlineLevel="0" collapsed="false">
      <c r="A41" s="2" t="s">
        <v>371</v>
      </c>
      <c r="B41" s="25" t="n">
        <v>28.4025339974826</v>
      </c>
      <c r="C41" s="2" t="s">
        <v>372</v>
      </c>
    </row>
    <row r="42" customFormat="false" ht="15" hidden="false" customHeight="false" outlineLevel="0" collapsed="false">
      <c r="A42" s="2" t="s">
        <v>373</v>
      </c>
      <c r="B42" s="25" t="n">
        <v>35.2144145105931</v>
      </c>
      <c r="C42" s="2" t="s">
        <v>374</v>
      </c>
    </row>
    <row r="43" customFormat="false" ht="15" hidden="false" customHeight="false" outlineLevel="0" collapsed="false">
      <c r="A43" s="2" t="s">
        <v>375</v>
      </c>
      <c r="B43" s="25" t="n">
        <v>42.2795251667728</v>
      </c>
      <c r="C43" s="2" t="s">
        <v>376</v>
      </c>
    </row>
    <row r="44" customFormat="false" ht="15" hidden="false" customHeight="false" outlineLevel="0" collapsed="false">
      <c r="A44" s="2" t="s">
        <v>377</v>
      </c>
      <c r="B44" s="25" t="n">
        <v>25.7978668605435</v>
      </c>
      <c r="C44" s="2" t="s">
        <v>378</v>
      </c>
    </row>
    <row r="45" customFormat="false" ht="15" hidden="false" customHeight="false" outlineLevel="0" collapsed="false">
      <c r="A45" s="2" t="s">
        <v>379</v>
      </c>
      <c r="B45" s="25" t="n">
        <v>45.9926497859599</v>
      </c>
      <c r="C45" s="2" t="s">
        <v>380</v>
      </c>
    </row>
    <row r="46" customFormat="false" ht="15" hidden="false" customHeight="false" outlineLevel="0" collapsed="false">
      <c r="A46" s="2" t="s">
        <v>381</v>
      </c>
      <c r="B46" s="25" t="n">
        <v>48.5213823894352</v>
      </c>
      <c r="C46" s="2" t="s">
        <v>382</v>
      </c>
    </row>
    <row r="47" customFormat="false" ht="15" hidden="false" customHeight="false" outlineLevel="0" collapsed="false">
      <c r="A47" s="2" t="s">
        <v>383</v>
      </c>
      <c r="B47" s="25" t="n">
        <v>4.23929022954377</v>
      </c>
      <c r="C47" s="2" t="s">
        <v>384</v>
      </c>
    </row>
    <row r="48" customFormat="false" ht="15" hidden="false" customHeight="false" outlineLevel="0" collapsed="false">
      <c r="A48" s="2" t="s">
        <v>385</v>
      </c>
      <c r="B48" s="25" t="n">
        <v>4.23929022954377</v>
      </c>
      <c r="C48" s="2" t="s">
        <v>386</v>
      </c>
    </row>
    <row r="49" customFormat="false" ht="15" hidden="false" customHeight="false" outlineLevel="0" collapsed="false">
      <c r="A49" s="2" t="s">
        <v>387</v>
      </c>
      <c r="B49" s="25" t="n">
        <v>3.68595116945002</v>
      </c>
      <c r="C49" s="2" t="s">
        <v>388</v>
      </c>
    </row>
    <row r="50" customFormat="false" ht="15" hidden="false" customHeight="false" outlineLevel="0" collapsed="false">
      <c r="A50" s="2" t="s">
        <v>389</v>
      </c>
      <c r="B50" s="25" t="n">
        <v>0.309822557385942</v>
      </c>
      <c r="C50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298</v>
      </c>
      <c r="B1" s="8" t="s">
        <v>391</v>
      </c>
      <c r="C1" s="8" t="s">
        <v>299</v>
      </c>
      <c r="D1" s="8" t="s">
        <v>392</v>
      </c>
      <c r="E1" s="8" t="s">
        <v>393</v>
      </c>
      <c r="F1" s="8" t="s">
        <v>394</v>
      </c>
    </row>
    <row r="2" customFormat="false" ht="15" hidden="false" customHeight="false" outlineLevel="0" collapsed="false">
      <c r="A2" s="2" t="s">
        <v>301</v>
      </c>
      <c r="B2" s="11" t="n">
        <f aca="false">Declarations!B5</f>
        <v>0.10127123193716</v>
      </c>
      <c r="C2" s="21" t="n">
        <f aca="false">Reference_Values!B2</f>
        <v>0.10127123193716</v>
      </c>
      <c r="D2" s="18" t="n">
        <f aca="false">ABS(B2-C2)</f>
        <v>4.16333634234434E-016</v>
      </c>
      <c r="E2" s="28" t="n">
        <v>1E-012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303</v>
      </c>
      <c r="B3" s="11" t="n">
        <f aca="false">Declarations!B8</f>
        <v>10.127123193716</v>
      </c>
      <c r="C3" s="21" t="n">
        <f aca="false">Reference_Values!B3</f>
        <v>10.127123193716</v>
      </c>
      <c r="D3" s="18" t="n">
        <f aca="false">ABS(B3-C3)</f>
        <v>4.08562073062058E-014</v>
      </c>
      <c r="E3" s="28" t="n">
        <v>1E-012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305</v>
      </c>
      <c r="B4" s="11" t="n">
        <f aca="false">Simulate!C4</f>
        <v>1.71757017695695</v>
      </c>
      <c r="C4" s="21" t="n">
        <f aca="false">Reference_Values!B4</f>
        <v>1.71757017695694</v>
      </c>
      <c r="D4" s="18" t="n">
        <f aca="false">ABS(B4-C4)</f>
        <v>7.54951656745106E-015</v>
      </c>
      <c r="E4" s="28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307</v>
      </c>
      <c r="B5" s="11" t="n">
        <f aca="false">Simulate!C5</f>
        <v>2.09772604906806</v>
      </c>
      <c r="C5" s="21" t="n">
        <f aca="false">Reference_Values!B5</f>
        <v>2.09772604906806</v>
      </c>
      <c r="D5" s="18" t="n">
        <f aca="false">ABS(B5-C5)</f>
        <v>8.88178419700125E-015</v>
      </c>
      <c r="E5" s="28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309</v>
      </c>
      <c r="B6" s="11" t="n">
        <f aca="false">Simulate!C6</f>
        <v>4.44264303989053</v>
      </c>
      <c r="C6" s="21" t="n">
        <f aca="false">Reference_Values!B6</f>
        <v>4.44264303989051</v>
      </c>
      <c r="D6" s="18" t="n">
        <f aca="false">ABS(B6-C6)</f>
        <v>1.86517468137026E-014</v>
      </c>
      <c r="E6" s="28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311</v>
      </c>
      <c r="B7" s="11" t="n">
        <f aca="false">Floor!B5</f>
        <v>22.2796710261751</v>
      </c>
      <c r="C7" s="21" t="n">
        <f aca="false">Reference_Values!B7</f>
        <v>22.2796710261752</v>
      </c>
      <c r="D7" s="18" t="n">
        <f aca="false">ABS(B7-C7)</f>
        <v>9.2370555648813E-014</v>
      </c>
      <c r="E7" s="28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313</v>
      </c>
      <c r="B8" s="11" t="n">
        <f aca="false">Floor!B6</f>
        <v>-233.75961593941</v>
      </c>
      <c r="C8" s="21" t="n">
        <f aca="false">Reference_Values!B8</f>
        <v>-233.759615939411</v>
      </c>
      <c r="D8" s="18" t="n">
        <f aca="false">ABS(B8-C8)</f>
        <v>9.9475983006414E-013</v>
      </c>
      <c r="E8" s="28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315</v>
      </c>
      <c r="B9" s="11" t="n">
        <f aca="false">Floor!B9</f>
        <v>0.786325646965938</v>
      </c>
      <c r="C9" s="21" t="n">
        <f aca="false">Reference_Values!B9</f>
        <v>0.78632564696594</v>
      </c>
      <c r="D9" s="18" t="n">
        <f aca="false">ABS(B9-C9)</f>
        <v>0</v>
      </c>
      <c r="E9" s="28" t="n">
        <v>1E-012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264</v>
      </c>
      <c r="B10" s="11" t="n">
        <f aca="false">Prices!B9</f>
        <v>-222.36265793319</v>
      </c>
      <c r="C10" s="21" t="n">
        <f aca="false">Reference_Values!B10</f>
        <v>-222.362657933191</v>
      </c>
      <c r="D10" s="18" t="n">
        <f aca="false">ABS(B10-C10)</f>
        <v>1.05160324892495E-012</v>
      </c>
      <c r="E10" s="28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263</v>
      </c>
      <c r="B11" s="11" t="n">
        <f aca="false">Prices!B4</f>
        <v>-254.892119102206</v>
      </c>
      <c r="C11" s="21" t="n">
        <f aca="false">Reference_Values!B11</f>
        <v>-254.892119102207</v>
      </c>
      <c r="D11" s="18" t="n">
        <f aca="false">ABS(B11-C11)</f>
        <v>9.9475983006414E-013</v>
      </c>
      <c r="E11" s="28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319</v>
      </c>
      <c r="B12" s="11" t="n">
        <f aca="false">Certify!B84</f>
        <v>32.5294611690156</v>
      </c>
      <c r="C12" s="21" t="n">
        <f aca="false">Reference_Values!B12</f>
        <v>32.5294611690156</v>
      </c>
      <c r="D12" s="18" t="n">
        <f aca="false">ABS(B12-C12)</f>
        <v>0</v>
      </c>
      <c r="E12" s="28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321</v>
      </c>
      <c r="B13" s="11" t="n">
        <f aca="false">Certify!B81</f>
        <v>17.0429212130037</v>
      </c>
      <c r="C13" s="21" t="n">
        <f aca="false">Reference_Values!B13</f>
        <v>17.0429212130037</v>
      </c>
      <c r="D13" s="18" t="n">
        <f aca="false">ABS(B13-C13)</f>
        <v>0</v>
      </c>
      <c r="E13" s="28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322</v>
      </c>
      <c r="B14" s="11" t="n">
        <f aca="false">Certify!B82</f>
        <v>13.4631886169443</v>
      </c>
      <c r="C14" s="21" t="n">
        <f aca="false">Reference_Values!B14</f>
        <v>13.4631886169443</v>
      </c>
      <c r="D14" s="18" t="n">
        <f aca="false">ABS(B14-C14)</f>
        <v>0</v>
      </c>
      <c r="E14" s="28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323</v>
      </c>
      <c r="B15" s="11" t="n">
        <f aca="false">Certify!B83</f>
        <v>2.02335133906762</v>
      </c>
      <c r="C15" s="21" t="n">
        <f aca="false">Reference_Values!B15</f>
        <v>2.0233513390676</v>
      </c>
      <c r="D15" s="18" t="n">
        <f aca="false">ABS(B15-C15)</f>
        <v>1.64313007644523E-014</v>
      </c>
      <c r="E15" s="28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265</v>
      </c>
      <c r="B16" s="11" t="n">
        <f aca="false">Prices!C4</f>
        <v>10.129670746202</v>
      </c>
      <c r="C16" s="21" t="n">
        <f aca="false">Reference_Values!B16</f>
        <v>10.129670746202</v>
      </c>
      <c r="D16" s="18" t="n">
        <f aca="false">ABS(B16-C16)</f>
        <v>0</v>
      </c>
      <c r="E16" s="28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325</v>
      </c>
      <c r="B17" s="11" t="n">
        <f aca="false">Prices!C5</f>
        <v>10.56150008609</v>
      </c>
      <c r="C17" s="21" t="n">
        <f aca="false">Reference_Values!B17</f>
        <v>10.56150008609</v>
      </c>
      <c r="D17" s="18" t="n">
        <f aca="false">ABS(B17-C17)</f>
        <v>0</v>
      </c>
      <c r="E17" s="28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327</v>
      </c>
      <c r="B18" s="11" t="n">
        <f aca="false">Prices!C12</f>
        <v>11.0218471475924</v>
      </c>
      <c r="C18" s="21" t="n">
        <f aca="false">Reference_Values!B18</f>
        <v>11.0218471475924</v>
      </c>
      <c r="D18" s="18" t="n">
        <f aca="false">ABS(B18-C18)</f>
        <v>0</v>
      </c>
      <c r="E18" s="28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329</v>
      </c>
      <c r="B19" s="11" t="n">
        <f aca="false">Prices!C8</f>
        <v>3.86251281420506</v>
      </c>
      <c r="C19" s="21" t="n">
        <f aca="false">Reference_Values!B19</f>
        <v>3.86251281420507</v>
      </c>
      <c r="D19" s="18" t="n">
        <f aca="false">ABS(B19-C19)</f>
        <v>0</v>
      </c>
      <c r="E19" s="28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331</v>
      </c>
      <c r="B20" s="11" t="n">
        <f aca="false">Prices!C9</f>
        <v>3.60817056096118</v>
      </c>
      <c r="C20" s="21" t="n">
        <f aca="false">Reference_Values!B20</f>
        <v>3.60817056096118</v>
      </c>
      <c r="D20" s="18" t="n">
        <f aca="false">ABS(B20-C20)</f>
        <v>0</v>
      </c>
      <c r="E20" s="28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333</v>
      </c>
      <c r="B21" s="11" t="n">
        <f aca="false">Prices!C10</f>
        <v>3.37836982274852</v>
      </c>
      <c r="C21" s="21" t="n">
        <f aca="false">Reference_Values!B21</f>
        <v>3.37836982274852</v>
      </c>
      <c r="D21" s="18" t="n">
        <f aca="false">ABS(B21-C21)</f>
        <v>0</v>
      </c>
      <c r="E21" s="28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335</v>
      </c>
      <c r="B22" s="11" t="n">
        <f aca="false">Prices!D4</f>
        <v>10.1296707468634</v>
      </c>
      <c r="C22" s="21" t="n">
        <f aca="false">Reference_Values!B22</f>
        <v>10.1296707484266</v>
      </c>
      <c r="D22" s="18" t="n">
        <f aca="false">ABS(B22-C22)</f>
        <v>1.56319046595854E-009</v>
      </c>
      <c r="E22" s="28" t="n">
        <v>1E-006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337</v>
      </c>
      <c r="B23" s="11" t="n">
        <f aca="false">Hamiltonian!I49</f>
        <v>0</v>
      </c>
      <c r="C23" s="21" t="n">
        <f aca="false">Reference_Values!B23</f>
        <v>1.4210854715202E-014</v>
      </c>
      <c r="D23" s="18" t="n">
        <f aca="false">ABS(B23-C23)</f>
        <v>1.4210854715202E-014</v>
      </c>
      <c r="E23" s="28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339</v>
      </c>
      <c r="B24" s="11" t="n">
        <f aca="false">Shooting!D59</f>
        <v>10.129670746202</v>
      </c>
      <c r="C24" s="21" t="n">
        <f aca="false">Reference_Values!B24</f>
        <v>10.1296707462016</v>
      </c>
      <c r="D24" s="18" t="n">
        <f aca="false">ABS(B24-C24)</f>
        <v>3.96127575186256E-013</v>
      </c>
      <c r="E24" s="28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341</v>
      </c>
      <c r="B25" s="11" t="n">
        <f aca="false">Shooting!K59</f>
        <v>3.60817056096117</v>
      </c>
      <c r="C25" s="21" t="n">
        <f aca="false">Reference_Values!B25</f>
        <v>3.60817056096092</v>
      </c>
      <c r="D25" s="18" t="n">
        <f aca="false">ABS(B25-C25)</f>
        <v>2.59348098552437E-013</v>
      </c>
      <c r="E25" s="28" t="n">
        <v>1E-009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343</v>
      </c>
      <c r="B26" s="11" t="n">
        <f aca="false">Transcription!B9</f>
        <v>23</v>
      </c>
      <c r="C26" s="21" t="n">
        <f aca="false">Reference_Values!B26</f>
        <v>23</v>
      </c>
      <c r="D26" s="18" t="n">
        <f aca="false">ABS(B26-C26)</f>
        <v>0</v>
      </c>
      <c r="E26" s="28" t="n">
        <v>0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345</v>
      </c>
      <c r="B27" s="11" t="n">
        <f aca="false">Transcription!C9</f>
        <v>157</v>
      </c>
      <c r="C27" s="21" t="n">
        <f aca="false">Reference_Values!B27</f>
        <v>157</v>
      </c>
      <c r="D27" s="18" t="n">
        <f aca="false">ABS(B27-C27)</f>
        <v>0</v>
      </c>
      <c r="E27" s="28" t="n">
        <v>0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347</v>
      </c>
      <c r="B28" s="11" t="n">
        <f aca="false">Transcription!F17</f>
        <v>255.268848108229</v>
      </c>
      <c r="C28" s="21" t="n">
        <f aca="false">Reference_Values!B28</f>
        <v>255.268848108228</v>
      </c>
      <c r="D28" s="18" t="n">
        <f aca="false">ABS(B28-C28)</f>
        <v>0</v>
      </c>
      <c r="E28" s="28" t="n">
        <v>1E-006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349</v>
      </c>
      <c r="B29" s="11" t="n">
        <f aca="false">Transcription!F21</f>
        <v>262.400144933611</v>
      </c>
      <c r="C29" s="21" t="n">
        <f aca="false">Reference_Values!B29</f>
        <v>262.40014493361</v>
      </c>
      <c r="D29" s="18" t="n">
        <f aca="false">ABS(B29-C29)</f>
        <v>0</v>
      </c>
      <c r="E29" s="28" t="n">
        <v>1E-006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351</v>
      </c>
      <c r="B30" s="11" t="n">
        <f aca="false">Transcription!B67</f>
        <v>255.268848108229</v>
      </c>
      <c r="C30" s="21" t="n">
        <f aca="false">Reference_Values!B30</f>
        <v>255.268848108228</v>
      </c>
      <c r="D30" s="18" t="n">
        <f aca="false">ABS(B30-C30)</f>
        <v>0</v>
      </c>
      <c r="E30" s="28" t="n">
        <v>1E-006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353</v>
      </c>
      <c r="B31" s="11" t="n">
        <f aca="false">Transcription!I22</f>
        <v>0.0217216177215676</v>
      </c>
      <c r="C31" s="21" t="n">
        <f aca="false">Reference_Values!B31</f>
        <v>0.0217216177015587</v>
      </c>
      <c r="D31" s="18" t="n">
        <f aca="false">ABS(B31-C31)</f>
        <v>2.00088834390044E-011</v>
      </c>
      <c r="E31" s="28" t="n">
        <v>1E-006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355</v>
      </c>
      <c r="B32" s="11" t="n">
        <f aca="false">Transcription!D27</f>
        <v>222.36280986579</v>
      </c>
      <c r="C32" s="21" t="n">
        <f aca="false">Reference_Values!B32</f>
        <v>222.36280986579</v>
      </c>
      <c r="D32" s="18" t="n">
        <f aca="false">ABS(B32-C32)</f>
        <v>0</v>
      </c>
      <c r="E32" s="28" t="n">
        <v>1E-006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357</v>
      </c>
      <c r="B33" s="11" t="n">
        <f aca="false">Transcription!B11</f>
        <v>4.00756790142459</v>
      </c>
      <c r="C33" s="21" t="n">
        <f aca="false">Reference_Values!B33</f>
        <v>4.00756790142438</v>
      </c>
      <c r="D33" s="18" t="n">
        <f aca="false">ABS(B33-C33)</f>
        <v>2.1138646388863E-013</v>
      </c>
      <c r="E33" s="28" t="n">
        <v>1E-006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359</v>
      </c>
      <c r="B34" s="11" t="n">
        <f aca="false">Transcription!C12</f>
        <v>0.786325656181345</v>
      </c>
      <c r="C34" s="21" t="n">
        <f aca="false">Reference_Values!B34</f>
        <v>0.786325656181419</v>
      </c>
      <c r="D34" s="18" t="n">
        <f aca="false">ABS(B34-C34)</f>
        <v>7.41628980449605E-014</v>
      </c>
      <c r="E34" s="28" t="n">
        <v>1E-006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361</v>
      </c>
      <c r="B35" s="11" t="n">
        <f aca="false">Certify!E58</f>
        <v>43.4462465131247</v>
      </c>
      <c r="C35" s="21" t="n">
        <f aca="false">Reference_Values!B35</f>
        <v>43.446246513125</v>
      </c>
      <c r="D35" s="18" t="n">
        <f aca="false">ABS(B35-C35)</f>
        <v>2.55795384873636E-013</v>
      </c>
      <c r="E35" s="28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363</v>
      </c>
      <c r="B36" s="11" t="n">
        <f aca="false">Certify!F79</f>
        <v>0</v>
      </c>
      <c r="C36" s="21" t="n">
        <f aca="false">Reference_Values!B36</f>
        <v>1.4210854715202E-014</v>
      </c>
      <c r="D36" s="18" t="n">
        <f aca="false">ABS(B36-C36)</f>
        <v>1.4210854715202E-014</v>
      </c>
      <c r="E36" s="28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365</v>
      </c>
      <c r="B37" s="11" t="n">
        <f aca="false">Plans!B10</f>
        <v>24.1474825120057</v>
      </c>
      <c r="C37" s="21" t="n">
        <f aca="false">Reference_Values!B37</f>
        <v>24.1474825120057</v>
      </c>
      <c r="D37" s="18" t="n">
        <f aca="false">ABS(B37-C37)</f>
        <v>0</v>
      </c>
      <c r="E37" s="28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366</v>
      </c>
      <c r="B38" s="11" t="n">
        <f aca="false">Plans!B11</f>
        <v>23.0117323985399</v>
      </c>
      <c r="C38" s="21" t="n">
        <f aca="false">Reference_Values!B38</f>
        <v>23.01173239854</v>
      </c>
      <c r="D38" s="18" t="n">
        <f aca="false">ABS(B38-C38)</f>
        <v>0</v>
      </c>
      <c r="E38" s="28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367</v>
      </c>
      <c r="B39" s="11" t="n">
        <f aca="false">Plans!G5</f>
        <v>-142.892119102206</v>
      </c>
      <c r="C39" s="21" t="n">
        <f aca="false">Reference_Values!B39</f>
        <v>-142.892119102207</v>
      </c>
      <c r="D39" s="18" t="n">
        <f aca="false">ABS(B39-C39)</f>
        <v>9.9475983006414E-013</v>
      </c>
      <c r="E39" s="28" t="n">
        <v>1E-009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369</v>
      </c>
      <c r="B40" s="11" t="n">
        <f aca="false">Plans!G8</f>
        <v>-165.903851500746</v>
      </c>
      <c r="C40" s="21" t="n">
        <f aca="false">Reference_Values!B40</f>
        <v>-165.903851500747</v>
      </c>
      <c r="D40" s="18" t="n">
        <f aca="false">ABS(B40-C40)</f>
        <v>1.08002495835535E-012</v>
      </c>
      <c r="E40" s="28" t="n">
        <v>1E-009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371</v>
      </c>
      <c r="B41" s="11" t="n">
        <f aca="false">Compare!C20</f>
        <v>28.4025339974826</v>
      </c>
      <c r="C41" s="21" t="n">
        <f aca="false">Reference_Values!B41</f>
        <v>28.4025339974826</v>
      </c>
      <c r="D41" s="18" t="n">
        <f aca="false">ABS(B41-C41)</f>
        <v>0</v>
      </c>
      <c r="E41" s="28" t="n">
        <v>1E-009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373</v>
      </c>
      <c r="B42" s="11" t="n">
        <f aca="false">Compare!D20</f>
        <v>35.2144145105931</v>
      </c>
      <c r="C42" s="21" t="n">
        <f aca="false">Reference_Values!B42</f>
        <v>35.2144145105931</v>
      </c>
      <c r="D42" s="18" t="n">
        <f aca="false">ABS(B42-C42)</f>
        <v>0</v>
      </c>
      <c r="E42" s="28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375</v>
      </c>
      <c r="B43" s="11" t="n">
        <f aca="false">Compare!E20</f>
        <v>42.279525166773</v>
      </c>
      <c r="C43" s="21" t="n">
        <f aca="false">Reference_Values!B43</f>
        <v>42.2795251667728</v>
      </c>
      <c r="D43" s="18" t="n">
        <f aca="false">ABS(B43-C43)</f>
        <v>1.98951966012828E-013</v>
      </c>
      <c r="E43" s="28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377</v>
      </c>
      <c r="B44" s="11" t="n">
        <f aca="false">Compare!F20</f>
        <v>25.7978668605434</v>
      </c>
      <c r="C44" s="21" t="n">
        <f aca="false">Reference_Values!B44</f>
        <v>25.7978668605435</v>
      </c>
      <c r="D44" s="18" t="n">
        <f aca="false">ABS(B44-C44)</f>
        <v>0</v>
      </c>
      <c r="E44" s="28" t="n">
        <v>1E-009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379</v>
      </c>
      <c r="B45" s="11" t="n">
        <f aca="false">Compare!G20</f>
        <v>45.9926497859599</v>
      </c>
      <c r="C45" s="21" t="n">
        <f aca="false">Reference_Values!B45</f>
        <v>45.9926497859599</v>
      </c>
      <c r="D45" s="18" t="n">
        <f aca="false">ABS(B45-C45)</f>
        <v>0</v>
      </c>
      <c r="E45" s="28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381</v>
      </c>
      <c r="B46" s="11" t="n">
        <f aca="false">Compare!H20</f>
        <v>48.5213823894354</v>
      </c>
      <c r="C46" s="21" t="n">
        <f aca="false">Reference_Values!B46</f>
        <v>48.5213823894352</v>
      </c>
      <c r="D46" s="18" t="n">
        <f aca="false">ABS(B46-C46)</f>
        <v>0</v>
      </c>
      <c r="E46" s="28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383</v>
      </c>
      <c r="B47" s="11" t="n">
        <f aca="false">CapitalProblems!B12</f>
        <v>4.23929022954377</v>
      </c>
      <c r="C47" s="21" t="n">
        <f aca="false">Reference_Values!B47</f>
        <v>4.23929022954377</v>
      </c>
      <c r="D47" s="18" t="n">
        <f aca="false">ABS(B47-C47)</f>
        <v>0</v>
      </c>
      <c r="E47" s="28" t="n">
        <v>1E-009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385</v>
      </c>
      <c r="B48" s="11" t="n">
        <f aca="false">CapitalProblems!B15</f>
        <v>4.23929023201603</v>
      </c>
      <c r="C48" s="21" t="n">
        <f aca="false">Reference_Values!B48</f>
        <v>4.23929022954377</v>
      </c>
      <c r="D48" s="18" t="n">
        <f aca="false">ABS(B48-C48)</f>
        <v>2.47225795391159E-009</v>
      </c>
      <c r="E48" s="28" t="n">
        <v>1E-006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387</v>
      </c>
      <c r="B49" s="11" t="n">
        <f aca="false">CapitalProblems!B13</f>
        <v>3.68595116945002</v>
      </c>
      <c r="C49" s="21" t="n">
        <f aca="false">Reference_Values!B49</f>
        <v>3.68595116945002</v>
      </c>
      <c r="D49" s="18" t="n">
        <f aca="false">ABS(B49-C49)</f>
        <v>0</v>
      </c>
      <c r="E49" s="28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389</v>
      </c>
      <c r="B50" s="11" t="n">
        <f aca="false">CapitalProblems!B14</f>
        <v>0.309822557385942</v>
      </c>
      <c r="C50" s="21" t="n">
        <f aca="false">Reference_Values!B50</f>
        <v>0.309822557385942</v>
      </c>
      <c r="D50" s="18" t="n">
        <f aca="false">ABS(B50-C50)</f>
        <v>0</v>
      </c>
      <c r="E50" s="28" t="n">
        <v>1E-009</v>
      </c>
      <c r="F50" s="4" t="str">
        <f aca="false">IF(D50&lt;=E50,"PASS","FAIL")</f>
        <v>PASS</v>
      </c>
    </row>
    <row r="52" customFormat="false" ht="15" hidden="false" customHeight="false" outlineLevel="0" collapsed="false">
      <c r="A52" s="4" t="s">
        <v>395</v>
      </c>
      <c r="F52" s="4" t="str">
        <f aca="false">IF(COUNTIF(F2:F50,"PASS")=49,"ALL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2026-10-05T08:40:51Z</dcterms:created>
  <dc:creator>openpyxl</dc:creator>
  <dc:description/>
  <dc:language>en-US</dc:language>
  <cp:lastModifiedBy/>
  <dcterms:modified xsi:type="dcterms:W3CDTF">2026-10-05T08:40:52Z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