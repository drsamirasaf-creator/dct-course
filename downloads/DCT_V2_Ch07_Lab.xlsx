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CriticalRatio" sheetId="3" state="visible" r:id="rId5"/>
    <sheet name="BackwardInduction" sheetId="4" state="visible" r:id="rId6"/>
    <sheet name="LookAhead" sheetId="5" state="visible" r:id="rId7"/>
    <sheet name="Values" sheetId="6" state="visible" r:id="rId8"/>
    <sheet name="Prices" sheetId="7" state="visible" r:id="rId9"/>
    <sheet name="UpperBound" sheetId="8" state="visible" r:id="rId10"/>
    <sheet name="RulesAndPlans" sheetId="9" state="visible" r:id="rId11"/>
    <sheet name="Reference_Values" sheetId="10" state="visible" r:id="rId12"/>
    <sheet name="Checks" sheetId="11" state="visible" r:id="rId13"/>
  </sheets>
  <definedNames>
    <definedName function="false" hidden="false" name="Alpha_keep" vbProcedure="false">Declarations!$B$6</definedName>
    <definedName function="false" hidden="false" name="Beta_q" vbProcedure="false">Declarations!$B$5</definedName>
    <definedName function="false" hidden="false" name="Cap_h" vbProcedure="false">Declarations!$B$8</definedName>
    <definedName function="false" hidden="false" name="Cost_k" vbProcedure="false">Declarations!$B$7</definedName>
    <definedName function="false" hidden="false" name="Floor_c" vbProcedure="false">Declarations!$B$9</definedName>
    <definedName function="false" hidden="false" name="Loss_p" vbProcedure="false">Declarations!$B$16:$B$20</definedName>
    <definedName function="false" hidden="false" name="Loss_w" vbProcedure="false">Declarations!$A$16:$A$20</definedName>
    <definedName function="false" hidden="false" name="Mean_w" vbProcedure="false">Declarations!$B$22</definedName>
    <definedName function="false" hidden="false" name="Short_p" vbProcedure="false">Declarations!$B$12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<sst xmlns="http://schemas.openxmlformats.org/spreadsheetml/2006/main" count="316" uniqueCount="278">
  <si>
    <t xml:space="preserve">DCT Laboratory — Vol II, Ch 7: Dynamic Programming for Enterprise Systems</t>
  </si>
  <si>
    <t xml:space="preserve">Seed 26207 · Companion to DCT_V2_Ch07_Lab.ipynb and AXIOM Lab 2.7 (module AXIOM-07). Money in $ million.</t>
  </si>
  <si>
    <t xml:space="preserve">Worked Example 7.1, How Much Margin Should Meridian Hold Above the Capability Floor?, with the book's declarations.</t>
  </si>
  <si>
    <t xml:space="preserve">Declarations: the inputs of Step 1. CriticalRatio: Theorem 7.2's critical ratio and the target 55.75.</t>
  </si>
  <si>
    <t xml:space="preserve">BackwardInduction: a twelve-quarter horizon solved by formulas on a grid of 0.25 points, with its rule table.</t>
  </si>
  <si>
    <t xml:space="preserve">LookAhead: the value of each hiring decision one quarter ahead at three capability levels.</t>
  </si>
  <si>
    <t xml:space="preserve">Values: the engine's value function V* on a grid of 0.05 points; the formulas apply the Bellman operator to it and certify it by its residual.</t>
  </si>
  <si>
    <t xml:space="preserve">Prices: the price of a point and the engineering team's value. UpperBound: Theorem 7.2(iii), a bound on what any rule can achieve.</t>
  </si>
  <si>
    <t xml:space="preserve">RulesAndPlans: Table 7.3 and the value of responding, from the engine's exact evaluations.</t>
  </si>
  <si>
    <t xml:space="preserve">Value iteration (813 sweeps), policy iteration, the simulation and the finer calendars run in the notebook.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</si>
  <si>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</si>
  <si>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</si>
  <si>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</si>
  <si>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</si>
  <si>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</si>
  <si>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</si>
  <si>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7.1, Step 1). Money in $ million; capability in points.</t>
  </si>
  <si>
    <t xml:space="preserve">Quantity</t>
  </si>
  <si>
    <t xml:space="preserve">Value</t>
  </si>
  <si>
    <t xml:space="preserve">Source</t>
  </si>
  <si>
    <t xml:space="preserve">Discount rate a year</t>
  </si>
  <si>
    <t xml:space="preserve">The board's 10 percent a year</t>
  </si>
  <si>
    <t xml:space="preserve">Discount factor a quarter, beta</t>
  </si>
  <si>
    <t xml:space="preserve">beta = 1.1^(-1/4)</t>
  </si>
  <si>
    <t xml:space="preserve">Capability kept each quarter, alpha</t>
  </si>
  <si>
    <t xml:space="preserve">2.5 percent attrition a quarter (Volume I, Chapter 10)</t>
  </si>
  <si>
    <t xml:space="preserve">Cost of hiring and training a point, k</t>
  </si>
  <si>
    <t xml:space="preserve">$4 million a point</t>
  </si>
  <si>
    <t xml:space="preserve">Hiring cap a quarter (points)</t>
  </si>
  <si>
    <t xml:space="preserve">At most 2.5 points a quarter</t>
  </si>
  <si>
    <t xml:space="preserve">Capability floor</t>
  </si>
  <si>
    <t xml:space="preserve">Below 55 the digital build slows (Chapter 6)</t>
  </si>
  <si>
    <t xml:space="preserve">Delay cost of the digital build a year</t>
  </si>
  <si>
    <t xml:space="preserve">$32 million a year (Chapter 6)</t>
  </si>
  <si>
    <t xml:space="preserve">Slowdown per point short</t>
  </si>
  <si>
    <t xml:space="preserve">A fifth per point short</t>
  </si>
  <si>
    <t xml:space="preserve">Cost of a point short for a quarter, p</t>
  </si>
  <si>
    <t xml:space="preserve">8/5 = $1.6 million</t>
  </si>
  <si>
    <t xml:space="preserve">Effective horizon 1/(1 - beta), quarters</t>
  </si>
  <si>
    <t xml:space="preserve">Unplanned loss w (points)</t>
  </si>
  <si>
    <t xml:space="preserve">Probability</t>
  </si>
  <si>
    <t xml:space="preserve">P(loss &gt; w)</t>
  </si>
  <si>
    <t xml:space="preserve">P(loss &gt;= w)</t>
  </si>
  <si>
    <t xml:space="preserve">Total probability</t>
  </si>
  <si>
    <t xml:space="preserve">Mean loss a quarter</t>
  </si>
  <si>
    <t xml:space="preserve">Standard deviation a quarter</t>
  </si>
  <si>
    <t xml:space="preserve">The engineering office's record: capability moves as c' = 0.975c + h - w each quarter.</t>
  </si>
  <si>
    <t xml:space="preserve">Look one quarter ahead: the critical ratio and the target (Theorem 7.2; AXIOM Lab 2.7, step 1)</t>
  </si>
  <si>
    <t xml:space="preserve">Reading</t>
  </si>
  <si>
    <t xml:space="preserve">Holding a planned point for a quarter, k(1 - alpha beta)</t>
  </si>
  <si>
    <t xml:space="preserve">0.767 a year</t>
  </si>
  <si>
    <t xml:space="preserve">A point short next quarter, beta p</t>
  </si>
  <si>
    <t xml:space="preserve">Critical ratio</t>
  </si>
  <si>
    <t xml:space="preserve">Theorem 7.2(ii)</t>
  </si>
  <si>
    <t xml:space="preserve">Margin: smallest loss w with P(loss &gt; w) &lt;= ratio</t>
  </si>
  <si>
    <t xml:space="preserve">P(loss &gt; 0.75) = 0.05 &lt;= ratio &lt;= P(loss &gt;= 0.75) = 0.25</t>
  </si>
  <si>
    <t xml:space="preserve">Target for planned capability, floor + margin</t>
  </si>
  <si>
    <t xml:space="preserve">Top up to 55.75</t>
  </si>
  <si>
    <t xml:space="preserve">Hire nothing above (target / alpha)</t>
  </si>
  <si>
    <t xml:space="preserve">Hire at the cap below ((target - cap) / alpha)</t>
  </si>
  <si>
    <t xml:space="preserve">Holding a planned point for a year</t>
  </si>
  <si>
    <t xml:space="preserve">Loss w last quarter</t>
  </si>
  <si>
    <t xml:space="preserve">Hiring needed to restore the target</t>
  </si>
  <si>
    <t xml:space="preserve">Hiring done (cap, no firing)</t>
  </si>
  <si>
    <t xml:space="preserve">Planned capability reached</t>
  </si>
  <si>
    <t xml:space="preserve">After the worst loss the cap cannot restore the target; after the best gain capability stays above it with no hiring. The recursion, not the formula, certifies the target (Worked Example 7.1, Step 3).</t>
  </si>
  <si>
    <t xml:space="preserve">Solve backward: twelve quarters from V_12 = 0 on a grid of 0.25 points (Theorem 7.1(i); AXIOM Lab 2.7, step 2)</t>
  </si>
  <si>
    <t xml:space="preserve">Each quarter: G(y) = -k y + beta E V_next(y - w) at the nodes; V(c) = g(c) + k alpha c + the best G over the reachable planned levels [L, U] (nodes, and the ends by interpolation). Values are linear between nodes. Rule 'none': hiring is not worth its cost at any capability above 50.</t>
  </si>
  <si>
    <t xml:space="preserve">capability levels:</t>
  </si>
  <si>
    <t xml:space="preserve">Quarter k</t>
  </si>
  <si>
    <t xml:space="preserve">Target (best planned level)</t>
  </si>
  <si>
    <t xml:space="preserve">Rule</t>
  </si>
  <si>
    <t xml:space="preserve">Hiring at 53</t>
  </si>
  <si>
    <t xml:space="preserve">Hiring at 54</t>
  </si>
  <si>
    <t xml:space="preserve">Hiring at 55</t>
  </si>
  <si>
    <t xml:space="preserve">Hiring at 56</t>
  </si>
  <si>
    <t xml:space="preserve">Hiring at 57</t>
  </si>
  <si>
    <t xml:space="preserve">Hiring at 58</t>
  </si>
  <si>
    <t xml:space="preserve">Engine target</t>
  </si>
  <si>
    <t xml:space="preserve">V_k(58)</t>
  </si>
  <si>
    <t xml:space="preserve">V_k(53)</t>
  </si>
  <si>
    <t xml:space="preserve">Value of the team over twelve quarters, V_0(58) - V_0(53)</t>
  </si>
  <si>
    <t xml:space="preserve">Grid: lowest node</t>
  </si>
  <si>
    <t xml:space="preserve">spacing</t>
  </si>
  <si>
    <t xml:space="preserve">highest node</t>
  </si>
  <si>
    <t xml:space="preserve">Quarters whose target matches the engine</t>
  </si>
  <si>
    <t xml:space="preserve">Largest gap to the engine's V_0</t>
  </si>
  <si>
    <t xml:space="preserve">c</t>
  </si>
  <si>
    <t xml:space="preserve">node</t>
  </si>
  <si>
    <t xml:space="preserve">g(c)</t>
  </si>
  <si>
    <t xml:space="preserve">k alpha c</t>
  </si>
  <si>
    <t xml:space="preserve">a (lowest hire)</t>
  </si>
  <si>
    <t xml:space="preserve">b (highest hire)</t>
  </si>
  <si>
    <t xml:space="preserve">L</t>
  </si>
  <si>
    <t xml:space="preserve">U</t>
  </si>
  <si>
    <t xml:space="preserve">jL</t>
  </si>
  <si>
    <t xml:space="preserve">tL</t>
  </si>
  <si>
    <t xml:space="preserve">jU</t>
  </si>
  <si>
    <t xml:space="preserve">tU</t>
  </si>
  <si>
    <t xml:space="preserve">V_12</t>
  </si>
  <si>
    <t xml:space="preserve">G_11</t>
  </si>
  <si>
    <t xml:space="preserve">G_11(L)</t>
  </si>
  <si>
    <t xml:space="preserve">G_11(U)</t>
  </si>
  <si>
    <t xml:space="preserve">V_11</t>
  </si>
  <si>
    <t xml:space="preserve">G_10</t>
  </si>
  <si>
    <t xml:space="preserve">G_10(L)</t>
  </si>
  <si>
    <t xml:space="preserve">G_10(U)</t>
  </si>
  <si>
    <t xml:space="preserve">V_10</t>
  </si>
  <si>
    <t xml:space="preserve">G_9</t>
  </si>
  <si>
    <t xml:space="preserve">G_9(L)</t>
  </si>
  <si>
    <t xml:space="preserve">G_9(U)</t>
  </si>
  <si>
    <t xml:space="preserve">V_9</t>
  </si>
  <si>
    <t xml:space="preserve">G_8</t>
  </si>
  <si>
    <t xml:space="preserve">G_8(L)</t>
  </si>
  <si>
    <t xml:space="preserve">G_8(U)</t>
  </si>
  <si>
    <t xml:space="preserve">V_8</t>
  </si>
  <si>
    <t xml:space="preserve">G_7</t>
  </si>
  <si>
    <t xml:space="preserve">G_7(L)</t>
  </si>
  <si>
    <t xml:space="preserve">G_7(U)</t>
  </si>
  <si>
    <t xml:space="preserve">V_7</t>
  </si>
  <si>
    <t xml:space="preserve">G_6</t>
  </si>
  <si>
    <t xml:space="preserve">G_6(L)</t>
  </si>
  <si>
    <t xml:space="preserve">G_6(U)</t>
  </si>
  <si>
    <t xml:space="preserve">V_6</t>
  </si>
  <si>
    <t xml:space="preserve">G_5</t>
  </si>
  <si>
    <t xml:space="preserve">G_5(L)</t>
  </si>
  <si>
    <t xml:space="preserve">G_5(U)</t>
  </si>
  <si>
    <t xml:space="preserve">V_5</t>
  </si>
  <si>
    <t xml:space="preserve">G_4</t>
  </si>
  <si>
    <t xml:space="preserve">G_4(L)</t>
  </si>
  <si>
    <t xml:space="preserve">G_4(U)</t>
  </si>
  <si>
    <t xml:space="preserve">V_4</t>
  </si>
  <si>
    <t xml:space="preserve">G_3</t>
  </si>
  <si>
    <t xml:space="preserve">G_3(L)</t>
  </si>
  <si>
    <t xml:space="preserve">G_3(U)</t>
  </si>
  <si>
    <t xml:space="preserve">V_3</t>
  </si>
  <si>
    <t xml:space="preserve">G_2</t>
  </si>
  <si>
    <t xml:space="preserve">G_2(L)</t>
  </si>
  <si>
    <t xml:space="preserve">G_2(U)</t>
  </si>
  <si>
    <t xml:space="preserve">V_2</t>
  </si>
  <si>
    <t xml:space="preserve">G_1</t>
  </si>
  <si>
    <t xml:space="preserve">G_1(L)</t>
  </si>
  <si>
    <t xml:space="preserve">G_1(U)</t>
  </si>
  <si>
    <t xml:space="preserve">V_1</t>
  </si>
  <si>
    <t xml:space="preserve">G_0</t>
  </si>
  <si>
    <t xml:space="preserve">G_0(L)</t>
  </si>
  <si>
    <t xml:space="preserve">G_0(U)</t>
  </si>
  <si>
    <t xml:space="preserve">V_0</t>
  </si>
  <si>
    <t xml:space="preserve">Engine V_0</t>
  </si>
  <si>
    <t xml:space="preserve">|V_0 - engine|</t>
  </si>
  <si>
    <t xml:space="preserve">Look one quarter ahead: the value of each hiring decision (Figure 7.1(b); AXIOM Lab 2.7, step 1)</t>
  </si>
  <si>
    <t xml:space="preserve">Value of hiring h at capability c: g(c) - k h + beta E V*(0.975c + h - w) = g(c) + k alpha c + G(0.975c + h).</t>
  </si>
  <si>
    <t xml:space="preserve">Capability c</t>
  </si>
  <si>
    <t xml:space="preserve">Planned level with no hiring, alpha c</t>
  </si>
  <si>
    <t xml:space="preserve">g(c) + k alpha c</t>
  </si>
  <si>
    <t xml:space="preserve">Hiring h</t>
  </si>
  <si>
    <t xml:space="preserve">Value at c (1)</t>
  </si>
  <si>
    <t xml:space="preserve">Value at c (2)</t>
  </si>
  <si>
    <t xml:space="preserve">Value at c (3)</t>
  </si>
  <si>
    <t xml:space="preserve">Best hiring (least, if tied)</t>
  </si>
  <si>
    <t xml:space="preserve">By the target rule: min(cap, max(0, target - alpha c))</t>
  </si>
  <si>
    <t xml:space="preserve">Read values; certify them: the engine's V* and its Bellman image (Theorem 7.3(ii); AXIOM Lab 2.7, step 4)</t>
  </si>
  <si>
    <t xml:space="preserve">Column B is the engine's value function from policy iteration (pasted). The formulas apply the Bellman operator to it: a residual near zero certifies it.</t>
  </si>
  <si>
    <t xml:space="preserve">Certificate</t>
  </si>
  <si>
    <t xml:space="preserve">V*(c) (engine)</t>
  </si>
  <si>
    <t xml:space="preserve">G(y = c)</t>
  </si>
  <si>
    <t xml:space="preserve">G(L)</t>
  </si>
  <si>
    <t xml:space="preserve">G(U)</t>
  </si>
  <si>
    <t xml:space="preserve">best G at nodes</t>
  </si>
  <si>
    <t xml:space="preserve">(TV*)(c)</t>
  </si>
  <si>
    <t xml:space="preserve">|TV* - V*|</t>
  </si>
  <si>
    <t xml:space="preserve">Largest Bellman residual at the nodes from 50 to 62</t>
  </si>
  <si>
    <t xml:space="preserve">Breakpoint c*: where 0.975c + 2.5 meets the node 53.85</t>
  </si>
  <si>
    <t xml:space="preserve">V*(c*), linear between nodes</t>
  </si>
  <si>
    <t xml:space="preserve">L* = alpha c*</t>
  </si>
  <si>
    <t xml:space="preserve">U* = alpha c* + cap</t>
  </si>
  <si>
    <t xml:space="preserve">G(L*)</t>
  </si>
  <si>
    <t xml:space="preserve">G(U*)</t>
  </si>
  <si>
    <t xml:space="preserve">Best G at the nodes in [L*, U*]</t>
  </si>
  <si>
    <t xml:space="preserve">(TV*)(c*)</t>
  </si>
  <si>
    <t xml:space="preserve">Bellman residual at c* (the largest over the continuum)</t>
  </si>
  <si>
    <t xml:space="preserve">So V* is within residual/(1 - beta) of the declared model's</t>
  </si>
  <si>
    <t xml:space="preserve">Prices of a point and the engineering team as a lump (Proposition 7.1; Figure 7.3(a))</t>
  </si>
  <si>
    <t xml:space="preserve">V*(c)</t>
  </si>
  <si>
    <t xml:space="preserve">Price just below</t>
  </si>
  <si>
    <t xml:space="preserve">Price just above</t>
  </si>
  <si>
    <t xml:space="preserve">Team: V*(58) - V*(53)</t>
  </si>
  <si>
    <t xml:space="preserve">Five points at the price just below 58</t>
  </si>
  <si>
    <t xml:space="preserve">Five points at the price just above 53</t>
  </si>
  <si>
    <t xml:space="preserve">Price in the target zone, alpha k</t>
  </si>
  <si>
    <t xml:space="preserve">Price just below 55, alpha k + p</t>
  </si>
  <si>
    <t xml:space="preserve">The team's value lies between five points at the prices at either end (Proposition 7.1(iii)); the price falls as capability grows.</t>
  </si>
  <si>
    <t xml:space="preserve">An upper bound for every rule: Theorem 7.2(iii)'s closed form</t>
  </si>
  <si>
    <t xml:space="preserve">L(y) = -k(1 - alpha beta) y + beta E g(y - w) - beta k alpha E[w]; any rule earns at most g(x) + k alpha x + max L / (1 - beta) from x.</t>
  </si>
  <si>
    <t xml:space="preserve">Planned level y</t>
  </si>
  <si>
    <t xml:space="preserve">E g(y - w)</t>
  </si>
  <si>
    <t xml:space="preserve">L(y)</t>
  </si>
  <si>
    <t xml:space="preserve">Largest L</t>
  </si>
  <si>
    <t xml:space="preserve">Its planned level</t>
  </si>
  <si>
    <t xml:space="preserve">From x</t>
  </si>
  <si>
    <t xml:space="preserve">Bound</t>
  </si>
  <si>
    <t xml:space="preserve">Best rule V*(x)</t>
  </si>
  <si>
    <t xml:space="preserve">Gap</t>
  </si>
  <si>
    <t xml:space="preserve">Rules against plans from 58: Table 7.3 and the value of responding (Proposition 7.2)</t>
  </si>
  <si>
    <t xml:space="preserve">Present values in $ million from the engine's exact evaluation of each rule (a sparse linear solve) and of each plan (the distribution of the losses it accumulates). Extra cost is a formula.</t>
  </si>
  <si>
    <t xml:space="preserve">Rule or plan</t>
  </si>
  <si>
    <t xml:space="preserve">Margin over 55</t>
  </si>
  <si>
    <t xml:space="preserve">Total</t>
  </si>
  <si>
    <t xml:space="preserve">Hiring</t>
  </si>
  <si>
    <t xml:space="preserve">Delay</t>
  </si>
  <si>
    <t xml:space="preserve">Long-run quarters short (%)</t>
  </si>
  <si>
    <t xml:space="preserve">Extra cost</t>
  </si>
  <si>
    <t xml:space="preserve">Best rule: top up to 55.75</t>
  </si>
  <si>
    <t xml:space="preserve">Re-plan each quarter (first target 55.75)</t>
  </si>
  <si>
    <t xml:space="preserve">Chapter 6's 55, as a rule</t>
  </si>
  <si>
    <t xml:space="preserve">Cover the worst quarter: 56.5</t>
  </si>
  <si>
    <t xml:space="preserve">Volume I's 58, as a rule</t>
  </si>
  <si>
    <t xml:space="preserve">Best committed plan</t>
  </si>
  <si>
    <t xml:space="preserve">Volume I budget: rent on 58 every quarter</t>
  </si>
  <si>
    <t xml:space="preserve">Value of responding: best committed plan less the best rule</t>
  </si>
  <si>
    <t xml:space="preserve">Checkpoint</t>
  </si>
  <si>
    <t xml:space="preserve">Engine value</t>
  </si>
  <si>
    <t xml:space="preserve">Meaning (where in the book)</t>
  </si>
  <si>
    <t xml:space="preserve">Holding cost of a planned point</t>
  </si>
  <si>
    <t xml:space="preserve">Worked Example 7.1, Step 3</t>
  </si>
  <si>
    <t xml:space="preserve">Theorem 7.2(ii): 0.1228</t>
  </si>
  <si>
    <t xml:space="preserve">Target for planned capability</t>
  </si>
  <si>
    <t xml:space="preserve">Worked Example 7.1: 55.75</t>
  </si>
  <si>
    <t xml:space="preserve">Hire nothing above</t>
  </si>
  <si>
    <t xml:space="preserve">57.18</t>
  </si>
  <si>
    <t xml:space="preserve">Hire at the cap below</t>
  </si>
  <si>
    <t xml:space="preserve">54.62</t>
  </si>
  <si>
    <t xml:space="preserve">Backward induction: quarters matching the engine</t>
  </si>
  <si>
    <t xml:space="preserve">Twelve-quarter rule table</t>
  </si>
  <si>
    <t xml:space="preserve">Backward induction: target in quarter 0</t>
  </si>
  <si>
    <t xml:space="preserve">55.75 twelve quarters from the end</t>
  </si>
  <si>
    <t xml:space="preserve">Backward induction: V_0(58), grid 0.25</t>
  </si>
  <si>
    <t xml:space="preserve">Twelve-quarter value from 58</t>
  </si>
  <si>
    <t xml:space="preserve">Backward induction: V_0(53), grid 0.25</t>
  </si>
  <si>
    <t xml:space="preserve">Twelve-quarter value from 53</t>
  </si>
  <si>
    <t xml:space="preserve">Backward induction: largest gap to engine V_0</t>
  </si>
  <si>
    <t xml:space="preserve">Every node</t>
  </si>
  <si>
    <t xml:space="preserve">One quarter ahead: best hiring at 53</t>
  </si>
  <si>
    <t xml:space="preserve">Hire at the cap</t>
  </si>
  <si>
    <t xml:space="preserve">One quarter ahead: best hiring at 56</t>
  </si>
  <si>
    <t xml:space="preserve">One quarter ahead: best hiring at 58</t>
  </si>
  <si>
    <t xml:space="preserve">Hire nothing</t>
  </si>
  <si>
    <t xml:space="preserve">Bellman residual at the nodes (50 to 62)</t>
  </si>
  <si>
    <t xml:space="preserve">Theorem 7.3(ii)</t>
  </si>
  <si>
    <t xml:space="preserve">Bellman residual at c* = 52.667</t>
  </si>
  <si>
    <t xml:space="preserve">Online Appendix 7.B.1: 0.004403</t>
  </si>
  <si>
    <t xml:space="preserve">V*(58)</t>
  </si>
  <si>
    <t xml:space="preserve">Worked Example 7.1, Step 4: -230.755</t>
  </si>
  <si>
    <t xml:space="preserve">V*(53)</t>
  </si>
  <si>
    <t xml:space="preserve">-254.593</t>
  </si>
  <si>
    <t xml:space="preserve">Team V*(58) - V*(53)</t>
  </si>
  <si>
    <t xml:space="preserve">Worked Example 7.1, Step 5: 23.838</t>
  </si>
  <si>
    <t xml:space="preserve">Price of a point just below 58</t>
  </si>
  <si>
    <t xml:space="preserve">3.68</t>
  </si>
  <si>
    <t xml:space="preserve">Price of a point at 56</t>
  </si>
  <si>
    <t xml:space="preserve">3.90</t>
  </si>
  <si>
    <t xml:space="preserve">Price of a point just above 53</t>
  </si>
  <si>
    <t xml:space="preserve">7.19</t>
  </si>
  <si>
    <t xml:space="preserve">Upper bound: best planned level</t>
  </si>
  <si>
    <t xml:space="preserve">Theorem 7.2(iii)</t>
  </si>
  <si>
    <t xml:space="preserve">Upper bound from 58</t>
  </si>
  <si>
    <t xml:space="preserve">-230.485</t>
  </si>
  <si>
    <t xml:space="preserve">Upper-bound gap from 58</t>
  </si>
  <si>
    <t xml:space="preserve">Worked Example 7.1, Step 3: within $0.3 million</t>
  </si>
  <si>
    <t xml:space="preserve">Value of responding</t>
  </si>
  <si>
    <t xml:space="preserve">Table 7.3: 23.9</t>
  </si>
  <si>
    <t xml:space="preserve">Extra cost of Chapter 6's 55 as a rule</t>
  </si>
  <si>
    <t xml:space="preserve">Table 7.3: 6.6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</si>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</sst>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0000"/>
    <numFmt numFmtId="167" formatCode="0.00"/>
    <numFmt numFmtId="168" formatCode="0.00000"/>
    <numFmt numFmtId="169" formatCode="0.0000"/>
    <numFmt numFmtId="170" formatCode="0"/>
    <numFmt numFmtId="171" formatCode="0.0E+00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19</v>
      </c>
    </row>
    <row r="4" customFormat="false" ht="15" hidden="false" customHeight="false" outlineLevel="0" collapsed="false">
      <c r="A4" s="2" t="s">
        <v>20</v>
      </c>
      <c r="B4" s="9" t="n">
        <v>0.1</v>
      </c>
      <c r="C4" s="10" t="s">
        <v>21</v>
      </c>
    </row>
    <row r="5" customFormat="false" ht="15" hidden="false" customHeight="false" outlineLevel="0" collapsed="false">
      <c r="A5" s="2" t="s">
        <v>22</v>
      </c>
      <c r="B5" s="11" t="n">
        <f aca="false">(1+B4)^(-1/4)</f>
        <v>0.976454089676311</v>
      </c>
      <c r="C5" s="10" t="s">
        <v>23</v>
      </c>
    </row>
    <row r="6" customFormat="false" ht="15" hidden="false" customHeight="false" outlineLevel="0" collapsed="false">
      <c r="A6" s="2" t="s">
        <v>24</v>
      </c>
      <c r="B6" s="9" t="n">
        <v>0.975</v>
      </c>
      <c r="C6" s="10" t="s">
        <v>25</v>
      </c>
    </row>
    <row r="7" customFormat="false" ht="15" hidden="false" customHeight="false" outlineLevel="0" collapsed="false">
      <c r="A7" s="2" t="s">
        <v>26</v>
      </c>
      <c r="B7" s="9" t="n">
        <v>4</v>
      </c>
      <c r="C7" s="10" t="s">
        <v>27</v>
      </c>
    </row>
    <row r="8" customFormat="false" ht="15" hidden="false" customHeight="false" outlineLevel="0" collapsed="false">
      <c r="A8" s="2" t="s">
        <v>28</v>
      </c>
      <c r="B8" s="9" t="n">
        <v>2.5</v>
      </c>
      <c r="C8" s="10" t="s">
        <v>29</v>
      </c>
    </row>
    <row r="9" customFormat="false" ht="15" hidden="false" customHeight="false" outlineLevel="0" collapsed="false">
      <c r="A9" s="2" t="s">
        <v>30</v>
      </c>
      <c r="B9" s="9" t="n">
        <v>55</v>
      </c>
      <c r="C9" s="10" t="s">
        <v>31</v>
      </c>
    </row>
    <row r="10" customFormat="false" ht="15" hidden="false" customHeight="false" outlineLevel="0" collapsed="false">
      <c r="A10" s="2" t="s">
        <v>32</v>
      </c>
      <c r="B10" s="9" t="n">
        <v>32</v>
      </c>
      <c r="C10" s="10" t="s">
        <v>33</v>
      </c>
    </row>
    <row r="11" customFormat="false" ht="15" hidden="false" customHeight="false" outlineLevel="0" collapsed="false">
      <c r="A11" s="2" t="s">
        <v>34</v>
      </c>
      <c r="B11" s="9" t="n">
        <v>0.2</v>
      </c>
      <c r="C11" s="10" t="s">
        <v>35</v>
      </c>
    </row>
    <row r="12" customFormat="false" ht="15" hidden="false" customHeight="false" outlineLevel="0" collapsed="false">
      <c r="A12" s="2" t="s">
        <v>36</v>
      </c>
      <c r="B12" s="12" t="n">
        <f aca="false">B10/4*B11</f>
        <v>1.6</v>
      </c>
      <c r="C12" s="10" t="s">
        <v>37</v>
      </c>
    </row>
    <row r="13" customFormat="false" ht="15" hidden="false" customHeight="false" outlineLevel="0" collapsed="false">
      <c r="A13" s="2" t="s">
        <v>38</v>
      </c>
      <c r="B13" s="12" t="n">
        <f aca="false">1/(1-B5)</f>
        <v>42.4702203589854</v>
      </c>
      <c r="C13" s="10"/>
    </row>
    <row r="15" customFormat="false" ht="15" hidden="false" customHeight="false" outlineLevel="0" collapsed="false">
      <c r="A15" s="8" t="s">
        <v>39</v>
      </c>
      <c r="B15" s="8" t="s">
        <v>40</v>
      </c>
      <c r="C15" s="8" t="s">
        <v>41</v>
      </c>
      <c r="D15" s="8" t="s">
        <v>42</v>
      </c>
    </row>
    <row r="16" customFormat="false" ht="15" hidden="false" customHeight="false" outlineLevel="0" collapsed="false">
      <c r="A16" s="13" t="n">
        <v>1.5</v>
      </c>
      <c r="B16" s="13" t="n">
        <v>0.05</v>
      </c>
      <c r="C16" s="14" t="n">
        <f aca="false">SUMIF($A$16:$A$20,"&gt;"&amp;A16,$B$16:$B$20)</f>
        <v>0</v>
      </c>
      <c r="D16" s="14" t="n">
        <f aca="false">SUMIF($A$16:$A$20,"&gt;="&amp;A16,$B$16:$B$20)</f>
        <v>0.05</v>
      </c>
    </row>
    <row r="17" customFormat="false" ht="15" hidden="false" customHeight="false" outlineLevel="0" collapsed="false">
      <c r="A17" s="13" t="n">
        <v>0.75</v>
      </c>
      <c r="B17" s="13" t="n">
        <v>0.2</v>
      </c>
      <c r="C17" s="14" t="n">
        <f aca="false">SUMIF($A$16:$A$20,"&gt;"&amp;A17,$B$16:$B$20)</f>
        <v>0.05</v>
      </c>
      <c r="D17" s="14" t="n">
        <f aca="false">SUMIF($A$16:$A$20,"&gt;="&amp;A17,$B$16:$B$20)</f>
        <v>0.25</v>
      </c>
    </row>
    <row r="18" customFormat="false" ht="15" hidden="false" customHeight="false" outlineLevel="0" collapsed="false">
      <c r="A18" s="13" t="n">
        <v>0</v>
      </c>
      <c r="B18" s="13" t="n">
        <v>0.5</v>
      </c>
      <c r="C18" s="14" t="n">
        <f aca="false">SUMIF($A$16:$A$20,"&gt;"&amp;A18,$B$16:$B$20)</f>
        <v>0.25</v>
      </c>
      <c r="D18" s="14" t="n">
        <f aca="false">SUMIF($A$16:$A$20,"&gt;="&amp;A18,$B$16:$B$20)</f>
        <v>0.75</v>
      </c>
    </row>
    <row r="19" customFormat="false" ht="15" hidden="false" customHeight="false" outlineLevel="0" collapsed="false">
      <c r="A19" s="13" t="n">
        <v>-0.75</v>
      </c>
      <c r="B19" s="13" t="n">
        <v>0.2</v>
      </c>
      <c r="C19" s="14" t="n">
        <f aca="false">SUMIF($A$16:$A$20,"&gt;"&amp;A19,$B$16:$B$20)</f>
        <v>0.75</v>
      </c>
      <c r="D19" s="14" t="n">
        <f aca="false">SUMIF($A$16:$A$20,"&gt;="&amp;A19,$B$16:$B$20)</f>
        <v>0.95</v>
      </c>
    </row>
    <row r="20" customFormat="false" ht="15" hidden="false" customHeight="false" outlineLevel="0" collapsed="false">
      <c r="A20" s="13" t="n">
        <v>-1.5</v>
      </c>
      <c r="B20" s="13" t="n">
        <v>0.05</v>
      </c>
      <c r="C20" s="14" t="n">
        <f aca="false">SUMIF($A$16:$A$20,"&gt;"&amp;A20,$B$16:$B$20)</f>
        <v>0.95</v>
      </c>
      <c r="D20" s="14" t="n">
        <f aca="false">SUMIF($A$16:$A$20,"&gt;="&amp;A20,$B$16:$B$20)</f>
        <v>1</v>
      </c>
    </row>
    <row r="21" customFormat="false" ht="15" hidden="false" customHeight="false" outlineLevel="0" collapsed="false">
      <c r="A21" s="0" t="s">
        <v>43</v>
      </c>
      <c r="B21" s="14" t="n">
        <f aca="false">SUM(B16:B20)</f>
        <v>1</v>
      </c>
    </row>
    <row r="22" customFormat="false" ht="15" hidden="false" customHeight="false" outlineLevel="0" collapsed="false">
      <c r="A22" s="0" t="s">
        <v>44</v>
      </c>
      <c r="B22" s="12" t="n">
        <f aca="false">SUMPRODUCT(A16:A20,B16:B20)</f>
        <v>0</v>
      </c>
    </row>
    <row r="23" customFormat="false" ht="15" hidden="false" customHeight="false" outlineLevel="0" collapsed="false">
      <c r="A23" s="0" t="s">
        <v>45</v>
      </c>
      <c r="B23" s="12" t="n">
        <f aca="false">SQRT(SUMPRODUCT(A16:A20,A16:A20,B16:B20)-B22^2)</f>
        <v>0.670820393249937</v>
      </c>
    </row>
    <row r="25" customFormat="false" ht="15" hidden="false" customHeight="false" outlineLevel="0" collapsed="false">
      <c r="A25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3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8" t="s">
        <v>17</v>
      </c>
      <c r="B2" s="8" t="s">
        <v>18</v>
      </c>
      <c r="C2" s="8" t="s">
        <v>48</v>
      </c>
    </row>
    <row r="3" customFormat="false" ht="15" hidden="false" customHeight="false" outlineLevel="0" collapsed="false">
      <c r="A3" s="2" t="s">
        <v>49</v>
      </c>
      <c r="B3" s="15" t="n">
        <f aca="false">Cost_k*(1-Alpha_keep*Beta_q)</f>
        <v>0.191829050262389</v>
      </c>
      <c r="C3" s="10" t="s">
        <v>50</v>
      </c>
    </row>
    <row r="4" customFormat="false" ht="15" hidden="false" customHeight="false" outlineLevel="0" collapsed="false">
      <c r="A4" s="2" t="s">
        <v>51</v>
      </c>
      <c r="B4" s="15" t="n">
        <f aca="false">Beta_q*Short_p</f>
        <v>1.5623265434821</v>
      </c>
      <c r="C4" s="10"/>
    </row>
    <row r="5" customFormat="false" ht="15" hidden="false" customHeight="false" outlineLevel="0" collapsed="false">
      <c r="A5" s="2" t="s">
        <v>52</v>
      </c>
      <c r="B5" s="16" t="n">
        <f aca="false">B3/B4</f>
        <v>0.122784222711113</v>
      </c>
      <c r="C5" s="10" t="s">
        <v>53</v>
      </c>
    </row>
    <row r="6" customFormat="false" ht="15" hidden="false" customHeight="false" outlineLevel="0" collapsed="false">
      <c r="A6" s="2" t="s">
        <v>54</v>
      </c>
      <c r="B6" s="14" t="n">
        <f aca="false">_xlfn.MINIFS(Loss_w,Declarations!$C$16:$C$20,"&lt;="&amp;B5)</f>
        <v>0.75</v>
      </c>
      <c r="C6" s="10" t="s">
        <v>55</v>
      </c>
    </row>
    <row r="7" customFormat="false" ht="15" hidden="false" customHeight="false" outlineLevel="0" collapsed="false">
      <c r="A7" s="2" t="s">
        <v>56</v>
      </c>
      <c r="B7" s="14" t="n">
        <f aca="false">Floor_c+B6</f>
        <v>55.75</v>
      </c>
      <c r="C7" s="10" t="s">
        <v>57</v>
      </c>
    </row>
    <row r="8" customFormat="false" ht="15" hidden="false" customHeight="false" outlineLevel="0" collapsed="false">
      <c r="A8" s="2" t="s">
        <v>58</v>
      </c>
      <c r="B8" s="12" t="n">
        <f aca="false">B7/Alpha_keep</f>
        <v>57.1794871794872</v>
      </c>
      <c r="C8" s="10"/>
    </row>
    <row r="9" customFormat="false" ht="15" hidden="false" customHeight="false" outlineLevel="0" collapsed="false">
      <c r="A9" s="2" t="s">
        <v>59</v>
      </c>
      <c r="B9" s="12" t="n">
        <f aca="false">(B7-Cap_h)/Alpha_keep</f>
        <v>54.6153846153846</v>
      </c>
      <c r="C9" s="10"/>
    </row>
    <row r="10" customFormat="false" ht="15" hidden="false" customHeight="false" outlineLevel="0" collapsed="false">
      <c r="A10" s="2" t="s">
        <v>60</v>
      </c>
      <c r="B10" s="12" t="n">
        <f aca="false">4*B3</f>
        <v>0.767316201049557</v>
      </c>
      <c r="C10" s="10"/>
    </row>
    <row r="12" customFormat="false" ht="23.85" hidden="false" customHeight="false" outlineLevel="0" collapsed="false">
      <c r="A12" s="8" t="s">
        <v>61</v>
      </c>
      <c r="B12" s="8" t="s">
        <v>62</v>
      </c>
      <c r="C12" s="8" t="s">
        <v>63</v>
      </c>
      <c r="D12" s="8" t="s">
        <v>64</v>
      </c>
    </row>
    <row r="13" customFormat="false" ht="15" hidden="false" customHeight="false" outlineLevel="0" collapsed="false">
      <c r="A13" s="17" t="n">
        <f aca="false">Declarations!A16</f>
        <v>1.5</v>
      </c>
      <c r="B13" s="12" t="n">
        <f aca="false">(1-Alpha_keep)*$B$7+Alpha_keep*A13</f>
        <v>2.85625</v>
      </c>
      <c r="C13" s="12" t="n">
        <f aca="false">MIN(Cap_h,MAX(0,B13))</f>
        <v>2.5</v>
      </c>
      <c r="D13" s="12" t="n">
        <f aca="false">Alpha_keep*($B$7-A13)+C13</f>
        <v>55.39375</v>
      </c>
    </row>
    <row r="14" customFormat="false" ht="15" hidden="false" customHeight="false" outlineLevel="0" collapsed="false">
      <c r="A14" s="17" t="n">
        <f aca="false">Declarations!A17</f>
        <v>0.75</v>
      </c>
      <c r="B14" s="12" t="n">
        <f aca="false">(1-Alpha_keep)*$B$7+Alpha_keep*A14</f>
        <v>2.125</v>
      </c>
      <c r="C14" s="12" t="n">
        <f aca="false">MIN(Cap_h,MAX(0,B14))</f>
        <v>2.125</v>
      </c>
      <c r="D14" s="12" t="n">
        <f aca="false">Alpha_keep*($B$7-A14)+C14</f>
        <v>55.75</v>
      </c>
    </row>
    <row r="15" customFormat="false" ht="15" hidden="false" customHeight="false" outlineLevel="0" collapsed="false">
      <c r="A15" s="17" t="n">
        <f aca="false">Declarations!A18</f>
        <v>0</v>
      </c>
      <c r="B15" s="12" t="n">
        <f aca="false">(1-Alpha_keep)*$B$7+Alpha_keep*A15</f>
        <v>1.39375</v>
      </c>
      <c r="C15" s="12" t="n">
        <f aca="false">MIN(Cap_h,MAX(0,B15))</f>
        <v>1.39375</v>
      </c>
      <c r="D15" s="12" t="n">
        <f aca="false">Alpha_keep*($B$7-A15)+C15</f>
        <v>55.75</v>
      </c>
    </row>
    <row r="16" customFormat="false" ht="15" hidden="false" customHeight="false" outlineLevel="0" collapsed="false">
      <c r="A16" s="17" t="n">
        <f aca="false">Declarations!A19</f>
        <v>-0.75</v>
      </c>
      <c r="B16" s="12" t="n">
        <f aca="false">(1-Alpha_keep)*$B$7+Alpha_keep*A16</f>
        <v>0.662500000000001</v>
      </c>
      <c r="C16" s="12" t="n">
        <f aca="false">MIN(Cap_h,MAX(0,B16))</f>
        <v>0.662500000000001</v>
      </c>
      <c r="D16" s="12" t="n">
        <f aca="false">Alpha_keep*($B$7-A16)+C16</f>
        <v>55.75</v>
      </c>
    </row>
    <row r="17" customFormat="false" ht="15" hidden="false" customHeight="false" outlineLevel="0" collapsed="false">
      <c r="A17" s="17" t="n">
        <f aca="false">Declarations!A20</f>
        <v>-1.5</v>
      </c>
      <c r="B17" s="12" t="n">
        <f aca="false">(1-Alpha_keep)*$B$7+Alpha_keep*A17</f>
        <v>-0.0687499999999988</v>
      </c>
      <c r="C17" s="12" t="n">
        <f aca="false">MIN(Cap_h,MAX(0,B17))</f>
        <v>0</v>
      </c>
      <c r="D17" s="12" t="n">
        <f aca="false">Alpha_keep*($B$7-A17)+C17</f>
        <v>55.81875</v>
      </c>
    </row>
    <row r="19" customFormat="false" ht="15" hidden="false" customHeight="false" outlineLevel="0" collapsed="false">
      <c r="A19" s="1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63" min="4" style="0" width="9"/>
  </cols>
  <sheetData>
    <row r="1" customFormat="false" ht="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10" t="s">
        <v>67</v>
      </c>
    </row>
    <row r="3" customFormat="false" ht="15" hidden="false" customHeight="false" outlineLevel="0" collapsed="false">
      <c r="C3" s="10" t="s">
        <v>68</v>
      </c>
      <c r="D3" s="18" t="n">
        <v>53</v>
      </c>
      <c r="E3" s="18" t="n">
        <v>54</v>
      </c>
      <c r="F3" s="18" t="n">
        <v>55</v>
      </c>
      <c r="G3" s="18" t="n">
        <v>56</v>
      </c>
      <c r="H3" s="18" t="n">
        <v>57</v>
      </c>
      <c r="I3" s="18" t="n">
        <v>58</v>
      </c>
    </row>
    <row r="4" customFormat="false" ht="35.05" hidden="false" customHeight="false" outlineLevel="0" collapsed="false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  <c r="J4" s="8" t="s">
        <v>78</v>
      </c>
      <c r="K4" s="8" t="s">
        <v>79</v>
      </c>
      <c r="L4" s="8" t="s">
        <v>80</v>
      </c>
    </row>
    <row r="5" customFormat="false" ht="15" hidden="false" customHeight="false" outlineLevel="0" collapsed="false">
      <c r="A5" s="19" t="n">
        <v>0</v>
      </c>
      <c r="B5" s="14" t="n">
        <f aca="false">_xlfn.MINIFS($A$21:$A$141,$BF$21:$BF$141,"&gt;="&amp;(MAX($BF$21:$BF$141)-0.000000001))</f>
        <v>55.75</v>
      </c>
      <c r="C5" s="2" t="str">
        <f aca="false">IF(B5&gt;=Alpha_keep*50,"top up to "&amp;TEXT(B5,"0.00"),"none: hire nothing")</f>
        <v>top up to 55.75</v>
      </c>
      <c r="D5" s="14" t="n">
        <f aca="false">MIN(Cap_h,MAX(0,$B5-Alpha_keep*D$3))</f>
        <v>2.5</v>
      </c>
      <c r="E5" s="14" t="n">
        <f aca="false">MIN(Cap_h,MAX(0,$B5-Alpha_keep*E$3))</f>
        <v>2.5</v>
      </c>
      <c r="F5" s="14" t="n">
        <f aca="false">MIN(Cap_h,MAX(0,$B5-Alpha_keep*F$3))</f>
        <v>2.125</v>
      </c>
      <c r="G5" s="14" t="n">
        <f aca="false">MIN(Cap_h,MAX(0,$B5-Alpha_keep*G$3))</f>
        <v>1.15</v>
      </c>
      <c r="H5" s="14" t="n">
        <f aca="false">MIN(Cap_h,MAX(0,$B5-Alpha_keep*H$3))</f>
        <v>0.175000000000004</v>
      </c>
      <c r="I5" s="14" t="n">
        <f aca="false">MIN(Cap_h,MAX(0,$B5-Alpha_keep*I$3))</f>
        <v>0</v>
      </c>
      <c r="J5" s="20" t="n">
        <v>55.75</v>
      </c>
      <c r="K5" s="12" t="n">
        <f aca="false">INDEX($BI$21:$BI$141,MATCH(58,$A$21:$A$141,0))</f>
        <v>-40.4547357371936</v>
      </c>
      <c r="L5" s="12" t="n">
        <f aca="false">INDEX($BI$21:$BI$141,MATCH(53,$A$21:$A$141,0))</f>
        <v>-64.2995785999103</v>
      </c>
    </row>
    <row r="6" customFormat="false" ht="15" hidden="false" customHeight="false" outlineLevel="0" collapsed="false">
      <c r="A6" s="19" t="n">
        <v>1</v>
      </c>
      <c r="B6" s="14" t="n">
        <f aca="false">_xlfn.MINIFS($A$21:$A$141,$BB$21:$BB$141,"&gt;="&amp;(MAX($BB$21:$BB$141)-0.000000001))</f>
        <v>55.75</v>
      </c>
      <c r="C6" s="2" t="str">
        <f aca="false">IF(B6&gt;=Alpha_keep*50,"top up to "&amp;TEXT(B6,"0.00"),"none: hire nothing")</f>
        <v>top up to 55.75</v>
      </c>
      <c r="D6" s="14" t="n">
        <f aca="false">MIN(Cap_h,MAX(0,$B6-Alpha_keep*D$3))</f>
        <v>2.5</v>
      </c>
      <c r="E6" s="14" t="n">
        <f aca="false">MIN(Cap_h,MAX(0,$B6-Alpha_keep*E$3))</f>
        <v>2.5</v>
      </c>
      <c r="F6" s="14" t="n">
        <f aca="false">MIN(Cap_h,MAX(0,$B6-Alpha_keep*F$3))</f>
        <v>2.125</v>
      </c>
      <c r="G6" s="14" t="n">
        <f aca="false">MIN(Cap_h,MAX(0,$B6-Alpha_keep*G$3))</f>
        <v>1.15</v>
      </c>
      <c r="H6" s="14" t="n">
        <f aca="false">MIN(Cap_h,MAX(0,$B6-Alpha_keep*H$3))</f>
        <v>0.175000000000004</v>
      </c>
      <c r="I6" s="14" t="n">
        <f aca="false">MIN(Cap_h,MAX(0,$B6-Alpha_keep*I$3))</f>
        <v>0</v>
      </c>
      <c r="J6" s="20" t="n">
        <v>55.75</v>
      </c>
      <c r="K6" s="12" t="n">
        <f aca="false">INDEX($BE$21:$BE$141,MATCH(58,$A$21:$A$141,0))</f>
        <v>-35.8657344423133</v>
      </c>
      <c r="L6" s="12" t="n">
        <f aca="false">INDEX($BE$21:$BE$141,MATCH(53,$A$21:$A$141,0))</f>
        <v>-59.7105593858111</v>
      </c>
    </row>
    <row r="7" customFormat="false" ht="15" hidden="false" customHeight="false" outlineLevel="0" collapsed="false">
      <c r="A7" s="19" t="n">
        <v>2</v>
      </c>
      <c r="B7" s="14" t="n">
        <f aca="false">_xlfn.MINIFS($A$21:$A$141,$AX$21:$AX$141,"&gt;="&amp;(MAX($AX$21:$AX$141)-0.000000001))</f>
        <v>55.75</v>
      </c>
      <c r="C7" s="2" t="str">
        <f aca="false">IF(B7&gt;=Alpha_keep*50,"top up to "&amp;TEXT(B7,"0.00"),"none: hire nothing")</f>
        <v>top up to 55.75</v>
      </c>
      <c r="D7" s="14" t="n">
        <f aca="false">MIN(Cap_h,MAX(0,$B7-Alpha_keep*D$3))</f>
        <v>2.5</v>
      </c>
      <c r="E7" s="14" t="n">
        <f aca="false">MIN(Cap_h,MAX(0,$B7-Alpha_keep*E$3))</f>
        <v>2.5</v>
      </c>
      <c r="F7" s="14" t="n">
        <f aca="false">MIN(Cap_h,MAX(0,$B7-Alpha_keep*F$3))</f>
        <v>2.125</v>
      </c>
      <c r="G7" s="14" t="n">
        <f aca="false">MIN(Cap_h,MAX(0,$B7-Alpha_keep*G$3))</f>
        <v>1.15</v>
      </c>
      <c r="H7" s="14" t="n">
        <f aca="false">MIN(Cap_h,MAX(0,$B7-Alpha_keep*H$3))</f>
        <v>0.175000000000004</v>
      </c>
      <c r="I7" s="14" t="n">
        <f aca="false">MIN(Cap_h,MAX(0,$B7-Alpha_keep*I$3))</f>
        <v>0</v>
      </c>
      <c r="J7" s="20" t="n">
        <v>55.75</v>
      </c>
      <c r="K7" s="12" t="n">
        <f aca="false">INDEX($BA$21:$BA$141,MATCH(58,$A$21:$A$141,0))</f>
        <v>-31.1660769947562</v>
      </c>
      <c r="L7" s="12" t="n">
        <f aca="false">INDEX($BA$21:$BA$141,MATCH(53,$A$21:$A$141,0))</f>
        <v>-55.0108071806599</v>
      </c>
    </row>
    <row r="8" customFormat="false" ht="15" hidden="false" customHeight="false" outlineLevel="0" collapsed="false">
      <c r="A8" s="19" t="n">
        <v>3</v>
      </c>
      <c r="B8" s="14" t="n">
        <f aca="false">_xlfn.MINIFS($A$21:$A$141,$AT$21:$AT$141,"&gt;="&amp;(MAX($AT$21:$AT$141)-0.000000001))</f>
        <v>55.75</v>
      </c>
      <c r="C8" s="2" t="str">
        <f aca="false">IF(B8&gt;=Alpha_keep*50,"top up to "&amp;TEXT(B8,"0.00"),"none: hire nothing")</f>
        <v>top up to 55.75</v>
      </c>
      <c r="D8" s="14" t="n">
        <f aca="false">MIN(Cap_h,MAX(0,$B8-Alpha_keep*D$3))</f>
        <v>2.5</v>
      </c>
      <c r="E8" s="14" t="n">
        <f aca="false">MIN(Cap_h,MAX(0,$B8-Alpha_keep*E$3))</f>
        <v>2.5</v>
      </c>
      <c r="F8" s="14" t="n">
        <f aca="false">MIN(Cap_h,MAX(0,$B8-Alpha_keep*F$3))</f>
        <v>2.125</v>
      </c>
      <c r="G8" s="14" t="n">
        <f aca="false">MIN(Cap_h,MAX(0,$B8-Alpha_keep*G$3))</f>
        <v>1.15</v>
      </c>
      <c r="H8" s="14" t="n">
        <f aca="false">MIN(Cap_h,MAX(0,$B8-Alpha_keep*H$3))</f>
        <v>0.175000000000004</v>
      </c>
      <c r="I8" s="14" t="n">
        <f aca="false">MIN(Cap_h,MAX(0,$B8-Alpha_keep*I$3))</f>
        <v>0</v>
      </c>
      <c r="J8" s="20" t="n">
        <v>55.75</v>
      </c>
      <c r="K8" s="12" t="n">
        <f aca="false">INDEX($AW$21:$AW$141,MATCH(58,$A$21:$A$141,0))</f>
        <v>-26.3531070755605</v>
      </c>
      <c r="L8" s="12" t="n">
        <f aca="false">INDEX($AW$21:$AW$141,MATCH(53,$A$21:$A$141,0))</f>
        <v>-50.1973345143979</v>
      </c>
    </row>
    <row r="9" customFormat="false" ht="15" hidden="false" customHeight="false" outlineLevel="0" collapsed="false">
      <c r="A9" s="19" t="n">
        <v>4</v>
      </c>
      <c r="B9" s="14" t="n">
        <f aca="false">_xlfn.MINIFS($A$21:$A$141,$AP$21:$AP$141,"&gt;="&amp;(MAX($AP$21:$AP$141)-0.000000001))</f>
        <v>55.75</v>
      </c>
      <c r="C9" s="2" t="str">
        <f aca="false">IF(B9&gt;=Alpha_keep*50,"top up to "&amp;TEXT(B9,"0.00"),"none: hire nothing")</f>
        <v>top up to 55.75</v>
      </c>
      <c r="D9" s="14" t="n">
        <f aca="false">MIN(Cap_h,MAX(0,$B9-Alpha_keep*D$3))</f>
        <v>2.5</v>
      </c>
      <c r="E9" s="14" t="n">
        <f aca="false">MIN(Cap_h,MAX(0,$B9-Alpha_keep*E$3))</f>
        <v>2.5</v>
      </c>
      <c r="F9" s="14" t="n">
        <f aca="false">MIN(Cap_h,MAX(0,$B9-Alpha_keep*F$3))</f>
        <v>2.125</v>
      </c>
      <c r="G9" s="14" t="n">
        <f aca="false">MIN(Cap_h,MAX(0,$B9-Alpha_keep*G$3))</f>
        <v>1.15</v>
      </c>
      <c r="H9" s="14" t="n">
        <f aca="false">MIN(Cap_h,MAX(0,$B9-Alpha_keep*H$3))</f>
        <v>0.175000000000004</v>
      </c>
      <c r="I9" s="14" t="n">
        <f aca="false">MIN(Cap_h,MAX(0,$B9-Alpha_keep*I$3))</f>
        <v>0</v>
      </c>
      <c r="J9" s="20" t="n">
        <v>55.75</v>
      </c>
      <c r="K9" s="12" t="n">
        <f aca="false">INDEX($AS$21:$AS$141,MATCH(58,$A$21:$A$141,0))</f>
        <v>-21.4242166815577</v>
      </c>
      <c r="L9" s="12" t="n">
        <f aca="false">INDEX($AS$21:$AS$141,MATCH(53,$A$21:$A$141,0))</f>
        <v>-45.265743361324</v>
      </c>
    </row>
    <row r="10" customFormat="false" ht="15" hidden="false" customHeight="false" outlineLevel="0" collapsed="false">
      <c r="A10" s="19" t="n">
        <v>5</v>
      </c>
      <c r="B10" s="14" t="n">
        <f aca="false">_xlfn.MINIFS($A$21:$A$141,$AL$21:$AL$141,"&gt;="&amp;(MAX($AL$21:$AL$141)-0.000000001))</f>
        <v>55.75</v>
      </c>
      <c r="C10" s="2" t="str">
        <f aca="false">IF(B10&gt;=Alpha_keep*50,"top up to "&amp;TEXT(B10,"0.00"),"none: hire nothing")</f>
        <v>top up to 55.75</v>
      </c>
      <c r="D10" s="14" t="n">
        <f aca="false">MIN(Cap_h,MAX(0,$B10-Alpha_keep*D$3))</f>
        <v>2.5</v>
      </c>
      <c r="E10" s="14" t="n">
        <f aca="false">MIN(Cap_h,MAX(0,$B10-Alpha_keep*E$3))</f>
        <v>2.5</v>
      </c>
      <c r="F10" s="14" t="n">
        <f aca="false">MIN(Cap_h,MAX(0,$B10-Alpha_keep*F$3))</f>
        <v>2.125</v>
      </c>
      <c r="G10" s="14" t="n">
        <f aca="false">MIN(Cap_h,MAX(0,$B10-Alpha_keep*G$3))</f>
        <v>1.15</v>
      </c>
      <c r="H10" s="14" t="n">
        <f aca="false">MIN(Cap_h,MAX(0,$B10-Alpha_keep*H$3))</f>
        <v>0.175000000000004</v>
      </c>
      <c r="I10" s="14" t="n">
        <f aca="false">MIN(Cap_h,MAX(0,$B10-Alpha_keep*I$3))</f>
        <v>0</v>
      </c>
      <c r="J10" s="20" t="n">
        <v>55.75</v>
      </c>
      <c r="K10" s="12" t="n">
        <f aca="false">INDEX($AO$21:$AO$141,MATCH(58,$A$21:$A$141,0))</f>
        <v>-16.3780537030479</v>
      </c>
      <c r="L10" s="12" t="n">
        <f aca="false">INDEX($AO$21:$AO$141,MATCH(53,$A$21:$A$141,0))</f>
        <v>-40.2048704408001</v>
      </c>
    </row>
    <row r="11" customFormat="false" ht="15" hidden="false" customHeight="false" outlineLevel="0" collapsed="false">
      <c r="A11" s="19" t="n">
        <v>6</v>
      </c>
      <c r="B11" s="14" t="n">
        <f aca="false">_xlfn.MINIFS($A$21:$A$141,$AH$21:$AH$141,"&gt;="&amp;(MAX($AH$21:$AH$141)-0.000000001))</f>
        <v>55.75</v>
      </c>
      <c r="C11" s="2" t="str">
        <f aca="false">IF(B11&gt;=Alpha_keep*50,"top up to "&amp;TEXT(B11,"0.00"),"none: hire nothing")</f>
        <v>top up to 55.75</v>
      </c>
      <c r="D11" s="14" t="n">
        <f aca="false">MIN(Cap_h,MAX(0,$B11-Alpha_keep*D$3))</f>
        <v>2.5</v>
      </c>
      <c r="E11" s="14" t="n">
        <f aca="false">MIN(Cap_h,MAX(0,$B11-Alpha_keep*E$3))</f>
        <v>2.5</v>
      </c>
      <c r="F11" s="14" t="n">
        <f aca="false">MIN(Cap_h,MAX(0,$B11-Alpha_keep*F$3))</f>
        <v>2.125</v>
      </c>
      <c r="G11" s="14" t="n">
        <f aca="false">MIN(Cap_h,MAX(0,$B11-Alpha_keep*G$3))</f>
        <v>1.15</v>
      </c>
      <c r="H11" s="14" t="n">
        <f aca="false">MIN(Cap_h,MAX(0,$B11-Alpha_keep*H$3))</f>
        <v>0.175000000000004</v>
      </c>
      <c r="I11" s="14" t="n">
        <f aca="false">MIN(Cap_h,MAX(0,$B11-Alpha_keep*I$3))</f>
        <v>0</v>
      </c>
      <c r="J11" s="20" t="n">
        <v>55.75</v>
      </c>
      <c r="K11" s="12" t="n">
        <f aca="false">INDEX($AK$21:$AK$141,MATCH(58,$A$21:$A$141,0))</f>
        <v>-11.2296821081202</v>
      </c>
      <c r="L11" s="12" t="n">
        <f aca="false">INDEX($AK$21:$AK$141,MATCH(53,$A$21:$A$141,0))</f>
        <v>-34.9720586351988</v>
      </c>
    </row>
    <row r="12" customFormat="false" ht="15" hidden="false" customHeight="false" outlineLevel="0" collapsed="false">
      <c r="A12" s="19" t="n">
        <v>7</v>
      </c>
      <c r="B12" s="14" t="n">
        <f aca="false">_xlfn.MINIFS($A$21:$A$141,$AD$21:$AD$141,"&gt;="&amp;(MAX($AD$21:$AD$141)-0.000000001))</f>
        <v>55.75</v>
      </c>
      <c r="C12" s="2" t="str">
        <f aca="false">IF(B12&gt;=Alpha_keep*50,"top up to "&amp;TEXT(B12,"0.00"),"none: hire nothing")</f>
        <v>top up to 55.75</v>
      </c>
      <c r="D12" s="14" t="n">
        <f aca="false">MIN(Cap_h,MAX(0,$B12-Alpha_keep*D$3))</f>
        <v>2.5</v>
      </c>
      <c r="E12" s="14" t="n">
        <f aca="false">MIN(Cap_h,MAX(0,$B12-Alpha_keep*E$3))</f>
        <v>2.5</v>
      </c>
      <c r="F12" s="14" t="n">
        <f aca="false">MIN(Cap_h,MAX(0,$B12-Alpha_keep*F$3))</f>
        <v>2.125</v>
      </c>
      <c r="G12" s="14" t="n">
        <f aca="false">MIN(Cap_h,MAX(0,$B12-Alpha_keep*G$3))</f>
        <v>1.15</v>
      </c>
      <c r="H12" s="14" t="n">
        <f aca="false">MIN(Cap_h,MAX(0,$B12-Alpha_keep*H$3))</f>
        <v>0.175000000000004</v>
      </c>
      <c r="I12" s="14" t="n">
        <f aca="false">MIN(Cap_h,MAX(0,$B12-Alpha_keep*I$3))</f>
        <v>0</v>
      </c>
      <c r="J12" s="20" t="n">
        <v>55.75</v>
      </c>
      <c r="K12" s="12" t="n">
        <f aca="false">INDEX($AG$21:$AG$141,MATCH(58,$A$21:$A$141,0))</f>
        <v>-6.20027546490024</v>
      </c>
      <c r="L12" s="12" t="n">
        <f aca="false">INDEX($AG$21:$AG$141,MATCH(53,$A$21:$A$141,0))</f>
        <v>-29.4484142865031</v>
      </c>
    </row>
    <row r="13" customFormat="false" ht="15" hidden="false" customHeight="false" outlineLevel="0" collapsed="false">
      <c r="A13" s="19" t="n">
        <v>8</v>
      </c>
      <c r="B13" s="14" t="n">
        <f aca="false">_xlfn.MINIFS($A$21:$A$141,$Z$21:$Z$141,"&gt;="&amp;(MAX($Z$21:$Z$141)-0.000000001))</f>
        <v>54.75</v>
      </c>
      <c r="C13" s="2" t="str">
        <f aca="false">IF(B13&gt;=Alpha_keep*50,"top up to "&amp;TEXT(B13,"0.00"),"none: hire nothing")</f>
        <v>top up to 54.75</v>
      </c>
      <c r="D13" s="14" t="n">
        <f aca="false">MIN(Cap_h,MAX(0,$B13-Alpha_keep*D$3))</f>
        <v>2.5</v>
      </c>
      <c r="E13" s="14" t="n">
        <f aca="false">MIN(Cap_h,MAX(0,$B13-Alpha_keep*E$3))</f>
        <v>2.1</v>
      </c>
      <c r="F13" s="14" t="n">
        <f aca="false">MIN(Cap_h,MAX(0,$B13-Alpha_keep*F$3))</f>
        <v>1.125</v>
      </c>
      <c r="G13" s="14" t="n">
        <f aca="false">MIN(Cap_h,MAX(0,$B13-Alpha_keep*G$3))</f>
        <v>0.149999999999999</v>
      </c>
      <c r="H13" s="14" t="n">
        <f aca="false">MIN(Cap_h,MAX(0,$B13-Alpha_keep*H$3))</f>
        <v>0</v>
      </c>
      <c r="I13" s="14" t="n">
        <f aca="false">MIN(Cap_h,MAX(0,$B13-Alpha_keep*I$3))</f>
        <v>0</v>
      </c>
      <c r="J13" s="20" t="n">
        <v>54.75</v>
      </c>
      <c r="K13" s="12" t="n">
        <f aca="false">INDEX($AC$21:$AC$141,MATCH(58,$A$21:$A$141,0))</f>
        <v>-2.43482659584521</v>
      </c>
      <c r="L13" s="12" t="n">
        <f aca="false">INDEX($AC$21:$AC$141,MATCH(53,$A$21:$A$141,0))</f>
        <v>-23.0858955847106</v>
      </c>
    </row>
    <row r="14" customFormat="false" ht="15" hidden="false" customHeight="false" outlineLevel="0" collapsed="false">
      <c r="A14" s="19" t="n">
        <v>9</v>
      </c>
      <c r="B14" s="14" t="n">
        <f aca="false">_xlfn.MINIFS($A$21:$A$141,$V$21:$V$141,"&gt;="&amp;(MAX($V$21:$V$141)-0.000000001))</f>
        <v>44.25</v>
      </c>
      <c r="C14" s="2" t="str">
        <f aca="false">IF(B14&gt;=Alpha_keep*50,"top up to "&amp;TEXT(B14,"0.00"),"none: hire nothing")</f>
        <v>none: hire nothing</v>
      </c>
      <c r="D14" s="14" t="n">
        <f aca="false">MIN(Cap_h,MAX(0,$B14-Alpha_keep*D$3))</f>
        <v>0</v>
      </c>
      <c r="E14" s="14" t="n">
        <f aca="false">MIN(Cap_h,MAX(0,$B14-Alpha_keep*E$3))</f>
        <v>0</v>
      </c>
      <c r="F14" s="14" t="n">
        <f aca="false">MIN(Cap_h,MAX(0,$B14-Alpha_keep*F$3))</f>
        <v>0</v>
      </c>
      <c r="G14" s="14" t="n">
        <f aca="false">MIN(Cap_h,MAX(0,$B14-Alpha_keep*G$3))</f>
        <v>0</v>
      </c>
      <c r="H14" s="14" t="n">
        <f aca="false">MIN(Cap_h,MAX(0,$B14-Alpha_keep*H$3))</f>
        <v>0</v>
      </c>
      <c r="I14" s="14" t="n">
        <f aca="false">MIN(Cap_h,MAX(0,$B14-Alpha_keep*I$3))</f>
        <v>0</v>
      </c>
      <c r="J14" s="20" t="n">
        <v>44.25</v>
      </c>
      <c r="K14" s="12" t="n">
        <f aca="false">INDEX($Y$21:$Y$141,MATCH(58,$A$21:$A$141,0))</f>
        <v>-0.461919253298873</v>
      </c>
      <c r="L14" s="12" t="n">
        <f aca="false">INDEX($Y$21:$Y$141,MATCH(53,$A$21:$A$141,0))</f>
        <v>-15.4379639038352</v>
      </c>
    </row>
    <row r="15" customFormat="false" ht="15" hidden="false" customHeight="false" outlineLevel="0" collapsed="false">
      <c r="A15" s="19" t="n">
        <v>10</v>
      </c>
      <c r="B15" s="14" t="n">
        <f aca="false">_xlfn.MINIFS($A$21:$A$141,$R$21:$R$141,"&gt;="&amp;(MAX($R$21:$R$141)-0.000000001))</f>
        <v>42.5</v>
      </c>
      <c r="C15" s="2" t="str">
        <f aca="false">IF(B15&gt;=Alpha_keep*50,"top up to "&amp;TEXT(B15,"0.00"),"none: hire nothing")</f>
        <v>none: hire nothing</v>
      </c>
      <c r="D15" s="14" t="n">
        <f aca="false">MIN(Cap_h,MAX(0,$B15-Alpha_keep*D$3))</f>
        <v>0</v>
      </c>
      <c r="E15" s="14" t="n">
        <f aca="false">MIN(Cap_h,MAX(0,$B15-Alpha_keep*E$3))</f>
        <v>0</v>
      </c>
      <c r="F15" s="14" t="n">
        <f aca="false">MIN(Cap_h,MAX(0,$B15-Alpha_keep*F$3))</f>
        <v>0</v>
      </c>
      <c r="G15" s="14" t="n">
        <f aca="false">MIN(Cap_h,MAX(0,$B15-Alpha_keep*G$3))</f>
        <v>0</v>
      </c>
      <c r="H15" s="14" t="n">
        <f aca="false">MIN(Cap_h,MAX(0,$B15-Alpha_keep*H$3))</f>
        <v>0</v>
      </c>
      <c r="I15" s="14" t="n">
        <f aca="false">MIN(Cap_h,MAX(0,$B15-Alpha_keep*I$3))</f>
        <v>0</v>
      </c>
      <c r="J15" s="20" t="n">
        <v>42.5</v>
      </c>
      <c r="K15" s="12" t="n">
        <f aca="false">INDEX($U$21:$U$141,MATCH(58,$A$21:$A$141,0))</f>
        <v>0</v>
      </c>
      <c r="L15" s="12" t="n">
        <f aca="false">INDEX($U$21:$U$141,MATCH(53,$A$21:$A$141,0))</f>
        <v>-8.39473575707797</v>
      </c>
    </row>
    <row r="16" customFormat="false" ht="15" hidden="false" customHeight="false" outlineLevel="0" collapsed="false">
      <c r="A16" s="19" t="n">
        <v>11</v>
      </c>
      <c r="B16" s="14" t="n">
        <f aca="false">_xlfn.MINIFS($A$21:$A$141,$N$21:$N$141,"&gt;="&amp;(MAX($N$21:$N$141)-0.000000001))</f>
        <v>40</v>
      </c>
      <c r="C16" s="2" t="str">
        <f aca="false">IF(B16&gt;=Alpha_keep*50,"top up to "&amp;TEXT(B16,"0.00"),"none: hire nothing")</f>
        <v>none: hire nothing</v>
      </c>
      <c r="D16" s="14" t="n">
        <f aca="false">MIN(Cap_h,MAX(0,$B16-Alpha_keep*D$3))</f>
        <v>0</v>
      </c>
      <c r="E16" s="14" t="n">
        <f aca="false">MIN(Cap_h,MAX(0,$B16-Alpha_keep*E$3))</f>
        <v>0</v>
      </c>
      <c r="F16" s="14" t="n">
        <f aca="false">MIN(Cap_h,MAX(0,$B16-Alpha_keep*F$3))</f>
        <v>0</v>
      </c>
      <c r="G16" s="14" t="n">
        <f aca="false">MIN(Cap_h,MAX(0,$B16-Alpha_keep*G$3))</f>
        <v>0</v>
      </c>
      <c r="H16" s="14" t="n">
        <f aca="false">MIN(Cap_h,MAX(0,$B16-Alpha_keep*H$3))</f>
        <v>0</v>
      </c>
      <c r="I16" s="14" t="n">
        <f aca="false">MIN(Cap_h,MAX(0,$B16-Alpha_keep*I$3))</f>
        <v>0</v>
      </c>
      <c r="J16" s="20" t="n">
        <v>40</v>
      </c>
      <c r="K16" s="12" t="n">
        <f aca="false">INDEX($Q$21:$Q$141,MATCH(58,$A$21:$A$141,0))</f>
        <v>0</v>
      </c>
      <c r="L16" s="12" t="n">
        <f aca="false">INDEX($Q$21:$Q$141,MATCH(53,$A$21:$A$141,0))</f>
        <v>-3.19999999999999</v>
      </c>
    </row>
    <row r="17" customFormat="false" ht="15" hidden="false" customHeight="false" outlineLevel="0" collapsed="false">
      <c r="A17" s="0" t="s">
        <v>81</v>
      </c>
      <c r="F17" s="12" t="n">
        <f aca="false">K5-L5</f>
        <v>23.8448428627167</v>
      </c>
    </row>
    <row r="18" customFormat="false" ht="15" hidden="false" customHeight="false" outlineLevel="0" collapsed="false">
      <c r="A18" s="0" t="s">
        <v>82</v>
      </c>
      <c r="B18" s="13" t="n">
        <v>40</v>
      </c>
      <c r="C18" s="21" t="s">
        <v>83</v>
      </c>
      <c r="D18" s="13" t="n">
        <v>0.25</v>
      </c>
      <c r="E18" s="21" t="s">
        <v>84</v>
      </c>
      <c r="F18" s="14" t="n">
        <f aca="false">B18+120*D18</f>
        <v>70</v>
      </c>
      <c r="G18" s="21" t="s">
        <v>85</v>
      </c>
      <c r="J18" s="19" t="n">
        <f aca="false">SUMPRODUCT(--(ABS(B5:B16-J5:J16)&lt;0.000000001))</f>
        <v>12</v>
      </c>
    </row>
    <row r="19" customFormat="false" ht="15" hidden="false" customHeight="false" outlineLevel="0" collapsed="false">
      <c r="G19" s="0" t="s">
        <v>86</v>
      </c>
      <c r="J19" s="22" t="n">
        <f aca="false">MAX(BK21:BK141)</f>
        <v>1.13686837721616E-013</v>
      </c>
    </row>
    <row r="20" customFormat="false" ht="35.05" hidden="false" customHeight="false" outlineLevel="0" collapsed="false">
      <c r="A20" s="8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8" t="s">
        <v>92</v>
      </c>
      <c r="G20" s="8" t="s">
        <v>93</v>
      </c>
      <c r="H20" s="8" t="s">
        <v>94</v>
      </c>
      <c r="I20" s="8" t="s">
        <v>95</v>
      </c>
      <c r="J20" s="8" t="s">
        <v>96</v>
      </c>
      <c r="K20" s="8" t="s">
        <v>97</v>
      </c>
      <c r="L20" s="8" t="s">
        <v>98</v>
      </c>
      <c r="M20" s="8" t="s">
        <v>99</v>
      </c>
      <c r="N20" s="8" t="s">
        <v>100</v>
      </c>
      <c r="O20" s="8" t="s">
        <v>101</v>
      </c>
      <c r="P20" s="8" t="s">
        <v>102</v>
      </c>
      <c r="Q20" s="8" t="s">
        <v>103</v>
      </c>
      <c r="R20" s="8" t="s">
        <v>104</v>
      </c>
      <c r="S20" s="8" t="s">
        <v>105</v>
      </c>
      <c r="T20" s="8" t="s">
        <v>106</v>
      </c>
      <c r="U20" s="8" t="s">
        <v>107</v>
      </c>
      <c r="V20" s="8" t="s">
        <v>108</v>
      </c>
      <c r="W20" s="8" t="s">
        <v>109</v>
      </c>
      <c r="X20" s="8" t="s">
        <v>110</v>
      </c>
      <c r="Y20" s="8" t="s">
        <v>111</v>
      </c>
      <c r="Z20" s="8" t="s">
        <v>112</v>
      </c>
      <c r="AA20" s="8" t="s">
        <v>113</v>
      </c>
      <c r="AB20" s="8" t="s">
        <v>114</v>
      </c>
      <c r="AC20" s="8" t="s">
        <v>115</v>
      </c>
      <c r="AD20" s="8" t="s">
        <v>116</v>
      </c>
      <c r="AE20" s="8" t="s">
        <v>117</v>
      </c>
      <c r="AF20" s="8" t="s">
        <v>118</v>
      </c>
      <c r="AG20" s="8" t="s">
        <v>119</v>
      </c>
      <c r="AH20" s="8" t="s">
        <v>120</v>
      </c>
      <c r="AI20" s="8" t="s">
        <v>121</v>
      </c>
      <c r="AJ20" s="8" t="s">
        <v>122</v>
      </c>
      <c r="AK20" s="8" t="s">
        <v>123</v>
      </c>
      <c r="AL20" s="8" t="s">
        <v>124</v>
      </c>
      <c r="AM20" s="8" t="s">
        <v>125</v>
      </c>
      <c r="AN20" s="8" t="s">
        <v>126</v>
      </c>
      <c r="AO20" s="8" t="s">
        <v>127</v>
      </c>
      <c r="AP20" s="8" t="s">
        <v>128</v>
      </c>
      <c r="AQ20" s="8" t="s">
        <v>129</v>
      </c>
      <c r="AR20" s="8" t="s">
        <v>130</v>
      </c>
      <c r="AS20" s="8" t="s">
        <v>131</v>
      </c>
      <c r="AT20" s="8" t="s">
        <v>132</v>
      </c>
      <c r="AU20" s="8" t="s">
        <v>133</v>
      </c>
      <c r="AV20" s="8" t="s">
        <v>134</v>
      </c>
      <c r="AW20" s="8" t="s">
        <v>135</v>
      </c>
      <c r="AX20" s="8" t="s">
        <v>136</v>
      </c>
      <c r="AY20" s="8" t="s">
        <v>137</v>
      </c>
      <c r="AZ20" s="8" t="s">
        <v>138</v>
      </c>
      <c r="BA20" s="8" t="s">
        <v>139</v>
      </c>
      <c r="BB20" s="8" t="s">
        <v>140</v>
      </c>
      <c r="BC20" s="8" t="s">
        <v>141</v>
      </c>
      <c r="BD20" s="8" t="s">
        <v>142</v>
      </c>
      <c r="BE20" s="8" t="s">
        <v>143</v>
      </c>
      <c r="BF20" s="8" t="s">
        <v>144</v>
      </c>
      <c r="BG20" s="8" t="s">
        <v>145</v>
      </c>
      <c r="BH20" s="8" t="s">
        <v>146</v>
      </c>
      <c r="BI20" s="8" t="s">
        <v>147</v>
      </c>
      <c r="BJ20" s="8" t="s">
        <v>148</v>
      </c>
      <c r="BK20" s="8" t="s">
        <v>149</v>
      </c>
    </row>
    <row r="21" customFormat="false" ht="15" hidden="false" customHeight="false" outlineLevel="0" collapsed="false">
      <c r="A21" s="14" t="n">
        <f aca="false">$B$18</f>
        <v>40</v>
      </c>
      <c r="B21" s="19" t="n">
        <v>1</v>
      </c>
      <c r="C21" s="12" t="n">
        <f aca="false">-Short_p*MAX(Floor_c-A21,0)</f>
        <v>-24</v>
      </c>
      <c r="D21" s="12" t="n">
        <f aca="false">Cost_k*Alpha_keep*A21</f>
        <v>156</v>
      </c>
      <c r="E21" s="12" t="n">
        <f aca="false">MIN(Cap_h,MAX(0,$B$18+MAX(Loss_w)-Alpha_keep*A21))</f>
        <v>2.5</v>
      </c>
      <c r="F21" s="12" t="n">
        <f aca="false">MAX(MIN(Cap_h,$F$18+MIN(Loss_w)-Alpha_keep*A21),E21)</f>
        <v>2.5</v>
      </c>
      <c r="G21" s="12" t="n">
        <f aca="false">Alpha_keep*A21+E21</f>
        <v>41.5</v>
      </c>
      <c r="H21" s="12" t="n">
        <f aca="false">Alpha_keep*A21+F21</f>
        <v>41.5</v>
      </c>
      <c r="I21" s="19" t="n">
        <f aca="false">MIN(INT((G21-$B$18)/$D$18+0.000000001),119)</f>
        <v>6</v>
      </c>
      <c r="J21" s="12" t="n">
        <f aca="false">(G21-$B$18)/$D$18-I21</f>
        <v>0</v>
      </c>
      <c r="K21" s="19" t="n">
        <f aca="false">MIN(INT((H21-$B$18)/$D$18+0.000000001),119)</f>
        <v>6</v>
      </c>
      <c r="L21" s="12" t="n">
        <f aca="false">(H21-$B$18)/$D$18-K21</f>
        <v>0</v>
      </c>
      <c r="M21" s="9" t="n">
        <v>0</v>
      </c>
      <c r="N21" s="12" t="n">
        <f aca="false">-Cost_k*$A21+Beta_q*(Declarations!$B$16*INDEX(M$21:M$141,MAX(1,MIN(121,$B21-ROUND(Declarations!$A$16/$D$18,0))))+Declarations!$B$17*INDEX(M$21:M$141,MAX(1,MIN(121,$B21-ROUND(Declarations!$A$17/$D$18,0))))+Declarations!$B$18*INDEX(M$21:M$141,MAX(1,MIN(121,$B21-ROUND(Declarations!$A$18/$D$18,0))))+Declarations!$B$19*INDEX(M$21:M$141,MAX(1,MIN(121,$B21-ROUND(Declarations!$A$19/$D$18,0))))+Declarations!$B$20*INDEX(M$21:M$141,MAX(1,MIN(121,$B21-ROUND(Declarations!$A$20/$D$18,0)))))</f>
        <v>-160</v>
      </c>
      <c r="O21" s="12" t="n">
        <f aca="false">INDEX(N$21:N$141,$I21+1)*(1-$J21)+INDEX(N$21:N$141,$I21+2)*$J21</f>
        <v>-166</v>
      </c>
      <c r="P21" s="12" t="n">
        <f aca="false">INDEX(N$21:N$141,$K21+1)*(1-$L21)+INDEX(N$21:N$141,$K21+2)*$L21</f>
        <v>-166</v>
      </c>
      <c r="Q21" s="12" t="n">
        <f aca="false">$C21+$D21+MAX(O21,P21,IF(COUNTIFS($A$21:$A$141,"&gt;="&amp;$G21,$A$21:$A$141,"&lt;="&amp;$H21)&gt;0,_xlfn.MAXIFS(N$21:N$141,$A$21:$A$141,"&gt;="&amp;$G21,$A$21:$A$141,"&lt;="&amp;$H21),O21))</f>
        <v>-34</v>
      </c>
      <c r="R21" s="12" t="n">
        <f aca="false">-Cost_k*$A21+Beta_q*(Declarations!$B$16*INDEX(Q$21:Q$141,MAX(1,MIN(121,$B21-ROUND(Declarations!$A$16/$D$18,0))))+Declarations!$B$17*INDEX(Q$21:Q$141,MAX(1,MIN(121,$B21-ROUND(Declarations!$A$17/$D$18,0))))+Declarations!$B$18*INDEX(Q$21:Q$141,MAX(1,MIN(121,$B21-ROUND(Declarations!$A$18/$D$18,0))))+Declarations!$B$19*INDEX(Q$21:Q$141,MAX(1,MIN(121,$B21-ROUND(Declarations!$A$19/$D$18,0))))+Declarations!$B$20*INDEX(Q$21:Q$141,MAX(1,MIN(121,$B21-ROUND(Declarations!$A$20/$D$18,0)))))</f>
        <v>-191.99107711302</v>
      </c>
      <c r="S21" s="12" t="n">
        <f aca="false">INDEX(R$21:R$141,$I21+1)*(1-$J21)+INDEX(R$21:R$141,$I21+2)*$J21</f>
        <v>-191.226691406788</v>
      </c>
      <c r="T21" s="12" t="n">
        <f aca="false">INDEX(R$21:R$141,$K21+1)*(1-$L21)+INDEX(R$21:R$141,$K21+2)*$L21</f>
        <v>-191.226691406788</v>
      </c>
      <c r="U21" s="12" t="n">
        <f aca="false">$C21+$D21+MAX(S21,T21,IF(COUNTIFS($A$21:$A$141,"&gt;="&amp;$G21,$A$21:$A$141,"&lt;="&amp;$H21)&gt;0,_xlfn.MAXIFS(R$21:R$141,$A$21:$A$141,"&gt;="&amp;$G21,$A$21:$A$141,"&lt;="&amp;$H21),S21))</f>
        <v>-59.2266914067875</v>
      </c>
      <c r="V21" s="12" t="n">
        <f aca="false">-Cost_k*$A21+Beta_q*(Declarations!$B$16*INDEX(U$21:U$141,MAX(1,MIN(121,$B21-ROUND(Declarations!$A$16/$D$18,0))))+Declarations!$B$17*INDEX(U$21:U$141,MAX(1,MIN(121,$B21-ROUND(Declarations!$A$17/$D$18,0))))+Declarations!$B$18*INDEX(U$21:U$141,MAX(1,MIN(121,$B21-ROUND(Declarations!$A$18/$D$18,0))))+Declarations!$B$19*INDEX(U$21:U$141,MAX(1,MIN(121,$B21-ROUND(Declarations!$A$19/$D$18,0))))+Declarations!$B$20*INDEX(U$21:U$141,MAX(1,MIN(121,$B21-ROUND(Declarations!$A$20/$D$18,0)))))</f>
        <v>-216.485195408029</v>
      </c>
      <c r="W21" s="12" t="n">
        <f aca="false">INDEX(V$21:V$141,$I21+1)*(1-$J21)+INDEX(V$21:V$141,$I21+2)*$J21</f>
        <v>-215.188270969776</v>
      </c>
      <c r="X21" s="12" t="n">
        <f aca="false">INDEX(V$21:V$141,$K21+1)*(1-$L21)+INDEX(V$21:V$141,$K21+2)*$L21</f>
        <v>-215.188270969776</v>
      </c>
      <c r="Y21" s="12" t="n">
        <f aca="false">$C21+$D21+MAX(W21,X21,IF(COUNTIFS($A$21:$A$141,"&gt;="&amp;$G21,$A$21:$A$141,"&lt;="&amp;$H21)&gt;0,_xlfn.MAXIFS(V$21:V$141,$A$21:$A$141,"&gt;="&amp;$G21,$A$21:$A$141,"&lt;="&amp;$H21),W21))</f>
        <v>-83.1882709697761</v>
      </c>
      <c r="Z21" s="12" t="n">
        <f aca="false">-Cost_k*$A21+Beta_q*(Declarations!$B$16*INDEX(Y$21:Y$141,MAX(1,MIN(121,$B21-ROUND(Declarations!$A$16/$D$18,0))))+Declarations!$B$17*INDEX(Y$21:Y$141,MAX(1,MIN(121,$B21-ROUND(Declarations!$A$17/$D$18,0))))+Declarations!$B$18*INDEX(Y$21:Y$141,MAX(1,MIN(121,$B21-ROUND(Declarations!$A$18/$D$18,0))))+Declarations!$B$19*INDEX(Y$21:Y$141,MAX(1,MIN(121,$B21-ROUND(Declarations!$A$19/$D$18,0))))+Declarations!$B$20*INDEX(Y$21:Y$141,MAX(1,MIN(121,$B21-ROUND(Declarations!$A$20/$D$18,0)))))</f>
        <v>-239.721056583037</v>
      </c>
      <c r="AA21" s="12" t="n">
        <f aca="false">INDEX(Z$21:Z$141,$I21+1)*(1-$J21)+INDEX(Z$21:Z$141,$I21+2)*$J21</f>
        <v>-237.357058768902</v>
      </c>
      <c r="AB21" s="12" t="n">
        <f aca="false">INDEX(Z$21:Z$141,$K21+1)*(1-$L21)+INDEX(Z$21:Z$141,$K21+2)*$L21</f>
        <v>-237.357058768902</v>
      </c>
      <c r="AC21" s="12" t="n">
        <f aca="false">$C21+$D21+MAX(AA21,AB21,IF(COUNTIFS($A$21:$A$141,"&gt;="&amp;$G21,$A$21:$A$141,"&lt;="&amp;$H21)&gt;0,_xlfn.MAXIFS(Z$21:Z$141,$A$21:$A$141,"&gt;="&amp;$G21,$A$21:$A$141,"&lt;="&amp;$H21),AA21))</f>
        <v>-105.357058768902</v>
      </c>
      <c r="AD21" s="12" t="n">
        <f aca="false">-Cost_k*$A21+Beta_q*(Declarations!$B$16*INDEX(AC$21:AC$141,MAX(1,MIN(121,$B21-ROUND(Declarations!$A$16/$D$18,0))))+Declarations!$B$17*INDEX(AC$21:AC$141,MAX(1,MIN(121,$B21-ROUND(Declarations!$A$17/$D$18,0))))+Declarations!$B$18*INDEX(AC$21:AC$141,MAX(1,MIN(121,$B21-ROUND(Declarations!$A$18/$D$18,0))))+Declarations!$B$19*INDEX(AC$21:AC$141,MAX(1,MIN(121,$B21-ROUND(Declarations!$A$19/$D$18,0))))+Declarations!$B$20*INDEX(AC$21:AC$141,MAX(1,MIN(121,$B21-ROUND(Declarations!$A$20/$D$18,0)))))</f>
        <v>-261.224111895666</v>
      </c>
      <c r="AE21" s="12" t="n">
        <f aca="false">INDEX(AD$21:AD$141,$I21+1)*(1-$J21)+INDEX(AD$21:AD$141,$I21+2)*$J21</f>
        <v>-258.147264038387</v>
      </c>
      <c r="AF21" s="12" t="n">
        <f aca="false">INDEX(AD$21:AD$141,$K21+1)*(1-$L21)+INDEX(AD$21:AD$141,$K21+2)*$L21</f>
        <v>-258.147264038387</v>
      </c>
      <c r="AG21" s="12" t="n">
        <f aca="false">$C21+$D21+MAX(AE21,AF21,IF(COUNTIFS($A$21:$A$141,"&gt;="&amp;$G21,$A$21:$A$141,"&lt;="&amp;$H21)&gt;0,_xlfn.MAXIFS(AD$21:AD$141,$A$21:$A$141,"&gt;="&amp;$G21,$A$21:$A$141,"&lt;="&amp;$H21),AE21))</f>
        <v>-126.147264038387</v>
      </c>
      <c r="AH21" s="12" t="n">
        <f aca="false">-Cost_k*$A21+Beta_q*(Declarations!$B$16*INDEX(AG$21:AG$141,MAX(1,MIN(121,$B21-ROUND(Declarations!$A$16/$D$18,0))))+Declarations!$B$17*INDEX(AG$21:AG$141,MAX(1,MIN(121,$B21-ROUND(Declarations!$A$17/$D$18,0))))+Declarations!$B$18*INDEX(AG$21:AG$141,MAX(1,MIN(121,$B21-ROUND(Declarations!$A$18/$D$18,0))))+Declarations!$B$19*INDEX(AG$21:AG$141,MAX(1,MIN(121,$B21-ROUND(Declarations!$A$19/$D$18,0))))+Declarations!$B$20*INDEX(AG$21:AG$141,MAX(1,MIN(121,$B21-ROUND(Declarations!$A$20/$D$18,0)))))</f>
        <v>-281.371024652022</v>
      </c>
      <c r="AI21" s="12" t="n">
        <f aca="false">INDEX(AH$21:AH$141,$I21+1)*(1-$J21)+INDEX(AH$21:AH$141,$I21+2)*$J21</f>
        <v>-277.233768456172</v>
      </c>
      <c r="AJ21" s="12" t="n">
        <f aca="false">INDEX(AH$21:AH$141,$K21+1)*(1-$L21)+INDEX(AH$21:AH$141,$K21+2)*$L21</f>
        <v>-277.233768456172</v>
      </c>
      <c r="AK21" s="12" t="n">
        <f aca="false">$C21+$D21+MAX(AI21,AJ21,IF(COUNTIFS($A$21:$A$141,"&gt;="&amp;$G21,$A$21:$A$141,"&lt;="&amp;$H21)&gt;0,_xlfn.MAXIFS(AH$21:AH$141,$A$21:$A$141,"&gt;="&amp;$G21,$A$21:$A$141,"&lt;="&amp;$H21),AI21))</f>
        <v>-145.233768456172</v>
      </c>
      <c r="AL21" s="12" t="n">
        <f aca="false">-Cost_k*$A21+Beta_q*(Declarations!$B$16*INDEX(AK$21:AK$141,MAX(1,MIN(121,$B21-ROUND(Declarations!$A$16/$D$18,0))))+Declarations!$B$17*INDEX(AK$21:AK$141,MAX(1,MIN(121,$B21-ROUND(Declarations!$A$17/$D$18,0))))+Declarations!$B$18*INDEX(AK$21:AK$141,MAX(1,MIN(121,$B21-ROUND(Declarations!$A$18/$D$18,0))))+Declarations!$B$19*INDEX(AK$21:AK$141,MAX(1,MIN(121,$B21-ROUND(Declarations!$A$19/$D$18,0))))+Declarations!$B$20*INDEX(AK$21:AK$141,MAX(1,MIN(121,$B21-ROUND(Declarations!$A$20/$D$18,0)))))</f>
        <v>-299.797428571144</v>
      </c>
      <c r="AM21" s="12" t="n">
        <f aca="false">INDEX(AL$21:AL$141,$I21+1)*(1-$J21)+INDEX(AL$21:AL$141,$I21+2)*$J21</f>
        <v>-294.493189668644</v>
      </c>
      <c r="AN21" s="12" t="n">
        <f aca="false">INDEX(AL$21:AL$141,$K21+1)*(1-$L21)+INDEX(AL$21:AL$141,$K21+2)*$L21</f>
        <v>-294.493189668644</v>
      </c>
      <c r="AO21" s="12" t="n">
        <f aca="false">$C21+$D21+MAX(AM21,AN21,IF(COUNTIFS($A$21:$A$141,"&gt;="&amp;$G21,$A$21:$A$141,"&lt;="&amp;$H21)&gt;0,_xlfn.MAXIFS(AL$21:AL$141,$A$21:$A$141,"&gt;="&amp;$G21,$A$21:$A$141,"&lt;="&amp;$H21),AM21))</f>
        <v>-162.493189668644</v>
      </c>
      <c r="AP21" s="12" t="n">
        <f aca="false">-Cost_k*$A21+Beta_q*(Declarations!$B$16*INDEX(AO$21:AO$141,MAX(1,MIN(121,$B21-ROUND(Declarations!$A$16/$D$18,0))))+Declarations!$B$17*INDEX(AO$21:AO$141,MAX(1,MIN(121,$B21-ROUND(Declarations!$A$17/$D$18,0))))+Declarations!$B$18*INDEX(AO$21:AO$141,MAX(1,MIN(121,$B21-ROUND(Declarations!$A$18/$D$18,0))))+Declarations!$B$19*INDEX(AO$21:AO$141,MAX(1,MIN(121,$B21-ROUND(Declarations!$A$19/$D$18,0))))+Declarations!$B$20*INDEX(AO$21:AO$141,MAX(1,MIN(121,$B21-ROUND(Declarations!$A$20/$D$18,0)))))</f>
        <v>-316.461902493128</v>
      </c>
      <c r="AQ21" s="12" t="n">
        <f aca="false">INDEX(AP$21:AP$141,$I21+1)*(1-$J21)+INDEX(AP$21:AP$141,$I21+2)*$J21</f>
        <v>-310.061235192897</v>
      </c>
      <c r="AR21" s="12" t="n">
        <f aca="false">INDEX(AP$21:AP$141,$K21+1)*(1-$L21)+INDEX(AP$21:AP$141,$K21+2)*$L21</f>
        <v>-310.061235192897</v>
      </c>
      <c r="AS21" s="12" t="n">
        <f aca="false">$C21+$D21+MAX(AQ21,AR21,IF(COUNTIFS($A$21:$A$141,"&gt;="&amp;$G21,$A$21:$A$141,"&lt;="&amp;$H21)&gt;0,_xlfn.MAXIFS(AP$21:AP$141,$A$21:$A$141,"&gt;="&amp;$G21,$A$21:$A$141,"&lt;="&amp;$H21),AQ21))</f>
        <v>-178.061235192897</v>
      </c>
      <c r="AT21" s="12" t="n">
        <f aca="false">-Cost_k*$A21+Beta_q*(Declarations!$B$16*INDEX(AS$21:AS$141,MAX(1,MIN(121,$B21-ROUND(Declarations!$A$16/$D$18,0))))+Declarations!$B$17*INDEX(AS$21:AS$141,MAX(1,MIN(121,$B21-ROUND(Declarations!$A$17/$D$18,0))))+Declarations!$B$18*INDEX(AS$21:AS$141,MAX(1,MIN(121,$B21-ROUND(Declarations!$A$18/$D$18,0))))+Declarations!$B$19*INDEX(AS$21:AS$141,MAX(1,MIN(121,$B21-ROUND(Declarations!$A$19/$D$18,0))))+Declarations!$B$20*INDEX(AS$21:AS$141,MAX(1,MIN(121,$B21-ROUND(Declarations!$A$20/$D$18,0)))))</f>
        <v>-331.461330635863</v>
      </c>
      <c r="AU21" s="12" t="n">
        <f aca="false">INDEX(AT$21:AT$141,$I21+1)*(1-$J21)+INDEX(AT$21:AT$141,$I21+2)*$J21</f>
        <v>-323.859897138458</v>
      </c>
      <c r="AV21" s="12" t="n">
        <f aca="false">INDEX(AT$21:AT$141,$K21+1)*(1-$L21)+INDEX(AT$21:AT$141,$K21+2)*$L21</f>
        <v>-323.859897138458</v>
      </c>
      <c r="AW21" s="12" t="n">
        <f aca="false">$C21+$D21+MAX(AU21,AV21,IF(COUNTIFS($A$21:$A$141,"&gt;="&amp;$G21,$A$21:$A$141,"&lt;="&amp;$H21)&gt;0,_xlfn.MAXIFS(AT$21:AT$141,$A$21:$A$141,"&gt;="&amp;$G21,$A$21:$A$141,"&lt;="&amp;$H21),AU21))</f>
        <v>-191.859897138458</v>
      </c>
      <c r="AX21" s="12" t="n">
        <f aca="false">-Cost_k*$A21+Beta_q*(Declarations!$B$16*INDEX(AW$21:AW$141,MAX(1,MIN(121,$B21-ROUND(Declarations!$A$16/$D$18,0))))+Declarations!$B$17*INDEX(AW$21:AW$141,MAX(1,MIN(121,$B21-ROUND(Declarations!$A$17/$D$18,0))))+Declarations!$B$18*INDEX(AW$21:AW$141,MAX(1,MIN(121,$B21-ROUND(Declarations!$A$18/$D$18,0))))+Declarations!$B$19*INDEX(AW$21:AW$141,MAX(1,MIN(121,$B21-ROUND(Declarations!$A$19/$D$18,0))))+Declarations!$B$20*INDEX(AW$21:AW$141,MAX(1,MIN(121,$B21-ROUND(Declarations!$A$20/$D$18,0)))))</f>
        <v>-344.715867266926</v>
      </c>
      <c r="AY21" s="12" t="n">
        <f aca="false">INDEX(AX$21:AX$141,$I21+1)*(1-$J21)+INDEX(AX$21:AX$141,$I21+2)*$J21</f>
        <v>-335.844337402909</v>
      </c>
      <c r="AZ21" s="12" t="n">
        <f aca="false">INDEX(AX$21:AX$141,$K21+1)*(1-$L21)+INDEX(AX$21:AX$141,$K21+2)*$L21</f>
        <v>-335.844337402909</v>
      </c>
      <c r="BA21" s="12" t="n">
        <f aca="false">$C21+$D21+MAX(AY21,AZ21,IF(COUNTIFS($A$21:$A$141,"&gt;="&amp;$G21,$A$21:$A$141,"&lt;="&amp;$H21)&gt;0,_xlfn.MAXIFS(AX$21:AX$141,$A$21:$A$141,"&gt;="&amp;$G21,$A$21:$A$141,"&lt;="&amp;$H21),AY21))</f>
        <v>-203.844337402909</v>
      </c>
      <c r="BB21" s="12" t="n">
        <f aca="false">-Cost_k*$A21+Beta_q*(Declarations!$B$16*INDEX(BA$21:BA$141,MAX(1,MIN(121,$B21-ROUND(Declarations!$A$16/$D$18,0))))+Declarations!$B$17*INDEX(BA$21:BA$141,MAX(1,MIN(121,$B21-ROUND(Declarations!$A$17/$D$18,0))))+Declarations!$B$18*INDEX(BA$21:BA$141,MAX(1,MIN(121,$B21-ROUND(Declarations!$A$18/$D$18,0))))+Declarations!$B$19*INDEX(BA$21:BA$141,MAX(1,MIN(121,$B21-ROUND(Declarations!$A$19/$D$18,0))))+Declarations!$B$20*INDEX(BA$21:BA$141,MAX(1,MIN(121,$B21-ROUND(Declarations!$A$20/$D$18,0)))))</f>
        <v>-356.197759504309</v>
      </c>
      <c r="BC21" s="12" t="n">
        <f aca="false">INDEX(BB$21:BB$141,$I21+1)*(1-$J21)+INDEX(BB$21:BB$141,$I21+2)*$J21</f>
        <v>-346.072438555396</v>
      </c>
      <c r="BD21" s="12" t="n">
        <f aca="false">INDEX(BB$21:BB$141,$K21+1)*(1-$L21)+INDEX(BB$21:BB$141,$K21+2)*$L21</f>
        <v>-346.072438555396</v>
      </c>
      <c r="BE21" s="12" t="n">
        <f aca="false">$C21+$D21+MAX(BC21,BD21,IF(COUNTIFS($A$21:$A$141,"&gt;="&amp;$G21,$A$21:$A$141,"&lt;="&amp;$H21)&gt;0,_xlfn.MAXIFS(BB$21:BB$141,$A$21:$A$141,"&gt;="&amp;$G21,$A$21:$A$141,"&lt;="&amp;$H21),BC21))</f>
        <v>-214.072438555396</v>
      </c>
      <c r="BF21" s="12" t="n">
        <f aca="false">-Cost_k*$A21+Beta_q*(Declarations!$B$16*INDEX(BE$21:BE$141,MAX(1,MIN(121,$B21-ROUND(Declarations!$A$16/$D$18,0))))+Declarations!$B$17*INDEX(BE$21:BE$141,MAX(1,MIN(121,$B21-ROUND(Declarations!$A$17/$D$18,0))))+Declarations!$B$18*INDEX(BE$21:BE$141,MAX(1,MIN(121,$B21-ROUND(Declarations!$A$18/$D$18,0))))+Declarations!$B$19*INDEX(BE$21:BE$141,MAX(1,MIN(121,$B21-ROUND(Declarations!$A$19/$D$18,0))))+Declarations!$B$20*INDEX(BE$21:BE$141,MAX(1,MIN(121,$B21-ROUND(Declarations!$A$20/$D$18,0)))))</f>
        <v>-365.974932173309</v>
      </c>
      <c r="BG21" s="12" t="n">
        <f aca="false">INDEX(BF$21:BF$141,$I21+1)*(1-$J21)+INDEX(BF$21:BF$141,$I21+2)*$J21</f>
        <v>-354.672593429998</v>
      </c>
      <c r="BH21" s="12" t="n">
        <f aca="false">INDEX(BF$21:BF$141,$K21+1)*(1-$L21)+INDEX(BF$21:BF$141,$K21+2)*$L21</f>
        <v>-354.672593429998</v>
      </c>
      <c r="BI21" s="12" t="n">
        <f aca="false">$C21+$D21+MAX(BG21,BH21,IF(COUNTIFS($A$21:$A$141,"&gt;="&amp;$G21,$A$21:$A$141,"&lt;="&amp;$H21)&gt;0,_xlfn.MAXIFS(BF$21:BF$141,$A$21:$A$141,"&gt;="&amp;$G21,$A$21:$A$141,"&lt;="&amp;$H21),BG21))</f>
        <v>-222.672593429998</v>
      </c>
      <c r="BJ21" s="23" t="n">
        <v>-222.672593429998</v>
      </c>
      <c r="BK21" s="22" t="n">
        <f aca="false">ABS(BI21-BJ21)</f>
        <v>0</v>
      </c>
    </row>
    <row r="22" customFormat="false" ht="15" hidden="false" customHeight="false" outlineLevel="0" collapsed="false">
      <c r="A22" s="14" t="n">
        <f aca="false">A21+$D$18</f>
        <v>40.25</v>
      </c>
      <c r="B22" s="19" t="n">
        <v>2</v>
      </c>
      <c r="C22" s="12" t="n">
        <f aca="false">-Short_p*MAX(Floor_c-A22,0)</f>
        <v>-23.6</v>
      </c>
      <c r="D22" s="12" t="n">
        <f aca="false">Cost_k*Alpha_keep*A22</f>
        <v>156.975</v>
      </c>
      <c r="E22" s="12" t="n">
        <f aca="false">MIN(Cap_h,MAX(0,$B$18+MAX(Loss_w)-Alpha_keep*A22))</f>
        <v>2.25625</v>
      </c>
      <c r="F22" s="12" t="n">
        <f aca="false">MAX(MIN(Cap_h,$F$18+MIN(Loss_w)-Alpha_keep*A22),E22)</f>
        <v>2.5</v>
      </c>
      <c r="G22" s="12" t="n">
        <f aca="false">Alpha_keep*A22+E22</f>
        <v>41.5</v>
      </c>
      <c r="H22" s="12" t="n">
        <f aca="false">Alpha_keep*A22+F22</f>
        <v>41.74375</v>
      </c>
      <c r="I22" s="19" t="n">
        <f aca="false">MIN(INT((G22-$B$18)/$D$18+0.000000001),119)</f>
        <v>6</v>
      </c>
      <c r="J22" s="12" t="n">
        <f aca="false">(G22-$B$18)/$D$18-I22</f>
        <v>0</v>
      </c>
      <c r="K22" s="19" t="n">
        <f aca="false">MIN(INT((H22-$B$18)/$D$18+0.000000001),119)</f>
        <v>6</v>
      </c>
      <c r="L22" s="12" t="n">
        <f aca="false">(H22-$B$18)/$D$18-K22</f>
        <v>0.974999999999994</v>
      </c>
      <c r="M22" s="9" t="n">
        <v>0</v>
      </c>
      <c r="N22" s="12" t="n">
        <f aca="false">-Cost_k*$A22+Beta_q*(Declarations!$B$16*INDEX(M$21:M$141,MAX(1,MIN(121,$B22-ROUND(Declarations!$A$16/$D$18,0))))+Declarations!$B$17*INDEX(M$21:M$141,MAX(1,MIN(121,$B22-ROUND(Declarations!$A$17/$D$18,0))))+Declarations!$B$18*INDEX(M$21:M$141,MAX(1,MIN(121,$B22-ROUND(Declarations!$A$18/$D$18,0))))+Declarations!$B$19*INDEX(M$21:M$141,MAX(1,MIN(121,$B22-ROUND(Declarations!$A$19/$D$18,0))))+Declarations!$B$20*INDEX(M$21:M$141,MAX(1,MIN(121,$B22-ROUND(Declarations!$A$20/$D$18,0)))))</f>
        <v>-161</v>
      </c>
      <c r="O22" s="12" t="n">
        <f aca="false">INDEX(N$21:N$141,$I22+1)*(1-$J22)+INDEX(N$21:N$141,$I22+2)*$J22</f>
        <v>-166</v>
      </c>
      <c r="P22" s="12" t="n">
        <f aca="false">INDEX(N$21:N$141,$K22+1)*(1-$L22)+INDEX(N$21:N$141,$K22+2)*$L22</f>
        <v>-166.975</v>
      </c>
      <c r="Q22" s="12" t="n">
        <f aca="false">$C22+$D22+MAX(O22,P22,IF(COUNTIFS($A$21:$A$141,"&gt;="&amp;$G22,$A$21:$A$141,"&lt;="&amp;$H22)&gt;0,_xlfn.MAXIFS(N$21:N$141,$A$21:$A$141,"&gt;="&amp;$G22,$A$21:$A$141,"&lt;="&amp;$H22),O22))</f>
        <v>-32.625</v>
      </c>
      <c r="R22" s="12" t="n">
        <f aca="false">-Cost_k*$A22+Beta_q*(Declarations!$B$16*INDEX(Q$21:Q$141,MAX(1,MIN(121,$B22-ROUND(Declarations!$A$16/$D$18,0))))+Declarations!$B$17*INDEX(Q$21:Q$141,MAX(1,MIN(121,$B22-ROUND(Declarations!$A$17/$D$18,0))))+Declarations!$B$18*INDEX(Q$21:Q$141,MAX(1,MIN(121,$B22-ROUND(Declarations!$A$18/$D$18,0))))+Declarations!$B$19*INDEX(Q$21:Q$141,MAX(1,MIN(121,$B22-ROUND(Declarations!$A$19/$D$18,0))))+Declarations!$B$20*INDEX(Q$21:Q$141,MAX(1,MIN(121,$B22-ROUND(Declarations!$A$20/$D$18,0)))))</f>
        <v>-191.984108833041</v>
      </c>
      <c r="S22" s="12" t="n">
        <f aca="false">INDEX(R$21:R$141,$I22+1)*(1-$J22)+INDEX(R$21:R$141,$I22+2)*$J22</f>
        <v>-191.226691406788</v>
      </c>
      <c r="T22" s="12" t="n">
        <f aca="false">INDEX(R$21:R$141,$K22+1)*(1-$L22)+INDEX(R$21:R$141,$K22+2)*$L22</f>
        <v>-190.939044726265</v>
      </c>
      <c r="U22" s="12" t="n">
        <f aca="false">$C22+$D22+MAX(S22,T22,IF(COUNTIFS($A$21:$A$141,"&gt;="&amp;$G22,$A$21:$A$141,"&lt;="&amp;$H22)&gt;0,_xlfn.MAXIFS(R$21:R$141,$A$21:$A$141,"&gt;="&amp;$G22,$A$21:$A$141,"&lt;="&amp;$H22),S22))</f>
        <v>-57.5640447262651</v>
      </c>
      <c r="V22" s="12" t="n">
        <f aca="false">-Cost_k*$A22+Beta_q*(Declarations!$B$16*INDEX(U$21:U$141,MAX(1,MIN(121,$B22-ROUND(Declarations!$A$16/$D$18,0))))+Declarations!$B$17*INDEX(U$21:U$141,MAX(1,MIN(121,$B22-ROUND(Declarations!$A$17/$D$18,0))))+Declarations!$B$18*INDEX(U$21:U$141,MAX(1,MIN(121,$B22-ROUND(Declarations!$A$18/$D$18,0))))+Declarations!$B$19*INDEX(U$21:U$141,MAX(1,MIN(121,$B22-ROUND(Declarations!$A$19/$D$18,0))))+Declarations!$B$20*INDEX(U$21:U$141,MAX(1,MIN(121,$B22-ROUND(Declarations!$A$20/$D$18,0)))))</f>
        <v>-216.317870898701</v>
      </c>
      <c r="W22" s="12" t="n">
        <f aca="false">INDEX(V$21:V$141,$I22+1)*(1-$J22)+INDEX(V$21:V$141,$I22+2)*$J22</f>
        <v>-215.188270969776</v>
      </c>
      <c r="X22" s="12" t="n">
        <f aca="false">INDEX(V$21:V$141,$K22+1)*(1-$L22)+INDEX(V$21:V$141,$K22+2)*$L22</f>
        <v>-214.821098252101</v>
      </c>
      <c r="Y22" s="12" t="n">
        <f aca="false">$C22+$D22+MAX(W22,X22,IF(COUNTIFS($A$21:$A$141,"&gt;="&amp;$G22,$A$21:$A$141,"&lt;="&amp;$H22)&gt;0,_xlfn.MAXIFS(V$21:V$141,$A$21:$A$141,"&gt;="&amp;$G22,$A$21:$A$141,"&lt;="&amp;$H22),W22))</f>
        <v>-81.4460982521014</v>
      </c>
      <c r="Z22" s="12" t="n">
        <f aca="false">-Cost_k*$A22+Beta_q*(Declarations!$B$16*INDEX(Y$21:Y$141,MAX(1,MIN(121,$B22-ROUND(Declarations!$A$16/$D$18,0))))+Declarations!$B$17*INDEX(Y$21:Y$141,MAX(1,MIN(121,$B22-ROUND(Declarations!$A$17/$D$18,0))))+Declarations!$B$18*INDEX(Y$21:Y$141,MAX(1,MIN(121,$B22-ROUND(Declarations!$A$18/$D$18,0))))+Declarations!$B$19*INDEX(Y$21:Y$141,MAX(1,MIN(121,$B22-ROUND(Declarations!$A$19/$D$18,0))))+Declarations!$B$20*INDEX(Y$21:Y$141,MAX(1,MIN(121,$B22-ROUND(Declarations!$A$20/$D$18,0)))))</f>
        <v>-239.459055189093</v>
      </c>
      <c r="AA22" s="12" t="n">
        <f aca="false">INDEX(Z$21:Z$141,$I22+1)*(1-$J22)+INDEX(Z$21:Z$141,$I22+2)*$J22</f>
        <v>-237.357058768902</v>
      </c>
      <c r="AB22" s="12" t="n">
        <f aca="false">INDEX(Z$21:Z$141,$K22+1)*(1-$L22)+INDEX(Z$21:Z$141,$K22+2)*$L22</f>
        <v>-236.808107980335</v>
      </c>
      <c r="AC22" s="12" t="n">
        <f aca="false">$C22+$D22+MAX(AA22,AB22,IF(COUNTIFS($A$21:$A$141,"&gt;="&amp;$G22,$A$21:$A$141,"&lt;="&amp;$H22)&gt;0,_xlfn.MAXIFS(Z$21:Z$141,$A$21:$A$141,"&gt;="&amp;$G22,$A$21:$A$141,"&lt;="&amp;$H22),AA22))</f>
        <v>-103.433107980335</v>
      </c>
      <c r="AD22" s="12" t="n">
        <f aca="false">-Cost_k*$A22+Beta_q*(Declarations!$B$16*INDEX(AC$21:AC$141,MAX(1,MIN(121,$B22-ROUND(Declarations!$A$16/$D$18,0))))+Declarations!$B$17*INDEX(AC$21:AC$141,MAX(1,MIN(121,$B22-ROUND(Declarations!$A$17/$D$18,0))))+Declarations!$B$18*INDEX(AC$21:AC$141,MAX(1,MIN(121,$B22-ROUND(Declarations!$A$18/$D$18,0))))+Declarations!$B$19*INDEX(AC$21:AC$141,MAX(1,MIN(121,$B22-ROUND(Declarations!$A$19/$D$18,0))))+Declarations!$B$20*INDEX(AC$21:AC$141,MAX(1,MIN(121,$B22-ROUND(Declarations!$A$20/$D$18,0)))))</f>
        <v>-260.845705143764</v>
      </c>
      <c r="AE22" s="12" t="n">
        <f aca="false">INDEX(AD$21:AD$141,$I22+1)*(1-$J22)+INDEX(AD$21:AD$141,$I22+2)*$J22</f>
        <v>-258.147264038387</v>
      </c>
      <c r="AF22" s="12" t="n">
        <f aca="false">INDEX(AD$21:AD$141,$K22+1)*(1-$L22)+INDEX(AD$21:AD$141,$K22+2)*$L22</f>
        <v>-257.450248733384</v>
      </c>
      <c r="AG22" s="12" t="n">
        <f aca="false">$C22+$D22+MAX(AE22,AF22,IF(COUNTIFS($A$21:$A$141,"&gt;="&amp;$G22,$A$21:$A$141,"&lt;="&amp;$H22)&gt;0,_xlfn.MAXIFS(AD$21:AD$141,$A$21:$A$141,"&gt;="&amp;$G22,$A$21:$A$141,"&lt;="&amp;$H22),AE22))</f>
        <v>-124.075248733384</v>
      </c>
      <c r="AH22" s="12" t="n">
        <f aca="false">-Cost_k*$A22+Beta_q*(Declarations!$B$16*INDEX(AG$21:AG$141,MAX(1,MIN(121,$B22-ROUND(Declarations!$A$16/$D$18,0))))+Declarations!$B$17*INDEX(AG$21:AG$141,MAX(1,MIN(121,$B22-ROUND(Declarations!$A$17/$D$18,0))))+Declarations!$B$18*INDEX(AG$21:AG$141,MAX(1,MIN(121,$B22-ROUND(Declarations!$A$18/$D$18,0))))+Declarations!$B$19*INDEX(AG$21:AG$141,MAX(1,MIN(121,$B22-ROUND(Declarations!$A$19/$D$18,0))))+Declarations!$B$20*INDEX(AG$21:AG$141,MAX(1,MIN(121,$B22-ROUND(Declarations!$A$20/$D$18,0)))))</f>
        <v>-280.863333591025</v>
      </c>
      <c r="AI22" s="12" t="n">
        <f aca="false">INDEX(AH$21:AH$141,$I22+1)*(1-$J22)+INDEX(AH$21:AH$141,$I22+2)*$J22</f>
        <v>-277.233768456172</v>
      </c>
      <c r="AJ22" s="12" t="n">
        <f aca="false">INDEX(AH$21:AH$141,$K22+1)*(1-$L22)+INDEX(AH$21:AH$141,$K22+2)*$L22</f>
        <v>-276.296212784967</v>
      </c>
      <c r="AK22" s="12" t="n">
        <f aca="false">$C22+$D22+MAX(AI22,AJ22,IF(COUNTIFS($A$21:$A$141,"&gt;="&amp;$G22,$A$21:$A$141,"&lt;="&amp;$H22)&gt;0,_xlfn.MAXIFS(AH$21:AH$141,$A$21:$A$141,"&gt;="&amp;$G22,$A$21:$A$141,"&lt;="&amp;$H22),AI22))</f>
        <v>-142.921212784967</v>
      </c>
      <c r="AL22" s="12" t="n">
        <f aca="false">-Cost_k*$A22+Beta_q*(Declarations!$B$16*INDEX(AK$21:AK$141,MAX(1,MIN(121,$B22-ROUND(Declarations!$A$16/$D$18,0))))+Declarations!$B$17*INDEX(AK$21:AK$141,MAX(1,MIN(121,$B22-ROUND(Declarations!$A$17/$D$18,0))))+Declarations!$B$18*INDEX(AK$21:AK$141,MAX(1,MIN(121,$B22-ROUND(Declarations!$A$18/$D$18,0))))+Declarations!$B$19*INDEX(AK$21:AK$141,MAX(1,MIN(121,$B22-ROUND(Declarations!$A$19/$D$18,0))))+Declarations!$B$20*INDEX(AK$21:AK$141,MAX(1,MIN(121,$B22-ROUND(Declarations!$A$20/$D$18,0)))))</f>
        <v>-299.114537787477</v>
      </c>
      <c r="AM22" s="12" t="n">
        <f aca="false">INDEX(AL$21:AL$141,$I22+1)*(1-$J22)+INDEX(AL$21:AL$141,$I22+2)*$J22</f>
        <v>-294.493189668644</v>
      </c>
      <c r="AN22" s="12" t="n">
        <f aca="false">INDEX(AL$21:AL$141,$K22+1)*(1-$L22)+INDEX(AL$21:AL$141,$K22+2)*$L22</f>
        <v>-293.341053371928</v>
      </c>
      <c r="AO22" s="12" t="n">
        <f aca="false">$C22+$D22+MAX(AM22,AN22,IF(COUNTIFS($A$21:$A$141,"&gt;="&amp;$G22,$A$21:$A$141,"&lt;="&amp;$H22)&gt;0,_xlfn.MAXIFS(AL$21:AL$141,$A$21:$A$141,"&gt;="&amp;$G22,$A$21:$A$141,"&lt;="&amp;$H22),AM22))</f>
        <v>-159.966053371928</v>
      </c>
      <c r="AP22" s="12" t="n">
        <f aca="false">-Cost_k*$A22+Beta_q*(Declarations!$B$16*INDEX(AO$21:AO$141,MAX(1,MIN(121,$B22-ROUND(Declarations!$A$16/$D$18,0))))+Declarations!$B$17*INDEX(AO$21:AO$141,MAX(1,MIN(121,$B22-ROUND(Declarations!$A$17/$D$18,0))))+Declarations!$B$18*INDEX(AO$21:AO$141,MAX(1,MIN(121,$B22-ROUND(Declarations!$A$18/$D$18,0))))+Declarations!$B$19*INDEX(AO$21:AO$141,MAX(1,MIN(121,$B22-ROUND(Declarations!$A$19/$D$18,0))))+Declarations!$B$20*INDEX(AO$21:AO$141,MAX(1,MIN(121,$B22-ROUND(Declarations!$A$20/$D$18,0)))))</f>
        <v>-315.621388542399</v>
      </c>
      <c r="AQ22" s="12" t="n">
        <f aca="false">INDEX(AP$21:AP$141,$I22+1)*(1-$J22)+INDEX(AP$21:AP$141,$I22+2)*$J22</f>
        <v>-310.061235192897</v>
      </c>
      <c r="AR22" s="12" t="n">
        <f aca="false">INDEX(AP$21:AP$141,$K22+1)*(1-$L22)+INDEX(AP$21:AP$141,$K22+2)*$L22</f>
        <v>-308.688121449534</v>
      </c>
      <c r="AS22" s="12" t="n">
        <f aca="false">$C22+$D22+MAX(AQ22,AR22,IF(COUNTIFS($A$21:$A$141,"&gt;="&amp;$G22,$A$21:$A$141,"&lt;="&amp;$H22)&gt;0,_xlfn.MAXIFS(AP$21:AP$141,$A$21:$A$141,"&gt;="&amp;$G22,$A$21:$A$141,"&lt;="&amp;$H22),AQ22))</f>
        <v>-175.313121449534</v>
      </c>
      <c r="AT22" s="12" t="n">
        <f aca="false">-Cost_k*$A22+Beta_q*(Declarations!$B$16*INDEX(AS$21:AS$141,MAX(1,MIN(121,$B22-ROUND(Declarations!$A$16/$D$18,0))))+Declarations!$B$17*INDEX(AS$21:AS$141,MAX(1,MIN(121,$B22-ROUND(Declarations!$A$17/$D$18,0))))+Declarations!$B$18*INDEX(AS$21:AS$141,MAX(1,MIN(121,$B22-ROUND(Declarations!$A$18/$D$18,0))))+Declarations!$B$19*INDEX(AS$21:AS$141,MAX(1,MIN(121,$B22-ROUND(Declarations!$A$19/$D$18,0))))+Declarations!$B$20*INDEX(AS$21:AS$141,MAX(1,MIN(121,$B22-ROUND(Declarations!$A$20/$D$18,0)))))</f>
        <v>-330.45356492</v>
      </c>
      <c r="AU22" s="12" t="n">
        <f aca="false">INDEX(AT$21:AT$141,$I22+1)*(1-$J22)+INDEX(AT$21:AT$141,$I22+2)*$J22</f>
        <v>-323.859897138458</v>
      </c>
      <c r="AV22" s="12" t="n">
        <f aca="false">INDEX(AT$21:AT$141,$K22+1)*(1-$L22)+INDEX(AT$21:AT$141,$K22+2)*$L22</f>
        <v>-322.243225602185</v>
      </c>
      <c r="AW22" s="12" t="n">
        <f aca="false">$C22+$D22+MAX(AU22,AV22,IF(COUNTIFS($A$21:$A$141,"&gt;="&amp;$G22,$A$21:$A$141,"&lt;="&amp;$H22)&gt;0,_xlfn.MAXIFS(AT$21:AT$141,$A$21:$A$141,"&gt;="&amp;$G22,$A$21:$A$141,"&lt;="&amp;$H22),AU22))</f>
        <v>-188.868225602185</v>
      </c>
      <c r="AX22" s="12" t="n">
        <f aca="false">-Cost_k*$A22+Beta_q*(Declarations!$B$16*INDEX(AW$21:AW$141,MAX(1,MIN(121,$B22-ROUND(Declarations!$A$16/$D$18,0))))+Declarations!$B$17*INDEX(AW$21:AW$141,MAX(1,MIN(121,$B22-ROUND(Declarations!$A$17/$D$18,0))))+Declarations!$B$18*INDEX(AW$21:AW$141,MAX(1,MIN(121,$B22-ROUND(Declarations!$A$18/$D$18,0))))+Declarations!$B$19*INDEX(AW$21:AW$141,MAX(1,MIN(121,$B22-ROUND(Declarations!$A$19/$D$18,0))))+Declarations!$B$20*INDEX(AW$21:AW$141,MAX(1,MIN(121,$B22-ROUND(Declarations!$A$20/$D$18,0)))))</f>
        <v>-343.526478927248</v>
      </c>
      <c r="AY22" s="12" t="n">
        <f aca="false">INDEX(AX$21:AX$141,$I22+1)*(1-$J22)+INDEX(AX$21:AX$141,$I22+2)*$J22</f>
        <v>-335.844337402909</v>
      </c>
      <c r="AZ22" s="12" t="n">
        <f aca="false">INDEX(AX$21:AX$141,$K22+1)*(1-$L22)+INDEX(AX$21:AX$141,$K22+2)*$L22</f>
        <v>-333.97881455223</v>
      </c>
      <c r="BA22" s="12" t="n">
        <f aca="false">$C22+$D22+MAX(AY22,AZ22,IF(COUNTIFS($A$21:$A$141,"&gt;="&amp;$G22,$A$21:$A$141,"&lt;="&amp;$H22)&gt;0,_xlfn.MAXIFS(AX$21:AX$141,$A$21:$A$141,"&gt;="&amp;$G22,$A$21:$A$141,"&lt;="&amp;$H22),AY22))</f>
        <v>-200.60381455223</v>
      </c>
      <c r="BB22" s="12" t="n">
        <f aca="false">-Cost_k*$A22+Beta_q*(Declarations!$B$16*INDEX(BA$21:BA$141,MAX(1,MIN(121,$B22-ROUND(Declarations!$A$16/$D$18,0))))+Declarations!$B$17*INDEX(BA$21:BA$141,MAX(1,MIN(121,$B22-ROUND(Declarations!$A$17/$D$18,0))))+Declarations!$B$18*INDEX(BA$21:BA$141,MAX(1,MIN(121,$B22-ROUND(Declarations!$A$18/$D$18,0))))+Declarations!$B$19*INDEX(BA$21:BA$141,MAX(1,MIN(121,$B22-ROUND(Declarations!$A$19/$D$18,0))))+Declarations!$B$20*INDEX(BA$21:BA$141,MAX(1,MIN(121,$B22-ROUND(Declarations!$A$20/$D$18,0)))))</f>
        <v>-354.825182099088</v>
      </c>
      <c r="BC22" s="12" t="n">
        <f aca="false">INDEX(BB$21:BB$141,$I22+1)*(1-$J22)+INDEX(BB$21:BB$141,$I22+2)*$J22</f>
        <v>-346.072438555396</v>
      </c>
      <c r="BD22" s="12" t="n">
        <f aca="false">INDEX(BB$21:BB$141,$K22+1)*(1-$L22)+INDEX(BB$21:BB$141,$K22+2)*$L22</f>
        <v>-343.966835842761</v>
      </c>
      <c r="BE22" s="12" t="n">
        <f aca="false">$C22+$D22+MAX(BC22,BD22,IF(COUNTIFS($A$21:$A$141,"&gt;="&amp;$G22,$A$21:$A$141,"&lt;="&amp;$H22)&gt;0,_xlfn.MAXIFS(BB$21:BB$141,$A$21:$A$141,"&gt;="&amp;$G22,$A$21:$A$141,"&lt;="&amp;$H22),BC22))</f>
        <v>-210.591835842761</v>
      </c>
      <c r="BF22" s="12" t="n">
        <f aca="false">-Cost_k*$A22+Beta_q*(Declarations!$B$16*INDEX(BE$21:BE$141,MAX(1,MIN(121,$B22-ROUND(Declarations!$A$16/$D$18,0))))+Declarations!$B$17*INDEX(BE$21:BE$141,MAX(1,MIN(121,$B22-ROUND(Declarations!$A$17/$D$18,0))))+Declarations!$B$18*INDEX(BE$21:BE$141,MAX(1,MIN(121,$B22-ROUND(Declarations!$A$18/$D$18,0))))+Declarations!$B$19*INDEX(BE$21:BE$141,MAX(1,MIN(121,$B22-ROUND(Declarations!$A$19/$D$18,0))))+Declarations!$B$20*INDEX(BE$21:BE$141,MAX(1,MIN(121,$B22-ROUND(Declarations!$A$20/$D$18,0)))))</f>
        <v>-364.427303839483</v>
      </c>
      <c r="BG22" s="12" t="n">
        <f aca="false">INDEX(BF$21:BF$141,$I22+1)*(1-$J22)+INDEX(BF$21:BF$141,$I22+2)*$J22</f>
        <v>-354.672593429998</v>
      </c>
      <c r="BH22" s="12" t="n">
        <f aca="false">INDEX(BF$21:BF$141,$K22+1)*(1-$L22)+INDEX(BF$21:BF$141,$K22+2)*$L22</f>
        <v>-352.346873946826</v>
      </c>
      <c r="BI22" s="12" t="n">
        <f aca="false">$C22+$D22+MAX(BG22,BH22,IF(COUNTIFS($A$21:$A$141,"&gt;="&amp;$G22,$A$21:$A$141,"&lt;="&amp;$H22)&gt;0,_xlfn.MAXIFS(BF$21:BF$141,$A$21:$A$141,"&gt;="&amp;$G22,$A$21:$A$141,"&lt;="&amp;$H22),BG22))</f>
        <v>-218.971873946826</v>
      </c>
      <c r="BJ22" s="23" t="n">
        <v>-218.971873946827</v>
      </c>
      <c r="BK22" s="22" t="n">
        <f aca="false">ABS(BI22-BJ22)</f>
        <v>0</v>
      </c>
    </row>
    <row r="23" customFormat="false" ht="15" hidden="false" customHeight="false" outlineLevel="0" collapsed="false">
      <c r="A23" s="14" t="n">
        <f aca="false">A22+$D$18</f>
        <v>40.5</v>
      </c>
      <c r="B23" s="19" t="n">
        <v>3</v>
      </c>
      <c r="C23" s="12" t="n">
        <f aca="false">-Short_p*MAX(Floor_c-A23,0)</f>
        <v>-23.2</v>
      </c>
      <c r="D23" s="12" t="n">
        <f aca="false">Cost_k*Alpha_keep*A23</f>
        <v>157.95</v>
      </c>
      <c r="E23" s="12" t="n">
        <f aca="false">MIN(Cap_h,MAX(0,$B$18+MAX(Loss_w)-Alpha_keep*A23))</f>
        <v>2.0125</v>
      </c>
      <c r="F23" s="12" t="n">
        <f aca="false">MAX(MIN(Cap_h,$F$18+MIN(Loss_w)-Alpha_keep*A23),E23)</f>
        <v>2.5</v>
      </c>
      <c r="G23" s="12" t="n">
        <f aca="false">Alpha_keep*A23+E23</f>
        <v>41.5</v>
      </c>
      <c r="H23" s="12" t="n">
        <f aca="false">Alpha_keep*A23+F23</f>
        <v>41.9875</v>
      </c>
      <c r="I23" s="19" t="n">
        <f aca="false">MIN(INT((G23-$B$18)/$D$18+0.000000001),119)</f>
        <v>6</v>
      </c>
      <c r="J23" s="12" t="n">
        <f aca="false">(G23-$B$18)/$D$18-I23</f>
        <v>0</v>
      </c>
      <c r="K23" s="19" t="n">
        <f aca="false">MIN(INT((H23-$B$18)/$D$18+0.000000001),119)</f>
        <v>7</v>
      </c>
      <c r="L23" s="12" t="n">
        <f aca="false">(H23-$B$18)/$D$18-K23</f>
        <v>0.949999999999989</v>
      </c>
      <c r="M23" s="9" t="n">
        <v>0</v>
      </c>
      <c r="N23" s="12" t="n">
        <f aca="false">-Cost_k*$A23+Beta_q*(Declarations!$B$16*INDEX(M$21:M$141,MAX(1,MIN(121,$B23-ROUND(Declarations!$A$16/$D$18,0))))+Declarations!$B$17*INDEX(M$21:M$141,MAX(1,MIN(121,$B23-ROUND(Declarations!$A$17/$D$18,0))))+Declarations!$B$18*INDEX(M$21:M$141,MAX(1,MIN(121,$B23-ROUND(Declarations!$A$18/$D$18,0))))+Declarations!$B$19*INDEX(M$21:M$141,MAX(1,MIN(121,$B23-ROUND(Declarations!$A$19/$D$18,0))))+Declarations!$B$20*INDEX(M$21:M$141,MAX(1,MIN(121,$B23-ROUND(Declarations!$A$20/$D$18,0)))))</f>
        <v>-162</v>
      </c>
      <c r="O23" s="12" t="n">
        <f aca="false">INDEX(N$21:N$141,$I23+1)*(1-$J23)+INDEX(N$21:N$141,$I23+2)*$J23</f>
        <v>-166</v>
      </c>
      <c r="P23" s="12" t="n">
        <f aca="false">INDEX(N$21:N$141,$K23+1)*(1-$L23)+INDEX(N$21:N$141,$K23+2)*$L23</f>
        <v>-167.95</v>
      </c>
      <c r="Q23" s="12" t="n">
        <f aca="false">$C23+$D23+MAX(O23,P23,IF(COUNTIFS($A$21:$A$141,"&gt;="&amp;$G23,$A$21:$A$141,"&lt;="&amp;$H23)&gt;0,_xlfn.MAXIFS(N$21:N$141,$A$21:$A$141,"&gt;="&amp;$G23,$A$21:$A$141,"&lt;="&amp;$H23),O23))</f>
        <v>-31.25</v>
      </c>
      <c r="R23" s="12" t="n">
        <f aca="false">-Cost_k*$A23+Beta_q*(Declarations!$B$16*INDEX(Q$21:Q$141,MAX(1,MIN(121,$B23-ROUND(Declarations!$A$16/$D$18,0))))+Declarations!$B$17*INDEX(Q$21:Q$141,MAX(1,MIN(121,$B23-ROUND(Declarations!$A$17/$D$18,0))))+Declarations!$B$18*INDEX(Q$21:Q$141,MAX(1,MIN(121,$B23-ROUND(Declarations!$A$18/$D$18,0))))+Declarations!$B$19*INDEX(Q$21:Q$141,MAX(1,MIN(121,$B23-ROUND(Declarations!$A$19/$D$18,0))))+Declarations!$B$20*INDEX(Q$21:Q$141,MAX(1,MIN(121,$B23-ROUND(Declarations!$A$20/$D$18,0)))))</f>
        <v>-191.977140553063</v>
      </c>
      <c r="S23" s="12" t="n">
        <f aca="false">INDEX(R$21:R$141,$I23+1)*(1-$J23)+INDEX(R$21:R$141,$I23+2)*$J23</f>
        <v>-191.226691406788</v>
      </c>
      <c r="T23" s="12" t="n">
        <f aca="false">INDEX(R$21:R$141,$K23+1)*(1-$L23)+INDEX(R$21:R$141,$K23+2)*$L23</f>
        <v>-190.785904596596</v>
      </c>
      <c r="U23" s="12" t="n">
        <f aca="false">$C23+$D23+MAX(S23,T23,IF(COUNTIFS($A$21:$A$141,"&gt;="&amp;$G23,$A$21:$A$141,"&lt;="&amp;$H23)&gt;0,_xlfn.MAXIFS(R$21:R$141,$A$21:$A$141,"&gt;="&amp;$G23,$A$21:$A$141,"&lt;="&amp;$H23),S23))</f>
        <v>-56.0359045965956</v>
      </c>
      <c r="V23" s="12" t="n">
        <f aca="false">-Cost_k*$A23+Beta_q*(Declarations!$B$16*INDEX(U$21:U$141,MAX(1,MIN(121,$B23-ROUND(Declarations!$A$16/$D$18,0))))+Declarations!$B$17*INDEX(U$21:U$141,MAX(1,MIN(121,$B23-ROUND(Declarations!$A$17/$D$18,0))))+Declarations!$B$18*INDEX(U$21:U$141,MAX(1,MIN(121,$B23-ROUND(Declarations!$A$18/$D$18,0))))+Declarations!$B$19*INDEX(U$21:U$141,MAX(1,MIN(121,$B23-ROUND(Declarations!$A$19/$D$18,0))))+Declarations!$B$20*INDEX(U$21:U$141,MAX(1,MIN(121,$B23-ROUND(Declarations!$A$20/$D$18,0)))))</f>
        <v>-216.23409245648</v>
      </c>
      <c r="W23" s="12" t="n">
        <f aca="false">INDEX(V$21:V$141,$I23+1)*(1-$J23)+INDEX(V$21:V$141,$I23+2)*$J23</f>
        <v>-215.188270969776</v>
      </c>
      <c r="X23" s="12" t="n">
        <f aca="false">INDEX(V$21:V$141,$K23+1)*(1-$L23)+INDEX(V$21:V$141,$K23+2)*$L23</f>
        <v>-214.477146674039</v>
      </c>
      <c r="Y23" s="12" t="n">
        <f aca="false">$C23+$D23+MAX(W23,X23,IF(COUNTIFS($A$21:$A$141,"&gt;="&amp;$G23,$A$21:$A$141,"&lt;="&amp;$H23)&gt;0,_xlfn.MAXIFS(V$21:V$141,$A$21:$A$141,"&gt;="&amp;$G23,$A$21:$A$141,"&lt;="&amp;$H23),W23))</f>
        <v>-79.7271466740387</v>
      </c>
      <c r="Z23" s="12" t="n">
        <f aca="false">-Cost_k*$A23+Beta_q*(Declarations!$B$16*INDEX(Y$21:Y$141,MAX(1,MIN(121,$B23-ROUND(Declarations!$A$16/$D$18,0))))+Declarations!$B$17*INDEX(Y$21:Y$141,MAX(1,MIN(121,$B23-ROUND(Declarations!$A$17/$D$18,0))))+Declarations!$B$18*INDEX(Y$21:Y$141,MAX(1,MIN(121,$B23-ROUND(Declarations!$A$18/$D$18,0))))+Declarations!$B$19*INDEX(Y$21:Y$141,MAX(1,MIN(121,$B23-ROUND(Declarations!$A$19/$D$18,0))))+Declarations!$B$20*INDEX(Y$21:Y$141,MAX(1,MIN(121,$B23-ROUND(Declarations!$A$20/$D$18,0)))))</f>
        <v>-239.210304303155</v>
      </c>
      <c r="AA23" s="12" t="n">
        <f aca="false">INDEX(Z$21:Z$141,$I23+1)*(1-$J23)+INDEX(Z$21:Z$141,$I23+2)*$J23</f>
        <v>-237.357058768902</v>
      </c>
      <c r="AB23" s="12" t="n">
        <f aca="false">INDEX(Z$21:Z$141,$K23+1)*(1-$L23)+INDEX(Z$21:Z$141,$K23+2)*$L23</f>
        <v>-236.275263074593</v>
      </c>
      <c r="AC23" s="12" t="n">
        <f aca="false">$C23+$D23+MAX(AA23,AB23,IF(COUNTIFS($A$21:$A$141,"&gt;="&amp;$G23,$A$21:$A$141,"&lt;="&amp;$H23)&gt;0,_xlfn.MAXIFS(Z$21:Z$141,$A$21:$A$141,"&gt;="&amp;$G23,$A$21:$A$141,"&lt;="&amp;$H23),AA23))</f>
        <v>-101.525263074593</v>
      </c>
      <c r="AD23" s="12" t="n">
        <f aca="false">-Cost_k*$A23+Beta_q*(Declarations!$B$16*INDEX(AC$21:AC$141,MAX(1,MIN(121,$B23-ROUND(Declarations!$A$16/$D$18,0))))+Declarations!$B$17*INDEX(AC$21:AC$141,MAX(1,MIN(121,$B23-ROUND(Declarations!$A$17/$D$18,0))))+Declarations!$B$18*INDEX(AC$21:AC$141,MAX(1,MIN(121,$B23-ROUND(Declarations!$A$18/$D$18,0))))+Declarations!$B$19*INDEX(AC$21:AC$141,MAX(1,MIN(121,$B23-ROUND(Declarations!$A$19/$D$18,0))))+Declarations!$B$20*INDEX(AC$21:AC$141,MAX(1,MIN(121,$B23-ROUND(Declarations!$A$20/$D$18,0)))))</f>
        <v>-260.480381584084</v>
      </c>
      <c r="AE23" s="12" t="n">
        <f aca="false">INDEX(AD$21:AD$141,$I23+1)*(1-$J23)+INDEX(AD$21:AD$141,$I23+2)*$J23</f>
        <v>-258.147264038387</v>
      </c>
      <c r="AF23" s="12" t="n">
        <f aca="false">INDEX(AD$21:AD$141,$K23+1)*(1-$L23)+INDEX(AD$21:AD$141,$K23+2)*$L23</f>
        <v>-256.764670165127</v>
      </c>
      <c r="AG23" s="12" t="n">
        <f aca="false">$C23+$D23+MAX(AE23,AF23,IF(COUNTIFS($A$21:$A$141,"&gt;="&amp;$G23,$A$21:$A$141,"&lt;="&amp;$H23)&gt;0,_xlfn.MAXIFS(AD$21:AD$141,$A$21:$A$141,"&gt;="&amp;$G23,$A$21:$A$141,"&lt;="&amp;$H23),AE23))</f>
        <v>-122.014670165127</v>
      </c>
      <c r="AH23" s="12" t="n">
        <f aca="false">-Cost_k*$A23+Beta_q*(Declarations!$B$16*INDEX(AG$21:AG$141,MAX(1,MIN(121,$B23-ROUND(Declarations!$A$16/$D$18,0))))+Declarations!$B$17*INDEX(AG$21:AG$141,MAX(1,MIN(121,$B23-ROUND(Declarations!$A$17/$D$18,0))))+Declarations!$B$18*INDEX(AG$21:AG$141,MAX(1,MIN(121,$B23-ROUND(Declarations!$A$18/$D$18,0))))+Declarations!$B$19*INDEX(AG$21:AG$141,MAX(1,MIN(121,$B23-ROUND(Declarations!$A$19/$D$18,0))))+Declarations!$B$20*INDEX(AG$21:AG$141,MAX(1,MIN(121,$B23-ROUND(Declarations!$A$20/$D$18,0)))))</f>
        <v>-280.363415184222</v>
      </c>
      <c r="AI23" s="12" t="n">
        <f aca="false">INDEX(AH$21:AH$141,$I23+1)*(1-$J23)+INDEX(AH$21:AH$141,$I23+2)*$J23</f>
        <v>-277.233768456172</v>
      </c>
      <c r="AJ23" s="12" t="n">
        <f aca="false">INDEX(AH$21:AH$141,$K23+1)*(1-$L23)+INDEX(AH$21:AH$141,$K23+2)*$L23</f>
        <v>-275.369592589353</v>
      </c>
      <c r="AK23" s="12" t="n">
        <f aca="false">$C23+$D23+MAX(AI23,AJ23,IF(COUNTIFS($A$21:$A$141,"&gt;="&amp;$G23,$A$21:$A$141,"&lt;="&amp;$H23)&gt;0,_xlfn.MAXIFS(AH$21:AH$141,$A$21:$A$141,"&gt;="&amp;$G23,$A$21:$A$141,"&lt;="&amp;$H23),AI23))</f>
        <v>-140.619592589353</v>
      </c>
      <c r="AL23" s="12" t="n">
        <f aca="false">-Cost_k*$A23+Beta_q*(Declarations!$B$16*INDEX(AK$21:AK$141,MAX(1,MIN(121,$B23-ROUND(Declarations!$A$16/$D$18,0))))+Declarations!$B$17*INDEX(AK$21:AK$141,MAX(1,MIN(121,$B23-ROUND(Declarations!$A$17/$D$18,0))))+Declarations!$B$18*INDEX(AK$21:AK$141,MAX(1,MIN(121,$B23-ROUND(Declarations!$A$18/$D$18,0))))+Declarations!$B$19*INDEX(AK$21:AK$141,MAX(1,MIN(121,$B23-ROUND(Declarations!$A$19/$D$18,0))))+Declarations!$B$20*INDEX(AK$21:AK$141,MAX(1,MIN(121,$B23-ROUND(Declarations!$A$20/$D$18,0)))))</f>
        <v>-298.440293926312</v>
      </c>
      <c r="AM23" s="12" t="n">
        <f aca="false">INDEX(AL$21:AL$141,$I23+1)*(1-$J23)+INDEX(AL$21:AL$141,$I23+2)*$J23</f>
        <v>-294.493189668644</v>
      </c>
      <c r="AN23" s="12" t="n">
        <f aca="false">INDEX(AL$21:AL$141,$K23+1)*(1-$L23)+INDEX(AL$21:AL$141,$K23+2)*$L23</f>
        <v>-292.200764208726</v>
      </c>
      <c r="AO23" s="12" t="n">
        <f aca="false">$C23+$D23+MAX(AM23,AN23,IF(COUNTIFS($A$21:$A$141,"&gt;="&amp;$G23,$A$21:$A$141,"&lt;="&amp;$H23)&gt;0,_xlfn.MAXIFS(AL$21:AL$141,$A$21:$A$141,"&gt;="&amp;$G23,$A$21:$A$141,"&lt;="&amp;$H23),AM23))</f>
        <v>-157.450764208726</v>
      </c>
      <c r="AP23" s="12" t="n">
        <f aca="false">-Cost_k*$A23+Beta_q*(Declarations!$B$16*INDEX(AO$21:AO$141,MAX(1,MIN(121,$B23-ROUND(Declarations!$A$16/$D$18,0))))+Declarations!$B$17*INDEX(AO$21:AO$141,MAX(1,MIN(121,$B23-ROUND(Declarations!$A$17/$D$18,0))))+Declarations!$B$18*INDEX(AO$21:AO$141,MAX(1,MIN(121,$B23-ROUND(Declarations!$A$18/$D$18,0))))+Declarations!$B$19*INDEX(AO$21:AO$141,MAX(1,MIN(121,$B23-ROUND(Declarations!$A$19/$D$18,0))))+Declarations!$B$20*INDEX(AO$21:AO$141,MAX(1,MIN(121,$B23-ROUND(Declarations!$A$20/$D$18,0)))))</f>
        <v>-314.788967873101</v>
      </c>
      <c r="AQ23" s="12" t="n">
        <f aca="false">INDEX(AP$21:AP$141,$I23+1)*(1-$J23)+INDEX(AP$21:AP$141,$I23+2)*$J23</f>
        <v>-310.061235192897</v>
      </c>
      <c r="AR23" s="12" t="n">
        <f aca="false">INDEX(AP$21:AP$141,$K23+1)*(1-$L23)+INDEX(AP$21:AP$141,$K23+2)*$L23</f>
        <v>-307.321577059283</v>
      </c>
      <c r="AS23" s="12" t="n">
        <f aca="false">$C23+$D23+MAX(AQ23,AR23,IF(COUNTIFS($A$21:$A$141,"&gt;="&amp;$G23,$A$21:$A$141,"&lt;="&amp;$H23)&gt;0,_xlfn.MAXIFS(AP$21:AP$141,$A$21:$A$141,"&gt;="&amp;$G23,$A$21:$A$141,"&lt;="&amp;$H23),AQ23))</f>
        <v>-172.571577059283</v>
      </c>
      <c r="AT23" s="12" t="n">
        <f aca="false">-Cost_k*$A23+Beta_q*(Declarations!$B$16*INDEX(AS$21:AS$141,MAX(1,MIN(121,$B23-ROUND(Declarations!$A$16/$D$18,0))))+Declarations!$B$17*INDEX(AS$21:AS$141,MAX(1,MIN(121,$B23-ROUND(Declarations!$A$17/$D$18,0))))+Declarations!$B$18*INDEX(AS$21:AS$141,MAX(1,MIN(121,$B23-ROUND(Declarations!$A$18/$D$18,0))))+Declarations!$B$19*INDEX(AS$21:AS$141,MAX(1,MIN(121,$B23-ROUND(Declarations!$A$19/$D$18,0))))+Declarations!$B$20*INDEX(AS$21:AS$141,MAX(1,MIN(121,$B23-ROUND(Declarations!$A$20/$D$18,0)))))</f>
        <v>-329.449932650635</v>
      </c>
      <c r="AU23" s="12" t="n">
        <f aca="false">INDEX(AT$21:AT$141,$I23+1)*(1-$J23)+INDEX(AT$21:AT$141,$I23+2)*$J23</f>
        <v>-323.859897138458</v>
      </c>
      <c r="AV23" s="12" t="n">
        <f aca="false">INDEX(AT$21:AT$141,$K23+1)*(1-$L23)+INDEX(AT$21:AT$141,$K23+2)*$L23</f>
        <v>-320.628887408867</v>
      </c>
      <c r="AW23" s="12" t="n">
        <f aca="false">$C23+$D23+MAX(AU23,AV23,IF(COUNTIFS($A$21:$A$141,"&gt;="&amp;$G23,$A$21:$A$141,"&lt;="&amp;$H23)&gt;0,_xlfn.MAXIFS(AT$21:AT$141,$A$21:$A$141,"&gt;="&amp;$G23,$A$21:$A$141,"&lt;="&amp;$H23),AU23))</f>
        <v>-185.878887408867</v>
      </c>
      <c r="AX23" s="12" t="n">
        <f aca="false">-Cost_k*$A23+Beta_q*(Declarations!$B$16*INDEX(AW$21:AW$141,MAX(1,MIN(121,$B23-ROUND(Declarations!$A$16/$D$18,0))))+Declarations!$B$17*INDEX(AW$21:AW$141,MAX(1,MIN(121,$B23-ROUND(Declarations!$A$17/$D$18,0))))+Declarations!$B$18*INDEX(AW$21:AW$141,MAX(1,MIN(121,$B23-ROUND(Declarations!$A$18/$D$18,0))))+Declarations!$B$19*INDEX(AW$21:AW$141,MAX(1,MIN(121,$B23-ROUND(Declarations!$A$19/$D$18,0))))+Declarations!$B$20*INDEX(AW$21:AW$141,MAX(1,MIN(121,$B23-ROUND(Declarations!$A$20/$D$18,0)))))</f>
        <v>-342.338496483495</v>
      </c>
      <c r="AY23" s="12" t="n">
        <f aca="false">INDEX(AX$21:AX$141,$I23+1)*(1-$J23)+INDEX(AX$21:AX$141,$I23+2)*$J23</f>
        <v>-335.844337402909</v>
      </c>
      <c r="AZ23" s="12" t="n">
        <f aca="false">INDEX(AX$21:AX$141,$K23+1)*(1-$L23)+INDEX(AX$21:AX$141,$K23+2)*$L23</f>
        <v>-332.114055980506</v>
      </c>
      <c r="BA23" s="12" t="n">
        <f aca="false">$C23+$D23+MAX(AY23,AZ23,IF(COUNTIFS($A$21:$A$141,"&gt;="&amp;$G23,$A$21:$A$141,"&lt;="&amp;$H23)&gt;0,_xlfn.MAXIFS(AX$21:AX$141,$A$21:$A$141,"&gt;="&amp;$G23,$A$21:$A$141,"&lt;="&amp;$H23),AY23))</f>
        <v>-197.364055980506</v>
      </c>
      <c r="BB23" s="12" t="n">
        <f aca="false">-Cost_k*$A23+Beta_q*(Declarations!$B$16*INDEX(BA$21:BA$141,MAX(1,MIN(121,$B23-ROUND(Declarations!$A$16/$D$18,0))))+Declarations!$B$17*INDEX(BA$21:BA$141,MAX(1,MIN(121,$B23-ROUND(Declarations!$A$17/$D$18,0))))+Declarations!$B$18*INDEX(BA$21:BA$141,MAX(1,MIN(121,$B23-ROUND(Declarations!$A$18/$D$18,0))))+Declarations!$B$19*INDEX(BA$21:BA$141,MAX(1,MIN(121,$B23-ROUND(Declarations!$A$19/$D$18,0))))+Declarations!$B$20*INDEX(BA$21:BA$141,MAX(1,MIN(121,$B23-ROUND(Declarations!$A$20/$D$18,0)))))</f>
        <v>-353.453157394792</v>
      </c>
      <c r="BC23" s="12" t="n">
        <f aca="false">INDEX(BB$21:BB$141,$I23+1)*(1-$J23)+INDEX(BB$21:BB$141,$I23+2)*$J23</f>
        <v>-346.072438555396</v>
      </c>
      <c r="BD23" s="12" t="n">
        <f aca="false">INDEX(BB$21:BB$141,$K23+1)*(1-$L23)+INDEX(BB$21:BB$141,$K23+2)*$L23</f>
        <v>-341.86235315107</v>
      </c>
      <c r="BE23" s="12" t="n">
        <f aca="false">$C23+$D23+MAX(BC23,BD23,IF(COUNTIFS($A$21:$A$141,"&gt;="&amp;$G23,$A$21:$A$141,"&lt;="&amp;$H23)&gt;0,_xlfn.MAXIFS(BB$21:BB$141,$A$21:$A$141,"&gt;="&amp;$G23,$A$21:$A$141,"&lt;="&amp;$H23),BC23))</f>
        <v>-207.11235315107</v>
      </c>
      <c r="BF23" s="12" t="n">
        <f aca="false">-Cost_k*$A23+Beta_q*(Declarations!$B$16*INDEX(BE$21:BE$141,MAX(1,MIN(121,$B23-ROUND(Declarations!$A$16/$D$18,0))))+Declarations!$B$17*INDEX(BE$21:BE$141,MAX(1,MIN(121,$B23-ROUND(Declarations!$A$17/$D$18,0))))+Declarations!$B$18*INDEX(BE$21:BE$141,MAX(1,MIN(121,$B23-ROUND(Declarations!$A$18/$D$18,0))))+Declarations!$B$19*INDEX(BE$21:BE$141,MAX(1,MIN(121,$B23-ROUND(Declarations!$A$19/$D$18,0))))+Declarations!$B$20*INDEX(BE$21:BE$141,MAX(1,MIN(121,$B23-ROUND(Declarations!$A$20/$D$18,0)))))</f>
        <v>-362.880759700372</v>
      </c>
      <c r="BG23" s="12" t="n">
        <f aca="false">INDEX(BF$21:BF$141,$I23+1)*(1-$J23)+INDEX(BF$21:BF$141,$I23+2)*$J23</f>
        <v>-354.672593429998</v>
      </c>
      <c r="BH23" s="12" t="n">
        <f aca="false">INDEX(BF$21:BF$141,$K23+1)*(1-$L23)+INDEX(BF$21:BF$141,$K23+2)*$L23</f>
        <v>-350.024551584451</v>
      </c>
      <c r="BI23" s="12" t="n">
        <f aca="false">$C23+$D23+MAX(BG23,BH23,IF(COUNTIFS($A$21:$A$141,"&gt;="&amp;$G23,$A$21:$A$141,"&lt;="&amp;$H23)&gt;0,_xlfn.MAXIFS(BF$21:BF$141,$A$21:$A$141,"&gt;="&amp;$G23,$A$21:$A$141,"&lt;="&amp;$H23),BG23))</f>
        <v>-215.274551584451</v>
      </c>
      <c r="BJ23" s="23" t="n">
        <v>-215.274551584451</v>
      </c>
      <c r="BK23" s="22" t="n">
        <f aca="false">ABS(BI23-BJ23)</f>
        <v>0</v>
      </c>
    </row>
    <row r="24" customFormat="false" ht="15" hidden="false" customHeight="false" outlineLevel="0" collapsed="false">
      <c r="A24" s="14" t="n">
        <f aca="false">A23+$D$18</f>
        <v>40.75</v>
      </c>
      <c r="B24" s="19" t="n">
        <v>4</v>
      </c>
      <c r="C24" s="12" t="n">
        <f aca="false">-Short_p*MAX(Floor_c-A24,0)</f>
        <v>-22.8</v>
      </c>
      <c r="D24" s="12" t="n">
        <f aca="false">Cost_k*Alpha_keep*A24</f>
        <v>158.925</v>
      </c>
      <c r="E24" s="12" t="n">
        <f aca="false">MIN(Cap_h,MAX(0,$B$18+MAX(Loss_w)-Alpha_keep*A24))</f>
        <v>1.76875</v>
      </c>
      <c r="F24" s="12" t="n">
        <f aca="false">MAX(MIN(Cap_h,$F$18+MIN(Loss_w)-Alpha_keep*A24),E24)</f>
        <v>2.5</v>
      </c>
      <c r="G24" s="12" t="n">
        <f aca="false">Alpha_keep*A24+E24</f>
        <v>41.5</v>
      </c>
      <c r="H24" s="12" t="n">
        <f aca="false">Alpha_keep*A24+F24</f>
        <v>42.23125</v>
      </c>
      <c r="I24" s="19" t="n">
        <f aca="false">MIN(INT((G24-$B$18)/$D$18+0.000000001),119)</f>
        <v>6</v>
      </c>
      <c r="J24" s="12" t="n">
        <f aca="false">(G24-$B$18)/$D$18-I24</f>
        <v>0</v>
      </c>
      <c r="K24" s="19" t="n">
        <f aca="false">MIN(INT((H24-$B$18)/$D$18+0.000000001),119)</f>
        <v>8</v>
      </c>
      <c r="L24" s="12" t="n">
        <f aca="false">(H24-$B$18)/$D$18-K24</f>
        <v>0.924999999999983</v>
      </c>
      <c r="M24" s="9" t="n">
        <v>0</v>
      </c>
      <c r="N24" s="12" t="n">
        <f aca="false">-Cost_k*$A24+Beta_q*(Declarations!$B$16*INDEX(M$21:M$141,MAX(1,MIN(121,$B24-ROUND(Declarations!$A$16/$D$18,0))))+Declarations!$B$17*INDEX(M$21:M$141,MAX(1,MIN(121,$B24-ROUND(Declarations!$A$17/$D$18,0))))+Declarations!$B$18*INDEX(M$21:M$141,MAX(1,MIN(121,$B24-ROUND(Declarations!$A$18/$D$18,0))))+Declarations!$B$19*INDEX(M$21:M$141,MAX(1,MIN(121,$B24-ROUND(Declarations!$A$19/$D$18,0))))+Declarations!$B$20*INDEX(M$21:M$141,MAX(1,MIN(121,$B24-ROUND(Declarations!$A$20/$D$18,0)))))</f>
        <v>-163</v>
      </c>
      <c r="O24" s="12" t="n">
        <f aca="false">INDEX(N$21:N$141,$I24+1)*(1-$J24)+INDEX(N$21:N$141,$I24+2)*$J24</f>
        <v>-166</v>
      </c>
      <c r="P24" s="12" t="n">
        <f aca="false">INDEX(N$21:N$141,$K24+1)*(1-$L24)+INDEX(N$21:N$141,$K24+2)*$L24</f>
        <v>-168.925</v>
      </c>
      <c r="Q24" s="12" t="n">
        <f aca="false">$C24+$D24+MAX(O24,P24,IF(COUNTIFS($A$21:$A$141,"&gt;="&amp;$G24,$A$21:$A$141,"&lt;="&amp;$H24)&gt;0,_xlfn.MAXIFS(N$21:N$141,$A$21:$A$141,"&gt;="&amp;$G24,$A$21:$A$141,"&lt;="&amp;$H24),O24))</f>
        <v>-29.875</v>
      </c>
      <c r="R24" s="12" t="n">
        <f aca="false">-Cost_k*$A24+Beta_q*(Declarations!$B$16*INDEX(Q$21:Q$141,MAX(1,MIN(121,$B24-ROUND(Declarations!$A$16/$D$18,0))))+Declarations!$B$17*INDEX(Q$21:Q$141,MAX(1,MIN(121,$B24-ROUND(Declarations!$A$17/$D$18,0))))+Declarations!$B$18*INDEX(Q$21:Q$141,MAX(1,MIN(121,$B24-ROUND(Declarations!$A$18/$D$18,0))))+Declarations!$B$19*INDEX(Q$21:Q$141,MAX(1,MIN(121,$B24-ROUND(Declarations!$A$19/$D$18,0))))+Declarations!$B$20*INDEX(Q$21:Q$141,MAX(1,MIN(121,$B24-ROUND(Declarations!$A$20/$D$18,0)))))</f>
        <v>-191.970172273084</v>
      </c>
      <c r="S24" s="12" t="n">
        <f aca="false">INDEX(R$21:R$141,$I24+1)*(1-$J24)+INDEX(R$21:R$141,$I24+2)*$J24</f>
        <v>-191.226691406788</v>
      </c>
      <c r="T24" s="12" t="n">
        <f aca="false">INDEX(R$21:R$141,$K24+1)*(1-$L24)+INDEX(R$21:R$141,$K24+2)*$L24</f>
        <v>-190.681465114649</v>
      </c>
      <c r="U24" s="12" t="n">
        <f aca="false">$C24+$D24+MAX(S24,T24,IF(COUNTIFS($A$21:$A$141,"&gt;="&amp;$G24,$A$21:$A$141,"&lt;="&amp;$H24)&gt;0,_xlfn.MAXIFS(R$21:R$141,$A$21:$A$141,"&gt;="&amp;$G24,$A$21:$A$141,"&lt;="&amp;$H24),S24))</f>
        <v>-54.5564651146488</v>
      </c>
      <c r="V24" s="12" t="n">
        <f aca="false">-Cost_k*$A24+Beta_q*(Declarations!$B$16*INDEX(U$21:U$141,MAX(1,MIN(121,$B24-ROUND(Declarations!$A$16/$D$18,0))))+Declarations!$B$17*INDEX(U$21:U$141,MAX(1,MIN(121,$B24-ROUND(Declarations!$A$17/$D$18,0))))+Declarations!$B$18*INDEX(U$21:U$141,MAX(1,MIN(121,$B24-ROUND(Declarations!$A$18/$D$18,0))))+Declarations!$B$19*INDEX(U$21:U$141,MAX(1,MIN(121,$B24-ROUND(Declarations!$A$19/$D$18,0))))+Declarations!$B$20*INDEX(U$21:U$141,MAX(1,MIN(121,$B24-ROUND(Declarations!$A$20/$D$18,0)))))</f>
        <v>-216.176133996866</v>
      </c>
      <c r="W24" s="12" t="n">
        <f aca="false">INDEX(V$21:V$141,$I24+1)*(1-$J24)+INDEX(V$21:V$141,$I24+2)*$J24</f>
        <v>-215.188270969776</v>
      </c>
      <c r="X24" s="12" t="n">
        <f aca="false">INDEX(V$21:V$141,$K24+1)*(1-$L24)+INDEX(V$21:V$141,$K24+2)*$L24</f>
        <v>-214.144933417998</v>
      </c>
      <c r="Y24" s="12" t="n">
        <f aca="false">$C24+$D24+MAX(W24,X24,IF(COUNTIFS($A$21:$A$141,"&gt;="&amp;$G24,$A$21:$A$141,"&lt;="&amp;$H24)&gt;0,_xlfn.MAXIFS(V$21:V$141,$A$21:$A$141,"&gt;="&amp;$G24,$A$21:$A$141,"&lt;="&amp;$H24),W24))</f>
        <v>-78.0199334179984</v>
      </c>
      <c r="Z24" s="12" t="n">
        <f aca="false">-Cost_k*$A24+Beta_q*(Declarations!$B$16*INDEX(Y$21:Y$141,MAX(1,MIN(121,$B24-ROUND(Declarations!$A$16/$D$18,0))))+Declarations!$B$17*INDEX(Y$21:Y$141,MAX(1,MIN(121,$B24-ROUND(Declarations!$A$17/$D$18,0))))+Declarations!$B$18*INDEX(Y$21:Y$141,MAX(1,MIN(121,$B24-ROUND(Declarations!$A$18/$D$18,0))))+Declarations!$B$19*INDEX(Y$21:Y$141,MAX(1,MIN(121,$B24-ROUND(Declarations!$A$19/$D$18,0))))+Declarations!$B$20*INDEX(Y$21:Y$141,MAX(1,MIN(121,$B24-ROUND(Declarations!$A$20/$D$18,0)))))</f>
        <v>-238.976754299491</v>
      </c>
      <c r="AA24" s="12" t="n">
        <f aca="false">INDEX(Z$21:Z$141,$I24+1)*(1-$J24)+INDEX(Z$21:Z$141,$I24+2)*$J24</f>
        <v>-237.357058768902</v>
      </c>
      <c r="AB24" s="12" t="n">
        <f aca="false">INDEX(Z$21:Z$141,$K24+1)*(1-$L24)+INDEX(Z$21:Z$141,$K24+2)*$L24</f>
        <v>-235.786850910038</v>
      </c>
      <c r="AC24" s="12" t="n">
        <f aca="false">$C24+$D24+MAX(AA24,AB24,IF(COUNTIFS($A$21:$A$141,"&gt;="&amp;$G24,$A$21:$A$141,"&lt;="&amp;$H24)&gt;0,_xlfn.MAXIFS(Z$21:Z$141,$A$21:$A$141,"&gt;="&amp;$G24,$A$21:$A$141,"&lt;="&amp;$H24),AA24))</f>
        <v>-99.6618509100383</v>
      </c>
      <c r="AD24" s="12" t="n">
        <f aca="false">-Cost_k*$A24+Beta_q*(Declarations!$B$16*INDEX(AC$21:AC$141,MAX(1,MIN(121,$B24-ROUND(Declarations!$A$16/$D$18,0))))+Declarations!$B$17*INDEX(AC$21:AC$141,MAX(1,MIN(121,$B24-ROUND(Declarations!$A$17/$D$18,0))))+Declarations!$B$18*INDEX(AC$21:AC$141,MAX(1,MIN(121,$B24-ROUND(Declarations!$A$18/$D$18,0))))+Declarations!$B$19*INDEX(AC$21:AC$141,MAX(1,MIN(121,$B24-ROUND(Declarations!$A$19/$D$18,0))))+Declarations!$B$20*INDEX(AC$21:AC$141,MAX(1,MIN(121,$B24-ROUND(Declarations!$A$20/$D$18,0)))))</f>
        <v>-260.142469590554</v>
      </c>
      <c r="AE24" s="12" t="n">
        <f aca="false">INDEX(AD$21:AD$141,$I24+1)*(1-$J24)+INDEX(AD$21:AD$141,$I24+2)*$J24</f>
        <v>-258.147264038387</v>
      </c>
      <c r="AF24" s="12" t="n">
        <f aca="false">INDEX(AD$21:AD$141,$K24+1)*(1-$L24)+INDEX(AD$21:AD$141,$K24+2)*$L24</f>
        <v>-256.0913272975</v>
      </c>
      <c r="AG24" s="12" t="n">
        <f aca="false">$C24+$D24+MAX(AE24,AF24,IF(COUNTIFS($A$21:$A$141,"&gt;="&amp;$G24,$A$21:$A$141,"&lt;="&amp;$H24)&gt;0,_xlfn.MAXIFS(AD$21:AD$141,$A$21:$A$141,"&gt;="&amp;$G24,$A$21:$A$141,"&lt;="&amp;$H24),AE24))</f>
        <v>-119.9663272975</v>
      </c>
      <c r="AH24" s="12" t="n">
        <f aca="false">-Cost_k*$A24+Beta_q*(Declarations!$B$16*INDEX(AG$21:AG$141,MAX(1,MIN(121,$B24-ROUND(Declarations!$A$16/$D$18,0))))+Declarations!$B$17*INDEX(AG$21:AG$141,MAX(1,MIN(121,$B24-ROUND(Declarations!$A$17/$D$18,0))))+Declarations!$B$18*INDEX(AG$21:AG$141,MAX(1,MIN(121,$B24-ROUND(Declarations!$A$18/$D$18,0))))+Declarations!$B$19*INDEX(AG$21:AG$141,MAX(1,MIN(121,$B24-ROUND(Declarations!$A$19/$D$18,0))))+Declarations!$B$20*INDEX(AG$21:AG$141,MAX(1,MIN(121,$B24-ROUND(Declarations!$A$20/$D$18,0)))))</f>
        <v>-279.871665136236</v>
      </c>
      <c r="AI24" s="12" t="n">
        <f aca="false">INDEX(AH$21:AH$141,$I24+1)*(1-$J24)+INDEX(AH$21:AH$141,$I24+2)*$J24</f>
        <v>-277.233768456172</v>
      </c>
      <c r="AJ24" s="12" t="n">
        <f aca="false">INDEX(AH$21:AH$141,$K24+1)*(1-$L24)+INDEX(AH$21:AH$141,$K24+2)*$L24</f>
        <v>-274.455483447645</v>
      </c>
      <c r="AK24" s="12" t="n">
        <f aca="false">$C24+$D24+MAX(AI24,AJ24,IF(COUNTIFS($A$21:$A$141,"&gt;="&amp;$G24,$A$21:$A$141,"&lt;="&amp;$H24)&gt;0,_xlfn.MAXIFS(AH$21:AH$141,$A$21:$A$141,"&gt;="&amp;$G24,$A$21:$A$141,"&lt;="&amp;$H24),AI24))</f>
        <v>-138.330483447645</v>
      </c>
      <c r="AL24" s="12" t="n">
        <f aca="false">-Cost_k*$A24+Beta_q*(Declarations!$B$16*INDEX(AK$21:AK$141,MAX(1,MIN(121,$B24-ROUND(Declarations!$A$16/$D$18,0))))+Declarations!$B$17*INDEX(AK$21:AK$141,MAX(1,MIN(121,$B24-ROUND(Declarations!$A$17/$D$18,0))))+Declarations!$B$18*INDEX(AK$21:AK$141,MAX(1,MIN(121,$B24-ROUND(Declarations!$A$18/$D$18,0))))+Declarations!$B$19*INDEX(AK$21:AK$141,MAX(1,MIN(121,$B24-ROUND(Declarations!$A$19/$D$18,0))))+Declarations!$B$20*INDEX(AK$21:AK$141,MAX(1,MIN(121,$B24-ROUND(Declarations!$A$20/$D$18,0)))))</f>
        <v>-297.775989754506</v>
      </c>
      <c r="AM24" s="12" t="n">
        <f aca="false">INDEX(AL$21:AL$141,$I24+1)*(1-$J24)+INDEX(AL$21:AL$141,$I24+2)*$J24</f>
        <v>-294.493189668644</v>
      </c>
      <c r="AN24" s="12" t="n">
        <f aca="false">INDEX(AL$21:AL$141,$K24+1)*(1-$L24)+INDEX(AL$21:AL$141,$K24+2)*$L24</f>
        <v>-291.07318471003</v>
      </c>
      <c r="AO24" s="12" t="n">
        <f aca="false">$C24+$D24+MAX(AM24,AN24,IF(COUNTIFS($A$21:$A$141,"&gt;="&amp;$G24,$A$21:$A$141,"&lt;="&amp;$H24)&gt;0,_xlfn.MAXIFS(AL$21:AL$141,$A$21:$A$141,"&gt;="&amp;$G24,$A$21:$A$141,"&lt;="&amp;$H24),AM24))</f>
        <v>-154.94818471003</v>
      </c>
      <c r="AP24" s="12" t="n">
        <f aca="false">-Cost_k*$A24+Beta_q*(Declarations!$B$16*INDEX(AO$21:AO$141,MAX(1,MIN(121,$B24-ROUND(Declarations!$A$16/$D$18,0))))+Declarations!$B$17*INDEX(AO$21:AO$141,MAX(1,MIN(121,$B24-ROUND(Declarations!$A$17/$D$18,0))))+Declarations!$B$18*INDEX(AO$21:AO$141,MAX(1,MIN(121,$B24-ROUND(Declarations!$A$18/$D$18,0))))+Declarations!$B$19*INDEX(AO$21:AO$141,MAX(1,MIN(121,$B24-ROUND(Declarations!$A$19/$D$18,0))))+Declarations!$B$20*INDEX(AO$21:AO$141,MAX(1,MIN(121,$B24-ROUND(Declarations!$A$20/$D$18,0)))))</f>
        <v>-313.964931513187</v>
      </c>
      <c r="AQ24" s="12" t="n">
        <f aca="false">INDEX(AP$21:AP$141,$I24+1)*(1-$J24)+INDEX(AP$21:AP$141,$I24+2)*$J24</f>
        <v>-310.061235192897</v>
      </c>
      <c r="AR24" s="12" t="n">
        <f aca="false">INDEX(AP$21:AP$141,$K24+1)*(1-$L24)+INDEX(AP$21:AP$141,$K24+2)*$L24</f>
        <v>-305.960870961186</v>
      </c>
      <c r="AS24" s="12" t="n">
        <f aca="false">$C24+$D24+MAX(AQ24,AR24,IF(COUNTIFS($A$21:$A$141,"&gt;="&amp;$G24,$A$21:$A$141,"&lt;="&amp;$H24)&gt;0,_xlfn.MAXIFS(AP$21:AP$141,$A$21:$A$141,"&gt;="&amp;$G24,$A$21:$A$141,"&lt;="&amp;$H24),AQ24))</f>
        <v>-169.835870961186</v>
      </c>
      <c r="AT24" s="12" t="n">
        <f aca="false">-Cost_k*$A24+Beta_q*(Declarations!$B$16*INDEX(AS$21:AS$141,MAX(1,MIN(121,$B24-ROUND(Declarations!$A$16/$D$18,0))))+Declarations!$B$17*INDEX(AS$21:AS$141,MAX(1,MIN(121,$B24-ROUND(Declarations!$A$17/$D$18,0))))+Declarations!$B$18*INDEX(AS$21:AS$141,MAX(1,MIN(121,$B24-ROUND(Declarations!$A$18/$D$18,0))))+Declarations!$B$19*INDEX(AS$21:AS$141,MAX(1,MIN(121,$B24-ROUND(Declarations!$A$19/$D$18,0))))+Declarations!$B$20*INDEX(AS$21:AS$141,MAX(1,MIN(121,$B24-ROUND(Declarations!$A$20/$D$18,0)))))</f>
        <v>-328.449895725102</v>
      </c>
      <c r="AU24" s="12" t="n">
        <f aca="false">INDEX(AT$21:AT$141,$I24+1)*(1-$J24)+INDEX(AT$21:AT$141,$I24+2)*$J24</f>
        <v>-323.859897138458</v>
      </c>
      <c r="AV24" s="12" t="n">
        <f aca="false">INDEX(AT$21:AT$141,$K24+1)*(1-$L24)+INDEX(AT$21:AT$141,$K24+2)*$L24</f>
        <v>-319.016410168659</v>
      </c>
      <c r="AW24" s="12" t="n">
        <f aca="false">$C24+$D24+MAX(AU24,AV24,IF(COUNTIFS($A$21:$A$141,"&gt;="&amp;$G24,$A$21:$A$141,"&lt;="&amp;$H24)&gt;0,_xlfn.MAXIFS(AT$21:AT$141,$A$21:$A$141,"&gt;="&amp;$G24,$A$21:$A$141,"&lt;="&amp;$H24),AU24))</f>
        <v>-182.891410168659</v>
      </c>
      <c r="AX24" s="12" t="n">
        <f aca="false">-Cost_k*$A24+Beta_q*(Declarations!$B$16*INDEX(AW$21:AW$141,MAX(1,MIN(121,$B24-ROUND(Declarations!$A$16/$D$18,0))))+Declarations!$B$17*INDEX(AW$21:AW$141,MAX(1,MIN(121,$B24-ROUND(Declarations!$A$17/$D$18,0))))+Declarations!$B$18*INDEX(AW$21:AW$141,MAX(1,MIN(121,$B24-ROUND(Declarations!$A$18/$D$18,0))))+Declarations!$B$19*INDEX(AW$21:AW$141,MAX(1,MIN(121,$B24-ROUND(Declarations!$A$19/$D$18,0))))+Declarations!$B$20*INDEX(AW$21:AW$141,MAX(1,MIN(121,$B24-ROUND(Declarations!$A$20/$D$18,0)))))</f>
        <v>-341.151628919689</v>
      </c>
      <c r="AY24" s="12" t="n">
        <f aca="false">INDEX(AX$21:AX$141,$I24+1)*(1-$J24)+INDEX(AX$21:AX$141,$I24+2)*$J24</f>
        <v>-335.844337402909</v>
      </c>
      <c r="AZ24" s="12" t="n">
        <f aca="false">INDEX(AX$21:AX$141,$K24+1)*(1-$L24)+INDEX(AX$21:AX$141,$K24+2)*$L24</f>
        <v>-330.249942091875</v>
      </c>
      <c r="BA24" s="12" t="n">
        <f aca="false">$C24+$D24+MAX(AY24,AZ24,IF(COUNTIFS($A$21:$A$141,"&gt;="&amp;$G24,$A$21:$A$141,"&lt;="&amp;$H24)&gt;0,_xlfn.MAXIFS(AX$21:AX$141,$A$21:$A$141,"&gt;="&amp;$G24,$A$21:$A$141,"&lt;="&amp;$H24),AY24))</f>
        <v>-194.124942091875</v>
      </c>
      <c r="BB24" s="12" t="n">
        <f aca="false">-Cost_k*$A24+Beta_q*(Declarations!$B$16*INDEX(BA$21:BA$141,MAX(1,MIN(121,$B24-ROUND(Declarations!$A$16/$D$18,0))))+Declarations!$B$17*INDEX(BA$21:BA$141,MAX(1,MIN(121,$B24-ROUND(Declarations!$A$17/$D$18,0))))+Declarations!$B$18*INDEX(BA$21:BA$141,MAX(1,MIN(121,$B24-ROUND(Declarations!$A$18/$D$18,0))))+Declarations!$B$19*INDEX(BA$21:BA$141,MAX(1,MIN(121,$B24-ROUND(Declarations!$A$19/$D$18,0))))+Declarations!$B$20*INDEX(BA$21:BA$141,MAX(1,MIN(121,$B24-ROUND(Declarations!$A$20/$D$18,0)))))</f>
        <v>-352.081648504102</v>
      </c>
      <c r="BC24" s="12" t="n">
        <f aca="false">INDEX(BB$21:BB$141,$I24+1)*(1-$J24)+INDEX(BB$21:BB$141,$I24+2)*$J24</f>
        <v>-346.072438555396</v>
      </c>
      <c r="BD24" s="12" t="n">
        <f aca="false">INDEX(BB$21:BB$141,$K24+1)*(1-$L24)+INDEX(BB$21:BB$141,$K24+2)*$L24</f>
        <v>-339.759301247149</v>
      </c>
      <c r="BE24" s="12" t="n">
        <f aca="false">$C24+$D24+MAX(BC24,BD24,IF(COUNTIFS($A$21:$A$141,"&gt;="&amp;$G24,$A$21:$A$141,"&lt;="&amp;$H24)&gt;0,_xlfn.MAXIFS(BB$21:BB$141,$A$21:$A$141,"&gt;="&amp;$G24,$A$21:$A$141,"&lt;="&amp;$H24),BC24))</f>
        <v>-203.634301247149</v>
      </c>
      <c r="BF24" s="12" t="n">
        <f aca="false">-Cost_k*$A24+Beta_q*(Declarations!$B$16*INDEX(BE$21:BE$141,MAX(1,MIN(121,$B24-ROUND(Declarations!$A$16/$D$18,0))))+Declarations!$B$17*INDEX(BE$21:BE$141,MAX(1,MIN(121,$B24-ROUND(Declarations!$A$17/$D$18,0))))+Declarations!$B$18*INDEX(BE$21:BE$141,MAX(1,MIN(121,$B24-ROUND(Declarations!$A$18/$D$18,0))))+Declarations!$B$19*INDEX(BE$21:BE$141,MAX(1,MIN(121,$B24-ROUND(Declarations!$A$19/$D$18,0))))+Declarations!$B$20*INDEX(BE$21:BE$141,MAX(1,MIN(121,$B24-ROUND(Declarations!$A$20/$D$18,0)))))</f>
        <v>-361.335626586483</v>
      </c>
      <c r="BG24" s="12" t="n">
        <f aca="false">INDEX(BF$21:BF$141,$I24+1)*(1-$J24)+INDEX(BF$21:BF$141,$I24+2)*$J24</f>
        <v>-354.672593429998</v>
      </c>
      <c r="BH24" s="12" t="n">
        <f aca="false">INDEX(BF$21:BF$141,$K24+1)*(1-$L24)+INDEX(BF$21:BF$141,$K24+2)*$L24</f>
        <v>-347.706542887272</v>
      </c>
      <c r="BI24" s="12" t="n">
        <f aca="false">$C24+$D24+MAX(BG24,BH24,IF(COUNTIFS($A$21:$A$141,"&gt;="&amp;$G24,$A$21:$A$141,"&lt;="&amp;$H24)&gt;0,_xlfn.MAXIFS(BF$21:BF$141,$A$21:$A$141,"&gt;="&amp;$G24,$A$21:$A$141,"&lt;="&amp;$H24),BG24))</f>
        <v>-211.581542887272</v>
      </c>
      <c r="BJ24" s="23" t="n">
        <v>-211.581542887272</v>
      </c>
      <c r="BK24" s="22" t="n">
        <f aca="false">ABS(BI24-BJ24)</f>
        <v>0</v>
      </c>
    </row>
    <row r="25" customFormat="false" ht="15" hidden="false" customHeight="false" outlineLevel="0" collapsed="false">
      <c r="A25" s="14" t="n">
        <f aca="false">A24+$D$18</f>
        <v>41</v>
      </c>
      <c r="B25" s="19" t="n">
        <v>5</v>
      </c>
      <c r="C25" s="12" t="n">
        <f aca="false">-Short_p*MAX(Floor_c-A25,0)</f>
        <v>-22.4</v>
      </c>
      <c r="D25" s="12" t="n">
        <f aca="false">Cost_k*Alpha_keep*A25</f>
        <v>159.9</v>
      </c>
      <c r="E25" s="12" t="n">
        <f aca="false">MIN(Cap_h,MAX(0,$B$18+MAX(Loss_w)-Alpha_keep*A25))</f>
        <v>1.525</v>
      </c>
      <c r="F25" s="12" t="n">
        <f aca="false">MAX(MIN(Cap_h,$F$18+MIN(Loss_w)-Alpha_keep*A25),E25)</f>
        <v>2.5</v>
      </c>
      <c r="G25" s="12" t="n">
        <f aca="false">Alpha_keep*A25+E25</f>
        <v>41.5</v>
      </c>
      <c r="H25" s="12" t="n">
        <f aca="false">Alpha_keep*A25+F25</f>
        <v>42.475</v>
      </c>
      <c r="I25" s="19" t="n">
        <f aca="false">MIN(INT((G25-$B$18)/$D$18+0.000000001),119)</f>
        <v>6</v>
      </c>
      <c r="J25" s="12" t="n">
        <f aca="false">(G25-$B$18)/$D$18-I25</f>
        <v>0</v>
      </c>
      <c r="K25" s="19" t="n">
        <f aca="false">MIN(INT((H25-$B$18)/$D$18+0.000000001),119)</f>
        <v>9</v>
      </c>
      <c r="L25" s="12" t="n">
        <f aca="false">(H25-$B$18)/$D$18-K25</f>
        <v>0.900000000000006</v>
      </c>
      <c r="M25" s="9" t="n">
        <v>0</v>
      </c>
      <c r="N25" s="12" t="n">
        <f aca="false">-Cost_k*$A25+Beta_q*(Declarations!$B$16*INDEX(M$21:M$141,MAX(1,MIN(121,$B25-ROUND(Declarations!$A$16/$D$18,0))))+Declarations!$B$17*INDEX(M$21:M$141,MAX(1,MIN(121,$B25-ROUND(Declarations!$A$17/$D$18,0))))+Declarations!$B$18*INDEX(M$21:M$141,MAX(1,MIN(121,$B25-ROUND(Declarations!$A$18/$D$18,0))))+Declarations!$B$19*INDEX(M$21:M$141,MAX(1,MIN(121,$B25-ROUND(Declarations!$A$19/$D$18,0))))+Declarations!$B$20*INDEX(M$21:M$141,MAX(1,MIN(121,$B25-ROUND(Declarations!$A$20/$D$18,0)))))</f>
        <v>-164</v>
      </c>
      <c r="O25" s="12" t="n">
        <f aca="false">INDEX(N$21:N$141,$I25+1)*(1-$J25)+INDEX(N$21:N$141,$I25+2)*$J25</f>
        <v>-166</v>
      </c>
      <c r="P25" s="12" t="n">
        <f aca="false">INDEX(N$21:N$141,$K25+1)*(1-$L25)+INDEX(N$21:N$141,$K25+2)*$L25</f>
        <v>-169.9</v>
      </c>
      <c r="Q25" s="12" t="n">
        <f aca="false">$C25+$D25+MAX(O25,P25,IF(COUNTIFS($A$21:$A$141,"&gt;="&amp;$G25,$A$21:$A$141,"&lt;="&amp;$H25)&gt;0,_xlfn.MAXIFS(N$21:N$141,$A$21:$A$141,"&gt;="&amp;$G25,$A$21:$A$141,"&lt;="&amp;$H25),O25))</f>
        <v>-28.5</v>
      </c>
      <c r="R25" s="12" t="n">
        <f aca="false">-Cost_k*$A25+Beta_q*(Declarations!$B$16*INDEX(Q$21:Q$141,MAX(1,MIN(121,$B25-ROUND(Declarations!$A$16/$D$18,0))))+Declarations!$B$17*INDEX(Q$21:Q$141,MAX(1,MIN(121,$B25-ROUND(Declarations!$A$17/$D$18,0))))+Declarations!$B$18*INDEX(Q$21:Q$141,MAX(1,MIN(121,$B25-ROUND(Declarations!$A$18/$D$18,0))))+Declarations!$B$19*INDEX(Q$21:Q$141,MAX(1,MIN(121,$B25-ROUND(Declarations!$A$19/$D$18,0))))+Declarations!$B$20*INDEX(Q$21:Q$141,MAX(1,MIN(121,$B25-ROUND(Declarations!$A$20/$D$18,0)))))</f>
        <v>-191.694679118444</v>
      </c>
      <c r="S25" s="12" t="n">
        <f aca="false">INDEX(R$21:R$141,$I25+1)*(1-$J25)+INDEX(R$21:R$141,$I25+2)*$J25</f>
        <v>-191.226691406788</v>
      </c>
      <c r="T25" s="12" t="n">
        <f aca="false">INDEX(R$21:R$141,$K25+1)*(1-$L25)+INDEX(R$21:R$141,$K25+2)*$L25</f>
        <v>-190.579466767926</v>
      </c>
      <c r="U25" s="12" t="n">
        <f aca="false">$C25+$D25+MAX(S25,T25,IF(COUNTIFS($A$21:$A$141,"&gt;="&amp;$G25,$A$21:$A$141,"&lt;="&amp;$H25)&gt;0,_xlfn.MAXIFS(R$21:R$141,$A$21:$A$141,"&gt;="&amp;$G25,$A$21:$A$141,"&lt;="&amp;$H25),S25))</f>
        <v>-53.0794667679261</v>
      </c>
      <c r="V25" s="12" t="n">
        <f aca="false">-Cost_k*$A25+Beta_q*(Declarations!$B$16*INDEX(U$21:U$141,MAX(1,MIN(121,$B25-ROUND(Declarations!$A$16/$D$18,0))))+Declarations!$B$17*INDEX(U$21:U$141,MAX(1,MIN(121,$B25-ROUND(Declarations!$A$17/$D$18,0))))+Declarations!$B$18*INDEX(U$21:U$141,MAX(1,MIN(121,$B25-ROUND(Declarations!$A$18/$D$18,0))))+Declarations!$B$19*INDEX(U$21:U$141,MAX(1,MIN(121,$B25-ROUND(Declarations!$A$19/$D$18,0))))+Declarations!$B$20*INDEX(U$21:U$141,MAX(1,MIN(121,$B25-ROUND(Declarations!$A$20/$D$18,0)))))</f>
        <v>-215.794667735312</v>
      </c>
      <c r="W25" s="12" t="n">
        <f aca="false">INDEX(V$21:V$141,$I25+1)*(1-$J25)+INDEX(V$21:V$141,$I25+2)*$J25</f>
        <v>-215.188270969776</v>
      </c>
      <c r="X25" s="12" t="n">
        <f aca="false">INDEX(V$21:V$141,$K25+1)*(1-$L25)+INDEX(V$21:V$141,$K25+2)*$L25</f>
        <v>-213.820481640794</v>
      </c>
      <c r="Y25" s="12" t="n">
        <f aca="false">$C25+$D25+MAX(W25,X25,IF(COUNTIFS($A$21:$A$141,"&gt;="&amp;$G25,$A$21:$A$141,"&lt;="&amp;$H25)&gt;0,_xlfn.MAXIFS(V$21:V$141,$A$21:$A$141,"&gt;="&amp;$G25,$A$21:$A$141,"&lt;="&amp;$H25),W25))</f>
        <v>-76.3204816407942</v>
      </c>
      <c r="Z25" s="12" t="n">
        <f aca="false">-Cost_k*$A25+Beta_q*(Declarations!$B$16*INDEX(Y$21:Y$141,MAX(1,MIN(121,$B25-ROUND(Declarations!$A$16/$D$18,0))))+Declarations!$B$17*INDEX(Y$21:Y$141,MAX(1,MIN(121,$B25-ROUND(Declarations!$A$17/$D$18,0))))+Declarations!$B$18*INDEX(Y$21:Y$141,MAX(1,MIN(121,$B25-ROUND(Declarations!$A$18/$D$18,0))))+Declarations!$B$19*INDEX(Y$21:Y$141,MAX(1,MIN(121,$B25-ROUND(Declarations!$A$19/$D$18,0))))+Declarations!$B$20*INDEX(Y$21:Y$141,MAX(1,MIN(121,$B25-ROUND(Declarations!$A$20/$D$18,0)))))</f>
        <v>-238.417760722321</v>
      </c>
      <c r="AA25" s="12" t="n">
        <f aca="false">INDEX(Z$21:Z$141,$I25+1)*(1-$J25)+INDEX(Z$21:Z$141,$I25+2)*$J25</f>
        <v>-237.357058768902</v>
      </c>
      <c r="AB25" s="12" t="n">
        <f aca="false">INDEX(Z$21:Z$141,$K25+1)*(1-$L25)+INDEX(Z$21:Z$141,$K25+2)*$L25</f>
        <v>-235.348332904539</v>
      </c>
      <c r="AC25" s="12" t="n">
        <f aca="false">$C25+$D25+MAX(AA25,AB25,IF(COUNTIFS($A$21:$A$141,"&gt;="&amp;$G25,$A$21:$A$141,"&lt;="&amp;$H25)&gt;0,_xlfn.MAXIFS(Z$21:Z$141,$A$21:$A$141,"&gt;="&amp;$G25,$A$21:$A$141,"&lt;="&amp;$H25),AA25))</f>
        <v>-97.848332904539</v>
      </c>
      <c r="AD25" s="12" t="n">
        <f aca="false">-Cost_k*$A25+Beta_q*(Declarations!$B$16*INDEX(AC$21:AC$141,MAX(1,MIN(121,$B25-ROUND(Declarations!$A$16/$D$18,0))))+Declarations!$B$17*INDEX(AC$21:AC$141,MAX(1,MIN(121,$B25-ROUND(Declarations!$A$17/$D$18,0))))+Declarations!$B$18*INDEX(AC$21:AC$141,MAX(1,MIN(121,$B25-ROUND(Declarations!$A$18/$D$18,0))))+Declarations!$B$19*INDEX(AC$21:AC$141,MAX(1,MIN(121,$B25-ROUND(Declarations!$A$19/$D$18,0))))+Declarations!$B$20*INDEX(AC$21:AC$141,MAX(1,MIN(121,$B25-ROUND(Declarations!$A$20/$D$18,0)))))</f>
        <v>-259.4580046218</v>
      </c>
      <c r="AE25" s="12" t="n">
        <f aca="false">INDEX(AD$21:AD$141,$I25+1)*(1-$J25)+INDEX(AD$21:AD$141,$I25+2)*$J25</f>
        <v>-258.147264038387</v>
      </c>
      <c r="AF25" s="12" t="n">
        <f aca="false">INDEX(AD$21:AD$141,$K25+1)*(1-$L25)+INDEX(AD$21:AD$141,$K25+2)*$L25</f>
        <v>-255.429282511327</v>
      </c>
      <c r="AG25" s="12" t="n">
        <f aca="false">$C25+$D25+MAX(AE25,AF25,IF(COUNTIFS($A$21:$A$141,"&gt;="&amp;$G25,$A$21:$A$141,"&lt;="&amp;$H25)&gt;0,_xlfn.MAXIFS(AD$21:AD$141,$A$21:$A$141,"&gt;="&amp;$G25,$A$21:$A$141,"&lt;="&amp;$H25),AE25))</f>
        <v>-117.929282511327</v>
      </c>
      <c r="AH25" s="12" t="n">
        <f aca="false">-Cost_k*$A25+Beta_q*(Declarations!$B$16*INDEX(AG$21:AG$141,MAX(1,MIN(121,$B25-ROUND(Declarations!$A$16/$D$18,0))))+Declarations!$B$17*INDEX(AG$21:AG$141,MAX(1,MIN(121,$B25-ROUND(Declarations!$A$17/$D$18,0))))+Declarations!$B$18*INDEX(AG$21:AG$141,MAX(1,MIN(121,$B25-ROUND(Declarations!$A$18/$D$18,0))))+Declarations!$B$19*INDEX(AG$21:AG$141,MAX(1,MIN(121,$B25-ROUND(Declarations!$A$19/$D$18,0))))+Declarations!$B$20*INDEX(AG$21:AG$141,MAX(1,MIN(121,$B25-ROUND(Declarations!$A$20/$D$18,0)))))</f>
        <v>-278.982904513813</v>
      </c>
      <c r="AI25" s="12" t="n">
        <f aca="false">INDEX(AH$21:AH$141,$I25+1)*(1-$J25)+INDEX(AH$21:AH$141,$I25+2)*$J25</f>
        <v>-277.233768456172</v>
      </c>
      <c r="AJ25" s="12" t="n">
        <f aca="false">INDEX(AH$21:AH$141,$K25+1)*(1-$L25)+INDEX(AH$21:AH$141,$K25+2)*$L25</f>
        <v>-273.552964949274</v>
      </c>
      <c r="AK25" s="12" t="n">
        <f aca="false">$C25+$D25+MAX(AI25,AJ25,IF(COUNTIFS($A$21:$A$141,"&gt;="&amp;$G25,$A$21:$A$141,"&lt;="&amp;$H25)&gt;0,_xlfn.MAXIFS(AH$21:AH$141,$A$21:$A$141,"&gt;="&amp;$G25,$A$21:$A$141,"&lt;="&amp;$H25),AI25))</f>
        <v>-136.052964949273</v>
      </c>
      <c r="AL25" s="12" t="n">
        <f aca="false">-Cost_k*$A25+Beta_q*(Declarations!$B$16*INDEX(AK$21:AK$141,MAX(1,MIN(121,$B25-ROUND(Declarations!$A$16/$D$18,0))))+Declarations!$B$17*INDEX(AK$21:AK$141,MAX(1,MIN(121,$B25-ROUND(Declarations!$A$17/$D$18,0))))+Declarations!$B$18*INDEX(AK$21:AK$141,MAX(1,MIN(121,$B25-ROUND(Declarations!$A$18/$D$18,0))))+Declarations!$B$19*INDEX(AK$21:AK$141,MAX(1,MIN(121,$B25-ROUND(Declarations!$A$19/$D$18,0))))+Declarations!$B$20*INDEX(AK$21:AK$141,MAX(1,MIN(121,$B25-ROUND(Declarations!$A$20/$D$18,0)))))</f>
        <v>-296.669197544708</v>
      </c>
      <c r="AM25" s="12" t="n">
        <f aca="false">INDEX(AL$21:AL$141,$I25+1)*(1-$J25)+INDEX(AL$21:AL$141,$I25+2)*$J25</f>
        <v>-294.493189668644</v>
      </c>
      <c r="AN25" s="12" t="n">
        <f aca="false">INDEX(AL$21:AL$141,$K25+1)*(1-$L25)+INDEX(AL$21:AL$141,$K25+2)*$L25</f>
        <v>-289.957186968751</v>
      </c>
      <c r="AO25" s="12" t="n">
        <f aca="false">$C25+$D25+MAX(AM25,AN25,IF(COUNTIFS($A$21:$A$141,"&gt;="&amp;$G25,$A$21:$A$141,"&lt;="&amp;$H25)&gt;0,_xlfn.MAXIFS(AL$21:AL$141,$A$21:$A$141,"&gt;="&amp;$G25,$A$21:$A$141,"&lt;="&amp;$H25),AM25))</f>
        <v>-152.457186968751</v>
      </c>
      <c r="AP25" s="12" t="n">
        <f aca="false">-Cost_k*$A25+Beta_q*(Declarations!$B$16*INDEX(AO$21:AO$141,MAX(1,MIN(121,$B25-ROUND(Declarations!$A$16/$D$18,0))))+Declarations!$B$17*INDEX(AO$21:AO$141,MAX(1,MIN(121,$B25-ROUND(Declarations!$A$17/$D$18,0))))+Declarations!$B$18*INDEX(AO$21:AO$141,MAX(1,MIN(121,$B25-ROUND(Declarations!$A$18/$D$18,0))))+Declarations!$B$19*INDEX(AO$21:AO$141,MAX(1,MIN(121,$B25-ROUND(Declarations!$A$19/$D$18,0))))+Declarations!$B$20*INDEX(AO$21:AO$141,MAX(1,MIN(121,$B25-ROUND(Declarations!$A$20/$D$18,0)))))</f>
        <v>-312.654985270178</v>
      </c>
      <c r="AQ25" s="12" t="n">
        <f aca="false">INDEX(AP$21:AP$141,$I25+1)*(1-$J25)+INDEX(AP$21:AP$141,$I25+2)*$J25</f>
        <v>-310.061235192897</v>
      </c>
      <c r="AR25" s="12" t="n">
        <f aca="false">INDEX(AP$21:AP$141,$K25+1)*(1-$L25)+INDEX(AP$21:AP$141,$K25+2)*$L25</f>
        <v>-304.60530001595</v>
      </c>
      <c r="AS25" s="12" t="n">
        <f aca="false">$C25+$D25+MAX(AQ25,AR25,IF(COUNTIFS($A$21:$A$141,"&gt;="&amp;$G25,$A$21:$A$141,"&lt;="&amp;$H25)&gt;0,_xlfn.MAXIFS(AP$21:AP$141,$A$21:$A$141,"&gt;="&amp;$G25,$A$21:$A$141,"&lt;="&amp;$H25),AQ25))</f>
        <v>-167.10530001595</v>
      </c>
      <c r="AT25" s="12" t="n">
        <f aca="false">-Cost_k*$A25+Beta_q*(Declarations!$B$16*INDEX(AS$21:AS$141,MAX(1,MIN(121,$B25-ROUND(Declarations!$A$16/$D$18,0))))+Declarations!$B$17*INDEX(AS$21:AS$141,MAX(1,MIN(121,$B25-ROUND(Declarations!$A$17/$D$18,0))))+Declarations!$B$18*INDEX(AS$21:AS$141,MAX(1,MIN(121,$B25-ROUND(Declarations!$A$18/$D$18,0))))+Declarations!$B$19*INDEX(AS$21:AS$141,MAX(1,MIN(121,$B25-ROUND(Declarations!$A$19/$D$18,0))))+Declarations!$B$20*INDEX(AS$21:AS$141,MAX(1,MIN(121,$B25-ROUND(Declarations!$A$20/$D$18,0)))))</f>
        <v>-326.916299414682</v>
      </c>
      <c r="AU25" s="12" t="n">
        <f aca="false">INDEX(AT$21:AT$141,$I25+1)*(1-$J25)+INDEX(AT$21:AT$141,$I25+2)*$J25</f>
        <v>-323.859897138458</v>
      </c>
      <c r="AV25" s="12" t="n">
        <f aca="false">INDEX(AT$21:AT$141,$K25+1)*(1-$L25)+INDEX(AT$21:AT$141,$K25+2)*$L25</f>
        <v>-317.405445844002</v>
      </c>
      <c r="AW25" s="12" t="n">
        <f aca="false">$C25+$D25+MAX(AU25,AV25,IF(COUNTIFS($A$21:$A$141,"&gt;="&amp;$G25,$A$21:$A$141,"&lt;="&amp;$H25)&gt;0,_xlfn.MAXIFS(AT$21:AT$141,$A$21:$A$141,"&gt;="&amp;$G25,$A$21:$A$141,"&lt;="&amp;$H25),AU25))</f>
        <v>-179.905445844002</v>
      </c>
      <c r="AX25" s="12" t="n">
        <f aca="false">-Cost_k*$A25+Beta_q*(Declarations!$B$16*INDEX(AW$21:AW$141,MAX(1,MIN(121,$B25-ROUND(Declarations!$A$16/$D$18,0))))+Declarations!$B$17*INDEX(AW$21:AW$141,MAX(1,MIN(121,$B25-ROUND(Declarations!$A$17/$D$18,0))))+Declarations!$B$18*INDEX(AW$21:AW$141,MAX(1,MIN(121,$B25-ROUND(Declarations!$A$18/$D$18,0))))+Declarations!$B$19*INDEX(AW$21:AW$141,MAX(1,MIN(121,$B25-ROUND(Declarations!$A$19/$D$18,0))))+Declarations!$B$20*INDEX(AW$21:AW$141,MAX(1,MIN(121,$B25-ROUND(Declarations!$A$20/$D$18,0)))))</f>
        <v>-339.381421715953</v>
      </c>
      <c r="AY25" s="12" t="n">
        <f aca="false">INDEX(AX$21:AX$141,$I25+1)*(1-$J25)+INDEX(AX$21:AX$141,$I25+2)*$J25</f>
        <v>-335.844337402909</v>
      </c>
      <c r="AZ25" s="12" t="n">
        <f aca="false">INDEX(AX$21:AX$141,$K25+1)*(1-$L25)+INDEX(AX$21:AX$141,$K25+2)*$L25</f>
        <v>-328.386412554166</v>
      </c>
      <c r="BA25" s="12" t="n">
        <f aca="false">$C25+$D25+MAX(AY25,AZ25,IF(COUNTIFS($A$21:$A$141,"&gt;="&amp;$G25,$A$21:$A$141,"&lt;="&amp;$H25)&gt;0,_xlfn.MAXIFS(AX$21:AX$141,$A$21:$A$141,"&gt;="&amp;$G25,$A$21:$A$141,"&lt;="&amp;$H25),AY25))</f>
        <v>-190.886412554166</v>
      </c>
      <c r="BB25" s="12" t="n">
        <f aca="false">-Cost_k*$A25+Beta_q*(Declarations!$B$16*INDEX(BA$21:BA$141,MAX(1,MIN(121,$B25-ROUND(Declarations!$A$16/$D$18,0))))+Declarations!$B$17*INDEX(BA$21:BA$141,MAX(1,MIN(121,$B25-ROUND(Declarations!$A$17/$D$18,0))))+Declarations!$B$18*INDEX(BA$21:BA$141,MAX(1,MIN(121,$B25-ROUND(Declarations!$A$18/$D$18,0))))+Declarations!$B$19*INDEX(BA$21:BA$141,MAX(1,MIN(121,$B25-ROUND(Declarations!$A$19/$D$18,0))))+Declarations!$B$20*INDEX(BA$21:BA$141,MAX(1,MIN(121,$B25-ROUND(Declarations!$A$20/$D$18,0)))))</f>
        <v>-350.077788806966</v>
      </c>
      <c r="BC25" s="12" t="n">
        <f aca="false">INDEX(BB$21:BB$141,$I25+1)*(1-$J25)+INDEX(BB$21:BB$141,$I25+2)*$J25</f>
        <v>-346.072438555396</v>
      </c>
      <c r="BD25" s="12" t="n">
        <f aca="false">INDEX(BB$21:BB$141,$K25+1)*(1-$L25)+INDEX(BB$21:BB$141,$K25+2)*$L25</f>
        <v>-337.657791975016</v>
      </c>
      <c r="BE25" s="12" t="n">
        <f aca="false">$C25+$D25+MAX(BC25,BD25,IF(COUNTIFS($A$21:$A$141,"&gt;="&amp;$G25,$A$21:$A$141,"&lt;="&amp;$H25)&gt;0,_xlfn.MAXIFS(BB$21:BB$141,$A$21:$A$141,"&gt;="&amp;$G25,$A$21:$A$141,"&lt;="&amp;$H25),BC25))</f>
        <v>-200.157791975016</v>
      </c>
      <c r="BF25" s="12" t="n">
        <f aca="false">-Cost_k*$A25+Beta_q*(Declarations!$B$16*INDEX(BE$21:BE$141,MAX(1,MIN(121,$B25-ROUND(Declarations!$A$16/$D$18,0))))+Declarations!$B$17*INDEX(BE$21:BE$141,MAX(1,MIN(121,$B25-ROUND(Declarations!$A$17/$D$18,0))))+Declarations!$B$18*INDEX(BE$21:BE$141,MAX(1,MIN(121,$B25-ROUND(Declarations!$A$18/$D$18,0))))+Declarations!$B$19*INDEX(BE$21:BE$141,MAX(1,MIN(121,$B25-ROUND(Declarations!$A$19/$D$18,0))))+Declarations!$B$20*INDEX(BE$21:BE$141,MAX(1,MIN(121,$B25-ROUND(Declarations!$A$20/$D$18,0)))))</f>
        <v>-359.112323653675</v>
      </c>
      <c r="BG25" s="12" t="n">
        <f aca="false">INDEX(BF$21:BF$141,$I25+1)*(1-$J25)+INDEX(BF$21:BF$141,$I25+2)*$J25</f>
        <v>-354.672593429998</v>
      </c>
      <c r="BH25" s="12" t="n">
        <f aca="false">INDEX(BF$21:BF$141,$K25+1)*(1-$L25)+INDEX(BF$21:BF$141,$K25+2)*$L25</f>
        <v>-345.39352321464</v>
      </c>
      <c r="BI25" s="12" t="n">
        <f aca="false">$C25+$D25+MAX(BG25,BH25,IF(COUNTIFS($A$21:$A$141,"&gt;="&amp;$G25,$A$21:$A$141,"&lt;="&amp;$H25)&gt;0,_xlfn.MAXIFS(BF$21:BF$141,$A$21:$A$141,"&gt;="&amp;$G25,$A$21:$A$141,"&lt;="&amp;$H25),BG25))</f>
        <v>-207.89352321464</v>
      </c>
      <c r="BJ25" s="23" t="n">
        <v>-207.89352321464</v>
      </c>
      <c r="BK25" s="22" t="n">
        <f aca="false">ABS(BI25-BJ25)</f>
        <v>0</v>
      </c>
    </row>
    <row r="26" customFormat="false" ht="15" hidden="false" customHeight="false" outlineLevel="0" collapsed="false">
      <c r="A26" s="14" t="n">
        <f aca="false">A25+$D$18</f>
        <v>41.25</v>
      </c>
      <c r="B26" s="19" t="n">
        <v>6</v>
      </c>
      <c r="C26" s="12" t="n">
        <f aca="false">-Short_p*MAX(Floor_c-A26,0)</f>
        <v>-22</v>
      </c>
      <c r="D26" s="12" t="n">
        <f aca="false">Cost_k*Alpha_keep*A26</f>
        <v>160.875</v>
      </c>
      <c r="E26" s="12" t="n">
        <f aca="false">MIN(Cap_h,MAX(0,$B$18+MAX(Loss_w)-Alpha_keep*A26))</f>
        <v>1.28125</v>
      </c>
      <c r="F26" s="12" t="n">
        <f aca="false">MAX(MIN(Cap_h,$F$18+MIN(Loss_w)-Alpha_keep*A26),E26)</f>
        <v>2.5</v>
      </c>
      <c r="G26" s="12" t="n">
        <f aca="false">Alpha_keep*A26+E26</f>
        <v>41.5</v>
      </c>
      <c r="H26" s="12" t="n">
        <f aca="false">Alpha_keep*A26+F26</f>
        <v>42.71875</v>
      </c>
      <c r="I26" s="19" t="n">
        <f aca="false">MIN(INT((G26-$B$18)/$D$18+0.000000001),119)</f>
        <v>6</v>
      </c>
      <c r="J26" s="12" t="n">
        <f aca="false">(G26-$B$18)/$D$18-I26</f>
        <v>0</v>
      </c>
      <c r="K26" s="19" t="n">
        <f aca="false">MIN(INT((H26-$B$18)/$D$18+0.000000001),119)</f>
        <v>10</v>
      </c>
      <c r="L26" s="12" t="n">
        <f aca="false">(H26-$B$18)/$D$18-K26</f>
        <v>0.875</v>
      </c>
      <c r="M26" s="9" t="n">
        <v>0</v>
      </c>
      <c r="N26" s="12" t="n">
        <f aca="false">-Cost_k*$A26+Beta_q*(Declarations!$B$16*INDEX(M$21:M$141,MAX(1,MIN(121,$B26-ROUND(Declarations!$A$16/$D$18,0))))+Declarations!$B$17*INDEX(M$21:M$141,MAX(1,MIN(121,$B26-ROUND(Declarations!$A$17/$D$18,0))))+Declarations!$B$18*INDEX(M$21:M$141,MAX(1,MIN(121,$B26-ROUND(Declarations!$A$18/$D$18,0))))+Declarations!$B$19*INDEX(M$21:M$141,MAX(1,MIN(121,$B26-ROUND(Declarations!$A$19/$D$18,0))))+Declarations!$B$20*INDEX(M$21:M$141,MAX(1,MIN(121,$B26-ROUND(Declarations!$A$20/$D$18,0)))))</f>
        <v>-165</v>
      </c>
      <c r="O26" s="12" t="n">
        <f aca="false">INDEX(N$21:N$141,$I26+1)*(1-$J26)+INDEX(N$21:N$141,$I26+2)*$J26</f>
        <v>-166</v>
      </c>
      <c r="P26" s="12" t="n">
        <f aca="false">INDEX(N$21:N$141,$K26+1)*(1-$L26)+INDEX(N$21:N$141,$K26+2)*$L26</f>
        <v>-170.875</v>
      </c>
      <c r="Q26" s="12" t="n">
        <f aca="false">$C26+$D26+MAX(O26,P26,IF(COUNTIFS($A$21:$A$141,"&gt;="&amp;$G26,$A$21:$A$141,"&lt;="&amp;$H26)&gt;0,_xlfn.MAXIFS(N$21:N$141,$A$21:$A$141,"&gt;="&amp;$G26,$A$21:$A$141,"&lt;="&amp;$H26),O26))</f>
        <v>-27.125</v>
      </c>
      <c r="R26" s="12" t="n">
        <f aca="false">-Cost_k*$A26+Beta_q*(Declarations!$B$16*INDEX(Q$21:Q$141,MAX(1,MIN(121,$B26-ROUND(Declarations!$A$16/$D$18,0))))+Declarations!$B$17*INDEX(Q$21:Q$141,MAX(1,MIN(121,$B26-ROUND(Declarations!$A$17/$D$18,0))))+Declarations!$B$18*INDEX(Q$21:Q$141,MAX(1,MIN(121,$B26-ROUND(Declarations!$A$18/$D$18,0))))+Declarations!$B$19*INDEX(Q$21:Q$141,MAX(1,MIN(121,$B26-ROUND(Declarations!$A$19/$D$18,0))))+Declarations!$B$20*INDEX(Q$21:Q$141,MAX(1,MIN(121,$B26-ROUND(Declarations!$A$20/$D$18,0)))))</f>
        <v>-191.454582424555</v>
      </c>
      <c r="S26" s="12" t="n">
        <f aca="false">INDEX(R$21:R$141,$I26+1)*(1-$J26)+INDEX(R$21:R$141,$I26+2)*$J26</f>
        <v>-191.226691406788</v>
      </c>
      <c r="T26" s="12" t="n">
        <f aca="false">INDEX(R$21:R$141,$K26+1)*(1-$L26)+INDEX(R$21:R$141,$K26+2)*$L26</f>
        <v>-190.787187452773</v>
      </c>
      <c r="U26" s="12" t="n">
        <f aca="false">$C26+$D26+MAX(S26,T26,IF(COUNTIFS($A$21:$A$141,"&gt;="&amp;$G26,$A$21:$A$141,"&lt;="&amp;$H26)&gt;0,_xlfn.MAXIFS(R$21:R$141,$A$21:$A$141,"&gt;="&amp;$G26,$A$21:$A$141,"&lt;="&amp;$H26),S26))</f>
        <v>-51.6940053990315</v>
      </c>
      <c r="V26" s="12" t="n">
        <f aca="false">-Cost_k*$A26+Beta_q*(Declarations!$B$16*INDEX(U$21:U$141,MAX(1,MIN(121,$B26-ROUND(Declarations!$A$16/$D$18,0))))+Declarations!$B$17*INDEX(U$21:U$141,MAX(1,MIN(121,$B26-ROUND(Declarations!$A$17/$D$18,0))))+Declarations!$B$18*INDEX(U$21:U$141,MAX(1,MIN(121,$B26-ROUND(Declarations!$A$18/$D$18,0))))+Declarations!$B$19*INDEX(U$21:U$141,MAX(1,MIN(121,$B26-ROUND(Declarations!$A$19/$D$18,0))))+Declarations!$B$20*INDEX(U$21:U$141,MAX(1,MIN(121,$B26-ROUND(Declarations!$A$20/$D$18,0)))))</f>
        <v>-215.48416019627</v>
      </c>
      <c r="W26" s="12" t="n">
        <f aca="false">INDEX(V$21:V$141,$I26+1)*(1-$J26)+INDEX(V$21:V$141,$I26+2)*$J26</f>
        <v>-215.188270969776</v>
      </c>
      <c r="X26" s="12" t="n">
        <f aca="false">INDEX(V$21:V$141,$K26+1)*(1-$L26)+INDEX(V$21:V$141,$K26+2)*$L26</f>
        <v>-213.502492321459</v>
      </c>
      <c r="Y26" s="12" t="n">
        <f aca="false">$C26+$D26+MAX(W26,X26,IF(COUNTIFS($A$21:$A$141,"&gt;="&amp;$G26,$A$21:$A$141,"&lt;="&amp;$H26)&gt;0,_xlfn.MAXIFS(V$21:V$141,$A$21:$A$141,"&gt;="&amp;$G26,$A$21:$A$141,"&lt;="&amp;$H26),W26))</f>
        <v>-74.6274923214592</v>
      </c>
      <c r="Z26" s="12" t="n">
        <f aca="false">-Cost_k*$A26+Beta_q*(Declarations!$B$16*INDEX(Y$21:Y$141,MAX(1,MIN(121,$B26-ROUND(Declarations!$A$16/$D$18,0))))+Declarations!$B$17*INDEX(Y$21:Y$141,MAX(1,MIN(121,$B26-ROUND(Declarations!$A$17/$D$18,0))))+Declarations!$B$18*INDEX(Y$21:Y$141,MAX(1,MIN(121,$B26-ROUND(Declarations!$A$18/$D$18,0))))+Declarations!$B$19*INDEX(Y$21:Y$141,MAX(1,MIN(121,$B26-ROUND(Declarations!$A$19/$D$18,0))))+Declarations!$B$20*INDEX(Y$21:Y$141,MAX(1,MIN(121,$B26-ROUND(Declarations!$A$20/$D$18,0)))))</f>
        <v>-237.871073504472</v>
      </c>
      <c r="AA26" s="12" t="n">
        <f aca="false">INDEX(Z$21:Z$141,$I26+1)*(1-$J26)+INDEX(Z$21:Z$141,$I26+2)*$J26</f>
        <v>-237.357058768902</v>
      </c>
      <c r="AB26" s="12" t="n">
        <f aca="false">INDEX(Z$21:Z$141,$K26+1)*(1-$L26)+INDEX(Z$21:Z$141,$K26+2)*$L26</f>
        <v>-234.933928813749</v>
      </c>
      <c r="AC26" s="12" t="n">
        <f aca="false">$C26+$D26+MAX(AA26,AB26,IF(COUNTIFS($A$21:$A$141,"&gt;="&amp;$G26,$A$21:$A$141,"&lt;="&amp;$H26)&gt;0,_xlfn.MAXIFS(Z$21:Z$141,$A$21:$A$141,"&gt;="&amp;$G26,$A$21:$A$141,"&lt;="&amp;$H26),AA26))</f>
        <v>-96.0589288137493</v>
      </c>
      <c r="AD26" s="12" t="n">
        <f aca="false">-Cost_k*$A26+Beta_q*(Declarations!$B$16*INDEX(AC$21:AC$141,MAX(1,MIN(121,$B26-ROUND(Declarations!$A$16/$D$18,0))))+Declarations!$B$17*INDEX(AC$21:AC$141,MAX(1,MIN(121,$B26-ROUND(Declarations!$A$17/$D$18,0))))+Declarations!$B$18*INDEX(AC$21:AC$141,MAX(1,MIN(121,$B26-ROUND(Declarations!$A$18/$D$18,0))))+Declarations!$B$19*INDEX(AC$21:AC$141,MAX(1,MIN(121,$B26-ROUND(Declarations!$A$19/$D$18,0))))+Declarations!$B$20*INDEX(AC$21:AC$141,MAX(1,MIN(121,$B26-ROUND(Declarations!$A$20/$D$18,0)))))</f>
        <v>-258.790743239085</v>
      </c>
      <c r="AE26" s="12" t="n">
        <f aca="false">INDEX(AD$21:AD$141,$I26+1)*(1-$J26)+INDEX(AD$21:AD$141,$I26+2)*$J26</f>
        <v>-258.147264038387</v>
      </c>
      <c r="AF26" s="12" t="n">
        <f aca="false">INDEX(AD$21:AD$141,$K26+1)*(1-$L26)+INDEX(AD$21:AD$141,$K26+2)*$L26</f>
        <v>-254.77574397706</v>
      </c>
      <c r="AG26" s="12" t="n">
        <f aca="false">$C26+$D26+MAX(AE26,AF26,IF(COUNTIFS($A$21:$A$141,"&gt;="&amp;$G26,$A$21:$A$141,"&lt;="&amp;$H26)&gt;0,_xlfn.MAXIFS(AD$21:AD$141,$A$21:$A$141,"&gt;="&amp;$G26,$A$21:$A$141,"&lt;="&amp;$H26),AE26))</f>
        <v>-115.90074397706</v>
      </c>
      <c r="AH26" s="12" t="n">
        <f aca="false">-Cost_k*$A26+Beta_q*(Declarations!$B$16*INDEX(AG$21:AG$141,MAX(1,MIN(121,$B26-ROUND(Declarations!$A$16/$D$18,0))))+Declarations!$B$17*INDEX(AG$21:AG$141,MAX(1,MIN(121,$B26-ROUND(Declarations!$A$17/$D$18,0))))+Declarations!$B$18*INDEX(AG$21:AG$141,MAX(1,MIN(121,$B26-ROUND(Declarations!$A$18/$D$18,0))))+Declarations!$B$19*INDEX(AG$21:AG$141,MAX(1,MIN(121,$B26-ROUND(Declarations!$A$19/$D$18,0))))+Declarations!$B$20*INDEX(AG$21:AG$141,MAX(1,MIN(121,$B26-ROUND(Declarations!$A$20/$D$18,0)))))</f>
        <v>-278.103441036227</v>
      </c>
      <c r="AI26" s="12" t="n">
        <f aca="false">INDEX(AH$21:AH$141,$I26+1)*(1-$J26)+INDEX(AH$21:AH$141,$I26+2)*$J26</f>
        <v>-277.233768456172</v>
      </c>
      <c r="AJ26" s="12" t="n">
        <f aca="false">INDEX(AH$21:AH$141,$K26+1)*(1-$L26)+INDEX(AH$21:AH$141,$K26+2)*$L26</f>
        <v>-272.663926297545</v>
      </c>
      <c r="AK26" s="12" t="n">
        <f aca="false">$C26+$D26+MAX(AI26,AJ26,IF(COUNTIFS($A$21:$A$141,"&gt;="&amp;$G26,$A$21:$A$141,"&lt;="&amp;$H26)&gt;0,_xlfn.MAXIFS(AH$21:AH$141,$A$21:$A$141,"&gt;="&amp;$G26,$A$21:$A$141,"&lt;="&amp;$H26),AI26))</f>
        <v>-133.788926297545</v>
      </c>
      <c r="AL26" s="12" t="n">
        <f aca="false">-Cost_k*$A26+Beta_q*(Declarations!$B$16*INDEX(AK$21:AK$141,MAX(1,MIN(121,$B26-ROUND(Declarations!$A$16/$D$18,0))))+Declarations!$B$17*INDEX(AK$21:AK$141,MAX(1,MIN(121,$B26-ROUND(Declarations!$A$17/$D$18,0))))+Declarations!$B$18*INDEX(AK$21:AK$141,MAX(1,MIN(121,$B26-ROUND(Declarations!$A$18/$D$18,0))))+Declarations!$B$19*INDEX(AK$21:AK$141,MAX(1,MIN(121,$B26-ROUND(Declarations!$A$19/$D$18,0))))+Declarations!$B$20*INDEX(AK$21:AK$141,MAX(1,MIN(121,$B26-ROUND(Declarations!$A$20/$D$18,0)))))</f>
        <v>-295.574373090903</v>
      </c>
      <c r="AM26" s="12" t="n">
        <f aca="false">INDEX(AL$21:AL$141,$I26+1)*(1-$J26)+INDEX(AL$21:AL$141,$I26+2)*$J26</f>
        <v>-294.493189668644</v>
      </c>
      <c r="AN26" s="12" t="n">
        <f aca="false">INDEX(AL$21:AL$141,$K26+1)*(1-$L26)+INDEX(AL$21:AL$141,$K26+2)*$L26</f>
        <v>-288.851236141882</v>
      </c>
      <c r="AO26" s="12" t="n">
        <f aca="false">$C26+$D26+MAX(AM26,AN26,IF(COUNTIFS($A$21:$A$141,"&gt;="&amp;$G26,$A$21:$A$141,"&lt;="&amp;$H26)&gt;0,_xlfn.MAXIFS(AL$21:AL$141,$A$21:$A$141,"&gt;="&amp;$G26,$A$21:$A$141,"&lt;="&amp;$H26),AM26))</f>
        <v>-149.976236141882</v>
      </c>
      <c r="AP26" s="12" t="n">
        <f aca="false">-Cost_k*$A26+Beta_q*(Declarations!$B$16*INDEX(AO$21:AO$141,MAX(1,MIN(121,$B26-ROUND(Declarations!$A$16/$D$18,0))))+Declarations!$B$17*INDEX(AO$21:AO$141,MAX(1,MIN(121,$B26-ROUND(Declarations!$A$17/$D$18,0))))+Declarations!$B$18*INDEX(AO$21:AO$141,MAX(1,MIN(121,$B26-ROUND(Declarations!$A$18/$D$18,0))))+Declarations!$B$19*INDEX(AO$21:AO$141,MAX(1,MIN(121,$B26-ROUND(Declarations!$A$19/$D$18,0))))+Declarations!$B$20*INDEX(AO$21:AO$141,MAX(1,MIN(121,$B26-ROUND(Declarations!$A$20/$D$18,0)))))</f>
        <v>-311.353848285761</v>
      </c>
      <c r="AQ26" s="12" t="n">
        <f aca="false">INDEX(AP$21:AP$141,$I26+1)*(1-$J26)+INDEX(AP$21:AP$141,$I26+2)*$J26</f>
        <v>-310.061235192897</v>
      </c>
      <c r="AR26" s="12" t="n">
        <f aca="false">INDEX(AP$21:AP$141,$K26+1)*(1-$L26)+INDEX(AP$21:AP$141,$K26+2)*$L26</f>
        <v>-303.253909232818</v>
      </c>
      <c r="AS26" s="12" t="n">
        <f aca="false">$C26+$D26+MAX(AQ26,AR26,IF(COUNTIFS($A$21:$A$141,"&gt;="&amp;$G26,$A$21:$A$141,"&lt;="&amp;$H26)&gt;0,_xlfn.MAXIFS(AP$21:AP$141,$A$21:$A$141,"&gt;="&amp;$G26,$A$21:$A$141,"&lt;="&amp;$H26),AQ26))</f>
        <v>-164.378909232817</v>
      </c>
      <c r="AT26" s="12" t="n">
        <f aca="false">-Cost_k*$A26+Beta_q*(Declarations!$B$16*INDEX(AS$21:AS$141,MAX(1,MIN(121,$B26-ROUND(Declarations!$A$16/$D$18,0))))+Declarations!$B$17*INDEX(AS$21:AS$141,MAX(1,MIN(121,$B26-ROUND(Declarations!$A$17/$D$18,0))))+Declarations!$B$18*INDEX(AS$21:AS$141,MAX(1,MIN(121,$B26-ROUND(Declarations!$A$18/$D$18,0))))+Declarations!$B$19*INDEX(AS$21:AS$141,MAX(1,MIN(121,$B26-ROUND(Declarations!$A$19/$D$18,0))))+Declarations!$B$20*INDEX(AS$21:AS$141,MAX(1,MIN(121,$B26-ROUND(Declarations!$A$20/$D$18,0)))))</f>
        <v>-325.386515942013</v>
      </c>
      <c r="AU26" s="12" t="n">
        <f aca="false">INDEX(AT$21:AT$141,$I26+1)*(1-$J26)+INDEX(AT$21:AT$141,$I26+2)*$J26</f>
        <v>-323.859897138458</v>
      </c>
      <c r="AV26" s="12" t="n">
        <f aca="false">INDEX(AT$21:AT$141,$K26+1)*(1-$L26)+INDEX(AT$21:AT$141,$K26+2)*$L26</f>
        <v>-315.795690780077</v>
      </c>
      <c r="AW26" s="12" t="n">
        <f aca="false">$C26+$D26+MAX(AU26,AV26,IF(COUNTIFS($A$21:$A$141,"&gt;="&amp;$G26,$A$21:$A$141,"&lt;="&amp;$H26)&gt;0,_xlfn.MAXIFS(AT$21:AT$141,$A$21:$A$141,"&gt;="&amp;$G26,$A$21:$A$141,"&lt;="&amp;$H26),AU26))</f>
        <v>-176.920690780077</v>
      </c>
      <c r="AX26" s="12" t="n">
        <f aca="false">-Cost_k*$A26+Beta_q*(Declarations!$B$16*INDEX(AW$21:AW$141,MAX(1,MIN(121,$B26-ROUND(Declarations!$A$16/$D$18,0))))+Declarations!$B$17*INDEX(AW$21:AW$141,MAX(1,MIN(121,$B26-ROUND(Declarations!$A$17/$D$18,0))))+Declarations!$B$18*INDEX(AW$21:AW$141,MAX(1,MIN(121,$B26-ROUND(Declarations!$A$18/$D$18,0))))+Declarations!$B$19*INDEX(AW$21:AW$141,MAX(1,MIN(121,$B26-ROUND(Declarations!$A$19/$D$18,0))))+Declarations!$B$20*INDEX(AW$21:AW$141,MAX(1,MIN(121,$B26-ROUND(Declarations!$A$20/$D$18,0)))))</f>
        <v>-337.612408767281</v>
      </c>
      <c r="AY26" s="12" t="n">
        <f aca="false">INDEX(AX$21:AX$141,$I26+1)*(1-$J26)+INDEX(AX$21:AX$141,$I26+2)*$J26</f>
        <v>-335.844337402909</v>
      </c>
      <c r="AZ26" s="12" t="n">
        <f aca="false">INDEX(AX$21:AX$141,$K26+1)*(1-$L26)+INDEX(AX$21:AX$141,$K26+2)*$L26</f>
        <v>-326.523551270995</v>
      </c>
      <c r="BA26" s="12" t="n">
        <f aca="false">$C26+$D26+MAX(AY26,AZ26,IF(COUNTIFS($A$21:$A$141,"&gt;="&amp;$G26,$A$21:$A$141,"&lt;="&amp;$H26)&gt;0,_xlfn.MAXIFS(AX$21:AX$141,$A$21:$A$141,"&gt;="&amp;$G26,$A$21:$A$141,"&lt;="&amp;$H26),AY26))</f>
        <v>-187.648551270995</v>
      </c>
      <c r="BB26" s="12" t="n">
        <f aca="false">-Cost_k*$A26+Beta_q*(Declarations!$B$16*INDEX(BA$21:BA$141,MAX(1,MIN(121,$B26-ROUND(Declarations!$A$16/$D$18,0))))+Declarations!$B$17*INDEX(BA$21:BA$141,MAX(1,MIN(121,$B26-ROUND(Declarations!$A$17/$D$18,0))))+Declarations!$B$18*INDEX(BA$21:BA$141,MAX(1,MIN(121,$B26-ROUND(Declarations!$A$18/$D$18,0))))+Declarations!$B$19*INDEX(BA$21:BA$141,MAX(1,MIN(121,$B26-ROUND(Declarations!$A$19/$D$18,0))))+Declarations!$B$20*INDEX(BA$21:BA$141,MAX(1,MIN(121,$B26-ROUND(Declarations!$A$20/$D$18,0)))))</f>
        <v>-348.074690436745</v>
      </c>
      <c r="BC26" s="12" t="n">
        <f aca="false">INDEX(BB$21:BB$141,$I26+1)*(1-$J26)+INDEX(BB$21:BB$141,$I26+2)*$J26</f>
        <v>-346.072438555396</v>
      </c>
      <c r="BD26" s="12" t="n">
        <f aca="false">INDEX(BB$21:BB$141,$K26+1)*(1-$L26)+INDEX(BB$21:BB$141,$K26+2)*$L26</f>
        <v>-335.558200757345</v>
      </c>
      <c r="BE26" s="12" t="n">
        <f aca="false">$C26+$D26+MAX(BC26,BD26,IF(COUNTIFS($A$21:$A$141,"&gt;="&amp;$G26,$A$21:$A$141,"&lt;="&amp;$H26)&gt;0,_xlfn.MAXIFS(BB$21:BB$141,$A$21:$A$141,"&gt;="&amp;$G26,$A$21:$A$141,"&lt;="&amp;$H26),BC26))</f>
        <v>-196.683200757345</v>
      </c>
      <c r="BF26" s="12" t="n">
        <f aca="false">-Cost_k*$A26+Beta_q*(Declarations!$B$16*INDEX(BE$21:BE$141,MAX(1,MIN(121,$B26-ROUND(Declarations!$A$16/$D$18,0))))+Declarations!$B$17*INDEX(BE$21:BE$141,MAX(1,MIN(121,$B26-ROUND(Declarations!$A$17/$D$18,0))))+Declarations!$B$18*INDEX(BE$21:BE$141,MAX(1,MIN(121,$B26-ROUND(Declarations!$A$18/$D$18,0))))+Declarations!$B$19*INDEX(BE$21:BE$141,MAX(1,MIN(121,$B26-ROUND(Declarations!$A$19/$D$18,0))))+Declarations!$B$20*INDEX(BE$21:BE$141,MAX(1,MIN(121,$B26-ROUND(Declarations!$A$20/$D$18,0)))))</f>
        <v>-356.891099036986</v>
      </c>
      <c r="BG26" s="12" t="n">
        <f aca="false">INDEX(BF$21:BF$141,$I26+1)*(1-$J26)+INDEX(BF$21:BF$141,$I26+2)*$J26</f>
        <v>-354.672593429998</v>
      </c>
      <c r="BH26" s="12" t="n">
        <f aca="false">INDEX(BF$21:BF$141,$K26+1)*(1-$L26)+INDEX(BF$21:BF$141,$K26+2)*$L26</f>
        <v>-343.086005974858</v>
      </c>
      <c r="BI26" s="12" t="n">
        <f aca="false">$C26+$D26+MAX(BG26,BH26,IF(COUNTIFS($A$21:$A$141,"&gt;="&amp;$G26,$A$21:$A$141,"&lt;="&amp;$H26)&gt;0,_xlfn.MAXIFS(BF$21:BF$141,$A$21:$A$141,"&gt;="&amp;$G26,$A$21:$A$141,"&lt;="&amp;$H26),BG26))</f>
        <v>-204.211005974858</v>
      </c>
      <c r="BJ26" s="23" t="n">
        <v>-204.211005974858</v>
      </c>
      <c r="BK26" s="22" t="n">
        <f aca="false">ABS(BI26-BJ26)</f>
        <v>0</v>
      </c>
    </row>
    <row r="27" customFormat="false" ht="15" hidden="false" customHeight="false" outlineLevel="0" collapsed="false">
      <c r="A27" s="14" t="n">
        <f aca="false">A26+$D$18</f>
        <v>41.5</v>
      </c>
      <c r="B27" s="19" t="n">
        <v>7</v>
      </c>
      <c r="C27" s="12" t="n">
        <f aca="false">-Short_p*MAX(Floor_c-A27,0)</f>
        <v>-21.6</v>
      </c>
      <c r="D27" s="12" t="n">
        <f aca="false">Cost_k*Alpha_keep*A27</f>
        <v>161.85</v>
      </c>
      <c r="E27" s="12" t="n">
        <f aca="false">MIN(Cap_h,MAX(0,$B$18+MAX(Loss_w)-Alpha_keep*A27))</f>
        <v>1.0375</v>
      </c>
      <c r="F27" s="12" t="n">
        <f aca="false">MAX(MIN(Cap_h,$F$18+MIN(Loss_w)-Alpha_keep*A27),E27)</f>
        <v>2.5</v>
      </c>
      <c r="G27" s="12" t="n">
        <f aca="false">Alpha_keep*A27+E27</f>
        <v>41.5</v>
      </c>
      <c r="H27" s="12" t="n">
        <f aca="false">Alpha_keep*A27+F27</f>
        <v>42.9625</v>
      </c>
      <c r="I27" s="19" t="n">
        <f aca="false">MIN(INT((G27-$B$18)/$D$18+0.000000001),119)</f>
        <v>6</v>
      </c>
      <c r="J27" s="12" t="n">
        <f aca="false">(G27-$B$18)/$D$18-I27</f>
        <v>0</v>
      </c>
      <c r="K27" s="19" t="n">
        <f aca="false">MIN(INT((H27-$B$18)/$D$18+0.000000001),119)</f>
        <v>11</v>
      </c>
      <c r="L27" s="12" t="n">
        <f aca="false">(H27-$B$18)/$D$18-K27</f>
        <v>0.849999999999994</v>
      </c>
      <c r="M27" s="9" t="n">
        <v>0</v>
      </c>
      <c r="N27" s="12" t="n">
        <f aca="false">-Cost_k*$A27+Beta_q*(Declarations!$B$16*INDEX(M$21:M$141,MAX(1,MIN(121,$B27-ROUND(Declarations!$A$16/$D$18,0))))+Declarations!$B$17*INDEX(M$21:M$141,MAX(1,MIN(121,$B27-ROUND(Declarations!$A$17/$D$18,0))))+Declarations!$B$18*INDEX(M$21:M$141,MAX(1,MIN(121,$B27-ROUND(Declarations!$A$18/$D$18,0))))+Declarations!$B$19*INDEX(M$21:M$141,MAX(1,MIN(121,$B27-ROUND(Declarations!$A$19/$D$18,0))))+Declarations!$B$20*INDEX(M$21:M$141,MAX(1,MIN(121,$B27-ROUND(Declarations!$A$20/$D$18,0)))))</f>
        <v>-166</v>
      </c>
      <c r="O27" s="12" t="n">
        <f aca="false">INDEX(N$21:N$141,$I27+1)*(1-$J27)+INDEX(N$21:N$141,$I27+2)*$J27</f>
        <v>-166</v>
      </c>
      <c r="P27" s="12" t="n">
        <f aca="false">INDEX(N$21:N$141,$K27+1)*(1-$L27)+INDEX(N$21:N$141,$K27+2)*$L27</f>
        <v>-171.85</v>
      </c>
      <c r="Q27" s="12" t="n">
        <f aca="false">$C27+$D27+MAX(O27,P27,IF(COUNTIFS($A$21:$A$141,"&gt;="&amp;$G27,$A$21:$A$141,"&lt;="&amp;$H27)&gt;0,_xlfn.MAXIFS(N$21:N$141,$A$21:$A$141,"&gt;="&amp;$G27,$A$21:$A$141,"&lt;="&amp;$H27),O27))</f>
        <v>-25.75</v>
      </c>
      <c r="R27" s="12" t="n">
        <f aca="false">-Cost_k*$A27+Beta_q*(Declarations!$B$16*INDEX(Q$21:Q$141,MAX(1,MIN(121,$B27-ROUND(Declarations!$A$16/$D$18,0))))+Declarations!$B$17*INDEX(Q$21:Q$141,MAX(1,MIN(121,$B27-ROUND(Declarations!$A$17/$D$18,0))))+Declarations!$B$18*INDEX(Q$21:Q$141,MAX(1,MIN(121,$B27-ROUND(Declarations!$A$18/$D$18,0))))+Declarations!$B$19*INDEX(Q$21:Q$141,MAX(1,MIN(121,$B27-ROUND(Declarations!$A$19/$D$18,0))))+Declarations!$B$20*INDEX(Q$21:Q$141,MAX(1,MIN(121,$B27-ROUND(Declarations!$A$20/$D$18,0)))))</f>
        <v>-191.226691406788</v>
      </c>
      <c r="S27" s="12" t="n">
        <f aca="false">INDEX(R$21:R$141,$I27+1)*(1-$J27)+INDEX(R$21:R$141,$I27+2)*$J27</f>
        <v>-191.226691406788</v>
      </c>
      <c r="T27" s="12" t="n">
        <f aca="false">INDEX(R$21:R$141,$K27+1)*(1-$L27)+INDEX(R$21:R$141,$K27+2)*$L27</f>
        <v>-191.134052845398</v>
      </c>
      <c r="U27" s="12" t="n">
        <f aca="false">$C27+$D27+MAX(S27,T27,IF(COUNTIFS($A$21:$A$141,"&gt;="&amp;$G27,$A$21:$A$141,"&lt;="&amp;$H27)&gt;0,_xlfn.MAXIFS(R$21:R$141,$A$21:$A$141,"&gt;="&amp;$G27,$A$21:$A$141,"&lt;="&amp;$H27),S27))</f>
        <v>-50.3190053990315</v>
      </c>
      <c r="V27" s="12" t="n">
        <f aca="false">-Cost_k*$A27+Beta_q*(Declarations!$B$16*INDEX(U$21:U$141,MAX(1,MIN(121,$B27-ROUND(Declarations!$A$16/$D$18,0))))+Declarations!$B$17*INDEX(U$21:U$141,MAX(1,MIN(121,$B27-ROUND(Declarations!$A$17/$D$18,0))))+Declarations!$B$18*INDEX(U$21:U$141,MAX(1,MIN(121,$B27-ROUND(Declarations!$A$18/$D$18,0))))+Declarations!$B$19*INDEX(U$21:U$141,MAX(1,MIN(121,$B27-ROUND(Declarations!$A$19/$D$18,0))))+Declarations!$B$20*INDEX(U$21:U$141,MAX(1,MIN(121,$B27-ROUND(Declarations!$A$20/$D$18,0)))))</f>
        <v>-215.188270969776</v>
      </c>
      <c r="W27" s="12" t="n">
        <f aca="false">INDEX(V$21:V$141,$I27+1)*(1-$J27)+INDEX(V$21:V$141,$I27+2)*$J27</f>
        <v>-215.188270969776</v>
      </c>
      <c r="X27" s="12" t="n">
        <f aca="false">INDEX(V$21:V$141,$K27+1)*(1-$L27)+INDEX(V$21:V$141,$K27+2)*$L27</f>
        <v>-213.214708880633</v>
      </c>
      <c r="Y27" s="12" t="n">
        <f aca="false">$C27+$D27+MAX(W27,X27,IF(COUNTIFS($A$21:$A$141,"&gt;="&amp;$G27,$A$21:$A$141,"&lt;="&amp;$H27)&gt;0,_xlfn.MAXIFS(V$21:V$141,$A$21:$A$141,"&gt;="&amp;$G27,$A$21:$A$141,"&lt;="&amp;$H27),W27))</f>
        <v>-72.9647088806332</v>
      </c>
      <c r="Z27" s="12" t="n">
        <f aca="false">-Cost_k*$A27+Beta_q*(Declarations!$B$16*INDEX(Y$21:Y$141,MAX(1,MIN(121,$B27-ROUND(Declarations!$A$16/$D$18,0))))+Declarations!$B$17*INDEX(Y$21:Y$141,MAX(1,MIN(121,$B27-ROUND(Declarations!$A$17/$D$18,0))))+Declarations!$B$18*INDEX(Y$21:Y$141,MAX(1,MIN(121,$B27-ROUND(Declarations!$A$18/$D$18,0))))+Declarations!$B$19*INDEX(Y$21:Y$141,MAX(1,MIN(121,$B27-ROUND(Declarations!$A$19/$D$18,0))))+Declarations!$B$20*INDEX(Y$21:Y$141,MAX(1,MIN(121,$B27-ROUND(Declarations!$A$20/$D$18,0)))))</f>
        <v>-237.357058768902</v>
      </c>
      <c r="AA27" s="12" t="n">
        <f aca="false">INDEX(Z$21:Z$141,$I27+1)*(1-$J27)+INDEX(Z$21:Z$141,$I27+2)*$J27</f>
        <v>-237.357058768902</v>
      </c>
      <c r="AB27" s="12" t="n">
        <f aca="false">INDEX(Z$21:Z$141,$K27+1)*(1-$L27)+INDEX(Z$21:Z$141,$K27+2)*$L27</f>
        <v>-234.546687981656</v>
      </c>
      <c r="AC27" s="12" t="n">
        <f aca="false">$C27+$D27+MAX(AA27,AB27,IF(COUNTIFS($A$21:$A$141,"&gt;="&amp;$G27,$A$21:$A$141,"&lt;="&amp;$H27)&gt;0,_xlfn.MAXIFS(Z$21:Z$141,$A$21:$A$141,"&gt;="&amp;$G27,$A$21:$A$141,"&lt;="&amp;$H27),AA27))</f>
        <v>-94.2966879816563</v>
      </c>
      <c r="AD27" s="12" t="n">
        <f aca="false">-Cost_k*$A27+Beta_q*(Declarations!$B$16*INDEX(AC$21:AC$141,MAX(1,MIN(121,$B27-ROUND(Declarations!$A$16/$D$18,0))))+Declarations!$B$17*INDEX(AC$21:AC$141,MAX(1,MIN(121,$B27-ROUND(Declarations!$A$17/$D$18,0))))+Declarations!$B$18*INDEX(AC$21:AC$141,MAX(1,MIN(121,$B27-ROUND(Declarations!$A$18/$D$18,0))))+Declarations!$B$19*INDEX(AC$21:AC$141,MAX(1,MIN(121,$B27-ROUND(Declarations!$A$19/$D$18,0))))+Declarations!$B$20*INDEX(AC$21:AC$141,MAX(1,MIN(121,$B27-ROUND(Declarations!$A$20/$D$18,0)))))</f>
        <v>-258.147264038387</v>
      </c>
      <c r="AE27" s="12" t="n">
        <f aca="false">INDEX(AD$21:AD$141,$I27+1)*(1-$J27)+INDEX(AD$21:AD$141,$I27+2)*$J27</f>
        <v>-258.147264038387</v>
      </c>
      <c r="AF27" s="12" t="n">
        <f aca="false">INDEX(AD$21:AD$141,$K27+1)*(1-$L27)+INDEX(AD$21:AD$141,$K27+2)*$L27</f>
        <v>-254.130286321034</v>
      </c>
      <c r="AG27" s="12" t="n">
        <f aca="false">$C27+$D27+MAX(AE27,AF27,IF(COUNTIFS($A$21:$A$141,"&gt;="&amp;$G27,$A$21:$A$141,"&lt;="&amp;$H27)&gt;0,_xlfn.MAXIFS(AD$21:AD$141,$A$21:$A$141,"&gt;="&amp;$G27,$A$21:$A$141,"&lt;="&amp;$H27),AE27))</f>
        <v>-113.880286321034</v>
      </c>
      <c r="AH27" s="12" t="n">
        <f aca="false">-Cost_k*$A27+Beta_q*(Declarations!$B$16*INDEX(AG$21:AG$141,MAX(1,MIN(121,$B27-ROUND(Declarations!$A$16/$D$18,0))))+Declarations!$B$17*INDEX(AG$21:AG$141,MAX(1,MIN(121,$B27-ROUND(Declarations!$A$17/$D$18,0))))+Declarations!$B$18*INDEX(AG$21:AG$141,MAX(1,MIN(121,$B27-ROUND(Declarations!$A$18/$D$18,0))))+Declarations!$B$19*INDEX(AG$21:AG$141,MAX(1,MIN(121,$B27-ROUND(Declarations!$A$19/$D$18,0))))+Declarations!$B$20*INDEX(AG$21:AG$141,MAX(1,MIN(121,$B27-ROUND(Declarations!$A$20/$D$18,0)))))</f>
        <v>-277.233768456172</v>
      </c>
      <c r="AI27" s="12" t="n">
        <f aca="false">INDEX(AH$21:AH$141,$I27+1)*(1-$J27)+INDEX(AH$21:AH$141,$I27+2)*$J27</f>
        <v>-277.233768456172</v>
      </c>
      <c r="AJ27" s="12" t="n">
        <f aca="false">INDEX(AH$21:AH$141,$K27+1)*(1-$L27)+INDEX(AH$21:AH$141,$K27+2)*$L27</f>
        <v>-271.790745337112</v>
      </c>
      <c r="AK27" s="12" t="n">
        <f aca="false">$C27+$D27+MAX(AI27,AJ27,IF(COUNTIFS($A$21:$A$141,"&gt;="&amp;$G27,$A$21:$A$141,"&lt;="&amp;$H27)&gt;0,_xlfn.MAXIFS(AH$21:AH$141,$A$21:$A$141,"&gt;="&amp;$G27,$A$21:$A$141,"&lt;="&amp;$H27),AI27))</f>
        <v>-131.540745337112</v>
      </c>
      <c r="AL27" s="12" t="n">
        <f aca="false">-Cost_k*$A27+Beta_q*(Declarations!$B$16*INDEX(AK$21:AK$141,MAX(1,MIN(121,$B27-ROUND(Declarations!$A$16/$D$18,0))))+Declarations!$B$17*INDEX(AK$21:AK$141,MAX(1,MIN(121,$B27-ROUND(Declarations!$A$17/$D$18,0))))+Declarations!$B$18*INDEX(AK$21:AK$141,MAX(1,MIN(121,$B27-ROUND(Declarations!$A$18/$D$18,0))))+Declarations!$B$19*INDEX(AK$21:AK$141,MAX(1,MIN(121,$B27-ROUND(Declarations!$A$19/$D$18,0))))+Declarations!$B$20*INDEX(AK$21:AK$141,MAX(1,MIN(121,$B27-ROUND(Declarations!$A$20/$D$18,0)))))</f>
        <v>-294.493189668644</v>
      </c>
      <c r="AM27" s="12" t="n">
        <f aca="false">INDEX(AL$21:AL$141,$I27+1)*(1-$J27)+INDEX(AL$21:AL$141,$I27+2)*$J27</f>
        <v>-294.493189668644</v>
      </c>
      <c r="AN27" s="12" t="n">
        <f aca="false">INDEX(AL$21:AL$141,$K27+1)*(1-$L27)+INDEX(AL$21:AL$141,$K27+2)*$L27</f>
        <v>-287.754939398383</v>
      </c>
      <c r="AO27" s="12" t="n">
        <f aca="false">$C27+$D27+MAX(AM27,AN27,IF(COUNTIFS($A$21:$A$141,"&gt;="&amp;$G27,$A$21:$A$141,"&lt;="&amp;$H27)&gt;0,_xlfn.MAXIFS(AL$21:AL$141,$A$21:$A$141,"&gt;="&amp;$G27,$A$21:$A$141,"&lt;="&amp;$H27),AM27))</f>
        <v>-147.504939398383</v>
      </c>
      <c r="AP27" s="12" t="n">
        <f aca="false">-Cost_k*$A27+Beta_q*(Declarations!$B$16*INDEX(AO$21:AO$141,MAX(1,MIN(121,$B27-ROUND(Declarations!$A$16/$D$18,0))))+Declarations!$B$17*INDEX(AO$21:AO$141,MAX(1,MIN(121,$B27-ROUND(Declarations!$A$17/$D$18,0))))+Declarations!$B$18*INDEX(AO$21:AO$141,MAX(1,MIN(121,$B27-ROUND(Declarations!$A$18/$D$18,0))))+Declarations!$B$19*INDEX(AO$21:AO$141,MAX(1,MIN(121,$B27-ROUND(Declarations!$A$19/$D$18,0))))+Declarations!$B$20*INDEX(AO$21:AO$141,MAX(1,MIN(121,$B27-ROUND(Declarations!$A$20/$D$18,0)))))</f>
        <v>-310.061235192897</v>
      </c>
      <c r="AQ27" s="12" t="n">
        <f aca="false">INDEX(AP$21:AP$141,$I27+1)*(1-$J27)+INDEX(AP$21:AP$141,$I27+2)*$J27</f>
        <v>-310.061235192897</v>
      </c>
      <c r="AR27" s="12" t="n">
        <f aca="false">INDEX(AP$21:AP$141,$K27+1)*(1-$L27)+INDEX(AP$21:AP$141,$K27+2)*$L27</f>
        <v>-301.905905318234</v>
      </c>
      <c r="AS27" s="12" t="n">
        <f aca="false">$C27+$D27+MAX(AQ27,AR27,IF(COUNTIFS($A$21:$A$141,"&gt;="&amp;$G27,$A$21:$A$141,"&lt;="&amp;$H27)&gt;0,_xlfn.MAXIFS(AP$21:AP$141,$A$21:$A$141,"&gt;="&amp;$G27,$A$21:$A$141,"&lt;="&amp;$H27),AQ27))</f>
        <v>-161.655905318234</v>
      </c>
      <c r="AT27" s="12" t="n">
        <f aca="false">-Cost_k*$A27+Beta_q*(Declarations!$B$16*INDEX(AS$21:AS$141,MAX(1,MIN(121,$B27-ROUND(Declarations!$A$16/$D$18,0))))+Declarations!$B$17*INDEX(AS$21:AS$141,MAX(1,MIN(121,$B27-ROUND(Declarations!$A$17/$D$18,0))))+Declarations!$B$18*INDEX(AS$21:AS$141,MAX(1,MIN(121,$B27-ROUND(Declarations!$A$18/$D$18,0))))+Declarations!$B$19*INDEX(AS$21:AS$141,MAX(1,MIN(121,$B27-ROUND(Declarations!$A$19/$D$18,0))))+Declarations!$B$20*INDEX(AS$21:AS$141,MAX(1,MIN(121,$B27-ROUND(Declarations!$A$20/$D$18,0)))))</f>
        <v>-323.859897138458</v>
      </c>
      <c r="AU27" s="12" t="n">
        <f aca="false">INDEX(AT$21:AT$141,$I27+1)*(1-$J27)+INDEX(AT$21:AT$141,$I27+2)*$J27</f>
        <v>-323.859897138458</v>
      </c>
      <c r="AV27" s="12" t="n">
        <f aca="false">INDEX(AT$21:AT$141,$K27+1)*(1-$L27)+INDEX(AT$21:AT$141,$K27+2)*$L27</f>
        <v>-314.186867431781</v>
      </c>
      <c r="AW27" s="12" t="n">
        <f aca="false">$C27+$D27+MAX(AU27,AV27,IF(COUNTIFS($A$21:$A$141,"&gt;="&amp;$G27,$A$21:$A$141,"&lt;="&amp;$H27)&gt;0,_xlfn.MAXIFS(AT$21:AT$141,$A$21:$A$141,"&gt;="&amp;$G27,$A$21:$A$141,"&lt;="&amp;$H27),AU27))</f>
        <v>-173.936867431781</v>
      </c>
      <c r="AX27" s="12" t="n">
        <f aca="false">-Cost_k*$A27+Beta_q*(Declarations!$B$16*INDEX(AW$21:AW$141,MAX(1,MIN(121,$B27-ROUND(Declarations!$A$16/$D$18,0))))+Declarations!$B$17*INDEX(AW$21:AW$141,MAX(1,MIN(121,$B27-ROUND(Declarations!$A$17/$D$18,0))))+Declarations!$B$18*INDEX(AW$21:AW$141,MAX(1,MIN(121,$B27-ROUND(Declarations!$A$18/$D$18,0))))+Declarations!$B$19*INDEX(AW$21:AW$141,MAX(1,MIN(121,$B27-ROUND(Declarations!$A$19/$D$18,0))))+Declarations!$B$20*INDEX(AW$21:AW$141,MAX(1,MIN(121,$B27-ROUND(Declarations!$A$20/$D$18,0)))))</f>
        <v>-335.844337402909</v>
      </c>
      <c r="AY27" s="12" t="n">
        <f aca="false">INDEX(AX$21:AX$141,$I27+1)*(1-$J27)+INDEX(AX$21:AX$141,$I27+2)*$J27</f>
        <v>-335.844337402909</v>
      </c>
      <c r="AZ27" s="12" t="n">
        <f aca="false">INDEX(AX$21:AX$141,$K27+1)*(1-$L27)+INDEX(AX$21:AX$141,$K27+2)*$L27</f>
        <v>-324.66139611007</v>
      </c>
      <c r="BA27" s="12" t="n">
        <f aca="false">$C27+$D27+MAX(AY27,AZ27,IF(COUNTIFS($A$21:$A$141,"&gt;="&amp;$G27,$A$21:$A$141,"&lt;="&amp;$H27)&gt;0,_xlfn.MAXIFS(AX$21:AX$141,$A$21:$A$141,"&gt;="&amp;$G27,$A$21:$A$141,"&lt;="&amp;$H27),AY27))</f>
        <v>-184.41139611007</v>
      </c>
      <c r="BB27" s="12" t="n">
        <f aca="false">-Cost_k*$A27+Beta_q*(Declarations!$B$16*INDEX(BA$21:BA$141,MAX(1,MIN(121,$B27-ROUND(Declarations!$A$16/$D$18,0))))+Declarations!$B$17*INDEX(BA$21:BA$141,MAX(1,MIN(121,$B27-ROUND(Declarations!$A$17/$D$18,0))))+Declarations!$B$18*INDEX(BA$21:BA$141,MAX(1,MIN(121,$B27-ROUND(Declarations!$A$18/$D$18,0))))+Declarations!$B$19*INDEX(BA$21:BA$141,MAX(1,MIN(121,$B27-ROUND(Declarations!$A$19/$D$18,0))))+Declarations!$B$20*INDEX(BA$21:BA$141,MAX(1,MIN(121,$B27-ROUND(Declarations!$A$20/$D$18,0)))))</f>
        <v>-346.072438555396</v>
      </c>
      <c r="BC27" s="12" t="n">
        <f aca="false">INDEX(BB$21:BB$141,$I27+1)*(1-$J27)+INDEX(BB$21:BB$141,$I27+2)*$J27</f>
        <v>-346.072438555396</v>
      </c>
      <c r="BD27" s="12" t="n">
        <f aca="false">INDEX(BB$21:BB$141,$K27+1)*(1-$L27)+INDEX(BB$21:BB$141,$K27+2)*$L27</f>
        <v>-333.461169618986</v>
      </c>
      <c r="BE27" s="12" t="n">
        <f aca="false">$C27+$D27+MAX(BC27,BD27,IF(COUNTIFS($A$21:$A$141,"&gt;="&amp;$G27,$A$21:$A$141,"&lt;="&amp;$H27)&gt;0,_xlfn.MAXIFS(BB$21:BB$141,$A$21:$A$141,"&gt;="&amp;$G27,$A$21:$A$141,"&lt;="&amp;$H27),BC27))</f>
        <v>-193.211169618986</v>
      </c>
      <c r="BF27" s="12" t="n">
        <f aca="false">-Cost_k*$A27+Beta_q*(Declarations!$B$16*INDEX(BE$21:BE$141,MAX(1,MIN(121,$B27-ROUND(Declarations!$A$16/$D$18,0))))+Declarations!$B$17*INDEX(BE$21:BE$141,MAX(1,MIN(121,$B27-ROUND(Declarations!$A$17/$D$18,0))))+Declarations!$B$18*INDEX(BE$21:BE$141,MAX(1,MIN(121,$B27-ROUND(Declarations!$A$18/$D$18,0))))+Declarations!$B$19*INDEX(BE$21:BE$141,MAX(1,MIN(121,$B27-ROUND(Declarations!$A$19/$D$18,0))))+Declarations!$B$20*INDEX(BE$21:BE$141,MAX(1,MIN(121,$B27-ROUND(Declarations!$A$20/$D$18,0)))))</f>
        <v>-354.672593429998</v>
      </c>
      <c r="BG27" s="12" t="n">
        <f aca="false">INDEX(BF$21:BF$141,$I27+1)*(1-$J27)+INDEX(BF$21:BF$141,$I27+2)*$J27</f>
        <v>-354.672593429998</v>
      </c>
      <c r="BH27" s="12" t="n">
        <f aca="false">INDEX(BF$21:BF$141,$K27+1)*(1-$L27)+INDEX(BF$21:BF$141,$K27+2)*$L27</f>
        <v>-340.78515940177</v>
      </c>
      <c r="BI27" s="12" t="n">
        <f aca="false">$C27+$D27+MAX(BG27,BH27,IF(COUNTIFS($A$21:$A$141,"&gt;="&amp;$G27,$A$21:$A$141,"&lt;="&amp;$H27)&gt;0,_xlfn.MAXIFS(BF$21:BF$141,$A$21:$A$141,"&gt;="&amp;$G27,$A$21:$A$141,"&lt;="&amp;$H27),BG27))</f>
        <v>-200.53515940177</v>
      </c>
      <c r="BJ27" s="23" t="n">
        <v>-200.53515940177</v>
      </c>
      <c r="BK27" s="22" t="n">
        <f aca="false">ABS(BI27-BJ27)</f>
        <v>0</v>
      </c>
    </row>
    <row r="28" customFormat="false" ht="15" hidden="false" customHeight="false" outlineLevel="0" collapsed="false">
      <c r="A28" s="14" t="n">
        <f aca="false">A27+$D$18</f>
        <v>41.75</v>
      </c>
      <c r="B28" s="19" t="n">
        <v>8</v>
      </c>
      <c r="C28" s="12" t="n">
        <f aca="false">-Short_p*MAX(Floor_c-A28,0)</f>
        <v>-21.2</v>
      </c>
      <c r="D28" s="12" t="n">
        <f aca="false">Cost_k*Alpha_keep*A28</f>
        <v>162.825</v>
      </c>
      <c r="E28" s="12" t="n">
        <f aca="false">MIN(Cap_h,MAX(0,$B$18+MAX(Loss_w)-Alpha_keep*A28))</f>
        <v>0.793750000000003</v>
      </c>
      <c r="F28" s="12" t="n">
        <f aca="false">MAX(MIN(Cap_h,$F$18+MIN(Loss_w)-Alpha_keep*A28),E28)</f>
        <v>2.5</v>
      </c>
      <c r="G28" s="12" t="n">
        <f aca="false">Alpha_keep*A28+E28</f>
        <v>41.5</v>
      </c>
      <c r="H28" s="12" t="n">
        <f aca="false">Alpha_keep*A28+F28</f>
        <v>43.20625</v>
      </c>
      <c r="I28" s="19" t="n">
        <f aca="false">MIN(INT((G28-$B$18)/$D$18+0.000000001),119)</f>
        <v>6</v>
      </c>
      <c r="J28" s="12" t="n">
        <f aca="false">(G28-$B$18)/$D$18-I28</f>
        <v>0</v>
      </c>
      <c r="K28" s="19" t="n">
        <f aca="false">MIN(INT((H28-$B$18)/$D$18+0.000000001),119)</f>
        <v>12</v>
      </c>
      <c r="L28" s="12" t="n">
        <f aca="false">(H28-$B$18)/$D$18-K28</f>
        <v>0.824999999999989</v>
      </c>
      <c r="M28" s="9" t="n">
        <v>0</v>
      </c>
      <c r="N28" s="12" t="n">
        <f aca="false">-Cost_k*$A28+Beta_q*(Declarations!$B$16*INDEX(M$21:M$141,MAX(1,MIN(121,$B28-ROUND(Declarations!$A$16/$D$18,0))))+Declarations!$B$17*INDEX(M$21:M$141,MAX(1,MIN(121,$B28-ROUND(Declarations!$A$17/$D$18,0))))+Declarations!$B$18*INDEX(M$21:M$141,MAX(1,MIN(121,$B28-ROUND(Declarations!$A$18/$D$18,0))))+Declarations!$B$19*INDEX(M$21:M$141,MAX(1,MIN(121,$B28-ROUND(Declarations!$A$19/$D$18,0))))+Declarations!$B$20*INDEX(M$21:M$141,MAX(1,MIN(121,$B28-ROUND(Declarations!$A$20/$D$18,0)))))</f>
        <v>-167</v>
      </c>
      <c r="O28" s="12" t="n">
        <f aca="false">INDEX(N$21:N$141,$I28+1)*(1-$J28)+INDEX(N$21:N$141,$I28+2)*$J28</f>
        <v>-166</v>
      </c>
      <c r="P28" s="12" t="n">
        <f aca="false">INDEX(N$21:N$141,$K28+1)*(1-$L28)+INDEX(N$21:N$141,$K28+2)*$L28</f>
        <v>-172.825</v>
      </c>
      <c r="Q28" s="12" t="n">
        <f aca="false">$C28+$D28+MAX(O28,P28,IF(COUNTIFS($A$21:$A$141,"&gt;="&amp;$G28,$A$21:$A$141,"&lt;="&amp;$H28)&gt;0,_xlfn.MAXIFS(N$21:N$141,$A$21:$A$141,"&gt;="&amp;$G28,$A$21:$A$141,"&lt;="&amp;$H28),O28))</f>
        <v>-24.375</v>
      </c>
      <c r="R28" s="12" t="n">
        <f aca="false">-Cost_k*$A28+Beta_q*(Declarations!$B$16*INDEX(Q$21:Q$141,MAX(1,MIN(121,$B28-ROUND(Declarations!$A$16/$D$18,0))))+Declarations!$B$17*INDEX(Q$21:Q$141,MAX(1,MIN(121,$B28-ROUND(Declarations!$A$17/$D$18,0))))+Declarations!$B$18*INDEX(Q$21:Q$141,MAX(1,MIN(121,$B28-ROUND(Declarations!$A$18/$D$18,0))))+Declarations!$B$19*INDEX(Q$21:Q$141,MAX(1,MIN(121,$B28-ROUND(Declarations!$A$19/$D$18,0))))+Declarations!$B$20*INDEX(Q$21:Q$141,MAX(1,MIN(121,$B28-ROUND(Declarations!$A$20/$D$18,0)))))</f>
        <v>-190.931669170354</v>
      </c>
      <c r="S28" s="12" t="n">
        <f aca="false">INDEX(R$21:R$141,$I28+1)*(1-$J28)+INDEX(R$21:R$141,$I28+2)*$J28</f>
        <v>-191.226691406788</v>
      </c>
      <c r="T28" s="12" t="n">
        <f aca="false">INDEX(R$21:R$141,$K28+1)*(1-$L28)+INDEX(R$21:R$141,$K28+2)*$L28</f>
        <v>-191.496175333175</v>
      </c>
      <c r="U28" s="12" t="n">
        <f aca="false">$C28+$D28+MAX(S28,T28,IF(COUNTIFS($A$21:$A$141,"&gt;="&amp;$G28,$A$21:$A$141,"&lt;="&amp;$H28)&gt;0,_xlfn.MAXIFS(R$21:R$141,$A$21:$A$141,"&gt;="&amp;$G28,$A$21:$A$141,"&lt;="&amp;$H28),S28))</f>
        <v>-48.9440053990315</v>
      </c>
      <c r="V28" s="12" t="n">
        <f aca="false">-Cost_k*$A28+Beta_q*(Declarations!$B$16*INDEX(U$21:U$141,MAX(1,MIN(121,$B28-ROUND(Declarations!$A$16/$D$18,0))))+Declarations!$B$17*INDEX(U$21:U$141,MAX(1,MIN(121,$B28-ROUND(Declarations!$A$17/$D$18,0))))+Declarations!$B$18*INDEX(U$21:U$141,MAX(1,MIN(121,$B28-ROUND(Declarations!$A$18/$D$18,0))))+Declarations!$B$19*INDEX(U$21:U$141,MAX(1,MIN(121,$B28-ROUND(Declarations!$A$19/$D$18,0))))+Declarations!$B$20*INDEX(U$21:U$141,MAX(1,MIN(121,$B28-ROUND(Declarations!$A$20/$D$18,0)))))</f>
        <v>-214.811683567033</v>
      </c>
      <c r="W28" s="12" t="n">
        <f aca="false">INDEX(V$21:V$141,$I28+1)*(1-$J28)+INDEX(V$21:V$141,$I28+2)*$J28</f>
        <v>-215.188270969776</v>
      </c>
      <c r="X28" s="12" t="n">
        <f aca="false">INDEX(V$21:V$141,$K28+1)*(1-$L28)+INDEX(V$21:V$141,$K28+2)*$L28</f>
        <v>-212.960585102569</v>
      </c>
      <c r="Y28" s="12" t="n">
        <f aca="false">$C28+$D28+MAX(W28,X28,IF(COUNTIFS($A$21:$A$141,"&gt;="&amp;$G28,$A$21:$A$141,"&lt;="&amp;$H28)&gt;0,_xlfn.MAXIFS(V$21:V$141,$A$21:$A$141,"&gt;="&amp;$G28,$A$21:$A$141,"&lt;="&amp;$H28),W28))</f>
        <v>-71.3355851025688</v>
      </c>
      <c r="Z28" s="12" t="n">
        <f aca="false">-Cost_k*$A28+Beta_q*(Declarations!$B$16*INDEX(Y$21:Y$141,MAX(1,MIN(121,$B28-ROUND(Declarations!$A$16/$D$18,0))))+Declarations!$B$17*INDEX(Y$21:Y$141,MAX(1,MIN(121,$B28-ROUND(Declarations!$A$17/$D$18,0))))+Declarations!$B$18*INDEX(Y$21:Y$141,MAX(1,MIN(121,$B28-ROUND(Declarations!$A$18/$D$18,0))))+Declarations!$B$19*INDEX(Y$21:Y$141,MAX(1,MIN(121,$B28-ROUND(Declarations!$A$19/$D$18,0))))+Declarations!$B$20*INDEX(Y$21:Y$141,MAX(1,MIN(121,$B28-ROUND(Declarations!$A$20/$D$18,0)))))</f>
        <v>-236.79403231909</v>
      </c>
      <c r="AA28" s="12" t="n">
        <f aca="false">INDEX(Z$21:Z$141,$I28+1)*(1-$J28)+INDEX(Z$21:Z$141,$I28+2)*$J28</f>
        <v>-237.357058768902</v>
      </c>
      <c r="AB28" s="12" t="n">
        <f aca="false">INDEX(Z$21:Z$141,$K28+1)*(1-$L28)+INDEX(Z$21:Z$141,$K28+2)*$L28</f>
        <v>-234.182363414336</v>
      </c>
      <c r="AC28" s="12" t="n">
        <f aca="false">$C28+$D28+MAX(AA28,AB28,IF(COUNTIFS($A$21:$A$141,"&gt;="&amp;$G28,$A$21:$A$141,"&lt;="&amp;$H28)&gt;0,_xlfn.MAXIFS(Z$21:Z$141,$A$21:$A$141,"&gt;="&amp;$G28,$A$21:$A$141,"&lt;="&amp;$H28),AA28))</f>
        <v>-92.557363414336</v>
      </c>
      <c r="AD28" s="12" t="n">
        <f aca="false">-Cost_k*$A28+Beta_q*(Declarations!$B$16*INDEX(AC$21:AC$141,MAX(1,MIN(121,$B28-ROUND(Declarations!$A$16/$D$18,0))))+Declarations!$B$17*INDEX(AC$21:AC$141,MAX(1,MIN(121,$B28-ROUND(Declarations!$A$17/$D$18,0))))+Declarations!$B$18*INDEX(AC$21:AC$141,MAX(1,MIN(121,$B28-ROUND(Declarations!$A$18/$D$18,0))))+Declarations!$B$19*INDEX(AC$21:AC$141,MAX(1,MIN(121,$B28-ROUND(Declarations!$A$19/$D$18,0))))+Declarations!$B$20*INDEX(AC$21:AC$141,MAX(1,MIN(121,$B28-ROUND(Declarations!$A$20/$D$18,0)))))</f>
        <v>-257.432376546077</v>
      </c>
      <c r="AE28" s="12" t="n">
        <f aca="false">INDEX(AD$21:AD$141,$I28+1)*(1-$J28)+INDEX(AD$21:AD$141,$I28+2)*$J28</f>
        <v>-258.147264038387</v>
      </c>
      <c r="AF28" s="12" t="n">
        <f aca="false">INDEX(AD$21:AD$141,$K28+1)*(1-$L28)+INDEX(AD$21:AD$141,$K28+2)*$L28</f>
        <v>-253.492677426199</v>
      </c>
      <c r="AG28" s="12" t="n">
        <f aca="false">$C28+$D28+MAX(AE28,AF28,IF(COUNTIFS($A$21:$A$141,"&gt;="&amp;$G28,$A$21:$A$141,"&lt;="&amp;$H28)&gt;0,_xlfn.MAXIFS(AD$21:AD$141,$A$21:$A$141,"&gt;="&amp;$G28,$A$21:$A$141,"&lt;="&amp;$H28),AE28))</f>
        <v>-111.867677426199</v>
      </c>
      <c r="AH28" s="12" t="n">
        <f aca="false">-Cost_k*$A28+Beta_q*(Declarations!$B$16*INDEX(AG$21:AG$141,MAX(1,MIN(121,$B28-ROUND(Declarations!$A$16/$D$18,0))))+Declarations!$B$17*INDEX(AG$21:AG$141,MAX(1,MIN(121,$B28-ROUND(Declarations!$A$17/$D$18,0))))+Declarations!$B$18*INDEX(AG$21:AG$141,MAX(1,MIN(121,$B28-ROUND(Declarations!$A$18/$D$18,0))))+Declarations!$B$19*INDEX(AG$21:AG$141,MAX(1,MIN(121,$B28-ROUND(Declarations!$A$19/$D$18,0))))+Declarations!$B$20*INDEX(AG$21:AG$141,MAX(1,MIN(121,$B28-ROUND(Declarations!$A$20/$D$18,0)))))</f>
        <v>-276.272172895962</v>
      </c>
      <c r="AI28" s="12" t="n">
        <f aca="false">INDEX(AH$21:AH$141,$I28+1)*(1-$J28)+INDEX(AH$21:AH$141,$I28+2)*$J28</f>
        <v>-277.233768456172</v>
      </c>
      <c r="AJ28" s="12" t="n">
        <f aca="false">INDEX(AH$21:AH$141,$K28+1)*(1-$L28)+INDEX(AH$21:AH$141,$K28+2)*$L28</f>
        <v>-270.931946266896</v>
      </c>
      <c r="AK28" s="12" t="n">
        <f aca="false">$C28+$D28+MAX(AI28,AJ28,IF(COUNTIFS($A$21:$A$141,"&gt;="&amp;$G28,$A$21:$A$141,"&lt;="&amp;$H28)&gt;0,_xlfn.MAXIFS(AH$21:AH$141,$A$21:$A$141,"&gt;="&amp;$G28,$A$21:$A$141,"&lt;="&amp;$H28),AI28))</f>
        <v>-129.306946266896</v>
      </c>
      <c r="AL28" s="12" t="n">
        <f aca="false">-Cost_k*$A28+Beta_q*(Declarations!$B$16*INDEX(AK$21:AK$141,MAX(1,MIN(121,$B28-ROUND(Declarations!$A$16/$D$18,0))))+Declarations!$B$17*INDEX(AK$21:AK$141,MAX(1,MIN(121,$B28-ROUND(Declarations!$A$17/$D$18,0))))+Declarations!$B$18*INDEX(AK$21:AK$141,MAX(1,MIN(121,$B28-ROUND(Declarations!$A$18/$D$18,0))))+Declarations!$B$19*INDEX(AK$21:AK$141,MAX(1,MIN(121,$B28-ROUND(Declarations!$A$19/$D$18,0))))+Declarations!$B$20*INDEX(AK$21:AK$141,MAX(1,MIN(121,$B28-ROUND(Declarations!$A$20/$D$18,0)))))</f>
        <v>-293.311511415602</v>
      </c>
      <c r="AM28" s="12" t="n">
        <f aca="false">INDEX(AL$21:AL$141,$I28+1)*(1-$J28)+INDEX(AL$21:AL$141,$I28+2)*$J28</f>
        <v>-294.493189668644</v>
      </c>
      <c r="AN28" s="12" t="n">
        <f aca="false">INDEX(AL$21:AL$141,$K28+1)*(1-$L28)+INDEX(AL$21:AL$141,$K28+2)*$L28</f>
        <v>-286.667382692812</v>
      </c>
      <c r="AO28" s="12" t="n">
        <f aca="false">$C28+$D28+MAX(AM28,AN28,IF(COUNTIFS($A$21:$A$141,"&gt;="&amp;$G28,$A$21:$A$141,"&lt;="&amp;$H28)&gt;0,_xlfn.MAXIFS(AL$21:AL$141,$A$21:$A$141,"&gt;="&amp;$G28,$A$21:$A$141,"&lt;="&amp;$H28),AM28))</f>
        <v>-145.042382692812</v>
      </c>
      <c r="AP28" s="12" t="n">
        <f aca="false">-Cost_k*$A28+Beta_q*(Declarations!$B$16*INDEX(AO$21:AO$141,MAX(1,MIN(121,$B28-ROUND(Declarations!$A$16/$D$18,0))))+Declarations!$B$17*INDEX(AO$21:AO$141,MAX(1,MIN(121,$B28-ROUND(Declarations!$A$17/$D$18,0))))+Declarations!$B$18*INDEX(AO$21:AO$141,MAX(1,MIN(121,$B28-ROUND(Declarations!$A$18/$D$18,0))))+Declarations!$B$19*INDEX(AO$21:AO$141,MAX(1,MIN(121,$B28-ROUND(Declarations!$A$19/$D$18,0))))+Declarations!$B$20*INDEX(AO$21:AO$141,MAX(1,MIN(121,$B28-ROUND(Declarations!$A$20/$D$18,0)))))</f>
        <v>-308.652913404833</v>
      </c>
      <c r="AQ28" s="12" t="n">
        <f aca="false">INDEX(AP$21:AP$141,$I28+1)*(1-$J28)+INDEX(AP$21:AP$141,$I28+2)*$J28</f>
        <v>-310.061235192897</v>
      </c>
      <c r="AR28" s="12" t="n">
        <f aca="false">INDEX(AP$21:AP$141,$K28+1)*(1-$L28)+INDEX(AP$21:AP$141,$K28+2)*$L28</f>
        <v>-300.560719450995</v>
      </c>
      <c r="AS28" s="12" t="n">
        <f aca="false">$C28+$D28+MAX(AQ28,AR28,IF(COUNTIFS($A$21:$A$141,"&gt;="&amp;$G28,$A$21:$A$141,"&lt;="&amp;$H28)&gt;0,_xlfn.MAXIFS(AP$21:AP$141,$A$21:$A$141,"&gt;="&amp;$G28,$A$21:$A$141,"&lt;="&amp;$H28),AQ28))</f>
        <v>-158.935719450995</v>
      </c>
      <c r="AT28" s="12" t="n">
        <f aca="false">-Cost_k*$A28+Beta_q*(Declarations!$B$16*INDEX(AS$21:AS$141,MAX(1,MIN(121,$B28-ROUND(Declarations!$A$16/$D$18,0))))+Declarations!$B$17*INDEX(AS$21:AS$141,MAX(1,MIN(121,$B28-ROUND(Declarations!$A$17/$D$18,0))))+Declarations!$B$18*INDEX(AS$21:AS$141,MAX(1,MIN(121,$B28-ROUND(Declarations!$A$18/$D$18,0))))+Declarations!$B$19*INDEX(AS$21:AS$141,MAX(1,MIN(121,$B28-ROUND(Declarations!$A$19/$D$18,0))))+Declarations!$B$20*INDEX(AS$21:AS$141,MAX(1,MIN(121,$B28-ROUND(Declarations!$A$20/$D$18,0)))))</f>
        <v>-322.201772485871</v>
      </c>
      <c r="AU28" s="12" t="n">
        <f aca="false">INDEX(AT$21:AT$141,$I28+1)*(1-$J28)+INDEX(AT$21:AT$141,$I28+2)*$J28</f>
        <v>-323.859897138458</v>
      </c>
      <c r="AV28" s="12" t="n">
        <f aca="false">INDEX(AT$21:AT$141,$K28+1)*(1-$L28)+INDEX(AT$21:AT$141,$K28+2)*$L28</f>
        <v>-312.578788705419</v>
      </c>
      <c r="AW28" s="12" t="n">
        <f aca="false">$C28+$D28+MAX(AU28,AV28,IF(COUNTIFS($A$21:$A$141,"&gt;="&amp;$G28,$A$21:$A$141,"&lt;="&amp;$H28)&gt;0,_xlfn.MAXIFS(AT$21:AT$141,$A$21:$A$141,"&gt;="&amp;$G28,$A$21:$A$141,"&lt;="&amp;$H28),AU28))</f>
        <v>-170.953788705419</v>
      </c>
      <c r="AX28" s="12" t="n">
        <f aca="false">-Cost_k*$A28+Beta_q*(Declarations!$B$16*INDEX(AW$21:AW$141,MAX(1,MIN(121,$B28-ROUND(Declarations!$A$16/$D$18,0))))+Declarations!$B$17*INDEX(AW$21:AW$141,MAX(1,MIN(121,$B28-ROUND(Declarations!$A$17/$D$18,0))))+Declarations!$B$18*INDEX(AW$21:AW$141,MAX(1,MIN(121,$B28-ROUND(Declarations!$A$18/$D$18,0))))+Declarations!$B$19*INDEX(AW$21:AW$141,MAX(1,MIN(121,$B28-ROUND(Declarations!$A$19/$D$18,0))))+Declarations!$B$20*INDEX(AW$21:AW$141,MAX(1,MIN(121,$B28-ROUND(Declarations!$A$20/$D$18,0)))))</f>
        <v>-333.930980632981</v>
      </c>
      <c r="AY28" s="12" t="n">
        <f aca="false">INDEX(AX$21:AX$141,$I28+1)*(1-$J28)+INDEX(AX$21:AX$141,$I28+2)*$J28</f>
        <v>-335.844337402909</v>
      </c>
      <c r="AZ28" s="12" t="n">
        <f aca="false">INDEX(AX$21:AX$141,$K28+1)*(1-$L28)+INDEX(AX$21:AX$141,$K28+2)*$L28</f>
        <v>-322.799962785733</v>
      </c>
      <c r="BA28" s="12" t="n">
        <f aca="false">$C28+$D28+MAX(AY28,AZ28,IF(COUNTIFS($A$21:$A$141,"&gt;="&amp;$G28,$A$21:$A$141,"&lt;="&amp;$H28)&gt;0,_xlfn.MAXIFS(AX$21:AX$141,$A$21:$A$141,"&gt;="&amp;$G28,$A$21:$A$141,"&lt;="&amp;$H28),AY28))</f>
        <v>-181.174962785733</v>
      </c>
      <c r="BB28" s="12" t="n">
        <f aca="false">-Cost_k*$A28+Beta_q*(Declarations!$B$16*INDEX(BA$21:BA$141,MAX(1,MIN(121,$B28-ROUND(Declarations!$A$16/$D$18,0))))+Declarations!$B$17*INDEX(BA$21:BA$141,MAX(1,MIN(121,$B28-ROUND(Declarations!$A$17/$D$18,0))))+Declarations!$B$18*INDEX(BA$21:BA$141,MAX(1,MIN(121,$B28-ROUND(Declarations!$A$18/$D$18,0))))+Declarations!$B$19*INDEX(BA$21:BA$141,MAX(1,MIN(121,$B28-ROUND(Declarations!$A$19/$D$18,0))))+Declarations!$B$20*INDEX(BA$21:BA$141,MAX(1,MIN(121,$B28-ROUND(Declarations!$A$20/$D$18,0)))))</f>
        <v>-343.912846029617</v>
      </c>
      <c r="BC28" s="12" t="n">
        <f aca="false">INDEX(BB$21:BB$141,$I28+1)*(1-$J28)+INDEX(BB$21:BB$141,$I28+2)*$J28</f>
        <v>-346.072438555396</v>
      </c>
      <c r="BD28" s="12" t="n">
        <f aca="false">INDEX(BB$21:BB$141,$K28+1)*(1-$L28)+INDEX(BB$21:BB$141,$K28+2)*$L28</f>
        <v>-331.367012806446</v>
      </c>
      <c r="BE28" s="12" t="n">
        <f aca="false">$C28+$D28+MAX(BC28,BD28,IF(COUNTIFS($A$21:$A$141,"&gt;="&amp;$G28,$A$21:$A$141,"&lt;="&amp;$H28)&gt;0,_xlfn.MAXIFS(BB$21:BB$141,$A$21:$A$141,"&gt;="&amp;$G28,$A$21:$A$141,"&lt;="&amp;$H28),BC28))</f>
        <v>-189.742012806446</v>
      </c>
      <c r="BF28" s="12" t="n">
        <f aca="false">-Cost_k*$A28+Beta_q*(Declarations!$B$16*INDEX(BE$21:BE$141,MAX(1,MIN(121,$B28-ROUND(Declarations!$A$16/$D$18,0))))+Declarations!$B$17*INDEX(BE$21:BE$141,MAX(1,MIN(121,$B28-ROUND(Declarations!$A$17/$D$18,0))))+Declarations!$B$18*INDEX(BE$21:BE$141,MAX(1,MIN(121,$B28-ROUND(Declarations!$A$18/$D$18,0))))+Declarations!$B$19*INDEX(BE$21:BE$141,MAX(1,MIN(121,$B28-ROUND(Declarations!$A$19/$D$18,0))))+Declarations!$B$20*INDEX(BE$21:BE$141,MAX(1,MIN(121,$B28-ROUND(Declarations!$A$20/$D$18,0)))))</f>
        <v>-352.287240113925</v>
      </c>
      <c r="BG28" s="12" t="n">
        <f aca="false">INDEX(BF$21:BF$141,$I28+1)*(1-$J28)+INDEX(BF$21:BF$141,$I28+2)*$J28</f>
        <v>-354.672593429998</v>
      </c>
      <c r="BH28" s="12" t="n">
        <f aca="false">INDEX(BF$21:BF$141,$K28+1)*(1-$L28)+INDEX(BF$21:BF$141,$K28+2)*$L28</f>
        <v>-338.492129932254</v>
      </c>
      <c r="BI28" s="12" t="n">
        <f aca="false">$C28+$D28+MAX(BG28,BH28,IF(COUNTIFS($A$21:$A$141,"&gt;="&amp;$G28,$A$21:$A$141,"&lt;="&amp;$H28)&gt;0,_xlfn.MAXIFS(BF$21:BF$141,$A$21:$A$141,"&gt;="&amp;$G28,$A$21:$A$141,"&lt;="&amp;$H28),BG28))</f>
        <v>-196.867129932254</v>
      </c>
      <c r="BJ28" s="23" t="n">
        <v>-196.867129932254</v>
      </c>
      <c r="BK28" s="22" t="n">
        <f aca="false">ABS(BI28-BJ28)</f>
        <v>0</v>
      </c>
    </row>
    <row r="29" customFormat="false" ht="15" hidden="false" customHeight="false" outlineLevel="0" collapsed="false">
      <c r="A29" s="14" t="n">
        <f aca="false">A28+$D$18</f>
        <v>42</v>
      </c>
      <c r="B29" s="19" t="n">
        <v>9</v>
      </c>
      <c r="C29" s="12" t="n">
        <f aca="false">-Short_p*MAX(Floor_c-A29,0)</f>
        <v>-20.8</v>
      </c>
      <c r="D29" s="12" t="n">
        <f aca="false">Cost_k*Alpha_keep*A29</f>
        <v>163.8</v>
      </c>
      <c r="E29" s="12" t="n">
        <f aca="false">MIN(Cap_h,MAX(0,$B$18+MAX(Loss_w)-Alpha_keep*A29))</f>
        <v>0.550000000000004</v>
      </c>
      <c r="F29" s="12" t="n">
        <f aca="false">MAX(MIN(Cap_h,$F$18+MIN(Loss_w)-Alpha_keep*A29),E29)</f>
        <v>2.5</v>
      </c>
      <c r="G29" s="12" t="n">
        <f aca="false">Alpha_keep*A29+E29</f>
        <v>41.5</v>
      </c>
      <c r="H29" s="12" t="n">
        <f aca="false">Alpha_keep*A29+F29</f>
        <v>43.45</v>
      </c>
      <c r="I29" s="19" t="n">
        <f aca="false">MIN(INT((G29-$B$18)/$D$18+0.000000001),119)</f>
        <v>6</v>
      </c>
      <c r="J29" s="12" t="n">
        <f aca="false">(G29-$B$18)/$D$18-I29</f>
        <v>0</v>
      </c>
      <c r="K29" s="19" t="n">
        <f aca="false">MIN(INT((H29-$B$18)/$D$18+0.000000001),119)</f>
        <v>13</v>
      </c>
      <c r="L29" s="12" t="n">
        <f aca="false">(H29-$B$18)/$D$18-K29</f>
        <v>0.799999999999983</v>
      </c>
      <c r="M29" s="9" t="n">
        <v>0</v>
      </c>
      <c r="N29" s="12" t="n">
        <f aca="false">-Cost_k*$A29+Beta_q*(Declarations!$B$16*INDEX(M$21:M$141,MAX(1,MIN(121,$B29-ROUND(Declarations!$A$16/$D$18,0))))+Declarations!$B$17*INDEX(M$21:M$141,MAX(1,MIN(121,$B29-ROUND(Declarations!$A$17/$D$18,0))))+Declarations!$B$18*INDEX(M$21:M$141,MAX(1,MIN(121,$B29-ROUND(Declarations!$A$18/$D$18,0))))+Declarations!$B$19*INDEX(M$21:M$141,MAX(1,MIN(121,$B29-ROUND(Declarations!$A$19/$D$18,0))))+Declarations!$B$20*INDEX(M$21:M$141,MAX(1,MIN(121,$B29-ROUND(Declarations!$A$20/$D$18,0)))))</f>
        <v>-168</v>
      </c>
      <c r="O29" s="12" t="n">
        <f aca="false">INDEX(N$21:N$141,$I29+1)*(1-$J29)+INDEX(N$21:N$141,$I29+2)*$J29</f>
        <v>-166</v>
      </c>
      <c r="P29" s="12" t="n">
        <f aca="false">INDEX(N$21:N$141,$K29+1)*(1-$L29)+INDEX(N$21:N$141,$K29+2)*$L29</f>
        <v>-173.8</v>
      </c>
      <c r="Q29" s="12" t="n">
        <f aca="false">$C29+$D29+MAX(O29,P29,IF(COUNTIFS($A$21:$A$141,"&gt;="&amp;$G29,$A$21:$A$141,"&lt;="&amp;$H29)&gt;0,_xlfn.MAXIFS(N$21:N$141,$A$21:$A$141,"&gt;="&amp;$G29,$A$21:$A$141,"&lt;="&amp;$H29),O29))</f>
        <v>-23</v>
      </c>
      <c r="R29" s="12" t="n">
        <f aca="false">-Cost_k*$A29+Beta_q*(Declarations!$B$16*INDEX(Q$21:Q$141,MAX(1,MIN(121,$B29-ROUND(Declarations!$A$16/$D$18,0))))+Declarations!$B$17*INDEX(Q$21:Q$141,MAX(1,MIN(121,$B29-ROUND(Declarations!$A$17/$D$18,0))))+Declarations!$B$18*INDEX(Q$21:Q$141,MAX(1,MIN(121,$B29-ROUND(Declarations!$A$18/$D$18,0))))+Declarations!$B$19*INDEX(Q$21:Q$141,MAX(1,MIN(121,$B29-ROUND(Declarations!$A$19/$D$18,0))))+Declarations!$B$20*INDEX(Q$21:Q$141,MAX(1,MIN(121,$B29-ROUND(Declarations!$A$20/$D$18,0)))))</f>
        <v>-190.778232776924</v>
      </c>
      <c r="S29" s="12" t="n">
        <f aca="false">INDEX(R$21:R$141,$I29+1)*(1-$J29)+INDEX(R$21:R$141,$I29+2)*$J29</f>
        <v>-191.226691406788</v>
      </c>
      <c r="T29" s="12" t="n">
        <f aca="false">INDEX(R$21:R$141,$K29+1)*(1-$L29)+INDEX(R$21:R$141,$K29+2)*$L29</f>
        <v>-191.971566495354</v>
      </c>
      <c r="U29" s="12" t="n">
        <f aca="false">$C29+$D29+MAX(S29,T29,IF(COUNTIFS($A$21:$A$141,"&gt;="&amp;$G29,$A$21:$A$141,"&lt;="&amp;$H29)&gt;0,_xlfn.MAXIFS(R$21:R$141,$A$21:$A$141,"&gt;="&amp;$G29,$A$21:$A$141,"&lt;="&amp;$H29),S29))</f>
        <v>-47.5690053990315</v>
      </c>
      <c r="V29" s="12" t="n">
        <f aca="false">-Cost_k*$A29+Beta_q*(Declarations!$B$16*INDEX(U$21:U$141,MAX(1,MIN(121,$B29-ROUND(Declarations!$A$16/$D$18,0))))+Declarations!$B$17*INDEX(U$21:U$141,MAX(1,MIN(121,$B29-ROUND(Declarations!$A$17/$D$18,0))))+Declarations!$B$18*INDEX(U$21:U$141,MAX(1,MIN(121,$B29-ROUND(Declarations!$A$18/$D$18,0))))+Declarations!$B$19*INDEX(U$21:U$141,MAX(1,MIN(121,$B29-ROUND(Declarations!$A$19/$D$18,0))))+Declarations!$B$20*INDEX(U$21:U$141,MAX(1,MIN(121,$B29-ROUND(Declarations!$A$20/$D$18,0)))))</f>
        <v>-214.459539469144</v>
      </c>
      <c r="W29" s="12" t="n">
        <f aca="false">INDEX(V$21:V$141,$I29+1)*(1-$J29)+INDEX(V$21:V$141,$I29+2)*$J29</f>
        <v>-215.188270969776</v>
      </c>
      <c r="X29" s="12" t="n">
        <f aca="false">INDEX(V$21:V$141,$K29+1)*(1-$L29)+INDEX(V$21:V$141,$K29+2)*$L29</f>
        <v>-212.719800629622</v>
      </c>
      <c r="Y29" s="12" t="n">
        <f aca="false">$C29+$D29+MAX(W29,X29,IF(COUNTIFS($A$21:$A$141,"&gt;="&amp;$G29,$A$21:$A$141,"&lt;="&amp;$H29)&gt;0,_xlfn.MAXIFS(V$21:V$141,$A$21:$A$141,"&gt;="&amp;$G29,$A$21:$A$141,"&lt;="&amp;$H29),W29))</f>
        <v>-69.7198006296217</v>
      </c>
      <c r="Z29" s="12" t="n">
        <f aca="false">-Cost_k*$A29+Beta_q*(Declarations!$B$16*INDEX(Y$21:Y$141,MAX(1,MIN(121,$B29-ROUND(Declarations!$A$16/$D$18,0))))+Declarations!$B$17*INDEX(Y$21:Y$141,MAX(1,MIN(121,$B29-ROUND(Declarations!$A$17/$D$18,0))))+Declarations!$B$18*INDEX(Y$21:Y$141,MAX(1,MIN(121,$B29-ROUND(Declarations!$A$18/$D$18,0))))+Declarations!$B$19*INDEX(Y$21:Y$141,MAX(1,MIN(121,$B29-ROUND(Declarations!$A$19/$D$18,0))))+Declarations!$B$20*INDEX(Y$21:Y$141,MAX(1,MIN(121,$B29-ROUND(Declarations!$A$20/$D$18,0)))))</f>
        <v>-236.247959430146</v>
      </c>
      <c r="AA29" s="12" t="n">
        <f aca="false">INDEX(Z$21:Z$141,$I29+1)*(1-$J29)+INDEX(Z$21:Z$141,$I29+2)*$J29</f>
        <v>-237.357058768902</v>
      </c>
      <c r="AB29" s="12" t="n">
        <f aca="false">INDEX(Z$21:Z$141,$K29+1)*(1-$L29)+INDEX(Z$21:Z$141,$K29+2)*$L29</f>
        <v>-233.828497884976</v>
      </c>
      <c r="AC29" s="12" t="n">
        <f aca="false">$C29+$D29+MAX(AA29,AB29,IF(COUNTIFS($A$21:$A$141,"&gt;="&amp;$G29,$A$21:$A$141,"&lt;="&amp;$H29)&gt;0,_xlfn.MAXIFS(Z$21:Z$141,$A$21:$A$141,"&gt;="&amp;$G29,$A$21:$A$141,"&lt;="&amp;$H29),AA29))</f>
        <v>-90.8284978849758</v>
      </c>
      <c r="AD29" s="12" t="n">
        <f aca="false">-Cost_k*$A29+Beta_q*(Declarations!$B$16*INDEX(AC$21:AC$141,MAX(1,MIN(121,$B29-ROUND(Declarations!$A$16/$D$18,0))))+Declarations!$B$17*INDEX(AC$21:AC$141,MAX(1,MIN(121,$B29-ROUND(Declarations!$A$17/$D$18,0))))+Declarations!$B$18*INDEX(AC$21:AC$141,MAX(1,MIN(121,$B29-ROUND(Declarations!$A$18/$D$18,0))))+Declarations!$B$19*INDEX(AC$21:AC$141,MAX(1,MIN(121,$B29-ROUND(Declarations!$A$19/$D$18,0))))+Declarations!$B$20*INDEX(AC$21:AC$141,MAX(1,MIN(121,$B29-ROUND(Declarations!$A$20/$D$18,0)))))</f>
        <v>-256.729527724024</v>
      </c>
      <c r="AE29" s="12" t="n">
        <f aca="false">INDEX(AD$21:AD$141,$I29+1)*(1-$J29)+INDEX(AD$21:AD$141,$I29+2)*$J29</f>
        <v>-258.147264038387</v>
      </c>
      <c r="AF29" s="12" t="n">
        <f aca="false">INDEX(AD$21:AD$141,$K29+1)*(1-$L29)+INDEX(AD$21:AD$141,$K29+2)*$L29</f>
        <v>-252.86587778751</v>
      </c>
      <c r="AG29" s="12" t="n">
        <f aca="false">$C29+$D29+MAX(AE29,AF29,IF(COUNTIFS($A$21:$A$141,"&gt;="&amp;$G29,$A$21:$A$141,"&lt;="&amp;$H29)&gt;0,_xlfn.MAXIFS(AD$21:AD$141,$A$21:$A$141,"&gt;="&amp;$G29,$A$21:$A$141,"&lt;="&amp;$H29),AE29))</f>
        <v>-109.865877787511</v>
      </c>
      <c r="AH29" s="12" t="n">
        <f aca="false">-Cost_k*$A29+Beta_q*(Declarations!$B$16*INDEX(AG$21:AG$141,MAX(1,MIN(121,$B29-ROUND(Declarations!$A$16/$D$18,0))))+Declarations!$B$17*INDEX(AG$21:AG$141,MAX(1,MIN(121,$B29-ROUND(Declarations!$A$17/$D$18,0))))+Declarations!$B$18*INDEX(AG$21:AG$141,MAX(1,MIN(121,$B29-ROUND(Declarations!$A$18/$D$18,0))))+Declarations!$B$19*INDEX(AG$21:AG$141,MAX(1,MIN(121,$B29-ROUND(Declarations!$A$19/$D$18,0))))+Declarations!$B$20*INDEX(AG$21:AG$141,MAX(1,MIN(121,$B29-ROUND(Declarations!$A$20/$D$18,0)))))</f>
        <v>-275.322088362689</v>
      </c>
      <c r="AI29" s="12" t="n">
        <f aca="false">INDEX(AH$21:AH$141,$I29+1)*(1-$J29)+INDEX(AH$21:AH$141,$I29+2)*$J29</f>
        <v>-277.233768456172</v>
      </c>
      <c r="AJ29" s="12" t="n">
        <f aca="false">INDEX(AH$21:AH$141,$K29+1)*(1-$L29)+INDEX(AH$21:AH$141,$K29+2)*$L29</f>
        <v>-270.086981688258</v>
      </c>
      <c r="AK29" s="12" t="n">
        <f aca="false">$C29+$D29+MAX(AI29,AJ29,IF(COUNTIFS($A$21:$A$141,"&gt;="&amp;$G29,$A$21:$A$141,"&lt;="&amp;$H29)&gt;0,_xlfn.MAXIFS(AH$21:AH$141,$A$21:$A$141,"&gt;="&amp;$G29,$A$21:$A$141,"&lt;="&amp;$H29),AI29))</f>
        <v>-127.086981688258</v>
      </c>
      <c r="AL29" s="12" t="n">
        <f aca="false">-Cost_k*$A29+Beta_q*(Declarations!$B$16*INDEX(AK$21:AK$141,MAX(1,MIN(121,$B29-ROUND(Declarations!$A$16/$D$18,0))))+Declarations!$B$17*INDEX(AK$21:AK$141,MAX(1,MIN(121,$B29-ROUND(Declarations!$A$17/$D$18,0))))+Declarations!$B$18*INDEX(AK$21:AK$141,MAX(1,MIN(121,$B29-ROUND(Declarations!$A$18/$D$18,0))))+Declarations!$B$19*INDEX(AK$21:AK$141,MAX(1,MIN(121,$B29-ROUND(Declarations!$A$19/$D$18,0))))+Declarations!$B$20*INDEX(AK$21:AK$141,MAX(1,MIN(121,$B29-ROUND(Declarations!$A$20/$D$18,0)))))</f>
        <v>-292.142303829417</v>
      </c>
      <c r="AM29" s="12" t="n">
        <f aca="false">INDEX(AL$21:AL$141,$I29+1)*(1-$J29)+INDEX(AL$21:AL$141,$I29+2)*$J29</f>
        <v>-294.493189668644</v>
      </c>
      <c r="AN29" s="12" t="n">
        <f aca="false">INDEX(AL$21:AL$141,$K29+1)*(1-$L29)+INDEX(AL$21:AL$141,$K29+2)*$L29</f>
        <v>-285.58693580051</v>
      </c>
      <c r="AO29" s="12" t="n">
        <f aca="false">$C29+$D29+MAX(AM29,AN29,IF(COUNTIFS($A$21:$A$141,"&gt;="&amp;$G29,$A$21:$A$141,"&lt;="&amp;$H29)&gt;0,_xlfn.MAXIFS(AL$21:AL$141,$A$21:$A$141,"&gt;="&amp;$G29,$A$21:$A$141,"&lt;="&amp;$H29),AM29))</f>
        <v>-142.58693580051</v>
      </c>
      <c r="AP29" s="12" t="n">
        <f aca="false">-Cost_k*$A29+Beta_q*(Declarations!$B$16*INDEX(AO$21:AO$141,MAX(1,MIN(121,$B29-ROUND(Declarations!$A$16/$D$18,0))))+Declarations!$B$17*INDEX(AO$21:AO$141,MAX(1,MIN(121,$B29-ROUND(Declarations!$A$17/$D$18,0))))+Declarations!$B$18*INDEX(AO$21:AO$141,MAX(1,MIN(121,$B29-ROUND(Declarations!$A$18/$D$18,0))))+Declarations!$B$19*INDEX(AO$21:AO$141,MAX(1,MIN(121,$B29-ROUND(Declarations!$A$19/$D$18,0))))+Declarations!$B$20*INDEX(AO$21:AO$141,MAX(1,MIN(121,$B29-ROUND(Declarations!$A$20/$D$18,0)))))</f>
        <v>-307.251506725306</v>
      </c>
      <c r="AQ29" s="12" t="n">
        <f aca="false">INDEX(AP$21:AP$141,$I29+1)*(1-$J29)+INDEX(AP$21:AP$141,$I29+2)*$J29</f>
        <v>-310.061235192897</v>
      </c>
      <c r="AR29" s="12" t="n">
        <f aca="false">INDEX(AP$21:AP$141,$K29+1)*(1-$L29)+INDEX(AP$21:AP$141,$K29+2)*$L29</f>
        <v>-299.217781787093</v>
      </c>
      <c r="AS29" s="12" t="n">
        <f aca="false">$C29+$D29+MAX(AQ29,AR29,IF(COUNTIFS($A$21:$A$141,"&gt;="&amp;$G29,$A$21:$A$141,"&lt;="&amp;$H29)&gt;0,_xlfn.MAXIFS(AP$21:AP$141,$A$21:$A$141,"&gt;="&amp;$G29,$A$21:$A$141,"&lt;="&amp;$H29),AQ29))</f>
        <v>-156.217781787093</v>
      </c>
      <c r="AT29" s="12" t="n">
        <f aca="false">-Cost_k*$A29+Beta_q*(Declarations!$B$16*INDEX(AS$21:AS$141,MAX(1,MIN(121,$B29-ROUND(Declarations!$A$16/$D$18,0))))+Declarations!$B$17*INDEX(AS$21:AS$141,MAX(1,MIN(121,$B29-ROUND(Declarations!$A$17/$D$18,0))))+Declarations!$B$18*INDEX(AS$21:AS$141,MAX(1,MIN(121,$B29-ROUND(Declarations!$A$18/$D$18,0))))+Declarations!$B$19*INDEX(AS$21:AS$141,MAX(1,MIN(121,$B29-ROUND(Declarations!$A$19/$D$18,0))))+Declarations!$B$20*INDEX(AS$21:AS$141,MAX(1,MIN(121,$B29-ROUND(Declarations!$A$20/$D$18,0)))))</f>
        <v>-320.546103983761</v>
      </c>
      <c r="AU29" s="12" t="n">
        <f aca="false">INDEX(AT$21:AT$141,$I29+1)*(1-$J29)+INDEX(AT$21:AT$141,$I29+2)*$J29</f>
        <v>-323.859897138458</v>
      </c>
      <c r="AV29" s="12" t="n">
        <f aca="false">INDEX(AT$21:AT$141,$K29+1)*(1-$L29)+INDEX(AT$21:AT$141,$K29+2)*$L29</f>
        <v>-310.971335451829</v>
      </c>
      <c r="AW29" s="12" t="n">
        <f aca="false">$C29+$D29+MAX(AU29,AV29,IF(COUNTIFS($A$21:$A$141,"&gt;="&amp;$G29,$A$21:$A$141,"&lt;="&amp;$H29)&gt;0,_xlfn.MAXIFS(AT$21:AT$141,$A$21:$A$141,"&gt;="&amp;$G29,$A$21:$A$141,"&lt;="&amp;$H29),AU29))</f>
        <v>-167.971335451829</v>
      </c>
      <c r="AX29" s="12" t="n">
        <f aca="false">-Cost_k*$A29+Beta_q*(Declarations!$B$16*INDEX(AW$21:AW$141,MAX(1,MIN(121,$B29-ROUND(Declarations!$A$16/$D$18,0))))+Declarations!$B$17*INDEX(AW$21:AW$141,MAX(1,MIN(121,$B29-ROUND(Declarations!$A$17/$D$18,0))))+Declarations!$B$18*INDEX(AW$21:AW$141,MAX(1,MIN(121,$B29-ROUND(Declarations!$A$18/$D$18,0))))+Declarations!$B$19*INDEX(AW$21:AW$141,MAX(1,MIN(121,$B29-ROUND(Declarations!$A$19/$D$18,0))))+Declarations!$B$20*INDEX(AW$21:AW$141,MAX(1,MIN(121,$B29-ROUND(Declarations!$A$20/$D$18,0)))))</f>
        <v>-332.018428367218</v>
      </c>
      <c r="AY29" s="12" t="n">
        <f aca="false">INDEX(AX$21:AX$141,$I29+1)*(1-$J29)+INDEX(AX$21:AX$141,$I29+2)*$J29</f>
        <v>-335.844337402909</v>
      </c>
      <c r="AZ29" s="12" t="n">
        <f aca="false">INDEX(AX$21:AX$141,$K29+1)*(1-$L29)+INDEX(AX$21:AX$141,$K29+2)*$L29</f>
        <v>-320.939534225326</v>
      </c>
      <c r="BA29" s="12" t="n">
        <f aca="false">$C29+$D29+MAX(AY29,AZ29,IF(COUNTIFS($A$21:$A$141,"&gt;="&amp;$G29,$A$21:$A$141,"&lt;="&amp;$H29)&gt;0,_xlfn.MAXIFS(AX$21:AX$141,$A$21:$A$141,"&gt;="&amp;$G29,$A$21:$A$141,"&lt;="&amp;$H29),AY29))</f>
        <v>-177.939534225326</v>
      </c>
      <c r="BB29" s="12" t="n">
        <f aca="false">-Cost_k*$A29+Beta_q*(Declarations!$B$16*INDEX(BA$21:BA$141,MAX(1,MIN(121,$B29-ROUND(Declarations!$A$16/$D$18,0))))+Declarations!$B$17*INDEX(BA$21:BA$141,MAX(1,MIN(121,$B29-ROUND(Declarations!$A$17/$D$18,0))))+Declarations!$B$18*INDEX(BA$21:BA$141,MAX(1,MIN(121,$B29-ROUND(Declarations!$A$18/$D$18,0))))+Declarations!$B$19*INDEX(BA$21:BA$141,MAX(1,MIN(121,$B29-ROUND(Declarations!$A$19/$D$18,0))))+Declarations!$B$20*INDEX(BA$21:BA$141,MAX(1,MIN(121,$B29-ROUND(Declarations!$A$20/$D$18,0)))))</f>
        <v>-341.754432473252</v>
      </c>
      <c r="BC29" s="12" t="n">
        <f aca="false">INDEX(BB$21:BB$141,$I29+1)*(1-$J29)+INDEX(BB$21:BB$141,$I29+2)*$J29</f>
        <v>-346.072438555396</v>
      </c>
      <c r="BD29" s="12" t="n">
        <f aca="false">INDEX(BB$21:BB$141,$K29+1)*(1-$L29)+INDEX(BB$21:BB$141,$K29+2)*$L29</f>
        <v>-329.276190339607</v>
      </c>
      <c r="BE29" s="12" t="n">
        <f aca="false">$C29+$D29+MAX(BC29,BD29,IF(COUNTIFS($A$21:$A$141,"&gt;="&amp;$G29,$A$21:$A$141,"&lt;="&amp;$H29)&gt;0,_xlfn.MAXIFS(BB$21:BB$141,$A$21:$A$141,"&gt;="&amp;$G29,$A$21:$A$141,"&lt;="&amp;$H29),BC29))</f>
        <v>-186.276190339607</v>
      </c>
      <c r="BF29" s="12" t="n">
        <f aca="false">-Cost_k*$A29+Beta_q*(Declarations!$B$16*INDEX(BE$21:BE$141,MAX(1,MIN(121,$B29-ROUND(Declarations!$A$16/$D$18,0))))+Declarations!$B$17*INDEX(BE$21:BE$141,MAX(1,MIN(121,$B29-ROUND(Declarations!$A$17/$D$18,0))))+Declarations!$B$18*INDEX(BE$21:BE$141,MAX(1,MIN(121,$B29-ROUND(Declarations!$A$18/$D$18,0))))+Declarations!$B$19*INDEX(BE$21:BE$141,MAX(1,MIN(121,$B29-ROUND(Declarations!$A$19/$D$18,0))))+Declarations!$B$20*INDEX(BE$21:BE$141,MAX(1,MIN(121,$B29-ROUND(Declarations!$A$20/$D$18,0)))))</f>
        <v>-349.905462714478</v>
      </c>
      <c r="BG29" s="12" t="n">
        <f aca="false">INDEX(BF$21:BF$141,$I29+1)*(1-$J29)+INDEX(BF$21:BF$141,$I29+2)*$J29</f>
        <v>-354.672593429998</v>
      </c>
      <c r="BH29" s="12" t="n">
        <f aca="false">INDEX(BF$21:BF$141,$K29+1)*(1-$L29)+INDEX(BF$21:BF$141,$K29+2)*$L29</f>
        <v>-336.20761500645</v>
      </c>
      <c r="BI29" s="12" t="n">
        <f aca="false">$C29+$D29+MAX(BG29,BH29,IF(COUNTIFS($A$21:$A$141,"&gt;="&amp;$G29,$A$21:$A$141,"&lt;="&amp;$H29)&gt;0,_xlfn.MAXIFS(BF$21:BF$141,$A$21:$A$141,"&gt;="&amp;$G29,$A$21:$A$141,"&lt;="&amp;$H29),BG29))</f>
        <v>-193.20761500645</v>
      </c>
      <c r="BJ29" s="23" t="n">
        <v>-193.20761500645</v>
      </c>
      <c r="BK29" s="22" t="n">
        <f aca="false">ABS(BI29-BJ29)</f>
        <v>0</v>
      </c>
    </row>
    <row r="30" customFormat="false" ht="15" hidden="false" customHeight="false" outlineLevel="0" collapsed="false">
      <c r="A30" s="14" t="n">
        <f aca="false">A29+$D$18</f>
        <v>42.25</v>
      </c>
      <c r="B30" s="19" t="n">
        <v>10</v>
      </c>
      <c r="C30" s="12" t="n">
        <f aca="false">-Short_p*MAX(Floor_c-A30,0)</f>
        <v>-20.4</v>
      </c>
      <c r="D30" s="12" t="n">
        <f aca="false">Cost_k*Alpha_keep*A30</f>
        <v>164.775</v>
      </c>
      <c r="E30" s="12" t="n">
        <f aca="false">MIN(Cap_h,MAX(0,$B$18+MAX(Loss_w)-Alpha_keep*A30))</f>
        <v>0.306249999999999</v>
      </c>
      <c r="F30" s="12" t="n">
        <f aca="false">MAX(MIN(Cap_h,$F$18+MIN(Loss_w)-Alpha_keep*A30),E30)</f>
        <v>2.5</v>
      </c>
      <c r="G30" s="12" t="n">
        <f aca="false">Alpha_keep*A30+E30</f>
        <v>41.5</v>
      </c>
      <c r="H30" s="12" t="n">
        <f aca="false">Alpha_keep*A30+F30</f>
        <v>43.69375</v>
      </c>
      <c r="I30" s="19" t="n">
        <f aca="false">MIN(INT((G30-$B$18)/$D$18+0.000000001),119)</f>
        <v>6</v>
      </c>
      <c r="J30" s="12" t="n">
        <f aca="false">(G30-$B$18)/$D$18-I30</f>
        <v>0</v>
      </c>
      <c r="K30" s="19" t="n">
        <f aca="false">MIN(INT((H30-$B$18)/$D$18+0.000000001),119)</f>
        <v>14</v>
      </c>
      <c r="L30" s="12" t="n">
        <f aca="false">(H30-$B$18)/$D$18-K30</f>
        <v>0.775000000000006</v>
      </c>
      <c r="M30" s="9" t="n">
        <v>0</v>
      </c>
      <c r="N30" s="12" t="n">
        <f aca="false">-Cost_k*$A30+Beta_q*(Declarations!$B$16*INDEX(M$21:M$141,MAX(1,MIN(121,$B30-ROUND(Declarations!$A$16/$D$18,0))))+Declarations!$B$17*INDEX(M$21:M$141,MAX(1,MIN(121,$B30-ROUND(Declarations!$A$17/$D$18,0))))+Declarations!$B$18*INDEX(M$21:M$141,MAX(1,MIN(121,$B30-ROUND(Declarations!$A$18/$D$18,0))))+Declarations!$B$19*INDEX(M$21:M$141,MAX(1,MIN(121,$B30-ROUND(Declarations!$A$19/$D$18,0))))+Declarations!$B$20*INDEX(M$21:M$141,MAX(1,MIN(121,$B30-ROUND(Declarations!$A$20/$D$18,0)))))</f>
        <v>-169</v>
      </c>
      <c r="O30" s="12" t="n">
        <f aca="false">INDEX(N$21:N$141,$I30+1)*(1-$J30)+INDEX(N$21:N$141,$I30+2)*$J30</f>
        <v>-166</v>
      </c>
      <c r="P30" s="12" t="n">
        <f aca="false">INDEX(N$21:N$141,$K30+1)*(1-$L30)+INDEX(N$21:N$141,$K30+2)*$L30</f>
        <v>-174.775</v>
      </c>
      <c r="Q30" s="12" t="n">
        <f aca="false">$C30+$D30+MAX(O30,P30,IF(COUNTIFS($A$21:$A$141,"&gt;="&amp;$G30,$A$21:$A$141,"&lt;="&amp;$H30)&gt;0,_xlfn.MAXIFS(N$21:N$141,$A$21:$A$141,"&gt;="&amp;$G30,$A$21:$A$141,"&lt;="&amp;$H30),O30))</f>
        <v>-21.625</v>
      </c>
      <c r="R30" s="12" t="n">
        <f aca="false">-Cost_k*$A30+Beta_q*(Declarations!$B$16*INDEX(Q$21:Q$141,MAX(1,MIN(121,$B30-ROUND(Declarations!$A$16/$D$18,0))))+Declarations!$B$17*INDEX(Q$21:Q$141,MAX(1,MIN(121,$B30-ROUND(Declarations!$A$17/$D$18,0))))+Declarations!$B$18*INDEX(Q$21:Q$141,MAX(1,MIN(121,$B30-ROUND(Declarations!$A$18/$D$18,0))))+Declarations!$B$19*INDEX(Q$21:Q$141,MAX(1,MIN(121,$B30-ROUND(Declarations!$A$19/$D$18,0))))+Declarations!$B$20*INDEX(Q$21:Q$141,MAX(1,MIN(121,$B30-ROUND(Declarations!$A$20/$D$18,0)))))</f>
        <v>-190.673619087978</v>
      </c>
      <c r="S30" s="12" t="n">
        <f aca="false">INDEX(R$21:R$141,$I30+1)*(1-$J30)+INDEX(R$21:R$141,$I30+2)*$J30</f>
        <v>-191.226691406788</v>
      </c>
      <c r="T30" s="12" t="n">
        <f aca="false">INDEX(R$21:R$141,$K30+1)*(1-$L30)+INDEX(R$21:R$141,$K30+2)*$L30</f>
        <v>-192.509572776033</v>
      </c>
      <c r="U30" s="12" t="n">
        <f aca="false">$C30+$D30+MAX(S30,T30,IF(COUNTIFS($A$21:$A$141,"&gt;="&amp;$G30,$A$21:$A$141,"&lt;="&amp;$H30)&gt;0,_xlfn.MAXIFS(R$21:R$141,$A$21:$A$141,"&gt;="&amp;$G30,$A$21:$A$141,"&lt;="&amp;$H30),S30))</f>
        <v>-46.1940053990315</v>
      </c>
      <c r="V30" s="12" t="n">
        <f aca="false">-Cost_k*$A30+Beta_q*(Declarations!$B$16*INDEX(U$21:U$141,MAX(1,MIN(121,$B30-ROUND(Declarations!$A$16/$D$18,0))))+Declarations!$B$17*INDEX(U$21:U$141,MAX(1,MIN(121,$B30-ROUND(Declarations!$A$17/$D$18,0))))+Declarations!$B$18*INDEX(U$21:U$141,MAX(1,MIN(121,$B30-ROUND(Declarations!$A$18/$D$18,0))))+Declarations!$B$19*INDEX(U$21:U$141,MAX(1,MIN(121,$B30-ROUND(Declarations!$A$19/$D$18,0))))+Declarations!$B$20*INDEX(U$21:U$141,MAX(1,MIN(121,$B30-ROUND(Declarations!$A$20/$D$18,0)))))</f>
        <v>-214.119424819257</v>
      </c>
      <c r="W30" s="12" t="n">
        <f aca="false">INDEX(V$21:V$141,$I30+1)*(1-$J30)+INDEX(V$21:V$141,$I30+2)*$J30</f>
        <v>-215.188270969776</v>
      </c>
      <c r="X30" s="12" t="n">
        <f aca="false">INDEX(V$21:V$141,$K30+1)*(1-$L30)+INDEX(V$21:V$141,$K30+2)*$L30</f>
        <v>-212.552158054883</v>
      </c>
      <c r="Y30" s="12" t="n">
        <f aca="false">$C30+$D30+MAX(W30,X30,IF(COUNTIFS($A$21:$A$141,"&gt;="&amp;$G30,$A$21:$A$141,"&lt;="&amp;$H30)&gt;0,_xlfn.MAXIFS(V$21:V$141,$A$21:$A$141,"&gt;="&amp;$G30,$A$21:$A$141,"&lt;="&amp;$H30),W30))</f>
        <v>-68.1771580548826</v>
      </c>
      <c r="Z30" s="12" t="n">
        <f aca="false">-Cost_k*$A30+Beta_q*(Declarations!$B$16*INDEX(Y$21:Y$141,MAX(1,MIN(121,$B30-ROUND(Declarations!$A$16/$D$18,0))))+Declarations!$B$17*INDEX(Y$21:Y$141,MAX(1,MIN(121,$B30-ROUND(Declarations!$A$17/$D$18,0))))+Declarations!$B$18*INDEX(Y$21:Y$141,MAX(1,MIN(121,$B30-ROUND(Declarations!$A$18/$D$18,0))))+Declarations!$B$19*INDEX(Y$21:Y$141,MAX(1,MIN(121,$B30-ROUND(Declarations!$A$19/$D$18,0))))+Declarations!$B$20*INDEX(Y$21:Y$141,MAX(1,MIN(121,$B30-ROUND(Declarations!$A$20/$D$18,0)))))</f>
        <v>-235.749463732732</v>
      </c>
      <c r="AA30" s="12" t="n">
        <f aca="false">INDEX(Z$21:Z$141,$I30+1)*(1-$J30)+INDEX(Z$21:Z$141,$I30+2)*$J30</f>
        <v>-237.357058768902</v>
      </c>
      <c r="AB30" s="12" t="n">
        <f aca="false">INDEX(Z$21:Z$141,$K30+1)*(1-$L30)+INDEX(Z$21:Z$141,$K30+2)*$L30</f>
        <v>-233.483103111605</v>
      </c>
      <c r="AC30" s="12" t="n">
        <f aca="false">$C30+$D30+MAX(AA30,AB30,IF(COUNTIFS($A$21:$A$141,"&gt;="&amp;$G30,$A$21:$A$141,"&lt;="&amp;$H30)&gt;0,_xlfn.MAXIFS(Z$21:Z$141,$A$21:$A$141,"&gt;="&amp;$G30,$A$21:$A$141,"&lt;="&amp;$H30),AA30))</f>
        <v>-89.1081031116054</v>
      </c>
      <c r="AD30" s="12" t="n">
        <f aca="false">-Cost_k*$A30+Beta_q*(Declarations!$B$16*INDEX(AC$21:AC$141,MAX(1,MIN(121,$B30-ROUND(Declarations!$A$16/$D$18,0))))+Declarations!$B$17*INDEX(AC$21:AC$141,MAX(1,MIN(121,$B30-ROUND(Declarations!$A$17/$D$18,0))))+Declarations!$B$18*INDEX(AC$21:AC$141,MAX(1,MIN(121,$B30-ROUND(Declarations!$A$18/$D$18,0))))+Declarations!$B$19*INDEX(AC$21:AC$141,MAX(1,MIN(121,$B30-ROUND(Declarations!$A$19/$D$18,0))))+Declarations!$B$20*INDEX(AC$21:AC$141,MAX(1,MIN(121,$B30-ROUND(Declarations!$A$20/$D$18,0)))))</f>
        <v>-256.039581316971</v>
      </c>
      <c r="AE30" s="12" t="n">
        <f aca="false">INDEX(AD$21:AD$141,$I30+1)*(1-$J30)+INDEX(AD$21:AD$141,$I30+2)*$J30</f>
        <v>-258.147264038387</v>
      </c>
      <c r="AF30" s="12" t="n">
        <f aca="false">INDEX(AD$21:AD$141,$K30+1)*(1-$L30)+INDEX(AD$21:AD$141,$K30+2)*$L30</f>
        <v>-252.251704191174</v>
      </c>
      <c r="AG30" s="12" t="n">
        <f aca="false">$C30+$D30+MAX(AE30,AF30,IF(COUNTIFS($A$21:$A$141,"&gt;="&amp;$G30,$A$21:$A$141,"&lt;="&amp;$H30)&gt;0,_xlfn.MAXIFS(AD$21:AD$141,$A$21:$A$141,"&gt;="&amp;$G30,$A$21:$A$141,"&lt;="&amp;$H30),AE30))</f>
        <v>-107.876704191174</v>
      </c>
      <c r="AH30" s="12" t="n">
        <f aca="false">-Cost_k*$A30+Beta_q*(Declarations!$B$16*INDEX(AG$21:AG$141,MAX(1,MIN(121,$B30-ROUND(Declarations!$A$16/$D$18,0))))+Declarations!$B$17*INDEX(AG$21:AG$141,MAX(1,MIN(121,$B30-ROUND(Declarations!$A$17/$D$18,0))))+Declarations!$B$18*INDEX(AG$21:AG$141,MAX(1,MIN(121,$B30-ROUND(Declarations!$A$18/$D$18,0))))+Declarations!$B$19*INDEX(AG$21:AG$141,MAX(1,MIN(121,$B30-ROUND(Declarations!$A$19/$D$18,0))))+Declarations!$B$20*INDEX(AG$21:AG$141,MAX(1,MIN(121,$B30-ROUND(Declarations!$A$20/$D$18,0)))))</f>
        <v>-274.385218184263</v>
      </c>
      <c r="AI30" s="12" t="n">
        <f aca="false">INDEX(AH$21:AH$141,$I30+1)*(1-$J30)+INDEX(AH$21:AH$141,$I30+2)*$J30</f>
        <v>-277.233768456172</v>
      </c>
      <c r="AJ30" s="12" t="n">
        <f aca="false">INDEX(AH$21:AH$141,$K30+1)*(1-$L30)+INDEX(AH$21:AH$141,$K30+2)*$L30</f>
        <v>-269.257063244125</v>
      </c>
      <c r="AK30" s="12" t="n">
        <f aca="false">$C30+$D30+MAX(AI30,AJ30,IF(COUNTIFS($A$21:$A$141,"&gt;="&amp;$G30,$A$21:$A$141,"&lt;="&amp;$H30)&gt;0,_xlfn.MAXIFS(AH$21:AH$141,$A$21:$A$141,"&gt;="&amp;$G30,$A$21:$A$141,"&lt;="&amp;$H30),AI30))</f>
        <v>-124.882063244124</v>
      </c>
      <c r="AL30" s="12" t="n">
        <f aca="false">-Cost_k*$A30+Beta_q*(Declarations!$B$16*INDEX(AK$21:AK$141,MAX(1,MIN(121,$B30-ROUND(Declarations!$A$16/$D$18,0))))+Declarations!$B$17*INDEX(AK$21:AK$141,MAX(1,MIN(121,$B30-ROUND(Declarations!$A$17/$D$18,0))))+Declarations!$B$18*INDEX(AK$21:AK$141,MAX(1,MIN(121,$B30-ROUND(Declarations!$A$18/$D$18,0))))+Declarations!$B$19*INDEX(AK$21:AK$141,MAX(1,MIN(121,$B30-ROUND(Declarations!$A$19/$D$18,0))))+Declarations!$B$20*INDEX(AK$21:AK$141,MAX(1,MIN(121,$B30-ROUND(Declarations!$A$20/$D$18,0)))))</f>
        <v>-290.986499376026</v>
      </c>
      <c r="AM30" s="12" t="n">
        <f aca="false">INDEX(AL$21:AL$141,$I30+1)*(1-$J30)+INDEX(AL$21:AL$141,$I30+2)*$J30</f>
        <v>-294.493189668644</v>
      </c>
      <c r="AN30" s="12" t="n">
        <f aca="false">INDEX(AL$21:AL$141,$K30+1)*(1-$L30)+INDEX(AL$21:AL$141,$K30+2)*$L30</f>
        <v>-284.512505649965</v>
      </c>
      <c r="AO30" s="12" t="n">
        <f aca="false">$C30+$D30+MAX(AM30,AN30,IF(COUNTIFS($A$21:$A$141,"&gt;="&amp;$G30,$A$21:$A$141,"&lt;="&amp;$H30)&gt;0,_xlfn.MAXIFS(AL$21:AL$141,$A$21:$A$141,"&gt;="&amp;$G30,$A$21:$A$141,"&lt;="&amp;$H30),AM30))</f>
        <v>-140.137505649965</v>
      </c>
      <c r="AP30" s="12" t="n">
        <f aca="false">-Cost_k*$A30+Beta_q*(Declarations!$B$16*INDEX(AO$21:AO$141,MAX(1,MIN(121,$B30-ROUND(Declarations!$A$16/$D$18,0))))+Declarations!$B$17*INDEX(AO$21:AO$141,MAX(1,MIN(121,$B30-ROUND(Declarations!$A$17/$D$18,0))))+Declarations!$B$18*INDEX(AO$21:AO$141,MAX(1,MIN(121,$B30-ROUND(Declarations!$A$18/$D$18,0))))+Declarations!$B$19*INDEX(AO$21:AO$141,MAX(1,MIN(121,$B30-ROUND(Declarations!$A$19/$D$18,0))))+Declarations!$B$20*INDEX(AO$21:AO$141,MAX(1,MIN(121,$B30-ROUND(Declarations!$A$20/$D$18,0)))))</f>
        <v>-305.85622481815</v>
      </c>
      <c r="AQ30" s="12" t="n">
        <f aca="false">INDEX(AP$21:AP$141,$I30+1)*(1-$J30)+INDEX(AP$21:AP$141,$I30+2)*$J30</f>
        <v>-310.061235192897</v>
      </c>
      <c r="AR30" s="12" t="n">
        <f aca="false">INDEX(AP$21:AP$141,$K30+1)*(1-$L30)+INDEX(AP$21:AP$141,$K30+2)*$L30</f>
        <v>-297.876554544125</v>
      </c>
      <c r="AS30" s="12" t="n">
        <f aca="false">$C30+$D30+MAX(AQ30,AR30,IF(COUNTIFS($A$21:$A$141,"&gt;="&amp;$G30,$A$21:$A$141,"&lt;="&amp;$H30)&gt;0,_xlfn.MAXIFS(AP$21:AP$141,$A$21:$A$141,"&gt;="&amp;$G30,$A$21:$A$141,"&lt;="&amp;$H30),AQ30))</f>
        <v>-153.501554544125</v>
      </c>
      <c r="AT30" s="12" t="n">
        <f aca="false">-Cost_k*$A30+Beta_q*(Declarations!$B$16*INDEX(AS$21:AS$141,MAX(1,MIN(121,$B30-ROUND(Declarations!$A$16/$D$18,0))))+Declarations!$B$17*INDEX(AS$21:AS$141,MAX(1,MIN(121,$B30-ROUND(Declarations!$A$17/$D$18,0))))+Declarations!$B$18*INDEX(AS$21:AS$141,MAX(1,MIN(121,$B30-ROUND(Declarations!$A$18/$D$18,0))))+Declarations!$B$19*INDEX(AS$21:AS$141,MAX(1,MIN(121,$B30-ROUND(Declarations!$A$19/$D$18,0))))+Declarations!$B$20*INDEX(AS$21:AS$141,MAX(1,MIN(121,$B30-ROUND(Declarations!$A$20/$D$18,0)))))</f>
        <v>-318.892380940408</v>
      </c>
      <c r="AU30" s="12" t="n">
        <f aca="false">INDEX(AT$21:AT$141,$I30+1)*(1-$J30)+INDEX(AT$21:AT$141,$I30+2)*$J30</f>
        <v>-323.859897138458</v>
      </c>
      <c r="AV30" s="12" t="n">
        <f aca="false">INDEX(AT$21:AT$141,$K30+1)*(1-$L30)+INDEX(AT$21:AT$141,$K30+2)*$L30</f>
        <v>-309.364381080904</v>
      </c>
      <c r="AW30" s="12" t="n">
        <f aca="false">$C30+$D30+MAX(AU30,AV30,IF(COUNTIFS($A$21:$A$141,"&gt;="&amp;$G30,$A$21:$A$141,"&lt;="&amp;$H30)&gt;0,_xlfn.MAXIFS(AT$21:AT$141,$A$21:$A$141,"&gt;="&amp;$G30,$A$21:$A$141,"&lt;="&amp;$H30),AU30))</f>
        <v>-164.989381080904</v>
      </c>
      <c r="AX30" s="12" t="n">
        <f aca="false">-Cost_k*$A30+Beta_q*(Declarations!$B$16*INDEX(AW$21:AW$141,MAX(1,MIN(121,$B30-ROUND(Declarations!$A$16/$D$18,0))))+Declarations!$B$17*INDEX(AW$21:AW$141,MAX(1,MIN(121,$B30-ROUND(Declarations!$A$17/$D$18,0))))+Declarations!$B$18*INDEX(AW$21:AW$141,MAX(1,MIN(121,$B30-ROUND(Declarations!$A$18/$D$18,0))))+Declarations!$B$19*INDEX(AW$21:AW$141,MAX(1,MIN(121,$B30-ROUND(Declarations!$A$19/$D$18,0))))+Declarations!$B$20*INDEX(AW$21:AW$141,MAX(1,MIN(121,$B30-ROUND(Declarations!$A$20/$D$18,0)))))</f>
        <v>-330.106551312793</v>
      </c>
      <c r="AY30" s="12" t="n">
        <f aca="false">INDEX(AX$21:AX$141,$I30+1)*(1-$J30)+INDEX(AX$21:AX$141,$I30+2)*$J30</f>
        <v>-335.844337402909</v>
      </c>
      <c r="AZ30" s="12" t="n">
        <f aca="false">INDEX(AX$21:AX$141,$K30+1)*(1-$L30)+INDEX(AX$21:AX$141,$K30+2)*$L30</f>
        <v>-319.080399380503</v>
      </c>
      <c r="BA30" s="12" t="n">
        <f aca="false">$C30+$D30+MAX(AY30,AZ30,IF(COUNTIFS($A$21:$A$141,"&gt;="&amp;$G30,$A$21:$A$141,"&lt;="&amp;$H30)&gt;0,_xlfn.MAXIFS(AX$21:AX$141,$A$21:$A$141,"&gt;="&amp;$G30,$A$21:$A$141,"&lt;="&amp;$H30),AY30))</f>
        <v>-174.705399380503</v>
      </c>
      <c r="BB30" s="12" t="n">
        <f aca="false">-Cost_k*$A30+Beta_q*(Declarations!$B$16*INDEX(BA$21:BA$141,MAX(1,MIN(121,$B30-ROUND(Declarations!$A$16/$D$18,0))))+Declarations!$B$17*INDEX(BA$21:BA$141,MAX(1,MIN(121,$B30-ROUND(Declarations!$A$17/$D$18,0))))+Declarations!$B$18*INDEX(BA$21:BA$141,MAX(1,MIN(121,$B30-ROUND(Declarations!$A$18/$D$18,0))))+Declarations!$B$19*INDEX(BA$21:BA$141,MAX(1,MIN(121,$B30-ROUND(Declarations!$A$19/$D$18,0))))+Declarations!$B$20*INDEX(BA$21:BA$141,MAX(1,MIN(121,$B30-ROUND(Declarations!$A$20/$D$18,0)))))</f>
        <v>-339.597533850438</v>
      </c>
      <c r="BC30" s="12" t="n">
        <f aca="false">INDEX(BB$21:BB$141,$I30+1)*(1-$J30)+INDEX(BB$21:BB$141,$I30+2)*$J30</f>
        <v>-346.072438555396</v>
      </c>
      <c r="BD30" s="12" t="n">
        <f aca="false">INDEX(BB$21:BB$141,$K30+1)*(1-$L30)+INDEX(BB$21:BB$141,$K30+2)*$L30</f>
        <v>-327.189720682744</v>
      </c>
      <c r="BE30" s="12" t="n">
        <f aca="false">$C30+$D30+MAX(BC30,BD30,IF(COUNTIFS($A$21:$A$141,"&gt;="&amp;$G30,$A$21:$A$141,"&lt;="&amp;$H30)&gt;0,_xlfn.MAXIFS(BB$21:BB$141,$A$21:$A$141,"&gt;="&amp;$G30,$A$21:$A$141,"&lt;="&amp;$H30),BC30))</f>
        <v>-182.814720682744</v>
      </c>
      <c r="BF30" s="12" t="n">
        <f aca="false">-Cost_k*$A30+Beta_q*(Declarations!$B$16*INDEX(BE$21:BE$141,MAX(1,MIN(121,$B30-ROUND(Declarations!$A$16/$D$18,0))))+Declarations!$B$17*INDEX(BE$21:BE$141,MAX(1,MIN(121,$B30-ROUND(Declarations!$A$17/$D$18,0))))+Declarations!$B$18*INDEX(BE$21:BE$141,MAX(1,MIN(121,$B30-ROUND(Declarations!$A$18/$D$18,0))))+Declarations!$B$19*INDEX(BE$21:BE$141,MAX(1,MIN(121,$B30-ROUND(Declarations!$A$19/$D$18,0))))+Declarations!$B$20*INDEX(BE$21:BE$141,MAX(1,MIN(121,$B30-ROUND(Declarations!$A$20/$D$18,0)))))</f>
        <v>-347.528252090471</v>
      </c>
      <c r="BG30" s="12" t="n">
        <f aca="false">INDEX(BF$21:BF$141,$I30+1)*(1-$J30)+INDEX(BF$21:BF$141,$I30+2)*$J30</f>
        <v>-354.672593429998</v>
      </c>
      <c r="BH30" s="12" t="n">
        <f aca="false">INDEX(BF$21:BF$141,$K30+1)*(1-$L30)+INDEX(BF$21:BF$141,$K30+2)*$L30</f>
        <v>-333.932948748103</v>
      </c>
      <c r="BI30" s="12" t="n">
        <f aca="false">$C30+$D30+MAX(BG30,BH30,IF(COUNTIFS($A$21:$A$141,"&gt;="&amp;$G30,$A$21:$A$141,"&lt;="&amp;$H30)&gt;0,_xlfn.MAXIFS(BF$21:BF$141,$A$21:$A$141,"&gt;="&amp;$G30,$A$21:$A$141,"&lt;="&amp;$H30),BG30))</f>
        <v>-189.557948748103</v>
      </c>
      <c r="BJ30" s="23" t="n">
        <v>-189.557948748103</v>
      </c>
      <c r="BK30" s="22" t="n">
        <f aca="false">ABS(BI30-BJ30)</f>
        <v>0</v>
      </c>
    </row>
    <row r="31" customFormat="false" ht="15" hidden="false" customHeight="false" outlineLevel="0" collapsed="false">
      <c r="A31" s="14" t="n">
        <f aca="false">A30+$D$18</f>
        <v>42.5</v>
      </c>
      <c r="B31" s="19" t="n">
        <v>11</v>
      </c>
      <c r="C31" s="12" t="n">
        <f aca="false">-Short_p*MAX(Floor_c-A31,0)</f>
        <v>-20</v>
      </c>
      <c r="D31" s="12" t="n">
        <f aca="false">Cost_k*Alpha_keep*A31</f>
        <v>165.75</v>
      </c>
      <c r="E31" s="12" t="n">
        <f aca="false">MIN(Cap_h,MAX(0,$B$18+MAX(Loss_w)-Alpha_keep*A31))</f>
        <v>0.0625</v>
      </c>
      <c r="F31" s="12" t="n">
        <f aca="false">MAX(MIN(Cap_h,$F$18+MIN(Loss_w)-Alpha_keep*A31),E31)</f>
        <v>2.5</v>
      </c>
      <c r="G31" s="12" t="n">
        <f aca="false">Alpha_keep*A31+E31</f>
        <v>41.5</v>
      </c>
      <c r="H31" s="12" t="n">
        <f aca="false">Alpha_keep*A31+F31</f>
        <v>43.9375</v>
      </c>
      <c r="I31" s="19" t="n">
        <f aca="false">MIN(INT((G31-$B$18)/$D$18+0.000000001),119)</f>
        <v>6</v>
      </c>
      <c r="J31" s="12" t="n">
        <f aca="false">(G31-$B$18)/$D$18-I31</f>
        <v>0</v>
      </c>
      <c r="K31" s="19" t="n">
        <f aca="false">MIN(INT((H31-$B$18)/$D$18+0.000000001),119)</f>
        <v>15</v>
      </c>
      <c r="L31" s="12" t="n">
        <f aca="false">(H31-$B$18)/$D$18-K31</f>
        <v>0.75</v>
      </c>
      <c r="M31" s="9" t="n">
        <v>0</v>
      </c>
      <c r="N31" s="12" t="n">
        <f aca="false">-Cost_k*$A31+Beta_q*(Declarations!$B$16*INDEX(M$21:M$141,MAX(1,MIN(121,$B31-ROUND(Declarations!$A$16/$D$18,0))))+Declarations!$B$17*INDEX(M$21:M$141,MAX(1,MIN(121,$B31-ROUND(Declarations!$A$17/$D$18,0))))+Declarations!$B$18*INDEX(M$21:M$141,MAX(1,MIN(121,$B31-ROUND(Declarations!$A$18/$D$18,0))))+Declarations!$B$19*INDEX(M$21:M$141,MAX(1,MIN(121,$B31-ROUND(Declarations!$A$19/$D$18,0))))+Declarations!$B$20*INDEX(M$21:M$141,MAX(1,MIN(121,$B31-ROUND(Declarations!$A$20/$D$18,0)))))</f>
        <v>-170</v>
      </c>
      <c r="O31" s="12" t="n">
        <f aca="false">INDEX(N$21:N$141,$I31+1)*(1-$J31)+INDEX(N$21:N$141,$I31+2)*$J31</f>
        <v>-166</v>
      </c>
      <c r="P31" s="12" t="n">
        <f aca="false">INDEX(N$21:N$141,$K31+1)*(1-$L31)+INDEX(N$21:N$141,$K31+2)*$L31</f>
        <v>-175.75</v>
      </c>
      <c r="Q31" s="12" t="n">
        <f aca="false">$C31+$D31+MAX(O31,P31,IF(COUNTIFS($A$21:$A$141,"&gt;="&amp;$G31,$A$21:$A$141,"&lt;="&amp;$H31)&gt;0,_xlfn.MAXIFS(N$21:N$141,$A$21:$A$141,"&gt;="&amp;$G31,$A$21:$A$141,"&lt;="&amp;$H31),O31))</f>
        <v>-20.25</v>
      </c>
      <c r="R31" s="12" t="n">
        <f aca="false">-Cost_k*$A31+Beta_q*(Declarations!$B$16*INDEX(Q$21:Q$141,MAX(1,MIN(121,$B31-ROUND(Declarations!$A$16/$D$18,0))))+Declarations!$B$17*INDEX(Q$21:Q$141,MAX(1,MIN(121,$B31-ROUND(Declarations!$A$17/$D$18,0))))+Declarations!$B$18*INDEX(Q$21:Q$141,MAX(1,MIN(121,$B31-ROUND(Declarations!$A$18/$D$18,0))))+Declarations!$B$19*INDEX(Q$21:Q$141,MAX(1,MIN(121,$B31-ROUND(Declarations!$A$19/$D$18,0))))+Declarations!$B$20*INDEX(Q$21:Q$141,MAX(1,MIN(121,$B31-ROUND(Declarations!$A$20/$D$18,0)))))</f>
        <v>-190.569005399031</v>
      </c>
      <c r="S31" s="12" t="n">
        <f aca="false">INDEX(R$21:R$141,$I31+1)*(1-$J31)+INDEX(R$21:R$141,$I31+2)*$J31</f>
        <v>-191.226691406788</v>
      </c>
      <c r="T31" s="12" t="n">
        <f aca="false">INDEX(R$21:R$141,$K31+1)*(1-$L31)+INDEX(R$21:R$141,$K31+2)*$L31</f>
        <v>-193.05734359761</v>
      </c>
      <c r="U31" s="12" t="n">
        <f aca="false">$C31+$D31+MAX(S31,T31,IF(COUNTIFS($A$21:$A$141,"&gt;="&amp;$G31,$A$21:$A$141,"&lt;="&amp;$H31)&gt;0,_xlfn.MAXIFS(R$21:R$141,$A$21:$A$141,"&gt;="&amp;$G31,$A$21:$A$141,"&lt;="&amp;$H31),S31))</f>
        <v>-44.8190053990315</v>
      </c>
      <c r="V31" s="12" t="n">
        <f aca="false">-Cost_k*$A31+Beta_q*(Declarations!$B$16*INDEX(U$21:U$141,MAX(1,MIN(121,$B31-ROUND(Declarations!$A$16/$D$18,0))))+Declarations!$B$17*INDEX(U$21:U$141,MAX(1,MIN(121,$B31-ROUND(Declarations!$A$17/$D$18,0))))+Declarations!$B$18*INDEX(U$21:U$141,MAX(1,MIN(121,$B31-ROUND(Declarations!$A$18/$D$18,0))))+Declarations!$B$19*INDEX(U$21:U$141,MAX(1,MIN(121,$B31-ROUND(Declarations!$A$19/$D$18,0))))+Declarations!$B$20*INDEX(U$21:U$141,MAX(1,MIN(121,$B31-ROUND(Declarations!$A$20/$D$18,0)))))</f>
        <v>-213.787265732076</v>
      </c>
      <c r="W31" s="12" t="n">
        <f aca="false">INDEX(V$21:V$141,$I31+1)*(1-$J31)+INDEX(V$21:V$141,$I31+2)*$J31</f>
        <v>-215.188270969776</v>
      </c>
      <c r="X31" s="12" t="n">
        <f aca="false">INDEX(V$21:V$141,$K31+1)*(1-$L31)+INDEX(V$21:V$141,$K31+2)*$L31</f>
        <v>-212.475128538401</v>
      </c>
      <c r="Y31" s="12" t="n">
        <f aca="false">$C31+$D31+MAX(W31,X31,IF(COUNTIFS($A$21:$A$141,"&gt;="&amp;$G31,$A$21:$A$141,"&lt;="&amp;$H31)&gt;0,_xlfn.MAXIFS(V$21:V$141,$A$21:$A$141,"&gt;="&amp;$G31,$A$21:$A$141,"&lt;="&amp;$H31),W31))</f>
        <v>-66.725128538401</v>
      </c>
      <c r="Z31" s="12" t="n">
        <f aca="false">-Cost_k*$A31+Beta_q*(Declarations!$B$16*INDEX(Y$21:Y$141,MAX(1,MIN(121,$B31-ROUND(Declarations!$A$16/$D$18,0))))+Declarations!$B$17*INDEX(Y$21:Y$141,MAX(1,MIN(121,$B31-ROUND(Declarations!$A$17/$D$18,0))))+Declarations!$B$18*INDEX(Y$21:Y$141,MAX(1,MIN(121,$B31-ROUND(Declarations!$A$18/$D$18,0))))+Declarations!$B$19*INDEX(Y$21:Y$141,MAX(1,MIN(121,$B31-ROUND(Declarations!$A$19/$D$18,0))))+Declarations!$B$20*INDEX(Y$21:Y$141,MAX(1,MIN(121,$B31-ROUND(Declarations!$A$20/$D$18,0)))))</f>
        <v>-235.303762812518</v>
      </c>
      <c r="AA31" s="12" t="n">
        <f aca="false">INDEX(Z$21:Z$141,$I31+1)*(1-$J31)+INDEX(Z$21:Z$141,$I31+2)*$J31</f>
        <v>-237.357058768902</v>
      </c>
      <c r="AB31" s="12" t="n">
        <f aca="false">INDEX(Z$21:Z$141,$K31+1)*(1-$L31)+INDEX(Z$21:Z$141,$K31+2)*$L31</f>
        <v>-233.144711924448</v>
      </c>
      <c r="AC31" s="12" t="n">
        <f aca="false">$C31+$D31+MAX(AA31,AB31,IF(COUNTIFS($A$21:$A$141,"&gt;="&amp;$G31,$A$21:$A$141,"&lt;="&amp;$H31)&gt;0,_xlfn.MAXIFS(Z$21:Z$141,$A$21:$A$141,"&gt;="&amp;$G31,$A$21:$A$141,"&lt;="&amp;$H31),AA31))</f>
        <v>-87.3947119244483</v>
      </c>
      <c r="AD31" s="12" t="n">
        <f aca="false">-Cost_k*$A31+Beta_q*(Declarations!$B$16*INDEX(AC$21:AC$141,MAX(1,MIN(121,$B31-ROUND(Declarations!$A$16/$D$18,0))))+Declarations!$B$17*INDEX(AC$21:AC$141,MAX(1,MIN(121,$B31-ROUND(Declarations!$A$17/$D$18,0))))+Declarations!$B$18*INDEX(AC$21:AC$141,MAX(1,MIN(121,$B31-ROUND(Declarations!$A$18/$D$18,0))))+Declarations!$B$19*INDEX(AC$21:AC$141,MAX(1,MIN(121,$B31-ROUND(Declarations!$A$19/$D$18,0))))+Declarations!$B$20*INDEX(AC$21:AC$141,MAX(1,MIN(121,$B31-ROUND(Declarations!$A$20/$D$18,0)))))</f>
        <v>-255.361471532922</v>
      </c>
      <c r="AE31" s="12" t="n">
        <f aca="false">INDEX(AD$21:AD$141,$I31+1)*(1-$J31)+INDEX(AD$21:AD$141,$I31+2)*$J31</f>
        <v>-258.147264038387</v>
      </c>
      <c r="AF31" s="12" t="n">
        <f aca="false">INDEX(AD$21:AD$141,$K31+1)*(1-$L31)+INDEX(AD$21:AD$141,$K31+2)*$L31</f>
        <v>-251.649536675717</v>
      </c>
      <c r="AG31" s="12" t="n">
        <f aca="false">$C31+$D31+MAX(AE31,AF31,IF(COUNTIFS($A$21:$A$141,"&gt;="&amp;$G31,$A$21:$A$141,"&lt;="&amp;$H31)&gt;0,_xlfn.MAXIFS(AD$21:AD$141,$A$21:$A$141,"&gt;="&amp;$G31,$A$21:$A$141,"&lt;="&amp;$H31),AE31))</f>
        <v>-105.899536675717</v>
      </c>
      <c r="AH31" s="12" t="n">
        <f aca="false">-Cost_k*$A31+Beta_q*(Declarations!$B$16*INDEX(AG$21:AG$141,MAX(1,MIN(121,$B31-ROUND(Declarations!$A$16/$D$18,0))))+Declarations!$B$17*INDEX(AG$21:AG$141,MAX(1,MIN(121,$B31-ROUND(Declarations!$A$17/$D$18,0))))+Declarations!$B$18*INDEX(AG$21:AG$141,MAX(1,MIN(121,$B31-ROUND(Declarations!$A$18/$D$18,0))))+Declarations!$B$19*INDEX(AG$21:AG$141,MAX(1,MIN(121,$B31-ROUND(Declarations!$A$19/$D$18,0))))+Declarations!$B$20*INDEX(AG$21:AG$141,MAX(1,MIN(121,$B31-ROUND(Declarations!$A$20/$D$18,0)))))</f>
        <v>-273.460492367608</v>
      </c>
      <c r="AI31" s="12" t="n">
        <f aca="false">INDEX(AH$21:AH$141,$I31+1)*(1-$J31)+INDEX(AH$21:AH$141,$I31+2)*$J31</f>
        <v>-277.233768456172</v>
      </c>
      <c r="AJ31" s="12" t="n">
        <f aca="false">INDEX(AH$21:AH$141,$K31+1)*(1-$L31)+INDEX(AH$21:AH$141,$K31+2)*$L31</f>
        <v>-268.440772351327</v>
      </c>
      <c r="AK31" s="12" t="n">
        <f aca="false">$C31+$D31+MAX(AI31,AJ31,IF(COUNTIFS($A$21:$A$141,"&gt;="&amp;$G31,$A$21:$A$141,"&lt;="&amp;$H31)&gt;0,_xlfn.MAXIFS(AH$21:AH$141,$A$21:$A$141,"&gt;="&amp;$G31,$A$21:$A$141,"&lt;="&amp;$H31),AI31))</f>
        <v>-122.690772351327</v>
      </c>
      <c r="AL31" s="12" t="n">
        <f aca="false">-Cost_k*$A31+Beta_q*(Declarations!$B$16*INDEX(AK$21:AK$141,MAX(1,MIN(121,$B31-ROUND(Declarations!$A$16/$D$18,0))))+Declarations!$B$17*INDEX(AK$21:AK$141,MAX(1,MIN(121,$B31-ROUND(Declarations!$A$17/$D$18,0))))+Declarations!$B$18*INDEX(AK$21:AK$141,MAX(1,MIN(121,$B31-ROUND(Declarations!$A$18/$D$18,0))))+Declarations!$B$19*INDEX(AK$21:AK$141,MAX(1,MIN(121,$B31-ROUND(Declarations!$A$19/$D$18,0))))+Declarations!$B$20*INDEX(AK$21:AK$141,MAX(1,MIN(121,$B31-ROUND(Declarations!$A$20/$D$18,0)))))</f>
        <v>-289.842818923499</v>
      </c>
      <c r="AM31" s="12" t="n">
        <f aca="false">INDEX(AL$21:AL$141,$I31+1)*(1-$J31)+INDEX(AL$21:AL$141,$I31+2)*$J31</f>
        <v>-294.493189668644</v>
      </c>
      <c r="AN31" s="12" t="n">
        <f aca="false">INDEX(AL$21:AL$141,$K31+1)*(1-$L31)+INDEX(AL$21:AL$141,$K31+2)*$L31</f>
        <v>-283.443303701607</v>
      </c>
      <c r="AO31" s="12" t="n">
        <f aca="false">$C31+$D31+MAX(AM31,AN31,IF(COUNTIFS($A$21:$A$141,"&gt;="&amp;$G31,$A$21:$A$141,"&lt;="&amp;$H31)&gt;0,_xlfn.MAXIFS(AL$21:AL$141,$A$21:$A$141,"&gt;="&amp;$G31,$A$21:$A$141,"&lt;="&amp;$H31),AM31))</f>
        <v>-137.693303701607</v>
      </c>
      <c r="AP31" s="12" t="n">
        <f aca="false">-Cost_k*$A31+Beta_q*(Declarations!$B$16*INDEX(AO$21:AO$141,MAX(1,MIN(121,$B31-ROUND(Declarations!$A$16/$D$18,0))))+Declarations!$B$17*INDEX(AO$21:AO$141,MAX(1,MIN(121,$B31-ROUND(Declarations!$A$17/$D$18,0))))+Declarations!$B$18*INDEX(AO$21:AO$141,MAX(1,MIN(121,$B31-ROUND(Declarations!$A$18/$D$18,0))))+Declarations!$B$19*INDEX(AO$21:AO$141,MAX(1,MIN(121,$B31-ROUND(Declarations!$A$19/$D$18,0))))+Declarations!$B$20*INDEX(AO$21:AO$141,MAX(1,MIN(121,$B31-ROUND(Declarations!$A$20/$D$18,0)))))</f>
        <v>-304.466308371261</v>
      </c>
      <c r="AQ31" s="12" t="n">
        <f aca="false">INDEX(AP$21:AP$141,$I31+1)*(1-$J31)+INDEX(AP$21:AP$141,$I31+2)*$J31</f>
        <v>-310.061235192897</v>
      </c>
      <c r="AR31" s="12" t="n">
        <f aca="false">INDEX(AP$21:AP$141,$K31+1)*(1-$L31)+INDEX(AP$21:AP$141,$K31+2)*$L31</f>
        <v>-296.536649156606</v>
      </c>
      <c r="AS31" s="12" t="n">
        <f aca="false">$C31+$D31+MAX(AQ31,AR31,IF(COUNTIFS($A$21:$A$141,"&gt;="&amp;$G31,$A$21:$A$141,"&lt;="&amp;$H31)&gt;0,_xlfn.MAXIFS(AP$21:AP$141,$A$21:$A$141,"&gt;="&amp;$G31,$A$21:$A$141,"&lt;="&amp;$H31),AQ31))</f>
        <v>-150.786649156606</v>
      </c>
      <c r="AT31" s="12" t="n">
        <f aca="false">-Cost_k*$A31+Beta_q*(Declarations!$B$16*INDEX(AS$21:AS$141,MAX(1,MIN(121,$B31-ROUND(Declarations!$A$16/$D$18,0))))+Declarations!$B$17*INDEX(AS$21:AS$141,MAX(1,MIN(121,$B31-ROUND(Declarations!$A$17/$D$18,0))))+Declarations!$B$18*INDEX(AS$21:AS$141,MAX(1,MIN(121,$B31-ROUND(Declarations!$A$18/$D$18,0))))+Declarations!$B$19*INDEX(AS$21:AS$141,MAX(1,MIN(121,$B31-ROUND(Declarations!$A$19/$D$18,0))))+Declarations!$B$20*INDEX(AS$21:AS$141,MAX(1,MIN(121,$B31-ROUND(Declarations!$A$20/$D$18,0)))))</f>
        <v>-317.24023083329</v>
      </c>
      <c r="AU31" s="12" t="n">
        <f aca="false">INDEX(AT$21:AT$141,$I31+1)*(1-$J31)+INDEX(AT$21:AT$141,$I31+2)*$J31</f>
        <v>-323.859897138458</v>
      </c>
      <c r="AV31" s="12" t="n">
        <f aca="false">INDEX(AT$21:AT$141,$K31+1)*(1-$L31)+INDEX(AT$21:AT$141,$K31+2)*$L31</f>
        <v>-307.757882999093</v>
      </c>
      <c r="AW31" s="12" t="n">
        <f aca="false">$C31+$D31+MAX(AU31,AV31,IF(COUNTIFS($A$21:$A$141,"&gt;="&amp;$G31,$A$21:$A$141,"&lt;="&amp;$H31)&gt;0,_xlfn.MAXIFS(AT$21:AT$141,$A$21:$A$141,"&gt;="&amp;$G31,$A$21:$A$141,"&lt;="&amp;$H31),AU31))</f>
        <v>-162.007882999093</v>
      </c>
      <c r="AX31" s="12" t="n">
        <f aca="false">-Cost_k*$A31+Beta_q*(Declarations!$B$16*INDEX(AW$21:AW$141,MAX(1,MIN(121,$B31-ROUND(Declarations!$A$16/$D$18,0))))+Declarations!$B$17*INDEX(AW$21:AW$141,MAX(1,MIN(121,$B31-ROUND(Declarations!$A$17/$D$18,0))))+Declarations!$B$18*INDEX(AW$21:AW$141,MAX(1,MIN(121,$B31-ROUND(Declarations!$A$18/$D$18,0))))+Declarations!$B$19*INDEX(AW$21:AW$141,MAX(1,MIN(121,$B31-ROUND(Declarations!$A$19/$D$18,0))))+Declarations!$B$20*INDEX(AW$21:AW$141,MAX(1,MIN(121,$B31-ROUND(Declarations!$A$20/$D$18,0)))))</f>
        <v>-328.195286025429</v>
      </c>
      <c r="AY31" s="12" t="n">
        <f aca="false">INDEX(AX$21:AX$141,$I31+1)*(1-$J31)+INDEX(AX$21:AX$141,$I31+2)*$J31</f>
        <v>-335.844337402909</v>
      </c>
      <c r="AZ31" s="12" t="n">
        <f aca="false">INDEX(AX$21:AX$141,$K31+1)*(1-$L31)+INDEX(AX$21:AX$141,$K31+2)*$L31</f>
        <v>-317.222642739139</v>
      </c>
      <c r="BA31" s="12" t="n">
        <f aca="false">$C31+$D31+MAX(AY31,AZ31,IF(COUNTIFS($A$21:$A$141,"&gt;="&amp;$G31,$A$21:$A$141,"&lt;="&amp;$H31)&gt;0,_xlfn.MAXIFS(AX$21:AX$141,$A$21:$A$141,"&gt;="&amp;$G31,$A$21:$A$141,"&lt;="&amp;$H31),AY31))</f>
        <v>-171.472642739139</v>
      </c>
      <c r="BB31" s="12" t="n">
        <f aca="false">-Cost_k*$A31+Beta_q*(Declarations!$B$16*INDEX(BA$21:BA$141,MAX(1,MIN(121,$B31-ROUND(Declarations!$A$16/$D$18,0))))+Declarations!$B$17*INDEX(BA$21:BA$141,MAX(1,MIN(121,$B31-ROUND(Declarations!$A$17/$D$18,0))))+Declarations!$B$18*INDEX(BA$21:BA$141,MAX(1,MIN(121,$B31-ROUND(Declarations!$A$18/$D$18,0))))+Declarations!$B$19*INDEX(BA$21:BA$141,MAX(1,MIN(121,$B31-ROUND(Declarations!$A$19/$D$18,0))))+Declarations!$B$20*INDEX(BA$21:BA$141,MAX(1,MIN(121,$B31-ROUND(Declarations!$A$20/$D$18,0)))))</f>
        <v>-337.442265099969</v>
      </c>
      <c r="BC31" s="12" t="n">
        <f aca="false">INDEX(BB$21:BB$141,$I31+1)*(1-$J31)+INDEX(BB$21:BB$141,$I31+2)*$J31</f>
        <v>-346.072438555396</v>
      </c>
      <c r="BD31" s="12" t="n">
        <f aca="false">INDEX(BB$21:BB$141,$K31+1)*(1-$L31)+INDEX(BB$21:BB$141,$K31+2)*$L31</f>
        <v>-325.108278353685</v>
      </c>
      <c r="BE31" s="12" t="n">
        <f aca="false">$C31+$D31+MAX(BC31,BD31,IF(COUNTIFS($A$21:$A$141,"&gt;="&amp;$G31,$A$21:$A$141,"&lt;="&amp;$H31)&gt;0,_xlfn.MAXIFS(BB$21:BB$141,$A$21:$A$141,"&gt;="&amp;$G31,$A$21:$A$141,"&lt;="&amp;$H31),BC31))</f>
        <v>-179.358278353685</v>
      </c>
      <c r="BF31" s="12" t="n">
        <f aca="false">-Cost_k*$A31+Beta_q*(Declarations!$B$16*INDEX(BE$21:BE$141,MAX(1,MIN(121,$B31-ROUND(Declarations!$A$16/$D$18,0))))+Declarations!$B$17*INDEX(BE$21:BE$141,MAX(1,MIN(121,$B31-ROUND(Declarations!$A$17/$D$18,0))))+Declarations!$B$18*INDEX(BE$21:BE$141,MAX(1,MIN(121,$B31-ROUND(Declarations!$A$18/$D$18,0))))+Declarations!$B$19*INDEX(BE$21:BE$141,MAX(1,MIN(121,$B31-ROUND(Declarations!$A$19/$D$18,0))))+Declarations!$B$20*INDEX(BE$21:BE$141,MAX(1,MIN(121,$B31-ROUND(Declarations!$A$20/$D$18,0)))))</f>
        <v>-345.156331117325</v>
      </c>
      <c r="BG31" s="12" t="n">
        <f aca="false">INDEX(BF$21:BF$141,$I31+1)*(1-$J31)+INDEX(BF$21:BF$141,$I31+2)*$J31</f>
        <v>-354.672593429998</v>
      </c>
      <c r="BH31" s="12" t="n">
        <f aca="false">INDEX(BF$21:BF$141,$K31+1)*(1-$L31)+INDEX(BF$21:BF$141,$K31+2)*$L31</f>
        <v>-331.669794546039</v>
      </c>
      <c r="BI31" s="12" t="n">
        <f aca="false">$C31+$D31+MAX(BG31,BH31,IF(COUNTIFS($A$21:$A$141,"&gt;="&amp;$G31,$A$21:$A$141,"&lt;="&amp;$H31)&gt;0,_xlfn.MAXIFS(BF$21:BF$141,$A$21:$A$141,"&gt;="&amp;$G31,$A$21:$A$141,"&lt;="&amp;$H31),BG31))</f>
        <v>-185.919794546038</v>
      </c>
      <c r="BJ31" s="23" t="n">
        <v>-185.919794546039</v>
      </c>
      <c r="BK31" s="22" t="n">
        <f aca="false">ABS(BI31-BJ31)</f>
        <v>0</v>
      </c>
    </row>
    <row r="32" customFormat="false" ht="15" hidden="false" customHeight="false" outlineLevel="0" collapsed="false">
      <c r="A32" s="14" t="n">
        <f aca="false">A31+$D$18</f>
        <v>42.75</v>
      </c>
      <c r="B32" s="19" t="n">
        <v>12</v>
      </c>
      <c r="C32" s="12" t="n">
        <f aca="false">-Short_p*MAX(Floor_c-A32,0)</f>
        <v>-19.6</v>
      </c>
      <c r="D32" s="12" t="n">
        <f aca="false">Cost_k*Alpha_keep*A32</f>
        <v>166.725</v>
      </c>
      <c r="E32" s="12" t="n">
        <f aca="false">MIN(Cap_h,MAX(0,$B$18+MAX(Loss_w)-Alpha_keep*A32))</f>
        <v>0</v>
      </c>
      <c r="F32" s="12" t="n">
        <f aca="false">MAX(MIN(Cap_h,$F$18+MIN(Loss_w)-Alpha_keep*A32),E32)</f>
        <v>2.5</v>
      </c>
      <c r="G32" s="12" t="n">
        <f aca="false">Alpha_keep*A32+E32</f>
        <v>41.68125</v>
      </c>
      <c r="H32" s="12" t="n">
        <f aca="false">Alpha_keep*A32+F32</f>
        <v>44.18125</v>
      </c>
      <c r="I32" s="19" t="n">
        <f aca="false">MIN(INT((G32-$B$18)/$D$18+0.000000001),119)</f>
        <v>6</v>
      </c>
      <c r="J32" s="12" t="n">
        <f aca="false">(G32-$B$18)/$D$18-I32</f>
        <v>0.724999999999994</v>
      </c>
      <c r="K32" s="19" t="n">
        <f aca="false">MIN(INT((H32-$B$18)/$D$18+0.000000001),119)</f>
        <v>16</v>
      </c>
      <c r="L32" s="12" t="n">
        <f aca="false">(H32-$B$18)/$D$18-K32</f>
        <v>0.724999999999994</v>
      </c>
      <c r="M32" s="9" t="n">
        <v>0</v>
      </c>
      <c r="N32" s="12" t="n">
        <f aca="false">-Cost_k*$A32+Beta_q*(Declarations!$B$16*INDEX(M$21:M$141,MAX(1,MIN(121,$B32-ROUND(Declarations!$A$16/$D$18,0))))+Declarations!$B$17*INDEX(M$21:M$141,MAX(1,MIN(121,$B32-ROUND(Declarations!$A$17/$D$18,0))))+Declarations!$B$18*INDEX(M$21:M$141,MAX(1,MIN(121,$B32-ROUND(Declarations!$A$18/$D$18,0))))+Declarations!$B$19*INDEX(M$21:M$141,MAX(1,MIN(121,$B32-ROUND(Declarations!$A$19/$D$18,0))))+Declarations!$B$20*INDEX(M$21:M$141,MAX(1,MIN(121,$B32-ROUND(Declarations!$A$20/$D$18,0)))))</f>
        <v>-171</v>
      </c>
      <c r="O32" s="12" t="n">
        <f aca="false">INDEX(N$21:N$141,$I32+1)*(1-$J32)+INDEX(N$21:N$141,$I32+2)*$J32</f>
        <v>-166.725</v>
      </c>
      <c r="P32" s="12" t="n">
        <f aca="false">INDEX(N$21:N$141,$K32+1)*(1-$L32)+INDEX(N$21:N$141,$K32+2)*$L32</f>
        <v>-176.725</v>
      </c>
      <c r="Q32" s="12" t="n">
        <f aca="false">$C32+$D32+MAX(O32,P32,IF(COUNTIFS($A$21:$A$141,"&gt;="&amp;$G32,$A$21:$A$141,"&lt;="&amp;$H32)&gt;0,_xlfn.MAXIFS(N$21:N$141,$A$21:$A$141,"&gt;="&amp;$G32,$A$21:$A$141,"&lt;="&amp;$H32),O32))</f>
        <v>-19.6</v>
      </c>
      <c r="R32" s="12" t="n">
        <f aca="false">-Cost_k*$A32+Beta_q*(Declarations!$B$16*INDEX(Q$21:Q$141,MAX(1,MIN(121,$B32-ROUND(Declarations!$A$16/$D$18,0))))+Declarations!$B$17*INDEX(Q$21:Q$141,MAX(1,MIN(121,$B32-ROUND(Declarations!$A$17/$D$18,0))))+Declarations!$B$18*INDEX(Q$21:Q$141,MAX(1,MIN(121,$B32-ROUND(Declarations!$A$18/$D$18,0))))+Declarations!$B$19*INDEX(Q$21:Q$141,MAX(1,MIN(121,$B32-ROUND(Declarations!$A$19/$D$18,0))))+Declarations!$B$20*INDEX(Q$21:Q$141,MAX(1,MIN(121,$B32-ROUND(Declarations!$A$20/$D$18,0)))))</f>
        <v>-190.818356317593</v>
      </c>
      <c r="S32" s="12" t="n">
        <f aca="false">INDEX(R$21:R$141,$I32+1)*(1-$J32)+INDEX(R$21:R$141,$I32+2)*$J32</f>
        <v>-191.012800285373</v>
      </c>
      <c r="T32" s="12" t="n">
        <f aca="false">INDEX(R$21:R$141,$K32+1)*(1-$L32)+INDEX(R$21:R$141,$K32+2)*$L32</f>
        <v>-193.63077685323</v>
      </c>
      <c r="U32" s="12" t="n">
        <f aca="false">$C32+$D32+MAX(S32,T32,IF(COUNTIFS($A$21:$A$141,"&gt;="&amp;$G32,$A$21:$A$141,"&lt;="&amp;$H32)&gt;0,_xlfn.MAXIFS(R$21:R$141,$A$21:$A$141,"&gt;="&amp;$G32,$A$21:$A$141,"&lt;="&amp;$H32),S32))</f>
        <v>-43.4440053990315</v>
      </c>
      <c r="V32" s="12" t="n">
        <f aca="false">-Cost_k*$A32+Beta_q*(Declarations!$B$16*INDEX(U$21:U$141,MAX(1,MIN(121,$B32-ROUND(Declarations!$A$16/$D$18,0))))+Declarations!$B$17*INDEX(U$21:U$141,MAX(1,MIN(121,$B32-ROUND(Declarations!$A$17/$D$18,0))))+Declarations!$B$18*INDEX(U$21:U$141,MAX(1,MIN(121,$B32-ROUND(Declarations!$A$18/$D$18,0))))+Declarations!$B$19*INDEX(U$21:U$141,MAX(1,MIN(121,$B32-ROUND(Declarations!$A$19/$D$18,0))))+Declarations!$B$20*INDEX(U$21:U$141,MAX(1,MIN(121,$B32-ROUND(Declarations!$A$20/$D$18,0)))))</f>
        <v>-213.461810405657</v>
      </c>
      <c r="W32" s="12" t="n">
        <f aca="false">INDEX(V$21:V$141,$I32+1)*(1-$J32)+INDEX(V$21:V$141,$I32+2)*$J32</f>
        <v>-214.915245102787</v>
      </c>
      <c r="X32" s="12" t="n">
        <f aca="false">INDEX(V$21:V$141,$K32+1)*(1-$L32)+INDEX(V$21:V$141,$K32+2)*$L32</f>
        <v>-212.439294885168</v>
      </c>
      <c r="Y32" s="12" t="n">
        <f aca="false">$C32+$D32+MAX(W32,X32,IF(COUNTIFS($A$21:$A$141,"&gt;="&amp;$G32,$A$21:$A$141,"&lt;="&amp;$H32)&gt;0,_xlfn.MAXIFS(V$21:V$141,$A$21:$A$141,"&gt;="&amp;$G32,$A$21:$A$141,"&lt;="&amp;$H32),W32))</f>
        <v>-65.3142948851675</v>
      </c>
      <c r="Z32" s="12" t="n">
        <f aca="false">-Cost_k*$A32+Beta_q*(Declarations!$B$16*INDEX(Y$21:Y$141,MAX(1,MIN(121,$B32-ROUND(Declarations!$A$16/$D$18,0))))+Declarations!$B$17*INDEX(Y$21:Y$141,MAX(1,MIN(121,$B32-ROUND(Declarations!$A$17/$D$18,0))))+Declarations!$B$18*INDEX(Y$21:Y$141,MAX(1,MIN(121,$B32-ROUND(Declarations!$A$18/$D$18,0))))+Declarations!$B$19*INDEX(Y$21:Y$141,MAX(1,MIN(121,$B32-ROUND(Declarations!$A$19/$D$18,0))))+Declarations!$B$20*INDEX(Y$21:Y$141,MAX(1,MIN(121,$B32-ROUND(Declarations!$A$20/$D$18,0)))))</f>
        <v>-234.881095385354</v>
      </c>
      <c r="AA32" s="12" t="n">
        <f aca="false">INDEX(Z$21:Z$141,$I32+1)*(1-$J32)+INDEX(Z$21:Z$141,$I32+2)*$J32</f>
        <v>-236.948864592788</v>
      </c>
      <c r="AB32" s="12" t="n">
        <f aca="false">INDEX(Z$21:Z$141,$K32+1)*(1-$L32)+INDEX(Z$21:Z$141,$K32+2)*$L32</f>
        <v>-232.811290466354</v>
      </c>
      <c r="AC32" s="12" t="n">
        <f aca="false">$C32+$D32+MAX(AA32,AB32,IF(COUNTIFS($A$21:$A$141,"&gt;="&amp;$G32,$A$21:$A$141,"&lt;="&amp;$H32)&gt;0,_xlfn.MAXIFS(Z$21:Z$141,$A$21:$A$141,"&gt;="&amp;$G32,$A$21:$A$141,"&lt;="&amp;$H32),AA32))</f>
        <v>-85.6862904663536</v>
      </c>
      <c r="AD32" s="12" t="n">
        <f aca="false">-Cost_k*$A32+Beta_q*(Declarations!$B$16*INDEX(AC$21:AC$141,MAX(1,MIN(121,$B32-ROUND(Declarations!$A$16/$D$18,0))))+Declarations!$B$17*INDEX(AC$21:AC$141,MAX(1,MIN(121,$B32-ROUND(Declarations!$A$17/$D$18,0))))+Declarations!$B$18*INDEX(AC$21:AC$141,MAX(1,MIN(121,$B32-ROUND(Declarations!$A$18/$D$18,0))))+Declarations!$B$19*INDEX(AC$21:AC$141,MAX(1,MIN(121,$B32-ROUND(Declarations!$A$19/$D$18,0))))+Declarations!$B$20*INDEX(AC$21:AC$141,MAX(1,MIN(121,$B32-ROUND(Declarations!$A$20/$D$18,0)))))</f>
        <v>-254.692068611937</v>
      </c>
      <c r="AE32" s="12" t="n">
        <f aca="false">INDEX(AD$21:AD$141,$I32+1)*(1-$J32)+INDEX(AD$21:AD$141,$I32+2)*$J32</f>
        <v>-257.628970606462</v>
      </c>
      <c r="AF32" s="12" t="n">
        <f aca="false">INDEX(AD$21:AD$141,$K32+1)*(1-$L32)+INDEX(AD$21:AD$141,$K32+2)*$L32</f>
        <v>-251.063749335577</v>
      </c>
      <c r="AG32" s="12" t="n">
        <f aca="false">$C32+$D32+MAX(AE32,AF32,IF(COUNTIFS($A$21:$A$141,"&gt;="&amp;$G32,$A$21:$A$141,"&lt;="&amp;$H32)&gt;0,_xlfn.MAXIFS(AD$21:AD$141,$A$21:$A$141,"&gt;="&amp;$G32,$A$21:$A$141,"&lt;="&amp;$H32),AE32))</f>
        <v>-103.938749335577</v>
      </c>
      <c r="AH32" s="12" t="n">
        <f aca="false">-Cost_k*$A32+Beta_q*(Declarations!$B$16*INDEX(AG$21:AG$141,MAX(1,MIN(121,$B32-ROUND(Declarations!$A$16/$D$18,0))))+Declarations!$B$17*INDEX(AG$21:AG$141,MAX(1,MIN(121,$B32-ROUND(Declarations!$A$17/$D$18,0))))+Declarations!$B$18*INDEX(AG$21:AG$141,MAX(1,MIN(121,$B32-ROUND(Declarations!$A$18/$D$18,0))))+Declarations!$B$19*INDEX(AG$21:AG$141,MAX(1,MIN(121,$B32-ROUND(Declarations!$A$19/$D$18,0))))+Declarations!$B$20*INDEX(AG$21:AG$141,MAX(1,MIN(121,$B32-ROUND(Declarations!$A$20/$D$18,0)))))</f>
        <v>-272.550131144679</v>
      </c>
      <c r="AI32" s="12" t="n">
        <f aca="false">INDEX(AH$21:AH$141,$I32+1)*(1-$J32)+INDEX(AH$21:AH$141,$I32+2)*$J32</f>
        <v>-276.53661167502</v>
      </c>
      <c r="AJ32" s="12" t="n">
        <f aca="false">INDEX(AH$21:AH$141,$K32+1)*(1-$L32)+INDEX(AH$21:AH$141,$K32+2)*$L32</f>
        <v>-267.635729978208</v>
      </c>
      <c r="AK32" s="12" t="n">
        <f aca="false">$C32+$D32+MAX(AI32,AJ32,IF(COUNTIFS($A$21:$A$141,"&gt;="&amp;$G32,$A$21:$A$141,"&lt;="&amp;$H32)&gt;0,_xlfn.MAXIFS(AH$21:AH$141,$A$21:$A$141,"&gt;="&amp;$G32,$A$21:$A$141,"&lt;="&amp;$H32),AI32))</f>
        <v>-120.510729978208</v>
      </c>
      <c r="AL32" s="12" t="n">
        <f aca="false">-Cost_k*$A32+Beta_q*(Declarations!$B$16*INDEX(AK$21:AK$141,MAX(1,MIN(121,$B32-ROUND(Declarations!$A$16/$D$18,0))))+Declarations!$B$17*INDEX(AK$21:AK$141,MAX(1,MIN(121,$B32-ROUND(Declarations!$A$17/$D$18,0))))+Declarations!$B$18*INDEX(AK$21:AK$141,MAX(1,MIN(121,$B32-ROUND(Declarations!$A$18/$D$18,0))))+Declarations!$B$19*INDEX(AK$21:AK$141,MAX(1,MIN(121,$B32-ROUND(Declarations!$A$19/$D$18,0))))+Declarations!$B$20*INDEX(AK$21:AK$141,MAX(1,MIN(121,$B32-ROUND(Declarations!$A$20/$D$18,0)))))</f>
        <v>-288.709581458793</v>
      </c>
      <c r="AM32" s="12" t="n">
        <f aca="false">INDEX(AL$21:AL$141,$I32+1)*(1-$J32)+INDEX(AL$21:AL$141,$I32+2)*$J32</f>
        <v>-293.636472935188</v>
      </c>
      <c r="AN32" s="12" t="n">
        <f aca="false">INDEX(AL$21:AL$141,$K32+1)*(1-$L32)+INDEX(AL$21:AL$141,$K32+2)*$L32</f>
        <v>-282.378238468318</v>
      </c>
      <c r="AO32" s="12" t="n">
        <f aca="false">$C32+$D32+MAX(AM32,AN32,IF(COUNTIFS($A$21:$A$141,"&gt;="&amp;$G32,$A$21:$A$141,"&lt;="&amp;$H32)&gt;0,_xlfn.MAXIFS(AL$21:AL$141,$A$21:$A$141,"&gt;="&amp;$G32,$A$21:$A$141,"&lt;="&amp;$H32),AM32))</f>
        <v>-135.253238468318</v>
      </c>
      <c r="AP32" s="12" t="n">
        <f aca="false">-Cost_k*$A32+Beta_q*(Declarations!$B$16*INDEX(AO$21:AO$141,MAX(1,MIN(121,$B32-ROUND(Declarations!$A$16/$D$18,0))))+Declarations!$B$17*INDEX(AO$21:AO$141,MAX(1,MIN(121,$B32-ROUND(Declarations!$A$17/$D$18,0))))+Declarations!$B$18*INDEX(AO$21:AO$141,MAX(1,MIN(121,$B32-ROUND(Declarations!$A$18/$D$18,0))))+Declarations!$B$19*INDEX(AO$21:AO$141,MAX(1,MIN(121,$B32-ROUND(Declarations!$A$19/$D$18,0))))+Declarations!$B$20*INDEX(AO$21:AO$141,MAX(1,MIN(121,$B32-ROUND(Declarations!$A$20/$D$18,0)))))</f>
        <v>-303.080709355897</v>
      </c>
      <c r="AQ32" s="12" t="n">
        <f aca="false">INDEX(AP$21:AP$141,$I32+1)*(1-$J32)+INDEX(AP$21:AP$141,$I32+2)*$J32</f>
        <v>-309.04020189655</v>
      </c>
      <c r="AR32" s="12" t="n">
        <f aca="false">INDEX(AP$21:AP$141,$K32+1)*(1-$L32)+INDEX(AP$21:AP$141,$K32+2)*$L32</f>
        <v>-295.197767508952</v>
      </c>
      <c r="AS32" s="12" t="n">
        <f aca="false">$C32+$D32+MAX(AQ32,AR32,IF(COUNTIFS($A$21:$A$141,"&gt;="&amp;$G32,$A$21:$A$141,"&lt;="&amp;$H32)&gt;0,_xlfn.MAXIFS(AP$21:AP$141,$A$21:$A$141,"&gt;="&amp;$G32,$A$21:$A$141,"&lt;="&amp;$H32),AQ32))</f>
        <v>-148.072767508951</v>
      </c>
      <c r="AT32" s="12" t="n">
        <f aca="false">-Cost_k*$A32+Beta_q*(Declarations!$B$16*INDEX(AS$21:AS$141,MAX(1,MIN(121,$B32-ROUND(Declarations!$A$16/$D$18,0))))+Declarations!$B$17*INDEX(AS$21:AS$141,MAX(1,MIN(121,$B32-ROUND(Declarations!$A$17/$D$18,0))))+Declarations!$B$18*INDEX(AS$21:AS$141,MAX(1,MIN(121,$B32-ROUND(Declarations!$A$18/$D$18,0))))+Declarations!$B$19*INDEX(AS$21:AS$141,MAX(1,MIN(121,$B32-ROUND(Declarations!$A$19/$D$18,0))))+Declarations!$B$20*INDEX(AS$21:AS$141,MAX(1,MIN(121,$B32-ROUND(Declarations!$A$20/$D$18,0)))))</f>
        <v>-315.589327915332</v>
      </c>
      <c r="AU32" s="12" t="n">
        <f aca="false">INDEX(AT$21:AT$141,$I32+1)*(1-$J32)+INDEX(AT$21:AT$141,$I32+2)*$J32</f>
        <v>-322.657756765332</v>
      </c>
      <c r="AV32" s="12" t="n">
        <f aca="false">INDEX(AT$21:AT$141,$K32+1)*(1-$L32)+INDEX(AT$21:AT$141,$K32+2)*$L32</f>
        <v>-306.151918106242</v>
      </c>
      <c r="AW32" s="12" t="n">
        <f aca="false">$C32+$D32+MAX(AU32,AV32,IF(COUNTIFS($A$21:$A$141,"&gt;="&amp;$G32,$A$21:$A$141,"&lt;="&amp;$H32)&gt;0,_xlfn.MAXIFS(AT$21:AT$141,$A$21:$A$141,"&gt;="&amp;$G32,$A$21:$A$141,"&lt;="&amp;$H32),AU32))</f>
        <v>-159.026918106242</v>
      </c>
      <c r="AX32" s="12" t="n">
        <f aca="false">-Cost_k*$A32+Beta_q*(Declarations!$B$16*INDEX(AW$21:AW$141,MAX(1,MIN(121,$B32-ROUND(Declarations!$A$16/$D$18,0))))+Declarations!$B$17*INDEX(AW$21:AW$141,MAX(1,MIN(121,$B32-ROUND(Declarations!$A$17/$D$18,0))))+Declarations!$B$18*INDEX(AW$21:AW$141,MAX(1,MIN(121,$B32-ROUND(Declarations!$A$18/$D$18,0))))+Declarations!$B$19*INDEX(AW$21:AW$141,MAX(1,MIN(121,$B32-ROUND(Declarations!$A$19/$D$18,0))))+Declarations!$B$20*INDEX(AW$21:AW$141,MAX(1,MIN(121,$B32-ROUND(Declarations!$A$20/$D$18,0)))))</f>
        <v>-326.284732020362</v>
      </c>
      <c r="AY32" s="12" t="n">
        <f aca="false">INDEX(AX$21:AX$141,$I32+1)*(1-$J32)+INDEX(AX$21:AX$141,$I32+2)*$J32</f>
        <v>-334.457153744711</v>
      </c>
      <c r="AZ32" s="12" t="n">
        <f aca="false">INDEX(AX$21:AX$141,$K32+1)*(1-$L32)+INDEX(AX$21:AX$141,$K32+2)*$L32</f>
        <v>-315.366721087163</v>
      </c>
      <c r="BA32" s="12" t="n">
        <f aca="false">$C32+$D32+MAX(AY32,AZ32,IF(COUNTIFS($A$21:$A$141,"&gt;="&amp;$G32,$A$21:$A$141,"&lt;="&amp;$H32)&gt;0,_xlfn.MAXIFS(AX$21:AX$141,$A$21:$A$141,"&gt;="&amp;$G32,$A$21:$A$141,"&lt;="&amp;$H32),AY32))</f>
        <v>-168.241721087163</v>
      </c>
      <c r="BB32" s="12" t="n">
        <f aca="false">-Cost_k*$A32+Beta_q*(Declarations!$B$16*INDEX(BA$21:BA$141,MAX(1,MIN(121,$B32-ROUND(Declarations!$A$16/$D$18,0))))+Declarations!$B$17*INDEX(BA$21:BA$141,MAX(1,MIN(121,$B32-ROUND(Declarations!$A$17/$D$18,0))))+Declarations!$B$18*INDEX(BA$21:BA$141,MAX(1,MIN(121,$B32-ROUND(Declarations!$A$18/$D$18,0))))+Declarations!$B$19*INDEX(BA$21:BA$141,MAX(1,MIN(121,$B32-ROUND(Declarations!$A$19/$D$18,0))))+Declarations!$B$20*INDEX(BA$21:BA$141,MAX(1,MIN(121,$B32-ROUND(Declarations!$A$20/$D$18,0)))))</f>
        <v>-335.289048708399</v>
      </c>
      <c r="BC32" s="12" t="n">
        <f aca="false">INDEX(BB$21:BB$141,$I32+1)*(1-$J32)+INDEX(BB$21:BB$141,$I32+2)*$J32</f>
        <v>-344.506733974206</v>
      </c>
      <c r="BD32" s="12" t="n">
        <f aca="false">INDEX(BB$21:BB$141,$K32+1)*(1-$L32)+INDEX(BB$21:BB$141,$K32+2)*$L32</f>
        <v>-323.032406653174</v>
      </c>
      <c r="BE32" s="12" t="n">
        <f aca="false">$C32+$D32+MAX(BC32,BD32,IF(COUNTIFS($A$21:$A$141,"&gt;="&amp;$G32,$A$21:$A$141,"&lt;="&amp;$H32)&gt;0,_xlfn.MAXIFS(BB$21:BB$141,$A$21:$A$141,"&gt;="&amp;$G32,$A$21:$A$141,"&lt;="&amp;$H32),BC32))</f>
        <v>-175.907406653174</v>
      </c>
      <c r="BF32" s="12" t="n">
        <f aca="false">-Cost_k*$A32+Beta_q*(Declarations!$B$16*INDEX(BE$21:BE$141,MAX(1,MIN(121,$B32-ROUND(Declarations!$A$16/$D$18,0))))+Declarations!$B$17*INDEX(BE$21:BE$141,MAX(1,MIN(121,$B32-ROUND(Declarations!$A$17/$D$18,0))))+Declarations!$B$18*INDEX(BE$21:BE$141,MAX(1,MIN(121,$B32-ROUND(Declarations!$A$18/$D$18,0))))+Declarations!$B$19*INDEX(BE$21:BE$141,MAX(1,MIN(121,$B32-ROUND(Declarations!$A$19/$D$18,0))))+Declarations!$B$20*INDEX(BE$21:BE$141,MAX(1,MIN(121,$B32-ROUND(Declarations!$A$20/$D$18,0)))))</f>
        <v>-342.79024524022</v>
      </c>
      <c r="BG32" s="12" t="n">
        <f aca="false">INDEX(BF$21:BF$141,$I32+1)*(1-$J32)+INDEX(BF$21:BF$141,$I32+2)*$J32</f>
        <v>-352.943212275845</v>
      </c>
      <c r="BH32" s="12" t="n">
        <f aca="false">INDEX(BF$21:BF$141,$K32+1)*(1-$L32)+INDEX(BF$21:BF$141,$K32+2)*$L32</f>
        <v>-329.419166465076</v>
      </c>
      <c r="BI32" s="12" t="n">
        <f aca="false">$C32+$D32+MAX(BG32,BH32,IF(COUNTIFS($A$21:$A$141,"&gt;="&amp;$G32,$A$21:$A$141,"&lt;="&amp;$H32)&gt;0,_xlfn.MAXIFS(BF$21:BF$141,$A$21:$A$141,"&gt;="&amp;$G32,$A$21:$A$141,"&lt;="&amp;$H32),BG32))</f>
        <v>-182.294166465076</v>
      </c>
      <c r="BJ32" s="23" t="n">
        <v>-182.294166465076</v>
      </c>
      <c r="BK32" s="22" t="n">
        <f aca="false">ABS(BI32-BJ32)</f>
        <v>0</v>
      </c>
    </row>
    <row r="33" customFormat="false" ht="15" hidden="false" customHeight="false" outlineLevel="0" collapsed="false">
      <c r="A33" s="14" t="n">
        <f aca="false">A32+$D$18</f>
        <v>43</v>
      </c>
      <c r="B33" s="19" t="n">
        <v>13</v>
      </c>
      <c r="C33" s="12" t="n">
        <f aca="false">-Short_p*MAX(Floor_c-A33,0)</f>
        <v>-19.2</v>
      </c>
      <c r="D33" s="12" t="n">
        <f aca="false">Cost_k*Alpha_keep*A33</f>
        <v>167.7</v>
      </c>
      <c r="E33" s="12" t="n">
        <f aca="false">MIN(Cap_h,MAX(0,$B$18+MAX(Loss_w)-Alpha_keep*A33))</f>
        <v>0</v>
      </c>
      <c r="F33" s="12" t="n">
        <f aca="false">MAX(MIN(Cap_h,$F$18+MIN(Loss_w)-Alpha_keep*A33),E33)</f>
        <v>2.5</v>
      </c>
      <c r="G33" s="12" t="n">
        <f aca="false">Alpha_keep*A33+E33</f>
        <v>41.925</v>
      </c>
      <c r="H33" s="12" t="n">
        <f aca="false">Alpha_keep*A33+F33</f>
        <v>44.425</v>
      </c>
      <c r="I33" s="19" t="n">
        <f aca="false">MIN(INT((G33-$B$18)/$D$18+0.000000001),119)</f>
        <v>7</v>
      </c>
      <c r="J33" s="12" t="n">
        <f aca="false">(G33-$B$18)/$D$18-I33</f>
        <v>0.699999999999989</v>
      </c>
      <c r="K33" s="19" t="n">
        <f aca="false">MIN(INT((H33-$B$18)/$D$18+0.000000001),119)</f>
        <v>17</v>
      </c>
      <c r="L33" s="12" t="n">
        <f aca="false">(H33-$B$18)/$D$18-K33</f>
        <v>0.699999999999989</v>
      </c>
      <c r="M33" s="9" t="n">
        <v>0</v>
      </c>
      <c r="N33" s="12" t="n">
        <f aca="false">-Cost_k*$A33+Beta_q*(Declarations!$B$16*INDEX(M$21:M$141,MAX(1,MIN(121,$B33-ROUND(Declarations!$A$16/$D$18,0))))+Declarations!$B$17*INDEX(M$21:M$141,MAX(1,MIN(121,$B33-ROUND(Declarations!$A$17/$D$18,0))))+Declarations!$B$18*INDEX(M$21:M$141,MAX(1,MIN(121,$B33-ROUND(Declarations!$A$18/$D$18,0))))+Declarations!$B$19*INDEX(M$21:M$141,MAX(1,MIN(121,$B33-ROUND(Declarations!$A$19/$D$18,0))))+Declarations!$B$20*INDEX(M$21:M$141,MAX(1,MIN(121,$B33-ROUND(Declarations!$A$20/$D$18,0)))))</f>
        <v>-172</v>
      </c>
      <c r="O33" s="12" t="n">
        <f aca="false">INDEX(N$21:N$141,$I33+1)*(1-$J33)+INDEX(N$21:N$141,$I33+2)*$J33</f>
        <v>-167.7</v>
      </c>
      <c r="P33" s="12" t="n">
        <f aca="false">INDEX(N$21:N$141,$K33+1)*(1-$L33)+INDEX(N$21:N$141,$K33+2)*$L33</f>
        <v>-177.7</v>
      </c>
      <c r="Q33" s="12" t="n">
        <f aca="false">$C33+$D33+MAX(O33,P33,IF(COUNTIFS($A$21:$A$141,"&gt;="&amp;$G33,$A$21:$A$141,"&lt;="&amp;$H33)&gt;0,_xlfn.MAXIFS(N$21:N$141,$A$21:$A$141,"&gt;="&amp;$G33,$A$21:$A$141,"&lt;="&amp;$H33),O33))</f>
        <v>-19.2</v>
      </c>
      <c r="R33" s="12" t="n">
        <f aca="false">-Cost_k*$A33+Beta_q*(Declarations!$B$16*INDEX(Q$21:Q$141,MAX(1,MIN(121,$B33-ROUND(Declarations!$A$16/$D$18,0))))+Declarations!$B$17*INDEX(Q$21:Q$141,MAX(1,MIN(121,$B33-ROUND(Declarations!$A$17/$D$18,0))))+Declarations!$B$18*INDEX(Q$21:Q$141,MAX(1,MIN(121,$B33-ROUND(Declarations!$A$18/$D$18,0))))+Declarations!$B$19*INDEX(Q$21:Q$141,MAX(1,MIN(121,$B33-ROUND(Declarations!$A$19/$D$18,0))))+Declarations!$B$20*INDEX(Q$21:Q$141,MAX(1,MIN(121,$B33-ROUND(Declarations!$A$20/$D$18,0)))))</f>
        <v>-191.189763997364</v>
      </c>
      <c r="S33" s="12" t="n">
        <f aca="false">INDEX(R$21:R$141,$I33+1)*(1-$J33)+INDEX(R$21:R$141,$I33+2)*$J33</f>
        <v>-190.824263694953</v>
      </c>
      <c r="T33" s="12" t="n">
        <f aca="false">INDEX(R$21:R$141,$K33+1)*(1-$L33)+INDEX(R$21:R$141,$K33+2)*$L33</f>
        <v>-194.221603197323</v>
      </c>
      <c r="U33" s="12" t="n">
        <f aca="false">$C33+$D33+MAX(S33,T33,IF(COUNTIFS($A$21:$A$141,"&gt;="&amp;$G33,$A$21:$A$141,"&lt;="&amp;$H33)&gt;0,_xlfn.MAXIFS(R$21:R$141,$A$21:$A$141,"&gt;="&amp;$G33,$A$21:$A$141,"&lt;="&amp;$H33),S33))</f>
        <v>-42.0690053990315</v>
      </c>
      <c r="V33" s="12" t="n">
        <f aca="false">-Cost_k*$A33+Beta_q*(Declarations!$B$16*INDEX(U$21:U$141,MAX(1,MIN(121,$B33-ROUND(Declarations!$A$16/$D$18,0))))+Declarations!$B$17*INDEX(U$21:U$141,MAX(1,MIN(121,$B33-ROUND(Declarations!$A$17/$D$18,0))))+Declarations!$B$18*INDEX(U$21:U$141,MAX(1,MIN(121,$B33-ROUND(Declarations!$A$18/$D$18,0))))+Declarations!$B$19*INDEX(U$21:U$141,MAX(1,MIN(121,$B33-ROUND(Declarations!$A$19/$D$18,0))))+Declarations!$B$20*INDEX(U$21:U$141,MAX(1,MIN(121,$B33-ROUND(Declarations!$A$20/$D$18,0)))))</f>
        <v>-213.171102729158</v>
      </c>
      <c r="W33" s="12" t="n">
        <f aca="false">INDEX(V$21:V$141,$I33+1)*(1-$J33)+INDEX(V$21:V$141,$I33+2)*$J33</f>
        <v>-214.565182698511</v>
      </c>
      <c r="X33" s="12" t="n">
        <f aca="false">INDEX(V$21:V$141,$K33+1)*(1-$L33)+INDEX(V$21:V$141,$K33+2)*$L33</f>
        <v>-212.460415227077</v>
      </c>
      <c r="Y33" s="12" t="n">
        <f aca="false">$C33+$D33+MAX(W33,X33,IF(COUNTIFS($A$21:$A$141,"&gt;="&amp;$G33,$A$21:$A$141,"&lt;="&amp;$H33)&gt;0,_xlfn.MAXIFS(V$21:V$141,$A$21:$A$141,"&gt;="&amp;$G33,$A$21:$A$141,"&lt;="&amp;$H33),W33))</f>
        <v>-63.931088293076</v>
      </c>
      <c r="Z33" s="12" t="n">
        <f aca="false">-Cost_k*$A33+Beta_q*(Declarations!$B$16*INDEX(Y$21:Y$141,MAX(1,MIN(121,$B33-ROUND(Declarations!$A$16/$D$18,0))))+Declarations!$B$17*INDEX(Y$21:Y$141,MAX(1,MIN(121,$B33-ROUND(Declarations!$A$17/$D$18,0))))+Declarations!$B$18*INDEX(Y$21:Y$141,MAX(1,MIN(121,$B33-ROUND(Declarations!$A$18/$D$18,0))))+Declarations!$B$19*INDEX(Y$21:Y$141,MAX(1,MIN(121,$B33-ROUND(Declarations!$A$19/$D$18,0))))+Declarations!$B$20*INDEX(Y$21:Y$141,MAX(1,MIN(121,$B33-ROUND(Declarations!$A$20/$D$18,0)))))</f>
        <v>-234.487674910416</v>
      </c>
      <c r="AA33" s="12" t="n">
        <f aca="false">INDEX(Z$21:Z$141,$I33+1)*(1-$J33)+INDEX(Z$21:Z$141,$I33+2)*$J33</f>
        <v>-236.411781296829</v>
      </c>
      <c r="AB33" s="12" t="n">
        <f aca="false">INDEX(Z$21:Z$141,$K33+1)*(1-$L33)+INDEX(Z$21:Z$141,$K33+2)*$L33</f>
        <v>-232.481735595775</v>
      </c>
      <c r="AC33" s="12" t="n">
        <f aca="false">$C33+$D33+MAX(AA33,AB33,IF(COUNTIFS($A$21:$A$141,"&gt;="&amp;$G33,$A$21:$A$141,"&lt;="&amp;$H33)&gt;0,_xlfn.MAXIFS(Z$21:Z$141,$A$21:$A$141,"&gt;="&amp;$G33,$A$21:$A$141,"&lt;="&amp;$H33),AA33))</f>
        <v>-83.981735595775</v>
      </c>
      <c r="AD33" s="12" t="n">
        <f aca="false">-Cost_k*$A33+Beta_q*(Declarations!$B$16*INDEX(AC$21:AC$141,MAX(1,MIN(121,$B33-ROUND(Declarations!$A$16/$D$18,0))))+Declarations!$B$17*INDEX(AC$21:AC$141,MAX(1,MIN(121,$B33-ROUND(Declarations!$A$17/$D$18,0))))+Declarations!$B$18*INDEX(AC$21:AC$141,MAX(1,MIN(121,$B33-ROUND(Declarations!$A$18/$D$18,0))))+Declarations!$B$19*INDEX(AC$21:AC$141,MAX(1,MIN(121,$B33-ROUND(Declarations!$A$19/$D$18,0))))+Declarations!$B$20*INDEX(AC$21:AC$141,MAX(1,MIN(121,$B33-ROUND(Declarations!$A$20/$D$18,0)))))</f>
        <v>-254.031148269698</v>
      </c>
      <c r="AE33" s="12" t="n">
        <f aca="false">INDEX(AD$21:AD$141,$I33+1)*(1-$J33)+INDEX(AD$21:AD$141,$I33+2)*$J33</f>
        <v>-256.94038237064</v>
      </c>
      <c r="AF33" s="12" t="n">
        <f aca="false">INDEX(AD$21:AD$141,$K33+1)*(1-$L33)+INDEX(AD$21:AD$141,$K33+2)*$L33</f>
        <v>-250.498246084883</v>
      </c>
      <c r="AG33" s="12" t="n">
        <f aca="false">$C33+$D33+MAX(AE33,AF33,IF(COUNTIFS($A$21:$A$141,"&gt;="&amp;$G33,$A$21:$A$141,"&lt;="&amp;$H33)&gt;0,_xlfn.MAXIFS(AD$21:AD$141,$A$21:$A$141,"&gt;="&amp;$G33,$A$21:$A$141,"&lt;="&amp;$H33),AE33))</f>
        <v>-101.998246084883</v>
      </c>
      <c r="AH33" s="12" t="n">
        <f aca="false">-Cost_k*$A33+Beta_q*(Declarations!$B$16*INDEX(AG$21:AG$141,MAX(1,MIN(121,$B33-ROUND(Declarations!$A$16/$D$18,0))))+Declarations!$B$17*INDEX(AG$21:AG$141,MAX(1,MIN(121,$B33-ROUND(Declarations!$A$17/$D$18,0))))+Declarations!$B$18*INDEX(AG$21:AG$141,MAX(1,MIN(121,$B33-ROUND(Declarations!$A$18/$D$18,0))))+Declarations!$B$19*INDEX(AG$21:AG$141,MAX(1,MIN(121,$B33-ROUND(Declarations!$A$19/$D$18,0))))+Declarations!$B$20*INDEX(AG$21:AG$141,MAX(1,MIN(121,$B33-ROUND(Declarations!$A$20/$D$18,0)))))</f>
        <v>-271.656736076953</v>
      </c>
      <c r="AI33" s="12" t="n">
        <f aca="false">INDEX(AH$21:AH$141,$I33+1)*(1-$J33)+INDEX(AH$21:AH$141,$I33+2)*$J33</f>
        <v>-275.607113722671</v>
      </c>
      <c r="AJ33" s="12" t="n">
        <f aca="false">INDEX(AH$21:AH$141,$K33+1)*(1-$L33)+INDEX(AH$21:AH$141,$K33+2)*$L33</f>
        <v>-266.841281281284</v>
      </c>
      <c r="AK33" s="12" t="n">
        <f aca="false">$C33+$D33+MAX(AI33,AJ33,IF(COUNTIFS($A$21:$A$141,"&gt;="&amp;$G33,$A$21:$A$141,"&lt;="&amp;$H33)&gt;0,_xlfn.MAXIFS(AH$21:AH$141,$A$21:$A$141,"&gt;="&amp;$G33,$A$21:$A$141,"&lt;="&amp;$H33),AI33))</f>
        <v>-118.341281281284</v>
      </c>
      <c r="AL33" s="12" t="n">
        <f aca="false">-Cost_k*$A33+Beta_q*(Declarations!$B$16*INDEX(AK$21:AK$141,MAX(1,MIN(121,$B33-ROUND(Declarations!$A$16/$D$18,0))))+Declarations!$B$17*INDEX(AK$21:AK$141,MAX(1,MIN(121,$B33-ROUND(Declarations!$A$17/$D$18,0))))+Declarations!$B$18*INDEX(AK$21:AK$141,MAX(1,MIN(121,$B33-ROUND(Declarations!$A$18/$D$18,0))))+Declarations!$B$19*INDEX(AK$21:AK$141,MAX(1,MIN(121,$B33-ROUND(Declarations!$A$19/$D$18,0))))+Declarations!$B$20*INDEX(AK$21:AK$141,MAX(1,MIN(121,$B33-ROUND(Declarations!$A$20/$D$18,0)))))</f>
        <v>-287.586473152429</v>
      </c>
      <c r="AM33" s="12" t="n">
        <f aca="false">INDEX(AL$21:AL$141,$I33+1)*(1-$J33)+INDEX(AL$21:AL$141,$I33+2)*$J33</f>
        <v>-292.493066105272</v>
      </c>
      <c r="AN33" s="12" t="n">
        <f aca="false">INDEX(AL$21:AL$141,$K33+1)*(1-$L33)+INDEX(AL$21:AL$141,$K33+2)*$L33</f>
        <v>-281.316315456738</v>
      </c>
      <c r="AO33" s="12" t="n">
        <f aca="false">$C33+$D33+MAX(AM33,AN33,IF(COUNTIFS($A$21:$A$141,"&gt;="&amp;$G33,$A$21:$A$141,"&lt;="&amp;$H33)&gt;0,_xlfn.MAXIFS(AL$21:AL$141,$A$21:$A$141,"&gt;="&amp;$G33,$A$21:$A$141,"&lt;="&amp;$H33),AM33))</f>
        <v>-132.816315456738</v>
      </c>
      <c r="AP33" s="12" t="n">
        <f aca="false">-Cost_k*$A33+Beta_q*(Declarations!$B$16*INDEX(AO$21:AO$141,MAX(1,MIN(121,$B33-ROUND(Declarations!$A$16/$D$18,0))))+Declarations!$B$17*INDEX(AO$21:AO$141,MAX(1,MIN(121,$B33-ROUND(Declarations!$A$17/$D$18,0))))+Declarations!$B$18*INDEX(AO$21:AO$141,MAX(1,MIN(121,$B33-ROUND(Declarations!$A$18/$D$18,0))))+Declarations!$B$19*INDEX(AO$21:AO$141,MAX(1,MIN(121,$B33-ROUND(Declarations!$A$19/$D$18,0))))+Declarations!$B$20*INDEX(AO$21:AO$141,MAX(1,MIN(121,$B33-ROUND(Declarations!$A$20/$D$18,0)))))</f>
        <v>-301.698586958646</v>
      </c>
      <c r="AQ33" s="12" t="n">
        <f aca="false">INDEX(AP$21:AP$141,$I33+1)*(1-$J33)+INDEX(AP$21:AP$141,$I33+2)*$J33</f>
        <v>-307.671928729164</v>
      </c>
      <c r="AR33" s="12" t="n">
        <f aca="false">INDEX(AP$21:AP$141,$K33+1)*(1-$L33)+INDEX(AP$21:AP$141,$K33+2)*$L33</f>
        <v>-293.859641942667</v>
      </c>
      <c r="AS33" s="12" t="n">
        <f aca="false">$C33+$D33+MAX(AQ33,AR33,IF(COUNTIFS($A$21:$A$141,"&gt;="&amp;$G33,$A$21:$A$141,"&lt;="&amp;$H33)&gt;0,_xlfn.MAXIFS(AP$21:AP$141,$A$21:$A$141,"&gt;="&amp;$G33,$A$21:$A$141,"&lt;="&amp;$H33),AQ33))</f>
        <v>-145.359641942667</v>
      </c>
      <c r="AT33" s="12" t="n">
        <f aca="false">-Cost_k*$A33+Beta_q*(Declarations!$B$16*INDEX(AS$21:AS$141,MAX(1,MIN(121,$B33-ROUND(Declarations!$A$16/$D$18,0))))+Declarations!$B$17*INDEX(AS$21:AS$141,MAX(1,MIN(121,$B33-ROUND(Declarations!$A$17/$D$18,0))))+Declarations!$B$18*INDEX(AS$21:AS$141,MAX(1,MIN(121,$B33-ROUND(Declarations!$A$18/$D$18,0))))+Declarations!$B$19*INDEX(AS$21:AS$141,MAX(1,MIN(121,$B33-ROUND(Declarations!$A$19/$D$18,0))))+Declarations!$B$20*INDEX(AS$21:AS$141,MAX(1,MIN(121,$B33-ROUND(Declarations!$A$20/$D$18,0)))))</f>
        <v>-313.939374405272</v>
      </c>
      <c r="AU33" s="12" t="n">
        <f aca="false">INDEX(AT$21:AT$141,$I33+1)*(1-$J33)+INDEX(AT$21:AT$141,$I33+2)*$J33</f>
        <v>-321.042804534394</v>
      </c>
      <c r="AV33" s="12" t="n">
        <f aca="false">INDEX(AT$21:AT$141,$K33+1)*(1-$L33)+INDEX(AT$21:AT$141,$K33+2)*$L33</f>
        <v>-304.546482501411</v>
      </c>
      <c r="AW33" s="12" t="n">
        <f aca="false">$C33+$D33+MAX(AU33,AV33,IF(COUNTIFS($A$21:$A$141,"&gt;="&amp;$G33,$A$21:$A$141,"&lt;="&amp;$H33)&gt;0,_xlfn.MAXIFS(AT$21:AT$141,$A$21:$A$141,"&gt;="&amp;$G33,$A$21:$A$141,"&lt;="&amp;$H33),AU33))</f>
        <v>-156.046482501411</v>
      </c>
      <c r="AX33" s="12" t="n">
        <f aca="false">-Cost_k*$A33+Beta_q*(Declarations!$B$16*INDEX(AW$21:AW$141,MAX(1,MIN(121,$B33-ROUND(Declarations!$A$16/$D$18,0))))+Declarations!$B$17*INDEX(AW$21:AW$141,MAX(1,MIN(121,$B33-ROUND(Declarations!$A$17/$D$18,0))))+Declarations!$B$18*INDEX(AW$21:AW$141,MAX(1,MIN(121,$B33-ROUND(Declarations!$A$18/$D$18,0))))+Declarations!$B$19*INDEX(AW$21:AW$141,MAX(1,MIN(121,$B33-ROUND(Declarations!$A$19/$D$18,0))))+Declarations!$B$20*INDEX(AW$21:AW$141,MAX(1,MIN(121,$B33-ROUND(Declarations!$A$20/$D$18,0)))))</f>
        <v>-324.374925067077</v>
      </c>
      <c r="AY33" s="12" t="n">
        <f aca="false">INDEX(AX$21:AX$141,$I33+1)*(1-$J33)+INDEX(AX$21:AX$141,$I33+2)*$J33</f>
        <v>-332.592194046947</v>
      </c>
      <c r="AZ33" s="12" t="n">
        <f aca="false">INDEX(AX$21:AX$141,$K33+1)*(1-$L33)+INDEX(AX$21:AX$141,$K33+2)*$L33</f>
        <v>-313.513322634844</v>
      </c>
      <c r="BA33" s="12" t="n">
        <f aca="false">$C33+$D33+MAX(AY33,AZ33,IF(COUNTIFS($A$21:$A$141,"&gt;="&amp;$G33,$A$21:$A$141,"&lt;="&amp;$H33)&gt;0,_xlfn.MAXIFS(AX$21:AX$141,$A$21:$A$141,"&gt;="&amp;$G33,$A$21:$A$141,"&lt;="&amp;$H33),AY33))</f>
        <v>-165.013322634844</v>
      </c>
      <c r="BB33" s="12" t="n">
        <f aca="false">-Cost_k*$A33+Beta_q*(Declarations!$B$16*INDEX(BA$21:BA$141,MAX(1,MIN(121,$B33-ROUND(Declarations!$A$16/$D$18,0))))+Declarations!$B$17*INDEX(BA$21:BA$141,MAX(1,MIN(121,$B33-ROUND(Declarations!$A$17/$D$18,0))))+Declarations!$B$18*INDEX(BA$21:BA$141,MAX(1,MIN(121,$B33-ROUND(Declarations!$A$18/$D$18,0))))+Declarations!$B$19*INDEX(BA$21:BA$141,MAX(1,MIN(121,$B33-ROUND(Declarations!$A$19/$D$18,0))))+Declarations!$B$20*INDEX(BA$21:BA$141,MAX(1,MIN(121,$B33-ROUND(Declarations!$A$20/$D$18,0)))))</f>
        <v>-333.138602720854</v>
      </c>
      <c r="BC33" s="12" t="n">
        <f aca="false">INDEX(BB$21:BB$141,$I33+1)*(1-$J33)+INDEX(BB$21:BB$141,$I33+2)*$J33</f>
        <v>-342.401956540162</v>
      </c>
      <c r="BD33" s="12" t="n">
        <f aca="false">INDEX(BB$21:BB$141,$K33+1)*(1-$L33)+INDEX(BB$21:BB$141,$K33+2)*$L33</f>
        <v>-320.96349126967</v>
      </c>
      <c r="BE33" s="12" t="n">
        <f aca="false">$C33+$D33+MAX(BC33,BD33,IF(COUNTIFS($A$21:$A$141,"&gt;="&amp;$G33,$A$21:$A$141,"&lt;="&amp;$H33)&gt;0,_xlfn.MAXIFS(BB$21:BB$141,$A$21:$A$141,"&gt;="&amp;$G33,$A$21:$A$141,"&lt;="&amp;$H33),BC33))</f>
        <v>-172.46349126967</v>
      </c>
      <c r="BF33" s="12" t="n">
        <f aca="false">-Cost_k*$A33+Beta_q*(Declarations!$B$16*INDEX(BE$21:BE$141,MAX(1,MIN(121,$B33-ROUND(Declarations!$A$16/$D$18,0))))+Declarations!$B$17*INDEX(BE$21:BE$141,MAX(1,MIN(121,$B33-ROUND(Declarations!$A$17/$D$18,0))))+Declarations!$B$18*INDEX(BE$21:BE$141,MAX(1,MIN(121,$B33-ROUND(Declarations!$A$18/$D$18,0))))+Declarations!$B$19*INDEX(BE$21:BE$141,MAX(1,MIN(121,$B33-ROUND(Declarations!$A$19/$D$18,0))))+Declarations!$B$20*INDEX(BE$21:BE$141,MAX(1,MIN(121,$B33-ROUND(Declarations!$A$20/$D$18,0)))))</f>
        <v>-340.431320724397</v>
      </c>
      <c r="BG33" s="12" t="n">
        <f aca="false">INDEX(BF$21:BF$141,$I33+1)*(1-$J33)+INDEX(BF$21:BF$141,$I33+2)*$J33</f>
        <v>-350.619995934312</v>
      </c>
      <c r="BH33" s="12" t="n">
        <f aca="false">INDEX(BF$21:BF$141,$K33+1)*(1-$L33)+INDEX(BF$21:BF$141,$K33+2)*$L33</f>
        <v>-327.182467378813</v>
      </c>
      <c r="BI33" s="12" t="n">
        <f aca="false">$C33+$D33+MAX(BG33,BH33,IF(COUNTIFS($A$21:$A$141,"&gt;="&amp;$G33,$A$21:$A$141,"&lt;="&amp;$H33)&gt;0,_xlfn.MAXIFS(BF$21:BF$141,$A$21:$A$141,"&gt;="&amp;$G33,$A$21:$A$141,"&lt;="&amp;$H33),BG33))</f>
        <v>-178.682467378813</v>
      </c>
      <c r="BJ33" s="23" t="n">
        <v>-178.682467378813</v>
      </c>
      <c r="BK33" s="22" t="n">
        <f aca="false">ABS(BI33-BJ33)</f>
        <v>0</v>
      </c>
    </row>
    <row r="34" customFormat="false" ht="15" hidden="false" customHeight="false" outlineLevel="0" collapsed="false">
      <c r="A34" s="14" t="n">
        <f aca="false">A33+$D$18</f>
        <v>43.25</v>
      </c>
      <c r="B34" s="19" t="n">
        <v>14</v>
      </c>
      <c r="C34" s="12" t="n">
        <f aca="false">-Short_p*MAX(Floor_c-A34,0)</f>
        <v>-18.8</v>
      </c>
      <c r="D34" s="12" t="n">
        <f aca="false">Cost_k*Alpha_keep*A34</f>
        <v>168.675</v>
      </c>
      <c r="E34" s="12" t="n">
        <f aca="false">MIN(Cap_h,MAX(0,$B$18+MAX(Loss_w)-Alpha_keep*A34))</f>
        <v>0</v>
      </c>
      <c r="F34" s="12" t="n">
        <f aca="false">MAX(MIN(Cap_h,$F$18+MIN(Loss_w)-Alpha_keep*A34),E34)</f>
        <v>2.5</v>
      </c>
      <c r="G34" s="12" t="n">
        <f aca="false">Alpha_keep*A34+E34</f>
        <v>42.16875</v>
      </c>
      <c r="H34" s="12" t="n">
        <f aca="false">Alpha_keep*A34+F34</f>
        <v>44.66875</v>
      </c>
      <c r="I34" s="19" t="n">
        <f aca="false">MIN(INT((G34-$B$18)/$D$18+0.000000001),119)</f>
        <v>8</v>
      </c>
      <c r="J34" s="12" t="n">
        <f aca="false">(G34-$B$18)/$D$18-I34</f>
        <v>0.674999999999983</v>
      </c>
      <c r="K34" s="19" t="n">
        <f aca="false">MIN(INT((H34-$B$18)/$D$18+0.000000001),119)</f>
        <v>18</v>
      </c>
      <c r="L34" s="12" t="n">
        <f aca="false">(H34-$B$18)/$D$18-K34</f>
        <v>0.674999999999983</v>
      </c>
      <c r="M34" s="9" t="n">
        <v>0</v>
      </c>
      <c r="N34" s="12" t="n">
        <f aca="false">-Cost_k*$A34+Beta_q*(Declarations!$B$16*INDEX(M$21:M$141,MAX(1,MIN(121,$B34-ROUND(Declarations!$A$16/$D$18,0))))+Declarations!$B$17*INDEX(M$21:M$141,MAX(1,MIN(121,$B34-ROUND(Declarations!$A$17/$D$18,0))))+Declarations!$B$18*INDEX(M$21:M$141,MAX(1,MIN(121,$B34-ROUND(Declarations!$A$18/$D$18,0))))+Declarations!$B$19*INDEX(M$21:M$141,MAX(1,MIN(121,$B34-ROUND(Declarations!$A$19/$D$18,0))))+Declarations!$B$20*INDEX(M$21:M$141,MAX(1,MIN(121,$B34-ROUND(Declarations!$A$20/$D$18,0)))))</f>
        <v>-173</v>
      </c>
      <c r="O34" s="12" t="n">
        <f aca="false">INDEX(N$21:N$141,$I34+1)*(1-$J34)+INDEX(N$21:N$141,$I34+2)*$J34</f>
        <v>-168.675</v>
      </c>
      <c r="P34" s="12" t="n">
        <f aca="false">INDEX(N$21:N$141,$K34+1)*(1-$L34)+INDEX(N$21:N$141,$K34+2)*$L34</f>
        <v>-178.675</v>
      </c>
      <c r="Q34" s="12" t="n">
        <f aca="false">$C34+$D34+MAX(O34,P34,IF(COUNTIFS($A$21:$A$141,"&gt;="&amp;$G34,$A$21:$A$141,"&lt;="&amp;$H34)&gt;0,_xlfn.MAXIFS(N$21:N$141,$A$21:$A$141,"&gt;="&amp;$G34,$A$21:$A$141,"&lt;="&amp;$H34),O34))</f>
        <v>-18.8</v>
      </c>
      <c r="R34" s="12" t="n">
        <f aca="false">-Cost_k*$A34+Beta_q*(Declarations!$B$16*INDEX(Q$21:Q$141,MAX(1,MIN(121,$B34-ROUND(Declarations!$A$16/$D$18,0))))+Declarations!$B$17*INDEX(Q$21:Q$141,MAX(1,MIN(121,$B34-ROUND(Declarations!$A$17/$D$18,0))))+Declarations!$B$18*INDEX(Q$21:Q$141,MAX(1,MIN(121,$B34-ROUND(Declarations!$A$18/$D$18,0))))+Declarations!$B$19*INDEX(Q$21:Q$141,MAX(1,MIN(121,$B34-ROUND(Declarations!$A$19/$D$18,0))))+Declarations!$B$20*INDEX(Q$21:Q$141,MAX(1,MIN(121,$B34-ROUND(Declarations!$A$20/$D$18,0)))))</f>
        <v>-191.561171677135</v>
      </c>
      <c r="S34" s="12" t="n">
        <f aca="false">INDEX(R$21:R$141,$I34+1)*(1-$J34)+INDEX(R$21:R$141,$I34+2)*$J34</f>
        <v>-190.707618536885</v>
      </c>
      <c r="T34" s="12" t="n">
        <f aca="false">INDEX(R$21:R$141,$K34+1)*(1-$L34)+INDEX(R$21:R$141,$K34+2)*$L34</f>
        <v>-194.815786102349</v>
      </c>
      <c r="U34" s="12" t="n">
        <f aca="false">$C34+$D34+MAX(S34,T34,IF(COUNTIFS($A$21:$A$141,"&gt;="&amp;$G34,$A$21:$A$141,"&lt;="&amp;$H34)&gt;0,_xlfn.MAXIFS(R$21:R$141,$A$21:$A$141,"&gt;="&amp;$G34,$A$21:$A$141,"&lt;="&amp;$H34),S34))</f>
        <v>-40.6940053990315</v>
      </c>
      <c r="V34" s="12" t="n">
        <f aca="false">-Cost_k*$A34+Beta_q*(Declarations!$B$16*INDEX(U$21:U$141,MAX(1,MIN(121,$B34-ROUND(Declarations!$A$16/$D$18,0))))+Declarations!$B$17*INDEX(U$21:U$141,MAX(1,MIN(121,$B34-ROUND(Declarations!$A$17/$D$18,0))))+Declarations!$B$18*INDEX(U$21:U$141,MAX(1,MIN(121,$B34-ROUND(Declarations!$A$18/$D$18,0))))+Declarations!$B$19*INDEX(U$21:U$141,MAX(1,MIN(121,$B34-ROUND(Declarations!$A$19/$D$18,0))))+Declarations!$B$20*INDEX(U$21:U$141,MAX(1,MIN(121,$B34-ROUND(Declarations!$A$20/$D$18,0)))))</f>
        <v>-212.915929848444</v>
      </c>
      <c r="W34" s="12" t="n">
        <f aca="false">INDEX(V$21:V$141,$I34+1)*(1-$J34)+INDEX(V$21:V$141,$I34+2)*$J34</f>
        <v>-214.22996208047</v>
      </c>
      <c r="X34" s="12" t="n">
        <f aca="false">INDEX(V$21:V$141,$K34+1)*(1-$L34)+INDEX(V$21:V$141,$K34+2)*$L34</f>
        <v>-212.553756336388</v>
      </c>
      <c r="Y34" s="12" t="n">
        <f aca="false">$C34+$D34+MAX(W34,X34,IF(COUNTIFS($A$21:$A$141,"&gt;="&amp;$G34,$A$21:$A$141,"&lt;="&amp;$H34)&gt;0,_xlfn.MAXIFS(V$21:V$141,$A$21:$A$141,"&gt;="&amp;$G34,$A$21:$A$141,"&lt;="&amp;$H34),W34))</f>
        <v>-62.556088293076</v>
      </c>
      <c r="Z34" s="12" t="n">
        <f aca="false">-Cost_k*$A34+Beta_q*(Declarations!$B$16*INDEX(Y$21:Y$141,MAX(1,MIN(121,$B34-ROUND(Declarations!$A$16/$D$18,0))))+Declarations!$B$17*INDEX(Y$21:Y$141,MAX(1,MIN(121,$B34-ROUND(Declarations!$A$17/$D$18,0))))+Declarations!$B$18*INDEX(Y$21:Y$141,MAX(1,MIN(121,$B34-ROUND(Declarations!$A$18/$D$18,0))))+Declarations!$B$19*INDEX(Y$21:Y$141,MAX(1,MIN(121,$B34-ROUND(Declarations!$A$19/$D$18,0))))+Declarations!$B$20*INDEX(Y$21:Y$141,MAX(1,MIN(121,$B34-ROUND(Declarations!$A$20/$D$18,0)))))</f>
        <v>-234.117600369713</v>
      </c>
      <c r="AA34" s="12" t="n">
        <f aca="false">INDEX(Z$21:Z$141,$I34+1)*(1-$J34)+INDEX(Z$21:Z$141,$I34+2)*$J34</f>
        <v>-235.911474834392</v>
      </c>
      <c r="AB34" s="12" t="n">
        <f aca="false">INDEX(Z$21:Z$141,$K34+1)*(1-$L34)+INDEX(Z$21:Z$141,$K34+2)*$L34</f>
        <v>-232.156773705877</v>
      </c>
      <c r="AC34" s="12" t="n">
        <f aca="false">$C34+$D34+MAX(AA34,AB34,IF(COUNTIFS($A$21:$A$141,"&gt;="&amp;$G34,$A$21:$A$141,"&lt;="&amp;$H34)&gt;0,_xlfn.MAXIFS(Z$21:Z$141,$A$21:$A$141,"&gt;="&amp;$G34,$A$21:$A$141,"&lt;="&amp;$H34),AA34))</f>
        <v>-82.2817737058768</v>
      </c>
      <c r="AD34" s="12" t="n">
        <f aca="false">-Cost_k*$A34+Beta_q*(Declarations!$B$16*INDEX(AC$21:AC$141,MAX(1,MIN(121,$B34-ROUND(Declarations!$A$16/$D$18,0))))+Declarations!$B$17*INDEX(AC$21:AC$141,MAX(1,MIN(121,$B34-ROUND(Declarations!$A$17/$D$18,0))))+Declarations!$B$18*INDEX(AC$21:AC$141,MAX(1,MIN(121,$B34-ROUND(Declarations!$A$18/$D$18,0))))+Declarations!$B$19*INDEX(AC$21:AC$141,MAX(1,MIN(121,$B34-ROUND(Declarations!$A$19/$D$18,0))))+Declarations!$B$20*INDEX(AC$21:AC$141,MAX(1,MIN(121,$B34-ROUND(Declarations!$A$20/$D$18,0)))))</f>
        <v>-253.378456338184</v>
      </c>
      <c r="AE34" s="12" t="n">
        <f aca="false">INDEX(AD$21:AD$141,$I34+1)*(1-$J34)+INDEX(AD$21:AD$141,$I34+2)*$J34</f>
        <v>-256.263813899264</v>
      </c>
      <c r="AF34" s="12" t="n">
        <f aca="false">INDEX(AD$21:AD$141,$K34+1)*(1-$L34)+INDEX(AD$21:AD$141,$K34+2)*$L34</f>
        <v>-249.950262231593</v>
      </c>
      <c r="AG34" s="12" t="n">
        <f aca="false">$C34+$D34+MAX(AE34,AF34,IF(COUNTIFS($A$21:$A$141,"&gt;="&amp;$G34,$A$21:$A$141,"&lt;="&amp;$H34)&gt;0,_xlfn.MAXIFS(AD$21:AD$141,$A$21:$A$141,"&gt;="&amp;$G34,$A$21:$A$141,"&lt;="&amp;$H34),AE34))</f>
        <v>-100.075262231594</v>
      </c>
      <c r="AH34" s="12" t="n">
        <f aca="false">-Cost_k*$A34+Beta_q*(Declarations!$B$16*INDEX(AG$21:AG$141,MAX(1,MIN(121,$B34-ROUND(Declarations!$A$16/$D$18,0))))+Declarations!$B$17*INDEX(AG$21:AG$141,MAX(1,MIN(121,$B34-ROUND(Declarations!$A$17/$D$18,0))))+Declarations!$B$18*INDEX(AG$21:AG$141,MAX(1,MIN(121,$B34-ROUND(Declarations!$A$18/$D$18,0))))+Declarations!$B$19*INDEX(AG$21:AG$141,MAX(1,MIN(121,$B34-ROUND(Declarations!$A$19/$D$18,0))))+Declarations!$B$20*INDEX(AG$21:AG$141,MAX(1,MIN(121,$B34-ROUND(Declarations!$A$20/$D$18,0)))))</f>
        <v>-270.778202973854</v>
      </c>
      <c r="AI34" s="12" t="n">
        <f aca="false">INDEX(AH$21:AH$141,$I34+1)*(1-$J34)+INDEX(AH$21:AH$141,$I34+2)*$J34</f>
        <v>-274.689700992251</v>
      </c>
      <c r="AJ34" s="12" t="n">
        <f aca="false">INDEX(AH$21:AH$141,$K34+1)*(1-$L34)+INDEX(AH$21:AH$141,$K34+2)*$L34</f>
        <v>-266.056333936948</v>
      </c>
      <c r="AK34" s="12" t="n">
        <f aca="false">$C34+$D34+MAX(AI34,AJ34,IF(COUNTIFS($A$21:$A$141,"&gt;="&amp;$G34,$A$21:$A$141,"&lt;="&amp;$H34)&gt;0,_xlfn.MAXIFS(AH$21:AH$141,$A$21:$A$141,"&gt;="&amp;$G34,$A$21:$A$141,"&lt;="&amp;$H34),AI34))</f>
        <v>-116.181333936948</v>
      </c>
      <c r="AL34" s="12" t="n">
        <f aca="false">-Cost_k*$A34+Beta_q*(Declarations!$B$16*INDEX(AK$21:AK$141,MAX(1,MIN(121,$B34-ROUND(Declarations!$A$16/$D$18,0))))+Declarations!$B$17*INDEX(AK$21:AK$141,MAX(1,MIN(121,$B34-ROUND(Declarations!$A$17/$D$18,0))))+Declarations!$B$18*INDEX(AK$21:AK$141,MAX(1,MIN(121,$B34-ROUND(Declarations!$A$18/$D$18,0))))+Declarations!$B$19*INDEX(AK$21:AK$141,MAX(1,MIN(121,$B34-ROUND(Declarations!$A$19/$D$18,0))))+Declarations!$B$20*INDEX(AK$21:AK$141,MAX(1,MIN(121,$B34-ROUND(Declarations!$A$20/$D$18,0)))))</f>
        <v>-286.472424110469</v>
      </c>
      <c r="AM34" s="12" t="n">
        <f aca="false">INDEX(AL$21:AL$141,$I34+1)*(1-$J34)+INDEX(AL$21:AL$141,$I34+2)*$J34</f>
        <v>-291.362135823378</v>
      </c>
      <c r="AN34" s="12" t="n">
        <f aca="false">INDEX(AL$21:AL$141,$K34+1)*(1-$L34)+INDEX(AL$21:AL$141,$K34+2)*$L34</f>
        <v>-280.256911350173</v>
      </c>
      <c r="AO34" s="12" t="n">
        <f aca="false">$C34+$D34+MAX(AM34,AN34,IF(COUNTIFS($A$21:$A$141,"&gt;="&amp;$G34,$A$21:$A$141,"&lt;="&amp;$H34)&gt;0,_xlfn.MAXIFS(AL$21:AL$141,$A$21:$A$141,"&gt;="&amp;$G34,$A$21:$A$141,"&lt;="&amp;$H34),AM34))</f>
        <v>-130.381911350173</v>
      </c>
      <c r="AP34" s="12" t="n">
        <f aca="false">-Cost_k*$A34+Beta_q*(Declarations!$B$16*INDEX(AO$21:AO$141,MAX(1,MIN(121,$B34-ROUND(Declarations!$A$16/$D$18,0))))+Declarations!$B$17*INDEX(AO$21:AO$141,MAX(1,MIN(121,$B34-ROUND(Declarations!$A$17/$D$18,0))))+Declarations!$B$18*INDEX(AO$21:AO$141,MAX(1,MIN(121,$B34-ROUND(Declarations!$A$18/$D$18,0))))+Declarations!$B$19*INDEX(AO$21:AO$141,MAX(1,MIN(121,$B34-ROUND(Declarations!$A$19/$D$18,0))))+Declarations!$B$20*INDEX(AO$21:AO$141,MAX(1,MIN(121,$B34-ROUND(Declarations!$A$20/$D$18,0)))))</f>
        <v>-300.319353616039</v>
      </c>
      <c r="AQ34" s="12" t="n">
        <f aca="false">INDEX(AP$21:AP$141,$I34+1)*(1-$J34)+INDEX(AP$21:AP$141,$I34+2)*$J34</f>
        <v>-306.309691437976</v>
      </c>
      <c r="AR34" s="12" t="n">
        <f aca="false">INDEX(AP$21:AP$141,$K34+1)*(1-$L34)+INDEX(AP$21:AP$141,$K34+2)*$L34</f>
        <v>-292.522082809283</v>
      </c>
      <c r="AS34" s="12" t="n">
        <f aca="false">$C34+$D34+MAX(AQ34,AR34,IF(COUNTIFS($A$21:$A$141,"&gt;="&amp;$G34,$A$21:$A$141,"&lt;="&amp;$H34)&gt;0,_xlfn.MAXIFS(AP$21:AP$141,$A$21:$A$141,"&gt;="&amp;$G34,$A$21:$A$141,"&lt;="&amp;$H34),AQ34))</f>
        <v>-142.647082809283</v>
      </c>
      <c r="AT34" s="12" t="n">
        <f aca="false">-Cost_k*$A34+Beta_q*(Declarations!$B$16*INDEX(AS$21:AS$141,MAX(1,MIN(121,$B34-ROUND(Declarations!$A$16/$D$18,0))))+Declarations!$B$17*INDEX(AS$21:AS$141,MAX(1,MIN(121,$B34-ROUND(Declarations!$A$17/$D$18,0))))+Declarations!$B$18*INDEX(AS$21:AS$141,MAX(1,MIN(121,$B34-ROUND(Declarations!$A$18/$D$18,0))))+Declarations!$B$19*INDEX(AS$21:AS$141,MAX(1,MIN(121,$B34-ROUND(Declarations!$A$19/$D$18,0))))+Declarations!$B$20*INDEX(AS$21:AS$141,MAX(1,MIN(121,$B34-ROUND(Declarations!$A$20/$D$18,0)))))</f>
        <v>-312.290179617572</v>
      </c>
      <c r="AU34" s="12" t="n">
        <f aca="false">INDEX(AT$21:AT$141,$I34+1)*(1-$J34)+INDEX(AT$21:AT$141,$I34+2)*$J34</f>
        <v>-319.429840929498</v>
      </c>
      <c r="AV34" s="12" t="n">
        <f aca="false">INDEX(AT$21:AT$141,$K34+1)*(1-$L34)+INDEX(AT$21:AT$141,$K34+2)*$L34</f>
        <v>-302.941619941772</v>
      </c>
      <c r="AW34" s="12" t="n">
        <f aca="false">$C34+$D34+MAX(AU34,AV34,IF(COUNTIFS($A$21:$A$141,"&gt;="&amp;$G34,$A$21:$A$141,"&lt;="&amp;$H34)&gt;0,_xlfn.MAXIFS(AT$21:AT$141,$A$21:$A$141,"&gt;="&amp;$G34,$A$21:$A$141,"&lt;="&amp;$H34),AU34))</f>
        <v>-153.066619941772</v>
      </c>
      <c r="AX34" s="12" t="n">
        <f aca="false">-Cost_k*$A34+Beta_q*(Declarations!$B$16*INDEX(AW$21:AW$141,MAX(1,MIN(121,$B34-ROUND(Declarations!$A$16/$D$18,0))))+Declarations!$B$17*INDEX(AW$21:AW$141,MAX(1,MIN(121,$B34-ROUND(Declarations!$A$17/$D$18,0))))+Declarations!$B$18*INDEX(AW$21:AW$141,MAX(1,MIN(121,$B34-ROUND(Declarations!$A$18/$D$18,0))))+Declarations!$B$19*INDEX(AW$21:AW$141,MAX(1,MIN(121,$B34-ROUND(Declarations!$A$19/$D$18,0))))+Declarations!$B$20*INDEX(AW$21:AW$141,MAX(1,MIN(121,$B34-ROUND(Declarations!$A$20/$D$18,0)))))</f>
        <v>-322.46587987757</v>
      </c>
      <c r="AY34" s="12" t="n">
        <f aca="false">INDEX(AX$21:AX$141,$I34+1)*(1-$J34)+INDEX(AX$21:AX$141,$I34+2)*$J34</f>
        <v>-330.727911355481</v>
      </c>
      <c r="AZ34" s="12" t="n">
        <f aca="false">INDEX(AX$21:AX$141,$K34+1)*(1-$L34)+INDEX(AX$21:AX$141,$K34+2)*$L34</f>
        <v>-311.6626842936</v>
      </c>
      <c r="BA34" s="12" t="n">
        <f aca="false">$C34+$D34+MAX(AY34,AZ34,IF(COUNTIFS($A$21:$A$141,"&gt;="&amp;$G34,$A$21:$A$141,"&lt;="&amp;$H34)&gt;0,_xlfn.MAXIFS(AX$21:AX$141,$A$21:$A$141,"&gt;="&amp;$G34,$A$21:$A$141,"&lt;="&amp;$H34),AY34))</f>
        <v>-161.7876842936</v>
      </c>
      <c r="BB34" s="12" t="n">
        <f aca="false">-Cost_k*$A34+Beta_q*(Declarations!$B$16*INDEX(BA$21:BA$141,MAX(1,MIN(121,$B34-ROUND(Declarations!$A$16/$D$18,0))))+Declarations!$B$17*INDEX(BA$21:BA$141,MAX(1,MIN(121,$B34-ROUND(Declarations!$A$17/$D$18,0))))+Declarations!$B$18*INDEX(BA$21:BA$141,MAX(1,MIN(121,$B34-ROUND(Declarations!$A$18/$D$18,0))))+Declarations!$B$19*INDEX(BA$21:BA$141,MAX(1,MIN(121,$B34-ROUND(Declarations!$A$19/$D$18,0))))+Declarations!$B$20*INDEX(BA$21:BA$141,MAX(1,MIN(121,$B34-ROUND(Declarations!$A$20/$D$18,0)))))</f>
        <v>-330.99122100642</v>
      </c>
      <c r="BC34" s="12" t="n">
        <f aca="false">INDEX(BB$21:BB$141,$I34+1)*(1-$J34)+INDEX(BB$21:BB$141,$I34+2)*$J34</f>
        <v>-340.298525902853</v>
      </c>
      <c r="BD34" s="12" t="n">
        <f aca="false">INDEX(BB$21:BB$141,$K34+1)*(1-$L34)+INDEX(BB$21:BB$141,$K34+2)*$L34</f>
        <v>-318.902735044913</v>
      </c>
      <c r="BE34" s="12" t="n">
        <f aca="false">$C34+$D34+MAX(BC34,BD34,IF(COUNTIFS($A$21:$A$141,"&gt;="&amp;$G34,$A$21:$A$141,"&lt;="&amp;$H34)&gt;0,_xlfn.MAXIFS(BB$21:BB$141,$A$21:$A$141,"&gt;="&amp;$G34,$A$21:$A$141,"&lt;="&amp;$H34),BC34))</f>
        <v>-169.027735044913</v>
      </c>
      <c r="BF34" s="12" t="n">
        <f aca="false">-Cost_k*$A34+Beta_q*(Declarations!$B$16*INDEX(BE$21:BE$141,MAX(1,MIN(121,$B34-ROUND(Declarations!$A$16/$D$18,0))))+Declarations!$B$17*INDEX(BE$21:BE$141,MAX(1,MIN(121,$B34-ROUND(Declarations!$A$17/$D$18,0))))+Declarations!$B$18*INDEX(BE$21:BE$141,MAX(1,MIN(121,$B34-ROUND(Declarations!$A$18/$D$18,0))))+Declarations!$B$19*INDEX(BE$21:BE$141,MAX(1,MIN(121,$B34-ROUND(Declarations!$A$19/$D$18,0))))+Declarations!$B$20*INDEX(BE$21:BE$141,MAX(1,MIN(121,$B34-ROUND(Declarations!$A$20/$D$18,0)))))</f>
        <v>-338.08078643089</v>
      </c>
      <c r="BG34" s="12" t="n">
        <f aca="false">INDEX(BF$21:BF$141,$I34+1)*(1-$J34)+INDEX(BF$21:BF$141,$I34+2)*$J34</f>
        <v>-348.300845543274</v>
      </c>
      <c r="BH34" s="12" t="n">
        <f aca="false">INDEX(BF$21:BF$141,$K34+1)*(1-$L34)+INDEX(BF$21:BF$141,$K34+2)*$L34</f>
        <v>-324.961786051392</v>
      </c>
      <c r="BI34" s="12" t="n">
        <f aca="false">$C34+$D34+MAX(BG34,BH34,IF(COUNTIFS($A$21:$A$141,"&gt;="&amp;$G34,$A$21:$A$141,"&lt;="&amp;$H34)&gt;0,_xlfn.MAXIFS(BF$21:BF$141,$A$21:$A$141,"&gt;="&amp;$G34,$A$21:$A$141,"&lt;="&amp;$H34),BG34))</f>
        <v>-175.086786051392</v>
      </c>
      <c r="BJ34" s="23" t="n">
        <v>-175.086786051392</v>
      </c>
      <c r="BK34" s="22" t="n">
        <f aca="false">ABS(BI34-BJ34)</f>
        <v>0</v>
      </c>
    </row>
    <row r="35" customFormat="false" ht="15" hidden="false" customHeight="false" outlineLevel="0" collapsed="false">
      <c r="A35" s="14" t="n">
        <f aca="false">A34+$D$18</f>
        <v>43.5</v>
      </c>
      <c r="B35" s="19" t="n">
        <v>15</v>
      </c>
      <c r="C35" s="12" t="n">
        <f aca="false">-Short_p*MAX(Floor_c-A35,0)</f>
        <v>-18.4</v>
      </c>
      <c r="D35" s="12" t="n">
        <f aca="false">Cost_k*Alpha_keep*A35</f>
        <v>169.65</v>
      </c>
      <c r="E35" s="12" t="n">
        <f aca="false">MIN(Cap_h,MAX(0,$B$18+MAX(Loss_w)-Alpha_keep*A35))</f>
        <v>0</v>
      </c>
      <c r="F35" s="12" t="n">
        <f aca="false">MAX(MIN(Cap_h,$F$18+MIN(Loss_w)-Alpha_keep*A35),E35)</f>
        <v>2.5</v>
      </c>
      <c r="G35" s="12" t="n">
        <f aca="false">Alpha_keep*A35+E35</f>
        <v>42.4125</v>
      </c>
      <c r="H35" s="12" t="n">
        <f aca="false">Alpha_keep*A35+F35</f>
        <v>44.9125</v>
      </c>
      <c r="I35" s="19" t="n">
        <f aca="false">MIN(INT((G35-$B$18)/$D$18+0.000000001),119)</f>
        <v>9</v>
      </c>
      <c r="J35" s="12" t="n">
        <f aca="false">(G35-$B$18)/$D$18-I35</f>
        <v>0.650000000000006</v>
      </c>
      <c r="K35" s="19" t="n">
        <f aca="false">MIN(INT((H35-$B$18)/$D$18+0.000000001),119)</f>
        <v>19</v>
      </c>
      <c r="L35" s="12" t="n">
        <f aca="false">(H35-$B$18)/$D$18-K35</f>
        <v>0.650000000000006</v>
      </c>
      <c r="M35" s="9" t="n">
        <v>0</v>
      </c>
      <c r="N35" s="12" t="n">
        <f aca="false">-Cost_k*$A35+Beta_q*(Declarations!$B$16*INDEX(M$21:M$141,MAX(1,MIN(121,$B35-ROUND(Declarations!$A$16/$D$18,0))))+Declarations!$B$17*INDEX(M$21:M$141,MAX(1,MIN(121,$B35-ROUND(Declarations!$A$17/$D$18,0))))+Declarations!$B$18*INDEX(M$21:M$141,MAX(1,MIN(121,$B35-ROUND(Declarations!$A$18/$D$18,0))))+Declarations!$B$19*INDEX(M$21:M$141,MAX(1,MIN(121,$B35-ROUND(Declarations!$A$19/$D$18,0))))+Declarations!$B$20*INDEX(M$21:M$141,MAX(1,MIN(121,$B35-ROUND(Declarations!$A$20/$D$18,0)))))</f>
        <v>-174</v>
      </c>
      <c r="O35" s="12" t="n">
        <f aca="false">INDEX(N$21:N$141,$I35+1)*(1-$J35)+INDEX(N$21:N$141,$I35+2)*$J35</f>
        <v>-169.65</v>
      </c>
      <c r="P35" s="12" t="n">
        <f aca="false">INDEX(N$21:N$141,$K35+1)*(1-$L35)+INDEX(N$21:N$141,$K35+2)*$L35</f>
        <v>-179.65</v>
      </c>
      <c r="Q35" s="12" t="n">
        <f aca="false">$C35+$D35+MAX(O35,P35,IF(COUNTIFS($A$21:$A$141,"&gt;="&amp;$G35,$A$21:$A$141,"&lt;="&amp;$H35)&gt;0,_xlfn.MAXIFS(N$21:N$141,$A$21:$A$141,"&gt;="&amp;$G35,$A$21:$A$141,"&lt;="&amp;$H35),O35))</f>
        <v>-18.4</v>
      </c>
      <c r="R35" s="12" t="n">
        <f aca="false">-Cost_k*$A35+Beta_q*(Declarations!$B$16*INDEX(Q$21:Q$141,MAX(1,MIN(121,$B35-ROUND(Declarations!$A$16/$D$18,0))))+Declarations!$B$17*INDEX(Q$21:Q$141,MAX(1,MIN(121,$B35-ROUND(Declarations!$A$17/$D$18,0))))+Declarations!$B$18*INDEX(Q$21:Q$141,MAX(1,MIN(121,$B35-ROUND(Declarations!$A$18/$D$18,0))))+Declarations!$B$19*INDEX(Q$21:Q$141,MAX(1,MIN(121,$B35-ROUND(Declarations!$A$19/$D$18,0))))+Declarations!$B$20*INDEX(Q$21:Q$141,MAX(1,MIN(121,$B35-ROUND(Declarations!$A$20/$D$18,0)))))</f>
        <v>-192.074165199909</v>
      </c>
      <c r="S35" s="12" t="n">
        <f aca="false">INDEX(R$21:R$141,$I35+1)*(1-$J35)+INDEX(R$21:R$141,$I35+2)*$J35</f>
        <v>-190.605620190163</v>
      </c>
      <c r="T35" s="12" t="n">
        <f aca="false">INDEX(R$21:R$141,$K35+1)*(1-$L35)+INDEX(R$21:R$141,$K35+2)*$L35</f>
        <v>-195.409969007376</v>
      </c>
      <c r="U35" s="12" t="n">
        <f aca="false">$C35+$D35+MAX(S35,T35,IF(COUNTIFS($A$21:$A$141,"&gt;="&amp;$G35,$A$21:$A$141,"&lt;="&amp;$H35)&gt;0,_xlfn.MAXIFS(R$21:R$141,$A$21:$A$141,"&gt;="&amp;$G35,$A$21:$A$141,"&lt;="&amp;$H35),S35))</f>
        <v>-39.3190053990315</v>
      </c>
      <c r="V35" s="12" t="n">
        <f aca="false">-Cost_k*$A35+Beta_q*(Declarations!$B$16*INDEX(U$21:U$141,MAX(1,MIN(121,$B35-ROUND(Declarations!$A$16/$D$18,0))))+Declarations!$B$17*INDEX(U$21:U$141,MAX(1,MIN(121,$B35-ROUND(Declarations!$A$17/$D$18,0))))+Declarations!$B$18*INDEX(U$21:U$141,MAX(1,MIN(121,$B35-ROUND(Declarations!$A$18/$D$18,0))))+Declarations!$B$19*INDEX(U$21:U$141,MAX(1,MIN(121,$B35-ROUND(Declarations!$A$19/$D$18,0))))+Declarations!$B$20*INDEX(U$21:U$141,MAX(1,MIN(121,$B35-ROUND(Declarations!$A$20/$D$18,0)))))</f>
        <v>-212.670768324916</v>
      </c>
      <c r="W35" s="12" t="n">
        <f aca="false">INDEX(V$21:V$141,$I35+1)*(1-$J35)+INDEX(V$21:V$141,$I35+2)*$J35</f>
        <v>-213.903521412589</v>
      </c>
      <c r="X35" s="12" t="n">
        <f aca="false">INDEX(V$21:V$141,$K35+1)*(1-$L35)+INDEX(V$21:V$141,$K35+2)*$L35</f>
        <v>-212.684023395111</v>
      </c>
      <c r="Y35" s="12" t="n">
        <f aca="false">$C35+$D35+MAX(W35,X35,IF(COUNTIFS($A$21:$A$141,"&gt;="&amp;$G35,$A$21:$A$141,"&lt;="&amp;$H35)&gt;0,_xlfn.MAXIFS(V$21:V$141,$A$21:$A$141,"&gt;="&amp;$G35,$A$21:$A$141,"&lt;="&amp;$H35),W35))</f>
        <v>-61.181088293076</v>
      </c>
      <c r="Z35" s="12" t="n">
        <f aca="false">-Cost_k*$A35+Beta_q*(Declarations!$B$16*INDEX(Y$21:Y$141,MAX(1,MIN(121,$B35-ROUND(Declarations!$A$16/$D$18,0))))+Declarations!$B$17*INDEX(Y$21:Y$141,MAX(1,MIN(121,$B35-ROUND(Declarations!$A$17/$D$18,0))))+Declarations!$B$18*INDEX(Y$21:Y$141,MAX(1,MIN(121,$B35-ROUND(Declarations!$A$18/$D$18,0))))+Declarations!$B$19*INDEX(Y$21:Y$141,MAX(1,MIN(121,$B35-ROUND(Declarations!$A$19/$D$18,0))))+Declarations!$B$20*INDEX(Y$21:Y$141,MAX(1,MIN(121,$B35-ROUND(Declarations!$A$20/$D$18,0)))))</f>
        <v>-233.756222263792</v>
      </c>
      <c r="AA35" s="12" t="n">
        <f aca="false">INDEX(Z$21:Z$141,$I35+1)*(1-$J35)+INDEX(Z$21:Z$141,$I35+2)*$J35</f>
        <v>-235.459758134593</v>
      </c>
      <c r="AB35" s="12" t="n">
        <f aca="false">INDEX(Z$21:Z$141,$K35+1)*(1-$L35)+INDEX(Z$21:Z$141,$K35+2)*$L35</f>
        <v>-231.841360318656</v>
      </c>
      <c r="AC35" s="12" t="n">
        <f aca="false">$C35+$D35+MAX(AA35,AB35,IF(COUNTIFS($A$21:$A$141,"&gt;="&amp;$G35,$A$21:$A$141,"&lt;="&amp;$H35)&gt;0,_xlfn.MAXIFS(Z$21:Z$141,$A$21:$A$141,"&gt;="&amp;$G35,$A$21:$A$141,"&lt;="&amp;$H35),AA35))</f>
        <v>-80.5913603186562</v>
      </c>
      <c r="AD35" s="12" t="n">
        <f aca="false">-Cost_k*$A35+Beta_q*(Declarations!$B$16*INDEX(AC$21:AC$141,MAX(1,MIN(121,$B35-ROUND(Declarations!$A$16/$D$18,0))))+Declarations!$B$17*INDEX(AC$21:AC$141,MAX(1,MIN(121,$B35-ROUND(Declarations!$A$17/$D$18,0))))+Declarations!$B$18*INDEX(AC$21:AC$141,MAX(1,MIN(121,$B35-ROUND(Declarations!$A$18/$D$18,0))))+Declarations!$B$19*INDEX(AC$21:AC$141,MAX(1,MIN(121,$B35-ROUND(Declarations!$A$19/$D$18,0))))+Declarations!$B$20*INDEX(AC$21:AC$141,MAX(1,MIN(121,$B35-ROUND(Declarations!$A$20/$D$18,0)))))</f>
        <v>-252.737733149842</v>
      </c>
      <c r="AE35" s="12" t="n">
        <f aca="false">INDEX(AD$21:AD$141,$I35+1)*(1-$J35)+INDEX(AD$21:AD$141,$I35+2)*$J35</f>
        <v>-255.598809957339</v>
      </c>
      <c r="AF35" s="12" t="n">
        <f aca="false">INDEX(AD$21:AD$141,$K35+1)*(1-$L35)+INDEX(AD$21:AD$141,$K35+2)*$L35</f>
        <v>-249.418975376427</v>
      </c>
      <c r="AG35" s="12" t="n">
        <f aca="false">$C35+$D35+MAX(AE35,AF35,IF(COUNTIFS($A$21:$A$141,"&gt;="&amp;$G35,$A$21:$A$141,"&lt;="&amp;$H35)&gt;0,_xlfn.MAXIFS(AD$21:AD$141,$A$21:$A$141,"&gt;="&amp;$G35,$A$21:$A$141,"&lt;="&amp;$H35),AE35))</f>
        <v>-98.1689753764267</v>
      </c>
      <c r="AH35" s="12" t="n">
        <f aca="false">-Cost_k*$A35+Beta_q*(Declarations!$B$16*INDEX(AG$21:AG$141,MAX(1,MIN(121,$B35-ROUND(Declarations!$A$16/$D$18,0))))+Declarations!$B$17*INDEX(AG$21:AG$141,MAX(1,MIN(121,$B35-ROUND(Declarations!$A$17/$D$18,0))))+Declarations!$B$18*INDEX(AG$21:AG$141,MAX(1,MIN(121,$B35-ROUND(Declarations!$A$18/$D$18,0))))+Declarations!$B$19*INDEX(AG$21:AG$141,MAX(1,MIN(121,$B35-ROUND(Declarations!$A$19/$D$18,0))))+Declarations!$B$20*INDEX(AG$21:AG$141,MAX(1,MIN(121,$B35-ROUND(Declarations!$A$20/$D$18,0)))))</f>
        <v>-269.914176366859</v>
      </c>
      <c r="AI35" s="12" t="n">
        <f aca="false">INDEX(AH$21:AH$141,$I35+1)*(1-$J35)+INDEX(AH$21:AH$141,$I35+2)*$J35</f>
        <v>-273.784146403437</v>
      </c>
      <c r="AJ35" s="12" t="n">
        <f aca="false">INDEX(AH$21:AH$141,$K35+1)*(1-$L35)+INDEX(AH$21:AH$141,$K35+2)*$L35</f>
        <v>-265.278620348772</v>
      </c>
      <c r="AK35" s="12" t="n">
        <f aca="false">$C35+$D35+MAX(AI35,AJ35,IF(COUNTIFS($A$21:$A$141,"&gt;="&amp;$G35,$A$21:$A$141,"&lt;="&amp;$H35)&gt;0,_xlfn.MAXIFS(AH$21:AH$141,$A$21:$A$141,"&gt;="&amp;$G35,$A$21:$A$141,"&lt;="&amp;$H35),AI35))</f>
        <v>-114.028620348772</v>
      </c>
      <c r="AL35" s="12" t="n">
        <f aca="false">-Cost_k*$A35+Beta_q*(Declarations!$B$16*INDEX(AK$21:AK$141,MAX(1,MIN(121,$B35-ROUND(Declarations!$A$16/$D$18,0))))+Declarations!$B$17*INDEX(AK$21:AK$141,MAX(1,MIN(121,$B35-ROUND(Declarations!$A$17/$D$18,0))))+Declarations!$B$18*INDEX(AK$21:AK$141,MAX(1,MIN(121,$B35-ROUND(Declarations!$A$18/$D$18,0))))+Declarations!$B$19*INDEX(AK$21:AK$141,MAX(1,MIN(121,$B35-ROUND(Declarations!$A$19/$D$18,0))))+Declarations!$B$20*INDEX(AK$21:AK$141,MAX(1,MIN(121,$B35-ROUND(Declarations!$A$20/$D$18,0)))))</f>
        <v>-285.36556372302</v>
      </c>
      <c r="AM35" s="12" t="n">
        <f aca="false">INDEX(AL$21:AL$141,$I35+1)*(1-$J35)+INDEX(AL$21:AL$141,$I35+2)*$J35</f>
        <v>-290.243107081883</v>
      </c>
      <c r="AN35" s="12" t="n">
        <f aca="false">INDEX(AL$21:AL$141,$K35+1)*(1-$L35)+INDEX(AL$21:AL$141,$K35+2)*$L35</f>
        <v>-279.199464605793</v>
      </c>
      <c r="AO35" s="12" t="n">
        <f aca="false">$C35+$D35+MAX(AM35,AN35,IF(COUNTIFS($A$21:$A$141,"&gt;="&amp;$G35,$A$21:$A$141,"&lt;="&amp;$H35)&gt;0,_xlfn.MAXIFS(AL$21:AL$141,$A$21:$A$141,"&gt;="&amp;$G35,$A$21:$A$141,"&lt;="&amp;$H35),AM35))</f>
        <v>-127.949464605793</v>
      </c>
      <c r="AP35" s="12" t="n">
        <f aca="false">-Cost_k*$A35+Beta_q*(Declarations!$B$16*INDEX(AO$21:AO$141,MAX(1,MIN(121,$B35-ROUND(Declarations!$A$16/$D$18,0))))+Declarations!$B$17*INDEX(AO$21:AO$141,MAX(1,MIN(121,$B35-ROUND(Declarations!$A$17/$D$18,0))))+Declarations!$B$18*INDEX(AO$21:AO$141,MAX(1,MIN(121,$B35-ROUND(Declarations!$A$18/$D$18,0))))+Declarations!$B$19*INDEX(AO$21:AO$141,MAX(1,MIN(121,$B35-ROUND(Declarations!$A$19/$D$18,0))))+Declarations!$B$20*INDEX(AO$21:AO$141,MAX(1,MIN(121,$B35-ROUND(Declarations!$A$20/$D$18,0)))))</f>
        <v>-298.942388829856</v>
      </c>
      <c r="AQ35" s="12" t="n">
        <f aca="false">INDEX(AP$21:AP$141,$I35+1)*(1-$J35)+INDEX(AP$21:AP$141,$I35+2)*$J35</f>
        <v>-304.952779127672</v>
      </c>
      <c r="AR35" s="12" t="n">
        <f aca="false">INDEX(AP$21:AP$141,$K35+1)*(1-$L35)+INDEX(AP$21:AP$141,$K35+2)*$L35</f>
        <v>-291.184964228092</v>
      </c>
      <c r="AS35" s="12" t="n">
        <f aca="false">$C35+$D35+MAX(AQ35,AR35,IF(COUNTIFS($A$21:$A$141,"&gt;="&amp;$G35,$A$21:$A$141,"&lt;="&amp;$H35)&gt;0,_xlfn.MAXIFS(AP$21:AP$141,$A$21:$A$141,"&gt;="&amp;$G35,$A$21:$A$141,"&lt;="&amp;$H35),AQ35))</f>
        <v>-139.934964228092</v>
      </c>
      <c r="AT35" s="12" t="n">
        <f aca="false">-Cost_k*$A35+Beta_q*(Declarations!$B$16*INDEX(AS$21:AS$141,MAX(1,MIN(121,$B35-ROUND(Declarations!$A$16/$D$18,0))))+Declarations!$B$17*INDEX(AS$21:AS$141,MAX(1,MIN(121,$B35-ROUND(Declarations!$A$17/$D$18,0))))+Declarations!$B$18*INDEX(AS$21:AS$141,MAX(1,MIN(121,$B35-ROUND(Declarations!$A$18/$D$18,0))))+Declarations!$B$19*INDEX(AS$21:AS$141,MAX(1,MIN(121,$B35-ROUND(Declarations!$A$19/$D$18,0))))+Declarations!$B$20*INDEX(AS$21:AS$141,MAX(1,MIN(121,$B35-ROUND(Declarations!$A$20/$D$18,0)))))</f>
        <v>-310.641624410393</v>
      </c>
      <c r="AU35" s="12" t="n">
        <f aca="false">INDEX(AT$21:AT$141,$I35+1)*(1-$J35)+INDEX(AT$21:AT$141,$I35+2)*$J35</f>
        <v>-317.818483370781</v>
      </c>
      <c r="AV35" s="12" t="n">
        <f aca="false">INDEX(AT$21:AT$141,$K35+1)*(1-$L35)+INDEX(AT$21:AT$141,$K35+2)*$L35</f>
        <v>-301.337677587263</v>
      </c>
      <c r="AW35" s="12" t="n">
        <f aca="false">$C35+$D35+MAX(AU35,AV35,IF(COUNTIFS($A$21:$A$141,"&gt;="&amp;$G35,$A$21:$A$141,"&lt;="&amp;$H35)&gt;0,_xlfn.MAXIFS(AT$21:AT$141,$A$21:$A$141,"&gt;="&amp;$G35,$A$21:$A$141,"&lt;="&amp;$H35),AU35))</f>
        <v>-150.087677587263</v>
      </c>
      <c r="AX35" s="12" t="n">
        <f aca="false">-Cost_k*$A35+Beta_q*(Declarations!$B$16*INDEX(AW$21:AW$141,MAX(1,MIN(121,$B35-ROUND(Declarations!$A$16/$D$18,0))))+Declarations!$B$17*INDEX(AW$21:AW$141,MAX(1,MIN(121,$B35-ROUND(Declarations!$A$17/$D$18,0))))+Declarations!$B$18*INDEX(AW$21:AW$141,MAX(1,MIN(121,$B35-ROUND(Declarations!$A$18/$D$18,0))))+Declarations!$B$19*INDEX(AW$21:AW$141,MAX(1,MIN(121,$B35-ROUND(Declarations!$A$19/$D$18,0))))+Declarations!$B$20*INDEX(AW$21:AW$141,MAX(1,MIN(121,$B35-ROUND(Declarations!$A$20/$D$18,0)))))</f>
        <v>-320.557947812265</v>
      </c>
      <c r="AY35" s="12" t="n">
        <f aca="false">INDEX(AX$21:AX$141,$I35+1)*(1-$J35)+INDEX(AX$21:AX$141,$I35+2)*$J35</f>
        <v>-328.864228876007</v>
      </c>
      <c r="AZ35" s="12" t="n">
        <f aca="false">INDEX(AX$21:AX$141,$K35+1)*(1-$L35)+INDEX(AX$21:AX$141,$K35+2)*$L35</f>
        <v>-309.815369032729</v>
      </c>
      <c r="BA35" s="12" t="n">
        <f aca="false">$C35+$D35+MAX(AY35,AZ35,IF(COUNTIFS($A$21:$A$141,"&gt;="&amp;$G35,$A$21:$A$141,"&lt;="&amp;$H35)&gt;0,_xlfn.MAXIFS(AX$21:AX$141,$A$21:$A$141,"&gt;="&amp;$G35,$A$21:$A$141,"&lt;="&amp;$H35),AY35))</f>
        <v>-158.565369032729</v>
      </c>
      <c r="BB35" s="12" t="n">
        <f aca="false">-Cost_k*$A35+Beta_q*(Declarations!$B$16*INDEX(BA$21:BA$141,MAX(1,MIN(121,$B35-ROUND(Declarations!$A$16/$D$18,0))))+Declarations!$B$17*INDEX(BA$21:BA$141,MAX(1,MIN(121,$B35-ROUND(Declarations!$A$17/$D$18,0))))+Declarations!$B$18*INDEX(BA$21:BA$141,MAX(1,MIN(121,$B35-ROUND(Declarations!$A$18/$D$18,0))))+Declarations!$B$19*INDEX(BA$21:BA$141,MAX(1,MIN(121,$B35-ROUND(Declarations!$A$19/$D$18,0))))+Declarations!$B$20*INDEX(BA$21:BA$141,MAX(1,MIN(121,$B35-ROUND(Declarations!$A$20/$D$18,0)))))</f>
        <v>-328.847432672904</v>
      </c>
      <c r="BC35" s="12" t="n">
        <f aca="false">INDEX(BB$21:BB$141,$I35+1)*(1-$J35)+INDEX(BB$21:BB$141,$I35+2)*$J35</f>
        <v>-338.196609162633</v>
      </c>
      <c r="BD35" s="12" t="n">
        <f aca="false">INDEX(BB$21:BB$141,$K35+1)*(1-$L35)+INDEX(BB$21:BB$141,$K35+2)*$L35</f>
        <v>-316.850803513524</v>
      </c>
      <c r="BE35" s="12" t="n">
        <f aca="false">$C35+$D35+MAX(BC35,BD35,IF(COUNTIFS($A$21:$A$141,"&gt;="&amp;$G35,$A$21:$A$141,"&lt;="&amp;$H35)&gt;0,_xlfn.MAXIFS(BB$21:BB$141,$A$21:$A$141,"&gt;="&amp;$G35,$A$21:$A$141,"&lt;="&amp;$H35),BC35))</f>
        <v>-165.600803513524</v>
      </c>
      <c r="BF35" s="12" t="n">
        <f aca="false">-Cost_k*$A35+Beta_q*(Declarations!$B$16*INDEX(BE$21:BE$141,MAX(1,MIN(121,$B35-ROUND(Declarations!$A$16/$D$18,0))))+Declarations!$B$17*INDEX(BE$21:BE$141,MAX(1,MIN(121,$B35-ROUND(Declarations!$A$17/$D$18,0))))+Declarations!$B$18*INDEX(BE$21:BE$141,MAX(1,MIN(121,$B35-ROUND(Declarations!$A$18/$D$18,0))))+Declarations!$B$19*INDEX(BE$21:BE$141,MAX(1,MIN(121,$B35-ROUND(Declarations!$A$19/$D$18,0))))+Declarations!$B$20*INDEX(BE$21:BE$141,MAX(1,MIN(121,$B35-ROUND(Declarations!$A$20/$D$18,0)))))</f>
        <v>-335.739322150339</v>
      </c>
      <c r="BG35" s="12" t="n">
        <f aca="false">INDEX(BF$21:BF$141,$I35+1)*(1-$J35)+INDEX(BF$21:BF$141,$I35+2)*$J35</f>
        <v>-345.986503457926</v>
      </c>
      <c r="BH35" s="12" t="n">
        <f aca="false">INDEX(BF$21:BF$141,$K35+1)*(1-$L35)+INDEX(BF$21:BF$141,$K35+2)*$L35</f>
        <v>-322.758574817871</v>
      </c>
      <c r="BI35" s="12" t="n">
        <f aca="false">$C35+$D35+MAX(BG35,BH35,IF(COUNTIFS($A$21:$A$141,"&gt;="&amp;$G35,$A$21:$A$141,"&lt;="&amp;$H35)&gt;0,_xlfn.MAXIFS(BF$21:BF$141,$A$21:$A$141,"&gt;="&amp;$G35,$A$21:$A$141,"&lt;="&amp;$H35),BG35))</f>
        <v>-171.508574817871</v>
      </c>
      <c r="BJ35" s="23" t="n">
        <v>-171.508574817871</v>
      </c>
      <c r="BK35" s="22" t="n">
        <f aca="false">ABS(BI35-BJ35)</f>
        <v>0</v>
      </c>
    </row>
    <row r="36" customFormat="false" ht="15" hidden="false" customHeight="false" outlineLevel="0" collapsed="false">
      <c r="A36" s="14" t="n">
        <f aca="false">A35+$D$18</f>
        <v>43.75</v>
      </c>
      <c r="B36" s="19" t="n">
        <v>16</v>
      </c>
      <c r="C36" s="12" t="n">
        <f aca="false">-Short_p*MAX(Floor_c-A36,0)</f>
        <v>-18</v>
      </c>
      <c r="D36" s="12" t="n">
        <f aca="false">Cost_k*Alpha_keep*A36</f>
        <v>170.625</v>
      </c>
      <c r="E36" s="12" t="n">
        <f aca="false">MIN(Cap_h,MAX(0,$B$18+MAX(Loss_w)-Alpha_keep*A36))</f>
        <v>0</v>
      </c>
      <c r="F36" s="12" t="n">
        <f aca="false">MAX(MIN(Cap_h,$F$18+MIN(Loss_w)-Alpha_keep*A36),E36)</f>
        <v>2.5</v>
      </c>
      <c r="G36" s="12" t="n">
        <f aca="false">Alpha_keep*A36+E36</f>
        <v>42.65625</v>
      </c>
      <c r="H36" s="12" t="n">
        <f aca="false">Alpha_keep*A36+F36</f>
        <v>45.15625</v>
      </c>
      <c r="I36" s="19" t="n">
        <f aca="false">MIN(INT((G36-$B$18)/$D$18+0.000000001),119)</f>
        <v>10</v>
      </c>
      <c r="J36" s="12" t="n">
        <f aca="false">(G36-$B$18)/$D$18-I36</f>
        <v>0.625</v>
      </c>
      <c r="K36" s="19" t="n">
        <f aca="false">MIN(INT((H36-$B$18)/$D$18+0.000000001),119)</f>
        <v>20</v>
      </c>
      <c r="L36" s="12" t="n">
        <f aca="false">(H36-$B$18)/$D$18-K36</f>
        <v>0.625</v>
      </c>
      <c r="M36" s="9" t="n">
        <v>0</v>
      </c>
      <c r="N36" s="12" t="n">
        <f aca="false">-Cost_k*$A36+Beta_q*(Declarations!$B$16*INDEX(M$21:M$141,MAX(1,MIN(121,$B36-ROUND(Declarations!$A$16/$D$18,0))))+Declarations!$B$17*INDEX(M$21:M$141,MAX(1,MIN(121,$B36-ROUND(Declarations!$A$17/$D$18,0))))+Declarations!$B$18*INDEX(M$21:M$141,MAX(1,MIN(121,$B36-ROUND(Declarations!$A$18/$D$18,0))))+Declarations!$B$19*INDEX(M$21:M$141,MAX(1,MIN(121,$B36-ROUND(Declarations!$A$19/$D$18,0))))+Declarations!$B$20*INDEX(M$21:M$141,MAX(1,MIN(121,$B36-ROUND(Declarations!$A$20/$D$18,0)))))</f>
        <v>-175</v>
      </c>
      <c r="O36" s="12" t="n">
        <f aca="false">INDEX(N$21:N$141,$I36+1)*(1-$J36)+INDEX(N$21:N$141,$I36+2)*$J36</f>
        <v>-170.625</v>
      </c>
      <c r="P36" s="12" t="n">
        <f aca="false">INDEX(N$21:N$141,$K36+1)*(1-$L36)+INDEX(N$21:N$141,$K36+2)*$L36</f>
        <v>-180.625</v>
      </c>
      <c r="Q36" s="12" t="n">
        <f aca="false">$C36+$D36+MAX(O36,P36,IF(COUNTIFS($A$21:$A$141,"&gt;="&amp;$G36,$A$21:$A$141,"&lt;="&amp;$H36)&gt;0,_xlfn.MAXIFS(N$21:N$141,$A$21:$A$141,"&gt;="&amp;$G36,$A$21:$A$141,"&lt;="&amp;$H36),O36))</f>
        <v>-18</v>
      </c>
      <c r="R36" s="12" t="n">
        <f aca="false">-Cost_k*$A36+Beta_q*(Declarations!$B$16*INDEX(Q$21:Q$141,MAX(1,MIN(121,$B36-ROUND(Declarations!$A$16/$D$18,0))))+Declarations!$B$17*INDEX(Q$21:Q$141,MAX(1,MIN(121,$B36-ROUND(Declarations!$A$17/$D$18,0))))+Declarations!$B$18*INDEX(Q$21:Q$141,MAX(1,MIN(121,$B36-ROUND(Declarations!$A$18/$D$18,0))))+Declarations!$B$19*INDEX(Q$21:Q$141,MAX(1,MIN(121,$B36-ROUND(Declarations!$A$19/$D$18,0))))+Declarations!$B$20*INDEX(Q$21:Q$141,MAX(1,MIN(121,$B36-ROUND(Declarations!$A$20/$D$18,0)))))</f>
        <v>-192.635981427166</v>
      </c>
      <c r="S36" s="12" t="n">
        <f aca="false">INDEX(R$21:R$141,$I36+1)*(1-$J36)+INDEX(R$21:R$141,$I36+2)*$J36</f>
        <v>-190.724849723132</v>
      </c>
      <c r="T36" s="12" t="n">
        <f aca="false">INDEX(R$21:R$141,$K36+1)*(1-$L36)+INDEX(R$21:R$141,$K36+2)*$L36</f>
        <v>-196.004151912402</v>
      </c>
      <c r="U36" s="12" t="n">
        <f aca="false">$C36+$D36+MAX(S36,T36,IF(COUNTIFS($A$21:$A$141,"&gt;="&amp;$G36,$A$21:$A$141,"&lt;="&amp;$H36)&gt;0,_xlfn.MAXIFS(R$21:R$141,$A$21:$A$141,"&gt;="&amp;$G36,$A$21:$A$141,"&lt;="&amp;$H36),S36))</f>
        <v>-38.0998497231323</v>
      </c>
      <c r="V36" s="12" t="n">
        <f aca="false">-Cost_k*$A36+Beta_q*(Declarations!$B$16*INDEX(U$21:U$141,MAX(1,MIN(121,$B36-ROUND(Declarations!$A$16/$D$18,0))))+Declarations!$B$17*INDEX(U$21:U$141,MAX(1,MIN(121,$B36-ROUND(Declarations!$A$17/$D$18,0))))+Declarations!$B$18*INDEX(U$21:U$141,MAX(1,MIN(121,$B36-ROUND(Declarations!$A$18/$D$18,0))))+Declarations!$B$19*INDEX(U$21:U$141,MAX(1,MIN(121,$B36-ROUND(Declarations!$A$19/$D$18,0))))+Declarations!$B$20*INDEX(U$21:U$141,MAX(1,MIN(121,$B36-ROUND(Declarations!$A$20/$D$18,0)))))</f>
        <v>-212.517722815195</v>
      </c>
      <c r="W36" s="12" t="n">
        <f aca="false">INDEX(V$21:V$141,$I36+1)*(1-$J36)+INDEX(V$21:V$141,$I36+2)*$J36</f>
        <v>-213.583856153064</v>
      </c>
      <c r="X36" s="12" t="n">
        <f aca="false">INDEX(V$21:V$141,$K36+1)*(1-$L36)+INDEX(V$21:V$141,$K36+2)*$L36</f>
        <v>-212.8404790858</v>
      </c>
      <c r="Y36" s="12" t="n">
        <f aca="false">$C36+$D36+MAX(W36,X36,IF(COUNTIFS($A$21:$A$141,"&gt;="&amp;$G36,$A$21:$A$141,"&lt;="&amp;$H36)&gt;0,_xlfn.MAXIFS(V$21:V$141,$A$21:$A$141,"&gt;="&amp;$G36,$A$21:$A$141,"&lt;="&amp;$H36),W36))</f>
        <v>-59.806088293076</v>
      </c>
      <c r="Z36" s="12" t="n">
        <f aca="false">-Cost_k*$A36+Beta_q*(Declarations!$B$16*INDEX(Y$21:Y$141,MAX(1,MIN(121,$B36-ROUND(Declarations!$A$16/$D$18,0))))+Declarations!$B$17*INDEX(Y$21:Y$141,MAX(1,MIN(121,$B36-ROUND(Declarations!$A$17/$D$18,0))))+Declarations!$B$18*INDEX(Y$21:Y$141,MAX(1,MIN(121,$B36-ROUND(Declarations!$A$18/$D$18,0))))+Declarations!$B$19*INDEX(Y$21:Y$141,MAX(1,MIN(121,$B36-ROUND(Declarations!$A$19/$D$18,0))))+Declarations!$B$20*INDEX(Y$21:Y$141,MAX(1,MIN(121,$B36-ROUND(Declarations!$A$20/$D$18,0)))))</f>
        <v>-233.403810454519</v>
      </c>
      <c r="AA36" s="12" t="n">
        <f aca="false">INDEX(Z$21:Z$141,$I36+1)*(1-$J36)+INDEX(Z$21:Z$141,$I36+2)*$J36</f>
        <v>-235.03959567054</v>
      </c>
      <c r="AB36" s="12" t="n">
        <f aca="false">INDEX(Z$21:Z$141,$K36+1)*(1-$L36)+INDEX(Z$21:Z$141,$K36+2)*$L36</f>
        <v>-231.536958041964</v>
      </c>
      <c r="AC36" s="12" t="n">
        <f aca="false">$C36+$D36+MAX(AA36,AB36,IF(COUNTIFS($A$21:$A$141,"&gt;="&amp;$G36,$A$21:$A$141,"&lt;="&amp;$H36)&gt;0,_xlfn.MAXIFS(Z$21:Z$141,$A$21:$A$141,"&gt;="&amp;$G36,$A$21:$A$141,"&lt;="&amp;$H36),AA36))</f>
        <v>-78.9119580419643</v>
      </c>
      <c r="AD36" s="12" t="n">
        <f aca="false">-Cost_k*$A36+Beta_q*(Declarations!$B$16*INDEX(AC$21:AC$141,MAX(1,MIN(121,$B36-ROUND(Declarations!$A$16/$D$18,0))))+Declarations!$B$17*INDEX(AC$21:AC$141,MAX(1,MIN(121,$B36-ROUND(Declarations!$A$17/$D$18,0))))+Declarations!$B$18*INDEX(AC$21:AC$141,MAX(1,MIN(121,$B36-ROUND(Declarations!$A$18/$D$18,0))))+Declarations!$B$19*INDEX(AC$21:AC$141,MAX(1,MIN(121,$B36-ROUND(Declarations!$A$19/$D$18,0))))+Declarations!$B$20*INDEX(AC$21:AC$141,MAX(1,MIN(121,$B36-ROUND(Declarations!$A$20/$D$18,0)))))</f>
        <v>-252.110599009626</v>
      </c>
      <c r="AE36" s="12" t="n">
        <f aca="false">INDEX(AD$21:AD$141,$I36+1)*(1-$J36)+INDEX(AD$21:AD$141,$I36+2)*$J36</f>
        <v>-254.943094707306</v>
      </c>
      <c r="AF36" s="12" t="n">
        <f aca="false">INDEX(AD$21:AD$141,$K36+1)*(1-$L36)+INDEX(AD$21:AD$141,$K36+2)*$L36</f>
        <v>-248.906392560178</v>
      </c>
      <c r="AG36" s="12" t="n">
        <f aca="false">$C36+$D36+MAX(AE36,AF36,IF(COUNTIFS($A$21:$A$141,"&gt;="&amp;$G36,$A$21:$A$141,"&lt;="&amp;$H36)&gt;0,_xlfn.MAXIFS(AD$21:AD$141,$A$21:$A$141,"&gt;="&amp;$G36,$A$21:$A$141,"&lt;="&amp;$H36),AE36))</f>
        <v>-96.2813925601775</v>
      </c>
      <c r="AH36" s="12" t="n">
        <f aca="false">-Cost_k*$A36+Beta_q*(Declarations!$B$16*INDEX(AG$21:AG$141,MAX(1,MIN(121,$B36-ROUND(Declarations!$A$16/$D$18,0))))+Declarations!$B$17*INDEX(AG$21:AG$141,MAX(1,MIN(121,$B36-ROUND(Declarations!$A$17/$D$18,0))))+Declarations!$B$18*INDEX(AG$21:AG$141,MAX(1,MIN(121,$B36-ROUND(Declarations!$A$18/$D$18,0))))+Declarations!$B$19*INDEX(AG$21:AG$141,MAX(1,MIN(121,$B36-ROUND(Declarations!$A$19/$D$18,0))))+Declarations!$B$20*INDEX(AG$21:AG$141,MAX(1,MIN(121,$B36-ROUND(Declarations!$A$20/$D$18,0)))))</f>
        <v>-269.066288466556</v>
      </c>
      <c r="AI36" s="12" t="n">
        <f aca="false">INDEX(AH$21:AH$141,$I36+1)*(1-$J36)+INDEX(AH$21:AH$141,$I36+2)*$J36</f>
        <v>-272.891516603277</v>
      </c>
      <c r="AJ36" s="12" t="n">
        <f aca="false">INDEX(AH$21:AH$141,$K36+1)*(1-$L36)+INDEX(AH$21:AH$141,$K36+2)*$L36</f>
        <v>-264.506655527107</v>
      </c>
      <c r="AK36" s="12" t="n">
        <f aca="false">$C36+$D36+MAX(AI36,AJ36,IF(COUNTIFS($A$21:$A$141,"&gt;="&amp;$G36,$A$21:$A$141,"&lt;="&amp;$H36)&gt;0,_xlfn.MAXIFS(AH$21:AH$141,$A$21:$A$141,"&gt;="&amp;$G36,$A$21:$A$141,"&lt;="&amp;$H36),AI36))</f>
        <v>-111.881655527107</v>
      </c>
      <c r="AL36" s="12" t="n">
        <f aca="false">-Cost_k*$A36+Beta_q*(Declarations!$B$16*INDEX(AK$21:AK$141,MAX(1,MIN(121,$B36-ROUND(Declarations!$A$16/$D$18,0))))+Declarations!$B$17*INDEX(AK$21:AK$141,MAX(1,MIN(121,$B36-ROUND(Declarations!$A$17/$D$18,0))))+Declarations!$B$18*INDEX(AK$21:AK$141,MAX(1,MIN(121,$B36-ROUND(Declarations!$A$18/$D$18,0))))+Declarations!$B$19*INDEX(AK$21:AK$141,MAX(1,MIN(121,$B36-ROUND(Declarations!$A$19/$D$18,0))))+Declarations!$B$20*INDEX(AK$21:AK$141,MAX(1,MIN(121,$B36-ROUND(Declarations!$A$20/$D$18,0)))))</f>
        <v>-284.264843628755</v>
      </c>
      <c r="AM36" s="12" t="n">
        <f aca="false">INDEX(AL$21:AL$141,$I36+1)*(1-$J36)+INDEX(AL$21:AL$141,$I36+2)*$J36</f>
        <v>-289.134545508058</v>
      </c>
      <c r="AN36" s="12" t="n">
        <f aca="false">INDEX(AL$21:AL$141,$K36+1)*(1-$L36)+INDEX(AL$21:AL$141,$K36+2)*$L36</f>
        <v>-278.143404823547</v>
      </c>
      <c r="AO36" s="12" t="n">
        <f aca="false">$C36+$D36+MAX(AM36,AN36,IF(COUNTIFS($A$21:$A$141,"&gt;="&amp;$G36,$A$21:$A$141,"&lt;="&amp;$H36)&gt;0,_xlfn.MAXIFS(AL$21:AL$141,$A$21:$A$141,"&gt;="&amp;$G36,$A$21:$A$141,"&lt;="&amp;$H36),AM36))</f>
        <v>-125.518404823547</v>
      </c>
      <c r="AP36" s="12" t="n">
        <f aca="false">-Cost_k*$A36+Beta_q*(Declarations!$B$16*INDEX(AO$21:AO$141,MAX(1,MIN(121,$B36-ROUND(Declarations!$A$16/$D$18,0))))+Declarations!$B$17*INDEX(AO$21:AO$141,MAX(1,MIN(121,$B36-ROUND(Declarations!$A$17/$D$18,0))))+Declarations!$B$18*INDEX(AO$21:AO$141,MAX(1,MIN(121,$B36-ROUND(Declarations!$A$18/$D$18,0))))+Declarations!$B$19*INDEX(AO$21:AO$141,MAX(1,MIN(121,$B36-ROUND(Declarations!$A$19/$D$18,0))))+Declarations!$B$20*INDEX(AO$21:AO$141,MAX(1,MIN(121,$B36-ROUND(Declarations!$A$20/$D$18,0)))))</f>
        <v>-297.567118783751</v>
      </c>
      <c r="AQ36" s="12" t="n">
        <f aca="false">INDEX(AP$21:AP$141,$I36+1)*(1-$J36)+INDEX(AP$21:AP$141,$I36+2)*$J36</f>
        <v>-303.600308986659</v>
      </c>
      <c r="AR36" s="12" t="n">
        <f aca="false">INDEX(AP$21:AP$141,$K36+1)*(1-$L36)+INDEX(AP$21:AP$141,$K36+2)*$L36</f>
        <v>-289.848178764604</v>
      </c>
      <c r="AS36" s="12" t="n">
        <f aca="false">$C36+$D36+MAX(AQ36,AR36,IF(COUNTIFS($A$21:$A$141,"&gt;="&amp;$G36,$A$21:$A$141,"&lt;="&amp;$H36)&gt;0,_xlfn.MAXIFS(AP$21:AP$141,$A$21:$A$141,"&gt;="&amp;$G36,$A$21:$A$141,"&lt;="&amp;$H36),AQ36))</f>
        <v>-137.223178764604</v>
      </c>
      <c r="AT36" s="12" t="n">
        <f aca="false">-Cost_k*$A36+Beta_q*(Declarations!$B$16*INDEX(AS$21:AS$141,MAX(1,MIN(121,$B36-ROUND(Declarations!$A$16/$D$18,0))))+Declarations!$B$17*INDEX(AS$21:AS$141,MAX(1,MIN(121,$B36-ROUND(Declarations!$A$17/$D$18,0))))+Declarations!$B$18*INDEX(AS$21:AS$141,MAX(1,MIN(121,$B36-ROUND(Declarations!$A$18/$D$18,0))))+Declarations!$B$19*INDEX(AS$21:AS$141,MAX(1,MIN(121,$B36-ROUND(Declarations!$A$19/$D$18,0))))+Declarations!$B$20*INDEX(AS$21:AS$141,MAX(1,MIN(121,$B36-ROUND(Declarations!$A$20/$D$18,0)))))</f>
        <v>-308.993568501374</v>
      </c>
      <c r="AU36" s="12" t="n">
        <f aca="false">INDEX(AT$21:AT$141,$I36+1)*(1-$J36)+INDEX(AT$21:AT$141,$I36+2)*$J36</f>
        <v>-316.208416509566</v>
      </c>
      <c r="AV36" s="12" t="n">
        <f aca="false">INDEX(AT$21:AT$141,$K36+1)*(1-$L36)+INDEX(AT$21:AT$141,$K36+2)*$L36</f>
        <v>-299.734871301876</v>
      </c>
      <c r="AW36" s="12" t="n">
        <f aca="false">$C36+$D36+MAX(AU36,AV36,IF(COUNTIFS($A$21:$A$141,"&gt;="&amp;$G36,$A$21:$A$141,"&lt;="&amp;$H36)&gt;0,_xlfn.MAXIFS(AT$21:AT$141,$A$21:$A$141,"&gt;="&amp;$G36,$A$21:$A$141,"&lt;="&amp;$H36),AU36))</f>
        <v>-147.109871301876</v>
      </c>
      <c r="AX36" s="12" t="n">
        <f aca="false">-Cost_k*$A36+Beta_q*(Declarations!$B$16*INDEX(AW$21:AW$141,MAX(1,MIN(121,$B36-ROUND(Declarations!$A$16/$D$18,0))))+Declarations!$B$17*INDEX(AW$21:AW$141,MAX(1,MIN(121,$B36-ROUND(Declarations!$A$17/$D$18,0))))+Declarations!$B$18*INDEX(AW$21:AW$141,MAX(1,MIN(121,$B36-ROUND(Declarations!$A$18/$D$18,0))))+Declarations!$B$19*INDEX(AW$21:AW$141,MAX(1,MIN(121,$B36-ROUND(Declarations!$A$19/$D$18,0))))+Declarations!$B$20*INDEX(AW$21:AW$141,MAX(1,MIN(121,$B36-ROUND(Declarations!$A$20/$D$18,0)))))</f>
        <v>-318.651433706765</v>
      </c>
      <c r="AY36" s="12" t="n">
        <f aca="false">INDEX(AX$21:AX$141,$I36+1)*(1-$J36)+INDEX(AX$21:AX$141,$I36+2)*$J36</f>
        <v>-327.001189772262</v>
      </c>
      <c r="AZ36" s="12" t="n">
        <f aca="false">INDEX(AX$21:AX$141,$K36+1)*(1-$L36)+INDEX(AX$21:AX$141,$K36+2)*$L36</f>
        <v>-307.972583929059</v>
      </c>
      <c r="BA36" s="12" t="n">
        <f aca="false">$C36+$D36+MAX(AY36,AZ36,IF(COUNTIFS($A$21:$A$141,"&gt;="&amp;$G36,$A$21:$A$141,"&lt;="&amp;$H36)&gt;0,_xlfn.MAXIFS(AX$21:AX$141,$A$21:$A$141,"&gt;="&amp;$G36,$A$21:$A$141,"&lt;="&amp;$H36),AY36))</f>
        <v>-155.347583929059</v>
      </c>
      <c r="BB36" s="12" t="n">
        <f aca="false">-Cost_k*$A36+Beta_q*(Declarations!$B$16*INDEX(BA$21:BA$141,MAX(1,MIN(121,$B36-ROUND(Declarations!$A$16/$D$18,0))))+Declarations!$B$17*INDEX(BA$21:BA$141,MAX(1,MIN(121,$B36-ROUND(Declarations!$A$17/$D$18,0))))+Declarations!$B$18*INDEX(BA$21:BA$141,MAX(1,MIN(121,$B36-ROUND(Declarations!$A$18/$D$18,0))))+Declarations!$B$19*INDEX(BA$21:BA$141,MAX(1,MIN(121,$B36-ROUND(Declarations!$A$19/$D$18,0))))+Declarations!$B$20*INDEX(BA$21:BA$141,MAX(1,MIN(121,$B36-ROUND(Declarations!$A$20/$D$18,0)))))</f>
        <v>-326.708449459794</v>
      </c>
      <c r="BC36" s="12" t="n">
        <f aca="false">INDEX(BB$21:BB$141,$I36+1)*(1-$J36)+INDEX(BB$21:BB$141,$I36+2)*$J36</f>
        <v>-336.096504855237</v>
      </c>
      <c r="BD36" s="12" t="n">
        <f aca="false">INDEX(BB$21:BB$141,$K36+1)*(1-$L36)+INDEX(BB$21:BB$141,$K36+2)*$L36</f>
        <v>-314.809385454198</v>
      </c>
      <c r="BE36" s="12" t="n">
        <f aca="false">$C36+$D36+MAX(BC36,BD36,IF(COUNTIFS($A$21:$A$141,"&gt;="&amp;$G36,$A$21:$A$141,"&lt;="&amp;$H36)&gt;0,_xlfn.MAXIFS(BB$21:BB$141,$A$21:$A$141,"&gt;="&amp;$G36,$A$21:$A$141,"&lt;="&amp;$H36),BC36))</f>
        <v>-162.184385454198</v>
      </c>
      <c r="BF36" s="12" t="n">
        <f aca="false">-Cost_k*$A36+Beta_q*(Declarations!$B$16*INDEX(BE$21:BE$141,MAX(1,MIN(121,$B36-ROUND(Declarations!$A$16/$D$18,0))))+Declarations!$B$17*INDEX(BE$21:BE$141,MAX(1,MIN(121,$B36-ROUND(Declarations!$A$17/$D$18,0))))+Declarations!$B$18*INDEX(BE$21:BE$141,MAX(1,MIN(121,$B36-ROUND(Declarations!$A$18/$D$18,0))))+Declarations!$B$19*INDEX(BE$21:BE$141,MAX(1,MIN(121,$B36-ROUND(Declarations!$A$19/$D$18,0))))+Declarations!$B$20*INDEX(BE$21:BE$141,MAX(1,MIN(121,$B36-ROUND(Declarations!$A$20/$D$18,0)))))</f>
        <v>-333.408517760357</v>
      </c>
      <c r="BG36" s="12" t="n">
        <f aca="false">INDEX(BF$21:BF$141,$I36+1)*(1-$J36)+INDEX(BF$21:BF$141,$I36+2)*$J36</f>
        <v>-343.677527444134</v>
      </c>
      <c r="BH36" s="12" t="n">
        <f aca="false">INDEX(BF$21:BF$141,$K36+1)*(1-$L36)+INDEX(BF$21:BF$141,$K36+2)*$L36</f>
        <v>-320.574256141995</v>
      </c>
      <c r="BI36" s="12" t="n">
        <f aca="false">$C36+$D36+MAX(BG36,BH36,IF(COUNTIFS($A$21:$A$141,"&gt;="&amp;$G36,$A$21:$A$141,"&lt;="&amp;$H36)&gt;0,_xlfn.MAXIFS(BF$21:BF$141,$A$21:$A$141,"&gt;="&amp;$G36,$A$21:$A$141,"&lt;="&amp;$H36),BG36))</f>
        <v>-167.949256141995</v>
      </c>
      <c r="BJ36" s="23" t="n">
        <v>-167.949256141995</v>
      </c>
      <c r="BK36" s="22" t="n">
        <f aca="false">ABS(BI36-BJ36)</f>
        <v>0</v>
      </c>
    </row>
    <row r="37" customFormat="false" ht="15" hidden="false" customHeight="false" outlineLevel="0" collapsed="false">
      <c r="A37" s="14" t="n">
        <f aca="false">A36+$D$18</f>
        <v>44</v>
      </c>
      <c r="B37" s="19" t="n">
        <v>17</v>
      </c>
      <c r="C37" s="12" t="n">
        <f aca="false">-Short_p*MAX(Floor_c-A37,0)</f>
        <v>-17.6</v>
      </c>
      <c r="D37" s="12" t="n">
        <f aca="false">Cost_k*Alpha_keep*A37</f>
        <v>171.6</v>
      </c>
      <c r="E37" s="12" t="n">
        <f aca="false">MIN(Cap_h,MAX(0,$B$18+MAX(Loss_w)-Alpha_keep*A37))</f>
        <v>0</v>
      </c>
      <c r="F37" s="12" t="n">
        <f aca="false">MAX(MIN(Cap_h,$F$18+MIN(Loss_w)-Alpha_keep*A37),E37)</f>
        <v>2.5</v>
      </c>
      <c r="G37" s="12" t="n">
        <f aca="false">Alpha_keep*A37+E37</f>
        <v>42.9</v>
      </c>
      <c r="H37" s="12" t="n">
        <f aca="false">Alpha_keep*A37+F37</f>
        <v>45.4</v>
      </c>
      <c r="I37" s="19" t="n">
        <f aca="false">MIN(INT((G37-$B$18)/$D$18+0.000000001),119)</f>
        <v>11</v>
      </c>
      <c r="J37" s="12" t="n">
        <f aca="false">(G37-$B$18)/$D$18-I37</f>
        <v>0.599999999999994</v>
      </c>
      <c r="K37" s="19" t="n">
        <f aca="false">MIN(INT((H37-$B$18)/$D$18+0.000000001),119)</f>
        <v>21</v>
      </c>
      <c r="L37" s="12" t="n">
        <f aca="false">(H37-$B$18)/$D$18-K37</f>
        <v>0.599999999999994</v>
      </c>
      <c r="M37" s="9" t="n">
        <v>0</v>
      </c>
      <c r="N37" s="12" t="n">
        <f aca="false">-Cost_k*$A37+Beta_q*(Declarations!$B$16*INDEX(M$21:M$141,MAX(1,MIN(121,$B37-ROUND(Declarations!$A$16/$D$18,0))))+Declarations!$B$17*INDEX(M$21:M$141,MAX(1,MIN(121,$B37-ROUND(Declarations!$A$17/$D$18,0))))+Declarations!$B$18*INDEX(M$21:M$141,MAX(1,MIN(121,$B37-ROUND(Declarations!$A$18/$D$18,0))))+Declarations!$B$19*INDEX(M$21:M$141,MAX(1,MIN(121,$B37-ROUND(Declarations!$A$19/$D$18,0))))+Declarations!$B$20*INDEX(M$21:M$141,MAX(1,MIN(121,$B37-ROUND(Declarations!$A$20/$D$18,0)))))</f>
        <v>-176</v>
      </c>
      <c r="O37" s="12" t="n">
        <f aca="false">INDEX(N$21:N$141,$I37+1)*(1-$J37)+INDEX(N$21:N$141,$I37+2)*$J37</f>
        <v>-171.6</v>
      </c>
      <c r="P37" s="12" t="n">
        <f aca="false">INDEX(N$21:N$141,$K37+1)*(1-$L37)+INDEX(N$21:N$141,$K37+2)*$L37</f>
        <v>-181.6</v>
      </c>
      <c r="Q37" s="12" t="n">
        <f aca="false">$C37+$D37+MAX(O37,P37,IF(COUNTIFS($A$21:$A$141,"&gt;="&amp;$G37,$A$21:$A$141,"&lt;="&amp;$H37)&gt;0,_xlfn.MAXIFS(N$21:N$141,$A$21:$A$141,"&gt;="&amp;$G37,$A$21:$A$141,"&lt;="&amp;$H37),O37))</f>
        <v>-17.6</v>
      </c>
      <c r="R37" s="12" t="n">
        <f aca="false">-Cost_k*$A37+Beta_q*(Declarations!$B$16*INDEX(Q$21:Q$141,MAX(1,MIN(121,$B37-ROUND(Declarations!$A$16/$D$18,0))))+Declarations!$B$17*INDEX(Q$21:Q$141,MAX(1,MIN(121,$B37-ROUND(Declarations!$A$17/$D$18,0))))+Declarations!$B$18*INDEX(Q$21:Q$141,MAX(1,MIN(121,$B37-ROUND(Declarations!$A$18/$D$18,0))))+Declarations!$B$19*INDEX(Q$21:Q$141,MAX(1,MIN(121,$B37-ROUND(Declarations!$A$19/$D$18,0))))+Declarations!$B$20*INDEX(Q$21:Q$141,MAX(1,MIN(121,$B37-ROUND(Declarations!$A$20/$D$18,0)))))</f>
        <v>-193.197797654424</v>
      </c>
      <c r="S37" s="12" t="n">
        <f aca="false">INDEX(R$21:R$141,$I37+1)*(1-$J37)+INDEX(R$21:R$141,$I37+2)*$J37</f>
        <v>-191.041200925455</v>
      </c>
      <c r="T37" s="12" t="n">
        <f aca="false">INDEX(R$21:R$141,$K37+1)*(1-$L37)+INDEX(R$21:R$141,$K37+2)*$L37</f>
        <v>-196.598334817428</v>
      </c>
      <c r="U37" s="12" t="n">
        <f aca="false">$C37+$D37+MAX(S37,T37,IF(COUNTIFS($A$21:$A$141,"&gt;="&amp;$G37,$A$21:$A$141,"&lt;="&amp;$H37)&gt;0,_xlfn.MAXIFS(R$21:R$141,$A$21:$A$141,"&gt;="&amp;$G37,$A$21:$A$141,"&lt;="&amp;$H37),S37))</f>
        <v>-37.0412009254553</v>
      </c>
      <c r="V37" s="12" t="n">
        <f aca="false">-Cost_k*$A37+Beta_q*(Declarations!$B$16*INDEX(U$21:U$141,MAX(1,MIN(121,$B37-ROUND(Declarations!$A$16/$D$18,0))))+Declarations!$B$17*INDEX(U$21:U$141,MAX(1,MIN(121,$B37-ROUND(Declarations!$A$17/$D$18,0))))+Declarations!$B$18*INDEX(U$21:U$141,MAX(1,MIN(121,$B37-ROUND(Declarations!$A$18/$D$18,0))))+Declarations!$B$19*INDEX(U$21:U$141,MAX(1,MIN(121,$B37-ROUND(Declarations!$A$19/$D$18,0))))+Declarations!$B$20*INDEX(U$21:U$141,MAX(1,MIN(121,$B37-ROUND(Declarations!$A$20/$D$18,0)))))</f>
        <v>-212.460930446136</v>
      </c>
      <c r="W37" s="12" t="n">
        <f aca="false">INDEX(V$21:V$141,$I37+1)*(1-$J37)+INDEX(V$21:V$141,$I37+2)*$J37</f>
        <v>-213.287385799758</v>
      </c>
      <c r="X37" s="12" t="n">
        <f aca="false">INDEX(V$21:V$141,$K37+1)*(1-$L37)+INDEX(V$21:V$141,$K37+2)*$L37</f>
        <v>-213.029343103701</v>
      </c>
      <c r="Y37" s="12" t="n">
        <f aca="false">$C37+$D37+MAX(W37,X37,IF(COUNTIFS($A$21:$A$141,"&gt;="&amp;$G37,$A$21:$A$141,"&lt;="&amp;$H37)&gt;0,_xlfn.MAXIFS(V$21:V$141,$A$21:$A$141,"&gt;="&amp;$G37,$A$21:$A$141,"&lt;="&amp;$H37),W37))</f>
        <v>-58.431088293076</v>
      </c>
      <c r="Z37" s="12" t="n">
        <f aca="false">-Cost_k*$A37+Beta_q*(Declarations!$B$16*INDEX(Y$21:Y$141,MAX(1,MIN(121,$B37-ROUND(Declarations!$A$16/$D$18,0))))+Declarations!$B$17*INDEX(Y$21:Y$141,MAX(1,MIN(121,$B37-ROUND(Declarations!$A$17/$D$18,0))))+Declarations!$B$18*INDEX(Y$21:Y$141,MAX(1,MIN(121,$B37-ROUND(Declarations!$A$18/$D$18,0))))+Declarations!$B$19*INDEX(Y$21:Y$141,MAX(1,MIN(121,$B37-ROUND(Declarations!$A$19/$D$18,0))))+Declarations!$B$20*INDEX(Y$21:Y$141,MAX(1,MIN(121,$B37-ROUND(Declarations!$A$20/$D$18,0)))))</f>
        <v>-233.058345747758</v>
      </c>
      <c r="AA37" s="12" t="n">
        <f aca="false">INDEX(Z$21:Z$141,$I37+1)*(1-$J37)+INDEX(Z$21:Z$141,$I37+2)*$J37</f>
        <v>-234.645043100391</v>
      </c>
      <c r="AB37" s="12" t="n">
        <f aca="false">INDEX(Z$21:Z$141,$K37+1)*(1-$L37)+INDEX(Z$21:Z$141,$K37+2)*$L37</f>
        <v>-231.245029715269</v>
      </c>
      <c r="AC37" s="12" t="n">
        <f aca="false">$C37+$D37+MAX(AA37,AB37,IF(COUNTIFS($A$21:$A$141,"&gt;="&amp;$G37,$A$21:$A$141,"&lt;="&amp;$H37)&gt;0,_xlfn.MAXIFS(Z$21:Z$141,$A$21:$A$141,"&gt;="&amp;$G37,$A$21:$A$141,"&lt;="&amp;$H37),AA37))</f>
        <v>-77.2450297152692</v>
      </c>
      <c r="AD37" s="12" t="n">
        <f aca="false">-Cost_k*$A37+Beta_q*(Declarations!$B$16*INDEX(AC$21:AC$141,MAX(1,MIN(121,$B37-ROUND(Declarations!$A$16/$D$18,0))))+Declarations!$B$17*INDEX(AC$21:AC$141,MAX(1,MIN(121,$B37-ROUND(Declarations!$A$17/$D$18,0))))+Declarations!$B$18*INDEX(AC$21:AC$141,MAX(1,MIN(121,$B37-ROUND(Declarations!$A$18/$D$18,0))))+Declarations!$B$19*INDEX(AC$21:AC$141,MAX(1,MIN(121,$B37-ROUND(Declarations!$A$19/$D$18,0))))+Declarations!$B$20*INDEX(AC$21:AC$141,MAX(1,MIN(121,$B37-ROUND(Declarations!$A$20/$D$18,0)))))</f>
        <v>-251.495849231081</v>
      </c>
      <c r="AE37" s="12" t="n">
        <f aca="false">INDEX(AD$21:AD$141,$I37+1)*(1-$J37)+INDEX(AD$21:AD$141,$I37+2)*$J37</f>
        <v>-254.295516406593</v>
      </c>
      <c r="AF37" s="12" t="n">
        <f aca="false">INDEX(AD$21:AD$141,$K37+1)*(1-$L37)+INDEX(AD$21:AD$141,$K37+2)*$L37</f>
        <v>-248.409722362018</v>
      </c>
      <c r="AG37" s="12" t="n">
        <f aca="false">$C37+$D37+MAX(AE37,AF37,IF(COUNTIFS($A$21:$A$141,"&gt;="&amp;$G37,$A$21:$A$141,"&lt;="&amp;$H37)&gt;0,_xlfn.MAXIFS(AD$21:AD$141,$A$21:$A$141,"&gt;="&amp;$G37,$A$21:$A$141,"&lt;="&amp;$H37),AE37))</f>
        <v>-94.4097223620176</v>
      </c>
      <c r="AH37" s="12" t="n">
        <f aca="false">-Cost_k*$A37+Beta_q*(Declarations!$B$16*INDEX(AG$21:AG$141,MAX(1,MIN(121,$B37-ROUND(Declarations!$A$16/$D$18,0))))+Declarations!$B$17*INDEX(AG$21:AG$141,MAX(1,MIN(121,$B37-ROUND(Declarations!$A$17/$D$18,0))))+Declarations!$B$18*INDEX(AG$21:AG$141,MAX(1,MIN(121,$B37-ROUND(Declarations!$A$18/$D$18,0))))+Declarations!$B$19*INDEX(AG$21:AG$141,MAX(1,MIN(121,$B37-ROUND(Declarations!$A$19/$D$18,0))))+Declarations!$B$20*INDEX(AG$21:AG$141,MAX(1,MIN(121,$B37-ROUND(Declarations!$A$20/$D$18,0)))))</f>
        <v>-268.232266979583</v>
      </c>
      <c r="AI37" s="12" t="n">
        <f aca="false">INDEX(AH$21:AH$141,$I37+1)*(1-$J37)+INDEX(AH$21:AH$141,$I37+2)*$J37</f>
        <v>-272.014094104043</v>
      </c>
      <c r="AJ37" s="12" t="n">
        <f aca="false">INDEX(AH$21:AH$141,$K37+1)*(1-$L37)+INDEX(AH$21:AH$141,$K37+2)*$L37</f>
        <v>-263.739618682547</v>
      </c>
      <c r="AK37" s="12" t="n">
        <f aca="false">$C37+$D37+MAX(AI37,AJ37,IF(COUNTIFS($A$21:$A$141,"&gt;="&amp;$G37,$A$21:$A$141,"&lt;="&amp;$H37)&gt;0,_xlfn.MAXIFS(AH$21:AH$141,$A$21:$A$141,"&gt;="&amp;$G37,$A$21:$A$141,"&lt;="&amp;$H37),AI37))</f>
        <v>-109.739618682547</v>
      </c>
      <c r="AL37" s="12" t="n">
        <f aca="false">-Cost_k*$A37+Beta_q*(Declarations!$B$16*INDEX(AK$21:AK$141,MAX(1,MIN(121,$B37-ROUND(Declarations!$A$16/$D$18,0))))+Declarations!$B$17*INDEX(AK$21:AK$141,MAX(1,MIN(121,$B37-ROUND(Declarations!$A$17/$D$18,0))))+Declarations!$B$18*INDEX(AK$21:AK$141,MAX(1,MIN(121,$B37-ROUND(Declarations!$A$18/$D$18,0))))+Declarations!$B$19*INDEX(AK$21:AK$141,MAX(1,MIN(121,$B37-ROUND(Declarations!$A$19/$D$18,0))))+Declarations!$B$20*INDEX(AK$21:AK$141,MAX(1,MIN(121,$B37-ROUND(Declarations!$A$20/$D$18,0)))))</f>
        <v>-283.169457059224</v>
      </c>
      <c r="AM37" s="12" t="n">
        <f aca="false">INDEX(AL$21:AL$141,$I37+1)*(1-$J37)+INDEX(AL$21:AL$141,$I37+2)*$J37</f>
        <v>-288.035716474975</v>
      </c>
      <c r="AN37" s="12" t="n">
        <f aca="false">INDEX(AL$21:AL$141,$K37+1)*(1-$L37)+INDEX(AL$21:AL$141,$K37+2)*$L37</f>
        <v>-277.088342316424</v>
      </c>
      <c r="AO37" s="12" t="n">
        <f aca="false">$C37+$D37+MAX(AM37,AN37,IF(COUNTIFS($A$21:$A$141,"&gt;="&amp;$G37,$A$21:$A$141,"&lt;="&amp;$H37)&gt;0,_xlfn.MAXIFS(AL$21:AL$141,$A$21:$A$141,"&gt;="&amp;$G37,$A$21:$A$141,"&lt;="&amp;$H37),AM37))</f>
        <v>-123.088342316424</v>
      </c>
      <c r="AP37" s="12" t="n">
        <f aca="false">-Cost_k*$A37+Beta_q*(Declarations!$B$16*INDEX(AO$21:AO$141,MAX(1,MIN(121,$B37-ROUND(Declarations!$A$16/$D$18,0))))+Declarations!$B$17*INDEX(AO$21:AO$141,MAX(1,MIN(121,$B37-ROUND(Declarations!$A$17/$D$18,0))))+Declarations!$B$18*INDEX(AO$21:AO$141,MAX(1,MIN(121,$B37-ROUND(Declarations!$A$18/$D$18,0))))+Declarations!$B$19*INDEX(AO$21:AO$141,MAX(1,MIN(121,$B37-ROUND(Declarations!$A$19/$D$18,0))))+Declarations!$B$20*INDEX(AO$21:AO$141,MAX(1,MIN(121,$B37-ROUND(Declarations!$A$20/$D$18,0)))))</f>
        <v>-296.193159280891</v>
      </c>
      <c r="AQ37" s="12" t="n">
        <f aca="false">INDEX(AP$21:AP$141,$I37+1)*(1-$J37)+INDEX(AP$21:AP$141,$I37+2)*$J37</f>
        <v>-302.251435917546</v>
      </c>
      <c r="AR37" s="12" t="n">
        <f aca="false">INDEX(AP$21:AP$141,$K37+1)*(1-$L37)+INDEX(AP$21:AP$141,$K37+2)*$L37</f>
        <v>-288.511718983391</v>
      </c>
      <c r="AS37" s="12" t="n">
        <f aca="false">$C37+$D37+MAX(AQ37,AR37,IF(COUNTIFS($A$21:$A$141,"&gt;="&amp;$G37,$A$21:$A$141,"&lt;="&amp;$H37)&gt;0,_xlfn.MAXIFS(AP$21:AP$141,$A$21:$A$141,"&gt;="&amp;$G37,$A$21:$A$141,"&lt;="&amp;$H37),AQ37))</f>
        <v>-134.511718983391</v>
      </c>
      <c r="AT37" s="12" t="n">
        <f aca="false">-Cost_k*$A37+Beta_q*(Declarations!$B$16*INDEX(AS$21:AS$141,MAX(1,MIN(121,$B37-ROUND(Declarations!$A$16/$D$18,0))))+Declarations!$B$17*INDEX(AS$21:AS$141,MAX(1,MIN(121,$B37-ROUND(Declarations!$A$17/$D$18,0))))+Declarations!$B$18*INDEX(AS$21:AS$141,MAX(1,MIN(121,$B37-ROUND(Declarations!$A$18/$D$18,0))))+Declarations!$B$19*INDEX(AS$21:AS$141,MAX(1,MIN(121,$B37-ROUND(Declarations!$A$19/$D$18,0))))+Declarations!$B$20*INDEX(AS$21:AS$141,MAX(1,MIN(121,$B37-ROUND(Declarations!$A$20/$D$18,0)))))</f>
        <v>-307.345987831666</v>
      </c>
      <c r="AU37" s="12" t="n">
        <f aca="false">INDEX(AT$21:AT$141,$I37+1)*(1-$J37)+INDEX(AT$21:AT$141,$I37+2)*$J37</f>
        <v>-314.599355809296</v>
      </c>
      <c r="AV37" s="12" t="n">
        <f aca="false">INDEX(AT$21:AT$141,$K37+1)*(1-$L37)+INDEX(AT$21:AT$141,$K37+2)*$L37</f>
        <v>-298.13324892173</v>
      </c>
      <c r="AW37" s="12" t="n">
        <f aca="false">$C37+$D37+MAX(AU37,AV37,IF(COUNTIFS($A$21:$A$141,"&gt;="&amp;$G37,$A$21:$A$141,"&lt;="&amp;$H37)&gt;0,_xlfn.MAXIFS(AT$21:AT$141,$A$21:$A$141,"&gt;="&amp;$G37,$A$21:$A$141,"&lt;="&amp;$H37),AU37))</f>
        <v>-144.13324892173</v>
      </c>
      <c r="AX37" s="12" t="n">
        <f aca="false">-Cost_k*$A37+Beta_q*(Declarations!$B$16*INDEX(AW$21:AW$141,MAX(1,MIN(121,$B37-ROUND(Declarations!$A$16/$D$18,0))))+Declarations!$B$17*INDEX(AW$21:AW$141,MAX(1,MIN(121,$B37-ROUND(Declarations!$A$17/$D$18,0))))+Declarations!$B$18*INDEX(AW$21:AW$141,MAX(1,MIN(121,$B37-ROUND(Declarations!$A$18/$D$18,0))))+Declarations!$B$19*INDEX(AW$21:AW$141,MAX(1,MIN(121,$B37-ROUND(Declarations!$A$19/$D$18,0))))+Declarations!$B$20*INDEX(AW$21:AW$141,MAX(1,MIN(121,$B37-ROUND(Declarations!$A$20/$D$18,0)))))</f>
        <v>-316.746379083263</v>
      </c>
      <c r="AY37" s="12" t="n">
        <f aca="false">INDEX(AX$21:AX$141,$I37+1)*(1-$J37)+INDEX(AX$21:AX$141,$I37+2)*$J37</f>
        <v>-325.138847848391</v>
      </c>
      <c r="AZ37" s="12" t="n">
        <f aca="false">INDEX(AX$21:AX$141,$K37+1)*(1-$L37)+INDEX(AX$21:AX$141,$K37+2)*$L37</f>
        <v>-306.134888140806</v>
      </c>
      <c r="BA37" s="12" t="n">
        <f aca="false">$C37+$D37+MAX(AY37,AZ37,IF(COUNTIFS($A$21:$A$141,"&gt;="&amp;$G37,$A$21:$A$141,"&lt;="&amp;$H37)&gt;0,_xlfn.MAXIFS(AX$21:AX$141,$A$21:$A$141,"&gt;="&amp;$G37,$A$21:$A$141,"&lt;="&amp;$H37),AY37))</f>
        <v>-152.134888140806</v>
      </c>
      <c r="BB37" s="12" t="n">
        <f aca="false">-Cost_k*$A37+Beta_q*(Declarations!$B$16*INDEX(BA$21:BA$141,MAX(1,MIN(121,$B37-ROUND(Declarations!$A$16/$D$18,0))))+Declarations!$B$17*INDEX(BA$21:BA$141,MAX(1,MIN(121,$B37-ROUND(Declarations!$A$17/$D$18,0))))+Declarations!$B$18*INDEX(BA$21:BA$141,MAX(1,MIN(121,$B37-ROUND(Declarations!$A$18/$D$18,0))))+Declarations!$B$19*INDEX(BA$21:BA$141,MAX(1,MIN(121,$B37-ROUND(Declarations!$A$19/$D$18,0))))+Declarations!$B$20*INDEX(BA$21:BA$141,MAX(1,MIN(121,$B37-ROUND(Declarations!$A$20/$D$18,0)))))</f>
        <v>-324.574887984982</v>
      </c>
      <c r="BC37" s="12" t="n">
        <f aca="false">INDEX(BB$21:BB$141,$I37+1)*(1-$J37)+INDEX(BB$21:BB$141,$I37+2)*$J37</f>
        <v>-333.998781115872</v>
      </c>
      <c r="BD37" s="12" t="n">
        <f aca="false">INDEX(BB$21:BB$141,$K37+1)*(1-$L37)+INDEX(BB$21:BB$141,$K37+2)*$L37</f>
        <v>-312.780361623907</v>
      </c>
      <c r="BE37" s="12" t="n">
        <f aca="false">$C37+$D37+MAX(BC37,BD37,IF(COUNTIFS($A$21:$A$141,"&gt;="&amp;$G37,$A$21:$A$141,"&lt;="&amp;$H37)&gt;0,_xlfn.MAXIFS(BB$21:BB$141,$A$21:$A$141,"&gt;="&amp;$G37,$A$21:$A$141,"&lt;="&amp;$H37),BC37))</f>
        <v>-158.780361623907</v>
      </c>
      <c r="BF37" s="12" t="n">
        <f aca="false">-Cost_k*$A37+Beta_q*(Declarations!$B$16*INDEX(BE$21:BE$141,MAX(1,MIN(121,$B37-ROUND(Declarations!$A$16/$D$18,0))))+Declarations!$B$17*INDEX(BE$21:BE$141,MAX(1,MIN(121,$B37-ROUND(Declarations!$A$17/$D$18,0))))+Declarations!$B$18*INDEX(BE$21:BE$141,MAX(1,MIN(121,$B37-ROUND(Declarations!$A$18/$D$18,0))))+Declarations!$B$19*INDEX(BE$21:BE$141,MAX(1,MIN(121,$B37-ROUND(Declarations!$A$19/$D$18,0))))+Declarations!$B$20*INDEX(BE$21:BE$141,MAX(1,MIN(121,$B37-ROUND(Declarations!$A$20/$D$18,0)))))</f>
        <v>-331.090220141266</v>
      </c>
      <c r="BG37" s="12" t="n">
        <f aca="false">INDEX(BF$21:BF$141,$I37+1)*(1-$J37)+INDEX(BF$21:BF$141,$I37+2)*$J37</f>
        <v>-341.374890530726</v>
      </c>
      <c r="BH37" s="12" t="n">
        <f aca="false">INDEX(BF$21:BF$141,$K37+1)*(1-$L37)+INDEX(BF$21:BF$141,$K37+2)*$L37</f>
        <v>-318.411094820137</v>
      </c>
      <c r="BI37" s="12" t="n">
        <f aca="false">$C37+$D37+MAX(BG37,BH37,IF(COUNTIFS($A$21:$A$141,"&gt;="&amp;$G37,$A$21:$A$141,"&lt;="&amp;$H37)&gt;0,_xlfn.MAXIFS(BF$21:BF$141,$A$21:$A$141,"&gt;="&amp;$G37,$A$21:$A$141,"&lt;="&amp;$H37),BG37))</f>
        <v>-164.411094820137</v>
      </c>
      <c r="BJ37" s="23" t="n">
        <v>-164.411094820138</v>
      </c>
      <c r="BK37" s="22" t="n">
        <f aca="false">ABS(BI37-BJ37)</f>
        <v>0</v>
      </c>
    </row>
    <row r="38" customFormat="false" ht="15" hidden="false" customHeight="false" outlineLevel="0" collapsed="false">
      <c r="A38" s="14" t="n">
        <f aca="false">A37+$D$18</f>
        <v>44.25</v>
      </c>
      <c r="B38" s="19" t="n">
        <v>18</v>
      </c>
      <c r="C38" s="12" t="n">
        <f aca="false">-Short_p*MAX(Floor_c-A38,0)</f>
        <v>-17.2</v>
      </c>
      <c r="D38" s="12" t="n">
        <f aca="false">Cost_k*Alpha_keep*A38</f>
        <v>172.575</v>
      </c>
      <c r="E38" s="12" t="n">
        <f aca="false">MIN(Cap_h,MAX(0,$B$18+MAX(Loss_w)-Alpha_keep*A38))</f>
        <v>0</v>
      </c>
      <c r="F38" s="12" t="n">
        <f aca="false">MAX(MIN(Cap_h,$F$18+MIN(Loss_w)-Alpha_keep*A38),E38)</f>
        <v>2.5</v>
      </c>
      <c r="G38" s="12" t="n">
        <f aca="false">Alpha_keep*A38+E38</f>
        <v>43.14375</v>
      </c>
      <c r="H38" s="12" t="n">
        <f aca="false">Alpha_keep*A38+F38</f>
        <v>45.64375</v>
      </c>
      <c r="I38" s="19" t="n">
        <f aca="false">MIN(INT((G38-$B$18)/$D$18+0.000000001),119)</f>
        <v>12</v>
      </c>
      <c r="J38" s="12" t="n">
        <f aca="false">(G38-$B$18)/$D$18-I38</f>
        <v>0.574999999999989</v>
      </c>
      <c r="K38" s="19" t="n">
        <f aca="false">MIN(INT((H38-$B$18)/$D$18+0.000000001),119)</f>
        <v>22</v>
      </c>
      <c r="L38" s="12" t="n">
        <f aca="false">(H38-$B$18)/$D$18-K38</f>
        <v>0.574999999999989</v>
      </c>
      <c r="M38" s="9" t="n">
        <v>0</v>
      </c>
      <c r="N38" s="12" t="n">
        <f aca="false">-Cost_k*$A38+Beta_q*(Declarations!$B$16*INDEX(M$21:M$141,MAX(1,MIN(121,$B38-ROUND(Declarations!$A$16/$D$18,0))))+Declarations!$B$17*INDEX(M$21:M$141,MAX(1,MIN(121,$B38-ROUND(Declarations!$A$17/$D$18,0))))+Declarations!$B$18*INDEX(M$21:M$141,MAX(1,MIN(121,$B38-ROUND(Declarations!$A$18/$D$18,0))))+Declarations!$B$19*INDEX(M$21:M$141,MAX(1,MIN(121,$B38-ROUND(Declarations!$A$19/$D$18,0))))+Declarations!$B$20*INDEX(M$21:M$141,MAX(1,MIN(121,$B38-ROUND(Declarations!$A$20/$D$18,0)))))</f>
        <v>-177</v>
      </c>
      <c r="O38" s="12" t="n">
        <f aca="false">INDEX(N$21:N$141,$I38+1)*(1-$J38)+INDEX(N$21:N$141,$I38+2)*$J38</f>
        <v>-172.575</v>
      </c>
      <c r="P38" s="12" t="n">
        <f aca="false">INDEX(N$21:N$141,$K38+1)*(1-$L38)+INDEX(N$21:N$141,$K38+2)*$L38</f>
        <v>-182.575</v>
      </c>
      <c r="Q38" s="12" t="n">
        <f aca="false">$C38+$D38+MAX(O38,P38,IF(COUNTIFS($A$21:$A$141,"&gt;="&amp;$G38,$A$21:$A$141,"&lt;="&amp;$H38)&gt;0,_xlfn.MAXIFS(N$21:N$141,$A$21:$A$141,"&gt;="&amp;$G38,$A$21:$A$141,"&lt;="&amp;$H38),O38))</f>
        <v>-17.2</v>
      </c>
      <c r="R38" s="12" t="n">
        <f aca="false">-Cost_k*$A38+Beta_q*(Declarations!$B$16*INDEX(Q$21:Q$141,MAX(1,MIN(121,$B38-ROUND(Declarations!$A$16/$D$18,0))))+Declarations!$B$17*INDEX(Q$21:Q$141,MAX(1,MIN(121,$B38-ROUND(Declarations!$A$17/$D$18,0))))+Declarations!$B$18*INDEX(Q$21:Q$141,MAX(1,MIN(121,$B38-ROUND(Declarations!$A$18/$D$18,0))))+Declarations!$B$19*INDEX(Q$21:Q$141,MAX(1,MIN(121,$B38-ROUND(Declarations!$A$19/$D$18,0))))+Declarations!$B$20*INDEX(Q$21:Q$141,MAX(1,MIN(121,$B38-ROUND(Declarations!$A$20/$D$18,0)))))</f>
        <v>-193.795010342433</v>
      </c>
      <c r="S38" s="12" t="n">
        <f aca="false">INDEX(R$21:R$141,$I38+1)*(1-$J38)+INDEX(R$21:R$141,$I38+2)*$J38</f>
        <v>-191.403323413232</v>
      </c>
      <c r="T38" s="12" t="n">
        <f aca="false">INDEX(R$21:R$141,$K38+1)*(1-$L38)+INDEX(R$21:R$141,$K38+2)*$L38</f>
        <v>-197.192517722454</v>
      </c>
      <c r="U38" s="12" t="n">
        <f aca="false">$C38+$D38+MAX(S38,T38,IF(COUNTIFS($A$21:$A$141,"&gt;="&amp;$G38,$A$21:$A$141,"&lt;="&amp;$H38)&gt;0,_xlfn.MAXIFS(R$21:R$141,$A$21:$A$141,"&gt;="&amp;$G38,$A$21:$A$141,"&lt;="&amp;$H38),S38))</f>
        <v>-36.0283234132319</v>
      </c>
      <c r="V38" s="12" t="n">
        <f aca="false">-Cost_k*$A38+Beta_q*(Declarations!$B$16*INDEX(U$21:U$141,MAX(1,MIN(121,$B38-ROUND(Declarations!$A$16/$D$18,0))))+Declarations!$B$17*INDEX(U$21:U$141,MAX(1,MIN(121,$B38-ROUND(Declarations!$A$17/$D$18,0))))+Declarations!$B$18*INDEX(U$21:U$141,MAX(1,MIN(121,$B38-ROUND(Declarations!$A$18/$D$18,0))))+Declarations!$B$19*INDEX(U$21:U$141,MAX(1,MIN(121,$B38-ROUND(Declarations!$A$19/$D$18,0))))+Declarations!$B$20*INDEX(U$21:U$141,MAX(1,MIN(121,$B38-ROUND(Declarations!$A$20/$D$18,0)))))</f>
        <v>-212.431088293076</v>
      </c>
      <c r="W38" s="12" t="n">
        <f aca="false">INDEX(V$21:V$141,$I38+1)*(1-$J38)+INDEX(V$21:V$141,$I38+2)*$J38</f>
        <v>-213.024378322747</v>
      </c>
      <c r="X38" s="12" t="n">
        <f aca="false">INDEX(V$21:V$141,$K38+1)*(1-$L38)+INDEX(V$21:V$141,$K38+2)*$L38</f>
        <v>-213.23722650654</v>
      </c>
      <c r="Y38" s="12" t="n">
        <f aca="false">$C38+$D38+MAX(W38,X38,IF(COUNTIFS($A$21:$A$141,"&gt;="&amp;$G38,$A$21:$A$141,"&lt;="&amp;$H38)&gt;0,_xlfn.MAXIFS(V$21:V$141,$A$21:$A$141,"&gt;="&amp;$G38,$A$21:$A$141,"&lt;="&amp;$H38),W38))</f>
        <v>-57.056088293076</v>
      </c>
      <c r="Z38" s="12" t="n">
        <f aca="false">-Cost_k*$A38+Beta_q*(Declarations!$B$16*INDEX(Y$21:Y$141,MAX(1,MIN(121,$B38-ROUND(Declarations!$A$16/$D$18,0))))+Declarations!$B$17*INDEX(Y$21:Y$141,MAX(1,MIN(121,$B38-ROUND(Declarations!$A$17/$D$18,0))))+Declarations!$B$18*INDEX(Y$21:Y$141,MAX(1,MIN(121,$B38-ROUND(Declarations!$A$18/$D$18,0))))+Declarations!$B$19*INDEX(Y$21:Y$141,MAX(1,MIN(121,$B38-ROUND(Declarations!$A$19/$D$18,0))))+Declarations!$B$20*INDEX(Y$21:Y$141,MAX(1,MIN(121,$B38-ROUND(Declarations!$A$20/$D$18,0)))))</f>
        <v>-232.717579842373</v>
      </c>
      <c r="AA38" s="12" t="n">
        <f aca="false">INDEX(Z$21:Z$141,$I38+1)*(1-$J38)+INDEX(Z$21:Z$141,$I38+2)*$J38</f>
        <v>-234.274882049512</v>
      </c>
      <c r="AB38" s="12" t="n">
        <f aca="false">INDEX(Z$21:Z$141,$K38+1)*(1-$L38)+INDEX(Z$21:Z$141,$K38+2)*$L38</f>
        <v>-230.977596373769</v>
      </c>
      <c r="AC38" s="12" t="n">
        <f aca="false">$C38+$D38+MAX(AA38,AB38,IF(COUNTIFS($A$21:$A$141,"&gt;="&amp;$G38,$A$21:$A$141,"&lt;="&amp;$H38)&gt;0,_xlfn.MAXIFS(Z$21:Z$141,$A$21:$A$141,"&gt;="&amp;$G38,$A$21:$A$141,"&lt;="&amp;$H38),AA38))</f>
        <v>-75.602596373769</v>
      </c>
      <c r="AD38" s="12" t="n">
        <f aca="false">-Cost_k*$A38+Beta_q*(Declarations!$B$16*INDEX(AC$21:AC$141,MAX(1,MIN(121,$B38-ROUND(Declarations!$A$16/$D$18,0))))+Declarations!$B$17*INDEX(AC$21:AC$141,MAX(1,MIN(121,$B38-ROUND(Declarations!$A$17/$D$18,0))))+Declarations!$B$18*INDEX(AC$21:AC$141,MAX(1,MIN(121,$B38-ROUND(Declarations!$A$18/$D$18,0))))+Declarations!$B$19*INDEX(AC$21:AC$141,MAX(1,MIN(121,$B38-ROUND(Declarations!$A$19/$D$18,0))))+Declarations!$B$20*INDEX(AC$21:AC$141,MAX(1,MIN(121,$B38-ROUND(Declarations!$A$20/$D$18,0)))))</f>
        <v>-250.899849375214</v>
      </c>
      <c r="AE38" s="12" t="n">
        <f aca="false">INDEX(AD$21:AD$141,$I38+1)*(1-$J38)+INDEX(AD$21:AD$141,$I38+2)*$J38</f>
        <v>-253.655850409077</v>
      </c>
      <c r="AF38" s="12" t="n">
        <f aca="false">INDEX(AD$21:AD$141,$K38+1)*(1-$L38)+INDEX(AD$21:AD$141,$K38+2)*$L38</f>
        <v>-247.924938683145</v>
      </c>
      <c r="AG38" s="12" t="n">
        <f aca="false">$C38+$D38+MAX(AE38,AF38,IF(COUNTIFS($A$21:$A$141,"&gt;="&amp;$G38,$A$21:$A$141,"&lt;="&amp;$H38)&gt;0,_xlfn.MAXIFS(AD$21:AD$141,$A$21:$A$141,"&gt;="&amp;$G38,$A$21:$A$141,"&lt;="&amp;$H38),AE38))</f>
        <v>-92.5499386831453</v>
      </c>
      <c r="AH38" s="12" t="n">
        <f aca="false">-Cost_k*$A38+Beta_q*(Declarations!$B$16*INDEX(AG$21:AG$141,MAX(1,MIN(121,$B38-ROUND(Declarations!$A$16/$D$18,0))))+Declarations!$B$17*INDEX(AG$21:AG$141,MAX(1,MIN(121,$B38-ROUND(Declarations!$A$17/$D$18,0))))+Declarations!$B$18*INDEX(AG$21:AG$141,MAX(1,MIN(121,$B38-ROUND(Declarations!$A$18/$D$18,0))))+Declarations!$B$19*INDEX(AG$21:AG$141,MAX(1,MIN(121,$B38-ROUND(Declarations!$A$19/$D$18,0))))+Declarations!$B$20*INDEX(AG$21:AG$141,MAX(1,MIN(121,$B38-ROUND(Declarations!$A$20/$D$18,0)))))</f>
        <v>-267.409457322514</v>
      </c>
      <c r="AI38" s="12" t="n">
        <f aca="false">INDEX(AH$21:AH$141,$I38+1)*(1-$J38)+INDEX(AH$21:AH$141,$I38+2)*$J38</f>
        <v>-271.151579542671</v>
      </c>
      <c r="AJ38" s="12" t="n">
        <f aca="false">INDEX(AH$21:AH$141,$K38+1)*(1-$L38)+INDEX(AH$21:AH$141,$K38+2)*$L38</f>
        <v>-262.976239939273</v>
      </c>
      <c r="AK38" s="12" t="n">
        <f aca="false">$C38+$D38+MAX(AI38,AJ38,IF(COUNTIFS($A$21:$A$141,"&gt;="&amp;$G38,$A$21:$A$141,"&lt;="&amp;$H38)&gt;0,_xlfn.MAXIFS(AH$21:AH$141,$A$21:$A$141,"&gt;="&amp;$G38,$A$21:$A$141,"&lt;="&amp;$H38),AI38))</f>
        <v>-107.601239939273</v>
      </c>
      <c r="AL38" s="12" t="n">
        <f aca="false">-Cost_k*$A38+Beta_q*(Declarations!$B$16*INDEX(AK$21:AK$141,MAX(1,MIN(121,$B38-ROUND(Declarations!$A$16/$D$18,0))))+Declarations!$B$17*INDEX(AK$21:AK$141,MAX(1,MIN(121,$B38-ROUND(Declarations!$A$17/$D$18,0))))+Declarations!$B$18*INDEX(AK$21:AK$141,MAX(1,MIN(121,$B38-ROUND(Declarations!$A$18/$D$18,0))))+Declarations!$B$19*INDEX(AK$21:AK$141,MAX(1,MIN(121,$B38-ROUND(Declarations!$A$19/$D$18,0))))+Declarations!$B$20*INDEX(AK$21:AK$141,MAX(1,MIN(121,$B38-ROUND(Declarations!$A$20/$D$18,0)))))</f>
        <v>-282.078121071768</v>
      </c>
      <c r="AM38" s="12" t="n">
        <f aca="false">INDEX(AL$21:AL$141,$I38+1)*(1-$J38)+INDEX(AL$21:AL$141,$I38+2)*$J38</f>
        <v>-286.945894953302</v>
      </c>
      <c r="AN38" s="12" t="n">
        <f aca="false">INDEX(AL$21:AL$141,$K38+1)*(1-$L38)+INDEX(AL$21:AL$141,$K38+2)*$L38</f>
        <v>-276.034027856885</v>
      </c>
      <c r="AO38" s="12" t="n">
        <f aca="false">$C38+$D38+MAX(AM38,AN38,IF(COUNTIFS($A$21:$A$141,"&gt;="&amp;$G38,$A$21:$A$141,"&lt;="&amp;$H38)&gt;0,_xlfn.MAXIFS(AL$21:AL$141,$A$21:$A$141,"&gt;="&amp;$G38,$A$21:$A$141,"&lt;="&amp;$H38),AM38))</f>
        <v>-120.659027856885</v>
      </c>
      <c r="AP38" s="12" t="n">
        <f aca="false">-Cost_k*$A38+Beta_q*(Declarations!$B$16*INDEX(AO$21:AO$141,MAX(1,MIN(121,$B38-ROUND(Declarations!$A$16/$D$18,0))))+Declarations!$B$17*INDEX(AO$21:AO$141,MAX(1,MIN(121,$B38-ROUND(Declarations!$A$17/$D$18,0))))+Declarations!$B$18*INDEX(AO$21:AO$141,MAX(1,MIN(121,$B38-ROUND(Declarations!$A$18/$D$18,0))))+Declarations!$B$19*INDEX(AO$21:AO$141,MAX(1,MIN(121,$B38-ROUND(Declarations!$A$19/$D$18,0))))+Declarations!$B$20*INDEX(AO$21:AO$141,MAX(1,MIN(121,$B38-ROUND(Declarations!$A$20/$D$18,0)))))</f>
        <v>-294.820205112699</v>
      </c>
      <c r="AQ38" s="12" t="n">
        <f aca="false">INDEX(AP$21:AP$141,$I38+1)*(1-$J38)+INDEX(AP$21:AP$141,$I38+2)*$J38</f>
        <v>-300.905527786647</v>
      </c>
      <c r="AR38" s="12" t="n">
        <f aca="false">INDEX(AP$21:AP$141,$K38+1)*(1-$L38)+INDEX(AP$21:AP$141,$K38+2)*$L38</f>
        <v>-287.175631889152</v>
      </c>
      <c r="AS38" s="12" t="n">
        <f aca="false">$C38+$D38+MAX(AQ38,AR38,IF(COUNTIFS($A$21:$A$141,"&gt;="&amp;$G38,$A$21:$A$141,"&lt;="&amp;$H38)&gt;0,_xlfn.MAXIFS(AP$21:AP$141,$A$21:$A$141,"&gt;="&amp;$G38,$A$21:$A$141,"&lt;="&amp;$H38),AQ38))</f>
        <v>-131.800631889152</v>
      </c>
      <c r="AT38" s="12" t="n">
        <f aca="false">-Cost_k*$A38+Beta_q*(Declarations!$B$16*INDEX(AS$21:AS$141,MAX(1,MIN(121,$B38-ROUND(Declarations!$A$16/$D$18,0))))+Declarations!$B$17*INDEX(AS$21:AS$141,MAX(1,MIN(121,$B38-ROUND(Declarations!$A$17/$D$18,0))))+Declarations!$B$18*INDEX(AS$21:AS$141,MAX(1,MIN(121,$B38-ROUND(Declarations!$A$18/$D$18,0))))+Declarations!$B$19*INDEX(AS$21:AS$141,MAX(1,MIN(121,$B38-ROUND(Declarations!$A$19/$D$18,0))))+Declarations!$B$20*INDEX(AS$21:AS$141,MAX(1,MIN(121,$B38-ROUND(Declarations!$A$20/$D$18,0)))))</f>
        <v>-305.698995106944</v>
      </c>
      <c r="AU38" s="12" t="n">
        <f aca="false">INDEX(AT$21:AT$141,$I38+1)*(1-$J38)+INDEX(AT$21:AT$141,$I38+2)*$J38</f>
        <v>-312.991087402344</v>
      </c>
      <c r="AV38" s="12" t="n">
        <f aca="false">INDEX(AT$21:AT$141,$K38+1)*(1-$L38)+INDEX(AT$21:AT$141,$K38+2)*$L38</f>
        <v>-296.533471358379</v>
      </c>
      <c r="AW38" s="12" t="n">
        <f aca="false">$C38+$D38+MAX(AU38,AV38,IF(COUNTIFS($A$21:$A$141,"&gt;="&amp;$G38,$A$21:$A$141,"&lt;="&amp;$H38)&gt;0,_xlfn.MAXIFS(AT$21:AT$141,$A$21:$A$141,"&gt;="&amp;$G38,$A$21:$A$141,"&lt;="&amp;$H38),AU38))</f>
        <v>-141.158471358379</v>
      </c>
      <c r="AX38" s="12" t="n">
        <f aca="false">-Cost_k*$A38+Beta_q*(Declarations!$B$16*INDEX(AW$21:AW$141,MAX(1,MIN(121,$B38-ROUND(Declarations!$A$16/$D$18,0))))+Declarations!$B$17*INDEX(AW$21:AW$141,MAX(1,MIN(121,$B38-ROUND(Declarations!$A$17/$D$18,0))))+Declarations!$B$18*INDEX(AW$21:AW$141,MAX(1,MIN(121,$B38-ROUND(Declarations!$A$18/$D$18,0))))+Declarations!$B$19*INDEX(AW$21:AW$141,MAX(1,MIN(121,$B38-ROUND(Declarations!$A$19/$D$18,0))))+Declarations!$B$20*INDEX(AW$21:AW$141,MAX(1,MIN(121,$B38-ROUND(Declarations!$A$20/$D$18,0)))))</f>
        <v>-314.843402536918</v>
      </c>
      <c r="AY38" s="12" t="n">
        <f aca="false">INDEX(AX$21:AX$141,$I38+1)*(1-$J38)+INDEX(AX$21:AX$141,$I38+2)*$J38</f>
        <v>-323.27722408311</v>
      </c>
      <c r="AZ38" s="12" t="n">
        <f aca="false">INDEX(AX$21:AX$141,$K38+1)*(1-$L38)+INDEX(AX$21:AX$141,$K38+2)*$L38</f>
        <v>-304.302899803807</v>
      </c>
      <c r="BA38" s="12" t="n">
        <f aca="false">$C38+$D38+MAX(AY38,AZ38,IF(COUNTIFS($A$21:$A$141,"&gt;="&amp;$G38,$A$21:$A$141,"&lt;="&amp;$H38)&gt;0,_xlfn.MAXIFS(AX$21:AX$141,$A$21:$A$141,"&gt;="&amp;$G38,$A$21:$A$141,"&lt;="&amp;$H38),AY38))</f>
        <v>-148.927899803807</v>
      </c>
      <c r="BB38" s="12" t="n">
        <f aca="false">-Cost_k*$A38+Beta_q*(Declarations!$B$16*INDEX(BA$21:BA$141,MAX(1,MIN(121,$B38-ROUND(Declarations!$A$16/$D$18,0))))+Declarations!$B$17*INDEX(BA$21:BA$141,MAX(1,MIN(121,$B38-ROUND(Declarations!$A$17/$D$18,0))))+Declarations!$B$18*INDEX(BA$21:BA$141,MAX(1,MIN(121,$B38-ROUND(Declarations!$A$18/$D$18,0))))+Declarations!$B$19*INDEX(BA$21:BA$141,MAX(1,MIN(121,$B38-ROUND(Declarations!$A$19/$D$18,0))))+Declarations!$B$20*INDEX(BA$21:BA$141,MAX(1,MIN(121,$B38-ROUND(Declarations!$A$20/$D$18,0)))))</f>
        <v>-322.447327527315</v>
      </c>
      <c r="BC38" s="12" t="n">
        <f aca="false">INDEX(BB$21:BB$141,$I38+1)*(1-$J38)+INDEX(BB$21:BB$141,$I38+2)*$J38</f>
        <v>-331.903858235055</v>
      </c>
      <c r="BD38" s="12" t="n">
        <f aca="false">INDEX(BB$21:BB$141,$K38+1)*(1-$L38)+INDEX(BB$21:BB$141,$K38+2)*$L38</f>
        <v>-310.764593332055</v>
      </c>
      <c r="BE38" s="12" t="n">
        <f aca="false">$C38+$D38+MAX(BC38,BD38,IF(COUNTIFS($A$21:$A$141,"&gt;="&amp;$G38,$A$21:$A$141,"&lt;="&amp;$H38)&gt;0,_xlfn.MAXIFS(BB$21:BB$141,$A$21:$A$141,"&gt;="&amp;$G38,$A$21:$A$141,"&lt;="&amp;$H38),BC38))</f>
        <v>-155.389593332055</v>
      </c>
      <c r="BF38" s="12" t="n">
        <f aca="false">-Cost_k*$A38+Beta_q*(Declarations!$B$16*INDEX(BE$21:BE$141,MAX(1,MIN(121,$B38-ROUND(Declarations!$A$16/$D$18,0))))+Declarations!$B$17*INDEX(BE$21:BE$141,MAX(1,MIN(121,$B38-ROUND(Declarations!$A$17/$D$18,0))))+Declarations!$B$18*INDEX(BE$21:BE$141,MAX(1,MIN(121,$B38-ROUND(Declarations!$A$18/$D$18,0))))+Declarations!$B$19*INDEX(BE$21:BE$141,MAX(1,MIN(121,$B38-ROUND(Declarations!$A$19/$D$18,0))))+Declarations!$B$20*INDEX(BE$21:BE$141,MAX(1,MIN(121,$B38-ROUND(Declarations!$A$20/$D$18,0)))))</f>
        <v>-328.785318518935</v>
      </c>
      <c r="BG38" s="12" t="n">
        <f aca="false">INDEX(BF$21:BF$141,$I38+1)*(1-$J38)+INDEX(BF$21:BF$141,$I38+2)*$J38</f>
        <v>-339.07976350563</v>
      </c>
      <c r="BH38" s="12" t="n">
        <f aca="false">INDEX(BF$21:BF$141,$K38+1)*(1-$L38)+INDEX(BF$21:BF$141,$K38+2)*$L38</f>
        <v>-316.270970763372</v>
      </c>
      <c r="BI38" s="12" t="n">
        <f aca="false">$C38+$D38+MAX(BG38,BH38,IF(COUNTIFS($A$21:$A$141,"&gt;="&amp;$G38,$A$21:$A$141,"&lt;="&amp;$H38)&gt;0,_xlfn.MAXIFS(BF$21:BF$141,$A$21:$A$141,"&gt;="&amp;$G38,$A$21:$A$141,"&lt;="&amp;$H38),BG38))</f>
        <v>-160.895970763372</v>
      </c>
      <c r="BJ38" s="23" t="n">
        <v>-160.895970763372</v>
      </c>
      <c r="BK38" s="22" t="n">
        <f aca="false">ABS(BI38-BJ38)</f>
        <v>0</v>
      </c>
    </row>
    <row r="39" customFormat="false" ht="15" hidden="false" customHeight="false" outlineLevel="0" collapsed="false">
      <c r="A39" s="14" t="n">
        <f aca="false">A38+$D$18</f>
        <v>44.5</v>
      </c>
      <c r="B39" s="19" t="n">
        <v>19</v>
      </c>
      <c r="C39" s="12" t="n">
        <f aca="false">-Short_p*MAX(Floor_c-A39,0)</f>
        <v>-16.8</v>
      </c>
      <c r="D39" s="12" t="n">
        <f aca="false">Cost_k*Alpha_keep*A39</f>
        <v>173.55</v>
      </c>
      <c r="E39" s="12" t="n">
        <f aca="false">MIN(Cap_h,MAX(0,$B$18+MAX(Loss_w)-Alpha_keep*A39))</f>
        <v>0</v>
      </c>
      <c r="F39" s="12" t="n">
        <f aca="false">MAX(MIN(Cap_h,$F$18+MIN(Loss_w)-Alpha_keep*A39),E39)</f>
        <v>2.5</v>
      </c>
      <c r="G39" s="12" t="n">
        <f aca="false">Alpha_keep*A39+E39</f>
        <v>43.3875</v>
      </c>
      <c r="H39" s="12" t="n">
        <f aca="false">Alpha_keep*A39+F39</f>
        <v>45.8875</v>
      </c>
      <c r="I39" s="19" t="n">
        <f aca="false">MIN(INT((G39-$B$18)/$D$18+0.000000001),119)</f>
        <v>13</v>
      </c>
      <c r="J39" s="12" t="n">
        <f aca="false">(G39-$B$18)/$D$18-I39</f>
        <v>0.549999999999983</v>
      </c>
      <c r="K39" s="19" t="n">
        <f aca="false">MIN(INT((H39-$B$18)/$D$18+0.000000001),119)</f>
        <v>23</v>
      </c>
      <c r="L39" s="12" t="n">
        <f aca="false">(H39-$B$18)/$D$18-K39</f>
        <v>0.549999999999983</v>
      </c>
      <c r="M39" s="9" t="n">
        <v>0</v>
      </c>
      <c r="N39" s="12" t="n">
        <f aca="false">-Cost_k*$A39+Beta_q*(Declarations!$B$16*INDEX(M$21:M$141,MAX(1,MIN(121,$B39-ROUND(Declarations!$A$16/$D$18,0))))+Declarations!$B$17*INDEX(M$21:M$141,MAX(1,MIN(121,$B39-ROUND(Declarations!$A$17/$D$18,0))))+Declarations!$B$18*INDEX(M$21:M$141,MAX(1,MIN(121,$B39-ROUND(Declarations!$A$18/$D$18,0))))+Declarations!$B$19*INDEX(M$21:M$141,MAX(1,MIN(121,$B39-ROUND(Declarations!$A$19/$D$18,0))))+Declarations!$B$20*INDEX(M$21:M$141,MAX(1,MIN(121,$B39-ROUND(Declarations!$A$20/$D$18,0)))))</f>
        <v>-178</v>
      </c>
      <c r="O39" s="12" t="n">
        <f aca="false">INDEX(N$21:N$141,$I39+1)*(1-$J39)+INDEX(N$21:N$141,$I39+2)*$J39</f>
        <v>-173.55</v>
      </c>
      <c r="P39" s="12" t="n">
        <f aca="false">INDEX(N$21:N$141,$K39+1)*(1-$L39)+INDEX(N$21:N$141,$K39+2)*$L39</f>
        <v>-183.55</v>
      </c>
      <c r="Q39" s="12" t="n">
        <f aca="false">$C39+$D39+MAX(O39,P39,IF(COUNTIFS($A$21:$A$141,"&gt;="&amp;$G39,$A$21:$A$141,"&lt;="&amp;$H39)&gt;0,_xlfn.MAXIFS(N$21:N$141,$A$21:$A$141,"&gt;="&amp;$G39,$A$21:$A$141,"&lt;="&amp;$H39),O39))</f>
        <v>-16.8</v>
      </c>
      <c r="R39" s="12" t="n">
        <f aca="false">-Cost_k*$A39+Beta_q*(Declarations!$B$16*INDEX(Q$21:Q$141,MAX(1,MIN(121,$B39-ROUND(Declarations!$A$16/$D$18,0))))+Declarations!$B$17*INDEX(Q$21:Q$141,MAX(1,MIN(121,$B39-ROUND(Declarations!$A$17/$D$18,0))))+Declarations!$B$18*INDEX(Q$21:Q$141,MAX(1,MIN(121,$B39-ROUND(Declarations!$A$18/$D$18,0))))+Declarations!$B$19*INDEX(Q$21:Q$141,MAX(1,MIN(121,$B39-ROUND(Declarations!$A$19/$D$18,0))))+Declarations!$B$20*INDEX(Q$21:Q$141,MAX(1,MIN(121,$B39-ROUND(Declarations!$A$20/$D$18,0)))))</f>
        <v>-194.404428706562</v>
      </c>
      <c r="S39" s="12" t="n">
        <f aca="false">INDEX(R$21:R$141,$I39+1)*(1-$J39)+INDEX(R$21:R$141,$I39+2)*$J39</f>
        <v>-191.84331811466</v>
      </c>
      <c r="T39" s="12" t="n">
        <f aca="false">INDEX(R$21:R$141,$K39+1)*(1-$L39)+INDEX(R$21:R$141,$K39+2)*$L39</f>
        <v>-197.786700627481</v>
      </c>
      <c r="U39" s="12" t="n">
        <f aca="false">$C39+$D39+MAX(S39,T39,IF(COUNTIFS($A$21:$A$141,"&gt;="&amp;$G39,$A$21:$A$141,"&lt;="&amp;$H39)&gt;0,_xlfn.MAXIFS(R$21:R$141,$A$21:$A$141,"&gt;="&amp;$G39,$A$21:$A$141,"&lt;="&amp;$H39),S39))</f>
        <v>-35.0933181146603</v>
      </c>
      <c r="V39" s="12" t="n">
        <f aca="false">-Cost_k*$A39+Beta_q*(Declarations!$B$16*INDEX(U$21:U$141,MAX(1,MIN(121,$B39-ROUND(Declarations!$A$16/$D$18,0))))+Declarations!$B$17*INDEX(U$21:U$141,MAX(1,MIN(121,$B39-ROUND(Declarations!$A$17/$D$18,0))))+Declarations!$B$18*INDEX(U$21:U$141,MAX(1,MIN(121,$B39-ROUND(Declarations!$A$18/$D$18,0))))+Declarations!$B$19*INDEX(U$21:U$141,MAX(1,MIN(121,$B39-ROUND(Declarations!$A$19/$D$18,0))))+Declarations!$B$20*INDEX(U$21:U$141,MAX(1,MIN(121,$B39-ROUND(Declarations!$A$20/$D$18,0)))))</f>
        <v>-212.472983913078</v>
      </c>
      <c r="W39" s="12" t="n">
        <f aca="false">INDEX(V$21:V$141,$I39+1)*(1-$J39)+INDEX(V$21:V$141,$I39+2)*$J39</f>
        <v>-212.781091010504</v>
      </c>
      <c r="X39" s="12" t="n">
        <f aca="false">INDEX(V$21:V$141,$K39+1)*(1-$L39)+INDEX(V$21:V$141,$K39+2)*$L39</f>
        <v>-213.452868413242</v>
      </c>
      <c r="Y39" s="12" t="n">
        <f aca="false">$C39+$D39+MAX(W39,X39,IF(COUNTIFS($A$21:$A$141,"&gt;="&amp;$G39,$A$21:$A$141,"&lt;="&amp;$H39)&gt;0,_xlfn.MAXIFS(V$21:V$141,$A$21:$A$141,"&gt;="&amp;$G39,$A$21:$A$141,"&lt;="&amp;$H39),W39))</f>
        <v>-55.681088293076</v>
      </c>
      <c r="Z39" s="12" t="n">
        <f aca="false">-Cost_k*$A39+Beta_q*(Declarations!$B$16*INDEX(Y$21:Y$141,MAX(1,MIN(121,$B39-ROUND(Declarations!$A$16/$D$18,0))))+Declarations!$B$17*INDEX(Y$21:Y$141,MAX(1,MIN(121,$B39-ROUND(Declarations!$A$17/$D$18,0))))+Declarations!$B$18*INDEX(Y$21:Y$141,MAX(1,MIN(121,$B39-ROUND(Declarations!$A$18/$D$18,0))))+Declarations!$B$19*INDEX(Y$21:Y$141,MAX(1,MIN(121,$B39-ROUND(Declarations!$A$19/$D$18,0))))+Declarations!$B$20*INDEX(Y$21:Y$141,MAX(1,MIN(121,$B39-ROUND(Declarations!$A$20/$D$18,0)))))</f>
        <v>-232.38065949009</v>
      </c>
      <c r="AA39" s="12" t="n">
        <f aca="false">INDEX(Z$21:Z$141,$I39+1)*(1-$J39)+INDEX(Z$21:Z$141,$I39+2)*$J39</f>
        <v>-233.918842411456</v>
      </c>
      <c r="AB39" s="12" t="n">
        <f aca="false">INDEX(Z$21:Z$141,$K39+1)*(1-$L39)+INDEX(Z$21:Z$141,$K39+2)*$L39</f>
        <v>-230.740148932583</v>
      </c>
      <c r="AC39" s="12" t="n">
        <f aca="false">$C39+$D39+MAX(AA39,AB39,IF(COUNTIFS($A$21:$A$141,"&gt;="&amp;$G39,$A$21:$A$141,"&lt;="&amp;$H39)&gt;0,_xlfn.MAXIFS(Z$21:Z$141,$A$21:$A$141,"&gt;="&amp;$G39,$A$21:$A$141,"&lt;="&amp;$H39),AA39))</f>
        <v>-73.9901489325827</v>
      </c>
      <c r="AD39" s="12" t="n">
        <f aca="false">-Cost_k*$A39+Beta_q*(Declarations!$B$16*INDEX(AC$21:AC$141,MAX(1,MIN(121,$B39-ROUND(Declarations!$A$16/$D$18,0))))+Declarations!$B$17*INDEX(AC$21:AC$141,MAX(1,MIN(121,$B39-ROUND(Declarations!$A$17/$D$18,0))))+Declarations!$B$18*INDEX(AC$21:AC$141,MAX(1,MIN(121,$B39-ROUND(Declarations!$A$18/$D$18,0))))+Declarations!$B$19*INDEX(AC$21:AC$141,MAX(1,MIN(121,$B39-ROUND(Declarations!$A$19/$D$18,0))))+Declarations!$B$20*INDEX(AC$21:AC$141,MAX(1,MIN(121,$B39-ROUND(Declarations!$A$20/$D$18,0)))))</f>
        <v>-250.326130389027</v>
      </c>
      <c r="AE39" s="12" t="n">
        <f aca="false">INDEX(AD$21:AD$141,$I39+1)*(1-$J39)+INDEX(AD$21:AD$141,$I39+2)*$J39</f>
        <v>-253.026058584596</v>
      </c>
      <c r="AF39" s="12" t="n">
        <f aca="false">INDEX(AD$21:AD$141,$K39+1)*(1-$L39)+INDEX(AD$21:AD$141,$K39+2)*$L39</f>
        <v>-247.451418342384</v>
      </c>
      <c r="AG39" s="12" t="n">
        <f aca="false">$C39+$D39+MAX(AE39,AF39,IF(COUNTIFS($A$21:$A$141,"&gt;="&amp;$G39,$A$21:$A$141,"&lt;="&amp;$H39)&gt;0,_xlfn.MAXIFS(AD$21:AD$141,$A$21:$A$141,"&gt;="&amp;$G39,$A$21:$A$141,"&lt;="&amp;$H39),AE39))</f>
        <v>-90.7014183423836</v>
      </c>
      <c r="AH39" s="12" t="n">
        <f aca="false">-Cost_k*$A39+Beta_q*(Declarations!$B$16*INDEX(AG$21:AG$141,MAX(1,MIN(121,$B39-ROUND(Declarations!$A$16/$D$18,0))))+Declarations!$B$17*INDEX(AG$21:AG$141,MAX(1,MIN(121,$B39-ROUND(Declarations!$A$17/$D$18,0))))+Declarations!$B$18*INDEX(AG$21:AG$141,MAX(1,MIN(121,$B39-ROUND(Declarations!$A$18/$D$18,0))))+Declarations!$B$19*INDEX(AG$21:AG$141,MAX(1,MIN(121,$B39-ROUND(Declarations!$A$19/$D$18,0))))+Declarations!$B$20*INDEX(AG$21:AG$141,MAX(1,MIN(121,$B39-ROUND(Declarations!$A$20/$D$18,0)))))</f>
        <v>-266.597777263615</v>
      </c>
      <c r="AI39" s="12" t="n">
        <f aca="false">INDEX(AH$21:AH$141,$I39+1)*(1-$J39)+INDEX(AH$21:AH$141,$I39+2)*$J39</f>
        <v>-270.302988340007</v>
      </c>
      <c r="AJ39" s="12" t="n">
        <f aca="false">INDEX(AH$21:AH$141,$K39+1)*(1-$L39)+INDEX(AH$21:AH$141,$K39+2)*$L39</f>
        <v>-262.215355332992</v>
      </c>
      <c r="AK39" s="12" t="n">
        <f aca="false">$C39+$D39+MAX(AI39,AJ39,IF(COUNTIFS($A$21:$A$141,"&gt;="&amp;$G39,$A$21:$A$141,"&lt;="&amp;$H39)&gt;0,_xlfn.MAXIFS(AH$21:AH$141,$A$21:$A$141,"&gt;="&amp;$G39,$A$21:$A$141,"&lt;="&amp;$H39),AI39))</f>
        <v>-105.465355332992</v>
      </c>
      <c r="AL39" s="12" t="n">
        <f aca="false">-Cost_k*$A39+Beta_q*(Declarations!$B$16*INDEX(AK$21:AK$141,MAX(1,MIN(121,$B39-ROUND(Declarations!$A$16/$D$18,0))))+Declarations!$B$17*INDEX(AK$21:AK$141,MAX(1,MIN(121,$B39-ROUND(Declarations!$A$17/$D$18,0))))+Declarations!$B$18*INDEX(AK$21:AK$141,MAX(1,MIN(121,$B39-ROUND(Declarations!$A$18/$D$18,0))))+Declarations!$B$19*INDEX(AK$21:AK$141,MAX(1,MIN(121,$B39-ROUND(Declarations!$A$19/$D$18,0))))+Declarations!$B$20*INDEX(AK$21:AK$141,MAX(1,MIN(121,$B39-ROUND(Declarations!$A$20/$D$18,0)))))</f>
        <v>-280.989827336011</v>
      </c>
      <c r="AM39" s="12" t="n">
        <f aca="false">INDEX(AL$21:AL$141,$I39+1)*(1-$J39)+INDEX(AL$21:AL$141,$I39+2)*$J39</f>
        <v>-285.863650897372</v>
      </c>
      <c r="AN39" s="12" t="n">
        <f aca="false">INDEX(AL$21:AL$141,$K39+1)*(1-$L39)+INDEX(AL$21:AL$141,$K39+2)*$L39</f>
        <v>-274.980231325368</v>
      </c>
      <c r="AO39" s="12" t="n">
        <f aca="false">$C39+$D39+MAX(AM39,AN39,IF(COUNTIFS($A$21:$A$141,"&gt;="&amp;$G39,$A$21:$A$141,"&lt;="&amp;$H39)&gt;0,_xlfn.MAXIFS(AL$21:AL$141,$A$21:$A$141,"&gt;="&amp;$G39,$A$21:$A$141,"&lt;="&amp;$H39),AM39))</f>
        <v>-118.230231325368</v>
      </c>
      <c r="AP39" s="12" t="n">
        <f aca="false">-Cost_k*$A39+Beta_q*(Declarations!$B$16*INDEX(AO$21:AO$141,MAX(1,MIN(121,$B39-ROUND(Declarations!$A$16/$D$18,0))))+Declarations!$B$17*INDEX(AO$21:AO$141,MAX(1,MIN(121,$B39-ROUND(Declarations!$A$17/$D$18,0))))+Declarations!$B$18*INDEX(AO$21:AO$141,MAX(1,MIN(121,$B39-ROUND(Declarations!$A$18/$D$18,0))))+Declarations!$B$19*INDEX(AO$21:AO$141,MAX(1,MIN(121,$B39-ROUND(Declarations!$A$19/$D$18,0))))+Declarations!$B$20*INDEX(AO$21:AO$141,MAX(1,MIN(121,$B39-ROUND(Declarations!$A$20/$D$18,0)))))</f>
        <v>-293.447972012654</v>
      </c>
      <c r="AQ39" s="12" t="n">
        <f aca="false">INDEX(AP$21:AP$141,$I39+1)*(1-$J39)+INDEX(AP$21:AP$141,$I39+2)*$J39</f>
        <v>-299.562022983638</v>
      </c>
      <c r="AR39" s="12" t="n">
        <f aca="false">INDEX(AP$21:AP$141,$K39+1)*(1-$L39)+INDEX(AP$21:AP$141,$K39+2)*$L39</f>
        <v>-285.839868990605</v>
      </c>
      <c r="AS39" s="12" t="n">
        <f aca="false">$C39+$D39+MAX(AQ39,AR39,IF(COUNTIFS($A$21:$A$141,"&gt;="&amp;$G39,$A$21:$A$141,"&lt;="&amp;$H39)&gt;0,_xlfn.MAXIFS(AP$21:AP$141,$A$21:$A$141,"&gt;="&amp;$G39,$A$21:$A$141,"&lt;="&amp;$H39),AQ39))</f>
        <v>-129.089868990605</v>
      </c>
      <c r="AT39" s="12" t="n">
        <f aca="false">-Cost_k*$A39+Beta_q*(Declarations!$B$16*INDEX(AS$21:AS$141,MAX(1,MIN(121,$B39-ROUND(Declarations!$A$16/$D$18,0))))+Declarations!$B$17*INDEX(AS$21:AS$141,MAX(1,MIN(121,$B39-ROUND(Declarations!$A$17/$D$18,0))))+Declarations!$B$18*INDEX(AS$21:AS$141,MAX(1,MIN(121,$B39-ROUND(Declarations!$A$18/$D$18,0))))+Declarations!$B$19*INDEX(AS$21:AS$141,MAX(1,MIN(121,$B39-ROUND(Declarations!$A$19/$D$18,0))))+Declarations!$B$20*INDEX(AS$21:AS$141,MAX(1,MIN(121,$B39-ROUND(Declarations!$A$20/$D$18,0)))))</f>
        <v>-304.052548527611</v>
      </c>
      <c r="AU39" s="12" t="n">
        <f aca="false">INDEX(AT$21:AT$141,$I39+1)*(1-$J39)+INDEX(AT$21:AT$141,$I39+2)*$J39</f>
        <v>-311.383474253624</v>
      </c>
      <c r="AV39" s="12" t="n">
        <f aca="false">INDEX(AT$21:AT$141,$K39+1)*(1-$L39)+INDEX(AT$21:AT$141,$K39+2)*$L39</f>
        <v>-294.936230711198</v>
      </c>
      <c r="AW39" s="12" t="n">
        <f aca="false">$C39+$D39+MAX(AU39,AV39,IF(COUNTIFS($A$21:$A$141,"&gt;="&amp;$G39,$A$21:$A$141,"&lt;="&amp;$H39)&gt;0,_xlfn.MAXIFS(AT$21:AT$141,$A$21:$A$141,"&gt;="&amp;$G39,$A$21:$A$141,"&lt;="&amp;$H39),AU39))</f>
        <v>-138.186230711198</v>
      </c>
      <c r="AX39" s="12" t="n">
        <f aca="false">-Cost_k*$A39+Beta_q*(Declarations!$B$16*INDEX(AW$21:AW$141,MAX(1,MIN(121,$B39-ROUND(Declarations!$A$16/$D$18,0))))+Declarations!$B$17*INDEX(AW$21:AW$141,MAX(1,MIN(121,$B39-ROUND(Declarations!$A$17/$D$18,0))))+Declarations!$B$18*INDEX(AW$21:AW$141,MAX(1,MIN(121,$B39-ROUND(Declarations!$A$18/$D$18,0))))+Declarations!$B$19*INDEX(AW$21:AW$141,MAX(1,MIN(121,$B39-ROUND(Declarations!$A$19/$D$18,0))))+Declarations!$B$20*INDEX(AW$21:AW$141,MAX(1,MIN(121,$B39-ROUND(Declarations!$A$20/$D$18,0)))))</f>
        <v>-312.943288391098</v>
      </c>
      <c r="AY39" s="12" t="n">
        <f aca="false">INDEX(AX$21:AX$141,$I39+1)*(1-$J39)+INDEX(AX$21:AX$141,$I39+2)*$J39</f>
        <v>-321.416517241652</v>
      </c>
      <c r="AZ39" s="12" t="n">
        <f aca="false">INDEX(AX$21:AX$141,$K39+1)*(1-$L39)+INDEX(AX$21:AX$141,$K39+2)*$L39</f>
        <v>-302.478422030587</v>
      </c>
      <c r="BA39" s="12" t="n">
        <f aca="false">$C39+$D39+MAX(AY39,AZ39,IF(COUNTIFS($A$21:$A$141,"&gt;="&amp;$G39,$A$21:$A$141,"&lt;="&amp;$H39)&gt;0,_xlfn.MAXIFS(AX$21:AX$141,$A$21:$A$141,"&gt;="&amp;$G39,$A$21:$A$141,"&lt;="&amp;$H39),AY39))</f>
        <v>-145.728422030587</v>
      </c>
      <c r="BB39" s="12" t="n">
        <f aca="false">-Cost_k*$A39+Beta_q*(Declarations!$B$16*INDEX(BA$21:BA$141,MAX(1,MIN(121,$B39-ROUND(Declarations!$A$16/$D$18,0))))+Declarations!$B$17*INDEX(BA$21:BA$141,MAX(1,MIN(121,$B39-ROUND(Declarations!$A$17/$D$18,0))))+Declarations!$B$18*INDEX(BA$21:BA$141,MAX(1,MIN(121,$B39-ROUND(Declarations!$A$18/$D$18,0))))+Declarations!$B$19*INDEX(BA$21:BA$141,MAX(1,MIN(121,$B39-ROUND(Declarations!$A$19/$D$18,0))))+Declarations!$B$20*INDEX(BA$21:BA$141,MAX(1,MIN(121,$B39-ROUND(Declarations!$A$20/$D$18,0)))))</f>
        <v>-320.327561444964</v>
      </c>
      <c r="BC39" s="12" t="n">
        <f aca="false">INDEX(BB$21:BB$141,$I39+1)*(1-$J39)+INDEX(BB$21:BB$141,$I39+2)*$J39</f>
        <v>-329.812137422986</v>
      </c>
      <c r="BD39" s="12" t="n">
        <f aca="false">INDEX(BB$21:BB$141,$K39+1)*(1-$L39)+INDEX(BB$21:BB$141,$K39+2)*$L39</f>
        <v>-308.763917625094</v>
      </c>
      <c r="BE39" s="12" t="n">
        <f aca="false">$C39+$D39+MAX(BC39,BD39,IF(COUNTIFS($A$21:$A$141,"&gt;="&amp;$G39,$A$21:$A$141,"&lt;="&amp;$H39)&gt;0,_xlfn.MAXIFS(BB$21:BB$141,$A$21:$A$141,"&gt;="&amp;$G39,$A$21:$A$141,"&lt;="&amp;$H39),BC39))</f>
        <v>-152.013917625094</v>
      </c>
      <c r="BF39" s="12" t="n">
        <f aca="false">-Cost_k*$A39+Beta_q*(Declarations!$B$16*INDEX(BE$21:BE$141,MAX(1,MIN(121,$B39-ROUND(Declarations!$A$16/$D$18,0))))+Declarations!$B$17*INDEX(BE$21:BE$141,MAX(1,MIN(121,$B39-ROUND(Declarations!$A$17/$D$18,0))))+Declarations!$B$18*INDEX(BE$21:BE$141,MAX(1,MIN(121,$B39-ROUND(Declarations!$A$18/$D$18,0))))+Declarations!$B$19*INDEX(BE$21:BE$141,MAX(1,MIN(121,$B39-ROUND(Declarations!$A$19/$D$18,0))))+Declarations!$B$20*INDEX(BE$21:BE$141,MAX(1,MIN(121,$B39-ROUND(Declarations!$A$20/$D$18,0)))))</f>
        <v>-326.495531175903</v>
      </c>
      <c r="BG39" s="12" t="n">
        <f aca="false">INDEX(BF$21:BF$141,$I39+1)*(1-$J39)+INDEX(BF$21:BF$141,$I39+2)*$J39</f>
        <v>-336.792981076587</v>
      </c>
      <c r="BH39" s="12" t="n">
        <f aca="false">INDEX(BF$21:BF$141,$K39+1)*(1-$L39)+INDEX(BF$21:BF$141,$K39+2)*$L39</f>
        <v>-314.155377336368</v>
      </c>
      <c r="BI39" s="12" t="n">
        <f aca="false">$C39+$D39+MAX(BG39,BH39,IF(COUNTIFS($A$21:$A$141,"&gt;="&amp;$G39,$A$21:$A$141,"&lt;="&amp;$H39)&gt;0,_xlfn.MAXIFS(BF$21:BF$141,$A$21:$A$141,"&gt;="&amp;$G39,$A$21:$A$141,"&lt;="&amp;$H39),BG39))</f>
        <v>-157.405377336368</v>
      </c>
      <c r="BJ39" s="23" t="n">
        <v>-157.405377336368</v>
      </c>
      <c r="BK39" s="22" t="n">
        <f aca="false">ABS(BI39-BJ39)</f>
        <v>0</v>
      </c>
    </row>
    <row r="40" customFormat="false" ht="15" hidden="false" customHeight="false" outlineLevel="0" collapsed="false">
      <c r="A40" s="14" t="n">
        <f aca="false">A39+$D$18</f>
        <v>44.75</v>
      </c>
      <c r="B40" s="19" t="n">
        <v>20</v>
      </c>
      <c r="C40" s="12" t="n">
        <f aca="false">-Short_p*MAX(Floor_c-A40,0)</f>
        <v>-16.4</v>
      </c>
      <c r="D40" s="12" t="n">
        <f aca="false">Cost_k*Alpha_keep*A40</f>
        <v>174.525</v>
      </c>
      <c r="E40" s="12" t="n">
        <f aca="false">MIN(Cap_h,MAX(0,$B$18+MAX(Loss_w)-Alpha_keep*A40))</f>
        <v>0</v>
      </c>
      <c r="F40" s="12" t="n">
        <f aca="false">MAX(MIN(Cap_h,$F$18+MIN(Loss_w)-Alpha_keep*A40),E40)</f>
        <v>2.5</v>
      </c>
      <c r="G40" s="12" t="n">
        <f aca="false">Alpha_keep*A40+E40</f>
        <v>43.63125</v>
      </c>
      <c r="H40" s="12" t="n">
        <f aca="false">Alpha_keep*A40+F40</f>
        <v>46.13125</v>
      </c>
      <c r="I40" s="19" t="n">
        <f aca="false">MIN(INT((G40-$B$18)/$D$18+0.000000001),119)</f>
        <v>14</v>
      </c>
      <c r="J40" s="12" t="n">
        <f aca="false">(G40-$B$18)/$D$18-I40</f>
        <v>0.525000000000006</v>
      </c>
      <c r="K40" s="19" t="n">
        <f aca="false">MIN(INT((H40-$B$18)/$D$18+0.000000001),119)</f>
        <v>24</v>
      </c>
      <c r="L40" s="12" t="n">
        <f aca="false">(H40-$B$18)/$D$18-K40</f>
        <v>0.525000000000006</v>
      </c>
      <c r="M40" s="9" t="n">
        <v>0</v>
      </c>
      <c r="N40" s="12" t="n">
        <f aca="false">-Cost_k*$A40+Beta_q*(Declarations!$B$16*INDEX(M$21:M$141,MAX(1,MIN(121,$B40-ROUND(Declarations!$A$16/$D$18,0))))+Declarations!$B$17*INDEX(M$21:M$141,MAX(1,MIN(121,$B40-ROUND(Declarations!$A$17/$D$18,0))))+Declarations!$B$18*INDEX(M$21:M$141,MAX(1,MIN(121,$B40-ROUND(Declarations!$A$18/$D$18,0))))+Declarations!$B$19*INDEX(M$21:M$141,MAX(1,MIN(121,$B40-ROUND(Declarations!$A$19/$D$18,0))))+Declarations!$B$20*INDEX(M$21:M$141,MAX(1,MIN(121,$B40-ROUND(Declarations!$A$20/$D$18,0)))))</f>
        <v>-179</v>
      </c>
      <c r="O40" s="12" t="n">
        <f aca="false">INDEX(N$21:N$141,$I40+1)*(1-$J40)+INDEX(N$21:N$141,$I40+2)*$J40</f>
        <v>-174.525</v>
      </c>
      <c r="P40" s="12" t="n">
        <f aca="false">INDEX(N$21:N$141,$K40+1)*(1-$L40)+INDEX(N$21:N$141,$K40+2)*$L40</f>
        <v>-184.525</v>
      </c>
      <c r="Q40" s="12" t="n">
        <f aca="false">$C40+$D40+MAX(O40,P40,IF(COUNTIFS($A$21:$A$141,"&gt;="&amp;$G40,$A$21:$A$141,"&lt;="&amp;$H40)&gt;0,_xlfn.MAXIFS(N$21:N$141,$A$21:$A$141,"&gt;="&amp;$G40,$A$21:$A$141,"&lt;="&amp;$H40),O40))</f>
        <v>-16.4</v>
      </c>
      <c r="R40" s="12" t="n">
        <f aca="false">-Cost_k*$A40+Beta_q*(Declarations!$B$16*INDEX(Q$21:Q$141,MAX(1,MIN(121,$B40-ROUND(Declarations!$A$16/$D$18,0))))+Declarations!$B$17*INDEX(Q$21:Q$141,MAX(1,MIN(121,$B40-ROUND(Declarations!$A$17/$D$18,0))))+Declarations!$B$18*INDEX(Q$21:Q$141,MAX(1,MIN(121,$B40-ROUND(Declarations!$A$18/$D$18,0))))+Declarations!$B$19*INDEX(Q$21:Q$141,MAX(1,MIN(121,$B40-ROUND(Declarations!$A$19/$D$18,0))))+Declarations!$B$20*INDEX(Q$21:Q$141,MAX(1,MIN(121,$B40-ROUND(Declarations!$A$20/$D$18,0)))))</f>
        <v>-195.013847070692</v>
      </c>
      <c r="S40" s="12" t="n">
        <f aca="false">INDEX(R$21:R$141,$I40+1)*(1-$J40)+INDEX(R$21:R$141,$I40+2)*$J40</f>
        <v>-192.369118719219</v>
      </c>
      <c r="T40" s="12" t="n">
        <f aca="false">INDEX(R$21:R$141,$K40+1)*(1-$L40)+INDEX(R$21:R$141,$K40+2)*$L40</f>
        <v>-198.380883532507</v>
      </c>
      <c r="U40" s="12" t="n">
        <f aca="false">$C40+$D40+MAX(S40,T40,IF(COUNTIFS($A$21:$A$141,"&gt;="&amp;$G40,$A$21:$A$141,"&lt;="&amp;$H40)&gt;0,_xlfn.MAXIFS(R$21:R$141,$A$21:$A$141,"&gt;="&amp;$G40,$A$21:$A$141,"&lt;="&amp;$H40),S40))</f>
        <v>-34.2441187192188</v>
      </c>
      <c r="V40" s="12" t="n">
        <f aca="false">-Cost_k*$A40+Beta_q*(Declarations!$B$16*INDEX(U$21:U$141,MAX(1,MIN(121,$B40-ROUND(Declarations!$A$16/$D$18,0))))+Declarations!$B$17*INDEX(U$21:U$141,MAX(1,MIN(121,$B40-ROUND(Declarations!$A$17/$D$18,0))))+Declarations!$B$18*INDEX(U$21:U$141,MAX(1,MIN(121,$B40-ROUND(Declarations!$A$18/$D$18,0))))+Declarations!$B$19*INDEX(U$21:U$141,MAX(1,MIN(121,$B40-ROUND(Declarations!$A$19/$D$18,0))))+Declarations!$B$20*INDEX(U$21:U$141,MAX(1,MIN(121,$B40-ROUND(Declarations!$A$20/$D$18,0)))))</f>
        <v>-212.592646762426</v>
      </c>
      <c r="W40" s="12" t="n">
        <f aca="false">INDEX(V$21:V$141,$I40+1)*(1-$J40)+INDEX(V$21:V$141,$I40+2)*$J40</f>
        <v>-212.590419432313</v>
      </c>
      <c r="X40" s="12" t="n">
        <f aca="false">INDEX(V$21:V$141,$K40+1)*(1-$L40)+INDEX(V$21:V$141,$K40+2)*$L40</f>
        <v>-213.676098690327</v>
      </c>
      <c r="Y40" s="12" t="n">
        <f aca="false">$C40+$D40+MAX(W40,X40,IF(COUNTIFS($A$21:$A$141,"&gt;="&amp;$G40,$A$21:$A$141,"&lt;="&amp;$H40)&gt;0,_xlfn.MAXIFS(V$21:V$141,$A$21:$A$141,"&gt;="&amp;$G40,$A$21:$A$141,"&lt;="&amp;$H40),W40))</f>
        <v>-54.306088293076</v>
      </c>
      <c r="Z40" s="12" t="n">
        <f aca="false">-Cost_k*$A40+Beta_q*(Declarations!$B$16*INDEX(Y$21:Y$141,MAX(1,MIN(121,$B40-ROUND(Declarations!$A$16/$D$18,0))))+Declarations!$B$17*INDEX(Y$21:Y$141,MAX(1,MIN(121,$B40-ROUND(Declarations!$A$17/$D$18,0))))+Declarations!$B$18*INDEX(Y$21:Y$141,MAX(1,MIN(121,$B40-ROUND(Declarations!$A$18/$D$18,0))))+Declarations!$B$19*INDEX(Y$21:Y$141,MAX(1,MIN(121,$B40-ROUND(Declarations!$A$19/$D$18,0))))+Declarations!$B$20*INDEX(Y$21:Y$141,MAX(1,MIN(121,$B40-ROUND(Declarations!$A$20/$D$18,0)))))</f>
        <v>-232.048976846811</v>
      </c>
      <c r="AA40" s="12" t="n">
        <f aca="false">INDEX(Z$21:Z$141,$I40+1)*(1-$J40)+INDEX(Z$21:Z$141,$I40+2)*$J40</f>
        <v>-233.571206063924</v>
      </c>
      <c r="AB40" s="12" t="n">
        <f aca="false">INDEX(Z$21:Z$141,$K40+1)*(1-$L40)+INDEX(Z$21:Z$141,$K40+2)*$L40</f>
        <v>-230.524481836233</v>
      </c>
      <c r="AC40" s="12" t="n">
        <f aca="false">$C40+$D40+MAX(AA40,AB40,IF(COUNTIFS($A$21:$A$141,"&gt;="&amp;$G40,$A$21:$A$141,"&lt;="&amp;$H40)&gt;0,_xlfn.MAXIFS(Z$21:Z$141,$A$21:$A$141,"&gt;="&amp;$G40,$A$21:$A$141,"&lt;="&amp;$H40),AA40))</f>
        <v>-72.3994818362334</v>
      </c>
      <c r="AD40" s="12" t="n">
        <f aca="false">-Cost_k*$A40+Beta_q*(Declarations!$B$16*INDEX(AC$21:AC$141,MAX(1,MIN(121,$B40-ROUND(Declarations!$A$16/$D$18,0))))+Declarations!$B$17*INDEX(AC$21:AC$141,MAX(1,MIN(121,$B40-ROUND(Declarations!$A$17/$D$18,0))))+Declarations!$B$18*INDEX(AC$21:AC$141,MAX(1,MIN(121,$B40-ROUND(Declarations!$A$18/$D$18,0))))+Declarations!$B$19*INDEX(AC$21:AC$141,MAX(1,MIN(121,$B40-ROUND(Declarations!$A$19/$D$18,0))))+Declarations!$B$20*INDEX(AC$21:AC$141,MAX(1,MIN(121,$B40-ROUND(Declarations!$A$20/$D$18,0)))))</f>
        <v>-249.769288674311</v>
      </c>
      <c r="AE40" s="12" t="n">
        <f aca="false">INDEX(AD$21:AD$141,$I40+1)*(1-$J40)+INDEX(AD$21:AD$141,$I40+2)*$J40</f>
        <v>-252.408487726229</v>
      </c>
      <c r="AF40" s="12" t="n">
        <f aca="false">INDEX(AD$21:AD$141,$K40+1)*(1-$L40)+INDEX(AD$21:AD$141,$K40+2)*$L40</f>
        <v>-246.987587298952</v>
      </c>
      <c r="AG40" s="12" t="n">
        <f aca="false">$C40+$D40+MAX(AE40,AF40,IF(COUNTIFS($A$21:$A$141,"&gt;="&amp;$G40,$A$21:$A$141,"&lt;="&amp;$H40)&gt;0,_xlfn.MAXIFS(AD$21:AD$141,$A$21:$A$141,"&gt;="&amp;$G40,$A$21:$A$141,"&lt;="&amp;$H40),AE40))</f>
        <v>-88.8625872989518</v>
      </c>
      <c r="AH40" s="12" t="n">
        <f aca="false">-Cost_k*$A40+Beta_q*(Declarations!$B$16*INDEX(AG$21:AG$141,MAX(1,MIN(121,$B40-ROUND(Declarations!$A$16/$D$18,0))))+Declarations!$B$17*INDEX(AG$21:AG$141,MAX(1,MIN(121,$B40-ROUND(Declarations!$A$17/$D$18,0))))+Declarations!$B$18*INDEX(AG$21:AG$141,MAX(1,MIN(121,$B40-ROUND(Declarations!$A$18/$D$18,0))))+Declarations!$B$19*INDEX(AG$21:AG$141,MAX(1,MIN(121,$B40-ROUND(Declarations!$A$19/$D$18,0))))+Declarations!$B$20*INDEX(AG$21:AG$141,MAX(1,MIN(121,$B40-ROUND(Declarations!$A$20/$D$18,0)))))</f>
        <v>-265.795639001886</v>
      </c>
      <c r="AI40" s="12" t="n">
        <f aca="false">INDEX(AH$21:AH$141,$I40+1)*(1-$J40)+INDEX(AH$21:AH$141,$I40+2)*$J40</f>
        <v>-269.4690352192</v>
      </c>
      <c r="AJ40" s="12" t="n">
        <f aca="false">INDEX(AH$21:AH$141,$K40+1)*(1-$L40)+INDEX(AH$21:AH$141,$K40+2)*$L40</f>
        <v>-261.456407530679</v>
      </c>
      <c r="AK40" s="12" t="n">
        <f aca="false">$C40+$D40+MAX(AI40,AJ40,IF(COUNTIFS($A$21:$A$141,"&gt;="&amp;$G40,$A$21:$A$141,"&lt;="&amp;$H40)&gt;0,_xlfn.MAXIFS(AH$21:AH$141,$A$21:$A$141,"&gt;="&amp;$G40,$A$21:$A$141,"&lt;="&amp;$H40),AI40))</f>
        <v>-103.331407530679</v>
      </c>
      <c r="AL40" s="12" t="n">
        <f aca="false">-Cost_k*$A40+Beta_q*(Declarations!$B$16*INDEX(AK$21:AK$141,MAX(1,MIN(121,$B40-ROUND(Declarations!$A$16/$D$18,0))))+Declarations!$B$17*INDEX(AK$21:AK$141,MAX(1,MIN(121,$B40-ROUND(Declarations!$A$17/$D$18,0))))+Declarations!$B$18*INDEX(AK$21:AK$141,MAX(1,MIN(121,$B40-ROUND(Declarations!$A$18/$D$18,0))))+Declarations!$B$19*INDEX(AK$21:AK$141,MAX(1,MIN(121,$B40-ROUND(Declarations!$A$19/$D$18,0))))+Declarations!$B$20*INDEX(AK$21:AK$141,MAX(1,MIN(121,$B40-ROUND(Declarations!$A$20/$D$18,0)))))</f>
        <v>-279.90402587551</v>
      </c>
      <c r="AM40" s="12" t="n">
        <f aca="false">INDEX(AL$21:AL$141,$I40+1)*(1-$J40)+INDEX(AL$21:AL$141,$I40+2)*$J40</f>
        <v>-284.787685673531</v>
      </c>
      <c r="AN40" s="12" t="n">
        <f aca="false">INDEX(AL$21:AL$141,$K40+1)*(1-$L40)+INDEX(AL$21:AL$141,$K40+2)*$L40</f>
        <v>-273.926778204705</v>
      </c>
      <c r="AO40" s="12" t="n">
        <f aca="false">$C40+$D40+MAX(AM40,AN40,IF(COUNTIFS($A$21:$A$141,"&gt;="&amp;$G40,$A$21:$A$141,"&lt;="&amp;$H40)&gt;0,_xlfn.MAXIFS(AL$21:AL$141,$A$21:$A$141,"&gt;="&amp;$G40,$A$21:$A$141,"&lt;="&amp;$H40),AM40))</f>
        <v>-115.801778204705</v>
      </c>
      <c r="AP40" s="12" t="n">
        <f aca="false">-Cost_k*$A40+Beta_q*(Declarations!$B$16*INDEX(AO$21:AO$141,MAX(1,MIN(121,$B40-ROUND(Declarations!$A$16/$D$18,0))))+Declarations!$B$17*INDEX(AO$21:AO$141,MAX(1,MIN(121,$B40-ROUND(Declarations!$A$17/$D$18,0))))+Declarations!$B$18*INDEX(AO$21:AO$141,MAX(1,MIN(121,$B40-ROUND(Declarations!$A$18/$D$18,0))))+Declarations!$B$19*INDEX(AO$21:AO$141,MAX(1,MIN(121,$B40-ROUND(Declarations!$A$19/$D$18,0))))+Declarations!$B$20*INDEX(AO$21:AO$141,MAX(1,MIN(121,$B40-ROUND(Declarations!$A$20/$D$18,0)))))</f>
        <v>-292.076284303957</v>
      </c>
      <c r="AQ40" s="12" t="n">
        <f aca="false">INDEX(AP$21:AP$141,$I40+1)*(1-$J40)+INDEX(AP$21:AP$141,$I40+2)*$J40</f>
        <v>-298.220372055651</v>
      </c>
      <c r="AR40" s="12" t="n">
        <f aca="false">INDEX(AP$21:AP$141,$K40+1)*(1-$L40)+INDEX(AP$21:AP$141,$K40+2)*$L40</f>
        <v>-284.504573923914</v>
      </c>
      <c r="AS40" s="12" t="n">
        <f aca="false">$C40+$D40+MAX(AQ40,AR40,IF(COUNTIFS($A$21:$A$141,"&gt;="&amp;$G40,$A$21:$A$141,"&lt;="&amp;$H40)&gt;0,_xlfn.MAXIFS(AP$21:AP$141,$A$21:$A$141,"&gt;="&amp;$G40,$A$21:$A$141,"&lt;="&amp;$H40),AQ40))</f>
        <v>-126.379573923914</v>
      </c>
      <c r="AT40" s="12" t="n">
        <f aca="false">-Cost_k*$A40+Beta_q*(Declarations!$B$16*INDEX(AS$21:AS$141,MAX(1,MIN(121,$B40-ROUND(Declarations!$A$16/$D$18,0))))+Declarations!$B$17*INDEX(AS$21:AS$141,MAX(1,MIN(121,$B40-ROUND(Declarations!$A$17/$D$18,0))))+Declarations!$B$18*INDEX(AS$21:AS$141,MAX(1,MIN(121,$B40-ROUND(Declarations!$A$18/$D$18,0))))+Declarations!$B$19*INDEX(AS$21:AS$141,MAX(1,MIN(121,$B40-ROUND(Declarations!$A$19/$D$18,0))))+Declarations!$B$20*INDEX(AS$21:AS$141,MAX(1,MIN(121,$B40-ROUND(Declarations!$A$20/$D$18,0)))))</f>
        <v>-302.406728400442</v>
      </c>
      <c r="AU40" s="12" t="n">
        <f aca="false">INDEX(AT$21:AT$141,$I40+1)*(1-$J40)+INDEX(AT$21:AT$141,$I40+2)*$J40</f>
        <v>-309.776395058158</v>
      </c>
      <c r="AV40" s="12" t="n">
        <f aca="false">INDEX(AT$21:AT$141,$K40+1)*(1-$L40)+INDEX(AT$21:AT$141,$K40+2)*$L40</f>
        <v>-293.341556866971</v>
      </c>
      <c r="AW40" s="12" t="n">
        <f aca="false">$C40+$D40+MAX(AU40,AV40,IF(COUNTIFS($A$21:$A$141,"&gt;="&amp;$G40,$A$21:$A$141,"&lt;="&amp;$H40)&gt;0,_xlfn.MAXIFS(AT$21:AT$141,$A$21:$A$141,"&gt;="&amp;$G40,$A$21:$A$141,"&lt;="&amp;$H40),AU40))</f>
        <v>-135.216556866971</v>
      </c>
      <c r="AX40" s="12" t="n">
        <f aca="false">-Cost_k*$A40+Beta_q*(Declarations!$B$16*INDEX(AW$21:AW$141,MAX(1,MIN(121,$B40-ROUND(Declarations!$A$16/$D$18,0))))+Declarations!$B$17*INDEX(AW$21:AW$141,MAX(1,MIN(121,$B40-ROUND(Declarations!$A$17/$D$18,0))))+Declarations!$B$18*INDEX(AW$21:AW$141,MAX(1,MIN(121,$B40-ROUND(Declarations!$A$18/$D$18,0))))+Declarations!$B$19*INDEX(AW$21:AW$141,MAX(1,MIN(121,$B40-ROUND(Declarations!$A$19/$D$18,0))))+Declarations!$B$20*INDEX(AW$21:AW$141,MAX(1,MIN(121,$B40-ROUND(Declarations!$A$20/$D$18,0)))))</f>
        <v>-311.046097135545</v>
      </c>
      <c r="AY40" s="12" t="n">
        <f aca="false">INDEX(AX$21:AX$141,$I40+1)*(1-$J40)+INDEX(AX$21:AX$141,$I40+2)*$J40</f>
        <v>-319.557027906878</v>
      </c>
      <c r="AZ40" s="12" t="n">
        <f aca="false">INDEX(AX$21:AX$141,$K40+1)*(1-$L40)+INDEX(AX$21:AX$141,$K40+2)*$L40</f>
        <v>-300.662514515302</v>
      </c>
      <c r="BA40" s="12" t="n">
        <f aca="false">$C40+$D40+MAX(AY40,AZ40,IF(COUNTIFS($A$21:$A$141,"&gt;="&amp;$G40,$A$21:$A$141,"&lt;="&amp;$H40)&gt;0,_xlfn.MAXIFS(AX$21:AX$141,$A$21:$A$141,"&gt;="&amp;$G40,$A$21:$A$141,"&lt;="&amp;$H40),AY40))</f>
        <v>-142.537514515302</v>
      </c>
      <c r="BB40" s="12" t="n">
        <f aca="false">-Cost_k*$A40+Beta_q*(Declarations!$B$16*INDEX(BA$21:BA$141,MAX(1,MIN(121,$B40-ROUND(Declarations!$A$16/$D$18,0))))+Declarations!$B$17*INDEX(BA$21:BA$141,MAX(1,MIN(121,$B40-ROUND(Declarations!$A$17/$D$18,0))))+Declarations!$B$18*INDEX(BA$21:BA$141,MAX(1,MIN(121,$B40-ROUND(Declarations!$A$18/$D$18,0))))+Declarations!$B$19*INDEX(BA$21:BA$141,MAX(1,MIN(121,$B40-ROUND(Declarations!$A$19/$D$18,0))))+Declarations!$B$20*INDEX(BA$21:BA$141,MAX(1,MIN(121,$B40-ROUND(Declarations!$A$20/$D$18,0)))))</f>
        <v>-318.216707518962</v>
      </c>
      <c r="BC40" s="12" t="n">
        <f aca="false">INDEX(BB$21:BB$141,$I40+1)*(1-$J40)+INDEX(BB$21:BB$141,$I40+2)*$J40</f>
        <v>-327.724466486021</v>
      </c>
      <c r="BD40" s="12" t="n">
        <f aca="false">INDEX(BB$21:BB$141,$K40+1)*(1-$L40)+INDEX(BB$21:BB$141,$K40+2)*$L40</f>
        <v>-306.780940608067</v>
      </c>
      <c r="BE40" s="12" t="n">
        <f aca="false">$C40+$D40+MAX(BC40,BD40,IF(COUNTIFS($A$21:$A$141,"&gt;="&amp;$G40,$A$21:$A$141,"&lt;="&amp;$H40)&gt;0,_xlfn.MAXIFS(BB$21:BB$141,$A$21:$A$141,"&gt;="&amp;$G40,$A$21:$A$141,"&lt;="&amp;$H40),BC40))</f>
        <v>-148.655940608067</v>
      </c>
      <c r="BF40" s="12" t="n">
        <f aca="false">-Cost_k*$A40+Beta_q*(Declarations!$B$16*INDEX(BE$21:BE$141,MAX(1,MIN(121,$B40-ROUND(Declarations!$A$16/$D$18,0))))+Declarations!$B$17*INDEX(BE$21:BE$141,MAX(1,MIN(121,$B40-ROUND(Declarations!$A$17/$D$18,0))))+Declarations!$B$18*INDEX(BE$21:BE$141,MAX(1,MIN(121,$B40-ROUND(Declarations!$A$18/$D$18,0))))+Declarations!$B$19*INDEX(BE$21:BE$141,MAX(1,MIN(121,$B40-ROUND(Declarations!$A$19/$D$18,0))))+Declarations!$B$20*INDEX(BE$21:BE$141,MAX(1,MIN(121,$B40-ROUND(Declarations!$A$20/$D$18,0)))))</f>
        <v>-324.223316176627</v>
      </c>
      <c r="BG40" s="12" t="n">
        <f aca="false">INDEX(BF$21:BF$141,$I40+1)*(1-$J40)+INDEX(BF$21:BF$141,$I40+2)*$J40</f>
        <v>-334.515649845599</v>
      </c>
      <c r="BH40" s="12" t="n">
        <f aca="false">INDEX(BF$21:BF$141,$K40+1)*(1-$L40)+INDEX(BF$21:BF$141,$K40+2)*$L40</f>
        <v>-312.06645890704</v>
      </c>
      <c r="BI40" s="12" t="n">
        <f aca="false">$C40+$D40+MAX(BG40,BH40,IF(COUNTIFS($A$21:$A$141,"&gt;="&amp;$G40,$A$21:$A$141,"&lt;="&amp;$H40)&gt;0,_xlfn.MAXIFS(BF$21:BF$141,$A$21:$A$141,"&gt;="&amp;$G40,$A$21:$A$141,"&lt;="&amp;$H40),BG40))</f>
        <v>-153.94145890704</v>
      </c>
      <c r="BJ40" s="23" t="n">
        <v>-153.94145890704</v>
      </c>
      <c r="BK40" s="22" t="n">
        <f aca="false">ABS(BI40-BJ40)</f>
        <v>0</v>
      </c>
    </row>
    <row r="41" customFormat="false" ht="15" hidden="false" customHeight="false" outlineLevel="0" collapsed="false">
      <c r="A41" s="14" t="n">
        <f aca="false">A40+$D$18</f>
        <v>45</v>
      </c>
      <c r="B41" s="19" t="n">
        <v>21</v>
      </c>
      <c r="C41" s="12" t="n">
        <f aca="false">-Short_p*MAX(Floor_c-A41,0)</f>
        <v>-16</v>
      </c>
      <c r="D41" s="12" t="n">
        <f aca="false">Cost_k*Alpha_keep*A41</f>
        <v>175.5</v>
      </c>
      <c r="E41" s="12" t="n">
        <f aca="false">MIN(Cap_h,MAX(0,$B$18+MAX(Loss_w)-Alpha_keep*A41))</f>
        <v>0</v>
      </c>
      <c r="F41" s="12" t="n">
        <f aca="false">MAX(MIN(Cap_h,$F$18+MIN(Loss_w)-Alpha_keep*A41),E41)</f>
        <v>2.5</v>
      </c>
      <c r="G41" s="12" t="n">
        <f aca="false">Alpha_keep*A41+E41</f>
        <v>43.875</v>
      </c>
      <c r="H41" s="12" t="n">
        <f aca="false">Alpha_keep*A41+F41</f>
        <v>46.375</v>
      </c>
      <c r="I41" s="19" t="n">
        <f aca="false">MIN(INT((G41-$B$18)/$D$18+0.000000001),119)</f>
        <v>15</v>
      </c>
      <c r="J41" s="12" t="n">
        <f aca="false">(G41-$B$18)/$D$18-I41</f>
        <v>0.5</v>
      </c>
      <c r="K41" s="19" t="n">
        <f aca="false">MIN(INT((H41-$B$18)/$D$18+0.000000001),119)</f>
        <v>25</v>
      </c>
      <c r="L41" s="12" t="n">
        <f aca="false">(H41-$B$18)/$D$18-K41</f>
        <v>0.5</v>
      </c>
      <c r="M41" s="9" t="n">
        <v>0</v>
      </c>
      <c r="N41" s="12" t="n">
        <f aca="false">-Cost_k*$A41+Beta_q*(Declarations!$B$16*INDEX(M$21:M$141,MAX(1,MIN(121,$B41-ROUND(Declarations!$A$16/$D$18,0))))+Declarations!$B$17*INDEX(M$21:M$141,MAX(1,MIN(121,$B41-ROUND(Declarations!$A$17/$D$18,0))))+Declarations!$B$18*INDEX(M$21:M$141,MAX(1,MIN(121,$B41-ROUND(Declarations!$A$18/$D$18,0))))+Declarations!$B$19*INDEX(M$21:M$141,MAX(1,MIN(121,$B41-ROUND(Declarations!$A$19/$D$18,0))))+Declarations!$B$20*INDEX(M$21:M$141,MAX(1,MIN(121,$B41-ROUND(Declarations!$A$20/$D$18,0)))))</f>
        <v>-180</v>
      </c>
      <c r="O41" s="12" t="n">
        <f aca="false">INDEX(N$21:N$141,$I41+1)*(1-$J41)+INDEX(N$21:N$141,$I41+2)*$J41</f>
        <v>-175.5</v>
      </c>
      <c r="P41" s="12" t="n">
        <f aca="false">INDEX(N$21:N$141,$K41+1)*(1-$L41)+INDEX(N$21:N$141,$K41+2)*$L41</f>
        <v>-185.5</v>
      </c>
      <c r="Q41" s="12" t="n">
        <f aca="false">$C41+$D41+MAX(O41,P41,IF(COUNTIFS($A$21:$A$141,"&gt;="&amp;$G41,$A$21:$A$141,"&lt;="&amp;$H41)&gt;0,_xlfn.MAXIFS(N$21:N$141,$A$21:$A$141,"&gt;="&amp;$G41,$A$21:$A$141,"&lt;="&amp;$H41),O41))</f>
        <v>-16</v>
      </c>
      <c r="R41" s="12" t="n">
        <f aca="false">-Cost_k*$A41+Beta_q*(Declarations!$B$16*INDEX(Q$21:Q$141,MAX(1,MIN(121,$B41-ROUND(Declarations!$A$16/$D$18,0))))+Declarations!$B$17*INDEX(Q$21:Q$141,MAX(1,MIN(121,$B41-ROUND(Declarations!$A$17/$D$18,0))))+Declarations!$B$18*INDEX(Q$21:Q$141,MAX(1,MIN(121,$B41-ROUND(Declarations!$A$18/$D$18,0))))+Declarations!$B$19*INDEX(Q$21:Q$141,MAX(1,MIN(121,$B41-ROUND(Declarations!$A$19/$D$18,0))))+Declarations!$B$20*INDEX(Q$21:Q$141,MAX(1,MIN(121,$B41-ROUND(Declarations!$A$20/$D$18,0)))))</f>
        <v>-195.623265434821</v>
      </c>
      <c r="S41" s="12" t="n">
        <f aca="false">INDEX(R$21:R$141,$I41+1)*(1-$J41)+INDEX(R$21:R$141,$I41+2)*$J41</f>
        <v>-192.916889540795</v>
      </c>
      <c r="T41" s="12" t="n">
        <f aca="false">INDEX(R$21:R$141,$K41+1)*(1-$L41)+INDEX(R$21:R$141,$K41+2)*$L41</f>
        <v>-198.975066437533</v>
      </c>
      <c r="U41" s="12" t="n">
        <f aca="false">$C41+$D41+MAX(S41,T41,IF(COUNTIFS($A$21:$A$141,"&gt;="&amp;$G41,$A$21:$A$141,"&lt;="&amp;$H41)&gt;0,_xlfn.MAXIFS(R$21:R$141,$A$21:$A$141,"&gt;="&amp;$G41,$A$21:$A$141,"&lt;="&amp;$H41),S41))</f>
        <v>-33.4168895407951</v>
      </c>
      <c r="V41" s="12" t="n">
        <f aca="false">-Cost_k*$A41+Beta_q*(Declarations!$B$16*INDEX(U$21:U$141,MAX(1,MIN(121,$B41-ROUND(Declarations!$A$16/$D$18,0))))+Declarations!$B$17*INDEX(U$21:U$141,MAX(1,MIN(121,$B41-ROUND(Declarations!$A$17/$D$18,0))))+Declarations!$B$18*INDEX(U$21:U$141,MAX(1,MIN(121,$B41-ROUND(Declarations!$A$18/$D$18,0))))+Declarations!$B$19*INDEX(U$21:U$141,MAX(1,MIN(121,$B41-ROUND(Declarations!$A$19/$D$18,0))))+Declarations!$B$20*INDEX(U$21:U$141,MAX(1,MIN(121,$B41-ROUND(Declarations!$A$20/$D$18,0)))))</f>
        <v>-212.733226197326</v>
      </c>
      <c r="W41" s="12" t="n">
        <f aca="false">INDEX(V$21:V$141,$I41+1)*(1-$J41)+INDEX(V$21:V$141,$I41+2)*$J41</f>
        <v>-212.489326630666</v>
      </c>
      <c r="X41" s="12" t="n">
        <f aca="false">INDEX(V$21:V$141,$K41+1)*(1-$L41)+INDEX(V$21:V$141,$K41+2)*$L41</f>
        <v>-213.904414200539</v>
      </c>
      <c r="Y41" s="12" t="n">
        <f aca="false">$C41+$D41+MAX(W41,X41,IF(COUNTIFS($A$21:$A$141,"&gt;="&amp;$G41,$A$21:$A$141,"&lt;="&amp;$H41)&gt;0,_xlfn.MAXIFS(V$21:V$141,$A$21:$A$141,"&gt;="&amp;$G41,$A$21:$A$141,"&lt;="&amp;$H41),W41))</f>
        <v>-52.931088293076</v>
      </c>
      <c r="Z41" s="12" t="n">
        <f aca="false">-Cost_k*$A41+Beta_q*(Declarations!$B$16*INDEX(Y$21:Y$141,MAX(1,MIN(121,$B41-ROUND(Declarations!$A$16/$D$18,0))))+Declarations!$B$17*INDEX(Y$21:Y$141,MAX(1,MIN(121,$B41-ROUND(Declarations!$A$17/$D$18,0))))+Declarations!$B$18*INDEX(Y$21:Y$141,MAX(1,MIN(121,$B41-ROUND(Declarations!$A$18/$D$18,0))))+Declarations!$B$19*INDEX(Y$21:Y$141,MAX(1,MIN(121,$B41-ROUND(Declarations!$A$19/$D$18,0))))+Declarations!$B$20*INDEX(Y$21:Y$141,MAX(1,MIN(121,$B41-ROUND(Declarations!$A$20/$D$18,0)))))</f>
        <v>-231.729566803496</v>
      </c>
      <c r="AA41" s="12" t="n">
        <f aca="false">INDEX(Z$21:Z$141,$I41+1)*(1-$J41)+INDEX(Z$21:Z$141,$I41+2)*$J41</f>
        <v>-233.231078101139</v>
      </c>
      <c r="AB41" s="12" t="n">
        <f aca="false">INDEX(Z$21:Z$141,$K41+1)*(1-$L41)+INDEX(Z$21:Z$141,$K41+2)*$L41</f>
        <v>-230.330158892601</v>
      </c>
      <c r="AC41" s="12" t="n">
        <f aca="false">$C41+$D41+MAX(AA41,AB41,IF(COUNTIFS($A$21:$A$141,"&gt;="&amp;$G41,$A$21:$A$141,"&lt;="&amp;$H41)&gt;0,_xlfn.MAXIFS(Z$21:Z$141,$A$21:$A$141,"&gt;="&amp;$G41,$A$21:$A$141,"&lt;="&amp;$H41),AA41))</f>
        <v>-70.8301588926007</v>
      </c>
      <c r="AD41" s="12" t="n">
        <f aca="false">-Cost_k*$A41+Beta_q*(Declarations!$B$16*INDEX(AC$21:AC$141,MAX(1,MIN(121,$B41-ROUND(Declarations!$A$16/$D$18,0))))+Declarations!$B$17*INDEX(AC$21:AC$141,MAX(1,MIN(121,$B41-ROUND(Declarations!$A$17/$D$18,0))))+Declarations!$B$18*INDEX(AC$21:AC$141,MAX(1,MIN(121,$B41-ROUND(Declarations!$A$18/$D$18,0))))+Declarations!$B$19*INDEX(AC$21:AC$141,MAX(1,MIN(121,$B41-ROUND(Declarations!$A$19/$D$18,0))))+Declarations!$B$20*INDEX(AC$21:AC$141,MAX(1,MIN(121,$B41-ROUND(Declarations!$A$20/$D$18,0)))))</f>
        <v>-249.230345139105</v>
      </c>
      <c r="AE41" s="12" t="n">
        <f aca="false">INDEX(AD$21:AD$141,$I41+1)*(1-$J41)+INDEX(AD$21:AD$141,$I41+2)*$J41</f>
        <v>-251.803224120353</v>
      </c>
      <c r="AF41" s="12" t="n">
        <f aca="false">INDEX(AD$21:AD$141,$K41+1)*(1-$L41)+INDEX(AD$21:AD$141,$K41+2)*$L41</f>
        <v>-246.530036264532</v>
      </c>
      <c r="AG41" s="12" t="n">
        <f aca="false">$C41+$D41+MAX(AE41,AF41,IF(COUNTIFS($A$21:$A$141,"&gt;="&amp;$G41,$A$21:$A$141,"&lt;="&amp;$H41)&gt;0,_xlfn.MAXIFS(AD$21:AD$141,$A$21:$A$141,"&gt;="&amp;$G41,$A$21:$A$141,"&lt;="&amp;$H41),AE41))</f>
        <v>-87.0300362645323</v>
      </c>
      <c r="AH41" s="12" t="n">
        <f aca="false">-Cost_k*$A41+Beta_q*(Declarations!$B$16*INDEX(AG$21:AG$141,MAX(1,MIN(121,$B41-ROUND(Declarations!$A$16/$D$18,0))))+Declarations!$B$17*INDEX(AG$21:AG$141,MAX(1,MIN(121,$B41-ROUND(Declarations!$A$17/$D$18,0))))+Declarations!$B$18*INDEX(AG$21:AG$141,MAX(1,MIN(121,$B41-ROUND(Declarations!$A$18/$D$18,0))))+Declarations!$B$19*INDEX(AG$21:AG$141,MAX(1,MIN(121,$B41-ROUND(Declarations!$A$19/$D$18,0))))+Declarations!$B$20*INDEX(AG$21:AG$141,MAX(1,MIN(121,$B41-ROUND(Declarations!$A$20/$D$18,0)))))</f>
        <v>-265.000225689403</v>
      </c>
      <c r="AI41" s="12" t="n">
        <f aca="false">INDEX(AH$21:AH$141,$I41+1)*(1-$J41)+INDEX(AH$21:AH$141,$I41+2)*$J41</f>
        <v>-268.64927772307</v>
      </c>
      <c r="AJ41" s="12" t="n">
        <f aca="false">INDEX(AH$21:AH$141,$K41+1)*(1-$L41)+INDEX(AH$21:AH$141,$K41+2)*$L41</f>
        <v>-260.698901181122</v>
      </c>
      <c r="AK41" s="12" t="n">
        <f aca="false">$C41+$D41+MAX(AI41,AJ41,IF(COUNTIFS($A$21:$A$141,"&gt;="&amp;$G41,$A$21:$A$141,"&lt;="&amp;$H41)&gt;0,_xlfn.MAXIFS(AH$21:AH$141,$A$21:$A$141,"&gt;="&amp;$G41,$A$21:$A$141,"&lt;="&amp;$H41),AI41))</f>
        <v>-101.198901181122</v>
      </c>
      <c r="AL41" s="12" t="n">
        <f aca="false">-Cost_k*$A41+Beta_q*(Declarations!$B$16*INDEX(AK$21:AK$141,MAX(1,MIN(121,$B41-ROUND(Declarations!$A$16/$D$18,0))))+Declarations!$B$17*INDEX(AK$21:AK$141,MAX(1,MIN(121,$B41-ROUND(Declarations!$A$17/$D$18,0))))+Declarations!$B$18*INDEX(AK$21:AK$141,MAX(1,MIN(121,$B41-ROUND(Declarations!$A$18/$D$18,0))))+Declarations!$B$19*INDEX(AK$21:AK$141,MAX(1,MIN(121,$B41-ROUND(Declarations!$A$19/$D$18,0))))+Declarations!$B$20*INDEX(AK$21:AK$141,MAX(1,MIN(121,$B41-ROUND(Declarations!$A$20/$D$18,0)))))</f>
        <v>-278.82008546056</v>
      </c>
      <c r="AM41" s="12" t="n">
        <f aca="false">INDEX(AL$21:AL$141,$I41+1)*(1-$J41)+INDEX(AL$21:AL$141,$I41+2)*$J41</f>
        <v>-283.71715034399</v>
      </c>
      <c r="AN41" s="12" t="n">
        <f aca="false">INDEX(AL$21:AL$141,$K41+1)*(1-$L41)+INDEX(AL$21:AL$141,$K41+2)*$L41</f>
        <v>-272.873567792095</v>
      </c>
      <c r="AO41" s="12" t="n">
        <f aca="false">$C41+$D41+MAX(AM41,AN41,IF(COUNTIFS($A$21:$A$141,"&gt;="&amp;$G41,$A$21:$A$141,"&lt;="&amp;$H41)&gt;0,_xlfn.MAXIFS(AL$21:AL$141,$A$21:$A$141,"&gt;="&amp;$G41,$A$21:$A$141,"&lt;="&amp;$H41),AM41))</f>
        <v>-113.373567792095</v>
      </c>
      <c r="AP41" s="12" t="n">
        <f aca="false">-Cost_k*$A41+Beta_q*(Declarations!$B$16*INDEX(AO$21:AO$141,MAX(1,MIN(121,$B41-ROUND(Declarations!$A$16/$D$18,0))))+Declarations!$B$17*INDEX(AO$21:AO$141,MAX(1,MIN(121,$B41-ROUND(Declarations!$A$17/$D$18,0))))+Declarations!$B$18*INDEX(AO$21:AO$141,MAX(1,MIN(121,$B41-ROUND(Declarations!$A$18/$D$18,0))))+Declarations!$B$19*INDEX(AO$21:AO$141,MAX(1,MIN(121,$B41-ROUND(Declarations!$A$19/$D$18,0))))+Declarations!$B$20*INDEX(AO$21:AO$141,MAX(1,MIN(121,$B41-ROUND(Declarations!$A$20/$D$18,0)))))</f>
        <v>-290.70502264878</v>
      </c>
      <c r="AQ41" s="12" t="n">
        <f aca="false">INDEX(AP$21:AP$141,$I41+1)*(1-$J41)+INDEX(AP$21:AP$141,$I41+2)*$J41</f>
        <v>-296.880139032321</v>
      </c>
      <c r="AR41" s="12" t="n">
        <f aca="false">INDEX(AP$21:AP$141,$K41+1)*(1-$L41)+INDEX(AP$21:AP$141,$K41+2)*$L41</f>
        <v>-283.170139487947</v>
      </c>
      <c r="AS41" s="12" t="n">
        <f aca="false">$C41+$D41+MAX(AQ41,AR41,IF(COUNTIFS($A$21:$A$141,"&gt;="&amp;$G41,$A$21:$A$141,"&lt;="&amp;$H41)&gt;0,_xlfn.MAXIFS(AP$21:AP$141,$A$21:$A$141,"&gt;="&amp;$G41,$A$21:$A$141,"&lt;="&amp;$H41),AQ41))</f>
        <v>-123.670139487947</v>
      </c>
      <c r="AT41" s="12" t="n">
        <f aca="false">-Cost_k*$A41+Beta_q*(Declarations!$B$16*INDEX(AS$21:AS$141,MAX(1,MIN(121,$B41-ROUND(Declarations!$A$16/$D$18,0))))+Declarations!$B$17*INDEX(AS$21:AS$141,MAX(1,MIN(121,$B41-ROUND(Declarations!$A$17/$D$18,0))))+Declarations!$B$18*INDEX(AS$21:AS$141,MAX(1,MIN(121,$B41-ROUND(Declarations!$A$18/$D$18,0))))+Declarations!$B$19*INDEX(AS$21:AS$141,MAX(1,MIN(121,$B41-ROUND(Declarations!$A$19/$D$18,0))))+Declarations!$B$20*INDEX(AS$21:AS$141,MAX(1,MIN(121,$B41-ROUND(Declarations!$A$20/$D$18,0)))))</f>
        <v>-300.762034841705</v>
      </c>
      <c r="AU41" s="12" t="n">
        <f aca="false">INDEX(AT$21:AT$141,$I41+1)*(1-$J41)+INDEX(AT$21:AT$141,$I41+2)*$J41</f>
        <v>-308.16977816652</v>
      </c>
      <c r="AV41" s="12" t="n">
        <f aca="false">INDEX(AT$21:AT$141,$K41+1)*(1-$L41)+INDEX(AT$21:AT$141,$K41+2)*$L41</f>
        <v>-291.750342790344</v>
      </c>
      <c r="AW41" s="12" t="n">
        <f aca="false">$C41+$D41+MAX(AU41,AV41,IF(COUNTIFS($A$21:$A$141,"&gt;="&amp;$G41,$A$21:$A$141,"&lt;="&amp;$H41)&gt;0,_xlfn.MAXIFS(AT$21:AT$141,$A$21:$A$141,"&gt;="&amp;$G41,$A$21:$A$141,"&lt;="&amp;$H41),AU41))</f>
        <v>-132.250342790344</v>
      </c>
      <c r="AX41" s="12" t="n">
        <f aca="false">-Cost_k*$A41+Beta_q*(Declarations!$B$16*INDEX(AW$21:AW$141,MAX(1,MIN(121,$B41-ROUND(Declarations!$A$16/$D$18,0))))+Declarations!$B$17*INDEX(AW$21:AW$141,MAX(1,MIN(121,$B41-ROUND(Declarations!$A$17/$D$18,0))))+Declarations!$B$18*INDEX(AW$21:AW$141,MAX(1,MIN(121,$B41-ROUND(Declarations!$A$18/$D$18,0))))+Declarations!$B$19*INDEX(AW$21:AW$141,MAX(1,MIN(121,$B41-ROUND(Declarations!$A$19/$D$18,0))))+Declarations!$B$20*INDEX(AW$21:AW$141,MAX(1,MIN(121,$B41-ROUND(Declarations!$A$20/$D$18,0)))))</f>
        <v>-309.152669285059</v>
      </c>
      <c r="AY41" s="12" t="n">
        <f aca="false">INDEX(AX$21:AX$141,$I41+1)*(1-$J41)+INDEX(AX$21:AX$141,$I41+2)*$J41</f>
        <v>-317.698906395014</v>
      </c>
      <c r="AZ41" s="12" t="n">
        <f aca="false">INDEX(AX$21:AX$141,$K41+1)*(1-$L41)+INDEX(AX$21:AX$141,$K41+2)*$L41</f>
        <v>-298.855802281569</v>
      </c>
      <c r="BA41" s="12" t="n">
        <f aca="false">$C41+$D41+MAX(AY41,AZ41,IF(COUNTIFS($A$21:$A$141,"&gt;="&amp;$G41,$A$21:$A$141,"&lt;="&amp;$H41)&gt;0,_xlfn.MAXIFS(AX$21:AX$141,$A$21:$A$141,"&gt;="&amp;$G41,$A$21:$A$141,"&lt;="&amp;$H41),AY41))</f>
        <v>-139.355802281569</v>
      </c>
      <c r="BB41" s="12" t="n">
        <f aca="false">-Cost_k*$A41+Beta_q*(Declarations!$B$16*INDEX(BA$21:BA$141,MAX(1,MIN(121,$B41-ROUND(Declarations!$A$16/$D$18,0))))+Declarations!$B$17*INDEX(BA$21:BA$141,MAX(1,MIN(121,$B41-ROUND(Declarations!$A$17/$D$18,0))))+Declarations!$B$18*INDEX(BA$21:BA$141,MAX(1,MIN(121,$B41-ROUND(Declarations!$A$18/$D$18,0))))+Declarations!$B$19*INDEX(BA$21:BA$141,MAX(1,MIN(121,$B41-ROUND(Declarations!$A$19/$D$18,0))))+Declarations!$B$20*INDEX(BA$21:BA$141,MAX(1,MIN(121,$B41-ROUND(Declarations!$A$20/$D$18,0)))))</f>
        <v>-316.115316741365</v>
      </c>
      <c r="BC41" s="12" t="n">
        <f aca="false">INDEX(BB$21:BB$141,$I41+1)*(1-$J41)+INDEX(BB$21:BB$141,$I41+2)*$J41</f>
        <v>-325.641668722388</v>
      </c>
      <c r="BD41" s="12" t="n">
        <f aca="false">INDEX(BB$21:BB$141,$K41+1)*(1-$L41)+INDEX(BB$21:BB$141,$K41+2)*$L41</f>
        <v>-304.816852132268</v>
      </c>
      <c r="BE41" s="12" t="n">
        <f aca="false">$C41+$D41+MAX(BC41,BD41,IF(COUNTIFS($A$21:$A$141,"&gt;="&amp;$G41,$A$21:$A$141,"&lt;="&amp;$H41)&gt;0,_xlfn.MAXIFS(BB$21:BB$141,$A$21:$A$141,"&gt;="&amp;$G41,$A$21:$A$141,"&lt;="&amp;$H41),BC41))</f>
        <v>-145.316852132268</v>
      </c>
      <c r="BF41" s="12" t="n">
        <f aca="false">-Cost_k*$A41+Beta_q*(Declarations!$B$16*INDEX(BE$21:BE$141,MAX(1,MIN(121,$B41-ROUND(Declarations!$A$16/$D$18,0))))+Declarations!$B$17*INDEX(BE$21:BE$141,MAX(1,MIN(121,$B41-ROUND(Declarations!$A$17/$D$18,0))))+Declarations!$B$18*INDEX(BE$21:BE$141,MAX(1,MIN(121,$B41-ROUND(Declarations!$A$18/$D$18,0))))+Declarations!$B$19*INDEX(BE$21:BE$141,MAX(1,MIN(121,$B41-ROUND(Declarations!$A$19/$D$18,0))))+Declarations!$B$20*INDEX(BE$21:BE$141,MAX(1,MIN(121,$B41-ROUND(Declarations!$A$20/$D$18,0)))))</f>
        <v>-321.969867932387</v>
      </c>
      <c r="BG41" s="12" t="n">
        <f aca="false">INDEX(BF$21:BF$141,$I41+1)*(1-$J41)+INDEX(BF$21:BF$141,$I41+2)*$J41</f>
        <v>-332.249368950811</v>
      </c>
      <c r="BH41" s="12" t="n">
        <f aca="false">INDEX(BF$21:BF$141,$K41+1)*(1-$L41)+INDEX(BF$21:BF$141,$K41+2)*$L41</f>
        <v>-310.006285070667</v>
      </c>
      <c r="BI41" s="12" t="n">
        <f aca="false">$C41+$D41+MAX(BG41,BH41,IF(COUNTIFS($A$21:$A$141,"&gt;="&amp;$G41,$A$21:$A$141,"&lt;="&amp;$H41)&gt;0,_xlfn.MAXIFS(BF$21:BF$141,$A$21:$A$141,"&gt;="&amp;$G41,$A$21:$A$141,"&lt;="&amp;$H41),BG41))</f>
        <v>-150.506285070667</v>
      </c>
      <c r="BJ41" s="23" t="n">
        <v>-150.506285070667</v>
      </c>
      <c r="BK41" s="22" t="n">
        <f aca="false">ABS(BI41-BJ41)</f>
        <v>0</v>
      </c>
    </row>
    <row r="42" customFormat="false" ht="15" hidden="false" customHeight="false" outlineLevel="0" collapsed="false">
      <c r="A42" s="14" t="n">
        <f aca="false">A41+$D$18</f>
        <v>45.25</v>
      </c>
      <c r="B42" s="19" t="n">
        <v>22</v>
      </c>
      <c r="C42" s="12" t="n">
        <f aca="false">-Short_p*MAX(Floor_c-A42,0)</f>
        <v>-15.6</v>
      </c>
      <c r="D42" s="12" t="n">
        <f aca="false">Cost_k*Alpha_keep*A42</f>
        <v>176.475</v>
      </c>
      <c r="E42" s="12" t="n">
        <f aca="false">MIN(Cap_h,MAX(0,$B$18+MAX(Loss_w)-Alpha_keep*A42))</f>
        <v>0</v>
      </c>
      <c r="F42" s="12" t="n">
        <f aca="false">MAX(MIN(Cap_h,$F$18+MIN(Loss_w)-Alpha_keep*A42),E42)</f>
        <v>2.5</v>
      </c>
      <c r="G42" s="12" t="n">
        <f aca="false">Alpha_keep*A42+E42</f>
        <v>44.11875</v>
      </c>
      <c r="H42" s="12" t="n">
        <f aca="false">Alpha_keep*A42+F42</f>
        <v>46.61875</v>
      </c>
      <c r="I42" s="19" t="n">
        <f aca="false">MIN(INT((G42-$B$18)/$D$18+0.000000001),119)</f>
        <v>16</v>
      </c>
      <c r="J42" s="12" t="n">
        <f aca="false">(G42-$B$18)/$D$18-I42</f>
        <v>0.474999999999994</v>
      </c>
      <c r="K42" s="19" t="n">
        <f aca="false">MIN(INT((H42-$B$18)/$D$18+0.000000001),119)</f>
        <v>26</v>
      </c>
      <c r="L42" s="12" t="n">
        <f aca="false">(H42-$B$18)/$D$18-K42</f>
        <v>0.474999999999994</v>
      </c>
      <c r="M42" s="9" t="n">
        <v>0</v>
      </c>
      <c r="N42" s="12" t="n">
        <f aca="false">-Cost_k*$A42+Beta_q*(Declarations!$B$16*INDEX(M$21:M$141,MAX(1,MIN(121,$B42-ROUND(Declarations!$A$16/$D$18,0))))+Declarations!$B$17*INDEX(M$21:M$141,MAX(1,MIN(121,$B42-ROUND(Declarations!$A$17/$D$18,0))))+Declarations!$B$18*INDEX(M$21:M$141,MAX(1,MIN(121,$B42-ROUND(Declarations!$A$18/$D$18,0))))+Declarations!$B$19*INDEX(M$21:M$141,MAX(1,MIN(121,$B42-ROUND(Declarations!$A$19/$D$18,0))))+Declarations!$B$20*INDEX(M$21:M$141,MAX(1,MIN(121,$B42-ROUND(Declarations!$A$20/$D$18,0)))))</f>
        <v>-181</v>
      </c>
      <c r="O42" s="12" t="n">
        <f aca="false">INDEX(N$21:N$141,$I42+1)*(1-$J42)+INDEX(N$21:N$141,$I42+2)*$J42</f>
        <v>-176.475</v>
      </c>
      <c r="P42" s="12" t="n">
        <f aca="false">INDEX(N$21:N$141,$K42+1)*(1-$L42)+INDEX(N$21:N$141,$K42+2)*$L42</f>
        <v>-186.475</v>
      </c>
      <c r="Q42" s="12" t="n">
        <f aca="false">$C42+$D42+MAX(O42,P42,IF(COUNTIFS($A$21:$A$141,"&gt;="&amp;$G42,$A$21:$A$141,"&lt;="&amp;$H42)&gt;0,_xlfn.MAXIFS(N$21:N$141,$A$21:$A$141,"&gt;="&amp;$G42,$A$21:$A$141,"&lt;="&amp;$H42),O42))</f>
        <v>-15.6</v>
      </c>
      <c r="R42" s="12" t="n">
        <f aca="false">-Cost_k*$A42+Beta_q*(Declarations!$B$16*INDEX(Q$21:Q$141,MAX(1,MIN(121,$B42-ROUND(Declarations!$A$16/$D$18,0))))+Declarations!$B$17*INDEX(Q$21:Q$141,MAX(1,MIN(121,$B42-ROUND(Declarations!$A$17/$D$18,0))))+Declarations!$B$18*INDEX(Q$21:Q$141,MAX(1,MIN(121,$B42-ROUND(Declarations!$A$18/$D$18,0))))+Declarations!$B$19*INDEX(Q$21:Q$141,MAX(1,MIN(121,$B42-ROUND(Declarations!$A$19/$D$18,0))))+Declarations!$B$20*INDEX(Q$21:Q$141,MAX(1,MIN(121,$B42-ROUND(Declarations!$A$20/$D$18,0)))))</f>
        <v>-196.23268379895</v>
      </c>
      <c r="S42" s="12" t="n">
        <f aca="false">INDEX(R$21:R$141,$I42+1)*(1-$J42)+INDEX(R$21:R$141,$I42+2)*$J42</f>
        <v>-193.481473681228</v>
      </c>
      <c r="T42" s="12" t="n">
        <f aca="false">INDEX(R$21:R$141,$K42+1)*(1-$L42)+INDEX(R$21:R$141,$K42+2)*$L42</f>
        <v>-199.569249342559</v>
      </c>
      <c r="U42" s="12" t="n">
        <f aca="false">$C42+$D42+MAX(S42,T42,IF(COUNTIFS($A$21:$A$141,"&gt;="&amp;$G42,$A$21:$A$141,"&lt;="&amp;$H42)&gt;0,_xlfn.MAXIFS(R$21:R$141,$A$21:$A$141,"&gt;="&amp;$G42,$A$21:$A$141,"&lt;="&amp;$H42),S42))</f>
        <v>-32.6064736812281</v>
      </c>
      <c r="V42" s="12" t="n">
        <f aca="false">-Cost_k*$A42+Beta_q*(Declarations!$B$16*INDEX(U$21:U$141,MAX(1,MIN(121,$B42-ROUND(Declarations!$A$16/$D$18,0))))+Declarations!$B$17*INDEX(U$21:U$141,MAX(1,MIN(121,$B42-ROUND(Declarations!$A$17/$D$18,0))))+Declarations!$B$18*INDEX(U$21:U$141,MAX(1,MIN(121,$B42-ROUND(Declarations!$A$18/$D$18,0))))+Declarations!$B$19*INDEX(U$21:U$141,MAX(1,MIN(121,$B42-ROUND(Declarations!$A$19/$D$18,0))))+Declarations!$B$20*INDEX(U$21:U$141,MAX(1,MIN(121,$B42-ROUND(Declarations!$A$20/$D$18,0)))))</f>
        <v>-212.904830818884</v>
      </c>
      <c r="W42" s="12" t="n">
        <f aca="false">INDEX(V$21:V$141,$I42+1)*(1-$J42)+INDEX(V$21:V$141,$I42+2)*$J42</f>
        <v>-212.446755423433</v>
      </c>
      <c r="X42" s="12" t="n">
        <f aca="false">INDEX(V$21:V$141,$K42+1)*(1-$L42)+INDEX(V$21:V$141,$K42+2)*$L42</f>
        <v>-214.134223555712</v>
      </c>
      <c r="Y42" s="12" t="n">
        <f aca="false">$C42+$D42+MAX(W42,X42,IF(COUNTIFS($A$21:$A$141,"&gt;="&amp;$G42,$A$21:$A$141,"&lt;="&amp;$H42)&gt;0,_xlfn.MAXIFS(V$21:V$141,$A$21:$A$141,"&gt;="&amp;$G42,$A$21:$A$141,"&lt;="&amp;$H42),W42))</f>
        <v>-51.556088293076</v>
      </c>
      <c r="Z42" s="12" t="n">
        <f aca="false">-Cost_k*$A42+Beta_q*(Declarations!$B$16*INDEX(Y$21:Y$141,MAX(1,MIN(121,$B42-ROUND(Declarations!$A$16/$D$18,0))))+Declarations!$B$17*INDEX(Y$21:Y$141,MAX(1,MIN(121,$B42-ROUND(Declarations!$A$17/$D$18,0))))+Declarations!$B$18*INDEX(Y$21:Y$141,MAX(1,MIN(121,$B42-ROUND(Declarations!$A$18/$D$18,0))))+Declarations!$B$19*INDEX(Y$21:Y$141,MAX(1,MIN(121,$B42-ROUND(Declarations!$A$19/$D$18,0))))+Declarations!$B$20*INDEX(Y$21:Y$141,MAX(1,MIN(121,$B42-ROUND(Declarations!$A$20/$D$18,0)))))</f>
        <v>-231.421392785045</v>
      </c>
      <c r="AA42" s="12" t="n">
        <f aca="false">INDEX(Z$21:Z$141,$I42+1)*(1-$J42)+INDEX(Z$21:Z$141,$I42+2)*$J42</f>
        <v>-232.8964819427</v>
      </c>
      <c r="AB42" s="12" t="n">
        <f aca="false">INDEX(Z$21:Z$141,$K42+1)*(1-$L42)+INDEX(Z$21:Z$141,$K42+2)*$L42</f>
        <v>-230.160178740505</v>
      </c>
      <c r="AC42" s="12" t="n">
        <f aca="false">$C42+$D42+MAX(AA42,AB42,IF(COUNTIFS($A$21:$A$141,"&gt;="&amp;$G42,$A$21:$A$141,"&lt;="&amp;$H42)&gt;0,_xlfn.MAXIFS(Z$21:Z$141,$A$21:$A$141,"&gt;="&amp;$G42,$A$21:$A$141,"&lt;="&amp;$H42),AA42))</f>
        <v>-69.2851787405048</v>
      </c>
      <c r="AD42" s="12" t="n">
        <f aca="false">-Cost_k*$A42+Beta_q*(Declarations!$B$16*INDEX(AC$21:AC$141,MAX(1,MIN(121,$B42-ROUND(Declarations!$A$16/$D$18,0))))+Declarations!$B$17*INDEX(AC$21:AC$141,MAX(1,MIN(121,$B42-ROUND(Declarations!$A$17/$D$18,0))))+Declarations!$B$18*INDEX(AC$21:AC$141,MAX(1,MIN(121,$B42-ROUND(Declarations!$A$18/$D$18,0))))+Declarations!$B$19*INDEX(AC$21:AC$141,MAX(1,MIN(121,$B42-ROUND(Declarations!$A$19/$D$18,0))))+Declarations!$B$20*INDEX(AC$21:AC$141,MAX(1,MIN(121,$B42-ROUND(Declarations!$A$20/$D$18,0)))))</f>
        <v>-248.712021012821</v>
      </c>
      <c r="AE42" s="12" t="n">
        <f aca="false">INDEX(AD$21:AD$141,$I42+1)*(1-$J42)+INDEX(AD$21:AD$141,$I42+2)*$J42</f>
        <v>-251.212749299544</v>
      </c>
      <c r="AF42" s="12" t="n">
        <f aca="false">INDEX(AD$21:AD$141,$K42+1)*(1-$L42)+INDEX(AD$21:AD$141,$K42+2)*$L42</f>
        <v>-246.077186497317</v>
      </c>
      <c r="AG42" s="12" t="n">
        <f aca="false">$C42+$D42+MAX(AE42,AF42,IF(COUNTIFS($A$21:$A$141,"&gt;="&amp;$G42,$A$21:$A$141,"&lt;="&amp;$H42)&gt;0,_xlfn.MAXIFS(AD$21:AD$141,$A$21:$A$141,"&gt;="&amp;$G42,$A$21:$A$141,"&lt;="&amp;$H42),AE42))</f>
        <v>-85.2021864973169</v>
      </c>
      <c r="AH42" s="12" t="n">
        <f aca="false">-Cost_k*$A42+Beta_q*(Declarations!$B$16*INDEX(AG$21:AG$141,MAX(1,MIN(121,$B42-ROUND(Declarations!$A$16/$D$18,0))))+Declarations!$B$17*INDEX(AG$21:AG$141,MAX(1,MIN(121,$B42-ROUND(Declarations!$A$17/$D$18,0))))+Declarations!$B$18*INDEX(AG$21:AG$141,MAX(1,MIN(121,$B42-ROUND(Declarations!$A$18/$D$18,0))))+Declarations!$B$19*INDEX(AG$21:AG$141,MAX(1,MIN(121,$B42-ROUND(Declarations!$A$19/$D$18,0))))+Declarations!$B$20*INDEX(AG$21:AG$141,MAX(1,MIN(121,$B42-ROUND(Declarations!$A$20/$D$18,0)))))</f>
        <v>-264.21051342973</v>
      </c>
      <c r="AI42" s="12" t="n">
        <f aca="false">INDEX(AH$21:AH$141,$I42+1)*(1-$J42)+INDEX(AH$21:AH$141,$I42+2)*$J42</f>
        <v>-267.841432392475</v>
      </c>
      <c r="AJ42" s="12" t="n">
        <f aca="false">INDEX(AH$21:AH$141,$K42+1)*(1-$L42)+INDEX(AH$21:AH$141,$K42+2)*$L42</f>
        <v>-259.942276945285</v>
      </c>
      <c r="AK42" s="12" t="n">
        <f aca="false">$C42+$D42+MAX(AI42,AJ42,IF(COUNTIFS($A$21:$A$141,"&gt;="&amp;$G42,$A$21:$A$141,"&lt;="&amp;$H42)&gt;0,_xlfn.MAXIFS(AH$21:AH$141,$A$21:$A$141,"&gt;="&amp;$G42,$A$21:$A$141,"&lt;="&amp;$H42),AI42))</f>
        <v>-99.0672769452852</v>
      </c>
      <c r="AL42" s="12" t="n">
        <f aca="false">-Cost_k*$A42+Beta_q*(Declarations!$B$16*INDEX(AK$21:AK$141,MAX(1,MIN(121,$B42-ROUND(Declarations!$A$16/$D$18,0))))+Declarations!$B$17*INDEX(AK$21:AK$141,MAX(1,MIN(121,$B42-ROUND(Declarations!$A$17/$D$18,0))))+Declarations!$B$18*INDEX(AK$21:AK$141,MAX(1,MIN(121,$B42-ROUND(Declarations!$A$18/$D$18,0))))+Declarations!$B$19*INDEX(AK$21:AK$141,MAX(1,MIN(121,$B42-ROUND(Declarations!$A$19/$D$18,0))))+Declarations!$B$20*INDEX(AK$21:AK$141,MAX(1,MIN(121,$B42-ROUND(Declarations!$A$20/$D$18,0)))))</f>
        <v>-277.737396441339</v>
      </c>
      <c r="AM42" s="12" t="n">
        <f aca="false">INDEX(AL$21:AL$141,$I42+1)*(1-$J42)+INDEX(AL$21:AL$141,$I42+2)*$J42</f>
        <v>-282.651072465182</v>
      </c>
      <c r="AN42" s="12" t="n">
        <f aca="false">INDEX(AL$21:AL$141,$K42+1)*(1-$L42)+INDEX(AL$21:AL$141,$K42+2)*$L42</f>
        <v>-271.820542547724</v>
      </c>
      <c r="AO42" s="12" t="n">
        <f aca="false">$C42+$D42+MAX(AM42,AN42,IF(COUNTIFS($A$21:$A$141,"&gt;="&amp;$G42,$A$21:$A$141,"&lt;="&amp;$H42)&gt;0,_xlfn.MAXIFS(AL$21:AL$141,$A$21:$A$141,"&gt;="&amp;$G42,$A$21:$A$141,"&lt;="&amp;$H42),AM42))</f>
        <v>-110.945542547724</v>
      </c>
      <c r="AP42" s="12" t="n">
        <f aca="false">-Cost_k*$A42+Beta_q*(Declarations!$B$16*INDEX(AO$21:AO$141,MAX(1,MIN(121,$B42-ROUND(Declarations!$A$16/$D$18,0))))+Declarations!$B$17*INDEX(AO$21:AO$141,MAX(1,MIN(121,$B42-ROUND(Declarations!$A$17/$D$18,0))))+Declarations!$B$18*INDEX(AO$21:AO$141,MAX(1,MIN(121,$B42-ROUND(Declarations!$A$18/$D$18,0))))+Declarations!$B$19*INDEX(AO$21:AO$141,MAX(1,MIN(121,$B42-ROUND(Declarations!$A$19/$D$18,0))))+Declarations!$B$20*INDEX(AO$21:AO$141,MAX(1,MIN(121,$B42-ROUND(Declarations!$A$20/$D$18,0)))))</f>
        <v>-289.334072434099</v>
      </c>
      <c r="AQ42" s="12" t="n">
        <f aca="false">INDEX(AP$21:AP$141,$I42+1)*(1-$J42)+INDEX(AP$21:AP$141,$I42+2)*$J42</f>
        <v>-295.541006051</v>
      </c>
      <c r="AR42" s="12" t="n">
        <f aca="false">INDEX(AP$21:AP$141,$K42+1)*(1-$L42)+INDEX(AP$21:AP$141,$K42+2)*$L42</f>
        <v>-281.836569107381</v>
      </c>
      <c r="AS42" s="12" t="n">
        <f aca="false">$C42+$D42+MAX(AQ42,AR42,IF(COUNTIFS($A$21:$A$141,"&gt;="&amp;$G42,$A$21:$A$141,"&lt;="&amp;$H42)&gt;0,_xlfn.MAXIFS(AP$21:AP$141,$A$21:$A$141,"&gt;="&amp;$G42,$A$21:$A$141,"&lt;="&amp;$H42),AQ42))</f>
        <v>-120.961569107381</v>
      </c>
      <c r="AT42" s="12" t="n">
        <f aca="false">-Cost_k*$A42+Beta_q*(Declarations!$B$16*INDEX(AS$21:AS$141,MAX(1,MIN(121,$B42-ROUND(Declarations!$A$16/$D$18,0))))+Declarations!$B$17*INDEX(AS$21:AS$141,MAX(1,MIN(121,$B42-ROUND(Declarations!$A$17/$D$18,0))))+Declarations!$B$18*INDEX(AS$21:AS$141,MAX(1,MIN(121,$B42-ROUND(Declarations!$A$18/$D$18,0))))+Declarations!$B$19*INDEX(AS$21:AS$141,MAX(1,MIN(121,$B42-ROUND(Declarations!$A$19/$D$18,0))))+Declarations!$B$20*INDEX(AS$21:AS$141,MAX(1,MIN(121,$B42-ROUND(Declarations!$A$20/$D$18,0)))))</f>
        <v>-299.118573177979</v>
      </c>
      <c r="AU42" s="12" t="n">
        <f aca="false">INDEX(AT$21:AT$141,$I42+1)*(1-$J42)+INDEX(AT$21:AT$141,$I42+2)*$J42</f>
        <v>-306.563666287423</v>
      </c>
      <c r="AV42" s="12" t="n">
        <f aca="false">INDEX(AT$21:AT$141,$K42+1)*(1-$L42)+INDEX(AT$21:AT$141,$K42+2)*$L42</f>
        <v>-290.164047363999</v>
      </c>
      <c r="AW42" s="12" t="n">
        <f aca="false">$C42+$D42+MAX(AU42,AV42,IF(COUNTIFS($A$21:$A$141,"&gt;="&amp;$G42,$A$21:$A$141,"&lt;="&amp;$H42)&gt;0,_xlfn.MAXIFS(AT$21:AT$141,$A$21:$A$141,"&gt;="&amp;$G42,$A$21:$A$141,"&lt;="&amp;$H42),AU42))</f>
        <v>-129.289047363999</v>
      </c>
      <c r="AX42" s="12" t="n">
        <f aca="false">-Cost_k*$A42+Beta_q*(Declarations!$B$16*INDEX(AW$21:AW$141,MAX(1,MIN(121,$B42-ROUND(Declarations!$A$16/$D$18,0))))+Declarations!$B$17*INDEX(AW$21:AW$141,MAX(1,MIN(121,$B42-ROUND(Declarations!$A$17/$D$18,0))))+Declarations!$B$18*INDEX(AW$21:AW$141,MAX(1,MIN(121,$B42-ROUND(Declarations!$A$18/$D$18,0))))+Declarations!$B$19*INDEX(AW$21:AW$141,MAX(1,MIN(121,$B42-ROUND(Declarations!$A$19/$D$18,0))))+Declarations!$B$20*INDEX(AW$21:AW$141,MAX(1,MIN(121,$B42-ROUND(Declarations!$A$20/$D$18,0)))))</f>
        <v>-307.264532715458</v>
      </c>
      <c r="AY42" s="12" t="n">
        <f aca="false">INDEX(AX$21:AX$141,$I42+1)*(1-$J42)+INDEX(AX$21:AX$141,$I42+2)*$J42</f>
        <v>-315.842465223749</v>
      </c>
      <c r="AZ42" s="12" t="n">
        <f aca="false">INDEX(AX$21:AX$141,$K42+1)*(1-$L42)+INDEX(AX$21:AX$141,$K42+2)*$L42</f>
        <v>-297.060779498195</v>
      </c>
      <c r="BA42" s="12" t="n">
        <f aca="false">$C42+$D42+MAX(AY42,AZ42,IF(COUNTIFS($A$21:$A$141,"&gt;="&amp;$G42,$A$21:$A$141,"&lt;="&amp;$H42)&gt;0,_xlfn.MAXIFS(AX$21:AX$141,$A$21:$A$141,"&gt;="&amp;$G42,$A$21:$A$141,"&lt;="&amp;$H42),AY42))</f>
        <v>-136.185779498195</v>
      </c>
      <c r="BB42" s="12" t="n">
        <f aca="false">-Cost_k*$A42+Beta_q*(Declarations!$B$16*INDEX(BA$21:BA$141,MAX(1,MIN(121,$B42-ROUND(Declarations!$A$16/$D$18,0))))+Declarations!$B$17*INDEX(BA$21:BA$141,MAX(1,MIN(121,$B42-ROUND(Declarations!$A$17/$D$18,0))))+Declarations!$B$18*INDEX(BA$21:BA$141,MAX(1,MIN(121,$B42-ROUND(Declarations!$A$18/$D$18,0))))+Declarations!$B$19*INDEX(BA$21:BA$141,MAX(1,MIN(121,$B42-ROUND(Declarations!$A$19/$D$18,0))))+Declarations!$B$20*INDEX(BA$21:BA$141,MAX(1,MIN(121,$B42-ROUND(Declarations!$A$20/$D$18,0)))))</f>
        <v>-314.025826681898</v>
      </c>
      <c r="BC42" s="12" t="n">
        <f aca="false">INDEX(BB$21:BB$141,$I42+1)*(1-$J42)+INDEX(BB$21:BB$141,$I42+2)*$J42</f>
        <v>-323.56429676759</v>
      </c>
      <c r="BD42" s="12" t="n">
        <f aca="false">INDEX(BB$21:BB$141,$K42+1)*(1-$L42)+INDEX(BB$21:BB$141,$K42+2)*$L42</f>
        <v>-302.873419315386</v>
      </c>
      <c r="BE42" s="12" t="n">
        <f aca="false">$C42+$D42+MAX(BC42,BD42,IF(COUNTIFS($A$21:$A$141,"&gt;="&amp;$G42,$A$21:$A$141,"&lt;="&amp;$H42)&gt;0,_xlfn.MAXIFS(BB$21:BB$141,$A$21:$A$141,"&gt;="&amp;$G42,$A$21:$A$141,"&lt;="&amp;$H42),BC42))</f>
        <v>-141.998419315386</v>
      </c>
      <c r="BF42" s="12" t="n">
        <f aca="false">-Cost_k*$A42+Beta_q*(Declarations!$B$16*INDEX(BE$21:BE$141,MAX(1,MIN(121,$B42-ROUND(Declarations!$A$16/$D$18,0))))+Declarations!$B$17*INDEX(BE$21:BE$141,MAX(1,MIN(121,$B42-ROUND(Declarations!$A$17/$D$18,0))))+Declarations!$B$18*INDEX(BE$21:BE$141,MAX(1,MIN(121,$B42-ROUND(Declarations!$A$18/$D$18,0))))+Declarations!$B$19*INDEX(BE$21:BE$141,MAX(1,MIN(121,$B42-ROUND(Declarations!$A$19/$D$18,0))))+Declarations!$B$20*INDEX(BE$21:BE$141,MAX(1,MIN(121,$B42-ROUND(Declarations!$A$20/$D$18,0)))))</f>
        <v>-319.736889067759</v>
      </c>
      <c r="BG42" s="12" t="n">
        <f aca="false">INDEX(BF$21:BF$141,$I42+1)*(1-$J42)+INDEX(BF$21:BF$141,$I42+2)*$J42</f>
        <v>-329.995391870659</v>
      </c>
      <c r="BH42" s="12" t="n">
        <f aca="false">INDEX(BF$21:BF$141,$K42+1)*(1-$L42)+INDEX(BF$21:BF$141,$K42+2)*$L42</f>
        <v>-307.976511441966</v>
      </c>
      <c r="BI42" s="12" t="n">
        <f aca="false">$C42+$D42+MAX(BG42,BH42,IF(COUNTIFS($A$21:$A$141,"&gt;="&amp;$G42,$A$21:$A$141,"&lt;="&amp;$H42)&gt;0,_xlfn.MAXIFS(BF$21:BF$141,$A$21:$A$141,"&gt;="&amp;$G42,$A$21:$A$141,"&lt;="&amp;$H42),BG42))</f>
        <v>-147.101511441966</v>
      </c>
      <c r="BJ42" s="23" t="n">
        <v>-147.101511441966</v>
      </c>
      <c r="BK42" s="22" t="n">
        <f aca="false">ABS(BI42-BJ42)</f>
        <v>0</v>
      </c>
    </row>
    <row r="43" customFormat="false" ht="15" hidden="false" customHeight="false" outlineLevel="0" collapsed="false">
      <c r="A43" s="14" t="n">
        <f aca="false">A42+$D$18</f>
        <v>45.5</v>
      </c>
      <c r="B43" s="19" t="n">
        <v>23</v>
      </c>
      <c r="C43" s="12" t="n">
        <f aca="false">-Short_p*MAX(Floor_c-A43,0)</f>
        <v>-15.2</v>
      </c>
      <c r="D43" s="12" t="n">
        <f aca="false">Cost_k*Alpha_keep*A43</f>
        <v>177.45</v>
      </c>
      <c r="E43" s="12" t="n">
        <f aca="false">MIN(Cap_h,MAX(0,$B$18+MAX(Loss_w)-Alpha_keep*A43))</f>
        <v>0</v>
      </c>
      <c r="F43" s="12" t="n">
        <f aca="false">MAX(MIN(Cap_h,$F$18+MIN(Loss_w)-Alpha_keep*A43),E43)</f>
        <v>2.5</v>
      </c>
      <c r="G43" s="12" t="n">
        <f aca="false">Alpha_keep*A43+E43</f>
        <v>44.3625</v>
      </c>
      <c r="H43" s="12" t="n">
        <f aca="false">Alpha_keep*A43+F43</f>
        <v>46.8625</v>
      </c>
      <c r="I43" s="19" t="n">
        <f aca="false">MIN(INT((G43-$B$18)/$D$18+0.000000001),119)</f>
        <v>17</v>
      </c>
      <c r="J43" s="12" t="n">
        <f aca="false">(G43-$B$18)/$D$18-I43</f>
        <v>0.449999999999989</v>
      </c>
      <c r="K43" s="19" t="n">
        <f aca="false">MIN(INT((H43-$B$18)/$D$18+0.000000001),119)</f>
        <v>27</v>
      </c>
      <c r="L43" s="12" t="n">
        <f aca="false">(H43-$B$18)/$D$18-K43</f>
        <v>0.449999999999989</v>
      </c>
      <c r="M43" s="9" t="n">
        <v>0</v>
      </c>
      <c r="N43" s="12" t="n">
        <f aca="false">-Cost_k*$A43+Beta_q*(Declarations!$B$16*INDEX(M$21:M$141,MAX(1,MIN(121,$B43-ROUND(Declarations!$A$16/$D$18,0))))+Declarations!$B$17*INDEX(M$21:M$141,MAX(1,MIN(121,$B43-ROUND(Declarations!$A$17/$D$18,0))))+Declarations!$B$18*INDEX(M$21:M$141,MAX(1,MIN(121,$B43-ROUND(Declarations!$A$18/$D$18,0))))+Declarations!$B$19*INDEX(M$21:M$141,MAX(1,MIN(121,$B43-ROUND(Declarations!$A$19/$D$18,0))))+Declarations!$B$20*INDEX(M$21:M$141,MAX(1,MIN(121,$B43-ROUND(Declarations!$A$20/$D$18,0)))))</f>
        <v>-182</v>
      </c>
      <c r="O43" s="12" t="n">
        <f aca="false">INDEX(N$21:N$141,$I43+1)*(1-$J43)+INDEX(N$21:N$141,$I43+2)*$J43</f>
        <v>-177.45</v>
      </c>
      <c r="P43" s="12" t="n">
        <f aca="false">INDEX(N$21:N$141,$K43+1)*(1-$L43)+INDEX(N$21:N$141,$K43+2)*$L43</f>
        <v>-187.45</v>
      </c>
      <c r="Q43" s="12" t="n">
        <f aca="false">$C43+$D43+MAX(O43,P43,IF(COUNTIFS($A$21:$A$141,"&gt;="&amp;$G43,$A$21:$A$141,"&lt;="&amp;$H43)&gt;0,_xlfn.MAXIFS(N$21:N$141,$A$21:$A$141,"&gt;="&amp;$G43,$A$21:$A$141,"&lt;="&amp;$H43),O43))</f>
        <v>-15.2</v>
      </c>
      <c r="R43" s="12" t="n">
        <f aca="false">-Cost_k*$A43+Beta_q*(Declarations!$B$16*INDEX(Q$21:Q$141,MAX(1,MIN(121,$B43-ROUND(Declarations!$A$16/$D$18,0))))+Declarations!$B$17*INDEX(Q$21:Q$141,MAX(1,MIN(121,$B43-ROUND(Declarations!$A$17/$D$18,0))))+Declarations!$B$18*INDEX(Q$21:Q$141,MAX(1,MIN(121,$B43-ROUND(Declarations!$A$18/$D$18,0))))+Declarations!$B$19*INDEX(Q$21:Q$141,MAX(1,MIN(121,$B43-ROUND(Declarations!$A$19/$D$18,0))))+Declarations!$B$20*INDEX(Q$21:Q$141,MAX(1,MIN(121,$B43-ROUND(Declarations!$A$20/$D$18,0)))))</f>
        <v>-196.84210216308</v>
      </c>
      <c r="S43" s="12" t="n">
        <f aca="false">INDEX(R$21:R$141,$I43+1)*(1-$J43)+INDEX(R$21:R$141,$I43+2)*$J43</f>
        <v>-194.069248606291</v>
      </c>
      <c r="T43" s="12" t="n">
        <f aca="false">INDEX(R$21:R$141,$K43+1)*(1-$L43)+INDEX(R$21:R$141,$K43+2)*$L43</f>
        <v>-200.163432247586</v>
      </c>
      <c r="U43" s="12" t="n">
        <f aca="false">$C43+$D43+MAX(S43,T43,IF(COUNTIFS($A$21:$A$141,"&gt;="&amp;$G43,$A$21:$A$141,"&lt;="&amp;$H43)&gt;0,_xlfn.MAXIFS(R$21:R$141,$A$21:$A$141,"&gt;="&amp;$G43,$A$21:$A$141,"&lt;="&amp;$H43),S43))</f>
        <v>-31.8192486062908</v>
      </c>
      <c r="V43" s="12" t="n">
        <f aca="false">-Cost_k*$A43+Beta_q*(Declarations!$B$16*INDEX(U$21:U$141,MAX(1,MIN(121,$B43-ROUND(Declarations!$A$16/$D$18,0))))+Declarations!$B$17*INDEX(U$21:U$141,MAX(1,MIN(121,$B43-ROUND(Declarations!$A$17/$D$18,0))))+Declarations!$B$18*INDEX(U$21:U$141,MAX(1,MIN(121,$B43-ROUND(Declarations!$A$18/$D$18,0))))+Declarations!$B$19*INDEX(U$21:U$141,MAX(1,MIN(121,$B43-ROUND(Declarations!$A$19/$D$18,0))))+Declarations!$B$20*INDEX(U$21:U$141,MAX(1,MIN(121,$B43-ROUND(Declarations!$A$20/$D$18,0)))))</f>
        <v>-213.112351293579</v>
      </c>
      <c r="W43" s="12" t="n">
        <f aca="false">INDEX(V$21:V$141,$I43+1)*(1-$J43)+INDEX(V$21:V$141,$I43+2)*$J43</f>
        <v>-212.449941322077</v>
      </c>
      <c r="X43" s="12" t="n">
        <f aca="false">INDEX(V$21:V$141,$K43+1)*(1-$L43)+INDEX(V$21:V$141,$K43+2)*$L43</f>
        <v>-214.364952853306</v>
      </c>
      <c r="Y43" s="12" t="n">
        <f aca="false">$C43+$D43+MAX(W43,X43,IF(COUNTIFS($A$21:$A$141,"&gt;="&amp;$G43,$A$21:$A$141,"&lt;="&amp;$H43)&gt;0,_xlfn.MAXIFS(V$21:V$141,$A$21:$A$141,"&gt;="&amp;$G43,$A$21:$A$141,"&lt;="&amp;$H43),W43))</f>
        <v>-50.1999413220768</v>
      </c>
      <c r="Z43" s="12" t="n">
        <f aca="false">-Cost_k*$A43+Beta_q*(Declarations!$B$16*INDEX(Y$21:Y$141,MAX(1,MIN(121,$B43-ROUND(Declarations!$A$16/$D$18,0))))+Declarations!$B$17*INDEX(Y$21:Y$141,MAX(1,MIN(121,$B43-ROUND(Declarations!$A$17/$D$18,0))))+Declarations!$B$18*INDEX(Y$21:Y$141,MAX(1,MIN(121,$B43-ROUND(Declarations!$A$18/$D$18,0))))+Declarations!$B$19*INDEX(Y$21:Y$141,MAX(1,MIN(121,$B43-ROUND(Declarations!$A$19/$D$18,0))))+Declarations!$B$20*INDEX(Y$21:Y$141,MAX(1,MIN(121,$B43-ROUND(Declarations!$A$20/$D$18,0)))))</f>
        <v>-231.127454335419</v>
      </c>
      <c r="AA43" s="12" t="n">
        <f aca="false">INDEX(Z$21:Z$141,$I43+1)*(1-$J43)+INDEX(Z$21:Z$141,$I43+2)*$J43</f>
        <v>-232.565965683846</v>
      </c>
      <c r="AB43" s="12" t="n">
        <f aca="false">INDEX(Z$21:Z$141,$K43+1)*(1-$L43)+INDEX(Z$21:Z$141,$K43+2)*$L43</f>
        <v>-230.006622086521</v>
      </c>
      <c r="AC43" s="12" t="n">
        <f aca="false">$C43+$D43+MAX(AA43,AB43,IF(COUNTIFS($A$21:$A$141,"&gt;="&amp;$G43,$A$21:$A$141,"&lt;="&amp;$H43)&gt;0,_xlfn.MAXIFS(Z$21:Z$141,$A$21:$A$141,"&gt;="&amp;$G43,$A$21:$A$141,"&lt;="&amp;$H43),AA43))</f>
        <v>-67.7566220865207</v>
      </c>
      <c r="AD43" s="12" t="n">
        <f aca="false">-Cost_k*$A43+Beta_q*(Declarations!$B$16*INDEX(AC$21:AC$141,MAX(1,MIN(121,$B43-ROUND(Declarations!$A$16/$D$18,0))))+Declarations!$B$17*INDEX(AC$21:AC$141,MAX(1,MIN(121,$B43-ROUND(Declarations!$A$17/$D$18,0))))+Declarations!$B$18*INDEX(AC$21:AC$141,MAX(1,MIN(121,$B43-ROUND(Declarations!$A$18/$D$18,0))))+Declarations!$B$19*INDEX(AC$21:AC$141,MAX(1,MIN(121,$B43-ROUND(Declarations!$A$19/$D$18,0))))+Declarations!$B$20*INDEX(AC$21:AC$141,MAX(1,MIN(121,$B43-ROUND(Declarations!$A$20/$D$18,0)))))</f>
        <v>-248.208189928149</v>
      </c>
      <c r="AE43" s="12" t="n">
        <f aca="false">INDEX(AD$21:AD$141,$I43+1)*(1-$J43)+INDEX(AD$21:AD$141,$I43+2)*$J43</f>
        <v>-250.64167583143</v>
      </c>
      <c r="AF43" s="12" t="n">
        <f aca="false">INDEX(AD$21:AD$141,$K43+1)*(1-$L43)+INDEX(AD$21:AD$141,$K43+2)*$L43</f>
        <v>-245.628385363578</v>
      </c>
      <c r="AG43" s="12" t="n">
        <f aca="false">$C43+$D43+MAX(AE43,AF43,IF(COUNTIFS($A$21:$A$141,"&gt;="&amp;$G43,$A$21:$A$141,"&lt;="&amp;$H43)&gt;0,_xlfn.MAXIFS(AD$21:AD$141,$A$21:$A$141,"&gt;="&amp;$G43,$A$21:$A$141,"&lt;="&amp;$H43),AE43))</f>
        <v>-83.3783853635781</v>
      </c>
      <c r="AH43" s="12" t="n">
        <f aca="false">-Cost_k*$A43+Beta_q*(Declarations!$B$16*INDEX(AG$21:AG$141,MAX(1,MIN(121,$B43-ROUND(Declarations!$A$16/$D$18,0))))+Declarations!$B$17*INDEX(AG$21:AG$141,MAX(1,MIN(121,$B43-ROUND(Declarations!$A$17/$D$18,0))))+Declarations!$B$18*INDEX(AG$21:AG$141,MAX(1,MIN(121,$B43-ROUND(Declarations!$A$18/$D$18,0))))+Declarations!$B$19*INDEX(AG$21:AG$141,MAX(1,MIN(121,$B43-ROUND(Declarations!$A$19/$D$18,0))))+Declarations!$B$20*INDEX(AG$21:AG$141,MAX(1,MIN(121,$B43-ROUND(Declarations!$A$20/$D$18,0)))))</f>
        <v>-263.425688851092</v>
      </c>
      <c r="AI43" s="12" t="n">
        <f aca="false">INDEX(AH$21:AH$141,$I43+1)*(1-$J43)+INDEX(AH$21:AH$141,$I43+2)*$J43</f>
        <v>-267.044201296009</v>
      </c>
      <c r="AJ43" s="12" t="n">
        <f aca="false">INDEX(AH$21:AH$141,$K43+1)*(1-$L43)+INDEX(AH$21:AH$141,$K43+2)*$L43</f>
        <v>-259.186235474674</v>
      </c>
      <c r="AK43" s="12" t="n">
        <f aca="false">$C43+$D43+MAX(AI43,AJ43,IF(COUNTIFS($A$21:$A$141,"&gt;="&amp;$G43,$A$21:$A$141,"&lt;="&amp;$H43)&gt;0,_xlfn.MAXIFS(AH$21:AH$141,$A$21:$A$141,"&gt;="&amp;$G43,$A$21:$A$141,"&lt;="&amp;$H43),AI43))</f>
        <v>-96.9362354746742</v>
      </c>
      <c r="AL43" s="12" t="n">
        <f aca="false">-Cost_k*$A43+Beta_q*(Declarations!$B$16*INDEX(AK$21:AK$141,MAX(1,MIN(121,$B43-ROUND(Declarations!$A$16/$D$18,0))))+Declarations!$B$17*INDEX(AK$21:AK$141,MAX(1,MIN(121,$B43-ROUND(Declarations!$A$17/$D$18,0))))+Declarations!$B$18*INDEX(AK$21:AK$141,MAX(1,MIN(121,$B43-ROUND(Declarations!$A$18/$D$18,0))))+Declarations!$B$19*INDEX(AK$21:AK$141,MAX(1,MIN(121,$B43-ROUND(Declarations!$A$19/$D$18,0))))+Declarations!$B$20*INDEX(AK$21:AK$141,MAX(1,MIN(121,$B43-ROUND(Declarations!$A$20/$D$18,0)))))</f>
        <v>-276.65563956648</v>
      </c>
      <c r="AM43" s="12" t="n">
        <f aca="false">INDEX(AL$21:AL$141,$I43+1)*(1-$J43)+INDEX(AL$21:AL$141,$I43+2)*$J43</f>
        <v>-281.588388890677</v>
      </c>
      <c r="AN43" s="12" t="n">
        <f aca="false">INDEX(AL$21:AL$141,$K43+1)*(1-$L43)+INDEX(AL$21:AL$141,$K43+2)*$L43</f>
        <v>-270.767709991997</v>
      </c>
      <c r="AO43" s="12" t="n">
        <f aca="false">$C43+$D43+MAX(AM43,AN43,IF(COUNTIFS($A$21:$A$141,"&gt;="&amp;$G43,$A$21:$A$141,"&lt;="&amp;$H43)&gt;0,_xlfn.MAXIFS(AL$21:AL$141,$A$21:$A$141,"&gt;="&amp;$G43,$A$21:$A$141,"&lt;="&amp;$H43),AM43))</f>
        <v>-108.517709991997</v>
      </c>
      <c r="AP43" s="12" t="n">
        <f aca="false">-Cost_k*$A43+Beta_q*(Declarations!$B$16*INDEX(AO$21:AO$141,MAX(1,MIN(121,$B43-ROUND(Declarations!$A$16/$D$18,0))))+Declarations!$B$17*INDEX(AO$21:AO$141,MAX(1,MIN(121,$B43-ROUND(Declarations!$A$17/$D$18,0))))+Declarations!$B$18*INDEX(AO$21:AO$141,MAX(1,MIN(121,$B43-ROUND(Declarations!$A$18/$D$18,0))))+Declarations!$B$19*INDEX(AO$21:AO$141,MAX(1,MIN(121,$B43-ROUND(Declarations!$A$19/$D$18,0))))+Declarations!$B$20*INDEX(AO$21:AO$141,MAX(1,MIN(121,$B43-ROUND(Declarations!$A$20/$D$18,0)))))</f>
        <v>-287.963483349586</v>
      </c>
      <c r="AQ43" s="12" t="n">
        <f aca="false">INDEX(AP$21:AP$141,$I43+1)*(1-$J43)+INDEX(AP$21:AP$141,$I43+2)*$J43</f>
        <v>-294.202700217678</v>
      </c>
      <c r="AR43" s="12" t="n">
        <f aca="false">INDEX(AP$21:AP$141,$K43+1)*(1-$L43)+INDEX(AP$21:AP$141,$K43+2)*$L43</f>
        <v>-280.504016971253</v>
      </c>
      <c r="AS43" s="12" t="n">
        <f aca="false">$C43+$D43+MAX(AQ43,AR43,IF(COUNTIFS($A$21:$A$141,"&gt;="&amp;$G43,$A$21:$A$141,"&lt;="&amp;$H43)&gt;0,_xlfn.MAXIFS(AP$21:AP$141,$A$21:$A$141,"&gt;="&amp;$G43,$A$21:$A$141,"&lt;="&amp;$H43),AQ43))</f>
        <v>-118.254016971253</v>
      </c>
      <c r="AT43" s="12" t="n">
        <f aca="false">-Cost_k*$A43+Beta_q*(Declarations!$B$16*INDEX(AS$21:AS$141,MAX(1,MIN(121,$B43-ROUND(Declarations!$A$16/$D$18,0))))+Declarations!$B$17*INDEX(AS$21:AS$141,MAX(1,MIN(121,$B43-ROUND(Declarations!$A$17/$D$18,0))))+Declarations!$B$18*INDEX(AS$21:AS$141,MAX(1,MIN(121,$B43-ROUND(Declarations!$A$18/$D$18,0))))+Declarations!$B$19*INDEX(AS$21:AS$141,MAX(1,MIN(121,$B43-ROUND(Declarations!$A$19/$D$18,0))))+Declarations!$B$20*INDEX(AS$21:AS$141,MAX(1,MIN(121,$B43-ROUND(Declarations!$A$20/$D$18,0)))))</f>
        <v>-297.476366084231</v>
      </c>
      <c r="AU43" s="12" t="n">
        <f aca="false">INDEX(AT$21:AT$141,$I43+1)*(1-$J43)+INDEX(AT$21:AT$141,$I43+2)*$J43</f>
        <v>-304.958094146244</v>
      </c>
      <c r="AV43" s="12" t="n">
        <f aca="false">INDEX(AT$21:AT$141,$K43+1)*(1-$L43)+INDEX(AT$21:AT$141,$K43+2)*$L43</f>
        <v>-288.582790713398</v>
      </c>
      <c r="AW43" s="12" t="n">
        <f aca="false">$C43+$D43+MAX(AU43,AV43,IF(COUNTIFS($A$21:$A$141,"&gt;="&amp;$G43,$A$21:$A$141,"&lt;="&amp;$H43)&gt;0,_xlfn.MAXIFS(AT$21:AT$141,$A$21:$A$141,"&gt;="&amp;$G43,$A$21:$A$141,"&lt;="&amp;$H43),AU43))</f>
        <v>-126.332790713398</v>
      </c>
      <c r="AX43" s="12" t="n">
        <f aca="false">-Cost_k*$A43+Beta_q*(Declarations!$B$16*INDEX(AW$21:AW$141,MAX(1,MIN(121,$B43-ROUND(Declarations!$A$16/$D$18,0))))+Declarations!$B$17*INDEX(AW$21:AW$141,MAX(1,MIN(121,$B43-ROUND(Declarations!$A$17/$D$18,0))))+Declarations!$B$18*INDEX(AW$21:AW$141,MAX(1,MIN(121,$B43-ROUND(Declarations!$A$18/$D$18,0))))+Declarations!$B$19*INDEX(AW$21:AW$141,MAX(1,MIN(121,$B43-ROUND(Declarations!$A$19/$D$18,0))))+Declarations!$B$20*INDEX(AW$21:AW$141,MAX(1,MIN(121,$B43-ROUND(Declarations!$A$20/$D$18,0)))))</f>
        <v>-305.381791757704</v>
      </c>
      <c r="AY43" s="12" t="n">
        <f aca="false">INDEX(AX$21:AX$141,$I43+1)*(1-$J43)+INDEX(AX$21:AX$141,$I43+2)*$J43</f>
        <v>-313.988351171299</v>
      </c>
      <c r="AZ43" s="12" t="n">
        <f aca="false">INDEX(AX$21:AX$141,$K43+1)*(1-$L43)+INDEX(AX$21:AX$141,$K43+2)*$L43</f>
        <v>-295.279213409362</v>
      </c>
      <c r="BA43" s="12" t="n">
        <f aca="false">$C43+$D43+MAX(AY43,AZ43,IF(COUNTIFS($A$21:$A$141,"&gt;="&amp;$G43,$A$21:$A$141,"&lt;="&amp;$H43)&gt;0,_xlfn.MAXIFS(AX$21:AX$141,$A$21:$A$141,"&gt;="&amp;$G43,$A$21:$A$141,"&lt;="&amp;$H43),AY43))</f>
        <v>-133.029213409362</v>
      </c>
      <c r="BB43" s="12" t="n">
        <f aca="false">-Cost_k*$A43+Beta_q*(Declarations!$B$16*INDEX(BA$21:BA$141,MAX(1,MIN(121,$B43-ROUND(Declarations!$A$16/$D$18,0))))+Declarations!$B$17*INDEX(BA$21:BA$141,MAX(1,MIN(121,$B43-ROUND(Declarations!$A$17/$D$18,0))))+Declarations!$B$18*INDEX(BA$21:BA$141,MAX(1,MIN(121,$B43-ROUND(Declarations!$A$18/$D$18,0))))+Declarations!$B$19*INDEX(BA$21:BA$141,MAX(1,MIN(121,$B43-ROUND(Declarations!$A$19/$D$18,0))))+Declarations!$B$20*INDEX(BA$21:BA$141,MAX(1,MIN(121,$B43-ROUND(Declarations!$A$20/$D$18,0)))))</f>
        <v>-311.950051585246</v>
      </c>
      <c r="BC43" s="12" t="n">
        <f aca="false">INDEX(BB$21:BB$141,$I43+1)*(1-$J43)+INDEX(BB$21:BB$141,$I43+2)*$J43</f>
        <v>-321.493432790257</v>
      </c>
      <c r="BD43" s="12" t="n">
        <f aca="false">INDEX(BB$21:BB$141,$K43+1)*(1-$L43)+INDEX(BB$21:BB$141,$K43+2)*$L43</f>
        <v>-300.953752591128</v>
      </c>
      <c r="BE43" s="12" t="n">
        <f aca="false">$C43+$D43+MAX(BC43,BD43,IF(COUNTIFS($A$21:$A$141,"&gt;="&amp;$G43,$A$21:$A$141,"&lt;="&amp;$H43)&gt;0,_xlfn.MAXIFS(BB$21:BB$141,$A$21:$A$141,"&gt;="&amp;$G43,$A$21:$A$141,"&lt;="&amp;$H43),BC43))</f>
        <v>-138.703752591128</v>
      </c>
      <c r="BF43" s="12" t="n">
        <f aca="false">-Cost_k*$A43+Beta_q*(Declarations!$B$16*INDEX(BE$21:BE$141,MAX(1,MIN(121,$B43-ROUND(Declarations!$A$16/$D$18,0))))+Declarations!$B$17*INDEX(BE$21:BE$141,MAX(1,MIN(121,$B43-ROUND(Declarations!$A$17/$D$18,0))))+Declarations!$B$18*INDEX(BE$21:BE$141,MAX(1,MIN(121,$B43-ROUND(Declarations!$A$18/$D$18,0))))+Declarations!$B$19*INDEX(BE$21:BE$141,MAX(1,MIN(121,$B43-ROUND(Declarations!$A$19/$D$18,0))))+Declarations!$B$20*INDEX(BE$21:BE$141,MAX(1,MIN(121,$B43-ROUND(Declarations!$A$20/$D$18,0)))))</f>
        <v>-317.52723198839</v>
      </c>
      <c r="BG43" s="12" t="n">
        <f aca="false">INDEX(BF$21:BF$141,$I43+1)*(1-$J43)+INDEX(BF$21:BF$141,$I43+2)*$J43</f>
        <v>-327.754914214571</v>
      </c>
      <c r="BH43" s="12" t="n">
        <f aca="false">INDEX(BF$21:BF$141,$K43+1)*(1-$L43)+INDEX(BF$21:BF$141,$K43+2)*$L43</f>
        <v>-305.978989957232</v>
      </c>
      <c r="BI43" s="12" t="n">
        <f aca="false">$C43+$D43+MAX(BG43,BH43,IF(COUNTIFS($A$21:$A$141,"&gt;="&amp;$G43,$A$21:$A$141,"&lt;="&amp;$H43)&gt;0,_xlfn.MAXIFS(BF$21:BF$141,$A$21:$A$141,"&gt;="&amp;$G43,$A$21:$A$141,"&lt;="&amp;$H43),BG43))</f>
        <v>-143.728989957232</v>
      </c>
      <c r="BJ43" s="23" t="n">
        <v>-143.728989957232</v>
      </c>
      <c r="BK43" s="22" t="n">
        <f aca="false">ABS(BI43-BJ43)</f>
        <v>0</v>
      </c>
    </row>
    <row r="44" customFormat="false" ht="15" hidden="false" customHeight="false" outlineLevel="0" collapsed="false">
      <c r="A44" s="14" t="n">
        <f aca="false">A43+$D$18</f>
        <v>45.75</v>
      </c>
      <c r="B44" s="19" t="n">
        <v>24</v>
      </c>
      <c r="C44" s="12" t="n">
        <f aca="false">-Short_p*MAX(Floor_c-A44,0)</f>
        <v>-14.8</v>
      </c>
      <c r="D44" s="12" t="n">
        <f aca="false">Cost_k*Alpha_keep*A44</f>
        <v>178.425</v>
      </c>
      <c r="E44" s="12" t="n">
        <f aca="false">MIN(Cap_h,MAX(0,$B$18+MAX(Loss_w)-Alpha_keep*A44))</f>
        <v>0</v>
      </c>
      <c r="F44" s="12" t="n">
        <f aca="false">MAX(MIN(Cap_h,$F$18+MIN(Loss_w)-Alpha_keep*A44),E44)</f>
        <v>2.5</v>
      </c>
      <c r="G44" s="12" t="n">
        <f aca="false">Alpha_keep*A44+E44</f>
        <v>44.60625</v>
      </c>
      <c r="H44" s="12" t="n">
        <f aca="false">Alpha_keep*A44+F44</f>
        <v>47.10625</v>
      </c>
      <c r="I44" s="19" t="n">
        <f aca="false">MIN(INT((G44-$B$18)/$D$18+0.000000001),119)</f>
        <v>18</v>
      </c>
      <c r="J44" s="12" t="n">
        <f aca="false">(G44-$B$18)/$D$18-I44</f>
        <v>0.424999999999983</v>
      </c>
      <c r="K44" s="19" t="n">
        <f aca="false">MIN(INT((H44-$B$18)/$D$18+0.000000001),119)</f>
        <v>28</v>
      </c>
      <c r="L44" s="12" t="n">
        <f aca="false">(H44-$B$18)/$D$18-K44</f>
        <v>0.424999999999983</v>
      </c>
      <c r="M44" s="9" t="n">
        <v>0</v>
      </c>
      <c r="N44" s="12" t="n">
        <f aca="false">-Cost_k*$A44+Beta_q*(Declarations!$B$16*INDEX(M$21:M$141,MAX(1,MIN(121,$B44-ROUND(Declarations!$A$16/$D$18,0))))+Declarations!$B$17*INDEX(M$21:M$141,MAX(1,MIN(121,$B44-ROUND(Declarations!$A$17/$D$18,0))))+Declarations!$B$18*INDEX(M$21:M$141,MAX(1,MIN(121,$B44-ROUND(Declarations!$A$18/$D$18,0))))+Declarations!$B$19*INDEX(M$21:M$141,MAX(1,MIN(121,$B44-ROUND(Declarations!$A$19/$D$18,0))))+Declarations!$B$20*INDEX(M$21:M$141,MAX(1,MIN(121,$B44-ROUND(Declarations!$A$20/$D$18,0)))))</f>
        <v>-183</v>
      </c>
      <c r="O44" s="12" t="n">
        <f aca="false">INDEX(N$21:N$141,$I44+1)*(1-$J44)+INDEX(N$21:N$141,$I44+2)*$J44</f>
        <v>-178.425</v>
      </c>
      <c r="P44" s="12" t="n">
        <f aca="false">INDEX(N$21:N$141,$K44+1)*(1-$L44)+INDEX(N$21:N$141,$K44+2)*$L44</f>
        <v>-188.425</v>
      </c>
      <c r="Q44" s="12" t="n">
        <f aca="false">$C44+$D44+MAX(O44,P44,IF(COUNTIFS($A$21:$A$141,"&gt;="&amp;$G44,$A$21:$A$141,"&lt;="&amp;$H44)&gt;0,_xlfn.MAXIFS(N$21:N$141,$A$21:$A$141,"&gt;="&amp;$G44,$A$21:$A$141,"&lt;="&amp;$H44),O44))</f>
        <v>-14.8</v>
      </c>
      <c r="R44" s="12" t="n">
        <f aca="false">-Cost_k*$A44+Beta_q*(Declarations!$B$16*INDEX(Q$21:Q$141,MAX(1,MIN(121,$B44-ROUND(Declarations!$A$16/$D$18,0))))+Declarations!$B$17*INDEX(Q$21:Q$141,MAX(1,MIN(121,$B44-ROUND(Declarations!$A$17/$D$18,0))))+Declarations!$B$18*INDEX(Q$21:Q$141,MAX(1,MIN(121,$B44-ROUND(Declarations!$A$18/$D$18,0))))+Declarations!$B$19*INDEX(Q$21:Q$141,MAX(1,MIN(121,$B44-ROUND(Declarations!$A$19/$D$18,0))))+Declarations!$B$20*INDEX(Q$21:Q$141,MAX(1,MIN(121,$B44-ROUND(Declarations!$A$20/$D$18,0)))))</f>
        <v>-197.451520527209</v>
      </c>
      <c r="S44" s="12" t="n">
        <f aca="false">INDEX(R$21:R$141,$I44+1)*(1-$J44)+INDEX(R$21:R$141,$I44+2)*$J44</f>
        <v>-194.663431511317</v>
      </c>
      <c r="T44" s="12" t="n">
        <f aca="false">INDEX(R$21:R$141,$K44+1)*(1-$L44)+INDEX(R$21:R$141,$K44+2)*$L44</f>
        <v>-200.757615152612</v>
      </c>
      <c r="U44" s="12" t="n">
        <f aca="false">$C44+$D44+MAX(S44,T44,IF(COUNTIFS($A$21:$A$141,"&gt;="&amp;$G44,$A$21:$A$141,"&lt;="&amp;$H44)&gt;0,_xlfn.MAXIFS(R$21:R$141,$A$21:$A$141,"&gt;="&amp;$G44,$A$21:$A$141,"&lt;="&amp;$H44),S44))</f>
        <v>-31.038431511317</v>
      </c>
      <c r="V44" s="12" t="n">
        <f aca="false">-Cost_k*$A44+Beta_q*(Declarations!$B$16*INDEX(U$21:U$141,MAX(1,MIN(121,$B44-ROUND(Declarations!$A$16/$D$18,0))))+Declarations!$B$17*INDEX(U$21:U$141,MAX(1,MIN(121,$B44-ROUND(Declarations!$A$17/$D$18,0))))+Declarations!$B$18*INDEX(U$21:U$141,MAX(1,MIN(121,$B44-ROUND(Declarations!$A$18/$D$18,0))))+Declarations!$B$19*INDEX(U$21:U$141,MAX(1,MIN(121,$B44-ROUND(Declarations!$A$19/$D$18,0))))+Declarations!$B$20*INDEX(U$21:U$141,MAX(1,MIN(121,$B44-ROUND(Declarations!$A$20/$D$18,0)))))</f>
        <v>-213.32952557699</v>
      </c>
      <c r="W44" s="12" t="n">
        <f aca="false">INDEX(V$21:V$141,$I44+1)*(1-$J44)+INDEX(V$21:V$141,$I44+2)*$J44</f>
        <v>-212.523840624051</v>
      </c>
      <c r="X44" s="12" t="n">
        <f aca="false">INDEX(V$21:V$141,$K44+1)*(1-$L44)+INDEX(V$21:V$141,$K44+2)*$L44</f>
        <v>-214.59640953857</v>
      </c>
      <c r="Y44" s="12" t="n">
        <f aca="false">$C44+$D44+MAX(W44,X44,IF(COUNTIFS($A$21:$A$141,"&gt;="&amp;$G44,$A$21:$A$141,"&lt;="&amp;$H44)&gt;0,_xlfn.MAXIFS(V$21:V$141,$A$21:$A$141,"&gt;="&amp;$G44,$A$21:$A$141,"&lt;="&amp;$H44),W44))</f>
        <v>-48.8988406240509</v>
      </c>
      <c r="Z44" s="12" t="n">
        <f aca="false">-Cost_k*$A44+Beta_q*(Declarations!$B$16*INDEX(Y$21:Y$141,MAX(1,MIN(121,$B44-ROUND(Declarations!$A$16/$D$18,0))))+Declarations!$B$17*INDEX(Y$21:Y$141,MAX(1,MIN(121,$B44-ROUND(Declarations!$A$17/$D$18,0))))+Declarations!$B$18*INDEX(Y$21:Y$141,MAX(1,MIN(121,$B44-ROUND(Declarations!$A$18/$D$18,0))))+Declarations!$B$19*INDEX(Y$21:Y$141,MAX(1,MIN(121,$B44-ROUND(Declarations!$A$19/$D$18,0))))+Declarations!$B$20*INDEX(Y$21:Y$141,MAX(1,MIN(121,$B44-ROUND(Declarations!$A$20/$D$18,0)))))</f>
        <v>-230.866831793419</v>
      </c>
      <c r="AA44" s="12" t="n">
        <f aca="false">INDEX(Z$21:Z$141,$I44+1)*(1-$J44)+INDEX(Z$21:Z$141,$I44+2)*$J44</f>
        <v>-232.239694366697</v>
      </c>
      <c r="AB44" s="12" t="n">
        <f aca="false">INDEX(Z$21:Z$141,$K44+1)*(1-$L44)+INDEX(Z$21:Z$141,$K44+2)*$L44</f>
        <v>-229.863616279632</v>
      </c>
      <c r="AC44" s="12" t="n">
        <f aca="false">$C44+$D44+MAX(AA44,AB44,IF(COUNTIFS($A$21:$A$141,"&gt;="&amp;$G44,$A$21:$A$141,"&lt;="&amp;$H44)&gt;0,_xlfn.MAXIFS(Z$21:Z$141,$A$21:$A$141,"&gt;="&amp;$G44,$A$21:$A$141,"&lt;="&amp;$H44),AA44))</f>
        <v>-66.2386162796318</v>
      </c>
      <c r="AD44" s="12" t="n">
        <f aca="false">-Cost_k*$A44+Beta_q*(Declarations!$B$16*INDEX(AC$21:AC$141,MAX(1,MIN(121,$B44-ROUND(Declarations!$A$16/$D$18,0))))+Declarations!$B$17*INDEX(AC$21:AC$141,MAX(1,MIN(121,$B44-ROUND(Declarations!$A$17/$D$18,0))))+Declarations!$B$18*INDEX(AC$21:AC$141,MAX(1,MIN(121,$B44-ROUND(Declarations!$A$18/$D$18,0))))+Declarations!$B$19*INDEX(AC$21:AC$141,MAX(1,MIN(121,$B44-ROUND(Declarations!$A$19/$D$18,0))))+Declarations!$B$20*INDEX(AC$21:AC$141,MAX(1,MIN(121,$B44-ROUND(Declarations!$A$20/$D$18,0)))))</f>
        <v>-247.715579067273</v>
      </c>
      <c r="AE44" s="12" t="n">
        <f aca="false">INDEX(AD$21:AD$141,$I44+1)*(1-$J44)+INDEX(AD$21:AD$141,$I44+2)*$J44</f>
        <v>-250.089472660273</v>
      </c>
      <c r="AF44" s="12" t="n">
        <f aca="false">INDEX(AD$21:AD$141,$K44+1)*(1-$L44)+INDEX(AD$21:AD$141,$K44+2)*$L44</f>
        <v>-245.182074602783</v>
      </c>
      <c r="AG44" s="12" t="n">
        <f aca="false">$C44+$D44+MAX(AE44,AF44,IF(COUNTIFS($A$21:$A$141,"&gt;="&amp;$G44,$A$21:$A$141,"&lt;="&amp;$H44)&gt;0,_xlfn.MAXIFS(AD$21:AD$141,$A$21:$A$141,"&gt;="&amp;$G44,$A$21:$A$141,"&lt;="&amp;$H44),AE44))</f>
        <v>-81.5570746027832</v>
      </c>
      <c r="AH44" s="12" t="n">
        <f aca="false">-Cost_k*$A44+Beta_q*(Declarations!$B$16*INDEX(AG$21:AG$141,MAX(1,MIN(121,$B44-ROUND(Declarations!$A$16/$D$18,0))))+Declarations!$B$17*INDEX(AG$21:AG$141,MAX(1,MIN(121,$B44-ROUND(Declarations!$A$17/$D$18,0))))+Declarations!$B$18*INDEX(AG$21:AG$141,MAX(1,MIN(121,$B44-ROUND(Declarations!$A$18/$D$18,0))))+Declarations!$B$19*INDEX(AG$21:AG$141,MAX(1,MIN(121,$B44-ROUND(Declarations!$A$19/$D$18,0))))+Declarations!$B$20*INDEX(AG$21:AG$141,MAX(1,MIN(121,$B44-ROUND(Declarations!$A$20/$D$18,0)))))</f>
        <v>-262.644038569667</v>
      </c>
      <c r="AI44" s="12" t="n">
        <f aca="false">INDEX(AH$21:AH$141,$I44+1)*(1-$J44)+INDEX(AH$21:AH$141,$I44+2)*$J44</f>
        <v>-266.25686850238</v>
      </c>
      <c r="AJ44" s="12" t="n">
        <f aca="false">INDEX(AH$21:AH$141,$K44+1)*(1-$L44)+INDEX(AH$21:AH$141,$K44+2)*$L44</f>
        <v>-258.430628766895</v>
      </c>
      <c r="AK44" s="12" t="n">
        <f aca="false">$C44+$D44+MAX(AI44,AJ44,IF(COUNTIFS($A$21:$A$141,"&gt;="&amp;$G44,$A$21:$A$141,"&lt;="&amp;$H44)&gt;0,_xlfn.MAXIFS(AH$21:AH$141,$A$21:$A$141,"&gt;="&amp;$G44,$A$21:$A$141,"&lt;="&amp;$H44),AI44))</f>
        <v>-94.8056287668946</v>
      </c>
      <c r="AL44" s="12" t="n">
        <f aca="false">-Cost_k*$A44+Beta_q*(Declarations!$B$16*INDEX(AK$21:AK$141,MAX(1,MIN(121,$B44-ROUND(Declarations!$A$16/$D$18,0))))+Declarations!$B$17*INDEX(AK$21:AK$141,MAX(1,MIN(121,$B44-ROUND(Declarations!$A$17/$D$18,0))))+Declarations!$B$18*INDEX(AK$21:AK$141,MAX(1,MIN(121,$B44-ROUND(Declarations!$A$18/$D$18,0))))+Declarations!$B$19*INDEX(AK$21:AK$141,MAX(1,MIN(121,$B44-ROUND(Declarations!$A$19/$D$18,0))))+Declarations!$B$20*INDEX(AK$21:AK$141,MAX(1,MIN(121,$B44-ROUND(Declarations!$A$20/$D$18,0)))))</f>
        <v>-275.574575723705</v>
      </c>
      <c r="AM44" s="12" t="n">
        <f aca="false">INDEX(AL$21:AL$141,$I44+1)*(1-$J44)+INDEX(AL$21:AL$141,$I44+2)*$J44</f>
        <v>-280.528361715298</v>
      </c>
      <c r="AN44" s="12" t="n">
        <f aca="false">INDEX(AL$21:AL$141,$K44+1)*(1-$L44)+INDEX(AL$21:AL$141,$K44+2)*$L44</f>
        <v>-269.71505150432</v>
      </c>
      <c r="AO44" s="12" t="n">
        <f aca="false">$C44+$D44+MAX(AM44,AN44,IF(COUNTIFS($A$21:$A$141,"&gt;="&amp;$G44,$A$21:$A$141,"&lt;="&amp;$H44)&gt;0,_xlfn.MAXIFS(AL$21:AL$141,$A$21:$A$141,"&gt;="&amp;$G44,$A$21:$A$141,"&lt;="&amp;$H44),AM44))</f>
        <v>-106.09005150432</v>
      </c>
      <c r="AP44" s="12" t="n">
        <f aca="false">-Cost_k*$A44+Beta_q*(Declarations!$B$16*INDEX(AO$21:AO$141,MAX(1,MIN(121,$B44-ROUND(Declarations!$A$16/$D$18,0))))+Declarations!$B$17*INDEX(AO$21:AO$141,MAX(1,MIN(121,$B44-ROUND(Declarations!$A$17/$D$18,0))))+Declarations!$B$18*INDEX(AO$21:AO$141,MAX(1,MIN(121,$B44-ROUND(Declarations!$A$18/$D$18,0))))+Declarations!$B$19*INDEX(AO$21:AO$141,MAX(1,MIN(121,$B44-ROUND(Declarations!$A$19/$D$18,0))))+Declarations!$B$20*INDEX(AO$21:AO$141,MAX(1,MIN(121,$B44-ROUND(Declarations!$A$20/$D$18,0)))))</f>
        <v>-286.593306896658</v>
      </c>
      <c r="AQ44" s="12" t="n">
        <f aca="false">INDEX(AP$21:AP$141,$I44+1)*(1-$J44)+INDEX(AP$21:AP$141,$I44+2)*$J44</f>
        <v>-292.865004736458</v>
      </c>
      <c r="AR44" s="12" t="n">
        <f aca="false">INDEX(AP$21:AP$141,$K44+1)*(1-$L44)+INDEX(AP$21:AP$141,$K44+2)*$L44</f>
        <v>-279.173551944035</v>
      </c>
      <c r="AS44" s="12" t="n">
        <f aca="false">$C44+$D44+MAX(AQ44,AR44,IF(COUNTIFS($A$21:$A$141,"&gt;="&amp;$G44,$A$21:$A$141,"&lt;="&amp;$H44)&gt;0,_xlfn.MAXIFS(AP$21:AP$141,$A$21:$A$141,"&gt;="&amp;$G44,$A$21:$A$141,"&lt;="&amp;$H44),AQ44))</f>
        <v>-115.548551944035</v>
      </c>
      <c r="AT44" s="12" t="n">
        <f aca="false">-Cost_k*$A44+Beta_q*(Declarations!$B$16*INDEX(AS$21:AS$141,MAX(1,MIN(121,$B44-ROUND(Declarations!$A$16/$D$18,0))))+Declarations!$B$17*INDEX(AS$21:AS$141,MAX(1,MIN(121,$B44-ROUND(Declarations!$A$17/$D$18,0))))+Declarations!$B$18*INDEX(AS$21:AS$141,MAX(1,MIN(121,$B44-ROUND(Declarations!$A$18/$D$18,0))))+Declarations!$B$19*INDEX(AS$21:AS$141,MAX(1,MIN(121,$B44-ROUND(Declarations!$A$19/$D$18,0))))+Declarations!$B$20*INDEX(AS$21:AS$141,MAX(1,MIN(121,$B44-ROUND(Declarations!$A$20/$D$18,0)))))</f>
        <v>-295.836549169705</v>
      </c>
      <c r="AU44" s="12" t="n">
        <f aca="false">INDEX(AT$21:AT$141,$I44+1)*(1-$J44)+INDEX(AT$21:AT$141,$I44+2)*$J44</f>
        <v>-303.353074973564</v>
      </c>
      <c r="AV44" s="12" t="n">
        <f aca="false">INDEX(AT$21:AT$141,$K44+1)*(1-$L44)+INDEX(AT$21:AT$141,$K44+2)*$L44</f>
        <v>-287.007596560237</v>
      </c>
      <c r="AW44" s="12" t="n">
        <f aca="false">$C44+$D44+MAX(AU44,AV44,IF(COUNTIFS($A$21:$A$141,"&gt;="&amp;$G44,$A$21:$A$141,"&lt;="&amp;$H44)&gt;0,_xlfn.MAXIFS(AT$21:AT$141,$A$21:$A$141,"&gt;="&amp;$G44,$A$21:$A$141,"&lt;="&amp;$H44),AU44))</f>
        <v>-123.382596560237</v>
      </c>
      <c r="AX44" s="12" t="n">
        <f aca="false">-Cost_k*$A44+Beta_q*(Declarations!$B$16*INDEX(AW$21:AW$141,MAX(1,MIN(121,$B44-ROUND(Declarations!$A$16/$D$18,0))))+Declarations!$B$17*INDEX(AW$21:AW$141,MAX(1,MIN(121,$B44-ROUND(Declarations!$A$17/$D$18,0))))+Declarations!$B$18*INDEX(AW$21:AW$141,MAX(1,MIN(121,$B44-ROUND(Declarations!$A$18/$D$18,0))))+Declarations!$B$19*INDEX(AW$21:AW$141,MAX(1,MIN(121,$B44-ROUND(Declarations!$A$19/$D$18,0))))+Declarations!$B$20*INDEX(AW$21:AW$141,MAX(1,MIN(121,$B44-ROUND(Declarations!$A$20/$D$18,0)))))</f>
        <v>-303.50545792484</v>
      </c>
      <c r="AY44" s="12" t="n">
        <f aca="false">INDEX(AX$21:AX$141,$I44+1)*(1-$J44)+INDEX(AX$21:AX$141,$I44+2)*$J44</f>
        <v>-312.136982107488</v>
      </c>
      <c r="AZ44" s="12" t="n">
        <f aca="false">INDEX(AX$21:AX$141,$K44+1)*(1-$L44)+INDEX(AX$21:AX$141,$K44+2)*$L44</f>
        <v>-293.511578847025</v>
      </c>
      <c r="BA44" s="12" t="n">
        <f aca="false">$C44+$D44+MAX(AY44,AZ44,IF(COUNTIFS($A$21:$A$141,"&gt;="&amp;$G44,$A$21:$A$141,"&lt;="&amp;$H44)&gt;0,_xlfn.MAXIFS(AX$21:AX$141,$A$21:$A$141,"&gt;="&amp;$G44,$A$21:$A$141,"&lt;="&amp;$H44),AY44))</f>
        <v>-129.886578847025</v>
      </c>
      <c r="BB44" s="12" t="n">
        <f aca="false">-Cost_k*$A44+Beta_q*(Declarations!$B$16*INDEX(BA$21:BA$141,MAX(1,MIN(121,$B44-ROUND(Declarations!$A$16/$D$18,0))))+Declarations!$B$17*INDEX(BA$21:BA$141,MAX(1,MIN(121,$B44-ROUND(Declarations!$A$17/$D$18,0))))+Declarations!$B$18*INDEX(BA$21:BA$141,MAX(1,MIN(121,$B44-ROUND(Declarations!$A$18/$D$18,0))))+Declarations!$B$19*INDEX(BA$21:BA$141,MAX(1,MIN(121,$B44-ROUND(Declarations!$A$19/$D$18,0))))+Declarations!$B$20*INDEX(BA$21:BA$141,MAX(1,MIN(121,$B44-ROUND(Declarations!$A$20/$D$18,0)))))</f>
        <v>-309.888385057957</v>
      </c>
      <c r="BC44" s="12" t="n">
        <f aca="false">INDEX(BB$21:BB$141,$I44+1)*(1-$J44)+INDEX(BB$21:BB$141,$I44+2)*$J44</f>
        <v>-319.430448526413</v>
      </c>
      <c r="BD44" s="12" t="n">
        <f aca="false">INDEX(BB$21:BB$141,$K44+1)*(1-$L44)+INDEX(BB$21:BB$141,$K44+2)*$L44</f>
        <v>-299.059487388797</v>
      </c>
      <c r="BE44" s="12" t="n">
        <f aca="false">$C44+$D44+MAX(BC44,BD44,IF(COUNTIFS($A$21:$A$141,"&gt;="&amp;$G44,$A$21:$A$141,"&lt;="&amp;$H44)&gt;0,_xlfn.MAXIFS(BB$21:BB$141,$A$21:$A$141,"&gt;="&amp;$G44,$A$21:$A$141,"&lt;="&amp;$H44),BC44))</f>
        <v>-135.434487388797</v>
      </c>
      <c r="BF44" s="12" t="n">
        <f aca="false">-Cost_k*$A44+Beta_q*(Declarations!$B$16*INDEX(BE$21:BE$141,MAX(1,MIN(121,$B44-ROUND(Declarations!$A$16/$D$18,0))))+Declarations!$B$17*INDEX(BE$21:BE$141,MAX(1,MIN(121,$B44-ROUND(Declarations!$A$17/$D$18,0))))+Declarations!$B$18*INDEX(BE$21:BE$141,MAX(1,MIN(121,$B44-ROUND(Declarations!$A$18/$D$18,0))))+Declarations!$B$19*INDEX(BE$21:BE$141,MAX(1,MIN(121,$B44-ROUND(Declarations!$A$19/$D$18,0))))+Declarations!$B$20*INDEX(BE$21:BE$141,MAX(1,MIN(121,$B44-ROUND(Declarations!$A$20/$D$18,0)))))</f>
        <v>-315.342429857924</v>
      </c>
      <c r="BG44" s="12" t="n">
        <f aca="false">INDEX(BF$21:BF$141,$I44+1)*(1-$J44)+INDEX(BF$21:BF$141,$I44+2)*$J44</f>
        <v>-325.529839801211</v>
      </c>
      <c r="BH44" s="12" t="n">
        <f aca="false">INDEX(BF$21:BF$141,$K44+1)*(1-$L44)+INDEX(BF$21:BF$141,$K44+2)*$L44</f>
        <v>-304.015607028107</v>
      </c>
      <c r="BI44" s="12" t="n">
        <f aca="false">$C44+$D44+MAX(BG44,BH44,IF(COUNTIFS($A$21:$A$141,"&gt;="&amp;$G44,$A$21:$A$141,"&lt;="&amp;$H44)&gt;0,_xlfn.MAXIFS(BF$21:BF$141,$A$21:$A$141,"&gt;="&amp;$G44,$A$21:$A$141,"&lt;="&amp;$H44),BG44))</f>
        <v>-140.390607028107</v>
      </c>
      <c r="BJ44" s="23" t="n">
        <v>-140.390607028107</v>
      </c>
      <c r="BK44" s="22" t="n">
        <f aca="false">ABS(BI44-BJ44)</f>
        <v>0</v>
      </c>
    </row>
    <row r="45" customFormat="false" ht="15" hidden="false" customHeight="false" outlineLevel="0" collapsed="false">
      <c r="A45" s="14" t="n">
        <f aca="false">A44+$D$18</f>
        <v>46</v>
      </c>
      <c r="B45" s="19" t="n">
        <v>25</v>
      </c>
      <c r="C45" s="12" t="n">
        <f aca="false">-Short_p*MAX(Floor_c-A45,0)</f>
        <v>-14.4</v>
      </c>
      <c r="D45" s="12" t="n">
        <f aca="false">Cost_k*Alpha_keep*A45</f>
        <v>179.4</v>
      </c>
      <c r="E45" s="12" t="n">
        <f aca="false">MIN(Cap_h,MAX(0,$B$18+MAX(Loss_w)-Alpha_keep*A45))</f>
        <v>0</v>
      </c>
      <c r="F45" s="12" t="n">
        <f aca="false">MAX(MIN(Cap_h,$F$18+MIN(Loss_w)-Alpha_keep*A45),E45)</f>
        <v>2.5</v>
      </c>
      <c r="G45" s="12" t="n">
        <f aca="false">Alpha_keep*A45+E45</f>
        <v>44.85</v>
      </c>
      <c r="H45" s="12" t="n">
        <f aca="false">Alpha_keep*A45+F45</f>
        <v>47.35</v>
      </c>
      <c r="I45" s="19" t="n">
        <f aca="false">MIN(INT((G45-$B$18)/$D$18+0.000000001),119)</f>
        <v>19</v>
      </c>
      <c r="J45" s="12" t="n">
        <f aca="false">(G45-$B$18)/$D$18-I45</f>
        <v>0.400000000000006</v>
      </c>
      <c r="K45" s="19" t="n">
        <f aca="false">MIN(INT((H45-$B$18)/$D$18+0.000000001),119)</f>
        <v>29</v>
      </c>
      <c r="L45" s="12" t="n">
        <f aca="false">(H45-$B$18)/$D$18-K45</f>
        <v>0.400000000000006</v>
      </c>
      <c r="M45" s="9" t="n">
        <v>0</v>
      </c>
      <c r="N45" s="12" t="n">
        <f aca="false">-Cost_k*$A45+Beta_q*(Declarations!$B$16*INDEX(M$21:M$141,MAX(1,MIN(121,$B45-ROUND(Declarations!$A$16/$D$18,0))))+Declarations!$B$17*INDEX(M$21:M$141,MAX(1,MIN(121,$B45-ROUND(Declarations!$A$17/$D$18,0))))+Declarations!$B$18*INDEX(M$21:M$141,MAX(1,MIN(121,$B45-ROUND(Declarations!$A$18/$D$18,0))))+Declarations!$B$19*INDEX(M$21:M$141,MAX(1,MIN(121,$B45-ROUND(Declarations!$A$19/$D$18,0))))+Declarations!$B$20*INDEX(M$21:M$141,MAX(1,MIN(121,$B45-ROUND(Declarations!$A$20/$D$18,0)))))</f>
        <v>-184</v>
      </c>
      <c r="O45" s="12" t="n">
        <f aca="false">INDEX(N$21:N$141,$I45+1)*(1-$J45)+INDEX(N$21:N$141,$I45+2)*$J45</f>
        <v>-179.4</v>
      </c>
      <c r="P45" s="12" t="n">
        <f aca="false">INDEX(N$21:N$141,$K45+1)*(1-$L45)+INDEX(N$21:N$141,$K45+2)*$L45</f>
        <v>-189.4</v>
      </c>
      <c r="Q45" s="12" t="n">
        <f aca="false">$C45+$D45+MAX(O45,P45,IF(COUNTIFS($A$21:$A$141,"&gt;="&amp;$G45,$A$21:$A$141,"&lt;="&amp;$H45)&gt;0,_xlfn.MAXIFS(N$21:N$141,$A$21:$A$141,"&gt;="&amp;$G45,$A$21:$A$141,"&lt;="&amp;$H45),O45))</f>
        <v>-14.4</v>
      </c>
      <c r="R45" s="12" t="n">
        <f aca="false">-Cost_k*$A45+Beta_q*(Declarations!$B$16*INDEX(Q$21:Q$141,MAX(1,MIN(121,$B45-ROUND(Declarations!$A$16/$D$18,0))))+Declarations!$B$17*INDEX(Q$21:Q$141,MAX(1,MIN(121,$B45-ROUND(Declarations!$A$17/$D$18,0))))+Declarations!$B$18*INDEX(Q$21:Q$141,MAX(1,MIN(121,$B45-ROUND(Declarations!$A$18/$D$18,0))))+Declarations!$B$19*INDEX(Q$21:Q$141,MAX(1,MIN(121,$B45-ROUND(Declarations!$A$19/$D$18,0))))+Declarations!$B$20*INDEX(Q$21:Q$141,MAX(1,MIN(121,$B45-ROUND(Declarations!$A$20/$D$18,0)))))</f>
        <v>-198.060938891339</v>
      </c>
      <c r="S45" s="12" t="n">
        <f aca="false">INDEX(R$21:R$141,$I45+1)*(1-$J45)+INDEX(R$21:R$141,$I45+2)*$J45</f>
        <v>-195.257614416343</v>
      </c>
      <c r="T45" s="12" t="n">
        <f aca="false">INDEX(R$21:R$141,$K45+1)*(1-$L45)+INDEX(R$21:R$141,$K45+2)*$L45</f>
        <v>-201.351798057638</v>
      </c>
      <c r="U45" s="12" t="n">
        <f aca="false">$C45+$D45+MAX(S45,T45,IF(COUNTIFS($A$21:$A$141,"&gt;="&amp;$G45,$A$21:$A$141,"&lt;="&amp;$H45)&gt;0,_xlfn.MAXIFS(R$21:R$141,$A$21:$A$141,"&gt;="&amp;$G45,$A$21:$A$141,"&lt;="&amp;$H45),S45))</f>
        <v>-30.2576144163433</v>
      </c>
      <c r="V45" s="12" t="n">
        <f aca="false">-Cost_k*$A45+Beta_q*(Declarations!$B$16*INDEX(U$21:U$141,MAX(1,MIN(121,$B45-ROUND(Declarations!$A$16/$D$18,0))))+Declarations!$B$17*INDEX(U$21:U$141,MAX(1,MIN(121,$B45-ROUND(Declarations!$A$17/$D$18,0))))+Declarations!$B$18*INDEX(U$21:U$141,MAX(1,MIN(121,$B45-ROUND(Declarations!$A$18/$D$18,0))))+Declarations!$B$19*INDEX(U$21:U$141,MAX(1,MIN(121,$B45-ROUND(Declarations!$A$19/$D$18,0))))+Declarations!$B$20*INDEX(U$21:U$141,MAX(1,MIN(121,$B45-ROUND(Declarations!$A$20/$D$18,0)))))</f>
        <v>-213.553785279267</v>
      </c>
      <c r="W45" s="12" t="n">
        <f aca="false">INDEX(V$21:V$141,$I45+1)*(1-$J45)+INDEX(V$21:V$141,$I45+2)*$J45</f>
        <v>-212.648878536386</v>
      </c>
      <c r="X45" s="12" t="n">
        <f aca="false">INDEX(V$21:V$141,$K45+1)*(1-$L45)+INDEX(V$21:V$141,$K45+2)*$L45</f>
        <v>-214.828038294035</v>
      </c>
      <c r="Y45" s="12" t="n">
        <f aca="false">$C45+$D45+MAX(W45,X45,IF(COUNTIFS($A$21:$A$141,"&gt;="&amp;$G45,$A$21:$A$141,"&lt;="&amp;$H45)&gt;0,_xlfn.MAXIFS(V$21:V$141,$A$21:$A$141,"&gt;="&amp;$G45,$A$21:$A$141,"&lt;="&amp;$H45),W45))</f>
        <v>-47.6488785363858</v>
      </c>
      <c r="Z45" s="12" t="n">
        <f aca="false">-Cost_k*$A45+Beta_q*(Declarations!$B$16*INDEX(Y$21:Y$141,MAX(1,MIN(121,$B45-ROUND(Declarations!$A$16/$D$18,0))))+Declarations!$B$17*INDEX(Y$21:Y$141,MAX(1,MIN(121,$B45-ROUND(Declarations!$A$17/$D$18,0))))+Declarations!$B$18*INDEX(Y$21:Y$141,MAX(1,MIN(121,$B45-ROUND(Declarations!$A$18/$D$18,0))))+Declarations!$B$19*INDEX(Y$21:Y$141,MAX(1,MIN(121,$B45-ROUND(Declarations!$A$19/$D$18,0))))+Declarations!$B$20*INDEX(Y$21:Y$141,MAX(1,MIN(121,$B45-ROUND(Declarations!$A$20/$D$18,0)))))</f>
        <v>-230.636499319171</v>
      </c>
      <c r="AA45" s="12" t="n">
        <f aca="false">INDEX(Z$21:Z$141,$I45+1)*(1-$J45)+INDEX(Z$21:Z$141,$I45+2)*$J45</f>
        <v>-231.921212829485</v>
      </c>
      <c r="AB45" s="12" t="n">
        <f aca="false">INDEX(Z$21:Z$141,$K45+1)*(1-$L45)+INDEX(Z$21:Z$141,$K45+2)*$L45</f>
        <v>-229.731832146709</v>
      </c>
      <c r="AC45" s="12" t="n">
        <f aca="false">$C45+$D45+MAX(AA45,AB45,IF(COUNTIFS($A$21:$A$141,"&gt;="&amp;$G45,$A$21:$A$141,"&lt;="&amp;$H45)&gt;0,_xlfn.MAXIFS(Z$21:Z$141,$A$21:$A$141,"&gt;="&amp;$G45,$A$21:$A$141,"&lt;="&amp;$H45),AA45))</f>
        <v>-64.7318321467088</v>
      </c>
      <c r="AD45" s="12" t="n">
        <f aca="false">-Cost_k*$A45+Beta_q*(Declarations!$B$16*INDEX(AC$21:AC$141,MAX(1,MIN(121,$B45-ROUND(Declarations!$A$16/$D$18,0))))+Declarations!$B$17*INDEX(AC$21:AC$141,MAX(1,MIN(121,$B45-ROUND(Declarations!$A$17/$D$18,0))))+Declarations!$B$18*INDEX(AC$21:AC$141,MAX(1,MIN(121,$B45-ROUND(Declarations!$A$18/$D$18,0))))+Declarations!$B$19*INDEX(AC$21:AC$141,MAX(1,MIN(121,$B45-ROUND(Declarations!$A$19/$D$18,0))))+Declarations!$B$20*INDEX(AC$21:AC$141,MAX(1,MIN(121,$B45-ROUND(Declarations!$A$20/$D$18,0)))))</f>
        <v>-247.235286840201</v>
      </c>
      <c r="AE45" s="12" t="n">
        <f aca="false">INDEX(AD$21:AD$141,$I45+1)*(1-$J45)+INDEX(AD$21:AD$141,$I45+2)*$J45</f>
        <v>-249.553711260228</v>
      </c>
      <c r="AF45" s="12" t="n">
        <f aca="false">INDEX(AD$21:AD$141,$K45+1)*(1-$L45)+INDEX(AD$21:AD$141,$K45+2)*$L45</f>
        <v>-244.73718462375</v>
      </c>
      <c r="AG45" s="12" t="n">
        <f aca="false">$C45+$D45+MAX(AE45,AF45,IF(COUNTIFS($A$21:$A$141,"&gt;="&amp;$G45,$A$21:$A$141,"&lt;="&amp;$H45)&gt;0,_xlfn.MAXIFS(AD$21:AD$141,$A$21:$A$141,"&gt;="&amp;$G45,$A$21:$A$141,"&lt;="&amp;$H45),AE45))</f>
        <v>-79.7371846237501</v>
      </c>
      <c r="AH45" s="12" t="n">
        <f aca="false">-Cost_k*$A45+Beta_q*(Declarations!$B$16*INDEX(AG$21:AG$141,MAX(1,MIN(121,$B45-ROUND(Declarations!$A$16/$D$18,0))))+Declarations!$B$17*INDEX(AG$21:AG$141,MAX(1,MIN(121,$B45-ROUND(Declarations!$A$17/$D$18,0))))+Declarations!$B$18*INDEX(AG$21:AG$141,MAX(1,MIN(121,$B45-ROUND(Declarations!$A$18/$D$18,0))))+Declarations!$B$19*INDEX(AG$21:AG$141,MAX(1,MIN(121,$B45-ROUND(Declarations!$A$19/$D$18,0))))+Declarations!$B$20*INDEX(AG$21:AG$141,MAX(1,MIN(121,$B45-ROUND(Declarations!$A$20/$D$18,0)))))</f>
        <v>-261.864614502985</v>
      </c>
      <c r="AI45" s="12" t="n">
        <f aca="false">INDEX(AH$21:AH$141,$I45+1)*(1-$J45)+INDEX(AH$21:AH$141,$I45+2)*$J45</f>
        <v>-265.477473676893</v>
      </c>
      <c r="AJ45" s="12" t="n">
        <f aca="false">INDEX(AH$21:AH$141,$K45+1)*(1-$L45)+INDEX(AH$21:AH$141,$K45+2)*$L45</f>
        <v>-257.675275724258</v>
      </c>
      <c r="AK45" s="12" t="n">
        <f aca="false">$C45+$D45+MAX(AI45,AJ45,IF(COUNTIFS($A$21:$A$141,"&gt;="&amp;$G45,$A$21:$A$141,"&lt;="&amp;$H45)&gt;0,_xlfn.MAXIFS(AH$21:AH$141,$A$21:$A$141,"&gt;="&amp;$G45,$A$21:$A$141,"&lt;="&amp;$H45),AI45))</f>
        <v>-92.6752757242583</v>
      </c>
      <c r="AL45" s="12" t="n">
        <f aca="false">-Cost_k*$A45+Beta_q*(Declarations!$B$16*INDEX(AK$21:AK$141,MAX(1,MIN(121,$B45-ROUND(Declarations!$A$16/$D$18,0))))+Declarations!$B$17*INDEX(AK$21:AK$141,MAX(1,MIN(121,$B45-ROUND(Declarations!$A$17/$D$18,0))))+Declarations!$B$18*INDEX(AK$21:AK$141,MAX(1,MIN(121,$B45-ROUND(Declarations!$A$18/$D$18,0))))+Declarations!$B$19*INDEX(AK$21:AK$141,MAX(1,MIN(121,$B45-ROUND(Declarations!$A$19/$D$18,0))))+Declarations!$B$20*INDEX(AK$21:AK$141,MAX(1,MIN(121,$B45-ROUND(Declarations!$A$20/$D$18,0)))))</f>
        <v>-274.493949544911</v>
      </c>
      <c r="AM45" s="12" t="n">
        <f aca="false">INDEX(AL$21:AL$141,$I45+1)*(1-$J45)+INDEX(AL$21:AL$141,$I45+2)*$J45</f>
        <v>-279.47044970953</v>
      </c>
      <c r="AN45" s="12" t="n">
        <f aca="false">INDEX(AL$21:AL$141,$K45+1)*(1-$L45)+INDEX(AL$21:AL$141,$K45+2)*$L45</f>
        <v>-268.662552108426</v>
      </c>
      <c r="AO45" s="12" t="n">
        <f aca="false">$C45+$D45+MAX(AM45,AN45,IF(COUNTIFS($A$21:$A$141,"&gt;="&amp;$G45,$A$21:$A$141,"&lt;="&amp;$H45)&gt;0,_xlfn.MAXIFS(AL$21:AL$141,$A$21:$A$141,"&gt;="&amp;$G45,$A$21:$A$141,"&lt;="&amp;$H45),AM45))</f>
        <v>-103.662552108426</v>
      </c>
      <c r="AP45" s="12" t="n">
        <f aca="false">-Cost_k*$A45+Beta_q*(Declarations!$B$16*INDEX(AO$21:AO$141,MAX(1,MIN(121,$B45-ROUND(Declarations!$A$16/$D$18,0))))+Declarations!$B$17*INDEX(AO$21:AO$141,MAX(1,MIN(121,$B45-ROUND(Declarations!$A$17/$D$18,0))))+Declarations!$B$18*INDEX(AO$21:AO$141,MAX(1,MIN(121,$B45-ROUND(Declarations!$A$18/$D$18,0))))+Declarations!$B$19*INDEX(AO$21:AO$141,MAX(1,MIN(121,$B45-ROUND(Declarations!$A$19/$D$18,0))))+Declarations!$B$20*INDEX(AO$21:AO$141,MAX(1,MIN(121,$B45-ROUND(Declarations!$A$20/$D$18,0)))))</f>
        <v>-285.223419794744</v>
      </c>
      <c r="AQ45" s="12" t="n">
        <f aca="false">INDEX(AP$21:AP$141,$I45+1)*(1-$J45)+INDEX(AP$21:AP$141,$I45+2)*$J45</f>
        <v>-291.527779641886</v>
      </c>
      <c r="AR45" s="12" t="n">
        <f aca="false">INDEX(AP$21:AP$141,$K45+1)*(1-$L45)+INDEX(AP$21:AP$141,$K45+2)*$L45</f>
        <v>-277.845486485504</v>
      </c>
      <c r="AS45" s="12" t="n">
        <f aca="false">$C45+$D45+MAX(AQ45,AR45,IF(COUNTIFS($A$21:$A$141,"&gt;="&amp;$G45,$A$21:$A$141,"&lt;="&amp;$H45)&gt;0,_xlfn.MAXIFS(AP$21:AP$141,$A$21:$A$141,"&gt;="&amp;$G45,$A$21:$A$141,"&lt;="&amp;$H45),AQ45))</f>
        <v>-112.845486485504</v>
      </c>
      <c r="AT45" s="12" t="n">
        <f aca="false">-Cost_k*$A45+Beta_q*(Declarations!$B$16*INDEX(AS$21:AS$141,MAX(1,MIN(121,$B45-ROUND(Declarations!$A$16/$D$18,0))))+Declarations!$B$17*INDEX(AS$21:AS$141,MAX(1,MIN(121,$B45-ROUND(Declarations!$A$17/$D$18,0))))+Declarations!$B$18*INDEX(AS$21:AS$141,MAX(1,MIN(121,$B45-ROUND(Declarations!$A$18/$D$18,0))))+Declarations!$B$19*INDEX(AS$21:AS$141,MAX(1,MIN(121,$B45-ROUND(Declarations!$A$19/$D$18,0))))+Declarations!$B$20*INDEX(AS$21:AS$141,MAX(1,MIN(121,$B45-ROUND(Declarations!$A$20/$D$18,0)))))</f>
        <v>-294.199606517874</v>
      </c>
      <c r="AU45" s="12" t="n">
        <f aca="false">INDEX(AT$21:AT$141,$I45+1)*(1-$J45)+INDEX(AT$21:AT$141,$I45+2)*$J45</f>
        <v>-301.748850976947</v>
      </c>
      <c r="AV45" s="12" t="n">
        <f aca="false">INDEX(AT$21:AT$141,$K45+1)*(1-$L45)+INDEX(AT$21:AT$141,$K45+2)*$L45</f>
        <v>-285.440913550976</v>
      </c>
      <c r="AW45" s="12" t="n">
        <f aca="false">$C45+$D45+MAX(AU45,AV45,IF(COUNTIFS($A$21:$A$141,"&gt;="&amp;$G45,$A$21:$A$141,"&lt;="&amp;$H45)&gt;0,_xlfn.MAXIFS(AT$21:AT$141,$A$21:$A$141,"&gt;="&amp;$G45,$A$21:$A$141,"&lt;="&amp;$H45),AU45))</f>
        <v>-120.440913550976</v>
      </c>
      <c r="AX45" s="12" t="n">
        <f aca="false">-Cost_k*$A45+Beta_q*(Declarations!$B$16*INDEX(AW$21:AW$141,MAX(1,MIN(121,$B45-ROUND(Declarations!$A$16/$D$18,0))))+Declarations!$B$17*INDEX(AW$21:AW$141,MAX(1,MIN(121,$B45-ROUND(Declarations!$A$17/$D$18,0))))+Declarations!$B$18*INDEX(AW$21:AW$141,MAX(1,MIN(121,$B45-ROUND(Declarations!$A$18/$D$18,0))))+Declarations!$B$19*INDEX(AW$21:AW$141,MAX(1,MIN(121,$B45-ROUND(Declarations!$A$19/$D$18,0))))+Declarations!$B$20*INDEX(AW$21:AW$141,MAX(1,MIN(121,$B45-ROUND(Declarations!$A$20/$D$18,0)))))</f>
        <v>-301.638119935289</v>
      </c>
      <c r="AY45" s="12" t="n">
        <f aca="false">INDEX(AX$21:AX$141,$I45+1)*(1-$J45)+INDEX(AX$21:AX$141,$I45+2)*$J45</f>
        <v>-310.288725995351</v>
      </c>
      <c r="AZ45" s="12" t="n">
        <f aca="false">INDEX(AX$21:AX$141,$K45+1)*(1-$L45)+INDEX(AX$21:AX$141,$K45+2)*$L45</f>
        <v>-291.761083546181</v>
      </c>
      <c r="BA45" s="12" t="n">
        <f aca="false">$C45+$D45+MAX(AY45,AZ45,IF(COUNTIFS($A$21:$A$141,"&gt;="&amp;$G45,$A$21:$A$141,"&lt;="&amp;$H45)&gt;0,_xlfn.MAXIFS(AX$21:AX$141,$A$21:$A$141,"&gt;="&amp;$G45,$A$21:$A$141,"&lt;="&amp;$H45),AY45))</f>
        <v>-126.761083546181</v>
      </c>
      <c r="BB45" s="12" t="n">
        <f aca="false">-Cost_k*$A45+Beta_q*(Declarations!$B$16*INDEX(BA$21:BA$141,MAX(1,MIN(121,$B45-ROUND(Declarations!$A$16/$D$18,0))))+Declarations!$B$17*INDEX(BA$21:BA$141,MAX(1,MIN(121,$B45-ROUND(Declarations!$A$17/$D$18,0))))+Declarations!$B$18*INDEX(BA$21:BA$141,MAX(1,MIN(121,$B45-ROUND(Declarations!$A$18/$D$18,0))))+Declarations!$B$19*INDEX(BA$21:BA$141,MAX(1,MIN(121,$B45-ROUND(Declarations!$A$19/$D$18,0))))+Declarations!$B$20*INDEX(BA$21:BA$141,MAX(1,MIN(121,$B45-ROUND(Declarations!$A$20/$D$18,0)))))</f>
        <v>-307.843898816389</v>
      </c>
      <c r="BC45" s="12" t="n">
        <f aca="false">INDEX(BB$21:BB$141,$I45+1)*(1-$J45)+INDEX(BB$21:BB$141,$I45+2)*$J45</f>
        <v>-317.376151207923</v>
      </c>
      <c r="BD45" s="12" t="n">
        <f aca="false">INDEX(BB$21:BB$141,$K45+1)*(1-$L45)+INDEX(BB$21:BB$141,$K45+2)*$L45</f>
        <v>-297.192238303216</v>
      </c>
      <c r="BE45" s="12" t="n">
        <f aca="false">$C45+$D45+MAX(BC45,BD45,IF(COUNTIFS($A$21:$A$141,"&gt;="&amp;$G45,$A$21:$A$141,"&lt;="&amp;$H45)&gt;0,_xlfn.MAXIFS(BB$21:BB$141,$A$21:$A$141,"&gt;="&amp;$G45,$A$21:$A$141,"&lt;="&amp;$H45),BC45))</f>
        <v>-132.192238303216</v>
      </c>
      <c r="BF45" s="12" t="n">
        <f aca="false">-Cost_k*$A45+Beta_q*(Declarations!$B$16*INDEX(BE$21:BE$141,MAX(1,MIN(121,$B45-ROUND(Declarations!$A$16/$D$18,0))))+Declarations!$B$17*INDEX(BE$21:BE$141,MAX(1,MIN(121,$B45-ROUND(Declarations!$A$17/$D$18,0))))+Declarations!$B$18*INDEX(BE$21:BE$141,MAX(1,MIN(121,$B45-ROUND(Declarations!$A$18/$D$18,0))))+Declarations!$B$19*INDEX(BE$21:BE$141,MAX(1,MIN(121,$B45-ROUND(Declarations!$A$19/$D$18,0))))+Declarations!$B$20*INDEX(BE$21:BE$141,MAX(1,MIN(121,$B45-ROUND(Declarations!$A$20/$D$18,0)))))</f>
        <v>-313.184152546004</v>
      </c>
      <c r="BG45" s="12" t="n">
        <f aca="false">INDEX(BF$21:BF$141,$I45+1)*(1-$J45)+INDEX(BF$21:BF$141,$I45+2)*$J45</f>
        <v>-323.321936878931</v>
      </c>
      <c r="BH45" s="12" t="n">
        <f aca="false">INDEX(BF$21:BF$141,$K45+1)*(1-$L45)+INDEX(BF$21:BF$141,$K45+2)*$L45</f>
        <v>-302.088218093215</v>
      </c>
      <c r="BI45" s="12" t="n">
        <f aca="false">$C45+$D45+MAX(BG45,BH45,IF(COUNTIFS($A$21:$A$141,"&gt;="&amp;$G45,$A$21:$A$141,"&lt;="&amp;$H45)&gt;0,_xlfn.MAXIFS(BF$21:BF$141,$A$21:$A$141,"&gt;="&amp;$G45,$A$21:$A$141,"&lt;="&amp;$H45),BG45))</f>
        <v>-137.088218093215</v>
      </c>
      <c r="BJ45" s="23" t="n">
        <v>-137.088218093215</v>
      </c>
      <c r="BK45" s="22" t="n">
        <f aca="false">ABS(BI45-BJ45)</f>
        <v>0</v>
      </c>
    </row>
    <row r="46" customFormat="false" ht="15" hidden="false" customHeight="false" outlineLevel="0" collapsed="false">
      <c r="A46" s="14" t="n">
        <f aca="false">A45+$D$18</f>
        <v>46.25</v>
      </c>
      <c r="B46" s="19" t="n">
        <v>26</v>
      </c>
      <c r="C46" s="12" t="n">
        <f aca="false">-Short_p*MAX(Floor_c-A46,0)</f>
        <v>-14</v>
      </c>
      <c r="D46" s="12" t="n">
        <f aca="false">Cost_k*Alpha_keep*A46</f>
        <v>180.375</v>
      </c>
      <c r="E46" s="12" t="n">
        <f aca="false">MIN(Cap_h,MAX(0,$B$18+MAX(Loss_w)-Alpha_keep*A46))</f>
        <v>0</v>
      </c>
      <c r="F46" s="12" t="n">
        <f aca="false">MAX(MIN(Cap_h,$F$18+MIN(Loss_w)-Alpha_keep*A46),E46)</f>
        <v>2.5</v>
      </c>
      <c r="G46" s="12" t="n">
        <f aca="false">Alpha_keep*A46+E46</f>
        <v>45.09375</v>
      </c>
      <c r="H46" s="12" t="n">
        <f aca="false">Alpha_keep*A46+F46</f>
        <v>47.59375</v>
      </c>
      <c r="I46" s="19" t="n">
        <f aca="false">MIN(INT((G46-$B$18)/$D$18+0.000000001),119)</f>
        <v>20</v>
      </c>
      <c r="J46" s="12" t="n">
        <f aca="false">(G46-$B$18)/$D$18-I46</f>
        <v>0.375</v>
      </c>
      <c r="K46" s="19" t="n">
        <f aca="false">MIN(INT((H46-$B$18)/$D$18+0.000000001),119)</f>
        <v>30</v>
      </c>
      <c r="L46" s="12" t="n">
        <f aca="false">(H46-$B$18)/$D$18-K46</f>
        <v>0.375</v>
      </c>
      <c r="M46" s="9" t="n">
        <v>0</v>
      </c>
      <c r="N46" s="12" t="n">
        <f aca="false">-Cost_k*$A46+Beta_q*(Declarations!$B$16*INDEX(M$21:M$141,MAX(1,MIN(121,$B46-ROUND(Declarations!$A$16/$D$18,0))))+Declarations!$B$17*INDEX(M$21:M$141,MAX(1,MIN(121,$B46-ROUND(Declarations!$A$17/$D$18,0))))+Declarations!$B$18*INDEX(M$21:M$141,MAX(1,MIN(121,$B46-ROUND(Declarations!$A$18/$D$18,0))))+Declarations!$B$19*INDEX(M$21:M$141,MAX(1,MIN(121,$B46-ROUND(Declarations!$A$19/$D$18,0))))+Declarations!$B$20*INDEX(M$21:M$141,MAX(1,MIN(121,$B46-ROUND(Declarations!$A$20/$D$18,0)))))</f>
        <v>-185</v>
      </c>
      <c r="O46" s="12" t="n">
        <f aca="false">INDEX(N$21:N$141,$I46+1)*(1-$J46)+INDEX(N$21:N$141,$I46+2)*$J46</f>
        <v>-180.375</v>
      </c>
      <c r="P46" s="12" t="n">
        <f aca="false">INDEX(N$21:N$141,$K46+1)*(1-$L46)+INDEX(N$21:N$141,$K46+2)*$L46</f>
        <v>-190.375</v>
      </c>
      <c r="Q46" s="12" t="n">
        <f aca="false">$C46+$D46+MAX(O46,P46,IF(COUNTIFS($A$21:$A$141,"&gt;="&amp;$G46,$A$21:$A$141,"&lt;="&amp;$H46)&gt;0,_xlfn.MAXIFS(N$21:N$141,$A$21:$A$141,"&gt;="&amp;$G46,$A$21:$A$141,"&lt;="&amp;$H46),O46))</f>
        <v>-14</v>
      </c>
      <c r="R46" s="12" t="n">
        <f aca="false">-Cost_k*$A46+Beta_q*(Declarations!$B$16*INDEX(Q$21:Q$141,MAX(1,MIN(121,$B46-ROUND(Declarations!$A$16/$D$18,0))))+Declarations!$B$17*INDEX(Q$21:Q$141,MAX(1,MIN(121,$B46-ROUND(Declarations!$A$17/$D$18,0))))+Declarations!$B$18*INDEX(Q$21:Q$141,MAX(1,MIN(121,$B46-ROUND(Declarations!$A$18/$D$18,0))))+Declarations!$B$19*INDEX(Q$21:Q$141,MAX(1,MIN(121,$B46-ROUND(Declarations!$A$19/$D$18,0))))+Declarations!$B$20*INDEX(Q$21:Q$141,MAX(1,MIN(121,$B46-ROUND(Declarations!$A$20/$D$18,0)))))</f>
        <v>-198.670357255468</v>
      </c>
      <c r="S46" s="12" t="n">
        <f aca="false">INDEX(R$21:R$141,$I46+1)*(1-$J46)+INDEX(R$21:R$141,$I46+2)*$J46</f>
        <v>-195.85179732137</v>
      </c>
      <c r="T46" s="12" t="n">
        <f aca="false">INDEX(R$21:R$141,$K46+1)*(1-$L46)+INDEX(R$21:R$141,$K46+2)*$L46</f>
        <v>-201.945980962664</v>
      </c>
      <c r="U46" s="12" t="n">
        <f aca="false">$C46+$D46+MAX(S46,T46,IF(COUNTIFS($A$21:$A$141,"&gt;="&amp;$G46,$A$21:$A$141,"&lt;="&amp;$H46)&gt;0,_xlfn.MAXIFS(R$21:R$141,$A$21:$A$141,"&gt;="&amp;$G46,$A$21:$A$141,"&lt;="&amp;$H46),S46))</f>
        <v>-29.4767973213695</v>
      </c>
      <c r="V46" s="12" t="n">
        <f aca="false">-Cost_k*$A46+Beta_q*(Declarations!$B$16*INDEX(U$21:U$141,MAX(1,MIN(121,$B46-ROUND(Declarations!$A$16/$D$18,0))))+Declarations!$B$17*INDEX(U$21:U$141,MAX(1,MIN(121,$B46-ROUND(Declarations!$A$17/$D$18,0))))+Declarations!$B$18*INDEX(U$21:U$141,MAX(1,MIN(121,$B46-ROUND(Declarations!$A$18/$D$18,0))))+Declarations!$B$19*INDEX(U$21:U$141,MAX(1,MIN(121,$B46-ROUND(Declarations!$A$19/$D$18,0))))+Declarations!$B$20*INDEX(U$21:U$141,MAX(1,MIN(121,$B46-ROUND(Declarations!$A$20/$D$18,0)))))</f>
        <v>-213.786763205095</v>
      </c>
      <c r="W46" s="12" t="n">
        <f aca="false">INDEX(V$21:V$141,$I46+1)*(1-$J46)+INDEX(V$21:V$141,$I46+2)*$J46</f>
        <v>-212.79757793041</v>
      </c>
      <c r="X46" s="12" t="n">
        <f aca="false">INDEX(V$21:V$141,$K46+1)*(1-$L46)+INDEX(V$21:V$141,$K46+2)*$L46</f>
        <v>-215.059667049501</v>
      </c>
      <c r="Y46" s="12" t="n">
        <f aca="false">$C46+$D46+MAX(W46,X46,IF(COUNTIFS($A$21:$A$141,"&gt;="&amp;$G46,$A$21:$A$141,"&lt;="&amp;$H46)&gt;0,_xlfn.MAXIFS(V$21:V$141,$A$21:$A$141,"&gt;="&amp;$G46,$A$21:$A$141,"&lt;="&amp;$H46),W46))</f>
        <v>-46.42257793041</v>
      </c>
      <c r="Z46" s="12" t="n">
        <f aca="false">-Cost_k*$A46+Beta_q*(Declarations!$B$16*INDEX(Y$21:Y$141,MAX(1,MIN(121,$B46-ROUND(Declarations!$A$16/$D$18,0))))+Declarations!$B$17*INDEX(Y$21:Y$141,MAX(1,MIN(121,$B46-ROUND(Declarations!$A$17/$D$18,0))))+Declarations!$B$18*INDEX(Y$21:Y$141,MAX(1,MIN(121,$B46-ROUND(Declarations!$A$18/$D$18,0))))+Declarations!$B$19*INDEX(Y$21:Y$141,MAX(1,MIN(121,$B46-ROUND(Declarations!$A$19/$D$18,0))))+Declarations!$B$20*INDEX(Y$21:Y$141,MAX(1,MIN(121,$B46-ROUND(Declarations!$A$20/$D$18,0)))))</f>
        <v>-230.423132685004</v>
      </c>
      <c r="AA46" s="12" t="n">
        <f aca="false">INDEX(Z$21:Z$141,$I46+1)*(1-$J46)+INDEX(Z$21:Z$141,$I46+2)*$J46</f>
        <v>-231.614001546577</v>
      </c>
      <c r="AB46" s="12" t="n">
        <f aca="false">INDEX(Z$21:Z$141,$K46+1)*(1-$L46)+INDEX(Z$21:Z$141,$K46+2)*$L46</f>
        <v>-229.607746687233</v>
      </c>
      <c r="AC46" s="12" t="n">
        <f aca="false">$C46+$D46+MAX(AA46,AB46,IF(COUNTIFS($A$21:$A$141,"&gt;="&amp;$G46,$A$21:$A$141,"&lt;="&amp;$H46)&gt;0,_xlfn.MAXIFS(Z$21:Z$141,$A$21:$A$141,"&gt;="&amp;$G46,$A$21:$A$141,"&lt;="&amp;$H46),AA46))</f>
        <v>-63.2327466872334</v>
      </c>
      <c r="AD46" s="12" t="n">
        <f aca="false">-Cost_k*$A46+Beta_q*(Declarations!$B$16*INDEX(AC$21:AC$141,MAX(1,MIN(121,$B46-ROUND(Declarations!$A$16/$D$18,0))))+Declarations!$B$17*INDEX(AC$21:AC$141,MAX(1,MIN(121,$B46-ROUND(Declarations!$A$17/$D$18,0))))+Declarations!$B$18*INDEX(AC$21:AC$141,MAX(1,MIN(121,$B46-ROUND(Declarations!$A$18/$D$18,0))))+Declarations!$B$19*INDEX(AC$21:AC$141,MAX(1,MIN(121,$B46-ROUND(Declarations!$A$19/$D$18,0))))+Declarations!$B$20*INDEX(AC$21:AC$141,MAX(1,MIN(121,$B46-ROUND(Declarations!$A$20/$D$18,0)))))</f>
        <v>-246.763478190203</v>
      </c>
      <c r="AE46" s="12" t="n">
        <f aca="false">INDEX(AD$21:AD$141,$I46+1)*(1-$J46)+INDEX(AD$21:AD$141,$I46+2)*$J46</f>
        <v>-249.035973591748</v>
      </c>
      <c r="AF46" s="12" t="n">
        <f aca="false">INDEX(AD$21:AD$141,$K46+1)*(1-$L46)+INDEX(AD$21:AD$141,$K46+2)*$L46</f>
        <v>-244.293474969768</v>
      </c>
      <c r="AG46" s="12" t="n">
        <f aca="false">$C46+$D46+MAX(AE46,AF46,IF(COUNTIFS($A$21:$A$141,"&gt;="&amp;$G46,$A$21:$A$141,"&lt;="&amp;$H46)&gt;0,_xlfn.MAXIFS(AD$21:AD$141,$A$21:$A$141,"&gt;="&amp;$G46,$A$21:$A$141,"&lt;="&amp;$H46),AE46))</f>
        <v>-77.9184749697685</v>
      </c>
      <c r="AH46" s="12" t="n">
        <f aca="false">-Cost_k*$A46+Beta_q*(Declarations!$B$16*INDEX(AG$21:AG$141,MAX(1,MIN(121,$B46-ROUND(Declarations!$A$16/$D$18,0))))+Declarations!$B$17*INDEX(AG$21:AG$141,MAX(1,MIN(121,$B46-ROUND(Declarations!$A$17/$D$18,0))))+Declarations!$B$18*INDEX(AG$21:AG$141,MAX(1,MIN(121,$B46-ROUND(Declarations!$A$18/$D$18,0))))+Declarations!$B$19*INDEX(AG$21:AG$141,MAX(1,MIN(121,$B46-ROUND(Declarations!$A$19/$D$18,0))))+Declarations!$B$20*INDEX(AG$21:AG$141,MAX(1,MIN(121,$B46-ROUND(Declarations!$A$20/$D$18,0)))))</f>
        <v>-261.087077412878</v>
      </c>
      <c r="AI46" s="12" t="n">
        <f aca="false">INDEX(AH$21:AH$141,$I46+1)*(1-$J46)+INDEX(AH$21:AH$141,$I46+2)*$J46</f>
        <v>-264.704083592026</v>
      </c>
      <c r="AJ46" s="12" t="n">
        <f aca="false">INDEX(AH$21:AH$141,$K46+1)*(1-$L46)+INDEX(AH$21:AH$141,$K46+2)*$L46</f>
        <v>-256.92005778419</v>
      </c>
      <c r="AK46" s="12" t="n">
        <f aca="false">$C46+$D46+MAX(AI46,AJ46,IF(COUNTIFS($A$21:$A$141,"&gt;="&amp;$G46,$A$21:$A$141,"&lt;="&amp;$H46)&gt;0,_xlfn.MAXIFS(AH$21:AH$141,$A$21:$A$141,"&gt;="&amp;$G46,$A$21:$A$141,"&lt;="&amp;$H46),AI46))</f>
        <v>-90.5450577841896</v>
      </c>
      <c r="AL46" s="12" t="n">
        <f aca="false">-Cost_k*$A46+Beta_q*(Declarations!$B$16*INDEX(AK$21:AK$141,MAX(1,MIN(121,$B46-ROUND(Declarations!$A$16/$D$18,0))))+Declarations!$B$17*INDEX(AK$21:AK$141,MAX(1,MIN(121,$B46-ROUND(Declarations!$A$17/$D$18,0))))+Declarations!$B$18*INDEX(AK$21:AK$141,MAX(1,MIN(121,$B46-ROUND(Declarations!$A$18/$D$18,0))))+Declarations!$B$19*INDEX(AK$21:AK$141,MAX(1,MIN(121,$B46-ROUND(Declarations!$A$19/$D$18,0))))+Declarations!$B$20*INDEX(AK$21:AK$141,MAX(1,MIN(121,$B46-ROUND(Declarations!$A$20/$D$18,0)))))</f>
        <v>-273.413623182614</v>
      </c>
      <c r="AM46" s="12" t="n">
        <f aca="false">INDEX(AL$21:AL$141,$I46+1)*(1-$J46)+INDEX(AL$21:AL$141,$I46+2)*$J46</f>
        <v>-278.414077078352</v>
      </c>
      <c r="AN46" s="12" t="n">
        <f aca="false">INDEX(AL$21:AL$141,$K46+1)*(1-$L46)+INDEX(AL$21:AL$141,$K46+2)*$L46</f>
        <v>-267.610510698835</v>
      </c>
      <c r="AO46" s="12" t="n">
        <f aca="false">$C46+$D46+MAX(AM46,AN46,IF(COUNTIFS($A$21:$A$141,"&gt;="&amp;$G46,$A$21:$A$141,"&lt;="&amp;$H46)&gt;0,_xlfn.MAXIFS(AL$21:AL$141,$A$21:$A$141,"&gt;="&amp;$G46,$A$21:$A$141,"&lt;="&amp;$H46),AM46))</f>
        <v>-101.235510698835</v>
      </c>
      <c r="AP46" s="12" t="n">
        <f aca="false">-Cost_k*$A46+Beta_q*(Declarations!$B$16*INDEX(AO$21:AO$141,MAX(1,MIN(121,$B46-ROUND(Declarations!$A$16/$D$18,0))))+Declarations!$B$17*INDEX(AO$21:AO$141,MAX(1,MIN(121,$B46-ROUND(Declarations!$A$17/$D$18,0))))+Declarations!$B$18*INDEX(AO$21:AO$141,MAX(1,MIN(121,$B46-ROUND(Declarations!$A$18/$D$18,0))))+Declarations!$B$19*INDEX(AO$21:AO$141,MAX(1,MIN(121,$B46-ROUND(Declarations!$A$19/$D$18,0))))+Declarations!$B$20*INDEX(AO$21:AO$141,MAX(1,MIN(121,$B46-ROUND(Declarations!$A$20/$D$18,0)))))</f>
        <v>-283.854189564592</v>
      </c>
      <c r="AQ46" s="12" t="n">
        <f aca="false">INDEX(AP$21:AP$141,$I46+1)*(1-$J46)+INDEX(AP$21:AP$141,$I46+2)*$J46</f>
        <v>-290.190916318274</v>
      </c>
      <c r="AR46" s="12" t="n">
        <f aca="false">INDEX(AP$21:AP$141,$K46+1)*(1-$L46)+INDEX(AP$21:AP$141,$K46+2)*$L46</f>
        <v>-276.519631733374</v>
      </c>
      <c r="AS46" s="12" t="n">
        <f aca="false">$C46+$D46+MAX(AQ46,AR46,IF(COUNTIFS($A$21:$A$141,"&gt;="&amp;$G46,$A$21:$A$141,"&lt;="&amp;$H46)&gt;0,_xlfn.MAXIFS(AP$21:AP$141,$A$21:$A$141,"&gt;="&amp;$G46,$A$21:$A$141,"&lt;="&amp;$H46),AQ46))</f>
        <v>-110.144631733374</v>
      </c>
      <c r="AT46" s="12" t="n">
        <f aca="false">-Cost_k*$A46+Beta_q*(Declarations!$B$16*INDEX(AS$21:AS$141,MAX(1,MIN(121,$B46-ROUND(Declarations!$A$16/$D$18,0))))+Declarations!$B$17*INDEX(AS$21:AS$141,MAX(1,MIN(121,$B46-ROUND(Declarations!$A$17/$D$18,0))))+Declarations!$B$18*INDEX(AS$21:AS$141,MAX(1,MIN(121,$B46-ROUND(Declarations!$A$18/$D$18,0))))+Declarations!$B$19*INDEX(AS$21:AS$141,MAX(1,MIN(121,$B46-ROUND(Declarations!$A$19/$D$18,0))))+Declarations!$B$20*INDEX(AS$21:AS$141,MAX(1,MIN(121,$B46-ROUND(Declarations!$A$20/$D$18,0)))))</f>
        <v>-292.565226230439</v>
      </c>
      <c r="AU46" s="12" t="n">
        <f aca="false">INDEX(AT$21:AT$141,$I46+1)*(1-$J46)+INDEX(AT$21:AT$141,$I46+2)*$J46</f>
        <v>-300.145736717808</v>
      </c>
      <c r="AV46" s="12" t="n">
        <f aca="false">INDEX(AT$21:AT$141,$K46+1)*(1-$L46)+INDEX(AT$21:AT$141,$K46+2)*$L46</f>
        <v>-283.88296618173</v>
      </c>
      <c r="AW46" s="12" t="n">
        <f aca="false">$C46+$D46+MAX(AU46,AV46,IF(COUNTIFS($A$21:$A$141,"&gt;="&amp;$G46,$A$21:$A$141,"&lt;="&amp;$H46)&gt;0,_xlfn.MAXIFS(AT$21:AT$141,$A$21:$A$141,"&gt;="&amp;$G46,$A$21:$A$141,"&lt;="&amp;$H46),AU46))</f>
        <v>-117.50796618173</v>
      </c>
      <c r="AX46" s="12" t="n">
        <f aca="false">-Cost_k*$A46+Beta_q*(Declarations!$B$16*INDEX(AW$21:AW$141,MAX(1,MIN(121,$B46-ROUND(Declarations!$A$16/$D$18,0))))+Declarations!$B$17*INDEX(AW$21:AW$141,MAX(1,MIN(121,$B46-ROUND(Declarations!$A$17/$D$18,0))))+Declarations!$B$18*INDEX(AW$21:AW$141,MAX(1,MIN(121,$B46-ROUND(Declarations!$A$18/$D$18,0))))+Declarations!$B$19*INDEX(AW$21:AW$141,MAX(1,MIN(121,$B46-ROUND(Declarations!$A$19/$D$18,0))))+Declarations!$B$20*INDEX(AW$21:AW$141,MAX(1,MIN(121,$B46-ROUND(Declarations!$A$20/$D$18,0)))))</f>
        <v>-299.779823897218</v>
      </c>
      <c r="AY46" s="12" t="n">
        <f aca="false">INDEX(AX$21:AX$141,$I46+1)*(1-$J46)+INDEX(AX$21:AX$141,$I46+2)*$J46</f>
        <v>-308.444618071459</v>
      </c>
      <c r="AZ46" s="12" t="n">
        <f aca="false">INDEX(AX$21:AX$141,$K46+1)*(1-$L46)+INDEX(AX$21:AX$141,$K46+2)*$L46</f>
        <v>-290.030482741396</v>
      </c>
      <c r="BA46" s="12" t="n">
        <f aca="false">$C46+$D46+MAX(AY46,AZ46,IF(COUNTIFS($A$21:$A$141,"&gt;="&amp;$G46,$A$21:$A$141,"&lt;="&amp;$H46)&gt;0,_xlfn.MAXIFS(AX$21:AX$141,$A$21:$A$141,"&gt;="&amp;$G46,$A$21:$A$141,"&lt;="&amp;$H46),AY46))</f>
        <v>-123.655482741396</v>
      </c>
      <c r="BB46" s="12" t="n">
        <f aca="false">-Cost_k*$A46+Beta_q*(Declarations!$B$16*INDEX(BA$21:BA$141,MAX(1,MIN(121,$B46-ROUND(Declarations!$A$16/$D$18,0))))+Declarations!$B$17*INDEX(BA$21:BA$141,MAX(1,MIN(121,$B46-ROUND(Declarations!$A$17/$D$18,0))))+Declarations!$B$18*INDEX(BA$21:BA$141,MAX(1,MIN(121,$B46-ROUND(Declarations!$A$18/$D$18,0))))+Declarations!$B$19*INDEX(BA$21:BA$141,MAX(1,MIN(121,$B46-ROUND(Declarations!$A$19/$D$18,0))))+Declarations!$B$20*INDEX(BA$21:BA$141,MAX(1,MIN(121,$B46-ROUND(Declarations!$A$20/$D$18,0)))))</f>
        <v>-305.819216514824</v>
      </c>
      <c r="BC46" s="12" t="n">
        <f aca="false">INDEX(BB$21:BB$141,$I46+1)*(1-$J46)+INDEX(BB$21:BB$141,$I46+2)*$J46</f>
        <v>-315.331757969065</v>
      </c>
      <c r="BD46" s="12" t="n">
        <f aca="false">INDEX(BB$21:BB$141,$K46+1)*(1-$L46)+INDEX(BB$21:BB$141,$K46+2)*$L46</f>
        <v>-295.355123428723</v>
      </c>
      <c r="BE46" s="12" t="n">
        <f aca="false">$C46+$D46+MAX(BC46,BD46,IF(COUNTIFS($A$21:$A$141,"&gt;="&amp;$G46,$A$21:$A$141,"&lt;="&amp;$H46)&gt;0,_xlfn.MAXIFS(BB$21:BB$141,$A$21:$A$141,"&gt;="&amp;$G46,$A$21:$A$141,"&lt;="&amp;$H46),BC46))</f>
        <v>-128.980123428723</v>
      </c>
      <c r="BF46" s="12" t="n">
        <f aca="false">-Cost_k*$A46+Beta_q*(Declarations!$B$16*INDEX(BE$21:BE$141,MAX(1,MIN(121,$B46-ROUND(Declarations!$A$16/$D$18,0))))+Declarations!$B$17*INDEX(BE$21:BE$141,MAX(1,MIN(121,$B46-ROUND(Declarations!$A$17/$D$18,0))))+Declarations!$B$18*INDEX(BE$21:BE$141,MAX(1,MIN(121,$B46-ROUND(Declarations!$A$18/$D$18,0))))+Declarations!$B$19*INDEX(BE$21:BE$141,MAX(1,MIN(121,$B46-ROUND(Declarations!$A$19/$D$18,0))))+Declarations!$B$20*INDEX(BE$21:BE$141,MAX(1,MIN(121,$B46-ROUND(Declarations!$A$20/$D$18,0)))))</f>
        <v>-311.055212281311</v>
      </c>
      <c r="BG46" s="12" t="n">
        <f aca="false">INDEX(BF$21:BF$141,$I46+1)*(1-$J46)+INDEX(BF$21:BF$141,$I46+2)*$J46</f>
        <v>-321.132500858152</v>
      </c>
      <c r="BH46" s="12" t="n">
        <f aca="false">INDEX(BF$21:BF$141,$K46+1)*(1-$L46)+INDEX(BF$21:BF$141,$K46+2)*$L46</f>
        <v>-300.198367412053</v>
      </c>
      <c r="BI46" s="12" t="n">
        <f aca="false">$C46+$D46+MAX(BG46,BH46,IF(COUNTIFS($A$21:$A$141,"&gt;="&amp;$G46,$A$21:$A$141,"&lt;="&amp;$H46)&gt;0,_xlfn.MAXIFS(BF$21:BF$141,$A$21:$A$141,"&gt;="&amp;$G46,$A$21:$A$141,"&lt;="&amp;$H46),BG46))</f>
        <v>-133.823367412053</v>
      </c>
      <c r="BJ46" s="23" t="n">
        <v>-133.823367412054</v>
      </c>
      <c r="BK46" s="22" t="n">
        <f aca="false">ABS(BI46-BJ46)</f>
        <v>0</v>
      </c>
    </row>
    <row r="47" customFormat="false" ht="15" hidden="false" customHeight="false" outlineLevel="0" collapsed="false">
      <c r="A47" s="14" t="n">
        <f aca="false">A46+$D$18</f>
        <v>46.5</v>
      </c>
      <c r="B47" s="19" t="n">
        <v>27</v>
      </c>
      <c r="C47" s="12" t="n">
        <f aca="false">-Short_p*MAX(Floor_c-A47,0)</f>
        <v>-13.6</v>
      </c>
      <c r="D47" s="12" t="n">
        <f aca="false">Cost_k*Alpha_keep*A47</f>
        <v>181.35</v>
      </c>
      <c r="E47" s="12" t="n">
        <f aca="false">MIN(Cap_h,MAX(0,$B$18+MAX(Loss_w)-Alpha_keep*A47))</f>
        <v>0</v>
      </c>
      <c r="F47" s="12" t="n">
        <f aca="false">MAX(MIN(Cap_h,$F$18+MIN(Loss_w)-Alpha_keep*A47),E47)</f>
        <v>2.5</v>
      </c>
      <c r="G47" s="12" t="n">
        <f aca="false">Alpha_keep*A47+E47</f>
        <v>45.3375</v>
      </c>
      <c r="H47" s="12" t="n">
        <f aca="false">Alpha_keep*A47+F47</f>
        <v>47.8375</v>
      </c>
      <c r="I47" s="19" t="n">
        <f aca="false">MIN(INT((G47-$B$18)/$D$18+0.000000001),119)</f>
        <v>21</v>
      </c>
      <c r="J47" s="12" t="n">
        <f aca="false">(G47-$B$18)/$D$18-I47</f>
        <v>0.349999999999994</v>
      </c>
      <c r="K47" s="19" t="n">
        <f aca="false">MIN(INT((H47-$B$18)/$D$18+0.000000001),119)</f>
        <v>31</v>
      </c>
      <c r="L47" s="12" t="n">
        <f aca="false">(H47-$B$18)/$D$18-K47</f>
        <v>0.349999999999994</v>
      </c>
      <c r="M47" s="9" t="n">
        <v>0</v>
      </c>
      <c r="N47" s="12" t="n">
        <f aca="false">-Cost_k*$A47+Beta_q*(Declarations!$B$16*INDEX(M$21:M$141,MAX(1,MIN(121,$B47-ROUND(Declarations!$A$16/$D$18,0))))+Declarations!$B$17*INDEX(M$21:M$141,MAX(1,MIN(121,$B47-ROUND(Declarations!$A$17/$D$18,0))))+Declarations!$B$18*INDEX(M$21:M$141,MAX(1,MIN(121,$B47-ROUND(Declarations!$A$18/$D$18,0))))+Declarations!$B$19*INDEX(M$21:M$141,MAX(1,MIN(121,$B47-ROUND(Declarations!$A$19/$D$18,0))))+Declarations!$B$20*INDEX(M$21:M$141,MAX(1,MIN(121,$B47-ROUND(Declarations!$A$20/$D$18,0)))))</f>
        <v>-186</v>
      </c>
      <c r="O47" s="12" t="n">
        <f aca="false">INDEX(N$21:N$141,$I47+1)*(1-$J47)+INDEX(N$21:N$141,$I47+2)*$J47</f>
        <v>-181.35</v>
      </c>
      <c r="P47" s="12" t="n">
        <f aca="false">INDEX(N$21:N$141,$K47+1)*(1-$L47)+INDEX(N$21:N$141,$K47+2)*$L47</f>
        <v>-191.35</v>
      </c>
      <c r="Q47" s="12" t="n">
        <f aca="false">$C47+$D47+MAX(O47,P47,IF(COUNTIFS($A$21:$A$141,"&gt;="&amp;$G47,$A$21:$A$141,"&lt;="&amp;$H47)&gt;0,_xlfn.MAXIFS(N$21:N$141,$A$21:$A$141,"&gt;="&amp;$G47,$A$21:$A$141,"&lt;="&amp;$H47),O47))</f>
        <v>-13.6</v>
      </c>
      <c r="R47" s="12" t="n">
        <f aca="false">-Cost_k*$A47+Beta_q*(Declarations!$B$16*INDEX(Q$21:Q$141,MAX(1,MIN(121,$B47-ROUND(Declarations!$A$16/$D$18,0))))+Declarations!$B$17*INDEX(Q$21:Q$141,MAX(1,MIN(121,$B47-ROUND(Declarations!$A$17/$D$18,0))))+Declarations!$B$18*INDEX(Q$21:Q$141,MAX(1,MIN(121,$B47-ROUND(Declarations!$A$18/$D$18,0))))+Declarations!$B$19*INDEX(Q$21:Q$141,MAX(1,MIN(121,$B47-ROUND(Declarations!$A$19/$D$18,0))))+Declarations!$B$20*INDEX(Q$21:Q$141,MAX(1,MIN(121,$B47-ROUND(Declarations!$A$20/$D$18,0)))))</f>
        <v>-199.279775619598</v>
      </c>
      <c r="S47" s="12" t="n">
        <f aca="false">INDEX(R$21:R$141,$I47+1)*(1-$J47)+INDEX(R$21:R$141,$I47+2)*$J47</f>
        <v>-196.445980226396</v>
      </c>
      <c r="T47" s="12" t="n">
        <f aca="false">INDEX(R$21:R$141,$K47+1)*(1-$L47)+INDEX(R$21:R$141,$K47+2)*$L47</f>
        <v>-202.540163867691</v>
      </c>
      <c r="U47" s="12" t="n">
        <f aca="false">$C47+$D47+MAX(S47,T47,IF(COUNTIFS($A$21:$A$141,"&gt;="&amp;$G47,$A$21:$A$141,"&lt;="&amp;$H47)&gt;0,_xlfn.MAXIFS(R$21:R$141,$A$21:$A$141,"&gt;="&amp;$G47,$A$21:$A$141,"&lt;="&amp;$H47),S47))</f>
        <v>-28.6959802263958</v>
      </c>
      <c r="V47" s="12" t="n">
        <f aca="false">-Cost_k*$A47+Beta_q*(Declarations!$B$16*INDEX(U$21:U$141,MAX(1,MIN(121,$B47-ROUND(Declarations!$A$16/$D$18,0))))+Declarations!$B$17*INDEX(U$21:U$141,MAX(1,MIN(121,$B47-ROUND(Declarations!$A$17/$D$18,0))))+Declarations!$B$18*INDEX(U$21:U$141,MAX(1,MIN(121,$B47-ROUND(Declarations!$A$18/$D$18,0))))+Declarations!$B$19*INDEX(U$21:U$141,MAX(1,MIN(121,$B47-ROUND(Declarations!$A$19/$D$18,0))))+Declarations!$B$20*INDEX(U$21:U$141,MAX(1,MIN(121,$B47-ROUND(Declarations!$A$20/$D$18,0)))))</f>
        <v>-214.022065195984</v>
      </c>
      <c r="W47" s="12" t="n">
        <f aca="false">INDEX(V$21:V$141,$I47+1)*(1-$J47)+INDEX(V$21:V$141,$I47+2)*$J47</f>
        <v>-212.977462985027</v>
      </c>
      <c r="X47" s="12" t="n">
        <f aca="false">INDEX(V$21:V$141,$K47+1)*(1-$L47)+INDEX(V$21:V$141,$K47+2)*$L47</f>
        <v>-215.291295804966</v>
      </c>
      <c r="Y47" s="12" t="n">
        <f aca="false">$C47+$D47+MAX(W47,X47,IF(COUNTIFS($A$21:$A$141,"&gt;="&amp;$G47,$A$21:$A$141,"&lt;="&amp;$H47)&gt;0,_xlfn.MAXIFS(V$21:V$141,$A$21:$A$141,"&gt;="&amp;$G47,$A$21:$A$141,"&lt;="&amp;$H47),W47))</f>
        <v>-45.2274629850272</v>
      </c>
      <c r="Z47" s="12" t="n">
        <f aca="false">-Cost_k*$A47+Beta_q*(Declarations!$B$16*INDEX(Y$21:Y$141,MAX(1,MIN(121,$B47-ROUND(Declarations!$A$16/$D$18,0))))+Declarations!$B$17*INDEX(Y$21:Y$141,MAX(1,MIN(121,$B47-ROUND(Declarations!$A$17/$D$18,0))))+Declarations!$B$18*INDEX(Y$21:Y$141,MAX(1,MIN(121,$B47-ROUND(Declarations!$A$18/$D$18,0))))+Declarations!$B$19*INDEX(Y$21:Y$141,MAX(1,MIN(121,$B47-ROUND(Declarations!$A$19/$D$18,0))))+Declarations!$B$20*INDEX(Y$21:Y$141,MAX(1,MIN(121,$B47-ROUND(Declarations!$A$20/$D$18,0)))))</f>
        <v>-230.237185100197</v>
      </c>
      <c r="AA47" s="12" t="n">
        <f aca="false">INDEX(Z$21:Z$141,$I47+1)*(1-$J47)+INDEX(Z$21:Z$141,$I47+2)*$J47</f>
        <v>-231.318514327676</v>
      </c>
      <c r="AB47" s="12" t="n">
        <f aca="false">INDEX(Z$21:Z$141,$K47+1)*(1-$L47)+INDEX(Z$21:Z$141,$K47+2)*$L47</f>
        <v>-229.48708328169</v>
      </c>
      <c r="AC47" s="12" t="n">
        <f aca="false">$C47+$D47+MAX(AA47,AB47,IF(COUNTIFS($A$21:$A$141,"&gt;="&amp;$G47,$A$21:$A$141,"&lt;="&amp;$H47)&gt;0,_xlfn.MAXIFS(Z$21:Z$141,$A$21:$A$141,"&gt;="&amp;$G47,$A$21:$A$141,"&lt;="&amp;$H47),AA47))</f>
        <v>-61.7370832816897</v>
      </c>
      <c r="AD47" s="12" t="n">
        <f aca="false">-Cost_k*$A47+Beta_q*(Declarations!$B$16*INDEX(AC$21:AC$141,MAX(1,MIN(121,$B47-ROUND(Declarations!$A$16/$D$18,0))))+Declarations!$B$17*INDEX(AC$21:AC$141,MAX(1,MIN(121,$B47-ROUND(Declarations!$A$17/$D$18,0))))+Declarations!$B$18*INDEX(AC$21:AC$141,MAX(1,MIN(121,$B47-ROUND(Declarations!$A$18/$D$18,0))))+Declarations!$B$19*INDEX(AC$21:AC$141,MAX(1,MIN(121,$B47-ROUND(Declarations!$A$19/$D$18,0))))+Declarations!$B$20*INDEX(AC$21:AC$141,MAX(1,MIN(121,$B47-ROUND(Declarations!$A$20/$D$18,0)))))</f>
        <v>-246.296594338862</v>
      </c>
      <c r="AE47" s="12" t="n">
        <f aca="false">INDEX(AD$21:AD$141,$I47+1)*(1-$J47)+INDEX(AD$21:AD$141,$I47+2)*$J47</f>
        <v>-248.535680133186</v>
      </c>
      <c r="AF47" s="12" t="n">
        <f aca="false">INDEX(AD$21:AD$141,$K47+1)*(1-$L47)+INDEX(AD$21:AD$141,$K47+2)*$L47</f>
        <v>-243.850502910233</v>
      </c>
      <c r="AG47" s="12" t="n">
        <f aca="false">$C47+$D47+MAX(AE47,AF47,IF(COUNTIFS($A$21:$A$141,"&gt;="&amp;$G47,$A$21:$A$141,"&lt;="&amp;$H47)&gt;0,_xlfn.MAXIFS(AD$21:AD$141,$A$21:$A$141,"&gt;="&amp;$G47,$A$21:$A$141,"&lt;="&amp;$H47),AE47))</f>
        <v>-76.1005029102329</v>
      </c>
      <c r="AH47" s="12" t="n">
        <f aca="false">-Cost_k*$A47+Beta_q*(Declarations!$B$16*INDEX(AG$21:AG$141,MAX(1,MIN(121,$B47-ROUND(Declarations!$A$16/$D$18,0))))+Declarations!$B$17*INDEX(AG$21:AG$141,MAX(1,MIN(121,$B47-ROUND(Declarations!$A$17/$D$18,0))))+Declarations!$B$18*INDEX(AG$21:AG$141,MAX(1,MIN(121,$B47-ROUND(Declarations!$A$18/$D$18,0))))+Declarations!$B$19*INDEX(AG$21:AG$141,MAX(1,MIN(121,$B47-ROUND(Declarations!$A$19/$D$18,0))))+Declarations!$B$20*INDEX(AG$21:AG$141,MAX(1,MIN(121,$B47-ROUND(Declarations!$A$20/$D$18,0)))))</f>
        <v>-260.310724949365</v>
      </c>
      <c r="AI47" s="12" t="n">
        <f aca="false">INDEX(AH$21:AH$141,$I47+1)*(1-$J47)+INDEX(AH$21:AH$141,$I47+2)*$J47</f>
        <v>-263.935824827207</v>
      </c>
      <c r="AJ47" s="12" t="n">
        <f aca="false">INDEX(AH$21:AH$141,$K47+1)*(1-$L47)+INDEX(AH$21:AH$141,$K47+2)*$L47</f>
        <v>-256.164938548427</v>
      </c>
      <c r="AK47" s="12" t="n">
        <f aca="false">$C47+$D47+MAX(AI47,AJ47,IF(COUNTIFS($A$21:$A$141,"&gt;="&amp;$G47,$A$21:$A$141,"&lt;="&amp;$H47)&gt;0,_xlfn.MAXIFS(AH$21:AH$141,$A$21:$A$141,"&gt;="&amp;$G47,$A$21:$A$141,"&lt;="&amp;$H47),AI47))</f>
        <v>-88.4149385484268</v>
      </c>
      <c r="AL47" s="12" t="n">
        <f aca="false">-Cost_k*$A47+Beta_q*(Declarations!$B$16*INDEX(AK$21:AK$141,MAX(1,MIN(121,$B47-ROUND(Declarations!$A$16/$D$18,0))))+Declarations!$B$17*INDEX(AK$21:AK$141,MAX(1,MIN(121,$B47-ROUND(Declarations!$A$17/$D$18,0))))+Declarations!$B$18*INDEX(AK$21:AK$141,MAX(1,MIN(121,$B47-ROUND(Declarations!$A$18/$D$18,0))))+Declarations!$B$19*INDEX(AK$21:AK$141,MAX(1,MIN(121,$B47-ROUND(Declarations!$A$19/$D$18,0))))+Declarations!$B$20*INDEX(AK$21:AK$141,MAX(1,MIN(121,$B47-ROUND(Declarations!$A$20/$D$18,0)))))</f>
        <v>-272.333512401576</v>
      </c>
      <c r="AM47" s="12" t="n">
        <f aca="false">INDEX(AL$21:AL$141,$I47+1)*(1-$J47)+INDEX(AL$21:AL$141,$I47+2)*$J47</f>
        <v>-277.358781535138</v>
      </c>
      <c r="AN47" s="12" t="n">
        <f aca="false">INDEX(AL$21:AL$141,$K47+1)*(1-$L47)+INDEX(AL$21:AL$141,$K47+2)*$L47</f>
        <v>-266.559122928816</v>
      </c>
      <c r="AO47" s="12" t="n">
        <f aca="false">$C47+$D47+MAX(AM47,AN47,IF(COUNTIFS($A$21:$A$141,"&gt;="&amp;$G47,$A$21:$A$141,"&lt;="&amp;$H47)&gt;0,_xlfn.MAXIFS(AL$21:AL$141,$A$21:$A$141,"&gt;="&amp;$G47,$A$21:$A$141,"&lt;="&amp;$H47),AM47))</f>
        <v>-98.8091229288157</v>
      </c>
      <c r="AP47" s="12" t="n">
        <f aca="false">-Cost_k*$A47+Beta_q*(Declarations!$B$16*INDEX(AO$21:AO$141,MAX(1,MIN(121,$B47-ROUND(Declarations!$A$16/$D$18,0))))+Declarations!$B$17*INDEX(AO$21:AO$141,MAX(1,MIN(121,$B47-ROUND(Declarations!$A$17/$D$18,0))))+Declarations!$B$18*INDEX(AO$21:AO$141,MAX(1,MIN(121,$B47-ROUND(Declarations!$A$18/$D$18,0))))+Declarations!$B$19*INDEX(AO$21:AO$141,MAX(1,MIN(121,$B47-ROUND(Declarations!$A$19/$D$18,0))))+Declarations!$B$20*INDEX(AO$21:AO$141,MAX(1,MIN(121,$B47-ROUND(Declarations!$A$20/$D$18,0)))))</f>
        <v>-282.486089411301</v>
      </c>
      <c r="AQ47" s="12" t="n">
        <f aca="false">INDEX(AP$21:AP$141,$I47+1)*(1-$J47)+INDEX(AP$21:AP$141,$I47+2)*$J47</f>
        <v>-288.854366254519</v>
      </c>
      <c r="AR47" s="12" t="n">
        <f aca="false">INDEX(AP$21:AP$141,$K47+1)*(1-$L47)+INDEX(AP$21:AP$141,$K47+2)*$L47</f>
        <v>-275.197965621351</v>
      </c>
      <c r="AS47" s="12" t="n">
        <f aca="false">$C47+$D47+MAX(AQ47,AR47,IF(COUNTIFS($A$21:$A$141,"&gt;="&amp;$G47,$A$21:$A$141,"&lt;="&amp;$H47)&gt;0,_xlfn.MAXIFS(AP$21:AP$141,$A$21:$A$141,"&gt;="&amp;$G47,$A$21:$A$141,"&lt;="&amp;$H47),AQ47))</f>
        <v>-107.447965621351</v>
      </c>
      <c r="AT47" s="12" t="n">
        <f aca="false">-Cost_k*$A47+Beta_q*(Declarations!$B$16*INDEX(AS$21:AS$141,MAX(1,MIN(121,$B47-ROUND(Declarations!$A$16/$D$18,0))))+Declarations!$B$17*INDEX(AS$21:AS$141,MAX(1,MIN(121,$B47-ROUND(Declarations!$A$17/$D$18,0))))+Declarations!$B$18*INDEX(AS$21:AS$141,MAX(1,MIN(121,$B47-ROUND(Declarations!$A$18/$D$18,0))))+Declarations!$B$19*INDEX(AS$21:AS$141,MAX(1,MIN(121,$B47-ROUND(Declarations!$A$19/$D$18,0))))+Declarations!$B$20*INDEX(AS$21:AS$141,MAX(1,MIN(121,$B47-ROUND(Declarations!$A$20/$D$18,0)))))</f>
        <v>-290.935459350249</v>
      </c>
      <c r="AU47" s="12" t="n">
        <f aca="false">INDEX(AT$21:AT$141,$I47+1)*(1-$J47)+INDEX(AT$21:AT$141,$I47+2)*$J47</f>
        <v>-298.543800695167</v>
      </c>
      <c r="AV47" s="12" t="n">
        <f aca="false">INDEX(AT$21:AT$141,$K47+1)*(1-$L47)+INDEX(AT$21:AT$141,$K47+2)*$L47</f>
        <v>-282.334954767335</v>
      </c>
      <c r="AW47" s="12" t="n">
        <f aca="false">$C47+$D47+MAX(AU47,AV47,IF(COUNTIFS($A$21:$A$141,"&gt;="&amp;$G47,$A$21:$A$141,"&lt;="&amp;$H47)&gt;0,_xlfn.MAXIFS(AT$21:AT$141,$A$21:$A$141,"&gt;="&amp;$G47,$A$21:$A$141,"&lt;="&amp;$H47),AU47))</f>
        <v>-114.584954767335</v>
      </c>
      <c r="AX47" s="12" t="n">
        <f aca="false">-Cost_k*$A47+Beta_q*(Declarations!$B$16*INDEX(AW$21:AW$141,MAX(1,MIN(121,$B47-ROUND(Declarations!$A$16/$D$18,0))))+Declarations!$B$17*INDEX(AW$21:AW$141,MAX(1,MIN(121,$B47-ROUND(Declarations!$A$17/$D$18,0))))+Declarations!$B$18*INDEX(AW$21:AW$141,MAX(1,MIN(121,$B47-ROUND(Declarations!$A$18/$D$18,0))))+Declarations!$B$19*INDEX(AW$21:AW$141,MAX(1,MIN(121,$B47-ROUND(Declarations!$A$19/$D$18,0))))+Declarations!$B$20*INDEX(AW$21:AW$141,MAX(1,MIN(121,$B47-ROUND(Declarations!$A$20/$D$18,0)))))</f>
        <v>-297.93178066592</v>
      </c>
      <c r="AY47" s="12" t="n">
        <f aca="false">INDEX(AX$21:AX$141,$I47+1)*(1-$J47)+INDEX(AX$21:AX$141,$I47+2)*$J47</f>
        <v>-306.605573380244</v>
      </c>
      <c r="AZ47" s="12" t="n">
        <f aca="false">INDEX(AX$21:AX$141,$K47+1)*(1-$L47)+INDEX(AX$21:AX$141,$K47+2)*$L47</f>
        <v>-288.319876926196</v>
      </c>
      <c r="BA47" s="12" t="n">
        <f aca="false">$C47+$D47+MAX(AY47,AZ47,IF(COUNTIFS($A$21:$A$141,"&gt;="&amp;$G47,$A$21:$A$141,"&lt;="&amp;$H47)&gt;0,_xlfn.MAXIFS(AX$21:AX$141,$A$21:$A$141,"&gt;="&amp;$G47,$A$21:$A$141,"&lt;="&amp;$H47),AY47))</f>
        <v>-120.569876926196</v>
      </c>
      <c r="BB47" s="12" t="n">
        <f aca="false">-Cost_k*$A47+Beta_q*(Declarations!$B$16*INDEX(BA$21:BA$141,MAX(1,MIN(121,$B47-ROUND(Declarations!$A$16/$D$18,0))))+Declarations!$B$17*INDEX(BA$21:BA$141,MAX(1,MIN(121,$B47-ROUND(Declarations!$A$17/$D$18,0))))+Declarations!$B$18*INDEX(BA$21:BA$141,MAX(1,MIN(121,$B47-ROUND(Declarations!$A$18/$D$18,0))))+Declarations!$B$19*INDEX(BA$21:BA$141,MAX(1,MIN(121,$B47-ROUND(Declarations!$A$19/$D$18,0))))+Declarations!$B$20*INDEX(BA$21:BA$141,MAX(1,MIN(121,$B47-ROUND(Declarations!$A$20/$D$18,0)))))</f>
        <v>-303.814487749711</v>
      </c>
      <c r="BC47" s="12" t="n">
        <f aca="false">INDEX(BB$21:BB$141,$I47+1)*(1-$J47)+INDEX(BB$21:BB$141,$I47+2)*$J47</f>
        <v>-313.29930539807</v>
      </c>
      <c r="BD47" s="12" t="n">
        <f aca="false">INDEX(BB$21:BB$141,$K47+1)*(1-$L47)+INDEX(BB$21:BB$141,$K47+2)*$L47</f>
        <v>-293.550056021766</v>
      </c>
      <c r="BE47" s="12" t="n">
        <f aca="false">$C47+$D47+MAX(BC47,BD47,IF(COUNTIFS($A$21:$A$141,"&gt;="&amp;$G47,$A$21:$A$141,"&lt;="&amp;$H47)&gt;0,_xlfn.MAXIFS(BB$21:BB$141,$A$21:$A$141,"&gt;="&amp;$G47,$A$21:$A$141,"&lt;="&amp;$H47),BC47))</f>
        <v>-125.800056021766</v>
      </c>
      <c r="BF47" s="12" t="n">
        <f aca="false">-Cost_k*$A47+Beta_q*(Declarations!$B$16*INDEX(BE$21:BE$141,MAX(1,MIN(121,$B47-ROUND(Declarations!$A$16/$D$18,0))))+Declarations!$B$17*INDEX(BE$21:BE$141,MAX(1,MIN(121,$B47-ROUND(Declarations!$A$17/$D$18,0))))+Declarations!$B$18*INDEX(BE$21:BE$141,MAX(1,MIN(121,$B47-ROUND(Declarations!$A$18/$D$18,0))))+Declarations!$B$19*INDEX(BE$21:BE$141,MAX(1,MIN(121,$B47-ROUND(Declarations!$A$19/$D$18,0))))+Declarations!$B$20*INDEX(BE$21:BE$141,MAX(1,MIN(121,$B47-ROUND(Declarations!$A$20/$D$18,0)))))</f>
        <v>-308.957357860023</v>
      </c>
      <c r="BG47" s="12" t="n">
        <f aca="false">INDEX(BF$21:BF$141,$I47+1)*(1-$J47)+INDEX(BF$21:BF$141,$I47+2)*$J47</f>
        <v>-318.96350908998</v>
      </c>
      <c r="BH47" s="12" t="n">
        <f aca="false">INDEX(BF$21:BF$141,$K47+1)*(1-$L47)+INDEX(BF$21:BF$141,$K47+2)*$L47</f>
        <v>-298.347415702037</v>
      </c>
      <c r="BI47" s="12" t="n">
        <f aca="false">$C47+$D47+MAX(BG47,BH47,IF(COUNTIFS($A$21:$A$141,"&gt;="&amp;$G47,$A$21:$A$141,"&lt;="&amp;$H47)&gt;0,_xlfn.MAXIFS(BF$21:BF$141,$A$21:$A$141,"&gt;="&amp;$G47,$A$21:$A$141,"&lt;="&amp;$H47),BG47))</f>
        <v>-130.597415702037</v>
      </c>
      <c r="BJ47" s="23" t="n">
        <v>-130.597415702037</v>
      </c>
      <c r="BK47" s="22" t="n">
        <f aca="false">ABS(BI47-BJ47)</f>
        <v>0</v>
      </c>
    </row>
    <row r="48" customFormat="false" ht="15" hidden="false" customHeight="false" outlineLevel="0" collapsed="false">
      <c r="A48" s="14" t="n">
        <f aca="false">A47+$D$18</f>
        <v>46.75</v>
      </c>
      <c r="B48" s="19" t="n">
        <v>28</v>
      </c>
      <c r="C48" s="12" t="n">
        <f aca="false">-Short_p*MAX(Floor_c-A48,0)</f>
        <v>-13.2</v>
      </c>
      <c r="D48" s="12" t="n">
        <f aca="false">Cost_k*Alpha_keep*A48</f>
        <v>182.325</v>
      </c>
      <c r="E48" s="12" t="n">
        <f aca="false">MIN(Cap_h,MAX(0,$B$18+MAX(Loss_w)-Alpha_keep*A48))</f>
        <v>0</v>
      </c>
      <c r="F48" s="12" t="n">
        <f aca="false">MAX(MIN(Cap_h,$F$18+MIN(Loss_w)-Alpha_keep*A48),E48)</f>
        <v>2.5</v>
      </c>
      <c r="G48" s="12" t="n">
        <f aca="false">Alpha_keep*A48+E48</f>
        <v>45.58125</v>
      </c>
      <c r="H48" s="12" t="n">
        <f aca="false">Alpha_keep*A48+F48</f>
        <v>48.08125</v>
      </c>
      <c r="I48" s="19" t="n">
        <f aca="false">MIN(INT((G48-$B$18)/$D$18+0.000000001),119)</f>
        <v>22</v>
      </c>
      <c r="J48" s="12" t="n">
        <f aca="false">(G48-$B$18)/$D$18-I48</f>
        <v>0.324999999999989</v>
      </c>
      <c r="K48" s="19" t="n">
        <f aca="false">MIN(INT((H48-$B$18)/$D$18+0.000000001),119)</f>
        <v>32</v>
      </c>
      <c r="L48" s="12" t="n">
        <f aca="false">(H48-$B$18)/$D$18-K48</f>
        <v>0.324999999999989</v>
      </c>
      <c r="M48" s="9" t="n">
        <v>0</v>
      </c>
      <c r="N48" s="12" t="n">
        <f aca="false">-Cost_k*$A48+Beta_q*(Declarations!$B$16*INDEX(M$21:M$141,MAX(1,MIN(121,$B48-ROUND(Declarations!$A$16/$D$18,0))))+Declarations!$B$17*INDEX(M$21:M$141,MAX(1,MIN(121,$B48-ROUND(Declarations!$A$17/$D$18,0))))+Declarations!$B$18*INDEX(M$21:M$141,MAX(1,MIN(121,$B48-ROUND(Declarations!$A$18/$D$18,0))))+Declarations!$B$19*INDEX(M$21:M$141,MAX(1,MIN(121,$B48-ROUND(Declarations!$A$19/$D$18,0))))+Declarations!$B$20*INDEX(M$21:M$141,MAX(1,MIN(121,$B48-ROUND(Declarations!$A$20/$D$18,0)))))</f>
        <v>-187</v>
      </c>
      <c r="O48" s="12" t="n">
        <f aca="false">INDEX(N$21:N$141,$I48+1)*(1-$J48)+INDEX(N$21:N$141,$I48+2)*$J48</f>
        <v>-182.325</v>
      </c>
      <c r="P48" s="12" t="n">
        <f aca="false">INDEX(N$21:N$141,$K48+1)*(1-$L48)+INDEX(N$21:N$141,$K48+2)*$L48</f>
        <v>-192.325</v>
      </c>
      <c r="Q48" s="12" t="n">
        <f aca="false">$C48+$D48+MAX(O48,P48,IF(COUNTIFS($A$21:$A$141,"&gt;="&amp;$G48,$A$21:$A$141,"&lt;="&amp;$H48)&gt;0,_xlfn.MAXIFS(N$21:N$141,$A$21:$A$141,"&gt;="&amp;$G48,$A$21:$A$141,"&lt;="&amp;$H48),O48))</f>
        <v>-13.2</v>
      </c>
      <c r="R48" s="12" t="n">
        <f aca="false">-Cost_k*$A48+Beta_q*(Declarations!$B$16*INDEX(Q$21:Q$141,MAX(1,MIN(121,$B48-ROUND(Declarations!$A$16/$D$18,0))))+Declarations!$B$17*INDEX(Q$21:Q$141,MAX(1,MIN(121,$B48-ROUND(Declarations!$A$17/$D$18,0))))+Declarations!$B$18*INDEX(Q$21:Q$141,MAX(1,MIN(121,$B48-ROUND(Declarations!$A$18/$D$18,0))))+Declarations!$B$19*INDEX(Q$21:Q$141,MAX(1,MIN(121,$B48-ROUND(Declarations!$A$19/$D$18,0))))+Declarations!$B$20*INDEX(Q$21:Q$141,MAX(1,MIN(121,$B48-ROUND(Declarations!$A$20/$D$18,0)))))</f>
        <v>-199.889193983727</v>
      </c>
      <c r="S48" s="12" t="n">
        <f aca="false">INDEX(R$21:R$141,$I48+1)*(1-$J48)+INDEX(R$21:R$141,$I48+2)*$J48</f>
        <v>-197.040163131422</v>
      </c>
      <c r="T48" s="12" t="n">
        <f aca="false">INDEX(R$21:R$141,$K48+1)*(1-$L48)+INDEX(R$21:R$141,$K48+2)*$L48</f>
        <v>-203.134346772717</v>
      </c>
      <c r="U48" s="12" t="n">
        <f aca="false">$C48+$D48+MAX(S48,T48,IF(COUNTIFS($A$21:$A$141,"&gt;="&amp;$G48,$A$21:$A$141,"&lt;="&amp;$H48)&gt;0,_xlfn.MAXIFS(R$21:R$141,$A$21:$A$141,"&gt;="&amp;$G48,$A$21:$A$141,"&lt;="&amp;$H48),S48))</f>
        <v>-27.915163131422</v>
      </c>
      <c r="V48" s="12" t="n">
        <f aca="false">-Cost_k*$A48+Beta_q*(Declarations!$B$16*INDEX(U$21:U$141,MAX(1,MIN(121,$B48-ROUND(Declarations!$A$16/$D$18,0))))+Declarations!$B$17*INDEX(U$21:U$141,MAX(1,MIN(121,$B48-ROUND(Declarations!$A$17/$D$18,0))))+Declarations!$B$18*INDEX(U$21:U$141,MAX(1,MIN(121,$B48-ROUND(Declarations!$A$18/$D$18,0))))+Declarations!$B$19*INDEX(U$21:U$141,MAX(1,MIN(121,$B48-ROUND(Declarations!$A$19/$D$18,0))))+Declarations!$B$20*INDEX(U$21:U$141,MAX(1,MIN(121,$B48-ROUND(Declarations!$A$20/$D$18,0)))))</f>
        <v>-214.25818805857</v>
      </c>
      <c r="W48" s="12" t="n">
        <f aca="false">INDEX(V$21:V$141,$I48+1)*(1-$J48)+INDEX(V$21:V$141,$I48+2)*$J48</f>
        <v>-213.182932935687</v>
      </c>
      <c r="X48" s="12" t="n">
        <f aca="false">INDEX(V$21:V$141,$K48+1)*(1-$L48)+INDEX(V$21:V$141,$K48+2)*$L48</f>
        <v>-215.522924560432</v>
      </c>
      <c r="Y48" s="12" t="n">
        <f aca="false">$C48+$D48+MAX(W48,X48,IF(COUNTIFS($A$21:$A$141,"&gt;="&amp;$G48,$A$21:$A$141,"&lt;="&amp;$H48)&gt;0,_xlfn.MAXIFS(V$21:V$141,$A$21:$A$141,"&gt;="&amp;$G48,$A$21:$A$141,"&lt;="&amp;$H48),W48))</f>
        <v>-44.0579329356874</v>
      </c>
      <c r="Z48" s="12" t="n">
        <f aca="false">-Cost_k*$A48+Beta_q*(Declarations!$B$16*INDEX(Y$21:Y$141,MAX(1,MIN(121,$B48-ROUND(Declarations!$A$16/$D$18,0))))+Declarations!$B$17*INDEX(Y$21:Y$141,MAX(1,MIN(121,$B48-ROUND(Declarations!$A$17/$D$18,0))))+Declarations!$B$18*INDEX(Y$21:Y$141,MAX(1,MIN(121,$B48-ROUND(Declarations!$A$18/$D$18,0))))+Declarations!$B$19*INDEX(Y$21:Y$141,MAX(1,MIN(121,$B48-ROUND(Declarations!$A$19/$D$18,0))))+Declarations!$B$20*INDEX(Y$21:Y$141,MAX(1,MIN(121,$B48-ROUND(Declarations!$A$20/$D$18,0)))))</f>
        <v>-230.075066448213</v>
      </c>
      <c r="AA48" s="12" t="n">
        <f aca="false">INDEX(Z$21:Z$141,$I48+1)*(1-$J48)+INDEX(Z$21:Z$141,$I48+2)*$J48</f>
        <v>-231.042752009269</v>
      </c>
      <c r="AB48" s="12" t="n">
        <f aca="false">INDEX(Z$21:Z$141,$K48+1)*(1-$L48)+INDEX(Z$21:Z$141,$K48+2)*$L48</f>
        <v>-229.369482931899</v>
      </c>
      <c r="AC48" s="12" t="n">
        <f aca="false">$C48+$D48+MAX(AA48,AB48,IF(COUNTIFS($A$21:$A$141,"&gt;="&amp;$G48,$A$21:$A$141,"&lt;="&amp;$H48)&gt;0,_xlfn.MAXIFS(Z$21:Z$141,$A$21:$A$141,"&gt;="&amp;$G48,$A$21:$A$141,"&lt;="&amp;$H48),AA48))</f>
        <v>-60.2444829318986</v>
      </c>
      <c r="AD48" s="12" t="n">
        <f aca="false">-Cost_k*$A48+Beta_q*(Declarations!$B$16*INDEX(AC$21:AC$141,MAX(1,MIN(121,$B48-ROUND(Declarations!$A$16/$D$18,0))))+Declarations!$B$17*INDEX(AC$21:AC$141,MAX(1,MIN(121,$B48-ROUND(Declarations!$A$17/$D$18,0))))+Declarations!$B$18*INDEX(AC$21:AC$141,MAX(1,MIN(121,$B48-ROUND(Declarations!$A$18/$D$18,0))))+Declarations!$B$19*INDEX(AC$21:AC$141,MAX(1,MIN(121,$B48-ROUND(Declarations!$A$19/$D$18,0))))+Declarations!$B$20*INDEX(AC$21:AC$141,MAX(1,MIN(121,$B48-ROUND(Declarations!$A$20/$D$18,0)))))</f>
        <v>-245.834683093504</v>
      </c>
      <c r="AE48" s="12" t="n">
        <f aca="false">INDEX(AD$21:AD$141,$I48+1)*(1-$J48)+INDEX(AD$21:AD$141,$I48+2)*$J48</f>
        <v>-248.048091398364</v>
      </c>
      <c r="AF48" s="12" t="n">
        <f aca="false">INDEX(AD$21:AD$141,$K48+1)*(1-$L48)+INDEX(AD$21:AD$141,$K48+2)*$L48</f>
        <v>-243.407848184747</v>
      </c>
      <c r="AG48" s="12" t="n">
        <f aca="false">$C48+$D48+MAX(AE48,AF48,IF(COUNTIFS($A$21:$A$141,"&gt;="&amp;$G48,$A$21:$A$141,"&lt;="&amp;$H48)&gt;0,_xlfn.MAXIFS(AD$21:AD$141,$A$21:$A$141,"&gt;="&amp;$G48,$A$21:$A$141,"&lt;="&amp;$H48),AE48))</f>
        <v>-74.2828481847474</v>
      </c>
      <c r="AH48" s="12" t="n">
        <f aca="false">-Cost_k*$A48+Beta_q*(Declarations!$B$16*INDEX(AG$21:AG$141,MAX(1,MIN(121,$B48-ROUND(Declarations!$A$16/$D$18,0))))+Declarations!$B$17*INDEX(AG$21:AG$141,MAX(1,MIN(121,$B48-ROUND(Declarations!$A$17/$D$18,0))))+Declarations!$B$18*INDEX(AG$21:AG$141,MAX(1,MIN(121,$B48-ROUND(Declarations!$A$18/$D$18,0))))+Declarations!$B$19*INDEX(AG$21:AG$141,MAX(1,MIN(121,$B48-ROUND(Declarations!$A$19/$D$18,0))))+Declarations!$B$20*INDEX(AG$21:AG$141,MAX(1,MIN(121,$B48-ROUND(Declarations!$A$20/$D$18,0)))))</f>
        <v>-259.535044940776</v>
      </c>
      <c r="AI48" s="12" t="n">
        <f aca="false">INDEX(AH$21:AH$141,$I48+1)*(1-$J48)+INDEX(AH$21:AH$141,$I48+2)*$J48</f>
        <v>-263.171652509629</v>
      </c>
      <c r="AJ48" s="12" t="n">
        <f aca="false">INDEX(AH$21:AH$141,$K48+1)*(1-$L48)+INDEX(AH$21:AH$141,$K48+2)*$L48</f>
        <v>-255.409889630312</v>
      </c>
      <c r="AK48" s="12" t="n">
        <f aca="false">$C48+$D48+MAX(AI48,AJ48,IF(COUNTIFS($A$21:$A$141,"&gt;="&amp;$G48,$A$21:$A$141,"&lt;="&amp;$H48)&gt;0,_xlfn.MAXIFS(AH$21:AH$141,$A$21:$A$141,"&gt;="&amp;$G48,$A$21:$A$141,"&lt;="&amp;$H48),AI48))</f>
        <v>-86.2848896303125</v>
      </c>
      <c r="AL48" s="12" t="n">
        <f aca="false">-Cost_k*$A48+Beta_q*(Declarations!$B$16*INDEX(AK$21:AK$141,MAX(1,MIN(121,$B48-ROUND(Declarations!$A$16/$D$18,0))))+Declarations!$B$17*INDEX(AK$21:AK$141,MAX(1,MIN(121,$B48-ROUND(Declarations!$A$17/$D$18,0))))+Declarations!$B$18*INDEX(AK$21:AK$141,MAX(1,MIN(121,$B48-ROUND(Declarations!$A$18/$D$18,0))))+Declarations!$B$19*INDEX(AK$21:AK$141,MAX(1,MIN(121,$B48-ROUND(Declarations!$A$19/$D$18,0))))+Declarations!$B$20*INDEX(AK$21:AK$141,MAX(1,MIN(121,$B48-ROUND(Declarations!$A$20/$D$18,0)))))</f>
        <v>-271.253575867151</v>
      </c>
      <c r="AM48" s="12" t="n">
        <f aca="false">INDEX(AL$21:AL$141,$I48+1)*(1-$J48)+INDEX(AL$21:AL$141,$I48+2)*$J48</f>
        <v>-276.304293817578</v>
      </c>
      <c r="AN48" s="12" t="n">
        <f aca="false">INDEX(AL$21:AL$141,$K48+1)*(1-$L48)+INDEX(AL$21:AL$141,$K48+2)*$L48</f>
        <v>-265.508167444569</v>
      </c>
      <c r="AO48" s="12" t="n">
        <f aca="false">$C48+$D48+MAX(AM48,AN48,IF(COUNTIFS($A$21:$A$141,"&gt;="&amp;$G48,$A$21:$A$141,"&lt;="&amp;$H48)&gt;0,_xlfn.MAXIFS(AL$21:AL$141,$A$21:$A$141,"&gt;="&amp;$G48,$A$21:$A$141,"&lt;="&amp;$H48),AM48))</f>
        <v>-96.3831674445692</v>
      </c>
      <c r="AP48" s="12" t="n">
        <f aca="false">-Cost_k*$A48+Beta_q*(Declarations!$B$16*INDEX(AO$21:AO$141,MAX(1,MIN(121,$B48-ROUND(Declarations!$A$16/$D$18,0))))+Declarations!$B$17*INDEX(AO$21:AO$141,MAX(1,MIN(121,$B48-ROUND(Declarations!$A$17/$D$18,0))))+Declarations!$B$18*INDEX(AO$21:AO$141,MAX(1,MIN(121,$B48-ROUND(Declarations!$A$18/$D$18,0))))+Declarations!$B$19*INDEX(AO$21:AO$141,MAX(1,MIN(121,$B48-ROUND(Declarations!$A$19/$D$18,0))))+Declarations!$B$20*INDEX(AO$21:AO$141,MAX(1,MIN(121,$B48-ROUND(Declarations!$A$20/$D$18,0)))))</f>
        <v>-281.118678245153</v>
      </c>
      <c r="AQ48" s="12" t="n">
        <f aca="false">INDEX(AP$21:AP$141,$I48+1)*(1-$J48)+INDEX(AP$21:AP$141,$I48+2)*$J48</f>
        <v>-287.518176002384</v>
      </c>
      <c r="AR48" s="12" t="n">
        <f aca="false">INDEX(AP$21:AP$141,$K48+1)*(1-$L48)+INDEX(AP$21:AP$141,$K48+2)*$L48</f>
        <v>-273.88166279097</v>
      </c>
      <c r="AS48" s="12" t="n">
        <f aca="false">$C48+$D48+MAX(AQ48,AR48,IF(COUNTIFS($A$21:$A$141,"&gt;="&amp;$G48,$A$21:$A$141,"&lt;="&amp;$H48)&gt;0,_xlfn.MAXIFS(AP$21:AP$141,$A$21:$A$141,"&gt;="&amp;$G48,$A$21:$A$141,"&lt;="&amp;$H48),AQ48))</f>
        <v>-104.75666279097</v>
      </c>
      <c r="AT48" s="12" t="n">
        <f aca="false">-Cost_k*$A48+Beta_q*(Declarations!$B$16*INDEX(AS$21:AS$141,MAX(1,MIN(121,$B48-ROUND(Declarations!$A$16/$D$18,0))))+Declarations!$B$17*INDEX(AS$21:AS$141,MAX(1,MIN(121,$B48-ROUND(Declarations!$A$17/$D$18,0))))+Declarations!$B$18*INDEX(AS$21:AS$141,MAX(1,MIN(121,$B48-ROUND(Declarations!$A$18/$D$18,0))))+Declarations!$B$19*INDEX(AS$21:AS$141,MAX(1,MIN(121,$B48-ROUND(Declarations!$A$19/$D$18,0))))+Declarations!$B$20*INDEX(AS$21:AS$141,MAX(1,MIN(121,$B48-ROUND(Declarations!$A$20/$D$18,0)))))</f>
        <v>-289.311434116037</v>
      </c>
      <c r="AU48" s="12" t="n">
        <f aca="false">INDEX(AT$21:AT$141,$I48+1)*(1-$J48)+INDEX(AT$21:AT$141,$I48+2)*$J48</f>
        <v>-296.94342558701</v>
      </c>
      <c r="AV48" s="12" t="n">
        <f aca="false">INDEX(AT$21:AT$141,$K48+1)*(1-$L48)+INDEX(AT$21:AT$141,$K48+2)*$L48</f>
        <v>-280.800806004475</v>
      </c>
      <c r="AW48" s="12" t="n">
        <f aca="false">$C48+$D48+MAX(AU48,AV48,IF(COUNTIFS($A$21:$A$141,"&gt;="&amp;$G48,$A$21:$A$141,"&lt;="&amp;$H48)&gt;0,_xlfn.MAXIFS(AT$21:AT$141,$A$21:$A$141,"&gt;="&amp;$G48,$A$21:$A$141,"&lt;="&amp;$H48),AU48))</f>
        <v>-111.675806004475</v>
      </c>
      <c r="AX48" s="12" t="n">
        <f aca="false">-Cost_k*$A48+Beta_q*(Declarations!$B$16*INDEX(AW$21:AW$141,MAX(1,MIN(121,$B48-ROUND(Declarations!$A$16/$D$18,0))))+Declarations!$B$17*INDEX(AW$21:AW$141,MAX(1,MIN(121,$B48-ROUND(Declarations!$A$17/$D$18,0))))+Declarations!$B$18*INDEX(AW$21:AW$141,MAX(1,MIN(121,$B48-ROUND(Declarations!$A$18/$D$18,0))))+Declarations!$B$19*INDEX(AW$21:AW$141,MAX(1,MIN(121,$B48-ROUND(Declarations!$A$19/$D$18,0))))+Declarations!$B$20*INDEX(AW$21:AW$141,MAX(1,MIN(121,$B48-ROUND(Declarations!$A$20/$D$18,0)))))</f>
        <v>-296.098093997025</v>
      </c>
      <c r="AY48" s="12" t="n">
        <f aca="false">INDEX(AX$21:AX$141,$I48+1)*(1-$J48)+INDEX(AX$21:AX$141,$I48+2)*$J48</f>
        <v>-304.771983262023</v>
      </c>
      <c r="AZ48" s="12" t="n">
        <f aca="false">INDEX(AX$21:AX$141,$K48+1)*(1-$L48)+INDEX(AX$21:AX$141,$K48+2)*$L48</f>
        <v>-286.633000916054</v>
      </c>
      <c r="BA48" s="12" t="n">
        <f aca="false">$C48+$D48+MAX(AY48,AZ48,IF(COUNTIFS($A$21:$A$141,"&gt;="&amp;$G48,$A$21:$A$141,"&lt;="&amp;$H48)&gt;0,_xlfn.MAXIFS(AX$21:AX$141,$A$21:$A$141,"&gt;="&amp;$G48,$A$21:$A$141,"&lt;="&amp;$H48),AY48))</f>
        <v>-117.508000916054</v>
      </c>
      <c r="BB48" s="12" t="n">
        <f aca="false">-Cost_k*$A48+Beta_q*(Declarations!$B$16*INDEX(BA$21:BA$141,MAX(1,MIN(121,$B48-ROUND(Declarations!$A$16/$D$18,0))))+Declarations!$B$17*INDEX(BA$21:BA$141,MAX(1,MIN(121,$B48-ROUND(Declarations!$A$17/$D$18,0))))+Declarations!$B$18*INDEX(BA$21:BA$141,MAX(1,MIN(121,$B48-ROUND(Declarations!$A$18/$D$18,0))))+Declarations!$B$19*INDEX(BA$21:BA$141,MAX(1,MIN(121,$B48-ROUND(Declarations!$A$19/$D$18,0))))+Declarations!$B$20*INDEX(BA$21:BA$141,MAX(1,MIN(121,$B48-ROUND(Declarations!$A$20/$D$18,0)))))</f>
        <v>-301.833291045868</v>
      </c>
      <c r="BC48" s="12" t="n">
        <f aca="false">INDEX(BB$21:BB$141,$I48+1)*(1-$J48)+INDEX(BB$21:BB$141,$I48+2)*$J48</f>
        <v>-311.280009963877</v>
      </c>
      <c r="BD48" s="12" t="n">
        <f aca="false">INDEX(BB$21:BB$141,$K48+1)*(1-$L48)+INDEX(BB$21:BB$141,$K48+2)*$L48</f>
        <v>-291.778743184353</v>
      </c>
      <c r="BE48" s="12" t="n">
        <f aca="false">$C48+$D48+MAX(BC48,BD48,IF(COUNTIFS($A$21:$A$141,"&gt;="&amp;$G48,$A$21:$A$141,"&lt;="&amp;$H48)&gt;0,_xlfn.MAXIFS(BB$21:BB$141,$A$21:$A$141,"&gt;="&amp;$G48,$A$21:$A$141,"&lt;="&amp;$H48),BC48))</f>
        <v>-122.653743184352</v>
      </c>
      <c r="BF48" s="12" t="n">
        <f aca="false">-Cost_k*$A48+Beta_q*(Declarations!$B$16*INDEX(BE$21:BE$141,MAX(1,MIN(121,$B48-ROUND(Declarations!$A$16/$D$18,0))))+Declarations!$B$17*INDEX(BE$21:BE$141,MAX(1,MIN(121,$B48-ROUND(Declarations!$A$17/$D$18,0))))+Declarations!$B$18*INDEX(BE$21:BE$141,MAX(1,MIN(121,$B48-ROUND(Declarations!$A$18/$D$18,0))))+Declarations!$B$19*INDEX(BE$21:BE$141,MAX(1,MIN(121,$B48-ROUND(Declarations!$A$19/$D$18,0))))+Declarations!$B$20*INDEX(BE$21:BE$141,MAX(1,MIN(121,$B48-ROUND(Declarations!$A$20/$D$18,0)))))</f>
        <v>-306.892418032535</v>
      </c>
      <c r="BG48" s="12" t="n">
        <f aca="false">INDEX(BF$21:BF$141,$I48+1)*(1-$J48)+INDEX(BF$21:BF$141,$I48+2)*$J48</f>
        <v>-316.817171295988</v>
      </c>
      <c r="BH48" s="12" t="n">
        <f aca="false">INDEX(BF$21:BF$141,$K48+1)*(1-$L48)+INDEX(BF$21:BF$141,$K48+2)*$L48</f>
        <v>-296.537482151117</v>
      </c>
      <c r="BI48" s="12" t="n">
        <f aca="false">$C48+$D48+MAX(BG48,BH48,IF(COUNTIFS($A$21:$A$141,"&gt;="&amp;$G48,$A$21:$A$141,"&lt;="&amp;$H48)&gt;0,_xlfn.MAXIFS(BF$21:BF$141,$A$21:$A$141,"&gt;="&amp;$G48,$A$21:$A$141,"&lt;="&amp;$H48),BG48))</f>
        <v>-127.412482151117</v>
      </c>
      <c r="BJ48" s="23" t="n">
        <v>-127.412482151117</v>
      </c>
      <c r="BK48" s="22" t="n">
        <f aca="false">ABS(BI48-BJ48)</f>
        <v>0</v>
      </c>
    </row>
    <row r="49" customFormat="false" ht="15" hidden="false" customHeight="false" outlineLevel="0" collapsed="false">
      <c r="A49" s="14" t="n">
        <f aca="false">A48+$D$18</f>
        <v>47</v>
      </c>
      <c r="B49" s="19" t="n">
        <v>29</v>
      </c>
      <c r="C49" s="12" t="n">
        <f aca="false">-Short_p*MAX(Floor_c-A49,0)</f>
        <v>-12.8</v>
      </c>
      <c r="D49" s="12" t="n">
        <f aca="false">Cost_k*Alpha_keep*A49</f>
        <v>183.3</v>
      </c>
      <c r="E49" s="12" t="n">
        <f aca="false">MIN(Cap_h,MAX(0,$B$18+MAX(Loss_w)-Alpha_keep*A49))</f>
        <v>0</v>
      </c>
      <c r="F49" s="12" t="n">
        <f aca="false">MAX(MIN(Cap_h,$F$18+MIN(Loss_w)-Alpha_keep*A49),E49)</f>
        <v>2.5</v>
      </c>
      <c r="G49" s="12" t="n">
        <f aca="false">Alpha_keep*A49+E49</f>
        <v>45.825</v>
      </c>
      <c r="H49" s="12" t="n">
        <f aca="false">Alpha_keep*A49+F49</f>
        <v>48.325</v>
      </c>
      <c r="I49" s="19" t="n">
        <f aca="false">MIN(INT((G49-$B$18)/$D$18+0.000000001),119)</f>
        <v>23</v>
      </c>
      <c r="J49" s="12" t="n">
        <f aca="false">(G49-$B$18)/$D$18-I49</f>
        <v>0.299999999999983</v>
      </c>
      <c r="K49" s="19" t="n">
        <f aca="false">MIN(INT((H49-$B$18)/$D$18+0.000000001),119)</f>
        <v>33</v>
      </c>
      <c r="L49" s="12" t="n">
        <f aca="false">(H49-$B$18)/$D$18-K49</f>
        <v>0.299999999999983</v>
      </c>
      <c r="M49" s="9" t="n">
        <v>0</v>
      </c>
      <c r="N49" s="12" t="n">
        <f aca="false">-Cost_k*$A49+Beta_q*(Declarations!$B$16*INDEX(M$21:M$141,MAX(1,MIN(121,$B49-ROUND(Declarations!$A$16/$D$18,0))))+Declarations!$B$17*INDEX(M$21:M$141,MAX(1,MIN(121,$B49-ROUND(Declarations!$A$17/$D$18,0))))+Declarations!$B$18*INDEX(M$21:M$141,MAX(1,MIN(121,$B49-ROUND(Declarations!$A$18/$D$18,0))))+Declarations!$B$19*INDEX(M$21:M$141,MAX(1,MIN(121,$B49-ROUND(Declarations!$A$19/$D$18,0))))+Declarations!$B$20*INDEX(M$21:M$141,MAX(1,MIN(121,$B49-ROUND(Declarations!$A$20/$D$18,0)))))</f>
        <v>-188</v>
      </c>
      <c r="O49" s="12" t="n">
        <f aca="false">INDEX(N$21:N$141,$I49+1)*(1-$J49)+INDEX(N$21:N$141,$I49+2)*$J49</f>
        <v>-183.3</v>
      </c>
      <c r="P49" s="12" t="n">
        <f aca="false">INDEX(N$21:N$141,$K49+1)*(1-$L49)+INDEX(N$21:N$141,$K49+2)*$L49</f>
        <v>-193.3</v>
      </c>
      <c r="Q49" s="12" t="n">
        <f aca="false">$C49+$D49+MAX(O49,P49,IF(COUNTIFS($A$21:$A$141,"&gt;="&amp;$G49,$A$21:$A$141,"&lt;="&amp;$H49)&gt;0,_xlfn.MAXIFS(N$21:N$141,$A$21:$A$141,"&gt;="&amp;$G49,$A$21:$A$141,"&lt;="&amp;$H49),O49))</f>
        <v>-12.8</v>
      </c>
      <c r="R49" s="12" t="n">
        <f aca="false">-Cost_k*$A49+Beta_q*(Declarations!$B$16*INDEX(Q$21:Q$141,MAX(1,MIN(121,$B49-ROUND(Declarations!$A$16/$D$18,0))))+Declarations!$B$17*INDEX(Q$21:Q$141,MAX(1,MIN(121,$B49-ROUND(Declarations!$A$17/$D$18,0))))+Declarations!$B$18*INDEX(Q$21:Q$141,MAX(1,MIN(121,$B49-ROUND(Declarations!$A$18/$D$18,0))))+Declarations!$B$19*INDEX(Q$21:Q$141,MAX(1,MIN(121,$B49-ROUND(Declarations!$A$19/$D$18,0))))+Declarations!$B$20*INDEX(Q$21:Q$141,MAX(1,MIN(121,$B49-ROUND(Declarations!$A$20/$D$18,0)))))</f>
        <v>-200.498612347857</v>
      </c>
      <c r="S49" s="12" t="n">
        <f aca="false">INDEX(R$21:R$141,$I49+1)*(1-$J49)+INDEX(R$21:R$141,$I49+2)*$J49</f>
        <v>-197.634346036448</v>
      </c>
      <c r="T49" s="12" t="n">
        <f aca="false">INDEX(R$21:R$141,$K49+1)*(1-$L49)+INDEX(R$21:R$141,$K49+2)*$L49</f>
        <v>-203.728529677743</v>
      </c>
      <c r="U49" s="12" t="n">
        <f aca="false">$C49+$D49+MAX(S49,T49,IF(COUNTIFS($A$21:$A$141,"&gt;="&amp;$G49,$A$21:$A$141,"&lt;="&amp;$H49)&gt;0,_xlfn.MAXIFS(R$21:R$141,$A$21:$A$141,"&gt;="&amp;$G49,$A$21:$A$141,"&lt;="&amp;$H49),S49))</f>
        <v>-27.1343460364483</v>
      </c>
      <c r="V49" s="12" t="n">
        <f aca="false">-Cost_k*$A49+Beta_q*(Declarations!$B$16*INDEX(U$21:U$141,MAX(1,MIN(121,$B49-ROUND(Declarations!$A$16/$D$18,0))))+Declarations!$B$17*INDEX(U$21:U$141,MAX(1,MIN(121,$B49-ROUND(Declarations!$A$17/$D$18,0))))+Declarations!$B$18*INDEX(U$21:U$141,MAX(1,MIN(121,$B49-ROUND(Declarations!$A$18/$D$18,0))))+Declarations!$B$19*INDEX(U$21:U$141,MAX(1,MIN(121,$B49-ROUND(Declarations!$A$19/$D$18,0))))+Declarations!$B$20*INDEX(U$21:U$141,MAX(1,MIN(121,$B49-ROUND(Declarations!$A$20/$D$18,0)))))</f>
        <v>-214.495443157982</v>
      </c>
      <c r="W49" s="12" t="n">
        <f aca="false">INDEX(V$21:V$141,$I49+1)*(1-$J49)+INDEX(V$21:V$141,$I49+2)*$J49</f>
        <v>-213.396803487673</v>
      </c>
      <c r="X49" s="12" t="n">
        <f aca="false">INDEX(V$21:V$141,$K49+1)*(1-$L49)+INDEX(V$21:V$141,$K49+2)*$L49</f>
        <v>-215.754553315898</v>
      </c>
      <c r="Y49" s="12" t="n">
        <f aca="false">$C49+$D49+MAX(W49,X49,IF(COUNTIFS($A$21:$A$141,"&gt;="&amp;$G49,$A$21:$A$141,"&lt;="&amp;$H49)&gt;0,_xlfn.MAXIFS(V$21:V$141,$A$21:$A$141,"&gt;="&amp;$G49,$A$21:$A$141,"&lt;="&amp;$H49),W49))</f>
        <v>-42.896803487673</v>
      </c>
      <c r="Z49" s="12" t="n">
        <f aca="false">-Cost_k*$A49+Beta_q*(Declarations!$B$16*INDEX(Y$21:Y$141,MAX(1,MIN(121,$B49-ROUND(Declarations!$A$16/$D$18,0))))+Declarations!$B$17*INDEX(Y$21:Y$141,MAX(1,MIN(121,$B49-ROUND(Declarations!$A$17/$D$18,0))))+Declarations!$B$18*INDEX(Y$21:Y$141,MAX(1,MIN(121,$B49-ROUND(Declarations!$A$18/$D$18,0))))+Declarations!$B$19*INDEX(Y$21:Y$141,MAX(1,MIN(121,$B49-ROUND(Declarations!$A$19/$D$18,0))))+Declarations!$B$20*INDEX(Y$21:Y$141,MAX(1,MIN(121,$B49-ROUND(Declarations!$A$20/$D$18,0)))))</f>
        <v>-229.922967866674</v>
      </c>
      <c r="AA49" s="12" t="n">
        <f aca="false">INDEX(Z$21:Z$141,$I49+1)*(1-$J49)+INDEX(Z$21:Z$141,$I49+2)*$J49</f>
        <v>-230.797732051145</v>
      </c>
      <c r="AB49" s="12" t="n">
        <f aca="false">INDEX(Z$21:Z$141,$K49+1)*(1-$L49)+INDEX(Z$21:Z$141,$K49+2)*$L49</f>
        <v>-229.254108024052</v>
      </c>
      <c r="AC49" s="12" t="n">
        <f aca="false">$C49+$D49+MAX(AA49,AB49,IF(COUNTIFS($A$21:$A$141,"&gt;="&amp;$G49,$A$21:$A$141,"&lt;="&amp;$H49)&gt;0,_xlfn.MAXIFS(Z$21:Z$141,$A$21:$A$141,"&gt;="&amp;$G49,$A$21:$A$141,"&lt;="&amp;$H49),AA49))</f>
        <v>-58.7541080240523</v>
      </c>
      <c r="AD49" s="12" t="n">
        <f aca="false">-Cost_k*$A49+Beta_q*(Declarations!$B$16*INDEX(AC$21:AC$141,MAX(1,MIN(121,$B49-ROUND(Declarations!$A$16/$D$18,0))))+Declarations!$B$17*INDEX(AC$21:AC$141,MAX(1,MIN(121,$B49-ROUND(Declarations!$A$17/$D$18,0))))+Declarations!$B$18*INDEX(AC$21:AC$141,MAX(1,MIN(121,$B49-ROUND(Declarations!$A$18/$D$18,0))))+Declarations!$B$19*INDEX(AC$21:AC$141,MAX(1,MIN(121,$B49-ROUND(Declarations!$A$19/$D$18,0))))+Declarations!$B$20*INDEX(AC$21:AC$141,MAX(1,MIN(121,$B49-ROUND(Declarations!$A$20/$D$18,0)))))</f>
        <v>-245.376243693669</v>
      </c>
      <c r="AE49" s="12" t="n">
        <f aca="false">INDEX(AD$21:AD$141,$I49+1)*(1-$J49)+INDEX(AD$21:AD$141,$I49+2)*$J49</f>
        <v>-247.571491399152</v>
      </c>
      <c r="AF49" s="12" t="n">
        <f aca="false">INDEX(AD$21:AD$141,$K49+1)*(1-$L49)+INDEX(AD$21:AD$141,$K49+2)*$L49</f>
        <v>-242.965426837996</v>
      </c>
      <c r="AG49" s="12" t="n">
        <f aca="false">$C49+$D49+MAX(AE49,AF49,IF(COUNTIFS($A$21:$A$141,"&gt;="&amp;$G49,$A$21:$A$141,"&lt;="&amp;$H49)&gt;0,_xlfn.MAXIFS(AD$21:AD$141,$A$21:$A$141,"&gt;="&amp;$G49,$A$21:$A$141,"&lt;="&amp;$H49),AE49))</f>
        <v>-72.4654268379955</v>
      </c>
      <c r="AH49" s="12" t="n">
        <f aca="false">-Cost_k*$A49+Beta_q*(Declarations!$B$16*INDEX(AG$21:AG$141,MAX(1,MIN(121,$B49-ROUND(Declarations!$A$16/$D$18,0))))+Declarations!$B$17*INDEX(AG$21:AG$141,MAX(1,MIN(121,$B49-ROUND(Declarations!$A$17/$D$18,0))))+Declarations!$B$18*INDEX(AG$21:AG$141,MAX(1,MIN(121,$B49-ROUND(Declarations!$A$18/$D$18,0))))+Declarations!$B$19*INDEX(AG$21:AG$141,MAX(1,MIN(121,$B49-ROUND(Declarations!$A$19/$D$18,0))))+Declarations!$B$20*INDEX(AG$21:AG$141,MAX(1,MIN(121,$B49-ROUND(Declarations!$A$20/$D$18,0)))))</f>
        <v>-258.759912793884</v>
      </c>
      <c r="AI49" s="12" t="n">
        <f aca="false">INDEX(AH$21:AH$141,$I49+1)*(1-$J49)+INDEX(AH$21:AH$141,$I49+2)*$J49</f>
        <v>-262.410211349663</v>
      </c>
      <c r="AJ49" s="12" t="n">
        <f aca="false">INDEX(AH$21:AH$141,$K49+1)*(1-$L49)+INDEX(AH$21:AH$141,$K49+2)*$L49</f>
        <v>-254.654889892751</v>
      </c>
      <c r="AK49" s="12" t="n">
        <f aca="false">$C49+$D49+MAX(AI49,AJ49,IF(COUNTIFS($A$21:$A$141,"&gt;="&amp;$G49,$A$21:$A$141,"&lt;="&amp;$H49)&gt;0,_xlfn.MAXIFS(AH$21:AH$141,$A$21:$A$141,"&gt;="&amp;$G49,$A$21:$A$141,"&lt;="&amp;$H49),AI49))</f>
        <v>-84.1548898927507</v>
      </c>
      <c r="AL49" s="12" t="n">
        <f aca="false">-Cost_k*$A49+Beta_q*(Declarations!$B$16*INDEX(AK$21:AK$141,MAX(1,MIN(121,$B49-ROUND(Declarations!$A$16/$D$18,0))))+Declarations!$B$17*INDEX(AK$21:AK$141,MAX(1,MIN(121,$B49-ROUND(Declarations!$A$17/$D$18,0))))+Declarations!$B$18*INDEX(AK$21:AK$141,MAX(1,MIN(121,$B49-ROUND(Declarations!$A$18/$D$18,0))))+Declarations!$B$19*INDEX(AK$21:AK$141,MAX(1,MIN(121,$B49-ROUND(Declarations!$A$19/$D$18,0))))+Declarations!$B$20*INDEX(AK$21:AK$141,MAX(1,MIN(121,$B49-ROUND(Declarations!$A$20/$D$18,0)))))</f>
        <v>-270.173873922364</v>
      </c>
      <c r="AM49" s="12" t="n">
        <f aca="false">INDEX(AL$21:AL$141,$I49+1)*(1-$J49)+INDEX(AL$21:AL$141,$I49+2)*$J49</f>
        <v>-275.250387870067</v>
      </c>
      <c r="AN49" s="12" t="n">
        <f aca="false">INDEX(AL$21:AL$141,$K49+1)*(1-$L49)+INDEX(AL$21:AL$141,$K49+2)*$L49</f>
        <v>-264.458478977098</v>
      </c>
      <c r="AO49" s="12" t="n">
        <f aca="false">$C49+$D49+MAX(AM49,AN49,IF(COUNTIFS($A$21:$A$141,"&gt;="&amp;$G49,$A$21:$A$141,"&lt;="&amp;$H49)&gt;0,_xlfn.MAXIFS(AL$21:AL$141,$A$21:$A$141,"&gt;="&amp;$G49,$A$21:$A$141,"&lt;="&amp;$H49),AM49))</f>
        <v>-93.9584789770978</v>
      </c>
      <c r="AP49" s="12" t="n">
        <f aca="false">-Cost_k*$A49+Beta_q*(Declarations!$B$16*INDEX(AO$21:AO$141,MAX(1,MIN(121,$B49-ROUND(Declarations!$A$16/$D$18,0))))+Declarations!$B$17*INDEX(AO$21:AO$141,MAX(1,MIN(121,$B49-ROUND(Declarations!$A$17/$D$18,0))))+Declarations!$B$18*INDEX(AO$21:AO$141,MAX(1,MIN(121,$B49-ROUND(Declarations!$A$18/$D$18,0))))+Declarations!$B$19*INDEX(AO$21:AO$141,MAX(1,MIN(121,$B49-ROUND(Declarations!$A$19/$D$18,0))))+Declarations!$B$20*INDEX(AO$21:AO$141,MAX(1,MIN(121,$B49-ROUND(Declarations!$A$20/$D$18,0)))))</f>
        <v>-279.752764303154</v>
      </c>
      <c r="AQ49" s="12" t="n">
        <f aca="false">INDEX(AP$21:AP$141,$I49+1)*(1-$J49)+INDEX(AP$21:AP$141,$I49+2)*$J49</f>
        <v>-286.182340766084</v>
      </c>
      <c r="AR49" s="12" t="n">
        <f aca="false">INDEX(AP$21:AP$141,$K49+1)*(1-$L49)+INDEX(AP$21:AP$141,$K49+2)*$L49</f>
        <v>-272.569834126677</v>
      </c>
      <c r="AS49" s="12" t="n">
        <f aca="false">$C49+$D49+MAX(AQ49,AR49,IF(COUNTIFS($A$21:$A$141,"&gt;="&amp;$G49,$A$21:$A$141,"&lt;="&amp;$H49)&gt;0,_xlfn.MAXIFS(AP$21:AP$141,$A$21:$A$141,"&gt;="&amp;$G49,$A$21:$A$141,"&lt;="&amp;$H49),AQ49))</f>
        <v>-102.069834126677</v>
      </c>
      <c r="AT49" s="12" t="n">
        <f aca="false">-Cost_k*$A49+Beta_q*(Declarations!$B$16*INDEX(AS$21:AS$141,MAX(1,MIN(121,$B49-ROUND(Declarations!$A$16/$D$18,0))))+Declarations!$B$17*INDEX(AS$21:AS$141,MAX(1,MIN(121,$B49-ROUND(Declarations!$A$17/$D$18,0))))+Declarations!$B$18*INDEX(AS$21:AS$141,MAX(1,MIN(121,$B49-ROUND(Declarations!$A$18/$D$18,0))))+Declarations!$B$19*INDEX(AS$21:AS$141,MAX(1,MIN(121,$B49-ROUND(Declarations!$A$19/$D$18,0))))+Declarations!$B$20*INDEX(AS$21:AS$141,MAX(1,MIN(121,$B49-ROUND(Declarations!$A$20/$D$18,0)))))</f>
        <v>-287.692226554618</v>
      </c>
      <c r="AU49" s="12" t="n">
        <f aca="false">INDEX(AT$21:AT$141,$I49+1)*(1-$J49)+INDEX(AT$21:AT$141,$I49+2)*$J49</f>
        <v>-295.345466374156</v>
      </c>
      <c r="AV49" s="12" t="n">
        <f aca="false">INDEX(AT$21:AT$141,$K49+1)*(1-$L49)+INDEX(AT$21:AT$141,$K49+2)*$L49</f>
        <v>-279.280390206103</v>
      </c>
      <c r="AW49" s="12" t="n">
        <f aca="false">$C49+$D49+MAX(AU49,AV49,IF(COUNTIFS($A$21:$A$141,"&gt;="&amp;$G49,$A$21:$A$141,"&lt;="&amp;$H49)&gt;0,_xlfn.MAXIFS(AT$21:AT$141,$A$21:$A$141,"&gt;="&amp;$G49,$A$21:$A$141,"&lt;="&amp;$H49),AU49))</f>
        <v>-108.780390206103</v>
      </c>
      <c r="AX49" s="12" t="n">
        <f aca="false">-Cost_k*$A49+Beta_q*(Declarations!$B$16*INDEX(AW$21:AW$141,MAX(1,MIN(121,$B49-ROUND(Declarations!$A$16/$D$18,0))))+Declarations!$B$17*INDEX(AW$21:AW$141,MAX(1,MIN(121,$B49-ROUND(Declarations!$A$17/$D$18,0))))+Declarations!$B$18*INDEX(AW$21:AW$141,MAX(1,MIN(121,$B49-ROUND(Declarations!$A$18/$D$18,0))))+Declarations!$B$19*INDEX(AW$21:AW$141,MAX(1,MIN(121,$B49-ROUND(Declarations!$A$19/$D$18,0))))+Declarations!$B$20*INDEX(AW$21:AW$141,MAX(1,MIN(121,$B49-ROUND(Declarations!$A$20/$D$18,0)))))</f>
        <v>-294.278359357774</v>
      </c>
      <c r="AY49" s="12" t="n">
        <f aca="false">INDEX(AX$21:AX$141,$I49+1)*(1-$J49)+INDEX(AX$21:AX$141,$I49+2)*$J49</f>
        <v>-302.945256527975</v>
      </c>
      <c r="AZ49" s="12" t="n">
        <f aca="false">INDEX(AX$21:AX$141,$K49+1)*(1-$L49)+INDEX(AX$21:AX$141,$K49+2)*$L49</f>
        <v>-284.973523252385</v>
      </c>
      <c r="BA49" s="12" t="n">
        <f aca="false">$C49+$D49+MAX(AY49,AZ49,IF(COUNTIFS($A$21:$A$141,"&gt;="&amp;$G49,$A$21:$A$141,"&lt;="&amp;$H49)&gt;0,_xlfn.MAXIFS(AX$21:AX$141,$A$21:$A$141,"&gt;="&amp;$G49,$A$21:$A$141,"&lt;="&amp;$H49),AY49))</f>
        <v>-114.473523252385</v>
      </c>
      <c r="BB49" s="12" t="n">
        <f aca="false">-Cost_k*$A49+Beta_q*(Declarations!$B$16*INDEX(BA$21:BA$141,MAX(1,MIN(121,$B49-ROUND(Declarations!$A$16/$D$18,0))))+Declarations!$B$17*INDEX(BA$21:BA$141,MAX(1,MIN(121,$B49-ROUND(Declarations!$A$17/$D$18,0))))+Declarations!$B$18*INDEX(BA$21:BA$141,MAX(1,MIN(121,$B49-ROUND(Declarations!$A$18/$D$18,0))))+Declarations!$B$19*INDEX(BA$21:BA$141,MAX(1,MIN(121,$B49-ROUND(Declarations!$A$19/$D$18,0))))+Declarations!$B$20*INDEX(BA$21:BA$141,MAX(1,MIN(121,$B49-ROUND(Declarations!$A$20/$D$18,0)))))</f>
        <v>-299.878761146446</v>
      </c>
      <c r="BC49" s="12" t="n">
        <f aca="false">INDEX(BB$21:BB$141,$I49+1)*(1-$J49)+INDEX(BB$21:BB$141,$I49+2)*$J49</f>
        <v>-309.275039185486</v>
      </c>
      <c r="BD49" s="12" t="n">
        <f aca="false">INDEX(BB$21:BB$141,$K49+1)*(1-$L49)+INDEX(BB$21:BB$141,$K49+2)*$L49</f>
        <v>-290.043726778311</v>
      </c>
      <c r="BE49" s="12" t="n">
        <f aca="false">$C49+$D49+MAX(BC49,BD49,IF(COUNTIFS($A$21:$A$141,"&gt;="&amp;$G49,$A$21:$A$141,"&lt;="&amp;$H49)&gt;0,_xlfn.MAXIFS(BB$21:BB$141,$A$21:$A$141,"&gt;="&amp;$G49,$A$21:$A$141,"&lt;="&amp;$H49),BC49))</f>
        <v>-119.543726778311</v>
      </c>
      <c r="BF49" s="12" t="n">
        <f aca="false">-Cost_k*$A49+Beta_q*(Declarations!$B$16*INDEX(BE$21:BE$141,MAX(1,MIN(121,$B49-ROUND(Declarations!$A$16/$D$18,0))))+Declarations!$B$17*INDEX(BE$21:BE$141,MAX(1,MIN(121,$B49-ROUND(Declarations!$A$17/$D$18,0))))+Declarations!$B$18*INDEX(BE$21:BE$141,MAX(1,MIN(121,$B49-ROUND(Declarations!$A$18/$D$18,0))))+Declarations!$B$19*INDEX(BE$21:BE$141,MAX(1,MIN(121,$B49-ROUND(Declarations!$A$19/$D$18,0))))+Declarations!$B$20*INDEX(BE$21:BE$141,MAX(1,MIN(121,$B49-ROUND(Declarations!$A$20/$D$18,0)))))</f>
        <v>-304.862577865195</v>
      </c>
      <c r="BG49" s="12" t="n">
        <f aca="false">INDEX(BF$21:BF$141,$I49+1)*(1-$J49)+INDEX(BF$21:BF$141,$I49+2)*$J49</f>
        <v>-314.694946664348</v>
      </c>
      <c r="BH49" s="12" t="n">
        <f aca="false">INDEX(BF$21:BF$141,$K49+1)*(1-$L49)+INDEX(BF$21:BF$141,$K49+2)*$L49</f>
        <v>-294.769733353959</v>
      </c>
      <c r="BI49" s="12" t="n">
        <f aca="false">$C49+$D49+MAX(BG49,BH49,IF(COUNTIFS($A$21:$A$141,"&gt;="&amp;$G49,$A$21:$A$141,"&lt;="&amp;$H49)&gt;0,_xlfn.MAXIFS(BF$21:BF$141,$A$21:$A$141,"&gt;="&amp;$G49,$A$21:$A$141,"&lt;="&amp;$H49),BG49))</f>
        <v>-124.269733353959</v>
      </c>
      <c r="BJ49" s="23" t="n">
        <v>-124.269733353959</v>
      </c>
      <c r="BK49" s="22" t="n">
        <f aca="false">ABS(BI49-BJ49)</f>
        <v>0</v>
      </c>
    </row>
    <row r="50" customFormat="false" ht="15" hidden="false" customHeight="false" outlineLevel="0" collapsed="false">
      <c r="A50" s="14" t="n">
        <f aca="false">A49+$D$18</f>
        <v>47.25</v>
      </c>
      <c r="B50" s="19" t="n">
        <v>30</v>
      </c>
      <c r="C50" s="12" t="n">
        <f aca="false">-Short_p*MAX(Floor_c-A50,0)</f>
        <v>-12.4</v>
      </c>
      <c r="D50" s="12" t="n">
        <f aca="false">Cost_k*Alpha_keep*A50</f>
        <v>184.275</v>
      </c>
      <c r="E50" s="12" t="n">
        <f aca="false">MIN(Cap_h,MAX(0,$B$18+MAX(Loss_w)-Alpha_keep*A50))</f>
        <v>0</v>
      </c>
      <c r="F50" s="12" t="n">
        <f aca="false">MAX(MIN(Cap_h,$F$18+MIN(Loss_w)-Alpha_keep*A50),E50)</f>
        <v>2.5</v>
      </c>
      <c r="G50" s="12" t="n">
        <f aca="false">Alpha_keep*A50+E50</f>
        <v>46.06875</v>
      </c>
      <c r="H50" s="12" t="n">
        <f aca="false">Alpha_keep*A50+F50</f>
        <v>48.56875</v>
      </c>
      <c r="I50" s="19" t="n">
        <f aca="false">MIN(INT((G50-$B$18)/$D$18+0.000000001),119)</f>
        <v>24</v>
      </c>
      <c r="J50" s="12" t="n">
        <f aca="false">(G50-$B$18)/$D$18-I50</f>
        <v>0.275000000000006</v>
      </c>
      <c r="K50" s="19" t="n">
        <f aca="false">MIN(INT((H50-$B$18)/$D$18+0.000000001),119)</f>
        <v>34</v>
      </c>
      <c r="L50" s="12" t="n">
        <f aca="false">(H50-$B$18)/$D$18-K50</f>
        <v>0.275000000000006</v>
      </c>
      <c r="M50" s="9" t="n">
        <v>0</v>
      </c>
      <c r="N50" s="12" t="n">
        <f aca="false">-Cost_k*$A50+Beta_q*(Declarations!$B$16*INDEX(M$21:M$141,MAX(1,MIN(121,$B50-ROUND(Declarations!$A$16/$D$18,0))))+Declarations!$B$17*INDEX(M$21:M$141,MAX(1,MIN(121,$B50-ROUND(Declarations!$A$17/$D$18,0))))+Declarations!$B$18*INDEX(M$21:M$141,MAX(1,MIN(121,$B50-ROUND(Declarations!$A$18/$D$18,0))))+Declarations!$B$19*INDEX(M$21:M$141,MAX(1,MIN(121,$B50-ROUND(Declarations!$A$19/$D$18,0))))+Declarations!$B$20*INDEX(M$21:M$141,MAX(1,MIN(121,$B50-ROUND(Declarations!$A$20/$D$18,0)))))</f>
        <v>-189</v>
      </c>
      <c r="O50" s="12" t="n">
        <f aca="false">INDEX(N$21:N$141,$I50+1)*(1-$J50)+INDEX(N$21:N$141,$I50+2)*$J50</f>
        <v>-184.275</v>
      </c>
      <c r="P50" s="12" t="n">
        <f aca="false">INDEX(N$21:N$141,$K50+1)*(1-$L50)+INDEX(N$21:N$141,$K50+2)*$L50</f>
        <v>-194.275</v>
      </c>
      <c r="Q50" s="12" t="n">
        <f aca="false">$C50+$D50+MAX(O50,P50,IF(COUNTIFS($A$21:$A$141,"&gt;="&amp;$G50,$A$21:$A$141,"&lt;="&amp;$H50)&gt;0,_xlfn.MAXIFS(N$21:N$141,$A$21:$A$141,"&gt;="&amp;$G50,$A$21:$A$141,"&lt;="&amp;$H50),O50))</f>
        <v>-12.4</v>
      </c>
      <c r="R50" s="12" t="n">
        <f aca="false">-Cost_k*$A50+Beta_q*(Declarations!$B$16*INDEX(Q$21:Q$141,MAX(1,MIN(121,$B50-ROUND(Declarations!$A$16/$D$18,0))))+Declarations!$B$17*INDEX(Q$21:Q$141,MAX(1,MIN(121,$B50-ROUND(Declarations!$A$17/$D$18,0))))+Declarations!$B$18*INDEX(Q$21:Q$141,MAX(1,MIN(121,$B50-ROUND(Declarations!$A$18/$D$18,0))))+Declarations!$B$19*INDEX(Q$21:Q$141,MAX(1,MIN(121,$B50-ROUND(Declarations!$A$19/$D$18,0))))+Declarations!$B$20*INDEX(Q$21:Q$141,MAX(1,MIN(121,$B50-ROUND(Declarations!$A$20/$D$18,0)))))</f>
        <v>-201.108030711986</v>
      </c>
      <c r="S50" s="12" t="n">
        <f aca="false">INDEX(R$21:R$141,$I50+1)*(1-$J50)+INDEX(R$21:R$141,$I50+2)*$J50</f>
        <v>-198.228528941474</v>
      </c>
      <c r="T50" s="12" t="n">
        <f aca="false">INDEX(R$21:R$141,$K50+1)*(1-$L50)+INDEX(R$21:R$141,$K50+2)*$L50</f>
        <v>-204.322712582769</v>
      </c>
      <c r="U50" s="12" t="n">
        <f aca="false">$C50+$D50+MAX(S50,T50,IF(COUNTIFS($A$21:$A$141,"&gt;="&amp;$G50,$A$21:$A$141,"&lt;="&amp;$H50)&gt;0,_xlfn.MAXIFS(R$21:R$141,$A$21:$A$141,"&gt;="&amp;$G50,$A$21:$A$141,"&lt;="&amp;$H50),S50))</f>
        <v>-26.3535289414745</v>
      </c>
      <c r="V50" s="12" t="n">
        <f aca="false">-Cost_k*$A50+Beta_q*(Declarations!$B$16*INDEX(U$21:U$141,MAX(1,MIN(121,$B50-ROUND(Declarations!$A$16/$D$18,0))))+Declarations!$B$17*INDEX(U$21:U$141,MAX(1,MIN(121,$B50-ROUND(Declarations!$A$17/$D$18,0))))+Declarations!$B$18*INDEX(U$21:U$141,MAX(1,MIN(121,$B50-ROUND(Declarations!$A$18/$D$18,0))))+Declarations!$B$19*INDEX(U$21:U$141,MAX(1,MIN(121,$B50-ROUND(Declarations!$A$19/$D$18,0))))+Declarations!$B$20*INDEX(U$21:U$141,MAX(1,MIN(121,$B50-ROUND(Declarations!$A$20/$D$18,0)))))</f>
        <v>-214.733011112306</v>
      </c>
      <c r="W50" s="12" t="n">
        <f aca="false">INDEX(V$21:V$141,$I50+1)*(1-$J50)+INDEX(V$21:V$141,$I50+2)*$J50</f>
        <v>-213.61785420887</v>
      </c>
      <c r="X50" s="12" t="n">
        <f aca="false">INDEX(V$21:V$141,$K50+1)*(1-$L50)+INDEX(V$21:V$141,$K50+2)*$L50</f>
        <v>-215.986182071363</v>
      </c>
      <c r="Y50" s="12" t="n">
        <f aca="false">$C50+$D50+MAX(W50,X50,IF(COUNTIFS($A$21:$A$141,"&gt;="&amp;$G50,$A$21:$A$141,"&lt;="&amp;$H50)&gt;0,_xlfn.MAXIFS(V$21:V$141,$A$21:$A$141,"&gt;="&amp;$G50,$A$21:$A$141,"&lt;="&amp;$H50),W50))</f>
        <v>-41.7428542088696</v>
      </c>
      <c r="Z50" s="12" t="n">
        <f aca="false">-Cost_k*$A50+Beta_q*(Declarations!$B$16*INDEX(Y$21:Y$141,MAX(1,MIN(121,$B50-ROUND(Declarations!$A$16/$D$18,0))))+Declarations!$B$17*INDEX(Y$21:Y$141,MAX(1,MIN(121,$B50-ROUND(Declarations!$A$17/$D$18,0))))+Declarations!$B$18*INDEX(Y$21:Y$141,MAX(1,MIN(121,$B50-ROUND(Declarations!$A$18/$D$18,0))))+Declarations!$B$19*INDEX(Y$21:Y$141,MAX(1,MIN(121,$B50-ROUND(Declarations!$A$19/$D$18,0))))+Declarations!$B$20*INDEX(Y$21:Y$141,MAX(1,MIN(121,$B50-ROUND(Declarations!$A$20/$D$18,0)))))</f>
        <v>-229.783317073633</v>
      </c>
      <c r="AA50" s="12" t="n">
        <f aca="false">INDEX(Z$21:Z$141,$I50+1)*(1-$J50)+INDEX(Z$21:Z$141,$I50+2)*$J50</f>
        <v>-230.577823494775</v>
      </c>
      <c r="AB50" s="12" t="n">
        <f aca="false">INDEX(Z$21:Z$141,$K50+1)*(1-$L50)+INDEX(Z$21:Z$141,$K50+2)*$L50</f>
        <v>-229.139480529178</v>
      </c>
      <c r="AC50" s="12" t="n">
        <f aca="false">$C50+$D50+MAX(AA50,AB50,IF(COUNTIFS($A$21:$A$141,"&gt;="&amp;$G50,$A$21:$A$141,"&lt;="&amp;$H50)&gt;0,_xlfn.MAXIFS(Z$21:Z$141,$A$21:$A$141,"&gt;="&amp;$G50,$A$21:$A$141,"&lt;="&amp;$H50),AA50))</f>
        <v>-57.2644805291778</v>
      </c>
      <c r="AD50" s="12" t="n">
        <f aca="false">-Cost_k*$A50+Beta_q*(Declarations!$B$16*INDEX(AC$21:AC$141,MAX(1,MIN(121,$B50-ROUND(Declarations!$A$16/$D$18,0))))+Declarations!$B$17*INDEX(AC$21:AC$141,MAX(1,MIN(121,$B50-ROUND(Declarations!$A$17/$D$18,0))))+Declarations!$B$18*INDEX(AC$21:AC$141,MAX(1,MIN(121,$B50-ROUND(Declarations!$A$18/$D$18,0))))+Declarations!$B$19*INDEX(AC$21:AC$141,MAX(1,MIN(121,$B50-ROUND(Declarations!$A$19/$D$18,0))))+Declarations!$B$20*INDEX(AC$21:AC$141,MAX(1,MIN(121,$B50-ROUND(Declarations!$A$20/$D$18,0)))))</f>
        <v>-244.919375244526</v>
      </c>
      <c r="AE50" s="12" t="n">
        <f aca="false">INDEX(AD$21:AD$141,$I50+1)*(1-$J50)+INDEX(AD$21:AD$141,$I50+2)*$J50</f>
        <v>-247.105539461451</v>
      </c>
      <c r="AF50" s="12" t="n">
        <f aca="false">INDEX(AD$21:AD$141,$K50+1)*(1-$L50)+INDEX(AD$21:AD$141,$K50+2)*$L50</f>
        <v>-242.523161653278</v>
      </c>
      <c r="AG50" s="12" t="n">
        <f aca="false">$C50+$D50+MAX(AE50,AF50,IF(COUNTIFS($A$21:$A$141,"&gt;="&amp;$G50,$A$21:$A$141,"&lt;="&amp;$H50)&gt;0,_xlfn.MAXIFS(AD$21:AD$141,$A$21:$A$141,"&gt;="&amp;$G50,$A$21:$A$141,"&lt;="&amp;$H50),AE50))</f>
        <v>-70.6481616532779</v>
      </c>
      <c r="AH50" s="12" t="n">
        <f aca="false">-Cost_k*$A50+Beta_q*(Declarations!$B$16*INDEX(AG$21:AG$141,MAX(1,MIN(121,$B50-ROUND(Declarations!$A$16/$D$18,0))))+Declarations!$B$17*INDEX(AG$21:AG$141,MAX(1,MIN(121,$B50-ROUND(Declarations!$A$17/$D$18,0))))+Declarations!$B$18*INDEX(AG$21:AG$141,MAX(1,MIN(121,$B50-ROUND(Declarations!$A$18/$D$18,0))))+Declarations!$B$19*INDEX(AG$21:AG$141,MAX(1,MIN(121,$B50-ROUND(Declarations!$A$19/$D$18,0))))+Declarations!$B$20*INDEX(AG$21:AG$141,MAX(1,MIN(121,$B50-ROUND(Declarations!$A$20/$D$18,0)))))</f>
        <v>-257.985126848027</v>
      </c>
      <c r="AI50" s="12" t="n">
        <f aca="false">INDEX(AH$21:AH$141,$I50+1)*(1-$J50)+INDEX(AH$21:AH$141,$I50+2)*$J50</f>
        <v>-261.650791803206</v>
      </c>
      <c r="AJ50" s="12" t="n">
        <f aca="false">INDEX(AH$21:AH$141,$K50+1)*(1-$L50)+INDEX(AH$21:AH$141,$K50+2)*$L50</f>
        <v>-253.899918670206</v>
      </c>
      <c r="AK50" s="12" t="n">
        <f aca="false">$C50+$D50+MAX(AI50,AJ50,IF(COUNTIFS($A$21:$A$141,"&gt;="&amp;$G50,$A$21:$A$141,"&lt;="&amp;$H50)&gt;0,_xlfn.MAXIFS(AH$21:AH$141,$A$21:$A$141,"&gt;="&amp;$G50,$A$21:$A$141,"&lt;="&amp;$H50),AI50))</f>
        <v>-82.0249186702063</v>
      </c>
      <c r="AL50" s="12" t="n">
        <f aca="false">-Cost_k*$A50+Beta_q*(Declarations!$B$16*INDEX(AK$21:AK$141,MAX(1,MIN(121,$B50-ROUND(Declarations!$A$16/$D$18,0))))+Declarations!$B$17*INDEX(AK$21:AK$141,MAX(1,MIN(121,$B50-ROUND(Declarations!$A$17/$D$18,0))))+Declarations!$B$18*INDEX(AK$21:AK$141,MAX(1,MIN(121,$B50-ROUND(Declarations!$A$18/$D$18,0))))+Declarations!$B$19*INDEX(AK$21:AK$141,MAX(1,MIN(121,$B50-ROUND(Declarations!$A$19/$D$18,0))))+Declarations!$B$20*INDEX(AK$21:AK$141,MAX(1,MIN(121,$B50-ROUND(Declarations!$A$20/$D$18,0)))))</f>
        <v>-269.094291762261</v>
      </c>
      <c r="AM50" s="12" t="n">
        <f aca="false">INDEX(AL$21:AL$141,$I50+1)*(1-$J50)+INDEX(AL$21:AL$141,$I50+2)*$J50</f>
        <v>-274.196859795279</v>
      </c>
      <c r="AN50" s="12" t="n">
        <f aca="false">INDEX(AL$21:AL$141,$K50+1)*(1-$L50)+INDEX(AL$21:AL$141,$K50+2)*$L50</f>
        <v>-263.411168024141</v>
      </c>
      <c r="AO50" s="12" t="n">
        <f aca="false">$C50+$D50+MAX(AM50,AN50,IF(COUNTIFS($A$21:$A$141,"&gt;="&amp;$G50,$A$21:$A$141,"&lt;="&amp;$H50)&gt;0,_xlfn.MAXIFS(AL$21:AL$141,$A$21:$A$141,"&gt;="&amp;$G50,$A$21:$A$141,"&lt;="&amp;$H50),AM50))</f>
        <v>-91.5361680241413</v>
      </c>
      <c r="AP50" s="12" t="n">
        <f aca="false">-Cost_k*$A50+Beta_q*(Declarations!$B$16*INDEX(AO$21:AO$141,MAX(1,MIN(121,$B50-ROUND(Declarations!$A$16/$D$18,0))))+Declarations!$B$17*INDEX(AO$21:AO$141,MAX(1,MIN(121,$B50-ROUND(Declarations!$A$17/$D$18,0))))+Declarations!$B$18*INDEX(AO$21:AO$141,MAX(1,MIN(121,$B50-ROUND(Declarations!$A$18/$D$18,0))))+Declarations!$B$19*INDEX(AO$21:AO$141,MAX(1,MIN(121,$B50-ROUND(Declarations!$A$19/$D$18,0))))+Declarations!$B$20*INDEX(AO$21:AO$141,MAX(1,MIN(121,$B50-ROUND(Declarations!$A$20/$D$18,0)))))</f>
        <v>-278.389911693463</v>
      </c>
      <c r="AQ50" s="12" t="n">
        <f aca="false">INDEX(AP$21:AP$141,$I50+1)*(1-$J50)+INDEX(AP$21:AP$141,$I50+2)*$J50</f>
        <v>-284.846881481452</v>
      </c>
      <c r="AR50" s="12" t="n">
        <f aca="false">INDEX(AP$21:AP$141,$K50+1)*(1-$L50)+INDEX(AP$21:AP$141,$K50+2)*$L50</f>
        <v>-271.265520908211</v>
      </c>
      <c r="AS50" s="12" t="n">
        <f aca="false">$C50+$D50+MAX(AQ50,AR50,IF(COUNTIFS($A$21:$A$141,"&gt;="&amp;$G50,$A$21:$A$141,"&lt;="&amp;$H50)&gt;0,_xlfn.MAXIFS(AP$21:AP$141,$A$21:$A$141,"&gt;="&amp;$G50,$A$21:$A$141,"&lt;="&amp;$H50),AQ50))</f>
        <v>-99.3905209082112</v>
      </c>
      <c r="AT50" s="12" t="n">
        <f aca="false">-Cost_k*$A50+Beta_q*(Declarations!$B$16*INDEX(AS$21:AS$141,MAX(1,MIN(121,$B50-ROUND(Declarations!$A$16/$D$18,0))))+Declarations!$B$17*INDEX(AS$21:AS$141,MAX(1,MIN(121,$B50-ROUND(Declarations!$A$17/$D$18,0))))+Declarations!$B$18*INDEX(AS$21:AS$141,MAX(1,MIN(121,$B50-ROUND(Declarations!$A$18/$D$18,0))))+Declarations!$B$19*INDEX(AS$21:AS$141,MAX(1,MIN(121,$B50-ROUND(Declarations!$A$19/$D$18,0))))+Declarations!$B$20*INDEX(AS$21:AS$141,MAX(1,MIN(121,$B50-ROUND(Declarations!$A$20/$D$18,0)))))</f>
        <v>-286.081332450193</v>
      </c>
      <c r="AU50" s="12" t="n">
        <f aca="false">INDEX(AT$21:AT$141,$I50+1)*(1-$J50)+INDEX(AT$21:AT$141,$I50+2)*$J50</f>
        <v>-293.75015193883</v>
      </c>
      <c r="AV50" s="12" t="n">
        <f aca="false">INDEX(AT$21:AT$141,$K50+1)*(1-$L50)+INDEX(AT$21:AT$141,$K50+2)*$L50</f>
        <v>-277.775154212898</v>
      </c>
      <c r="AW50" s="12" t="n">
        <f aca="false">$C50+$D50+MAX(AU50,AV50,IF(COUNTIFS($A$21:$A$141,"&gt;="&amp;$G50,$A$21:$A$141,"&lt;="&amp;$H50)&gt;0,_xlfn.MAXIFS(AT$21:AT$141,$A$21:$A$141,"&gt;="&amp;$G50,$A$21:$A$141,"&lt;="&amp;$H50),AU50))</f>
        <v>-105.900154212898</v>
      </c>
      <c r="AX50" s="12" t="n">
        <f aca="false">-Cost_k*$A50+Beta_q*(Declarations!$B$16*INDEX(AW$21:AW$141,MAX(1,MIN(121,$B50-ROUND(Declarations!$A$16/$D$18,0))))+Declarations!$B$17*INDEX(AW$21:AW$141,MAX(1,MIN(121,$B50-ROUND(Declarations!$A$17/$D$18,0))))+Declarations!$B$18*INDEX(AW$21:AW$141,MAX(1,MIN(121,$B50-ROUND(Declarations!$A$18/$D$18,0))))+Declarations!$B$19*INDEX(AW$21:AW$141,MAX(1,MIN(121,$B50-ROUND(Declarations!$A$19/$D$18,0))))+Declarations!$B$20*INDEX(AW$21:AW$141,MAX(1,MIN(121,$B50-ROUND(Declarations!$A$20/$D$18,0)))))</f>
        <v>-292.474169920716</v>
      </c>
      <c r="AY50" s="12" t="n">
        <f aca="false">INDEX(AX$21:AX$141,$I50+1)*(1-$J50)+INDEX(AX$21:AX$141,$I50+2)*$J50</f>
        <v>-301.127088524819</v>
      </c>
      <c r="AZ50" s="12" t="n">
        <f aca="false">INDEX(AX$21:AX$141,$K50+1)*(1-$L50)+INDEX(AX$21:AX$141,$K50+2)*$L50</f>
        <v>-283.341237368314</v>
      </c>
      <c r="BA50" s="12" t="n">
        <f aca="false">$C50+$D50+MAX(AY50,AZ50,IF(COUNTIFS($A$21:$A$141,"&gt;="&amp;$G50,$A$21:$A$141,"&lt;="&amp;$H50)&gt;0,_xlfn.MAXIFS(AX$21:AX$141,$A$21:$A$141,"&gt;="&amp;$G50,$A$21:$A$141,"&lt;="&amp;$H50),AY50))</f>
        <v>-111.466237368314</v>
      </c>
      <c r="BB50" s="12" t="n">
        <f aca="false">-Cost_k*$A50+Beta_q*(Declarations!$B$16*INDEX(BA$21:BA$141,MAX(1,MIN(121,$B50-ROUND(Declarations!$A$16/$D$18,0))))+Declarations!$B$17*INDEX(BA$21:BA$141,MAX(1,MIN(121,$B50-ROUND(Declarations!$A$17/$D$18,0))))+Declarations!$B$18*INDEX(BA$21:BA$141,MAX(1,MIN(121,$B50-ROUND(Declarations!$A$18/$D$18,0))))+Declarations!$B$19*INDEX(BA$21:BA$141,MAX(1,MIN(121,$B50-ROUND(Declarations!$A$19/$D$18,0))))+Declarations!$B$20*INDEX(BA$21:BA$141,MAX(1,MIN(121,$B50-ROUND(Declarations!$A$20/$D$18,0)))))</f>
        <v>-297.951058187271</v>
      </c>
      <c r="BC50" s="12" t="n">
        <f aca="false">INDEX(BB$21:BB$141,$I50+1)*(1-$J50)+INDEX(BB$21:BB$141,$I50+2)*$J50</f>
        <v>-307.287111183458</v>
      </c>
      <c r="BD50" s="12" t="n">
        <f aca="false">INDEX(BB$21:BB$141,$K50+1)*(1-$L50)+INDEX(BB$21:BB$141,$K50+2)*$L50</f>
        <v>-288.346781447796</v>
      </c>
      <c r="BE50" s="12" t="n">
        <f aca="false">$C50+$D50+MAX(BC50,BD50,IF(COUNTIFS($A$21:$A$141,"&gt;="&amp;$G50,$A$21:$A$141,"&lt;="&amp;$H50)&gt;0,_xlfn.MAXIFS(BB$21:BB$141,$A$21:$A$141,"&gt;="&amp;$G50,$A$21:$A$141,"&lt;="&amp;$H50),BC50))</f>
        <v>-116.471781447796</v>
      </c>
      <c r="BF50" s="12" t="n">
        <f aca="false">-Cost_k*$A50+Beta_q*(Declarations!$B$16*INDEX(BE$21:BE$141,MAX(1,MIN(121,$B50-ROUND(Declarations!$A$16/$D$18,0))))+Declarations!$B$17*INDEX(BE$21:BE$141,MAX(1,MIN(121,$B50-ROUND(Declarations!$A$17/$D$18,0))))+Declarations!$B$18*INDEX(BE$21:BE$141,MAX(1,MIN(121,$B50-ROUND(Declarations!$A$18/$D$18,0))))+Declarations!$B$19*INDEX(BE$21:BE$141,MAX(1,MIN(121,$B50-ROUND(Declarations!$A$19/$D$18,0))))+Declarations!$B$20*INDEX(BE$21:BE$141,MAX(1,MIN(121,$B50-ROUND(Declarations!$A$20/$D$18,0)))))</f>
        <v>-302.869705307341</v>
      </c>
      <c r="BG50" s="12" t="n">
        <f aca="false">INDEX(BF$21:BF$141,$I50+1)*(1-$J50)+INDEX(BF$21:BF$141,$I50+2)*$J50</f>
        <v>-312.598693973213</v>
      </c>
      <c r="BH50" s="12" t="n">
        <f aca="false">INDEX(BF$21:BF$141,$K50+1)*(1-$L50)+INDEX(BF$21:BF$141,$K50+2)*$L50</f>
        <v>-293.044882452439</v>
      </c>
      <c r="BI50" s="12" t="n">
        <f aca="false">$C50+$D50+MAX(BG50,BH50,IF(COUNTIFS($A$21:$A$141,"&gt;="&amp;$G50,$A$21:$A$141,"&lt;="&amp;$H50)&gt;0,_xlfn.MAXIFS(BF$21:BF$141,$A$21:$A$141,"&gt;="&amp;$G50,$A$21:$A$141,"&lt;="&amp;$H50),BG50))</f>
        <v>-121.169882452439</v>
      </c>
      <c r="BJ50" s="23" t="n">
        <v>-121.169882452439</v>
      </c>
      <c r="BK50" s="22" t="n">
        <f aca="false">ABS(BI50-BJ50)</f>
        <v>0</v>
      </c>
    </row>
    <row r="51" customFormat="false" ht="15" hidden="false" customHeight="false" outlineLevel="0" collapsed="false">
      <c r="A51" s="14" t="n">
        <f aca="false">A50+$D$18</f>
        <v>47.5</v>
      </c>
      <c r="B51" s="19" t="n">
        <v>31</v>
      </c>
      <c r="C51" s="12" t="n">
        <f aca="false">-Short_p*MAX(Floor_c-A51,0)</f>
        <v>-12</v>
      </c>
      <c r="D51" s="12" t="n">
        <f aca="false">Cost_k*Alpha_keep*A51</f>
        <v>185.25</v>
      </c>
      <c r="E51" s="12" t="n">
        <f aca="false">MIN(Cap_h,MAX(0,$B$18+MAX(Loss_w)-Alpha_keep*A51))</f>
        <v>0</v>
      </c>
      <c r="F51" s="12" t="n">
        <f aca="false">MAX(MIN(Cap_h,$F$18+MIN(Loss_w)-Alpha_keep*A51),E51)</f>
        <v>2.5</v>
      </c>
      <c r="G51" s="12" t="n">
        <f aca="false">Alpha_keep*A51+E51</f>
        <v>46.3125</v>
      </c>
      <c r="H51" s="12" t="n">
        <f aca="false">Alpha_keep*A51+F51</f>
        <v>48.8125</v>
      </c>
      <c r="I51" s="19" t="n">
        <f aca="false">MIN(INT((G51-$B$18)/$D$18+0.000000001),119)</f>
        <v>25</v>
      </c>
      <c r="J51" s="12" t="n">
        <f aca="false">(G51-$B$18)/$D$18-I51</f>
        <v>0.25</v>
      </c>
      <c r="K51" s="19" t="n">
        <f aca="false">MIN(INT((H51-$B$18)/$D$18+0.000000001),119)</f>
        <v>35</v>
      </c>
      <c r="L51" s="12" t="n">
        <f aca="false">(H51-$B$18)/$D$18-K51</f>
        <v>0.25</v>
      </c>
      <c r="M51" s="9" t="n">
        <v>0</v>
      </c>
      <c r="N51" s="12" t="n">
        <f aca="false">-Cost_k*$A51+Beta_q*(Declarations!$B$16*INDEX(M$21:M$141,MAX(1,MIN(121,$B51-ROUND(Declarations!$A$16/$D$18,0))))+Declarations!$B$17*INDEX(M$21:M$141,MAX(1,MIN(121,$B51-ROUND(Declarations!$A$17/$D$18,0))))+Declarations!$B$18*INDEX(M$21:M$141,MAX(1,MIN(121,$B51-ROUND(Declarations!$A$18/$D$18,0))))+Declarations!$B$19*INDEX(M$21:M$141,MAX(1,MIN(121,$B51-ROUND(Declarations!$A$19/$D$18,0))))+Declarations!$B$20*INDEX(M$21:M$141,MAX(1,MIN(121,$B51-ROUND(Declarations!$A$20/$D$18,0)))))</f>
        <v>-190</v>
      </c>
      <c r="O51" s="12" t="n">
        <f aca="false">INDEX(N$21:N$141,$I51+1)*(1-$J51)+INDEX(N$21:N$141,$I51+2)*$J51</f>
        <v>-185.25</v>
      </c>
      <c r="P51" s="12" t="n">
        <f aca="false">INDEX(N$21:N$141,$K51+1)*(1-$L51)+INDEX(N$21:N$141,$K51+2)*$L51</f>
        <v>-195.25</v>
      </c>
      <c r="Q51" s="12" t="n">
        <f aca="false">$C51+$D51+MAX(O51,P51,IF(COUNTIFS($A$21:$A$141,"&gt;="&amp;$G51,$A$21:$A$141,"&lt;="&amp;$H51)&gt;0,_xlfn.MAXIFS(N$21:N$141,$A$21:$A$141,"&gt;="&amp;$G51,$A$21:$A$141,"&lt;="&amp;$H51),O51))</f>
        <v>-12</v>
      </c>
      <c r="R51" s="12" t="n">
        <f aca="false">-Cost_k*$A51+Beta_q*(Declarations!$B$16*INDEX(Q$21:Q$141,MAX(1,MIN(121,$B51-ROUND(Declarations!$A$16/$D$18,0))))+Declarations!$B$17*INDEX(Q$21:Q$141,MAX(1,MIN(121,$B51-ROUND(Declarations!$A$17/$D$18,0))))+Declarations!$B$18*INDEX(Q$21:Q$141,MAX(1,MIN(121,$B51-ROUND(Declarations!$A$18/$D$18,0))))+Declarations!$B$19*INDEX(Q$21:Q$141,MAX(1,MIN(121,$B51-ROUND(Declarations!$A$19/$D$18,0))))+Declarations!$B$20*INDEX(Q$21:Q$141,MAX(1,MIN(121,$B51-ROUND(Declarations!$A$20/$D$18,0)))))</f>
        <v>-201.717449076116</v>
      </c>
      <c r="S51" s="12" t="n">
        <f aca="false">INDEX(R$21:R$141,$I51+1)*(1-$J51)+INDEX(R$21:R$141,$I51+2)*$J51</f>
        <v>-198.822711846501</v>
      </c>
      <c r="T51" s="12" t="n">
        <f aca="false">INDEX(R$21:R$141,$K51+1)*(1-$L51)+INDEX(R$21:R$141,$K51+2)*$L51</f>
        <v>-204.916895487795</v>
      </c>
      <c r="U51" s="12" t="n">
        <f aca="false">$C51+$D51+MAX(S51,T51,IF(COUNTIFS($A$21:$A$141,"&gt;="&amp;$G51,$A$21:$A$141,"&lt;="&amp;$H51)&gt;0,_xlfn.MAXIFS(R$21:R$141,$A$21:$A$141,"&gt;="&amp;$G51,$A$21:$A$141,"&lt;="&amp;$H51),S51))</f>
        <v>-25.5727118465007</v>
      </c>
      <c r="V51" s="12" t="n">
        <f aca="false">-Cost_k*$A51+Beta_q*(Declarations!$B$16*INDEX(U$21:U$141,MAX(1,MIN(121,$B51-ROUND(Declarations!$A$16/$D$18,0))))+Declarations!$B$17*INDEX(U$21:U$141,MAX(1,MIN(121,$B51-ROUND(Declarations!$A$17/$D$18,0))))+Declarations!$B$18*INDEX(U$21:U$141,MAX(1,MIN(121,$B51-ROUND(Declarations!$A$18/$D$18,0))))+Declarations!$B$19*INDEX(U$21:U$141,MAX(1,MIN(121,$B51-ROUND(Declarations!$A$19/$D$18,0))))+Declarations!$B$20*INDEX(U$21:U$141,MAX(1,MIN(121,$B51-ROUND(Declarations!$A$20/$D$18,0)))))</f>
        <v>-214.970579066629</v>
      </c>
      <c r="W51" s="12" t="n">
        <f aca="false">INDEX(V$21:V$141,$I51+1)*(1-$J51)+INDEX(V$21:V$141,$I51+2)*$J51</f>
        <v>-213.845588702817</v>
      </c>
      <c r="X51" s="12" t="n">
        <f aca="false">INDEX(V$21:V$141,$K51+1)*(1-$L51)+INDEX(V$21:V$141,$K51+2)*$L51</f>
        <v>-216.217810826829</v>
      </c>
      <c r="Y51" s="12" t="n">
        <f aca="false">$C51+$D51+MAX(W51,X51,IF(COUNTIFS($A$21:$A$141,"&gt;="&amp;$G51,$A$21:$A$141,"&lt;="&amp;$H51)&gt;0,_xlfn.MAXIFS(V$21:V$141,$A$21:$A$141,"&gt;="&amp;$G51,$A$21:$A$141,"&lt;="&amp;$H51),W51))</f>
        <v>-40.5955887028169</v>
      </c>
      <c r="Z51" s="12" t="n">
        <f aca="false">-Cost_k*$A51+Beta_q*(Declarations!$B$16*INDEX(Y$21:Y$141,MAX(1,MIN(121,$B51-ROUND(Declarations!$A$16/$D$18,0))))+Declarations!$B$17*INDEX(Y$21:Y$141,MAX(1,MIN(121,$B51-ROUND(Declarations!$A$17/$D$18,0))))+Declarations!$B$18*INDEX(Y$21:Y$141,MAX(1,MIN(121,$B51-ROUND(Declarations!$A$18/$D$18,0))))+Declarations!$B$19*INDEX(Y$21:Y$141,MAX(1,MIN(121,$B51-ROUND(Declarations!$A$19/$D$18,0))))+Declarations!$B$20*INDEX(Y$21:Y$141,MAX(1,MIN(121,$B51-ROUND(Declarations!$A$20/$D$18,0)))))</f>
        <v>-229.654604756322</v>
      </c>
      <c r="AA51" s="12" t="n">
        <f aca="false">INDEX(Z$21:Z$141,$I51+1)*(1-$J51)+INDEX(Z$21:Z$141,$I51+2)*$J51</f>
        <v>-230.376645788803</v>
      </c>
      <c r="AB51" s="12" t="n">
        <f aca="false">INDEX(Z$21:Z$141,$K51+1)*(1-$L51)+INDEX(Z$21:Z$141,$K51+2)*$L51</f>
        <v>-229.025340635342</v>
      </c>
      <c r="AC51" s="12" t="n">
        <f aca="false">$C51+$D51+MAX(AA51,AB51,IF(COUNTIFS($A$21:$A$141,"&gt;="&amp;$G51,$A$21:$A$141,"&lt;="&amp;$H51)&gt;0,_xlfn.MAXIFS(Z$21:Z$141,$A$21:$A$141,"&gt;="&amp;$G51,$A$21:$A$141,"&lt;="&amp;$H51),AA51))</f>
        <v>-55.7753406353421</v>
      </c>
      <c r="AD51" s="12" t="n">
        <f aca="false">-Cost_k*$A51+Beta_q*(Declarations!$B$16*INDEX(AC$21:AC$141,MAX(1,MIN(121,$B51-ROUND(Declarations!$A$16/$D$18,0))))+Declarations!$B$17*INDEX(AC$21:AC$141,MAX(1,MIN(121,$B51-ROUND(Declarations!$A$17/$D$18,0))))+Declarations!$B$18*INDEX(AC$21:AC$141,MAX(1,MIN(121,$B51-ROUND(Declarations!$A$18/$D$18,0))))+Declarations!$B$19*INDEX(AC$21:AC$141,MAX(1,MIN(121,$B51-ROUND(Declarations!$A$19/$D$18,0))))+Declarations!$B$20*INDEX(AC$21:AC$141,MAX(1,MIN(121,$B51-ROUND(Declarations!$A$20/$D$18,0)))))</f>
        <v>-244.463898692586</v>
      </c>
      <c r="AE51" s="12" t="n">
        <f aca="false">INDEX(AD$21:AD$141,$I51+1)*(1-$J51)+INDEX(AD$21:AD$141,$I51+2)*$J51</f>
        <v>-246.646757227367</v>
      </c>
      <c r="AF51" s="12" t="n">
        <f aca="false">INDEX(AD$21:AD$141,$K51+1)*(1-$L51)+INDEX(AD$21:AD$141,$K51+2)*$L51</f>
        <v>-242.080948847666</v>
      </c>
      <c r="AG51" s="12" t="n">
        <f aca="false">$C51+$D51+MAX(AE51,AF51,IF(COUNTIFS($A$21:$A$141,"&gt;="&amp;$G51,$A$21:$A$141,"&lt;="&amp;$H51)&gt;0,_xlfn.MAXIFS(AD$21:AD$141,$A$21:$A$141,"&gt;="&amp;$G51,$A$21:$A$141,"&lt;="&amp;$H51),AE51))</f>
        <v>-68.8309488476663</v>
      </c>
      <c r="AH51" s="12" t="n">
        <f aca="false">-Cost_k*$A51+Beta_q*(Declarations!$B$16*INDEX(AG$21:AG$141,MAX(1,MIN(121,$B51-ROUND(Declarations!$A$16/$D$18,0))))+Declarations!$B$17*INDEX(AG$21:AG$141,MAX(1,MIN(121,$B51-ROUND(Declarations!$A$17/$D$18,0))))+Declarations!$B$18*INDEX(AG$21:AG$141,MAX(1,MIN(121,$B51-ROUND(Declarations!$A$18/$D$18,0))))+Declarations!$B$19*INDEX(AG$21:AG$141,MAX(1,MIN(121,$B51-ROUND(Declarations!$A$19/$D$18,0))))+Declarations!$B$20*INDEX(AG$21:AG$141,MAX(1,MIN(121,$B51-ROUND(Declarations!$A$20/$D$18,0)))))</f>
        <v>-257.210499038605</v>
      </c>
      <c r="AI51" s="12" t="n">
        <f aca="false">INDEX(AH$21:AH$141,$I51+1)*(1-$J51)+INDEX(AH$21:AH$141,$I51+2)*$J51</f>
        <v>-260.892989297</v>
      </c>
      <c r="AJ51" s="12" t="n">
        <f aca="false">INDEX(AH$21:AH$141,$K51+1)*(1-$L51)+INDEX(AH$21:AH$141,$K51+2)*$L51</f>
        <v>-253.145071287239</v>
      </c>
      <c r="AK51" s="12" t="n">
        <f aca="false">$C51+$D51+MAX(AI51,AJ51,IF(COUNTIFS($A$21:$A$141,"&gt;="&amp;$G51,$A$21:$A$141,"&lt;="&amp;$H51)&gt;0,_xlfn.MAXIFS(AH$21:AH$141,$A$21:$A$141,"&gt;="&amp;$G51,$A$21:$A$141,"&lt;="&amp;$H51),AI51))</f>
        <v>-79.8950712872388</v>
      </c>
      <c r="AL51" s="12" t="n">
        <f aca="false">-Cost_k*$A51+Beta_q*(Declarations!$B$16*INDEX(AK$21:AK$141,MAX(1,MIN(121,$B51-ROUND(Declarations!$A$16/$D$18,0))))+Declarations!$B$17*INDEX(AK$21:AK$141,MAX(1,MIN(121,$B51-ROUND(Declarations!$A$17/$D$18,0))))+Declarations!$B$18*INDEX(AK$21:AK$141,MAX(1,MIN(121,$B51-ROUND(Declarations!$A$18/$D$18,0))))+Declarations!$B$19*INDEX(AK$21:AK$141,MAX(1,MIN(121,$B51-ROUND(Declarations!$A$19/$D$18,0))))+Declarations!$B$20*INDEX(AK$21:AK$141,MAX(1,MIN(121,$B51-ROUND(Declarations!$A$20/$D$18,0)))))</f>
        <v>-268.014942627673</v>
      </c>
      <c r="AM51" s="12" t="n">
        <f aca="false">INDEX(AL$21:AL$141,$I51+1)*(1-$J51)+INDEX(AL$21:AL$141,$I51+2)*$J51</f>
        <v>-273.143595487355</v>
      </c>
      <c r="AN51" s="12" t="n">
        <f aca="false">INDEX(AL$21:AL$141,$K51+1)*(1-$L51)+INDEX(AL$21:AL$141,$K51+2)*$L51</f>
        <v>-262.36520497597</v>
      </c>
      <c r="AO51" s="12" t="n">
        <f aca="false">$C51+$D51+MAX(AM51,AN51,IF(COUNTIFS($A$21:$A$141,"&gt;="&amp;$G51,$A$21:$A$141,"&lt;="&amp;$H51)&gt;0,_xlfn.MAXIFS(AL$21:AL$141,$A$21:$A$141,"&gt;="&amp;$G51,$A$21:$A$141,"&lt;="&amp;$H51),AM51))</f>
        <v>-89.1152049759696</v>
      </c>
      <c r="AP51" s="12" t="n">
        <f aca="false">-Cost_k*$A51+Beta_q*(Declarations!$B$16*INDEX(AO$21:AO$141,MAX(1,MIN(121,$B51-ROUND(Declarations!$A$16/$D$18,0))))+Declarations!$B$17*INDEX(AO$21:AO$141,MAX(1,MIN(121,$B51-ROUND(Declarations!$A$17/$D$18,0))))+Declarations!$B$18*INDEX(AO$21:AO$141,MAX(1,MIN(121,$B51-ROUND(Declarations!$A$18/$D$18,0))))+Declarations!$B$19*INDEX(AO$21:AO$141,MAX(1,MIN(121,$B51-ROUND(Declarations!$A$19/$D$18,0))))+Declarations!$B$20*INDEX(AO$21:AO$141,MAX(1,MIN(121,$B51-ROUND(Declarations!$A$20/$D$18,0)))))</f>
        <v>-277.028848673565</v>
      </c>
      <c r="AQ51" s="12" t="n">
        <f aca="false">INDEX(AP$21:AP$141,$I51+1)*(1-$J51)+INDEX(AP$21:AP$141,$I51+2)*$J51</f>
        <v>-283.51216452627</v>
      </c>
      <c r="AR51" s="12" t="n">
        <f aca="false">INDEX(AP$21:AP$141,$K51+1)*(1-$L51)+INDEX(AP$21:AP$141,$K51+2)*$L51</f>
        <v>-269.970849894444</v>
      </c>
      <c r="AS51" s="12" t="n">
        <f aca="false">$C51+$D51+MAX(AQ51,AR51,IF(COUNTIFS($A$21:$A$141,"&gt;="&amp;$G51,$A$21:$A$141,"&lt;="&amp;$H51)&gt;0,_xlfn.MAXIFS(AP$21:AP$141,$A$21:$A$141,"&gt;="&amp;$G51,$A$21:$A$141,"&lt;="&amp;$H51),AQ51))</f>
        <v>-96.7208498944443</v>
      </c>
      <c r="AT51" s="12" t="n">
        <f aca="false">-Cost_k*$A51+Beta_q*(Declarations!$B$16*INDEX(AS$21:AS$141,MAX(1,MIN(121,$B51-ROUND(Declarations!$A$16/$D$18,0))))+Declarations!$B$17*INDEX(AS$21:AS$141,MAX(1,MIN(121,$B51-ROUND(Declarations!$A$17/$D$18,0))))+Declarations!$B$18*INDEX(AS$21:AS$141,MAX(1,MIN(121,$B51-ROUND(Declarations!$A$18/$D$18,0))))+Declarations!$B$19*INDEX(AS$21:AS$141,MAX(1,MIN(121,$B51-ROUND(Declarations!$A$19/$D$18,0))))+Declarations!$B$20*INDEX(AS$21:AS$141,MAX(1,MIN(121,$B51-ROUND(Declarations!$A$20/$D$18,0)))))</f>
        <v>-284.480285202151</v>
      </c>
      <c r="AU51" s="12" t="n">
        <f aca="false">INDEX(AT$21:AT$141,$I51+1)*(1-$J51)+INDEX(AT$21:AT$141,$I51+2)*$J51</f>
        <v>-292.157784510391</v>
      </c>
      <c r="AV51" s="12" t="n">
        <f aca="false">INDEX(AT$21:AT$141,$K51+1)*(1-$L51)+INDEX(AT$21:AT$141,$K51+2)*$L51</f>
        <v>-276.291399982883</v>
      </c>
      <c r="AW51" s="12" t="n">
        <f aca="false">$C51+$D51+MAX(AU51,AV51,IF(COUNTIFS($A$21:$A$141,"&gt;="&amp;$G51,$A$21:$A$141,"&lt;="&amp;$H51)&gt;0,_xlfn.MAXIFS(AT$21:AT$141,$A$21:$A$141,"&gt;="&amp;$G51,$A$21:$A$141,"&lt;="&amp;$H51),AU51))</f>
        <v>-103.041399982883</v>
      </c>
      <c r="AX51" s="12" t="n">
        <f aca="false">-Cost_k*$A51+Beta_q*(Declarations!$B$16*INDEX(AW$21:AW$141,MAX(1,MIN(121,$B51-ROUND(Declarations!$A$16/$D$18,0))))+Declarations!$B$17*INDEX(AW$21:AW$141,MAX(1,MIN(121,$B51-ROUND(Declarations!$A$17/$D$18,0))))+Declarations!$B$18*INDEX(AW$21:AW$141,MAX(1,MIN(121,$B51-ROUND(Declarations!$A$18/$D$18,0))))+Declarations!$B$19*INDEX(AW$21:AW$141,MAX(1,MIN(121,$B51-ROUND(Declarations!$A$19/$D$18,0))))+Declarations!$B$20*INDEX(AW$21:AW$141,MAX(1,MIN(121,$B51-ROUND(Declarations!$A$20/$D$18,0)))))</f>
        <v>-290.691453984377</v>
      </c>
      <c r="AY51" s="12" t="n">
        <f aca="false">INDEX(AX$21:AX$141,$I51+1)*(1-$J51)+INDEX(AX$21:AX$141,$I51+2)*$J51</f>
        <v>-299.317813089394</v>
      </c>
      <c r="AZ51" s="12" t="n">
        <f aca="false">INDEX(AX$21:AX$141,$K51+1)*(1-$L51)+INDEX(AX$21:AX$141,$K51+2)*$L51</f>
        <v>-281.74026259966</v>
      </c>
      <c r="BA51" s="12" t="n">
        <f aca="false">$C51+$D51+MAX(AY51,AZ51,IF(COUNTIFS($A$21:$A$141,"&gt;="&amp;$G51,$A$21:$A$141,"&lt;="&amp;$H51)&gt;0,_xlfn.MAXIFS(AX$21:AX$141,$A$21:$A$141,"&gt;="&amp;$G51,$A$21:$A$141,"&lt;="&amp;$H51),AY51))</f>
        <v>-108.49026259966</v>
      </c>
      <c r="BB51" s="12" t="n">
        <f aca="false">-Cost_k*$A51+Beta_q*(Declarations!$B$16*INDEX(BA$21:BA$141,MAX(1,MIN(121,$B51-ROUND(Declarations!$A$16/$D$18,0))))+Declarations!$B$17*INDEX(BA$21:BA$141,MAX(1,MIN(121,$B51-ROUND(Declarations!$A$17/$D$18,0))))+Declarations!$B$18*INDEX(BA$21:BA$141,MAX(1,MIN(121,$B51-ROUND(Declarations!$A$18/$D$18,0))))+Declarations!$B$19*INDEX(BA$21:BA$141,MAX(1,MIN(121,$B51-ROUND(Declarations!$A$19/$D$18,0))))+Declarations!$B$20*INDEX(BA$21:BA$141,MAX(1,MIN(121,$B51-ROUND(Declarations!$A$20/$D$18,0)))))</f>
        <v>-296.054008477133</v>
      </c>
      <c r="BC51" s="12" t="n">
        <f aca="false">INDEX(BB$21:BB$141,$I51+1)*(1-$J51)+INDEX(BB$21:BB$141,$I51+2)*$J51</f>
        <v>-305.318034323546</v>
      </c>
      <c r="BD51" s="12" t="n">
        <f aca="false">INDEX(BB$21:BB$141,$K51+1)*(1-$L51)+INDEX(BB$21:BB$141,$K51+2)*$L51</f>
        <v>-286.690230046509</v>
      </c>
      <c r="BE51" s="12" t="n">
        <f aca="false">$C51+$D51+MAX(BC51,BD51,IF(COUNTIFS($A$21:$A$141,"&gt;="&amp;$G51,$A$21:$A$141,"&lt;="&amp;$H51)&gt;0,_xlfn.MAXIFS(BB$21:BB$141,$A$21:$A$141,"&gt;="&amp;$G51,$A$21:$A$141,"&lt;="&amp;$H51),BC51))</f>
        <v>-113.440230046509</v>
      </c>
      <c r="BF51" s="12" t="n">
        <f aca="false">-Cost_k*$A51+Beta_q*(Declarations!$B$16*INDEX(BE$21:BE$141,MAX(1,MIN(121,$B51-ROUND(Declarations!$A$16/$D$18,0))))+Declarations!$B$17*INDEX(BE$21:BE$141,MAX(1,MIN(121,$B51-ROUND(Declarations!$A$17/$D$18,0))))+Declarations!$B$18*INDEX(BE$21:BE$141,MAX(1,MIN(121,$B51-ROUND(Declarations!$A$18/$D$18,0))))+Declarations!$B$19*INDEX(BE$21:BE$141,MAX(1,MIN(121,$B51-ROUND(Declarations!$A$19/$D$18,0))))+Declarations!$B$20*INDEX(BE$21:BE$141,MAX(1,MIN(121,$B51-ROUND(Declarations!$A$20/$D$18,0)))))</f>
        <v>-300.915987272027</v>
      </c>
      <c r="BG51" s="12" t="n">
        <f aca="false">INDEX(BF$21:BF$141,$I51+1)*(1-$J51)+INDEX(BF$21:BF$141,$I51+2)*$J51</f>
        <v>-310.530748675989</v>
      </c>
      <c r="BH51" s="12" t="n">
        <f aca="false">INDEX(BF$21:BF$141,$K51+1)*(1-$L51)+INDEX(BF$21:BF$141,$K51+2)*$L51</f>
        <v>-291.36558223003</v>
      </c>
      <c r="BI51" s="12" t="n">
        <f aca="false">$C51+$D51+MAX(BG51,BH51,IF(COUNTIFS($A$21:$A$141,"&gt;="&amp;$G51,$A$21:$A$141,"&lt;="&amp;$H51)&gt;0,_xlfn.MAXIFS(BF$21:BF$141,$A$21:$A$141,"&gt;="&amp;$G51,$A$21:$A$141,"&lt;="&amp;$H51),BG51))</f>
        <v>-118.11558223003</v>
      </c>
      <c r="BJ51" s="23" t="n">
        <v>-118.11558223003</v>
      </c>
      <c r="BK51" s="22" t="n">
        <f aca="false">ABS(BI51-BJ51)</f>
        <v>0</v>
      </c>
    </row>
    <row r="52" customFormat="false" ht="15" hidden="false" customHeight="false" outlineLevel="0" collapsed="false">
      <c r="A52" s="14" t="n">
        <f aca="false">A51+$D$18</f>
        <v>47.75</v>
      </c>
      <c r="B52" s="19" t="n">
        <v>32</v>
      </c>
      <c r="C52" s="12" t="n">
        <f aca="false">-Short_p*MAX(Floor_c-A52,0)</f>
        <v>-11.6</v>
      </c>
      <c r="D52" s="12" t="n">
        <f aca="false">Cost_k*Alpha_keep*A52</f>
        <v>186.225</v>
      </c>
      <c r="E52" s="12" t="n">
        <f aca="false">MIN(Cap_h,MAX(0,$B$18+MAX(Loss_w)-Alpha_keep*A52))</f>
        <v>0</v>
      </c>
      <c r="F52" s="12" t="n">
        <f aca="false">MAX(MIN(Cap_h,$F$18+MIN(Loss_w)-Alpha_keep*A52),E52)</f>
        <v>2.5</v>
      </c>
      <c r="G52" s="12" t="n">
        <f aca="false">Alpha_keep*A52+E52</f>
        <v>46.55625</v>
      </c>
      <c r="H52" s="12" t="n">
        <f aca="false">Alpha_keep*A52+F52</f>
        <v>49.05625</v>
      </c>
      <c r="I52" s="19" t="n">
        <f aca="false">MIN(INT((G52-$B$18)/$D$18+0.000000001),119)</f>
        <v>26</v>
      </c>
      <c r="J52" s="12" t="n">
        <f aca="false">(G52-$B$18)/$D$18-I52</f>
        <v>0.224999999999994</v>
      </c>
      <c r="K52" s="19" t="n">
        <f aca="false">MIN(INT((H52-$B$18)/$D$18+0.000000001),119)</f>
        <v>36</v>
      </c>
      <c r="L52" s="12" t="n">
        <f aca="false">(H52-$B$18)/$D$18-K52</f>
        <v>0.224999999999994</v>
      </c>
      <c r="M52" s="9" t="n">
        <v>0</v>
      </c>
      <c r="N52" s="12" t="n">
        <f aca="false">-Cost_k*$A52+Beta_q*(Declarations!$B$16*INDEX(M$21:M$141,MAX(1,MIN(121,$B52-ROUND(Declarations!$A$16/$D$18,0))))+Declarations!$B$17*INDEX(M$21:M$141,MAX(1,MIN(121,$B52-ROUND(Declarations!$A$17/$D$18,0))))+Declarations!$B$18*INDEX(M$21:M$141,MAX(1,MIN(121,$B52-ROUND(Declarations!$A$18/$D$18,0))))+Declarations!$B$19*INDEX(M$21:M$141,MAX(1,MIN(121,$B52-ROUND(Declarations!$A$19/$D$18,0))))+Declarations!$B$20*INDEX(M$21:M$141,MAX(1,MIN(121,$B52-ROUND(Declarations!$A$20/$D$18,0)))))</f>
        <v>-191</v>
      </c>
      <c r="O52" s="12" t="n">
        <f aca="false">INDEX(N$21:N$141,$I52+1)*(1-$J52)+INDEX(N$21:N$141,$I52+2)*$J52</f>
        <v>-186.225</v>
      </c>
      <c r="P52" s="12" t="n">
        <f aca="false">INDEX(N$21:N$141,$K52+1)*(1-$L52)+INDEX(N$21:N$141,$K52+2)*$L52</f>
        <v>-196.225</v>
      </c>
      <c r="Q52" s="12" t="n">
        <f aca="false">$C52+$D52+MAX(O52,P52,IF(COUNTIFS($A$21:$A$141,"&gt;="&amp;$G52,$A$21:$A$141,"&lt;="&amp;$H52)&gt;0,_xlfn.MAXIFS(N$21:N$141,$A$21:$A$141,"&gt;="&amp;$G52,$A$21:$A$141,"&lt;="&amp;$H52),O52))</f>
        <v>-11.6</v>
      </c>
      <c r="R52" s="12" t="n">
        <f aca="false">-Cost_k*$A52+Beta_q*(Declarations!$B$16*INDEX(Q$21:Q$141,MAX(1,MIN(121,$B52-ROUND(Declarations!$A$16/$D$18,0))))+Declarations!$B$17*INDEX(Q$21:Q$141,MAX(1,MIN(121,$B52-ROUND(Declarations!$A$17/$D$18,0))))+Declarations!$B$18*INDEX(Q$21:Q$141,MAX(1,MIN(121,$B52-ROUND(Declarations!$A$18/$D$18,0))))+Declarations!$B$19*INDEX(Q$21:Q$141,MAX(1,MIN(121,$B52-ROUND(Declarations!$A$19/$D$18,0))))+Declarations!$B$20*INDEX(Q$21:Q$141,MAX(1,MIN(121,$B52-ROUND(Declarations!$A$20/$D$18,0)))))</f>
        <v>-202.326867440245</v>
      </c>
      <c r="S52" s="12" t="n">
        <f aca="false">INDEX(R$21:R$141,$I52+1)*(1-$J52)+INDEX(R$21:R$141,$I52+2)*$J52</f>
        <v>-199.416894751527</v>
      </c>
      <c r="T52" s="12" t="n">
        <f aca="false">INDEX(R$21:R$141,$K52+1)*(1-$L52)+INDEX(R$21:R$141,$K52+2)*$L52</f>
        <v>-205.511078392822</v>
      </c>
      <c r="U52" s="12" t="n">
        <f aca="false">$C52+$D52+MAX(S52,T52,IF(COUNTIFS($A$21:$A$141,"&gt;="&amp;$G52,$A$21:$A$141,"&lt;="&amp;$H52)&gt;0,_xlfn.MAXIFS(R$21:R$141,$A$21:$A$141,"&gt;="&amp;$G52,$A$21:$A$141,"&lt;="&amp;$H52),S52))</f>
        <v>-24.791894751527</v>
      </c>
      <c r="V52" s="12" t="n">
        <f aca="false">-Cost_k*$A52+Beta_q*(Declarations!$B$16*INDEX(U$21:U$141,MAX(1,MIN(121,$B52-ROUND(Declarations!$A$16/$D$18,0))))+Declarations!$B$17*INDEX(U$21:U$141,MAX(1,MIN(121,$B52-ROUND(Declarations!$A$17/$D$18,0))))+Declarations!$B$18*INDEX(U$21:U$141,MAX(1,MIN(121,$B52-ROUND(Declarations!$A$18/$D$18,0))))+Declarations!$B$19*INDEX(U$21:U$141,MAX(1,MIN(121,$B52-ROUND(Declarations!$A$19/$D$18,0))))+Declarations!$B$20*INDEX(U$21:U$141,MAX(1,MIN(121,$B52-ROUND(Declarations!$A$20/$D$18,0)))))</f>
        <v>-215.208147020953</v>
      </c>
      <c r="W52" s="12" t="n">
        <f aca="false">INDEX(V$21:V$141,$I52+1)*(1-$J52)+INDEX(V$21:V$141,$I52+2)*$J52</f>
        <v>-214.075192840066</v>
      </c>
      <c r="X52" s="12" t="n">
        <f aca="false">INDEX(V$21:V$141,$K52+1)*(1-$L52)+INDEX(V$21:V$141,$K52+2)*$L52</f>
        <v>-216.449439582294</v>
      </c>
      <c r="Y52" s="12" t="n">
        <f aca="false">$C52+$D52+MAX(W52,X52,IF(COUNTIFS($A$21:$A$141,"&gt;="&amp;$G52,$A$21:$A$141,"&lt;="&amp;$H52)&gt;0,_xlfn.MAXIFS(V$21:V$141,$A$21:$A$141,"&gt;="&amp;$G52,$A$21:$A$141,"&lt;="&amp;$H52),W52))</f>
        <v>-39.4501928400657</v>
      </c>
      <c r="Z52" s="12" t="n">
        <f aca="false">-Cost_k*$A52+Beta_q*(Declarations!$B$16*INDEX(Y$21:Y$141,MAX(1,MIN(121,$B52-ROUND(Declarations!$A$16/$D$18,0))))+Declarations!$B$17*INDEX(Y$21:Y$141,MAX(1,MIN(121,$B52-ROUND(Declarations!$A$17/$D$18,0))))+Declarations!$B$18*INDEX(Y$21:Y$141,MAX(1,MIN(121,$B52-ROUND(Declarations!$A$18/$D$18,0))))+Declarations!$B$19*INDEX(Y$21:Y$141,MAX(1,MIN(121,$B52-ROUND(Declarations!$A$19/$D$18,0))))+Declarations!$B$20*INDEX(Y$21:Y$141,MAX(1,MIN(121,$B52-ROUND(Declarations!$A$20/$D$18,0)))))</f>
        <v>-229.52964990542</v>
      </c>
      <c r="AA52" s="12" t="n">
        <f aca="false">INDEX(Z$21:Z$141,$I52+1)*(1-$J52)+INDEX(Z$21:Z$141,$I52+2)*$J52</f>
        <v>-230.200708403501</v>
      </c>
      <c r="AB52" s="12" t="n">
        <f aca="false">INDEX(Z$21:Z$141,$K52+1)*(1-$L52)+INDEX(Z$21:Z$141,$K52+2)*$L52</f>
        <v>-228.911600850241</v>
      </c>
      <c r="AC52" s="12" t="n">
        <f aca="false">$C52+$D52+MAX(AA52,AB52,IF(COUNTIFS($A$21:$A$141,"&gt;="&amp;$G52,$A$21:$A$141,"&lt;="&amp;$H52)&gt;0,_xlfn.MAXIFS(Z$21:Z$141,$A$21:$A$141,"&gt;="&amp;$G52,$A$21:$A$141,"&lt;="&amp;$H52),AA52))</f>
        <v>-54.2866008502415</v>
      </c>
      <c r="AD52" s="12" t="n">
        <f aca="false">-Cost_k*$A52+Beta_q*(Declarations!$B$16*INDEX(AC$21:AC$141,MAX(1,MIN(121,$B52-ROUND(Declarations!$A$16/$D$18,0))))+Declarations!$B$17*INDEX(AC$21:AC$141,MAX(1,MIN(121,$B52-ROUND(Declarations!$A$17/$D$18,0))))+Declarations!$B$18*INDEX(AC$21:AC$141,MAX(1,MIN(121,$B52-ROUND(Declarations!$A$18/$D$18,0))))+Declarations!$B$19*INDEX(AC$21:AC$141,MAX(1,MIN(121,$B52-ROUND(Declarations!$A$19/$D$18,0))))+Declarations!$B$20*INDEX(AC$21:AC$141,MAX(1,MIN(121,$B52-ROUND(Declarations!$A$20/$D$18,0)))))</f>
        <v>-244.009435431739</v>
      </c>
      <c r="AE52" s="12" t="n">
        <f aca="false">INDEX(AD$21:AD$141,$I52+1)*(1-$J52)+INDEX(AD$21:AD$141,$I52+2)*$J52</f>
        <v>-246.192664308656</v>
      </c>
      <c r="AF52" s="12" t="n">
        <f aca="false">INDEX(AD$21:AD$141,$K52+1)*(1-$L52)+INDEX(AD$21:AD$141,$K52+2)*$L52</f>
        <v>-241.638765016202</v>
      </c>
      <c r="AG52" s="12" t="n">
        <f aca="false">$C52+$D52+MAX(AE52,AF52,IF(COUNTIFS($A$21:$A$141,"&gt;="&amp;$G52,$A$21:$A$141,"&lt;="&amp;$H52)&gt;0,_xlfn.MAXIFS(AD$21:AD$141,$A$21:$A$141,"&gt;="&amp;$G52,$A$21:$A$141,"&lt;="&amp;$H52),AE52))</f>
        <v>-67.0137650162015</v>
      </c>
      <c r="AH52" s="12" t="n">
        <f aca="false">-Cost_k*$A52+Beta_q*(Declarations!$B$16*INDEX(AG$21:AG$141,MAX(1,MIN(121,$B52-ROUND(Declarations!$A$16/$D$18,0))))+Declarations!$B$17*INDEX(AG$21:AG$141,MAX(1,MIN(121,$B52-ROUND(Declarations!$A$17/$D$18,0))))+Declarations!$B$18*INDEX(AG$21:AG$141,MAX(1,MIN(121,$B52-ROUND(Declarations!$A$18/$D$18,0))))+Declarations!$B$19*INDEX(AG$21:AG$141,MAX(1,MIN(121,$B52-ROUND(Declarations!$A$19/$D$18,0))))+Declarations!$B$20*INDEX(AG$21:AG$141,MAX(1,MIN(121,$B52-ROUND(Declarations!$A$20/$D$18,0)))))</f>
        <v>-256.43598902683</v>
      </c>
      <c r="AI52" s="12" t="n">
        <f aca="false">INDEX(AH$21:AH$141,$I52+1)*(1-$J52)+INDEX(AH$21:AH$141,$I52+2)*$J52</f>
        <v>-260.136196947433</v>
      </c>
      <c r="AJ52" s="12" t="n">
        <f aca="false">INDEX(AH$21:AH$141,$K52+1)*(1-$L52)+INDEX(AH$21:AH$141,$K52+2)*$L52</f>
        <v>-252.390549215106</v>
      </c>
      <c r="AK52" s="12" t="n">
        <f aca="false">$C52+$D52+MAX(AI52,AJ52,IF(COUNTIFS($A$21:$A$141,"&gt;="&amp;$G52,$A$21:$A$141,"&lt;="&amp;$H52)&gt;0,_xlfn.MAXIFS(AH$21:AH$141,$A$21:$A$141,"&gt;="&amp;$G52,$A$21:$A$141,"&lt;="&amp;$H52),AI52))</f>
        <v>-77.7655492151058</v>
      </c>
      <c r="AL52" s="12" t="n">
        <f aca="false">-Cost_k*$A52+Beta_q*(Declarations!$B$16*INDEX(AK$21:AK$141,MAX(1,MIN(121,$B52-ROUND(Declarations!$A$16/$D$18,0))))+Declarations!$B$17*INDEX(AK$21:AK$141,MAX(1,MIN(121,$B52-ROUND(Declarations!$A$17/$D$18,0))))+Declarations!$B$18*INDEX(AK$21:AK$141,MAX(1,MIN(121,$B52-ROUND(Declarations!$A$18/$D$18,0))))+Declarations!$B$19*INDEX(AK$21:AK$141,MAX(1,MIN(121,$B52-ROUND(Declarations!$A$19/$D$18,0))))+Declarations!$B$20*INDEX(AK$21:AK$141,MAX(1,MIN(121,$B52-ROUND(Declarations!$A$20/$D$18,0)))))</f>
        <v>-266.936457484105</v>
      </c>
      <c r="AM52" s="12" t="n">
        <f aca="false">INDEX(AL$21:AL$141,$I52+1)*(1-$J52)+INDEX(AL$21:AL$141,$I52+2)*$J52</f>
        <v>-272.09052668133</v>
      </c>
      <c r="AN52" s="12" t="n">
        <f aca="false">INDEX(AL$21:AL$141,$K52+1)*(1-$L52)+INDEX(AL$21:AL$141,$K52+2)*$L52</f>
        <v>-261.321934059522</v>
      </c>
      <c r="AO52" s="12" t="n">
        <f aca="false">$C52+$D52+MAX(AM52,AN52,IF(COUNTIFS($A$21:$A$141,"&gt;="&amp;$G52,$A$21:$A$141,"&lt;="&amp;$H52)&gt;0,_xlfn.MAXIFS(AL$21:AL$141,$A$21:$A$141,"&gt;="&amp;$G52,$A$21:$A$141,"&lt;="&amp;$H52),AM52))</f>
        <v>-86.6969340595221</v>
      </c>
      <c r="AP52" s="12" t="n">
        <f aca="false">-Cost_k*$A52+Beta_q*(Declarations!$B$16*INDEX(AO$21:AO$141,MAX(1,MIN(121,$B52-ROUND(Declarations!$A$16/$D$18,0))))+Declarations!$B$17*INDEX(AO$21:AO$141,MAX(1,MIN(121,$B52-ROUND(Declarations!$A$17/$D$18,0))))+Declarations!$B$18*INDEX(AO$21:AO$141,MAX(1,MIN(121,$B52-ROUND(Declarations!$A$18/$D$18,0))))+Declarations!$B$19*INDEX(AO$21:AO$141,MAX(1,MIN(121,$B52-ROUND(Declarations!$A$19/$D$18,0))))+Declarations!$B$20*INDEX(AO$21:AO$141,MAX(1,MIN(121,$B52-ROUND(Declarations!$A$20/$D$18,0)))))</f>
        <v>-275.670936833055</v>
      </c>
      <c r="AQ52" s="12" t="n">
        <f aca="false">INDEX(AP$21:AP$141,$I52+1)*(1-$J52)+INDEX(AP$21:AP$141,$I52+2)*$J52</f>
        <v>-282.178421898918</v>
      </c>
      <c r="AR52" s="12" t="n">
        <f aca="false">INDEX(AP$21:AP$141,$K52+1)*(1-$L52)+INDEX(AP$21:AP$141,$K52+2)*$L52</f>
        <v>-268.684117391774</v>
      </c>
      <c r="AS52" s="12" t="n">
        <f aca="false">$C52+$D52+MAX(AQ52,AR52,IF(COUNTIFS($A$21:$A$141,"&gt;="&amp;$G52,$A$21:$A$141,"&lt;="&amp;$H52)&gt;0,_xlfn.MAXIFS(AP$21:AP$141,$A$21:$A$141,"&gt;="&amp;$G52,$A$21:$A$141,"&lt;="&amp;$H52),AQ52))</f>
        <v>-94.059117391774</v>
      </c>
      <c r="AT52" s="12" t="n">
        <f aca="false">-Cost_k*$A52+Beta_q*(Declarations!$B$16*INDEX(AS$21:AS$141,MAX(1,MIN(121,$B52-ROUND(Declarations!$A$16/$D$18,0))))+Declarations!$B$17*INDEX(AS$21:AS$141,MAX(1,MIN(121,$B52-ROUND(Declarations!$A$17/$D$18,0))))+Declarations!$B$18*INDEX(AS$21:AS$141,MAX(1,MIN(121,$B52-ROUND(Declarations!$A$18/$D$18,0))))+Declarations!$B$19*INDEX(AS$21:AS$141,MAX(1,MIN(121,$B52-ROUND(Declarations!$A$19/$D$18,0))))+Declarations!$B$20*INDEX(AS$21:AS$141,MAX(1,MIN(121,$B52-ROUND(Declarations!$A$20/$D$18,0)))))</f>
        <v>-282.887434481028</v>
      </c>
      <c r="AU52" s="12" t="n">
        <f aca="false">INDEX(AT$21:AT$141,$I52+1)*(1-$J52)+INDEX(AT$21:AT$141,$I52+2)*$J52</f>
        <v>-290.570053672551</v>
      </c>
      <c r="AV52" s="12" t="n">
        <f aca="false">INDEX(AT$21:AT$141,$K52+1)*(1-$L52)+INDEX(AT$21:AT$141,$K52+2)*$L52</f>
        <v>-274.827835314583</v>
      </c>
      <c r="AW52" s="12" t="n">
        <f aca="false">$C52+$D52+MAX(AU52,AV52,IF(COUNTIFS($A$21:$A$141,"&gt;="&amp;$G52,$A$21:$A$141,"&lt;="&amp;$H52)&gt;0,_xlfn.MAXIFS(AT$21:AT$141,$A$21:$A$141,"&gt;="&amp;$G52,$A$21:$A$141,"&lt;="&amp;$H52),AU52))</f>
        <v>-100.202835314583</v>
      </c>
      <c r="AX52" s="12" t="n">
        <f aca="false">-Cost_k*$A52+Beta_q*(Declarations!$B$16*INDEX(AW$21:AW$141,MAX(1,MIN(121,$B52-ROUND(Declarations!$A$16/$D$18,0))))+Declarations!$B$17*INDEX(AW$21:AW$141,MAX(1,MIN(121,$B52-ROUND(Declarations!$A$17/$D$18,0))))+Declarations!$B$18*INDEX(AW$21:AW$141,MAX(1,MIN(121,$B52-ROUND(Declarations!$A$18/$D$18,0))))+Declarations!$B$19*INDEX(AW$21:AW$141,MAX(1,MIN(121,$B52-ROUND(Declarations!$A$19/$D$18,0))))+Declarations!$B$20*INDEX(AW$21:AW$141,MAX(1,MIN(121,$B52-ROUND(Declarations!$A$20/$D$18,0)))))</f>
        <v>-288.928864003095</v>
      </c>
      <c r="AY52" s="12" t="n">
        <f aca="false">INDEX(AX$21:AX$141,$I52+1)*(1-$J52)+INDEX(AX$21:AX$141,$I52+2)*$J52</f>
        <v>-297.519201165419</v>
      </c>
      <c r="AZ52" s="12" t="n">
        <f aca="false">INDEX(AX$21:AX$141,$K52+1)*(1-$L52)+INDEX(AX$21:AX$141,$K52+2)*$L52</f>
        <v>-280.173982169524</v>
      </c>
      <c r="BA52" s="12" t="n">
        <f aca="false">$C52+$D52+MAX(AY52,AZ52,IF(COUNTIFS($A$21:$A$141,"&gt;="&amp;$G52,$A$21:$A$141,"&lt;="&amp;$H52)&gt;0,_xlfn.MAXIFS(AX$21:AX$141,$A$21:$A$141,"&gt;="&amp;$G52,$A$21:$A$141,"&lt;="&amp;$H52),AY52))</f>
        <v>-105.548982169524</v>
      </c>
      <c r="BB52" s="12" t="n">
        <f aca="false">-Cost_k*$A52+Beta_q*(Declarations!$B$16*INDEX(BA$21:BA$141,MAX(1,MIN(121,$B52-ROUND(Declarations!$A$16/$D$18,0))))+Declarations!$B$17*INDEX(BA$21:BA$141,MAX(1,MIN(121,$B52-ROUND(Declarations!$A$17/$D$18,0))))+Declarations!$B$18*INDEX(BA$21:BA$141,MAX(1,MIN(121,$B52-ROUND(Declarations!$A$18/$D$18,0))))+Declarations!$B$19*INDEX(BA$21:BA$141,MAX(1,MIN(121,$B52-ROUND(Declarations!$A$19/$D$18,0))))+Declarations!$B$20*INDEX(BA$21:BA$141,MAX(1,MIN(121,$B52-ROUND(Declarations!$A$20/$D$18,0)))))</f>
        <v>-294.190315014707</v>
      </c>
      <c r="BC52" s="12" t="n">
        <f aca="false">INDEX(BB$21:BB$141,$I52+1)*(1-$J52)+INDEX(BB$21:BB$141,$I52+2)*$J52</f>
        <v>-303.368718491346</v>
      </c>
      <c r="BD52" s="12" t="n">
        <f aca="false">INDEX(BB$21:BB$141,$K52+1)*(1-$L52)+INDEX(BB$21:BB$141,$K52+2)*$L52</f>
        <v>-285.075277181667</v>
      </c>
      <c r="BE52" s="12" t="n">
        <f aca="false">$C52+$D52+MAX(BC52,BD52,IF(COUNTIFS($A$21:$A$141,"&gt;="&amp;$G52,$A$21:$A$141,"&lt;="&amp;$H52)&gt;0,_xlfn.MAXIFS(BB$21:BB$141,$A$21:$A$141,"&gt;="&amp;$G52,$A$21:$A$141,"&lt;="&amp;$H52),BC52))</f>
        <v>-110.450277181667</v>
      </c>
      <c r="BF52" s="12" t="n">
        <f aca="false">-Cost_k*$A52+Beta_q*(Declarations!$B$16*INDEX(BE$21:BE$141,MAX(1,MIN(121,$B52-ROUND(Declarations!$A$16/$D$18,0))))+Declarations!$B$17*INDEX(BE$21:BE$141,MAX(1,MIN(121,$B52-ROUND(Declarations!$A$17/$D$18,0))))+Declarations!$B$18*INDEX(BE$21:BE$141,MAX(1,MIN(121,$B52-ROUND(Declarations!$A$18/$D$18,0))))+Declarations!$B$19*INDEX(BE$21:BE$141,MAX(1,MIN(121,$B52-ROUND(Declarations!$A$19/$D$18,0))))+Declarations!$B$20*INDEX(BE$21:BE$141,MAX(1,MIN(121,$B52-ROUND(Declarations!$A$20/$D$18,0)))))</f>
        <v>-299.002334312097</v>
      </c>
      <c r="BG52" s="12" t="n">
        <f aca="false">INDEX(BF$21:BF$141,$I52+1)*(1-$J52)+INDEX(BF$21:BF$141,$I52+2)*$J52</f>
        <v>-308.492746398838</v>
      </c>
      <c r="BH52" s="12" t="n">
        <f aca="false">INDEX(BF$21:BF$141,$K52+1)*(1-$L52)+INDEX(BF$21:BF$141,$K52+2)*$L52</f>
        <v>-289.732086185161</v>
      </c>
      <c r="BI52" s="12" t="n">
        <f aca="false">$C52+$D52+MAX(BG52,BH52,IF(COUNTIFS($A$21:$A$141,"&gt;="&amp;$G52,$A$21:$A$141,"&lt;="&amp;$H52)&gt;0,_xlfn.MAXIFS(BF$21:BF$141,$A$21:$A$141,"&gt;="&amp;$G52,$A$21:$A$141,"&lt;="&amp;$H52),BG52))</f>
        <v>-115.107086185161</v>
      </c>
      <c r="BJ52" s="23" t="n">
        <v>-115.107086185161</v>
      </c>
      <c r="BK52" s="22" t="n">
        <f aca="false">ABS(BI52-BJ52)</f>
        <v>0</v>
      </c>
    </row>
    <row r="53" customFormat="false" ht="15" hidden="false" customHeight="false" outlineLevel="0" collapsed="false">
      <c r="A53" s="14" t="n">
        <f aca="false">A52+$D$18</f>
        <v>48</v>
      </c>
      <c r="B53" s="19" t="n">
        <v>33</v>
      </c>
      <c r="C53" s="12" t="n">
        <f aca="false">-Short_p*MAX(Floor_c-A53,0)</f>
        <v>-11.2</v>
      </c>
      <c r="D53" s="12" t="n">
        <f aca="false">Cost_k*Alpha_keep*A53</f>
        <v>187.2</v>
      </c>
      <c r="E53" s="12" t="n">
        <f aca="false">MIN(Cap_h,MAX(0,$B$18+MAX(Loss_w)-Alpha_keep*A53))</f>
        <v>0</v>
      </c>
      <c r="F53" s="12" t="n">
        <f aca="false">MAX(MIN(Cap_h,$F$18+MIN(Loss_w)-Alpha_keep*A53),E53)</f>
        <v>2.5</v>
      </c>
      <c r="G53" s="12" t="n">
        <f aca="false">Alpha_keep*A53+E53</f>
        <v>46.8</v>
      </c>
      <c r="H53" s="12" t="n">
        <f aca="false">Alpha_keep*A53+F53</f>
        <v>49.3</v>
      </c>
      <c r="I53" s="19" t="n">
        <f aca="false">MIN(INT((G53-$B$18)/$D$18+0.000000001),119)</f>
        <v>27</v>
      </c>
      <c r="J53" s="12" t="n">
        <f aca="false">(G53-$B$18)/$D$18-I53</f>
        <v>0.199999999999989</v>
      </c>
      <c r="K53" s="19" t="n">
        <f aca="false">MIN(INT((H53-$B$18)/$D$18+0.000000001),119)</f>
        <v>37</v>
      </c>
      <c r="L53" s="12" t="n">
        <f aca="false">(H53-$B$18)/$D$18-K53</f>
        <v>0.199999999999989</v>
      </c>
      <c r="M53" s="9" t="n">
        <v>0</v>
      </c>
      <c r="N53" s="12" t="n">
        <f aca="false">-Cost_k*$A53+Beta_q*(Declarations!$B$16*INDEX(M$21:M$141,MAX(1,MIN(121,$B53-ROUND(Declarations!$A$16/$D$18,0))))+Declarations!$B$17*INDEX(M$21:M$141,MAX(1,MIN(121,$B53-ROUND(Declarations!$A$17/$D$18,0))))+Declarations!$B$18*INDEX(M$21:M$141,MAX(1,MIN(121,$B53-ROUND(Declarations!$A$18/$D$18,0))))+Declarations!$B$19*INDEX(M$21:M$141,MAX(1,MIN(121,$B53-ROUND(Declarations!$A$19/$D$18,0))))+Declarations!$B$20*INDEX(M$21:M$141,MAX(1,MIN(121,$B53-ROUND(Declarations!$A$20/$D$18,0)))))</f>
        <v>-192</v>
      </c>
      <c r="O53" s="12" t="n">
        <f aca="false">INDEX(N$21:N$141,$I53+1)*(1-$J53)+INDEX(N$21:N$141,$I53+2)*$J53</f>
        <v>-187.2</v>
      </c>
      <c r="P53" s="12" t="n">
        <f aca="false">INDEX(N$21:N$141,$K53+1)*(1-$L53)+INDEX(N$21:N$141,$K53+2)*$L53</f>
        <v>-197.2</v>
      </c>
      <c r="Q53" s="12" t="n">
        <f aca="false">$C53+$D53+MAX(O53,P53,IF(COUNTIFS($A$21:$A$141,"&gt;="&amp;$G53,$A$21:$A$141,"&lt;="&amp;$H53)&gt;0,_xlfn.MAXIFS(N$21:N$141,$A$21:$A$141,"&gt;="&amp;$G53,$A$21:$A$141,"&lt;="&amp;$H53),O53))</f>
        <v>-11.2</v>
      </c>
      <c r="R53" s="12" t="n">
        <f aca="false">-Cost_k*$A53+Beta_q*(Declarations!$B$16*INDEX(Q$21:Q$141,MAX(1,MIN(121,$B53-ROUND(Declarations!$A$16/$D$18,0))))+Declarations!$B$17*INDEX(Q$21:Q$141,MAX(1,MIN(121,$B53-ROUND(Declarations!$A$17/$D$18,0))))+Declarations!$B$18*INDEX(Q$21:Q$141,MAX(1,MIN(121,$B53-ROUND(Declarations!$A$18/$D$18,0))))+Declarations!$B$19*INDEX(Q$21:Q$141,MAX(1,MIN(121,$B53-ROUND(Declarations!$A$19/$D$18,0))))+Declarations!$B$20*INDEX(Q$21:Q$141,MAX(1,MIN(121,$B53-ROUND(Declarations!$A$20/$D$18,0)))))</f>
        <v>-202.936285804375</v>
      </c>
      <c r="S53" s="12" t="n">
        <f aca="false">INDEX(R$21:R$141,$I53+1)*(1-$J53)+INDEX(R$21:R$141,$I53+2)*$J53</f>
        <v>-200.011077656553</v>
      </c>
      <c r="T53" s="12" t="n">
        <f aca="false">INDEX(R$21:R$141,$K53+1)*(1-$L53)+INDEX(R$21:R$141,$K53+2)*$L53</f>
        <v>-206.105261297848</v>
      </c>
      <c r="U53" s="12" t="n">
        <f aca="false">$C53+$D53+MAX(S53,T53,IF(COUNTIFS($A$21:$A$141,"&gt;="&amp;$G53,$A$21:$A$141,"&lt;="&amp;$H53)&gt;0,_xlfn.MAXIFS(R$21:R$141,$A$21:$A$141,"&gt;="&amp;$G53,$A$21:$A$141,"&lt;="&amp;$H53),S53))</f>
        <v>-24.0110776565532</v>
      </c>
      <c r="V53" s="12" t="n">
        <f aca="false">-Cost_k*$A53+Beta_q*(Declarations!$B$16*INDEX(U$21:U$141,MAX(1,MIN(121,$B53-ROUND(Declarations!$A$16/$D$18,0))))+Declarations!$B$17*INDEX(U$21:U$141,MAX(1,MIN(121,$B53-ROUND(Declarations!$A$17/$D$18,0))))+Declarations!$B$18*INDEX(U$21:U$141,MAX(1,MIN(121,$B53-ROUND(Declarations!$A$18/$D$18,0))))+Declarations!$B$19*INDEX(U$21:U$141,MAX(1,MIN(121,$B53-ROUND(Declarations!$A$19/$D$18,0))))+Declarations!$B$20*INDEX(U$21:U$141,MAX(1,MIN(121,$B53-ROUND(Declarations!$A$20/$D$18,0)))))</f>
        <v>-215.445714975277</v>
      </c>
      <c r="W53" s="12" t="n">
        <f aca="false">INDEX(V$21:V$141,$I53+1)*(1-$J53)+INDEX(V$21:V$141,$I53+2)*$J53</f>
        <v>-214.305639078453</v>
      </c>
      <c r="X53" s="12" t="n">
        <f aca="false">INDEX(V$21:V$141,$K53+1)*(1-$L53)+INDEX(V$21:V$141,$K53+2)*$L53</f>
        <v>-216.68106833776</v>
      </c>
      <c r="Y53" s="12" t="n">
        <f aca="false">$C53+$D53+MAX(W53,X53,IF(COUNTIFS($A$21:$A$141,"&gt;="&amp;$G53,$A$21:$A$141,"&lt;="&amp;$H53)&gt;0,_xlfn.MAXIFS(V$21:V$141,$A$21:$A$141,"&gt;="&amp;$G53,$A$21:$A$141,"&lt;="&amp;$H53),W53))</f>
        <v>-38.3056390784528</v>
      </c>
      <c r="Z53" s="12" t="n">
        <f aca="false">-Cost_k*$A53+Beta_q*(Declarations!$B$16*INDEX(Y$21:Y$141,MAX(1,MIN(121,$B53-ROUND(Declarations!$A$16/$D$18,0))))+Declarations!$B$17*INDEX(Y$21:Y$141,MAX(1,MIN(121,$B53-ROUND(Declarations!$A$17/$D$18,0))))+Declarations!$B$18*INDEX(Y$21:Y$141,MAX(1,MIN(121,$B53-ROUND(Declarations!$A$18/$D$18,0))))+Declarations!$B$19*INDEX(Y$21:Y$141,MAX(1,MIN(121,$B53-ROUND(Declarations!$A$19/$D$18,0))))+Declarations!$B$20*INDEX(Y$21:Y$141,MAX(1,MIN(121,$B53-ROUND(Declarations!$A$20/$D$18,0)))))</f>
        <v>-229.408030980477</v>
      </c>
      <c r="AA53" s="12" t="n">
        <f aca="false">INDEX(Z$21:Z$141,$I53+1)*(1-$J53)+INDEX(Z$21:Z$141,$I53+2)*$J53</f>
        <v>-230.044646731906</v>
      </c>
      <c r="AB53" s="12" t="n">
        <f aca="false">INDEX(Z$21:Z$141,$K53+1)*(1-$L53)+INDEX(Z$21:Z$141,$K53+2)*$L53</f>
        <v>-228.797974407269</v>
      </c>
      <c r="AC53" s="12" t="n">
        <f aca="false">$C53+$D53+MAX(AA53,AB53,IF(COUNTIFS($A$21:$A$141,"&gt;="&amp;$G53,$A$21:$A$141,"&lt;="&amp;$H53)&gt;0,_xlfn.MAXIFS(Z$21:Z$141,$A$21:$A$141,"&gt;="&amp;$G53,$A$21:$A$141,"&lt;="&amp;$H53),AA53))</f>
        <v>-52.7979744072687</v>
      </c>
      <c r="AD53" s="12" t="n">
        <f aca="false">-Cost_k*$A53+Beta_q*(Declarations!$B$16*INDEX(AC$21:AC$141,MAX(1,MIN(121,$B53-ROUND(Declarations!$A$16/$D$18,0))))+Declarations!$B$17*INDEX(AC$21:AC$141,MAX(1,MIN(121,$B53-ROUND(Declarations!$A$17/$D$18,0))))+Declarations!$B$18*INDEX(AC$21:AC$141,MAX(1,MIN(121,$B53-ROUND(Declarations!$A$18/$D$18,0))))+Declarations!$B$19*INDEX(AC$21:AC$141,MAX(1,MIN(121,$B53-ROUND(Declarations!$A$19/$D$18,0))))+Declarations!$B$20*INDEX(AC$21:AC$141,MAX(1,MIN(121,$B53-ROUND(Declarations!$A$20/$D$18,0)))))</f>
        <v>-243.555342513151</v>
      </c>
      <c r="AE53" s="12" t="n">
        <f aca="false">INDEX(AD$21:AD$141,$I53+1)*(1-$J53)+INDEX(AD$21:AD$141,$I53+2)*$J53</f>
        <v>-245.742995213537</v>
      </c>
      <c r="AF53" s="12" t="n">
        <f aca="false">INDEX(AD$21:AD$141,$K53+1)*(1-$L53)+INDEX(AD$21:AD$141,$K53+2)*$L53</f>
        <v>-241.196602937576</v>
      </c>
      <c r="AG53" s="12" t="n">
        <f aca="false">$C53+$D53+MAX(AE53,AF53,IF(COUNTIFS($A$21:$A$141,"&gt;="&amp;$G53,$A$21:$A$141,"&lt;="&amp;$H53)&gt;0,_xlfn.MAXIFS(AD$21:AD$141,$A$21:$A$141,"&gt;="&amp;$G53,$A$21:$A$141,"&lt;="&amp;$H53),AE53))</f>
        <v>-65.1966029375759</v>
      </c>
      <c r="AH53" s="12" t="n">
        <f aca="false">-Cost_k*$A53+Beta_q*(Declarations!$B$16*INDEX(AG$21:AG$141,MAX(1,MIN(121,$B53-ROUND(Declarations!$A$16/$D$18,0))))+Declarations!$B$17*INDEX(AG$21:AG$141,MAX(1,MIN(121,$B53-ROUND(Declarations!$A$17/$D$18,0))))+Declarations!$B$18*INDEX(AG$21:AG$141,MAX(1,MIN(121,$B53-ROUND(Declarations!$A$18/$D$18,0))))+Declarations!$B$19*INDEX(AG$21:AG$141,MAX(1,MIN(121,$B53-ROUND(Declarations!$A$19/$D$18,0))))+Declarations!$B$20*INDEX(AG$21:AG$141,MAX(1,MIN(121,$B53-ROUND(Declarations!$A$20/$D$18,0)))))</f>
        <v>-255.661559088536</v>
      </c>
      <c r="AI53" s="12" t="n">
        <f aca="false">INDEX(AH$21:AH$141,$I53+1)*(1-$J53)+INDEX(AH$21:AH$141,$I53+2)*$J53</f>
        <v>-259.380018511397</v>
      </c>
      <c r="AJ53" s="12" t="n">
        <f aca="false">INDEX(AH$21:AH$141,$K53+1)*(1-$L53)+INDEX(AH$21:AH$141,$K53+2)*$L53</f>
        <v>-251.63616113011</v>
      </c>
      <c r="AK53" s="12" t="n">
        <f aca="false">$C53+$D53+MAX(AI53,AJ53,IF(COUNTIFS($A$21:$A$141,"&gt;="&amp;$G53,$A$21:$A$141,"&lt;="&amp;$H53)&gt;0,_xlfn.MAXIFS(AH$21:AH$141,$A$21:$A$141,"&gt;="&amp;$G53,$A$21:$A$141,"&lt;="&amp;$H53),AI53))</f>
        <v>-75.6361611301098</v>
      </c>
      <c r="AL53" s="12" t="n">
        <f aca="false">-Cost_k*$A53+Beta_q*(Declarations!$B$16*INDEX(AK$21:AK$141,MAX(1,MIN(121,$B53-ROUND(Declarations!$A$16/$D$18,0))))+Declarations!$B$17*INDEX(AK$21:AK$141,MAX(1,MIN(121,$B53-ROUND(Declarations!$A$17/$D$18,0))))+Declarations!$B$18*INDEX(AK$21:AK$141,MAX(1,MIN(121,$B53-ROUND(Declarations!$A$18/$D$18,0))))+Declarations!$B$19*INDEX(AK$21:AK$141,MAX(1,MIN(121,$B53-ROUND(Declarations!$A$19/$D$18,0))))+Declarations!$B$20*INDEX(AK$21:AK$141,MAX(1,MIN(121,$B53-ROUND(Declarations!$A$20/$D$18,0)))))</f>
        <v>-265.858358754706</v>
      </c>
      <c r="AM53" s="12" t="n">
        <f aca="false">INDEX(AL$21:AL$141,$I53+1)*(1-$J53)+INDEX(AL$21:AL$141,$I53+2)*$J53</f>
        <v>-271.037635478193</v>
      </c>
      <c r="AN53" s="12" t="n">
        <f aca="false">INDEX(AL$21:AL$141,$K53+1)*(1-$L53)+INDEX(AL$21:AL$141,$K53+2)*$L53</f>
        <v>-260.284824252688</v>
      </c>
      <c r="AO53" s="12" t="n">
        <f aca="false">$C53+$D53+MAX(AM53,AN53,IF(COUNTIFS($A$21:$A$141,"&gt;="&amp;$G53,$A$21:$A$141,"&lt;="&amp;$H53)&gt;0,_xlfn.MAXIFS(AL$21:AL$141,$A$21:$A$141,"&gt;="&amp;$G53,$A$21:$A$141,"&lt;="&amp;$H53),AM53))</f>
        <v>-84.2848242526882</v>
      </c>
      <c r="AP53" s="12" t="n">
        <f aca="false">-Cost_k*$A53+Beta_q*(Declarations!$B$16*INDEX(AO$21:AO$141,MAX(1,MIN(121,$B53-ROUND(Declarations!$A$16/$D$18,0))))+Declarations!$B$17*INDEX(AO$21:AO$141,MAX(1,MIN(121,$B53-ROUND(Declarations!$A$17/$D$18,0))))+Declarations!$B$18*INDEX(AO$21:AO$141,MAX(1,MIN(121,$B53-ROUND(Declarations!$A$18/$D$18,0))))+Declarations!$B$19*INDEX(AO$21:AO$141,MAX(1,MIN(121,$B53-ROUND(Declarations!$A$19/$D$18,0))))+Declarations!$B$20*INDEX(AO$21:AO$141,MAX(1,MIN(121,$B53-ROUND(Declarations!$A$20/$D$18,0)))))</f>
        <v>-274.3195905139</v>
      </c>
      <c r="AQ53" s="12" t="n">
        <f aca="false">INDEX(AP$21:AP$141,$I53+1)*(1-$J53)+INDEX(AP$21:AP$141,$I53+2)*$J53</f>
        <v>-280.845495456753</v>
      </c>
      <c r="AR53" s="12" t="n">
        <f aca="false">INDEX(AP$21:AP$141,$K53+1)*(1-$L53)+INDEX(AP$21:AP$141,$K53+2)*$L53</f>
        <v>-267.410720708649</v>
      </c>
      <c r="AS53" s="12" t="n">
        <f aca="false">$C53+$D53+MAX(AQ53,AR53,IF(COUNTIFS($A$21:$A$141,"&gt;="&amp;$G53,$A$21:$A$141,"&lt;="&amp;$H53)&gt;0,_xlfn.MAXIFS(AP$21:AP$141,$A$21:$A$141,"&gt;="&amp;$G53,$A$21:$A$141,"&lt;="&amp;$H53),AQ53))</f>
        <v>-91.4107207086486</v>
      </c>
      <c r="AT53" s="12" t="n">
        <f aca="false">-Cost_k*$A53+Beta_q*(Declarations!$B$16*INDEX(AS$21:AS$141,MAX(1,MIN(121,$B53-ROUND(Declarations!$A$16/$D$18,0))))+Declarations!$B$17*INDEX(AS$21:AS$141,MAX(1,MIN(121,$B53-ROUND(Declarations!$A$17/$D$18,0))))+Declarations!$B$18*INDEX(AS$21:AS$141,MAX(1,MIN(121,$B53-ROUND(Declarations!$A$18/$D$18,0))))+Declarations!$B$19*INDEX(AS$21:AS$141,MAX(1,MIN(121,$B53-ROUND(Declarations!$A$19/$D$18,0))))+Declarations!$B$20*INDEX(AS$21:AS$141,MAX(1,MIN(121,$B53-ROUND(Declarations!$A$20/$D$18,0)))))</f>
        <v>-281.308921013335</v>
      </c>
      <c r="AU53" s="12" t="n">
        <f aca="false">INDEX(AT$21:AT$141,$I53+1)*(1-$J53)+INDEX(AT$21:AT$141,$I53+2)*$J53</f>
        <v>-288.987592603753</v>
      </c>
      <c r="AV53" s="12" t="n">
        <f aca="false">INDEX(AT$21:AT$141,$K53+1)*(1-$L53)+INDEX(AT$21:AT$141,$K53+2)*$L53</f>
        <v>-273.386482915097</v>
      </c>
      <c r="AW53" s="12" t="n">
        <f aca="false">$C53+$D53+MAX(AU53,AV53,IF(COUNTIFS($A$21:$A$141,"&gt;="&amp;$G53,$A$21:$A$141,"&lt;="&amp;$H53)&gt;0,_xlfn.MAXIFS(AT$21:AT$141,$A$21:$A$141,"&gt;="&amp;$G53,$A$21:$A$141,"&lt;="&amp;$H53),AU53))</f>
        <v>-97.3864829150966</v>
      </c>
      <c r="AX53" s="12" t="n">
        <f aca="false">-Cost_k*$A53+Beta_q*(Declarations!$B$16*INDEX(AW$21:AW$141,MAX(1,MIN(121,$B53-ROUND(Declarations!$A$16/$D$18,0))))+Declarations!$B$17*INDEX(AW$21:AW$141,MAX(1,MIN(121,$B53-ROUND(Declarations!$A$17/$D$18,0))))+Declarations!$B$18*INDEX(AW$21:AW$141,MAX(1,MIN(121,$B53-ROUND(Declarations!$A$18/$D$18,0))))+Declarations!$B$19*INDEX(AW$21:AW$141,MAX(1,MIN(121,$B53-ROUND(Declarations!$A$19/$D$18,0))))+Declarations!$B$20*INDEX(AW$21:AW$141,MAX(1,MIN(121,$B53-ROUND(Declarations!$A$20/$D$18,0)))))</f>
        <v>-287.188900926242</v>
      </c>
      <c r="AY53" s="12" t="n">
        <f aca="false">INDEX(AX$21:AX$141,$I53+1)*(1-$J53)+INDEX(AX$21:AX$141,$I53+2)*$J53</f>
        <v>-295.734147069175</v>
      </c>
      <c r="AZ53" s="12" t="n">
        <f aca="false">INDEX(AX$21:AX$141,$K53+1)*(1-$L53)+INDEX(AX$21:AX$141,$K53+2)*$L53</f>
        <v>-278.642757134124</v>
      </c>
      <c r="BA53" s="12" t="n">
        <f aca="false">$C53+$D53+MAX(AY53,AZ53,IF(COUNTIFS($A$21:$A$141,"&gt;="&amp;$G53,$A$21:$A$141,"&lt;="&amp;$H53)&gt;0,_xlfn.MAXIFS(AX$21:AX$141,$A$21:$A$141,"&gt;="&amp;$G53,$A$21:$A$141,"&lt;="&amp;$H53),AY53))</f>
        <v>-102.642757134124</v>
      </c>
      <c r="BB53" s="12" t="n">
        <f aca="false">-Cost_k*$A53+Beta_q*(Declarations!$B$16*INDEX(BA$21:BA$141,MAX(1,MIN(121,$B53-ROUND(Declarations!$A$16/$D$18,0))))+Declarations!$B$17*INDEX(BA$21:BA$141,MAX(1,MIN(121,$B53-ROUND(Declarations!$A$17/$D$18,0))))+Declarations!$B$18*INDEX(BA$21:BA$141,MAX(1,MIN(121,$B53-ROUND(Declarations!$A$18/$D$18,0))))+Declarations!$B$19*INDEX(BA$21:BA$141,MAX(1,MIN(121,$B53-ROUND(Declarations!$A$19/$D$18,0))))+Declarations!$B$20*INDEX(BA$21:BA$141,MAX(1,MIN(121,$B53-ROUND(Declarations!$A$20/$D$18,0)))))</f>
        <v>-292.361003606303</v>
      </c>
      <c r="BC53" s="12" t="n">
        <f aca="false">INDEX(BB$21:BB$141,$I53+1)*(1-$J53)+INDEX(BB$21:BB$141,$I53+2)*$J53</f>
        <v>-301.442385065984</v>
      </c>
      <c r="BD53" s="12" t="n">
        <f aca="false">INDEX(BB$21:BB$141,$K53+1)*(1-$L53)+INDEX(BB$21:BB$141,$K53+2)*$L53</f>
        <v>-283.503779465793</v>
      </c>
      <c r="BE53" s="12" t="n">
        <f aca="false">$C53+$D53+MAX(BC53,BD53,IF(COUNTIFS($A$21:$A$141,"&gt;="&amp;$G53,$A$21:$A$141,"&lt;="&amp;$H53)&gt;0,_xlfn.MAXIFS(BB$21:BB$141,$A$21:$A$141,"&gt;="&amp;$G53,$A$21:$A$141,"&lt;="&amp;$H53),BC53))</f>
        <v>-107.503779465793</v>
      </c>
      <c r="BF53" s="12" t="n">
        <f aca="false">-Cost_k*$A53+Beta_q*(Declarations!$B$16*INDEX(BE$21:BE$141,MAX(1,MIN(121,$B53-ROUND(Declarations!$A$16/$D$18,0))))+Declarations!$B$17*INDEX(BE$21:BE$141,MAX(1,MIN(121,$B53-ROUND(Declarations!$A$17/$D$18,0))))+Declarations!$B$18*INDEX(BE$21:BE$141,MAX(1,MIN(121,$B53-ROUND(Declarations!$A$18/$D$18,0))))+Declarations!$B$19*INDEX(BE$21:BE$141,MAX(1,MIN(121,$B53-ROUND(Declarations!$A$19/$D$18,0))))+Declarations!$B$20*INDEX(BE$21:BE$141,MAX(1,MIN(121,$B53-ROUND(Declarations!$A$20/$D$18,0)))))</f>
        <v>-297.131138283354</v>
      </c>
      <c r="BG53" s="12" t="n">
        <f aca="false">INDEX(BF$21:BF$141,$I53+1)*(1-$J53)+INDEX(BF$21:BF$141,$I53+2)*$J53</f>
        <v>-306.486449999067</v>
      </c>
      <c r="BH53" s="12" t="n">
        <f aca="false">INDEX(BF$21:BF$141,$K53+1)*(1-$L53)+INDEX(BF$21:BF$141,$K53+2)*$L53</f>
        <v>-288.145143840508</v>
      </c>
      <c r="BI53" s="12" t="n">
        <f aca="false">$C53+$D53+MAX(BG53,BH53,IF(COUNTIFS($A$21:$A$141,"&gt;="&amp;$G53,$A$21:$A$141,"&lt;="&amp;$H53)&gt;0,_xlfn.MAXIFS(BF$21:BF$141,$A$21:$A$141,"&gt;="&amp;$G53,$A$21:$A$141,"&lt;="&amp;$H53),BG53))</f>
        <v>-112.145143840508</v>
      </c>
      <c r="BJ53" s="23" t="n">
        <v>-112.145143840508</v>
      </c>
      <c r="BK53" s="22" t="n">
        <f aca="false">ABS(BI53-BJ53)</f>
        <v>0</v>
      </c>
    </row>
    <row r="54" customFormat="false" ht="15" hidden="false" customHeight="false" outlineLevel="0" collapsed="false">
      <c r="A54" s="14" t="n">
        <f aca="false">A53+$D$18</f>
        <v>48.25</v>
      </c>
      <c r="B54" s="19" t="n">
        <v>34</v>
      </c>
      <c r="C54" s="12" t="n">
        <f aca="false">-Short_p*MAX(Floor_c-A54,0)</f>
        <v>-10.8</v>
      </c>
      <c r="D54" s="12" t="n">
        <f aca="false">Cost_k*Alpha_keep*A54</f>
        <v>188.175</v>
      </c>
      <c r="E54" s="12" t="n">
        <f aca="false">MIN(Cap_h,MAX(0,$B$18+MAX(Loss_w)-Alpha_keep*A54))</f>
        <v>0</v>
      </c>
      <c r="F54" s="12" t="n">
        <f aca="false">MAX(MIN(Cap_h,$F$18+MIN(Loss_w)-Alpha_keep*A54),E54)</f>
        <v>2.5</v>
      </c>
      <c r="G54" s="12" t="n">
        <f aca="false">Alpha_keep*A54+E54</f>
        <v>47.04375</v>
      </c>
      <c r="H54" s="12" t="n">
        <f aca="false">Alpha_keep*A54+F54</f>
        <v>49.54375</v>
      </c>
      <c r="I54" s="19" t="n">
        <f aca="false">MIN(INT((G54-$B$18)/$D$18+0.000000001),119)</f>
        <v>28</v>
      </c>
      <c r="J54" s="12" t="n">
        <f aca="false">(G54-$B$18)/$D$18-I54</f>
        <v>0.174999999999983</v>
      </c>
      <c r="K54" s="19" t="n">
        <f aca="false">MIN(INT((H54-$B$18)/$D$18+0.000000001),119)</f>
        <v>38</v>
      </c>
      <c r="L54" s="12" t="n">
        <f aca="false">(H54-$B$18)/$D$18-K54</f>
        <v>0.174999999999983</v>
      </c>
      <c r="M54" s="9" t="n">
        <v>0</v>
      </c>
      <c r="N54" s="12" t="n">
        <f aca="false">-Cost_k*$A54+Beta_q*(Declarations!$B$16*INDEX(M$21:M$141,MAX(1,MIN(121,$B54-ROUND(Declarations!$A$16/$D$18,0))))+Declarations!$B$17*INDEX(M$21:M$141,MAX(1,MIN(121,$B54-ROUND(Declarations!$A$17/$D$18,0))))+Declarations!$B$18*INDEX(M$21:M$141,MAX(1,MIN(121,$B54-ROUND(Declarations!$A$18/$D$18,0))))+Declarations!$B$19*INDEX(M$21:M$141,MAX(1,MIN(121,$B54-ROUND(Declarations!$A$19/$D$18,0))))+Declarations!$B$20*INDEX(M$21:M$141,MAX(1,MIN(121,$B54-ROUND(Declarations!$A$20/$D$18,0)))))</f>
        <v>-193</v>
      </c>
      <c r="O54" s="12" t="n">
        <f aca="false">INDEX(N$21:N$141,$I54+1)*(1-$J54)+INDEX(N$21:N$141,$I54+2)*$J54</f>
        <v>-188.175</v>
      </c>
      <c r="P54" s="12" t="n">
        <f aca="false">INDEX(N$21:N$141,$K54+1)*(1-$L54)+INDEX(N$21:N$141,$K54+2)*$L54</f>
        <v>-198.175</v>
      </c>
      <c r="Q54" s="12" t="n">
        <f aca="false">$C54+$D54+MAX(O54,P54,IF(COUNTIFS($A$21:$A$141,"&gt;="&amp;$G54,$A$21:$A$141,"&lt;="&amp;$H54)&gt;0,_xlfn.MAXIFS(N$21:N$141,$A$21:$A$141,"&gt;="&amp;$G54,$A$21:$A$141,"&lt;="&amp;$H54),O54))</f>
        <v>-10.8</v>
      </c>
      <c r="R54" s="12" t="n">
        <f aca="false">-Cost_k*$A54+Beta_q*(Declarations!$B$16*INDEX(Q$21:Q$141,MAX(1,MIN(121,$B54-ROUND(Declarations!$A$16/$D$18,0))))+Declarations!$B$17*INDEX(Q$21:Q$141,MAX(1,MIN(121,$B54-ROUND(Declarations!$A$17/$D$18,0))))+Declarations!$B$18*INDEX(Q$21:Q$141,MAX(1,MIN(121,$B54-ROUND(Declarations!$A$18/$D$18,0))))+Declarations!$B$19*INDEX(Q$21:Q$141,MAX(1,MIN(121,$B54-ROUND(Declarations!$A$19/$D$18,0))))+Declarations!$B$20*INDEX(Q$21:Q$141,MAX(1,MIN(121,$B54-ROUND(Declarations!$A$20/$D$18,0)))))</f>
        <v>-203.545704168504</v>
      </c>
      <c r="S54" s="12" t="n">
        <f aca="false">INDEX(R$21:R$141,$I54+1)*(1-$J54)+INDEX(R$21:R$141,$I54+2)*$J54</f>
        <v>-200.605260561579</v>
      </c>
      <c r="T54" s="12" t="n">
        <f aca="false">INDEX(R$21:R$141,$K54+1)*(1-$L54)+INDEX(R$21:R$141,$K54+2)*$L54</f>
        <v>-206.699444202874</v>
      </c>
      <c r="U54" s="12" t="n">
        <f aca="false">$C54+$D54+MAX(S54,T54,IF(COUNTIFS($A$21:$A$141,"&gt;="&amp;$G54,$A$21:$A$141,"&lt;="&amp;$H54)&gt;0,_xlfn.MAXIFS(R$21:R$141,$A$21:$A$141,"&gt;="&amp;$G54,$A$21:$A$141,"&lt;="&amp;$H54),S54))</f>
        <v>-23.2302605615795</v>
      </c>
      <c r="V54" s="12" t="n">
        <f aca="false">-Cost_k*$A54+Beta_q*(Declarations!$B$16*INDEX(U$21:U$141,MAX(1,MIN(121,$B54-ROUND(Declarations!$A$16/$D$18,0))))+Declarations!$B$17*INDEX(U$21:U$141,MAX(1,MIN(121,$B54-ROUND(Declarations!$A$17/$D$18,0))))+Declarations!$B$18*INDEX(U$21:U$141,MAX(1,MIN(121,$B54-ROUND(Declarations!$A$18/$D$18,0))))+Declarations!$B$19*INDEX(U$21:U$141,MAX(1,MIN(121,$B54-ROUND(Declarations!$A$19/$D$18,0))))+Declarations!$B$20*INDEX(U$21:U$141,MAX(1,MIN(121,$B54-ROUND(Declarations!$A$20/$D$18,0)))))</f>
        <v>-215.683282929601</v>
      </c>
      <c r="W54" s="12" t="n">
        <f aca="false">INDEX(V$21:V$141,$I54+1)*(1-$J54)+INDEX(V$21:V$141,$I54+2)*$J54</f>
        <v>-214.537017549989</v>
      </c>
      <c r="X54" s="12" t="n">
        <f aca="false">INDEX(V$21:V$141,$K54+1)*(1-$L54)+INDEX(V$21:V$141,$K54+2)*$L54</f>
        <v>-216.912697093226</v>
      </c>
      <c r="Y54" s="12" t="n">
        <f aca="false">$C54+$D54+MAX(W54,X54,IF(COUNTIFS($A$21:$A$141,"&gt;="&amp;$G54,$A$21:$A$141,"&lt;="&amp;$H54)&gt;0,_xlfn.MAXIFS(V$21:V$141,$A$21:$A$141,"&gt;="&amp;$G54,$A$21:$A$141,"&lt;="&amp;$H54),W54))</f>
        <v>-37.1620175499888</v>
      </c>
      <c r="Z54" s="12" t="n">
        <f aca="false">-Cost_k*$A54+Beta_q*(Declarations!$B$16*INDEX(Y$21:Y$141,MAX(1,MIN(121,$B54-ROUND(Declarations!$A$16/$D$18,0))))+Declarations!$B$17*INDEX(Y$21:Y$141,MAX(1,MIN(121,$B54-ROUND(Declarations!$A$17/$D$18,0))))+Declarations!$B$18*INDEX(Y$21:Y$141,MAX(1,MIN(121,$B54-ROUND(Declarations!$A$18/$D$18,0))))+Declarations!$B$19*INDEX(Y$21:Y$141,MAX(1,MIN(121,$B54-ROUND(Declarations!$A$19/$D$18,0))))+Declarations!$B$20*INDEX(Y$21:Y$141,MAX(1,MIN(121,$B54-ROUND(Declarations!$A$20/$D$18,0)))))</f>
        <v>-229.289421600236</v>
      </c>
      <c r="AA54" s="12" t="n">
        <f aca="false">INDEX(Z$21:Z$141,$I54+1)*(1-$J54)+INDEX(Z$21:Z$141,$I54+2)*$J54</f>
        <v>-229.898528977892</v>
      </c>
      <c r="AB54" s="12" t="n">
        <f aca="false">INDEX(Z$21:Z$141,$K54+1)*(1-$L54)+INDEX(Z$21:Z$141,$K54+2)*$L54</f>
        <v>-228.684387792354</v>
      </c>
      <c r="AC54" s="12" t="n">
        <f aca="false">$C54+$D54+MAX(AA54,AB54,IF(COUNTIFS($A$21:$A$141,"&gt;="&amp;$G54,$A$21:$A$141,"&lt;="&amp;$H54)&gt;0,_xlfn.MAXIFS(Z$21:Z$141,$A$21:$A$141,"&gt;="&amp;$G54,$A$21:$A$141,"&lt;="&amp;$H54),AA54))</f>
        <v>-51.3093877923538</v>
      </c>
      <c r="AD54" s="12" t="n">
        <f aca="false">-Cost_k*$A54+Beta_q*(Declarations!$B$16*INDEX(AC$21:AC$141,MAX(1,MIN(121,$B54-ROUND(Declarations!$A$16/$D$18,0))))+Declarations!$B$17*INDEX(AC$21:AC$141,MAX(1,MIN(121,$B54-ROUND(Declarations!$A$17/$D$18,0))))+Declarations!$B$18*INDEX(AC$21:AC$141,MAX(1,MIN(121,$B54-ROUND(Declarations!$A$18/$D$18,0))))+Declarations!$B$19*INDEX(AC$21:AC$141,MAX(1,MIN(121,$B54-ROUND(Declarations!$A$19/$D$18,0))))+Declarations!$B$20*INDEX(AC$21:AC$141,MAX(1,MIN(121,$B54-ROUND(Declarations!$A$20/$D$18,0)))))</f>
        <v>-243.10151381037</v>
      </c>
      <c r="AE54" s="12" t="n">
        <f aca="false">INDEX(AD$21:AD$141,$I54+1)*(1-$J54)+INDEX(AD$21:AD$141,$I54+2)*$J54</f>
        <v>-245.296291715069</v>
      </c>
      <c r="AF54" s="12" t="n">
        <f aca="false">INDEX(AD$21:AD$141,$K54+1)*(1-$L54)+INDEX(AD$21:AD$141,$K54+2)*$L54</f>
        <v>-240.754447013615</v>
      </c>
      <c r="AG54" s="12" t="n">
        <f aca="false">$C54+$D54+MAX(AE54,AF54,IF(COUNTIFS($A$21:$A$141,"&gt;="&amp;$G54,$A$21:$A$141,"&lt;="&amp;$H54)&gt;0,_xlfn.MAXIFS(AD$21:AD$141,$A$21:$A$141,"&gt;="&amp;$G54,$A$21:$A$141,"&lt;="&amp;$H54),AE54))</f>
        <v>-63.3794470136151</v>
      </c>
      <c r="AH54" s="12" t="n">
        <f aca="false">-Cost_k*$A54+Beta_q*(Declarations!$B$16*INDEX(AG$21:AG$141,MAX(1,MIN(121,$B54-ROUND(Declarations!$A$16/$D$18,0))))+Declarations!$B$17*INDEX(AG$21:AG$141,MAX(1,MIN(121,$B54-ROUND(Declarations!$A$17/$D$18,0))))+Declarations!$B$18*INDEX(AG$21:AG$141,MAX(1,MIN(121,$B54-ROUND(Declarations!$A$18/$D$18,0))))+Declarations!$B$19*INDEX(AG$21:AG$141,MAX(1,MIN(121,$B54-ROUND(Declarations!$A$19/$D$18,0))))+Declarations!$B$20*INDEX(AG$21:AG$141,MAX(1,MIN(121,$B54-ROUND(Declarations!$A$20/$D$18,0)))))</f>
        <v>-254.887191524772</v>
      </c>
      <c r="AI54" s="12" t="n">
        <f aca="false">INDEX(AH$21:AH$141,$I54+1)*(1-$J54)+INDEX(AH$21:AH$141,$I54+2)*$J54</f>
        <v>-258.624325253359</v>
      </c>
      <c r="AJ54" s="12" t="n">
        <f aca="false">INDEX(AH$21:AH$141,$K54+1)*(1-$L54)+INDEX(AH$21:AH$141,$K54+2)*$L54</f>
        <v>-250.882246702881</v>
      </c>
      <c r="AK54" s="12" t="n">
        <f aca="false">$C54+$D54+MAX(AI54,AJ54,IF(COUNTIFS($A$21:$A$141,"&gt;="&amp;$G54,$A$21:$A$141,"&lt;="&amp;$H54)&gt;0,_xlfn.MAXIFS(AH$21:AH$141,$A$21:$A$141,"&gt;="&amp;$G54,$A$21:$A$141,"&lt;="&amp;$H54),AI54))</f>
        <v>-73.5072467028814</v>
      </c>
      <c r="AL54" s="12" t="n">
        <f aca="false">-Cost_k*$A54+Beta_q*(Declarations!$B$16*INDEX(AK$21:AK$141,MAX(1,MIN(121,$B54-ROUND(Declarations!$A$16/$D$18,0))))+Declarations!$B$17*INDEX(AK$21:AK$141,MAX(1,MIN(121,$B54-ROUND(Declarations!$A$17/$D$18,0))))+Declarations!$B$18*INDEX(AK$21:AK$141,MAX(1,MIN(121,$B54-ROUND(Declarations!$A$18/$D$18,0))))+Declarations!$B$19*INDEX(AK$21:AK$141,MAX(1,MIN(121,$B54-ROUND(Declarations!$A$19/$D$18,0))))+Declarations!$B$20*INDEX(AK$21:AK$141,MAX(1,MIN(121,$B54-ROUND(Declarations!$A$20/$D$18,0)))))</f>
        <v>-264.780847031208</v>
      </c>
      <c r="AM54" s="12" t="n">
        <f aca="false">INDEX(AL$21:AL$141,$I54+1)*(1-$J54)+INDEX(AL$21:AL$141,$I54+2)*$J54</f>
        <v>-269.984947044346</v>
      </c>
      <c r="AN54" s="12" t="n">
        <f aca="false">INDEX(AL$21:AL$141,$K54+1)*(1-$L54)+INDEX(AL$21:AL$141,$K54+2)*$L54</f>
        <v>-259.25129045691</v>
      </c>
      <c r="AO54" s="12" t="n">
        <f aca="false">$C54+$D54+MAX(AM54,AN54,IF(COUNTIFS($A$21:$A$141,"&gt;="&amp;$G54,$A$21:$A$141,"&lt;="&amp;$H54)&gt;0,_xlfn.MAXIFS(AL$21:AL$141,$A$21:$A$141,"&gt;="&amp;$G54,$A$21:$A$141,"&lt;="&amp;$H54),AM54))</f>
        <v>-81.8762904569101</v>
      </c>
      <c r="AP54" s="12" t="n">
        <f aca="false">-Cost_k*$A54+Beta_q*(Declarations!$B$16*INDEX(AO$21:AO$141,MAX(1,MIN(121,$B54-ROUND(Declarations!$A$16/$D$18,0))))+Declarations!$B$17*INDEX(AO$21:AO$141,MAX(1,MIN(121,$B54-ROUND(Declarations!$A$17/$D$18,0))))+Declarations!$B$18*INDEX(AO$21:AO$141,MAX(1,MIN(121,$B54-ROUND(Declarations!$A$18/$D$18,0))))+Declarations!$B$19*INDEX(AO$21:AO$141,MAX(1,MIN(121,$B54-ROUND(Declarations!$A$19/$D$18,0))))+Declarations!$B$20*INDEX(AO$21:AO$141,MAX(1,MIN(121,$B54-ROUND(Declarations!$A$20/$D$18,0)))))</f>
        <v>-272.972120597193</v>
      </c>
      <c r="AQ54" s="12" t="n">
        <f aca="false">INDEX(AP$21:AP$141,$I54+1)*(1-$J54)+INDEX(AP$21:AP$141,$I54+2)*$J54</f>
        <v>-279.514265096458</v>
      </c>
      <c r="AR54" s="12" t="n">
        <f aca="false">INDEX(AP$21:AP$141,$K54+1)*(1-$L54)+INDEX(AP$21:AP$141,$K54+2)*$L54</f>
        <v>-266.152262025028</v>
      </c>
      <c r="AS54" s="12" t="n">
        <f aca="false">$C54+$D54+MAX(AQ54,AR54,IF(COUNTIFS($A$21:$A$141,"&gt;="&amp;$G54,$A$21:$A$141,"&lt;="&amp;$H54)&gt;0,_xlfn.MAXIFS(AP$21:AP$141,$A$21:$A$141,"&gt;="&amp;$G54,$A$21:$A$141,"&lt;="&amp;$H54),AQ54))</f>
        <v>-88.7772620250277</v>
      </c>
      <c r="AT54" s="12" t="n">
        <f aca="false">-Cost_k*$A54+Beta_q*(Declarations!$B$16*INDEX(AS$21:AS$141,MAX(1,MIN(121,$B54-ROUND(Declarations!$A$16/$D$18,0))))+Declarations!$B$17*INDEX(AS$21:AS$141,MAX(1,MIN(121,$B54-ROUND(Declarations!$A$17/$D$18,0))))+Declarations!$B$18*INDEX(AS$21:AS$141,MAX(1,MIN(121,$B54-ROUND(Declarations!$A$18/$D$18,0))))+Declarations!$B$19*INDEX(AS$21:AS$141,MAX(1,MIN(121,$B54-ROUND(Declarations!$A$19/$D$18,0))))+Declarations!$B$20*INDEX(AS$21:AS$141,MAX(1,MIN(121,$B54-ROUND(Declarations!$A$20/$D$18,0)))))</f>
        <v>-279.745490216843</v>
      </c>
      <c r="AU54" s="12" t="n">
        <f aca="false">INDEX(AT$21:AT$141,$I54+1)*(1-$J54)+INDEX(AT$21:AT$141,$I54+2)*$J54</f>
        <v>-287.410320086343</v>
      </c>
      <c r="AV54" s="12" t="n">
        <f aca="false">INDEX(AT$21:AT$141,$K54+1)*(1-$L54)+INDEX(AT$21:AT$141,$K54+2)*$L54</f>
        <v>-271.975668763321</v>
      </c>
      <c r="AW54" s="12" t="n">
        <f aca="false">$C54+$D54+MAX(AU54,AV54,IF(COUNTIFS($A$21:$A$141,"&gt;="&amp;$G54,$A$21:$A$141,"&lt;="&amp;$H54)&gt;0,_xlfn.MAXIFS(AT$21:AT$141,$A$21:$A$141,"&gt;="&amp;$G54,$A$21:$A$141,"&lt;="&amp;$H54),AU54))</f>
        <v>-94.6006687633212</v>
      </c>
      <c r="AX54" s="12" t="n">
        <f aca="false">-Cost_k*$A54+Beta_q*(Declarations!$B$16*INDEX(AW$21:AW$141,MAX(1,MIN(121,$B54-ROUND(Declarations!$A$16/$D$18,0))))+Declarations!$B$17*INDEX(AW$21:AW$141,MAX(1,MIN(121,$B54-ROUND(Declarations!$A$17/$D$18,0))))+Declarations!$B$18*INDEX(AW$21:AW$141,MAX(1,MIN(121,$B54-ROUND(Declarations!$A$18/$D$18,0))))+Declarations!$B$19*INDEX(AW$21:AW$141,MAX(1,MIN(121,$B54-ROUND(Declarations!$A$19/$D$18,0))))+Declarations!$B$20*INDEX(AW$21:AW$141,MAX(1,MIN(121,$B54-ROUND(Declarations!$A$20/$D$18,0)))))</f>
        <v>-285.478439356434</v>
      </c>
      <c r="AY54" s="12" t="n">
        <f aca="false">INDEX(AX$21:AX$141,$I54+1)*(1-$J54)+INDEX(AX$21:AX$141,$I54+2)*$J54</f>
        <v>-293.962626206289</v>
      </c>
      <c r="AZ54" s="12" t="n">
        <f aca="false">INDEX(AX$21:AX$141,$K54+1)*(1-$L54)+INDEX(AX$21:AX$141,$K54+2)*$L54</f>
        <v>-277.150733211732</v>
      </c>
      <c r="BA54" s="12" t="n">
        <f aca="false">$C54+$D54+MAX(AY54,AZ54,IF(COUNTIFS($A$21:$A$141,"&gt;="&amp;$G54,$A$21:$A$141,"&lt;="&amp;$H54)&gt;0,_xlfn.MAXIFS(AX$21:AX$141,$A$21:$A$141,"&gt;="&amp;$G54,$A$21:$A$141,"&lt;="&amp;$H54),AY54))</f>
        <v>-99.7757332117321</v>
      </c>
      <c r="BB54" s="12" t="n">
        <f aca="false">-Cost_k*$A54+Beta_q*(Declarations!$B$16*INDEX(BA$21:BA$141,MAX(1,MIN(121,$B54-ROUND(Declarations!$A$16/$D$18,0))))+Declarations!$B$17*INDEX(BA$21:BA$141,MAX(1,MIN(121,$B54-ROUND(Declarations!$A$17/$D$18,0))))+Declarations!$B$18*INDEX(BA$21:BA$141,MAX(1,MIN(121,$B54-ROUND(Declarations!$A$18/$D$18,0))))+Declarations!$B$19*INDEX(BA$21:BA$141,MAX(1,MIN(121,$B54-ROUND(Declarations!$A$19/$D$18,0))))+Declarations!$B$20*INDEX(BA$21:BA$141,MAX(1,MIN(121,$B54-ROUND(Declarations!$A$20/$D$18,0)))))</f>
        <v>-290.569433077224</v>
      </c>
      <c r="BC54" s="12" t="n">
        <f aca="false">INDEX(BB$21:BB$141,$I54+1)*(1-$J54)+INDEX(BB$21:BB$141,$I54+2)*$J54</f>
        <v>-299.541413128591</v>
      </c>
      <c r="BD54" s="12" t="n">
        <f aca="false">INDEX(BB$21:BB$141,$K54+1)*(1-$L54)+INDEX(BB$21:BB$141,$K54+2)*$L54</f>
        <v>-281.97860593326</v>
      </c>
      <c r="BE54" s="12" t="n">
        <f aca="false">$C54+$D54+MAX(BC54,BD54,IF(COUNTIFS($A$21:$A$141,"&gt;="&amp;$G54,$A$21:$A$141,"&lt;="&amp;$H54)&gt;0,_xlfn.MAXIFS(BB$21:BB$141,$A$21:$A$141,"&gt;="&amp;$G54,$A$21:$A$141,"&lt;="&amp;$H54),BC54))</f>
        <v>-104.60360593326</v>
      </c>
      <c r="BF54" s="12" t="n">
        <f aca="false">-Cost_k*$A54+Beta_q*(Declarations!$B$16*INDEX(BE$21:BE$141,MAX(1,MIN(121,$B54-ROUND(Declarations!$A$16/$D$18,0))))+Declarations!$B$17*INDEX(BE$21:BE$141,MAX(1,MIN(121,$B54-ROUND(Declarations!$A$17/$D$18,0))))+Declarations!$B$18*INDEX(BE$21:BE$141,MAX(1,MIN(121,$B54-ROUND(Declarations!$A$18/$D$18,0))))+Declarations!$B$19*INDEX(BE$21:BE$141,MAX(1,MIN(121,$B54-ROUND(Declarations!$A$19/$D$18,0))))+Declarations!$B$20*INDEX(BE$21:BE$141,MAX(1,MIN(121,$B54-ROUND(Declarations!$A$20/$D$18,0)))))</f>
        <v>-295.304504030319</v>
      </c>
      <c r="BG54" s="12" t="n">
        <f aca="false">INDEX(BF$21:BF$141,$I54+1)*(1-$J54)+INDEX(BF$21:BF$141,$I54+2)*$J54</f>
        <v>-304.51382516757</v>
      </c>
      <c r="BH54" s="12" t="n">
        <f aca="false">INDEX(BF$21:BF$141,$K54+1)*(1-$L54)+INDEX(BF$21:BF$141,$K54+2)*$L54</f>
        <v>-286.607752597368</v>
      </c>
      <c r="BI54" s="12" t="n">
        <f aca="false">$C54+$D54+MAX(BG54,BH54,IF(COUNTIFS($A$21:$A$141,"&gt;="&amp;$G54,$A$21:$A$141,"&lt;="&amp;$H54)&gt;0,_xlfn.MAXIFS(BF$21:BF$141,$A$21:$A$141,"&gt;="&amp;$G54,$A$21:$A$141,"&lt;="&amp;$H54),BG54))</f>
        <v>-109.232752597368</v>
      </c>
      <c r="BJ54" s="23" t="n">
        <v>-109.232752597368</v>
      </c>
      <c r="BK54" s="22" t="n">
        <f aca="false">ABS(BI54-BJ54)</f>
        <v>0</v>
      </c>
    </row>
    <row r="55" customFormat="false" ht="15" hidden="false" customHeight="false" outlineLevel="0" collapsed="false">
      <c r="A55" s="14" t="n">
        <f aca="false">A54+$D$18</f>
        <v>48.5</v>
      </c>
      <c r="B55" s="19" t="n">
        <v>35</v>
      </c>
      <c r="C55" s="12" t="n">
        <f aca="false">-Short_p*MAX(Floor_c-A55,0)</f>
        <v>-10.4</v>
      </c>
      <c r="D55" s="12" t="n">
        <f aca="false">Cost_k*Alpha_keep*A55</f>
        <v>189.15</v>
      </c>
      <c r="E55" s="12" t="n">
        <f aca="false">MIN(Cap_h,MAX(0,$B$18+MAX(Loss_w)-Alpha_keep*A55))</f>
        <v>0</v>
      </c>
      <c r="F55" s="12" t="n">
        <f aca="false">MAX(MIN(Cap_h,$F$18+MIN(Loss_w)-Alpha_keep*A55),E55)</f>
        <v>2.5</v>
      </c>
      <c r="G55" s="12" t="n">
        <f aca="false">Alpha_keep*A55+E55</f>
        <v>47.2875</v>
      </c>
      <c r="H55" s="12" t="n">
        <f aca="false">Alpha_keep*A55+F55</f>
        <v>49.7875</v>
      </c>
      <c r="I55" s="19" t="n">
        <f aca="false">MIN(INT((G55-$B$18)/$D$18+0.000000001),119)</f>
        <v>29</v>
      </c>
      <c r="J55" s="12" t="n">
        <f aca="false">(G55-$B$18)/$D$18-I55</f>
        <v>0.150000000000006</v>
      </c>
      <c r="K55" s="19" t="n">
        <f aca="false">MIN(INT((H55-$B$18)/$D$18+0.000000001),119)</f>
        <v>39</v>
      </c>
      <c r="L55" s="12" t="n">
        <f aca="false">(H55-$B$18)/$D$18-K55</f>
        <v>0.150000000000006</v>
      </c>
      <c r="M55" s="9" t="n">
        <v>0</v>
      </c>
      <c r="N55" s="12" t="n">
        <f aca="false">-Cost_k*$A55+Beta_q*(Declarations!$B$16*INDEX(M$21:M$141,MAX(1,MIN(121,$B55-ROUND(Declarations!$A$16/$D$18,0))))+Declarations!$B$17*INDEX(M$21:M$141,MAX(1,MIN(121,$B55-ROUND(Declarations!$A$17/$D$18,0))))+Declarations!$B$18*INDEX(M$21:M$141,MAX(1,MIN(121,$B55-ROUND(Declarations!$A$18/$D$18,0))))+Declarations!$B$19*INDEX(M$21:M$141,MAX(1,MIN(121,$B55-ROUND(Declarations!$A$19/$D$18,0))))+Declarations!$B$20*INDEX(M$21:M$141,MAX(1,MIN(121,$B55-ROUND(Declarations!$A$20/$D$18,0)))))</f>
        <v>-194</v>
      </c>
      <c r="O55" s="12" t="n">
        <f aca="false">INDEX(N$21:N$141,$I55+1)*(1-$J55)+INDEX(N$21:N$141,$I55+2)*$J55</f>
        <v>-189.15</v>
      </c>
      <c r="P55" s="12" t="n">
        <f aca="false">INDEX(N$21:N$141,$K55+1)*(1-$L55)+INDEX(N$21:N$141,$K55+2)*$L55</f>
        <v>-199.15</v>
      </c>
      <c r="Q55" s="12" t="n">
        <f aca="false">$C55+$D55+MAX(O55,P55,IF(COUNTIFS($A$21:$A$141,"&gt;="&amp;$G55,$A$21:$A$141,"&lt;="&amp;$H55)&gt;0,_xlfn.MAXIFS(N$21:N$141,$A$21:$A$141,"&gt;="&amp;$G55,$A$21:$A$141,"&lt;="&amp;$H55),O55))</f>
        <v>-10.4</v>
      </c>
      <c r="R55" s="12" t="n">
        <f aca="false">-Cost_k*$A55+Beta_q*(Declarations!$B$16*INDEX(Q$21:Q$141,MAX(1,MIN(121,$B55-ROUND(Declarations!$A$16/$D$18,0))))+Declarations!$B$17*INDEX(Q$21:Q$141,MAX(1,MIN(121,$B55-ROUND(Declarations!$A$17/$D$18,0))))+Declarations!$B$18*INDEX(Q$21:Q$141,MAX(1,MIN(121,$B55-ROUND(Declarations!$A$18/$D$18,0))))+Declarations!$B$19*INDEX(Q$21:Q$141,MAX(1,MIN(121,$B55-ROUND(Declarations!$A$19/$D$18,0))))+Declarations!$B$20*INDEX(Q$21:Q$141,MAX(1,MIN(121,$B55-ROUND(Declarations!$A$20/$D$18,0)))))</f>
        <v>-204.155122532634</v>
      </c>
      <c r="S55" s="12" t="n">
        <f aca="false">INDEX(R$21:R$141,$I55+1)*(1-$J55)+INDEX(R$21:R$141,$I55+2)*$J55</f>
        <v>-201.199443466606</v>
      </c>
      <c r="T55" s="12" t="n">
        <f aca="false">INDEX(R$21:R$141,$K55+1)*(1-$L55)+INDEX(R$21:R$141,$K55+2)*$L55</f>
        <v>-207.2936271079</v>
      </c>
      <c r="U55" s="12" t="n">
        <f aca="false">$C55+$D55+MAX(S55,T55,IF(COUNTIFS($A$21:$A$141,"&gt;="&amp;$G55,$A$21:$A$141,"&lt;="&amp;$H55)&gt;0,_xlfn.MAXIFS(R$21:R$141,$A$21:$A$141,"&gt;="&amp;$G55,$A$21:$A$141,"&lt;="&amp;$H55),S55))</f>
        <v>-22.4494434666057</v>
      </c>
      <c r="V55" s="12" t="n">
        <f aca="false">-Cost_k*$A55+Beta_q*(Declarations!$B$16*INDEX(U$21:U$141,MAX(1,MIN(121,$B55-ROUND(Declarations!$A$16/$D$18,0))))+Declarations!$B$17*INDEX(U$21:U$141,MAX(1,MIN(121,$B55-ROUND(Declarations!$A$17/$D$18,0))))+Declarations!$B$18*INDEX(U$21:U$141,MAX(1,MIN(121,$B55-ROUND(Declarations!$A$18/$D$18,0))))+Declarations!$B$19*INDEX(U$21:U$141,MAX(1,MIN(121,$B55-ROUND(Declarations!$A$19/$D$18,0))))+Declarations!$B$20*INDEX(U$21:U$141,MAX(1,MIN(121,$B55-ROUND(Declarations!$A$20/$D$18,0)))))</f>
        <v>-215.920850883924</v>
      </c>
      <c r="W55" s="12" t="n">
        <f aca="false">INDEX(V$21:V$141,$I55+1)*(1-$J55)+INDEX(V$21:V$141,$I55+2)*$J55</f>
        <v>-214.768646305454</v>
      </c>
      <c r="X55" s="12" t="n">
        <f aca="false">INDEX(V$21:V$141,$K55+1)*(1-$L55)+INDEX(V$21:V$141,$K55+2)*$L55</f>
        <v>-217.144325848691</v>
      </c>
      <c r="Y55" s="12" t="n">
        <f aca="false">$C55+$D55+MAX(W55,X55,IF(COUNTIFS($A$21:$A$141,"&gt;="&amp;$G55,$A$21:$A$141,"&lt;="&amp;$H55)&gt;0,_xlfn.MAXIFS(V$21:V$141,$A$21:$A$141,"&gt;="&amp;$G55,$A$21:$A$141,"&lt;="&amp;$H55),W55))</f>
        <v>-36.0186463054544</v>
      </c>
      <c r="Z55" s="12" t="n">
        <f aca="false">-Cost_k*$A55+Beta_q*(Declarations!$B$16*INDEX(Y$21:Y$141,MAX(1,MIN(121,$B55-ROUND(Declarations!$A$16/$D$18,0))))+Declarations!$B$17*INDEX(Y$21:Y$141,MAX(1,MIN(121,$B55-ROUND(Declarations!$A$17/$D$18,0))))+Declarations!$B$18*INDEX(Y$21:Y$141,MAX(1,MIN(121,$B55-ROUND(Declarations!$A$18/$D$18,0))))+Declarations!$B$19*INDEX(Y$21:Y$141,MAX(1,MIN(121,$B55-ROUND(Declarations!$A$19/$D$18,0))))+Declarations!$B$20*INDEX(Y$21:Y$141,MAX(1,MIN(121,$B55-ROUND(Declarations!$A$20/$D$18,0)))))</f>
        <v>-229.171709679624</v>
      </c>
      <c r="AA55" s="12" t="n">
        <f aca="false">INDEX(Z$21:Z$141,$I55+1)*(1-$J55)+INDEX(Z$21:Z$141,$I55+2)*$J55</f>
        <v>-229.764010226037</v>
      </c>
      <c r="AB55" s="12" t="n">
        <f aca="false">INDEX(Z$21:Z$141,$K55+1)*(1-$L55)+INDEX(Z$21:Z$141,$K55+2)*$L55</f>
        <v>-228.570839421684</v>
      </c>
      <c r="AC55" s="12" t="n">
        <f aca="false">$C55+$D55+MAX(AA55,AB55,IF(COUNTIFS($A$21:$A$141,"&gt;="&amp;$G55,$A$21:$A$141,"&lt;="&amp;$H55)&gt;0,_xlfn.MAXIFS(Z$21:Z$141,$A$21:$A$141,"&gt;="&amp;$G55,$A$21:$A$141,"&lt;="&amp;$H55),AA55))</f>
        <v>-49.8208394216843</v>
      </c>
      <c r="AD55" s="12" t="n">
        <f aca="false">-Cost_k*$A55+Beta_q*(Declarations!$B$16*INDEX(AC$21:AC$141,MAX(1,MIN(121,$B55-ROUND(Declarations!$A$16/$D$18,0))))+Declarations!$B$17*INDEX(AC$21:AC$141,MAX(1,MIN(121,$B55-ROUND(Declarations!$A$17/$D$18,0))))+Declarations!$B$18*INDEX(AC$21:AC$141,MAX(1,MIN(121,$B55-ROUND(Declarations!$A$18/$D$18,0))))+Declarations!$B$19*INDEX(AC$21:AC$141,MAX(1,MIN(121,$B55-ROUND(Declarations!$A$19/$D$18,0))))+Declarations!$B$20*INDEX(AC$21:AC$141,MAX(1,MIN(121,$B55-ROUND(Declarations!$A$20/$D$18,0)))))</f>
        <v>-242.647890569121</v>
      </c>
      <c r="AE55" s="12" t="n">
        <f aca="false">INDEX(AD$21:AD$141,$I55+1)*(1-$J55)+INDEX(AD$21:AD$141,$I55+2)*$J55</f>
        <v>-244.851053761735</v>
      </c>
      <c r="AF55" s="12" t="n">
        <f aca="false">INDEX(AD$21:AD$141,$K55+1)*(1-$L55)+INDEX(AD$21:AD$141,$K55+2)*$L55</f>
        <v>-240.312292925343</v>
      </c>
      <c r="AG55" s="12" t="n">
        <f aca="false">$C55+$D55+MAX(AE55,AF55,IF(COUNTIFS($A$21:$A$141,"&gt;="&amp;$G55,$A$21:$A$141,"&lt;="&amp;$H55)&gt;0,_xlfn.MAXIFS(AD$21:AD$141,$A$21:$A$141,"&gt;="&amp;$G55,$A$21:$A$141,"&lt;="&amp;$H55),AE55))</f>
        <v>-61.5622929253432</v>
      </c>
      <c r="AH55" s="12" t="n">
        <f aca="false">-Cost_k*$A55+Beta_q*(Declarations!$B$16*INDEX(AG$21:AG$141,MAX(1,MIN(121,$B55-ROUND(Declarations!$A$16/$D$18,0))))+Declarations!$B$17*INDEX(AG$21:AG$141,MAX(1,MIN(121,$B55-ROUND(Declarations!$A$17/$D$18,0))))+Declarations!$B$18*INDEX(AG$21:AG$141,MAX(1,MIN(121,$B55-ROUND(Declarations!$A$18/$D$18,0))))+Declarations!$B$19*INDEX(AG$21:AG$141,MAX(1,MIN(121,$B55-ROUND(Declarations!$A$19/$D$18,0))))+Declarations!$B$20*INDEX(AG$21:AG$141,MAX(1,MIN(121,$B55-ROUND(Declarations!$A$20/$D$18,0)))))</f>
        <v>-254.112852751367</v>
      </c>
      <c r="AI55" s="12" t="n">
        <f aca="false">INDEX(AH$21:AH$141,$I55+1)*(1-$J55)+INDEX(AH$21:AH$141,$I55+2)*$J55</f>
        <v>-257.868932676614</v>
      </c>
      <c r="AJ55" s="12" t="n">
        <f aca="false">INDEX(AH$21:AH$141,$K55+1)*(1-$L55)+INDEX(AH$21:AH$141,$K55+2)*$L55</f>
        <v>-250.130220980479</v>
      </c>
      <c r="AK55" s="12" t="n">
        <f aca="false">$C55+$D55+MAX(AI55,AJ55,IF(COUNTIFS($A$21:$A$141,"&gt;="&amp;$G55,$A$21:$A$141,"&lt;="&amp;$H55)&gt;0,_xlfn.MAXIFS(AH$21:AH$141,$A$21:$A$141,"&gt;="&amp;$G55,$A$21:$A$141,"&lt;="&amp;$H55),AI55))</f>
        <v>-71.3802209804795</v>
      </c>
      <c r="AL55" s="12" t="n">
        <f aca="false">-Cost_k*$A55+Beta_q*(Declarations!$B$16*INDEX(AK$21:AK$141,MAX(1,MIN(121,$B55-ROUND(Declarations!$A$16/$D$18,0))))+Declarations!$B$17*INDEX(AK$21:AK$141,MAX(1,MIN(121,$B55-ROUND(Declarations!$A$17/$D$18,0))))+Declarations!$B$18*INDEX(AK$21:AK$141,MAX(1,MIN(121,$B55-ROUND(Declarations!$A$18/$D$18,0))))+Declarations!$B$19*INDEX(AK$21:AK$141,MAX(1,MIN(121,$B55-ROUND(Declarations!$A$19/$D$18,0))))+Declarations!$B$20*INDEX(AK$21:AK$141,MAX(1,MIN(121,$B55-ROUND(Declarations!$A$20/$D$18,0)))))</f>
        <v>-263.706286850841</v>
      </c>
      <c r="AM55" s="12" t="n">
        <f aca="false">INDEX(AL$21:AL$141,$I55+1)*(1-$J55)+INDEX(AL$21:AL$141,$I55+2)*$J55</f>
        <v>-268.932389392073</v>
      </c>
      <c r="AN55" s="12" t="n">
        <f aca="false">INDEX(AL$21:AL$141,$K55+1)*(1-$L55)+INDEX(AL$21:AL$141,$K55+2)*$L55</f>
        <v>-258.222959887569</v>
      </c>
      <c r="AO55" s="12" t="n">
        <f aca="false">$C55+$D55+MAX(AM55,AN55,IF(COUNTIFS($A$21:$A$141,"&gt;="&amp;$G55,$A$21:$A$141,"&lt;="&amp;$H55)&gt;0,_xlfn.MAXIFS(AL$21:AL$141,$A$21:$A$141,"&gt;="&amp;$G55,$A$21:$A$141,"&lt;="&amp;$H55),AM55))</f>
        <v>-79.4729598875689</v>
      </c>
      <c r="AP55" s="12" t="n">
        <f aca="false">-Cost_k*$A55+Beta_q*(Declarations!$B$16*INDEX(AO$21:AO$141,MAX(1,MIN(121,$B55-ROUND(Declarations!$A$16/$D$18,0))))+Declarations!$B$17*INDEX(AO$21:AO$141,MAX(1,MIN(121,$B55-ROUND(Declarations!$A$17/$D$18,0))))+Declarations!$B$18*INDEX(AO$21:AO$141,MAX(1,MIN(121,$B55-ROUND(Declarations!$A$18/$D$18,0))))+Declarations!$B$19*INDEX(AO$21:AO$141,MAX(1,MIN(121,$B55-ROUND(Declarations!$A$19/$D$18,0))))+Declarations!$B$20*INDEX(AO$21:AO$141,MAX(1,MIN(121,$B55-ROUND(Declarations!$A$20/$D$18,0)))))</f>
        <v>-271.631165695473</v>
      </c>
      <c r="AQ55" s="12" t="n">
        <f aca="false">INDEX(AP$21:AP$141,$I55+1)*(1-$J55)+INDEX(AP$21:AP$141,$I55+2)*$J55</f>
        <v>-278.185752240478</v>
      </c>
      <c r="AR55" s="12" t="n">
        <f aca="false">INDEX(AP$21:AP$141,$K55+1)*(1-$L55)+INDEX(AP$21:AP$141,$K55+2)*$L55</f>
        <v>-264.906123459218</v>
      </c>
      <c r="AS55" s="12" t="n">
        <f aca="false">$C55+$D55+MAX(AQ55,AR55,IF(COUNTIFS($A$21:$A$141,"&gt;="&amp;$G55,$A$21:$A$141,"&lt;="&amp;$H55)&gt;0,_xlfn.MAXIFS(AP$21:AP$141,$A$21:$A$141,"&gt;="&amp;$G55,$A$21:$A$141,"&lt;="&amp;$H55),AQ55))</f>
        <v>-86.1561234592181</v>
      </c>
      <c r="AT55" s="12" t="n">
        <f aca="false">-Cost_k*$A55+Beta_q*(Declarations!$B$16*INDEX(AS$21:AS$141,MAX(1,MIN(121,$B55-ROUND(Declarations!$A$16/$D$18,0))))+Declarations!$B$17*INDEX(AS$21:AS$141,MAX(1,MIN(121,$B55-ROUND(Declarations!$A$17/$D$18,0))))+Declarations!$B$18*INDEX(AS$21:AS$141,MAX(1,MIN(121,$B55-ROUND(Declarations!$A$18/$D$18,0))))+Declarations!$B$19*INDEX(AS$21:AS$141,MAX(1,MIN(121,$B55-ROUND(Declarations!$A$19/$D$18,0))))+Declarations!$B$20*INDEX(AS$21:AS$141,MAX(1,MIN(121,$B55-ROUND(Declarations!$A$20/$D$18,0)))))</f>
        <v>-278.195156847709</v>
      </c>
      <c r="AU55" s="12" t="n">
        <f aca="false">INDEX(AT$21:AT$141,$I55+1)*(1-$J55)+INDEX(AT$21:AT$141,$I55+2)*$J55</f>
        <v>-285.841175362986</v>
      </c>
      <c r="AV55" s="12" t="n">
        <f aca="false">INDEX(AT$21:AT$141,$K55+1)*(1-$L55)+INDEX(AT$21:AT$141,$K55+2)*$L55</f>
        <v>-270.592554674976</v>
      </c>
      <c r="AW55" s="12" t="n">
        <f aca="false">$C55+$D55+MAX(AU55,AV55,IF(COUNTIFS($A$21:$A$141,"&gt;="&amp;$G55,$A$21:$A$141,"&lt;="&amp;$H55)&gt;0,_xlfn.MAXIFS(AT$21:AT$141,$A$21:$A$141,"&gt;="&amp;$G55,$A$21:$A$141,"&lt;="&amp;$H55),AU55))</f>
        <v>-91.8425546749756</v>
      </c>
      <c r="AX55" s="12" t="n">
        <f aca="false">-Cost_k*$A55+Beta_q*(Declarations!$B$16*INDEX(AW$21:AW$141,MAX(1,MIN(121,$B55-ROUND(Declarations!$A$16/$D$18,0))))+Declarations!$B$17*INDEX(AW$21:AW$141,MAX(1,MIN(121,$B55-ROUND(Declarations!$A$17/$D$18,0))))+Declarations!$B$18*INDEX(AW$21:AW$141,MAX(1,MIN(121,$B55-ROUND(Declarations!$A$18/$D$18,0))))+Declarations!$B$19*INDEX(AW$21:AW$141,MAX(1,MIN(121,$B55-ROUND(Declarations!$A$19/$D$18,0))))+Declarations!$B$20*INDEX(AW$21:AW$141,MAX(1,MIN(121,$B55-ROUND(Declarations!$A$20/$D$18,0)))))</f>
        <v>-283.79538567627</v>
      </c>
      <c r="AY55" s="12" t="n">
        <f aca="false">INDEX(AX$21:AX$141,$I55+1)*(1-$J55)+INDEX(AX$21:AX$141,$I55+2)*$J55</f>
        <v>-292.206762530265</v>
      </c>
      <c r="AZ55" s="12" t="n">
        <f aca="false">INDEX(AX$21:AX$141,$K55+1)*(1-$L55)+INDEX(AX$21:AX$141,$K55+2)*$L55</f>
        <v>-275.699110580799</v>
      </c>
      <c r="BA55" s="12" t="n">
        <f aca="false">$C55+$D55+MAX(AY55,AZ55,IF(COUNTIFS($A$21:$A$141,"&gt;="&amp;$G55,$A$21:$A$141,"&lt;="&amp;$H55)&gt;0,_xlfn.MAXIFS(AX$21:AX$141,$A$21:$A$141,"&gt;="&amp;$G55,$A$21:$A$141,"&lt;="&amp;$H55),AY55))</f>
        <v>-96.949110580799</v>
      </c>
      <c r="BB55" s="12" t="n">
        <f aca="false">-Cost_k*$A55+Beta_q*(Declarations!$B$16*INDEX(BA$21:BA$141,MAX(1,MIN(121,$B55-ROUND(Declarations!$A$16/$D$18,0))))+Declarations!$B$17*INDEX(BA$21:BA$141,MAX(1,MIN(121,$B55-ROUND(Declarations!$A$17/$D$18,0))))+Declarations!$B$18*INDEX(BA$21:BA$141,MAX(1,MIN(121,$B55-ROUND(Declarations!$A$18/$D$18,0))))+Declarations!$B$19*INDEX(BA$21:BA$141,MAX(1,MIN(121,$B55-ROUND(Declarations!$A$19/$D$18,0))))+Declarations!$B$20*INDEX(BA$21:BA$141,MAX(1,MIN(121,$B55-ROUND(Declarations!$A$20/$D$18,0)))))</f>
        <v>-288.817078747513</v>
      </c>
      <c r="BC55" s="12" t="n">
        <f aca="false">INDEX(BB$21:BB$141,$I55+1)*(1-$J55)+INDEX(BB$21:BB$141,$I55+2)*$J55</f>
        <v>-297.66650073075</v>
      </c>
      <c r="BD55" s="12" t="n">
        <f aca="false">INDEX(BB$21:BB$141,$K55+1)*(1-$L55)+INDEX(BB$21:BB$141,$K55+2)*$L55</f>
        <v>-280.498691853059</v>
      </c>
      <c r="BE55" s="12" t="n">
        <f aca="false">$C55+$D55+MAX(BC55,BD55,IF(COUNTIFS($A$21:$A$141,"&gt;="&amp;$G55,$A$21:$A$141,"&lt;="&amp;$H55)&gt;0,_xlfn.MAXIFS(BB$21:BB$141,$A$21:$A$141,"&gt;="&amp;$G55,$A$21:$A$141,"&lt;="&amp;$H55),BC55))</f>
        <v>-101.748691853059</v>
      </c>
      <c r="BF55" s="12" t="n">
        <f aca="false">-Cost_k*$A55+Beta_q*(Declarations!$B$16*INDEX(BE$21:BE$141,MAX(1,MIN(121,$B55-ROUND(Declarations!$A$16/$D$18,0))))+Declarations!$B$17*INDEX(BE$21:BE$141,MAX(1,MIN(121,$B55-ROUND(Declarations!$A$17/$D$18,0))))+Declarations!$B$18*INDEX(BE$21:BE$141,MAX(1,MIN(121,$B55-ROUND(Declarations!$A$18/$D$18,0))))+Declarations!$B$19*INDEX(BE$21:BE$141,MAX(1,MIN(121,$B55-ROUND(Declarations!$A$19/$D$18,0))))+Declarations!$B$20*INDEX(BE$21:BE$141,MAX(1,MIN(121,$B55-ROUND(Declarations!$A$20/$D$18,0)))))</f>
        <v>-293.521935109119</v>
      </c>
      <c r="BG55" s="12" t="n">
        <f aca="false">INDEX(BF$21:BF$141,$I55+1)*(1-$J55)+INDEX(BF$21:BF$141,$I55+2)*$J55</f>
        <v>-302.576647602044</v>
      </c>
      <c r="BH55" s="12" t="n">
        <f aca="false">INDEX(BF$21:BF$141,$K55+1)*(1-$L55)+INDEX(BF$21:BF$141,$K55+2)*$L55</f>
        <v>-285.118279277229</v>
      </c>
      <c r="BI55" s="12" t="n">
        <f aca="false">$C55+$D55+MAX(BG55,BH55,IF(COUNTIFS($A$21:$A$141,"&gt;="&amp;$G55,$A$21:$A$141,"&lt;="&amp;$H55)&gt;0,_xlfn.MAXIFS(BF$21:BF$141,$A$21:$A$141,"&gt;="&amp;$G55,$A$21:$A$141,"&lt;="&amp;$H55),BG55))</f>
        <v>-106.368279277229</v>
      </c>
      <c r="BJ55" s="23" t="n">
        <v>-106.368279277229</v>
      </c>
      <c r="BK55" s="22" t="n">
        <f aca="false">ABS(BI55-BJ55)</f>
        <v>0</v>
      </c>
    </row>
    <row r="56" customFormat="false" ht="15" hidden="false" customHeight="false" outlineLevel="0" collapsed="false">
      <c r="A56" s="14" t="n">
        <f aca="false">A55+$D$18</f>
        <v>48.75</v>
      </c>
      <c r="B56" s="19" t="n">
        <v>36</v>
      </c>
      <c r="C56" s="12" t="n">
        <f aca="false">-Short_p*MAX(Floor_c-A56,0)</f>
        <v>-10</v>
      </c>
      <c r="D56" s="12" t="n">
        <f aca="false">Cost_k*Alpha_keep*A56</f>
        <v>190.125</v>
      </c>
      <c r="E56" s="12" t="n">
        <f aca="false">MIN(Cap_h,MAX(0,$B$18+MAX(Loss_w)-Alpha_keep*A56))</f>
        <v>0</v>
      </c>
      <c r="F56" s="12" t="n">
        <f aca="false">MAX(MIN(Cap_h,$F$18+MIN(Loss_w)-Alpha_keep*A56),E56)</f>
        <v>2.5</v>
      </c>
      <c r="G56" s="12" t="n">
        <f aca="false">Alpha_keep*A56+E56</f>
        <v>47.53125</v>
      </c>
      <c r="H56" s="12" t="n">
        <f aca="false">Alpha_keep*A56+F56</f>
        <v>50.03125</v>
      </c>
      <c r="I56" s="19" t="n">
        <f aca="false">MIN(INT((G56-$B$18)/$D$18+0.000000001),119)</f>
        <v>30</v>
      </c>
      <c r="J56" s="12" t="n">
        <f aca="false">(G56-$B$18)/$D$18-I56</f>
        <v>0.125</v>
      </c>
      <c r="K56" s="19" t="n">
        <f aca="false">MIN(INT((H56-$B$18)/$D$18+0.000000001),119)</f>
        <v>40</v>
      </c>
      <c r="L56" s="12" t="n">
        <f aca="false">(H56-$B$18)/$D$18-K56</f>
        <v>0.125</v>
      </c>
      <c r="M56" s="9" t="n">
        <v>0</v>
      </c>
      <c r="N56" s="12" t="n">
        <f aca="false">-Cost_k*$A56+Beta_q*(Declarations!$B$16*INDEX(M$21:M$141,MAX(1,MIN(121,$B56-ROUND(Declarations!$A$16/$D$18,0))))+Declarations!$B$17*INDEX(M$21:M$141,MAX(1,MIN(121,$B56-ROUND(Declarations!$A$17/$D$18,0))))+Declarations!$B$18*INDEX(M$21:M$141,MAX(1,MIN(121,$B56-ROUND(Declarations!$A$18/$D$18,0))))+Declarations!$B$19*INDEX(M$21:M$141,MAX(1,MIN(121,$B56-ROUND(Declarations!$A$19/$D$18,0))))+Declarations!$B$20*INDEX(M$21:M$141,MAX(1,MIN(121,$B56-ROUND(Declarations!$A$20/$D$18,0)))))</f>
        <v>-195</v>
      </c>
      <c r="O56" s="12" t="n">
        <f aca="false">INDEX(N$21:N$141,$I56+1)*(1-$J56)+INDEX(N$21:N$141,$I56+2)*$J56</f>
        <v>-190.125</v>
      </c>
      <c r="P56" s="12" t="n">
        <f aca="false">INDEX(N$21:N$141,$K56+1)*(1-$L56)+INDEX(N$21:N$141,$K56+2)*$L56</f>
        <v>-200.125</v>
      </c>
      <c r="Q56" s="12" t="n">
        <f aca="false">$C56+$D56+MAX(O56,P56,IF(COUNTIFS($A$21:$A$141,"&gt;="&amp;$G56,$A$21:$A$141,"&lt;="&amp;$H56)&gt;0,_xlfn.MAXIFS(N$21:N$141,$A$21:$A$141,"&gt;="&amp;$G56,$A$21:$A$141,"&lt;="&amp;$H56),O56))</f>
        <v>-10</v>
      </c>
      <c r="R56" s="12" t="n">
        <f aca="false">-Cost_k*$A56+Beta_q*(Declarations!$B$16*INDEX(Q$21:Q$141,MAX(1,MIN(121,$B56-ROUND(Declarations!$A$16/$D$18,0))))+Declarations!$B$17*INDEX(Q$21:Q$141,MAX(1,MIN(121,$B56-ROUND(Declarations!$A$17/$D$18,0))))+Declarations!$B$18*INDEX(Q$21:Q$141,MAX(1,MIN(121,$B56-ROUND(Declarations!$A$18/$D$18,0))))+Declarations!$B$19*INDEX(Q$21:Q$141,MAX(1,MIN(121,$B56-ROUND(Declarations!$A$19/$D$18,0))))+Declarations!$B$20*INDEX(Q$21:Q$141,MAX(1,MIN(121,$B56-ROUND(Declarations!$A$20/$D$18,0)))))</f>
        <v>-204.764540896763</v>
      </c>
      <c r="S56" s="12" t="n">
        <f aca="false">INDEX(R$21:R$141,$I56+1)*(1-$J56)+INDEX(R$21:R$141,$I56+2)*$J56</f>
        <v>-201.793626371632</v>
      </c>
      <c r="T56" s="12" t="n">
        <f aca="false">INDEX(R$21:R$141,$K56+1)*(1-$L56)+INDEX(R$21:R$141,$K56+2)*$L56</f>
        <v>-207.887810012927</v>
      </c>
      <c r="U56" s="12" t="n">
        <f aca="false">$C56+$D56+MAX(S56,T56,IF(COUNTIFS($A$21:$A$141,"&gt;="&amp;$G56,$A$21:$A$141,"&lt;="&amp;$H56)&gt;0,_xlfn.MAXIFS(R$21:R$141,$A$21:$A$141,"&gt;="&amp;$G56,$A$21:$A$141,"&lt;="&amp;$H56),S56))</f>
        <v>-21.6686263716319</v>
      </c>
      <c r="V56" s="12" t="n">
        <f aca="false">-Cost_k*$A56+Beta_q*(Declarations!$B$16*INDEX(U$21:U$141,MAX(1,MIN(121,$B56-ROUND(Declarations!$A$16/$D$18,0))))+Declarations!$B$17*INDEX(U$21:U$141,MAX(1,MIN(121,$B56-ROUND(Declarations!$A$17/$D$18,0))))+Declarations!$B$18*INDEX(U$21:U$141,MAX(1,MIN(121,$B56-ROUND(Declarations!$A$18/$D$18,0))))+Declarations!$B$19*INDEX(U$21:U$141,MAX(1,MIN(121,$B56-ROUND(Declarations!$A$19/$D$18,0))))+Declarations!$B$20*INDEX(U$21:U$141,MAX(1,MIN(121,$B56-ROUND(Declarations!$A$20/$D$18,0)))))</f>
        <v>-216.158418838248</v>
      </c>
      <c r="W56" s="12" t="n">
        <f aca="false">INDEX(V$21:V$141,$I56+1)*(1-$J56)+INDEX(V$21:V$141,$I56+2)*$J56</f>
        <v>-215.00027506092</v>
      </c>
      <c r="X56" s="12" t="n">
        <f aca="false">INDEX(V$21:V$141,$K56+1)*(1-$L56)+INDEX(V$21:V$141,$K56+2)*$L56</f>
        <v>-217.375954604157</v>
      </c>
      <c r="Y56" s="12" t="n">
        <f aca="false">$C56+$D56+MAX(W56,X56,IF(COUNTIFS($A$21:$A$141,"&gt;="&amp;$G56,$A$21:$A$141,"&lt;="&amp;$H56)&gt;0,_xlfn.MAXIFS(V$21:V$141,$A$21:$A$141,"&gt;="&amp;$G56,$A$21:$A$141,"&lt;="&amp;$H56),W56))</f>
        <v>-34.8752750609199</v>
      </c>
      <c r="Z56" s="12" t="n">
        <f aca="false">-Cost_k*$A56+Beta_q*(Declarations!$B$16*INDEX(Y$21:Y$141,MAX(1,MIN(121,$B56-ROUND(Declarations!$A$16/$D$18,0))))+Declarations!$B$17*INDEX(Y$21:Y$141,MAX(1,MIN(121,$B56-ROUND(Declarations!$A$17/$D$18,0))))+Declarations!$B$18*INDEX(Y$21:Y$141,MAX(1,MIN(121,$B56-ROUND(Declarations!$A$18/$D$18,0))))+Declarations!$B$19*INDEX(Y$21:Y$141,MAX(1,MIN(121,$B56-ROUND(Declarations!$A$19/$D$18,0))))+Declarations!$B$20*INDEX(Y$21:Y$141,MAX(1,MIN(121,$B56-ROUND(Declarations!$A$20/$D$18,0)))))</f>
        <v>-229.054512768911</v>
      </c>
      <c r="AA56" s="12" t="n">
        <f aca="false">INDEX(Z$21:Z$141,$I56+1)*(1-$J56)+INDEX(Z$21:Z$141,$I56+2)*$J56</f>
        <v>-229.638985399959</v>
      </c>
      <c r="AB56" s="12" t="n">
        <f aca="false">INDEX(Z$21:Z$141,$K56+1)*(1-$L56)+INDEX(Z$21:Z$141,$K56+2)*$L56</f>
        <v>-228.457301132134</v>
      </c>
      <c r="AC56" s="12" t="n">
        <f aca="false">$C56+$D56+MAX(AA56,AB56,IF(COUNTIFS($A$21:$A$141,"&gt;="&amp;$G56,$A$21:$A$141,"&lt;="&amp;$H56)&gt;0,_xlfn.MAXIFS(Z$21:Z$141,$A$21:$A$141,"&gt;="&amp;$G56,$A$21:$A$141,"&lt;="&amp;$H56),AA56))</f>
        <v>-48.332301132134</v>
      </c>
      <c r="AD56" s="12" t="n">
        <f aca="false">-Cost_k*$A56+Beta_q*(Declarations!$B$16*INDEX(AC$21:AC$141,MAX(1,MIN(121,$B56-ROUND(Declarations!$A$16/$D$18,0))))+Declarations!$B$17*INDEX(AC$21:AC$141,MAX(1,MIN(121,$B56-ROUND(Declarations!$A$17/$D$18,0))))+Declarations!$B$18*INDEX(AC$21:AC$141,MAX(1,MIN(121,$B56-ROUND(Declarations!$A$18/$D$18,0))))+Declarations!$B$19*INDEX(AC$21:AC$141,MAX(1,MIN(121,$B56-ROUND(Declarations!$A$19/$D$18,0))))+Declarations!$B$20*INDEX(AC$21:AC$141,MAX(1,MIN(121,$B56-ROUND(Declarations!$A$20/$D$18,0)))))</f>
        <v>-242.194330875146</v>
      </c>
      <c r="AE56" s="12" t="n">
        <f aca="false">INDEX(AD$21:AD$141,$I56+1)*(1-$J56)+INDEX(AD$21:AD$141,$I56+2)*$J56</f>
        <v>-244.40709078498</v>
      </c>
      <c r="AF56" s="12" t="n">
        <f aca="false">INDEX(AD$21:AD$141,$K56+1)*(1-$L56)+INDEX(AD$21:AD$141,$K56+2)*$L56</f>
        <v>-239.870140439024</v>
      </c>
      <c r="AG56" s="12" t="n">
        <f aca="false">$C56+$D56+MAX(AE56,AF56,IF(COUNTIFS($A$21:$A$141,"&gt;="&amp;$G56,$A$21:$A$141,"&lt;="&amp;$H56)&gt;0,_xlfn.MAXIFS(AD$21:AD$141,$A$21:$A$141,"&gt;="&amp;$G56,$A$21:$A$141,"&lt;="&amp;$H56),AE56))</f>
        <v>-59.7451404390244</v>
      </c>
      <c r="AH56" s="12" t="n">
        <f aca="false">-Cost_k*$A56+Beta_q*(Declarations!$B$16*INDEX(AG$21:AG$141,MAX(1,MIN(121,$B56-ROUND(Declarations!$A$16/$D$18,0))))+Declarations!$B$17*INDEX(AG$21:AG$141,MAX(1,MIN(121,$B56-ROUND(Declarations!$A$17/$D$18,0))))+Declarations!$B$18*INDEX(AG$21:AG$141,MAX(1,MIN(121,$B56-ROUND(Declarations!$A$18/$D$18,0))))+Declarations!$B$19*INDEX(AG$21:AG$141,MAX(1,MIN(121,$B56-ROUND(Declarations!$A$19/$D$18,0))))+Declarations!$B$20*INDEX(AG$21:AG$141,MAX(1,MIN(121,$B56-ROUND(Declarations!$A$20/$D$18,0)))))</f>
        <v>-253.338547001691</v>
      </c>
      <c r="AI56" s="12" t="n">
        <f aca="false">INDEX(AH$21:AH$141,$I56+1)*(1-$J56)+INDEX(AH$21:AH$141,$I56+2)*$J56</f>
        <v>-257.113685287134</v>
      </c>
      <c r="AJ56" s="12" t="n">
        <f aca="false">INDEX(AH$21:AH$141,$K56+1)*(1-$L56)+INDEX(AH$21:AH$141,$K56+2)*$L56</f>
        <v>-249.378998041997</v>
      </c>
      <c r="AK56" s="12" t="n">
        <f aca="false">$C56+$D56+MAX(AI56,AJ56,IF(COUNTIFS($A$21:$A$141,"&gt;="&amp;$G56,$A$21:$A$141,"&lt;="&amp;$H56)&gt;0,_xlfn.MAXIFS(AH$21:AH$141,$A$21:$A$141,"&gt;="&amp;$G56,$A$21:$A$141,"&lt;="&amp;$H56),AI56))</f>
        <v>-69.2539980419971</v>
      </c>
      <c r="AL56" s="12" t="n">
        <f aca="false">-Cost_k*$A56+Beta_q*(Declarations!$B$16*INDEX(AK$21:AK$141,MAX(1,MIN(121,$B56-ROUND(Declarations!$A$16/$D$18,0))))+Declarations!$B$17*INDEX(AK$21:AK$141,MAX(1,MIN(121,$B56-ROUND(Declarations!$A$17/$D$18,0))))+Declarations!$B$18*INDEX(AK$21:AK$141,MAX(1,MIN(121,$B56-ROUND(Declarations!$A$18/$D$18,0))))+Declarations!$B$19*INDEX(AK$21:AK$141,MAX(1,MIN(121,$B56-ROUND(Declarations!$A$19/$D$18,0))))+Declarations!$B$20*INDEX(AK$21:AK$141,MAX(1,MIN(121,$B56-ROUND(Declarations!$A$20/$D$18,0)))))</f>
        <v>-262.633127481023</v>
      </c>
      <c r="AM56" s="12" t="n">
        <f aca="false">INDEX(AL$21:AL$141,$I56+1)*(1-$J56)+INDEX(AL$21:AL$141,$I56+2)*$J56</f>
        <v>-267.880131984727</v>
      </c>
      <c r="AN56" s="12" t="n">
        <f aca="false">INDEX(AL$21:AL$141,$K56+1)*(1-$L56)+INDEX(AL$21:AL$141,$K56+2)*$L56</f>
        <v>-257.206124154748</v>
      </c>
      <c r="AO56" s="12" t="n">
        <f aca="false">$C56+$D56+MAX(AM56,AN56,IF(COUNTIFS($A$21:$A$141,"&gt;="&amp;$G56,$A$21:$A$141,"&lt;="&amp;$H56)&gt;0,_xlfn.MAXIFS(AL$21:AL$141,$A$21:$A$141,"&gt;="&amp;$G56,$A$21:$A$141,"&lt;="&amp;$H56),AM56))</f>
        <v>-77.0811241547482</v>
      </c>
      <c r="AP56" s="12" t="n">
        <f aca="false">-Cost_k*$A56+Beta_q*(Declarations!$B$16*INDEX(AO$21:AO$141,MAX(1,MIN(121,$B56-ROUND(Declarations!$A$16/$D$18,0))))+Declarations!$B$17*INDEX(AO$21:AO$141,MAX(1,MIN(121,$B56-ROUND(Declarations!$A$17/$D$18,0))))+Declarations!$B$18*INDEX(AO$21:AO$141,MAX(1,MIN(121,$B56-ROUND(Declarations!$A$18/$D$18,0))))+Declarations!$B$19*INDEX(AO$21:AO$141,MAX(1,MIN(121,$B56-ROUND(Declarations!$A$19/$D$18,0))))+Declarations!$B$20*INDEX(AO$21:AO$141,MAX(1,MIN(121,$B56-ROUND(Declarations!$A$20/$D$18,0)))))</f>
        <v>-270.301548287248</v>
      </c>
      <c r="AQ56" s="12" t="n">
        <f aca="false">INDEX(AP$21:AP$141,$I56+1)*(1-$J56)+INDEX(AP$21:AP$141,$I56+2)*$J56</f>
        <v>-276.859109693502</v>
      </c>
      <c r="AR56" s="12" t="n">
        <f aca="false">INDEX(AP$21:AP$141,$K56+1)*(1-$L56)+INDEX(AP$21:AP$141,$K56+2)*$L56</f>
        <v>-263.68292398986</v>
      </c>
      <c r="AS56" s="12" t="n">
        <f aca="false">$C56+$D56+MAX(AQ56,AR56,IF(COUNTIFS($A$21:$A$141,"&gt;="&amp;$G56,$A$21:$A$141,"&lt;="&amp;$H56)&gt;0,_xlfn.MAXIFS(AP$21:AP$141,$A$21:$A$141,"&gt;="&amp;$G56,$A$21:$A$141,"&lt;="&amp;$H56),AQ56))</f>
        <v>-83.5579239898603</v>
      </c>
      <c r="AT56" s="12" t="n">
        <f aca="false">-Cost_k*$A56+Beta_q*(Declarations!$B$16*INDEX(AS$21:AS$141,MAX(1,MIN(121,$B56-ROUND(Declarations!$A$16/$D$18,0))))+Declarations!$B$17*INDEX(AS$21:AS$141,MAX(1,MIN(121,$B56-ROUND(Declarations!$A$17/$D$18,0))))+Declarations!$B$18*INDEX(AS$21:AS$141,MAX(1,MIN(121,$B56-ROUND(Declarations!$A$18/$D$18,0))))+Declarations!$B$19*INDEX(AS$21:AS$141,MAX(1,MIN(121,$B56-ROUND(Declarations!$A$19/$D$18,0))))+Declarations!$B$20*INDEX(AS$21:AS$141,MAX(1,MIN(121,$B56-ROUND(Declarations!$A$20/$D$18,0)))))</f>
        <v>-276.667874539305</v>
      </c>
      <c r="AU56" s="12" t="n">
        <f aca="false">INDEX(AT$21:AT$141,$I56+1)*(1-$J56)+INDEX(AT$21:AT$141,$I56+2)*$J56</f>
        <v>-284.281178862011</v>
      </c>
      <c r="AV56" s="12" t="n">
        <f aca="false">INDEX(AT$21:AT$141,$K56+1)*(1-$L56)+INDEX(AT$21:AT$141,$K56+2)*$L56</f>
        <v>-269.241388230167</v>
      </c>
      <c r="AW56" s="12" t="n">
        <f aca="false">$C56+$D56+MAX(AU56,AV56,IF(COUNTIFS($A$21:$A$141,"&gt;="&amp;$G56,$A$21:$A$141,"&lt;="&amp;$H56)&gt;0,_xlfn.MAXIFS(AT$21:AT$141,$A$21:$A$141,"&gt;="&amp;$G56,$A$21:$A$141,"&lt;="&amp;$H56),AU56))</f>
        <v>-89.1163882301671</v>
      </c>
      <c r="AX56" s="12" t="n">
        <f aca="false">-Cost_k*$A56+Beta_q*(Declarations!$B$16*INDEX(AW$21:AW$141,MAX(1,MIN(121,$B56-ROUND(Declarations!$A$16/$D$18,0))))+Declarations!$B$17*INDEX(AW$21:AW$141,MAX(1,MIN(121,$B56-ROUND(Declarations!$A$17/$D$18,0))))+Declarations!$B$18*INDEX(AW$21:AW$141,MAX(1,MIN(121,$B56-ROUND(Declarations!$A$18/$D$18,0))))+Declarations!$B$19*INDEX(AW$21:AW$141,MAX(1,MIN(121,$B56-ROUND(Declarations!$A$19/$D$18,0))))+Declarations!$B$20*INDEX(AW$21:AW$141,MAX(1,MIN(121,$B56-ROUND(Declarations!$A$20/$D$18,0)))))</f>
        <v>-282.143937283704</v>
      </c>
      <c r="AY56" s="12" t="n">
        <f aca="false">INDEX(AX$21:AX$141,$I56+1)*(1-$J56)+INDEX(AX$21:AX$141,$I56+2)*$J56</f>
        <v>-290.471130236717</v>
      </c>
      <c r="AZ56" s="12" t="n">
        <f aca="false">INDEX(AX$21:AX$141,$K56+1)*(1-$L56)+INDEX(AX$21:AX$141,$K56+2)*$L56</f>
        <v>-274.290913824946</v>
      </c>
      <c r="BA56" s="12" t="n">
        <f aca="false">$C56+$D56+MAX(AY56,AZ56,IF(COUNTIFS($A$21:$A$141,"&gt;="&amp;$G56,$A$21:$A$141,"&lt;="&amp;$H56)&gt;0,_xlfn.MAXIFS(AX$21:AX$141,$A$21:$A$141,"&gt;="&amp;$G56,$A$21:$A$141,"&lt;="&amp;$H56),AY56))</f>
        <v>-94.1659138249456</v>
      </c>
      <c r="BB56" s="12" t="n">
        <f aca="false">-Cost_k*$A56+Beta_q*(Declarations!$B$16*INDEX(BA$21:BA$141,MAX(1,MIN(121,$B56-ROUND(Declarations!$A$16/$D$18,0))))+Declarations!$B$17*INDEX(BA$21:BA$141,MAX(1,MIN(121,$B56-ROUND(Declarations!$A$17/$D$18,0))))+Declarations!$B$18*INDEX(BA$21:BA$141,MAX(1,MIN(121,$B56-ROUND(Declarations!$A$18/$D$18,0))))+Declarations!$B$19*INDEX(BA$21:BA$141,MAX(1,MIN(121,$B56-ROUND(Declarations!$A$19/$D$18,0))))+Declarations!$B$20*INDEX(BA$21:BA$141,MAX(1,MIN(121,$B56-ROUND(Declarations!$A$20/$D$18,0)))))</f>
        <v>-287.106906748543</v>
      </c>
      <c r="BC56" s="12" t="n">
        <f aca="false">INDEX(BB$21:BB$141,$I56+1)*(1-$J56)+INDEX(BB$21:BB$141,$I56+2)*$J56</f>
        <v>-295.82104679433</v>
      </c>
      <c r="BD56" s="12" t="n">
        <f aca="false">INDEX(BB$21:BB$141,$K56+1)*(1-$L56)+INDEX(BB$21:BB$141,$K56+2)*$L56</f>
        <v>-279.067835728197</v>
      </c>
      <c r="BE56" s="12" t="n">
        <f aca="false">$C56+$D56+MAX(BC56,BD56,IF(COUNTIFS($A$21:$A$141,"&gt;="&amp;$G56,$A$21:$A$141,"&lt;="&amp;$H56)&gt;0,_xlfn.MAXIFS(BB$21:BB$141,$A$21:$A$141,"&gt;="&amp;$G56,$A$21:$A$141,"&lt;="&amp;$H56),BC56))</f>
        <v>-98.9428357281965</v>
      </c>
      <c r="BF56" s="12" t="n">
        <f aca="false">-Cost_k*$A56+Beta_q*(Declarations!$B$16*INDEX(BE$21:BE$141,MAX(1,MIN(121,$B56-ROUND(Declarations!$A$16/$D$18,0))))+Declarations!$B$17*INDEX(BE$21:BE$141,MAX(1,MIN(121,$B56-ROUND(Declarations!$A$17/$D$18,0))))+Declarations!$B$18*INDEX(BE$21:BE$141,MAX(1,MIN(121,$B56-ROUND(Declarations!$A$18/$D$18,0))))+Declarations!$B$19*INDEX(BE$21:BE$141,MAX(1,MIN(121,$B56-ROUND(Declarations!$A$19/$D$18,0))))+Declarations!$B$20*INDEX(BE$21:BE$141,MAX(1,MIN(121,$B56-ROUND(Declarations!$A$20/$D$18,0)))))</f>
        <v>-291.787198175737</v>
      </c>
      <c r="BG56" s="12" t="n">
        <f aca="false">INDEX(BF$21:BF$141,$I56+1)*(1-$J56)+INDEX(BF$21:BF$141,$I56+2)*$J56</f>
        <v>-300.676780652036</v>
      </c>
      <c r="BH56" s="12" t="n">
        <f aca="false">INDEX(BF$21:BF$141,$K56+1)*(1-$L56)+INDEX(BF$21:BF$141,$K56+2)*$L56</f>
        <v>-283.679693526306</v>
      </c>
      <c r="BI56" s="12" t="n">
        <f aca="false">$C56+$D56+MAX(BG56,BH56,IF(COUNTIFS($A$21:$A$141,"&gt;="&amp;$G56,$A$21:$A$141,"&lt;="&amp;$H56)&gt;0,_xlfn.MAXIFS(BF$21:BF$141,$A$21:$A$141,"&gt;="&amp;$G56,$A$21:$A$141,"&lt;="&amp;$H56),BG56))</f>
        <v>-103.554693526306</v>
      </c>
      <c r="BJ56" s="23" t="n">
        <v>-103.554693526306</v>
      </c>
      <c r="BK56" s="22" t="n">
        <f aca="false">ABS(BI56-BJ56)</f>
        <v>0</v>
      </c>
    </row>
    <row r="57" customFormat="false" ht="15" hidden="false" customHeight="false" outlineLevel="0" collapsed="false">
      <c r="A57" s="14" t="n">
        <f aca="false">A56+$D$18</f>
        <v>49</v>
      </c>
      <c r="B57" s="19" t="n">
        <v>37</v>
      </c>
      <c r="C57" s="12" t="n">
        <f aca="false">-Short_p*MAX(Floor_c-A57,0)</f>
        <v>-9.6</v>
      </c>
      <c r="D57" s="12" t="n">
        <f aca="false">Cost_k*Alpha_keep*A57</f>
        <v>191.1</v>
      </c>
      <c r="E57" s="12" t="n">
        <f aca="false">MIN(Cap_h,MAX(0,$B$18+MAX(Loss_w)-Alpha_keep*A57))</f>
        <v>0</v>
      </c>
      <c r="F57" s="12" t="n">
        <f aca="false">MAX(MIN(Cap_h,$F$18+MIN(Loss_w)-Alpha_keep*A57),E57)</f>
        <v>2.5</v>
      </c>
      <c r="G57" s="12" t="n">
        <f aca="false">Alpha_keep*A57+E57</f>
        <v>47.775</v>
      </c>
      <c r="H57" s="12" t="n">
        <f aca="false">Alpha_keep*A57+F57</f>
        <v>50.275</v>
      </c>
      <c r="I57" s="19" t="n">
        <f aca="false">MIN(INT((G57-$B$18)/$D$18+0.000000001),119)</f>
        <v>31</v>
      </c>
      <c r="J57" s="12" t="n">
        <f aca="false">(G57-$B$18)/$D$18-I57</f>
        <v>0.0999999999999943</v>
      </c>
      <c r="K57" s="19" t="n">
        <f aca="false">MIN(INT((H57-$B$18)/$D$18+0.000000001),119)</f>
        <v>41</v>
      </c>
      <c r="L57" s="12" t="n">
        <f aca="false">(H57-$B$18)/$D$18-K57</f>
        <v>0.0999999999999943</v>
      </c>
      <c r="M57" s="9" t="n">
        <v>0</v>
      </c>
      <c r="N57" s="12" t="n">
        <f aca="false">-Cost_k*$A57+Beta_q*(Declarations!$B$16*INDEX(M$21:M$141,MAX(1,MIN(121,$B57-ROUND(Declarations!$A$16/$D$18,0))))+Declarations!$B$17*INDEX(M$21:M$141,MAX(1,MIN(121,$B57-ROUND(Declarations!$A$17/$D$18,0))))+Declarations!$B$18*INDEX(M$21:M$141,MAX(1,MIN(121,$B57-ROUND(Declarations!$A$18/$D$18,0))))+Declarations!$B$19*INDEX(M$21:M$141,MAX(1,MIN(121,$B57-ROUND(Declarations!$A$19/$D$18,0))))+Declarations!$B$20*INDEX(M$21:M$141,MAX(1,MIN(121,$B57-ROUND(Declarations!$A$20/$D$18,0)))))</f>
        <v>-196</v>
      </c>
      <c r="O57" s="12" t="n">
        <f aca="false">INDEX(N$21:N$141,$I57+1)*(1-$J57)+INDEX(N$21:N$141,$I57+2)*$J57</f>
        <v>-191.1</v>
      </c>
      <c r="P57" s="12" t="n">
        <f aca="false">INDEX(N$21:N$141,$K57+1)*(1-$L57)+INDEX(N$21:N$141,$K57+2)*$L57</f>
        <v>-201.1</v>
      </c>
      <c r="Q57" s="12" t="n">
        <f aca="false">$C57+$D57+MAX(O57,P57,IF(COUNTIFS($A$21:$A$141,"&gt;="&amp;$G57,$A$21:$A$141,"&lt;="&amp;$H57)&gt;0,_xlfn.MAXIFS(N$21:N$141,$A$21:$A$141,"&gt;="&amp;$G57,$A$21:$A$141,"&lt;="&amp;$H57),O57))</f>
        <v>-9.59999999999999</v>
      </c>
      <c r="R57" s="12" t="n">
        <f aca="false">-Cost_k*$A57+Beta_q*(Declarations!$B$16*INDEX(Q$21:Q$141,MAX(1,MIN(121,$B57-ROUND(Declarations!$A$16/$D$18,0))))+Declarations!$B$17*INDEX(Q$21:Q$141,MAX(1,MIN(121,$B57-ROUND(Declarations!$A$17/$D$18,0))))+Declarations!$B$18*INDEX(Q$21:Q$141,MAX(1,MIN(121,$B57-ROUND(Declarations!$A$18/$D$18,0))))+Declarations!$B$19*INDEX(Q$21:Q$141,MAX(1,MIN(121,$B57-ROUND(Declarations!$A$19/$D$18,0))))+Declarations!$B$20*INDEX(Q$21:Q$141,MAX(1,MIN(121,$B57-ROUND(Declarations!$A$20/$D$18,0)))))</f>
        <v>-205.373959260893</v>
      </c>
      <c r="S57" s="12" t="n">
        <f aca="false">INDEX(R$21:R$141,$I57+1)*(1-$J57)+INDEX(R$21:R$141,$I57+2)*$J57</f>
        <v>-202.387809276658</v>
      </c>
      <c r="T57" s="12" t="n">
        <f aca="false">INDEX(R$21:R$141,$K57+1)*(1-$L57)+INDEX(R$21:R$141,$K57+2)*$L57</f>
        <v>-208.481992917953</v>
      </c>
      <c r="U57" s="12" t="n">
        <f aca="false">$C57+$D57+MAX(S57,T57,IF(COUNTIFS($A$21:$A$141,"&gt;="&amp;$G57,$A$21:$A$141,"&lt;="&amp;$H57)&gt;0,_xlfn.MAXIFS(R$21:R$141,$A$21:$A$141,"&gt;="&amp;$G57,$A$21:$A$141,"&lt;="&amp;$H57),S57))</f>
        <v>-20.8878092766581</v>
      </c>
      <c r="V57" s="12" t="n">
        <f aca="false">-Cost_k*$A57+Beta_q*(Declarations!$B$16*INDEX(U$21:U$141,MAX(1,MIN(121,$B57-ROUND(Declarations!$A$16/$D$18,0))))+Declarations!$B$17*INDEX(U$21:U$141,MAX(1,MIN(121,$B57-ROUND(Declarations!$A$17/$D$18,0))))+Declarations!$B$18*INDEX(U$21:U$141,MAX(1,MIN(121,$B57-ROUND(Declarations!$A$18/$D$18,0))))+Declarations!$B$19*INDEX(U$21:U$141,MAX(1,MIN(121,$B57-ROUND(Declarations!$A$19/$D$18,0))))+Declarations!$B$20*INDEX(U$21:U$141,MAX(1,MIN(121,$B57-ROUND(Declarations!$A$20/$D$18,0)))))</f>
        <v>-216.395986792572</v>
      </c>
      <c r="W57" s="12" t="n">
        <f aca="false">INDEX(V$21:V$141,$I57+1)*(1-$J57)+INDEX(V$21:V$141,$I57+2)*$J57</f>
        <v>-215.231903816386</v>
      </c>
      <c r="X57" s="12" t="n">
        <f aca="false">INDEX(V$21:V$141,$K57+1)*(1-$L57)+INDEX(V$21:V$141,$K57+2)*$L57</f>
        <v>-217.607583359622</v>
      </c>
      <c r="Y57" s="12" t="n">
        <f aca="false">$C57+$D57+MAX(W57,X57,IF(COUNTIFS($A$21:$A$141,"&gt;="&amp;$G57,$A$21:$A$141,"&lt;="&amp;$H57)&gt;0,_xlfn.MAXIFS(V$21:V$141,$A$21:$A$141,"&gt;="&amp;$G57,$A$21:$A$141,"&lt;="&amp;$H57),W57))</f>
        <v>-33.7319038163855</v>
      </c>
      <c r="Z57" s="12" t="n">
        <f aca="false">-Cost_k*$A57+Beta_q*(Declarations!$B$16*INDEX(Y$21:Y$141,MAX(1,MIN(121,$B57-ROUND(Declarations!$A$16/$D$18,0))))+Declarations!$B$17*INDEX(Y$21:Y$141,MAX(1,MIN(121,$B57-ROUND(Declarations!$A$17/$D$18,0))))+Declarations!$B$18*INDEX(Y$21:Y$141,MAX(1,MIN(121,$B57-ROUND(Declarations!$A$18/$D$18,0))))+Declarations!$B$19*INDEX(Y$21:Y$141,MAX(1,MIN(121,$B57-ROUND(Declarations!$A$19/$D$18,0))))+Declarations!$B$20*INDEX(Y$21:Y$141,MAX(1,MIN(121,$B57-ROUND(Declarations!$A$20/$D$18,0)))))</f>
        <v>-228.937824234635</v>
      </c>
      <c r="AA57" s="12" t="n">
        <f aca="false">INDEX(Z$21:Z$141,$I57+1)*(1-$J57)+INDEX(Z$21:Z$141,$I57+2)*$J57</f>
        <v>-229.517488012925</v>
      </c>
      <c r="AB57" s="12" t="n">
        <f aca="false">INDEX(Z$21:Z$141,$K57+1)*(1-$L57)+INDEX(Z$21:Z$141,$K57+2)*$L57</f>
        <v>-228.343762842584</v>
      </c>
      <c r="AC57" s="12" t="n">
        <f aca="false">$C57+$D57+MAX(AA57,AB57,IF(COUNTIFS($A$21:$A$141,"&gt;="&amp;$G57,$A$21:$A$141,"&lt;="&amp;$H57)&gt;0,_xlfn.MAXIFS(Z$21:Z$141,$A$21:$A$141,"&gt;="&amp;$G57,$A$21:$A$141,"&lt;="&amp;$H57),AA57))</f>
        <v>-46.8437628425837</v>
      </c>
      <c r="AD57" s="12" t="n">
        <f aca="false">-Cost_k*$A57+Beta_q*(Declarations!$B$16*INDEX(AC$21:AC$141,MAX(1,MIN(121,$B57-ROUND(Declarations!$A$16/$D$18,0))))+Declarations!$B$17*INDEX(AC$21:AC$141,MAX(1,MIN(121,$B57-ROUND(Declarations!$A$17/$D$18,0))))+Declarations!$B$18*INDEX(AC$21:AC$141,MAX(1,MIN(121,$B57-ROUND(Declarations!$A$18/$D$18,0))))+Declarations!$B$19*INDEX(AC$21:AC$141,MAX(1,MIN(121,$B57-ROUND(Declarations!$A$19/$D$18,0))))+Declarations!$B$20*INDEX(AC$21:AC$141,MAX(1,MIN(121,$B57-ROUND(Declarations!$A$20/$D$18,0)))))</f>
        <v>-241.740802765227</v>
      </c>
      <c r="AE57" s="12" t="n">
        <f aca="false">INDEX(AD$21:AD$141,$I57+1)*(1-$J57)+INDEX(AD$21:AD$141,$I57+2)*$J57</f>
        <v>-243.96402613988</v>
      </c>
      <c r="AF57" s="12" t="n">
        <f aca="false">INDEX(AD$21:AD$141,$K57+1)*(1-$L57)+INDEX(AD$21:AD$141,$K57+2)*$L57</f>
        <v>-239.427988418792</v>
      </c>
      <c r="AG57" s="12" t="n">
        <f aca="false">$C57+$D57+MAX(AE57,AF57,IF(COUNTIFS($A$21:$A$141,"&gt;="&amp;$G57,$A$21:$A$141,"&lt;="&amp;$H57)&gt;0,_xlfn.MAXIFS(AD$21:AD$141,$A$21:$A$141,"&gt;="&amp;$G57,$A$21:$A$141,"&lt;="&amp;$H57),AE57))</f>
        <v>-57.9279884187923</v>
      </c>
      <c r="AH57" s="12" t="n">
        <f aca="false">-Cost_k*$A57+Beta_q*(Declarations!$B$16*INDEX(AG$21:AG$141,MAX(1,MIN(121,$B57-ROUND(Declarations!$A$16/$D$18,0))))+Declarations!$B$17*INDEX(AG$21:AG$141,MAX(1,MIN(121,$B57-ROUND(Declarations!$A$17/$D$18,0))))+Declarations!$B$18*INDEX(AG$21:AG$141,MAX(1,MIN(121,$B57-ROUND(Declarations!$A$18/$D$18,0))))+Declarations!$B$19*INDEX(AG$21:AG$141,MAX(1,MIN(121,$B57-ROUND(Declarations!$A$19/$D$18,0))))+Declarations!$B$20*INDEX(AG$21:AG$141,MAX(1,MIN(121,$B57-ROUND(Declarations!$A$20/$D$18,0)))))</f>
        <v>-252.564644143881</v>
      </c>
      <c r="AI57" s="12" t="n">
        <f aca="false">INDEX(AH$21:AH$141,$I57+1)*(1-$J57)+INDEX(AH$21:AH$141,$I57+2)*$J57</f>
        <v>-256.358546033</v>
      </c>
      <c r="AJ57" s="12" t="n">
        <f aca="false">INDEX(AH$21:AH$141,$K57+1)*(1-$L57)+INDEX(AH$21:AH$141,$K57+2)*$L57</f>
        <v>-248.628880033322</v>
      </c>
      <c r="AK57" s="12" t="n">
        <f aca="false">$C57+$D57+MAX(AI57,AJ57,IF(COUNTIFS($A$21:$A$141,"&gt;="&amp;$G57,$A$21:$A$141,"&lt;="&amp;$H57)&gt;0,_xlfn.MAXIFS(AH$21:AH$141,$A$21:$A$141,"&gt;="&amp;$G57,$A$21:$A$141,"&lt;="&amp;$H57),AI57))</f>
        <v>-67.1288800333221</v>
      </c>
      <c r="AL57" s="12" t="n">
        <f aca="false">-Cost_k*$A57+Beta_q*(Declarations!$B$16*INDEX(AK$21:AK$141,MAX(1,MIN(121,$B57-ROUND(Declarations!$A$16/$D$18,0))))+Declarations!$B$17*INDEX(AK$21:AK$141,MAX(1,MIN(121,$B57-ROUND(Declarations!$A$17/$D$18,0))))+Declarations!$B$18*INDEX(AK$21:AK$141,MAX(1,MIN(121,$B57-ROUND(Declarations!$A$18/$D$18,0))))+Declarations!$B$19*INDEX(AK$21:AK$141,MAX(1,MIN(121,$B57-ROUND(Declarations!$A$19/$D$18,0))))+Declarations!$B$20*INDEX(AK$21:AK$141,MAX(1,MIN(121,$B57-ROUND(Declarations!$A$20/$D$18,0)))))</f>
        <v>-261.56143746081</v>
      </c>
      <c r="AM57" s="12" t="n">
        <f aca="false">INDEX(AL$21:AL$141,$I57+1)*(1-$J57)+INDEX(AL$21:AL$141,$I57+2)*$J57</f>
        <v>-266.828647611166</v>
      </c>
      <c r="AN57" s="12" t="n">
        <f aca="false">INDEX(AL$21:AL$141,$K57+1)*(1-$L57)+INDEX(AL$21:AL$141,$K57+2)*$L57</f>
        <v>-256.196271963102</v>
      </c>
      <c r="AO57" s="12" t="n">
        <f aca="false">$C57+$D57+MAX(AM57,AN57,IF(COUNTIFS($A$21:$A$141,"&gt;="&amp;$G57,$A$21:$A$141,"&lt;="&amp;$H57)&gt;0,_xlfn.MAXIFS(AL$21:AL$141,$A$21:$A$141,"&gt;="&amp;$G57,$A$21:$A$141,"&lt;="&amp;$H57),AM57))</f>
        <v>-74.6962719631023</v>
      </c>
      <c r="AP57" s="12" t="n">
        <f aca="false">-Cost_k*$A57+Beta_q*(Declarations!$B$16*INDEX(AO$21:AO$141,MAX(1,MIN(121,$B57-ROUND(Declarations!$A$16/$D$18,0))))+Declarations!$B$17*INDEX(AO$21:AO$141,MAX(1,MIN(121,$B57-ROUND(Declarations!$A$17/$D$18,0))))+Declarations!$B$18*INDEX(AO$21:AO$141,MAX(1,MIN(121,$B57-ROUND(Declarations!$A$18/$D$18,0))))+Declarations!$B$19*INDEX(AO$21:AO$141,MAX(1,MIN(121,$B57-ROUND(Declarations!$A$19/$D$18,0))))+Declarations!$B$20*INDEX(AO$21:AO$141,MAX(1,MIN(121,$B57-ROUND(Declarations!$A$20/$D$18,0)))))</f>
        <v>-268.978754716032</v>
      </c>
      <c r="AQ57" s="12" t="n">
        <f aca="false">INDEX(AP$21:AP$141,$I57+1)*(1-$J57)+INDEX(AP$21:AP$141,$I57+2)*$J57</f>
        <v>-275.53580220114</v>
      </c>
      <c r="AR57" s="12" t="n">
        <f aca="false">INDEX(AP$21:AP$141,$K57+1)*(1-$L57)+INDEX(AP$21:AP$141,$K57+2)*$L57</f>
        <v>-262.481383788575</v>
      </c>
      <c r="AS57" s="12" t="n">
        <f aca="false">$C57+$D57+MAX(AQ57,AR57,IF(COUNTIFS($A$21:$A$141,"&gt;="&amp;$G57,$A$21:$A$141,"&lt;="&amp;$H57)&gt;0,_xlfn.MAXIFS(AP$21:AP$141,$A$21:$A$141,"&gt;="&amp;$G57,$A$21:$A$141,"&lt;="&amp;$H57),AQ57))</f>
        <v>-80.981383788575</v>
      </c>
      <c r="AT57" s="12" t="n">
        <f aca="false">-Cost_k*$A57+Beta_q*(Declarations!$B$16*INDEX(AS$21:AS$141,MAX(1,MIN(121,$B57-ROUND(Declarations!$A$16/$D$18,0))))+Declarations!$B$17*INDEX(AS$21:AS$141,MAX(1,MIN(121,$B57-ROUND(Declarations!$A$17/$D$18,0))))+Declarations!$B$18*INDEX(AS$21:AS$141,MAX(1,MIN(121,$B57-ROUND(Declarations!$A$18/$D$18,0))))+Declarations!$B$19*INDEX(AS$21:AS$141,MAX(1,MIN(121,$B57-ROUND(Declarations!$A$19/$D$18,0))))+Declarations!$B$20*INDEX(AS$21:AS$141,MAX(1,MIN(121,$B57-ROUND(Declarations!$A$20/$D$18,0)))))</f>
        <v>-275.161976313617</v>
      </c>
      <c r="AU57" s="12" t="n">
        <f aca="false">INDEX(AT$21:AT$141,$I57+1)*(1-$J57)+INDEX(AT$21:AT$141,$I57+2)*$J57</f>
        <v>-282.729583134259</v>
      </c>
      <c r="AV57" s="12" t="n">
        <f aca="false">INDEX(AT$21:AT$141,$K57+1)*(1-$L57)+INDEX(AT$21:AT$141,$K57+2)*$L57</f>
        <v>-267.929115533342</v>
      </c>
      <c r="AW57" s="12" t="n">
        <f aca="false">$C57+$D57+MAX(AU57,AV57,IF(COUNTIFS($A$21:$A$141,"&gt;="&amp;$G57,$A$21:$A$141,"&lt;="&amp;$H57)&gt;0,_xlfn.MAXIFS(AT$21:AT$141,$A$21:$A$141,"&gt;="&amp;$G57,$A$21:$A$141,"&lt;="&amp;$H57),AU57))</f>
        <v>-86.4291155333419</v>
      </c>
      <c r="AX57" s="12" t="n">
        <f aca="false">-Cost_k*$A57+Beta_q*(Declarations!$B$16*INDEX(AW$21:AW$141,MAX(1,MIN(121,$B57-ROUND(Declarations!$A$16/$D$18,0))))+Declarations!$B$17*INDEX(AW$21:AW$141,MAX(1,MIN(121,$B57-ROUND(Declarations!$A$17/$D$18,0))))+Declarations!$B$18*INDEX(AW$21:AW$141,MAX(1,MIN(121,$B57-ROUND(Declarations!$A$18/$D$18,0))))+Declarations!$B$19*INDEX(AW$21:AW$141,MAX(1,MIN(121,$B57-ROUND(Declarations!$A$19/$D$18,0))))+Declarations!$B$20*INDEX(AW$21:AW$141,MAX(1,MIN(121,$B57-ROUND(Declarations!$A$20/$D$18,0)))))</f>
        <v>-280.529238547528</v>
      </c>
      <c r="AY57" s="12" t="n">
        <f aca="false">INDEX(AX$21:AX$141,$I57+1)*(1-$J57)+INDEX(AX$21:AX$141,$I57+2)*$J57</f>
        <v>-288.75486769541</v>
      </c>
      <c r="AZ57" s="12" t="n">
        <f aca="false">INDEX(AX$21:AX$141,$K57+1)*(1-$L57)+INDEX(AX$21:AX$141,$K57+2)*$L57</f>
        <v>-272.928591220262</v>
      </c>
      <c r="BA57" s="12" t="n">
        <f aca="false">$C57+$D57+MAX(AY57,AZ57,IF(COUNTIFS($A$21:$A$141,"&gt;="&amp;$G57,$A$21:$A$141,"&lt;="&amp;$H57)&gt;0,_xlfn.MAXIFS(AX$21:AX$141,$A$21:$A$141,"&gt;="&amp;$G57,$A$21:$A$141,"&lt;="&amp;$H57),AY57))</f>
        <v>-91.4285912202624</v>
      </c>
      <c r="BB57" s="12" t="n">
        <f aca="false">-Cost_k*$A57+Beta_q*(Declarations!$B$16*INDEX(BA$21:BA$141,MAX(1,MIN(121,$B57-ROUND(Declarations!$A$16/$D$18,0))))+Declarations!$B$17*INDEX(BA$21:BA$141,MAX(1,MIN(121,$B57-ROUND(Declarations!$A$17/$D$18,0))))+Declarations!$B$18*INDEX(BA$21:BA$141,MAX(1,MIN(121,$B57-ROUND(Declarations!$A$18/$D$18,0))))+Declarations!$B$19*INDEX(BA$21:BA$141,MAX(1,MIN(121,$B57-ROUND(Declarations!$A$19/$D$18,0))))+Declarations!$B$20*INDEX(BA$21:BA$141,MAX(1,MIN(121,$B57-ROUND(Declarations!$A$20/$D$18,0)))))</f>
        <v>-285.440199940408</v>
      </c>
      <c r="BC57" s="12" t="n">
        <f aca="false">INDEX(BB$21:BB$141,$I57+1)*(1-$J57)+INDEX(BB$21:BB$141,$I57+2)*$J57</f>
        <v>-294.007383873866</v>
      </c>
      <c r="BD57" s="12" t="n">
        <f aca="false">INDEX(BB$21:BB$141,$K57+1)*(1-$L57)+INDEX(BB$21:BB$141,$K57+2)*$L57</f>
        <v>-277.687682833227</v>
      </c>
      <c r="BE57" s="12" t="n">
        <f aca="false">$C57+$D57+MAX(BC57,BD57,IF(COUNTIFS($A$21:$A$141,"&gt;="&amp;$G57,$A$21:$A$141,"&lt;="&amp;$H57)&gt;0,_xlfn.MAXIFS(BB$21:BB$141,$A$21:$A$141,"&gt;="&amp;$G57,$A$21:$A$141,"&lt;="&amp;$H57),BC57))</f>
        <v>-96.1876828332265</v>
      </c>
      <c r="BF57" s="12" t="n">
        <f aca="false">-Cost_k*$A57+Beta_q*(Declarations!$B$16*INDEX(BE$21:BE$141,MAX(1,MIN(121,$B57-ROUND(Declarations!$A$16/$D$18,0))))+Declarations!$B$17*INDEX(BE$21:BE$141,MAX(1,MIN(121,$B57-ROUND(Declarations!$A$17/$D$18,0))))+Declarations!$B$18*INDEX(BE$21:BE$141,MAX(1,MIN(121,$B57-ROUND(Declarations!$A$18/$D$18,0))))+Declarations!$B$19*INDEX(BE$21:BE$141,MAX(1,MIN(121,$B57-ROUND(Declarations!$A$19/$D$18,0))))+Declarations!$B$20*INDEX(BE$21:BE$141,MAX(1,MIN(121,$B57-ROUND(Declarations!$A$20/$D$18,0)))))</f>
        <v>-290.100734392909</v>
      </c>
      <c r="BG57" s="12" t="n">
        <f aca="false">INDEX(BF$21:BF$141,$I57+1)*(1-$J57)+INDEX(BF$21:BF$141,$I57+2)*$J57</f>
        <v>-298.815214709223</v>
      </c>
      <c r="BH57" s="12" t="n">
        <f aca="false">INDEX(BF$21:BF$141,$K57+1)*(1-$L57)+INDEX(BF$21:BF$141,$K57+2)*$L57</f>
        <v>-282.29360918465</v>
      </c>
      <c r="BI57" s="12" t="n">
        <f aca="false">$C57+$D57+MAX(BG57,BH57,IF(COUNTIFS($A$21:$A$141,"&gt;="&amp;$G57,$A$21:$A$141,"&lt;="&amp;$H57)&gt;0,_xlfn.MAXIFS(BF$21:BF$141,$A$21:$A$141,"&gt;="&amp;$G57,$A$21:$A$141,"&lt;="&amp;$H57),BG57))</f>
        <v>-100.79360918465</v>
      </c>
      <c r="BJ57" s="23" t="n">
        <v>-100.79360918465</v>
      </c>
      <c r="BK57" s="22" t="n">
        <f aca="false">ABS(BI57-BJ57)</f>
        <v>0</v>
      </c>
    </row>
    <row r="58" customFormat="false" ht="15" hidden="false" customHeight="false" outlineLevel="0" collapsed="false">
      <c r="A58" s="14" t="n">
        <f aca="false">A57+$D$18</f>
        <v>49.25</v>
      </c>
      <c r="B58" s="19" t="n">
        <v>38</v>
      </c>
      <c r="C58" s="12" t="n">
        <f aca="false">-Short_p*MAX(Floor_c-A58,0)</f>
        <v>-9.2</v>
      </c>
      <c r="D58" s="12" t="n">
        <f aca="false">Cost_k*Alpha_keep*A58</f>
        <v>192.075</v>
      </c>
      <c r="E58" s="12" t="n">
        <f aca="false">MIN(Cap_h,MAX(0,$B$18+MAX(Loss_w)-Alpha_keep*A58))</f>
        <v>0</v>
      </c>
      <c r="F58" s="12" t="n">
        <f aca="false">MAX(MIN(Cap_h,$F$18+MIN(Loss_w)-Alpha_keep*A58),E58)</f>
        <v>2.5</v>
      </c>
      <c r="G58" s="12" t="n">
        <f aca="false">Alpha_keep*A58+E58</f>
        <v>48.01875</v>
      </c>
      <c r="H58" s="12" t="n">
        <f aca="false">Alpha_keep*A58+F58</f>
        <v>50.51875</v>
      </c>
      <c r="I58" s="19" t="n">
        <f aca="false">MIN(INT((G58-$B$18)/$D$18+0.000000001),119)</f>
        <v>32</v>
      </c>
      <c r="J58" s="12" t="n">
        <f aca="false">(G58-$B$18)/$D$18-I58</f>
        <v>0.0749999999999886</v>
      </c>
      <c r="K58" s="19" t="n">
        <f aca="false">MIN(INT((H58-$B$18)/$D$18+0.000000001),119)</f>
        <v>42</v>
      </c>
      <c r="L58" s="12" t="n">
        <f aca="false">(H58-$B$18)/$D$18-K58</f>
        <v>0.0749999999999886</v>
      </c>
      <c r="M58" s="9" t="n">
        <v>0</v>
      </c>
      <c r="N58" s="12" t="n">
        <f aca="false">-Cost_k*$A58+Beta_q*(Declarations!$B$16*INDEX(M$21:M$141,MAX(1,MIN(121,$B58-ROUND(Declarations!$A$16/$D$18,0))))+Declarations!$B$17*INDEX(M$21:M$141,MAX(1,MIN(121,$B58-ROUND(Declarations!$A$17/$D$18,0))))+Declarations!$B$18*INDEX(M$21:M$141,MAX(1,MIN(121,$B58-ROUND(Declarations!$A$18/$D$18,0))))+Declarations!$B$19*INDEX(M$21:M$141,MAX(1,MIN(121,$B58-ROUND(Declarations!$A$19/$D$18,0))))+Declarations!$B$20*INDEX(M$21:M$141,MAX(1,MIN(121,$B58-ROUND(Declarations!$A$20/$D$18,0)))))</f>
        <v>-197</v>
      </c>
      <c r="O58" s="12" t="n">
        <f aca="false">INDEX(N$21:N$141,$I58+1)*(1-$J58)+INDEX(N$21:N$141,$I58+2)*$J58</f>
        <v>-192.075</v>
      </c>
      <c r="P58" s="12" t="n">
        <f aca="false">INDEX(N$21:N$141,$K58+1)*(1-$L58)+INDEX(N$21:N$141,$K58+2)*$L58</f>
        <v>-202.075</v>
      </c>
      <c r="Q58" s="12" t="n">
        <f aca="false">$C58+$D58+MAX(O58,P58,IF(COUNTIFS($A$21:$A$141,"&gt;="&amp;$G58,$A$21:$A$141,"&lt;="&amp;$H58)&gt;0,_xlfn.MAXIFS(N$21:N$141,$A$21:$A$141,"&gt;="&amp;$G58,$A$21:$A$141,"&lt;="&amp;$H58),O58))</f>
        <v>-9.19999999999999</v>
      </c>
      <c r="R58" s="12" t="n">
        <f aca="false">-Cost_k*$A58+Beta_q*(Declarations!$B$16*INDEX(Q$21:Q$141,MAX(1,MIN(121,$B58-ROUND(Declarations!$A$16/$D$18,0))))+Declarations!$B$17*INDEX(Q$21:Q$141,MAX(1,MIN(121,$B58-ROUND(Declarations!$A$17/$D$18,0))))+Declarations!$B$18*INDEX(Q$21:Q$141,MAX(1,MIN(121,$B58-ROUND(Declarations!$A$18/$D$18,0))))+Declarations!$B$19*INDEX(Q$21:Q$141,MAX(1,MIN(121,$B58-ROUND(Declarations!$A$19/$D$18,0))))+Declarations!$B$20*INDEX(Q$21:Q$141,MAX(1,MIN(121,$B58-ROUND(Declarations!$A$20/$D$18,0)))))</f>
        <v>-205.983377625022</v>
      </c>
      <c r="S58" s="12" t="n">
        <f aca="false">INDEX(R$21:R$141,$I58+1)*(1-$J58)+INDEX(R$21:R$141,$I58+2)*$J58</f>
        <v>-202.981992181684</v>
      </c>
      <c r="T58" s="12" t="n">
        <f aca="false">INDEX(R$21:R$141,$K58+1)*(1-$L58)+INDEX(R$21:R$141,$K58+2)*$L58</f>
        <v>-209.076175822979</v>
      </c>
      <c r="U58" s="12" t="n">
        <f aca="false">$C58+$D58+MAX(S58,T58,IF(COUNTIFS($A$21:$A$141,"&gt;="&amp;$G58,$A$21:$A$141,"&lt;="&amp;$H58)&gt;0,_xlfn.MAXIFS(R$21:R$141,$A$21:$A$141,"&gt;="&amp;$G58,$A$21:$A$141,"&lt;="&amp;$H58),S58))</f>
        <v>-20.1069921816844</v>
      </c>
      <c r="V58" s="12" t="n">
        <f aca="false">-Cost_k*$A58+Beta_q*(Declarations!$B$16*INDEX(U$21:U$141,MAX(1,MIN(121,$B58-ROUND(Declarations!$A$16/$D$18,0))))+Declarations!$B$17*INDEX(U$21:U$141,MAX(1,MIN(121,$B58-ROUND(Declarations!$A$17/$D$18,0))))+Declarations!$B$18*INDEX(U$21:U$141,MAX(1,MIN(121,$B58-ROUND(Declarations!$A$18/$D$18,0))))+Declarations!$B$19*INDEX(U$21:U$141,MAX(1,MIN(121,$B58-ROUND(Declarations!$A$19/$D$18,0))))+Declarations!$B$20*INDEX(U$21:U$141,MAX(1,MIN(121,$B58-ROUND(Declarations!$A$20/$D$18,0)))))</f>
        <v>-216.633554746895</v>
      </c>
      <c r="W58" s="12" t="n">
        <f aca="false">INDEX(V$21:V$141,$I58+1)*(1-$J58)+INDEX(V$21:V$141,$I58+2)*$J58</f>
        <v>-215.463532571851</v>
      </c>
      <c r="X58" s="12" t="n">
        <f aca="false">INDEX(V$21:V$141,$K58+1)*(1-$L58)+INDEX(V$21:V$141,$K58+2)*$L58</f>
        <v>-217.839212115088</v>
      </c>
      <c r="Y58" s="12" t="n">
        <f aca="false">$C58+$D58+MAX(W58,X58,IF(COUNTIFS($A$21:$A$141,"&gt;="&amp;$G58,$A$21:$A$141,"&lt;="&amp;$H58)&gt;0,_xlfn.MAXIFS(V$21:V$141,$A$21:$A$141,"&gt;="&amp;$G58,$A$21:$A$141,"&lt;="&amp;$H58),W58))</f>
        <v>-32.5885325718511</v>
      </c>
      <c r="Z58" s="12" t="n">
        <f aca="false">-Cost_k*$A58+Beta_q*(Declarations!$B$16*INDEX(Y$21:Y$141,MAX(1,MIN(121,$B58-ROUND(Declarations!$A$16/$D$18,0))))+Declarations!$B$17*INDEX(Y$21:Y$141,MAX(1,MIN(121,$B58-ROUND(Declarations!$A$17/$D$18,0))))+Declarations!$B$18*INDEX(Y$21:Y$141,MAX(1,MIN(121,$B58-ROUND(Declarations!$A$18/$D$18,0))))+Declarations!$B$19*INDEX(Y$21:Y$141,MAX(1,MIN(121,$B58-ROUND(Declarations!$A$19/$D$18,0))))+Declarations!$B$20*INDEX(Y$21:Y$141,MAX(1,MIN(121,$B58-ROUND(Declarations!$A$20/$D$18,0)))))</f>
        <v>-228.821275859554</v>
      </c>
      <c r="AA58" s="12" t="n">
        <f aca="false">INDEX(Z$21:Z$141,$I58+1)*(1-$J58)+INDEX(Z$21:Z$141,$I58+2)*$J58</f>
        <v>-229.399135276959</v>
      </c>
      <c r="AB58" s="12" t="n">
        <f aca="false">INDEX(Z$21:Z$141,$K58+1)*(1-$L58)+INDEX(Z$21:Z$141,$K58+2)*$L58</f>
        <v>-228.230224553033</v>
      </c>
      <c r="AC58" s="12" t="n">
        <f aca="false">$C58+$D58+MAX(AA58,AB58,IF(COUNTIFS($A$21:$A$141,"&gt;="&amp;$G58,$A$21:$A$141,"&lt;="&amp;$H58)&gt;0,_xlfn.MAXIFS(Z$21:Z$141,$A$21:$A$141,"&gt;="&amp;$G58,$A$21:$A$141,"&lt;="&amp;$H58),AA58))</f>
        <v>-45.3552245530334</v>
      </c>
      <c r="AD58" s="12" t="n">
        <f aca="false">-Cost_k*$A58+Beta_q*(Declarations!$B$16*INDEX(AC$21:AC$141,MAX(1,MIN(121,$B58-ROUND(Declarations!$A$16/$D$18,0))))+Declarations!$B$17*INDEX(AC$21:AC$141,MAX(1,MIN(121,$B58-ROUND(Declarations!$A$17/$D$18,0))))+Declarations!$B$18*INDEX(AC$21:AC$141,MAX(1,MIN(121,$B58-ROUND(Declarations!$A$18/$D$18,0))))+Declarations!$B$19*INDEX(AC$21:AC$141,MAX(1,MIN(121,$B58-ROUND(Declarations!$A$19/$D$18,0))))+Declarations!$B$20*INDEX(AC$21:AC$141,MAX(1,MIN(121,$B58-ROUND(Declarations!$A$20/$D$18,0)))))</f>
        <v>-241.287301658448</v>
      </c>
      <c r="AE58" s="12" t="n">
        <f aca="false">INDEX(AD$21:AD$141,$I58+1)*(1-$J58)+INDEX(AD$21:AD$141,$I58+2)*$J58</f>
        <v>-243.521305360443</v>
      </c>
      <c r="AF58" s="12" t="n">
        <f aca="false">INDEX(AD$21:AD$141,$K58+1)*(1-$L58)+INDEX(AD$21:AD$141,$K58+2)*$L58</f>
        <v>-238.985838237979</v>
      </c>
      <c r="AG58" s="12" t="n">
        <f aca="false">$C58+$D58+MAX(AE58,AF58,IF(COUNTIFS($A$21:$A$141,"&gt;="&amp;$G58,$A$21:$A$141,"&lt;="&amp;$H58)&gt;0,_xlfn.MAXIFS(AD$21:AD$141,$A$21:$A$141,"&gt;="&amp;$G58,$A$21:$A$141,"&lt;="&amp;$H58),AE58))</f>
        <v>-56.1108382379788</v>
      </c>
      <c r="AH58" s="12" t="n">
        <f aca="false">-Cost_k*$A58+Beta_q*(Declarations!$B$16*INDEX(AG$21:AG$141,MAX(1,MIN(121,$B58-ROUND(Declarations!$A$16/$D$18,0))))+Declarations!$B$17*INDEX(AG$21:AG$141,MAX(1,MIN(121,$B58-ROUND(Declarations!$A$17/$D$18,0))))+Declarations!$B$18*INDEX(AG$21:AG$141,MAX(1,MIN(121,$B58-ROUND(Declarations!$A$18/$D$18,0))))+Declarations!$B$19*INDEX(AG$21:AG$141,MAX(1,MIN(121,$B58-ROUND(Declarations!$A$19/$D$18,0))))+Declarations!$B$20*INDEX(AG$21:AG$141,MAX(1,MIN(121,$B58-ROUND(Declarations!$A$20/$D$18,0)))))</f>
        <v>-251.79088890488</v>
      </c>
      <c r="AI58" s="12" t="n">
        <f aca="false">INDEX(AH$21:AH$141,$I58+1)*(1-$J58)+INDEX(AH$21:AH$141,$I58+2)*$J58</f>
        <v>-255.603481521253</v>
      </c>
      <c r="AJ58" s="12" t="n">
        <f aca="false">INDEX(AH$21:AH$141,$K58+1)*(1-$L58)+INDEX(AH$21:AH$141,$K58+2)*$L58</f>
        <v>-247.885318772858</v>
      </c>
      <c r="AK58" s="12" t="n">
        <f aca="false">$C58+$D58+MAX(AI58,AJ58,IF(COUNTIFS($A$21:$A$141,"&gt;="&amp;$G58,$A$21:$A$141,"&lt;="&amp;$H58)&gt;0,_xlfn.MAXIFS(AH$21:AH$141,$A$21:$A$141,"&gt;="&amp;$G58,$A$21:$A$141,"&lt;="&amp;$H58),AI58))</f>
        <v>-65.0103187728584</v>
      </c>
      <c r="AL58" s="12" t="n">
        <f aca="false">-Cost_k*$A58+Beta_q*(Declarations!$B$16*INDEX(AK$21:AK$141,MAX(1,MIN(121,$B58-ROUND(Declarations!$A$16/$D$18,0))))+Declarations!$B$17*INDEX(AK$21:AK$141,MAX(1,MIN(121,$B58-ROUND(Declarations!$A$17/$D$18,0))))+Declarations!$B$18*INDEX(AK$21:AK$141,MAX(1,MIN(121,$B58-ROUND(Declarations!$A$18/$D$18,0))))+Declarations!$B$19*INDEX(AK$21:AK$141,MAX(1,MIN(121,$B58-ROUND(Declarations!$A$19/$D$18,0))))+Declarations!$B$20*INDEX(AK$21:AK$141,MAX(1,MIN(121,$B58-ROUND(Declarations!$A$20/$D$18,0)))))</f>
        <v>-260.496977899532</v>
      </c>
      <c r="AM58" s="12" t="n">
        <f aca="false">INDEX(AL$21:AL$141,$I58+1)*(1-$J58)+INDEX(AL$21:AL$141,$I58+2)*$J58</f>
        <v>-265.777545375444</v>
      </c>
      <c r="AN58" s="12" t="n">
        <f aca="false">INDEX(AL$21:AL$141,$K58+1)*(1-$L58)+INDEX(AL$21:AL$141,$K58+2)*$L58</f>
        <v>-255.197702814003</v>
      </c>
      <c r="AO58" s="12" t="n">
        <f aca="false">$C58+$D58+MAX(AM58,AN58,IF(COUNTIFS($A$21:$A$141,"&gt;="&amp;$G58,$A$21:$A$141,"&lt;="&amp;$H58)&gt;0,_xlfn.MAXIFS(AL$21:AL$141,$A$21:$A$141,"&gt;="&amp;$G58,$A$21:$A$141,"&lt;="&amp;$H58),AM58))</f>
        <v>-72.3227028140034</v>
      </c>
      <c r="AP58" s="12" t="n">
        <f aca="false">-Cost_k*$A58+Beta_q*(Declarations!$B$16*INDEX(AO$21:AO$141,MAX(1,MIN(121,$B58-ROUND(Declarations!$A$16/$D$18,0))))+Declarations!$B$17*INDEX(AO$21:AO$141,MAX(1,MIN(121,$B58-ROUND(Declarations!$A$17/$D$18,0))))+Declarations!$B$18*INDEX(AO$21:AO$141,MAX(1,MIN(121,$B58-ROUND(Declarations!$A$18/$D$18,0))))+Declarations!$B$19*INDEX(AO$21:AO$141,MAX(1,MIN(121,$B58-ROUND(Declarations!$A$19/$D$18,0))))+Declarations!$B$20*INDEX(AO$21:AO$141,MAX(1,MIN(121,$B58-ROUND(Declarations!$A$20/$D$18,0)))))</f>
        <v>-267.669255497109</v>
      </c>
      <c r="AQ58" s="12" t="n">
        <f aca="false">INDEX(AP$21:AP$141,$I58+1)*(1-$J58)+INDEX(AP$21:AP$141,$I58+2)*$J58</f>
        <v>-274.218530270147</v>
      </c>
      <c r="AR58" s="12" t="n">
        <f aca="false">INDEX(AP$21:AP$141,$K58+1)*(1-$L58)+INDEX(AP$21:AP$141,$K58+2)*$L58</f>
        <v>-261.298954142721</v>
      </c>
      <c r="AS58" s="12" t="n">
        <f aca="false">$C58+$D58+MAX(AQ58,AR58,IF(COUNTIFS($A$21:$A$141,"&gt;="&amp;$G58,$A$21:$A$141,"&lt;="&amp;$H58)&gt;0,_xlfn.MAXIFS(AP$21:AP$141,$A$21:$A$141,"&gt;="&amp;$G58,$A$21:$A$141,"&lt;="&amp;$H58),AQ58))</f>
        <v>-78.4239541427212</v>
      </c>
      <c r="AT58" s="12" t="n">
        <f aca="false">-Cost_k*$A58+Beta_q*(Declarations!$B$16*INDEX(AS$21:AS$141,MAX(1,MIN(121,$B58-ROUND(Declarations!$A$16/$D$18,0))))+Declarations!$B$17*INDEX(AS$21:AS$141,MAX(1,MIN(121,$B58-ROUND(Declarations!$A$17/$D$18,0))))+Declarations!$B$18*INDEX(AS$21:AS$141,MAX(1,MIN(121,$B58-ROUND(Declarations!$A$18/$D$18,0))))+Declarations!$B$19*INDEX(AS$21:AS$141,MAX(1,MIN(121,$B58-ROUND(Declarations!$A$19/$D$18,0))))+Declarations!$B$20*INDEX(AS$21:AS$141,MAX(1,MIN(121,$B58-ROUND(Declarations!$A$20/$D$18,0)))))</f>
        <v>-273.676905206798</v>
      </c>
      <c r="AU58" s="12" t="n">
        <f aca="false">INDEX(AT$21:AT$141,$I58+1)*(1-$J58)+INDEX(AT$21:AT$141,$I58+2)*$J58</f>
        <v>-281.191663703598</v>
      </c>
      <c r="AV58" s="12" t="n">
        <f aca="false">INDEX(AT$21:AT$141,$K58+1)*(1-$L58)+INDEX(AT$21:AT$141,$K58+2)*$L58</f>
        <v>-266.652704789304</v>
      </c>
      <c r="AW58" s="12" t="n">
        <f aca="false">$C58+$D58+MAX(AU58,AV58,IF(COUNTIFS($A$21:$A$141,"&gt;="&amp;$G58,$A$21:$A$141,"&lt;="&amp;$H58)&gt;0,_xlfn.MAXIFS(AT$21:AT$141,$A$21:$A$141,"&gt;="&amp;$G58,$A$21:$A$141,"&lt;="&amp;$H58),AU58))</f>
        <v>-83.7777047893038</v>
      </c>
      <c r="AX58" s="12" t="n">
        <f aca="false">-Cost_k*$A58+Beta_q*(Declarations!$B$16*INDEX(AW$21:AW$141,MAX(1,MIN(121,$B58-ROUND(Declarations!$A$16/$D$18,0))))+Declarations!$B$17*INDEX(AW$21:AW$141,MAX(1,MIN(121,$B58-ROUND(Declarations!$A$17/$D$18,0))))+Declarations!$B$18*INDEX(AW$21:AW$141,MAX(1,MIN(121,$B58-ROUND(Declarations!$A$18/$D$18,0))))+Declarations!$B$19*INDEX(AW$21:AW$141,MAX(1,MIN(121,$B58-ROUND(Declarations!$A$19/$D$18,0))))+Declarations!$B$20*INDEX(AW$21:AW$141,MAX(1,MIN(121,$B58-ROUND(Declarations!$A$20/$D$18,0)))))</f>
        <v>-278.950321311954</v>
      </c>
      <c r="AY58" s="12" t="n">
        <f aca="false">INDEX(AX$21:AX$141,$I58+1)*(1-$J58)+INDEX(AX$21:AX$141,$I58+2)*$J58</f>
        <v>-287.060616308506</v>
      </c>
      <c r="AZ58" s="12" t="n">
        <f aca="false">INDEX(AX$21:AX$141,$K58+1)*(1-$L58)+INDEX(AX$21:AX$141,$K58+2)*$L58</f>
        <v>-271.61144398058</v>
      </c>
      <c r="BA58" s="12" t="n">
        <f aca="false">$C58+$D58+MAX(AY58,AZ58,IF(COUNTIFS($A$21:$A$141,"&gt;="&amp;$G58,$A$21:$A$141,"&lt;="&amp;$H58)&gt;0,_xlfn.MAXIFS(AX$21:AX$141,$A$21:$A$141,"&gt;="&amp;$G58,$A$21:$A$141,"&lt;="&amp;$H58),AY58))</f>
        <v>-88.7364439805797</v>
      </c>
      <c r="BB58" s="12" t="n">
        <f aca="false">-Cost_k*$A58+Beta_q*(Declarations!$B$16*INDEX(BA$21:BA$141,MAX(1,MIN(121,$B58-ROUND(Declarations!$A$16/$D$18,0))))+Declarations!$B$17*INDEX(BA$21:BA$141,MAX(1,MIN(121,$B58-ROUND(Declarations!$A$17/$D$18,0))))+Declarations!$B$18*INDEX(BA$21:BA$141,MAX(1,MIN(121,$B58-ROUND(Declarations!$A$18/$D$18,0))))+Declarations!$B$19*INDEX(BA$21:BA$141,MAX(1,MIN(121,$B58-ROUND(Declarations!$A$19/$D$18,0))))+Declarations!$B$20*INDEX(BA$21:BA$141,MAX(1,MIN(121,$B58-ROUND(Declarations!$A$20/$D$18,0)))))</f>
        <v>-283.818321012673</v>
      </c>
      <c r="BC58" s="12" t="n">
        <f aca="false">INDEX(BB$21:BB$141,$I58+1)*(1-$J58)+INDEX(BB$21:BB$141,$I58+2)*$J58</f>
        <v>-292.226635816622</v>
      </c>
      <c r="BD58" s="12" t="n">
        <f aca="false">INDEX(BB$21:BB$141,$K58+1)*(1-$L58)+INDEX(BB$21:BB$141,$K58+2)*$L58</f>
        <v>-276.35581067099</v>
      </c>
      <c r="BE58" s="12" t="n">
        <f aca="false">$C58+$D58+MAX(BC58,BD58,IF(COUNTIFS($A$21:$A$141,"&gt;="&amp;$G58,$A$21:$A$141,"&lt;="&amp;$H58)&gt;0,_xlfn.MAXIFS(BB$21:BB$141,$A$21:$A$141,"&gt;="&amp;$G58,$A$21:$A$141,"&lt;="&amp;$H58),BC58))</f>
        <v>-93.4808106709897</v>
      </c>
      <c r="BF58" s="12" t="n">
        <f aca="false">-Cost_k*$A58+Beta_q*(Declarations!$B$16*INDEX(BE$21:BE$141,MAX(1,MIN(121,$B58-ROUND(Declarations!$A$16/$D$18,0))))+Declarations!$B$17*INDEX(BE$21:BE$141,MAX(1,MIN(121,$B58-ROUND(Declarations!$A$17/$D$18,0))))+Declarations!$B$18*INDEX(BE$21:BE$141,MAX(1,MIN(121,$B58-ROUND(Declarations!$A$18/$D$18,0))))+Declarations!$B$19*INDEX(BE$21:BE$141,MAX(1,MIN(121,$B58-ROUND(Declarations!$A$19/$D$18,0))))+Declarations!$B$20*INDEX(BE$21:BE$141,MAX(1,MIN(121,$B58-ROUND(Declarations!$A$20/$D$18,0)))))</f>
        <v>-288.462297914029</v>
      </c>
      <c r="BG58" s="12" t="n">
        <f aca="false">INDEX(BF$21:BF$141,$I58+1)*(1-$J58)+INDEX(BF$21:BF$141,$I58+2)*$J58</f>
        <v>-296.994140714376</v>
      </c>
      <c r="BH58" s="12" t="n">
        <f aca="false">INDEX(BF$21:BF$141,$K58+1)*(1-$L58)+INDEX(BF$21:BF$141,$K58+2)*$L58</f>
        <v>-280.957278858017</v>
      </c>
      <c r="BI58" s="12" t="n">
        <f aca="false">$C58+$D58+MAX(BG58,BH58,IF(COUNTIFS($A$21:$A$141,"&gt;="&amp;$G58,$A$21:$A$141,"&lt;="&amp;$H58)&gt;0,_xlfn.MAXIFS(BF$21:BF$141,$A$21:$A$141,"&gt;="&amp;$G58,$A$21:$A$141,"&lt;="&amp;$H58),BG58))</f>
        <v>-98.0822788580165</v>
      </c>
      <c r="BJ58" s="23" t="n">
        <v>-98.0822788580165</v>
      </c>
      <c r="BK58" s="22" t="n">
        <f aca="false">ABS(BI58-BJ58)</f>
        <v>0</v>
      </c>
    </row>
    <row r="59" customFormat="false" ht="15" hidden="false" customHeight="false" outlineLevel="0" collapsed="false">
      <c r="A59" s="14" t="n">
        <f aca="false">A58+$D$18</f>
        <v>49.5</v>
      </c>
      <c r="B59" s="19" t="n">
        <v>39</v>
      </c>
      <c r="C59" s="12" t="n">
        <f aca="false">-Short_p*MAX(Floor_c-A59,0)</f>
        <v>-8.8</v>
      </c>
      <c r="D59" s="12" t="n">
        <f aca="false">Cost_k*Alpha_keep*A59</f>
        <v>193.05</v>
      </c>
      <c r="E59" s="12" t="n">
        <f aca="false">MIN(Cap_h,MAX(0,$B$18+MAX(Loss_w)-Alpha_keep*A59))</f>
        <v>0</v>
      </c>
      <c r="F59" s="12" t="n">
        <f aca="false">MAX(MIN(Cap_h,$F$18+MIN(Loss_w)-Alpha_keep*A59),E59)</f>
        <v>2.5</v>
      </c>
      <c r="G59" s="12" t="n">
        <f aca="false">Alpha_keep*A59+E59</f>
        <v>48.2625</v>
      </c>
      <c r="H59" s="12" t="n">
        <f aca="false">Alpha_keep*A59+F59</f>
        <v>50.7625</v>
      </c>
      <c r="I59" s="19" t="n">
        <f aca="false">MIN(INT((G59-$B$18)/$D$18+0.000000001),119)</f>
        <v>33</v>
      </c>
      <c r="J59" s="12" t="n">
        <f aca="false">(G59-$B$18)/$D$18-I59</f>
        <v>0.049999999999983</v>
      </c>
      <c r="K59" s="19" t="n">
        <f aca="false">MIN(INT((H59-$B$18)/$D$18+0.000000001),119)</f>
        <v>43</v>
      </c>
      <c r="L59" s="12" t="n">
        <f aca="false">(H59-$B$18)/$D$18-K59</f>
        <v>0.049999999999983</v>
      </c>
      <c r="M59" s="9" t="n">
        <v>0</v>
      </c>
      <c r="N59" s="12" t="n">
        <f aca="false">-Cost_k*$A59+Beta_q*(Declarations!$B$16*INDEX(M$21:M$141,MAX(1,MIN(121,$B59-ROUND(Declarations!$A$16/$D$18,0))))+Declarations!$B$17*INDEX(M$21:M$141,MAX(1,MIN(121,$B59-ROUND(Declarations!$A$17/$D$18,0))))+Declarations!$B$18*INDEX(M$21:M$141,MAX(1,MIN(121,$B59-ROUND(Declarations!$A$18/$D$18,0))))+Declarations!$B$19*INDEX(M$21:M$141,MAX(1,MIN(121,$B59-ROUND(Declarations!$A$19/$D$18,0))))+Declarations!$B$20*INDEX(M$21:M$141,MAX(1,MIN(121,$B59-ROUND(Declarations!$A$20/$D$18,0)))))</f>
        <v>-198</v>
      </c>
      <c r="O59" s="12" t="n">
        <f aca="false">INDEX(N$21:N$141,$I59+1)*(1-$J59)+INDEX(N$21:N$141,$I59+2)*$J59</f>
        <v>-193.05</v>
      </c>
      <c r="P59" s="12" t="n">
        <f aca="false">INDEX(N$21:N$141,$K59+1)*(1-$L59)+INDEX(N$21:N$141,$K59+2)*$L59</f>
        <v>-203.05</v>
      </c>
      <c r="Q59" s="12" t="n">
        <f aca="false">$C59+$D59+MAX(O59,P59,IF(COUNTIFS($A$21:$A$141,"&gt;="&amp;$G59,$A$21:$A$141,"&lt;="&amp;$H59)&gt;0,_xlfn.MAXIFS(N$21:N$141,$A$21:$A$141,"&gt;="&amp;$G59,$A$21:$A$141,"&lt;="&amp;$H59),O59))</f>
        <v>-8.80000000000001</v>
      </c>
      <c r="R59" s="12" t="n">
        <f aca="false">-Cost_k*$A59+Beta_q*(Declarations!$B$16*INDEX(Q$21:Q$141,MAX(1,MIN(121,$B59-ROUND(Declarations!$A$16/$D$18,0))))+Declarations!$B$17*INDEX(Q$21:Q$141,MAX(1,MIN(121,$B59-ROUND(Declarations!$A$17/$D$18,0))))+Declarations!$B$18*INDEX(Q$21:Q$141,MAX(1,MIN(121,$B59-ROUND(Declarations!$A$18/$D$18,0))))+Declarations!$B$19*INDEX(Q$21:Q$141,MAX(1,MIN(121,$B59-ROUND(Declarations!$A$19/$D$18,0))))+Declarations!$B$20*INDEX(Q$21:Q$141,MAX(1,MIN(121,$B59-ROUND(Declarations!$A$20/$D$18,0)))))</f>
        <v>-206.592795989152</v>
      </c>
      <c r="S59" s="12" t="n">
        <f aca="false">INDEX(R$21:R$141,$I59+1)*(1-$J59)+INDEX(R$21:R$141,$I59+2)*$J59</f>
        <v>-203.576175086711</v>
      </c>
      <c r="T59" s="12" t="n">
        <f aca="false">INDEX(R$21:R$141,$K59+1)*(1-$L59)+INDEX(R$21:R$141,$K59+2)*$L59</f>
        <v>-209.670358728005</v>
      </c>
      <c r="U59" s="12" t="n">
        <f aca="false">$C59+$D59+MAX(S59,T59,IF(COUNTIFS($A$21:$A$141,"&gt;="&amp;$G59,$A$21:$A$141,"&lt;="&amp;$H59)&gt;0,_xlfn.MAXIFS(R$21:R$141,$A$21:$A$141,"&gt;="&amp;$G59,$A$21:$A$141,"&lt;="&amp;$H59),S59))</f>
        <v>-19.3261750867106</v>
      </c>
      <c r="V59" s="12" t="n">
        <f aca="false">-Cost_k*$A59+Beta_q*(Declarations!$B$16*INDEX(U$21:U$141,MAX(1,MIN(121,$B59-ROUND(Declarations!$A$16/$D$18,0))))+Declarations!$B$17*INDEX(U$21:U$141,MAX(1,MIN(121,$B59-ROUND(Declarations!$A$17/$D$18,0))))+Declarations!$B$18*INDEX(U$21:U$141,MAX(1,MIN(121,$B59-ROUND(Declarations!$A$18/$D$18,0))))+Declarations!$B$19*INDEX(U$21:U$141,MAX(1,MIN(121,$B59-ROUND(Declarations!$A$19/$D$18,0))))+Declarations!$B$20*INDEX(U$21:U$141,MAX(1,MIN(121,$B59-ROUND(Declarations!$A$20/$D$18,0)))))</f>
        <v>-216.871122701219</v>
      </c>
      <c r="W59" s="12" t="n">
        <f aca="false">INDEX(V$21:V$141,$I59+1)*(1-$J59)+INDEX(V$21:V$141,$I59+2)*$J59</f>
        <v>-215.695161327317</v>
      </c>
      <c r="X59" s="12" t="n">
        <f aca="false">INDEX(V$21:V$141,$K59+1)*(1-$L59)+INDEX(V$21:V$141,$K59+2)*$L59</f>
        <v>-218.070840870554</v>
      </c>
      <c r="Y59" s="12" t="n">
        <f aca="false">$C59+$D59+MAX(W59,X59,IF(COUNTIFS($A$21:$A$141,"&gt;="&amp;$G59,$A$21:$A$141,"&lt;="&amp;$H59)&gt;0,_xlfn.MAXIFS(V$21:V$141,$A$21:$A$141,"&gt;="&amp;$G59,$A$21:$A$141,"&lt;="&amp;$H59),W59))</f>
        <v>-31.4451613273168</v>
      </c>
      <c r="Z59" s="12" t="n">
        <f aca="false">-Cost_k*$A59+Beta_q*(Declarations!$B$16*INDEX(Y$21:Y$141,MAX(1,MIN(121,$B59-ROUND(Declarations!$A$16/$D$18,0))))+Declarations!$B$17*INDEX(Y$21:Y$141,MAX(1,MIN(121,$B59-ROUND(Declarations!$A$17/$D$18,0))))+Declarations!$B$18*INDEX(Y$21:Y$141,MAX(1,MIN(121,$B59-ROUND(Declarations!$A$18/$D$18,0))))+Declarations!$B$19*INDEX(Y$21:Y$141,MAX(1,MIN(121,$B59-ROUND(Declarations!$A$19/$D$18,0))))+Declarations!$B$20*INDEX(Y$21:Y$141,MAX(1,MIN(121,$B59-ROUND(Declarations!$A$20/$D$18,0)))))</f>
        <v>-228.704768598128</v>
      </c>
      <c r="AA59" s="12" t="n">
        <f aca="false">INDEX(Z$21:Z$141,$I59+1)*(1-$J59)+INDEX(Z$21:Z$141,$I59+2)*$J59</f>
        <v>-229.283536004205</v>
      </c>
      <c r="AB59" s="12" t="n">
        <f aca="false">INDEX(Z$21:Z$141,$K59+1)*(1-$L59)+INDEX(Z$21:Z$141,$K59+2)*$L59</f>
        <v>-228.116686263483</v>
      </c>
      <c r="AC59" s="12" t="n">
        <f aca="false">$C59+$D59+MAX(AA59,AB59,IF(COUNTIFS($A$21:$A$141,"&gt;="&amp;$G59,$A$21:$A$141,"&lt;="&amp;$H59)&gt;0,_xlfn.MAXIFS(Z$21:Z$141,$A$21:$A$141,"&gt;="&amp;$G59,$A$21:$A$141,"&lt;="&amp;$H59),AA59))</f>
        <v>-43.8666862634831</v>
      </c>
      <c r="AD59" s="12" t="n">
        <f aca="false">-Cost_k*$A59+Beta_q*(Declarations!$B$16*INDEX(AC$21:AC$141,MAX(1,MIN(121,$B59-ROUND(Declarations!$A$16/$D$18,0))))+Declarations!$B$17*INDEX(AC$21:AC$141,MAX(1,MIN(121,$B59-ROUND(Declarations!$A$17/$D$18,0))))+Declarations!$B$18*INDEX(AC$21:AC$141,MAX(1,MIN(121,$B59-ROUND(Declarations!$A$18/$D$18,0))))+Declarations!$B$19*INDEX(AC$21:AC$141,MAX(1,MIN(121,$B59-ROUND(Declarations!$A$19/$D$18,0))))+Declarations!$B$20*INDEX(AC$21:AC$141,MAX(1,MIN(121,$B59-ROUND(Declarations!$A$20/$D$18,0)))))</f>
        <v>-240.833808054088</v>
      </c>
      <c r="AE59" s="12" t="n">
        <f aca="false">INDEX(AD$21:AD$141,$I59+1)*(1-$J59)+INDEX(AD$21:AD$141,$I59+2)*$J59</f>
        <v>-243.078832648308</v>
      </c>
      <c r="AF59" s="12" t="n">
        <f aca="false">INDEX(AD$21:AD$141,$K59+1)*(1-$L59)+INDEX(AD$21:AD$141,$K59+2)*$L59</f>
        <v>-238.543741965349</v>
      </c>
      <c r="AG59" s="12" t="n">
        <f aca="false">$C59+$D59+MAX(AE59,AF59,IF(COUNTIFS($A$21:$A$141,"&gt;="&amp;$G59,$A$21:$A$141,"&lt;="&amp;$H59)&gt;0,_xlfn.MAXIFS(AD$21:AD$141,$A$21:$A$141,"&gt;="&amp;$G59,$A$21:$A$141,"&lt;="&amp;$H59),AE59))</f>
        <v>-54.2937419653495</v>
      </c>
      <c r="AH59" s="12" t="n">
        <f aca="false">-Cost_k*$A59+Beta_q*(Declarations!$B$16*INDEX(AG$21:AG$141,MAX(1,MIN(121,$B59-ROUND(Declarations!$A$16/$D$18,0))))+Declarations!$B$17*INDEX(AG$21:AG$141,MAX(1,MIN(121,$B59-ROUND(Declarations!$A$17/$D$18,0))))+Declarations!$B$18*INDEX(AG$21:AG$141,MAX(1,MIN(121,$B59-ROUND(Declarations!$A$18/$D$18,0))))+Declarations!$B$19*INDEX(AG$21:AG$141,MAX(1,MIN(121,$B59-ROUND(Declarations!$A$19/$D$18,0))))+Declarations!$B$20*INDEX(AG$21:AG$141,MAX(1,MIN(121,$B59-ROUND(Declarations!$A$20/$D$18,0)))))</f>
        <v>-251.01725003103</v>
      </c>
      <c r="AI59" s="12" t="n">
        <f aca="false">INDEX(AH$21:AH$141,$I59+1)*(1-$J59)+INDEX(AH$21:AH$141,$I59+2)*$J59</f>
        <v>-254.848474586102</v>
      </c>
      <c r="AJ59" s="12" t="n">
        <f aca="false">INDEX(AH$21:AH$141,$K59+1)*(1-$L59)+INDEX(AH$21:AH$141,$K59+2)*$L59</f>
        <v>-247.144908381752</v>
      </c>
      <c r="AK59" s="12" t="n">
        <f aca="false">$C59+$D59+MAX(AI59,AJ59,IF(COUNTIFS($A$21:$A$141,"&gt;="&amp;$G59,$A$21:$A$141,"&lt;="&amp;$H59)&gt;0,_xlfn.MAXIFS(AH$21:AH$141,$A$21:$A$141,"&gt;="&amp;$G59,$A$21:$A$141,"&lt;="&amp;$H59),AI59))</f>
        <v>-62.894908381752</v>
      </c>
      <c r="AL59" s="12" t="n">
        <f aca="false">-Cost_k*$A59+Beta_q*(Declarations!$B$16*INDEX(AK$21:AK$141,MAX(1,MIN(121,$B59-ROUND(Declarations!$A$16/$D$18,0))))+Declarations!$B$17*INDEX(AK$21:AK$141,MAX(1,MIN(121,$B59-ROUND(Declarations!$A$17/$D$18,0))))+Declarations!$B$18*INDEX(AK$21:AK$141,MAX(1,MIN(121,$B59-ROUND(Declarations!$A$18/$D$18,0))))+Declarations!$B$19*INDEX(AK$21:AK$141,MAX(1,MIN(121,$B59-ROUND(Declarations!$A$19/$D$18,0))))+Declarations!$B$20*INDEX(AK$21:AK$141,MAX(1,MIN(121,$B59-ROUND(Declarations!$A$20/$D$18,0)))))</f>
        <v>-259.436209665312</v>
      </c>
      <c r="AM59" s="12" t="n">
        <f aca="false">INDEX(AL$21:AL$141,$I59+1)*(1-$J59)+INDEX(AL$21:AL$141,$I59+2)*$J59</f>
        <v>-264.727119022189</v>
      </c>
      <c r="AN59" s="12" t="n">
        <f aca="false">INDEX(AL$21:AL$141,$K59+1)*(1-$L59)+INDEX(AL$21:AL$141,$K59+2)*$L59</f>
        <v>-254.215856330959</v>
      </c>
      <c r="AO59" s="12" t="n">
        <f aca="false">$C59+$D59+MAX(AM59,AN59,IF(COUNTIFS($A$21:$A$141,"&gt;="&amp;$G59,$A$21:$A$141,"&lt;="&amp;$H59)&gt;0,_xlfn.MAXIFS(AL$21:AL$141,$A$21:$A$141,"&gt;="&amp;$G59,$A$21:$A$141,"&lt;="&amp;$H59),AM59))</f>
        <v>-69.9658563309595</v>
      </c>
      <c r="AP59" s="12" t="n">
        <f aca="false">-Cost_k*$A59+Beta_q*(Declarations!$B$16*INDEX(AO$21:AO$141,MAX(1,MIN(121,$B59-ROUND(Declarations!$A$16/$D$18,0))))+Declarations!$B$17*INDEX(AO$21:AO$141,MAX(1,MIN(121,$B59-ROUND(Declarations!$A$17/$D$18,0))))+Declarations!$B$18*INDEX(AO$21:AO$141,MAX(1,MIN(121,$B59-ROUND(Declarations!$A$18/$D$18,0))))+Declarations!$B$19*INDEX(AO$21:AO$141,MAX(1,MIN(121,$B59-ROUND(Declarations!$A$19/$D$18,0))))+Declarations!$B$20*INDEX(AO$21:AO$141,MAX(1,MIN(121,$B59-ROUND(Declarations!$A$20/$D$18,0)))))</f>
        <v>-266.376581554809</v>
      </c>
      <c r="AQ59" s="12" t="n">
        <f aca="false">INDEX(AP$21:AP$141,$I59+1)*(1-$J59)+INDEX(AP$21:AP$141,$I59+2)*$J59</f>
        <v>-272.905072852107</v>
      </c>
      <c r="AR59" s="12" t="n">
        <f aca="false">INDEX(AP$21:AP$141,$K59+1)*(1-$L59)+INDEX(AP$21:AP$141,$K59+2)*$L59</f>
        <v>-260.150819042228</v>
      </c>
      <c r="AS59" s="12" t="n">
        <f aca="false">$C59+$D59+MAX(AQ59,AR59,IF(COUNTIFS($A$21:$A$141,"&gt;="&amp;$G59,$A$21:$A$141,"&lt;="&amp;$H59)&gt;0,_xlfn.MAXIFS(AP$21:AP$141,$A$21:$A$141,"&gt;="&amp;$G59,$A$21:$A$141,"&lt;="&amp;$H59),AQ59))</f>
        <v>-75.9008190422281</v>
      </c>
      <c r="AT59" s="12" t="n">
        <f aca="false">-Cost_k*$A59+Beta_q*(Declarations!$B$16*INDEX(AS$21:AS$141,MAX(1,MIN(121,$B59-ROUND(Declarations!$A$16/$D$18,0))))+Declarations!$B$17*INDEX(AS$21:AS$141,MAX(1,MIN(121,$B59-ROUND(Declarations!$A$17/$D$18,0))))+Declarations!$B$18*INDEX(AS$21:AS$141,MAX(1,MIN(121,$B59-ROUND(Declarations!$A$18/$D$18,0))))+Declarations!$B$19*INDEX(AS$21:AS$141,MAX(1,MIN(121,$B59-ROUND(Declarations!$A$19/$D$18,0))))+Declarations!$B$20*INDEX(AS$21:AS$141,MAX(1,MIN(121,$B59-ROUND(Declarations!$A$20/$D$18,0)))))</f>
        <v>-272.224793748292</v>
      </c>
      <c r="AU59" s="12" t="n">
        <f aca="false">INDEX(AT$21:AT$141,$I59+1)*(1-$J59)+INDEX(AT$21:AT$141,$I59+2)*$J59</f>
        <v>-279.667973548386</v>
      </c>
      <c r="AV59" s="12" t="n">
        <f aca="false">INDEX(AT$21:AT$141,$K59+1)*(1-$L59)+INDEX(AT$21:AT$141,$K59+2)*$L59</f>
        <v>-265.419176058785</v>
      </c>
      <c r="AW59" s="12" t="n">
        <f aca="false">$C59+$D59+MAX(AU59,AV59,IF(COUNTIFS($A$21:$A$141,"&gt;="&amp;$G59,$A$21:$A$141,"&lt;="&amp;$H59)&gt;0,_xlfn.MAXIFS(AT$21:AT$141,$A$21:$A$141,"&gt;="&amp;$G59,$A$21:$A$141,"&lt;="&amp;$H59),AU59))</f>
        <v>-81.1691760587853</v>
      </c>
      <c r="AX59" s="12" t="n">
        <f aca="false">-Cost_k*$A59+Beta_q*(Declarations!$B$16*INDEX(AW$21:AW$141,MAX(1,MIN(121,$B59-ROUND(Declarations!$A$16/$D$18,0))))+Declarations!$B$17*INDEX(AW$21:AW$141,MAX(1,MIN(121,$B59-ROUND(Declarations!$A$17/$D$18,0))))+Declarations!$B$18*INDEX(AW$21:AW$141,MAX(1,MIN(121,$B59-ROUND(Declarations!$A$18/$D$18,0))))+Declarations!$B$19*INDEX(AW$21:AW$141,MAX(1,MIN(121,$B59-ROUND(Declarations!$A$19/$D$18,0))))+Declarations!$B$20*INDEX(AW$21:AW$141,MAX(1,MIN(121,$B59-ROUND(Declarations!$A$20/$D$18,0)))))</f>
        <v>-277.412500422805</v>
      </c>
      <c r="AY59" s="12" t="n">
        <f aca="false">INDEX(AX$21:AX$141,$I59+1)*(1-$J59)+INDEX(AX$21:AX$141,$I59+2)*$J59</f>
        <v>-285.394286672426</v>
      </c>
      <c r="AZ59" s="12" t="n">
        <f aca="false">INDEX(AX$21:AX$141,$K59+1)*(1-$L59)+INDEX(AX$21:AX$141,$K59+2)*$L59</f>
        <v>-270.345499828888</v>
      </c>
      <c r="BA59" s="12" t="n">
        <f aca="false">$C59+$D59+MAX(AY59,AZ59,IF(COUNTIFS($A$21:$A$141,"&gt;="&amp;$G59,$A$21:$A$141,"&lt;="&amp;$H59)&gt;0,_xlfn.MAXIFS(AX$21:AX$141,$A$21:$A$141,"&gt;="&amp;$G59,$A$21:$A$141,"&lt;="&amp;$H59),AY59))</f>
        <v>-86.0954998288877</v>
      </c>
      <c r="BB59" s="12" t="n">
        <f aca="false">-Cost_k*$A59+Beta_q*(Declarations!$B$16*INDEX(BA$21:BA$141,MAX(1,MIN(121,$B59-ROUND(Declarations!$A$16/$D$18,0))))+Declarations!$B$17*INDEX(BA$21:BA$141,MAX(1,MIN(121,$B59-ROUND(Declarations!$A$17/$D$18,0))))+Declarations!$B$18*INDEX(BA$21:BA$141,MAX(1,MIN(121,$B59-ROUND(Declarations!$A$18/$D$18,0))))+Declarations!$B$19*INDEX(BA$21:BA$141,MAX(1,MIN(121,$B59-ROUND(Declarations!$A$19/$D$18,0))))+Declarations!$B$20*INDEX(BA$21:BA$141,MAX(1,MIN(121,$B59-ROUND(Declarations!$A$20/$D$18,0)))))</f>
        <v>-282.245613278271</v>
      </c>
      <c r="BC59" s="12" t="n">
        <f aca="false">INDEX(BB$21:BB$141,$I59+1)*(1-$J59)+INDEX(BB$21:BB$141,$I59+2)*$J59</f>
        <v>-290.481815360739</v>
      </c>
      <c r="BD59" s="12" t="n">
        <f aca="false">INDEX(BB$21:BB$141,$K59+1)*(1-$L59)+INDEX(BB$21:BB$141,$K59+2)*$L59</f>
        <v>-275.078437916582</v>
      </c>
      <c r="BE59" s="12" t="n">
        <f aca="false">$C59+$D59+MAX(BC59,BD59,IF(COUNTIFS($A$21:$A$141,"&gt;="&amp;$G59,$A$21:$A$141,"&lt;="&amp;$H59)&gt;0,_xlfn.MAXIFS(BB$21:BB$141,$A$21:$A$141,"&gt;="&amp;$G59,$A$21:$A$141,"&lt;="&amp;$H59),BC59))</f>
        <v>-90.8284379165816</v>
      </c>
      <c r="BF59" s="12" t="n">
        <f aca="false">-Cost_k*$A59+Beta_q*(Declarations!$B$16*INDEX(BE$21:BE$141,MAX(1,MIN(121,$B59-ROUND(Declarations!$A$16/$D$18,0))))+Declarations!$B$17*INDEX(BE$21:BE$141,MAX(1,MIN(121,$B59-ROUND(Declarations!$A$17/$D$18,0))))+Declarations!$B$18*INDEX(BE$21:BE$141,MAX(1,MIN(121,$B59-ROUND(Declarations!$A$18/$D$18,0))))+Declarations!$B$19*INDEX(BE$21:BE$141,MAX(1,MIN(121,$B59-ROUND(Declarations!$A$19/$D$18,0))))+Declarations!$B$20*INDEX(BE$21:BE$141,MAX(1,MIN(121,$B59-ROUND(Declarations!$A$20/$D$18,0)))))</f>
        <v>-286.876527546423</v>
      </c>
      <c r="BG59" s="12" t="n">
        <f aca="false">INDEX(BF$21:BF$141,$I59+1)*(1-$J59)+INDEX(BF$21:BF$141,$I59+2)*$J59</f>
        <v>-295.215375584259</v>
      </c>
      <c r="BH59" s="12" t="n">
        <f aca="false">INDEX(BF$21:BF$141,$K59+1)*(1-$L59)+INDEX(BF$21:BF$141,$K59+2)*$L59</f>
        <v>-279.676435863759</v>
      </c>
      <c r="BI59" s="12" t="n">
        <f aca="false">$C59+$D59+MAX(BG59,BH59,IF(COUNTIFS($A$21:$A$141,"&gt;="&amp;$G59,$A$21:$A$141,"&lt;="&amp;$H59)&gt;0,_xlfn.MAXIFS(BF$21:BF$141,$A$21:$A$141,"&gt;="&amp;$G59,$A$21:$A$141,"&lt;="&amp;$H59),BG59))</f>
        <v>-95.4264358637592</v>
      </c>
      <c r="BJ59" s="23" t="n">
        <v>-95.4264358637592</v>
      </c>
      <c r="BK59" s="22" t="n">
        <f aca="false">ABS(BI59-BJ59)</f>
        <v>0</v>
      </c>
    </row>
    <row r="60" customFormat="false" ht="15" hidden="false" customHeight="false" outlineLevel="0" collapsed="false">
      <c r="A60" s="14" t="n">
        <f aca="false">A59+$D$18</f>
        <v>49.75</v>
      </c>
      <c r="B60" s="19" t="n">
        <v>40</v>
      </c>
      <c r="C60" s="12" t="n">
        <f aca="false">-Short_p*MAX(Floor_c-A60,0)</f>
        <v>-8.4</v>
      </c>
      <c r="D60" s="12" t="n">
        <f aca="false">Cost_k*Alpha_keep*A60</f>
        <v>194.025</v>
      </c>
      <c r="E60" s="12" t="n">
        <f aca="false">MIN(Cap_h,MAX(0,$B$18+MAX(Loss_w)-Alpha_keep*A60))</f>
        <v>0</v>
      </c>
      <c r="F60" s="12" t="n">
        <f aca="false">MAX(MIN(Cap_h,$F$18+MIN(Loss_w)-Alpha_keep*A60),E60)</f>
        <v>2.5</v>
      </c>
      <c r="G60" s="12" t="n">
        <f aca="false">Alpha_keep*A60+E60</f>
        <v>48.50625</v>
      </c>
      <c r="H60" s="12" t="n">
        <f aca="false">Alpha_keep*A60+F60</f>
        <v>51.00625</v>
      </c>
      <c r="I60" s="19" t="n">
        <f aca="false">MIN(INT((G60-$B$18)/$D$18+0.000000001),119)</f>
        <v>34</v>
      </c>
      <c r="J60" s="12" t="n">
        <f aca="false">(G60-$B$18)/$D$18-I60</f>
        <v>0.0250000000000057</v>
      </c>
      <c r="K60" s="19" t="n">
        <f aca="false">MIN(INT((H60-$B$18)/$D$18+0.000000001),119)</f>
        <v>44</v>
      </c>
      <c r="L60" s="12" t="n">
        <f aca="false">(H60-$B$18)/$D$18-K60</f>
        <v>0.0250000000000057</v>
      </c>
      <c r="M60" s="9" t="n">
        <v>0</v>
      </c>
      <c r="N60" s="12" t="n">
        <f aca="false">-Cost_k*$A60+Beta_q*(Declarations!$B$16*INDEX(M$21:M$141,MAX(1,MIN(121,$B60-ROUND(Declarations!$A$16/$D$18,0))))+Declarations!$B$17*INDEX(M$21:M$141,MAX(1,MIN(121,$B60-ROUND(Declarations!$A$17/$D$18,0))))+Declarations!$B$18*INDEX(M$21:M$141,MAX(1,MIN(121,$B60-ROUND(Declarations!$A$18/$D$18,0))))+Declarations!$B$19*INDEX(M$21:M$141,MAX(1,MIN(121,$B60-ROUND(Declarations!$A$19/$D$18,0))))+Declarations!$B$20*INDEX(M$21:M$141,MAX(1,MIN(121,$B60-ROUND(Declarations!$A$20/$D$18,0)))))</f>
        <v>-199</v>
      </c>
      <c r="O60" s="12" t="n">
        <f aca="false">INDEX(N$21:N$141,$I60+1)*(1-$J60)+INDEX(N$21:N$141,$I60+2)*$J60</f>
        <v>-194.025</v>
      </c>
      <c r="P60" s="12" t="n">
        <f aca="false">INDEX(N$21:N$141,$K60+1)*(1-$L60)+INDEX(N$21:N$141,$K60+2)*$L60</f>
        <v>-204.025</v>
      </c>
      <c r="Q60" s="12" t="n">
        <f aca="false">$C60+$D60+MAX(O60,P60,IF(COUNTIFS($A$21:$A$141,"&gt;="&amp;$G60,$A$21:$A$141,"&lt;="&amp;$H60)&gt;0,_xlfn.MAXIFS(N$21:N$141,$A$21:$A$141,"&gt;="&amp;$G60,$A$21:$A$141,"&lt;="&amp;$H60),O60))</f>
        <v>-8.40000000000001</v>
      </c>
      <c r="R60" s="12" t="n">
        <f aca="false">-Cost_k*$A60+Beta_q*(Declarations!$B$16*INDEX(Q$21:Q$141,MAX(1,MIN(121,$B60-ROUND(Declarations!$A$16/$D$18,0))))+Declarations!$B$17*INDEX(Q$21:Q$141,MAX(1,MIN(121,$B60-ROUND(Declarations!$A$17/$D$18,0))))+Declarations!$B$18*INDEX(Q$21:Q$141,MAX(1,MIN(121,$B60-ROUND(Declarations!$A$18/$D$18,0))))+Declarations!$B$19*INDEX(Q$21:Q$141,MAX(1,MIN(121,$B60-ROUND(Declarations!$A$19/$D$18,0))))+Declarations!$B$20*INDEX(Q$21:Q$141,MAX(1,MIN(121,$B60-ROUND(Declarations!$A$20/$D$18,0)))))</f>
        <v>-207.202214353281</v>
      </c>
      <c r="S60" s="12" t="n">
        <f aca="false">INDEX(R$21:R$141,$I60+1)*(1-$J60)+INDEX(R$21:R$141,$I60+2)*$J60</f>
        <v>-204.170357991737</v>
      </c>
      <c r="T60" s="12" t="n">
        <f aca="false">INDEX(R$21:R$141,$K60+1)*(1-$L60)+INDEX(R$21:R$141,$K60+2)*$L60</f>
        <v>-210.264541633032</v>
      </c>
      <c r="U60" s="12" t="n">
        <f aca="false">$C60+$D60+MAX(S60,T60,IF(COUNTIFS($A$21:$A$141,"&gt;="&amp;$G60,$A$21:$A$141,"&lt;="&amp;$H60)&gt;0,_xlfn.MAXIFS(R$21:R$141,$A$21:$A$141,"&gt;="&amp;$G60,$A$21:$A$141,"&lt;="&amp;$H60),S60))</f>
        <v>-18.5453579917369</v>
      </c>
      <c r="V60" s="12" t="n">
        <f aca="false">-Cost_k*$A60+Beta_q*(Declarations!$B$16*INDEX(U$21:U$141,MAX(1,MIN(121,$B60-ROUND(Declarations!$A$16/$D$18,0))))+Declarations!$B$17*INDEX(U$21:U$141,MAX(1,MIN(121,$B60-ROUND(Declarations!$A$17/$D$18,0))))+Declarations!$B$18*INDEX(U$21:U$141,MAX(1,MIN(121,$B60-ROUND(Declarations!$A$18/$D$18,0))))+Declarations!$B$19*INDEX(U$21:U$141,MAX(1,MIN(121,$B60-ROUND(Declarations!$A$19/$D$18,0))))+Declarations!$B$20*INDEX(U$21:U$141,MAX(1,MIN(121,$B60-ROUND(Declarations!$A$20/$D$18,0)))))</f>
        <v>-217.108690655543</v>
      </c>
      <c r="W60" s="12" t="n">
        <f aca="false">INDEX(V$21:V$141,$I60+1)*(1-$J60)+INDEX(V$21:V$141,$I60+2)*$J60</f>
        <v>-215.926790082782</v>
      </c>
      <c r="X60" s="12" t="n">
        <f aca="false">INDEX(V$21:V$141,$K60+1)*(1-$L60)+INDEX(V$21:V$141,$K60+2)*$L60</f>
        <v>-218.302469626019</v>
      </c>
      <c r="Y60" s="12" t="n">
        <f aca="false">$C60+$D60+MAX(W60,X60,IF(COUNTIFS($A$21:$A$141,"&gt;="&amp;$G60,$A$21:$A$141,"&lt;="&amp;$H60)&gt;0,_xlfn.MAXIFS(V$21:V$141,$A$21:$A$141,"&gt;="&amp;$G60,$A$21:$A$141,"&lt;="&amp;$H60),W60))</f>
        <v>-30.3017900827824</v>
      </c>
      <c r="Z60" s="12" t="n">
        <f aca="false">-Cost_k*$A60+Beta_q*(Declarations!$B$16*INDEX(Y$21:Y$141,MAX(1,MIN(121,$B60-ROUND(Declarations!$A$16/$D$18,0))))+Declarations!$B$17*INDEX(Y$21:Y$141,MAX(1,MIN(121,$B60-ROUND(Declarations!$A$17/$D$18,0))))+Declarations!$B$18*INDEX(Y$21:Y$141,MAX(1,MIN(121,$B60-ROUND(Declarations!$A$18/$D$18,0))))+Declarations!$B$19*INDEX(Y$21:Y$141,MAX(1,MIN(121,$B60-ROUND(Declarations!$A$19/$D$18,0))))+Declarations!$B$20*INDEX(Y$21:Y$141,MAX(1,MIN(121,$B60-ROUND(Declarations!$A$20/$D$18,0)))))</f>
        <v>-228.588306850846</v>
      </c>
      <c r="AA60" s="12" t="n">
        <f aca="false">INDEX(Z$21:Z$141,$I60+1)*(1-$J60)+INDEX(Z$21:Z$141,$I60+2)*$J60</f>
        <v>-229.168779756856</v>
      </c>
      <c r="AB60" s="12" t="n">
        <f aca="false">INDEX(Z$21:Z$141,$K60+1)*(1-$L60)+INDEX(Z$21:Z$141,$K60+2)*$L60</f>
        <v>-228.003147973933</v>
      </c>
      <c r="AC60" s="12" t="n">
        <f aca="false">$C60+$D60+MAX(AA60,AB60,IF(COUNTIFS($A$21:$A$141,"&gt;="&amp;$G60,$A$21:$A$141,"&lt;="&amp;$H60)&gt;0,_xlfn.MAXIFS(Z$21:Z$141,$A$21:$A$141,"&gt;="&amp;$G60,$A$21:$A$141,"&lt;="&amp;$H60),AA60))</f>
        <v>-42.3781479739328</v>
      </c>
      <c r="AD60" s="12" t="n">
        <f aca="false">-Cost_k*$A60+Beta_q*(Declarations!$B$16*INDEX(AC$21:AC$141,MAX(1,MIN(121,$B60-ROUND(Declarations!$A$16/$D$18,0))))+Declarations!$B$17*INDEX(AC$21:AC$141,MAX(1,MIN(121,$B60-ROUND(Declarations!$A$17/$D$18,0))))+Declarations!$B$18*INDEX(AC$21:AC$141,MAX(1,MIN(121,$B60-ROUND(Declarations!$A$18/$D$18,0))))+Declarations!$B$19*INDEX(AC$21:AC$141,MAX(1,MIN(121,$B60-ROUND(Declarations!$A$19/$D$18,0))))+Declarations!$B$20*INDEX(AC$21:AC$141,MAX(1,MIN(121,$B60-ROUND(Declarations!$A$20/$D$18,0)))))</f>
        <v>-240.380316394242</v>
      </c>
      <c r="AE60" s="12" t="n">
        <f aca="false">INDEX(AD$21:AD$141,$I60+1)*(1-$J60)+INDEX(AD$21:AD$141,$I60+2)*$J60</f>
        <v>-242.636551576772</v>
      </c>
      <c r="AF60" s="12" t="n">
        <f aca="false">INDEX(AD$21:AD$141,$K60+1)*(1-$L60)+INDEX(AD$21:AD$141,$K60+2)*$L60</f>
        <v>-238.102333003469</v>
      </c>
      <c r="AG60" s="12" t="n">
        <f aca="false">$C60+$D60+MAX(AE60,AF60,IF(COUNTIFS($A$21:$A$141,"&gt;="&amp;$G60,$A$21:$A$141,"&lt;="&amp;$H60)&gt;0,_xlfn.MAXIFS(AD$21:AD$141,$A$21:$A$141,"&gt;="&amp;$G60,$A$21:$A$141,"&lt;="&amp;$H60),AE60))</f>
        <v>-52.4773330034686</v>
      </c>
      <c r="AH60" s="12" t="n">
        <f aca="false">-Cost_k*$A60+Beta_q*(Declarations!$B$16*INDEX(AG$21:AG$141,MAX(1,MIN(121,$B60-ROUND(Declarations!$A$16/$D$18,0))))+Declarations!$B$17*INDEX(AG$21:AG$141,MAX(1,MIN(121,$B60-ROUND(Declarations!$A$17/$D$18,0))))+Declarations!$B$18*INDEX(AG$21:AG$141,MAX(1,MIN(121,$B60-ROUND(Declarations!$A$18/$D$18,0))))+Declarations!$B$19*INDEX(AG$21:AG$141,MAX(1,MIN(121,$B60-ROUND(Declarations!$A$19/$D$18,0))))+Declarations!$B$20*INDEX(AG$21:AG$141,MAX(1,MIN(121,$B60-ROUND(Declarations!$A$20/$D$18,0)))))</f>
        <v>-250.24580244161</v>
      </c>
      <c r="AI60" s="12" t="n">
        <f aca="false">INDEX(AH$21:AH$141,$I60+1)*(1-$J60)+INDEX(AH$21:AH$141,$I60+2)*$J60</f>
        <v>-254.093495107625</v>
      </c>
      <c r="AJ60" s="12" t="n">
        <f aca="false">INDEX(AH$21:AH$141,$K60+1)*(1-$L60)+INDEX(AH$21:AH$141,$K60+2)*$L60</f>
        <v>-246.406799233357</v>
      </c>
      <c r="AK60" s="12" t="n">
        <f aca="false">$C60+$D60+MAX(AI60,AJ60,IF(COUNTIFS($A$21:$A$141,"&gt;="&amp;$G60,$A$21:$A$141,"&lt;="&amp;$H60)&gt;0,_xlfn.MAXIFS(AH$21:AH$141,$A$21:$A$141,"&gt;="&amp;$G60,$A$21:$A$141,"&lt;="&amp;$H60),AI60))</f>
        <v>-60.7817992333571</v>
      </c>
      <c r="AL60" s="12" t="n">
        <f aca="false">-Cost_k*$A60+Beta_q*(Declarations!$B$16*INDEX(AK$21:AK$141,MAX(1,MIN(121,$B60-ROUND(Declarations!$A$16/$D$18,0))))+Declarations!$B$17*INDEX(AK$21:AK$141,MAX(1,MIN(121,$B60-ROUND(Declarations!$A$17/$D$18,0))))+Declarations!$B$18*INDEX(AK$21:AK$141,MAX(1,MIN(121,$B60-ROUND(Declarations!$A$18/$D$18,0))))+Declarations!$B$19*INDEX(AK$21:AK$141,MAX(1,MIN(121,$B60-ROUND(Declarations!$A$19/$D$18,0))))+Declarations!$B$20*INDEX(AK$21:AK$141,MAX(1,MIN(121,$B60-ROUND(Declarations!$A$20/$D$18,0)))))</f>
        <v>-258.379528474442</v>
      </c>
      <c r="AM60" s="12" t="n">
        <f aca="false">INDEX(AL$21:AL$141,$I60+1)*(1-$J60)+INDEX(AL$21:AL$141,$I60+2)*$J60</f>
        <v>-263.679457866596</v>
      </c>
      <c r="AN60" s="12" t="n">
        <f aca="false">INDEX(AL$21:AL$141,$K60+1)*(1-$L60)+INDEX(AL$21:AL$141,$K60+2)*$L60</f>
        <v>-253.243889203986</v>
      </c>
      <c r="AO60" s="12" t="n">
        <f aca="false">$C60+$D60+MAX(AM60,AN60,IF(COUNTIFS($A$21:$A$141,"&gt;="&amp;$G60,$A$21:$A$141,"&lt;="&amp;$H60)&gt;0,_xlfn.MAXIFS(AL$21:AL$141,$A$21:$A$141,"&gt;="&amp;$G60,$A$21:$A$141,"&lt;="&amp;$H60),AM60))</f>
        <v>-67.6188892039861</v>
      </c>
      <c r="AP60" s="12" t="n">
        <f aca="false">-Cost_k*$A60+Beta_q*(Declarations!$B$16*INDEX(AO$21:AO$141,MAX(1,MIN(121,$B60-ROUND(Declarations!$A$16/$D$18,0))))+Declarations!$B$17*INDEX(AO$21:AO$141,MAX(1,MIN(121,$B60-ROUND(Declarations!$A$17/$D$18,0))))+Declarations!$B$18*INDEX(AO$21:AO$141,MAX(1,MIN(121,$B60-ROUND(Declarations!$A$18/$D$18,0))))+Declarations!$B$19*INDEX(AO$21:AO$141,MAX(1,MIN(121,$B60-ROUND(Declarations!$A$19/$D$18,0))))+Declarations!$B$20*INDEX(AO$21:AO$141,MAX(1,MIN(121,$B60-ROUND(Declarations!$A$20/$D$18,0)))))</f>
        <v>-265.094755670344</v>
      </c>
      <c r="AQ60" s="12" t="n">
        <f aca="false">INDEX(AP$21:AP$141,$I60+1)*(1-$J60)+INDEX(AP$21:AP$141,$I60+2)*$J60</f>
        <v>-271.597925260267</v>
      </c>
      <c r="AR60" s="12" t="n">
        <f aca="false">INDEX(AP$21:AP$141,$K60+1)*(1-$L60)+INDEX(AP$21:AP$141,$K60+2)*$L60</f>
        <v>-259.031662174866</v>
      </c>
      <c r="AS60" s="12" t="n">
        <f aca="false">$C60+$D60+MAX(AQ60,AR60,IF(COUNTIFS($A$21:$A$141,"&gt;="&amp;$G60,$A$21:$A$141,"&lt;="&amp;$H60)&gt;0,_xlfn.MAXIFS(AP$21:AP$141,$A$21:$A$141,"&gt;="&amp;$G60,$A$21:$A$141,"&lt;="&amp;$H60),AQ60))</f>
        <v>-73.4066621748657</v>
      </c>
      <c r="AT60" s="12" t="n">
        <f aca="false">-Cost_k*$A60+Beta_q*(Declarations!$B$16*INDEX(AS$21:AS$141,MAX(1,MIN(121,$B60-ROUND(Declarations!$A$16/$D$18,0))))+Declarations!$B$17*INDEX(AS$21:AS$141,MAX(1,MIN(121,$B60-ROUND(Declarations!$A$17/$D$18,0))))+Declarations!$B$18*INDEX(AS$21:AS$141,MAX(1,MIN(121,$B60-ROUND(Declarations!$A$18/$D$18,0))))+Declarations!$B$19*INDEX(AS$21:AS$141,MAX(1,MIN(121,$B60-ROUND(Declarations!$A$19/$D$18,0))))+Declarations!$B$20*INDEX(AS$21:AS$141,MAX(1,MIN(121,$B60-ROUND(Declarations!$A$20/$D$18,0)))))</f>
        <v>-270.801222405601</v>
      </c>
      <c r="AU60" s="12" t="n">
        <f aca="false">INDEX(AT$21:AT$141,$I60+1)*(1-$J60)+INDEX(AT$21:AT$141,$I60+2)*$J60</f>
        <v>-278.156974789999</v>
      </c>
      <c r="AV60" s="12" t="n">
        <f aca="false">INDEX(AT$21:AT$141,$K60+1)*(1-$L60)+INDEX(AT$21:AT$141,$K60+2)*$L60</f>
        <v>-264.229158099213</v>
      </c>
      <c r="AW60" s="12" t="n">
        <f aca="false">$C60+$D60+MAX(AU60,AV60,IF(COUNTIFS($A$21:$A$141,"&gt;="&amp;$G60,$A$21:$A$141,"&lt;="&amp;$H60)&gt;0,_xlfn.MAXIFS(AT$21:AT$141,$A$21:$A$141,"&gt;="&amp;$G60,$A$21:$A$141,"&lt;="&amp;$H60),AU60))</f>
        <v>-78.6041580992134</v>
      </c>
      <c r="AX60" s="12" t="n">
        <f aca="false">-Cost_k*$A60+Beta_q*(Declarations!$B$16*INDEX(AW$21:AW$141,MAX(1,MIN(121,$B60-ROUND(Declarations!$A$16/$D$18,0))))+Declarations!$B$17*INDEX(AW$21:AW$141,MAX(1,MIN(121,$B60-ROUND(Declarations!$A$17/$D$18,0))))+Declarations!$B$18*INDEX(AW$21:AW$141,MAX(1,MIN(121,$B60-ROUND(Declarations!$A$18/$D$18,0))))+Declarations!$B$19*INDEX(AW$21:AW$141,MAX(1,MIN(121,$B60-ROUND(Declarations!$A$19/$D$18,0))))+Declarations!$B$20*INDEX(AW$21:AW$141,MAX(1,MIN(121,$B60-ROUND(Declarations!$A$20/$D$18,0)))))</f>
        <v>-275.916687788103</v>
      </c>
      <c r="AY60" s="12" t="n">
        <f aca="false">INDEX(AX$21:AX$141,$I60+1)*(1-$J60)+INDEX(AX$21:AX$141,$I60+2)*$J60</f>
        <v>-283.754099466456</v>
      </c>
      <c r="AZ60" s="12" t="n">
        <f aca="false">INDEX(AX$21:AX$141,$K60+1)*(1-$L60)+INDEX(AX$21:AX$141,$K60+2)*$L60</f>
        <v>-269.128092698812</v>
      </c>
      <c r="BA60" s="12" t="n">
        <f aca="false">$C60+$D60+MAX(AY60,AZ60,IF(COUNTIFS($A$21:$A$141,"&gt;="&amp;$G60,$A$21:$A$141,"&lt;="&amp;$H60)&gt;0,_xlfn.MAXIFS(AX$21:AX$141,$A$21:$A$141,"&gt;="&amp;$G60,$A$21:$A$141,"&lt;="&amp;$H60),AY60))</f>
        <v>-83.5030926988118</v>
      </c>
      <c r="BB60" s="12" t="n">
        <f aca="false">-Cost_k*$A60+Beta_q*(Declarations!$B$16*INDEX(BA$21:BA$141,MAX(1,MIN(121,$B60-ROUND(Declarations!$A$16/$D$18,0))))+Declarations!$B$17*INDEX(BA$21:BA$141,MAX(1,MIN(121,$B60-ROUND(Declarations!$A$17/$D$18,0))))+Declarations!$B$18*INDEX(BA$21:BA$141,MAX(1,MIN(121,$B60-ROUND(Declarations!$A$18/$D$18,0))))+Declarations!$B$19*INDEX(BA$21:BA$141,MAX(1,MIN(121,$B60-ROUND(Declarations!$A$19/$D$18,0))))+Declarations!$B$20*INDEX(BA$21:BA$141,MAX(1,MIN(121,$B60-ROUND(Declarations!$A$20/$D$18,0)))))</f>
        <v>-280.719857021066</v>
      </c>
      <c r="BC60" s="12" t="n">
        <f aca="false">INDEX(BB$21:BB$141,$I60+1)*(1-$J60)+INDEX(BB$21:BB$141,$I60+2)*$J60</f>
        <v>-288.774324447539</v>
      </c>
      <c r="BD60" s="12" t="n">
        <f aca="false">INDEX(BB$21:BB$141,$K60+1)*(1-$L60)+INDEX(BB$21:BB$141,$K60+2)*$L60</f>
        <v>-273.852406612985</v>
      </c>
      <c r="BE60" s="12" t="n">
        <f aca="false">$C60+$D60+MAX(BC60,BD60,IF(COUNTIFS($A$21:$A$141,"&gt;="&amp;$G60,$A$21:$A$141,"&lt;="&amp;$H60)&gt;0,_xlfn.MAXIFS(BB$21:BB$141,$A$21:$A$141,"&gt;="&amp;$G60,$A$21:$A$141,"&lt;="&amp;$H60),BC60))</f>
        <v>-88.2274066129845</v>
      </c>
      <c r="BF60" s="12" t="n">
        <f aca="false">-Cost_k*$A60+Beta_q*(Declarations!$B$16*INDEX(BE$21:BE$141,MAX(1,MIN(121,$B60-ROUND(Declarations!$A$16/$D$18,0))))+Declarations!$B$17*INDEX(BE$21:BE$141,MAX(1,MIN(121,$B60-ROUND(Declarations!$A$17/$D$18,0))))+Declarations!$B$18*INDEX(BE$21:BE$141,MAX(1,MIN(121,$B60-ROUND(Declarations!$A$18/$D$18,0))))+Declarations!$B$19*INDEX(BE$21:BE$141,MAX(1,MIN(121,$B60-ROUND(Declarations!$A$19/$D$18,0))))+Declarations!$B$20*INDEX(BE$21:BE$141,MAX(1,MIN(121,$B60-ROUND(Declarations!$A$20/$D$18,0)))))</f>
        <v>-285.340670694681</v>
      </c>
      <c r="BG60" s="12" t="n">
        <f aca="false">INDEX(BF$21:BF$141,$I60+1)*(1-$J60)+INDEX(BF$21:BF$141,$I60+2)*$J60</f>
        <v>-293.478566685785</v>
      </c>
      <c r="BH60" s="12" t="n">
        <f aca="false">INDEX(BF$21:BF$141,$K60+1)*(1-$L60)+INDEX(BF$21:BF$141,$K60+2)*$L60</f>
        <v>-278.447817121037</v>
      </c>
      <c r="BI60" s="12" t="n">
        <f aca="false">$C60+$D60+MAX(BG60,BH60,IF(COUNTIFS($A$21:$A$141,"&gt;="&amp;$G60,$A$21:$A$141,"&lt;="&amp;$H60)&gt;0,_xlfn.MAXIFS(BF$21:BF$141,$A$21:$A$141,"&gt;="&amp;$G60,$A$21:$A$141,"&lt;="&amp;$H60),BG60))</f>
        <v>-92.8228171210366</v>
      </c>
      <c r="BJ60" s="23" t="n">
        <v>-92.8228171210366</v>
      </c>
      <c r="BK60" s="22" t="n">
        <f aca="false">ABS(BI60-BJ60)</f>
        <v>0</v>
      </c>
    </row>
    <row r="61" customFormat="false" ht="15" hidden="false" customHeight="false" outlineLevel="0" collapsed="false">
      <c r="A61" s="14" t="n">
        <f aca="false">A60+$D$18</f>
        <v>50</v>
      </c>
      <c r="B61" s="19" t="n">
        <v>41</v>
      </c>
      <c r="C61" s="12" t="n">
        <f aca="false">-Short_p*MAX(Floor_c-A61,0)</f>
        <v>-8</v>
      </c>
      <c r="D61" s="12" t="n">
        <f aca="false">Cost_k*Alpha_keep*A61</f>
        <v>195</v>
      </c>
      <c r="E61" s="12" t="n">
        <f aca="false">MIN(Cap_h,MAX(0,$B$18+MAX(Loss_w)-Alpha_keep*A61))</f>
        <v>0</v>
      </c>
      <c r="F61" s="12" t="n">
        <f aca="false">MAX(MIN(Cap_h,$F$18+MIN(Loss_w)-Alpha_keep*A61),E61)</f>
        <v>2.5</v>
      </c>
      <c r="G61" s="12" t="n">
        <f aca="false">Alpha_keep*A61+E61</f>
        <v>48.75</v>
      </c>
      <c r="H61" s="12" t="n">
        <f aca="false">Alpha_keep*A61+F61</f>
        <v>51.25</v>
      </c>
      <c r="I61" s="19" t="n">
        <f aca="false">MIN(INT((G61-$B$18)/$D$18+0.000000001),119)</f>
        <v>35</v>
      </c>
      <c r="J61" s="12" t="n">
        <f aca="false">(G61-$B$18)/$D$18-I61</f>
        <v>0</v>
      </c>
      <c r="K61" s="19" t="n">
        <f aca="false">MIN(INT((H61-$B$18)/$D$18+0.000000001),119)</f>
        <v>45</v>
      </c>
      <c r="L61" s="12" t="n">
        <f aca="false">(H61-$B$18)/$D$18-K61</f>
        <v>0</v>
      </c>
      <c r="M61" s="9" t="n">
        <v>0</v>
      </c>
      <c r="N61" s="12" t="n">
        <f aca="false">-Cost_k*$A61+Beta_q*(Declarations!$B$16*INDEX(M$21:M$141,MAX(1,MIN(121,$B61-ROUND(Declarations!$A$16/$D$18,0))))+Declarations!$B$17*INDEX(M$21:M$141,MAX(1,MIN(121,$B61-ROUND(Declarations!$A$17/$D$18,0))))+Declarations!$B$18*INDEX(M$21:M$141,MAX(1,MIN(121,$B61-ROUND(Declarations!$A$18/$D$18,0))))+Declarations!$B$19*INDEX(M$21:M$141,MAX(1,MIN(121,$B61-ROUND(Declarations!$A$19/$D$18,0))))+Declarations!$B$20*INDEX(M$21:M$141,MAX(1,MIN(121,$B61-ROUND(Declarations!$A$20/$D$18,0)))))</f>
        <v>-200</v>
      </c>
      <c r="O61" s="12" t="n">
        <f aca="false">INDEX(N$21:N$141,$I61+1)*(1-$J61)+INDEX(N$21:N$141,$I61+2)*$J61</f>
        <v>-195</v>
      </c>
      <c r="P61" s="12" t="n">
        <f aca="false">INDEX(N$21:N$141,$K61+1)*(1-$L61)+INDEX(N$21:N$141,$K61+2)*$L61</f>
        <v>-205</v>
      </c>
      <c r="Q61" s="12" t="n">
        <f aca="false">$C61+$D61+MAX(O61,P61,IF(COUNTIFS($A$21:$A$141,"&gt;="&amp;$G61,$A$21:$A$141,"&lt;="&amp;$H61)&gt;0,_xlfn.MAXIFS(N$21:N$141,$A$21:$A$141,"&gt;="&amp;$G61,$A$21:$A$141,"&lt;="&amp;$H61),O61))</f>
        <v>-8</v>
      </c>
      <c r="R61" s="12" t="n">
        <f aca="false">-Cost_k*$A61+Beta_q*(Declarations!$B$16*INDEX(Q$21:Q$141,MAX(1,MIN(121,$B61-ROUND(Declarations!$A$16/$D$18,0))))+Declarations!$B$17*INDEX(Q$21:Q$141,MAX(1,MIN(121,$B61-ROUND(Declarations!$A$17/$D$18,0))))+Declarations!$B$18*INDEX(Q$21:Q$141,MAX(1,MIN(121,$B61-ROUND(Declarations!$A$18/$D$18,0))))+Declarations!$B$19*INDEX(Q$21:Q$141,MAX(1,MIN(121,$B61-ROUND(Declarations!$A$19/$D$18,0))))+Declarations!$B$20*INDEX(Q$21:Q$141,MAX(1,MIN(121,$B61-ROUND(Declarations!$A$20/$D$18,0)))))</f>
        <v>-207.81163271741</v>
      </c>
      <c r="S61" s="12" t="n">
        <f aca="false">INDEX(R$21:R$141,$I61+1)*(1-$J61)+INDEX(R$21:R$141,$I61+2)*$J61</f>
        <v>-204.764540896763</v>
      </c>
      <c r="T61" s="12" t="n">
        <f aca="false">INDEX(R$21:R$141,$K61+1)*(1-$L61)+INDEX(R$21:R$141,$K61+2)*$L61</f>
        <v>-210.858724538058</v>
      </c>
      <c r="U61" s="12" t="n">
        <f aca="false">$C61+$D61+MAX(S61,T61,IF(COUNTIFS($A$21:$A$141,"&gt;="&amp;$G61,$A$21:$A$141,"&lt;="&amp;$H61)&gt;0,_xlfn.MAXIFS(R$21:R$141,$A$21:$A$141,"&gt;="&amp;$G61,$A$21:$A$141,"&lt;="&amp;$H61),S61))</f>
        <v>-17.7645408967631</v>
      </c>
      <c r="V61" s="12" t="n">
        <f aca="false">-Cost_k*$A61+Beta_q*(Declarations!$B$16*INDEX(U$21:U$141,MAX(1,MIN(121,$B61-ROUND(Declarations!$A$16/$D$18,0))))+Declarations!$B$17*INDEX(U$21:U$141,MAX(1,MIN(121,$B61-ROUND(Declarations!$A$17/$D$18,0))))+Declarations!$B$18*INDEX(U$21:U$141,MAX(1,MIN(121,$B61-ROUND(Declarations!$A$18/$D$18,0))))+Declarations!$B$19*INDEX(U$21:U$141,MAX(1,MIN(121,$B61-ROUND(Declarations!$A$19/$D$18,0))))+Declarations!$B$20*INDEX(U$21:U$141,MAX(1,MIN(121,$B61-ROUND(Declarations!$A$20/$D$18,0)))))</f>
        <v>-217.346258609866</v>
      </c>
      <c r="W61" s="12" t="n">
        <f aca="false">INDEX(V$21:V$141,$I61+1)*(1-$J61)+INDEX(V$21:V$141,$I61+2)*$J61</f>
        <v>-216.158418838248</v>
      </c>
      <c r="X61" s="12" t="n">
        <f aca="false">INDEX(V$21:V$141,$K61+1)*(1-$L61)+INDEX(V$21:V$141,$K61+2)*$L61</f>
        <v>-218.534098381485</v>
      </c>
      <c r="Y61" s="12" t="n">
        <f aca="false">$C61+$D61+MAX(W61,X61,IF(COUNTIFS($A$21:$A$141,"&gt;="&amp;$G61,$A$21:$A$141,"&lt;="&amp;$H61)&gt;0,_xlfn.MAXIFS(V$21:V$141,$A$21:$A$141,"&gt;="&amp;$G61,$A$21:$A$141,"&lt;="&amp;$H61),W61))</f>
        <v>-29.1584188382479</v>
      </c>
      <c r="Z61" s="12" t="n">
        <f aca="false">-Cost_k*$A61+Beta_q*(Declarations!$B$16*INDEX(Y$21:Y$141,MAX(1,MIN(121,$B61-ROUND(Declarations!$A$16/$D$18,0))))+Declarations!$B$17*INDEX(Y$21:Y$141,MAX(1,MIN(121,$B61-ROUND(Declarations!$A$17/$D$18,0))))+Declarations!$B$18*INDEX(Y$21:Y$141,MAX(1,MIN(121,$B61-ROUND(Declarations!$A$18/$D$18,0))))+Declarations!$B$19*INDEX(Y$21:Y$141,MAX(1,MIN(121,$B61-ROUND(Declarations!$A$19/$D$18,0))))+Declarations!$B$20*INDEX(Y$21:Y$141,MAX(1,MIN(121,$B61-ROUND(Declarations!$A$20/$D$18,0)))))</f>
        <v>-228.471857323102</v>
      </c>
      <c r="AA61" s="12" t="n">
        <f aca="false">INDEX(Z$21:Z$141,$I61+1)*(1-$J61)+INDEX(Z$21:Z$141,$I61+2)*$J61</f>
        <v>-229.054512768911</v>
      </c>
      <c r="AB61" s="12" t="n">
        <f aca="false">INDEX(Z$21:Z$141,$K61+1)*(1-$L61)+INDEX(Z$21:Z$141,$K61+2)*$L61</f>
        <v>-227.889609684382</v>
      </c>
      <c r="AC61" s="12" t="n">
        <f aca="false">$C61+$D61+MAX(AA61,AB61,IF(COUNTIFS($A$21:$A$141,"&gt;="&amp;$G61,$A$21:$A$141,"&lt;="&amp;$H61)&gt;0,_xlfn.MAXIFS(Z$21:Z$141,$A$21:$A$141,"&gt;="&amp;$G61,$A$21:$A$141,"&lt;="&amp;$H61),AA61))</f>
        <v>-40.8896096843824</v>
      </c>
      <c r="AD61" s="12" t="n">
        <f aca="false">-Cost_k*$A61+Beta_q*(Declarations!$B$16*INDEX(AC$21:AC$141,MAX(1,MIN(121,$B61-ROUND(Declarations!$A$16/$D$18,0))))+Declarations!$B$17*INDEX(AC$21:AC$141,MAX(1,MIN(121,$B61-ROUND(Declarations!$A$17/$D$18,0))))+Declarations!$B$18*INDEX(AC$21:AC$141,MAX(1,MIN(121,$B61-ROUND(Declarations!$A$18/$D$18,0))))+Declarations!$B$19*INDEX(AC$21:AC$141,MAX(1,MIN(121,$B61-ROUND(Declarations!$A$19/$D$18,0))))+Declarations!$B$20*INDEX(AC$21:AC$141,MAX(1,MIN(121,$B61-ROUND(Declarations!$A$20/$D$18,0)))))</f>
        <v>-239.926826601583</v>
      </c>
      <c r="AE61" s="12" t="n">
        <f aca="false">INDEX(AD$21:AD$141,$I61+1)*(1-$J61)+INDEX(AD$21:AD$141,$I61+2)*$J61</f>
        <v>-242.194330875146</v>
      </c>
      <c r="AF61" s="12" t="n">
        <f aca="false">INDEX(AD$21:AD$141,$K61+1)*(1-$L61)+INDEX(AD$21:AD$141,$K61+2)*$L61</f>
        <v>-237.661138743704</v>
      </c>
      <c r="AG61" s="12" t="n">
        <f aca="false">$C61+$D61+MAX(AE61,AF61,IF(COUNTIFS($A$21:$A$141,"&gt;="&amp;$G61,$A$21:$A$141,"&lt;="&amp;$H61)&gt;0,_xlfn.MAXIFS(AD$21:AD$141,$A$21:$A$141,"&gt;="&amp;$G61,$A$21:$A$141,"&lt;="&amp;$H61),AE61))</f>
        <v>-50.6611387437035</v>
      </c>
      <c r="AH61" s="12" t="n">
        <f aca="false">-Cost_k*$A61+Beta_q*(Declarations!$B$16*INDEX(AG$21:AG$141,MAX(1,MIN(121,$B61-ROUND(Declarations!$A$16/$D$18,0))))+Declarations!$B$17*INDEX(AG$21:AG$141,MAX(1,MIN(121,$B61-ROUND(Declarations!$A$17/$D$18,0))))+Declarations!$B$18*INDEX(AG$21:AG$141,MAX(1,MIN(121,$B61-ROUND(Declarations!$A$18/$D$18,0))))+Declarations!$B$19*INDEX(AG$21:AG$141,MAX(1,MIN(121,$B61-ROUND(Declarations!$A$19/$D$18,0))))+Declarations!$B$20*INDEX(AG$21:AG$141,MAX(1,MIN(121,$B61-ROUND(Declarations!$A$20/$D$18,0)))))</f>
        <v>-249.475259367408</v>
      </c>
      <c r="AI61" s="12" t="n">
        <f aca="false">INDEX(AH$21:AH$141,$I61+1)*(1-$J61)+INDEX(AH$21:AH$141,$I61+2)*$J61</f>
        <v>-253.338547001691</v>
      </c>
      <c r="AJ61" s="12" t="n">
        <f aca="false">INDEX(AH$21:AH$141,$K61+1)*(1-$L61)+INDEX(AH$21:AH$141,$K61+2)*$L61</f>
        <v>-245.682679934472</v>
      </c>
      <c r="AK61" s="12" t="n">
        <f aca="false">$C61+$D61+MAX(AI61,AJ61,IF(COUNTIFS($A$21:$A$141,"&gt;="&amp;$G61,$A$21:$A$141,"&lt;="&amp;$H61)&gt;0,_xlfn.MAXIFS(AH$21:AH$141,$A$21:$A$141,"&gt;="&amp;$G61,$A$21:$A$141,"&lt;="&amp;$H61),AI61))</f>
        <v>-58.6826799344717</v>
      </c>
      <c r="AL61" s="12" t="n">
        <f aca="false">-Cost_k*$A61+Beta_q*(Declarations!$B$16*INDEX(AK$21:AK$141,MAX(1,MIN(121,$B61-ROUND(Declarations!$A$16/$D$18,0))))+Declarations!$B$17*INDEX(AK$21:AK$141,MAX(1,MIN(121,$B61-ROUND(Declarations!$A$17/$D$18,0))))+Declarations!$B$18*INDEX(AK$21:AK$141,MAX(1,MIN(121,$B61-ROUND(Declarations!$A$18/$D$18,0))))+Declarations!$B$19*INDEX(AK$21:AK$141,MAX(1,MIN(121,$B61-ROUND(Declarations!$A$19/$D$18,0))))+Declarations!$B$20*INDEX(AK$21:AK$141,MAX(1,MIN(121,$B61-ROUND(Declarations!$A$20/$D$18,0)))))</f>
        <v>-257.335737895288</v>
      </c>
      <c r="AM61" s="12" t="n">
        <f aca="false">INDEX(AL$21:AL$141,$I61+1)*(1-$J61)+INDEX(AL$21:AL$141,$I61+2)*$J61</f>
        <v>-262.633127481023</v>
      </c>
      <c r="AN61" s="12" t="n">
        <f aca="false">INDEX(AL$21:AL$141,$K61+1)*(1-$L61)+INDEX(AL$21:AL$141,$K61+2)*$L61</f>
        <v>-252.296164419445</v>
      </c>
      <c r="AO61" s="12" t="n">
        <f aca="false">$C61+$D61+MAX(AM61,AN61,IF(COUNTIFS($A$21:$A$141,"&gt;="&amp;$G61,$A$21:$A$141,"&lt;="&amp;$H61)&gt;0,_xlfn.MAXIFS(AL$21:AL$141,$A$21:$A$141,"&gt;="&amp;$G61,$A$21:$A$141,"&lt;="&amp;$H61),AM61))</f>
        <v>-65.2961644194447</v>
      </c>
      <c r="AP61" s="12" t="n">
        <f aca="false">-Cost_k*$A61+Beta_q*(Declarations!$B$16*INDEX(AO$21:AO$141,MAX(1,MIN(121,$B61-ROUND(Declarations!$A$16/$D$18,0))))+Declarations!$B$17*INDEX(AO$21:AO$141,MAX(1,MIN(121,$B61-ROUND(Declarations!$A$17/$D$18,0))))+Declarations!$B$18*INDEX(AO$21:AO$141,MAX(1,MIN(121,$B61-ROUND(Declarations!$A$18/$D$18,0))))+Declarations!$B$19*INDEX(AO$21:AO$141,MAX(1,MIN(121,$B61-ROUND(Declarations!$A$19/$D$18,0))))+Declarations!$B$20*INDEX(AO$21:AO$141,MAX(1,MIN(121,$B61-ROUND(Declarations!$A$20/$D$18,0)))))</f>
        <v>-263.837207596169</v>
      </c>
      <c r="AQ61" s="12" t="n">
        <f aca="false">INDEX(AP$21:AP$141,$I61+1)*(1-$J61)+INDEX(AP$21:AP$141,$I61+2)*$J61</f>
        <v>-270.301548287248</v>
      </c>
      <c r="AR61" s="12" t="n">
        <f aca="false">INDEX(AP$21:AP$141,$K61+1)*(1-$L61)+INDEX(AP$21:AP$141,$K61+2)*$L61</f>
        <v>-257.944898790177</v>
      </c>
      <c r="AS61" s="12" t="n">
        <f aca="false">$C61+$D61+MAX(AQ61,AR61,IF(COUNTIFS($A$21:$A$141,"&gt;="&amp;$G61,$A$21:$A$141,"&lt;="&amp;$H61)&gt;0,_xlfn.MAXIFS(AP$21:AP$141,$A$21:$A$141,"&gt;="&amp;$G61,$A$21:$A$141,"&lt;="&amp;$H61),AQ61))</f>
        <v>-70.9448987901772</v>
      </c>
      <c r="AT61" s="12" t="n">
        <f aca="false">-Cost_k*$A61+Beta_q*(Declarations!$B$16*INDEX(AS$21:AS$141,MAX(1,MIN(121,$B61-ROUND(Declarations!$A$16/$D$18,0))))+Declarations!$B$17*INDEX(AS$21:AS$141,MAX(1,MIN(121,$B61-ROUND(Declarations!$A$17/$D$18,0))))+Declarations!$B$18*INDEX(AS$21:AS$141,MAX(1,MIN(121,$B61-ROUND(Declarations!$A$18/$D$18,0))))+Declarations!$B$19*INDEX(AS$21:AS$141,MAX(1,MIN(121,$B61-ROUND(Declarations!$A$19/$D$18,0))))+Declarations!$B$20*INDEX(AS$21:AS$141,MAX(1,MIN(121,$B61-ROUND(Declarations!$A$20/$D$18,0)))))</f>
        <v>-269.410104201432</v>
      </c>
      <c r="AU61" s="12" t="n">
        <f aca="false">INDEX(AT$21:AT$141,$I61+1)*(1-$J61)+INDEX(AT$21:AT$141,$I61+2)*$J61</f>
        <v>-276.667874539305</v>
      </c>
      <c r="AV61" s="12" t="n">
        <f aca="false">INDEX(AT$21:AT$141,$K61+1)*(1-$L61)+INDEX(AT$21:AT$141,$K61+2)*$L61</f>
        <v>-263.0855763823</v>
      </c>
      <c r="AW61" s="12" t="n">
        <f aca="false">$C61+$D61+MAX(AU61,AV61,IF(COUNTIFS($A$21:$A$141,"&gt;="&amp;$G61,$A$21:$A$141,"&lt;="&amp;$H61)&gt;0,_xlfn.MAXIFS(AT$21:AT$141,$A$21:$A$141,"&gt;="&amp;$G61,$A$21:$A$141,"&lt;="&amp;$H61),AU61))</f>
        <v>-76.0855763822998</v>
      </c>
      <c r="AX61" s="12" t="n">
        <f aca="false">-Cost_k*$A61+Beta_q*(Declarations!$B$16*INDEX(AW$21:AW$141,MAX(1,MIN(121,$B61-ROUND(Declarations!$A$16/$D$18,0))))+Declarations!$B$17*INDEX(AW$21:AW$141,MAX(1,MIN(121,$B61-ROUND(Declarations!$A$17/$D$18,0))))+Declarations!$B$18*INDEX(AW$21:AW$141,MAX(1,MIN(121,$B61-ROUND(Declarations!$A$18/$D$18,0))))+Declarations!$B$19*INDEX(AW$21:AW$141,MAX(1,MIN(121,$B61-ROUND(Declarations!$A$19/$D$18,0))))+Declarations!$B$20*INDEX(AW$21:AW$141,MAX(1,MIN(121,$B61-ROUND(Declarations!$A$20/$D$18,0)))))</f>
        <v>-274.466173072741</v>
      </c>
      <c r="AY61" s="12" t="n">
        <f aca="false">INDEX(AX$21:AX$141,$I61+1)*(1-$J61)+INDEX(AX$21:AX$141,$I61+2)*$J61</f>
        <v>-282.143937283704</v>
      </c>
      <c r="AZ61" s="12" t="n">
        <f aca="false">INDEX(AX$21:AX$141,$K61+1)*(1-$L61)+INDEX(AX$21:AX$141,$K61+2)*$L61</f>
        <v>-267.963032425728</v>
      </c>
      <c r="BA61" s="12" t="n">
        <f aca="false">$C61+$D61+MAX(AY61,AZ61,IF(COUNTIFS($A$21:$A$141,"&gt;="&amp;$G61,$A$21:$A$141,"&lt;="&amp;$H61)&gt;0,_xlfn.MAXIFS(AX$21:AX$141,$A$21:$A$141,"&gt;="&amp;$G61,$A$21:$A$141,"&lt;="&amp;$H61),AY61))</f>
        <v>-80.963032425728</v>
      </c>
      <c r="BB61" s="12" t="n">
        <f aca="false">-Cost_k*$A61+Beta_q*(Declarations!$B$16*INDEX(BA$21:BA$141,MAX(1,MIN(121,$B61-ROUND(Declarations!$A$16/$D$18,0))))+Declarations!$B$17*INDEX(BA$21:BA$141,MAX(1,MIN(121,$B61-ROUND(Declarations!$A$17/$D$18,0))))+Declarations!$B$18*INDEX(BA$21:BA$141,MAX(1,MIN(121,$B61-ROUND(Declarations!$A$18/$D$18,0))))+Declarations!$B$19*INDEX(BA$21:BA$141,MAX(1,MIN(121,$B61-ROUND(Declarations!$A$19/$D$18,0))))+Declarations!$B$20*INDEX(BA$21:BA$141,MAX(1,MIN(121,$B61-ROUND(Declarations!$A$20/$D$18,0)))))</f>
        <v>-279.245422567687</v>
      </c>
      <c r="BC61" s="12" t="n">
        <f aca="false">INDEX(BB$21:BB$141,$I61+1)*(1-$J61)+INDEX(BB$21:BB$141,$I61+2)*$J61</f>
        <v>-287.106906748543</v>
      </c>
      <c r="BD61" s="12" t="n">
        <f aca="false">INDEX(BB$21:BB$141,$K61+1)*(1-$L61)+INDEX(BB$21:BB$141,$K61+2)*$L61</f>
        <v>-272.680525468931</v>
      </c>
      <c r="BE61" s="12" t="n">
        <f aca="false">$C61+$D61+MAX(BC61,BD61,IF(COUNTIFS($A$21:$A$141,"&gt;="&amp;$G61,$A$21:$A$141,"&lt;="&amp;$H61)&gt;0,_xlfn.MAXIFS(BB$21:BB$141,$A$21:$A$141,"&gt;="&amp;$G61,$A$21:$A$141,"&lt;="&amp;$H61),BC61))</f>
        <v>-85.680525468931</v>
      </c>
      <c r="BF61" s="12" t="n">
        <f aca="false">-Cost_k*$A61+Beta_q*(Declarations!$B$16*INDEX(BE$21:BE$141,MAX(1,MIN(121,$B61-ROUND(Declarations!$A$16/$D$18,0))))+Declarations!$B$17*INDEX(BE$21:BE$141,MAX(1,MIN(121,$B61-ROUND(Declarations!$A$17/$D$18,0))))+Declarations!$B$18*INDEX(BE$21:BE$141,MAX(1,MIN(121,$B61-ROUND(Declarations!$A$18/$D$18,0))))+Declarations!$B$19*INDEX(BE$21:BE$141,MAX(1,MIN(121,$B61-ROUND(Declarations!$A$19/$D$18,0))))+Declarations!$B$20*INDEX(BE$21:BE$141,MAX(1,MIN(121,$B61-ROUND(Declarations!$A$20/$D$18,0)))))</f>
        <v>-283.858061244996</v>
      </c>
      <c r="BG61" s="12" t="n">
        <f aca="false">INDEX(BF$21:BF$141,$I61+1)*(1-$J61)+INDEX(BF$21:BF$141,$I61+2)*$J61</f>
        <v>-291.787198175737</v>
      </c>
      <c r="BH61" s="12" t="n">
        <f aca="false">INDEX(BF$21:BF$141,$K61+1)*(1-$L61)+INDEX(BF$21:BF$141,$K61+2)*$L61</f>
        <v>-277.274064987244</v>
      </c>
      <c r="BI61" s="12" t="n">
        <f aca="false">$C61+$D61+MAX(BG61,BH61,IF(COUNTIFS($A$21:$A$141,"&gt;="&amp;$G61,$A$21:$A$141,"&lt;="&amp;$H61)&gt;0,_xlfn.MAXIFS(BF$21:BF$141,$A$21:$A$141,"&gt;="&amp;$G61,$A$21:$A$141,"&lt;="&amp;$H61),BG61))</f>
        <v>-90.2740649872442</v>
      </c>
      <c r="BJ61" s="23" t="n">
        <v>-90.2740649872442</v>
      </c>
      <c r="BK61" s="22" t="n">
        <f aca="false">ABS(BI61-BJ61)</f>
        <v>0</v>
      </c>
    </row>
    <row r="62" customFormat="false" ht="15" hidden="false" customHeight="false" outlineLevel="0" collapsed="false">
      <c r="A62" s="14" t="n">
        <f aca="false">A61+$D$18</f>
        <v>50.25</v>
      </c>
      <c r="B62" s="19" t="n">
        <v>42</v>
      </c>
      <c r="C62" s="12" t="n">
        <f aca="false">-Short_p*MAX(Floor_c-A62,0)</f>
        <v>-7.6</v>
      </c>
      <c r="D62" s="12" t="n">
        <f aca="false">Cost_k*Alpha_keep*A62</f>
        <v>195.975</v>
      </c>
      <c r="E62" s="12" t="n">
        <f aca="false">MIN(Cap_h,MAX(0,$B$18+MAX(Loss_w)-Alpha_keep*A62))</f>
        <v>0</v>
      </c>
      <c r="F62" s="12" t="n">
        <f aca="false">MAX(MIN(Cap_h,$F$18+MIN(Loss_w)-Alpha_keep*A62),E62)</f>
        <v>2.5</v>
      </c>
      <c r="G62" s="12" t="n">
        <f aca="false">Alpha_keep*A62+E62</f>
        <v>48.99375</v>
      </c>
      <c r="H62" s="12" t="n">
        <f aca="false">Alpha_keep*A62+F62</f>
        <v>51.49375</v>
      </c>
      <c r="I62" s="19" t="n">
        <f aca="false">MIN(INT((G62-$B$18)/$D$18+0.000000001),119)</f>
        <v>35</v>
      </c>
      <c r="J62" s="12" t="n">
        <f aca="false">(G62-$B$18)/$D$18-I62</f>
        <v>0.974999999999994</v>
      </c>
      <c r="K62" s="19" t="n">
        <f aca="false">MIN(INT((H62-$B$18)/$D$18+0.000000001),119)</f>
        <v>45</v>
      </c>
      <c r="L62" s="12" t="n">
        <f aca="false">(H62-$B$18)/$D$18-K62</f>
        <v>0.974999999999994</v>
      </c>
      <c r="M62" s="9" t="n">
        <v>0</v>
      </c>
      <c r="N62" s="12" t="n">
        <f aca="false">-Cost_k*$A62+Beta_q*(Declarations!$B$16*INDEX(M$21:M$141,MAX(1,MIN(121,$B62-ROUND(Declarations!$A$16/$D$18,0))))+Declarations!$B$17*INDEX(M$21:M$141,MAX(1,MIN(121,$B62-ROUND(Declarations!$A$17/$D$18,0))))+Declarations!$B$18*INDEX(M$21:M$141,MAX(1,MIN(121,$B62-ROUND(Declarations!$A$18/$D$18,0))))+Declarations!$B$19*INDEX(M$21:M$141,MAX(1,MIN(121,$B62-ROUND(Declarations!$A$19/$D$18,0))))+Declarations!$B$20*INDEX(M$21:M$141,MAX(1,MIN(121,$B62-ROUND(Declarations!$A$20/$D$18,0)))))</f>
        <v>-201</v>
      </c>
      <c r="O62" s="12" t="n">
        <f aca="false">INDEX(N$21:N$141,$I62+1)*(1-$J62)+INDEX(N$21:N$141,$I62+2)*$J62</f>
        <v>-195.975</v>
      </c>
      <c r="P62" s="12" t="n">
        <f aca="false">INDEX(N$21:N$141,$K62+1)*(1-$L62)+INDEX(N$21:N$141,$K62+2)*$L62</f>
        <v>-205.975</v>
      </c>
      <c r="Q62" s="12" t="n">
        <f aca="false">$C62+$D62+MAX(O62,P62,IF(COUNTIFS($A$21:$A$141,"&gt;="&amp;$G62,$A$21:$A$141,"&lt;="&amp;$H62)&gt;0,_xlfn.MAXIFS(N$21:N$141,$A$21:$A$141,"&gt;="&amp;$G62,$A$21:$A$141,"&lt;="&amp;$H62),O62))</f>
        <v>-7.59999999999999</v>
      </c>
      <c r="R62" s="12" t="n">
        <f aca="false">-Cost_k*$A62+Beta_q*(Declarations!$B$16*INDEX(Q$21:Q$141,MAX(1,MIN(121,$B62-ROUND(Declarations!$A$16/$D$18,0))))+Declarations!$B$17*INDEX(Q$21:Q$141,MAX(1,MIN(121,$B62-ROUND(Declarations!$A$17/$D$18,0))))+Declarations!$B$18*INDEX(Q$21:Q$141,MAX(1,MIN(121,$B62-ROUND(Declarations!$A$18/$D$18,0))))+Declarations!$B$19*INDEX(Q$21:Q$141,MAX(1,MIN(121,$B62-ROUND(Declarations!$A$19/$D$18,0))))+Declarations!$B$20*INDEX(Q$21:Q$141,MAX(1,MIN(121,$B62-ROUND(Declarations!$A$20/$D$18,0)))))</f>
        <v>-208.42105108154</v>
      </c>
      <c r="S62" s="12" t="n">
        <f aca="false">INDEX(R$21:R$141,$I62+1)*(1-$J62)+INDEX(R$21:R$141,$I62+2)*$J62</f>
        <v>-205.358723801789</v>
      </c>
      <c r="T62" s="12" t="n">
        <f aca="false">INDEX(R$21:R$141,$K62+1)*(1-$L62)+INDEX(R$21:R$141,$K62+2)*$L62</f>
        <v>-211.452907443084</v>
      </c>
      <c r="U62" s="12" t="n">
        <f aca="false">$C62+$D62+MAX(S62,T62,IF(COUNTIFS($A$21:$A$141,"&gt;="&amp;$G62,$A$21:$A$141,"&lt;="&amp;$H62)&gt;0,_xlfn.MAXIFS(R$21:R$141,$A$21:$A$141,"&gt;="&amp;$G62,$A$21:$A$141,"&lt;="&amp;$H62),S62))</f>
        <v>-16.9837238017893</v>
      </c>
      <c r="V62" s="12" t="n">
        <f aca="false">-Cost_k*$A62+Beta_q*(Declarations!$B$16*INDEX(U$21:U$141,MAX(1,MIN(121,$B62-ROUND(Declarations!$A$16/$D$18,0))))+Declarations!$B$17*INDEX(U$21:U$141,MAX(1,MIN(121,$B62-ROUND(Declarations!$A$17/$D$18,0))))+Declarations!$B$18*INDEX(U$21:U$141,MAX(1,MIN(121,$B62-ROUND(Declarations!$A$18/$D$18,0))))+Declarations!$B$19*INDEX(U$21:U$141,MAX(1,MIN(121,$B62-ROUND(Declarations!$A$19/$D$18,0))))+Declarations!$B$20*INDEX(U$21:U$141,MAX(1,MIN(121,$B62-ROUND(Declarations!$A$20/$D$18,0)))))</f>
        <v>-217.58382656419</v>
      </c>
      <c r="W62" s="12" t="n">
        <f aca="false">INDEX(V$21:V$141,$I62+1)*(1-$J62)+INDEX(V$21:V$141,$I62+2)*$J62</f>
        <v>-216.390047593714</v>
      </c>
      <c r="X62" s="12" t="n">
        <f aca="false">INDEX(V$21:V$141,$K62+1)*(1-$L62)+INDEX(V$21:V$141,$K62+2)*$L62</f>
        <v>-218.76572713695</v>
      </c>
      <c r="Y62" s="12" t="n">
        <f aca="false">$C62+$D62+MAX(W62,X62,IF(COUNTIFS($A$21:$A$141,"&gt;="&amp;$G62,$A$21:$A$141,"&lt;="&amp;$H62)&gt;0,_xlfn.MAXIFS(V$21:V$141,$A$21:$A$141,"&gt;="&amp;$G62,$A$21:$A$141,"&lt;="&amp;$H62),W62))</f>
        <v>-28.0150475937135</v>
      </c>
      <c r="Z62" s="12" t="n">
        <f aca="false">-Cost_k*$A62+Beta_q*(Declarations!$B$16*INDEX(Y$21:Y$141,MAX(1,MIN(121,$B62-ROUND(Declarations!$A$16/$D$18,0))))+Declarations!$B$17*INDEX(Y$21:Y$141,MAX(1,MIN(121,$B62-ROUND(Declarations!$A$17/$D$18,0))))+Declarations!$B$18*INDEX(Y$21:Y$141,MAX(1,MIN(121,$B62-ROUND(Declarations!$A$18/$D$18,0))))+Declarations!$B$19*INDEX(Y$21:Y$141,MAX(1,MIN(121,$B62-ROUND(Declarations!$A$19/$D$18,0))))+Declarations!$B$20*INDEX(Y$21:Y$141,MAX(1,MIN(121,$B62-ROUND(Declarations!$A$20/$D$18,0)))))</f>
        <v>-228.355407795358</v>
      </c>
      <c r="AA62" s="12" t="n">
        <f aca="false">INDEX(Z$21:Z$141,$I62+1)*(1-$J62)+INDEX(Z$21:Z$141,$I62+2)*$J62</f>
        <v>-228.940741447992</v>
      </c>
      <c r="AB62" s="12" t="n">
        <f aca="false">INDEX(Z$21:Z$141,$K62+1)*(1-$L62)+INDEX(Z$21:Z$141,$K62+2)*$L62</f>
        <v>-227.776071394832</v>
      </c>
      <c r="AC62" s="12" t="n">
        <f aca="false">$C62+$D62+MAX(AA62,AB62,IF(COUNTIFS($A$21:$A$141,"&gt;="&amp;$G62,$A$21:$A$141,"&lt;="&amp;$H62)&gt;0,_xlfn.MAXIFS(Z$21:Z$141,$A$21:$A$141,"&gt;="&amp;$G62,$A$21:$A$141,"&lt;="&amp;$H62),AA62))</f>
        <v>-39.4010713948321</v>
      </c>
      <c r="AD62" s="12" t="n">
        <f aca="false">-Cost_k*$A62+Beta_q*(Declarations!$B$16*INDEX(AC$21:AC$141,MAX(1,MIN(121,$B62-ROUND(Declarations!$A$16/$D$18,0))))+Declarations!$B$17*INDEX(AC$21:AC$141,MAX(1,MIN(121,$B62-ROUND(Declarations!$A$17/$D$18,0))))+Declarations!$B$18*INDEX(AC$21:AC$141,MAX(1,MIN(121,$B62-ROUND(Declarations!$A$18/$D$18,0))))+Declarations!$B$19*INDEX(AC$21:AC$141,MAX(1,MIN(121,$B62-ROUND(Declarations!$A$19/$D$18,0))))+Declarations!$B$20*INDEX(AC$21:AC$141,MAX(1,MIN(121,$B62-ROUND(Declarations!$A$20/$D$18,0)))))</f>
        <v>-239.473337301112</v>
      </c>
      <c r="AE62" s="12" t="n">
        <f aca="false">INDEX(AD$21:AD$141,$I62+1)*(1-$J62)+INDEX(AD$21:AD$141,$I62+2)*$J62</f>
        <v>-241.752140967975</v>
      </c>
      <c r="AF62" s="12" t="n">
        <f aca="false">INDEX(AD$21:AD$141,$K62+1)*(1-$L62)+INDEX(AD$21:AD$141,$K62+2)*$L62</f>
        <v>-237.220146059346</v>
      </c>
      <c r="AG62" s="12" t="n">
        <f aca="false">$C62+$D62+MAX(AE62,AF62,IF(COUNTIFS($A$21:$A$141,"&gt;="&amp;$G62,$A$21:$A$141,"&lt;="&amp;$H62)&gt;0,_xlfn.MAXIFS(AD$21:AD$141,$A$21:$A$141,"&gt;="&amp;$G62,$A$21:$A$141,"&lt;="&amp;$H62),AE62))</f>
        <v>-48.8451460593461</v>
      </c>
      <c r="AH62" s="12" t="n">
        <f aca="false">-Cost_k*$A62+Beta_q*(Declarations!$B$16*INDEX(AG$21:AG$141,MAX(1,MIN(121,$B62-ROUND(Declarations!$A$16/$D$18,0))))+Declarations!$B$17*INDEX(AG$21:AG$141,MAX(1,MIN(121,$B62-ROUND(Declarations!$A$17/$D$18,0))))+Declarations!$B$18*INDEX(AG$21:AG$141,MAX(1,MIN(121,$B62-ROUND(Declarations!$A$18/$D$18,0))))+Declarations!$B$19*INDEX(AG$21:AG$141,MAX(1,MIN(121,$B62-ROUND(Declarations!$A$19/$D$18,0))))+Declarations!$B$20*INDEX(AG$21:AG$141,MAX(1,MIN(121,$B62-ROUND(Declarations!$A$20/$D$18,0)))))</f>
        <v>-248.705168764122</v>
      </c>
      <c r="AI62" s="12" t="n">
        <f aca="false">INDEX(AH$21:AH$141,$I62+1)*(1-$J62)+INDEX(AH$21:AH$141,$I62+2)*$J62</f>
        <v>-252.583991715326</v>
      </c>
      <c r="AJ62" s="12" t="n">
        <f aca="false">INDEX(AH$21:AH$141,$K62+1)*(1-$L62)+INDEX(AH$21:AH$141,$K62+2)*$L62</f>
        <v>-244.966056640555</v>
      </c>
      <c r="AK62" s="12" t="n">
        <f aca="false">$C62+$D62+MAX(AI62,AJ62,IF(COUNTIFS($A$21:$A$141,"&gt;="&amp;$G62,$A$21:$A$141,"&lt;="&amp;$H62)&gt;0,_xlfn.MAXIFS(AH$21:AH$141,$A$21:$A$141,"&gt;="&amp;$G62,$A$21:$A$141,"&lt;="&amp;$H62),AI62))</f>
        <v>-56.5910566405555</v>
      </c>
      <c r="AL62" s="12" t="n">
        <f aca="false">-Cost_k*$A62+Beta_q*(Declarations!$B$16*INDEX(AK$21:AK$141,MAX(1,MIN(121,$B62-ROUND(Declarations!$A$16/$D$18,0))))+Declarations!$B$17*INDEX(AK$21:AK$141,MAX(1,MIN(121,$B62-ROUND(Declarations!$A$17/$D$18,0))))+Declarations!$B$18*INDEX(AK$21:AK$141,MAX(1,MIN(121,$B62-ROUND(Declarations!$A$18/$D$18,0))))+Declarations!$B$19*INDEX(AK$21:AK$141,MAX(1,MIN(121,$B62-ROUND(Declarations!$A$19/$D$18,0))))+Declarations!$B$20*INDEX(AK$21:AK$141,MAX(1,MIN(121,$B62-ROUND(Declarations!$A$20/$D$18,0)))))</f>
        <v>-256.298827970967</v>
      </c>
      <c r="AM62" s="12" t="n">
        <f aca="false">INDEX(AL$21:AL$141,$I62+1)*(1-$J62)+INDEX(AL$21:AL$141,$I62+2)*$J62</f>
        <v>-261.588229711315</v>
      </c>
      <c r="AN62" s="12" t="n">
        <f aca="false">INDEX(AL$21:AL$141,$K62+1)*(1-$L62)+INDEX(AL$21:AL$141,$K62+2)*$L62</f>
        <v>-251.371796298277</v>
      </c>
      <c r="AO62" s="12" t="n">
        <f aca="false">$C62+$D62+MAX(AM62,AN62,IF(COUNTIFS($A$21:$A$141,"&gt;="&amp;$G62,$A$21:$A$141,"&lt;="&amp;$H62)&gt;0,_xlfn.MAXIFS(AL$21:AL$141,$A$21:$A$141,"&gt;="&amp;$G62,$A$21:$A$141,"&lt;="&amp;$H62),AM62))</f>
        <v>-62.9967962982772</v>
      </c>
      <c r="AP62" s="12" t="n">
        <f aca="false">-Cost_k*$A62+Beta_q*(Declarations!$B$16*INDEX(AO$21:AO$141,MAX(1,MIN(121,$B62-ROUND(Declarations!$A$16/$D$18,0))))+Declarations!$B$17*INDEX(AO$21:AO$141,MAX(1,MIN(121,$B62-ROUND(Declarations!$A$17/$D$18,0))))+Declarations!$B$18*INDEX(AO$21:AO$141,MAX(1,MIN(121,$B62-ROUND(Declarations!$A$18/$D$18,0))))+Declarations!$B$19*INDEX(AO$21:AO$141,MAX(1,MIN(121,$B62-ROUND(Declarations!$A$19/$D$18,0))))+Declarations!$B$20*INDEX(AO$21:AO$141,MAX(1,MIN(121,$B62-ROUND(Declarations!$A$20/$D$18,0)))))</f>
        <v>-262.602938745699</v>
      </c>
      <c r="AQ62" s="12" t="n">
        <f aca="false">INDEX(AP$21:AP$141,$I62+1)*(1-$J62)+INDEX(AP$21:AP$141,$I62+2)*$J62</f>
        <v>-269.011824555312</v>
      </c>
      <c r="AR62" s="12" t="n">
        <f aca="false">INDEX(AP$21:AP$141,$K62+1)*(1-$L62)+INDEX(AP$21:AP$141,$K62+2)*$L62</f>
        <v>-256.902845672352</v>
      </c>
      <c r="AS62" s="12" t="n">
        <f aca="false">$C62+$D62+MAX(AQ62,AR62,IF(COUNTIFS($A$21:$A$141,"&gt;="&amp;$G62,$A$21:$A$141,"&lt;="&amp;$H62)&gt;0,_xlfn.MAXIFS(AP$21:AP$141,$A$21:$A$141,"&gt;="&amp;$G62,$A$21:$A$141,"&lt;="&amp;$H62),AQ62))</f>
        <v>-68.5278456723518</v>
      </c>
      <c r="AT62" s="12" t="n">
        <f aca="false">-Cost_k*$A62+Beta_q*(Declarations!$B$16*INDEX(AS$21:AS$141,MAX(1,MIN(121,$B62-ROUND(Declarations!$A$16/$D$18,0))))+Declarations!$B$17*INDEX(AS$21:AS$141,MAX(1,MIN(121,$B62-ROUND(Declarations!$A$17/$D$18,0))))+Declarations!$B$18*INDEX(AS$21:AS$141,MAX(1,MIN(121,$B62-ROUND(Declarations!$A$18/$D$18,0))))+Declarations!$B$19*INDEX(AS$21:AS$141,MAX(1,MIN(121,$B62-ROUND(Declarations!$A$19/$D$18,0))))+Declarations!$B$20*INDEX(AS$21:AS$141,MAX(1,MIN(121,$B62-ROUND(Declarations!$A$20/$D$18,0)))))</f>
        <v>-268.060376431315</v>
      </c>
      <c r="AU62" s="12" t="n">
        <f aca="false">INDEX(AT$21:AT$141,$I62+1)*(1-$J62)+INDEX(AT$21:AT$141,$I62+2)*$J62</f>
        <v>-275.199623769259</v>
      </c>
      <c r="AV62" s="12" t="n">
        <f aca="false">INDEX(AT$21:AT$141,$K62+1)*(1-$L62)+INDEX(AT$21:AT$141,$K62+2)*$L62</f>
        <v>-261.994309449058</v>
      </c>
      <c r="AW62" s="12" t="n">
        <f aca="false">$C62+$D62+MAX(AU62,AV62,IF(COUNTIFS($A$21:$A$141,"&gt;="&amp;$G62,$A$21:$A$141,"&lt;="&amp;$H62)&gt;0,_xlfn.MAXIFS(AT$21:AT$141,$A$21:$A$141,"&gt;="&amp;$G62,$A$21:$A$141,"&lt;="&amp;$H62),AU62))</f>
        <v>-73.6193094490585</v>
      </c>
      <c r="AX62" s="12" t="n">
        <f aca="false">-Cost_k*$A62+Beta_q*(Declarations!$B$16*INDEX(AW$21:AW$141,MAX(1,MIN(121,$B62-ROUND(Declarations!$A$16/$D$18,0))))+Declarations!$B$17*INDEX(AW$21:AW$141,MAX(1,MIN(121,$B62-ROUND(Declarations!$A$17/$D$18,0))))+Declarations!$B$18*INDEX(AW$21:AW$141,MAX(1,MIN(121,$B62-ROUND(Declarations!$A$18/$D$18,0))))+Declarations!$B$19*INDEX(AW$21:AW$141,MAX(1,MIN(121,$B62-ROUND(Declarations!$A$19/$D$18,0))))+Declarations!$B$20*INDEX(AW$21:AW$141,MAX(1,MIN(121,$B62-ROUND(Declarations!$A$20/$D$18,0)))))</f>
        <v>-273.064099090378</v>
      </c>
      <c r="AY62" s="12" t="n">
        <f aca="false">INDEX(AX$21:AX$141,$I62+1)*(1-$J62)+INDEX(AX$21:AX$141,$I62+2)*$J62</f>
        <v>-280.569606015932</v>
      </c>
      <c r="AZ62" s="12" t="n">
        <f aca="false">INDEX(AX$21:AX$141,$K62+1)*(1-$L62)+INDEX(AX$21:AX$141,$K62+2)*$L62</f>
        <v>-266.85547773833</v>
      </c>
      <c r="BA62" s="12" t="n">
        <f aca="false">$C62+$D62+MAX(AY62,AZ62,IF(COUNTIFS($A$21:$A$141,"&gt;="&amp;$G62,$A$21:$A$141,"&lt;="&amp;$H62)&gt;0,_xlfn.MAXIFS(AX$21:AX$141,$A$21:$A$141,"&gt;="&amp;$G62,$A$21:$A$141,"&lt;="&amp;$H62),AY62))</f>
        <v>-78.4804777383303</v>
      </c>
      <c r="BB62" s="12" t="n">
        <f aca="false">-Cost_k*$A62+Beta_q*(Declarations!$B$16*INDEX(BA$21:BA$141,MAX(1,MIN(121,$B62-ROUND(Declarations!$A$16/$D$18,0))))+Declarations!$B$17*INDEX(BA$21:BA$141,MAX(1,MIN(121,$B62-ROUND(Declarations!$A$17/$D$18,0))))+Declarations!$B$18*INDEX(BA$21:BA$141,MAX(1,MIN(121,$B62-ROUND(Declarations!$A$18/$D$18,0))))+Declarations!$B$19*INDEX(BA$21:BA$141,MAX(1,MIN(121,$B62-ROUND(Declarations!$A$19/$D$18,0))))+Declarations!$B$20*INDEX(BA$21:BA$141,MAX(1,MIN(121,$B62-ROUND(Declarations!$A$20/$D$18,0)))))</f>
        <v>-277.82472785176</v>
      </c>
      <c r="BC62" s="12" t="n">
        <f aca="false">INDEX(BB$21:BB$141,$I62+1)*(1-$J62)+INDEX(BB$21:BB$141,$I62+2)*$J62</f>
        <v>-285.481867610611</v>
      </c>
      <c r="BD62" s="12" t="n">
        <f aca="false">INDEX(BB$21:BB$141,$K62+1)*(1-$L62)+INDEX(BB$21:BB$141,$K62+2)*$L62</f>
        <v>-271.567883338776</v>
      </c>
      <c r="BE62" s="12" t="n">
        <f aca="false">$C62+$D62+MAX(BC62,BD62,IF(COUNTIFS($A$21:$A$141,"&gt;="&amp;$G62,$A$21:$A$141,"&lt;="&amp;$H62)&gt;0,_xlfn.MAXIFS(BB$21:BB$141,$A$21:$A$141,"&gt;="&amp;$G62,$A$21:$A$141,"&lt;="&amp;$H62),BC62))</f>
        <v>-83.1928833387764</v>
      </c>
      <c r="BF62" s="12" t="n">
        <f aca="false">-Cost_k*$A62+Beta_q*(Declarations!$B$16*INDEX(BE$21:BE$141,MAX(1,MIN(121,$B62-ROUND(Declarations!$A$16/$D$18,0))))+Declarations!$B$17*INDEX(BE$21:BE$141,MAX(1,MIN(121,$B62-ROUND(Declarations!$A$17/$D$18,0))))+Declarations!$B$18*INDEX(BE$21:BE$141,MAX(1,MIN(121,$B62-ROUND(Declarations!$A$18/$D$18,0))))+Declarations!$B$19*INDEX(BE$21:BE$141,MAX(1,MIN(121,$B62-ROUND(Declarations!$A$19/$D$18,0))))+Declarations!$B$20*INDEX(BE$21:BE$141,MAX(1,MIN(121,$B62-ROUND(Declarations!$A$20/$D$18,0)))))</f>
        <v>-282.431119495469</v>
      </c>
      <c r="BG62" s="12" t="n">
        <f aca="false">INDEX(BF$21:BF$141,$I62+1)*(1-$J62)+INDEX(BF$21:BF$141,$I62+2)*$J62</f>
        <v>-290.14289598748</v>
      </c>
      <c r="BH62" s="12" t="n">
        <f aca="false">INDEX(BF$21:BF$141,$K62+1)*(1-$L62)+INDEX(BF$21:BF$141,$K62+2)*$L62</f>
        <v>-276.160044908162</v>
      </c>
      <c r="BI62" s="12" t="n">
        <f aca="false">$C62+$D62+MAX(BG62,BH62,IF(COUNTIFS($A$21:$A$141,"&gt;="&amp;$G62,$A$21:$A$141,"&lt;="&amp;$H62)&gt;0,_xlfn.MAXIFS(BF$21:BF$141,$A$21:$A$141,"&gt;="&amp;$G62,$A$21:$A$141,"&lt;="&amp;$H62),BG62))</f>
        <v>-87.7850449081622</v>
      </c>
      <c r="BJ62" s="23" t="n">
        <v>-87.7850449081622</v>
      </c>
      <c r="BK62" s="22" t="n">
        <f aca="false">ABS(BI62-BJ62)</f>
        <v>0</v>
      </c>
    </row>
    <row r="63" customFormat="false" ht="15" hidden="false" customHeight="false" outlineLevel="0" collapsed="false">
      <c r="A63" s="14" t="n">
        <f aca="false">A62+$D$18</f>
        <v>50.5</v>
      </c>
      <c r="B63" s="19" t="n">
        <v>43</v>
      </c>
      <c r="C63" s="12" t="n">
        <f aca="false">-Short_p*MAX(Floor_c-A63,0)</f>
        <v>-7.2</v>
      </c>
      <c r="D63" s="12" t="n">
        <f aca="false">Cost_k*Alpha_keep*A63</f>
        <v>196.95</v>
      </c>
      <c r="E63" s="12" t="n">
        <f aca="false">MIN(Cap_h,MAX(0,$B$18+MAX(Loss_w)-Alpha_keep*A63))</f>
        <v>0</v>
      </c>
      <c r="F63" s="12" t="n">
        <f aca="false">MAX(MIN(Cap_h,$F$18+MIN(Loss_w)-Alpha_keep*A63),E63)</f>
        <v>2.5</v>
      </c>
      <c r="G63" s="12" t="n">
        <f aca="false">Alpha_keep*A63+E63</f>
        <v>49.2375</v>
      </c>
      <c r="H63" s="12" t="n">
        <f aca="false">Alpha_keep*A63+F63</f>
        <v>51.7375</v>
      </c>
      <c r="I63" s="19" t="n">
        <f aca="false">MIN(INT((G63-$B$18)/$D$18+0.000000001),119)</f>
        <v>36</v>
      </c>
      <c r="J63" s="12" t="n">
        <f aca="false">(G63-$B$18)/$D$18-I63</f>
        <v>0.949999999999989</v>
      </c>
      <c r="K63" s="19" t="n">
        <f aca="false">MIN(INT((H63-$B$18)/$D$18+0.000000001),119)</f>
        <v>46</v>
      </c>
      <c r="L63" s="12" t="n">
        <f aca="false">(H63-$B$18)/$D$18-K63</f>
        <v>0.949999999999989</v>
      </c>
      <c r="M63" s="9" t="n">
        <v>0</v>
      </c>
      <c r="N63" s="12" t="n">
        <f aca="false">-Cost_k*$A63+Beta_q*(Declarations!$B$16*INDEX(M$21:M$141,MAX(1,MIN(121,$B63-ROUND(Declarations!$A$16/$D$18,0))))+Declarations!$B$17*INDEX(M$21:M$141,MAX(1,MIN(121,$B63-ROUND(Declarations!$A$17/$D$18,0))))+Declarations!$B$18*INDEX(M$21:M$141,MAX(1,MIN(121,$B63-ROUND(Declarations!$A$18/$D$18,0))))+Declarations!$B$19*INDEX(M$21:M$141,MAX(1,MIN(121,$B63-ROUND(Declarations!$A$19/$D$18,0))))+Declarations!$B$20*INDEX(M$21:M$141,MAX(1,MIN(121,$B63-ROUND(Declarations!$A$20/$D$18,0)))))</f>
        <v>-202</v>
      </c>
      <c r="O63" s="12" t="n">
        <f aca="false">INDEX(N$21:N$141,$I63+1)*(1-$J63)+INDEX(N$21:N$141,$I63+2)*$J63</f>
        <v>-196.95</v>
      </c>
      <c r="P63" s="12" t="n">
        <f aca="false">INDEX(N$21:N$141,$K63+1)*(1-$L63)+INDEX(N$21:N$141,$K63+2)*$L63</f>
        <v>-206.95</v>
      </c>
      <c r="Q63" s="12" t="n">
        <f aca="false">$C63+$D63+MAX(O63,P63,IF(COUNTIFS($A$21:$A$141,"&gt;="&amp;$G63,$A$21:$A$141,"&lt;="&amp;$H63)&gt;0,_xlfn.MAXIFS(N$21:N$141,$A$21:$A$141,"&gt;="&amp;$G63,$A$21:$A$141,"&lt;="&amp;$H63),O63))</f>
        <v>-7.19999999999999</v>
      </c>
      <c r="R63" s="12" t="n">
        <f aca="false">-Cost_k*$A63+Beta_q*(Declarations!$B$16*INDEX(Q$21:Q$141,MAX(1,MIN(121,$B63-ROUND(Declarations!$A$16/$D$18,0))))+Declarations!$B$17*INDEX(Q$21:Q$141,MAX(1,MIN(121,$B63-ROUND(Declarations!$A$17/$D$18,0))))+Declarations!$B$18*INDEX(Q$21:Q$141,MAX(1,MIN(121,$B63-ROUND(Declarations!$A$18/$D$18,0))))+Declarations!$B$19*INDEX(Q$21:Q$141,MAX(1,MIN(121,$B63-ROUND(Declarations!$A$19/$D$18,0))))+Declarations!$B$20*INDEX(Q$21:Q$141,MAX(1,MIN(121,$B63-ROUND(Declarations!$A$20/$D$18,0)))))</f>
        <v>-209.030469445669</v>
      </c>
      <c r="S63" s="12" t="n">
        <f aca="false">INDEX(R$21:R$141,$I63+1)*(1-$J63)+INDEX(R$21:R$141,$I63+2)*$J63</f>
        <v>-205.952906706816</v>
      </c>
      <c r="T63" s="12" t="n">
        <f aca="false">INDEX(R$21:R$141,$K63+1)*(1-$L63)+INDEX(R$21:R$141,$K63+2)*$L63</f>
        <v>-212.04709034811</v>
      </c>
      <c r="U63" s="12" t="n">
        <f aca="false">$C63+$D63+MAX(S63,T63,IF(COUNTIFS($A$21:$A$141,"&gt;="&amp;$G63,$A$21:$A$141,"&lt;="&amp;$H63)&gt;0,_xlfn.MAXIFS(R$21:R$141,$A$21:$A$141,"&gt;="&amp;$G63,$A$21:$A$141,"&lt;="&amp;$H63),S63))</f>
        <v>-16.2029067068156</v>
      </c>
      <c r="V63" s="12" t="n">
        <f aca="false">-Cost_k*$A63+Beta_q*(Declarations!$B$16*INDEX(U$21:U$141,MAX(1,MIN(121,$B63-ROUND(Declarations!$A$16/$D$18,0))))+Declarations!$B$17*INDEX(U$21:U$141,MAX(1,MIN(121,$B63-ROUND(Declarations!$A$17/$D$18,0))))+Declarations!$B$18*INDEX(U$21:U$141,MAX(1,MIN(121,$B63-ROUND(Declarations!$A$18/$D$18,0))))+Declarations!$B$19*INDEX(U$21:U$141,MAX(1,MIN(121,$B63-ROUND(Declarations!$A$19/$D$18,0))))+Declarations!$B$20*INDEX(U$21:U$141,MAX(1,MIN(121,$B63-ROUND(Declarations!$A$20/$D$18,0)))))</f>
        <v>-217.821394518514</v>
      </c>
      <c r="W63" s="12" t="n">
        <f aca="false">INDEX(V$21:V$141,$I63+1)*(1-$J63)+INDEX(V$21:V$141,$I63+2)*$J63</f>
        <v>-216.621676349179</v>
      </c>
      <c r="X63" s="12" t="n">
        <f aca="false">INDEX(V$21:V$141,$K63+1)*(1-$L63)+INDEX(V$21:V$141,$K63+2)*$L63</f>
        <v>-218.997355892416</v>
      </c>
      <c r="Y63" s="12" t="n">
        <f aca="false">$C63+$D63+MAX(W63,X63,IF(COUNTIFS($A$21:$A$141,"&gt;="&amp;$G63,$A$21:$A$141,"&lt;="&amp;$H63)&gt;0,_xlfn.MAXIFS(V$21:V$141,$A$21:$A$141,"&gt;="&amp;$G63,$A$21:$A$141,"&lt;="&amp;$H63),W63))</f>
        <v>-26.8716763491791</v>
      </c>
      <c r="Z63" s="12" t="n">
        <f aca="false">-Cost_k*$A63+Beta_q*(Declarations!$B$16*INDEX(Y$21:Y$141,MAX(1,MIN(121,$B63-ROUND(Declarations!$A$16/$D$18,0))))+Declarations!$B$17*INDEX(Y$21:Y$141,MAX(1,MIN(121,$B63-ROUND(Declarations!$A$17/$D$18,0))))+Declarations!$B$18*INDEX(Y$21:Y$141,MAX(1,MIN(121,$B63-ROUND(Declarations!$A$18/$D$18,0))))+Declarations!$B$19*INDEX(Y$21:Y$141,MAX(1,MIN(121,$B63-ROUND(Declarations!$A$19/$D$18,0))))+Declarations!$B$20*INDEX(Y$21:Y$141,MAX(1,MIN(121,$B63-ROUND(Declarations!$A$20/$D$18,0)))))</f>
        <v>-228.238958267614</v>
      </c>
      <c r="AA63" s="12" t="n">
        <f aca="false">INDEX(Z$21:Z$141,$I63+1)*(1-$J63)+INDEX(Z$21:Z$141,$I63+2)*$J63</f>
        <v>-228.827103278308</v>
      </c>
      <c r="AB63" s="12" t="n">
        <f aca="false">INDEX(Z$21:Z$141,$K63+1)*(1-$L63)+INDEX(Z$21:Z$141,$K63+2)*$L63</f>
        <v>-227.662533105282</v>
      </c>
      <c r="AC63" s="12" t="n">
        <f aca="false">$C63+$D63+MAX(AA63,AB63,IF(COUNTIFS($A$21:$A$141,"&gt;="&amp;$G63,$A$21:$A$141,"&lt;="&amp;$H63)&gt;0,_xlfn.MAXIFS(Z$21:Z$141,$A$21:$A$141,"&gt;="&amp;$G63,$A$21:$A$141,"&lt;="&amp;$H63),AA63))</f>
        <v>-37.9125331052818</v>
      </c>
      <c r="AD63" s="12" t="n">
        <f aca="false">-Cost_k*$A63+Beta_q*(Declarations!$B$16*INDEX(AC$21:AC$141,MAX(1,MIN(121,$B63-ROUND(Declarations!$A$16/$D$18,0))))+Declarations!$B$17*INDEX(AC$21:AC$141,MAX(1,MIN(121,$B63-ROUND(Declarations!$A$17/$D$18,0))))+Declarations!$B$18*INDEX(AC$21:AC$141,MAX(1,MIN(121,$B63-ROUND(Declarations!$A$18/$D$18,0))))+Declarations!$B$19*INDEX(AC$21:AC$141,MAX(1,MIN(121,$B63-ROUND(Declarations!$A$19/$D$18,0))))+Declarations!$B$20*INDEX(AC$21:AC$141,MAX(1,MIN(121,$B63-ROUND(Declarations!$A$20/$D$18,0)))))</f>
        <v>-239.019848477914</v>
      </c>
      <c r="AE63" s="12" t="n">
        <f aca="false">INDEX(AD$21:AD$141,$I63+1)*(1-$J63)+INDEX(AD$21:AD$141,$I63+2)*$J63</f>
        <v>-241.309976713787</v>
      </c>
      <c r="AF63" s="12" t="n">
        <f aca="false">INDEX(AD$21:AD$141,$K63+1)*(1-$L63)+INDEX(AD$21:AD$141,$K63+2)*$L63</f>
        <v>-236.784574614853</v>
      </c>
      <c r="AG63" s="12" t="n">
        <f aca="false">$C63+$D63+MAX(AE63,AF63,IF(COUNTIFS($A$21:$A$141,"&gt;="&amp;$G63,$A$21:$A$141,"&lt;="&amp;$H63)&gt;0,_xlfn.MAXIFS(AD$21:AD$141,$A$21:$A$141,"&gt;="&amp;$G63,$A$21:$A$141,"&lt;="&amp;$H63),AE63))</f>
        <v>-47.0345746148527</v>
      </c>
      <c r="AH63" s="12" t="n">
        <f aca="false">-Cost_k*$A63+Beta_q*(Declarations!$B$16*INDEX(AG$21:AG$141,MAX(1,MIN(121,$B63-ROUND(Declarations!$A$16/$D$18,0))))+Declarations!$B$17*INDEX(AG$21:AG$141,MAX(1,MIN(121,$B63-ROUND(Declarations!$A$17/$D$18,0))))+Declarations!$B$18*INDEX(AG$21:AG$141,MAX(1,MIN(121,$B63-ROUND(Declarations!$A$18/$D$18,0))))+Declarations!$B$19*INDEX(AG$21:AG$141,MAX(1,MIN(121,$B63-ROUND(Declarations!$A$19/$D$18,0))))+Declarations!$B$20*INDEX(AG$21:AG$141,MAX(1,MIN(121,$B63-ROUND(Declarations!$A$20/$D$18,0)))))</f>
        <v>-247.942281456119</v>
      </c>
      <c r="AI63" s="12" t="n">
        <f aca="false">INDEX(AH$21:AH$141,$I63+1)*(1-$J63)+INDEX(AH$21:AH$141,$I63+2)*$J63</f>
        <v>-251.82957666683</v>
      </c>
      <c r="AJ63" s="12" t="n">
        <f aca="false">INDEX(AH$21:AH$141,$K63+1)*(1-$L63)+INDEX(AH$21:AH$141,$K63+2)*$L63</f>
        <v>-244.257256227963</v>
      </c>
      <c r="AK63" s="12" t="n">
        <f aca="false">$C63+$D63+MAX(AI63,AJ63,IF(COUNTIFS($A$21:$A$141,"&gt;="&amp;$G63,$A$21:$A$141,"&lt;="&amp;$H63)&gt;0,_xlfn.MAXIFS(AH$21:AH$141,$A$21:$A$141,"&gt;="&amp;$G63,$A$21:$A$141,"&lt;="&amp;$H63),AI63))</f>
        <v>-54.5072562279628</v>
      </c>
      <c r="AL63" s="12" t="n">
        <f aca="false">-Cost_k*$A63+Beta_q*(Declarations!$B$16*INDEX(AK$21:AK$141,MAX(1,MIN(121,$B63-ROUND(Declarations!$A$16/$D$18,0))))+Declarations!$B$17*INDEX(AK$21:AK$141,MAX(1,MIN(121,$B63-ROUND(Declarations!$A$17/$D$18,0))))+Declarations!$B$18*INDEX(AK$21:AK$141,MAX(1,MIN(121,$B63-ROUND(Declarations!$A$18/$D$18,0))))+Declarations!$B$19*INDEX(AK$21:AK$141,MAX(1,MIN(121,$B63-ROUND(Declarations!$A$19/$D$18,0))))+Declarations!$B$20*INDEX(AK$21:AK$141,MAX(1,MIN(121,$B63-ROUND(Declarations!$A$20/$D$18,0)))))</f>
        <v>-255.273267892324</v>
      </c>
      <c r="AM63" s="12" t="n">
        <f aca="false">INDEX(AL$21:AL$141,$I63+1)*(1-$J63)+INDEX(AL$21:AL$141,$I63+2)*$J63</f>
        <v>-260.550200877596</v>
      </c>
      <c r="AN63" s="12" t="n">
        <f aca="false">INDEX(AL$21:AL$141,$K63+1)*(1-$L63)+INDEX(AL$21:AL$141,$K63+2)*$L63</f>
        <v>-250.462191089904</v>
      </c>
      <c r="AO63" s="12" t="n">
        <f aca="false">$C63+$D63+MAX(AM63,AN63,IF(COUNTIFS($A$21:$A$141,"&gt;="&amp;$G63,$A$21:$A$141,"&lt;="&amp;$H63)&gt;0,_xlfn.MAXIFS(AL$21:AL$141,$A$21:$A$141,"&gt;="&amp;$G63,$A$21:$A$141,"&lt;="&amp;$H63),AM63))</f>
        <v>-60.7121910899036</v>
      </c>
      <c r="AP63" s="12" t="n">
        <f aca="false">-Cost_k*$A63+Beta_q*(Declarations!$B$16*INDEX(AO$21:AO$141,MAX(1,MIN(121,$B63-ROUND(Declarations!$A$16/$D$18,0))))+Declarations!$B$17*INDEX(AO$21:AO$141,MAX(1,MIN(121,$B63-ROUND(Declarations!$A$17/$D$18,0))))+Declarations!$B$18*INDEX(AO$21:AO$141,MAX(1,MIN(121,$B63-ROUND(Declarations!$A$18/$D$18,0))))+Declarations!$B$19*INDEX(AO$21:AO$141,MAX(1,MIN(121,$B63-ROUND(Declarations!$A$19/$D$18,0))))+Declarations!$B$20*INDEX(AO$21:AO$141,MAX(1,MIN(121,$B63-ROUND(Declarations!$A$20/$D$18,0)))))</f>
        <v>-261.387389174456</v>
      </c>
      <c r="AQ63" s="12" t="n">
        <f aca="false">INDEX(AP$21:AP$141,$I63+1)*(1-$J63)+INDEX(AP$21:AP$141,$I63+2)*$J63</f>
        <v>-267.734730458055</v>
      </c>
      <c r="AR63" s="12" t="n">
        <f aca="false">INDEX(AP$21:AP$141,$K63+1)*(1-$L63)+INDEX(AP$21:AP$141,$K63+2)*$L63</f>
        <v>-255.896887375302</v>
      </c>
      <c r="AS63" s="12" t="n">
        <f aca="false">$C63+$D63+MAX(AQ63,AR63,IF(COUNTIFS($A$21:$A$141,"&gt;="&amp;$G63,$A$21:$A$141,"&lt;="&amp;$H63)&gt;0,_xlfn.MAXIFS(AP$21:AP$141,$A$21:$A$141,"&gt;="&amp;$G63,$A$21:$A$141,"&lt;="&amp;$H63),AQ63))</f>
        <v>-66.1468873753019</v>
      </c>
      <c r="AT63" s="12" t="n">
        <f aca="false">-Cost_k*$A63+Beta_q*(Declarations!$B$16*INDEX(AS$21:AS$141,MAX(1,MIN(121,$B63-ROUND(Declarations!$A$16/$D$18,0))))+Declarations!$B$17*INDEX(AS$21:AS$141,MAX(1,MIN(121,$B63-ROUND(Declarations!$A$17/$D$18,0))))+Declarations!$B$18*INDEX(AS$21:AS$141,MAX(1,MIN(121,$B63-ROUND(Declarations!$A$18/$D$18,0))))+Declarations!$B$19*INDEX(AS$21:AS$141,MAX(1,MIN(121,$B63-ROUND(Declarations!$A$19/$D$18,0))))+Declarations!$B$20*INDEX(AS$21:AS$141,MAX(1,MIN(121,$B63-ROUND(Declarations!$A$20/$D$18,0)))))</f>
        <v>-266.747767451587</v>
      </c>
      <c r="AU63" s="12" t="n">
        <f aca="false">INDEX(AT$21:AT$141,$I63+1)*(1-$J63)+INDEX(AT$21:AT$141,$I63+2)*$J63</f>
        <v>-273.751158762139</v>
      </c>
      <c r="AV63" s="12" t="n">
        <f aca="false">INDEX(AT$21:AT$141,$K63+1)*(1-$L63)+INDEX(AT$21:AT$141,$K63+2)*$L63</f>
        <v>-260.949143721712</v>
      </c>
      <c r="AW63" s="12" t="n">
        <f aca="false">$C63+$D63+MAX(AU63,AV63,IF(COUNTIFS($A$21:$A$141,"&gt;="&amp;$G63,$A$21:$A$141,"&lt;="&amp;$H63)&gt;0,_xlfn.MAXIFS(AT$21:AT$141,$A$21:$A$141,"&gt;="&amp;$G63,$A$21:$A$141,"&lt;="&amp;$H63),AU63))</f>
        <v>-71.1991437217122</v>
      </c>
      <c r="AX63" s="12" t="n">
        <f aca="false">-Cost_k*$A63+Beta_q*(Declarations!$B$16*INDEX(AW$21:AW$141,MAX(1,MIN(121,$B63-ROUND(Declarations!$A$16/$D$18,0))))+Declarations!$B$17*INDEX(AW$21:AW$141,MAX(1,MIN(121,$B63-ROUND(Declarations!$A$17/$D$18,0))))+Declarations!$B$18*INDEX(AW$21:AW$141,MAX(1,MIN(121,$B63-ROUND(Declarations!$A$18/$D$18,0))))+Declarations!$B$19*INDEX(AW$21:AW$141,MAX(1,MIN(121,$B63-ROUND(Declarations!$A$19/$D$18,0))))+Declarations!$B$20*INDEX(AW$21:AW$141,MAX(1,MIN(121,$B63-ROUND(Declarations!$A$20/$D$18,0)))))</f>
        <v>-271.709020389224</v>
      </c>
      <c r="AY63" s="12" t="n">
        <f aca="false">INDEX(AX$21:AX$141,$I63+1)*(1-$J63)+INDEX(AX$21:AX$141,$I63+2)*$J63</f>
        <v>-279.029267173733</v>
      </c>
      <c r="AZ63" s="12" t="n">
        <f aca="false">INDEX(AX$21:AX$141,$K63+1)*(1-$L63)+INDEX(AX$21:AX$141,$K63+2)*$L63</f>
        <v>-265.797183823966</v>
      </c>
      <c r="BA63" s="12" t="n">
        <f aca="false">$C63+$D63+MAX(AY63,AZ63,IF(COUNTIFS($A$21:$A$141,"&gt;="&amp;$G63,$A$21:$A$141,"&lt;="&amp;$H63)&gt;0,_xlfn.MAXIFS(AX$21:AX$141,$A$21:$A$141,"&gt;="&amp;$G63,$A$21:$A$141,"&lt;="&amp;$H63),AY63))</f>
        <v>-76.0471838239657</v>
      </c>
      <c r="BB63" s="12" t="n">
        <f aca="false">-Cost_k*$A63+Beta_q*(Declarations!$B$16*INDEX(BA$21:BA$141,MAX(1,MIN(121,$B63-ROUND(Declarations!$A$16/$D$18,0))))+Declarations!$B$17*INDEX(BA$21:BA$141,MAX(1,MIN(121,$B63-ROUND(Declarations!$A$17/$D$18,0))))+Declarations!$B$18*INDEX(BA$21:BA$141,MAX(1,MIN(121,$B63-ROUND(Declarations!$A$18/$D$18,0))))+Declarations!$B$19*INDEX(BA$21:BA$141,MAX(1,MIN(121,$B63-ROUND(Declarations!$A$19/$D$18,0))))+Declarations!$B$20*INDEX(BA$21:BA$141,MAX(1,MIN(121,$B63-ROUND(Declarations!$A$20/$D$18,0)))))</f>
        <v>-276.454277666429</v>
      </c>
      <c r="BC63" s="12" t="n">
        <f aca="false">INDEX(BB$21:BB$141,$I63+1)*(1-$J63)+INDEX(BB$21:BB$141,$I63+2)*$J63</f>
        <v>-283.89941495906</v>
      </c>
      <c r="BD63" s="12" t="n">
        <f aca="false">INDEX(BB$21:BB$141,$K63+1)*(1-$L63)+INDEX(BB$21:BB$141,$K63+2)*$L63</f>
        <v>-270.505896329799</v>
      </c>
      <c r="BE63" s="12" t="n">
        <f aca="false">$C63+$D63+MAX(BC63,BD63,IF(COUNTIFS($A$21:$A$141,"&gt;="&amp;$G63,$A$21:$A$141,"&lt;="&amp;$H63)&gt;0,_xlfn.MAXIFS(BB$21:BB$141,$A$21:$A$141,"&gt;="&amp;$G63,$A$21:$A$141,"&lt;="&amp;$H63),BC63))</f>
        <v>-80.7558963297993</v>
      </c>
      <c r="BF63" s="12" t="n">
        <f aca="false">-Cost_k*$A63+Beta_q*(Declarations!$B$16*INDEX(BE$21:BE$141,MAX(1,MIN(121,$B63-ROUND(Declarations!$A$16/$D$18,0))))+Declarations!$B$17*INDEX(BE$21:BE$141,MAX(1,MIN(121,$B63-ROUND(Declarations!$A$17/$D$18,0))))+Declarations!$B$18*INDEX(BE$21:BE$141,MAX(1,MIN(121,$B63-ROUND(Declarations!$A$18/$D$18,0))))+Declarations!$B$19*INDEX(BE$21:BE$141,MAX(1,MIN(121,$B63-ROUND(Declarations!$A$19/$D$18,0))))+Declarations!$B$20*INDEX(BE$21:BE$141,MAX(1,MIN(121,$B63-ROUND(Declarations!$A$20/$D$18,0)))))</f>
        <v>-281.056016387277</v>
      </c>
      <c r="BG63" s="12" t="n">
        <f aca="false">INDEX(BF$21:BF$141,$I63+1)*(1-$J63)+INDEX(BF$21:BF$141,$I63+2)*$J63</f>
        <v>-288.544219737973</v>
      </c>
      <c r="BH63" s="12" t="n">
        <f aca="false">INDEX(BF$21:BF$141,$K63+1)*(1-$L63)+INDEX(BF$21:BF$141,$K63+2)*$L63</f>
        <v>-275.097061815334</v>
      </c>
      <c r="BI63" s="12" t="n">
        <f aca="false">$C63+$D63+MAX(BG63,BH63,IF(COUNTIFS($A$21:$A$141,"&gt;="&amp;$G63,$A$21:$A$141,"&lt;="&amp;$H63)&gt;0,_xlfn.MAXIFS(BF$21:BF$141,$A$21:$A$141,"&gt;="&amp;$G63,$A$21:$A$141,"&lt;="&amp;$H63),BG63))</f>
        <v>-85.3470618153344</v>
      </c>
      <c r="BJ63" s="23" t="n">
        <v>-85.3470618153344</v>
      </c>
      <c r="BK63" s="22" t="n">
        <f aca="false">ABS(BI63-BJ63)</f>
        <v>0</v>
      </c>
    </row>
    <row r="64" customFormat="false" ht="15" hidden="false" customHeight="false" outlineLevel="0" collapsed="false">
      <c r="A64" s="14" t="n">
        <f aca="false">A63+$D$18</f>
        <v>50.75</v>
      </c>
      <c r="B64" s="19" t="n">
        <v>44</v>
      </c>
      <c r="C64" s="12" t="n">
        <f aca="false">-Short_p*MAX(Floor_c-A64,0)</f>
        <v>-6.8</v>
      </c>
      <c r="D64" s="12" t="n">
        <f aca="false">Cost_k*Alpha_keep*A64</f>
        <v>197.925</v>
      </c>
      <c r="E64" s="12" t="n">
        <f aca="false">MIN(Cap_h,MAX(0,$B$18+MAX(Loss_w)-Alpha_keep*A64))</f>
        <v>0</v>
      </c>
      <c r="F64" s="12" t="n">
        <f aca="false">MAX(MIN(Cap_h,$F$18+MIN(Loss_w)-Alpha_keep*A64),E64)</f>
        <v>2.5</v>
      </c>
      <c r="G64" s="12" t="n">
        <f aca="false">Alpha_keep*A64+E64</f>
        <v>49.48125</v>
      </c>
      <c r="H64" s="12" t="n">
        <f aca="false">Alpha_keep*A64+F64</f>
        <v>51.98125</v>
      </c>
      <c r="I64" s="19" t="n">
        <f aca="false">MIN(INT((G64-$B$18)/$D$18+0.000000001),119)</f>
        <v>37</v>
      </c>
      <c r="J64" s="12" t="n">
        <f aca="false">(G64-$B$18)/$D$18-I64</f>
        <v>0.924999999999983</v>
      </c>
      <c r="K64" s="19" t="n">
        <f aca="false">MIN(INT((H64-$B$18)/$D$18+0.000000001),119)</f>
        <v>47</v>
      </c>
      <c r="L64" s="12" t="n">
        <f aca="false">(H64-$B$18)/$D$18-K64</f>
        <v>0.924999999999983</v>
      </c>
      <c r="M64" s="9" t="n">
        <v>0</v>
      </c>
      <c r="N64" s="12" t="n">
        <f aca="false">-Cost_k*$A64+Beta_q*(Declarations!$B$16*INDEX(M$21:M$141,MAX(1,MIN(121,$B64-ROUND(Declarations!$A$16/$D$18,0))))+Declarations!$B$17*INDEX(M$21:M$141,MAX(1,MIN(121,$B64-ROUND(Declarations!$A$17/$D$18,0))))+Declarations!$B$18*INDEX(M$21:M$141,MAX(1,MIN(121,$B64-ROUND(Declarations!$A$18/$D$18,0))))+Declarations!$B$19*INDEX(M$21:M$141,MAX(1,MIN(121,$B64-ROUND(Declarations!$A$19/$D$18,0))))+Declarations!$B$20*INDEX(M$21:M$141,MAX(1,MIN(121,$B64-ROUND(Declarations!$A$20/$D$18,0)))))</f>
        <v>-203</v>
      </c>
      <c r="O64" s="12" t="n">
        <f aca="false">INDEX(N$21:N$141,$I64+1)*(1-$J64)+INDEX(N$21:N$141,$I64+2)*$J64</f>
        <v>-197.925</v>
      </c>
      <c r="P64" s="12" t="n">
        <f aca="false">INDEX(N$21:N$141,$K64+1)*(1-$L64)+INDEX(N$21:N$141,$K64+2)*$L64</f>
        <v>-207.925</v>
      </c>
      <c r="Q64" s="12" t="n">
        <f aca="false">$C64+$D64+MAX(O64,P64,IF(COUNTIFS($A$21:$A$141,"&gt;="&amp;$G64,$A$21:$A$141,"&lt;="&amp;$H64)&gt;0,_xlfn.MAXIFS(N$21:N$141,$A$21:$A$141,"&gt;="&amp;$G64,$A$21:$A$141,"&lt;="&amp;$H64),O64))</f>
        <v>-6.80000000000001</v>
      </c>
      <c r="R64" s="12" t="n">
        <f aca="false">-Cost_k*$A64+Beta_q*(Declarations!$B$16*INDEX(Q$21:Q$141,MAX(1,MIN(121,$B64-ROUND(Declarations!$A$16/$D$18,0))))+Declarations!$B$17*INDEX(Q$21:Q$141,MAX(1,MIN(121,$B64-ROUND(Declarations!$A$17/$D$18,0))))+Declarations!$B$18*INDEX(Q$21:Q$141,MAX(1,MIN(121,$B64-ROUND(Declarations!$A$18/$D$18,0))))+Declarations!$B$19*INDEX(Q$21:Q$141,MAX(1,MIN(121,$B64-ROUND(Declarations!$A$19/$D$18,0))))+Declarations!$B$20*INDEX(Q$21:Q$141,MAX(1,MIN(121,$B64-ROUND(Declarations!$A$20/$D$18,0)))))</f>
        <v>-209.639887809799</v>
      </c>
      <c r="S64" s="12" t="n">
        <f aca="false">INDEX(R$21:R$141,$I64+1)*(1-$J64)+INDEX(R$21:R$141,$I64+2)*$J64</f>
        <v>-206.547089611842</v>
      </c>
      <c r="T64" s="12" t="n">
        <f aca="false">INDEX(R$21:R$141,$K64+1)*(1-$L64)+INDEX(R$21:R$141,$K64+2)*$L64</f>
        <v>-212.641273253137</v>
      </c>
      <c r="U64" s="12" t="n">
        <f aca="false">$C64+$D64+MAX(S64,T64,IF(COUNTIFS($A$21:$A$141,"&gt;="&amp;$G64,$A$21:$A$141,"&lt;="&amp;$H64)&gt;0,_xlfn.MAXIFS(R$21:R$141,$A$21:$A$141,"&gt;="&amp;$G64,$A$21:$A$141,"&lt;="&amp;$H64),S64))</f>
        <v>-15.4220896118418</v>
      </c>
      <c r="V64" s="12" t="n">
        <f aca="false">-Cost_k*$A64+Beta_q*(Declarations!$B$16*INDEX(U$21:U$141,MAX(1,MIN(121,$B64-ROUND(Declarations!$A$16/$D$18,0))))+Declarations!$B$17*INDEX(U$21:U$141,MAX(1,MIN(121,$B64-ROUND(Declarations!$A$17/$D$18,0))))+Declarations!$B$18*INDEX(U$21:U$141,MAX(1,MIN(121,$B64-ROUND(Declarations!$A$18/$D$18,0))))+Declarations!$B$19*INDEX(U$21:U$141,MAX(1,MIN(121,$B64-ROUND(Declarations!$A$19/$D$18,0))))+Declarations!$B$20*INDEX(U$21:U$141,MAX(1,MIN(121,$B64-ROUND(Declarations!$A$20/$D$18,0)))))</f>
        <v>-218.058962472838</v>
      </c>
      <c r="W64" s="12" t="n">
        <f aca="false">INDEX(V$21:V$141,$I64+1)*(1-$J64)+INDEX(V$21:V$141,$I64+2)*$J64</f>
        <v>-216.853305104645</v>
      </c>
      <c r="X64" s="12" t="n">
        <f aca="false">INDEX(V$21:V$141,$K64+1)*(1-$L64)+INDEX(V$21:V$141,$K64+2)*$L64</f>
        <v>-219.228984647882</v>
      </c>
      <c r="Y64" s="12" t="n">
        <f aca="false">$C64+$D64+MAX(W64,X64,IF(COUNTIFS($A$21:$A$141,"&gt;="&amp;$G64,$A$21:$A$141,"&lt;="&amp;$H64)&gt;0,_xlfn.MAXIFS(V$21:V$141,$A$21:$A$141,"&gt;="&amp;$G64,$A$21:$A$141,"&lt;="&amp;$H64),W64))</f>
        <v>-25.7283051046448</v>
      </c>
      <c r="Z64" s="12" t="n">
        <f aca="false">-Cost_k*$A64+Beta_q*(Declarations!$B$16*INDEX(Y$21:Y$141,MAX(1,MIN(121,$B64-ROUND(Declarations!$A$16/$D$18,0))))+Declarations!$B$17*INDEX(Y$21:Y$141,MAX(1,MIN(121,$B64-ROUND(Declarations!$A$17/$D$18,0))))+Declarations!$B$18*INDEX(Y$21:Y$141,MAX(1,MIN(121,$B64-ROUND(Declarations!$A$18/$D$18,0))))+Declarations!$B$19*INDEX(Y$21:Y$141,MAX(1,MIN(121,$B64-ROUND(Declarations!$A$19/$D$18,0))))+Declarations!$B$20*INDEX(Y$21:Y$141,MAX(1,MIN(121,$B64-ROUND(Declarations!$A$20/$D$18,0)))))</f>
        <v>-228.12250873987</v>
      </c>
      <c r="AA64" s="12" t="n">
        <f aca="false">INDEX(Z$21:Z$141,$I64+1)*(1-$J64)+INDEX(Z$21:Z$141,$I64+2)*$J64</f>
        <v>-228.713506642735</v>
      </c>
      <c r="AB64" s="12" t="n">
        <f aca="false">INDEX(Z$21:Z$141,$K64+1)*(1-$L64)+INDEX(Z$21:Z$141,$K64+2)*$L64</f>
        <v>-227.548994815732</v>
      </c>
      <c r="AC64" s="12" t="n">
        <f aca="false">$C64+$D64+MAX(AA64,AB64,IF(COUNTIFS($A$21:$A$141,"&gt;="&amp;$G64,$A$21:$A$141,"&lt;="&amp;$H64)&gt;0,_xlfn.MAXIFS(Z$21:Z$141,$A$21:$A$141,"&gt;="&amp;$G64,$A$21:$A$141,"&lt;="&amp;$H64),AA64))</f>
        <v>-36.4239948157316</v>
      </c>
      <c r="AD64" s="12" t="n">
        <f aca="false">-Cost_k*$A64+Beta_q*(Declarations!$B$16*INDEX(AC$21:AC$141,MAX(1,MIN(121,$B64-ROUND(Declarations!$A$16/$D$18,0))))+Declarations!$B$17*INDEX(AC$21:AC$141,MAX(1,MIN(121,$B64-ROUND(Declarations!$A$17/$D$18,0))))+Declarations!$B$18*INDEX(AC$21:AC$141,MAX(1,MIN(121,$B64-ROUND(Declarations!$A$18/$D$18,0))))+Declarations!$B$19*INDEX(AC$21:AC$141,MAX(1,MIN(121,$B64-ROUND(Declarations!$A$19/$D$18,0))))+Declarations!$B$20*INDEX(AC$21:AC$141,MAX(1,MIN(121,$B64-ROUND(Declarations!$A$20/$D$18,0)))))</f>
        <v>-238.566378612115</v>
      </c>
      <c r="AE64" s="12" t="n">
        <f aca="false">INDEX(AD$21:AD$141,$I64+1)*(1-$J64)+INDEX(AD$21:AD$141,$I64+2)*$J64</f>
        <v>-240.867820074415</v>
      </c>
      <c r="AF64" s="12" t="n">
        <f aca="false">INDEX(AD$21:AD$141,$K64+1)*(1-$L64)+INDEX(AD$21:AD$141,$K64+2)*$L64</f>
        <v>-236.35111321967</v>
      </c>
      <c r="AG64" s="12" t="n">
        <f aca="false">$C64+$D64+MAX(AE64,AF64,IF(COUNTIFS($A$21:$A$141,"&gt;="&amp;$G64,$A$21:$A$141,"&lt;="&amp;$H64)&gt;0,_xlfn.MAXIFS(AD$21:AD$141,$A$21:$A$141,"&gt;="&amp;$G64,$A$21:$A$141,"&lt;="&amp;$H64),AE64))</f>
        <v>-45.2261132196704</v>
      </c>
      <c r="AH64" s="12" t="n">
        <f aca="false">-Cost_k*$A64+Beta_q*(Declarations!$B$16*INDEX(AG$21:AG$141,MAX(1,MIN(121,$B64-ROUND(Declarations!$A$16/$D$18,0))))+Declarations!$B$17*INDEX(AG$21:AG$141,MAX(1,MIN(121,$B64-ROUND(Declarations!$A$17/$D$18,0))))+Declarations!$B$18*INDEX(AG$21:AG$141,MAX(1,MIN(121,$B64-ROUND(Declarations!$A$18/$D$18,0))))+Declarations!$B$19*INDEX(AG$21:AG$141,MAX(1,MIN(121,$B64-ROUND(Declarations!$A$19/$D$18,0))))+Declarations!$B$20*INDEX(AG$21:AG$141,MAX(1,MIN(121,$B64-ROUND(Declarations!$A$20/$D$18,0)))))</f>
        <v>-247.182779012641</v>
      </c>
      <c r="AI64" s="12" t="n">
        <f aca="false">INDEX(AH$21:AH$141,$I64+1)*(1-$J64)+INDEX(AH$21:AH$141,$I64+2)*$J64</f>
        <v>-251.075272946569</v>
      </c>
      <c r="AJ64" s="12" t="n">
        <f aca="false">INDEX(AH$21:AH$141,$K64+1)*(1-$L64)+INDEX(AH$21:AH$141,$K64+2)*$L64</f>
        <v>-243.567145044571</v>
      </c>
      <c r="AK64" s="12" t="n">
        <f aca="false">$C64+$D64+MAX(AI64,AJ64,IF(COUNTIFS($A$21:$A$141,"&gt;="&amp;$G64,$A$21:$A$141,"&lt;="&amp;$H64)&gt;0,_xlfn.MAXIFS(AH$21:AH$141,$A$21:$A$141,"&gt;="&amp;$G64,$A$21:$A$141,"&lt;="&amp;$H64),AI64))</f>
        <v>-52.4421450445711</v>
      </c>
      <c r="AL64" s="12" t="n">
        <f aca="false">-Cost_k*$A64+Beta_q*(Declarations!$B$16*INDEX(AK$21:AK$141,MAX(1,MIN(121,$B64-ROUND(Declarations!$A$16/$D$18,0))))+Declarations!$B$17*INDEX(AK$21:AK$141,MAX(1,MIN(121,$B64-ROUND(Declarations!$A$17/$D$18,0))))+Declarations!$B$18*INDEX(AK$21:AK$141,MAX(1,MIN(121,$B64-ROUND(Declarations!$A$18/$D$18,0))))+Declarations!$B$19*INDEX(AK$21:AK$141,MAX(1,MIN(121,$B64-ROUND(Declarations!$A$19/$D$18,0))))+Declarations!$B$20*INDEX(AK$21:AK$141,MAX(1,MIN(121,$B64-ROUND(Declarations!$A$20/$D$18,0)))))</f>
        <v>-254.265733514721</v>
      </c>
      <c r="AM64" s="12" t="n">
        <f aca="false">INDEX(AL$21:AL$141,$I64+1)*(1-$J64)+INDEX(AL$21:AL$141,$I64+2)*$J64</f>
        <v>-259.515767282879</v>
      </c>
      <c r="AN64" s="12" t="n">
        <f aca="false">INDEX(AL$21:AL$141,$K64+1)*(1-$L64)+INDEX(AL$21:AL$141,$K64+2)*$L64</f>
        <v>-249.591579612291</v>
      </c>
      <c r="AO64" s="12" t="n">
        <f aca="false">$C64+$D64+MAX(AM64,AN64,IF(COUNTIFS($A$21:$A$141,"&gt;="&amp;$G64,$A$21:$A$141,"&lt;="&amp;$H64)&gt;0,_xlfn.MAXIFS(AL$21:AL$141,$A$21:$A$141,"&gt;="&amp;$G64,$A$21:$A$141,"&lt;="&amp;$H64),AM64))</f>
        <v>-58.4665796122911</v>
      </c>
      <c r="AP64" s="12" t="n">
        <f aca="false">-Cost_k*$A64+Beta_q*(Declarations!$B$16*INDEX(AO$21:AO$141,MAX(1,MIN(121,$B64-ROUND(Declarations!$A$16/$D$18,0))))+Declarations!$B$17*INDEX(AO$21:AO$141,MAX(1,MIN(121,$B64-ROUND(Declarations!$A$17/$D$18,0))))+Declarations!$B$18*INDEX(AO$21:AO$141,MAX(1,MIN(121,$B64-ROUND(Declarations!$A$18/$D$18,0))))+Declarations!$B$19*INDEX(AO$21:AO$141,MAX(1,MIN(121,$B64-ROUND(Declarations!$A$19/$D$18,0))))+Declarations!$B$20*INDEX(AO$21:AO$141,MAX(1,MIN(121,$B64-ROUND(Declarations!$A$20/$D$18,0)))))</f>
        <v>-260.208255417994</v>
      </c>
      <c r="AQ64" s="12" t="n">
        <f aca="false">INDEX(AP$21:AP$141,$I64+1)*(1-$J64)+INDEX(AP$21:AP$141,$I64+2)*$J64</f>
        <v>-266.473532100481</v>
      </c>
      <c r="AR64" s="12" t="n">
        <f aca="false">INDEX(AP$21:AP$141,$K64+1)*(1-$L64)+INDEX(AP$21:AP$141,$K64+2)*$L64</f>
        <v>-254.939617361671</v>
      </c>
      <c r="AS64" s="12" t="n">
        <f aca="false">$C64+$D64+MAX(AQ64,AR64,IF(COUNTIFS($A$21:$A$141,"&gt;="&amp;$G64,$A$21:$A$141,"&lt;="&amp;$H64)&gt;0,_xlfn.MAXIFS(AP$21:AP$141,$A$21:$A$141,"&gt;="&amp;$G64,$A$21:$A$141,"&lt;="&amp;$H64),AQ64))</f>
        <v>-63.8146173616709</v>
      </c>
      <c r="AT64" s="12" t="n">
        <f aca="false">-Cost_k*$A64+Beta_q*(Declarations!$B$16*INDEX(AS$21:AS$141,MAX(1,MIN(121,$B64-ROUND(Declarations!$A$16/$D$18,0))))+Declarations!$B$17*INDEX(AS$21:AS$141,MAX(1,MIN(121,$B64-ROUND(Declarations!$A$17/$D$18,0))))+Declarations!$B$18*INDEX(AS$21:AS$141,MAX(1,MIN(121,$B64-ROUND(Declarations!$A$18/$D$18,0))))+Declarations!$B$19*INDEX(AS$21:AS$141,MAX(1,MIN(121,$B64-ROUND(Declarations!$A$19/$D$18,0))))+Declarations!$B$20*INDEX(AS$21:AS$141,MAX(1,MIN(121,$B64-ROUND(Declarations!$A$20/$D$18,0)))))</f>
        <v>-265.480265287809</v>
      </c>
      <c r="AU64" s="12" t="n">
        <f aca="false">INDEX(AT$21:AT$141,$I64+1)*(1-$J64)+INDEX(AT$21:AT$141,$I64+2)*$J64</f>
        <v>-272.33370210768</v>
      </c>
      <c r="AV64" s="12" t="n">
        <f aca="false">INDEX(AT$21:AT$141,$K64+1)*(1-$L64)+INDEX(AT$21:AT$141,$K64+2)*$L64</f>
        <v>-259.961510172101</v>
      </c>
      <c r="AW64" s="12" t="n">
        <f aca="false">$C64+$D64+MAX(AU64,AV64,IF(COUNTIFS($A$21:$A$141,"&gt;="&amp;$G64,$A$21:$A$141,"&lt;="&amp;$H64)&gt;0,_xlfn.MAXIFS(AT$21:AT$141,$A$21:$A$141,"&gt;="&amp;$G64,$A$21:$A$141,"&lt;="&amp;$H64),AU64))</f>
        <v>-68.8365101721005</v>
      </c>
      <c r="AX64" s="12" t="n">
        <f aca="false">-Cost_k*$A64+Beta_q*(Declarations!$B$16*INDEX(AW$21:AW$141,MAX(1,MIN(121,$B64-ROUND(Declarations!$A$16/$D$18,0))))+Declarations!$B$17*INDEX(AW$21:AW$141,MAX(1,MIN(121,$B64-ROUND(Declarations!$A$17/$D$18,0))))+Declarations!$B$18*INDEX(AW$21:AW$141,MAX(1,MIN(121,$B64-ROUND(Declarations!$A$18/$D$18,0))))+Declarations!$B$19*INDEX(AW$21:AW$141,MAX(1,MIN(121,$B64-ROUND(Declarations!$A$19/$D$18,0))))+Declarations!$B$20*INDEX(AW$21:AW$141,MAX(1,MIN(121,$B64-ROUND(Declarations!$A$20/$D$18,0)))))</f>
        <v>-270.408001607295</v>
      </c>
      <c r="AY64" s="12" t="n">
        <f aca="false">INDEX(AX$21:AX$141,$I64+1)*(1-$J64)+INDEX(AX$21:AX$141,$I64+2)*$J64</f>
        <v>-277.527836989491</v>
      </c>
      <c r="AZ64" s="12" t="n">
        <f aca="false">INDEX(AX$21:AX$141,$K64+1)*(1-$L64)+INDEX(AX$21:AX$141,$K64+2)*$L64</f>
        <v>-264.799626246692</v>
      </c>
      <c r="BA64" s="12" t="n">
        <f aca="false">$C64+$D64+MAX(AY64,AZ64,IF(COUNTIFS($A$21:$A$141,"&gt;="&amp;$G64,$A$21:$A$141,"&lt;="&amp;$H64)&gt;0,_xlfn.MAXIFS(AX$21:AX$141,$A$21:$A$141,"&gt;="&amp;$G64,$A$21:$A$141,"&lt;="&amp;$H64),AY64))</f>
        <v>-73.6746262466919</v>
      </c>
      <c r="BB64" s="12" t="n">
        <f aca="false">-Cost_k*$A64+Beta_q*(Declarations!$B$16*INDEX(BA$21:BA$141,MAX(1,MIN(121,$B64-ROUND(Declarations!$A$16/$D$18,0))))+Declarations!$B$17*INDEX(BA$21:BA$141,MAX(1,MIN(121,$B64-ROUND(Declarations!$A$17/$D$18,0))))+Declarations!$B$18*INDEX(BA$21:BA$141,MAX(1,MIN(121,$B64-ROUND(Declarations!$A$18/$D$18,0))))+Declarations!$B$19*INDEX(BA$21:BA$141,MAX(1,MIN(121,$B64-ROUND(Declarations!$A$19/$D$18,0))))+Declarations!$B$20*INDEX(BA$21:BA$141,MAX(1,MIN(121,$B64-ROUND(Declarations!$A$20/$D$18,0)))))</f>
        <v>-275.141384393904</v>
      </c>
      <c r="BC64" s="12" t="n">
        <f aca="false">INDEX(BB$21:BB$141,$I64+1)*(1-$J64)+INDEX(BB$21:BB$141,$I64+2)*$J64</f>
        <v>-282.363566358351</v>
      </c>
      <c r="BD64" s="12" t="n">
        <f aca="false">INDEX(BB$21:BB$141,$K64+1)*(1-$L64)+INDEX(BB$21:BB$141,$K64+2)*$L64</f>
        <v>-269.505573398019</v>
      </c>
      <c r="BE64" s="12" t="n">
        <f aca="false">$C64+$D64+MAX(BC64,BD64,IF(COUNTIFS($A$21:$A$141,"&gt;="&amp;$G64,$A$21:$A$141,"&lt;="&amp;$H64)&gt;0,_xlfn.MAXIFS(BB$21:BB$141,$A$21:$A$141,"&gt;="&amp;$G64,$A$21:$A$141,"&lt;="&amp;$H64),BC64))</f>
        <v>-78.3805733980189</v>
      </c>
      <c r="BF64" s="12" t="n">
        <f aca="false">-Cost_k*$A64+Beta_q*(Declarations!$B$16*INDEX(BE$21:BE$141,MAX(1,MIN(121,$B64-ROUND(Declarations!$A$16/$D$18,0))))+Declarations!$B$17*INDEX(BE$21:BE$141,MAX(1,MIN(121,$B64-ROUND(Declarations!$A$17/$D$18,0))))+Declarations!$B$18*INDEX(BE$21:BE$141,MAX(1,MIN(121,$B64-ROUND(Declarations!$A$18/$D$18,0))))+Declarations!$B$19*INDEX(BE$21:BE$141,MAX(1,MIN(121,$B64-ROUND(Declarations!$A$19/$D$18,0))))+Declarations!$B$20*INDEX(BE$21:BE$141,MAX(1,MIN(121,$B64-ROUND(Declarations!$A$20/$D$18,0)))))</f>
        <v>-279.739515997136</v>
      </c>
      <c r="BG64" s="12" t="n">
        <f aca="false">INDEX(BF$21:BF$141,$I64+1)*(1-$J64)+INDEX(BF$21:BF$141,$I64+2)*$J64</f>
        <v>-286.995460323994</v>
      </c>
      <c r="BH64" s="12" t="n">
        <f aca="false">INDEX(BF$21:BF$141,$K64+1)*(1-$L64)+INDEX(BF$21:BF$141,$K64+2)*$L64</f>
        <v>-274.096042324537</v>
      </c>
      <c r="BI64" s="12" t="n">
        <f aca="false">$C64+$D64+MAX(BG64,BH64,IF(COUNTIFS($A$21:$A$141,"&gt;="&amp;$G64,$A$21:$A$141,"&lt;="&amp;$H64)&gt;0,_xlfn.MAXIFS(BF$21:BF$141,$A$21:$A$141,"&gt;="&amp;$G64,$A$21:$A$141,"&lt;="&amp;$H64),BG64))</f>
        <v>-82.9710423245369</v>
      </c>
      <c r="BJ64" s="23" t="n">
        <v>-82.9710423245369</v>
      </c>
      <c r="BK64" s="22" t="n">
        <f aca="false">ABS(BI64-BJ64)</f>
        <v>0</v>
      </c>
    </row>
    <row r="65" customFormat="false" ht="15" hidden="false" customHeight="false" outlineLevel="0" collapsed="false">
      <c r="A65" s="14" t="n">
        <f aca="false">A64+$D$18</f>
        <v>51</v>
      </c>
      <c r="B65" s="19" t="n">
        <v>45</v>
      </c>
      <c r="C65" s="12" t="n">
        <f aca="false">-Short_p*MAX(Floor_c-A65,0)</f>
        <v>-6.4</v>
      </c>
      <c r="D65" s="12" t="n">
        <f aca="false">Cost_k*Alpha_keep*A65</f>
        <v>198.9</v>
      </c>
      <c r="E65" s="12" t="n">
        <f aca="false">MIN(Cap_h,MAX(0,$B$18+MAX(Loss_w)-Alpha_keep*A65))</f>
        <v>0</v>
      </c>
      <c r="F65" s="12" t="n">
        <f aca="false">MAX(MIN(Cap_h,$F$18+MIN(Loss_w)-Alpha_keep*A65),E65)</f>
        <v>2.5</v>
      </c>
      <c r="G65" s="12" t="n">
        <f aca="false">Alpha_keep*A65+E65</f>
        <v>49.725</v>
      </c>
      <c r="H65" s="12" t="n">
        <f aca="false">Alpha_keep*A65+F65</f>
        <v>52.225</v>
      </c>
      <c r="I65" s="19" t="n">
        <f aca="false">MIN(INT((G65-$B$18)/$D$18+0.000000001),119)</f>
        <v>38</v>
      </c>
      <c r="J65" s="12" t="n">
        <f aca="false">(G65-$B$18)/$D$18-I65</f>
        <v>0.900000000000006</v>
      </c>
      <c r="K65" s="19" t="n">
        <f aca="false">MIN(INT((H65-$B$18)/$D$18+0.000000001),119)</f>
        <v>48</v>
      </c>
      <c r="L65" s="12" t="n">
        <f aca="false">(H65-$B$18)/$D$18-K65</f>
        <v>0.900000000000006</v>
      </c>
      <c r="M65" s="9" t="n">
        <v>0</v>
      </c>
      <c r="N65" s="12" t="n">
        <f aca="false">-Cost_k*$A65+Beta_q*(Declarations!$B$16*INDEX(M$21:M$141,MAX(1,MIN(121,$B65-ROUND(Declarations!$A$16/$D$18,0))))+Declarations!$B$17*INDEX(M$21:M$141,MAX(1,MIN(121,$B65-ROUND(Declarations!$A$17/$D$18,0))))+Declarations!$B$18*INDEX(M$21:M$141,MAX(1,MIN(121,$B65-ROUND(Declarations!$A$18/$D$18,0))))+Declarations!$B$19*INDEX(M$21:M$141,MAX(1,MIN(121,$B65-ROUND(Declarations!$A$19/$D$18,0))))+Declarations!$B$20*INDEX(M$21:M$141,MAX(1,MIN(121,$B65-ROUND(Declarations!$A$20/$D$18,0)))))</f>
        <v>-204</v>
      </c>
      <c r="O65" s="12" t="n">
        <f aca="false">INDEX(N$21:N$141,$I65+1)*(1-$J65)+INDEX(N$21:N$141,$I65+2)*$J65</f>
        <v>-198.9</v>
      </c>
      <c r="P65" s="12" t="n">
        <f aca="false">INDEX(N$21:N$141,$K65+1)*(1-$L65)+INDEX(N$21:N$141,$K65+2)*$L65</f>
        <v>-208.9</v>
      </c>
      <c r="Q65" s="12" t="n">
        <f aca="false">$C65+$D65+MAX(O65,P65,IF(COUNTIFS($A$21:$A$141,"&gt;="&amp;$G65,$A$21:$A$141,"&lt;="&amp;$H65)&gt;0,_xlfn.MAXIFS(N$21:N$141,$A$21:$A$141,"&gt;="&amp;$G65,$A$21:$A$141,"&lt;="&amp;$H65),O65))</f>
        <v>-6.40000000000001</v>
      </c>
      <c r="R65" s="12" t="n">
        <f aca="false">-Cost_k*$A65+Beta_q*(Declarations!$B$16*INDEX(Q$21:Q$141,MAX(1,MIN(121,$B65-ROUND(Declarations!$A$16/$D$18,0))))+Declarations!$B$17*INDEX(Q$21:Q$141,MAX(1,MIN(121,$B65-ROUND(Declarations!$A$17/$D$18,0))))+Declarations!$B$18*INDEX(Q$21:Q$141,MAX(1,MIN(121,$B65-ROUND(Declarations!$A$18/$D$18,0))))+Declarations!$B$19*INDEX(Q$21:Q$141,MAX(1,MIN(121,$B65-ROUND(Declarations!$A$19/$D$18,0))))+Declarations!$B$20*INDEX(Q$21:Q$141,MAX(1,MIN(121,$B65-ROUND(Declarations!$A$20/$D$18,0)))))</f>
        <v>-210.249306173928</v>
      </c>
      <c r="S65" s="12" t="n">
        <f aca="false">INDEX(R$21:R$141,$I65+1)*(1-$J65)+INDEX(R$21:R$141,$I65+2)*$J65</f>
        <v>-207.141272516868</v>
      </c>
      <c r="T65" s="12" t="n">
        <f aca="false">INDEX(R$21:R$141,$K65+1)*(1-$L65)+INDEX(R$21:R$141,$K65+2)*$L65</f>
        <v>-213.235456158163</v>
      </c>
      <c r="U65" s="12" t="n">
        <f aca="false">$C65+$D65+MAX(S65,T65,IF(COUNTIFS($A$21:$A$141,"&gt;="&amp;$G65,$A$21:$A$141,"&lt;="&amp;$H65)&gt;0,_xlfn.MAXIFS(R$21:R$141,$A$21:$A$141,"&gt;="&amp;$G65,$A$21:$A$141,"&lt;="&amp;$H65),S65))</f>
        <v>-14.6412725168681</v>
      </c>
      <c r="V65" s="12" t="n">
        <f aca="false">-Cost_k*$A65+Beta_q*(Declarations!$B$16*INDEX(U$21:U$141,MAX(1,MIN(121,$B65-ROUND(Declarations!$A$16/$D$18,0))))+Declarations!$B$17*INDEX(U$21:U$141,MAX(1,MIN(121,$B65-ROUND(Declarations!$A$17/$D$18,0))))+Declarations!$B$18*INDEX(U$21:U$141,MAX(1,MIN(121,$B65-ROUND(Declarations!$A$18/$D$18,0))))+Declarations!$B$19*INDEX(U$21:U$141,MAX(1,MIN(121,$B65-ROUND(Declarations!$A$19/$D$18,0))))+Declarations!$B$20*INDEX(U$21:U$141,MAX(1,MIN(121,$B65-ROUND(Declarations!$A$20/$D$18,0)))))</f>
        <v>-218.296530427161</v>
      </c>
      <c r="W65" s="12" t="n">
        <f aca="false">INDEX(V$21:V$141,$I65+1)*(1-$J65)+INDEX(V$21:V$141,$I65+2)*$J65</f>
        <v>-217.08493386011</v>
      </c>
      <c r="X65" s="12" t="n">
        <f aca="false">INDEX(V$21:V$141,$K65+1)*(1-$L65)+INDEX(V$21:V$141,$K65+2)*$L65</f>
        <v>-219.460613403347</v>
      </c>
      <c r="Y65" s="12" t="n">
        <f aca="false">$C65+$D65+MAX(W65,X65,IF(COUNTIFS($A$21:$A$141,"&gt;="&amp;$G65,$A$21:$A$141,"&lt;="&amp;$H65)&gt;0,_xlfn.MAXIFS(V$21:V$141,$A$21:$A$141,"&gt;="&amp;$G65,$A$21:$A$141,"&lt;="&amp;$H65),W65))</f>
        <v>-24.5849338601104</v>
      </c>
      <c r="Z65" s="12" t="n">
        <f aca="false">-Cost_k*$A65+Beta_q*(Declarations!$B$16*INDEX(Y$21:Y$141,MAX(1,MIN(121,$B65-ROUND(Declarations!$A$16/$D$18,0))))+Declarations!$B$17*INDEX(Y$21:Y$141,MAX(1,MIN(121,$B65-ROUND(Declarations!$A$17/$D$18,0))))+Declarations!$B$18*INDEX(Y$21:Y$141,MAX(1,MIN(121,$B65-ROUND(Declarations!$A$18/$D$18,0))))+Declarations!$B$19*INDEX(Y$21:Y$141,MAX(1,MIN(121,$B65-ROUND(Declarations!$A$19/$D$18,0))))+Declarations!$B$20*INDEX(Y$21:Y$141,MAX(1,MIN(121,$B65-ROUND(Declarations!$A$20/$D$18,0)))))</f>
        <v>-228.006059212126</v>
      </c>
      <c r="AA65" s="12" t="n">
        <f aca="false">INDEX(Z$21:Z$141,$I65+1)*(1-$J65)+INDEX(Z$21:Z$141,$I65+2)*$J65</f>
        <v>-228.599953025574</v>
      </c>
      <c r="AB65" s="12" t="n">
        <f aca="false">INDEX(Z$21:Z$141,$K65+1)*(1-$L65)+INDEX(Z$21:Z$141,$K65+2)*$L65</f>
        <v>-227.435456526181</v>
      </c>
      <c r="AC65" s="12" t="n">
        <f aca="false">$C65+$D65+MAX(AA65,AB65,IF(COUNTIFS($A$21:$A$141,"&gt;="&amp;$G65,$A$21:$A$141,"&lt;="&amp;$H65)&gt;0,_xlfn.MAXIFS(Z$21:Z$141,$A$21:$A$141,"&gt;="&amp;$G65,$A$21:$A$141,"&lt;="&amp;$H65),AA65))</f>
        <v>-34.9354565261812</v>
      </c>
      <c r="AD65" s="12" t="n">
        <f aca="false">-Cost_k*$A65+Beta_q*(Declarations!$B$16*INDEX(AC$21:AC$141,MAX(1,MIN(121,$B65-ROUND(Declarations!$A$16/$D$18,0))))+Declarations!$B$17*INDEX(AC$21:AC$141,MAX(1,MIN(121,$B65-ROUND(Declarations!$A$17/$D$18,0))))+Declarations!$B$18*INDEX(AC$21:AC$141,MAX(1,MIN(121,$B65-ROUND(Declarations!$A$18/$D$18,0))))+Declarations!$B$19*INDEX(AC$21:AC$141,MAX(1,MIN(121,$B65-ROUND(Declarations!$A$19/$D$18,0))))+Declarations!$B$20*INDEX(AC$21:AC$141,MAX(1,MIN(121,$B65-ROUND(Declarations!$A$20/$D$18,0)))))</f>
        <v>-238.113645676796</v>
      </c>
      <c r="AE65" s="12" t="n">
        <f aca="false">INDEX(AD$21:AD$141,$I65+1)*(1-$J65)+INDEX(AD$21:AD$141,$I65+2)*$J65</f>
        <v>-240.425665560227</v>
      </c>
      <c r="AF65" s="12" t="n">
        <f aca="false">INDEX(AD$21:AD$141,$K65+1)*(1-$L65)+INDEX(AD$21:AD$141,$K65+2)*$L65</f>
        <v>-235.918661703255</v>
      </c>
      <c r="AG65" s="12" t="n">
        <f aca="false">$C65+$D65+MAX(AE65,AF65,IF(COUNTIFS($A$21:$A$141,"&gt;="&amp;$G65,$A$21:$A$141,"&lt;="&amp;$H65)&gt;0,_xlfn.MAXIFS(AD$21:AD$141,$A$21:$A$141,"&gt;="&amp;$G65,$A$21:$A$141,"&lt;="&amp;$H65),AE65))</f>
        <v>-43.4186617032553</v>
      </c>
      <c r="AH65" s="12" t="n">
        <f aca="false">-Cost_k*$A65+Beta_q*(Declarations!$B$16*INDEX(AG$21:AG$141,MAX(1,MIN(121,$B65-ROUND(Declarations!$A$16/$D$18,0))))+Declarations!$B$17*INDEX(AG$21:AG$141,MAX(1,MIN(121,$B65-ROUND(Declarations!$A$17/$D$18,0))))+Declarations!$B$18*INDEX(AG$21:AG$141,MAX(1,MIN(121,$B65-ROUND(Declarations!$A$18/$D$18,0))))+Declarations!$B$19*INDEX(AG$21:AG$141,MAX(1,MIN(121,$B65-ROUND(Declarations!$A$19/$D$18,0))))+Declarations!$B$20*INDEX(AG$21:AG$141,MAX(1,MIN(121,$B65-ROUND(Declarations!$A$20/$D$18,0)))))</f>
        <v>-246.425366394867</v>
      </c>
      <c r="AI65" s="12" t="n">
        <f aca="false">INDEX(AH$21:AH$141,$I65+1)*(1-$J65)+INDEX(AH$21:AH$141,$I65+2)*$J65</f>
        <v>-250.322947200552</v>
      </c>
      <c r="AJ65" s="12" t="n">
        <f aca="false">INDEX(AH$21:AH$141,$K65+1)*(1-$L65)+INDEX(AH$21:AH$141,$K65+2)*$L65</f>
        <v>-242.887802796332</v>
      </c>
      <c r="AK65" s="12" t="n">
        <f aca="false">$C65+$D65+MAX(AI65,AJ65,IF(COUNTIFS($A$21:$A$141,"&gt;="&amp;$G65,$A$21:$A$141,"&lt;="&amp;$H65)&gt;0,_xlfn.MAXIFS(AH$21:AH$141,$A$21:$A$141,"&gt;="&amp;$G65,$A$21:$A$141,"&lt;="&amp;$H65),AI65))</f>
        <v>-50.3878027963319</v>
      </c>
      <c r="AL65" s="12" t="n">
        <f aca="false">-Cost_k*$A65+Beta_q*(Declarations!$B$16*INDEX(AK$21:AK$141,MAX(1,MIN(121,$B65-ROUND(Declarations!$A$16/$D$18,0))))+Declarations!$B$17*INDEX(AK$21:AK$141,MAX(1,MIN(121,$B65-ROUND(Declarations!$A$17/$D$18,0))))+Declarations!$B$18*INDEX(AK$21:AK$141,MAX(1,MIN(121,$B65-ROUND(Declarations!$A$18/$D$18,0))))+Declarations!$B$19*INDEX(AK$21:AK$141,MAX(1,MIN(121,$B65-ROUND(Declarations!$A$19/$D$18,0))))+Declarations!$B$20*INDEX(AK$21:AK$141,MAX(1,MIN(121,$B65-ROUND(Declarations!$A$20/$D$18,0)))))</f>
        <v>-253.268189839487</v>
      </c>
      <c r="AM65" s="12" t="n">
        <f aca="false">INDEX(AL$21:AL$141,$I65+1)*(1-$J65)+INDEX(AL$21:AL$141,$I65+2)*$J65</f>
        <v>-258.485196593529</v>
      </c>
      <c r="AN65" s="12" t="n">
        <f aca="false">INDEX(AL$21:AL$141,$K65+1)*(1-$L65)+INDEX(AL$21:AL$141,$K65+2)*$L65</f>
        <v>-248.752794287191</v>
      </c>
      <c r="AO65" s="12" t="n">
        <f aca="false">$C65+$D65+MAX(AM65,AN65,IF(COUNTIFS($A$21:$A$141,"&gt;="&amp;$G65,$A$21:$A$141,"&lt;="&amp;$H65)&gt;0,_xlfn.MAXIFS(AL$21:AL$141,$A$21:$A$141,"&gt;="&amp;$G65,$A$21:$A$141,"&lt;="&amp;$H65),AM65))</f>
        <v>-56.2527942871908</v>
      </c>
      <c r="AP65" s="12" t="n">
        <f aca="false">-Cost_k*$A65+Beta_q*(Declarations!$B$16*INDEX(AO$21:AO$141,MAX(1,MIN(121,$B65-ROUND(Declarations!$A$16/$D$18,0))))+Declarations!$B$17*INDEX(AO$21:AO$141,MAX(1,MIN(121,$B65-ROUND(Declarations!$A$17/$D$18,0))))+Declarations!$B$18*INDEX(AO$21:AO$141,MAX(1,MIN(121,$B65-ROUND(Declarations!$A$18/$D$18,0))))+Declarations!$B$19*INDEX(AO$21:AO$141,MAX(1,MIN(121,$B65-ROUND(Declarations!$A$19/$D$18,0))))+Declarations!$B$20*INDEX(AO$21:AO$141,MAX(1,MIN(121,$B65-ROUND(Declarations!$A$20/$D$18,0)))))</f>
        <v>-259.059527902678</v>
      </c>
      <c r="AQ65" s="12" t="n">
        <f aca="false">INDEX(AP$21:AP$141,$I65+1)*(1-$J65)+INDEX(AP$21:AP$141,$I65+2)*$J65</f>
        <v>-265.222938258791</v>
      </c>
      <c r="AR65" s="12" t="n">
        <f aca="false">INDEX(AP$21:AP$141,$K65+1)*(1-$L65)+INDEX(AP$21:AP$141,$K65+2)*$L65</f>
        <v>-254.030557162132</v>
      </c>
      <c r="AS65" s="12" t="n">
        <f aca="false">$C65+$D65+MAX(AQ65,AR65,IF(COUNTIFS($A$21:$A$141,"&gt;="&amp;$G65,$A$21:$A$141,"&lt;="&amp;$H65)&gt;0,_xlfn.MAXIFS(AP$21:AP$141,$A$21:$A$141,"&gt;="&amp;$G65,$A$21:$A$141,"&lt;="&amp;$H65),AQ65))</f>
        <v>-61.5305571621315</v>
      </c>
      <c r="AT65" s="12" t="n">
        <f aca="false">-Cost_k*$A65+Beta_q*(Declarations!$B$16*INDEX(AS$21:AS$141,MAX(1,MIN(121,$B65-ROUND(Declarations!$A$16/$D$18,0))))+Declarations!$B$17*INDEX(AS$21:AS$141,MAX(1,MIN(121,$B65-ROUND(Declarations!$A$17/$D$18,0))))+Declarations!$B$18*INDEX(AS$21:AS$141,MAX(1,MIN(121,$B65-ROUND(Declarations!$A$18/$D$18,0))))+Declarations!$B$19*INDEX(AS$21:AS$141,MAX(1,MIN(121,$B65-ROUND(Declarations!$A$19/$D$18,0))))+Declarations!$B$20*INDEX(AS$21:AS$141,MAX(1,MIN(121,$B65-ROUND(Declarations!$A$20/$D$18,0)))))</f>
        <v>-264.258480707339</v>
      </c>
      <c r="AU65" s="12" t="n">
        <f aca="false">INDEX(AT$21:AT$141,$I65+1)*(1-$J65)+INDEX(AT$21:AT$141,$I65+2)*$J65</f>
        <v>-270.94357953987</v>
      </c>
      <c r="AV65" s="12" t="n">
        <f aca="false">INDEX(AT$21:AT$141,$K65+1)*(1-$L65)+INDEX(AT$21:AT$141,$K65+2)*$L65</f>
        <v>-259.027541128522</v>
      </c>
      <c r="AW65" s="12" t="n">
        <f aca="false">$C65+$D65+MAX(AU65,AV65,IF(COUNTIFS($A$21:$A$141,"&gt;="&amp;$G65,$A$21:$A$141,"&lt;="&amp;$H65)&gt;0,_xlfn.MAXIFS(AT$21:AT$141,$A$21:$A$141,"&gt;="&amp;$G65,$A$21:$A$141,"&lt;="&amp;$H65),AU65))</f>
        <v>-66.5275411285219</v>
      </c>
      <c r="AX65" s="12" t="n">
        <f aca="false">-Cost_k*$A65+Beta_q*(Declarations!$B$16*INDEX(AW$21:AW$141,MAX(1,MIN(121,$B65-ROUND(Declarations!$A$16/$D$18,0))))+Declarations!$B$17*INDEX(AW$21:AW$141,MAX(1,MIN(121,$B65-ROUND(Declarations!$A$17/$D$18,0))))+Declarations!$B$18*INDEX(AW$21:AW$141,MAX(1,MIN(121,$B65-ROUND(Declarations!$A$18/$D$18,0))))+Declarations!$B$19*INDEX(AW$21:AW$141,MAX(1,MIN(121,$B65-ROUND(Declarations!$A$19/$D$18,0))))+Declarations!$B$20*INDEX(AW$21:AW$141,MAX(1,MIN(121,$B65-ROUND(Declarations!$A$20/$D$18,0)))))</f>
        <v>-269.157966039147</v>
      </c>
      <c r="AY65" s="12" t="n">
        <f aca="false">INDEX(AX$21:AX$141,$I65+1)*(1-$J65)+INDEX(AX$21:AX$141,$I65+2)*$J65</f>
        <v>-276.066269051574</v>
      </c>
      <c r="AZ65" s="12" t="n">
        <f aca="false">INDEX(AX$21:AX$141,$K65+1)*(1-$L65)+INDEX(AX$21:AX$141,$K65+2)*$L65</f>
        <v>-263.858394395731</v>
      </c>
      <c r="BA65" s="12" t="n">
        <f aca="false">$C65+$D65+MAX(AY65,AZ65,IF(COUNTIFS($A$21:$A$141,"&gt;="&amp;$G65,$A$21:$A$141,"&lt;="&amp;$H65)&gt;0,_xlfn.MAXIFS(AX$21:AX$141,$A$21:$A$141,"&gt;="&amp;$G65,$A$21:$A$141,"&lt;="&amp;$H65),AY65))</f>
        <v>-71.3583943957311</v>
      </c>
      <c r="BB65" s="12" t="n">
        <f aca="false">-Cost_k*$A65+Beta_q*(Declarations!$B$16*INDEX(BA$21:BA$141,MAX(1,MIN(121,$B65-ROUND(Declarations!$A$16/$D$18,0))))+Declarations!$B$17*INDEX(BA$21:BA$141,MAX(1,MIN(121,$B65-ROUND(Declarations!$A$17/$D$18,0))))+Declarations!$B$18*INDEX(BA$21:BA$141,MAX(1,MIN(121,$B65-ROUND(Declarations!$A$18/$D$18,0))))+Declarations!$B$19*INDEX(BA$21:BA$141,MAX(1,MIN(121,$B65-ROUND(Declarations!$A$19/$D$18,0))))+Declarations!$B$20*INDEX(BA$21:BA$141,MAX(1,MIN(121,$B65-ROUND(Declarations!$A$20/$D$18,0)))))</f>
        <v>-273.882454847447</v>
      </c>
      <c r="BC65" s="12" t="n">
        <f aca="false">INDEX(BB$21:BB$141,$I65+1)*(1-$J65)+INDEX(BB$21:BB$141,$I65+2)*$J65</f>
        <v>-280.872432646786</v>
      </c>
      <c r="BD65" s="12" t="n">
        <f aca="false">INDEX(BB$21:BB$141,$K65+1)*(1-$L65)+INDEX(BB$21:BB$141,$K65+2)*$L65</f>
        <v>-268.562335072155</v>
      </c>
      <c r="BE65" s="12" t="n">
        <f aca="false">$C65+$D65+MAX(BC65,BD65,IF(COUNTIFS($A$21:$A$141,"&gt;="&amp;$G65,$A$21:$A$141,"&lt;="&amp;$H65)&gt;0,_xlfn.MAXIFS(BB$21:BB$141,$A$21:$A$141,"&gt;="&amp;$G65,$A$21:$A$141,"&lt;="&amp;$H65),BC65))</f>
        <v>-76.0623350721547</v>
      </c>
      <c r="BF65" s="12" t="n">
        <f aca="false">-Cost_k*$A65+Beta_q*(Declarations!$B$16*INDEX(BE$21:BE$141,MAX(1,MIN(121,$B65-ROUND(Declarations!$A$16/$D$18,0))))+Declarations!$B$17*INDEX(BE$21:BE$141,MAX(1,MIN(121,$B65-ROUND(Declarations!$A$17/$D$18,0))))+Declarations!$B$18*INDEX(BE$21:BE$141,MAX(1,MIN(121,$B65-ROUND(Declarations!$A$18/$D$18,0))))+Declarations!$B$19*INDEX(BE$21:BE$141,MAX(1,MIN(121,$B65-ROUND(Declarations!$A$19/$D$18,0))))+Declarations!$B$20*INDEX(BE$21:BE$141,MAX(1,MIN(121,$B65-ROUND(Declarations!$A$20/$D$18,0)))))</f>
        <v>-278.477913329595</v>
      </c>
      <c r="BG65" s="12" t="n">
        <f aca="false">INDEX(BF$21:BF$141,$I65+1)*(1-$J65)+INDEX(BF$21:BF$141,$I65+2)*$J65</f>
        <v>-285.494256379856</v>
      </c>
      <c r="BH65" s="12" t="n">
        <f aca="false">INDEX(BF$21:BF$141,$K65+1)*(1-$L65)+INDEX(BF$21:BF$141,$K65+2)*$L65</f>
        <v>-273.152314716533</v>
      </c>
      <c r="BI65" s="12" t="n">
        <f aca="false">$C65+$D65+MAX(BG65,BH65,IF(COUNTIFS($A$21:$A$141,"&gt;="&amp;$G65,$A$21:$A$141,"&lt;="&amp;$H65)&gt;0,_xlfn.MAXIFS(BF$21:BF$141,$A$21:$A$141,"&gt;="&amp;$G65,$A$21:$A$141,"&lt;="&amp;$H65),BG65))</f>
        <v>-80.6523147165326</v>
      </c>
      <c r="BJ65" s="23" t="n">
        <v>-80.6523147165326</v>
      </c>
      <c r="BK65" s="22" t="n">
        <f aca="false">ABS(BI65-BJ65)</f>
        <v>0</v>
      </c>
    </row>
    <row r="66" customFormat="false" ht="15" hidden="false" customHeight="false" outlineLevel="0" collapsed="false">
      <c r="A66" s="14" t="n">
        <f aca="false">A65+$D$18</f>
        <v>51.25</v>
      </c>
      <c r="B66" s="19" t="n">
        <v>46</v>
      </c>
      <c r="C66" s="12" t="n">
        <f aca="false">-Short_p*MAX(Floor_c-A66,0)</f>
        <v>-6</v>
      </c>
      <c r="D66" s="12" t="n">
        <f aca="false">Cost_k*Alpha_keep*A66</f>
        <v>199.875</v>
      </c>
      <c r="E66" s="12" t="n">
        <f aca="false">MIN(Cap_h,MAX(0,$B$18+MAX(Loss_w)-Alpha_keep*A66))</f>
        <v>0</v>
      </c>
      <c r="F66" s="12" t="n">
        <f aca="false">MAX(MIN(Cap_h,$F$18+MIN(Loss_w)-Alpha_keep*A66),E66)</f>
        <v>2.5</v>
      </c>
      <c r="G66" s="12" t="n">
        <f aca="false">Alpha_keep*A66+E66</f>
        <v>49.96875</v>
      </c>
      <c r="H66" s="12" t="n">
        <f aca="false">Alpha_keep*A66+F66</f>
        <v>52.46875</v>
      </c>
      <c r="I66" s="19" t="n">
        <f aca="false">MIN(INT((G66-$B$18)/$D$18+0.000000001),119)</f>
        <v>39</v>
      </c>
      <c r="J66" s="12" t="n">
        <f aca="false">(G66-$B$18)/$D$18-I66</f>
        <v>0.875</v>
      </c>
      <c r="K66" s="19" t="n">
        <f aca="false">MIN(INT((H66-$B$18)/$D$18+0.000000001),119)</f>
        <v>49</v>
      </c>
      <c r="L66" s="12" t="n">
        <f aca="false">(H66-$B$18)/$D$18-K66</f>
        <v>0.875</v>
      </c>
      <c r="M66" s="9" t="n">
        <v>0</v>
      </c>
      <c r="N66" s="12" t="n">
        <f aca="false">-Cost_k*$A66+Beta_q*(Declarations!$B$16*INDEX(M$21:M$141,MAX(1,MIN(121,$B66-ROUND(Declarations!$A$16/$D$18,0))))+Declarations!$B$17*INDEX(M$21:M$141,MAX(1,MIN(121,$B66-ROUND(Declarations!$A$17/$D$18,0))))+Declarations!$B$18*INDEX(M$21:M$141,MAX(1,MIN(121,$B66-ROUND(Declarations!$A$18/$D$18,0))))+Declarations!$B$19*INDEX(M$21:M$141,MAX(1,MIN(121,$B66-ROUND(Declarations!$A$19/$D$18,0))))+Declarations!$B$20*INDEX(M$21:M$141,MAX(1,MIN(121,$B66-ROUND(Declarations!$A$20/$D$18,0)))))</f>
        <v>-205</v>
      </c>
      <c r="O66" s="12" t="n">
        <f aca="false">INDEX(N$21:N$141,$I66+1)*(1-$J66)+INDEX(N$21:N$141,$I66+2)*$J66</f>
        <v>-199.875</v>
      </c>
      <c r="P66" s="12" t="n">
        <f aca="false">INDEX(N$21:N$141,$K66+1)*(1-$L66)+INDEX(N$21:N$141,$K66+2)*$L66</f>
        <v>-209.875</v>
      </c>
      <c r="Q66" s="12" t="n">
        <f aca="false">$C66+$D66+MAX(O66,P66,IF(COUNTIFS($A$21:$A$141,"&gt;="&amp;$G66,$A$21:$A$141,"&lt;="&amp;$H66)&gt;0,_xlfn.MAXIFS(N$21:N$141,$A$21:$A$141,"&gt;="&amp;$G66,$A$21:$A$141,"&lt;="&amp;$H66),O66))</f>
        <v>-6</v>
      </c>
      <c r="R66" s="12" t="n">
        <f aca="false">-Cost_k*$A66+Beta_q*(Declarations!$B$16*INDEX(Q$21:Q$141,MAX(1,MIN(121,$B66-ROUND(Declarations!$A$16/$D$18,0))))+Declarations!$B$17*INDEX(Q$21:Q$141,MAX(1,MIN(121,$B66-ROUND(Declarations!$A$17/$D$18,0))))+Declarations!$B$18*INDEX(Q$21:Q$141,MAX(1,MIN(121,$B66-ROUND(Declarations!$A$18/$D$18,0))))+Declarations!$B$19*INDEX(Q$21:Q$141,MAX(1,MIN(121,$B66-ROUND(Declarations!$A$19/$D$18,0))))+Declarations!$B$20*INDEX(Q$21:Q$141,MAX(1,MIN(121,$B66-ROUND(Declarations!$A$20/$D$18,0)))))</f>
        <v>-210.858724538058</v>
      </c>
      <c r="S66" s="12" t="n">
        <f aca="false">INDEX(R$21:R$141,$I66+1)*(1-$J66)+INDEX(R$21:R$141,$I66+2)*$J66</f>
        <v>-207.735455421894</v>
      </c>
      <c r="T66" s="12" t="n">
        <f aca="false">INDEX(R$21:R$141,$K66+1)*(1-$L66)+INDEX(R$21:R$141,$K66+2)*$L66</f>
        <v>-213.829639063189</v>
      </c>
      <c r="U66" s="12" t="n">
        <f aca="false">$C66+$D66+MAX(S66,T66,IF(COUNTIFS($A$21:$A$141,"&gt;="&amp;$G66,$A$21:$A$141,"&lt;="&amp;$H66)&gt;0,_xlfn.MAXIFS(R$21:R$141,$A$21:$A$141,"&gt;="&amp;$G66,$A$21:$A$141,"&lt;="&amp;$H66),S66))</f>
        <v>-13.8604554218943</v>
      </c>
      <c r="V66" s="12" t="n">
        <f aca="false">-Cost_k*$A66+Beta_q*(Declarations!$B$16*INDEX(U$21:U$141,MAX(1,MIN(121,$B66-ROUND(Declarations!$A$16/$D$18,0))))+Declarations!$B$17*INDEX(U$21:U$141,MAX(1,MIN(121,$B66-ROUND(Declarations!$A$17/$D$18,0))))+Declarations!$B$18*INDEX(U$21:U$141,MAX(1,MIN(121,$B66-ROUND(Declarations!$A$18/$D$18,0))))+Declarations!$B$19*INDEX(U$21:U$141,MAX(1,MIN(121,$B66-ROUND(Declarations!$A$19/$D$18,0))))+Declarations!$B$20*INDEX(U$21:U$141,MAX(1,MIN(121,$B66-ROUND(Declarations!$A$20/$D$18,0)))))</f>
        <v>-218.534098381485</v>
      </c>
      <c r="W66" s="12" t="n">
        <f aca="false">INDEX(V$21:V$141,$I66+1)*(1-$J66)+INDEX(V$21:V$141,$I66+2)*$J66</f>
        <v>-217.316562615576</v>
      </c>
      <c r="X66" s="12" t="n">
        <f aca="false">INDEX(V$21:V$141,$K66+1)*(1-$L66)+INDEX(V$21:V$141,$K66+2)*$L66</f>
        <v>-219.692242158813</v>
      </c>
      <c r="Y66" s="12" t="n">
        <f aca="false">$C66+$D66+MAX(W66,X66,IF(COUNTIFS($A$21:$A$141,"&gt;="&amp;$G66,$A$21:$A$141,"&lt;="&amp;$H66)&gt;0,_xlfn.MAXIFS(V$21:V$141,$A$21:$A$141,"&gt;="&amp;$G66,$A$21:$A$141,"&lt;="&amp;$H66),W66))</f>
        <v>-23.4415626155759</v>
      </c>
      <c r="Z66" s="12" t="n">
        <f aca="false">-Cost_k*$A66+Beta_q*(Declarations!$B$16*INDEX(Y$21:Y$141,MAX(1,MIN(121,$B66-ROUND(Declarations!$A$16/$D$18,0))))+Declarations!$B$17*INDEX(Y$21:Y$141,MAX(1,MIN(121,$B66-ROUND(Declarations!$A$17/$D$18,0))))+Declarations!$B$18*INDEX(Y$21:Y$141,MAX(1,MIN(121,$B66-ROUND(Declarations!$A$18/$D$18,0))))+Declarations!$B$19*INDEX(Y$21:Y$141,MAX(1,MIN(121,$B66-ROUND(Declarations!$A$19/$D$18,0))))+Declarations!$B$20*INDEX(Y$21:Y$141,MAX(1,MIN(121,$B66-ROUND(Declarations!$A$20/$D$18,0)))))</f>
        <v>-227.889609684382</v>
      </c>
      <c r="AA66" s="12" t="n">
        <f aca="false">INDEX(Z$21:Z$141,$I66+1)*(1-$J66)+INDEX(Z$21:Z$141,$I66+2)*$J66</f>
        <v>-228.48641351407</v>
      </c>
      <c r="AB66" s="12" t="n">
        <f aca="false">INDEX(Z$21:Z$141,$K66+1)*(1-$L66)+INDEX(Z$21:Z$141,$K66+2)*$L66</f>
        <v>-227.321918236631</v>
      </c>
      <c r="AC66" s="12" t="n">
        <f aca="false">$C66+$D66+MAX(AA66,AB66,IF(COUNTIFS($A$21:$A$141,"&gt;="&amp;$G66,$A$21:$A$141,"&lt;="&amp;$H66)&gt;0,_xlfn.MAXIFS(Z$21:Z$141,$A$21:$A$141,"&gt;="&amp;$G66,$A$21:$A$141,"&lt;="&amp;$H66),AA66))</f>
        <v>-33.4469182366309</v>
      </c>
      <c r="AD66" s="12" t="n">
        <f aca="false">-Cost_k*$A66+Beta_q*(Declarations!$B$16*INDEX(AC$21:AC$141,MAX(1,MIN(121,$B66-ROUND(Declarations!$A$16/$D$18,0))))+Declarations!$B$17*INDEX(AC$21:AC$141,MAX(1,MIN(121,$B66-ROUND(Declarations!$A$17/$D$18,0))))+Declarations!$B$18*INDEX(AC$21:AC$141,MAX(1,MIN(121,$B66-ROUND(Declarations!$A$18/$D$18,0))))+Declarations!$B$19*INDEX(AC$21:AC$141,MAX(1,MIN(121,$B66-ROUND(Declarations!$A$19/$D$18,0))))+Declarations!$B$20*INDEX(AC$21:AC$141,MAX(1,MIN(121,$B66-ROUND(Declarations!$A$20/$D$18,0)))))</f>
        <v>-237.661138743704</v>
      </c>
      <c r="AE66" s="12" t="n">
        <f aca="false">INDEX(AD$21:AD$141,$I66+1)*(1-$J66)+INDEX(AD$21:AD$141,$I66+2)*$J66</f>
        <v>-239.983512825666</v>
      </c>
      <c r="AF66" s="12" t="n">
        <f aca="false">INDEX(AD$21:AD$141,$K66+1)*(1-$L66)+INDEX(AD$21:AD$141,$K66+2)*$L66</f>
        <v>-235.502526588512</v>
      </c>
      <c r="AG66" s="12" t="n">
        <f aca="false">$C66+$D66+MAX(AE66,AF66,IF(COUNTIFS($A$21:$A$141,"&gt;="&amp;$G66,$A$21:$A$141,"&lt;="&amp;$H66)&gt;0,_xlfn.MAXIFS(AD$21:AD$141,$A$21:$A$141,"&gt;="&amp;$G66,$A$21:$A$141,"&lt;="&amp;$H66),AE66))</f>
        <v>-41.6275265885124</v>
      </c>
      <c r="AH66" s="12" t="n">
        <f aca="false">-Cost_k*$A66+Beta_q*(Declarations!$B$16*INDEX(AG$21:AG$141,MAX(1,MIN(121,$B66-ROUND(Declarations!$A$16/$D$18,0))))+Declarations!$B$17*INDEX(AG$21:AG$141,MAX(1,MIN(121,$B66-ROUND(Declarations!$A$17/$D$18,0))))+Declarations!$B$18*INDEX(AG$21:AG$141,MAX(1,MIN(121,$B66-ROUND(Declarations!$A$18/$D$18,0))))+Declarations!$B$19*INDEX(AG$21:AG$141,MAX(1,MIN(121,$B66-ROUND(Declarations!$A$19/$D$18,0))))+Declarations!$B$20*INDEX(AG$21:AG$141,MAX(1,MIN(121,$B66-ROUND(Declarations!$A$20/$D$18,0)))))</f>
        <v>-245.682679934472</v>
      </c>
      <c r="AI66" s="12" t="n">
        <f aca="false">INDEX(AH$21:AH$141,$I66+1)*(1-$J66)+INDEX(AH$21:AH$141,$I66+2)*$J66</f>
        <v>-249.571577251683</v>
      </c>
      <c r="AJ66" s="12" t="n">
        <f aca="false">INDEX(AH$21:AH$141,$K66+1)*(1-$L66)+INDEX(AH$21:AH$141,$K66+2)*$L66</f>
        <v>-242.23297515952</v>
      </c>
      <c r="AK66" s="12" t="n">
        <f aca="false">$C66+$D66+MAX(AI66,AJ66,IF(COUNTIFS($A$21:$A$141,"&gt;="&amp;$G66,$A$21:$A$141,"&lt;="&amp;$H66)&gt;0,_xlfn.MAXIFS(AH$21:AH$141,$A$21:$A$141,"&gt;="&amp;$G66,$A$21:$A$141,"&lt;="&amp;$H66),AI66))</f>
        <v>-48.35797515952</v>
      </c>
      <c r="AL66" s="12" t="n">
        <f aca="false">-Cost_k*$A66+Beta_q*(Declarations!$B$16*INDEX(AK$21:AK$141,MAX(1,MIN(121,$B66-ROUND(Declarations!$A$16/$D$18,0))))+Declarations!$B$17*INDEX(AK$21:AK$141,MAX(1,MIN(121,$B66-ROUND(Declarations!$A$17/$D$18,0))))+Declarations!$B$18*INDEX(AK$21:AK$141,MAX(1,MIN(121,$B66-ROUND(Declarations!$A$18/$D$18,0))))+Declarations!$B$19*INDEX(AK$21:AK$141,MAX(1,MIN(121,$B66-ROUND(Declarations!$A$19/$D$18,0))))+Declarations!$B$20*INDEX(AK$21:AK$141,MAX(1,MIN(121,$B66-ROUND(Declarations!$A$20/$D$18,0)))))</f>
        <v>-252.296164419445</v>
      </c>
      <c r="AM66" s="12" t="n">
        <f aca="false">INDEX(AL$21:AL$141,$I66+1)*(1-$J66)+INDEX(AL$21:AL$141,$I66+2)*$J66</f>
        <v>-257.466211717683</v>
      </c>
      <c r="AN66" s="12" t="n">
        <f aca="false">INDEX(AL$21:AL$141,$K66+1)*(1-$L66)+INDEX(AL$21:AL$141,$K66+2)*$L66</f>
        <v>-247.946846465035</v>
      </c>
      <c r="AO66" s="12" t="n">
        <f aca="false">$C66+$D66+MAX(AM66,AN66,IF(COUNTIFS($A$21:$A$141,"&gt;="&amp;$G66,$A$21:$A$141,"&lt;="&amp;$H66)&gt;0,_xlfn.MAXIFS(AL$21:AL$141,$A$21:$A$141,"&gt;="&amp;$G66,$A$21:$A$141,"&lt;="&amp;$H66),AM66))</f>
        <v>-54.0718464650352</v>
      </c>
      <c r="AP66" s="12" t="n">
        <f aca="false">-Cost_k*$A66+Beta_q*(Declarations!$B$16*INDEX(AO$21:AO$141,MAX(1,MIN(121,$B66-ROUND(Declarations!$A$16/$D$18,0))))+Declarations!$B$17*INDEX(AO$21:AO$141,MAX(1,MIN(121,$B66-ROUND(Declarations!$A$17/$D$18,0))))+Declarations!$B$18*INDEX(AO$21:AO$141,MAX(1,MIN(121,$B66-ROUND(Declarations!$A$18/$D$18,0))))+Declarations!$B$19*INDEX(AO$21:AO$141,MAX(1,MIN(121,$B66-ROUND(Declarations!$A$19/$D$18,0))))+Declarations!$B$20*INDEX(AO$21:AO$141,MAX(1,MIN(121,$B66-ROUND(Declarations!$A$20/$D$18,0)))))</f>
        <v>-257.944898790177</v>
      </c>
      <c r="AQ66" s="12" t="n">
        <f aca="false">INDEX(AP$21:AP$141,$I66+1)*(1-$J66)+INDEX(AP$21:AP$141,$I66+2)*$J66</f>
        <v>-263.994401105441</v>
      </c>
      <c r="AR66" s="12" t="n">
        <f aca="false">INDEX(AP$21:AP$141,$K66+1)*(1-$L66)+INDEX(AP$21:AP$141,$K66+2)*$L66</f>
        <v>-253.170326742262</v>
      </c>
      <c r="AS66" s="12" t="n">
        <f aca="false">$C66+$D66+MAX(AQ66,AR66,IF(COUNTIFS($A$21:$A$141,"&gt;="&amp;$G66,$A$21:$A$141,"&lt;="&amp;$H66)&gt;0,_xlfn.MAXIFS(AP$21:AP$141,$A$21:$A$141,"&gt;="&amp;$G66,$A$21:$A$141,"&lt;="&amp;$H66),AQ66))</f>
        <v>-59.2953267422623</v>
      </c>
      <c r="AT66" s="12" t="n">
        <f aca="false">-Cost_k*$A66+Beta_q*(Declarations!$B$16*INDEX(AS$21:AS$141,MAX(1,MIN(121,$B66-ROUND(Declarations!$A$16/$D$18,0))))+Declarations!$B$17*INDEX(AS$21:AS$141,MAX(1,MIN(121,$B66-ROUND(Declarations!$A$17/$D$18,0))))+Declarations!$B$18*INDEX(AS$21:AS$141,MAX(1,MIN(121,$B66-ROUND(Declarations!$A$18/$D$18,0))))+Declarations!$B$19*INDEX(AS$21:AS$141,MAX(1,MIN(121,$B66-ROUND(Declarations!$A$19/$D$18,0))))+Declarations!$B$20*INDEX(AS$21:AS$141,MAX(1,MIN(121,$B66-ROUND(Declarations!$A$20/$D$18,0)))))</f>
        <v>-263.0855763823</v>
      </c>
      <c r="AU66" s="12" t="n">
        <f aca="false">INDEX(AT$21:AT$141,$I66+1)*(1-$J66)+INDEX(AT$21:AT$141,$I66+2)*$J66</f>
        <v>-269.583993976953</v>
      </c>
      <c r="AV66" s="12" t="n">
        <f aca="false">INDEX(AT$21:AT$141,$K66+1)*(1-$L66)+INDEX(AT$21:AT$141,$K66+2)*$L66</f>
        <v>-258.148370880949</v>
      </c>
      <c r="AW66" s="12" t="n">
        <f aca="false">$C66+$D66+MAX(AU66,AV66,IF(COUNTIFS($A$21:$A$141,"&gt;="&amp;$G66,$A$21:$A$141,"&lt;="&amp;$H66)&gt;0,_xlfn.MAXIFS(AT$21:AT$141,$A$21:$A$141,"&gt;="&amp;$G66,$A$21:$A$141,"&lt;="&amp;$H66),AU66))</f>
        <v>-64.2733708809492</v>
      </c>
      <c r="AX66" s="12" t="n">
        <f aca="false">-Cost_k*$A66+Beta_q*(Declarations!$B$16*INDEX(AW$21:AW$141,MAX(1,MIN(121,$B66-ROUND(Declarations!$A$16/$D$18,0))))+Declarations!$B$17*INDEX(AW$21:AW$141,MAX(1,MIN(121,$B66-ROUND(Declarations!$A$17/$D$18,0))))+Declarations!$B$18*INDEX(AW$21:AW$141,MAX(1,MIN(121,$B66-ROUND(Declarations!$A$18/$D$18,0))))+Declarations!$B$19*INDEX(AW$21:AW$141,MAX(1,MIN(121,$B66-ROUND(Declarations!$A$19/$D$18,0))))+Declarations!$B$20*INDEX(AW$21:AW$141,MAX(1,MIN(121,$B66-ROUND(Declarations!$A$20/$D$18,0)))))</f>
        <v>-267.963032425728</v>
      </c>
      <c r="AY66" s="12" t="n">
        <f aca="false">INDEX(AX$21:AX$141,$I66+1)*(1-$J66)+INDEX(AX$21:AX$141,$I66+2)*$J66</f>
        <v>-274.647487412161</v>
      </c>
      <c r="AZ66" s="12" t="n">
        <f aca="false">INDEX(AX$21:AX$141,$K66+1)*(1-$L66)+INDEX(AX$21:AX$141,$K66+2)*$L66</f>
        <v>-262.973724529173</v>
      </c>
      <c r="BA66" s="12" t="n">
        <f aca="false">$C66+$D66+MAX(AY66,AZ66,IF(COUNTIFS($A$21:$A$141,"&gt;="&amp;$G66,$A$21:$A$141,"&lt;="&amp;$H66)&gt;0,_xlfn.MAXIFS(AX$21:AX$141,$A$21:$A$141,"&gt;="&amp;$G66,$A$21:$A$141,"&lt;="&amp;$H66),AY66))</f>
        <v>-69.0987245291732</v>
      </c>
      <c r="BB66" s="12" t="n">
        <f aca="false">-Cost_k*$A66+Beta_q*(Declarations!$B$16*INDEX(BA$21:BA$141,MAX(1,MIN(121,$B66-ROUND(Declarations!$A$16/$D$18,0))))+Declarations!$B$17*INDEX(BA$21:BA$141,MAX(1,MIN(121,$B66-ROUND(Declarations!$A$17/$D$18,0))))+Declarations!$B$18*INDEX(BA$21:BA$141,MAX(1,MIN(121,$B66-ROUND(Declarations!$A$18/$D$18,0))))+Declarations!$B$19*INDEX(BA$21:BA$141,MAX(1,MIN(121,$B66-ROUND(Declarations!$A$19/$D$18,0))))+Declarations!$B$20*INDEX(BA$21:BA$141,MAX(1,MIN(121,$B66-ROUND(Declarations!$A$20/$D$18,0)))))</f>
        <v>-272.680525468931</v>
      </c>
      <c r="BC66" s="12" t="n">
        <f aca="false">INDEX(BB$21:BB$141,$I66+1)*(1-$J66)+INDEX(BB$21:BB$141,$I66+2)*$J66</f>
        <v>-279.42972687436</v>
      </c>
      <c r="BD66" s="12" t="n">
        <f aca="false">INDEX(BB$21:BB$141,$K66+1)*(1-$L66)+INDEX(BB$21:BB$141,$K66+2)*$L66</f>
        <v>-267.676266947899</v>
      </c>
      <c r="BE66" s="12" t="n">
        <f aca="false">$C66+$D66+MAX(BC66,BD66,IF(COUNTIFS($A$21:$A$141,"&gt;="&amp;$G66,$A$21:$A$141,"&lt;="&amp;$H66)&gt;0,_xlfn.MAXIFS(BB$21:BB$141,$A$21:$A$141,"&gt;="&amp;$G66,$A$21:$A$141,"&lt;="&amp;$H66),BC66))</f>
        <v>-73.8012669478993</v>
      </c>
      <c r="BF66" s="12" t="n">
        <f aca="false">-Cost_k*$A66+Beta_q*(Declarations!$B$16*INDEX(BE$21:BE$141,MAX(1,MIN(121,$B66-ROUND(Declarations!$A$16/$D$18,0))))+Declarations!$B$17*INDEX(BE$21:BE$141,MAX(1,MIN(121,$B66-ROUND(Declarations!$A$17/$D$18,0))))+Declarations!$B$18*INDEX(BE$21:BE$141,MAX(1,MIN(121,$B66-ROUND(Declarations!$A$18/$D$18,0))))+Declarations!$B$19*INDEX(BE$21:BE$141,MAX(1,MIN(121,$B66-ROUND(Declarations!$A$19/$D$18,0))))+Declarations!$B$20*INDEX(BE$21:BE$141,MAX(1,MIN(121,$B66-ROUND(Declarations!$A$20/$D$18,0)))))</f>
        <v>-277.274064987244</v>
      </c>
      <c r="BG66" s="12" t="n">
        <f aca="false">INDEX(BF$21:BF$141,$I66+1)*(1-$J66)+INDEX(BF$21:BF$141,$I66+2)*$J66</f>
        <v>-284.043387426207</v>
      </c>
      <c r="BH66" s="12" t="n">
        <f aca="false">INDEX(BF$21:BF$141,$K66+1)*(1-$L66)+INDEX(BF$21:BF$141,$K66+2)*$L66</f>
        <v>-272.265906982135</v>
      </c>
      <c r="BI66" s="12" t="n">
        <f aca="false">$C66+$D66+MAX(BG66,BH66,IF(COUNTIFS($A$21:$A$141,"&gt;="&amp;$G66,$A$21:$A$141,"&lt;="&amp;$H66)&gt;0,_xlfn.MAXIFS(BF$21:BF$141,$A$21:$A$141,"&gt;="&amp;$G66,$A$21:$A$141,"&lt;="&amp;$H66),BG66))</f>
        <v>-78.3909069821347</v>
      </c>
      <c r="BJ66" s="23" t="n">
        <v>-78.3909069821346</v>
      </c>
      <c r="BK66" s="22" t="n">
        <f aca="false">ABS(BI66-BJ66)</f>
        <v>0</v>
      </c>
    </row>
    <row r="67" customFormat="false" ht="15" hidden="false" customHeight="false" outlineLevel="0" collapsed="false">
      <c r="A67" s="14" t="n">
        <f aca="false">A66+$D$18</f>
        <v>51.5</v>
      </c>
      <c r="B67" s="19" t="n">
        <v>47</v>
      </c>
      <c r="C67" s="12" t="n">
        <f aca="false">-Short_p*MAX(Floor_c-A67,0)</f>
        <v>-5.6</v>
      </c>
      <c r="D67" s="12" t="n">
        <f aca="false">Cost_k*Alpha_keep*A67</f>
        <v>200.85</v>
      </c>
      <c r="E67" s="12" t="n">
        <f aca="false">MIN(Cap_h,MAX(0,$B$18+MAX(Loss_w)-Alpha_keep*A67))</f>
        <v>0</v>
      </c>
      <c r="F67" s="12" t="n">
        <f aca="false">MAX(MIN(Cap_h,$F$18+MIN(Loss_w)-Alpha_keep*A67),E67)</f>
        <v>2.5</v>
      </c>
      <c r="G67" s="12" t="n">
        <f aca="false">Alpha_keep*A67+E67</f>
        <v>50.2125</v>
      </c>
      <c r="H67" s="12" t="n">
        <f aca="false">Alpha_keep*A67+F67</f>
        <v>52.7125</v>
      </c>
      <c r="I67" s="19" t="n">
        <f aca="false">MIN(INT((G67-$B$18)/$D$18+0.000000001),119)</f>
        <v>40</v>
      </c>
      <c r="J67" s="12" t="n">
        <f aca="false">(G67-$B$18)/$D$18-I67</f>
        <v>0.849999999999994</v>
      </c>
      <c r="K67" s="19" t="n">
        <f aca="false">MIN(INT((H67-$B$18)/$D$18+0.000000001),119)</f>
        <v>50</v>
      </c>
      <c r="L67" s="12" t="n">
        <f aca="false">(H67-$B$18)/$D$18-K67</f>
        <v>0.849999999999994</v>
      </c>
      <c r="M67" s="9" t="n">
        <v>0</v>
      </c>
      <c r="N67" s="12" t="n">
        <f aca="false">-Cost_k*$A67+Beta_q*(Declarations!$B$16*INDEX(M$21:M$141,MAX(1,MIN(121,$B67-ROUND(Declarations!$A$16/$D$18,0))))+Declarations!$B$17*INDEX(M$21:M$141,MAX(1,MIN(121,$B67-ROUND(Declarations!$A$17/$D$18,0))))+Declarations!$B$18*INDEX(M$21:M$141,MAX(1,MIN(121,$B67-ROUND(Declarations!$A$18/$D$18,0))))+Declarations!$B$19*INDEX(M$21:M$141,MAX(1,MIN(121,$B67-ROUND(Declarations!$A$19/$D$18,0))))+Declarations!$B$20*INDEX(M$21:M$141,MAX(1,MIN(121,$B67-ROUND(Declarations!$A$20/$D$18,0)))))</f>
        <v>-206</v>
      </c>
      <c r="O67" s="12" t="n">
        <f aca="false">INDEX(N$21:N$141,$I67+1)*(1-$J67)+INDEX(N$21:N$141,$I67+2)*$J67</f>
        <v>-200.85</v>
      </c>
      <c r="P67" s="12" t="n">
        <f aca="false">INDEX(N$21:N$141,$K67+1)*(1-$L67)+INDEX(N$21:N$141,$K67+2)*$L67</f>
        <v>-210.85</v>
      </c>
      <c r="Q67" s="12" t="n">
        <f aca="false">$C67+$D67+MAX(O67,P67,IF(COUNTIFS($A$21:$A$141,"&gt;="&amp;$G67,$A$21:$A$141,"&lt;="&amp;$H67)&gt;0,_xlfn.MAXIFS(N$21:N$141,$A$21:$A$141,"&gt;="&amp;$G67,$A$21:$A$141,"&lt;="&amp;$H67),O67))</f>
        <v>-5.59999999999999</v>
      </c>
      <c r="R67" s="12" t="n">
        <f aca="false">-Cost_k*$A67+Beta_q*(Declarations!$B$16*INDEX(Q$21:Q$141,MAX(1,MIN(121,$B67-ROUND(Declarations!$A$16/$D$18,0))))+Declarations!$B$17*INDEX(Q$21:Q$141,MAX(1,MIN(121,$B67-ROUND(Declarations!$A$17/$D$18,0))))+Declarations!$B$18*INDEX(Q$21:Q$141,MAX(1,MIN(121,$B67-ROUND(Declarations!$A$18/$D$18,0))))+Declarations!$B$19*INDEX(Q$21:Q$141,MAX(1,MIN(121,$B67-ROUND(Declarations!$A$19/$D$18,0))))+Declarations!$B$20*INDEX(Q$21:Q$141,MAX(1,MIN(121,$B67-ROUND(Declarations!$A$20/$D$18,0)))))</f>
        <v>-211.468142902187</v>
      </c>
      <c r="S67" s="12" t="n">
        <f aca="false">INDEX(R$21:R$141,$I67+1)*(1-$J67)+INDEX(R$21:R$141,$I67+2)*$J67</f>
        <v>-208.329638326921</v>
      </c>
      <c r="T67" s="12" t="n">
        <f aca="false">INDEX(R$21:R$141,$K67+1)*(1-$L67)+INDEX(R$21:R$141,$K67+2)*$L67</f>
        <v>-214.423821968215</v>
      </c>
      <c r="U67" s="12" t="n">
        <f aca="false">$C67+$D67+MAX(S67,T67,IF(COUNTIFS($A$21:$A$141,"&gt;="&amp;$G67,$A$21:$A$141,"&lt;="&amp;$H67)&gt;0,_xlfn.MAXIFS(R$21:R$141,$A$21:$A$141,"&gt;="&amp;$G67,$A$21:$A$141,"&lt;="&amp;$H67),S67))</f>
        <v>-13.0796383269205</v>
      </c>
      <c r="V67" s="12" t="n">
        <f aca="false">-Cost_k*$A67+Beta_q*(Declarations!$B$16*INDEX(U$21:U$141,MAX(1,MIN(121,$B67-ROUND(Declarations!$A$16/$D$18,0))))+Declarations!$B$17*INDEX(U$21:U$141,MAX(1,MIN(121,$B67-ROUND(Declarations!$A$17/$D$18,0))))+Declarations!$B$18*INDEX(U$21:U$141,MAX(1,MIN(121,$B67-ROUND(Declarations!$A$18/$D$18,0))))+Declarations!$B$19*INDEX(U$21:U$141,MAX(1,MIN(121,$B67-ROUND(Declarations!$A$19/$D$18,0))))+Declarations!$B$20*INDEX(U$21:U$141,MAX(1,MIN(121,$B67-ROUND(Declarations!$A$20/$D$18,0)))))</f>
        <v>-218.771666335809</v>
      </c>
      <c r="W67" s="12" t="n">
        <f aca="false">INDEX(V$21:V$141,$I67+1)*(1-$J67)+INDEX(V$21:V$141,$I67+2)*$J67</f>
        <v>-217.548191371042</v>
      </c>
      <c r="X67" s="12" t="n">
        <f aca="false">INDEX(V$21:V$141,$K67+1)*(1-$L67)+INDEX(V$21:V$141,$K67+2)*$L67</f>
        <v>-219.923870914279</v>
      </c>
      <c r="Y67" s="12" t="n">
        <f aca="false">$C67+$D67+MAX(W67,X67,IF(COUNTIFS($A$21:$A$141,"&gt;="&amp;$G67,$A$21:$A$141,"&lt;="&amp;$H67)&gt;0,_xlfn.MAXIFS(V$21:V$141,$A$21:$A$141,"&gt;="&amp;$G67,$A$21:$A$141,"&lt;="&amp;$H67),W67))</f>
        <v>-22.2981913710416</v>
      </c>
      <c r="Z67" s="12" t="n">
        <f aca="false">-Cost_k*$A67+Beta_q*(Declarations!$B$16*INDEX(Y$21:Y$141,MAX(1,MIN(121,$B67-ROUND(Declarations!$A$16/$D$18,0))))+Declarations!$B$17*INDEX(Y$21:Y$141,MAX(1,MIN(121,$B67-ROUND(Declarations!$A$17/$D$18,0))))+Declarations!$B$18*INDEX(Y$21:Y$141,MAX(1,MIN(121,$B67-ROUND(Declarations!$A$18/$D$18,0))))+Declarations!$B$19*INDEX(Y$21:Y$141,MAX(1,MIN(121,$B67-ROUND(Declarations!$A$19/$D$18,0))))+Declarations!$B$20*INDEX(Y$21:Y$141,MAX(1,MIN(121,$B67-ROUND(Declarations!$A$20/$D$18,0)))))</f>
        <v>-227.773160156639</v>
      </c>
      <c r="AA67" s="12" t="n">
        <f aca="false">INDEX(Z$21:Z$141,$I67+1)*(1-$J67)+INDEX(Z$21:Z$141,$I67+2)*$J67</f>
        <v>-228.37287522452</v>
      </c>
      <c r="AB67" s="12" t="n">
        <f aca="false">INDEX(Z$21:Z$141,$K67+1)*(1-$L67)+INDEX(Z$21:Z$141,$K67+2)*$L67</f>
        <v>-227.208379947081</v>
      </c>
      <c r="AC67" s="12" t="n">
        <f aca="false">$C67+$D67+MAX(AA67,AB67,IF(COUNTIFS($A$21:$A$141,"&gt;="&amp;$G67,$A$21:$A$141,"&lt;="&amp;$H67)&gt;0,_xlfn.MAXIFS(Z$21:Z$141,$A$21:$A$141,"&gt;="&amp;$G67,$A$21:$A$141,"&lt;="&amp;$H67),AA67))</f>
        <v>-31.9583799470806</v>
      </c>
      <c r="AD67" s="12" t="n">
        <f aca="false">-Cost_k*$A67+Beta_q*(Declarations!$B$16*INDEX(AC$21:AC$141,MAX(1,MIN(121,$B67-ROUND(Declarations!$A$16/$D$18,0))))+Declarations!$B$17*INDEX(AC$21:AC$141,MAX(1,MIN(121,$B67-ROUND(Declarations!$A$17/$D$18,0))))+Declarations!$B$18*INDEX(AC$21:AC$141,MAX(1,MIN(121,$B67-ROUND(Declarations!$A$18/$D$18,0))))+Declarations!$B$19*INDEX(AC$21:AC$141,MAX(1,MIN(121,$B67-ROUND(Declarations!$A$19/$D$18,0))))+Declarations!$B$20*INDEX(AC$21:AC$141,MAX(1,MIN(121,$B67-ROUND(Declarations!$A$20/$D$18,0)))))</f>
        <v>-237.208838554619</v>
      </c>
      <c r="AE67" s="12" t="n">
        <f aca="false">INDEX(AD$21:AD$141,$I67+1)*(1-$J67)+INDEX(AD$21:AD$141,$I67+2)*$J67</f>
        <v>-239.541360696183</v>
      </c>
      <c r="AF67" s="12" t="n">
        <f aca="false">INDEX(AD$21:AD$141,$K67+1)*(1-$L67)+INDEX(AD$21:AD$141,$K67+2)*$L67</f>
        <v>-235.094321590339</v>
      </c>
      <c r="AG67" s="12" t="n">
        <f aca="false">$C67+$D67+MAX(AE67,AF67,IF(COUNTIFS($A$21:$A$141,"&gt;="&amp;$G67,$A$21:$A$141,"&lt;="&amp;$H67)&gt;0,_xlfn.MAXIFS(AD$21:AD$141,$A$21:$A$141,"&gt;="&amp;$G67,$A$21:$A$141,"&lt;="&amp;$H67),AE67))</f>
        <v>-39.8443215903386</v>
      </c>
      <c r="AH67" s="12" t="n">
        <f aca="false">-Cost_k*$A67+Beta_q*(Declarations!$B$16*INDEX(AG$21:AG$141,MAX(1,MIN(121,$B67-ROUND(Declarations!$A$16/$D$18,0))))+Declarations!$B$17*INDEX(AG$21:AG$141,MAX(1,MIN(121,$B67-ROUND(Declarations!$A$17/$D$18,0))))+Declarations!$B$18*INDEX(AG$21:AG$141,MAX(1,MIN(121,$B67-ROUND(Declarations!$A$18/$D$18,0))))+Declarations!$B$19*INDEX(AG$21:AG$141,MAX(1,MIN(121,$B67-ROUND(Declarations!$A$19/$D$18,0))))+Declarations!$B$20*INDEX(AG$21:AG$141,MAX(1,MIN(121,$B67-ROUND(Declarations!$A$20/$D$18,0)))))</f>
        <v>-244.947681684301</v>
      </c>
      <c r="AI67" s="12" t="n">
        <f aca="false">INDEX(AH$21:AH$141,$I67+1)*(1-$J67)+INDEX(AH$21:AH$141,$I67+2)*$J67</f>
        <v>-248.820682354615</v>
      </c>
      <c r="AJ67" s="12" t="n">
        <f aca="false">INDEX(AH$21:AH$141,$K67+1)*(1-$L67)+INDEX(AH$21:AH$141,$K67+2)*$L67</f>
        <v>-241.599405451539</v>
      </c>
      <c r="AK67" s="12" t="n">
        <f aca="false">$C67+$D67+MAX(AI67,AJ67,IF(COUNTIFS($A$21:$A$141,"&gt;="&amp;$G67,$A$21:$A$141,"&lt;="&amp;$H67)&gt;0,_xlfn.MAXIFS(AH$21:AH$141,$A$21:$A$141,"&gt;="&amp;$G67,$A$21:$A$141,"&lt;="&amp;$H67),AI67))</f>
        <v>-46.349405451539</v>
      </c>
      <c r="AL67" s="12" t="n">
        <f aca="false">-Cost_k*$A67+Beta_q*(Declarations!$B$16*INDEX(AK$21:AK$141,MAX(1,MIN(121,$B67-ROUND(Declarations!$A$16/$D$18,0))))+Declarations!$B$17*INDEX(AK$21:AK$141,MAX(1,MIN(121,$B67-ROUND(Declarations!$A$17/$D$18,0))))+Declarations!$B$18*INDEX(AK$21:AK$141,MAX(1,MIN(121,$B67-ROUND(Declarations!$A$18/$D$18,0))))+Declarations!$B$19*INDEX(AK$21:AK$141,MAX(1,MIN(121,$B67-ROUND(Declarations!$A$19/$D$18,0))))+Declarations!$B$20*INDEX(AK$21:AK$141,MAX(1,MIN(121,$B67-ROUND(Declarations!$A$20/$D$18,0)))))</f>
        <v>-251.348094551581</v>
      </c>
      <c r="AM67" s="12" t="n">
        <f aca="false">INDEX(AL$21:AL$141,$I67+1)*(1-$J67)+INDEX(AL$21:AL$141,$I67+2)*$J67</f>
        <v>-256.454364459615</v>
      </c>
      <c r="AN67" s="12" t="n">
        <f aca="false">INDEX(AL$21:AL$141,$K67+1)*(1-$L67)+INDEX(AL$21:AL$141,$K67+2)*$L67</f>
        <v>-247.189429656051</v>
      </c>
      <c r="AO67" s="12" t="n">
        <f aca="false">$C67+$D67+MAX(AM67,AN67,IF(COUNTIFS($A$21:$A$141,"&gt;="&amp;$G67,$A$21:$A$141,"&lt;="&amp;$H67)&gt;0,_xlfn.MAXIFS(AL$21:AL$141,$A$21:$A$141,"&gt;="&amp;$G67,$A$21:$A$141,"&lt;="&amp;$H67),AM67))</f>
        <v>-51.9394296560505</v>
      </c>
      <c r="AP67" s="12" t="n">
        <f aca="false">-Cost_k*$A67+Beta_q*(Declarations!$B$16*INDEX(AO$21:AO$141,MAX(1,MIN(121,$B67-ROUND(Declarations!$A$16/$D$18,0))))+Declarations!$B$17*INDEX(AO$21:AO$141,MAX(1,MIN(121,$B67-ROUND(Declarations!$A$17/$D$18,0))))+Declarations!$B$18*INDEX(AO$21:AO$141,MAX(1,MIN(121,$B67-ROUND(Declarations!$A$18/$D$18,0))))+Declarations!$B$19*INDEX(AO$21:AO$141,MAX(1,MIN(121,$B67-ROUND(Declarations!$A$19/$D$18,0))))+Declarations!$B$20*INDEX(AO$21:AO$141,MAX(1,MIN(121,$B67-ROUND(Declarations!$A$20/$D$18,0)))))</f>
        <v>-256.876126361638</v>
      </c>
      <c r="AQ67" s="12" t="n">
        <f aca="false">INDEX(AP$21:AP$141,$I67+1)*(1-$J67)+INDEX(AP$21:AP$141,$I67+2)*$J67</f>
        <v>-262.78807907327</v>
      </c>
      <c r="AR67" s="12" t="n">
        <f aca="false">INDEX(AP$21:AP$141,$K67+1)*(1-$L67)+INDEX(AP$21:AP$141,$K67+2)*$L67</f>
        <v>-252.367360090721</v>
      </c>
      <c r="AS67" s="12" t="n">
        <f aca="false">$C67+$D67+MAX(AQ67,AR67,IF(COUNTIFS($A$21:$A$141,"&gt;="&amp;$G67,$A$21:$A$141,"&lt;="&amp;$H67)&gt;0,_xlfn.MAXIFS(AP$21:AP$141,$A$21:$A$141,"&gt;="&amp;$G67,$A$21:$A$141,"&lt;="&amp;$H67),AQ67))</f>
        <v>-57.1173600907214</v>
      </c>
      <c r="AT67" s="12" t="n">
        <f aca="false">-Cost_k*$A67+Beta_q*(Declarations!$B$16*INDEX(AS$21:AS$141,MAX(1,MIN(121,$B67-ROUND(Declarations!$A$16/$D$18,0))))+Declarations!$B$17*INDEX(AS$21:AS$141,MAX(1,MIN(121,$B67-ROUND(Declarations!$A$17/$D$18,0))))+Declarations!$B$18*INDEX(AS$21:AS$141,MAX(1,MIN(121,$B67-ROUND(Declarations!$A$18/$D$18,0))))+Declarations!$B$19*INDEX(AS$21:AS$141,MAX(1,MIN(121,$B67-ROUND(Declarations!$A$19/$D$18,0))))+Declarations!$B$20*INDEX(AS$21:AS$141,MAX(1,MIN(121,$B67-ROUND(Declarations!$A$20/$D$18,0)))))</f>
        <v>-261.966328245642</v>
      </c>
      <c r="AU67" s="12" t="n">
        <f aca="false">INDEX(AT$21:AT$141,$I67+1)*(1-$J67)+INDEX(AT$21:AT$141,$I67+2)*$J67</f>
        <v>-268.262835596832</v>
      </c>
      <c r="AV67" s="12" t="n">
        <f aca="false">INDEX(AT$21:AT$141,$K67+1)*(1-$L67)+INDEX(AT$21:AT$141,$K67+2)*$L67</f>
        <v>-257.331366006919</v>
      </c>
      <c r="AW67" s="12" t="n">
        <f aca="false">$C67+$D67+MAX(AU67,AV67,IF(COUNTIFS($A$21:$A$141,"&gt;="&amp;$G67,$A$21:$A$141,"&lt;="&amp;$H67)&gt;0,_xlfn.MAXIFS(AT$21:AT$141,$A$21:$A$141,"&gt;="&amp;$G67,$A$21:$A$141,"&lt;="&amp;$H67),AU67))</f>
        <v>-62.081366006919</v>
      </c>
      <c r="AX67" s="12" t="n">
        <f aca="false">-Cost_k*$A67+Beta_q*(Declarations!$B$16*INDEX(AW$21:AW$141,MAX(1,MIN(121,$B67-ROUND(Declarations!$A$16/$D$18,0))))+Declarations!$B$17*INDEX(AW$21:AW$141,MAX(1,MIN(121,$B67-ROUND(Declarations!$A$17/$D$18,0))))+Declarations!$B$18*INDEX(AW$21:AW$141,MAX(1,MIN(121,$B67-ROUND(Declarations!$A$18/$D$18,0))))+Declarations!$B$19*INDEX(AW$21:AW$141,MAX(1,MIN(121,$B67-ROUND(Declarations!$A$19/$D$18,0))))+Declarations!$B$20*INDEX(AW$21:AW$141,MAX(1,MIN(121,$B67-ROUND(Declarations!$A$20/$D$18,0)))))</f>
        <v>-266.827078900192</v>
      </c>
      <c r="AY67" s="12" t="n">
        <f aca="false">INDEX(AX$21:AX$141,$I67+1)*(1-$J67)+INDEX(AX$21:AX$141,$I67+2)*$J67</f>
        <v>-273.274410187732</v>
      </c>
      <c r="AZ67" s="12" t="n">
        <f aca="false">INDEX(AX$21:AX$141,$K67+1)*(1-$L67)+INDEX(AX$21:AX$141,$K67+2)*$L67</f>
        <v>-262.152725229837</v>
      </c>
      <c r="BA67" s="12" t="n">
        <f aca="false">$C67+$D67+MAX(AY67,AZ67,IF(COUNTIFS($A$21:$A$141,"&gt;="&amp;$G67,$A$21:$A$141,"&lt;="&amp;$H67)&gt;0,_xlfn.MAXIFS(AX$21:AX$141,$A$21:$A$141,"&gt;="&amp;$G67,$A$21:$A$141,"&lt;="&amp;$H67),AY67))</f>
        <v>-66.9027252298369</v>
      </c>
      <c r="BB67" s="12" t="n">
        <f aca="false">-Cost_k*$A67+Beta_q*(Declarations!$B$16*INDEX(BA$21:BA$141,MAX(1,MIN(121,$B67-ROUND(Declarations!$A$16/$D$18,0))))+Declarations!$B$17*INDEX(BA$21:BA$141,MAX(1,MIN(121,$B67-ROUND(Declarations!$A$17/$D$18,0))))+Declarations!$B$18*INDEX(BA$21:BA$141,MAX(1,MIN(121,$B67-ROUND(Declarations!$A$18/$D$18,0))))+Declarations!$B$19*INDEX(BA$21:BA$141,MAX(1,MIN(121,$B67-ROUND(Declarations!$A$19/$D$18,0))))+Declarations!$B$20*INDEX(BA$21:BA$141,MAX(1,MIN(121,$B67-ROUND(Declarations!$A$20/$D$18,0)))))</f>
        <v>-271.539354053388</v>
      </c>
      <c r="BC67" s="12" t="n">
        <f aca="false">INDEX(BB$21:BB$141,$I67+1)*(1-$J67)+INDEX(BB$21:BB$141,$I67+2)*$J67</f>
        <v>-278.037832059149</v>
      </c>
      <c r="BD67" s="12" t="n">
        <f aca="false">INDEX(BB$21:BB$141,$K67+1)*(1-$L67)+INDEX(BB$21:BB$141,$K67+2)*$L67</f>
        <v>-266.854286403251</v>
      </c>
      <c r="BE67" s="12" t="n">
        <f aca="false">$C67+$D67+MAX(BC67,BD67,IF(COUNTIFS($A$21:$A$141,"&gt;="&amp;$G67,$A$21:$A$141,"&lt;="&amp;$H67)&gt;0,_xlfn.MAXIFS(BB$21:BB$141,$A$21:$A$141,"&gt;="&amp;$G67,$A$21:$A$141,"&lt;="&amp;$H67),BC67))</f>
        <v>-71.604286403251</v>
      </c>
      <c r="BF67" s="12" t="n">
        <f aca="false">-Cost_k*$A67+Beta_q*(Declarations!$B$16*INDEX(BE$21:BE$141,MAX(1,MIN(121,$B67-ROUND(Declarations!$A$16/$D$18,0))))+Declarations!$B$17*INDEX(BE$21:BE$141,MAX(1,MIN(121,$B67-ROUND(Declarations!$A$17/$D$18,0))))+Declarations!$B$18*INDEX(BE$21:BE$141,MAX(1,MIN(121,$B67-ROUND(Declarations!$A$18/$D$18,0))))+Declarations!$B$19*INDEX(BE$21:BE$141,MAX(1,MIN(121,$B67-ROUND(Declarations!$A$19/$D$18,0))))+Declarations!$B$20*INDEX(BE$21:BE$141,MAX(1,MIN(121,$B67-ROUND(Declarations!$A$20/$D$18,0)))))</f>
        <v>-276.13148029075</v>
      </c>
      <c r="BG67" s="12" t="n">
        <f aca="false">INDEX(BF$21:BF$141,$I67+1)*(1-$J67)+INDEX(BF$21:BF$141,$I67+2)*$J67</f>
        <v>-282.645160757898</v>
      </c>
      <c r="BH67" s="12" t="n">
        <f aca="false">INDEX(BF$21:BF$141,$K67+1)*(1-$L67)+INDEX(BF$21:BF$141,$K67+2)*$L67</f>
        <v>-271.443697996701</v>
      </c>
      <c r="BI67" s="12" t="n">
        <f aca="false">$C67+$D67+MAX(BG67,BH67,IF(COUNTIFS($A$21:$A$141,"&gt;="&amp;$G67,$A$21:$A$141,"&lt;="&amp;$H67)&gt;0,_xlfn.MAXIFS(BF$21:BF$141,$A$21:$A$141,"&gt;="&amp;$G67,$A$21:$A$141,"&lt;="&amp;$H67),BG67))</f>
        <v>-76.1936979967013</v>
      </c>
      <c r="BJ67" s="23" t="n">
        <v>-76.1936979967013</v>
      </c>
      <c r="BK67" s="22" t="n">
        <f aca="false">ABS(BI67-BJ67)</f>
        <v>0</v>
      </c>
    </row>
    <row r="68" customFormat="false" ht="15" hidden="false" customHeight="false" outlineLevel="0" collapsed="false">
      <c r="A68" s="14" t="n">
        <f aca="false">A67+$D$18</f>
        <v>51.75</v>
      </c>
      <c r="B68" s="19" t="n">
        <v>48</v>
      </c>
      <c r="C68" s="12" t="n">
        <f aca="false">-Short_p*MAX(Floor_c-A68,0)</f>
        <v>-5.2</v>
      </c>
      <c r="D68" s="12" t="n">
        <f aca="false">Cost_k*Alpha_keep*A68</f>
        <v>201.825</v>
      </c>
      <c r="E68" s="12" t="n">
        <f aca="false">MIN(Cap_h,MAX(0,$B$18+MAX(Loss_w)-Alpha_keep*A68))</f>
        <v>0</v>
      </c>
      <c r="F68" s="12" t="n">
        <f aca="false">MAX(MIN(Cap_h,$F$18+MIN(Loss_w)-Alpha_keep*A68),E68)</f>
        <v>2.5</v>
      </c>
      <c r="G68" s="12" t="n">
        <f aca="false">Alpha_keep*A68+E68</f>
        <v>50.45625</v>
      </c>
      <c r="H68" s="12" t="n">
        <f aca="false">Alpha_keep*A68+F68</f>
        <v>52.95625</v>
      </c>
      <c r="I68" s="19" t="n">
        <f aca="false">MIN(INT((G68-$B$18)/$D$18+0.000000001),119)</f>
        <v>41</v>
      </c>
      <c r="J68" s="12" t="n">
        <f aca="false">(G68-$B$18)/$D$18-I68</f>
        <v>0.824999999999989</v>
      </c>
      <c r="K68" s="19" t="n">
        <f aca="false">MIN(INT((H68-$B$18)/$D$18+0.000000001),119)</f>
        <v>51</v>
      </c>
      <c r="L68" s="12" t="n">
        <f aca="false">(H68-$B$18)/$D$18-K68</f>
        <v>0.824999999999989</v>
      </c>
      <c r="M68" s="9" t="n">
        <v>0</v>
      </c>
      <c r="N68" s="12" t="n">
        <f aca="false">-Cost_k*$A68+Beta_q*(Declarations!$B$16*INDEX(M$21:M$141,MAX(1,MIN(121,$B68-ROUND(Declarations!$A$16/$D$18,0))))+Declarations!$B$17*INDEX(M$21:M$141,MAX(1,MIN(121,$B68-ROUND(Declarations!$A$17/$D$18,0))))+Declarations!$B$18*INDEX(M$21:M$141,MAX(1,MIN(121,$B68-ROUND(Declarations!$A$18/$D$18,0))))+Declarations!$B$19*INDEX(M$21:M$141,MAX(1,MIN(121,$B68-ROUND(Declarations!$A$19/$D$18,0))))+Declarations!$B$20*INDEX(M$21:M$141,MAX(1,MIN(121,$B68-ROUND(Declarations!$A$20/$D$18,0)))))</f>
        <v>-207</v>
      </c>
      <c r="O68" s="12" t="n">
        <f aca="false">INDEX(N$21:N$141,$I68+1)*(1-$J68)+INDEX(N$21:N$141,$I68+2)*$J68</f>
        <v>-201.825</v>
      </c>
      <c r="P68" s="12" t="n">
        <f aca="false">INDEX(N$21:N$141,$K68+1)*(1-$L68)+INDEX(N$21:N$141,$K68+2)*$L68</f>
        <v>-211.825</v>
      </c>
      <c r="Q68" s="12" t="n">
        <f aca="false">$C68+$D68+MAX(O68,P68,IF(COUNTIFS($A$21:$A$141,"&gt;="&amp;$G68,$A$21:$A$141,"&lt;="&amp;$H68)&gt;0,_xlfn.MAXIFS(N$21:N$141,$A$21:$A$141,"&gt;="&amp;$G68,$A$21:$A$141,"&lt;="&amp;$H68),O68))</f>
        <v>-5.19999999999999</v>
      </c>
      <c r="R68" s="12" t="n">
        <f aca="false">-Cost_k*$A68+Beta_q*(Declarations!$B$16*INDEX(Q$21:Q$141,MAX(1,MIN(121,$B68-ROUND(Declarations!$A$16/$D$18,0))))+Declarations!$B$17*INDEX(Q$21:Q$141,MAX(1,MIN(121,$B68-ROUND(Declarations!$A$17/$D$18,0))))+Declarations!$B$18*INDEX(Q$21:Q$141,MAX(1,MIN(121,$B68-ROUND(Declarations!$A$18/$D$18,0))))+Declarations!$B$19*INDEX(Q$21:Q$141,MAX(1,MIN(121,$B68-ROUND(Declarations!$A$19/$D$18,0))))+Declarations!$B$20*INDEX(Q$21:Q$141,MAX(1,MIN(121,$B68-ROUND(Declarations!$A$20/$D$18,0)))))</f>
        <v>-212.077561266317</v>
      </c>
      <c r="S68" s="12" t="n">
        <f aca="false">INDEX(R$21:R$141,$I68+1)*(1-$J68)+INDEX(R$21:R$141,$I68+2)*$J68</f>
        <v>-208.923821231947</v>
      </c>
      <c r="T68" s="12" t="n">
        <f aca="false">INDEX(R$21:R$141,$K68+1)*(1-$L68)+INDEX(R$21:R$141,$K68+2)*$L68</f>
        <v>-215.018004873242</v>
      </c>
      <c r="U68" s="12" t="n">
        <f aca="false">$C68+$D68+MAX(S68,T68,IF(COUNTIFS($A$21:$A$141,"&gt;="&amp;$G68,$A$21:$A$141,"&lt;="&amp;$H68)&gt;0,_xlfn.MAXIFS(R$21:R$141,$A$21:$A$141,"&gt;="&amp;$G68,$A$21:$A$141,"&lt;="&amp;$H68),S68))</f>
        <v>-12.2988212319468</v>
      </c>
      <c r="V68" s="12" t="n">
        <f aca="false">-Cost_k*$A68+Beta_q*(Declarations!$B$16*INDEX(U$21:U$141,MAX(1,MIN(121,$B68-ROUND(Declarations!$A$16/$D$18,0))))+Declarations!$B$17*INDEX(U$21:U$141,MAX(1,MIN(121,$B68-ROUND(Declarations!$A$17/$D$18,0))))+Declarations!$B$18*INDEX(U$21:U$141,MAX(1,MIN(121,$B68-ROUND(Declarations!$A$18/$D$18,0))))+Declarations!$B$19*INDEX(U$21:U$141,MAX(1,MIN(121,$B68-ROUND(Declarations!$A$19/$D$18,0))))+Declarations!$B$20*INDEX(U$21:U$141,MAX(1,MIN(121,$B68-ROUND(Declarations!$A$20/$D$18,0)))))</f>
        <v>-219.009234290132</v>
      </c>
      <c r="W68" s="12" t="n">
        <f aca="false">INDEX(V$21:V$141,$I68+1)*(1-$J68)+INDEX(V$21:V$141,$I68+2)*$J68</f>
        <v>-217.779820126507</v>
      </c>
      <c r="X68" s="12" t="n">
        <f aca="false">INDEX(V$21:V$141,$K68+1)*(1-$L68)+INDEX(V$21:V$141,$K68+2)*$L68</f>
        <v>-220.155499669744</v>
      </c>
      <c r="Y68" s="12" t="n">
        <f aca="false">$C68+$D68+MAX(W68,X68,IF(COUNTIFS($A$21:$A$141,"&gt;="&amp;$G68,$A$21:$A$141,"&lt;="&amp;$H68)&gt;0,_xlfn.MAXIFS(V$21:V$141,$A$21:$A$141,"&gt;="&amp;$G68,$A$21:$A$141,"&lt;="&amp;$H68),W68))</f>
        <v>-21.1548201265071</v>
      </c>
      <c r="Z68" s="12" t="n">
        <f aca="false">-Cost_k*$A68+Beta_q*(Declarations!$B$16*INDEX(Y$21:Y$141,MAX(1,MIN(121,$B68-ROUND(Declarations!$A$16/$D$18,0))))+Declarations!$B$17*INDEX(Y$21:Y$141,MAX(1,MIN(121,$B68-ROUND(Declarations!$A$17/$D$18,0))))+Declarations!$B$18*INDEX(Y$21:Y$141,MAX(1,MIN(121,$B68-ROUND(Declarations!$A$18/$D$18,0))))+Declarations!$B$19*INDEX(Y$21:Y$141,MAX(1,MIN(121,$B68-ROUND(Declarations!$A$19/$D$18,0))))+Declarations!$B$20*INDEX(Y$21:Y$141,MAX(1,MIN(121,$B68-ROUND(Declarations!$A$20/$D$18,0)))))</f>
        <v>-227.656710628895</v>
      </c>
      <c r="AA68" s="12" t="n">
        <f aca="false">INDEX(Z$21:Z$141,$I68+1)*(1-$J68)+INDEX(Z$21:Z$141,$I68+2)*$J68</f>
        <v>-228.259336934969</v>
      </c>
      <c r="AB68" s="12" t="n">
        <f aca="false">INDEX(Z$21:Z$141,$K68+1)*(1-$L68)+INDEX(Z$21:Z$141,$K68+2)*$L68</f>
        <v>-227.09484165753</v>
      </c>
      <c r="AC68" s="12" t="n">
        <f aca="false">$C68+$D68+MAX(AA68,AB68,IF(COUNTIFS($A$21:$A$141,"&gt;="&amp;$G68,$A$21:$A$141,"&lt;="&amp;$H68)&gt;0,_xlfn.MAXIFS(Z$21:Z$141,$A$21:$A$141,"&gt;="&amp;$G68,$A$21:$A$141,"&lt;="&amp;$H68),AA68))</f>
        <v>-30.4698416575303</v>
      </c>
      <c r="AD68" s="12" t="n">
        <f aca="false">-Cost_k*$A68+Beta_q*(Declarations!$B$16*INDEX(AC$21:AC$141,MAX(1,MIN(121,$B68-ROUND(Declarations!$A$16/$D$18,0))))+Declarations!$B$17*INDEX(AC$21:AC$141,MAX(1,MIN(121,$B68-ROUND(Declarations!$A$17/$D$18,0))))+Declarations!$B$18*INDEX(AC$21:AC$141,MAX(1,MIN(121,$B68-ROUND(Declarations!$A$18/$D$18,0))))+Declarations!$B$19*INDEX(AC$21:AC$141,MAX(1,MIN(121,$B68-ROUND(Declarations!$A$19/$D$18,0))))+Declarations!$B$20*INDEX(AC$21:AC$141,MAX(1,MIN(121,$B68-ROUND(Declarations!$A$20/$D$18,0)))))</f>
        <v>-236.762244933812</v>
      </c>
      <c r="AE68" s="12" t="n">
        <f aca="false">INDEX(AD$21:AD$141,$I68+1)*(1-$J68)+INDEX(AD$21:AD$141,$I68+2)*$J68</f>
        <v>-239.099209021973</v>
      </c>
      <c r="AF68" s="12" t="n">
        <f aca="false">INDEX(AD$21:AD$141,$K68+1)*(1-$L68)+INDEX(AD$21:AD$141,$K68+2)*$L68</f>
        <v>-234.689111721523</v>
      </c>
      <c r="AG68" s="12" t="n">
        <f aca="false">$C68+$D68+MAX(AE68,AF68,IF(COUNTIFS($A$21:$A$141,"&gt;="&amp;$G68,$A$21:$A$141,"&lt;="&amp;$H68)&gt;0,_xlfn.MAXIFS(AD$21:AD$141,$A$21:$A$141,"&gt;="&amp;$G68,$A$21:$A$141,"&lt;="&amp;$H68),AE68))</f>
        <v>-38.0641117215228</v>
      </c>
      <c r="AH68" s="12" t="n">
        <f aca="false">-Cost_k*$A68+Beta_q*(Declarations!$B$16*INDEX(AG$21:AG$141,MAX(1,MIN(121,$B68-ROUND(Declarations!$A$16/$D$18,0))))+Declarations!$B$17*INDEX(AG$21:AG$141,MAX(1,MIN(121,$B68-ROUND(Declarations!$A$17/$D$18,0))))+Declarations!$B$18*INDEX(AG$21:AG$141,MAX(1,MIN(121,$B68-ROUND(Declarations!$A$18/$D$18,0))))+Declarations!$B$19*INDEX(AG$21:AG$141,MAX(1,MIN(121,$B68-ROUND(Declarations!$A$19/$D$18,0))))+Declarations!$B$20*INDEX(AG$21:AG$141,MAX(1,MIN(121,$B68-ROUND(Declarations!$A$20/$D$18,0)))))</f>
        <v>-244.22091804605</v>
      </c>
      <c r="AI68" s="12" t="n">
        <f aca="false">INDEX(AH$21:AH$141,$I68+1)*(1-$J68)+INDEX(AH$21:AH$141,$I68+2)*$J68</f>
        <v>-248.07578673502</v>
      </c>
      <c r="AJ68" s="12" t="n">
        <f aca="false">INDEX(AH$21:AH$141,$K68+1)*(1-$L68)+INDEX(AH$21:AH$141,$K68+2)*$L68</f>
        <v>-240.975325147967</v>
      </c>
      <c r="AK68" s="12" t="n">
        <f aca="false">$C68+$D68+MAX(AI68,AJ68,IF(COUNTIFS($A$21:$A$141,"&gt;="&amp;$G68,$A$21:$A$141,"&lt;="&amp;$H68)&gt;0,_xlfn.MAXIFS(AH$21:AH$141,$A$21:$A$141,"&gt;="&amp;$G68,$A$21:$A$141,"&lt;="&amp;$H68),AI68))</f>
        <v>-44.3503251479671</v>
      </c>
      <c r="AL68" s="12" t="n">
        <f aca="false">-Cost_k*$A68+Beta_q*(Declarations!$B$16*INDEX(AK$21:AK$141,MAX(1,MIN(121,$B68-ROUND(Declarations!$A$16/$D$18,0))))+Declarations!$B$17*INDEX(AK$21:AK$141,MAX(1,MIN(121,$B68-ROUND(Declarations!$A$17/$D$18,0))))+Declarations!$B$18*INDEX(AK$21:AK$141,MAX(1,MIN(121,$B68-ROUND(Declarations!$A$18/$D$18,0))))+Declarations!$B$19*INDEX(AK$21:AK$141,MAX(1,MIN(121,$B68-ROUND(Declarations!$A$19/$D$18,0))))+Declarations!$B$20*INDEX(AK$21:AK$141,MAX(1,MIN(121,$B68-ROUND(Declarations!$A$20/$D$18,0)))))</f>
        <v>-250.415564591921</v>
      </c>
      <c r="AM68" s="12" t="n">
        <f aca="false">INDEX(AL$21:AL$141,$I68+1)*(1-$J68)+INDEX(AL$21:AL$141,$I68+2)*$J68</f>
        <v>-255.452740906086</v>
      </c>
      <c r="AN68" s="12" t="n">
        <f aca="false">INDEX(AL$21:AL$141,$K68+1)*(1-$L68)+INDEX(AL$21:AL$141,$K68+2)*$L68</f>
        <v>-246.469567535904</v>
      </c>
      <c r="AO68" s="12" t="n">
        <f aca="false">$C68+$D68+MAX(AM68,AN68,IF(COUNTIFS($A$21:$A$141,"&gt;="&amp;$G68,$A$21:$A$141,"&lt;="&amp;$H68)&gt;0,_xlfn.MAXIFS(AL$21:AL$141,$A$21:$A$141,"&gt;="&amp;$G68,$A$21:$A$141,"&lt;="&amp;$H68),AM68))</f>
        <v>-49.8445675359039</v>
      </c>
      <c r="AP68" s="12" t="n">
        <f aca="false">-Cost_k*$A68+Beta_q*(Declarations!$B$16*INDEX(AO$21:AO$141,MAX(1,MIN(121,$B68-ROUND(Declarations!$A$16/$D$18,0))))+Declarations!$B$17*INDEX(AO$21:AO$141,MAX(1,MIN(121,$B68-ROUND(Declarations!$A$17/$D$18,0))))+Declarations!$B$18*INDEX(AO$21:AO$141,MAX(1,MIN(121,$B68-ROUND(Declarations!$A$18/$D$18,0))))+Declarations!$B$19*INDEX(AO$21:AO$141,MAX(1,MIN(121,$B68-ROUND(Declarations!$A$19/$D$18,0))))+Declarations!$B$20*INDEX(AO$21:AO$141,MAX(1,MIN(121,$B68-ROUND(Declarations!$A$20/$D$18,0)))))</f>
        <v>-255.845348481284</v>
      </c>
      <c r="AQ68" s="12" t="n">
        <f aca="false">INDEX(AP$21:AP$141,$I68+1)*(1-$J68)+INDEX(AP$21:AP$141,$I68+2)*$J68</f>
        <v>-261.600110349424</v>
      </c>
      <c r="AR68" s="12" t="n">
        <f aca="false">INDEX(AP$21:AP$141,$K68+1)*(1-$L68)+INDEX(AP$21:AP$141,$K68+2)*$L68</f>
        <v>-251.612104438488</v>
      </c>
      <c r="AS68" s="12" t="n">
        <f aca="false">$C68+$D68+MAX(AQ68,AR68,IF(COUNTIFS($A$21:$A$141,"&gt;="&amp;$G68,$A$21:$A$141,"&lt;="&amp;$H68)&gt;0,_xlfn.MAXIFS(AP$21:AP$141,$A$21:$A$141,"&gt;="&amp;$G68,$A$21:$A$141,"&lt;="&amp;$H68),AQ68))</f>
        <v>-54.9871044384885</v>
      </c>
      <c r="AT68" s="12" t="n">
        <f aca="false">-Cost_k*$A68+Beta_q*(Declarations!$B$16*INDEX(AS$21:AS$141,MAX(1,MIN(121,$B68-ROUND(Declarations!$A$16/$D$18,0))))+Declarations!$B$17*INDEX(AS$21:AS$141,MAX(1,MIN(121,$B68-ROUND(Declarations!$A$17/$D$18,0))))+Declarations!$B$18*INDEX(AS$21:AS$141,MAX(1,MIN(121,$B68-ROUND(Declarations!$A$18/$D$18,0))))+Declarations!$B$19*INDEX(AS$21:AS$141,MAX(1,MIN(121,$B68-ROUND(Declarations!$A$19/$D$18,0))))+Declarations!$B$20*INDEX(AS$21:AS$141,MAX(1,MIN(121,$B68-ROUND(Declarations!$A$20/$D$18,0)))))</f>
        <v>-260.895607694137</v>
      </c>
      <c r="AU68" s="12" t="n">
        <f aca="false">INDEX(AT$21:AT$141,$I68+1)*(1-$J68)+INDEX(AT$21:AT$141,$I68+2)*$J68</f>
        <v>-266.97747402304</v>
      </c>
      <c r="AV68" s="12" t="n">
        <f aca="false">INDEX(AT$21:AT$141,$K68+1)*(1-$L68)+INDEX(AT$21:AT$141,$K68+2)*$L68</f>
        <v>-256.565255929894</v>
      </c>
      <c r="AW68" s="12" t="n">
        <f aca="false">$C68+$D68+MAX(AU68,AV68,IF(COUNTIFS($A$21:$A$141,"&gt;="&amp;$G68,$A$21:$A$141,"&lt;="&amp;$H68)&gt;0,_xlfn.MAXIFS(AT$21:AT$141,$A$21:$A$141,"&gt;="&amp;$G68,$A$21:$A$141,"&lt;="&amp;$H68),AU68))</f>
        <v>-59.9402559298942</v>
      </c>
      <c r="AX68" s="12" t="n">
        <f aca="false">-Cost_k*$A68+Beta_q*(Declarations!$B$16*INDEX(AW$21:AW$141,MAX(1,MIN(121,$B68-ROUND(Declarations!$A$16/$D$18,0))))+Declarations!$B$17*INDEX(AW$21:AW$141,MAX(1,MIN(121,$B68-ROUND(Declarations!$A$17/$D$18,0))))+Declarations!$B$18*INDEX(AW$21:AW$141,MAX(1,MIN(121,$B68-ROUND(Declarations!$A$18/$D$18,0))))+Declarations!$B$19*INDEX(AW$21:AW$141,MAX(1,MIN(121,$B68-ROUND(Declarations!$A$19/$D$18,0))))+Declarations!$B$20*INDEX(AW$21:AW$141,MAX(1,MIN(121,$B68-ROUND(Declarations!$A$20/$D$18,0)))))</f>
        <v>-265.742978819954</v>
      </c>
      <c r="AY68" s="12" t="n">
        <f aca="false">INDEX(AX$21:AX$141,$I68+1)*(1-$J68)+INDEX(AX$21:AX$141,$I68+2)*$J68</f>
        <v>-271.946159161926</v>
      </c>
      <c r="AZ68" s="12" t="n">
        <f aca="false">INDEX(AX$21:AX$141,$K68+1)*(1-$L68)+INDEX(AX$21:AX$141,$K68+2)*$L68</f>
        <v>-261.383840956757</v>
      </c>
      <c r="BA68" s="12" t="n">
        <f aca="false">$C68+$D68+MAX(AY68,AZ68,IF(COUNTIFS($A$21:$A$141,"&gt;="&amp;$G68,$A$21:$A$141,"&lt;="&amp;$H68)&gt;0,_xlfn.MAXIFS(AX$21:AX$141,$A$21:$A$141,"&gt;="&amp;$G68,$A$21:$A$141,"&lt;="&amp;$H68),AY68))</f>
        <v>-64.7588409567569</v>
      </c>
      <c r="BB68" s="12" t="n">
        <f aca="false">-Cost_k*$A68+Beta_q*(Declarations!$B$16*INDEX(BA$21:BA$141,MAX(1,MIN(121,$B68-ROUND(Declarations!$A$16/$D$18,0))))+Declarations!$B$17*INDEX(BA$21:BA$141,MAX(1,MIN(121,$B68-ROUND(Declarations!$A$17/$D$18,0))))+Declarations!$B$18*INDEX(BA$21:BA$141,MAX(1,MIN(121,$B68-ROUND(Declarations!$A$18/$D$18,0))))+Declarations!$B$19*INDEX(BA$21:BA$141,MAX(1,MIN(121,$B68-ROUND(Declarations!$A$19/$D$18,0))))+Declarations!$B$20*INDEX(BA$21:BA$141,MAX(1,MIN(121,$B68-ROUND(Declarations!$A$20/$D$18,0)))))</f>
        <v>-270.451503818031</v>
      </c>
      <c r="BC68" s="12" t="n">
        <f aca="false">INDEX(BB$21:BB$141,$I68+1)*(1-$J68)+INDEX(BB$21:BB$141,$I68+2)*$J68</f>
        <v>-276.694106448862</v>
      </c>
      <c r="BD68" s="12" t="n">
        <f aca="false">INDEX(BB$21:BB$141,$K68+1)*(1-$L68)+INDEX(BB$21:BB$141,$K68+2)*$L68</f>
        <v>-266.084722784711</v>
      </c>
      <c r="BE68" s="12" t="n">
        <f aca="false">$C68+$D68+MAX(BC68,BD68,IF(COUNTIFS($A$21:$A$141,"&gt;="&amp;$G68,$A$21:$A$141,"&lt;="&amp;$H68)&gt;0,_xlfn.MAXIFS(BB$21:BB$141,$A$21:$A$141,"&gt;="&amp;$G68,$A$21:$A$141,"&lt;="&amp;$H68),BC68))</f>
        <v>-69.4597227847108</v>
      </c>
      <c r="BF68" s="12" t="n">
        <f aca="false">-Cost_k*$A68+Beta_q*(Declarations!$B$16*INDEX(BE$21:BE$141,MAX(1,MIN(121,$B68-ROUND(Declarations!$A$16/$D$18,0))))+Declarations!$B$17*INDEX(BE$21:BE$141,MAX(1,MIN(121,$B68-ROUND(Declarations!$A$17/$D$18,0))))+Declarations!$B$18*INDEX(BE$21:BE$141,MAX(1,MIN(121,$B68-ROUND(Declarations!$A$18/$D$18,0))))+Declarations!$B$19*INDEX(BE$21:BE$141,MAX(1,MIN(121,$B68-ROUND(Declarations!$A$19/$D$18,0))))+Declarations!$B$20*INDEX(BE$21:BE$141,MAX(1,MIN(121,$B68-ROUND(Declarations!$A$20/$D$18,0)))))</f>
        <v>-275.042618737681</v>
      </c>
      <c r="BG68" s="12" t="n">
        <f aca="false">INDEX(BF$21:BF$141,$I68+1)*(1-$J68)+INDEX(BF$21:BF$141,$I68+2)*$J68</f>
        <v>-281.296659431211</v>
      </c>
      <c r="BH68" s="12" t="n">
        <f aca="false">INDEX(BF$21:BF$141,$K68+1)*(1-$L68)+INDEX(BF$21:BF$141,$K68+2)*$L68</f>
        <v>-270.673983037143</v>
      </c>
      <c r="BI68" s="12" t="n">
        <f aca="false">$C68+$D68+MAX(BG68,BH68,IF(COUNTIFS($A$21:$A$141,"&gt;="&amp;$G68,$A$21:$A$141,"&lt;="&amp;$H68)&gt;0,_xlfn.MAXIFS(BF$21:BF$141,$A$21:$A$141,"&gt;="&amp;$G68,$A$21:$A$141,"&lt;="&amp;$H68),BG68))</f>
        <v>-74.0489830371431</v>
      </c>
      <c r="BJ68" s="23" t="n">
        <v>-74.0489830371432</v>
      </c>
      <c r="BK68" s="22" t="n">
        <f aca="false">ABS(BI68-BJ68)</f>
        <v>0</v>
      </c>
    </row>
    <row r="69" customFormat="false" ht="15" hidden="false" customHeight="false" outlineLevel="0" collapsed="false">
      <c r="A69" s="14" t="n">
        <f aca="false">A68+$D$18</f>
        <v>52</v>
      </c>
      <c r="B69" s="19" t="n">
        <v>49</v>
      </c>
      <c r="C69" s="12" t="n">
        <f aca="false">-Short_p*MAX(Floor_c-A69,0)</f>
        <v>-4.8</v>
      </c>
      <c r="D69" s="12" t="n">
        <f aca="false">Cost_k*Alpha_keep*A69</f>
        <v>202.8</v>
      </c>
      <c r="E69" s="12" t="n">
        <f aca="false">MIN(Cap_h,MAX(0,$B$18+MAX(Loss_w)-Alpha_keep*A69))</f>
        <v>0</v>
      </c>
      <c r="F69" s="12" t="n">
        <f aca="false">MAX(MIN(Cap_h,$F$18+MIN(Loss_w)-Alpha_keep*A69),E69)</f>
        <v>2.5</v>
      </c>
      <c r="G69" s="12" t="n">
        <f aca="false">Alpha_keep*A69+E69</f>
        <v>50.7</v>
      </c>
      <c r="H69" s="12" t="n">
        <f aca="false">Alpha_keep*A69+F69</f>
        <v>53.2</v>
      </c>
      <c r="I69" s="19" t="n">
        <f aca="false">MIN(INT((G69-$B$18)/$D$18+0.000000001),119)</f>
        <v>42</v>
      </c>
      <c r="J69" s="12" t="n">
        <f aca="false">(G69-$B$18)/$D$18-I69</f>
        <v>0.799999999999983</v>
      </c>
      <c r="K69" s="19" t="n">
        <f aca="false">MIN(INT((H69-$B$18)/$D$18+0.000000001),119)</f>
        <v>52</v>
      </c>
      <c r="L69" s="12" t="n">
        <f aca="false">(H69-$B$18)/$D$18-K69</f>
        <v>0.799999999999983</v>
      </c>
      <c r="M69" s="9" t="n">
        <v>0</v>
      </c>
      <c r="N69" s="12" t="n">
        <f aca="false">-Cost_k*$A69+Beta_q*(Declarations!$B$16*INDEX(M$21:M$141,MAX(1,MIN(121,$B69-ROUND(Declarations!$A$16/$D$18,0))))+Declarations!$B$17*INDEX(M$21:M$141,MAX(1,MIN(121,$B69-ROUND(Declarations!$A$17/$D$18,0))))+Declarations!$B$18*INDEX(M$21:M$141,MAX(1,MIN(121,$B69-ROUND(Declarations!$A$18/$D$18,0))))+Declarations!$B$19*INDEX(M$21:M$141,MAX(1,MIN(121,$B69-ROUND(Declarations!$A$19/$D$18,0))))+Declarations!$B$20*INDEX(M$21:M$141,MAX(1,MIN(121,$B69-ROUND(Declarations!$A$20/$D$18,0)))))</f>
        <v>-208</v>
      </c>
      <c r="O69" s="12" t="n">
        <f aca="false">INDEX(N$21:N$141,$I69+1)*(1-$J69)+INDEX(N$21:N$141,$I69+2)*$J69</f>
        <v>-202.8</v>
      </c>
      <c r="P69" s="12" t="n">
        <f aca="false">INDEX(N$21:N$141,$K69+1)*(1-$L69)+INDEX(N$21:N$141,$K69+2)*$L69</f>
        <v>-212.8</v>
      </c>
      <c r="Q69" s="12" t="n">
        <f aca="false">$C69+$D69+MAX(O69,P69,IF(COUNTIFS($A$21:$A$141,"&gt;="&amp;$G69,$A$21:$A$141,"&lt;="&amp;$H69)&gt;0,_xlfn.MAXIFS(N$21:N$141,$A$21:$A$141,"&gt;="&amp;$G69,$A$21:$A$141,"&lt;="&amp;$H69),O69))</f>
        <v>-4.80000000000001</v>
      </c>
      <c r="R69" s="12" t="n">
        <f aca="false">-Cost_k*$A69+Beta_q*(Declarations!$B$16*INDEX(Q$21:Q$141,MAX(1,MIN(121,$B69-ROUND(Declarations!$A$16/$D$18,0))))+Declarations!$B$17*INDEX(Q$21:Q$141,MAX(1,MIN(121,$B69-ROUND(Declarations!$A$17/$D$18,0))))+Declarations!$B$18*INDEX(Q$21:Q$141,MAX(1,MIN(121,$B69-ROUND(Declarations!$A$18/$D$18,0))))+Declarations!$B$19*INDEX(Q$21:Q$141,MAX(1,MIN(121,$B69-ROUND(Declarations!$A$19/$D$18,0))))+Declarations!$B$20*INDEX(Q$21:Q$141,MAX(1,MIN(121,$B69-ROUND(Declarations!$A$20/$D$18,0)))))</f>
        <v>-212.686979630446</v>
      </c>
      <c r="S69" s="12" t="n">
        <f aca="false">INDEX(R$21:R$141,$I69+1)*(1-$J69)+INDEX(R$21:R$141,$I69+2)*$J69</f>
        <v>-209.518004136973</v>
      </c>
      <c r="T69" s="12" t="n">
        <f aca="false">INDEX(R$21:R$141,$K69+1)*(1-$L69)+INDEX(R$21:R$141,$K69+2)*$L69</f>
        <v>-215.612187778268</v>
      </c>
      <c r="U69" s="12" t="n">
        <f aca="false">$C69+$D69+MAX(S69,T69,IF(COUNTIFS($A$21:$A$141,"&gt;="&amp;$G69,$A$21:$A$141,"&lt;="&amp;$H69)&gt;0,_xlfn.MAXIFS(R$21:R$141,$A$21:$A$141,"&gt;="&amp;$G69,$A$21:$A$141,"&lt;="&amp;$H69),S69))</f>
        <v>-11.518004136973</v>
      </c>
      <c r="V69" s="12" t="n">
        <f aca="false">-Cost_k*$A69+Beta_q*(Declarations!$B$16*INDEX(U$21:U$141,MAX(1,MIN(121,$B69-ROUND(Declarations!$A$16/$D$18,0))))+Declarations!$B$17*INDEX(U$21:U$141,MAX(1,MIN(121,$B69-ROUND(Declarations!$A$17/$D$18,0))))+Declarations!$B$18*INDEX(U$21:U$141,MAX(1,MIN(121,$B69-ROUND(Declarations!$A$18/$D$18,0))))+Declarations!$B$19*INDEX(U$21:U$141,MAX(1,MIN(121,$B69-ROUND(Declarations!$A$19/$D$18,0))))+Declarations!$B$20*INDEX(U$21:U$141,MAX(1,MIN(121,$B69-ROUND(Declarations!$A$20/$D$18,0)))))</f>
        <v>-219.246802244456</v>
      </c>
      <c r="W69" s="12" t="n">
        <f aca="false">INDEX(V$21:V$141,$I69+1)*(1-$J69)+INDEX(V$21:V$141,$I69+2)*$J69</f>
        <v>-218.011448881973</v>
      </c>
      <c r="X69" s="12" t="n">
        <f aca="false">INDEX(V$21:V$141,$K69+1)*(1-$L69)+INDEX(V$21:V$141,$K69+2)*$L69</f>
        <v>-220.38712842521</v>
      </c>
      <c r="Y69" s="12" t="n">
        <f aca="false">$C69+$D69+MAX(W69,X69,IF(COUNTIFS($A$21:$A$141,"&gt;="&amp;$G69,$A$21:$A$141,"&lt;="&amp;$H69)&gt;0,_xlfn.MAXIFS(V$21:V$141,$A$21:$A$141,"&gt;="&amp;$G69,$A$21:$A$141,"&lt;="&amp;$H69),W69))</f>
        <v>-20.0114488819728</v>
      </c>
      <c r="Z69" s="12" t="n">
        <f aca="false">-Cost_k*$A69+Beta_q*(Declarations!$B$16*INDEX(Y$21:Y$141,MAX(1,MIN(121,$B69-ROUND(Declarations!$A$16/$D$18,0))))+Declarations!$B$17*INDEX(Y$21:Y$141,MAX(1,MIN(121,$B69-ROUND(Declarations!$A$17/$D$18,0))))+Declarations!$B$18*INDEX(Y$21:Y$141,MAX(1,MIN(121,$B69-ROUND(Declarations!$A$18/$D$18,0))))+Declarations!$B$19*INDEX(Y$21:Y$141,MAX(1,MIN(121,$B69-ROUND(Declarations!$A$19/$D$18,0))))+Declarations!$B$20*INDEX(Y$21:Y$141,MAX(1,MIN(121,$B69-ROUND(Declarations!$A$20/$D$18,0)))))</f>
        <v>-227.540261101151</v>
      </c>
      <c r="AA69" s="12" t="n">
        <f aca="false">INDEX(Z$21:Z$141,$I69+1)*(1-$J69)+INDEX(Z$21:Z$141,$I69+2)*$J69</f>
        <v>-228.145798645419</v>
      </c>
      <c r="AB69" s="12" t="n">
        <f aca="false">INDEX(Z$21:Z$141,$K69+1)*(1-$L69)+INDEX(Z$21:Z$141,$K69+2)*$L69</f>
        <v>-226.981313143611</v>
      </c>
      <c r="AC69" s="12" t="n">
        <f aca="false">$C69+$D69+MAX(AA69,AB69,IF(COUNTIFS($A$21:$A$141,"&gt;="&amp;$G69,$A$21:$A$141,"&lt;="&amp;$H69)&gt;0,_xlfn.MAXIFS(Z$21:Z$141,$A$21:$A$141,"&gt;="&amp;$G69,$A$21:$A$141,"&lt;="&amp;$H69),AA69))</f>
        <v>-28.9813131436107</v>
      </c>
      <c r="AD69" s="12" t="n">
        <f aca="false">-Cost_k*$A69+Beta_q*(Declarations!$B$16*INDEX(AC$21:AC$141,MAX(1,MIN(121,$B69-ROUND(Declarations!$A$16/$D$18,0))))+Declarations!$B$17*INDEX(AC$21:AC$141,MAX(1,MIN(121,$B69-ROUND(Declarations!$A$17/$D$18,0))))+Declarations!$B$18*INDEX(AC$21:AC$141,MAX(1,MIN(121,$B69-ROUND(Declarations!$A$18/$D$18,0))))+Declarations!$B$19*INDEX(AC$21:AC$141,MAX(1,MIN(121,$B69-ROUND(Declarations!$A$19/$D$18,0))))+Declarations!$B$20*INDEX(AC$21:AC$141,MAX(1,MIN(121,$B69-ROUND(Declarations!$A$20/$D$18,0)))))</f>
        <v>-236.317778215821</v>
      </c>
      <c r="AE69" s="12" t="n">
        <f aca="false">INDEX(AD$21:AD$141,$I69+1)*(1-$J69)+INDEX(AD$21:AD$141,$I69+2)*$J69</f>
        <v>-238.657072585275</v>
      </c>
      <c r="AF69" s="12" t="n">
        <f aca="false">INDEX(AD$21:AD$141,$K69+1)*(1-$L69)+INDEX(AD$21:AD$141,$K69+2)*$L69</f>
        <v>-234.309214004402</v>
      </c>
      <c r="AG69" s="12" t="n">
        <f aca="false">$C69+$D69+MAX(AE69,AF69,IF(COUNTIFS($A$21:$A$141,"&gt;="&amp;$G69,$A$21:$A$141,"&lt;="&amp;$H69)&gt;0,_xlfn.MAXIFS(AD$21:AD$141,$A$21:$A$141,"&gt;="&amp;$G69,$A$21:$A$141,"&lt;="&amp;$H69),AE69))</f>
        <v>-36.3092140044022</v>
      </c>
      <c r="AH69" s="12" t="n">
        <f aca="false">-Cost_k*$A69+Beta_q*(Declarations!$B$16*INDEX(AG$21:AG$141,MAX(1,MIN(121,$B69-ROUND(Declarations!$A$16/$D$18,0))))+Declarations!$B$17*INDEX(AG$21:AG$141,MAX(1,MIN(121,$B69-ROUND(Declarations!$A$17/$D$18,0))))+Declarations!$B$18*INDEX(AG$21:AG$141,MAX(1,MIN(121,$B69-ROUND(Declarations!$A$18/$D$18,0))))+Declarations!$B$19*INDEX(AG$21:AG$141,MAX(1,MIN(121,$B69-ROUND(Declarations!$A$19/$D$18,0))))+Declarations!$B$20*INDEX(AG$21:AG$141,MAX(1,MIN(121,$B69-ROUND(Declarations!$A$20/$D$18,0)))))</f>
        <v>-243.514136422829</v>
      </c>
      <c r="AI69" s="12" t="n">
        <f aca="false">INDEX(AH$21:AH$141,$I69+1)*(1-$J69)+INDEX(AH$21:AH$141,$I69+2)*$J69</f>
        <v>-247.334679501336</v>
      </c>
      <c r="AJ69" s="12" t="n">
        <f aca="false">INDEX(AH$21:AH$141,$K69+1)*(1-$L69)+INDEX(AH$21:AH$141,$K69+2)*$L69</f>
        <v>-240.39711833137</v>
      </c>
      <c r="AK69" s="12" t="n">
        <f aca="false">$C69+$D69+MAX(AI69,AJ69,IF(COUNTIFS($A$21:$A$141,"&gt;="&amp;$G69,$A$21:$A$141,"&lt;="&amp;$H69)&gt;0,_xlfn.MAXIFS(AH$21:AH$141,$A$21:$A$141,"&gt;="&amp;$G69,$A$21:$A$141,"&lt;="&amp;$H69),AI69))</f>
        <v>-42.3971183313695</v>
      </c>
      <c r="AL69" s="12" t="n">
        <f aca="false">-Cost_k*$A69+Beta_q*(Declarations!$B$16*INDEX(AK$21:AK$141,MAX(1,MIN(121,$B69-ROUND(Declarations!$A$16/$D$18,0))))+Declarations!$B$17*INDEX(AK$21:AK$141,MAX(1,MIN(121,$B69-ROUND(Declarations!$A$17/$D$18,0))))+Declarations!$B$18*INDEX(AK$21:AK$141,MAX(1,MIN(121,$B69-ROUND(Declarations!$A$18/$D$18,0))))+Declarations!$B$19*INDEX(AK$21:AK$141,MAX(1,MIN(121,$B69-ROUND(Declarations!$A$19/$D$18,0))))+Declarations!$B$20*INDEX(AK$21:AK$141,MAX(1,MIN(121,$B69-ROUND(Declarations!$A$20/$D$18,0)))))</f>
        <v>-249.524770019348</v>
      </c>
      <c r="AM69" s="12" t="n">
        <f aca="false">INDEX(AL$21:AL$141,$I69+1)*(1-$J69)+INDEX(AL$21:AL$141,$I69+2)*$J69</f>
        <v>-254.467240390242</v>
      </c>
      <c r="AN69" s="12" t="n">
        <f aca="false">INDEX(AL$21:AL$141,$K69+1)*(1-$L69)+INDEX(AL$21:AL$141,$K69+2)*$L69</f>
        <v>-245.807638712691</v>
      </c>
      <c r="AO69" s="12" t="n">
        <f aca="false">$C69+$D69+MAX(AM69,AN69,IF(COUNTIFS($A$21:$A$141,"&gt;="&amp;$G69,$A$21:$A$141,"&lt;="&amp;$H69)&gt;0,_xlfn.MAXIFS(AL$21:AL$141,$A$21:$A$141,"&gt;="&amp;$G69,$A$21:$A$141,"&lt;="&amp;$H69),AM69))</f>
        <v>-47.8076387126908</v>
      </c>
      <c r="AP69" s="12" t="n">
        <f aca="false">-Cost_k*$A69+Beta_q*(Declarations!$B$16*INDEX(AO$21:AO$141,MAX(1,MIN(121,$B69-ROUND(Declarations!$A$16/$D$18,0))))+Declarations!$B$17*INDEX(AO$21:AO$141,MAX(1,MIN(121,$B69-ROUND(Declarations!$A$17/$D$18,0))))+Declarations!$B$18*INDEX(AO$21:AO$141,MAX(1,MIN(121,$B69-ROUND(Declarations!$A$18/$D$18,0))))+Declarations!$B$19*INDEX(AO$21:AO$141,MAX(1,MIN(121,$B69-ROUND(Declarations!$A$19/$D$18,0))))+Declarations!$B$20*INDEX(AO$21:AO$141,MAX(1,MIN(121,$B69-ROUND(Declarations!$A$20/$D$18,0)))))</f>
        <v>-254.866179703324</v>
      </c>
      <c r="AQ69" s="12" t="n">
        <f aca="false">INDEX(AP$21:AP$141,$I69+1)*(1-$J69)+INDEX(AP$21:AP$141,$I69+2)*$J69</f>
        <v>-260.444082169286</v>
      </c>
      <c r="AR69" s="12" t="n">
        <f aca="false">INDEX(AP$21:AP$141,$K69+1)*(1-$L69)+INDEX(AP$21:AP$141,$K69+2)*$L69</f>
        <v>-250.923286486429</v>
      </c>
      <c r="AS69" s="12" t="n">
        <f aca="false">$C69+$D69+MAX(AQ69,AR69,IF(COUNTIFS($A$21:$A$141,"&gt;="&amp;$G69,$A$21:$A$141,"&lt;="&amp;$H69)&gt;0,_xlfn.MAXIFS(AP$21:AP$141,$A$21:$A$141,"&gt;="&amp;$G69,$A$21:$A$141,"&lt;="&amp;$H69),AQ69))</f>
        <v>-52.9232864864286</v>
      </c>
      <c r="AT69" s="12" t="n">
        <f aca="false">-Cost_k*$A69+Beta_q*(Declarations!$B$16*INDEX(AS$21:AS$141,MAX(1,MIN(121,$B69-ROUND(Declarations!$A$16/$D$18,0))))+Declarations!$B$17*INDEX(AS$21:AS$141,MAX(1,MIN(121,$B69-ROUND(Declarations!$A$17/$D$18,0))))+Declarations!$B$18*INDEX(AS$21:AS$141,MAX(1,MIN(121,$B69-ROUND(Declarations!$A$18/$D$18,0))))+Declarations!$B$19*INDEX(AS$21:AS$141,MAX(1,MIN(121,$B69-ROUND(Declarations!$A$19/$D$18,0))))+Declarations!$B$20*INDEX(AS$21:AS$141,MAX(1,MIN(121,$B69-ROUND(Declarations!$A$20/$D$18,0)))))</f>
        <v>-259.885772535179</v>
      </c>
      <c r="AU69" s="12" t="n">
        <f aca="false">INDEX(AT$21:AT$141,$I69+1)*(1-$J69)+INDEX(AT$21:AT$141,$I69+2)*$J69</f>
        <v>-265.733765720564</v>
      </c>
      <c r="AV69" s="12" t="n">
        <f aca="false">INDEX(AT$21:AT$141,$K69+1)*(1-$L69)+INDEX(AT$21:AT$141,$K69+2)*$L69</f>
        <v>-255.868571994313</v>
      </c>
      <c r="AW69" s="12" t="n">
        <f aca="false">$C69+$D69+MAX(AU69,AV69,IF(COUNTIFS($A$21:$A$141,"&gt;="&amp;$G69,$A$21:$A$141,"&lt;="&amp;$H69)&gt;0,_xlfn.MAXIFS(AT$21:AT$141,$A$21:$A$141,"&gt;="&amp;$G69,$A$21:$A$141,"&lt;="&amp;$H69),AU69))</f>
        <v>-57.8685719943134</v>
      </c>
      <c r="AX69" s="12" t="n">
        <f aca="false">-Cost_k*$A69+Beta_q*(Declarations!$B$16*INDEX(AW$21:AW$141,MAX(1,MIN(121,$B69-ROUND(Declarations!$A$16/$D$18,0))))+Declarations!$B$17*INDEX(AW$21:AW$141,MAX(1,MIN(121,$B69-ROUND(Declarations!$A$17/$D$18,0))))+Declarations!$B$18*INDEX(AW$21:AW$141,MAX(1,MIN(121,$B69-ROUND(Declarations!$A$18/$D$18,0))))+Declarations!$B$19*INDEX(AW$21:AW$141,MAX(1,MIN(121,$B69-ROUND(Declarations!$A$19/$D$18,0))))+Declarations!$B$20*INDEX(AW$21:AW$141,MAX(1,MIN(121,$B69-ROUND(Declarations!$A$20/$D$18,0)))))</f>
        <v>-264.723138200211</v>
      </c>
      <c r="AY69" s="12" t="n">
        <f aca="false">INDEX(AX$21:AX$141,$I69+1)*(1-$J69)+INDEX(AX$21:AX$141,$I69+2)*$J69</f>
        <v>-270.668205363681</v>
      </c>
      <c r="AZ69" s="12" t="n">
        <f aca="false">INDEX(AX$21:AX$141,$K69+1)*(1-$L69)+INDEX(AX$21:AX$141,$K69+2)*$L69</f>
        <v>-260.685201009825</v>
      </c>
      <c r="BA69" s="12" t="n">
        <f aca="false">$C69+$D69+MAX(AY69,AZ69,IF(COUNTIFS($A$21:$A$141,"&gt;="&amp;$G69,$A$21:$A$141,"&lt;="&amp;$H69)&gt;0,_xlfn.MAXIFS(AX$21:AX$141,$A$21:$A$141,"&gt;="&amp;$G69,$A$21:$A$141,"&lt;="&amp;$H69),AY69))</f>
        <v>-62.6852010098249</v>
      </c>
      <c r="BB69" s="12" t="n">
        <f aca="false">-Cost_k*$A69+Beta_q*(Declarations!$B$16*INDEX(BA$21:BA$141,MAX(1,MIN(121,$B69-ROUND(Declarations!$A$16/$D$18,0))))+Declarations!$B$17*INDEX(BA$21:BA$141,MAX(1,MIN(121,$B69-ROUND(Declarations!$A$17/$D$18,0))))+Declarations!$B$18*INDEX(BA$21:BA$141,MAX(1,MIN(121,$B69-ROUND(Declarations!$A$18/$D$18,0))))+Declarations!$B$19*INDEX(BA$21:BA$141,MAX(1,MIN(121,$B69-ROUND(Declarations!$A$19/$D$18,0))))+Declarations!$B$20*INDEX(BA$21:BA$141,MAX(1,MIN(121,$B69-ROUND(Declarations!$A$20/$D$18,0)))))</f>
        <v>-269.428876336937</v>
      </c>
      <c r="BC69" s="12" t="n">
        <f aca="false">INDEX(BB$21:BB$141,$I69+1)*(1-$J69)+INDEX(BB$21:BB$141,$I69+2)*$J69</f>
        <v>-275.403963048409</v>
      </c>
      <c r="BD69" s="12" t="n">
        <f aca="false">INDEX(BB$21:BB$141,$K69+1)*(1-$L69)+INDEX(BB$21:BB$141,$K69+2)*$L69</f>
        <v>-265.385631359139</v>
      </c>
      <c r="BE69" s="12" t="n">
        <f aca="false">$C69+$D69+MAX(BC69,BD69,IF(COUNTIFS($A$21:$A$141,"&gt;="&amp;$G69,$A$21:$A$141,"&lt;="&amp;$H69)&gt;0,_xlfn.MAXIFS(BB$21:BB$141,$A$21:$A$141,"&gt;="&amp;$G69,$A$21:$A$141,"&lt;="&amp;$H69),BC69))</f>
        <v>-67.385631359139</v>
      </c>
      <c r="BF69" s="12" t="n">
        <f aca="false">-Cost_k*$A69+Beta_q*(Declarations!$B$16*INDEX(BE$21:BE$141,MAX(1,MIN(121,$B69-ROUND(Declarations!$A$16/$D$18,0))))+Declarations!$B$17*INDEX(BE$21:BE$141,MAX(1,MIN(121,$B69-ROUND(Declarations!$A$17/$D$18,0))))+Declarations!$B$18*INDEX(BE$21:BE$141,MAX(1,MIN(121,$B69-ROUND(Declarations!$A$18/$D$18,0))))+Declarations!$B$19*INDEX(BE$21:BE$141,MAX(1,MIN(121,$B69-ROUND(Declarations!$A$19/$D$18,0))))+Declarations!$B$20*INDEX(BE$21:BE$141,MAX(1,MIN(121,$B69-ROUND(Declarations!$A$20/$D$18,0)))))</f>
        <v>-274.019292885633</v>
      </c>
      <c r="BG69" s="12" t="n">
        <f aca="false">INDEX(BF$21:BF$141,$I69+1)*(1-$J69)+INDEX(BF$21:BF$141,$I69+2)*$J69</f>
        <v>-280.002816075164</v>
      </c>
      <c r="BH69" s="12" t="n">
        <f aca="false">INDEX(BF$21:BF$141,$K69+1)*(1-$L69)+INDEX(BF$21:BF$141,$K69+2)*$L69</f>
        <v>-269.974792257969</v>
      </c>
      <c r="BI69" s="12" t="n">
        <f aca="false">$C69+$D69+MAX(BG69,BH69,IF(COUNTIFS($A$21:$A$141,"&gt;="&amp;$G69,$A$21:$A$141,"&lt;="&amp;$H69)&gt;0,_xlfn.MAXIFS(BF$21:BF$141,$A$21:$A$141,"&gt;="&amp;$G69,$A$21:$A$141,"&lt;="&amp;$H69),BG69))</f>
        <v>-71.9747922579694</v>
      </c>
      <c r="BJ69" s="23" t="n">
        <v>-71.9747922579693</v>
      </c>
      <c r="BK69" s="22" t="n">
        <f aca="false">ABS(BI69-BJ69)</f>
        <v>0</v>
      </c>
    </row>
    <row r="70" customFormat="false" ht="15" hidden="false" customHeight="false" outlineLevel="0" collapsed="false">
      <c r="A70" s="14" t="n">
        <f aca="false">A69+$D$18</f>
        <v>52.25</v>
      </c>
      <c r="B70" s="19" t="n">
        <v>50</v>
      </c>
      <c r="C70" s="12" t="n">
        <f aca="false">-Short_p*MAX(Floor_c-A70,0)</f>
        <v>-4.4</v>
      </c>
      <c r="D70" s="12" t="n">
        <f aca="false">Cost_k*Alpha_keep*A70</f>
        <v>203.775</v>
      </c>
      <c r="E70" s="12" t="n">
        <f aca="false">MIN(Cap_h,MAX(0,$B$18+MAX(Loss_w)-Alpha_keep*A70))</f>
        <v>0</v>
      </c>
      <c r="F70" s="12" t="n">
        <f aca="false">MAX(MIN(Cap_h,$F$18+MIN(Loss_w)-Alpha_keep*A70),E70)</f>
        <v>2.5</v>
      </c>
      <c r="G70" s="12" t="n">
        <f aca="false">Alpha_keep*A70+E70</f>
        <v>50.94375</v>
      </c>
      <c r="H70" s="12" t="n">
        <f aca="false">Alpha_keep*A70+F70</f>
        <v>53.44375</v>
      </c>
      <c r="I70" s="19" t="n">
        <f aca="false">MIN(INT((G70-$B$18)/$D$18+0.000000001),119)</f>
        <v>43</v>
      </c>
      <c r="J70" s="12" t="n">
        <f aca="false">(G70-$B$18)/$D$18-I70</f>
        <v>0.775000000000006</v>
      </c>
      <c r="K70" s="19" t="n">
        <f aca="false">MIN(INT((H70-$B$18)/$D$18+0.000000001),119)</f>
        <v>53</v>
      </c>
      <c r="L70" s="12" t="n">
        <f aca="false">(H70-$B$18)/$D$18-K70</f>
        <v>0.775000000000006</v>
      </c>
      <c r="M70" s="9" t="n">
        <v>0</v>
      </c>
      <c r="N70" s="12" t="n">
        <f aca="false">-Cost_k*$A70+Beta_q*(Declarations!$B$16*INDEX(M$21:M$141,MAX(1,MIN(121,$B70-ROUND(Declarations!$A$16/$D$18,0))))+Declarations!$B$17*INDEX(M$21:M$141,MAX(1,MIN(121,$B70-ROUND(Declarations!$A$17/$D$18,0))))+Declarations!$B$18*INDEX(M$21:M$141,MAX(1,MIN(121,$B70-ROUND(Declarations!$A$18/$D$18,0))))+Declarations!$B$19*INDEX(M$21:M$141,MAX(1,MIN(121,$B70-ROUND(Declarations!$A$19/$D$18,0))))+Declarations!$B$20*INDEX(M$21:M$141,MAX(1,MIN(121,$B70-ROUND(Declarations!$A$20/$D$18,0)))))</f>
        <v>-209</v>
      </c>
      <c r="O70" s="12" t="n">
        <f aca="false">INDEX(N$21:N$141,$I70+1)*(1-$J70)+INDEX(N$21:N$141,$I70+2)*$J70</f>
        <v>-203.775</v>
      </c>
      <c r="P70" s="12" t="n">
        <f aca="false">INDEX(N$21:N$141,$K70+1)*(1-$L70)+INDEX(N$21:N$141,$K70+2)*$L70</f>
        <v>-213.775</v>
      </c>
      <c r="Q70" s="12" t="n">
        <f aca="false">$C70+$D70+MAX(O70,P70,IF(COUNTIFS($A$21:$A$141,"&gt;="&amp;$G70,$A$21:$A$141,"&lt;="&amp;$H70)&gt;0,_xlfn.MAXIFS(N$21:N$141,$A$21:$A$141,"&gt;="&amp;$G70,$A$21:$A$141,"&lt;="&amp;$H70),O70))</f>
        <v>-4.40000000000001</v>
      </c>
      <c r="R70" s="12" t="n">
        <f aca="false">-Cost_k*$A70+Beta_q*(Declarations!$B$16*INDEX(Q$21:Q$141,MAX(1,MIN(121,$B70-ROUND(Declarations!$A$16/$D$18,0))))+Declarations!$B$17*INDEX(Q$21:Q$141,MAX(1,MIN(121,$B70-ROUND(Declarations!$A$17/$D$18,0))))+Declarations!$B$18*INDEX(Q$21:Q$141,MAX(1,MIN(121,$B70-ROUND(Declarations!$A$18/$D$18,0))))+Declarations!$B$19*INDEX(Q$21:Q$141,MAX(1,MIN(121,$B70-ROUND(Declarations!$A$19/$D$18,0))))+Declarations!$B$20*INDEX(Q$21:Q$141,MAX(1,MIN(121,$B70-ROUND(Declarations!$A$20/$D$18,0)))))</f>
        <v>-213.296397994576</v>
      </c>
      <c r="S70" s="12" t="n">
        <f aca="false">INDEX(R$21:R$141,$I70+1)*(1-$J70)+INDEX(R$21:R$141,$I70+2)*$J70</f>
        <v>-210.112187041999</v>
      </c>
      <c r="T70" s="12" t="n">
        <f aca="false">INDEX(R$21:R$141,$K70+1)*(1-$L70)+INDEX(R$21:R$141,$K70+2)*$L70</f>
        <v>-216.206370683294</v>
      </c>
      <c r="U70" s="12" t="n">
        <f aca="false">$C70+$D70+MAX(S70,T70,IF(COUNTIFS($A$21:$A$141,"&gt;="&amp;$G70,$A$21:$A$141,"&lt;="&amp;$H70)&gt;0,_xlfn.MAXIFS(R$21:R$141,$A$21:$A$141,"&gt;="&amp;$G70,$A$21:$A$141,"&lt;="&amp;$H70),S70))</f>
        <v>-10.7371870419992</v>
      </c>
      <c r="V70" s="12" t="n">
        <f aca="false">-Cost_k*$A70+Beta_q*(Declarations!$B$16*INDEX(U$21:U$141,MAX(1,MIN(121,$B70-ROUND(Declarations!$A$16/$D$18,0))))+Declarations!$B$17*INDEX(U$21:U$141,MAX(1,MIN(121,$B70-ROUND(Declarations!$A$17/$D$18,0))))+Declarations!$B$18*INDEX(U$21:U$141,MAX(1,MIN(121,$B70-ROUND(Declarations!$A$18/$D$18,0))))+Declarations!$B$19*INDEX(U$21:U$141,MAX(1,MIN(121,$B70-ROUND(Declarations!$A$19/$D$18,0))))+Declarations!$B$20*INDEX(U$21:U$141,MAX(1,MIN(121,$B70-ROUND(Declarations!$A$20/$D$18,0)))))</f>
        <v>-219.48437019878</v>
      </c>
      <c r="W70" s="12" t="n">
        <f aca="false">INDEX(V$21:V$141,$I70+1)*(1-$J70)+INDEX(V$21:V$141,$I70+2)*$J70</f>
        <v>-218.243077637438</v>
      </c>
      <c r="X70" s="12" t="n">
        <f aca="false">INDEX(V$21:V$141,$K70+1)*(1-$L70)+INDEX(V$21:V$141,$K70+2)*$L70</f>
        <v>-220.619126647429</v>
      </c>
      <c r="Y70" s="12" t="n">
        <f aca="false">$C70+$D70+MAX(W70,X70,IF(COUNTIFS($A$21:$A$141,"&gt;="&amp;$G70,$A$21:$A$141,"&lt;="&amp;$H70)&gt;0,_xlfn.MAXIFS(V$21:V$141,$A$21:$A$141,"&gt;="&amp;$G70,$A$21:$A$141,"&lt;="&amp;$H70),W70))</f>
        <v>-18.8680776374384</v>
      </c>
      <c r="Z70" s="12" t="n">
        <f aca="false">-Cost_k*$A70+Beta_q*(Declarations!$B$16*INDEX(Y$21:Y$141,MAX(1,MIN(121,$B70-ROUND(Declarations!$A$16/$D$18,0))))+Declarations!$B$17*INDEX(Y$21:Y$141,MAX(1,MIN(121,$B70-ROUND(Declarations!$A$17/$D$18,0))))+Declarations!$B$18*INDEX(Y$21:Y$141,MAX(1,MIN(121,$B70-ROUND(Declarations!$A$18/$D$18,0))))+Declarations!$B$19*INDEX(Y$21:Y$141,MAX(1,MIN(121,$B70-ROUND(Declarations!$A$19/$D$18,0))))+Declarations!$B$20*INDEX(Y$21:Y$141,MAX(1,MIN(121,$B70-ROUND(Declarations!$A$20/$D$18,0)))))</f>
        <v>-227.423811573407</v>
      </c>
      <c r="AA70" s="12" t="n">
        <f aca="false">INDEX(Z$21:Z$141,$I70+1)*(1-$J70)+INDEX(Z$21:Z$141,$I70+2)*$J70</f>
        <v>-228.032260355869</v>
      </c>
      <c r="AB70" s="12" t="n">
        <f aca="false">INDEX(Z$21:Z$141,$K70+1)*(1-$L70)+INDEX(Z$21:Z$141,$K70+2)*$L70</f>
        <v>-226.868172920352</v>
      </c>
      <c r="AC70" s="12" t="n">
        <f aca="false">$C70+$D70+MAX(AA70,AB70,IF(COUNTIFS($A$21:$A$141,"&gt;="&amp;$G70,$A$21:$A$141,"&lt;="&amp;$H70)&gt;0,_xlfn.MAXIFS(Z$21:Z$141,$A$21:$A$141,"&gt;="&amp;$G70,$A$21:$A$141,"&lt;="&amp;$H70),AA70))</f>
        <v>-27.4931729203522</v>
      </c>
      <c r="AD70" s="12" t="n">
        <f aca="false">-Cost_k*$A70+Beta_q*(Declarations!$B$16*INDEX(AC$21:AC$141,MAX(1,MIN(121,$B70-ROUND(Declarations!$A$16/$D$18,0))))+Declarations!$B$17*INDEX(AC$21:AC$141,MAX(1,MIN(121,$B70-ROUND(Declarations!$A$17/$D$18,0))))+Declarations!$B$18*INDEX(AC$21:AC$141,MAX(1,MIN(121,$B70-ROUND(Declarations!$A$18/$D$18,0))))+Declarations!$B$19*INDEX(AC$21:AC$141,MAX(1,MIN(121,$B70-ROUND(Declarations!$A$19/$D$18,0))))+Declarations!$B$20*INDEX(AC$21:AC$141,MAX(1,MIN(121,$B70-ROUND(Declarations!$A$20/$D$18,0)))))</f>
        <v>-235.874315424081</v>
      </c>
      <c r="AE70" s="12" t="n">
        <f aca="false">INDEX(AD$21:AD$141,$I70+1)*(1-$J70)+INDEX(AD$21:AD$141,$I70+2)*$J70</f>
        <v>-238.215510587243</v>
      </c>
      <c r="AF70" s="12" t="n">
        <f aca="false">INDEX(AD$21:AD$141,$K70+1)*(1-$L70)+INDEX(AD$21:AD$141,$K70+2)*$L70</f>
        <v>-233.944964401913</v>
      </c>
      <c r="AG70" s="12" t="n">
        <f aca="false">$C70+$D70+MAX(AE70,AF70,IF(COUNTIFS($A$21:$A$141,"&gt;="&amp;$G70,$A$21:$A$141,"&lt;="&amp;$H70)&gt;0,_xlfn.MAXIFS(AD$21:AD$141,$A$21:$A$141,"&gt;="&amp;$G70,$A$21:$A$141,"&lt;="&amp;$H70),AE70))</f>
        <v>-34.5699644019134</v>
      </c>
      <c r="AH70" s="12" t="n">
        <f aca="false">-Cost_k*$A70+Beta_q*(Declarations!$B$16*INDEX(AG$21:AG$141,MAX(1,MIN(121,$B70-ROUND(Declarations!$A$16/$D$18,0))))+Declarations!$B$17*INDEX(AG$21:AG$141,MAX(1,MIN(121,$B70-ROUND(Declarations!$A$17/$D$18,0))))+Declarations!$B$18*INDEX(AG$21:AG$141,MAX(1,MIN(121,$B70-ROUND(Declarations!$A$18/$D$18,0))))+Declarations!$B$19*INDEX(AG$21:AG$141,MAX(1,MIN(121,$B70-ROUND(Declarations!$A$19/$D$18,0))))+Declarations!$B$20*INDEX(AG$21:AG$141,MAX(1,MIN(121,$B70-ROUND(Declarations!$A$20/$D$18,0)))))</f>
        <v>-242.818210171166</v>
      </c>
      <c r="AI70" s="12" t="n">
        <f aca="false">INDEX(AH$21:AH$141,$I70+1)*(1-$J70)+INDEX(AH$21:AH$141,$I70+2)*$J70</f>
        <v>-246.595784233866</v>
      </c>
      <c r="AJ70" s="12" t="n">
        <f aca="false">INDEX(AH$21:AH$141,$K70+1)*(1-$L70)+INDEX(AH$21:AH$141,$K70+2)*$L70</f>
        <v>-239.853678705011</v>
      </c>
      <c r="AK70" s="12" t="n">
        <f aca="false">$C70+$D70+MAX(AI70,AJ70,IF(COUNTIFS($A$21:$A$141,"&gt;="&amp;$G70,$A$21:$A$141,"&lt;="&amp;$H70)&gt;0,_xlfn.MAXIFS(AH$21:AH$141,$A$21:$A$141,"&gt;="&amp;$G70,$A$21:$A$141,"&lt;="&amp;$H70),AI70))</f>
        <v>-40.4786787050114</v>
      </c>
      <c r="AL70" s="12" t="n">
        <f aca="false">-Cost_k*$A70+Beta_q*(Declarations!$B$16*INDEX(AK$21:AK$141,MAX(1,MIN(121,$B70-ROUND(Declarations!$A$16/$D$18,0))))+Declarations!$B$17*INDEX(AK$21:AK$141,MAX(1,MIN(121,$B70-ROUND(Declarations!$A$17/$D$18,0))))+Declarations!$B$18*INDEX(AK$21:AK$141,MAX(1,MIN(121,$B70-ROUND(Declarations!$A$18/$D$18,0))))+Declarations!$B$19*INDEX(AK$21:AK$141,MAX(1,MIN(121,$B70-ROUND(Declarations!$A$19/$D$18,0))))+Declarations!$B$20*INDEX(AK$21:AK$141,MAX(1,MIN(121,$B70-ROUND(Declarations!$A$20/$D$18,0)))))</f>
        <v>-248.66701920584</v>
      </c>
      <c r="AM70" s="12" t="n">
        <f aca="false">INDEX(AL$21:AL$141,$I70+1)*(1-$J70)+INDEX(AL$21:AL$141,$I70+2)*$J70</f>
        <v>-253.492637166415</v>
      </c>
      <c r="AN70" s="12" t="n">
        <f aca="false">INDEX(AL$21:AL$141,$K70+1)*(1-$L70)+INDEX(AL$21:AL$141,$K70+2)*$L70</f>
        <v>-245.19927480524</v>
      </c>
      <c r="AO70" s="12" t="n">
        <f aca="false">$C70+$D70+MAX(AM70,AN70,IF(COUNTIFS($A$21:$A$141,"&gt;="&amp;$G70,$A$21:$A$141,"&lt;="&amp;$H70)&gt;0,_xlfn.MAXIFS(AL$21:AL$141,$A$21:$A$141,"&gt;="&amp;$G70,$A$21:$A$141,"&lt;="&amp;$H70),AM70))</f>
        <v>-45.8242748052404</v>
      </c>
      <c r="AP70" s="12" t="n">
        <f aca="false">-Cost_k*$A70+Beta_q*(Declarations!$B$16*INDEX(AO$21:AO$141,MAX(1,MIN(121,$B70-ROUND(Declarations!$A$16/$D$18,0))))+Declarations!$B$17*INDEX(AO$21:AO$141,MAX(1,MIN(121,$B70-ROUND(Declarations!$A$17/$D$18,0))))+Declarations!$B$18*INDEX(AO$21:AO$141,MAX(1,MIN(121,$B70-ROUND(Declarations!$A$18/$D$18,0))))+Declarations!$B$19*INDEX(AO$21:AO$141,MAX(1,MIN(121,$B70-ROUND(Declarations!$A$19/$D$18,0))))+Declarations!$B$20*INDEX(AO$21:AO$141,MAX(1,MIN(121,$B70-ROUND(Declarations!$A$20/$D$18,0)))))</f>
        <v>-253.93771021311</v>
      </c>
      <c r="AQ70" s="12" t="n">
        <f aca="false">INDEX(AP$21:AP$141,$I70+1)*(1-$J70)+INDEX(AP$21:AP$141,$I70+2)*$J70</f>
        <v>-259.317991593624</v>
      </c>
      <c r="AR70" s="12" t="n">
        <f aca="false">INDEX(AP$21:AP$141,$K70+1)*(1-$L70)+INDEX(AP$21:AP$141,$K70+2)*$L70</f>
        <v>-250.293736294427</v>
      </c>
      <c r="AS70" s="12" t="n">
        <f aca="false">$C70+$D70+MAX(AQ70,AR70,IF(COUNTIFS($A$21:$A$141,"&gt;="&amp;$G70,$A$21:$A$141,"&lt;="&amp;$H70)&gt;0,_xlfn.MAXIFS(AP$21:AP$141,$A$21:$A$141,"&gt;="&amp;$G70,$A$21:$A$141,"&lt;="&amp;$H70),AQ70))</f>
        <v>-50.9187362944273</v>
      </c>
      <c r="AT70" s="12" t="n">
        <f aca="false">-Cost_k*$A70+Beta_q*(Declarations!$B$16*INDEX(AS$21:AS$141,MAX(1,MIN(121,$B70-ROUND(Declarations!$A$16/$D$18,0))))+Declarations!$B$17*INDEX(AS$21:AS$141,MAX(1,MIN(121,$B70-ROUND(Declarations!$A$17/$D$18,0))))+Declarations!$B$18*INDEX(AS$21:AS$141,MAX(1,MIN(121,$B70-ROUND(Declarations!$A$18/$D$18,0))))+Declarations!$B$19*INDEX(AS$21:AS$141,MAX(1,MIN(121,$B70-ROUND(Declarations!$A$19/$D$18,0))))+Declarations!$B$20*INDEX(AS$21:AS$141,MAX(1,MIN(121,$B70-ROUND(Declarations!$A$20/$D$18,0)))))</f>
        <v>-258.932182083338</v>
      </c>
      <c r="AU70" s="12" t="n">
        <f aca="false">INDEX(AT$21:AT$141,$I70+1)*(1-$J70)+INDEX(AT$21:AT$141,$I70+2)*$J70</f>
        <v>-264.533382237945</v>
      </c>
      <c r="AV70" s="12" t="n">
        <f aca="false">INDEX(AT$21:AT$141,$K70+1)*(1-$L70)+INDEX(AT$21:AT$141,$K70+2)*$L70</f>
        <v>-255.233567929958</v>
      </c>
      <c r="AW70" s="12" t="n">
        <f aca="false">$C70+$D70+MAX(AU70,AV70,IF(COUNTIFS($A$21:$A$141,"&gt;="&amp;$G70,$A$21:$A$141,"&lt;="&amp;$H70)&gt;0,_xlfn.MAXIFS(AT$21:AT$141,$A$21:$A$141,"&gt;="&amp;$G70,$A$21:$A$141,"&lt;="&amp;$H70),AU70))</f>
        <v>-55.8585679299583</v>
      </c>
      <c r="AX70" s="12" t="n">
        <f aca="false">-Cost_k*$A70+Beta_q*(Declarations!$B$16*INDEX(AW$21:AW$141,MAX(1,MIN(121,$B70-ROUND(Declarations!$A$16/$D$18,0))))+Declarations!$B$17*INDEX(AW$21:AW$141,MAX(1,MIN(121,$B70-ROUND(Declarations!$A$17/$D$18,0))))+Declarations!$B$18*INDEX(AW$21:AW$141,MAX(1,MIN(121,$B70-ROUND(Declarations!$A$18/$D$18,0))))+Declarations!$B$19*INDEX(AW$21:AW$141,MAX(1,MIN(121,$B70-ROUND(Declarations!$A$19/$D$18,0))))+Declarations!$B$20*INDEX(AW$21:AW$141,MAX(1,MIN(121,$B70-ROUND(Declarations!$A$20/$D$18,0)))))</f>
        <v>-263.762311750789</v>
      </c>
      <c r="AY70" s="12" t="n">
        <f aca="false">INDEX(AX$21:AX$141,$I70+1)*(1-$J70)+INDEX(AX$21:AX$141,$I70+2)*$J70</f>
        <v>-269.439224041981</v>
      </c>
      <c r="AZ70" s="12" t="n">
        <f aca="false">INDEX(AX$21:AX$141,$K70+1)*(1-$L70)+INDEX(AX$21:AX$141,$K70+2)*$L70</f>
        <v>-260.048849076252</v>
      </c>
      <c r="BA70" s="12" t="n">
        <f aca="false">$C70+$D70+MAX(AY70,AZ70,IF(COUNTIFS($A$21:$A$141,"&gt;="&amp;$G70,$A$21:$A$141,"&lt;="&amp;$H70)&gt;0,_xlfn.MAXIFS(AX$21:AX$141,$A$21:$A$141,"&gt;="&amp;$G70,$A$21:$A$141,"&lt;="&amp;$H70),AY70))</f>
        <v>-60.6738490762517</v>
      </c>
      <c r="BB70" s="12" t="n">
        <f aca="false">-Cost_k*$A70+Beta_q*(Declarations!$B$16*INDEX(BA$21:BA$141,MAX(1,MIN(121,$B70-ROUND(Declarations!$A$16/$D$18,0))))+Declarations!$B$17*INDEX(BA$21:BA$141,MAX(1,MIN(121,$B70-ROUND(Declarations!$A$17/$D$18,0))))+Declarations!$B$18*INDEX(BA$21:BA$141,MAX(1,MIN(121,$B70-ROUND(Declarations!$A$18/$D$18,0))))+Declarations!$B$19*INDEX(BA$21:BA$141,MAX(1,MIN(121,$B70-ROUND(Declarations!$A$19/$D$18,0))))+Declarations!$B$20*INDEX(BA$21:BA$141,MAX(1,MIN(121,$B70-ROUND(Declarations!$A$20/$D$18,0)))))</f>
        <v>-268.466052709401</v>
      </c>
      <c r="BC70" s="12" t="n">
        <f aca="false">INDEX(BB$21:BB$141,$I70+1)*(1-$J70)+INDEX(BB$21:BB$141,$I70+2)*$J70</f>
        <v>-274.1657139954</v>
      </c>
      <c r="BD70" s="12" t="n">
        <f aca="false">INDEX(BB$21:BB$141,$K70+1)*(1-$L70)+INDEX(BB$21:BB$141,$K70+2)*$L70</f>
        <v>-264.748984387732</v>
      </c>
      <c r="BE70" s="12" t="n">
        <f aca="false">$C70+$D70+MAX(BC70,BD70,IF(COUNTIFS($A$21:$A$141,"&gt;="&amp;$G70,$A$21:$A$141,"&lt;="&amp;$H70)&gt;0,_xlfn.MAXIFS(BB$21:BB$141,$A$21:$A$141,"&gt;="&amp;$G70,$A$21:$A$141,"&lt;="&amp;$H70),BC70))</f>
        <v>-65.3739843877322</v>
      </c>
      <c r="BF70" s="12" t="n">
        <f aca="false">-Cost_k*$A70+Beta_q*(Declarations!$B$16*INDEX(BE$21:BE$141,MAX(1,MIN(121,$B70-ROUND(Declarations!$A$16/$D$18,0))))+Declarations!$B$17*INDEX(BE$21:BE$141,MAX(1,MIN(121,$B70-ROUND(Declarations!$A$17/$D$18,0))))+Declarations!$B$18*INDEX(BE$21:BE$141,MAX(1,MIN(121,$B70-ROUND(Declarations!$A$18/$D$18,0))))+Declarations!$B$19*INDEX(BE$21:BE$141,MAX(1,MIN(121,$B70-ROUND(Declarations!$A$19/$D$18,0))))+Declarations!$B$20*INDEX(BE$21:BE$141,MAX(1,MIN(121,$B70-ROUND(Declarations!$A$20/$D$18,0)))))</f>
        <v>-273.055983808855</v>
      </c>
      <c r="BG70" s="12" t="n">
        <f aca="false">INDEX(BF$21:BF$141,$I70+1)*(1-$J70)+INDEX(BF$21:BF$141,$I70+2)*$J70</f>
        <v>-278.761773929792</v>
      </c>
      <c r="BH70" s="12" t="n">
        <f aca="false">INDEX(BF$21:BF$141,$K70+1)*(1-$L70)+INDEX(BF$21:BF$141,$K70+2)*$L70</f>
        <v>-269.338081719923</v>
      </c>
      <c r="BI70" s="12" t="n">
        <f aca="false">$C70+$D70+MAX(BG70,BH70,IF(COUNTIFS($A$21:$A$141,"&gt;="&amp;$G70,$A$21:$A$141,"&lt;="&amp;$H70)&gt;0,_xlfn.MAXIFS(BF$21:BF$141,$A$21:$A$141,"&gt;="&amp;$G70,$A$21:$A$141,"&lt;="&amp;$H70),BG70))</f>
        <v>-69.9630817199231</v>
      </c>
      <c r="BJ70" s="23" t="n">
        <v>-69.9630817199231</v>
      </c>
      <c r="BK70" s="22" t="n">
        <f aca="false">ABS(BI70-BJ70)</f>
        <v>0</v>
      </c>
    </row>
    <row r="71" customFormat="false" ht="15" hidden="false" customHeight="false" outlineLevel="0" collapsed="false">
      <c r="A71" s="14" t="n">
        <f aca="false">A70+$D$18</f>
        <v>52.5</v>
      </c>
      <c r="B71" s="19" t="n">
        <v>51</v>
      </c>
      <c r="C71" s="12" t="n">
        <f aca="false">-Short_p*MAX(Floor_c-A71,0)</f>
        <v>-4</v>
      </c>
      <c r="D71" s="12" t="n">
        <f aca="false">Cost_k*Alpha_keep*A71</f>
        <v>204.75</v>
      </c>
      <c r="E71" s="12" t="n">
        <f aca="false">MIN(Cap_h,MAX(0,$B$18+MAX(Loss_w)-Alpha_keep*A71))</f>
        <v>0</v>
      </c>
      <c r="F71" s="12" t="n">
        <f aca="false">MAX(MIN(Cap_h,$F$18+MIN(Loss_w)-Alpha_keep*A71),E71)</f>
        <v>2.5</v>
      </c>
      <c r="G71" s="12" t="n">
        <f aca="false">Alpha_keep*A71+E71</f>
        <v>51.1875</v>
      </c>
      <c r="H71" s="12" t="n">
        <f aca="false">Alpha_keep*A71+F71</f>
        <v>53.6875</v>
      </c>
      <c r="I71" s="19" t="n">
        <f aca="false">MIN(INT((G71-$B$18)/$D$18+0.000000001),119)</f>
        <v>44</v>
      </c>
      <c r="J71" s="12" t="n">
        <f aca="false">(G71-$B$18)/$D$18-I71</f>
        <v>0.75</v>
      </c>
      <c r="K71" s="19" t="n">
        <f aca="false">MIN(INT((H71-$B$18)/$D$18+0.000000001),119)</f>
        <v>54</v>
      </c>
      <c r="L71" s="12" t="n">
        <f aca="false">(H71-$B$18)/$D$18-K71</f>
        <v>0.75</v>
      </c>
      <c r="M71" s="9" t="n">
        <v>0</v>
      </c>
      <c r="N71" s="12" t="n">
        <f aca="false">-Cost_k*$A71+Beta_q*(Declarations!$B$16*INDEX(M$21:M$141,MAX(1,MIN(121,$B71-ROUND(Declarations!$A$16/$D$18,0))))+Declarations!$B$17*INDEX(M$21:M$141,MAX(1,MIN(121,$B71-ROUND(Declarations!$A$17/$D$18,0))))+Declarations!$B$18*INDEX(M$21:M$141,MAX(1,MIN(121,$B71-ROUND(Declarations!$A$18/$D$18,0))))+Declarations!$B$19*INDEX(M$21:M$141,MAX(1,MIN(121,$B71-ROUND(Declarations!$A$19/$D$18,0))))+Declarations!$B$20*INDEX(M$21:M$141,MAX(1,MIN(121,$B71-ROUND(Declarations!$A$20/$D$18,0)))))</f>
        <v>-210</v>
      </c>
      <c r="O71" s="12" t="n">
        <f aca="false">INDEX(N$21:N$141,$I71+1)*(1-$J71)+INDEX(N$21:N$141,$I71+2)*$J71</f>
        <v>-204.75</v>
      </c>
      <c r="P71" s="12" t="n">
        <f aca="false">INDEX(N$21:N$141,$K71+1)*(1-$L71)+INDEX(N$21:N$141,$K71+2)*$L71</f>
        <v>-214.75</v>
      </c>
      <c r="Q71" s="12" t="n">
        <f aca="false">$C71+$D71+MAX(O71,P71,IF(COUNTIFS($A$21:$A$141,"&gt;="&amp;$G71,$A$21:$A$141,"&lt;="&amp;$H71)&gt;0,_xlfn.MAXIFS(N$21:N$141,$A$21:$A$141,"&gt;="&amp;$G71,$A$21:$A$141,"&lt;="&amp;$H71),O71))</f>
        <v>-4</v>
      </c>
      <c r="R71" s="12" t="n">
        <f aca="false">-Cost_k*$A71+Beta_q*(Declarations!$B$16*INDEX(Q$21:Q$141,MAX(1,MIN(121,$B71-ROUND(Declarations!$A$16/$D$18,0))))+Declarations!$B$17*INDEX(Q$21:Q$141,MAX(1,MIN(121,$B71-ROUND(Declarations!$A$17/$D$18,0))))+Declarations!$B$18*INDEX(Q$21:Q$141,MAX(1,MIN(121,$B71-ROUND(Declarations!$A$18/$D$18,0))))+Declarations!$B$19*INDEX(Q$21:Q$141,MAX(1,MIN(121,$B71-ROUND(Declarations!$A$19/$D$18,0))))+Declarations!$B$20*INDEX(Q$21:Q$141,MAX(1,MIN(121,$B71-ROUND(Declarations!$A$20/$D$18,0)))))</f>
        <v>-213.905816358705</v>
      </c>
      <c r="S71" s="12" t="n">
        <f aca="false">INDEX(R$21:R$141,$I71+1)*(1-$J71)+INDEX(R$21:R$141,$I71+2)*$J71</f>
        <v>-210.706369947025</v>
      </c>
      <c r="T71" s="12" t="n">
        <f aca="false">INDEX(R$21:R$141,$K71+1)*(1-$L71)+INDEX(R$21:R$141,$K71+2)*$L71</f>
        <v>-216.815200399665</v>
      </c>
      <c r="U71" s="12" t="n">
        <f aca="false">$C71+$D71+MAX(S71,T71,IF(COUNTIFS($A$21:$A$141,"&gt;="&amp;$G71,$A$21:$A$141,"&lt;="&amp;$H71)&gt;0,_xlfn.MAXIFS(R$21:R$141,$A$21:$A$141,"&gt;="&amp;$G71,$A$21:$A$141,"&lt;="&amp;$H71),S71))</f>
        <v>-9.95636994702548</v>
      </c>
      <c r="V71" s="12" t="n">
        <f aca="false">-Cost_k*$A71+Beta_q*(Declarations!$B$16*INDEX(U$21:U$141,MAX(1,MIN(121,$B71-ROUND(Declarations!$A$16/$D$18,0))))+Declarations!$B$17*INDEX(U$21:U$141,MAX(1,MIN(121,$B71-ROUND(Declarations!$A$17/$D$18,0))))+Declarations!$B$18*INDEX(U$21:U$141,MAX(1,MIN(121,$B71-ROUND(Declarations!$A$18/$D$18,0))))+Declarations!$B$19*INDEX(U$21:U$141,MAX(1,MIN(121,$B71-ROUND(Declarations!$A$19/$D$18,0))))+Declarations!$B$20*INDEX(U$21:U$141,MAX(1,MIN(121,$B71-ROUND(Declarations!$A$20/$D$18,0)))))</f>
        <v>-219.721938153103</v>
      </c>
      <c r="W71" s="12" t="n">
        <f aca="false">INDEX(V$21:V$141,$I71+1)*(1-$J71)+INDEX(V$21:V$141,$I71+2)*$J71</f>
        <v>-218.474706392904</v>
      </c>
      <c r="X71" s="12" t="n">
        <f aca="false">INDEX(V$21:V$141,$K71+1)*(1-$L71)+INDEX(V$21:V$141,$K71+2)*$L71</f>
        <v>-220.866206698299</v>
      </c>
      <c r="Y71" s="12" t="n">
        <f aca="false">$C71+$D71+MAX(W71,X71,IF(COUNTIFS($A$21:$A$141,"&gt;="&amp;$G71,$A$21:$A$141,"&lt;="&amp;$H71)&gt;0,_xlfn.MAXIFS(V$21:V$141,$A$21:$A$141,"&gt;="&amp;$G71,$A$21:$A$141,"&lt;="&amp;$H71),W71))</f>
        <v>-17.724706392904</v>
      </c>
      <c r="Z71" s="12" t="n">
        <f aca="false">-Cost_k*$A71+Beta_q*(Declarations!$B$16*INDEX(Y$21:Y$141,MAX(1,MIN(121,$B71-ROUND(Declarations!$A$16/$D$18,0))))+Declarations!$B$17*INDEX(Y$21:Y$141,MAX(1,MIN(121,$B71-ROUND(Declarations!$A$17/$D$18,0))))+Declarations!$B$18*INDEX(Y$21:Y$141,MAX(1,MIN(121,$B71-ROUND(Declarations!$A$18/$D$18,0))))+Declarations!$B$19*INDEX(Y$21:Y$141,MAX(1,MIN(121,$B71-ROUND(Declarations!$A$19/$D$18,0))))+Declarations!$B$20*INDEX(Y$21:Y$141,MAX(1,MIN(121,$B71-ROUND(Declarations!$A$20/$D$18,0)))))</f>
        <v>-227.307362045663</v>
      </c>
      <c r="AA71" s="12" t="n">
        <f aca="false">INDEX(Z$21:Z$141,$I71+1)*(1-$J71)+INDEX(Z$21:Z$141,$I71+2)*$J71</f>
        <v>-227.918722066318</v>
      </c>
      <c r="AB71" s="12" t="n">
        <f aca="false">INDEX(Z$21:Z$141,$K71+1)*(1-$L71)+INDEX(Z$21:Z$141,$K71+2)*$L71</f>
        <v>-226.770126708916</v>
      </c>
      <c r="AC71" s="12" t="n">
        <f aca="false">$C71+$D71+MAX(AA71,AB71,IF(COUNTIFS($A$21:$A$141,"&gt;="&amp;$G71,$A$21:$A$141,"&lt;="&amp;$H71)&gt;0,_xlfn.MAXIFS(Z$21:Z$141,$A$21:$A$141,"&gt;="&amp;$G71,$A$21:$A$141,"&lt;="&amp;$H71),AA71))</f>
        <v>-26.0201267089159</v>
      </c>
      <c r="AD71" s="12" t="n">
        <f aca="false">-Cost_k*$A71+Beta_q*(Declarations!$B$16*INDEX(AC$21:AC$141,MAX(1,MIN(121,$B71-ROUND(Declarations!$A$16/$D$18,0))))+Declarations!$B$17*INDEX(AC$21:AC$141,MAX(1,MIN(121,$B71-ROUND(Declarations!$A$17/$D$18,0))))+Declarations!$B$18*INDEX(AC$21:AC$141,MAX(1,MIN(121,$B71-ROUND(Declarations!$A$18/$D$18,0))))+Declarations!$B$19*INDEX(AC$21:AC$141,MAX(1,MIN(121,$B71-ROUND(Declarations!$A$19/$D$18,0))))+Declarations!$B$20*INDEX(AC$21:AC$141,MAX(1,MIN(121,$B71-ROUND(Declarations!$A$20/$D$18,0)))))</f>
        <v>-235.449413897717</v>
      </c>
      <c r="AE71" s="12" t="n">
        <f aca="false">INDEX(AD$21:AD$141,$I71+1)*(1-$J71)+INDEX(AD$21:AD$141,$I71+2)*$J71</f>
        <v>-237.774265476977</v>
      </c>
      <c r="AF71" s="12" t="n">
        <f aca="false">INDEX(AD$21:AD$141,$K71+1)*(1-$L71)+INDEX(AD$21:AD$141,$K71+2)*$L71</f>
        <v>-233.600579666752</v>
      </c>
      <c r="AG71" s="12" t="n">
        <f aca="false">$C71+$D71+MAX(AE71,AF71,IF(COUNTIFS($A$21:$A$141,"&gt;="&amp;$G71,$A$21:$A$141,"&lt;="&amp;$H71)&gt;0,_xlfn.MAXIFS(AD$21:AD$141,$A$21:$A$141,"&gt;="&amp;$G71,$A$21:$A$141,"&lt;="&amp;$H71),AE71))</f>
        <v>-32.850579666752</v>
      </c>
      <c r="AH71" s="12" t="n">
        <f aca="false">-Cost_k*$A71+Beta_q*(Declarations!$B$16*INDEX(AG$21:AG$141,MAX(1,MIN(121,$B71-ROUND(Declarations!$A$16/$D$18,0))))+Declarations!$B$17*INDEX(AG$21:AG$141,MAX(1,MIN(121,$B71-ROUND(Declarations!$A$17/$D$18,0))))+Declarations!$B$18*INDEX(AG$21:AG$141,MAX(1,MIN(121,$B71-ROUND(Declarations!$A$18/$D$18,0))))+Declarations!$B$19*INDEX(AG$21:AG$141,MAX(1,MIN(121,$B71-ROUND(Declarations!$A$19/$D$18,0))))+Declarations!$B$20*INDEX(AG$21:AG$141,MAX(1,MIN(121,$B71-ROUND(Declarations!$A$20/$D$18,0)))))</f>
        <v>-242.149370157856</v>
      </c>
      <c r="AI71" s="12" t="n">
        <f aca="false">INDEX(AH$21:AH$141,$I71+1)*(1-$J71)+INDEX(AH$21:AH$141,$I71+2)*$J71</f>
        <v>-245.868351549571</v>
      </c>
      <c r="AJ71" s="12" t="n">
        <f aca="false">INDEX(AH$21:AH$141,$K71+1)*(1-$L71)+INDEX(AH$21:AH$141,$K71+2)*$L71</f>
        <v>-239.336089521438</v>
      </c>
      <c r="AK71" s="12" t="n">
        <f aca="false">$C71+$D71+MAX(AI71,AJ71,IF(COUNTIFS($A$21:$A$141,"&gt;="&amp;$G71,$A$21:$A$141,"&lt;="&amp;$H71)&gt;0,_xlfn.MAXIFS(AH$21:AH$141,$A$21:$A$141,"&gt;="&amp;$G71,$A$21:$A$141,"&lt;="&amp;$H71),AI71))</f>
        <v>-38.5860895214384</v>
      </c>
      <c r="AL71" s="12" t="n">
        <f aca="false">-Cost_k*$A71+Beta_q*(Declarations!$B$16*INDEX(AK$21:AK$141,MAX(1,MIN(121,$B71-ROUND(Declarations!$A$16/$D$18,0))))+Declarations!$B$17*INDEX(AK$21:AK$141,MAX(1,MIN(121,$B71-ROUND(Declarations!$A$17/$D$18,0))))+Declarations!$B$18*INDEX(AK$21:AK$141,MAX(1,MIN(121,$B71-ROUND(Declarations!$A$18/$D$18,0))))+Declarations!$B$19*INDEX(AK$21:AK$141,MAX(1,MIN(121,$B71-ROUND(Declarations!$A$19/$D$18,0))))+Declarations!$B$20*INDEX(AK$21:AK$141,MAX(1,MIN(121,$B71-ROUND(Declarations!$A$20/$D$18,0)))))</f>
        <v>-247.84396464492</v>
      </c>
      <c r="AM71" s="12" t="n">
        <f aca="false">INDEX(AL$21:AL$141,$I71+1)*(1-$J71)+INDEX(AL$21:AL$141,$I71+2)*$J71</f>
        <v>-252.539170774455</v>
      </c>
      <c r="AN71" s="12" t="n">
        <f aca="false">INDEX(AL$21:AL$141,$K71+1)*(1-$L71)+INDEX(AL$21:AL$141,$K71+2)*$L71</f>
        <v>-244.635070253604</v>
      </c>
      <c r="AO71" s="12" t="n">
        <f aca="false">$C71+$D71+MAX(AM71,AN71,IF(COUNTIFS($A$21:$A$141,"&gt;="&amp;$G71,$A$21:$A$141,"&lt;="&amp;$H71)&gt;0,_xlfn.MAXIFS(AL$21:AL$141,$A$21:$A$141,"&gt;="&amp;$G71,$A$21:$A$141,"&lt;="&amp;$H71),AM71))</f>
        <v>-43.8850702536042</v>
      </c>
      <c r="AP71" s="12" t="n">
        <f aca="false">-Cost_k*$A71+Beta_q*(Declarations!$B$16*INDEX(AO$21:AO$141,MAX(1,MIN(121,$B71-ROUND(Declarations!$A$16/$D$18,0))))+Declarations!$B$17*INDEX(AO$21:AO$141,MAX(1,MIN(121,$B71-ROUND(Declarations!$A$17/$D$18,0))))+Declarations!$B$18*INDEX(AO$21:AO$141,MAX(1,MIN(121,$B71-ROUND(Declarations!$A$18/$D$18,0))))+Declarations!$B$19*INDEX(AO$21:AO$141,MAX(1,MIN(121,$B71-ROUND(Declarations!$A$19/$D$18,0))))+Declarations!$B$20*INDEX(AO$21:AO$141,MAX(1,MIN(121,$B71-ROUND(Declarations!$A$20/$D$18,0)))))</f>
        <v>-253.060700532141</v>
      </c>
      <c r="AQ71" s="12" t="n">
        <f aca="false">INDEX(AP$21:AP$141,$I71+1)*(1-$J71)+INDEX(AP$21:AP$141,$I71+2)*$J71</f>
        <v>-258.223556068303</v>
      </c>
      <c r="AR71" s="12" t="n">
        <f aca="false">INDEX(AP$21:AP$141,$K71+1)*(1-$L71)+INDEX(AP$21:AP$141,$K71+2)*$L71</f>
        <v>-249.714508409439</v>
      </c>
      <c r="AS71" s="12" t="n">
        <f aca="false">$C71+$D71+MAX(AQ71,AR71,IF(COUNTIFS($A$21:$A$141,"&gt;="&amp;$G71,$A$21:$A$141,"&lt;="&amp;$H71)&gt;0,_xlfn.MAXIFS(AP$21:AP$141,$A$21:$A$141,"&gt;="&amp;$G71,$A$21:$A$141,"&lt;="&amp;$H71),AQ71))</f>
        <v>-48.9645084094393</v>
      </c>
      <c r="AT71" s="12" t="n">
        <f aca="false">-Cost_k*$A71+Beta_q*(Declarations!$B$16*INDEX(AS$21:AS$141,MAX(1,MIN(121,$B71-ROUND(Declarations!$A$16/$D$18,0))))+Declarations!$B$17*INDEX(AS$21:AS$141,MAX(1,MIN(121,$B71-ROUND(Declarations!$A$17/$D$18,0))))+Declarations!$B$18*INDEX(AS$21:AS$141,MAX(1,MIN(121,$B71-ROUND(Declarations!$A$18/$D$18,0))))+Declarations!$B$19*INDEX(AS$21:AS$141,MAX(1,MIN(121,$B71-ROUND(Declarations!$A$19/$D$18,0))))+Declarations!$B$20*INDEX(AS$21:AS$141,MAX(1,MIN(121,$B71-ROUND(Declarations!$A$20/$D$18,0)))))</f>
        <v>-258.036397852037</v>
      </c>
      <c r="AU71" s="12" t="n">
        <f aca="false">INDEX(AT$21:AT$141,$I71+1)*(1-$J71)+INDEX(AT$21:AT$141,$I71+2)*$J71</f>
        <v>-263.37880246356</v>
      </c>
      <c r="AV71" s="12" t="n">
        <f aca="false">INDEX(AT$21:AT$141,$K71+1)*(1-$L71)+INDEX(AT$21:AT$141,$K71+2)*$L71</f>
        <v>-254.650450611987</v>
      </c>
      <c r="AW71" s="12" t="n">
        <f aca="false">$C71+$D71+MAX(AU71,AV71,IF(COUNTIFS($A$21:$A$141,"&gt;="&amp;$G71,$A$21:$A$141,"&lt;="&amp;$H71)&gt;0,_xlfn.MAXIFS(AT$21:AT$141,$A$21:$A$141,"&gt;="&amp;$G71,$A$21:$A$141,"&lt;="&amp;$H71),AU71))</f>
        <v>-53.900450611987</v>
      </c>
      <c r="AX71" s="12" t="n">
        <f aca="false">-Cost_k*$A71+Beta_q*(Declarations!$B$16*INDEX(AW$21:AW$141,MAX(1,MIN(121,$B71-ROUND(Declarations!$A$16/$D$18,0))))+Declarations!$B$17*INDEX(AW$21:AW$141,MAX(1,MIN(121,$B71-ROUND(Declarations!$A$17/$D$18,0))))+Declarations!$B$18*INDEX(AW$21:AW$141,MAX(1,MIN(121,$B71-ROUND(Declarations!$A$18/$D$18,0))))+Declarations!$B$19*INDEX(AW$21:AW$141,MAX(1,MIN(121,$B71-ROUND(Declarations!$A$19/$D$18,0))))+Declarations!$B$20*INDEX(AW$21:AW$141,MAX(1,MIN(121,$B71-ROUND(Declarations!$A$20/$D$18,0)))))</f>
        <v>-262.8610692118</v>
      </c>
      <c r="AY71" s="12" t="n">
        <f aca="false">INDEX(AX$21:AX$141,$I71+1)*(1-$J71)+INDEX(AX$21:AX$141,$I71+2)*$J71</f>
        <v>-268.261765829083</v>
      </c>
      <c r="AZ71" s="12" t="n">
        <f aca="false">INDEX(AX$21:AX$141,$K71+1)*(1-$L71)+INDEX(AX$21:AX$141,$K71+2)*$L71</f>
        <v>-259.464854155383</v>
      </c>
      <c r="BA71" s="12" t="n">
        <f aca="false">$C71+$D71+MAX(AY71,AZ71,IF(COUNTIFS($A$21:$A$141,"&gt;="&amp;$G71,$A$21:$A$141,"&lt;="&amp;$H71)&gt;0,_xlfn.MAXIFS(AX$21:AX$141,$A$21:$A$141,"&gt;="&amp;$G71,$A$21:$A$141,"&lt;="&amp;$H71),AY71))</f>
        <v>-58.7148541553827</v>
      </c>
      <c r="BB71" s="12" t="n">
        <f aca="false">-Cost_k*$A71+Beta_q*(Declarations!$B$16*INDEX(BA$21:BA$141,MAX(1,MIN(121,$B71-ROUND(Declarations!$A$16/$D$18,0))))+Declarations!$B$17*INDEX(BA$21:BA$141,MAX(1,MIN(121,$B71-ROUND(Declarations!$A$17/$D$18,0))))+Declarations!$B$18*INDEX(BA$21:BA$141,MAX(1,MIN(121,$B71-ROUND(Declarations!$A$18/$D$18,0))))+Declarations!$B$19*INDEX(BA$21:BA$141,MAX(1,MIN(121,$B71-ROUND(Declarations!$A$19/$D$18,0))))+Declarations!$B$20*INDEX(BA$21:BA$141,MAX(1,MIN(121,$B71-ROUND(Declarations!$A$20/$D$18,0)))))</f>
        <v>-267.563440410542</v>
      </c>
      <c r="BC71" s="12" t="n">
        <f aca="false">INDEX(BB$21:BB$141,$I71+1)*(1-$J71)+INDEX(BB$21:BB$141,$I71+2)*$J71</f>
        <v>-272.98100781356</v>
      </c>
      <c r="BD71" s="12" t="n">
        <f aca="false">INDEX(BB$21:BB$141,$K71+1)*(1-$L71)+INDEX(BB$21:BB$141,$K71+2)*$L71</f>
        <v>-264.164798373593</v>
      </c>
      <c r="BE71" s="12" t="n">
        <f aca="false">$C71+$D71+MAX(BC71,BD71,IF(COUNTIFS($A$21:$A$141,"&gt;="&amp;$G71,$A$21:$A$141,"&lt;="&amp;$H71)&gt;0,_xlfn.MAXIFS(BB$21:BB$141,$A$21:$A$141,"&gt;="&amp;$G71,$A$21:$A$141,"&lt;="&amp;$H71),BC71))</f>
        <v>-63.4147983735927</v>
      </c>
      <c r="BF71" s="12" t="n">
        <f aca="false">-Cost_k*$A71+Beta_q*(Declarations!$B$16*INDEX(BE$21:BE$141,MAX(1,MIN(121,$B71-ROUND(Declarations!$A$16/$D$18,0))))+Declarations!$B$17*INDEX(BE$21:BE$141,MAX(1,MIN(121,$B71-ROUND(Declarations!$A$17/$D$18,0))))+Declarations!$B$18*INDEX(BE$21:BE$141,MAX(1,MIN(121,$B71-ROUND(Declarations!$A$18/$D$18,0))))+Declarations!$B$19*INDEX(BE$21:BE$141,MAX(1,MIN(121,$B71-ROUND(Declarations!$A$19/$D$18,0))))+Declarations!$B$20*INDEX(BE$21:BE$141,MAX(1,MIN(121,$B71-ROUND(Declarations!$A$20/$D$18,0)))))</f>
        <v>-272.153038864032</v>
      </c>
      <c r="BG71" s="12" t="n">
        <f aca="false">INDEX(BF$21:BF$141,$I71+1)*(1-$J71)+INDEX(BF$21:BF$141,$I71+2)*$J71</f>
        <v>-277.575027072832</v>
      </c>
      <c r="BH71" s="12" t="n">
        <f aca="false">INDEX(BF$21:BF$141,$K71+1)*(1-$L71)+INDEX(BF$21:BF$141,$K71+2)*$L71</f>
        <v>-268.753856202084</v>
      </c>
      <c r="BI71" s="12" t="n">
        <f aca="false">$C71+$D71+MAX(BG71,BH71,IF(COUNTIFS($A$21:$A$141,"&gt;="&amp;$G71,$A$21:$A$141,"&lt;="&amp;$H71)&gt;0,_xlfn.MAXIFS(BF$21:BF$141,$A$21:$A$141,"&gt;="&amp;$G71,$A$21:$A$141,"&lt;="&amp;$H71),BG71))</f>
        <v>-68.0038562020844</v>
      </c>
      <c r="BJ71" s="23" t="n">
        <v>-68.0038562020845</v>
      </c>
      <c r="BK71" s="22" t="n">
        <f aca="false">ABS(BI71-BJ71)</f>
        <v>0</v>
      </c>
    </row>
    <row r="72" customFormat="false" ht="15" hidden="false" customHeight="false" outlineLevel="0" collapsed="false">
      <c r="A72" s="14" t="n">
        <f aca="false">A71+$D$18</f>
        <v>52.75</v>
      </c>
      <c r="B72" s="19" t="n">
        <v>52</v>
      </c>
      <c r="C72" s="12" t="n">
        <f aca="false">-Short_p*MAX(Floor_c-A72,0)</f>
        <v>-3.6</v>
      </c>
      <c r="D72" s="12" t="n">
        <f aca="false">Cost_k*Alpha_keep*A72</f>
        <v>205.725</v>
      </c>
      <c r="E72" s="12" t="n">
        <f aca="false">MIN(Cap_h,MAX(0,$B$18+MAX(Loss_w)-Alpha_keep*A72))</f>
        <v>0</v>
      </c>
      <c r="F72" s="12" t="n">
        <f aca="false">MAX(MIN(Cap_h,$F$18+MIN(Loss_w)-Alpha_keep*A72),E72)</f>
        <v>2.5</v>
      </c>
      <c r="G72" s="12" t="n">
        <f aca="false">Alpha_keep*A72+E72</f>
        <v>51.43125</v>
      </c>
      <c r="H72" s="12" t="n">
        <f aca="false">Alpha_keep*A72+F72</f>
        <v>53.93125</v>
      </c>
      <c r="I72" s="19" t="n">
        <f aca="false">MIN(INT((G72-$B$18)/$D$18+0.000000001),119)</f>
        <v>45</v>
      </c>
      <c r="J72" s="12" t="n">
        <f aca="false">(G72-$B$18)/$D$18-I72</f>
        <v>0.724999999999994</v>
      </c>
      <c r="K72" s="19" t="n">
        <f aca="false">MIN(INT((H72-$B$18)/$D$18+0.000000001),119)</f>
        <v>55</v>
      </c>
      <c r="L72" s="12" t="n">
        <f aca="false">(H72-$B$18)/$D$18-K72</f>
        <v>0.724999999999994</v>
      </c>
      <c r="M72" s="9" t="n">
        <v>0</v>
      </c>
      <c r="N72" s="12" t="n">
        <f aca="false">-Cost_k*$A72+Beta_q*(Declarations!$B$16*INDEX(M$21:M$141,MAX(1,MIN(121,$B72-ROUND(Declarations!$A$16/$D$18,0))))+Declarations!$B$17*INDEX(M$21:M$141,MAX(1,MIN(121,$B72-ROUND(Declarations!$A$17/$D$18,0))))+Declarations!$B$18*INDEX(M$21:M$141,MAX(1,MIN(121,$B72-ROUND(Declarations!$A$18/$D$18,0))))+Declarations!$B$19*INDEX(M$21:M$141,MAX(1,MIN(121,$B72-ROUND(Declarations!$A$19/$D$18,0))))+Declarations!$B$20*INDEX(M$21:M$141,MAX(1,MIN(121,$B72-ROUND(Declarations!$A$20/$D$18,0)))))</f>
        <v>-211</v>
      </c>
      <c r="O72" s="12" t="n">
        <f aca="false">INDEX(N$21:N$141,$I72+1)*(1-$J72)+INDEX(N$21:N$141,$I72+2)*$J72</f>
        <v>-205.725</v>
      </c>
      <c r="P72" s="12" t="n">
        <f aca="false">INDEX(N$21:N$141,$K72+1)*(1-$L72)+INDEX(N$21:N$141,$K72+2)*$L72</f>
        <v>-215.725</v>
      </c>
      <c r="Q72" s="12" t="n">
        <f aca="false">$C72+$D72+MAX(O72,P72,IF(COUNTIFS($A$21:$A$141,"&gt;="&amp;$G72,$A$21:$A$141,"&lt;="&amp;$H72)&gt;0,_xlfn.MAXIFS(N$21:N$141,$A$21:$A$141,"&gt;="&amp;$G72,$A$21:$A$141,"&lt;="&amp;$H72),O72))</f>
        <v>-3.59999999999999</v>
      </c>
      <c r="R72" s="12" t="n">
        <f aca="false">-Cost_k*$A72+Beta_q*(Declarations!$B$16*INDEX(Q$21:Q$141,MAX(1,MIN(121,$B72-ROUND(Declarations!$A$16/$D$18,0))))+Declarations!$B$17*INDEX(Q$21:Q$141,MAX(1,MIN(121,$B72-ROUND(Declarations!$A$17/$D$18,0))))+Declarations!$B$18*INDEX(Q$21:Q$141,MAX(1,MIN(121,$B72-ROUND(Declarations!$A$18/$D$18,0))))+Declarations!$B$19*INDEX(Q$21:Q$141,MAX(1,MIN(121,$B72-ROUND(Declarations!$A$19/$D$18,0))))+Declarations!$B$20*INDEX(Q$21:Q$141,MAX(1,MIN(121,$B72-ROUND(Declarations!$A$20/$D$18,0)))))</f>
        <v>-214.515234722835</v>
      </c>
      <c r="S72" s="12" t="n">
        <f aca="false">INDEX(R$21:R$141,$I72+1)*(1-$J72)+INDEX(R$21:R$141,$I72+2)*$J72</f>
        <v>-211.300552852052</v>
      </c>
      <c r="T72" s="12" t="n">
        <f aca="false">INDEX(R$21:R$141,$K72+1)*(1-$L72)+INDEX(R$21:R$141,$K72+2)*$L72</f>
        <v>-217.42842415944</v>
      </c>
      <c r="U72" s="12" t="n">
        <f aca="false">$C72+$D72+MAX(S72,T72,IF(COUNTIFS($A$21:$A$141,"&gt;="&amp;$G72,$A$21:$A$141,"&lt;="&amp;$H72)&gt;0,_xlfn.MAXIFS(R$21:R$141,$A$21:$A$141,"&gt;="&amp;$G72,$A$21:$A$141,"&lt;="&amp;$H72),S72))</f>
        <v>-9.17555285205174</v>
      </c>
      <c r="V72" s="12" t="n">
        <f aca="false">-Cost_k*$A72+Beta_q*(Declarations!$B$16*INDEX(U$21:U$141,MAX(1,MIN(121,$B72-ROUND(Declarations!$A$16/$D$18,0))))+Declarations!$B$17*INDEX(U$21:U$141,MAX(1,MIN(121,$B72-ROUND(Declarations!$A$17/$D$18,0))))+Declarations!$B$18*INDEX(U$21:U$141,MAX(1,MIN(121,$B72-ROUND(Declarations!$A$18/$D$18,0))))+Declarations!$B$19*INDEX(U$21:U$141,MAX(1,MIN(121,$B72-ROUND(Declarations!$A$19/$D$18,0))))+Declarations!$B$20*INDEX(U$21:U$141,MAX(1,MIN(121,$B72-ROUND(Declarations!$A$20/$D$18,0)))))</f>
        <v>-219.959506107427</v>
      </c>
      <c r="W72" s="12" t="n">
        <f aca="false">INDEX(V$21:V$141,$I72+1)*(1-$J72)+INDEX(V$21:V$141,$I72+2)*$J72</f>
        <v>-218.70633514837</v>
      </c>
      <c r="X72" s="12" t="n">
        <f aca="false">INDEX(V$21:V$141,$K72+1)*(1-$L72)+INDEX(V$21:V$141,$K72+2)*$L72</f>
        <v>-221.117782693887</v>
      </c>
      <c r="Y72" s="12" t="n">
        <f aca="false">$C72+$D72+MAX(W72,X72,IF(COUNTIFS($A$21:$A$141,"&gt;="&amp;$G72,$A$21:$A$141,"&lt;="&amp;$H72)&gt;0,_xlfn.MAXIFS(V$21:V$141,$A$21:$A$141,"&gt;="&amp;$G72,$A$21:$A$141,"&lt;="&amp;$H72),W72))</f>
        <v>-16.5813351483695</v>
      </c>
      <c r="Z72" s="12" t="n">
        <f aca="false">-Cost_k*$A72+Beta_q*(Declarations!$B$16*INDEX(Y$21:Y$141,MAX(1,MIN(121,$B72-ROUND(Declarations!$A$16/$D$18,0))))+Declarations!$B$17*INDEX(Y$21:Y$141,MAX(1,MIN(121,$B72-ROUND(Declarations!$A$17/$D$18,0))))+Declarations!$B$18*INDEX(Y$21:Y$141,MAX(1,MIN(121,$B72-ROUND(Declarations!$A$18/$D$18,0))))+Declarations!$B$19*INDEX(Y$21:Y$141,MAX(1,MIN(121,$B72-ROUND(Declarations!$A$19/$D$18,0))))+Declarations!$B$20*INDEX(Y$21:Y$141,MAX(1,MIN(121,$B72-ROUND(Declarations!$A$20/$D$18,0)))))</f>
        <v>-227.190912517919</v>
      </c>
      <c r="AA72" s="12" t="n">
        <f aca="false">INDEX(Z$21:Z$141,$I72+1)*(1-$J72)+INDEX(Z$21:Z$141,$I72+2)*$J72</f>
        <v>-227.805183776768</v>
      </c>
      <c r="AB72" s="12" t="n">
        <f aca="false">INDEX(Z$21:Z$141,$K72+1)*(1-$L72)+INDEX(Z$21:Z$141,$K72+2)*$L72</f>
        <v>-226.67667043445</v>
      </c>
      <c r="AC72" s="12" t="n">
        <f aca="false">$C72+$D72+MAX(AA72,AB72,IF(COUNTIFS($A$21:$A$141,"&gt;="&amp;$G72,$A$21:$A$141,"&lt;="&amp;$H72)&gt;0,_xlfn.MAXIFS(Z$21:Z$141,$A$21:$A$141,"&gt;="&amp;$G72,$A$21:$A$141,"&lt;="&amp;$H72),AA72))</f>
        <v>-24.5516704344499</v>
      </c>
      <c r="AD72" s="12" t="n">
        <f aca="false">-Cost_k*$A72+Beta_q*(Declarations!$B$16*INDEX(AC$21:AC$141,MAX(1,MIN(121,$B72-ROUND(Declarations!$A$16/$D$18,0))))+Declarations!$B$17*INDEX(AC$21:AC$141,MAX(1,MIN(121,$B72-ROUND(Declarations!$A$17/$D$18,0))))+Declarations!$B$18*INDEX(AC$21:AC$141,MAX(1,MIN(121,$B72-ROUND(Declarations!$A$18/$D$18,0))))+Declarations!$B$19*INDEX(AC$21:AC$141,MAX(1,MIN(121,$B72-ROUND(Declarations!$A$19/$D$18,0))))+Declarations!$B$20*INDEX(AC$21:AC$141,MAX(1,MIN(121,$B72-ROUND(Declarations!$A$20/$D$18,0)))))</f>
        <v>-235.031658241978</v>
      </c>
      <c r="AE72" s="12" t="n">
        <f aca="false">INDEX(AD$21:AD$141,$I72+1)*(1-$J72)+INDEX(AD$21:AD$141,$I72+2)*$J72</f>
        <v>-237.333221106617</v>
      </c>
      <c r="AF72" s="12" t="n">
        <f aca="false">INDEX(AD$21:AD$141,$K72+1)*(1-$L72)+INDEX(AD$21:AD$141,$K72+2)*$L72</f>
        <v>-233.271035225059</v>
      </c>
      <c r="AG72" s="12" t="n">
        <f aca="false">$C72+$D72+MAX(AE72,AF72,IF(COUNTIFS($A$21:$A$141,"&gt;="&amp;$G72,$A$21:$A$141,"&lt;="&amp;$H72)&gt;0,_xlfn.MAXIFS(AD$21:AD$141,$A$21:$A$141,"&gt;="&amp;$G72,$A$21:$A$141,"&lt;="&amp;$H72),AE72))</f>
        <v>-31.1460352250586</v>
      </c>
      <c r="AH72" s="12" t="n">
        <f aca="false">-Cost_k*$A72+Beta_q*(Declarations!$B$16*INDEX(AG$21:AG$141,MAX(1,MIN(121,$B72-ROUND(Declarations!$A$16/$D$18,0))))+Declarations!$B$17*INDEX(AG$21:AG$141,MAX(1,MIN(121,$B72-ROUND(Declarations!$A$17/$D$18,0))))+Declarations!$B$18*INDEX(AG$21:AG$141,MAX(1,MIN(121,$B72-ROUND(Declarations!$A$18/$D$18,0))))+Declarations!$B$19*INDEX(AG$21:AG$141,MAX(1,MIN(121,$B72-ROUND(Declarations!$A$19/$D$18,0))))+Declarations!$B$20*INDEX(AG$21:AG$141,MAX(1,MIN(121,$B72-ROUND(Declarations!$A$20/$D$18,0)))))</f>
        <v>-241.502352856306</v>
      </c>
      <c r="AI72" s="12" t="n">
        <f aca="false">INDEX(AH$21:AH$141,$I72+1)*(1-$J72)+INDEX(AH$21:AH$141,$I72+2)*$J72</f>
        <v>-245.149806203098</v>
      </c>
      <c r="AJ72" s="12" t="n">
        <f aca="false">INDEX(AH$21:AH$141,$K72+1)*(1-$L72)+INDEX(AH$21:AH$141,$K72+2)*$L72</f>
        <v>-238.878939396953</v>
      </c>
      <c r="AK72" s="12" t="n">
        <f aca="false">$C72+$D72+MAX(AI72,AJ72,IF(COUNTIFS($A$21:$A$141,"&gt;="&amp;$G72,$A$21:$A$141,"&lt;="&amp;$H72)&gt;0,_xlfn.MAXIFS(AH$21:AH$141,$A$21:$A$141,"&gt;="&amp;$G72,$A$21:$A$141,"&lt;="&amp;$H72),AI72))</f>
        <v>-36.7539393969526</v>
      </c>
      <c r="AL72" s="12" t="n">
        <f aca="false">-Cost_k*$A72+Beta_q*(Declarations!$B$16*INDEX(AK$21:AK$141,MAX(1,MIN(121,$B72-ROUND(Declarations!$A$16/$D$18,0))))+Declarations!$B$17*INDEX(AK$21:AK$141,MAX(1,MIN(121,$B72-ROUND(Declarations!$A$17/$D$18,0))))+Declarations!$B$18*INDEX(AK$21:AK$141,MAX(1,MIN(121,$B72-ROUND(Declarations!$A$18/$D$18,0))))+Declarations!$B$19*INDEX(AK$21:AK$141,MAX(1,MIN(121,$B72-ROUND(Declarations!$A$19/$D$18,0))))+Declarations!$B$20*INDEX(AK$21:AK$141,MAX(1,MIN(121,$B72-ROUND(Declarations!$A$20/$D$18,0)))))</f>
        <v>-247.073923481544</v>
      </c>
      <c r="AM72" s="12" t="n">
        <f aca="false">INDEX(AL$21:AL$141,$I72+1)*(1-$J72)+INDEX(AL$21:AL$141,$I72+2)*$J72</f>
        <v>-251.608813765243</v>
      </c>
      <c r="AN72" s="12" t="n">
        <f aca="false">INDEX(AL$21:AL$141,$K72+1)*(1-$L72)+INDEX(AL$21:AL$141,$K72+2)*$L72</f>
        <v>-244.140239299504</v>
      </c>
      <c r="AO72" s="12" t="n">
        <f aca="false">$C72+$D72+MAX(AM72,AN72,IF(COUNTIFS($A$21:$A$141,"&gt;="&amp;$G72,$A$21:$A$141,"&lt;="&amp;$H72)&gt;0,_xlfn.MAXIFS(AL$21:AL$141,$A$21:$A$141,"&gt;="&amp;$G72,$A$21:$A$141,"&lt;="&amp;$H72),AM72))</f>
        <v>-42.0152392995037</v>
      </c>
      <c r="AP72" s="12" t="n">
        <f aca="false">-Cost_k*$A72+Beta_q*(Declarations!$B$16*INDEX(AO$21:AO$141,MAX(1,MIN(121,$B72-ROUND(Declarations!$A$16/$D$18,0))))+Declarations!$B$17*INDEX(AO$21:AO$141,MAX(1,MIN(121,$B72-ROUND(Declarations!$A$17/$D$18,0))))+Declarations!$B$18*INDEX(AO$21:AO$141,MAX(1,MIN(121,$B72-ROUND(Declarations!$A$18/$D$18,0))))+Declarations!$B$19*INDEX(AO$21:AO$141,MAX(1,MIN(121,$B72-ROUND(Declarations!$A$19/$D$18,0))))+Declarations!$B$20*INDEX(AO$21:AO$141,MAX(1,MIN(121,$B72-ROUND(Declarations!$A$20/$D$18,0)))))</f>
        <v>-252.245005895177</v>
      </c>
      <c r="AQ72" s="12" t="n">
        <f aca="false">INDEX(AP$21:AP$141,$I72+1)*(1-$J72)+INDEX(AP$21:AP$141,$I72+2)*$J72</f>
        <v>-257.170038779487</v>
      </c>
      <c r="AR72" s="12" t="n">
        <f aca="false">INDEX(AP$21:AP$141,$K72+1)*(1-$L72)+INDEX(AP$21:AP$141,$K72+2)*$L72</f>
        <v>-249.209053185057</v>
      </c>
      <c r="AS72" s="12" t="n">
        <f aca="false">$C72+$D72+MAX(AQ72,AR72,IF(COUNTIFS($A$21:$A$141,"&gt;="&amp;$G72,$A$21:$A$141,"&lt;="&amp;$H72)&gt;0,_xlfn.MAXIFS(AP$21:AP$141,$A$21:$A$141,"&gt;="&amp;$G72,$A$21:$A$141,"&lt;="&amp;$H72),AQ72))</f>
        <v>-47.0840531850565</v>
      </c>
      <c r="AT72" s="12" t="n">
        <f aca="false">-Cost_k*$A72+Beta_q*(Declarations!$B$16*INDEX(AS$21:AS$141,MAX(1,MIN(121,$B72-ROUND(Declarations!$A$16/$D$18,0))))+Declarations!$B$17*INDEX(AS$21:AS$141,MAX(1,MIN(121,$B72-ROUND(Declarations!$A$17/$D$18,0))))+Declarations!$B$18*INDEX(AS$21:AS$141,MAX(1,MIN(121,$B72-ROUND(Declarations!$A$18/$D$18,0))))+Declarations!$B$19*INDEX(AS$21:AS$141,MAX(1,MIN(121,$B72-ROUND(Declarations!$A$19/$D$18,0))))+Declarations!$B$20*INDEX(AS$21:AS$141,MAX(1,MIN(121,$B72-ROUND(Declarations!$A$20/$D$18,0)))))</f>
        <v>-257.206948622487</v>
      </c>
      <c r="AU72" s="12" t="n">
        <f aca="false">INDEX(AT$21:AT$141,$I72+1)*(1-$J72)+INDEX(AT$21:AT$141,$I72+2)*$J72</f>
        <v>-262.274121483223</v>
      </c>
      <c r="AV72" s="12" t="n">
        <f aca="false">INDEX(AT$21:AT$141,$K72+1)*(1-$L72)+INDEX(AT$21:AT$141,$K72+2)*$L72</f>
        <v>-254.142338496308</v>
      </c>
      <c r="AW72" s="12" t="n">
        <f aca="false">$C72+$D72+MAX(AU72,AV72,IF(COUNTIFS($A$21:$A$141,"&gt;="&amp;$G72,$A$21:$A$141,"&lt;="&amp;$H72)&gt;0,_xlfn.MAXIFS(AT$21:AT$141,$A$21:$A$141,"&gt;="&amp;$G72,$A$21:$A$141,"&lt;="&amp;$H72),AU72))</f>
        <v>-52.0173384963083</v>
      </c>
      <c r="AX72" s="12" t="n">
        <f aca="false">-Cost_k*$A72+Beta_q*(Declarations!$B$16*INDEX(AW$21:AW$141,MAX(1,MIN(121,$B72-ROUND(Declarations!$A$16/$D$18,0))))+Declarations!$B$17*INDEX(AW$21:AW$141,MAX(1,MIN(121,$B72-ROUND(Declarations!$A$17/$D$18,0))))+Declarations!$B$18*INDEX(AW$21:AW$141,MAX(1,MIN(121,$B72-ROUND(Declarations!$A$18/$D$18,0))))+Declarations!$B$19*INDEX(AW$21:AW$141,MAX(1,MIN(121,$B72-ROUND(Declarations!$A$19/$D$18,0))))+Declarations!$B$20*INDEX(AW$21:AW$141,MAX(1,MIN(121,$B72-ROUND(Declarations!$A$20/$D$18,0)))))</f>
        <v>-262.027723350667</v>
      </c>
      <c r="AY72" s="12" t="n">
        <f aca="false">INDEX(AX$21:AX$141,$I72+1)*(1-$J72)+INDEX(AX$21:AX$141,$I72+2)*$J72</f>
        <v>-267.139466119714</v>
      </c>
      <c r="AZ72" s="12" t="n">
        <f aca="false">INDEX(AX$21:AX$141,$K72+1)*(1-$L72)+INDEX(AX$21:AX$141,$K72+2)*$L72</f>
        <v>-258.956175017507</v>
      </c>
      <c r="BA72" s="12" t="n">
        <f aca="false">$C72+$D72+MAX(AY72,AZ72,IF(COUNTIFS($A$21:$A$141,"&gt;="&amp;$G72,$A$21:$A$141,"&lt;="&amp;$H72)&gt;0,_xlfn.MAXIFS(AX$21:AX$141,$A$21:$A$141,"&gt;="&amp;$G72,$A$21:$A$141,"&lt;="&amp;$H72),AY72))</f>
        <v>-56.8311750175066</v>
      </c>
      <c r="BB72" s="12" t="n">
        <f aca="false">-Cost_k*$A72+Beta_q*(Declarations!$B$16*INDEX(BA$21:BA$141,MAX(1,MIN(121,$B72-ROUND(Declarations!$A$16/$D$18,0))))+Declarations!$B$17*INDEX(BA$21:BA$141,MAX(1,MIN(121,$B72-ROUND(Declarations!$A$17/$D$18,0))))+Declarations!$B$18*INDEX(BA$21:BA$141,MAX(1,MIN(121,$B72-ROUND(Declarations!$A$18/$D$18,0))))+Declarations!$B$19*INDEX(BA$21:BA$141,MAX(1,MIN(121,$B72-ROUND(Declarations!$A$19/$D$18,0))))+Declarations!$B$20*INDEX(BA$21:BA$141,MAX(1,MIN(121,$B72-ROUND(Declarations!$A$20/$D$18,0)))))</f>
        <v>-266.729141578435</v>
      </c>
      <c r="BC72" s="12" t="n">
        <f aca="false">INDEX(BB$21:BB$141,$I72+1)*(1-$J72)+INDEX(BB$21:BB$141,$I72+2)*$J72</f>
        <v>-271.853176192662</v>
      </c>
      <c r="BD72" s="12" t="n">
        <f aca="false">INDEX(BB$21:BB$141,$K72+1)*(1-$L72)+INDEX(BB$21:BB$141,$K72+2)*$L72</f>
        <v>-263.655999536582</v>
      </c>
      <c r="BE72" s="12" t="n">
        <f aca="false">$C72+$D72+MAX(BC72,BD72,IF(COUNTIFS($A$21:$A$141,"&gt;="&amp;$G72,$A$21:$A$141,"&lt;="&amp;$H72)&gt;0,_xlfn.MAXIFS(BB$21:BB$141,$A$21:$A$141,"&gt;="&amp;$G72,$A$21:$A$141,"&lt;="&amp;$H72),BC72))</f>
        <v>-61.530999536582</v>
      </c>
      <c r="BF72" s="12" t="n">
        <f aca="false">-Cost_k*$A72+Beta_q*(Declarations!$B$16*INDEX(BE$21:BE$141,MAX(1,MIN(121,$B72-ROUND(Declarations!$A$16/$D$18,0))))+Declarations!$B$17*INDEX(BE$21:BE$141,MAX(1,MIN(121,$B72-ROUND(Declarations!$A$17/$D$18,0))))+Declarations!$B$18*INDEX(BE$21:BE$141,MAX(1,MIN(121,$B72-ROUND(Declarations!$A$18/$D$18,0))))+Declarations!$B$19*INDEX(BE$21:BE$141,MAX(1,MIN(121,$B72-ROUND(Declarations!$A$19/$D$18,0))))+Declarations!$B$20*INDEX(BE$21:BE$141,MAX(1,MIN(121,$B72-ROUND(Declarations!$A$20/$D$18,0)))))</f>
        <v>-271.318520196584</v>
      </c>
      <c r="BG72" s="12" t="n">
        <f aca="false">INDEX(BF$21:BF$141,$I72+1)*(1-$J72)+INDEX(BF$21:BF$141,$I72+2)*$J72</f>
        <v>-276.445691082286</v>
      </c>
      <c r="BH72" s="12" t="n">
        <f aca="false">INDEX(BF$21:BF$141,$K72+1)*(1-$L72)+INDEX(BF$21:BF$141,$K72+2)*$L72</f>
        <v>-268.245033208395</v>
      </c>
      <c r="BI72" s="12" t="n">
        <f aca="false">$C72+$D72+MAX(BG72,BH72,IF(COUNTIFS($A$21:$A$141,"&gt;="&amp;$G72,$A$21:$A$141,"&lt;="&amp;$H72)&gt;0,_xlfn.MAXIFS(BF$21:BF$141,$A$21:$A$141,"&gt;="&amp;$G72,$A$21:$A$141,"&lt;="&amp;$H72),BG72))</f>
        <v>-66.1200332083946</v>
      </c>
      <c r="BJ72" s="23" t="n">
        <v>-66.1200332083945</v>
      </c>
      <c r="BK72" s="22" t="n">
        <f aca="false">ABS(BI72-BJ72)</f>
        <v>0</v>
      </c>
    </row>
    <row r="73" customFormat="false" ht="15" hidden="false" customHeight="false" outlineLevel="0" collapsed="false">
      <c r="A73" s="14" t="n">
        <f aca="false">A72+$D$18</f>
        <v>53</v>
      </c>
      <c r="B73" s="19" t="n">
        <v>53</v>
      </c>
      <c r="C73" s="12" t="n">
        <f aca="false">-Short_p*MAX(Floor_c-A73,0)</f>
        <v>-3.2</v>
      </c>
      <c r="D73" s="12" t="n">
        <f aca="false">Cost_k*Alpha_keep*A73</f>
        <v>206.7</v>
      </c>
      <c r="E73" s="12" t="n">
        <f aca="false">MIN(Cap_h,MAX(0,$B$18+MAX(Loss_w)-Alpha_keep*A73))</f>
        <v>0</v>
      </c>
      <c r="F73" s="12" t="n">
        <f aca="false">MAX(MIN(Cap_h,$F$18+MIN(Loss_w)-Alpha_keep*A73),E73)</f>
        <v>2.5</v>
      </c>
      <c r="G73" s="12" t="n">
        <f aca="false">Alpha_keep*A73+E73</f>
        <v>51.675</v>
      </c>
      <c r="H73" s="12" t="n">
        <f aca="false">Alpha_keep*A73+F73</f>
        <v>54.175</v>
      </c>
      <c r="I73" s="19" t="n">
        <f aca="false">MIN(INT((G73-$B$18)/$D$18+0.000000001),119)</f>
        <v>46</v>
      </c>
      <c r="J73" s="12" t="n">
        <f aca="false">(G73-$B$18)/$D$18-I73</f>
        <v>0.699999999999989</v>
      </c>
      <c r="K73" s="19" t="n">
        <f aca="false">MIN(INT((H73-$B$18)/$D$18+0.000000001),119)</f>
        <v>56</v>
      </c>
      <c r="L73" s="12" t="n">
        <f aca="false">(H73-$B$18)/$D$18-K73</f>
        <v>0.699999999999989</v>
      </c>
      <c r="M73" s="9" t="n">
        <v>0</v>
      </c>
      <c r="N73" s="12" t="n">
        <f aca="false">-Cost_k*$A73+Beta_q*(Declarations!$B$16*INDEX(M$21:M$141,MAX(1,MIN(121,$B73-ROUND(Declarations!$A$16/$D$18,0))))+Declarations!$B$17*INDEX(M$21:M$141,MAX(1,MIN(121,$B73-ROUND(Declarations!$A$17/$D$18,0))))+Declarations!$B$18*INDEX(M$21:M$141,MAX(1,MIN(121,$B73-ROUND(Declarations!$A$18/$D$18,0))))+Declarations!$B$19*INDEX(M$21:M$141,MAX(1,MIN(121,$B73-ROUND(Declarations!$A$19/$D$18,0))))+Declarations!$B$20*INDEX(M$21:M$141,MAX(1,MIN(121,$B73-ROUND(Declarations!$A$20/$D$18,0)))))</f>
        <v>-212</v>
      </c>
      <c r="O73" s="12" t="n">
        <f aca="false">INDEX(N$21:N$141,$I73+1)*(1-$J73)+INDEX(N$21:N$141,$I73+2)*$J73</f>
        <v>-206.7</v>
      </c>
      <c r="P73" s="12" t="n">
        <f aca="false">INDEX(N$21:N$141,$K73+1)*(1-$L73)+INDEX(N$21:N$141,$K73+2)*$L73</f>
        <v>-216.7</v>
      </c>
      <c r="Q73" s="12" t="n">
        <f aca="false">$C73+$D73+MAX(O73,P73,IF(COUNTIFS($A$21:$A$141,"&gt;="&amp;$G73,$A$21:$A$141,"&lt;="&amp;$H73)&gt;0,_xlfn.MAXIFS(N$21:N$141,$A$21:$A$141,"&gt;="&amp;$G73,$A$21:$A$141,"&lt;="&amp;$H73),O73))</f>
        <v>-3.19999999999999</v>
      </c>
      <c r="R73" s="12" t="n">
        <f aca="false">-Cost_k*$A73+Beta_q*(Declarations!$B$16*INDEX(Q$21:Q$141,MAX(1,MIN(121,$B73-ROUND(Declarations!$A$16/$D$18,0))))+Declarations!$B$17*INDEX(Q$21:Q$141,MAX(1,MIN(121,$B73-ROUND(Declarations!$A$17/$D$18,0))))+Declarations!$B$18*INDEX(Q$21:Q$141,MAX(1,MIN(121,$B73-ROUND(Declarations!$A$18/$D$18,0))))+Declarations!$B$19*INDEX(Q$21:Q$141,MAX(1,MIN(121,$B73-ROUND(Declarations!$A$19/$D$18,0))))+Declarations!$B$20*INDEX(Q$21:Q$141,MAX(1,MIN(121,$B73-ROUND(Declarations!$A$20/$D$18,0)))))</f>
        <v>-215.124653086964</v>
      </c>
      <c r="S73" s="12" t="n">
        <f aca="false">INDEX(R$21:R$141,$I73+1)*(1-$J73)+INDEX(R$21:R$141,$I73+2)*$J73</f>
        <v>-211.894735757078</v>
      </c>
      <c r="T73" s="12" t="n">
        <f aca="false">INDEX(R$21:R$141,$K73+1)*(1-$L73)+INDEX(R$21:R$141,$K73+2)*$L73</f>
        <v>-218.041647919215</v>
      </c>
      <c r="U73" s="12" t="n">
        <f aca="false">$C73+$D73+MAX(S73,T73,IF(COUNTIFS($A$21:$A$141,"&gt;="&amp;$G73,$A$21:$A$141,"&lt;="&amp;$H73)&gt;0,_xlfn.MAXIFS(R$21:R$141,$A$21:$A$141,"&gt;="&amp;$G73,$A$21:$A$141,"&lt;="&amp;$H73),S73))</f>
        <v>-8.39473575707797</v>
      </c>
      <c r="V73" s="12" t="n">
        <f aca="false">-Cost_k*$A73+Beta_q*(Declarations!$B$16*INDEX(U$21:U$141,MAX(1,MIN(121,$B73-ROUND(Declarations!$A$16/$D$18,0))))+Declarations!$B$17*INDEX(U$21:U$141,MAX(1,MIN(121,$B73-ROUND(Declarations!$A$17/$D$18,0))))+Declarations!$B$18*INDEX(U$21:U$141,MAX(1,MIN(121,$B73-ROUND(Declarations!$A$18/$D$18,0))))+Declarations!$B$19*INDEX(U$21:U$141,MAX(1,MIN(121,$B73-ROUND(Declarations!$A$19/$D$18,0))))+Declarations!$B$20*INDEX(U$21:U$141,MAX(1,MIN(121,$B73-ROUND(Declarations!$A$20/$D$18,0)))))</f>
        <v>-220.197074061751</v>
      </c>
      <c r="W73" s="12" t="n">
        <f aca="false">INDEX(V$21:V$141,$I73+1)*(1-$J73)+INDEX(V$21:V$141,$I73+2)*$J73</f>
        <v>-218.937963903835</v>
      </c>
      <c r="X73" s="12" t="n">
        <f aca="false">INDEX(V$21:V$141,$K73+1)*(1-$L73)+INDEX(V$21:V$141,$K73+2)*$L73</f>
        <v>-221.371828157582</v>
      </c>
      <c r="Y73" s="12" t="n">
        <f aca="false">$C73+$D73+MAX(W73,X73,IF(COUNTIFS($A$21:$A$141,"&gt;="&amp;$G73,$A$21:$A$141,"&lt;="&amp;$H73)&gt;0,_xlfn.MAXIFS(V$21:V$141,$A$21:$A$141,"&gt;="&amp;$G73,$A$21:$A$141,"&lt;="&amp;$H73),W73))</f>
        <v>-15.4379639038352</v>
      </c>
      <c r="Z73" s="12" t="n">
        <f aca="false">-Cost_k*$A73+Beta_q*(Declarations!$B$16*INDEX(Y$21:Y$141,MAX(1,MIN(121,$B73-ROUND(Declarations!$A$16/$D$18,0))))+Declarations!$B$17*INDEX(Y$21:Y$141,MAX(1,MIN(121,$B73-ROUND(Declarations!$A$17/$D$18,0))))+Declarations!$B$18*INDEX(Y$21:Y$141,MAX(1,MIN(121,$B73-ROUND(Declarations!$A$18/$D$18,0))))+Declarations!$B$19*INDEX(Y$21:Y$141,MAX(1,MIN(121,$B73-ROUND(Declarations!$A$19/$D$18,0))))+Declarations!$B$20*INDEX(Y$21:Y$141,MAX(1,MIN(121,$B73-ROUND(Declarations!$A$20/$D$18,0)))))</f>
        <v>-227.074462990175</v>
      </c>
      <c r="AA73" s="12" t="n">
        <f aca="false">INDEX(Z$21:Z$141,$I73+1)*(1-$J73)+INDEX(Z$21:Z$141,$I73+2)*$J73</f>
        <v>-227.691645487218</v>
      </c>
      <c r="AB73" s="12" t="n">
        <f aca="false">INDEX(Z$21:Z$141,$K73+1)*(1-$L73)+INDEX(Z$21:Z$141,$K73+2)*$L73</f>
        <v>-226.585895584711</v>
      </c>
      <c r="AC73" s="12" t="n">
        <f aca="false">$C73+$D73+MAX(AA73,AB73,IF(COUNTIFS($A$21:$A$141,"&gt;="&amp;$G73,$A$21:$A$141,"&lt;="&amp;$H73)&gt;0,_xlfn.MAXIFS(Z$21:Z$141,$A$21:$A$141,"&gt;="&amp;$G73,$A$21:$A$141,"&lt;="&amp;$H73),AA73))</f>
        <v>-23.0858955847106</v>
      </c>
      <c r="AD73" s="12" t="n">
        <f aca="false">-Cost_k*$A73+Beta_q*(Declarations!$B$16*INDEX(AC$21:AC$141,MAX(1,MIN(121,$B73-ROUND(Declarations!$A$16/$D$18,0))))+Declarations!$B$17*INDEX(AC$21:AC$141,MAX(1,MIN(121,$B73-ROUND(Declarations!$A$17/$D$18,0))))+Declarations!$B$18*INDEX(AC$21:AC$141,MAX(1,MIN(121,$B73-ROUND(Declarations!$A$18/$D$18,0))))+Declarations!$B$19*INDEX(AC$21:AC$141,MAX(1,MIN(121,$B73-ROUND(Declarations!$A$19/$D$18,0))))+Declarations!$B$20*INDEX(AC$21:AC$141,MAX(1,MIN(121,$B73-ROUND(Declarations!$A$20/$D$18,0)))))</f>
        <v>-234.616450338396</v>
      </c>
      <c r="AE73" s="12" t="n">
        <f aca="false">INDEX(AD$21:AD$141,$I73+1)*(1-$J73)+INDEX(AD$21:AD$141,$I73+2)*$J73</f>
        <v>-236.896223020054</v>
      </c>
      <c r="AF73" s="12" t="n">
        <f aca="false">INDEX(AD$21:AD$141,$K73+1)*(1-$L73)+INDEX(AD$21:AD$141,$K73+2)*$L73</f>
        <v>-232.948414286503</v>
      </c>
      <c r="AG73" s="12" t="n">
        <f aca="false">$C73+$D73+MAX(AE73,AF73,IF(COUNTIFS($A$21:$A$141,"&gt;="&amp;$G73,$A$21:$A$141,"&lt;="&amp;$H73)&gt;0,_xlfn.MAXIFS(AD$21:AD$141,$A$21:$A$141,"&gt;="&amp;$G73,$A$21:$A$141,"&lt;="&amp;$H73),AE73))</f>
        <v>-29.4484142865031</v>
      </c>
      <c r="AH73" s="12" t="n">
        <f aca="false">-Cost_k*$A73+Beta_q*(Declarations!$B$16*INDEX(AG$21:AG$141,MAX(1,MIN(121,$B73-ROUND(Declarations!$A$16/$D$18,0))))+Declarations!$B$17*INDEX(AG$21:AG$141,MAX(1,MIN(121,$B73-ROUND(Declarations!$A$17/$D$18,0))))+Declarations!$B$18*INDEX(AG$21:AG$141,MAX(1,MIN(121,$B73-ROUND(Declarations!$A$18/$D$18,0))))+Declarations!$B$19*INDEX(AG$21:AG$141,MAX(1,MIN(121,$B73-ROUND(Declarations!$A$19/$D$18,0))))+Declarations!$B$20*INDEX(AG$21:AG$141,MAX(1,MIN(121,$B73-ROUND(Declarations!$A$20/$D$18,0)))))</f>
        <v>-240.863531391653</v>
      </c>
      <c r="AI73" s="12" t="n">
        <f aca="false">INDEX(AH$21:AH$141,$I73+1)*(1-$J73)+INDEX(AH$21:AH$141,$I73+2)*$J73</f>
        <v>-244.438947137526</v>
      </c>
      <c r="AJ73" s="12" t="n">
        <f aca="false">INDEX(AH$21:AH$141,$K73+1)*(1-$L73)+INDEX(AH$21:AH$141,$K73+2)*$L73</f>
        <v>-238.472058635199</v>
      </c>
      <c r="AK73" s="12" t="n">
        <f aca="false">$C73+$D73+MAX(AI73,AJ73,IF(COUNTIFS($A$21:$A$141,"&gt;="&amp;$G73,$A$21:$A$141,"&lt;="&amp;$H73)&gt;0,_xlfn.MAXIFS(AH$21:AH$141,$A$21:$A$141,"&gt;="&amp;$G73,$A$21:$A$141,"&lt;="&amp;$H73),AI73))</f>
        <v>-34.9720586351988</v>
      </c>
      <c r="AL73" s="12" t="n">
        <f aca="false">-Cost_k*$A73+Beta_q*(Declarations!$B$16*INDEX(AK$21:AK$141,MAX(1,MIN(121,$B73-ROUND(Declarations!$A$16/$D$18,0))))+Declarations!$B$17*INDEX(AK$21:AK$141,MAX(1,MIN(121,$B73-ROUND(Declarations!$A$17/$D$18,0))))+Declarations!$B$18*INDEX(AK$21:AK$141,MAX(1,MIN(121,$B73-ROUND(Declarations!$A$18/$D$18,0))))+Declarations!$B$19*INDEX(AK$21:AK$141,MAX(1,MIN(121,$B73-ROUND(Declarations!$A$19/$D$18,0))))+Declarations!$B$20*INDEX(AK$21:AK$141,MAX(1,MIN(121,$B73-ROUND(Declarations!$A$20/$D$18,0)))))</f>
        <v>-246.341370820162</v>
      </c>
      <c r="AM73" s="12" t="n">
        <f aca="false">INDEX(AL$21:AL$141,$I73+1)*(1-$J73)+INDEX(AL$21:AL$141,$I73+2)*$J73</f>
        <v>-250.695323579819</v>
      </c>
      <c r="AN73" s="12" t="n">
        <f aca="false">INDEX(AL$21:AL$141,$K73+1)*(1-$L73)+INDEX(AL$21:AL$141,$K73+2)*$L73</f>
        <v>-243.7048704408</v>
      </c>
      <c r="AO73" s="12" t="n">
        <f aca="false">$C73+$D73+MAX(AM73,AN73,IF(COUNTIFS($A$21:$A$141,"&gt;="&amp;$G73,$A$21:$A$141,"&lt;="&amp;$H73)&gt;0,_xlfn.MAXIFS(AL$21:AL$141,$A$21:$A$141,"&gt;="&amp;$G73,$A$21:$A$141,"&lt;="&amp;$H73),AM73))</f>
        <v>-40.2048704408001</v>
      </c>
      <c r="AP73" s="12" t="n">
        <f aca="false">-Cost_k*$A73+Beta_q*(Declarations!$B$16*INDEX(AO$21:AO$141,MAX(1,MIN(121,$B73-ROUND(Declarations!$A$16/$D$18,0))))+Declarations!$B$17*INDEX(AO$21:AO$141,MAX(1,MIN(121,$B73-ROUND(Declarations!$A$17/$D$18,0))))+Declarations!$B$18*INDEX(AO$21:AO$141,MAX(1,MIN(121,$B73-ROUND(Declarations!$A$18/$D$18,0))))+Declarations!$B$19*INDEX(AO$21:AO$141,MAX(1,MIN(121,$B73-ROUND(Declarations!$A$19/$D$18,0))))+Declarations!$B$20*INDEX(AO$21:AO$141,MAX(1,MIN(121,$B73-ROUND(Declarations!$A$20/$D$18,0)))))</f>
        <v>-251.477852614342</v>
      </c>
      <c r="AQ73" s="12" t="n">
        <f aca="false">INDEX(AP$21:AP$141,$I73+1)*(1-$J73)+INDEX(AP$21:AP$141,$I73+2)*$J73</f>
        <v>-256.15458184539</v>
      </c>
      <c r="AR73" s="12" t="n">
        <f aca="false">INDEX(AP$21:AP$141,$K73+1)*(1-$L73)+INDEX(AP$21:AP$141,$K73+2)*$L73</f>
        <v>-248.765743361324</v>
      </c>
      <c r="AS73" s="12" t="n">
        <f aca="false">$C73+$D73+MAX(AQ73,AR73,IF(COUNTIFS($A$21:$A$141,"&gt;="&amp;$G73,$A$21:$A$141,"&lt;="&amp;$H73)&gt;0,_xlfn.MAXIFS(AP$21:AP$141,$A$21:$A$141,"&gt;="&amp;$G73,$A$21:$A$141,"&lt;="&amp;$H73),AQ73))</f>
        <v>-45.265743361324</v>
      </c>
      <c r="AT73" s="12" t="n">
        <f aca="false">-Cost_k*$A73+Beta_q*(Declarations!$B$16*INDEX(AS$21:AS$141,MAX(1,MIN(121,$B73-ROUND(Declarations!$A$16/$D$18,0))))+Declarations!$B$17*INDEX(AS$21:AS$141,MAX(1,MIN(121,$B73-ROUND(Declarations!$A$17/$D$18,0))))+Declarations!$B$18*INDEX(AS$21:AS$141,MAX(1,MIN(121,$B73-ROUND(Declarations!$A$18/$D$18,0))))+Declarations!$B$19*INDEX(AS$21:AS$141,MAX(1,MIN(121,$B73-ROUND(Declarations!$A$19/$D$18,0))))+Declarations!$B$20*INDEX(AS$21:AS$141,MAX(1,MIN(121,$B73-ROUND(Declarations!$A$20/$D$18,0)))))</f>
        <v>-256.429139298132</v>
      </c>
      <c r="AU73" s="12" t="n">
        <f aca="false">INDEX(AT$21:AT$141,$I73+1)*(1-$J73)+INDEX(AT$21:AT$141,$I73+2)*$J73</f>
        <v>-261.216823859589</v>
      </c>
      <c r="AV73" s="12" t="n">
        <f aca="false">INDEX(AT$21:AT$141,$K73+1)*(1-$L73)+INDEX(AT$21:AT$141,$K73+2)*$L73</f>
        <v>-253.697334514398</v>
      </c>
      <c r="AW73" s="12" t="n">
        <f aca="false">$C73+$D73+MAX(AU73,AV73,IF(COUNTIFS($A$21:$A$141,"&gt;="&amp;$G73,$A$21:$A$141,"&lt;="&amp;$H73)&gt;0,_xlfn.MAXIFS(AT$21:AT$141,$A$21:$A$141,"&gt;="&amp;$G73,$A$21:$A$141,"&lt;="&amp;$H73),AU73))</f>
        <v>-50.1973345143979</v>
      </c>
      <c r="AX73" s="12" t="n">
        <f aca="false">-Cost_k*$A73+Beta_q*(Declarations!$B$16*INDEX(AW$21:AW$141,MAX(1,MIN(121,$B73-ROUND(Declarations!$A$16/$D$18,0))))+Declarations!$B$17*INDEX(AW$21:AW$141,MAX(1,MIN(121,$B73-ROUND(Declarations!$A$17/$D$18,0))))+Declarations!$B$18*INDEX(AW$21:AW$141,MAX(1,MIN(121,$B73-ROUND(Declarations!$A$18/$D$18,0))))+Declarations!$B$19*INDEX(AW$21:AW$141,MAX(1,MIN(121,$B73-ROUND(Declarations!$A$19/$D$18,0))))+Declarations!$B$20*INDEX(AW$21:AW$141,MAX(1,MIN(121,$B73-ROUND(Declarations!$A$20/$D$18,0)))))</f>
        <v>-261.247259842897</v>
      </c>
      <c r="AY73" s="12" t="n">
        <f aca="false">INDEX(AX$21:AX$141,$I73+1)*(1-$J73)+INDEX(AX$21:AX$141,$I73+2)*$J73</f>
        <v>-266.068208844025</v>
      </c>
      <c r="AZ73" s="12" t="n">
        <f aca="false">INDEX(AX$21:AX$141,$K73+1)*(1-$L73)+INDEX(AX$21:AX$141,$K73+2)*$L73</f>
        <v>-258.51080718066</v>
      </c>
      <c r="BA73" s="12" t="n">
        <f aca="false">$C73+$D73+MAX(AY73,AZ73,IF(COUNTIFS($A$21:$A$141,"&gt;="&amp;$G73,$A$21:$A$141,"&lt;="&amp;$H73)&gt;0,_xlfn.MAXIFS(AX$21:AX$141,$A$21:$A$141,"&gt;="&amp;$G73,$A$21:$A$141,"&lt;="&amp;$H73),AY73))</f>
        <v>-55.0108071806599</v>
      </c>
      <c r="BB73" s="12" t="n">
        <f aca="false">-Cost_k*$A73+Beta_q*(Declarations!$B$16*INDEX(BA$21:BA$141,MAX(1,MIN(121,$B73-ROUND(Declarations!$A$16/$D$18,0))))+Declarations!$B$17*INDEX(BA$21:BA$141,MAX(1,MIN(121,$B73-ROUND(Declarations!$A$17/$D$18,0))))+Declarations!$B$18*INDEX(BA$21:BA$141,MAX(1,MIN(121,$B73-ROUND(Declarations!$A$18/$D$18,0))))+Declarations!$B$19*INDEX(BA$21:BA$141,MAX(1,MIN(121,$B73-ROUND(Declarations!$A$19/$D$18,0))))+Declarations!$B$20*INDEX(BA$21:BA$141,MAX(1,MIN(121,$B73-ROUND(Declarations!$A$20/$D$18,0)))))</f>
        <v>-265.948027889072</v>
      </c>
      <c r="BC73" s="12" t="n">
        <f aca="false">INDEX(BB$21:BB$141,$I73+1)*(1-$J73)+INDEX(BB$21:BB$141,$I73+2)*$J73</f>
        <v>-270.777858888638</v>
      </c>
      <c r="BD73" s="12" t="n">
        <f aca="false">INDEX(BB$21:BB$141,$K73+1)*(1-$L73)+INDEX(BB$21:BB$141,$K73+2)*$L73</f>
        <v>-263.210559385811</v>
      </c>
      <c r="BE73" s="12" t="n">
        <f aca="false">$C73+$D73+MAX(BC73,BD73,IF(COUNTIFS($A$21:$A$141,"&gt;="&amp;$G73,$A$21:$A$141,"&lt;="&amp;$H73)&gt;0,_xlfn.MAXIFS(BB$21:BB$141,$A$21:$A$141,"&gt;="&amp;$G73,$A$21:$A$141,"&lt;="&amp;$H73),BC73))</f>
        <v>-59.7105593858111</v>
      </c>
      <c r="BF73" s="12" t="n">
        <f aca="false">-Cost_k*$A73+Beta_q*(Declarations!$B$16*INDEX(BE$21:BE$141,MAX(1,MIN(121,$B73-ROUND(Declarations!$A$16/$D$18,0))))+Declarations!$B$17*INDEX(BE$21:BE$141,MAX(1,MIN(121,$B73-ROUND(Declarations!$A$17/$D$18,0))))+Declarations!$B$18*INDEX(BE$21:BE$141,MAX(1,MIN(121,$B73-ROUND(Declarations!$A$18/$D$18,0))))+Declarations!$B$19*INDEX(BE$21:BE$141,MAX(1,MIN(121,$B73-ROUND(Declarations!$A$19/$D$18,0))))+Declarations!$B$20*INDEX(BE$21:BE$141,MAX(1,MIN(121,$B73-ROUND(Declarations!$A$20/$D$18,0)))))</f>
        <v>-270.537263033625</v>
      </c>
      <c r="BG73" s="12" t="n">
        <f aca="false">INDEX(BF$21:BF$141,$I73+1)*(1-$J73)+INDEX(BF$21:BF$141,$I73+2)*$J73</f>
        <v>-275.369277203602</v>
      </c>
      <c r="BH73" s="12" t="n">
        <f aca="false">INDEX(BF$21:BF$141,$K73+1)*(1-$L73)+INDEX(BF$21:BF$141,$K73+2)*$L73</f>
        <v>-267.79957859991</v>
      </c>
      <c r="BI73" s="12" t="n">
        <f aca="false">$C73+$D73+MAX(BG73,BH73,IF(COUNTIFS($A$21:$A$141,"&gt;="&amp;$G73,$A$21:$A$141,"&lt;="&amp;$H73)&gt;0,_xlfn.MAXIFS(BF$21:BF$141,$A$21:$A$141,"&gt;="&amp;$G73,$A$21:$A$141,"&lt;="&amp;$H73),BG73))</f>
        <v>-64.2995785999103</v>
      </c>
      <c r="BJ73" s="23" t="n">
        <v>-64.2995785999103</v>
      </c>
      <c r="BK73" s="22" t="n">
        <f aca="false">ABS(BI73-BJ73)</f>
        <v>0</v>
      </c>
    </row>
    <row r="74" customFormat="false" ht="15" hidden="false" customHeight="false" outlineLevel="0" collapsed="false">
      <c r="A74" s="14" t="n">
        <f aca="false">A73+$D$18</f>
        <v>53.25</v>
      </c>
      <c r="B74" s="19" t="n">
        <v>54</v>
      </c>
      <c r="C74" s="12" t="n">
        <f aca="false">-Short_p*MAX(Floor_c-A74,0)</f>
        <v>-2.8</v>
      </c>
      <c r="D74" s="12" t="n">
        <f aca="false">Cost_k*Alpha_keep*A74</f>
        <v>207.675</v>
      </c>
      <c r="E74" s="12" t="n">
        <f aca="false">MIN(Cap_h,MAX(0,$B$18+MAX(Loss_w)-Alpha_keep*A74))</f>
        <v>0</v>
      </c>
      <c r="F74" s="12" t="n">
        <f aca="false">MAX(MIN(Cap_h,$F$18+MIN(Loss_w)-Alpha_keep*A74),E74)</f>
        <v>2.5</v>
      </c>
      <c r="G74" s="12" t="n">
        <f aca="false">Alpha_keep*A74+E74</f>
        <v>51.91875</v>
      </c>
      <c r="H74" s="12" t="n">
        <f aca="false">Alpha_keep*A74+F74</f>
        <v>54.41875</v>
      </c>
      <c r="I74" s="19" t="n">
        <f aca="false">MIN(INT((G74-$B$18)/$D$18+0.000000001),119)</f>
        <v>47</v>
      </c>
      <c r="J74" s="12" t="n">
        <f aca="false">(G74-$B$18)/$D$18-I74</f>
        <v>0.674999999999983</v>
      </c>
      <c r="K74" s="19" t="n">
        <f aca="false">MIN(INT((H74-$B$18)/$D$18+0.000000001),119)</f>
        <v>57</v>
      </c>
      <c r="L74" s="12" t="n">
        <f aca="false">(H74-$B$18)/$D$18-K74</f>
        <v>0.674999999999983</v>
      </c>
      <c r="M74" s="9" t="n">
        <v>0</v>
      </c>
      <c r="N74" s="12" t="n">
        <f aca="false">-Cost_k*$A74+Beta_q*(Declarations!$B$16*INDEX(M$21:M$141,MAX(1,MIN(121,$B74-ROUND(Declarations!$A$16/$D$18,0))))+Declarations!$B$17*INDEX(M$21:M$141,MAX(1,MIN(121,$B74-ROUND(Declarations!$A$17/$D$18,0))))+Declarations!$B$18*INDEX(M$21:M$141,MAX(1,MIN(121,$B74-ROUND(Declarations!$A$18/$D$18,0))))+Declarations!$B$19*INDEX(M$21:M$141,MAX(1,MIN(121,$B74-ROUND(Declarations!$A$19/$D$18,0))))+Declarations!$B$20*INDEX(M$21:M$141,MAX(1,MIN(121,$B74-ROUND(Declarations!$A$20/$D$18,0)))))</f>
        <v>-213</v>
      </c>
      <c r="O74" s="12" t="n">
        <f aca="false">INDEX(N$21:N$141,$I74+1)*(1-$J74)+INDEX(N$21:N$141,$I74+2)*$J74</f>
        <v>-207.675</v>
      </c>
      <c r="P74" s="12" t="n">
        <f aca="false">INDEX(N$21:N$141,$K74+1)*(1-$L74)+INDEX(N$21:N$141,$K74+2)*$L74</f>
        <v>-217.675</v>
      </c>
      <c r="Q74" s="12" t="n">
        <f aca="false">$C74+$D74+MAX(O74,P74,IF(COUNTIFS($A$21:$A$141,"&gt;="&amp;$G74,$A$21:$A$141,"&lt;="&amp;$H74)&gt;0,_xlfn.MAXIFS(N$21:N$141,$A$21:$A$141,"&gt;="&amp;$G74,$A$21:$A$141,"&lt;="&amp;$H74),O74))</f>
        <v>-2.80000000000001</v>
      </c>
      <c r="R74" s="12" t="n">
        <f aca="false">-Cost_k*$A74+Beta_q*(Declarations!$B$16*INDEX(Q$21:Q$141,MAX(1,MIN(121,$B74-ROUND(Declarations!$A$16/$D$18,0))))+Declarations!$B$17*INDEX(Q$21:Q$141,MAX(1,MIN(121,$B74-ROUND(Declarations!$A$17/$D$18,0))))+Declarations!$B$18*INDEX(Q$21:Q$141,MAX(1,MIN(121,$B74-ROUND(Declarations!$A$18/$D$18,0))))+Declarations!$B$19*INDEX(Q$21:Q$141,MAX(1,MIN(121,$B74-ROUND(Declarations!$A$19/$D$18,0))))+Declarations!$B$20*INDEX(Q$21:Q$141,MAX(1,MIN(121,$B74-ROUND(Declarations!$A$20/$D$18,0)))))</f>
        <v>-215.734071451094</v>
      </c>
      <c r="S74" s="12" t="n">
        <f aca="false">INDEX(R$21:R$141,$I74+1)*(1-$J74)+INDEX(R$21:R$141,$I74+2)*$J74</f>
        <v>-212.488918662104</v>
      </c>
      <c r="T74" s="12" t="n">
        <f aca="false">INDEX(R$21:R$141,$K74+1)*(1-$L74)+INDEX(R$21:R$141,$K74+2)*$L74</f>
        <v>-218.707600199833</v>
      </c>
      <c r="U74" s="12" t="n">
        <f aca="false">$C74+$D74+MAX(S74,T74,IF(COUNTIFS($A$21:$A$141,"&gt;="&amp;$G74,$A$21:$A$141,"&lt;="&amp;$H74)&gt;0,_xlfn.MAXIFS(R$21:R$141,$A$21:$A$141,"&gt;="&amp;$G74,$A$21:$A$141,"&lt;="&amp;$H74),S74))</f>
        <v>-7.61391866210425</v>
      </c>
      <c r="V74" s="12" t="n">
        <f aca="false">-Cost_k*$A74+Beta_q*(Declarations!$B$16*INDEX(U$21:U$141,MAX(1,MIN(121,$B74-ROUND(Declarations!$A$16/$D$18,0))))+Declarations!$B$17*INDEX(U$21:U$141,MAX(1,MIN(121,$B74-ROUND(Declarations!$A$17/$D$18,0))))+Declarations!$B$18*INDEX(U$21:U$141,MAX(1,MIN(121,$B74-ROUND(Declarations!$A$18/$D$18,0))))+Declarations!$B$19*INDEX(U$21:U$141,MAX(1,MIN(121,$B74-ROUND(Declarations!$A$19/$D$18,0))))+Declarations!$B$20*INDEX(U$21:U$141,MAX(1,MIN(121,$B74-ROUND(Declarations!$A$20/$D$18,0)))))</f>
        <v>-220.434642016074</v>
      </c>
      <c r="W74" s="12" t="n">
        <f aca="false">INDEX(V$21:V$141,$I74+1)*(1-$J74)+INDEX(V$21:V$141,$I74+2)*$J74</f>
        <v>-219.169592659301</v>
      </c>
      <c r="X74" s="12" t="n">
        <f aca="false">INDEX(V$21:V$141,$K74+1)*(1-$L74)+INDEX(V$21:V$141,$K74+2)*$L74</f>
        <v>-221.682210998019</v>
      </c>
      <c r="Y74" s="12" t="n">
        <f aca="false">$C74+$D74+MAX(W74,X74,IF(COUNTIFS($A$21:$A$141,"&gt;="&amp;$G74,$A$21:$A$141,"&lt;="&amp;$H74)&gt;0,_xlfn.MAXIFS(V$21:V$141,$A$21:$A$141,"&gt;="&amp;$G74,$A$21:$A$141,"&lt;="&amp;$H74),W74))</f>
        <v>-14.2945926593008</v>
      </c>
      <c r="Z74" s="12" t="n">
        <f aca="false">-Cost_k*$A74+Beta_q*(Declarations!$B$16*INDEX(Y$21:Y$141,MAX(1,MIN(121,$B74-ROUND(Declarations!$A$16/$D$18,0))))+Declarations!$B$17*INDEX(Y$21:Y$141,MAX(1,MIN(121,$B74-ROUND(Declarations!$A$17/$D$18,0))))+Declarations!$B$18*INDEX(Y$21:Y$141,MAX(1,MIN(121,$B74-ROUND(Declarations!$A$18/$D$18,0))))+Declarations!$B$19*INDEX(Y$21:Y$141,MAX(1,MIN(121,$B74-ROUND(Declarations!$A$19/$D$18,0))))+Declarations!$B$20*INDEX(Y$21:Y$141,MAX(1,MIN(121,$B74-ROUND(Declarations!$A$20/$D$18,0)))))</f>
        <v>-226.95802568197</v>
      </c>
      <c r="AA74" s="12" t="n">
        <f aca="false">INDEX(Z$21:Z$141,$I74+1)*(1-$J74)+INDEX(Z$21:Z$141,$I74+2)*$J74</f>
        <v>-227.578107197668</v>
      </c>
      <c r="AB74" s="12" t="n">
        <f aca="false">INDEX(Z$21:Z$141,$K74+1)*(1-$L74)+INDEX(Z$21:Z$141,$K74+2)*$L74</f>
        <v>-226.551628181503</v>
      </c>
      <c r="AC74" s="12" t="n">
        <f aca="false">$C74+$D74+MAX(AA74,AB74,IF(COUNTIFS($A$21:$A$141,"&gt;="&amp;$G74,$A$21:$A$141,"&lt;="&amp;$H74)&gt;0,_xlfn.MAXIFS(Z$21:Z$141,$A$21:$A$141,"&gt;="&amp;$G74,$A$21:$A$141,"&lt;="&amp;$H74),AA74))</f>
        <v>-21.6766281815032</v>
      </c>
      <c r="AD74" s="12" t="n">
        <f aca="false">-Cost_k*$A74+Beta_q*(Declarations!$B$16*INDEX(AC$21:AC$141,MAX(1,MIN(121,$B74-ROUND(Declarations!$A$16/$D$18,0))))+Declarations!$B$17*INDEX(AC$21:AC$141,MAX(1,MIN(121,$B74-ROUND(Declarations!$A$17/$D$18,0))))+Declarations!$B$18*INDEX(AC$21:AC$141,MAX(1,MIN(121,$B74-ROUND(Declarations!$A$18/$D$18,0))))+Declarations!$B$19*INDEX(AC$21:AC$141,MAX(1,MIN(121,$B74-ROUND(Declarations!$A$19/$D$18,0))))+Declarations!$B$20*INDEX(AC$21:AC$141,MAX(1,MIN(121,$B74-ROUND(Declarations!$A$20/$D$18,0)))))</f>
        <v>-234.232404920904</v>
      </c>
      <c r="AE74" s="12" t="n">
        <f aca="false">INDEX(AD$21:AD$141,$I74+1)*(1-$J74)+INDEX(AD$21:AD$141,$I74+2)*$J74</f>
        <v>-236.462229899168</v>
      </c>
      <c r="AF74" s="12" t="n">
        <f aca="false">INDEX(AD$21:AD$141,$K74+1)*(1-$L74)+INDEX(AD$21:AD$141,$K74+2)*$L74</f>
        <v>-232.680805070403</v>
      </c>
      <c r="AG74" s="12" t="n">
        <f aca="false">$C74+$D74+MAX(AE74,AF74,IF(COUNTIFS($A$21:$A$141,"&gt;="&amp;$G74,$A$21:$A$141,"&lt;="&amp;$H74)&gt;0,_xlfn.MAXIFS(AD$21:AD$141,$A$21:$A$141,"&gt;="&amp;$G74,$A$21:$A$141,"&lt;="&amp;$H74),AE74))</f>
        <v>-27.8058050704027</v>
      </c>
      <c r="AH74" s="12" t="n">
        <f aca="false">-Cost_k*$A74+Beta_q*(Declarations!$B$16*INDEX(AG$21:AG$141,MAX(1,MIN(121,$B74-ROUND(Declarations!$A$16/$D$18,0))))+Declarations!$B$17*INDEX(AG$21:AG$141,MAX(1,MIN(121,$B74-ROUND(Declarations!$A$17/$D$18,0))))+Declarations!$B$18*INDEX(AG$21:AG$141,MAX(1,MIN(121,$B74-ROUND(Declarations!$A$18/$D$18,0))))+Declarations!$B$19*INDEX(AG$21:AG$141,MAX(1,MIN(121,$B74-ROUND(Declarations!$A$19/$D$18,0))))+Declarations!$B$20*INDEX(AG$21:AG$141,MAX(1,MIN(121,$B74-ROUND(Declarations!$A$20/$D$18,0)))))</f>
        <v>-240.280515066299</v>
      </c>
      <c r="AI74" s="12" t="n">
        <f aca="false">INDEX(AH$21:AH$141,$I74+1)*(1-$J74)+INDEX(AH$21:AH$141,$I74+2)*$J74</f>
        <v>-243.743840450376</v>
      </c>
      <c r="AJ74" s="12" t="n">
        <f aca="false">INDEX(AH$21:AH$141,$K74+1)*(1-$L74)+INDEX(AH$21:AH$141,$K74+2)*$L74</f>
        <v>-238.134602967008</v>
      </c>
      <c r="AK74" s="12" t="n">
        <f aca="false">$C74+$D74+MAX(AI74,AJ74,IF(COUNTIFS($A$21:$A$141,"&gt;="&amp;$G74,$A$21:$A$141,"&lt;="&amp;$H74)&gt;0,_xlfn.MAXIFS(AH$21:AH$141,$A$21:$A$141,"&gt;="&amp;$G74,$A$21:$A$141,"&lt;="&amp;$H74),AI74))</f>
        <v>-33.259602967008</v>
      </c>
      <c r="AL74" s="12" t="n">
        <f aca="false">-Cost_k*$A74+Beta_q*(Declarations!$B$16*INDEX(AK$21:AK$141,MAX(1,MIN(121,$B74-ROUND(Declarations!$A$16/$D$18,0))))+Declarations!$B$17*INDEX(AK$21:AK$141,MAX(1,MIN(121,$B74-ROUND(Declarations!$A$17/$D$18,0))))+Declarations!$B$18*INDEX(AK$21:AK$141,MAX(1,MIN(121,$B74-ROUND(Declarations!$A$18/$D$18,0))))+Declarations!$B$19*INDEX(AK$21:AK$141,MAX(1,MIN(121,$B74-ROUND(Declarations!$A$19/$D$18,0))))+Declarations!$B$20*INDEX(AK$21:AK$141,MAX(1,MIN(121,$B74-ROUND(Declarations!$A$20/$D$18,0)))))</f>
        <v>-245.674205685823</v>
      </c>
      <c r="AM74" s="12" t="n">
        <f aca="false">INDEX(AL$21:AL$141,$I74+1)*(1-$J74)+INDEX(AL$21:AL$141,$I74+2)*$J74</f>
        <v>-249.814278255434</v>
      </c>
      <c r="AN74" s="12" t="n">
        <f aca="false">INDEX(AL$21:AL$141,$K74+1)*(1-$L74)+INDEX(AL$21:AL$141,$K74+2)*$L74</f>
        <v>-243.344870735169</v>
      </c>
      <c r="AO74" s="12" t="n">
        <f aca="false">$C74+$D74+MAX(AM74,AN74,IF(COUNTIFS($A$21:$A$141,"&gt;="&amp;$G74,$A$21:$A$141,"&lt;="&amp;$H74)&gt;0,_xlfn.MAXIFS(AL$21:AL$141,$A$21:$A$141,"&gt;="&amp;$G74,$A$21:$A$141,"&lt;="&amp;$H74),AM74))</f>
        <v>-38.4698707351689</v>
      </c>
      <c r="AP74" s="12" t="n">
        <f aca="false">-Cost_k*$A74+Beta_q*(Declarations!$B$16*INDEX(AO$21:AO$141,MAX(1,MIN(121,$B74-ROUND(Declarations!$A$16/$D$18,0))))+Declarations!$B$17*INDEX(AO$21:AO$141,MAX(1,MIN(121,$B74-ROUND(Declarations!$A$17/$D$18,0))))+Declarations!$B$18*INDEX(AO$21:AO$141,MAX(1,MIN(121,$B74-ROUND(Declarations!$A$18/$D$18,0))))+Declarations!$B$19*INDEX(AO$21:AO$141,MAX(1,MIN(121,$B74-ROUND(Declarations!$A$19/$D$18,0))))+Declarations!$B$20*INDEX(AO$21:AO$141,MAX(1,MIN(121,$B74-ROUND(Declarations!$A$20/$D$18,0)))))</f>
        <v>-250.78464495445</v>
      </c>
      <c r="AQ74" s="12" t="n">
        <f aca="false">INDEX(AP$21:AP$141,$I74+1)*(1-$J74)+INDEX(AP$21:AP$141,$I74+2)*$J74</f>
        <v>-255.184409556161</v>
      </c>
      <c r="AR74" s="12" t="n">
        <f aca="false">INDEX(AP$21:AP$141,$K74+1)*(1-$L74)+INDEX(AP$21:AP$141,$K74+2)*$L74</f>
        <v>-248.400440078293</v>
      </c>
      <c r="AS74" s="12" t="n">
        <f aca="false">$C74+$D74+MAX(AQ74,AR74,IF(COUNTIFS($A$21:$A$141,"&gt;="&amp;$G74,$A$21:$A$141,"&lt;="&amp;$H74)&gt;0,_xlfn.MAXIFS(AP$21:AP$141,$A$21:$A$141,"&gt;="&amp;$G74,$A$21:$A$141,"&lt;="&amp;$H74),AQ74))</f>
        <v>-43.5254400782927</v>
      </c>
      <c r="AT74" s="12" t="n">
        <f aca="false">-Cost_k*$A74+Beta_q*(Declarations!$B$16*INDEX(AS$21:AS$141,MAX(1,MIN(121,$B74-ROUND(Declarations!$A$16/$D$18,0))))+Declarations!$B$17*INDEX(AS$21:AS$141,MAX(1,MIN(121,$B74-ROUND(Declarations!$A$17/$D$18,0))))+Declarations!$B$18*INDEX(AS$21:AS$141,MAX(1,MIN(121,$B74-ROUND(Declarations!$A$18/$D$18,0))))+Declarations!$B$19*INDEX(AS$21:AS$141,MAX(1,MIN(121,$B74-ROUND(Declarations!$A$19/$D$18,0))))+Declarations!$B$20*INDEX(AS$21:AS$141,MAX(1,MIN(121,$B74-ROUND(Declarations!$A$20/$D$18,0)))))</f>
        <v>-255.728430168359</v>
      </c>
      <c r="AU74" s="12" t="n">
        <f aca="false">INDEX(AT$21:AT$141,$I74+1)*(1-$J74)+INDEX(AT$21:AT$141,$I74+2)*$J74</f>
        <v>-260.21396896184</v>
      </c>
      <c r="AV74" s="12" t="n">
        <f aca="false">INDEX(AT$21:AT$141,$K74+1)*(1-$L74)+INDEX(AT$21:AT$141,$K74+2)*$L74</f>
        <v>-253.330939232211</v>
      </c>
      <c r="AW74" s="12" t="n">
        <f aca="false">$C74+$D74+MAX(AU74,AV74,IF(COUNTIFS($A$21:$A$141,"&gt;="&amp;$G74,$A$21:$A$141,"&lt;="&amp;$H74)&gt;0,_xlfn.MAXIFS(AT$21:AT$141,$A$21:$A$141,"&gt;="&amp;$G74,$A$21:$A$141,"&lt;="&amp;$H74),AU74))</f>
        <v>-48.4559392322112</v>
      </c>
      <c r="AX74" s="12" t="n">
        <f aca="false">-Cost_k*$A74+Beta_q*(Declarations!$B$16*INDEX(AW$21:AW$141,MAX(1,MIN(121,$B74-ROUND(Declarations!$A$16/$D$18,0))))+Declarations!$B$17*INDEX(AW$21:AW$141,MAX(1,MIN(121,$B74-ROUND(Declarations!$A$17/$D$18,0))))+Declarations!$B$18*INDEX(AW$21:AW$141,MAX(1,MIN(121,$B74-ROUND(Declarations!$A$18/$D$18,0))))+Declarations!$B$19*INDEX(AW$21:AW$141,MAX(1,MIN(121,$B74-ROUND(Declarations!$A$19/$D$18,0))))+Declarations!$B$20*INDEX(AW$21:AW$141,MAX(1,MIN(121,$B74-ROUND(Declarations!$A$20/$D$18,0)))))</f>
        <v>-260.544686301557</v>
      </c>
      <c r="AY74" s="12" t="n">
        <f aca="false">INDEX(AX$21:AX$141,$I74+1)*(1-$J74)+INDEX(AX$21:AX$141,$I74+2)*$J74</f>
        <v>-265.054586401628</v>
      </c>
      <c r="AZ74" s="12" t="n">
        <f aca="false">INDEX(AX$21:AX$141,$K74+1)*(1-$L74)+INDEX(AX$21:AX$141,$K74+2)*$L74</f>
        <v>-258.144191550444</v>
      </c>
      <c r="BA74" s="12" t="n">
        <f aca="false">$C74+$D74+MAX(AY74,AZ74,IF(COUNTIFS($A$21:$A$141,"&gt;="&amp;$G74,$A$21:$A$141,"&lt;="&amp;$H74)&gt;0,_xlfn.MAXIFS(AX$21:AX$141,$A$21:$A$141,"&gt;="&amp;$G74,$A$21:$A$141,"&lt;="&amp;$H74),AY74))</f>
        <v>-53.2691915504444</v>
      </c>
      <c r="BB74" s="12" t="n">
        <f aca="false">-Cost_k*$A74+Beta_q*(Declarations!$B$16*INDEX(BA$21:BA$141,MAX(1,MIN(121,$B74-ROUND(Declarations!$A$16/$D$18,0))))+Declarations!$B$17*INDEX(BA$21:BA$141,MAX(1,MIN(121,$B74-ROUND(Declarations!$A$17/$D$18,0))))+Declarations!$B$18*INDEX(BA$21:BA$141,MAX(1,MIN(121,$B74-ROUND(Declarations!$A$18/$D$18,0))))+Declarations!$B$19*INDEX(BA$21:BA$141,MAX(1,MIN(121,$B74-ROUND(Declarations!$A$19/$D$18,0))))+Declarations!$B$20*INDEX(BA$21:BA$141,MAX(1,MIN(121,$B74-ROUND(Declarations!$A$20/$D$18,0)))))</f>
        <v>-265.245032226656</v>
      </c>
      <c r="BC74" s="12" t="n">
        <f aca="false">INDEX(BB$21:BB$141,$I74+1)*(1-$J74)+INDEX(BB$21:BB$141,$I74+2)*$J74</f>
        <v>-269.761230268293</v>
      </c>
      <c r="BD74" s="12" t="n">
        <f aca="false">INDEX(BB$21:BB$141,$K74+1)*(1-$L74)+INDEX(BB$21:BB$141,$K74+2)*$L74</f>
        <v>-262.843900839383</v>
      </c>
      <c r="BE74" s="12" t="n">
        <f aca="false">$C74+$D74+MAX(BC74,BD74,IF(COUNTIFS($A$21:$A$141,"&gt;="&amp;$G74,$A$21:$A$141,"&lt;="&amp;$H74)&gt;0,_xlfn.MAXIFS(BB$21:BB$141,$A$21:$A$141,"&gt;="&amp;$G74,$A$21:$A$141,"&lt;="&amp;$H74),BC74))</f>
        <v>-57.9689008393827</v>
      </c>
      <c r="BF74" s="12" t="n">
        <f aca="false">-Cost_k*$A74+Beta_q*(Declarations!$B$16*INDEX(BE$21:BE$141,MAX(1,MIN(121,$B74-ROUND(Declarations!$A$16/$D$18,0))))+Declarations!$B$17*INDEX(BE$21:BE$141,MAX(1,MIN(121,$B74-ROUND(Declarations!$A$17/$D$18,0))))+Declarations!$B$18*INDEX(BE$21:BE$141,MAX(1,MIN(121,$B74-ROUND(Declarations!$A$18/$D$18,0))))+Declarations!$B$19*INDEX(BE$21:BE$141,MAX(1,MIN(121,$B74-ROUND(Declarations!$A$19/$D$18,0))))+Declarations!$B$20*INDEX(BE$21:BE$141,MAX(1,MIN(121,$B74-ROUND(Declarations!$A$20/$D$18,0)))))</f>
        <v>-269.834174564055</v>
      </c>
      <c r="BG74" s="12" t="n">
        <f aca="false">INDEX(BF$21:BF$141,$I74+1)*(1-$J74)+INDEX(BF$21:BF$141,$I74+2)*$J74</f>
        <v>-274.351873787549</v>
      </c>
      <c r="BH74" s="12" t="n">
        <f aca="false">INDEX(BF$21:BF$141,$K74+1)*(1-$L74)+INDEX(BF$21:BF$141,$K74+2)*$L74</f>
        <v>-267.432911712649</v>
      </c>
      <c r="BI74" s="12" t="n">
        <f aca="false">$C74+$D74+MAX(BG74,BH74,IF(COUNTIFS($A$21:$A$141,"&gt;="&amp;$G74,$A$21:$A$141,"&lt;="&amp;$H74)&gt;0,_xlfn.MAXIFS(BF$21:BF$141,$A$21:$A$141,"&gt;="&amp;$G74,$A$21:$A$141,"&lt;="&amp;$H74),BG74))</f>
        <v>-62.5579117126486</v>
      </c>
      <c r="BJ74" s="23" t="n">
        <v>-62.5579117126487</v>
      </c>
      <c r="BK74" s="22" t="n">
        <f aca="false">ABS(BI74-BJ74)</f>
        <v>0</v>
      </c>
    </row>
    <row r="75" customFormat="false" ht="15" hidden="false" customHeight="false" outlineLevel="0" collapsed="false">
      <c r="A75" s="14" t="n">
        <f aca="false">A74+$D$18</f>
        <v>53.5</v>
      </c>
      <c r="B75" s="19" t="n">
        <v>55</v>
      </c>
      <c r="C75" s="12" t="n">
        <f aca="false">-Short_p*MAX(Floor_c-A75,0)</f>
        <v>-2.4</v>
      </c>
      <c r="D75" s="12" t="n">
        <f aca="false">Cost_k*Alpha_keep*A75</f>
        <v>208.65</v>
      </c>
      <c r="E75" s="12" t="n">
        <f aca="false">MIN(Cap_h,MAX(0,$B$18+MAX(Loss_w)-Alpha_keep*A75))</f>
        <v>0</v>
      </c>
      <c r="F75" s="12" t="n">
        <f aca="false">MAX(MIN(Cap_h,$F$18+MIN(Loss_w)-Alpha_keep*A75),E75)</f>
        <v>2.5</v>
      </c>
      <c r="G75" s="12" t="n">
        <f aca="false">Alpha_keep*A75+E75</f>
        <v>52.1625</v>
      </c>
      <c r="H75" s="12" t="n">
        <f aca="false">Alpha_keep*A75+F75</f>
        <v>54.6625</v>
      </c>
      <c r="I75" s="19" t="n">
        <f aca="false">MIN(INT((G75-$B$18)/$D$18+0.000000001),119)</f>
        <v>48</v>
      </c>
      <c r="J75" s="12" t="n">
        <f aca="false">(G75-$B$18)/$D$18-I75</f>
        <v>0.650000000000006</v>
      </c>
      <c r="K75" s="19" t="n">
        <f aca="false">MIN(INT((H75-$B$18)/$D$18+0.000000001),119)</f>
        <v>58</v>
      </c>
      <c r="L75" s="12" t="n">
        <f aca="false">(H75-$B$18)/$D$18-K75</f>
        <v>0.650000000000006</v>
      </c>
      <c r="M75" s="9" t="n">
        <v>0</v>
      </c>
      <c r="N75" s="12" t="n">
        <f aca="false">-Cost_k*$A75+Beta_q*(Declarations!$B$16*INDEX(M$21:M$141,MAX(1,MIN(121,$B75-ROUND(Declarations!$A$16/$D$18,0))))+Declarations!$B$17*INDEX(M$21:M$141,MAX(1,MIN(121,$B75-ROUND(Declarations!$A$17/$D$18,0))))+Declarations!$B$18*INDEX(M$21:M$141,MAX(1,MIN(121,$B75-ROUND(Declarations!$A$18/$D$18,0))))+Declarations!$B$19*INDEX(M$21:M$141,MAX(1,MIN(121,$B75-ROUND(Declarations!$A$19/$D$18,0))))+Declarations!$B$20*INDEX(M$21:M$141,MAX(1,MIN(121,$B75-ROUND(Declarations!$A$20/$D$18,0)))))</f>
        <v>-214</v>
      </c>
      <c r="O75" s="12" t="n">
        <f aca="false">INDEX(N$21:N$141,$I75+1)*(1-$J75)+INDEX(N$21:N$141,$I75+2)*$J75</f>
        <v>-208.65</v>
      </c>
      <c r="P75" s="12" t="n">
        <f aca="false">INDEX(N$21:N$141,$K75+1)*(1-$L75)+INDEX(N$21:N$141,$K75+2)*$L75</f>
        <v>-218.65</v>
      </c>
      <c r="Q75" s="12" t="n">
        <f aca="false">$C75+$D75+MAX(O75,P75,IF(COUNTIFS($A$21:$A$141,"&gt;="&amp;$G75,$A$21:$A$141,"&lt;="&amp;$H75)&gt;0,_xlfn.MAXIFS(N$21:N$141,$A$21:$A$141,"&gt;="&amp;$G75,$A$21:$A$141,"&lt;="&amp;$H75),O75))</f>
        <v>-2.40000000000001</v>
      </c>
      <c r="R75" s="12" t="n">
        <f aca="false">-Cost_k*$A75+Beta_q*(Declarations!$B$16*INDEX(Q$21:Q$141,MAX(1,MIN(121,$B75-ROUND(Declarations!$A$16/$D$18,0))))+Declarations!$B$17*INDEX(Q$21:Q$141,MAX(1,MIN(121,$B75-ROUND(Declarations!$A$17/$D$18,0))))+Declarations!$B$18*INDEX(Q$21:Q$141,MAX(1,MIN(121,$B75-ROUND(Declarations!$A$18/$D$18,0))))+Declarations!$B$19*INDEX(Q$21:Q$141,MAX(1,MIN(121,$B75-ROUND(Declarations!$A$19/$D$18,0))))+Declarations!$B$20*INDEX(Q$21:Q$141,MAX(1,MIN(121,$B75-ROUND(Declarations!$A$20/$D$18,0)))))</f>
        <v>-216.343489815223</v>
      </c>
      <c r="S75" s="12" t="n">
        <f aca="false">INDEX(R$21:R$141,$I75+1)*(1-$J75)+INDEX(R$21:R$141,$I75+2)*$J75</f>
        <v>-213.08310156713</v>
      </c>
      <c r="T75" s="12" t="n">
        <f aca="false">INDEX(R$21:R$141,$K75+1)*(1-$L75)+INDEX(R$21:R$141,$K75+2)*$L75</f>
        <v>-219.396987378602</v>
      </c>
      <c r="U75" s="12" t="n">
        <f aca="false">$C75+$D75+MAX(S75,T75,IF(COUNTIFS($A$21:$A$141,"&gt;="&amp;$G75,$A$21:$A$141,"&lt;="&amp;$H75)&gt;0,_xlfn.MAXIFS(R$21:R$141,$A$21:$A$141,"&gt;="&amp;$G75,$A$21:$A$141,"&lt;="&amp;$H75),S75))</f>
        <v>-6.83310156713043</v>
      </c>
      <c r="V75" s="12" t="n">
        <f aca="false">-Cost_k*$A75+Beta_q*(Declarations!$B$16*INDEX(U$21:U$141,MAX(1,MIN(121,$B75-ROUND(Declarations!$A$16/$D$18,0))))+Declarations!$B$17*INDEX(U$21:U$141,MAX(1,MIN(121,$B75-ROUND(Declarations!$A$17/$D$18,0))))+Declarations!$B$18*INDEX(U$21:U$141,MAX(1,MIN(121,$B75-ROUND(Declarations!$A$18/$D$18,0))))+Declarations!$B$19*INDEX(U$21:U$141,MAX(1,MIN(121,$B75-ROUND(Declarations!$A$19/$D$18,0))))+Declarations!$B$20*INDEX(U$21:U$141,MAX(1,MIN(121,$B75-ROUND(Declarations!$A$20/$D$18,0)))))</f>
        <v>-220.672686701693</v>
      </c>
      <c r="W75" s="12" t="n">
        <f aca="false">INDEX(V$21:V$141,$I75+1)*(1-$J75)+INDEX(V$21:V$141,$I75+2)*$J75</f>
        <v>-219.401221414766</v>
      </c>
      <c r="X75" s="12" t="n">
        <f aca="false">INDEX(V$21:V$141,$K75+1)*(1-$L75)+INDEX(V$21:V$141,$K75+2)*$L75</f>
        <v>-222.017201495593</v>
      </c>
      <c r="Y75" s="12" t="n">
        <f aca="false">$C75+$D75+MAX(W75,X75,IF(COUNTIFS($A$21:$A$141,"&gt;="&amp;$G75,$A$21:$A$141,"&lt;="&amp;$H75)&gt;0,_xlfn.MAXIFS(V$21:V$141,$A$21:$A$141,"&gt;="&amp;$G75,$A$21:$A$141,"&lt;="&amp;$H75),W75))</f>
        <v>-13.1512214147664</v>
      </c>
      <c r="Z75" s="12" t="n">
        <f aca="false">-Cost_k*$A75+Beta_q*(Declarations!$B$16*INDEX(Y$21:Y$141,MAX(1,MIN(121,$B75-ROUND(Declarations!$A$16/$D$18,0))))+Declarations!$B$17*INDEX(Y$21:Y$141,MAX(1,MIN(121,$B75-ROUND(Declarations!$A$17/$D$18,0))))+Declarations!$B$18*INDEX(Y$21:Y$141,MAX(1,MIN(121,$B75-ROUND(Declarations!$A$18/$D$18,0))))+Declarations!$B$19*INDEX(Y$21:Y$141,MAX(1,MIN(121,$B75-ROUND(Declarations!$A$19/$D$18,0))))+Declarations!$B$20*INDEX(Y$21:Y$141,MAX(1,MIN(121,$B75-ROUND(Declarations!$A$20/$D$18,0)))))</f>
        <v>-226.842086634721</v>
      </c>
      <c r="AA75" s="12" t="n">
        <f aca="false">INDEX(Z$21:Z$141,$I75+1)*(1-$J75)+INDEX(Z$21:Z$141,$I75+2)*$J75</f>
        <v>-227.464568908117</v>
      </c>
      <c r="AB75" s="12" t="n">
        <f aca="false">INDEX(Z$21:Z$141,$K75+1)*(1-$L75)+INDEX(Z$21:Z$141,$K75+2)*$L75</f>
        <v>-226.542467079879</v>
      </c>
      <c r="AC75" s="12" t="n">
        <f aca="false">$C75+$D75+MAX(AA75,AB75,IF(COUNTIFS($A$21:$A$141,"&gt;="&amp;$G75,$A$21:$A$141,"&lt;="&amp;$H75)&gt;0,_xlfn.MAXIFS(Z$21:Z$141,$A$21:$A$141,"&gt;="&amp;$G75,$A$21:$A$141,"&lt;="&amp;$H75),AA75))</f>
        <v>-20.2924670798791</v>
      </c>
      <c r="AD75" s="12" t="n">
        <f aca="false">-Cost_k*$A75+Beta_q*(Declarations!$B$16*INDEX(AC$21:AC$141,MAX(1,MIN(121,$B75-ROUND(Declarations!$A$16/$D$18,0))))+Declarations!$B$17*INDEX(AC$21:AC$141,MAX(1,MIN(121,$B75-ROUND(Declarations!$A$17/$D$18,0))))+Declarations!$B$18*INDEX(AC$21:AC$141,MAX(1,MIN(121,$B75-ROUND(Declarations!$A$18/$D$18,0))))+Declarations!$B$19*INDEX(AC$21:AC$141,MAX(1,MIN(121,$B75-ROUND(Declarations!$A$19/$D$18,0))))+Declarations!$B$20*INDEX(AC$21:AC$141,MAX(1,MIN(121,$B75-ROUND(Declarations!$A$20/$D$18,0)))))</f>
        <v>-233.861513928658</v>
      </c>
      <c r="AE75" s="12" t="n">
        <f aca="false">INDEX(AD$21:AD$141,$I75+1)*(1-$J75)+INDEX(AD$21:AD$141,$I75+2)*$J75</f>
        <v>-236.02952740119</v>
      </c>
      <c r="AF75" s="12" t="n">
        <f aca="false">INDEX(AD$21:AD$141,$K75+1)*(1-$L75)+INDEX(AD$21:AD$141,$K75+2)*$L75</f>
        <v>-232.439303419484</v>
      </c>
      <c r="AG75" s="12" t="n">
        <f aca="false">$C75+$D75+MAX(AE75,AF75,IF(COUNTIFS($A$21:$A$141,"&gt;="&amp;$G75,$A$21:$A$141,"&lt;="&amp;$H75)&gt;0,_xlfn.MAXIFS(AD$21:AD$141,$A$21:$A$141,"&gt;="&amp;$G75,$A$21:$A$141,"&lt;="&amp;$H75),AE75))</f>
        <v>-26.1893034194839</v>
      </c>
      <c r="AH75" s="12" t="n">
        <f aca="false">-Cost_k*$A75+Beta_q*(Declarations!$B$16*INDEX(AG$21:AG$141,MAX(1,MIN(121,$B75-ROUND(Declarations!$A$16/$D$18,0))))+Declarations!$B$17*INDEX(AG$21:AG$141,MAX(1,MIN(121,$B75-ROUND(Declarations!$A$17/$D$18,0))))+Declarations!$B$18*INDEX(AG$21:AG$141,MAX(1,MIN(121,$B75-ROUND(Declarations!$A$18/$D$18,0))))+Declarations!$B$19*INDEX(AG$21:AG$141,MAX(1,MIN(121,$B75-ROUND(Declarations!$A$19/$D$18,0))))+Declarations!$B$20*INDEX(AG$21:AG$141,MAX(1,MIN(121,$B75-ROUND(Declarations!$A$20/$D$18,0)))))</f>
        <v>-239.729758471089</v>
      </c>
      <c r="AI75" s="12" t="n">
        <f aca="false">INDEX(AH$21:AH$141,$I75+1)*(1-$J75)+INDEX(AH$21:AH$141,$I75+2)*$J75</f>
        <v>-243.061784359248</v>
      </c>
      <c r="AJ75" s="12" t="n">
        <f aca="false">INDEX(AH$21:AH$141,$K75+1)*(1-$L75)+INDEX(AH$21:AH$141,$K75+2)*$L75</f>
        <v>-237.845610490406</v>
      </c>
      <c r="AK75" s="12" t="n">
        <f aca="false">$C75+$D75+MAX(AI75,AJ75,IF(COUNTIFS($A$21:$A$141,"&gt;="&amp;$G75,$A$21:$A$141,"&lt;="&amp;$H75)&gt;0,_xlfn.MAXIFS(AH$21:AH$141,$A$21:$A$141,"&gt;="&amp;$G75,$A$21:$A$141,"&lt;="&amp;$H75),AI75))</f>
        <v>-31.595610490406</v>
      </c>
      <c r="AL75" s="12" t="n">
        <f aca="false">-Cost_k*$A75+Beta_q*(Declarations!$B$16*INDEX(AK$21:AK$141,MAX(1,MIN(121,$B75-ROUND(Declarations!$A$16/$D$18,0))))+Declarations!$B$17*INDEX(AK$21:AK$141,MAX(1,MIN(121,$B75-ROUND(Declarations!$A$17/$D$18,0))))+Declarations!$B$18*INDEX(AK$21:AK$141,MAX(1,MIN(121,$B75-ROUND(Declarations!$A$18/$D$18,0))))+Declarations!$B$19*INDEX(AK$21:AK$141,MAX(1,MIN(121,$B75-ROUND(Declarations!$A$19/$D$18,0))))+Declarations!$B$20*INDEX(AK$21:AK$141,MAX(1,MIN(121,$B75-ROUND(Declarations!$A$20/$D$18,0)))))</f>
        <v>-245.061391646362</v>
      </c>
      <c r="AM75" s="12" t="n">
        <f aca="false">INDEX(AL$21:AL$141,$I75+1)*(1-$J75)+INDEX(AL$21:AL$141,$I75+2)*$J75</f>
        <v>-248.967231990568</v>
      </c>
      <c r="AN75" s="12" t="n">
        <f aca="false">INDEX(AL$21:AL$141,$K75+1)*(1-$L75)+INDEX(AL$21:AL$141,$K75+2)*$L75</f>
        <v>-243.039002510344</v>
      </c>
      <c r="AO75" s="12" t="n">
        <f aca="false">$C75+$D75+MAX(AM75,AN75,IF(COUNTIFS($A$21:$A$141,"&gt;="&amp;$G75,$A$21:$A$141,"&lt;="&amp;$H75)&gt;0,_xlfn.MAXIFS(AL$21:AL$141,$A$21:$A$141,"&gt;="&amp;$G75,$A$21:$A$141,"&lt;="&amp;$H75),AM75))</f>
        <v>-36.7890025103438</v>
      </c>
      <c r="AP75" s="12" t="n">
        <f aca="false">-Cost_k*$A75+Beta_q*(Declarations!$B$16*INDEX(AO$21:AO$141,MAX(1,MIN(121,$B75-ROUND(Declarations!$A$16/$D$18,0))))+Declarations!$B$17*INDEX(AO$21:AO$141,MAX(1,MIN(121,$B75-ROUND(Declarations!$A$17/$D$18,0))))+Declarations!$B$18*INDEX(AO$21:AO$141,MAX(1,MIN(121,$B75-ROUND(Declarations!$A$18/$D$18,0))))+Declarations!$B$19*INDEX(AO$21:AO$141,MAX(1,MIN(121,$B75-ROUND(Declarations!$A$19/$D$18,0))))+Declarations!$B$20*INDEX(AO$21:AO$141,MAX(1,MIN(121,$B75-ROUND(Declarations!$A$20/$D$18,0)))))</f>
        <v>-250.151214425388</v>
      </c>
      <c r="AQ75" s="12" t="n">
        <f aca="false">INDEX(AP$21:AP$141,$I75+1)*(1-$J75)+INDEX(AP$21:AP$141,$I75+2)*$J75</f>
        <v>-254.262674534685</v>
      </c>
      <c r="AR75" s="12" t="n">
        <f aca="false">INDEX(AP$21:AP$141,$K75+1)*(1-$L75)+INDEX(AP$21:AP$141,$K75+2)*$L75</f>
        <v>-248.0913264911</v>
      </c>
      <c r="AS75" s="12" t="n">
        <f aca="false">$C75+$D75+MAX(AQ75,AR75,IF(COUNTIFS($A$21:$A$141,"&gt;="&amp;$G75,$A$21:$A$141,"&lt;="&amp;$H75)&gt;0,_xlfn.MAXIFS(AP$21:AP$141,$A$21:$A$141,"&gt;="&amp;$G75,$A$21:$A$141,"&lt;="&amp;$H75),AQ75))</f>
        <v>-41.8413264910999</v>
      </c>
      <c r="AT75" s="12" t="n">
        <f aca="false">-Cost_k*$A75+Beta_q*(Declarations!$B$16*INDEX(AS$21:AS$141,MAX(1,MIN(121,$B75-ROUND(Declarations!$A$16/$D$18,0))))+Declarations!$B$17*INDEX(AS$21:AS$141,MAX(1,MIN(121,$B75-ROUND(Declarations!$A$17/$D$18,0))))+Declarations!$B$18*INDEX(AS$21:AS$141,MAX(1,MIN(121,$B75-ROUND(Declarations!$A$18/$D$18,0))))+Declarations!$B$19*INDEX(AS$21:AS$141,MAX(1,MIN(121,$B75-ROUND(Declarations!$A$19/$D$18,0))))+Declarations!$B$20*INDEX(AS$21:AS$141,MAX(1,MIN(121,$B75-ROUND(Declarations!$A$20/$D$18,0)))))</f>
        <v>-255.089898247842</v>
      </c>
      <c r="AU75" s="12" t="n">
        <f aca="false">INDEX(AT$21:AT$141,$I75+1)*(1-$J75)+INDEX(AT$21:AT$141,$I75+2)*$J75</f>
        <v>-259.265938741482</v>
      </c>
      <c r="AV75" s="12" t="n">
        <f aca="false">INDEX(AT$21:AT$141,$K75+1)*(1-$L75)+INDEX(AT$21:AT$141,$K75+2)*$L75</f>
        <v>-253.021145199424</v>
      </c>
      <c r="AW75" s="12" t="n">
        <f aca="false">$C75+$D75+MAX(AU75,AV75,IF(COUNTIFS($A$21:$A$141,"&gt;="&amp;$G75,$A$21:$A$141,"&lt;="&amp;$H75)&gt;0,_xlfn.MAXIFS(AT$21:AT$141,$A$21:$A$141,"&gt;="&amp;$G75,$A$21:$A$141,"&lt;="&amp;$H75),AU75))</f>
        <v>-46.771145199424</v>
      </c>
      <c r="AX75" s="12" t="n">
        <f aca="false">-Cost_k*$A75+Beta_q*(Declarations!$B$16*INDEX(AW$21:AW$141,MAX(1,MIN(121,$B75-ROUND(Declarations!$A$16/$D$18,0))))+Declarations!$B$17*INDEX(AW$21:AW$141,MAX(1,MIN(121,$B75-ROUND(Declarations!$A$17/$D$18,0))))+Declarations!$B$18*INDEX(AW$21:AW$141,MAX(1,MIN(121,$B75-ROUND(Declarations!$A$18/$D$18,0))))+Declarations!$B$19*INDEX(AW$21:AW$141,MAX(1,MIN(121,$B75-ROUND(Declarations!$A$19/$D$18,0))))+Declarations!$B$20*INDEX(AW$21:AW$141,MAX(1,MIN(121,$B75-ROUND(Declarations!$A$20/$D$18,0)))))</f>
        <v>-259.904896333421</v>
      </c>
      <c r="AY75" s="12" t="n">
        <f aca="false">INDEX(AX$21:AX$141,$I75+1)*(1-$J75)+INDEX(AX$21:AX$141,$I75+2)*$J75</f>
        <v>-264.098601008087</v>
      </c>
      <c r="AZ75" s="12" t="n">
        <f aca="false">INDEX(AX$21:AX$141,$K75+1)*(1-$L75)+INDEX(AX$21:AX$141,$K75+2)*$L75</f>
        <v>-257.834271125715</v>
      </c>
      <c r="BA75" s="12" t="n">
        <f aca="false">$C75+$D75+MAX(AY75,AZ75,IF(COUNTIFS($A$21:$A$141,"&gt;="&amp;$G75,$A$21:$A$141,"&lt;="&amp;$H75)&gt;0,_xlfn.MAXIFS(AX$21:AX$141,$A$21:$A$141,"&gt;="&amp;$G75,$A$21:$A$141,"&lt;="&amp;$H75),AY75))</f>
        <v>-51.584271125715</v>
      </c>
      <c r="BB75" s="12" t="n">
        <f aca="false">-Cost_k*$A75+Beta_q*(Declarations!$B$16*INDEX(BA$21:BA$141,MAX(1,MIN(121,$B75-ROUND(Declarations!$A$16/$D$18,0))))+Declarations!$B$17*INDEX(BA$21:BA$141,MAX(1,MIN(121,$B75-ROUND(Declarations!$A$17/$D$18,0))))+Declarations!$B$18*INDEX(BA$21:BA$141,MAX(1,MIN(121,$B75-ROUND(Declarations!$A$18/$D$18,0))))+Declarations!$B$19*INDEX(BA$21:BA$141,MAX(1,MIN(121,$B75-ROUND(Declarations!$A$19/$D$18,0))))+Declarations!$B$20*INDEX(BA$21:BA$141,MAX(1,MIN(121,$B75-ROUND(Declarations!$A$20/$D$18,0)))))</f>
        <v>-264.604970499013</v>
      </c>
      <c r="BC75" s="12" t="n">
        <f aca="false">INDEX(BB$21:BB$141,$I75+1)*(1-$J75)+INDEX(BB$21:BB$141,$I75+2)*$J75</f>
        <v>-268.803040979039</v>
      </c>
      <c r="BD75" s="12" t="n">
        <f aca="false">INDEX(BB$21:BB$141,$K75+1)*(1-$L75)+INDEX(BB$21:BB$141,$K75+2)*$L75</f>
        <v>-262.533955897932</v>
      </c>
      <c r="BE75" s="12" t="n">
        <f aca="false">$C75+$D75+MAX(BC75,BD75,IF(COUNTIFS($A$21:$A$141,"&gt;="&amp;$G75,$A$21:$A$141,"&lt;="&amp;$H75)&gt;0,_xlfn.MAXIFS(BB$21:BB$141,$A$21:$A$141,"&gt;="&amp;$G75,$A$21:$A$141,"&lt;="&amp;$H75),BC75))</f>
        <v>-56.2839558979315</v>
      </c>
      <c r="BF75" s="12" t="n">
        <f aca="false">-Cost_k*$A75+Beta_q*(Declarations!$B$16*INDEX(BE$21:BE$141,MAX(1,MIN(121,$B75-ROUND(Declarations!$A$16/$D$18,0))))+Declarations!$B$17*INDEX(BE$21:BE$141,MAX(1,MIN(121,$B75-ROUND(Declarations!$A$17/$D$18,0))))+Declarations!$B$18*INDEX(BE$21:BE$141,MAX(1,MIN(121,$B75-ROUND(Declarations!$A$18/$D$18,0))))+Declarations!$B$19*INDEX(BE$21:BE$141,MAX(1,MIN(121,$B75-ROUND(Declarations!$A$19/$D$18,0))))+Declarations!$B$20*INDEX(BE$21:BE$141,MAX(1,MIN(121,$B75-ROUND(Declarations!$A$20/$D$18,0)))))</f>
        <v>-269.194054765175</v>
      </c>
      <c r="BG75" s="12" t="n">
        <f aca="false">INDEX(BF$21:BF$141,$I75+1)*(1-$J75)+INDEX(BF$21:BF$141,$I75+2)*$J75</f>
        <v>-273.393141985727</v>
      </c>
      <c r="BH75" s="12" t="n">
        <f aca="false">INDEX(BF$21:BF$141,$K75+1)*(1-$L75)+INDEX(BF$21:BF$141,$K75+2)*$L75</f>
        <v>-267.122962156393</v>
      </c>
      <c r="BI75" s="12" t="n">
        <f aca="false">$C75+$D75+MAX(BG75,BH75,IF(COUNTIFS($A$21:$A$141,"&gt;="&amp;$G75,$A$21:$A$141,"&lt;="&amp;$H75)&gt;0,_xlfn.MAXIFS(BF$21:BF$141,$A$21:$A$141,"&gt;="&amp;$G75,$A$21:$A$141,"&lt;="&amp;$H75),BG75))</f>
        <v>-60.8729621563925</v>
      </c>
      <c r="BJ75" s="23" t="n">
        <v>-60.8729621563926</v>
      </c>
      <c r="BK75" s="22" t="n">
        <f aca="false">ABS(BI75-BJ75)</f>
        <v>0</v>
      </c>
    </row>
    <row r="76" customFormat="false" ht="15" hidden="false" customHeight="false" outlineLevel="0" collapsed="false">
      <c r="A76" s="14" t="n">
        <f aca="false">A75+$D$18</f>
        <v>53.75</v>
      </c>
      <c r="B76" s="19" t="n">
        <v>56</v>
      </c>
      <c r="C76" s="12" t="n">
        <f aca="false">-Short_p*MAX(Floor_c-A76,0)</f>
        <v>-2</v>
      </c>
      <c r="D76" s="12" t="n">
        <f aca="false">Cost_k*Alpha_keep*A76</f>
        <v>209.625</v>
      </c>
      <c r="E76" s="12" t="n">
        <f aca="false">MIN(Cap_h,MAX(0,$B$18+MAX(Loss_w)-Alpha_keep*A76))</f>
        <v>0</v>
      </c>
      <c r="F76" s="12" t="n">
        <f aca="false">MAX(MIN(Cap_h,$F$18+MIN(Loss_w)-Alpha_keep*A76),E76)</f>
        <v>2.5</v>
      </c>
      <c r="G76" s="12" t="n">
        <f aca="false">Alpha_keep*A76+E76</f>
        <v>52.40625</v>
      </c>
      <c r="H76" s="12" t="n">
        <f aca="false">Alpha_keep*A76+F76</f>
        <v>54.90625</v>
      </c>
      <c r="I76" s="19" t="n">
        <f aca="false">MIN(INT((G76-$B$18)/$D$18+0.000000001),119)</f>
        <v>49</v>
      </c>
      <c r="J76" s="12" t="n">
        <f aca="false">(G76-$B$18)/$D$18-I76</f>
        <v>0.625</v>
      </c>
      <c r="K76" s="19" t="n">
        <f aca="false">MIN(INT((H76-$B$18)/$D$18+0.000000001),119)</f>
        <v>59</v>
      </c>
      <c r="L76" s="12" t="n">
        <f aca="false">(H76-$B$18)/$D$18-K76</f>
        <v>0.625</v>
      </c>
      <c r="M76" s="9" t="n">
        <v>0</v>
      </c>
      <c r="N76" s="12" t="n">
        <f aca="false">-Cost_k*$A76+Beta_q*(Declarations!$B$16*INDEX(M$21:M$141,MAX(1,MIN(121,$B76-ROUND(Declarations!$A$16/$D$18,0))))+Declarations!$B$17*INDEX(M$21:M$141,MAX(1,MIN(121,$B76-ROUND(Declarations!$A$17/$D$18,0))))+Declarations!$B$18*INDEX(M$21:M$141,MAX(1,MIN(121,$B76-ROUND(Declarations!$A$18/$D$18,0))))+Declarations!$B$19*INDEX(M$21:M$141,MAX(1,MIN(121,$B76-ROUND(Declarations!$A$19/$D$18,0))))+Declarations!$B$20*INDEX(M$21:M$141,MAX(1,MIN(121,$B76-ROUND(Declarations!$A$20/$D$18,0)))))</f>
        <v>-215</v>
      </c>
      <c r="O76" s="12" t="n">
        <f aca="false">INDEX(N$21:N$141,$I76+1)*(1-$J76)+INDEX(N$21:N$141,$I76+2)*$J76</f>
        <v>-209.625</v>
      </c>
      <c r="P76" s="12" t="n">
        <f aca="false">INDEX(N$21:N$141,$K76+1)*(1-$L76)+INDEX(N$21:N$141,$K76+2)*$L76</f>
        <v>-219.625</v>
      </c>
      <c r="Q76" s="12" t="n">
        <f aca="false">$C76+$D76+MAX(O76,P76,IF(COUNTIFS($A$21:$A$141,"&gt;="&amp;$G76,$A$21:$A$141,"&lt;="&amp;$H76)&gt;0,_xlfn.MAXIFS(N$21:N$141,$A$21:$A$141,"&gt;="&amp;$G76,$A$21:$A$141,"&lt;="&amp;$H76),O76))</f>
        <v>-2</v>
      </c>
      <c r="R76" s="12" t="n">
        <f aca="false">-Cost_k*$A76+Beta_q*(Declarations!$B$16*INDEX(Q$21:Q$141,MAX(1,MIN(121,$B76-ROUND(Declarations!$A$16/$D$18,0))))+Declarations!$B$17*INDEX(Q$21:Q$141,MAX(1,MIN(121,$B76-ROUND(Declarations!$A$17/$D$18,0))))+Declarations!$B$18*INDEX(Q$21:Q$141,MAX(1,MIN(121,$B76-ROUND(Declarations!$A$18/$D$18,0))))+Declarations!$B$19*INDEX(Q$21:Q$141,MAX(1,MIN(121,$B76-ROUND(Declarations!$A$19/$D$18,0))))+Declarations!$B$20*INDEX(Q$21:Q$141,MAX(1,MIN(121,$B76-ROUND(Declarations!$A$20/$D$18,0)))))</f>
        <v>-216.972437261146</v>
      </c>
      <c r="S76" s="12" t="n">
        <f aca="false">INDEX(R$21:R$141,$I76+1)*(1-$J76)+INDEX(R$21:R$141,$I76+2)*$J76</f>
        <v>-213.677284472157</v>
      </c>
      <c r="T76" s="12" t="n">
        <f aca="false">INDEX(R$21:R$141,$K76+1)*(1-$L76)+INDEX(R$21:R$141,$K76+2)*$L76</f>
        <v>-220.086374557372</v>
      </c>
      <c r="U76" s="12" t="n">
        <f aca="false">$C76+$D76+MAX(S76,T76,IF(COUNTIFS($A$21:$A$141,"&gt;="&amp;$G76,$A$21:$A$141,"&lt;="&amp;$H76)&gt;0,_xlfn.MAXIFS(R$21:R$141,$A$21:$A$141,"&gt;="&amp;$G76,$A$21:$A$141,"&lt;="&amp;$H76),S76))</f>
        <v>-6.05228447215666</v>
      </c>
      <c r="V76" s="12" t="n">
        <f aca="false">-Cost_k*$A76+Beta_q*(Declarations!$B$16*INDEX(U$21:U$141,MAX(1,MIN(121,$B76-ROUND(Declarations!$A$16/$D$18,0))))+Declarations!$B$17*INDEX(U$21:U$141,MAX(1,MIN(121,$B76-ROUND(Declarations!$A$17/$D$18,0))))+Declarations!$B$18*INDEX(U$21:U$141,MAX(1,MIN(121,$B76-ROUND(Declarations!$A$18/$D$18,0))))+Declarations!$B$19*INDEX(U$21:U$141,MAX(1,MIN(121,$B76-ROUND(Declarations!$A$19/$D$18,0))))+Declarations!$B$20*INDEX(U$21:U$141,MAX(1,MIN(121,$B76-ROUND(Declarations!$A$20/$D$18,0)))))</f>
        <v>-220.930713363834</v>
      </c>
      <c r="W76" s="12" t="n">
        <f aca="false">INDEX(V$21:V$141,$I76+1)*(1-$J76)+INDEX(V$21:V$141,$I76+2)*$J76</f>
        <v>-219.632850170232</v>
      </c>
      <c r="X76" s="12" t="n">
        <f aca="false">INDEX(V$21:V$141,$K76+1)*(1-$L76)+INDEX(V$21:V$141,$K76+2)*$L76</f>
        <v>-222.361309479177</v>
      </c>
      <c r="Y76" s="12" t="n">
        <f aca="false">$C76+$D76+MAX(W76,X76,IF(COUNTIFS($A$21:$A$141,"&gt;="&amp;$G76,$A$21:$A$141,"&lt;="&amp;$H76)&gt;0,_xlfn.MAXIFS(V$21:V$141,$A$21:$A$141,"&gt;="&amp;$G76,$A$21:$A$141,"&lt;="&amp;$H76),W76))</f>
        <v>-12.007850170232</v>
      </c>
      <c r="Z76" s="12" t="n">
        <f aca="false">-Cost_k*$A76+Beta_q*(Declarations!$B$16*INDEX(Y$21:Y$141,MAX(1,MIN(121,$B76-ROUND(Declarations!$A$16/$D$18,0))))+Declarations!$B$17*INDEX(Y$21:Y$141,MAX(1,MIN(121,$B76-ROUND(Declarations!$A$17/$D$18,0))))+Declarations!$B$18*INDEX(Y$21:Y$141,MAX(1,MIN(121,$B76-ROUND(Declarations!$A$18/$D$18,0))))+Declarations!$B$19*INDEX(Y$21:Y$141,MAX(1,MIN(121,$B76-ROUND(Declarations!$A$19/$D$18,0))))+Declarations!$B$20*INDEX(Y$21:Y$141,MAX(1,MIN(121,$B76-ROUND(Declarations!$A$20/$D$18,0)))))</f>
        <v>-226.746140066981</v>
      </c>
      <c r="AA76" s="12" t="n">
        <f aca="false">INDEX(Z$21:Z$141,$I76+1)*(1-$J76)+INDEX(Z$21:Z$141,$I76+2)*$J76</f>
        <v>-227.351030618567</v>
      </c>
      <c r="AB76" s="12" t="n">
        <f aca="false">INDEX(Z$21:Z$141,$K76+1)*(1-$L76)+INDEX(Z$21:Z$141,$K76+2)*$L76</f>
        <v>-226.543682853527</v>
      </c>
      <c r="AC76" s="12" t="n">
        <f aca="false">$C76+$D76+MAX(AA76,AB76,IF(COUNTIFS($A$21:$A$141,"&gt;="&amp;$G76,$A$21:$A$141,"&lt;="&amp;$H76)&gt;0,_xlfn.MAXIFS(Z$21:Z$141,$A$21:$A$141,"&gt;="&amp;$G76,$A$21:$A$141,"&lt;="&amp;$H76),AA76))</f>
        <v>-18.9142600650804</v>
      </c>
      <c r="AD76" s="12" t="n">
        <f aca="false">-Cost_k*$A76+Beta_q*(Declarations!$B$16*INDEX(AC$21:AC$141,MAX(1,MIN(121,$B76-ROUND(Declarations!$A$16/$D$18,0))))+Declarations!$B$17*INDEX(AC$21:AC$141,MAX(1,MIN(121,$B76-ROUND(Declarations!$A$17/$D$18,0))))+Declarations!$B$18*INDEX(AC$21:AC$141,MAX(1,MIN(121,$B76-ROUND(Declarations!$A$18/$D$18,0))))+Declarations!$B$19*INDEX(AC$21:AC$141,MAX(1,MIN(121,$B76-ROUND(Declarations!$A$19/$D$18,0))))+Declarations!$B$20*INDEX(AC$21:AC$141,MAX(1,MIN(121,$B76-ROUND(Declarations!$A$20/$D$18,0)))))</f>
        <v>-233.51360157945</v>
      </c>
      <c r="AE76" s="12" t="n">
        <f aca="false">INDEX(AD$21:AD$141,$I76+1)*(1-$J76)+INDEX(AD$21:AD$141,$I76+2)*$J76</f>
        <v>-235.608751970104</v>
      </c>
      <c r="AF76" s="12" t="n">
        <f aca="false">INDEX(AD$21:AD$141,$K76+1)*(1-$L76)+INDEX(AD$21:AD$141,$K76+2)*$L76</f>
        <v>-232.202138786337</v>
      </c>
      <c r="AG76" s="12" t="n">
        <f aca="false">$C76+$D76+MAX(AE76,AF76,IF(COUNTIFS($A$21:$A$141,"&gt;="&amp;$G76,$A$21:$A$141,"&lt;="&amp;$H76)&gt;0,_xlfn.MAXIFS(AD$21:AD$141,$A$21:$A$141,"&gt;="&amp;$G76,$A$21:$A$141,"&lt;="&amp;$H76),AE76))</f>
        <v>-24.5771387863367</v>
      </c>
      <c r="AH76" s="12" t="n">
        <f aca="false">-Cost_k*$A76+Beta_q*(Declarations!$B$16*INDEX(AG$21:AG$141,MAX(1,MIN(121,$B76-ROUND(Declarations!$A$16/$D$18,0))))+Declarations!$B$17*INDEX(AG$21:AG$141,MAX(1,MIN(121,$B76-ROUND(Declarations!$A$17/$D$18,0))))+Declarations!$B$18*INDEX(AG$21:AG$141,MAX(1,MIN(121,$B76-ROUND(Declarations!$A$18/$D$18,0))))+Declarations!$B$19*INDEX(AG$21:AG$141,MAX(1,MIN(121,$B76-ROUND(Declarations!$A$19/$D$18,0))))+Declarations!$B$20*INDEX(AG$21:AG$141,MAX(1,MIN(121,$B76-ROUND(Declarations!$A$20/$D$18,0)))))</f>
        <v>-239.204866538222</v>
      </c>
      <c r="AI76" s="12" t="n">
        <f aca="false">INDEX(AH$21:AH$141,$I76+1)*(1-$J76)+INDEX(AH$21:AH$141,$I76+2)*$J76</f>
        <v>-242.400185162847</v>
      </c>
      <c r="AJ76" s="12" t="n">
        <f aca="false">INDEX(AH$21:AH$141,$K76+1)*(1-$L76)+INDEX(AH$21:AH$141,$K76+2)*$L76</f>
        <v>-237.58095903589</v>
      </c>
      <c r="AK76" s="12" t="n">
        <f aca="false">$C76+$D76+MAX(AI76,AJ76,IF(COUNTIFS($A$21:$A$141,"&gt;="&amp;$G76,$A$21:$A$141,"&lt;="&amp;$H76)&gt;0,_xlfn.MAXIFS(AH$21:AH$141,$A$21:$A$141,"&gt;="&amp;$G76,$A$21:$A$141,"&lt;="&amp;$H76),AI76))</f>
        <v>-29.9559590358903</v>
      </c>
      <c r="AL76" s="12" t="n">
        <f aca="false">-Cost_k*$A76+Beta_q*(Declarations!$B$16*INDEX(AK$21:AK$141,MAX(1,MIN(121,$B76-ROUND(Declarations!$A$16/$D$18,0))))+Declarations!$B$17*INDEX(AK$21:AK$141,MAX(1,MIN(121,$B76-ROUND(Declarations!$A$17/$D$18,0))))+Declarations!$B$18*INDEX(AK$21:AK$141,MAX(1,MIN(121,$B76-ROUND(Declarations!$A$18/$D$18,0))))+Declarations!$B$19*INDEX(AK$21:AK$141,MAX(1,MIN(121,$B76-ROUND(Declarations!$A$19/$D$18,0))))+Declarations!$B$20*INDEX(AK$21:AK$141,MAX(1,MIN(121,$B76-ROUND(Declarations!$A$20/$D$18,0)))))</f>
        <v>-244.492963122685</v>
      </c>
      <c r="AM76" s="12" t="n">
        <f aca="false">INDEX(AL$21:AL$141,$I76+1)*(1-$J76)+INDEX(AL$21:AL$141,$I76+2)*$J76</f>
        <v>-248.152610105265</v>
      </c>
      <c r="AN76" s="12" t="n">
        <f aca="false">INDEX(AL$21:AL$141,$K76+1)*(1-$L76)+INDEX(AL$21:AL$141,$K76+2)*$L76</f>
        <v>-242.764955655021</v>
      </c>
      <c r="AO76" s="12" t="n">
        <f aca="false">$C76+$D76+MAX(AM76,AN76,IF(COUNTIFS($A$21:$A$141,"&gt;="&amp;$G76,$A$21:$A$141,"&lt;="&amp;$H76)&gt;0,_xlfn.MAXIFS(AL$21:AL$141,$A$21:$A$141,"&gt;="&amp;$G76,$A$21:$A$141,"&lt;="&amp;$H76),AM76))</f>
        <v>-35.1399556550212</v>
      </c>
      <c r="AP76" s="12" t="n">
        <f aca="false">-Cost_k*$A76+Beta_q*(Declarations!$B$16*INDEX(AO$21:AO$141,MAX(1,MIN(121,$B76-ROUND(Declarations!$A$16/$D$18,0))))+Declarations!$B$17*INDEX(AO$21:AO$141,MAX(1,MIN(121,$B76-ROUND(Declarations!$A$17/$D$18,0))))+Declarations!$B$18*INDEX(AO$21:AO$141,MAX(1,MIN(121,$B76-ROUND(Declarations!$A$18/$D$18,0))))+Declarations!$B$19*INDEX(AO$21:AO$141,MAX(1,MIN(121,$B76-ROUND(Declarations!$A$19/$D$18,0))))+Declarations!$B$20*INDEX(AO$21:AO$141,MAX(1,MIN(121,$B76-ROUND(Declarations!$A$20/$D$18,0)))))</f>
        <v>-249.568939737456</v>
      </c>
      <c r="AQ76" s="12" t="n">
        <f aca="false">INDEX(AP$21:AP$141,$I76+1)*(1-$J76)+INDEX(AP$21:AP$141,$I76+2)*$J76</f>
        <v>-253.389579162505</v>
      </c>
      <c r="AR76" s="12" t="n">
        <f aca="false">INDEX(AP$21:AP$141,$K76+1)*(1-$L76)+INDEX(AP$21:AP$141,$K76+2)*$L76</f>
        <v>-247.815229833941</v>
      </c>
      <c r="AS76" s="12" t="n">
        <f aca="false">$C76+$D76+MAX(AQ76,AR76,IF(COUNTIFS($A$21:$A$141,"&gt;="&amp;$G76,$A$21:$A$141,"&lt;="&amp;$H76)&gt;0,_xlfn.MAXIFS(AP$21:AP$141,$A$21:$A$141,"&gt;="&amp;$G76,$A$21:$A$141,"&lt;="&amp;$H76),AQ76))</f>
        <v>-40.1902298339406</v>
      </c>
      <c r="AT76" s="12" t="n">
        <f aca="false">-Cost_k*$A76+Beta_q*(Declarations!$B$16*INDEX(AS$21:AS$141,MAX(1,MIN(121,$B76-ROUND(Declarations!$A$16/$D$18,0))))+Declarations!$B$17*INDEX(AS$21:AS$141,MAX(1,MIN(121,$B76-ROUND(Declarations!$A$17/$D$18,0))))+Declarations!$B$18*INDEX(AS$21:AS$141,MAX(1,MIN(121,$B76-ROUND(Declarations!$A$18/$D$18,0))))+Declarations!$B$19*INDEX(AS$21:AS$141,MAX(1,MIN(121,$B76-ROUND(Declarations!$A$19/$D$18,0))))+Declarations!$B$20*INDEX(AS$21:AS$141,MAX(1,MIN(121,$B76-ROUND(Declarations!$A$20/$D$18,0)))))</f>
        <v>-254.503968066702</v>
      </c>
      <c r="AU76" s="12" t="n">
        <f aca="false">INDEX(AT$21:AT$141,$I76+1)*(1-$J76)+INDEX(AT$21:AT$141,$I76+2)*$J76</f>
        <v>-258.372316938775</v>
      </c>
      <c r="AV76" s="12" t="n">
        <f aca="false">INDEX(AT$21:AT$141,$K76+1)*(1-$L76)+INDEX(AT$21:AT$141,$K76+2)*$L76</f>
        <v>-252.744670640906</v>
      </c>
      <c r="AW76" s="12" t="n">
        <f aca="false">$C76+$D76+MAX(AU76,AV76,IF(COUNTIFS($A$21:$A$141,"&gt;="&amp;$G76,$A$21:$A$141,"&lt;="&amp;$H76)&gt;0,_xlfn.MAXIFS(AT$21:AT$141,$A$21:$A$141,"&gt;="&amp;$G76,$A$21:$A$141,"&lt;="&amp;$H76),AU76))</f>
        <v>-45.1196706409064</v>
      </c>
      <c r="AX76" s="12" t="n">
        <f aca="false">-Cost_k*$A76+Beta_q*(Declarations!$B$16*INDEX(AW$21:AW$141,MAX(1,MIN(121,$B76-ROUND(Declarations!$A$16/$D$18,0))))+Declarations!$B$17*INDEX(AW$21:AW$141,MAX(1,MIN(121,$B76-ROUND(Declarations!$A$17/$D$18,0))))+Declarations!$B$18*INDEX(AW$21:AW$141,MAX(1,MIN(121,$B76-ROUND(Declarations!$A$18/$D$18,0))))+Declarations!$B$19*INDEX(AW$21:AW$141,MAX(1,MIN(121,$B76-ROUND(Declarations!$A$19/$D$18,0))))+Declarations!$B$20*INDEX(AW$21:AW$141,MAX(1,MIN(121,$B76-ROUND(Declarations!$A$20/$D$18,0)))))</f>
        <v>-259.31817342937</v>
      </c>
      <c r="AY76" s="12" t="n">
        <f aca="false">INDEX(AX$21:AX$141,$I76+1)*(1-$J76)+INDEX(AX$21:AX$141,$I76+2)*$J76</f>
        <v>-263.199035163921</v>
      </c>
      <c r="AZ76" s="12" t="n">
        <f aca="false">INDEX(AX$21:AX$141,$K76+1)*(1-$L76)+INDEX(AX$21:AX$141,$K76+2)*$L76</f>
        <v>-257.557725659101</v>
      </c>
      <c r="BA76" s="12" t="n">
        <f aca="false">$C76+$D76+MAX(AY76,AZ76,IF(COUNTIFS($A$21:$A$141,"&gt;="&amp;$G76,$A$21:$A$141,"&lt;="&amp;$H76)&gt;0,_xlfn.MAXIFS(AX$21:AX$141,$A$21:$A$141,"&gt;="&amp;$G76,$A$21:$A$141,"&lt;="&amp;$H76),AY76))</f>
        <v>-49.9327256591009</v>
      </c>
      <c r="BB76" s="12" t="n">
        <f aca="false">-Cost_k*$A76+Beta_q*(Declarations!$B$16*INDEX(BA$21:BA$141,MAX(1,MIN(121,$B76-ROUND(Declarations!$A$16/$D$18,0))))+Declarations!$B$17*INDEX(BA$21:BA$141,MAX(1,MIN(121,$B76-ROUND(Declarations!$A$17/$D$18,0))))+Declarations!$B$18*INDEX(BA$21:BA$141,MAX(1,MIN(121,$B76-ROUND(Declarations!$A$18/$D$18,0))))+Declarations!$B$19*INDEX(BA$21:BA$141,MAX(1,MIN(121,$B76-ROUND(Declarations!$A$19/$D$18,0))))+Declarations!$B$20*INDEX(BA$21:BA$141,MAX(1,MIN(121,$B76-ROUND(Declarations!$A$20/$D$18,0)))))</f>
        <v>-264.018074331786</v>
      </c>
      <c r="BC76" s="12" t="n">
        <f aca="false">INDEX(BB$21:BB$141,$I76+1)*(1-$J76)+INDEX(BB$21:BB$141,$I76+2)*$J76</f>
        <v>-267.901920022614</v>
      </c>
      <c r="BD76" s="12" t="n">
        <f aca="false">INDEX(BB$21:BB$141,$K76+1)*(1-$L76)+INDEX(BB$21:BB$141,$K76+2)*$L76</f>
        <v>-262.257397296805</v>
      </c>
      <c r="BE76" s="12" t="n">
        <f aca="false">$C76+$D76+MAX(BC76,BD76,IF(COUNTIFS($A$21:$A$141,"&gt;="&amp;$G76,$A$21:$A$141,"&lt;="&amp;$H76)&gt;0,_xlfn.MAXIFS(BB$21:BB$141,$A$21:$A$141,"&gt;="&amp;$G76,$A$21:$A$141,"&lt;="&amp;$H76),BC76))</f>
        <v>-54.6323972968054</v>
      </c>
      <c r="BF76" s="12" t="n">
        <f aca="false">-Cost_k*$A76+Beta_q*(Declarations!$B$16*INDEX(BE$21:BE$141,MAX(1,MIN(121,$B76-ROUND(Declarations!$A$16/$D$18,0))))+Declarations!$B$17*INDEX(BE$21:BE$141,MAX(1,MIN(121,$B76-ROUND(Declarations!$A$17/$D$18,0))))+Declarations!$B$18*INDEX(BE$21:BE$141,MAX(1,MIN(121,$B76-ROUND(Declarations!$A$18/$D$18,0))))+Declarations!$B$19*INDEX(BE$21:BE$141,MAX(1,MIN(121,$B76-ROUND(Declarations!$A$19/$D$18,0))))+Declarations!$B$20*INDEX(BE$21:BE$141,MAX(1,MIN(121,$B76-ROUND(Declarations!$A$20/$D$18,0)))))</f>
        <v>-268.607123347721</v>
      </c>
      <c r="BG76" s="12" t="n">
        <f aca="false">INDEX(BF$21:BF$141,$I76+1)*(1-$J76)+INDEX(BF$21:BF$141,$I76+2)*$J76</f>
        <v>-272.49164321834</v>
      </c>
      <c r="BH76" s="12" t="n">
        <f aca="false">INDEX(BF$21:BF$141,$K76+1)*(1-$L76)+INDEX(BF$21:BF$141,$K76+2)*$L76</f>
        <v>-266.846401098126</v>
      </c>
      <c r="BI76" s="12" t="n">
        <f aca="false">$C76+$D76+MAX(BG76,BH76,IF(COUNTIFS($A$21:$A$141,"&gt;="&amp;$G76,$A$21:$A$141,"&lt;="&amp;$H76)&gt;0,_xlfn.MAXIFS(BF$21:BF$141,$A$21:$A$141,"&gt;="&amp;$G76,$A$21:$A$141,"&lt;="&amp;$H76),BG76))</f>
        <v>-59.2214010981262</v>
      </c>
      <c r="BJ76" s="23" t="n">
        <v>-59.2214010981262</v>
      </c>
      <c r="BK76" s="22" t="n">
        <f aca="false">ABS(BI76-BJ76)</f>
        <v>0</v>
      </c>
    </row>
    <row r="77" customFormat="false" ht="15" hidden="false" customHeight="false" outlineLevel="0" collapsed="false">
      <c r="A77" s="14" t="n">
        <f aca="false">A76+$D$18</f>
        <v>54</v>
      </c>
      <c r="B77" s="19" t="n">
        <v>57</v>
      </c>
      <c r="C77" s="12" t="n">
        <f aca="false">-Short_p*MAX(Floor_c-A77,0)</f>
        <v>-1.6</v>
      </c>
      <c r="D77" s="12" t="n">
        <f aca="false">Cost_k*Alpha_keep*A77</f>
        <v>210.6</v>
      </c>
      <c r="E77" s="12" t="n">
        <f aca="false">MIN(Cap_h,MAX(0,$B$18+MAX(Loss_w)-Alpha_keep*A77))</f>
        <v>0</v>
      </c>
      <c r="F77" s="12" t="n">
        <f aca="false">MAX(MIN(Cap_h,$F$18+MIN(Loss_w)-Alpha_keep*A77),E77)</f>
        <v>2.5</v>
      </c>
      <c r="G77" s="12" t="n">
        <f aca="false">Alpha_keep*A77+E77</f>
        <v>52.65</v>
      </c>
      <c r="H77" s="12" t="n">
        <f aca="false">Alpha_keep*A77+F77</f>
        <v>55.15</v>
      </c>
      <c r="I77" s="19" t="n">
        <f aca="false">MIN(INT((G77-$B$18)/$D$18+0.000000001),119)</f>
        <v>50</v>
      </c>
      <c r="J77" s="12" t="n">
        <f aca="false">(G77-$B$18)/$D$18-I77</f>
        <v>0.599999999999994</v>
      </c>
      <c r="K77" s="19" t="n">
        <f aca="false">MIN(INT((H77-$B$18)/$D$18+0.000000001),119)</f>
        <v>60</v>
      </c>
      <c r="L77" s="12" t="n">
        <f aca="false">(H77-$B$18)/$D$18-K77</f>
        <v>0.599999999999994</v>
      </c>
      <c r="M77" s="9" t="n">
        <v>0</v>
      </c>
      <c r="N77" s="12" t="n">
        <f aca="false">-Cost_k*$A77+Beta_q*(Declarations!$B$16*INDEX(M$21:M$141,MAX(1,MIN(121,$B77-ROUND(Declarations!$A$16/$D$18,0))))+Declarations!$B$17*INDEX(M$21:M$141,MAX(1,MIN(121,$B77-ROUND(Declarations!$A$17/$D$18,0))))+Declarations!$B$18*INDEX(M$21:M$141,MAX(1,MIN(121,$B77-ROUND(Declarations!$A$18/$D$18,0))))+Declarations!$B$19*INDEX(M$21:M$141,MAX(1,MIN(121,$B77-ROUND(Declarations!$A$19/$D$18,0))))+Declarations!$B$20*INDEX(M$21:M$141,MAX(1,MIN(121,$B77-ROUND(Declarations!$A$20/$D$18,0)))))</f>
        <v>-216</v>
      </c>
      <c r="O77" s="12" t="n">
        <f aca="false">INDEX(N$21:N$141,$I77+1)*(1-$J77)+INDEX(N$21:N$141,$I77+2)*$J77</f>
        <v>-210.6</v>
      </c>
      <c r="P77" s="12" t="n">
        <f aca="false">INDEX(N$21:N$141,$K77+1)*(1-$L77)+INDEX(N$21:N$141,$K77+2)*$L77</f>
        <v>-220.6</v>
      </c>
      <c r="Q77" s="12" t="n">
        <f aca="false">$C77+$D77+MAX(O77,P77,IF(COUNTIFS($A$21:$A$141,"&gt;="&amp;$G77,$A$21:$A$141,"&lt;="&amp;$H77)&gt;0,_xlfn.MAXIFS(N$21:N$141,$A$21:$A$141,"&gt;="&amp;$G77,$A$21:$A$141,"&lt;="&amp;$H77),O77))</f>
        <v>-1.59999999999999</v>
      </c>
      <c r="R77" s="12" t="n">
        <f aca="false">-Cost_k*$A77+Beta_q*(Declarations!$B$16*INDEX(Q$21:Q$141,MAX(1,MIN(121,$B77-ROUND(Declarations!$A$16/$D$18,0))))+Declarations!$B$17*INDEX(Q$21:Q$141,MAX(1,MIN(121,$B77-ROUND(Declarations!$A$17/$D$18,0))))+Declarations!$B$18*INDEX(Q$21:Q$141,MAX(1,MIN(121,$B77-ROUND(Declarations!$A$18/$D$18,0))))+Declarations!$B$19*INDEX(Q$21:Q$141,MAX(1,MIN(121,$B77-ROUND(Declarations!$A$19/$D$18,0))))+Declarations!$B$20*INDEX(Q$21:Q$141,MAX(1,MIN(121,$B77-ROUND(Declarations!$A$20/$D$18,0)))))</f>
        <v>-217.601384707069</v>
      </c>
      <c r="S77" s="12" t="n">
        <f aca="false">INDEX(R$21:R$141,$I77+1)*(1-$J77)+INDEX(R$21:R$141,$I77+2)*$J77</f>
        <v>-214.271467377183</v>
      </c>
      <c r="T77" s="12" t="n">
        <f aca="false">INDEX(R$21:R$141,$K77+1)*(1-$L77)+INDEX(R$21:R$141,$K77+2)*$L77</f>
        <v>-220.892936226903</v>
      </c>
      <c r="U77" s="12" t="n">
        <f aca="false">$C77+$D77+MAX(S77,T77,IF(COUNTIFS($A$21:$A$141,"&gt;="&amp;$G77,$A$21:$A$141,"&lt;="&amp;$H77)&gt;0,_xlfn.MAXIFS(R$21:R$141,$A$21:$A$141,"&gt;="&amp;$G77,$A$21:$A$141,"&lt;="&amp;$H77),S77))</f>
        <v>-5.27146737718294</v>
      </c>
      <c r="V77" s="12" t="n">
        <f aca="false">-Cost_k*$A77+Beta_q*(Declarations!$B$16*INDEX(U$21:U$141,MAX(1,MIN(121,$B77-ROUND(Declarations!$A$16/$D$18,0))))+Declarations!$B$17*INDEX(U$21:U$141,MAX(1,MIN(121,$B77-ROUND(Declarations!$A$17/$D$18,0))))+Declarations!$B$18*INDEX(U$21:U$141,MAX(1,MIN(121,$B77-ROUND(Declarations!$A$18/$D$18,0))))+Declarations!$B$19*INDEX(U$21:U$141,MAX(1,MIN(121,$B77-ROUND(Declarations!$A$19/$D$18,0))))+Declarations!$B$20*INDEX(U$21:U$141,MAX(1,MIN(121,$B77-ROUND(Declarations!$A$20/$D$18,0)))))</f>
        <v>-221.188740025976</v>
      </c>
      <c r="W77" s="12" t="n">
        <f aca="false">INDEX(V$21:V$141,$I77+1)*(1-$J77)+INDEX(V$21:V$141,$I77+2)*$J77</f>
        <v>-219.864478925698</v>
      </c>
      <c r="X77" s="12" t="n">
        <f aca="false">INDEX(V$21:V$141,$K77+1)*(1-$L77)+INDEX(V$21:V$141,$K77+2)*$L77</f>
        <v>-222.839024881247</v>
      </c>
      <c r="Y77" s="12" t="n">
        <f aca="false">$C77+$D77+MAX(W77,X77,IF(COUNTIFS($A$21:$A$141,"&gt;="&amp;$G77,$A$21:$A$141,"&lt;="&amp;$H77)&gt;0,_xlfn.MAXIFS(V$21:V$141,$A$21:$A$141,"&gt;="&amp;$G77,$A$21:$A$141,"&lt;="&amp;$H77),W77))</f>
        <v>-10.8644789256976</v>
      </c>
      <c r="Z77" s="12" t="n">
        <f aca="false">-Cost_k*$A77+Beta_q*(Declarations!$B$16*INDEX(Y$21:Y$141,MAX(1,MIN(121,$B77-ROUND(Declarations!$A$16/$D$18,0))))+Declarations!$B$17*INDEX(Y$21:Y$141,MAX(1,MIN(121,$B77-ROUND(Declarations!$A$17/$D$18,0))))+Declarations!$B$18*INDEX(Y$21:Y$141,MAX(1,MIN(121,$B77-ROUND(Declarations!$A$18/$D$18,0))))+Declarations!$B$19*INDEX(Y$21:Y$141,MAX(1,MIN(121,$B77-ROUND(Declarations!$A$19/$D$18,0))))+Declarations!$B$20*INDEX(Y$21:Y$141,MAX(1,MIN(121,$B77-ROUND(Declarations!$A$20/$D$18,0)))))</f>
        <v>-226.65031988418</v>
      </c>
      <c r="AA77" s="12" t="n">
        <f aca="false">INDEX(Z$21:Z$141,$I77+1)*(1-$J77)+INDEX(Z$21:Z$141,$I77+2)*$J77</f>
        <v>-227.237492329017</v>
      </c>
      <c r="AB77" s="12" t="n">
        <f aca="false">INDEX(Z$21:Z$141,$K77+1)*(1-$L77)+INDEX(Z$21:Z$141,$K77+2)*$L77</f>
        <v>-226.679744618067</v>
      </c>
      <c r="AC77" s="12" t="n">
        <f aca="false">$C77+$D77+MAX(AA77,AB77,IF(COUNTIFS($A$21:$A$141,"&gt;="&amp;$G77,$A$21:$A$141,"&lt;="&amp;$H77)&gt;0,_xlfn.MAXIFS(Z$21:Z$141,$A$21:$A$141,"&gt;="&amp;$G77,$A$21:$A$141,"&lt;="&amp;$H77),AA77))</f>
        <v>-17.5392600650804</v>
      </c>
      <c r="AD77" s="12" t="n">
        <f aca="false">-Cost_k*$A77+Beta_q*(Declarations!$B$16*INDEX(AC$21:AC$141,MAX(1,MIN(121,$B77-ROUND(Declarations!$A$16/$D$18,0))))+Declarations!$B$17*INDEX(AC$21:AC$141,MAX(1,MIN(121,$B77-ROUND(Declarations!$A$17/$D$18,0))))+Declarations!$B$18*INDEX(AC$21:AC$141,MAX(1,MIN(121,$B77-ROUND(Declarations!$A$18/$D$18,0))))+Declarations!$B$19*INDEX(AC$21:AC$141,MAX(1,MIN(121,$B77-ROUND(Declarations!$A$19/$D$18,0))))+Declarations!$B$20*INDEX(AC$21:AC$141,MAX(1,MIN(121,$B77-ROUND(Declarations!$A$20/$D$18,0)))))</f>
        <v>-233.179027297531</v>
      </c>
      <c r="AE77" s="12" t="n">
        <f aca="false">INDEX(AD$21:AD$141,$I77+1)*(1-$J77)+INDEX(AD$21:AD$141,$I77+2)*$J77</f>
        <v>-235.198760504273</v>
      </c>
      <c r="AF77" s="12" t="n">
        <f aca="false">INDEX(AD$21:AD$141,$K77+1)*(1-$L77)+INDEX(AD$21:AD$141,$K77+2)*$L77</f>
        <v>-232.088075943596</v>
      </c>
      <c r="AG77" s="12" t="n">
        <f aca="false">$C77+$D77+MAX(AE77,AF77,IF(COUNTIFS($A$21:$A$141,"&gt;="&amp;$G77,$A$21:$A$141,"&lt;="&amp;$H77)&gt;0,_xlfn.MAXIFS(AD$21:AD$141,$A$21:$A$141,"&gt;="&amp;$G77,$A$21:$A$141,"&lt;="&amp;$H77),AE77))</f>
        <v>-23.0880759435963</v>
      </c>
      <c r="AH77" s="12" t="n">
        <f aca="false">-Cost_k*$A77+Beta_q*(Declarations!$B$16*INDEX(AG$21:AG$141,MAX(1,MIN(121,$B77-ROUND(Declarations!$A$16/$D$18,0))))+Declarations!$B$17*INDEX(AG$21:AG$141,MAX(1,MIN(121,$B77-ROUND(Declarations!$A$17/$D$18,0))))+Declarations!$B$18*INDEX(AG$21:AG$141,MAX(1,MIN(121,$B77-ROUND(Declarations!$A$18/$D$18,0))))+Declarations!$B$19*INDEX(AG$21:AG$141,MAX(1,MIN(121,$B77-ROUND(Declarations!$A$19/$D$18,0))))+Declarations!$B$20*INDEX(AG$21:AG$141,MAX(1,MIN(121,$B77-ROUND(Declarations!$A$20/$D$18,0)))))</f>
        <v>-238.755311860609</v>
      </c>
      <c r="AI77" s="12" t="n">
        <f aca="false">INDEX(AH$21:AH$141,$I77+1)*(1-$J77)+INDEX(AH$21:AH$141,$I77+2)*$J77</f>
        <v>-241.761159776926</v>
      </c>
      <c r="AJ77" s="12" t="n">
        <f aca="false">INDEX(AH$21:AH$141,$K77+1)*(1-$L77)+INDEX(AH$21:AH$141,$K77+2)*$L77</f>
        <v>-237.442034371193</v>
      </c>
      <c r="AK77" s="12" t="n">
        <f aca="false">$C77+$D77+MAX(AI77,AJ77,IF(COUNTIFS($A$21:$A$141,"&gt;="&amp;$G77,$A$21:$A$141,"&lt;="&amp;$H77)&gt;0,_xlfn.MAXIFS(AH$21:AH$141,$A$21:$A$141,"&gt;="&amp;$G77,$A$21:$A$141,"&lt;="&amp;$H77),AI77))</f>
        <v>-28.4420343711934</v>
      </c>
      <c r="AL77" s="12" t="n">
        <f aca="false">-Cost_k*$A77+Beta_q*(Declarations!$B$16*INDEX(AK$21:AK$141,MAX(1,MIN(121,$B77-ROUND(Declarations!$A$16/$D$18,0))))+Declarations!$B$17*INDEX(AK$21:AK$141,MAX(1,MIN(121,$B77-ROUND(Declarations!$A$17/$D$18,0))))+Declarations!$B$18*INDEX(AK$21:AK$141,MAX(1,MIN(121,$B77-ROUND(Declarations!$A$18/$D$18,0))))+Declarations!$B$19*INDEX(AK$21:AK$141,MAX(1,MIN(121,$B77-ROUND(Declarations!$A$19/$D$18,0))))+Declarations!$B$20*INDEX(AK$21:AK$141,MAX(1,MIN(121,$B77-ROUND(Declarations!$A$20/$D$18,0)))))</f>
        <v>-244.006447504504</v>
      </c>
      <c r="AM77" s="12" t="n">
        <f aca="false">INDEX(AL$21:AL$141,$I77+1)*(1-$J77)+INDEX(AL$21:AL$141,$I77+2)*$J77</f>
        <v>-247.381939946895</v>
      </c>
      <c r="AN77" s="12" t="n">
        <f aca="false">INDEX(AL$21:AL$141,$K77+1)*(1-$L77)+INDEX(AL$21:AL$141,$K77+2)*$L77</f>
        <v>-242.619807623107</v>
      </c>
      <c r="AO77" s="12" t="n">
        <f aca="false">$C77+$D77+MAX(AM77,AN77,IF(COUNTIFS($A$21:$A$141,"&gt;="&amp;$G77,$A$21:$A$141,"&lt;="&amp;$H77)&gt;0,_xlfn.MAXIFS(AL$21:AL$141,$A$21:$A$141,"&gt;="&amp;$G77,$A$21:$A$141,"&lt;="&amp;$H77),AM77))</f>
        <v>-33.6198076231074</v>
      </c>
      <c r="AP77" s="12" t="n">
        <f aca="false">-Cost_k*$A77+Beta_q*(Declarations!$B$16*INDEX(AO$21:AO$141,MAX(1,MIN(121,$B77-ROUND(Declarations!$A$16/$D$18,0))))+Declarations!$B$17*INDEX(AO$21:AO$141,MAX(1,MIN(121,$B77-ROUND(Declarations!$A$17/$D$18,0))))+Declarations!$B$18*INDEX(AO$21:AO$141,MAX(1,MIN(121,$B77-ROUND(Declarations!$A$18/$D$18,0))))+Declarations!$B$19*INDEX(AO$21:AO$141,MAX(1,MIN(121,$B77-ROUND(Declarations!$A$19/$D$18,0))))+Declarations!$B$20*INDEX(AO$21:AO$141,MAX(1,MIN(121,$B77-ROUND(Declarations!$A$20/$D$18,0)))))</f>
        <v>-249.072544492767</v>
      </c>
      <c r="AQ77" s="12" t="n">
        <f aca="false">INDEX(AP$21:AP$141,$I77+1)*(1-$J77)+INDEX(AP$21:AP$141,$I77+2)*$J77</f>
        <v>-252.571283749963</v>
      </c>
      <c r="AR77" s="12" t="n">
        <f aca="false">INDEX(AP$21:AP$141,$K77+1)*(1-$L77)+INDEX(AP$21:AP$141,$K77+2)*$L77</f>
        <v>-247.668832967896</v>
      </c>
      <c r="AS77" s="12" t="n">
        <f aca="false">$C77+$D77+MAX(AQ77,AR77,IF(COUNTIFS($A$21:$A$141,"&gt;="&amp;$G77,$A$21:$A$141,"&lt;="&amp;$H77)&gt;0,_xlfn.MAXIFS(AP$21:AP$141,$A$21:$A$141,"&gt;="&amp;$G77,$A$21:$A$141,"&lt;="&amp;$H77),AQ77))</f>
        <v>-38.6688329678962</v>
      </c>
      <c r="AT77" s="12" t="n">
        <f aca="false">-Cost_k*$A77+Beta_q*(Declarations!$B$16*INDEX(AS$21:AS$141,MAX(1,MIN(121,$B77-ROUND(Declarations!$A$16/$D$18,0))))+Declarations!$B$17*INDEX(AS$21:AS$141,MAX(1,MIN(121,$B77-ROUND(Declarations!$A$17/$D$18,0))))+Declarations!$B$18*INDEX(AS$21:AS$141,MAX(1,MIN(121,$B77-ROUND(Declarations!$A$18/$D$18,0))))+Declarations!$B$19*INDEX(AS$21:AS$141,MAX(1,MIN(121,$B77-ROUND(Declarations!$A$19/$D$18,0))))+Declarations!$B$20*INDEX(AS$21:AS$141,MAX(1,MIN(121,$B77-ROUND(Declarations!$A$20/$D$18,0)))))</f>
        <v>-254.005168659262</v>
      </c>
      <c r="AU77" s="12" t="n">
        <f aca="false">INDEX(AT$21:AT$141,$I77+1)*(1-$J77)+INDEX(AT$21:AT$141,$I77+2)*$J77</f>
        <v>-257.538728314307</v>
      </c>
      <c r="AV77" s="12" t="n">
        <f aca="false">INDEX(AT$21:AT$141,$K77+1)*(1-$L77)+INDEX(AT$21:AT$141,$K77+2)*$L77</f>
        <v>-252.598064092071</v>
      </c>
      <c r="AW77" s="12" t="n">
        <f aca="false">$C77+$D77+MAX(AU77,AV77,IF(COUNTIFS($A$21:$A$141,"&gt;="&amp;$G77,$A$21:$A$141,"&lt;="&amp;$H77)&gt;0,_xlfn.MAXIFS(AT$21:AT$141,$A$21:$A$141,"&gt;="&amp;$G77,$A$21:$A$141,"&lt;="&amp;$H77),AU77))</f>
        <v>-43.598064092071</v>
      </c>
      <c r="AX77" s="12" t="n">
        <f aca="false">-Cost_k*$A77+Beta_q*(Declarations!$B$16*INDEX(AW$21:AW$141,MAX(1,MIN(121,$B77-ROUND(Declarations!$A$16/$D$18,0))))+Declarations!$B$17*INDEX(AW$21:AW$141,MAX(1,MIN(121,$B77-ROUND(Declarations!$A$17/$D$18,0))))+Declarations!$B$18*INDEX(AW$21:AW$141,MAX(1,MIN(121,$B77-ROUND(Declarations!$A$18/$D$18,0))))+Declarations!$B$19*INDEX(AW$21:AW$141,MAX(1,MIN(121,$B77-ROUND(Declarations!$A$19/$D$18,0))))+Declarations!$B$20*INDEX(AW$21:AW$141,MAX(1,MIN(121,$B77-ROUND(Declarations!$A$20/$D$18,0)))))</f>
        <v>-258.818865275076</v>
      </c>
      <c r="AY77" s="12" t="n">
        <f aca="false">INDEX(AX$21:AX$141,$I77+1)*(1-$J77)+INDEX(AX$21:AX$141,$I77+2)*$J77</f>
        <v>-262.36106169512</v>
      </c>
      <c r="AZ77" s="12" t="n">
        <f aca="false">INDEX(AX$21:AX$141,$K77+1)*(1-$L77)+INDEX(AX$21:AX$141,$K77+2)*$L77</f>
        <v>-257.41108032629</v>
      </c>
      <c r="BA77" s="12" t="n">
        <f aca="false">$C77+$D77+MAX(AY77,AZ77,IF(COUNTIFS($A$21:$A$141,"&gt;="&amp;$G77,$A$21:$A$141,"&lt;="&amp;$H77)&gt;0,_xlfn.MAXIFS(AX$21:AX$141,$A$21:$A$141,"&gt;="&amp;$G77,$A$21:$A$141,"&lt;="&amp;$H77),AY77))</f>
        <v>-48.4110803262895</v>
      </c>
      <c r="BB77" s="12" t="n">
        <f aca="false">-Cost_k*$A77+Beta_q*(Declarations!$B$16*INDEX(BA$21:BA$141,MAX(1,MIN(121,$B77-ROUND(Declarations!$A$16/$D$18,0))))+Declarations!$B$17*INDEX(BA$21:BA$141,MAX(1,MIN(121,$B77-ROUND(Declarations!$A$17/$D$18,0))))+Declarations!$B$18*INDEX(BA$21:BA$141,MAX(1,MIN(121,$B77-ROUND(Declarations!$A$18/$D$18,0))))+Declarations!$B$19*INDEX(BA$21:BA$141,MAX(1,MIN(121,$B77-ROUND(Declarations!$A$19/$D$18,0))))+Declarations!$B$20*INDEX(BA$21:BA$141,MAX(1,MIN(121,$B77-ROUND(Declarations!$A$20/$D$18,0)))))</f>
        <v>-263.51866082116</v>
      </c>
      <c r="BC77" s="12" t="n">
        <f aca="false">INDEX(BB$21:BB$141,$I77+1)*(1-$J77)+INDEX(BB$21:BB$141,$I77+2)*$J77</f>
        <v>-267.062861111278</v>
      </c>
      <c r="BD77" s="12" t="n">
        <f aca="false">INDEX(BB$21:BB$141,$K77+1)*(1-$L77)+INDEX(BB$21:BB$141,$K77+2)*$L77</f>
        <v>-262.110745072593</v>
      </c>
      <c r="BE77" s="12" t="n">
        <f aca="false">$C77+$D77+MAX(BC77,BD77,IF(COUNTIFS($A$21:$A$141,"&gt;="&amp;$G77,$A$21:$A$141,"&lt;="&amp;$H77)&gt;0,_xlfn.MAXIFS(BB$21:BB$141,$A$21:$A$141,"&gt;="&amp;$G77,$A$21:$A$141,"&lt;="&amp;$H77),BC77))</f>
        <v>-53.1107450725934</v>
      </c>
      <c r="BF77" s="12" t="n">
        <f aca="false">-Cost_k*$A77+Beta_q*(Declarations!$B$16*INDEX(BE$21:BE$141,MAX(1,MIN(121,$B77-ROUND(Declarations!$A$16/$D$18,0))))+Declarations!$B$17*INDEX(BE$21:BE$141,MAX(1,MIN(121,$B77-ROUND(Declarations!$A$17/$D$18,0))))+Declarations!$B$18*INDEX(BE$21:BE$141,MAX(1,MIN(121,$B77-ROUND(Declarations!$A$18/$D$18,0))))+Declarations!$B$19*INDEX(BE$21:BE$141,MAX(1,MIN(121,$B77-ROUND(Declarations!$A$19/$D$18,0))))+Declarations!$B$20*INDEX(BE$21:BE$141,MAX(1,MIN(121,$B77-ROUND(Declarations!$A$20/$D$18,0)))))</f>
        <v>-268.107688672788</v>
      </c>
      <c r="BG77" s="12" t="n">
        <f aca="false">INDEX(BF$21:BF$141,$I77+1)*(1-$J77)+INDEX(BF$21:BF$141,$I77+2)*$J77</f>
        <v>-271.652327663563</v>
      </c>
      <c r="BH77" s="12" t="n">
        <f aca="false">INDEX(BF$21:BF$141,$K77+1)*(1-$L77)+INDEX(BF$21:BF$141,$K77+2)*$L77</f>
        <v>-266.699747597694</v>
      </c>
      <c r="BI77" s="12" t="n">
        <f aca="false">$C77+$D77+MAX(BG77,BH77,IF(COUNTIFS($A$21:$A$141,"&gt;="&amp;$G77,$A$21:$A$141,"&lt;="&amp;$H77)&gt;0,_xlfn.MAXIFS(BF$21:BF$141,$A$21:$A$141,"&gt;="&amp;$G77,$A$21:$A$141,"&lt;="&amp;$H77),BG77))</f>
        <v>-57.6997475976938</v>
      </c>
      <c r="BJ77" s="23" t="n">
        <v>-57.6997475976938</v>
      </c>
      <c r="BK77" s="22" t="n">
        <f aca="false">ABS(BI77-BJ77)</f>
        <v>0</v>
      </c>
    </row>
    <row r="78" customFormat="false" ht="15" hidden="false" customHeight="false" outlineLevel="0" collapsed="false">
      <c r="A78" s="14" t="n">
        <f aca="false">A77+$D$18</f>
        <v>54.25</v>
      </c>
      <c r="B78" s="19" t="n">
        <v>58</v>
      </c>
      <c r="C78" s="12" t="n">
        <f aca="false">-Short_p*MAX(Floor_c-A78,0)</f>
        <v>-1.2</v>
      </c>
      <c r="D78" s="12" t="n">
        <f aca="false">Cost_k*Alpha_keep*A78</f>
        <v>211.575</v>
      </c>
      <c r="E78" s="12" t="n">
        <f aca="false">MIN(Cap_h,MAX(0,$B$18+MAX(Loss_w)-Alpha_keep*A78))</f>
        <v>0</v>
      </c>
      <c r="F78" s="12" t="n">
        <f aca="false">MAX(MIN(Cap_h,$F$18+MIN(Loss_w)-Alpha_keep*A78),E78)</f>
        <v>2.5</v>
      </c>
      <c r="G78" s="12" t="n">
        <f aca="false">Alpha_keep*A78+E78</f>
        <v>52.89375</v>
      </c>
      <c r="H78" s="12" t="n">
        <f aca="false">Alpha_keep*A78+F78</f>
        <v>55.39375</v>
      </c>
      <c r="I78" s="19" t="n">
        <f aca="false">MIN(INT((G78-$B$18)/$D$18+0.000000001),119)</f>
        <v>51</v>
      </c>
      <c r="J78" s="12" t="n">
        <f aca="false">(G78-$B$18)/$D$18-I78</f>
        <v>0.574999999999989</v>
      </c>
      <c r="K78" s="19" t="n">
        <f aca="false">MIN(INT((H78-$B$18)/$D$18+0.000000001),119)</f>
        <v>61</v>
      </c>
      <c r="L78" s="12" t="n">
        <f aca="false">(H78-$B$18)/$D$18-K78</f>
        <v>0.574999999999989</v>
      </c>
      <c r="M78" s="9" t="n">
        <v>0</v>
      </c>
      <c r="N78" s="12" t="n">
        <f aca="false">-Cost_k*$A78+Beta_q*(Declarations!$B$16*INDEX(M$21:M$141,MAX(1,MIN(121,$B78-ROUND(Declarations!$A$16/$D$18,0))))+Declarations!$B$17*INDEX(M$21:M$141,MAX(1,MIN(121,$B78-ROUND(Declarations!$A$17/$D$18,0))))+Declarations!$B$18*INDEX(M$21:M$141,MAX(1,MIN(121,$B78-ROUND(Declarations!$A$18/$D$18,0))))+Declarations!$B$19*INDEX(M$21:M$141,MAX(1,MIN(121,$B78-ROUND(Declarations!$A$19/$D$18,0))))+Declarations!$B$20*INDEX(M$21:M$141,MAX(1,MIN(121,$B78-ROUND(Declarations!$A$20/$D$18,0)))))</f>
        <v>-217</v>
      </c>
      <c r="O78" s="12" t="n">
        <f aca="false">INDEX(N$21:N$141,$I78+1)*(1-$J78)+INDEX(N$21:N$141,$I78+2)*$J78</f>
        <v>-211.575</v>
      </c>
      <c r="P78" s="12" t="n">
        <f aca="false">INDEX(N$21:N$141,$K78+1)*(1-$L78)+INDEX(N$21:N$141,$K78+2)*$L78</f>
        <v>-221.575</v>
      </c>
      <c r="Q78" s="12" t="n">
        <f aca="false">$C78+$D78+MAX(O78,P78,IF(COUNTIFS($A$21:$A$141,"&gt;="&amp;$G78,$A$21:$A$141,"&lt;="&amp;$H78)&gt;0,_xlfn.MAXIFS(N$21:N$141,$A$21:$A$141,"&gt;="&amp;$G78,$A$21:$A$141,"&lt;="&amp;$H78),O78))</f>
        <v>-1.19999999999999</v>
      </c>
      <c r="R78" s="12" t="n">
        <f aca="false">-Cost_k*$A78+Beta_q*(Declarations!$B$16*INDEX(Q$21:Q$141,MAX(1,MIN(121,$B78-ROUND(Declarations!$A$16/$D$18,0))))+Declarations!$B$17*INDEX(Q$21:Q$141,MAX(1,MIN(121,$B78-ROUND(Declarations!$A$17/$D$18,0))))+Declarations!$B$18*INDEX(Q$21:Q$141,MAX(1,MIN(121,$B78-ROUND(Declarations!$A$18/$D$18,0))))+Declarations!$B$19*INDEX(Q$21:Q$141,MAX(1,MIN(121,$B78-ROUND(Declarations!$A$19/$D$18,0))))+Declarations!$B$20*INDEX(Q$21:Q$141,MAX(1,MIN(121,$B78-ROUND(Declarations!$A$20/$D$18,0)))))</f>
        <v>-218.230332152992</v>
      </c>
      <c r="S78" s="12" t="n">
        <f aca="false">INDEX(R$21:R$141,$I78+1)*(1-$J78)+INDEX(R$21:R$141,$I78+2)*$J78</f>
        <v>-214.865650282209</v>
      </c>
      <c r="T78" s="12" t="n">
        <f aca="false">INDEX(R$21:R$141,$K78+1)*(1-$L78)+INDEX(R$21:R$141,$K78+2)*$L78</f>
        <v>-221.772731953159</v>
      </c>
      <c r="U78" s="12" t="n">
        <f aca="false">$C78+$D78+MAX(S78,T78,IF(COUNTIFS($A$21:$A$141,"&gt;="&amp;$G78,$A$21:$A$141,"&lt;="&amp;$H78)&gt;0,_xlfn.MAXIFS(R$21:R$141,$A$21:$A$141,"&gt;="&amp;$G78,$A$21:$A$141,"&lt;="&amp;$H78),S78))</f>
        <v>-4.49065028220917</v>
      </c>
      <c r="V78" s="12" t="n">
        <f aca="false">-Cost_k*$A78+Beta_q*(Declarations!$B$16*INDEX(U$21:U$141,MAX(1,MIN(121,$B78-ROUND(Declarations!$A$16/$D$18,0))))+Declarations!$B$17*INDEX(U$21:U$141,MAX(1,MIN(121,$B78-ROUND(Declarations!$A$17/$D$18,0))))+Declarations!$B$18*INDEX(U$21:U$141,MAX(1,MIN(121,$B78-ROUND(Declarations!$A$18/$D$18,0))))+Declarations!$B$19*INDEX(U$21:U$141,MAX(1,MIN(121,$B78-ROUND(Declarations!$A$19/$D$18,0))))+Declarations!$B$20*INDEX(U$21:U$141,MAX(1,MIN(121,$B78-ROUND(Declarations!$A$20/$D$18,0)))))</f>
        <v>-221.450294499698</v>
      </c>
      <c r="W78" s="12" t="n">
        <f aca="false">INDEX(V$21:V$141,$I78+1)*(1-$J78)+INDEX(V$21:V$141,$I78+2)*$J78</f>
        <v>-220.096107681163</v>
      </c>
      <c r="X78" s="12" t="n">
        <f aca="false">INDEX(V$21:V$141,$K78+1)*(1-$L78)+INDEX(V$21:V$141,$K78+2)*$L78</f>
        <v>-223.397053799769</v>
      </c>
      <c r="Y78" s="12" t="n">
        <f aca="false">$C78+$D78+MAX(W78,X78,IF(COUNTIFS($A$21:$A$141,"&gt;="&amp;$G78,$A$21:$A$141,"&lt;="&amp;$H78)&gt;0,_xlfn.MAXIFS(V$21:V$141,$A$21:$A$141,"&gt;="&amp;$G78,$A$21:$A$141,"&lt;="&amp;$H78),W78))</f>
        <v>-9.72110768116318</v>
      </c>
      <c r="Z78" s="12" t="n">
        <f aca="false">-Cost_k*$A78+Beta_q*(Declarations!$B$16*INDEX(Y$21:Y$141,MAX(1,MIN(121,$B78-ROUND(Declarations!$A$16/$D$18,0))))+Declarations!$B$17*INDEX(Y$21:Y$141,MAX(1,MIN(121,$B78-ROUND(Declarations!$A$17/$D$18,0))))+Declarations!$B$18*INDEX(Y$21:Y$141,MAX(1,MIN(121,$B78-ROUND(Declarations!$A$18/$D$18,0))))+Declarations!$B$19*INDEX(Y$21:Y$141,MAX(1,MIN(121,$B78-ROUND(Declarations!$A$19/$D$18,0))))+Declarations!$B$20*INDEX(Y$21:Y$141,MAX(1,MIN(121,$B78-ROUND(Declarations!$A$20/$D$18,0)))))</f>
        <v>-226.558285170653</v>
      </c>
      <c r="AA78" s="12" t="n">
        <f aca="false">INDEX(Z$21:Z$141,$I78+1)*(1-$J78)+INDEX(Z$21:Z$141,$I78+2)*$J78</f>
        <v>-227.123954039466</v>
      </c>
      <c r="AB78" s="12" t="n">
        <f aca="false">INDEX(Z$21:Z$141,$K78+1)*(1-$L78)+INDEX(Z$21:Z$141,$K78+2)*$L78</f>
        <v>-226.897894651714</v>
      </c>
      <c r="AC78" s="12" t="n">
        <f aca="false">$C78+$D78+MAX(AA78,AB78,IF(COUNTIFS($A$21:$A$141,"&gt;="&amp;$G78,$A$21:$A$141,"&lt;="&amp;$H78)&gt;0,_xlfn.MAXIFS(Z$21:Z$141,$A$21:$A$141,"&gt;="&amp;$G78,$A$21:$A$141,"&lt;="&amp;$H78),AA78))</f>
        <v>-16.1642600650804</v>
      </c>
      <c r="AD78" s="12" t="n">
        <f aca="false">-Cost_k*$A78+Beta_q*(Declarations!$B$16*INDEX(AC$21:AC$141,MAX(1,MIN(121,$B78-ROUND(Declarations!$A$16/$D$18,0))))+Declarations!$B$17*INDEX(AC$21:AC$141,MAX(1,MIN(121,$B78-ROUND(Declarations!$A$17/$D$18,0))))+Declarations!$B$18*INDEX(AC$21:AC$141,MAX(1,MIN(121,$B78-ROUND(Declarations!$A$18/$D$18,0))))+Declarations!$B$19*INDEX(AC$21:AC$141,MAX(1,MIN(121,$B78-ROUND(Declarations!$A$19/$D$18,0))))+Declarations!$B$20*INDEX(AC$21:AC$141,MAX(1,MIN(121,$B78-ROUND(Declarations!$A$20/$D$18,0)))))</f>
        <v>-232.84958013892</v>
      </c>
      <c r="AE78" s="12" t="n">
        <f aca="false">INDEX(AD$21:AD$141,$I78+1)*(1-$J78)+INDEX(AD$21:AD$141,$I78+2)*$J78</f>
        <v>-234.792913697418</v>
      </c>
      <c r="AF78" s="12" t="n">
        <f aca="false">INDEX(AD$21:AD$141,$K78+1)*(1-$L78)+INDEX(AD$21:AD$141,$K78+2)*$L78</f>
        <v>-232.050593653907</v>
      </c>
      <c r="AG78" s="12" t="n">
        <f aca="false">$C78+$D78+MAX(AE78,AF78,IF(COUNTIFS($A$21:$A$141,"&gt;="&amp;$G78,$A$21:$A$141,"&lt;="&amp;$H78)&gt;0,_xlfn.MAXIFS(AD$21:AD$141,$A$21:$A$141,"&gt;="&amp;$G78,$A$21:$A$141,"&lt;="&amp;$H78),AE78))</f>
        <v>-21.6755936539066</v>
      </c>
      <c r="AH78" s="12" t="n">
        <f aca="false">-Cost_k*$A78+Beta_q*(Declarations!$B$16*INDEX(AG$21:AG$141,MAX(1,MIN(121,$B78-ROUND(Declarations!$A$16/$D$18,0))))+Declarations!$B$17*INDEX(AG$21:AG$141,MAX(1,MIN(121,$B78-ROUND(Declarations!$A$17/$D$18,0))))+Declarations!$B$18*INDEX(AG$21:AG$141,MAX(1,MIN(121,$B78-ROUND(Declarations!$A$18/$D$18,0))))+Declarations!$B$19*INDEX(AG$21:AG$141,MAX(1,MIN(121,$B78-ROUND(Declarations!$A$19/$D$18,0))))+Declarations!$B$20*INDEX(AG$21:AG$141,MAX(1,MIN(121,$B78-ROUND(Declarations!$A$20/$D$18,0)))))</f>
        <v>-238.350664395737</v>
      </c>
      <c r="AI78" s="12" t="n">
        <f aca="false">INDEX(AH$21:AH$141,$I78+1)*(1-$J78)+INDEX(AH$21:AH$141,$I78+2)*$J78</f>
        <v>-241.135030514131</v>
      </c>
      <c r="AJ78" s="12" t="n">
        <f aca="false">INDEX(AH$21:AH$141,$K78+1)*(1-$L78)+INDEX(AH$21:AH$141,$K78+2)*$L78</f>
        <v>-237.382692712534</v>
      </c>
      <c r="AK78" s="12" t="n">
        <f aca="false">$C78+$D78+MAX(AI78,AJ78,IF(COUNTIFS($A$21:$A$141,"&gt;="&amp;$G78,$A$21:$A$141,"&lt;="&amp;$H78)&gt;0,_xlfn.MAXIFS(AH$21:AH$141,$A$21:$A$141,"&gt;="&amp;$G78,$A$21:$A$141,"&lt;="&amp;$H78),AI78))</f>
        <v>-27.0076927125339</v>
      </c>
      <c r="AL78" s="12" t="n">
        <f aca="false">-Cost_k*$A78+Beta_q*(Declarations!$B$16*INDEX(AK$21:AK$141,MAX(1,MIN(121,$B78-ROUND(Declarations!$A$16/$D$18,0))))+Declarations!$B$17*INDEX(AK$21:AK$141,MAX(1,MIN(121,$B78-ROUND(Declarations!$A$17/$D$18,0))))+Declarations!$B$18*INDEX(AK$21:AK$141,MAX(1,MIN(121,$B78-ROUND(Declarations!$A$18/$D$18,0))))+Declarations!$B$19*INDEX(AK$21:AK$141,MAX(1,MIN(121,$B78-ROUND(Declarations!$A$19/$D$18,0))))+Declarations!$B$20*INDEX(AK$21:AK$141,MAX(1,MIN(121,$B78-ROUND(Declarations!$A$20/$D$18,0)))))</f>
        <v>-243.575623127784</v>
      </c>
      <c r="AM78" s="12" t="n">
        <f aca="false">INDEX(AL$21:AL$141,$I78+1)*(1-$J78)+INDEX(AL$21:AL$141,$I78+2)*$J78</f>
        <v>-246.652705701249</v>
      </c>
      <c r="AN78" s="12" t="n">
        <f aca="false">INDEX(AL$21:AL$141,$K78+1)*(1-$L78)+INDEX(AL$21:AL$141,$K78+2)*$L78</f>
        <v>-242.555698520172</v>
      </c>
      <c r="AO78" s="12" t="n">
        <f aca="false">$C78+$D78+MAX(AM78,AN78,IF(COUNTIFS($A$21:$A$141,"&gt;="&amp;$G78,$A$21:$A$141,"&lt;="&amp;$H78)&gt;0,_xlfn.MAXIFS(AL$21:AL$141,$A$21:$A$141,"&gt;="&amp;$G78,$A$21:$A$141,"&lt;="&amp;$H78),AM78))</f>
        <v>-32.1806985201717</v>
      </c>
      <c r="AP78" s="12" t="n">
        <f aca="false">-Cost_k*$A78+Beta_q*(Declarations!$B$16*INDEX(AO$21:AO$141,MAX(1,MIN(121,$B78-ROUND(Declarations!$A$16/$D$18,0))))+Declarations!$B$17*INDEX(AO$21:AO$141,MAX(1,MIN(121,$B78-ROUND(Declarations!$A$17/$D$18,0))))+Declarations!$B$18*INDEX(AO$21:AO$141,MAX(1,MIN(121,$B78-ROUND(Declarations!$A$18/$D$18,0))))+Declarations!$B$19*INDEX(AO$21:AO$141,MAX(1,MIN(121,$B78-ROUND(Declarations!$A$19/$D$18,0))))+Declarations!$B$20*INDEX(AO$21:AO$141,MAX(1,MIN(121,$B78-ROUND(Declarations!$A$20/$D$18,0)))))</f>
        <v>-248.634257162134</v>
      </c>
      <c r="AQ78" s="12" t="n">
        <f aca="false">INDEX(AP$21:AP$141,$I78+1)*(1-$J78)+INDEX(AP$21:AP$141,$I78+2)*$J78</f>
        <v>-251.803892758697</v>
      </c>
      <c r="AR78" s="12" t="n">
        <f aca="false">INDEX(AP$21:AP$141,$K78+1)*(1-$L78)+INDEX(AP$21:AP$141,$K78+2)*$L78</f>
        <v>-247.604061799261</v>
      </c>
      <c r="AS78" s="12" t="n">
        <f aca="false">$C78+$D78+MAX(AQ78,AR78,IF(COUNTIFS($A$21:$A$141,"&gt;="&amp;$G78,$A$21:$A$141,"&lt;="&amp;$H78)&gt;0,_xlfn.MAXIFS(AP$21:AP$141,$A$21:$A$141,"&gt;="&amp;$G78,$A$21:$A$141,"&lt;="&amp;$H78),AQ78))</f>
        <v>-37.2290617992614</v>
      </c>
      <c r="AT78" s="12" t="n">
        <f aca="false">-Cost_k*$A78+Beta_q*(Declarations!$B$16*INDEX(AS$21:AS$141,MAX(1,MIN(121,$B78-ROUND(Declarations!$A$16/$D$18,0))))+Declarations!$B$17*INDEX(AS$21:AS$141,MAX(1,MIN(121,$B78-ROUND(Declarations!$A$17/$D$18,0))))+Declarations!$B$18*INDEX(AS$21:AS$141,MAX(1,MIN(121,$B78-ROUND(Declarations!$A$18/$D$18,0))))+Declarations!$B$19*INDEX(AS$21:AS$141,MAX(1,MIN(121,$B78-ROUND(Declarations!$A$19/$D$18,0))))+Declarations!$B$20*INDEX(AS$21:AS$141,MAX(1,MIN(121,$B78-ROUND(Declarations!$A$20/$D$18,0)))))</f>
        <v>-253.56540559517</v>
      </c>
      <c r="AU78" s="12" t="n">
        <f aca="false">INDEX(AT$21:AT$141,$I78+1)*(1-$J78)+INDEX(AT$21:AT$141,$I78+2)*$J78</f>
        <v>-256.759708260983</v>
      </c>
      <c r="AV78" s="12" t="n">
        <f aca="false">INDEX(AT$21:AT$141,$K78+1)*(1-$L78)+INDEX(AT$21:AT$141,$K78+2)*$L78</f>
        <v>-252.533175505658</v>
      </c>
      <c r="AW78" s="12" t="n">
        <f aca="false">$C78+$D78+MAX(AU78,AV78,IF(COUNTIFS($A$21:$A$141,"&gt;="&amp;$G78,$A$21:$A$141,"&lt;="&amp;$H78)&gt;0,_xlfn.MAXIFS(AT$21:AT$141,$A$21:$A$141,"&gt;="&amp;$G78,$A$21:$A$141,"&lt;="&amp;$H78),AU78))</f>
        <v>-42.1581755056579</v>
      </c>
      <c r="AX78" s="12" t="n">
        <f aca="false">-Cost_k*$A78+Beta_q*(Declarations!$B$16*INDEX(AW$21:AW$141,MAX(1,MIN(121,$B78-ROUND(Declarations!$A$16/$D$18,0))))+Declarations!$B$17*INDEX(AW$21:AW$141,MAX(1,MIN(121,$B78-ROUND(Declarations!$A$17/$D$18,0))))+Declarations!$B$18*INDEX(AW$21:AW$141,MAX(1,MIN(121,$B78-ROUND(Declarations!$A$18/$D$18,0))))+Declarations!$B$19*INDEX(AW$21:AW$141,MAX(1,MIN(121,$B78-ROUND(Declarations!$A$19/$D$18,0))))+Declarations!$B$20*INDEX(AW$21:AW$141,MAX(1,MIN(121,$B78-ROUND(Declarations!$A$20/$D$18,0)))))</f>
        <v>-258.378782283053</v>
      </c>
      <c r="AY78" s="12" t="n">
        <f aca="false">INDEX(AX$21:AX$141,$I78+1)*(1-$J78)+INDEX(AX$21:AX$141,$I78+2)*$J78</f>
        <v>-261.578956833699</v>
      </c>
      <c r="AZ78" s="12" t="n">
        <f aca="false">INDEX(AX$21:AX$141,$K78+1)*(1-$L78)+INDEX(AX$21:AX$141,$K78+2)*$L78</f>
        <v>-257.346172181608</v>
      </c>
      <c r="BA78" s="12" t="n">
        <f aca="false">$C78+$D78+MAX(AY78,AZ78,IF(COUNTIFS($A$21:$A$141,"&gt;="&amp;$G78,$A$21:$A$141,"&lt;="&amp;$H78)&gt;0,_xlfn.MAXIFS(AX$21:AX$141,$A$21:$A$141,"&gt;="&amp;$G78,$A$21:$A$141,"&lt;="&amp;$H78),AY78))</f>
        <v>-46.971172181608</v>
      </c>
      <c r="BB78" s="12" t="n">
        <f aca="false">-Cost_k*$A78+Beta_q*(Declarations!$B$16*INDEX(BA$21:BA$141,MAX(1,MIN(121,$B78-ROUND(Declarations!$A$16/$D$18,0))))+Declarations!$B$17*INDEX(BA$21:BA$141,MAX(1,MIN(121,$B78-ROUND(Declarations!$A$17/$D$18,0))))+Declarations!$B$18*INDEX(BA$21:BA$141,MAX(1,MIN(121,$B78-ROUND(Declarations!$A$18/$D$18,0))))+Declarations!$B$19*INDEX(BA$21:BA$141,MAX(1,MIN(121,$B78-ROUND(Declarations!$A$19/$D$18,0))))+Declarations!$B$20*INDEX(BA$21:BA$141,MAX(1,MIN(121,$B78-ROUND(Declarations!$A$20/$D$18,0)))))</f>
        <v>-263.078515913519</v>
      </c>
      <c r="BC78" s="12" t="n">
        <f aca="false">INDEX(BB$21:BB$141,$I78+1)*(1-$J78)+INDEX(BB$21:BB$141,$I78+2)*$J78</f>
        <v>-266.280001207051</v>
      </c>
      <c r="BD78" s="12" t="n">
        <f aca="false">INDEX(BB$21:BB$141,$K78+1)*(1-$L78)+INDEX(BB$21:BB$141,$K78+2)*$L78</f>
        <v>-262.045833430767</v>
      </c>
      <c r="BE78" s="12" t="n">
        <f aca="false">$C78+$D78+MAX(BC78,BD78,IF(COUNTIFS($A$21:$A$141,"&gt;="&amp;$G78,$A$21:$A$141,"&lt;="&amp;$H78)&gt;0,_xlfn.MAXIFS(BB$21:BB$141,$A$21:$A$141,"&gt;="&amp;$G78,$A$21:$A$141,"&lt;="&amp;$H78),BC78))</f>
        <v>-51.6708334307668</v>
      </c>
      <c r="BF78" s="12" t="n">
        <f aca="false">-Cost_k*$A78+Beta_q*(Declarations!$B$16*INDEX(BE$21:BE$141,MAX(1,MIN(121,$B78-ROUND(Declarations!$A$16/$D$18,0))))+Declarations!$B$17*INDEX(BE$21:BE$141,MAX(1,MIN(121,$B78-ROUND(Declarations!$A$17/$D$18,0))))+Declarations!$B$18*INDEX(BE$21:BE$141,MAX(1,MIN(121,$B78-ROUND(Declarations!$A$18/$D$18,0))))+Declarations!$B$19*INDEX(BE$21:BE$141,MAX(1,MIN(121,$B78-ROUND(Declarations!$A$19/$D$18,0))))+Declarations!$B$20*INDEX(BE$21:BE$141,MAX(1,MIN(121,$B78-ROUND(Declarations!$A$20/$D$18,0)))))</f>
        <v>-267.66753142582</v>
      </c>
      <c r="BG78" s="12" t="n">
        <f aca="false">INDEX(BF$21:BF$141,$I78+1)*(1-$J78)+INDEX(BF$21:BF$141,$I78+2)*$J78</f>
        <v>-270.869297327883</v>
      </c>
      <c r="BH78" s="12" t="n">
        <f aca="false">INDEX(BF$21:BF$141,$K78+1)*(1-$L78)+INDEX(BF$21:BF$141,$K78+2)*$L78</f>
        <v>-266.634835330453</v>
      </c>
      <c r="BI78" s="12" t="n">
        <f aca="false">$C78+$D78+MAX(BG78,BH78,IF(COUNTIFS($A$21:$A$141,"&gt;="&amp;$G78,$A$21:$A$141,"&lt;="&amp;$H78)&gt;0,_xlfn.MAXIFS(BF$21:BF$141,$A$21:$A$141,"&gt;="&amp;$G78,$A$21:$A$141,"&lt;="&amp;$H78),BG78))</f>
        <v>-56.2598353304532</v>
      </c>
      <c r="BJ78" s="23" t="n">
        <v>-56.2598353304532</v>
      </c>
      <c r="BK78" s="22" t="n">
        <f aca="false">ABS(BI78-BJ78)</f>
        <v>0</v>
      </c>
    </row>
    <row r="79" customFormat="false" ht="15" hidden="false" customHeight="false" outlineLevel="0" collapsed="false">
      <c r="A79" s="14" t="n">
        <f aca="false">A78+$D$18</f>
        <v>54.5</v>
      </c>
      <c r="B79" s="19" t="n">
        <v>59</v>
      </c>
      <c r="C79" s="12" t="n">
        <f aca="false">-Short_p*MAX(Floor_c-A79,0)</f>
        <v>-0.8</v>
      </c>
      <c r="D79" s="12" t="n">
        <f aca="false">Cost_k*Alpha_keep*A79</f>
        <v>212.55</v>
      </c>
      <c r="E79" s="12" t="n">
        <f aca="false">MIN(Cap_h,MAX(0,$B$18+MAX(Loss_w)-Alpha_keep*A79))</f>
        <v>0</v>
      </c>
      <c r="F79" s="12" t="n">
        <f aca="false">MAX(MIN(Cap_h,$F$18+MIN(Loss_w)-Alpha_keep*A79),E79)</f>
        <v>2.5</v>
      </c>
      <c r="G79" s="12" t="n">
        <f aca="false">Alpha_keep*A79+E79</f>
        <v>53.1375</v>
      </c>
      <c r="H79" s="12" t="n">
        <f aca="false">Alpha_keep*A79+F79</f>
        <v>55.6375</v>
      </c>
      <c r="I79" s="19" t="n">
        <f aca="false">MIN(INT((G79-$B$18)/$D$18+0.000000001),119)</f>
        <v>52</v>
      </c>
      <c r="J79" s="12" t="n">
        <f aca="false">(G79-$B$18)/$D$18-I79</f>
        <v>0.549999999999983</v>
      </c>
      <c r="K79" s="19" t="n">
        <f aca="false">MIN(INT((H79-$B$18)/$D$18+0.000000001),119)</f>
        <v>62</v>
      </c>
      <c r="L79" s="12" t="n">
        <f aca="false">(H79-$B$18)/$D$18-K79</f>
        <v>0.549999999999983</v>
      </c>
      <c r="M79" s="9" t="n">
        <v>0</v>
      </c>
      <c r="N79" s="12" t="n">
        <f aca="false">-Cost_k*$A79+Beta_q*(Declarations!$B$16*INDEX(M$21:M$141,MAX(1,MIN(121,$B79-ROUND(Declarations!$A$16/$D$18,0))))+Declarations!$B$17*INDEX(M$21:M$141,MAX(1,MIN(121,$B79-ROUND(Declarations!$A$17/$D$18,0))))+Declarations!$B$18*INDEX(M$21:M$141,MAX(1,MIN(121,$B79-ROUND(Declarations!$A$18/$D$18,0))))+Declarations!$B$19*INDEX(M$21:M$141,MAX(1,MIN(121,$B79-ROUND(Declarations!$A$19/$D$18,0))))+Declarations!$B$20*INDEX(M$21:M$141,MAX(1,MIN(121,$B79-ROUND(Declarations!$A$20/$D$18,0)))))</f>
        <v>-218</v>
      </c>
      <c r="O79" s="12" t="n">
        <f aca="false">INDEX(N$21:N$141,$I79+1)*(1-$J79)+INDEX(N$21:N$141,$I79+2)*$J79</f>
        <v>-212.55</v>
      </c>
      <c r="P79" s="12" t="n">
        <f aca="false">INDEX(N$21:N$141,$K79+1)*(1-$L79)+INDEX(N$21:N$141,$K79+2)*$L79</f>
        <v>-222.55</v>
      </c>
      <c r="Q79" s="12" t="n">
        <f aca="false">$C79+$D79+MAX(O79,P79,IF(COUNTIFS($A$21:$A$141,"&gt;="&amp;$G79,$A$21:$A$141,"&lt;="&amp;$H79)&gt;0,_xlfn.MAXIFS(N$21:N$141,$A$21:$A$141,"&gt;="&amp;$G79,$A$21:$A$141,"&lt;="&amp;$H79),O79))</f>
        <v>-0.800000000000011</v>
      </c>
      <c r="R79" s="12" t="n">
        <f aca="false">-Cost_k*$A79+Beta_q*(Declarations!$B$16*INDEX(Q$21:Q$141,MAX(1,MIN(121,$B79-ROUND(Declarations!$A$16/$D$18,0))))+Declarations!$B$17*INDEX(Q$21:Q$141,MAX(1,MIN(121,$B79-ROUND(Declarations!$A$17/$D$18,0))))+Declarations!$B$18*INDEX(Q$21:Q$141,MAX(1,MIN(121,$B79-ROUND(Declarations!$A$18/$D$18,0))))+Declarations!$B$19*INDEX(Q$21:Q$141,MAX(1,MIN(121,$B79-ROUND(Declarations!$A$19/$D$18,0))))+Declarations!$B$20*INDEX(Q$21:Q$141,MAX(1,MIN(121,$B79-ROUND(Declarations!$A$20/$D$18,0)))))</f>
        <v>-218.937395926089</v>
      </c>
      <c r="S79" s="12" t="n">
        <f aca="false">INDEX(R$21:R$141,$I79+1)*(1-$J79)+INDEX(R$21:R$141,$I79+2)*$J79</f>
        <v>-215.459833187235</v>
      </c>
      <c r="T79" s="12" t="n">
        <f aca="false">INDEX(R$21:R$141,$K79+1)*(1-$L79)+INDEX(R$21:R$141,$K79+2)*$L79</f>
        <v>-222.652527679416</v>
      </c>
      <c r="U79" s="12" t="n">
        <f aca="false">$C79+$D79+MAX(S79,T79,IF(COUNTIFS($A$21:$A$141,"&gt;="&amp;$G79,$A$21:$A$141,"&lt;="&amp;$H79)&gt;0,_xlfn.MAXIFS(R$21:R$141,$A$21:$A$141,"&gt;="&amp;$G79,$A$21:$A$141,"&lt;="&amp;$H79),S79))</f>
        <v>-3.70983318723543</v>
      </c>
      <c r="V79" s="12" t="n">
        <f aca="false">-Cost_k*$A79+Beta_q*(Declarations!$B$16*INDEX(U$21:U$141,MAX(1,MIN(121,$B79-ROUND(Declarations!$A$16/$D$18,0))))+Declarations!$B$17*INDEX(U$21:U$141,MAX(1,MIN(121,$B79-ROUND(Declarations!$A$17/$D$18,0))))+Declarations!$B$18*INDEX(U$21:U$141,MAX(1,MIN(121,$B79-ROUND(Declarations!$A$18/$D$18,0))))+Declarations!$B$19*INDEX(U$21:U$141,MAX(1,MIN(121,$B79-ROUND(Declarations!$A$19/$D$18,0))))+Declarations!$B$20*INDEX(U$21:U$141,MAX(1,MIN(121,$B79-ROUND(Declarations!$A$20/$D$18,0)))))</f>
        <v>-221.79387449721</v>
      </c>
      <c r="W79" s="12" t="n">
        <f aca="false">INDEX(V$21:V$141,$I79+1)*(1-$J79)+INDEX(V$21:V$141,$I79+2)*$J79</f>
        <v>-220.327736436629</v>
      </c>
      <c r="X79" s="12" t="n">
        <f aca="false">INDEX(V$21:V$141,$K79+1)*(1-$L79)+INDEX(V$21:V$141,$K79+2)*$L79</f>
        <v>-223.972964909152</v>
      </c>
      <c r="Y79" s="12" t="n">
        <f aca="false">$C79+$D79+MAX(W79,X79,IF(COUNTIFS($A$21:$A$141,"&gt;="&amp;$G79,$A$21:$A$141,"&lt;="&amp;$H79)&gt;0,_xlfn.MAXIFS(V$21:V$141,$A$21:$A$141,"&gt;="&amp;$G79,$A$21:$A$141,"&lt;="&amp;$H79),W79))</f>
        <v>-8.57773643662881</v>
      </c>
      <c r="Z79" s="12" t="n">
        <f aca="false">-Cost_k*$A79+Beta_q*(Declarations!$B$16*INDEX(Y$21:Y$141,MAX(1,MIN(121,$B79-ROUND(Declarations!$A$16/$D$18,0))))+Declarations!$B$17*INDEX(Y$21:Y$141,MAX(1,MIN(121,$B79-ROUND(Declarations!$A$17/$D$18,0))))+Declarations!$B$18*INDEX(Y$21:Y$141,MAX(1,MIN(121,$B79-ROUND(Declarations!$A$18/$D$18,0))))+Declarations!$B$19*INDEX(Y$21:Y$141,MAX(1,MIN(121,$B79-ROUND(Declarations!$A$19/$D$18,0))))+Declarations!$B$20*INDEX(Y$21:Y$141,MAX(1,MIN(121,$B79-ROUND(Declarations!$A$20/$D$18,0)))))</f>
        <v>-226.548422964505</v>
      </c>
      <c r="AA79" s="12" t="n">
        <f aca="false">INDEX(Z$21:Z$141,$I79+1)*(1-$J79)+INDEX(Z$21:Z$141,$I79+2)*$J79</f>
        <v>-227.010422470662</v>
      </c>
      <c r="AB79" s="12" t="n">
        <f aca="false">INDEX(Z$21:Z$141,$K79+1)*(1-$L79)+INDEX(Z$21:Z$141,$K79+2)*$L79</f>
        <v>-227.138468273463</v>
      </c>
      <c r="AC79" s="12" t="n">
        <f aca="false">$C79+$D79+MAX(AA79,AB79,IF(COUNTIFS($A$21:$A$141,"&gt;="&amp;$G79,$A$21:$A$141,"&lt;="&amp;$H79)&gt;0,_xlfn.MAXIFS(Z$21:Z$141,$A$21:$A$141,"&gt;="&amp;$G79,$A$21:$A$141,"&lt;="&amp;$H79),AA79))</f>
        <v>-14.7892600650805</v>
      </c>
      <c r="AD79" s="12" t="n">
        <f aca="false">-Cost_k*$A79+Beta_q*(Declarations!$B$16*INDEX(AC$21:AC$141,MAX(1,MIN(121,$B79-ROUND(Declarations!$A$16/$D$18,0))))+Declarations!$B$17*INDEX(AC$21:AC$141,MAX(1,MIN(121,$B79-ROUND(Declarations!$A$17/$D$18,0))))+Declarations!$B$18*INDEX(AC$21:AC$141,MAX(1,MIN(121,$B79-ROUND(Declarations!$A$18/$D$18,0))))+Declarations!$B$19*INDEX(AC$21:AC$141,MAX(1,MIN(121,$B79-ROUND(Declarations!$A$19/$D$18,0))))+Declarations!$B$20*INDEX(AC$21:AC$141,MAX(1,MIN(121,$B79-ROUND(Declarations!$A$20/$D$18,0)))))</f>
        <v>-232.599543000376</v>
      </c>
      <c r="AE79" s="12" t="n">
        <f aca="false">INDEX(AD$21:AD$141,$I79+1)*(1-$J79)+INDEX(AD$21:AD$141,$I79+2)*$J79</f>
        <v>-234.405225358775</v>
      </c>
      <c r="AF79" s="12" t="n">
        <f aca="false">INDEX(AD$21:AD$141,$K79+1)*(1-$L79)+INDEX(AD$21:AD$141,$K79+2)*$L79</f>
        <v>-232.023875061831</v>
      </c>
      <c r="AG79" s="12" t="n">
        <f aca="false">$C79+$D79+MAX(AE79,AF79,IF(COUNTIFS($A$21:$A$141,"&gt;="&amp;$G79,$A$21:$A$141,"&lt;="&amp;$H79)&gt;0,_xlfn.MAXIFS(AD$21:AD$141,$A$21:$A$141,"&gt;="&amp;$G79,$A$21:$A$141,"&lt;="&amp;$H79),AE79))</f>
        <v>-20.273875061831</v>
      </c>
      <c r="AH79" s="12" t="n">
        <f aca="false">-Cost_k*$A79+Beta_q*(Declarations!$B$16*INDEX(AG$21:AG$141,MAX(1,MIN(121,$B79-ROUND(Declarations!$A$16/$D$18,0))))+Declarations!$B$17*INDEX(AG$21:AG$141,MAX(1,MIN(121,$B79-ROUND(Declarations!$A$17/$D$18,0))))+Declarations!$B$18*INDEX(AG$21:AG$141,MAX(1,MIN(121,$B79-ROUND(Declarations!$A$18/$D$18,0))))+Declarations!$B$19*INDEX(AG$21:AG$141,MAX(1,MIN(121,$B79-ROUND(Declarations!$A$19/$D$18,0))))+Declarations!$B$20*INDEX(AG$21:AG$141,MAX(1,MIN(121,$B79-ROUND(Declarations!$A$20/$D$18,0)))))</f>
        <v>-238.030573390213</v>
      </c>
      <c r="AI79" s="12" t="n">
        <f aca="false">INDEX(AH$21:AH$141,$I79+1)*(1-$J79)+INDEX(AH$21:AH$141,$I79+2)*$J79</f>
        <v>-240.542872412708</v>
      </c>
      <c r="AJ79" s="12" t="n">
        <f aca="false">INDEX(AH$21:AH$141,$K79+1)*(1-$L79)+INDEX(AH$21:AH$141,$K79+2)*$L79</f>
        <v>-237.330816409928</v>
      </c>
      <c r="AK79" s="12" t="n">
        <f aca="false">$C79+$D79+MAX(AI79,AJ79,IF(COUNTIFS($A$21:$A$141,"&gt;="&amp;$G79,$A$21:$A$141,"&lt;="&amp;$H79)&gt;0,_xlfn.MAXIFS(AH$21:AH$141,$A$21:$A$141,"&gt;="&amp;$G79,$A$21:$A$141,"&lt;="&amp;$H79),AI79))</f>
        <v>-25.580816409928</v>
      </c>
      <c r="AL79" s="12" t="n">
        <f aca="false">-Cost_k*$A79+Beta_q*(Declarations!$B$16*INDEX(AK$21:AK$141,MAX(1,MIN(121,$B79-ROUND(Declarations!$A$16/$D$18,0))))+Declarations!$B$17*INDEX(AK$21:AK$141,MAX(1,MIN(121,$B79-ROUND(Declarations!$A$17/$D$18,0))))+Declarations!$B$18*INDEX(AK$21:AK$141,MAX(1,MIN(121,$B79-ROUND(Declarations!$A$18/$D$18,0))))+Declarations!$B$19*INDEX(AK$21:AK$141,MAX(1,MIN(121,$B79-ROUND(Declarations!$A$19/$D$18,0))))+Declarations!$B$20*INDEX(AK$21:AK$141,MAX(1,MIN(121,$B79-ROUND(Declarations!$A$20/$D$18,0)))))</f>
        <v>-243.233767731317</v>
      </c>
      <c r="AM79" s="12" t="n">
        <f aca="false">INDEX(AL$21:AL$141,$I79+1)*(1-$J79)+INDEX(AL$21:AL$141,$I79+2)*$J79</f>
        <v>-245.974429996276</v>
      </c>
      <c r="AN79" s="12" t="n">
        <f aca="false">INDEX(AL$21:AL$141,$K79+1)*(1-$L79)+INDEX(AL$21:AL$141,$K79+2)*$L79</f>
        <v>-242.501129655028</v>
      </c>
      <c r="AO79" s="12" t="n">
        <f aca="false">$C79+$D79+MAX(AM79,AN79,IF(COUNTIFS($A$21:$A$141,"&gt;="&amp;$G79,$A$21:$A$141,"&lt;="&amp;$H79)&gt;0,_xlfn.MAXIFS(AL$21:AL$141,$A$21:$A$141,"&gt;="&amp;$G79,$A$21:$A$141,"&lt;="&amp;$H79),AM79))</f>
        <v>-30.7511296550279</v>
      </c>
      <c r="AP79" s="12" t="n">
        <f aca="false">-Cost_k*$A79+Beta_q*(Declarations!$B$16*INDEX(AO$21:AO$141,MAX(1,MIN(121,$B79-ROUND(Declarations!$A$16/$D$18,0))))+Declarations!$B$17*INDEX(AO$21:AO$141,MAX(1,MIN(121,$B79-ROUND(Declarations!$A$17/$D$18,0))))+Declarations!$B$18*INDEX(AO$21:AO$141,MAX(1,MIN(121,$B79-ROUND(Declarations!$A$18/$D$18,0))))+Declarations!$B$19*INDEX(AO$21:AO$141,MAX(1,MIN(121,$B79-ROUND(Declarations!$A$19/$D$18,0))))+Declarations!$B$20*INDEX(AO$21:AO$141,MAX(1,MIN(121,$B79-ROUND(Declarations!$A$20/$D$18,0)))))</f>
        <v>-248.287861482369</v>
      </c>
      <c r="AQ79" s="12" t="n">
        <f aca="false">INDEX(AP$21:AP$141,$I79+1)*(1-$J79)+INDEX(AP$21:AP$141,$I79+2)*$J79</f>
        <v>-251.096588401402</v>
      </c>
      <c r="AR79" s="12" t="n">
        <f aca="false">INDEX(AP$21:AP$141,$K79+1)*(1-$L79)+INDEX(AP$21:AP$141,$K79+2)*$L79</f>
        <v>-247.549136771704</v>
      </c>
      <c r="AS79" s="12" t="n">
        <f aca="false">$C79+$D79+MAX(AQ79,AR79,IF(COUNTIFS($A$21:$A$141,"&gt;="&amp;$G79,$A$21:$A$141,"&lt;="&amp;$H79)&gt;0,_xlfn.MAXIFS(AP$21:AP$141,$A$21:$A$141,"&gt;="&amp;$G79,$A$21:$A$141,"&lt;="&amp;$H79),AQ79))</f>
        <v>-35.7991367717039</v>
      </c>
      <c r="AT79" s="12" t="n">
        <f aca="false">-Cost_k*$A79+Beta_q*(Declarations!$B$16*INDEX(AS$21:AS$141,MAX(1,MIN(121,$B79-ROUND(Declarations!$A$16/$D$18,0))))+Declarations!$B$17*INDEX(AS$21:AS$141,MAX(1,MIN(121,$B79-ROUND(Declarations!$A$17/$D$18,0))))+Declarations!$B$18*INDEX(AS$21:AS$141,MAX(1,MIN(121,$B79-ROUND(Declarations!$A$18/$D$18,0))))+Declarations!$B$19*INDEX(AS$21:AS$141,MAX(1,MIN(121,$B79-ROUND(Declarations!$A$19/$D$18,0))))+Declarations!$B$20*INDEX(AS$21:AS$141,MAX(1,MIN(121,$B79-ROUND(Declarations!$A$20/$D$18,0)))))</f>
        <v>-253.218048020416</v>
      </c>
      <c r="AU79" s="12" t="n">
        <f aca="false">INDEX(AT$21:AT$141,$I79+1)*(1-$J79)+INDEX(AT$21:AT$141,$I79+2)*$J79</f>
        <v>-256.043749276757</v>
      </c>
      <c r="AV79" s="12" t="n">
        <f aca="false">INDEX(AT$21:AT$141,$K79+1)*(1-$L79)+INDEX(AT$21:AT$141,$K79+2)*$L79</f>
        <v>-252.478193665837</v>
      </c>
      <c r="AW79" s="12" t="n">
        <f aca="false">$C79+$D79+MAX(AU79,AV79,IF(COUNTIFS($A$21:$A$141,"&gt;="&amp;$G79,$A$21:$A$141,"&lt;="&amp;$H79)&gt;0,_xlfn.MAXIFS(AT$21:AT$141,$A$21:$A$141,"&gt;="&amp;$G79,$A$21:$A$141,"&lt;="&amp;$H79),AU79))</f>
        <v>-40.7281936658368</v>
      </c>
      <c r="AX79" s="12" t="n">
        <f aca="false">-Cost_k*$A79+Beta_q*(Declarations!$B$16*INDEX(AW$21:AW$141,MAX(1,MIN(121,$B79-ROUND(Declarations!$A$16/$D$18,0))))+Declarations!$B$17*INDEX(AW$21:AW$141,MAX(1,MIN(121,$B79-ROUND(Declarations!$A$17/$D$18,0))))+Declarations!$B$18*INDEX(AW$21:AW$141,MAX(1,MIN(121,$B79-ROUND(Declarations!$A$18/$D$18,0))))+Declarations!$B$19*INDEX(AW$21:AW$141,MAX(1,MIN(121,$B79-ROUND(Declarations!$A$19/$D$18,0))))+Declarations!$B$20*INDEX(AW$21:AW$141,MAX(1,MIN(121,$B79-ROUND(Declarations!$A$20/$D$18,0)))))</f>
        <v>-258.031240456966</v>
      </c>
      <c r="AY79" s="12" t="n">
        <f aca="false">INDEX(AX$21:AX$141,$I79+1)*(1-$J79)+INDEX(AX$21:AX$141,$I79+2)*$J79</f>
        <v>-260.86084439516</v>
      </c>
      <c r="AZ79" s="12" t="n">
        <f aca="false">INDEX(AX$21:AX$141,$K79+1)*(1-$L79)+INDEX(AX$21:AX$141,$K79+2)*$L79</f>
        <v>-257.291181228322</v>
      </c>
      <c r="BA79" s="12" t="n">
        <f aca="false">$C79+$D79+MAX(AY79,AZ79,IF(COUNTIFS($A$21:$A$141,"&gt;="&amp;$G79,$A$21:$A$141,"&lt;="&amp;$H79)&gt;0,_xlfn.MAXIFS(AX$21:AX$141,$A$21:$A$141,"&gt;="&amp;$G79,$A$21:$A$141,"&lt;="&amp;$H79),AY79))</f>
        <v>-45.5411812283222</v>
      </c>
      <c r="BB79" s="12" t="n">
        <f aca="false">-Cost_k*$A79+Beta_q*(Declarations!$B$16*INDEX(BA$21:BA$141,MAX(1,MIN(121,$B79-ROUND(Declarations!$A$16/$D$18,0))))+Declarations!$B$17*INDEX(BA$21:BA$141,MAX(1,MIN(121,$B79-ROUND(Declarations!$A$17/$D$18,0))))+Declarations!$B$18*INDEX(BA$21:BA$141,MAX(1,MIN(121,$B79-ROUND(Declarations!$A$18/$D$18,0))))+Declarations!$B$19*INDEX(BA$21:BA$141,MAX(1,MIN(121,$B79-ROUND(Declarations!$A$19/$D$18,0))))+Declarations!$B$20*INDEX(BA$21:BA$141,MAX(1,MIN(121,$B79-ROUND(Declarations!$A$20/$D$18,0)))))</f>
        <v>-262.73093802591</v>
      </c>
      <c r="BC79" s="12" t="n">
        <f aca="false">INDEX(BB$21:BB$141,$I79+1)*(1-$J79)+INDEX(BB$21:BB$141,$I79+2)*$J79</f>
        <v>-265.561380274743</v>
      </c>
      <c r="BD79" s="12" t="n">
        <f aca="false">INDEX(BB$21:BB$141,$K79+1)*(1-$L79)+INDEX(BB$21:BB$141,$K79+2)*$L79</f>
        <v>-261.990840885939</v>
      </c>
      <c r="BE79" s="12" t="n">
        <f aca="false">$C79+$D79+MAX(BC79,BD79,IF(COUNTIFS($A$21:$A$141,"&gt;="&amp;$G79,$A$21:$A$141,"&lt;="&amp;$H79)&gt;0,_xlfn.MAXIFS(BB$21:BB$141,$A$21:$A$141,"&gt;="&amp;$G79,$A$21:$A$141,"&lt;="&amp;$H79),BC79))</f>
        <v>-50.2408408859393</v>
      </c>
      <c r="BF79" s="12" t="n">
        <f aca="false">-Cost_k*$A79+Beta_q*(Declarations!$B$16*INDEX(BE$21:BE$141,MAX(1,MIN(121,$B79-ROUND(Declarations!$A$16/$D$18,0))))+Declarations!$B$17*INDEX(BE$21:BE$141,MAX(1,MIN(121,$B79-ROUND(Declarations!$A$17/$D$18,0))))+Declarations!$B$18*INDEX(BE$21:BE$141,MAX(1,MIN(121,$B79-ROUND(Declarations!$A$18/$D$18,0))))+Declarations!$B$19*INDEX(BE$21:BE$141,MAX(1,MIN(121,$B79-ROUND(Declarations!$A$19/$D$18,0))))+Declarations!$B$20*INDEX(BE$21:BE$141,MAX(1,MIN(121,$B79-ROUND(Declarations!$A$20/$D$18,0)))))</f>
        <v>-267.319946665566</v>
      </c>
      <c r="BG79" s="12" t="n">
        <f aca="false">INDEX(BF$21:BF$141,$I79+1)*(1-$J79)+INDEX(BF$21:BF$141,$I79+2)*$J79</f>
        <v>-270.150564375362</v>
      </c>
      <c r="BH79" s="12" t="n">
        <f aca="false">INDEX(BF$21:BF$141,$K79+1)*(1-$L79)+INDEX(BF$21:BF$141,$K79+2)*$L79</f>
        <v>-266.579842506331</v>
      </c>
      <c r="BI79" s="12" t="n">
        <f aca="false">$C79+$D79+MAX(BG79,BH79,IF(COUNTIFS($A$21:$A$141,"&gt;="&amp;$G79,$A$21:$A$141,"&lt;="&amp;$H79)&gt;0,_xlfn.MAXIFS(BF$21:BF$141,$A$21:$A$141,"&gt;="&amp;$G79,$A$21:$A$141,"&lt;="&amp;$H79),BG79))</f>
        <v>-54.8298425063306</v>
      </c>
      <c r="BJ79" s="23" t="n">
        <v>-54.8298425063306</v>
      </c>
      <c r="BK79" s="22" t="n">
        <f aca="false">ABS(BI79-BJ79)</f>
        <v>0</v>
      </c>
    </row>
    <row r="80" customFormat="false" ht="15" hidden="false" customHeight="false" outlineLevel="0" collapsed="false">
      <c r="A80" s="14" t="n">
        <f aca="false">A79+$D$18</f>
        <v>54.75</v>
      </c>
      <c r="B80" s="19" t="n">
        <v>60</v>
      </c>
      <c r="C80" s="12" t="n">
        <f aca="false">-Short_p*MAX(Floor_c-A80,0)</f>
        <v>-0.4</v>
      </c>
      <c r="D80" s="12" t="n">
        <f aca="false">Cost_k*Alpha_keep*A80</f>
        <v>213.525</v>
      </c>
      <c r="E80" s="12" t="n">
        <f aca="false">MIN(Cap_h,MAX(0,$B$18+MAX(Loss_w)-Alpha_keep*A80))</f>
        <v>0</v>
      </c>
      <c r="F80" s="12" t="n">
        <f aca="false">MAX(MIN(Cap_h,$F$18+MIN(Loss_w)-Alpha_keep*A80),E80)</f>
        <v>2.5</v>
      </c>
      <c r="G80" s="12" t="n">
        <f aca="false">Alpha_keep*A80+E80</f>
        <v>53.38125</v>
      </c>
      <c r="H80" s="12" t="n">
        <f aca="false">Alpha_keep*A80+F80</f>
        <v>55.88125</v>
      </c>
      <c r="I80" s="19" t="n">
        <f aca="false">MIN(INT((G80-$B$18)/$D$18+0.000000001),119)</f>
        <v>53</v>
      </c>
      <c r="J80" s="12" t="n">
        <f aca="false">(G80-$B$18)/$D$18-I80</f>
        <v>0.525000000000006</v>
      </c>
      <c r="K80" s="19" t="n">
        <f aca="false">MIN(INT((H80-$B$18)/$D$18+0.000000001),119)</f>
        <v>63</v>
      </c>
      <c r="L80" s="12" t="n">
        <f aca="false">(H80-$B$18)/$D$18-K80</f>
        <v>0.525000000000006</v>
      </c>
      <c r="M80" s="9" t="n">
        <v>0</v>
      </c>
      <c r="N80" s="12" t="n">
        <f aca="false">-Cost_k*$A80+Beta_q*(Declarations!$B$16*INDEX(M$21:M$141,MAX(1,MIN(121,$B80-ROUND(Declarations!$A$16/$D$18,0))))+Declarations!$B$17*INDEX(M$21:M$141,MAX(1,MIN(121,$B80-ROUND(Declarations!$A$17/$D$18,0))))+Declarations!$B$18*INDEX(M$21:M$141,MAX(1,MIN(121,$B80-ROUND(Declarations!$A$18/$D$18,0))))+Declarations!$B$19*INDEX(M$21:M$141,MAX(1,MIN(121,$B80-ROUND(Declarations!$A$19/$D$18,0))))+Declarations!$B$20*INDEX(M$21:M$141,MAX(1,MIN(121,$B80-ROUND(Declarations!$A$20/$D$18,0)))))</f>
        <v>-219</v>
      </c>
      <c r="O80" s="12" t="n">
        <f aca="false">INDEX(N$21:N$141,$I80+1)*(1-$J80)+INDEX(N$21:N$141,$I80+2)*$J80</f>
        <v>-213.525</v>
      </c>
      <c r="P80" s="12" t="n">
        <f aca="false">INDEX(N$21:N$141,$K80+1)*(1-$L80)+INDEX(N$21:N$141,$K80+2)*$L80</f>
        <v>-223.525</v>
      </c>
      <c r="Q80" s="12" t="n">
        <f aca="false">$C80+$D80+MAX(O80,P80,IF(COUNTIFS($A$21:$A$141,"&gt;="&amp;$G80,$A$21:$A$141,"&lt;="&amp;$H80)&gt;0,_xlfn.MAXIFS(N$21:N$141,$A$21:$A$141,"&gt;="&amp;$G80,$A$21:$A$141,"&lt;="&amp;$H80),O80))</f>
        <v>-0.400000000000006</v>
      </c>
      <c r="R80" s="12" t="n">
        <f aca="false">-Cost_k*$A80+Beta_q*(Declarations!$B$16*INDEX(Q$21:Q$141,MAX(1,MIN(121,$B80-ROUND(Declarations!$A$16/$D$18,0))))+Declarations!$B$17*INDEX(Q$21:Q$141,MAX(1,MIN(121,$B80-ROUND(Declarations!$A$17/$D$18,0))))+Declarations!$B$18*INDEX(Q$21:Q$141,MAX(1,MIN(121,$B80-ROUND(Declarations!$A$18/$D$18,0))))+Declarations!$B$19*INDEX(Q$21:Q$141,MAX(1,MIN(121,$B80-ROUND(Declarations!$A$19/$D$18,0))))+Declarations!$B$20*INDEX(Q$21:Q$141,MAX(1,MIN(121,$B80-ROUND(Declarations!$A$20/$D$18,0)))))</f>
        <v>-219.644459699186</v>
      </c>
      <c r="S80" s="12" t="n">
        <f aca="false">INDEX(R$21:R$141,$I80+1)*(1-$J80)+INDEX(R$21:R$141,$I80+2)*$J80</f>
        <v>-216.054016092262</v>
      </c>
      <c r="T80" s="12" t="n">
        <f aca="false">INDEX(R$21:R$141,$K80+1)*(1-$L80)+INDEX(R$21:R$141,$K80+2)*$L80</f>
        <v>-223.573334477439</v>
      </c>
      <c r="U80" s="12" t="n">
        <f aca="false">$C80+$D80+MAX(S80,T80,IF(COUNTIFS($A$21:$A$141,"&gt;="&amp;$G80,$A$21:$A$141,"&lt;="&amp;$H80)&gt;0,_xlfn.MAXIFS(R$21:R$141,$A$21:$A$141,"&gt;="&amp;$G80,$A$21:$A$141,"&lt;="&amp;$H80),S80))</f>
        <v>-2.92901609226163</v>
      </c>
      <c r="V80" s="12" t="n">
        <f aca="false">-Cost_k*$A80+Beta_q*(Declarations!$B$16*INDEX(U$21:U$141,MAX(1,MIN(121,$B80-ROUND(Declarations!$A$16/$D$18,0))))+Declarations!$B$17*INDEX(U$21:U$141,MAX(1,MIN(121,$B80-ROUND(Declarations!$A$17/$D$18,0))))+Declarations!$B$18*INDEX(U$21:U$141,MAX(1,MIN(121,$B80-ROUND(Declarations!$A$18/$D$18,0))))+Declarations!$B$19*INDEX(U$21:U$141,MAX(1,MIN(121,$B80-ROUND(Declarations!$A$19/$D$18,0))))+Declarations!$B$20*INDEX(U$21:U$141,MAX(1,MIN(121,$B80-ROUND(Declarations!$A$20/$D$18,0)))))</f>
        <v>-222.137454494722</v>
      </c>
      <c r="W80" s="12" t="n">
        <f aca="false">INDEX(V$21:V$141,$I80+1)*(1-$J80)+INDEX(V$21:V$141,$I80+2)*$J80</f>
        <v>-220.559615476024</v>
      </c>
      <c r="X80" s="12" t="n">
        <f aca="false">INDEX(V$21:V$141,$K80+1)*(1-$L80)+INDEX(V$21:V$141,$K80+2)*$L80</f>
        <v>-224.629584505204</v>
      </c>
      <c r="Y80" s="12" t="n">
        <f aca="false">$C80+$D80+MAX(W80,X80,IF(COUNTIFS($A$21:$A$141,"&gt;="&amp;$G80,$A$21:$A$141,"&lt;="&amp;$H80)&gt;0,_xlfn.MAXIFS(V$21:V$141,$A$21:$A$141,"&gt;="&amp;$G80,$A$21:$A$141,"&lt;="&amp;$H80),W80))</f>
        <v>-7.43461547602408</v>
      </c>
      <c r="Z80" s="12" t="n">
        <f aca="false">-Cost_k*$A80+Beta_q*(Declarations!$B$16*INDEX(Y$21:Y$141,MAX(1,MIN(121,$B80-ROUND(Declarations!$A$16/$D$18,0))))+Declarations!$B$17*INDEX(Y$21:Y$141,MAX(1,MIN(121,$B80-ROUND(Declarations!$A$17/$D$18,0))))+Declarations!$B$18*INDEX(Y$21:Y$141,MAX(1,MIN(121,$B80-ROUND(Declarations!$A$18/$D$18,0))))+Declarations!$B$19*INDEX(Y$21:Y$141,MAX(1,MIN(121,$B80-ROUND(Declarations!$A$19/$D$18,0))))+Declarations!$B$20*INDEX(Y$21:Y$141,MAX(1,MIN(121,$B80-ROUND(Declarations!$A$20/$D$18,0)))))</f>
        <v>-226.53926006508</v>
      </c>
      <c r="AA80" s="12" t="n">
        <f aca="false">INDEX(Z$21:Z$141,$I80+1)*(1-$J80)+INDEX(Z$21:Z$141,$I80+2)*$J80</f>
        <v>-226.897157682164</v>
      </c>
      <c r="AB80" s="12" t="n">
        <f aca="false">INDEX(Z$21:Z$141,$K80+1)*(1-$L80)+INDEX(Z$21:Z$141,$K80+2)*$L80</f>
        <v>-227.465194904836</v>
      </c>
      <c r="AC80" s="12" t="n">
        <f aca="false">$C80+$D80+MAX(AA80,AB80,IF(COUNTIFS($A$21:$A$141,"&gt;="&amp;$G80,$A$21:$A$141,"&lt;="&amp;$H80)&gt;0,_xlfn.MAXIFS(Z$21:Z$141,$A$21:$A$141,"&gt;="&amp;$G80,$A$21:$A$141,"&lt;="&amp;$H80),AA80))</f>
        <v>-13.4142600650804</v>
      </c>
      <c r="AD80" s="12" t="n">
        <f aca="false">-Cost_k*$A80+Beta_q*(Declarations!$B$16*INDEX(AC$21:AC$141,MAX(1,MIN(121,$B80-ROUND(Declarations!$A$16/$D$18,0))))+Declarations!$B$17*INDEX(AC$21:AC$141,MAX(1,MIN(121,$B80-ROUND(Declarations!$A$17/$D$18,0))))+Declarations!$B$18*INDEX(AC$21:AC$141,MAX(1,MIN(121,$B80-ROUND(Declarations!$A$18/$D$18,0))))+Declarations!$B$19*INDEX(AC$21:AC$141,MAX(1,MIN(121,$B80-ROUND(Declarations!$A$19/$D$18,0))))+Declarations!$B$20*INDEX(AC$21:AC$141,MAX(1,MIN(121,$B80-ROUND(Declarations!$A$20/$D$18,0)))))</f>
        <v>-232.353020568234</v>
      </c>
      <c r="AE80" s="12" t="n">
        <f aca="false">INDEX(AD$21:AD$141,$I80+1)*(1-$J80)+INDEX(AD$21:AD$141,$I80+2)*$J80</f>
        <v>-234.037687149975</v>
      </c>
      <c r="AF80" s="12" t="n">
        <f aca="false">INDEX(AD$21:AD$141,$K80+1)*(1-$L80)+INDEX(AD$21:AD$141,$K80+2)*$L80</f>
        <v>-232.062361492847</v>
      </c>
      <c r="AG80" s="12" t="n">
        <f aca="false">$C80+$D80+MAX(AE80,AF80,IF(COUNTIFS($A$21:$A$141,"&gt;="&amp;$G80,$A$21:$A$141,"&lt;="&amp;$H80)&gt;0,_xlfn.MAXIFS(AD$21:AD$141,$A$21:$A$141,"&gt;="&amp;$G80,$A$21:$A$141,"&lt;="&amp;$H80),AE80))</f>
        <v>-18.8901936264771</v>
      </c>
      <c r="AH80" s="12" t="n">
        <f aca="false">-Cost_k*$A80+Beta_q*(Declarations!$B$16*INDEX(AG$21:AG$141,MAX(1,MIN(121,$B80-ROUND(Declarations!$A$16/$D$18,0))))+Declarations!$B$17*INDEX(AG$21:AG$141,MAX(1,MIN(121,$B80-ROUND(Declarations!$A$17/$D$18,0))))+Declarations!$B$18*INDEX(AG$21:AG$141,MAX(1,MIN(121,$B80-ROUND(Declarations!$A$18/$D$18,0))))+Declarations!$B$19*INDEX(AG$21:AG$141,MAX(1,MIN(121,$B80-ROUND(Declarations!$A$19/$D$18,0))))+Declarations!$B$20*INDEX(AG$21:AG$141,MAX(1,MIN(121,$B80-ROUND(Declarations!$A$20/$D$18,0)))))</f>
        <v>-237.746015082818</v>
      </c>
      <c r="AI80" s="12" t="n">
        <f aca="false">INDEX(AH$21:AH$141,$I80+1)*(1-$J80)+INDEX(AH$21:AH$141,$I80+2)*$J80</f>
        <v>-239.991367853814</v>
      </c>
      <c r="AJ80" s="12" t="n">
        <f aca="false">INDEX(AH$21:AH$141,$K80+1)*(1-$L80)+INDEX(AH$21:AH$141,$K80+2)*$L80</f>
        <v>-237.324691799253</v>
      </c>
      <c r="AK80" s="12" t="n">
        <f aca="false">$C80+$D80+MAX(AI80,AJ80,IF(COUNTIFS($A$21:$A$141,"&gt;="&amp;$G80,$A$21:$A$141,"&lt;="&amp;$H80)&gt;0,_xlfn.MAXIFS(AH$21:AH$141,$A$21:$A$141,"&gt;="&amp;$G80,$A$21:$A$141,"&lt;="&amp;$H80),AI80))</f>
        <v>-24.1831760676685</v>
      </c>
      <c r="AL80" s="12" t="n">
        <f aca="false">-Cost_k*$A80+Beta_q*(Declarations!$B$16*INDEX(AK$21:AK$141,MAX(1,MIN(121,$B80-ROUND(Declarations!$A$16/$D$18,0))))+Declarations!$B$17*INDEX(AK$21:AK$141,MAX(1,MIN(121,$B80-ROUND(Declarations!$A$17/$D$18,0))))+Declarations!$B$18*INDEX(AK$21:AK$141,MAX(1,MIN(121,$B80-ROUND(Declarations!$A$18/$D$18,0))))+Declarations!$B$19*INDEX(AK$21:AK$141,MAX(1,MIN(121,$B80-ROUND(Declarations!$A$19/$D$18,0))))+Declarations!$B$20*INDEX(AK$21:AK$141,MAX(1,MIN(121,$B80-ROUND(Declarations!$A$20/$D$18,0)))))</f>
        <v>-242.93412892982</v>
      </c>
      <c r="AM80" s="12" t="n">
        <f aca="false">INDEX(AL$21:AL$141,$I80+1)*(1-$J80)+INDEX(AL$21:AL$141,$I80+2)*$J80</f>
        <v>-245.352478315106</v>
      </c>
      <c r="AN80" s="12" t="n">
        <f aca="false">INDEX(AL$21:AL$141,$K80+1)*(1-$L80)+INDEX(AL$21:AL$141,$K80+2)*$L80</f>
        <v>-242.492048157026</v>
      </c>
      <c r="AO80" s="12" t="n">
        <f aca="false">$C80+$D80+MAX(AM80,AN80,IF(COUNTIFS($A$21:$A$141,"&gt;="&amp;$G80,$A$21:$A$141,"&lt;="&amp;$H80)&gt;0,_xlfn.MAXIFS(AL$21:AL$141,$A$21:$A$141,"&gt;="&amp;$G80,$A$21:$A$141,"&lt;="&amp;$H80),AM80))</f>
        <v>-29.3526563065175</v>
      </c>
      <c r="AP80" s="12" t="n">
        <f aca="false">-Cost_k*$A80+Beta_q*(Declarations!$B$16*INDEX(AO$21:AO$141,MAX(1,MIN(121,$B80-ROUND(Declarations!$A$16/$D$18,0))))+Declarations!$B$17*INDEX(AO$21:AO$141,MAX(1,MIN(121,$B80-ROUND(Declarations!$A$17/$D$18,0))))+Declarations!$B$18*INDEX(AO$21:AO$141,MAX(1,MIN(121,$B80-ROUND(Declarations!$A$18/$D$18,0))))+Declarations!$B$19*INDEX(AO$21:AO$141,MAX(1,MIN(121,$B80-ROUND(Declarations!$A$19/$D$18,0))))+Declarations!$B$20*INDEX(AO$21:AO$141,MAX(1,MIN(121,$B80-ROUND(Declarations!$A$20/$D$18,0)))))</f>
        <v>-247.98549995734</v>
      </c>
      <c r="AQ80" s="12" t="n">
        <f aca="false">INDEX(AP$21:AP$141,$I80+1)*(1-$J80)+INDEX(AP$21:AP$141,$I80+2)*$J80</f>
        <v>-250.452093926693</v>
      </c>
      <c r="AR80" s="12" t="n">
        <f aca="false">INDEX(AP$21:AP$141,$K80+1)*(1-$L80)+INDEX(AP$21:AP$141,$K80+2)*$L80</f>
        <v>-247.539755517271</v>
      </c>
      <c r="AS80" s="12" t="n">
        <f aca="false">$C80+$D80+MAX(AQ80,AR80,IF(COUNTIFS($A$21:$A$141,"&gt;="&amp;$G80,$A$21:$A$141,"&lt;="&amp;$H80)&gt;0,_xlfn.MAXIFS(AP$21:AP$141,$A$21:$A$141,"&gt;="&amp;$G80,$A$21:$A$141,"&lt;="&amp;$H80),AQ80))</f>
        <v>-34.4005342393409</v>
      </c>
      <c r="AT80" s="12" t="n">
        <f aca="false">-Cost_k*$A80+Beta_q*(Declarations!$B$16*INDEX(AS$21:AS$141,MAX(1,MIN(121,$B80-ROUND(Declarations!$A$16/$D$18,0))))+Declarations!$B$17*INDEX(AS$21:AS$141,MAX(1,MIN(121,$B80-ROUND(Declarations!$A$17/$D$18,0))))+Declarations!$B$18*INDEX(AS$21:AS$141,MAX(1,MIN(121,$B80-ROUND(Declarations!$A$18/$D$18,0))))+Declarations!$B$19*INDEX(AS$21:AS$141,MAX(1,MIN(121,$B80-ROUND(Declarations!$A$19/$D$18,0))))+Declarations!$B$20*INDEX(AS$21:AS$141,MAX(1,MIN(121,$B80-ROUND(Declarations!$A$20/$D$18,0)))))</f>
        <v>-252.915120603505</v>
      </c>
      <c r="AU80" s="12" t="n">
        <f aca="false">INDEX(AT$21:AT$141,$I80+1)*(1-$J80)+INDEX(AT$21:AT$141,$I80+2)*$J80</f>
        <v>-255.393200910087</v>
      </c>
      <c r="AV80" s="12" t="n">
        <f aca="false">INDEX(AT$21:AT$141,$K80+1)*(1-$L80)+INDEX(AT$21:AT$141,$K80+2)*$L80</f>
        <v>-252.468778878096</v>
      </c>
      <c r="AW80" s="12" t="n">
        <f aca="false">$C80+$D80+MAX(AU80,AV80,IF(COUNTIFS($A$21:$A$141,"&gt;="&amp;$G80,$A$21:$A$141,"&lt;="&amp;$H80)&gt;0,_xlfn.MAXIFS(AT$21:AT$141,$A$21:$A$141,"&gt;="&amp;$G80,$A$21:$A$141,"&lt;="&amp;$H80),AU80))</f>
        <v>-39.3295746247619</v>
      </c>
      <c r="AX80" s="12" t="n">
        <f aca="false">-Cost_k*$A80+Beta_q*(Declarations!$B$16*INDEX(AW$21:AW$141,MAX(1,MIN(121,$B80-ROUND(Declarations!$A$16/$D$18,0))))+Declarations!$B$17*INDEX(AW$21:AW$141,MAX(1,MIN(121,$B80-ROUND(Declarations!$A$17/$D$18,0))))+Declarations!$B$18*INDEX(AW$21:AW$141,MAX(1,MIN(121,$B80-ROUND(Declarations!$A$18/$D$18,0))))+Declarations!$B$19*INDEX(AW$21:AW$141,MAX(1,MIN(121,$B80-ROUND(Declarations!$A$19/$D$18,0))))+Declarations!$B$20*INDEX(AW$21:AW$141,MAX(1,MIN(121,$B80-ROUND(Declarations!$A$20/$D$18,0)))))</f>
        <v>-257.72821071658</v>
      </c>
      <c r="AY80" s="12" t="n">
        <f aca="false">INDEX(AX$21:AX$141,$I80+1)*(1-$J80)+INDEX(AX$21:AX$141,$I80+2)*$J80</f>
        <v>-260.208796568286</v>
      </c>
      <c r="AZ80" s="12" t="n">
        <f aca="false">INDEX(AX$21:AX$141,$K80+1)*(1-$L80)+INDEX(AX$21:AX$141,$K80+2)*$L80</f>
        <v>-257.281761444851</v>
      </c>
      <c r="BA80" s="12" t="n">
        <f aca="false">$C80+$D80+MAX(AY80,AZ80,IF(COUNTIFS($A$21:$A$141,"&gt;="&amp;$G80,$A$21:$A$141,"&lt;="&amp;$H80)&gt;0,_xlfn.MAXIFS(AX$21:AX$141,$A$21:$A$141,"&gt;="&amp;$G80,$A$21:$A$141,"&lt;="&amp;$H80),AY80))</f>
        <v>-44.1425594116307</v>
      </c>
      <c r="BB80" s="12" t="n">
        <f aca="false">-Cost_k*$A80+Beta_q*(Declarations!$B$16*INDEX(BA$21:BA$141,MAX(1,MIN(121,$B80-ROUND(Declarations!$A$16/$D$18,0))))+Declarations!$B$17*INDEX(BA$21:BA$141,MAX(1,MIN(121,$B80-ROUND(Declarations!$A$17/$D$18,0))))+Declarations!$B$18*INDEX(BA$21:BA$141,MAX(1,MIN(121,$B80-ROUND(Declarations!$A$18/$D$18,0))))+Declarations!$B$19*INDEX(BA$21:BA$141,MAX(1,MIN(121,$B80-ROUND(Declarations!$A$19/$D$18,0))))+Declarations!$B$20*INDEX(BA$21:BA$141,MAX(1,MIN(121,$B80-ROUND(Declarations!$A$20/$D$18,0)))))</f>
        <v>-262.427888598251</v>
      </c>
      <c r="BC80" s="12" t="n">
        <f aca="false">INDEX(BB$21:BB$141,$I80+1)*(1-$J80)+INDEX(BB$21:BB$141,$I80+2)*$J80</f>
        <v>-264.908999819643</v>
      </c>
      <c r="BD80" s="12" t="n">
        <f aca="false">INDEX(BB$21:BB$141,$K80+1)*(1-$L80)+INDEX(BB$21:BB$141,$K80+2)*$L80</f>
        <v>-261.98142031954</v>
      </c>
      <c r="BE80" s="12" t="n">
        <f aca="false">$C80+$D80+MAX(BC80,BD80,IF(COUNTIFS($A$21:$A$141,"&gt;="&amp;$G80,$A$21:$A$141,"&lt;="&amp;$H80)&gt;0,_xlfn.MAXIFS(BB$21:BB$141,$A$21:$A$141,"&gt;="&amp;$G80,$A$21:$A$141,"&lt;="&amp;$H80),BC80))</f>
        <v>-48.8422186139989</v>
      </c>
      <c r="BF80" s="12" t="n">
        <f aca="false">-Cost_k*$A80+Beta_q*(Declarations!$B$16*INDEX(BE$21:BE$141,MAX(1,MIN(121,$B80-ROUND(Declarations!$A$16/$D$18,0))))+Declarations!$B$17*INDEX(BE$21:BE$141,MAX(1,MIN(121,$B80-ROUND(Declarations!$A$17/$D$18,0))))+Declarations!$B$18*INDEX(BE$21:BE$141,MAX(1,MIN(121,$B80-ROUND(Declarations!$A$18/$D$18,0))))+Declarations!$B$19*INDEX(BE$21:BE$141,MAX(1,MIN(121,$B80-ROUND(Declarations!$A$19/$D$18,0))))+Declarations!$B$20*INDEX(BE$21:BE$141,MAX(1,MIN(121,$B80-ROUND(Declarations!$A$20/$D$18,0)))))</f>
        <v>-267.01689357453</v>
      </c>
      <c r="BG80" s="12" t="n">
        <f aca="false">INDEX(BF$21:BF$141,$I80+1)*(1-$J80)+INDEX(BF$21:BF$141,$I80+2)*$J80</f>
        <v>-269.498111669643</v>
      </c>
      <c r="BH80" s="12" t="n">
        <f aca="false">INDEX(BF$21:BF$141,$K80+1)*(1-$L80)+INDEX(BF$21:BF$141,$K80+2)*$L80</f>
        <v>-266.570421805107</v>
      </c>
      <c r="BI80" s="12" t="n">
        <f aca="false">$C80+$D80+MAX(BG80,BH80,IF(COUNTIFS($A$21:$A$141,"&gt;="&amp;$G80,$A$21:$A$141,"&lt;="&amp;$H80)&gt;0,_xlfn.MAXIFS(BF$21:BF$141,$A$21:$A$141,"&gt;="&amp;$G80,$A$21:$A$141,"&lt;="&amp;$H80),BG80))</f>
        <v>-53.4312201537861</v>
      </c>
      <c r="BJ80" s="23" t="n">
        <v>-53.4312201537861</v>
      </c>
      <c r="BK80" s="22" t="n">
        <f aca="false">ABS(BI80-BJ80)</f>
        <v>0</v>
      </c>
    </row>
    <row r="81" customFormat="false" ht="15" hidden="false" customHeight="false" outlineLevel="0" collapsed="false">
      <c r="A81" s="14" t="n">
        <f aca="false">A80+$D$18</f>
        <v>55</v>
      </c>
      <c r="B81" s="19" t="n">
        <v>61</v>
      </c>
      <c r="C81" s="12" t="n">
        <f aca="false">-Short_p*MAX(Floor_c-A81,0)</f>
        <v>-0</v>
      </c>
      <c r="D81" s="12" t="n">
        <f aca="false">Cost_k*Alpha_keep*A81</f>
        <v>214.5</v>
      </c>
      <c r="E81" s="12" t="n">
        <f aca="false">MIN(Cap_h,MAX(0,$B$18+MAX(Loss_w)-Alpha_keep*A81))</f>
        <v>0</v>
      </c>
      <c r="F81" s="12" t="n">
        <f aca="false">MAX(MIN(Cap_h,$F$18+MIN(Loss_w)-Alpha_keep*A81),E81)</f>
        <v>2.5</v>
      </c>
      <c r="G81" s="12" t="n">
        <f aca="false">Alpha_keep*A81+E81</f>
        <v>53.625</v>
      </c>
      <c r="H81" s="12" t="n">
        <f aca="false">Alpha_keep*A81+F81</f>
        <v>56.125</v>
      </c>
      <c r="I81" s="19" t="n">
        <f aca="false">MIN(INT((G81-$B$18)/$D$18+0.000000001),119)</f>
        <v>54</v>
      </c>
      <c r="J81" s="12" t="n">
        <f aca="false">(G81-$B$18)/$D$18-I81</f>
        <v>0.5</v>
      </c>
      <c r="K81" s="19" t="n">
        <f aca="false">MIN(INT((H81-$B$18)/$D$18+0.000000001),119)</f>
        <v>64</v>
      </c>
      <c r="L81" s="12" t="n">
        <f aca="false">(H81-$B$18)/$D$18-K81</f>
        <v>0.5</v>
      </c>
      <c r="M81" s="9" t="n">
        <v>0</v>
      </c>
      <c r="N81" s="12" t="n">
        <f aca="false">-Cost_k*$A81+Beta_q*(Declarations!$B$16*INDEX(M$21:M$141,MAX(1,MIN(121,$B81-ROUND(Declarations!$A$16/$D$18,0))))+Declarations!$B$17*INDEX(M$21:M$141,MAX(1,MIN(121,$B81-ROUND(Declarations!$A$17/$D$18,0))))+Declarations!$B$18*INDEX(M$21:M$141,MAX(1,MIN(121,$B81-ROUND(Declarations!$A$18/$D$18,0))))+Declarations!$B$19*INDEX(M$21:M$141,MAX(1,MIN(121,$B81-ROUND(Declarations!$A$19/$D$18,0))))+Declarations!$B$20*INDEX(M$21:M$141,MAX(1,MIN(121,$B81-ROUND(Declarations!$A$20/$D$18,0)))))</f>
        <v>-220</v>
      </c>
      <c r="O81" s="12" t="n">
        <f aca="false">INDEX(N$21:N$141,$I81+1)*(1-$J81)+INDEX(N$21:N$141,$I81+2)*$J81</f>
        <v>-214.5</v>
      </c>
      <c r="P81" s="12" t="n">
        <f aca="false">INDEX(N$21:N$141,$K81+1)*(1-$L81)+INDEX(N$21:N$141,$K81+2)*$L81</f>
        <v>-224.5</v>
      </c>
      <c r="Q81" s="12" t="n">
        <f aca="false">$C81+$D81+MAX(O81,P81,IF(COUNTIFS($A$21:$A$141,"&gt;="&amp;$G81,$A$21:$A$141,"&lt;="&amp;$H81)&gt;0,_xlfn.MAXIFS(N$21:N$141,$A$21:$A$141,"&gt;="&amp;$G81,$A$21:$A$141,"&lt;="&amp;$H81),O81))</f>
        <v>0</v>
      </c>
      <c r="R81" s="12" t="n">
        <f aca="false">-Cost_k*$A81+Beta_q*(Declarations!$B$16*INDEX(Q$21:Q$141,MAX(1,MIN(121,$B81-ROUND(Declarations!$A$16/$D$18,0))))+Declarations!$B$17*INDEX(Q$21:Q$141,MAX(1,MIN(121,$B81-ROUND(Declarations!$A$17/$D$18,0))))+Declarations!$B$18*INDEX(Q$21:Q$141,MAX(1,MIN(121,$B81-ROUND(Declarations!$A$18/$D$18,0))))+Declarations!$B$19*INDEX(Q$21:Q$141,MAX(1,MIN(121,$B81-ROUND(Declarations!$A$19/$D$18,0))))+Declarations!$B$20*INDEX(Q$21:Q$141,MAX(1,MIN(121,$B81-ROUND(Declarations!$A$20/$D$18,0)))))</f>
        <v>-220.351523472283</v>
      </c>
      <c r="S81" s="12" t="n">
        <f aca="false">INDEX(R$21:R$141,$I81+1)*(1-$J81)+INDEX(R$21:R$141,$I81+2)*$J81</f>
        <v>-216.657963538185</v>
      </c>
      <c r="T81" s="12" t="n">
        <f aca="false">INDEX(R$21:R$141,$K81+1)*(1-$L81)+INDEX(R$21:R$141,$K81+2)*$L81</f>
        <v>-224.52929362269</v>
      </c>
      <c r="U81" s="12" t="n">
        <f aca="false">$C81+$D81+MAX(S81,T81,IF(COUNTIFS($A$21:$A$141,"&gt;="&amp;$G81,$A$21:$A$141,"&lt;="&amp;$H81)&gt;0,_xlfn.MAXIFS(R$21:R$141,$A$21:$A$141,"&gt;="&amp;$G81,$A$21:$A$141,"&lt;="&amp;$H81),S81))</f>
        <v>-2.15796353818465</v>
      </c>
      <c r="V81" s="12" t="n">
        <f aca="false">-Cost_k*$A81+Beta_q*(Declarations!$B$16*INDEX(U$21:U$141,MAX(1,MIN(121,$B81-ROUND(Declarations!$A$16/$D$18,0))))+Declarations!$B$17*INDEX(U$21:U$141,MAX(1,MIN(121,$B81-ROUND(Declarations!$A$17/$D$18,0))))+Declarations!$B$18*INDEX(U$21:U$141,MAX(1,MIN(121,$B81-ROUND(Declarations!$A$18/$D$18,0))))+Declarations!$B$19*INDEX(U$21:U$141,MAX(1,MIN(121,$B81-ROUND(Declarations!$A$19/$D$18,0))))+Declarations!$B$20*INDEX(U$21:U$141,MAX(1,MIN(121,$B81-ROUND(Declarations!$A$20/$D$18,0)))))</f>
        <v>-222.49562246985</v>
      </c>
      <c r="W81" s="12" t="n">
        <f aca="false">INDEX(V$21:V$141,$I81+1)*(1-$J81)+INDEX(V$21:V$141,$I81+2)*$J81</f>
        <v>-220.801700032764</v>
      </c>
      <c r="X81" s="12" t="n">
        <f aca="false">INDEX(V$21:V$141,$K81+1)*(1-$L81)+INDEX(V$21:V$141,$K81+2)*$L81</f>
        <v>-225.343538755624</v>
      </c>
      <c r="Y81" s="12" t="n">
        <f aca="false">$C81+$D81+MAX(W81,X81,IF(COUNTIFS($A$21:$A$141,"&gt;="&amp;$G81,$A$21:$A$141,"&lt;="&amp;$H81)&gt;0,_xlfn.MAXIFS(V$21:V$141,$A$21:$A$141,"&gt;="&amp;$G81,$A$21:$A$141,"&lt;="&amp;$H81),W81))</f>
        <v>-6.30170003276362</v>
      </c>
      <c r="Z81" s="12" t="n">
        <f aca="false">-Cost_k*$A81+Beta_q*(Declarations!$B$16*INDEX(Y$21:Y$141,MAX(1,MIN(121,$B81-ROUND(Declarations!$A$16/$D$18,0))))+Declarations!$B$17*INDEX(Y$21:Y$141,MAX(1,MIN(121,$B81-ROUND(Declarations!$A$17/$D$18,0))))+Declarations!$B$18*INDEX(Y$21:Y$141,MAX(1,MIN(121,$B81-ROUND(Declarations!$A$18/$D$18,0))))+Declarations!$B$19*INDEX(Y$21:Y$141,MAX(1,MIN(121,$B81-ROUND(Declarations!$A$19/$D$18,0))))+Declarations!$B$20*INDEX(Y$21:Y$141,MAX(1,MIN(121,$B81-ROUND(Declarations!$A$20/$D$18,0)))))</f>
        <v>-226.546336526595</v>
      </c>
      <c r="AA81" s="12" t="n">
        <f aca="false">INDEX(Z$21:Z$141,$I81+1)*(1-$J81)+INDEX(Z$21:Z$141,$I81+2)*$J81</f>
        <v>-226.794113350851</v>
      </c>
      <c r="AB81" s="12" t="n">
        <f aca="false">INDEX(Z$21:Z$141,$K81+1)*(1-$L81)+INDEX(Z$21:Z$141,$K81+2)*$L81</f>
        <v>-227.854237066422</v>
      </c>
      <c r="AC81" s="12" t="n">
        <f aca="false">$C81+$D81+MAX(AA81,AB81,IF(COUNTIFS($A$21:$A$141,"&gt;="&amp;$G81,$A$21:$A$141,"&lt;="&amp;$H81)&gt;0,_xlfn.MAXIFS(Z$21:Z$141,$A$21:$A$141,"&gt;="&amp;$G81,$A$21:$A$141,"&lt;="&amp;$H81),AA81))</f>
        <v>-12.0392600650804</v>
      </c>
      <c r="AD81" s="12" t="n">
        <f aca="false">-Cost_k*$A81+Beta_q*(Declarations!$B$16*INDEX(AC$21:AC$141,MAX(1,MIN(121,$B81-ROUND(Declarations!$A$16/$D$18,0))))+Declarations!$B$17*INDEX(AC$21:AC$141,MAX(1,MIN(121,$B81-ROUND(Declarations!$A$17/$D$18,0))))+Declarations!$B$18*INDEX(AC$21:AC$141,MAX(1,MIN(121,$B81-ROUND(Declarations!$A$18/$D$18,0))))+Declarations!$B$19*INDEX(AC$21:AC$141,MAX(1,MIN(121,$B81-ROUND(Declarations!$A$19/$D$18,0))))+Declarations!$B$20*INDEX(AC$21:AC$141,MAX(1,MIN(121,$B81-ROUND(Declarations!$A$20/$D$18,0)))))</f>
        <v>-232.111609717198</v>
      </c>
      <c r="AE81" s="12" t="n">
        <f aca="false">INDEX(AD$21:AD$141,$I81+1)*(1-$J81)+INDEX(AD$21:AD$141,$I81+2)*$J81</f>
        <v>-233.687557754054</v>
      </c>
      <c r="AF81" s="12" t="n">
        <f aca="false">INDEX(AD$21:AD$141,$K81+1)*(1-$L81)+INDEX(AD$21:AD$141,$K81+2)*$L81</f>
        <v>-232.152338356186</v>
      </c>
      <c r="AG81" s="12" t="n">
        <f aca="false">$C81+$D81+MAX(AE81,AF81,IF(COUNTIFS($A$21:$A$141,"&gt;="&amp;$G81,$A$21:$A$141,"&lt;="&amp;$H81)&gt;0,_xlfn.MAXIFS(AD$21:AD$141,$A$21:$A$141,"&gt;="&amp;$G81,$A$21:$A$141,"&lt;="&amp;$H81),AE81))</f>
        <v>-17.5151936264771</v>
      </c>
      <c r="AH81" s="12" t="n">
        <f aca="false">-Cost_k*$A81+Beta_q*(Declarations!$B$16*INDEX(AG$21:AG$141,MAX(1,MIN(121,$B81-ROUND(Declarations!$A$16/$D$18,0))))+Declarations!$B$17*INDEX(AG$21:AG$141,MAX(1,MIN(121,$B81-ROUND(Declarations!$A$17/$D$18,0))))+Declarations!$B$18*INDEX(AG$21:AG$141,MAX(1,MIN(121,$B81-ROUND(Declarations!$A$18/$D$18,0))))+Declarations!$B$19*INDEX(AG$21:AG$141,MAX(1,MIN(121,$B81-ROUND(Declarations!$A$19/$D$18,0))))+Declarations!$B$20*INDEX(AG$21:AG$141,MAX(1,MIN(121,$B81-ROUND(Declarations!$A$20/$D$18,0)))))</f>
        <v>-237.481925407734</v>
      </c>
      <c r="AI81" s="12" t="n">
        <f aca="false">INDEX(AH$21:AH$141,$I81+1)*(1-$J81)+INDEX(AH$21:AH$141,$I81+2)*$J81</f>
        <v>-239.467312504655</v>
      </c>
      <c r="AJ81" s="12" t="n">
        <f aca="false">INDEX(AH$21:AH$141,$K81+1)*(1-$L81)+INDEX(AH$21:AH$141,$K81+2)*$L81</f>
        <v>-237.35618790084</v>
      </c>
      <c r="AK81" s="12" t="n">
        <f aca="false">$C81+$D81+MAX(AI81,AJ81,IF(COUNTIFS($A$21:$A$141,"&gt;="&amp;$G81,$A$21:$A$141,"&lt;="&amp;$H81)&gt;0,_xlfn.MAXIFS(AH$21:AH$141,$A$21:$A$141,"&gt;="&amp;$G81,$A$21:$A$141,"&lt;="&amp;$H81),AI81))</f>
        <v>-22.8081760676685</v>
      </c>
      <c r="AL81" s="12" t="n">
        <f aca="false">-Cost_k*$A81+Beta_q*(Declarations!$B$16*INDEX(AK$21:AK$141,MAX(1,MIN(121,$B81-ROUND(Declarations!$A$16/$D$18,0))))+Declarations!$B$17*INDEX(AK$21:AK$141,MAX(1,MIN(121,$B81-ROUND(Declarations!$A$17/$D$18,0))))+Declarations!$B$18*INDEX(AK$21:AK$141,MAX(1,MIN(121,$B81-ROUND(Declarations!$A$18/$D$18,0))))+Declarations!$B$19*INDEX(AK$21:AK$141,MAX(1,MIN(121,$B81-ROUND(Declarations!$A$19/$D$18,0))))+Declarations!$B$20*INDEX(AK$21:AK$141,MAX(1,MIN(121,$B81-ROUND(Declarations!$A$20/$D$18,0)))))</f>
        <v>-242.663451690142</v>
      </c>
      <c r="AM81" s="12" t="n">
        <f aca="false">INDEX(AL$21:AL$141,$I81+1)*(1-$J81)+INDEX(AL$21:AL$141,$I81+2)*$J81</f>
        <v>-244.777177384523</v>
      </c>
      <c r="AN81" s="12" t="n">
        <f aca="false">INDEX(AL$21:AL$141,$K81+1)*(1-$L81)+INDEX(AL$21:AL$141,$K81+2)*$L81</f>
        <v>-242.519564346673</v>
      </c>
      <c r="AO81" s="12" t="n">
        <f aca="false">$C81+$D81+MAX(AM81,AN81,IF(COUNTIFS($A$21:$A$141,"&gt;="&amp;$G81,$A$21:$A$141,"&lt;="&amp;$H81)&gt;0,_xlfn.MAXIFS(AL$21:AL$141,$A$21:$A$141,"&gt;="&amp;$G81,$A$21:$A$141,"&lt;="&amp;$H81),AM81))</f>
        <v>-27.9776563065175</v>
      </c>
      <c r="AP81" s="12" t="n">
        <f aca="false">-Cost_k*$A81+Beta_q*(Declarations!$B$16*INDEX(AO$21:AO$141,MAX(1,MIN(121,$B81-ROUND(Declarations!$A$16/$D$18,0))))+Declarations!$B$17*INDEX(AO$21:AO$141,MAX(1,MIN(121,$B81-ROUND(Declarations!$A$17/$D$18,0))))+Declarations!$B$18*INDEX(AO$21:AO$141,MAX(1,MIN(121,$B81-ROUND(Declarations!$A$18/$D$18,0))))+Declarations!$B$19*INDEX(AO$21:AO$141,MAX(1,MIN(121,$B81-ROUND(Declarations!$A$19/$D$18,0))))+Declarations!$B$20*INDEX(AO$21:AO$141,MAX(1,MIN(121,$B81-ROUND(Declarations!$A$20/$D$18,0)))))</f>
        <v>-247.713067759901</v>
      </c>
      <c r="AQ81" s="12" t="n">
        <f aca="false">INDEX(AP$21:AP$141,$I81+1)*(1-$J81)+INDEX(AP$21:AP$141,$I81+2)*$J81</f>
        <v>-249.860077081422</v>
      </c>
      <c r="AR81" s="12" t="n">
        <f aca="false">INDEX(AP$21:AP$141,$K81+1)*(1-$L81)+INDEX(AP$21:AP$141,$K81+2)*$L81</f>
        <v>-247.566972419178</v>
      </c>
      <c r="AS81" s="12" t="n">
        <f aca="false">$C81+$D81+MAX(AQ81,AR81,IF(COUNTIFS($A$21:$A$141,"&gt;="&amp;$G81,$A$21:$A$141,"&lt;="&amp;$H81)&gt;0,_xlfn.MAXIFS(AP$21:AP$141,$A$21:$A$141,"&gt;="&amp;$G81,$A$21:$A$141,"&lt;="&amp;$H81),AQ81))</f>
        <v>-33.0255342393409</v>
      </c>
      <c r="AT81" s="12" t="n">
        <f aca="false">-Cost_k*$A81+Beta_q*(Declarations!$B$16*INDEX(AS$21:AS$141,MAX(1,MIN(121,$B81-ROUND(Declarations!$A$16/$D$18,0))))+Declarations!$B$17*INDEX(AS$21:AS$141,MAX(1,MIN(121,$B81-ROUND(Declarations!$A$17/$D$18,0))))+Declarations!$B$18*INDEX(AS$21:AS$141,MAX(1,MIN(121,$B81-ROUND(Declarations!$A$18/$D$18,0))))+Declarations!$B$19*INDEX(AS$21:AS$141,MAX(1,MIN(121,$B81-ROUND(Declarations!$A$19/$D$18,0))))+Declarations!$B$20*INDEX(AS$21:AS$141,MAX(1,MIN(121,$B81-ROUND(Declarations!$A$20/$D$18,0)))))</f>
        <v>-252.642400663347</v>
      </c>
      <c r="AU81" s="12" t="n">
        <f aca="false">INDEX(AT$21:AT$141,$I81+1)*(1-$J81)+INDEX(AT$21:AT$141,$I81+2)*$J81</f>
        <v>-254.796933157272</v>
      </c>
      <c r="AV81" s="12" t="n">
        <f aca="false">INDEX(AT$21:AT$141,$K81+1)*(1-$L81)+INDEX(AT$21:AT$141,$K81+2)*$L81</f>
        <v>-252.495967791229</v>
      </c>
      <c r="AW81" s="12" t="n">
        <f aca="false">$C81+$D81+MAX(AU81,AV81,IF(COUNTIFS($A$21:$A$141,"&gt;="&amp;$G81,$A$21:$A$141,"&lt;="&amp;$H81)&gt;0,_xlfn.MAXIFS(AT$21:AT$141,$A$21:$A$141,"&gt;="&amp;$G81,$A$21:$A$141,"&lt;="&amp;$H81),AU81))</f>
        <v>-37.9545746247619</v>
      </c>
      <c r="AX81" s="12" t="n">
        <f aca="false">-Cost_k*$A81+Beta_q*(Declarations!$B$16*INDEX(AW$21:AW$141,MAX(1,MIN(121,$B81-ROUND(Declarations!$A$16/$D$18,0))))+Declarations!$B$17*INDEX(AW$21:AW$141,MAX(1,MIN(121,$B81-ROUND(Declarations!$A$17/$D$18,0))))+Declarations!$B$18*INDEX(AW$21:AW$141,MAX(1,MIN(121,$B81-ROUND(Declarations!$A$18/$D$18,0))))+Declarations!$B$19*INDEX(AW$21:AW$141,MAX(1,MIN(121,$B81-ROUND(Declarations!$A$19/$D$18,0))))+Declarations!$B$20*INDEX(AW$21:AW$141,MAX(1,MIN(121,$B81-ROUND(Declarations!$A$20/$D$18,0)))))</f>
        <v>-257.455434624614</v>
      </c>
      <c r="AY81" s="12" t="n">
        <f aca="false">INDEX(AX$21:AX$141,$I81+1)*(1-$J81)+INDEX(AX$21:AX$141,$I81+2)*$J81</f>
        <v>-259.611534881396</v>
      </c>
      <c r="AZ81" s="12" t="n">
        <f aca="false">INDEX(AX$21:AX$141,$K81+1)*(1-$L81)+INDEX(AX$21:AX$141,$K81+2)*$L81</f>
        <v>-257.308947139915</v>
      </c>
      <c r="BA81" s="12" t="n">
        <f aca="false">$C81+$D81+MAX(AY81,AZ81,IF(COUNTIFS($A$21:$A$141,"&gt;="&amp;$G81,$A$21:$A$141,"&lt;="&amp;$H81)&gt;0,_xlfn.MAXIFS(AX$21:AX$141,$A$21:$A$141,"&gt;="&amp;$G81,$A$21:$A$141,"&lt;="&amp;$H81),AY81))</f>
        <v>-42.7675594116307</v>
      </c>
      <c r="BB81" s="12" t="n">
        <f aca="false">-Cost_k*$A81+Beta_q*(Declarations!$B$16*INDEX(BA$21:BA$141,MAX(1,MIN(121,$B81-ROUND(Declarations!$A$16/$D$18,0))))+Declarations!$B$17*INDEX(BA$21:BA$141,MAX(1,MIN(121,$B81-ROUND(Declarations!$A$17/$D$18,0))))+Declarations!$B$18*INDEX(BA$21:BA$141,MAX(1,MIN(121,$B81-ROUND(Declarations!$A$18/$D$18,0))))+Declarations!$B$19*INDEX(BA$21:BA$141,MAX(1,MIN(121,$B81-ROUND(Declarations!$A$19/$D$18,0))))+Declarations!$B$20*INDEX(BA$21:BA$141,MAX(1,MIN(121,$B81-ROUND(Declarations!$A$20/$D$18,0)))))</f>
        <v>-262.155102515938</v>
      </c>
      <c r="BC81" s="12" t="n">
        <f aca="false">INDEX(BB$21:BB$141,$I81+1)*(1-$J81)+INDEX(BB$21:BB$141,$I81+2)*$J81</f>
        <v>-264.311522415399</v>
      </c>
      <c r="BD81" s="12" t="n">
        <f aca="false">INDEX(BB$21:BB$141,$K81+1)*(1-$L81)+INDEX(BB$21:BB$141,$K81+2)*$L81</f>
        <v>-262.008605575545</v>
      </c>
      <c r="BE81" s="12" t="n">
        <f aca="false">$C81+$D81+MAX(BC81,BD81,IF(COUNTIFS($A$21:$A$141,"&gt;="&amp;$G81,$A$21:$A$141,"&lt;="&amp;$H81)&gt;0,_xlfn.MAXIFS(BB$21:BB$141,$A$21:$A$141,"&gt;="&amp;$G81,$A$21:$A$141,"&lt;="&amp;$H81),BC81))</f>
        <v>-47.4672186139989</v>
      </c>
      <c r="BF81" s="12" t="n">
        <f aca="false">-Cost_k*$A81+Beta_q*(Declarations!$B$16*INDEX(BE$21:BE$141,MAX(1,MIN(121,$B81-ROUND(Declarations!$A$16/$D$18,0))))+Declarations!$B$17*INDEX(BE$21:BE$141,MAX(1,MIN(121,$B81-ROUND(Declarations!$A$17/$D$18,0))))+Declarations!$B$18*INDEX(BE$21:BE$141,MAX(1,MIN(121,$B81-ROUND(Declarations!$A$18/$D$18,0))))+Declarations!$B$19*INDEX(BE$21:BE$141,MAX(1,MIN(121,$B81-ROUND(Declarations!$A$19/$D$18,0))))+Declarations!$B$20*INDEX(BE$21:BE$141,MAX(1,MIN(121,$B81-ROUND(Declarations!$A$20/$D$18,0)))))</f>
        <v>-266.744105612284</v>
      </c>
      <c r="BG81" s="12" t="n">
        <f aca="false">INDEX(BF$21:BF$141,$I81+1)*(1-$J81)+INDEX(BF$21:BF$141,$I81+2)*$J81</f>
        <v>-268.900589056448</v>
      </c>
      <c r="BH81" s="12" t="n">
        <f aca="false">INDEX(BF$21:BF$141,$K81+1)*(1-$L81)+INDEX(BF$21:BF$141,$K81+2)*$L81</f>
        <v>-266.597606992605</v>
      </c>
      <c r="BI81" s="12" t="n">
        <f aca="false">$C81+$D81+MAX(BG81,BH81,IF(COUNTIFS($A$21:$A$141,"&gt;="&amp;$G81,$A$21:$A$141,"&lt;="&amp;$H81)&gt;0,_xlfn.MAXIFS(BF$21:BF$141,$A$21:$A$141,"&gt;="&amp;$G81,$A$21:$A$141,"&lt;="&amp;$H81),BG81))</f>
        <v>-52.0562201537861</v>
      </c>
      <c r="BJ81" s="23" t="n">
        <v>-52.0562201537861</v>
      </c>
      <c r="BK81" s="22" t="n">
        <f aca="false">ABS(BI81-BJ81)</f>
        <v>0</v>
      </c>
    </row>
    <row r="82" customFormat="false" ht="15" hidden="false" customHeight="false" outlineLevel="0" collapsed="false">
      <c r="A82" s="14" t="n">
        <f aca="false">A81+$D$18</f>
        <v>55.25</v>
      </c>
      <c r="B82" s="19" t="n">
        <v>62</v>
      </c>
      <c r="C82" s="12" t="n">
        <f aca="false">-Short_p*MAX(Floor_c-A82,0)</f>
        <v>-0</v>
      </c>
      <c r="D82" s="12" t="n">
        <f aca="false">Cost_k*Alpha_keep*A82</f>
        <v>215.475</v>
      </c>
      <c r="E82" s="12" t="n">
        <f aca="false">MIN(Cap_h,MAX(0,$B$18+MAX(Loss_w)-Alpha_keep*A82))</f>
        <v>0</v>
      </c>
      <c r="F82" s="12" t="n">
        <f aca="false">MAX(MIN(Cap_h,$F$18+MIN(Loss_w)-Alpha_keep*A82),E82)</f>
        <v>2.5</v>
      </c>
      <c r="G82" s="12" t="n">
        <f aca="false">Alpha_keep*A82+E82</f>
        <v>53.86875</v>
      </c>
      <c r="H82" s="12" t="n">
        <f aca="false">Alpha_keep*A82+F82</f>
        <v>56.36875</v>
      </c>
      <c r="I82" s="19" t="n">
        <f aca="false">MIN(INT((G82-$B$18)/$D$18+0.000000001),119)</f>
        <v>55</v>
      </c>
      <c r="J82" s="12" t="n">
        <f aca="false">(G82-$B$18)/$D$18-I82</f>
        <v>0.474999999999994</v>
      </c>
      <c r="K82" s="19" t="n">
        <f aca="false">MIN(INT((H82-$B$18)/$D$18+0.000000001),119)</f>
        <v>65</v>
      </c>
      <c r="L82" s="12" t="n">
        <f aca="false">(H82-$B$18)/$D$18-K82</f>
        <v>0.474999999999994</v>
      </c>
      <c r="M82" s="9" t="n">
        <v>0</v>
      </c>
      <c r="N82" s="12" t="n">
        <f aca="false">-Cost_k*$A82+Beta_q*(Declarations!$B$16*INDEX(M$21:M$141,MAX(1,MIN(121,$B82-ROUND(Declarations!$A$16/$D$18,0))))+Declarations!$B$17*INDEX(M$21:M$141,MAX(1,MIN(121,$B82-ROUND(Declarations!$A$17/$D$18,0))))+Declarations!$B$18*INDEX(M$21:M$141,MAX(1,MIN(121,$B82-ROUND(Declarations!$A$18/$D$18,0))))+Declarations!$B$19*INDEX(M$21:M$141,MAX(1,MIN(121,$B82-ROUND(Declarations!$A$19/$D$18,0))))+Declarations!$B$20*INDEX(M$21:M$141,MAX(1,MIN(121,$B82-ROUND(Declarations!$A$20/$D$18,0)))))</f>
        <v>-221</v>
      </c>
      <c r="O82" s="12" t="n">
        <f aca="false">INDEX(N$21:N$141,$I82+1)*(1-$J82)+INDEX(N$21:N$141,$I82+2)*$J82</f>
        <v>-215.475</v>
      </c>
      <c r="P82" s="12" t="n">
        <f aca="false">INDEX(N$21:N$141,$K82+1)*(1-$L82)+INDEX(N$21:N$141,$K82+2)*$L82</f>
        <v>-225.475</v>
      </c>
      <c r="Q82" s="12" t="n">
        <f aca="false">$C82+$D82+MAX(O82,P82,IF(COUNTIFS($A$21:$A$141,"&gt;="&amp;$G82,$A$21:$A$141,"&lt;="&amp;$H82)&gt;0,_xlfn.MAXIFS(N$21:N$141,$A$21:$A$141,"&gt;="&amp;$G82,$A$21:$A$141,"&lt;="&amp;$H82),O82))</f>
        <v>0</v>
      </c>
      <c r="R82" s="12" t="n">
        <f aca="false">-Cost_k*$A82+Beta_q*(Declarations!$B$16*INDEX(Q$21:Q$141,MAX(1,MIN(121,$B82-ROUND(Declarations!$A$16/$D$18,0))))+Declarations!$B$17*INDEX(Q$21:Q$141,MAX(1,MIN(121,$B82-ROUND(Declarations!$A$17/$D$18,0))))+Declarations!$B$18*INDEX(Q$21:Q$141,MAX(1,MIN(121,$B82-ROUND(Declarations!$A$18/$D$18,0))))+Declarations!$B$19*INDEX(Q$21:Q$141,MAX(1,MIN(121,$B82-ROUND(Declarations!$A$19/$D$18,0))))+Declarations!$B$20*INDEX(Q$21:Q$141,MAX(1,MIN(121,$B82-ROUND(Declarations!$A$20/$D$18,0)))))</f>
        <v>-221.253878063316</v>
      </c>
      <c r="S82" s="12" t="n">
        <f aca="false">INDEX(R$21:R$141,$I82+1)*(1-$J82)+INDEX(R$21:R$141,$I82+2)*$J82</f>
        <v>-217.27118729796</v>
      </c>
      <c r="T82" s="12" t="n">
        <f aca="false">INDEX(R$21:R$141,$K82+1)*(1-$L82)+INDEX(R$21:R$141,$K82+2)*$L82</f>
        <v>-225.485252767942</v>
      </c>
      <c r="U82" s="12" t="n">
        <f aca="false">$C82+$D82+MAX(S82,T82,IF(COUNTIFS($A$21:$A$141,"&gt;="&amp;$G82,$A$21:$A$141,"&lt;="&amp;$H82)&gt;0,_xlfn.MAXIFS(R$21:R$141,$A$21:$A$141,"&gt;="&amp;$G82,$A$21:$A$141,"&lt;="&amp;$H82),S82))</f>
        <v>-1.79618729795956</v>
      </c>
      <c r="V82" s="12" t="n">
        <f aca="false">-Cost_k*$A82+Beta_q*(Declarations!$B$16*INDEX(U$21:U$141,MAX(1,MIN(121,$B82-ROUND(Declarations!$A$16/$D$18,0))))+Declarations!$B$17*INDEX(U$21:U$141,MAX(1,MIN(121,$B82-ROUND(Declarations!$A$17/$D$18,0))))+Declarations!$B$18*INDEX(U$21:U$141,MAX(1,MIN(121,$B82-ROUND(Declarations!$A$18/$D$18,0))))+Declarations!$B$19*INDEX(U$21:U$141,MAX(1,MIN(121,$B82-ROUND(Declarations!$A$19/$D$18,0))))+Declarations!$B$20*INDEX(U$21:U$141,MAX(1,MIN(121,$B82-ROUND(Declarations!$A$20/$D$18,0)))))</f>
        <v>-223.067959822179</v>
      </c>
      <c r="W82" s="12" t="n">
        <f aca="false">INDEX(V$21:V$141,$I82+1)*(1-$J82)+INDEX(V$21:V$141,$I82+2)*$J82</f>
        <v>-221.053276028352</v>
      </c>
      <c r="X82" s="12" t="n">
        <f aca="false">INDEX(V$21:V$141,$K82+1)*(1-$L82)+INDEX(V$21:V$141,$K82+2)*$L82</f>
        <v>-226.078733768875</v>
      </c>
      <c r="Y82" s="12" t="n">
        <f aca="false">$C82+$D82+MAX(W82,X82,IF(COUNTIFS($A$21:$A$141,"&gt;="&amp;$G82,$A$21:$A$141,"&lt;="&amp;$H82)&gt;0,_xlfn.MAXIFS(V$21:V$141,$A$21:$A$141,"&gt;="&amp;$G82,$A$21:$A$141,"&lt;="&amp;$H82),W82))</f>
        <v>-5.57827602835184</v>
      </c>
      <c r="Z82" s="12" t="n">
        <f aca="false">-Cost_k*$A82+Beta_q*(Declarations!$B$16*INDEX(Y$21:Y$141,MAX(1,MIN(121,$B82-ROUND(Declarations!$A$16/$D$18,0))))+Declarations!$B$17*INDEX(Y$21:Y$141,MAX(1,MIN(121,$B82-ROUND(Declarations!$A$17/$D$18,0))))+Declarations!$B$18*INDEX(Y$21:Y$141,MAX(1,MIN(121,$B82-ROUND(Declarations!$A$18/$D$18,0))))+Declarations!$B$19*INDEX(Y$21:Y$141,MAX(1,MIN(121,$B82-ROUND(Declarations!$A$19/$D$18,0))))+Declarations!$B$20*INDEX(Y$21:Y$141,MAX(1,MIN(121,$B82-ROUND(Declarations!$A$20/$D$18,0)))))</f>
        <v>-226.768683345715</v>
      </c>
      <c r="AA82" s="12" t="n">
        <f aca="false">INDEX(Z$21:Z$141,$I82+1)*(1-$J82)+INDEX(Z$21:Z$141,$I82+2)*$J82</f>
        <v>-226.70062548015</v>
      </c>
      <c r="AB82" s="12" t="n">
        <f aca="false">INDEX(Z$21:Z$141,$K82+1)*(1-$L82)+INDEX(Z$21:Z$141,$K82+2)*$L82</f>
        <v>-228.27541960083</v>
      </c>
      <c r="AC82" s="12" t="n">
        <f aca="false">$C82+$D82+MAX(AA82,AB82,IF(COUNTIFS($A$21:$A$141,"&gt;="&amp;$G82,$A$21:$A$141,"&lt;="&amp;$H82)&gt;0,_xlfn.MAXIFS(Z$21:Z$141,$A$21:$A$141,"&gt;="&amp;$G82,$A$21:$A$141,"&lt;="&amp;$H82),AA82))</f>
        <v>-11.0642600650804</v>
      </c>
      <c r="AD82" s="12" t="n">
        <f aca="false">-Cost_k*$A82+Beta_q*(Declarations!$B$16*INDEX(AC$21:AC$141,MAX(1,MIN(121,$B82-ROUND(Declarations!$A$16/$D$18,0))))+Declarations!$B$17*INDEX(AC$21:AC$141,MAX(1,MIN(121,$B82-ROUND(Declarations!$A$17/$D$18,0))))+Declarations!$B$18*INDEX(AC$21:AC$141,MAX(1,MIN(121,$B82-ROUND(Declarations!$A$18/$D$18,0))))+Declarations!$B$19*INDEX(AC$21:AC$141,MAX(1,MIN(121,$B82-ROUND(Declarations!$A$19/$D$18,0))))+Declarations!$B$20*INDEX(AC$21:AC$141,MAX(1,MIN(121,$B82-ROUND(Declarations!$A$20/$D$18,0)))))</f>
        <v>-232.072386761195</v>
      </c>
      <c r="AE82" s="12" t="n">
        <f aca="false">INDEX(AD$21:AD$141,$I82+1)*(1-$J82)+INDEX(AD$21:AD$141,$I82+2)*$J82</f>
        <v>-233.354678795538</v>
      </c>
      <c r="AF82" s="12" t="n">
        <f aca="false">INDEX(AD$21:AD$141,$K82+1)*(1-$L82)+INDEX(AD$21:AD$141,$K82+2)*$L82</f>
        <v>-232.270476189014</v>
      </c>
      <c r="AG82" s="12" t="n">
        <f aca="false">$C82+$D82+MAX(AE82,AF82,IF(COUNTIFS($A$21:$A$141,"&gt;="&amp;$G82,$A$21:$A$141,"&lt;="&amp;$H82)&gt;0,_xlfn.MAXIFS(AD$21:AD$141,$A$21:$A$141,"&gt;="&amp;$G82,$A$21:$A$141,"&lt;="&amp;$H82),AE82))</f>
        <v>-16.5401936264771</v>
      </c>
      <c r="AH82" s="12" t="n">
        <f aca="false">-Cost_k*$A82+Beta_q*(Declarations!$B$16*INDEX(AG$21:AG$141,MAX(1,MIN(121,$B82-ROUND(Declarations!$A$16/$D$18,0))))+Declarations!$B$17*INDEX(AG$21:AG$141,MAX(1,MIN(121,$B82-ROUND(Declarations!$A$17/$D$18,0))))+Declarations!$B$18*INDEX(AG$21:AG$141,MAX(1,MIN(121,$B82-ROUND(Declarations!$A$18/$D$18,0))))+Declarations!$B$19*INDEX(AG$21:AG$141,MAX(1,MIN(121,$B82-ROUND(Declarations!$A$19/$D$18,0))))+Declarations!$B$20*INDEX(AG$21:AG$141,MAX(1,MIN(121,$B82-ROUND(Declarations!$A$20/$D$18,0)))))</f>
        <v>-237.415440346833</v>
      </c>
      <c r="AI82" s="12" t="n">
        <f aca="false">INDEX(AH$21:AH$141,$I82+1)*(1-$J82)+INDEX(AH$21:AH$141,$I82+2)*$J82</f>
        <v>-238.991328066356</v>
      </c>
      <c r="AJ82" s="12" t="n">
        <f aca="false">INDEX(AH$21:AH$141,$K82+1)*(1-$L82)+INDEX(AH$21:AH$141,$K82+2)*$L82</f>
        <v>-237.392411236672</v>
      </c>
      <c r="AK82" s="12" t="n">
        <f aca="false">$C82+$D82+MAX(AI82,AJ82,IF(COUNTIFS($A$21:$A$141,"&gt;="&amp;$G82,$A$21:$A$141,"&lt;="&amp;$H82)&gt;0,_xlfn.MAXIFS(AH$21:AH$141,$A$21:$A$141,"&gt;="&amp;$G82,$A$21:$A$141,"&lt;="&amp;$H82),AI82))</f>
        <v>-21.8331760676685</v>
      </c>
      <c r="AL82" s="12" t="n">
        <f aca="false">-Cost_k*$A82+Beta_q*(Declarations!$B$16*INDEX(AK$21:AK$141,MAX(1,MIN(121,$B82-ROUND(Declarations!$A$16/$D$18,0))))+Declarations!$B$17*INDEX(AK$21:AK$141,MAX(1,MIN(121,$B82-ROUND(Declarations!$A$17/$D$18,0))))+Declarations!$B$18*INDEX(AK$21:AK$141,MAX(1,MIN(121,$B82-ROUND(Declarations!$A$18/$D$18,0))))+Declarations!$B$19*INDEX(AK$21:AK$141,MAX(1,MIN(121,$B82-ROUND(Declarations!$A$19/$D$18,0))))+Declarations!$B$20*INDEX(AK$21:AK$141,MAX(1,MIN(121,$B82-ROUND(Declarations!$A$20/$D$18,0)))))</f>
        <v>-242.590711578418</v>
      </c>
      <c r="AM82" s="12" t="n">
        <f aca="false">INDEX(AL$21:AL$141,$I82+1)*(1-$J82)+INDEX(AL$21:AL$141,$I82+2)*$J82</f>
        <v>-244.261868204049</v>
      </c>
      <c r="AN82" s="12" t="n">
        <f aca="false">INDEX(AL$21:AL$141,$K82+1)*(1-$L82)+INDEX(AL$21:AL$141,$K82+2)*$L82</f>
        <v>-242.549469653943</v>
      </c>
      <c r="AO82" s="12" t="n">
        <f aca="false">$C82+$D82+MAX(AM82,AN82,IF(COUNTIFS($A$21:$A$141,"&gt;="&amp;$G82,$A$21:$A$141,"&lt;="&amp;$H82)&gt;0,_xlfn.MAXIFS(AL$21:AL$141,$A$21:$A$141,"&gt;="&amp;$G82,$A$21:$A$141,"&lt;="&amp;$H82),AM82))</f>
        <v>-27.0026563065175</v>
      </c>
      <c r="AP82" s="12" t="n">
        <f aca="false">-Cost_k*$A82+Beta_q*(Declarations!$B$16*INDEX(AO$21:AO$141,MAX(1,MIN(121,$B82-ROUND(Declarations!$A$16/$D$18,0))))+Declarations!$B$17*INDEX(AO$21:AO$141,MAX(1,MIN(121,$B82-ROUND(Declarations!$A$17/$D$18,0))))+Declarations!$B$18*INDEX(AO$21:AO$141,MAX(1,MIN(121,$B82-ROUND(Declarations!$A$18/$D$18,0))))+Declarations!$B$19*INDEX(AO$21:AO$141,MAX(1,MIN(121,$B82-ROUND(Declarations!$A$19/$D$18,0))))+Declarations!$B$20*INDEX(AO$21:AO$141,MAX(1,MIN(121,$B82-ROUND(Declarations!$A$20/$D$18,0)))))</f>
        <v>-247.639343106559</v>
      </c>
      <c r="AQ82" s="12" t="n">
        <f aca="false">INDEX(AP$21:AP$141,$I82+1)*(1-$J82)+INDEX(AP$21:AP$141,$I82+2)*$J82</f>
        <v>-249.333151996229</v>
      </c>
      <c r="AR82" s="12" t="n">
        <f aca="false">INDEX(AP$21:AP$141,$K82+1)*(1-$L82)+INDEX(AP$21:AP$141,$K82+2)*$L82</f>
        <v>-247.596376119408</v>
      </c>
      <c r="AS82" s="12" t="n">
        <f aca="false">$C82+$D82+MAX(AQ82,AR82,IF(COUNTIFS($A$21:$A$141,"&gt;="&amp;$G82,$A$21:$A$141,"&lt;="&amp;$H82)&gt;0,_xlfn.MAXIFS(AP$21:AP$141,$A$21:$A$141,"&gt;="&amp;$G82,$A$21:$A$141,"&lt;="&amp;$H82),AQ82))</f>
        <v>-32.050534239341</v>
      </c>
      <c r="AT82" s="12" t="n">
        <f aca="false">-Cost_k*$A82+Beta_q*(Declarations!$B$16*INDEX(AS$21:AS$141,MAX(1,MIN(121,$B82-ROUND(Declarations!$A$16/$D$18,0))))+Declarations!$B$17*INDEX(AS$21:AS$141,MAX(1,MIN(121,$B82-ROUND(Declarations!$A$17/$D$18,0))))+Declarations!$B$18*INDEX(AS$21:AS$141,MAX(1,MIN(121,$B82-ROUND(Declarations!$A$18/$D$18,0))))+Declarations!$B$19*INDEX(AS$21:AS$141,MAX(1,MIN(121,$B82-ROUND(Declarations!$A$19/$D$18,0))))+Declarations!$B$20*INDEX(AS$21:AS$141,MAX(1,MIN(121,$B82-ROUND(Declarations!$A$20/$D$18,0)))))</f>
        <v>-252.568506377887</v>
      </c>
      <c r="AU82" s="12" t="n">
        <f aca="false">INDEX(AT$21:AT$141,$I82+1)*(1-$J82)+INDEX(AT$21:AT$141,$I82+2)*$J82</f>
        <v>-254.267038348168</v>
      </c>
      <c r="AV82" s="12" t="n">
        <f aca="false">INDEX(AT$21:AT$141,$K82+1)*(1-$L82)+INDEX(AT$21:AT$141,$K82+2)*$L82</f>
        <v>-252.525329022572</v>
      </c>
      <c r="AW82" s="12" t="n">
        <f aca="false">$C82+$D82+MAX(AU82,AV82,IF(COUNTIFS($A$21:$A$141,"&gt;="&amp;$G82,$A$21:$A$141,"&lt;="&amp;$H82)&gt;0,_xlfn.MAXIFS(AT$21:AT$141,$A$21:$A$141,"&gt;="&amp;$G82,$A$21:$A$141,"&lt;="&amp;$H82),AU82))</f>
        <v>-36.9795746247619</v>
      </c>
      <c r="AX82" s="12" t="n">
        <f aca="false">-Cost_k*$A82+Beta_q*(Declarations!$B$16*INDEX(AW$21:AW$141,MAX(1,MIN(121,$B82-ROUND(Declarations!$A$16/$D$18,0))))+Declarations!$B$17*INDEX(AW$21:AW$141,MAX(1,MIN(121,$B82-ROUND(Declarations!$A$17/$D$18,0))))+Declarations!$B$18*INDEX(AW$21:AW$141,MAX(1,MIN(121,$B82-ROUND(Declarations!$A$18/$D$18,0))))+Declarations!$B$19*INDEX(AW$21:AW$141,MAX(1,MIN(121,$B82-ROUND(Declarations!$A$19/$D$18,0))))+Declarations!$B$20*INDEX(AW$21:AW$141,MAX(1,MIN(121,$B82-ROUND(Declarations!$A$20/$D$18,0)))))</f>
        <v>-257.381510794073</v>
      </c>
      <c r="AY82" s="12" t="n">
        <f aca="false">INDEX(AX$21:AX$141,$I82+1)*(1-$J82)+INDEX(AX$21:AX$141,$I82+2)*$J82</f>
        <v>-259.08100205608</v>
      </c>
      <c r="AZ82" s="12" t="n">
        <f aca="false">INDEX(AX$21:AX$141,$K82+1)*(1-$L82)+INDEX(AX$21:AX$141,$K82+2)*$L82</f>
        <v>-257.338304520251</v>
      </c>
      <c r="BA82" s="12" t="n">
        <f aca="false">$C82+$D82+MAX(AY82,AZ82,IF(COUNTIFS($A$21:$A$141,"&gt;="&amp;$G82,$A$21:$A$141,"&lt;="&amp;$H82)&gt;0,_xlfn.MAXIFS(AX$21:AX$141,$A$21:$A$141,"&gt;="&amp;$G82,$A$21:$A$141,"&lt;="&amp;$H82),AY82))</f>
        <v>-41.7925594116307</v>
      </c>
      <c r="BB82" s="12" t="n">
        <f aca="false">-Cost_k*$A82+Beta_q*(Declarations!$B$16*INDEX(BA$21:BA$141,MAX(1,MIN(121,$B82-ROUND(Declarations!$A$16/$D$18,0))))+Declarations!$B$17*INDEX(BA$21:BA$141,MAX(1,MIN(121,$B82-ROUND(Declarations!$A$17/$D$18,0))))+Declarations!$B$18*INDEX(BA$21:BA$141,MAX(1,MIN(121,$B82-ROUND(Declarations!$A$18/$D$18,0))))+Declarations!$B$19*INDEX(BA$21:BA$141,MAX(1,MIN(121,$B82-ROUND(Declarations!$A$19/$D$18,0))))+Declarations!$B$20*INDEX(BA$21:BA$141,MAX(1,MIN(121,$B82-ROUND(Declarations!$A$20/$D$18,0)))))</f>
        <v>-262.081173443697</v>
      </c>
      <c r="BC82" s="12" t="n">
        <f aca="false">INDEX(BB$21:BB$141,$I82+1)*(1-$J82)+INDEX(BB$21:BB$141,$I82+2)*$J82</f>
        <v>-263.780852914239</v>
      </c>
      <c r="BD82" s="12" t="n">
        <f aca="false">INDEX(BB$21:BB$141,$K82+1)*(1-$L82)+INDEX(BB$21:BB$141,$K82+2)*$L82</f>
        <v>-262.037962543806</v>
      </c>
      <c r="BE82" s="12" t="n">
        <f aca="false">$C82+$D82+MAX(BC82,BD82,IF(COUNTIFS($A$21:$A$141,"&gt;="&amp;$G82,$A$21:$A$141,"&lt;="&amp;$H82)&gt;0,_xlfn.MAXIFS(BB$21:BB$141,$A$21:$A$141,"&gt;="&amp;$G82,$A$21:$A$141,"&lt;="&amp;$H82),BC82))</f>
        <v>-46.4922186139989</v>
      </c>
      <c r="BF82" s="12" t="n">
        <f aca="false">-Cost_k*$A82+Beta_q*(Declarations!$B$16*INDEX(BE$21:BE$141,MAX(1,MIN(121,$B82-ROUND(Declarations!$A$16/$D$18,0))))+Declarations!$B$17*INDEX(BE$21:BE$141,MAX(1,MIN(121,$B82-ROUND(Declarations!$A$17/$D$18,0))))+Declarations!$B$18*INDEX(BE$21:BE$141,MAX(1,MIN(121,$B82-ROUND(Declarations!$A$18/$D$18,0))))+Declarations!$B$19*INDEX(BE$21:BE$141,MAX(1,MIN(121,$B82-ROUND(Declarations!$A$19/$D$18,0))))+Declarations!$B$20*INDEX(BE$21:BE$141,MAX(1,MIN(121,$B82-ROUND(Declarations!$A$20/$D$18,0)))))</f>
        <v>-266.670175587967</v>
      </c>
      <c r="BG82" s="12" t="n">
        <f aca="false">INDEX(BF$21:BF$141,$I82+1)*(1-$J82)+INDEX(BF$21:BF$141,$I82+2)*$J82</f>
        <v>-268.369891877128</v>
      </c>
      <c r="BH82" s="12" t="n">
        <f aca="false">INDEX(BF$21:BF$141,$K82+1)*(1-$L82)+INDEX(BF$21:BF$141,$K82+2)*$L82</f>
        <v>-266.626963908847</v>
      </c>
      <c r="BI82" s="12" t="n">
        <f aca="false">$C82+$D82+MAX(BG82,BH82,IF(COUNTIFS($A$21:$A$141,"&gt;="&amp;$G82,$A$21:$A$141,"&lt;="&amp;$H82)&gt;0,_xlfn.MAXIFS(BF$21:BF$141,$A$21:$A$141,"&gt;="&amp;$G82,$A$21:$A$141,"&lt;="&amp;$H82),BG82))</f>
        <v>-51.0812201537861</v>
      </c>
      <c r="BJ82" s="23" t="n">
        <v>-51.0812201537861</v>
      </c>
      <c r="BK82" s="22" t="n">
        <f aca="false">ABS(BI82-BJ82)</f>
        <v>0</v>
      </c>
    </row>
    <row r="83" customFormat="false" ht="15" hidden="false" customHeight="false" outlineLevel="0" collapsed="false">
      <c r="A83" s="14" t="n">
        <f aca="false">A82+$D$18</f>
        <v>55.5</v>
      </c>
      <c r="B83" s="19" t="n">
        <v>63</v>
      </c>
      <c r="C83" s="12" t="n">
        <f aca="false">-Short_p*MAX(Floor_c-A83,0)</f>
        <v>-0</v>
      </c>
      <c r="D83" s="12" t="n">
        <f aca="false">Cost_k*Alpha_keep*A83</f>
        <v>216.45</v>
      </c>
      <c r="E83" s="12" t="n">
        <f aca="false">MIN(Cap_h,MAX(0,$B$18+MAX(Loss_w)-Alpha_keep*A83))</f>
        <v>0</v>
      </c>
      <c r="F83" s="12" t="n">
        <f aca="false">MAX(MIN(Cap_h,$F$18+MIN(Loss_w)-Alpha_keep*A83),E83)</f>
        <v>2.5</v>
      </c>
      <c r="G83" s="12" t="n">
        <f aca="false">Alpha_keep*A83+E83</f>
        <v>54.1125</v>
      </c>
      <c r="H83" s="12" t="n">
        <f aca="false">Alpha_keep*A83+F83</f>
        <v>56.6125</v>
      </c>
      <c r="I83" s="19" t="n">
        <f aca="false">MIN(INT((G83-$B$18)/$D$18+0.000000001),119)</f>
        <v>56</v>
      </c>
      <c r="J83" s="12" t="n">
        <f aca="false">(G83-$B$18)/$D$18-I83</f>
        <v>0.449999999999989</v>
      </c>
      <c r="K83" s="19" t="n">
        <f aca="false">MIN(INT((H83-$B$18)/$D$18+0.000000001),119)</f>
        <v>66</v>
      </c>
      <c r="L83" s="12" t="n">
        <f aca="false">(H83-$B$18)/$D$18-K83</f>
        <v>0.449999999999989</v>
      </c>
      <c r="M83" s="9" t="n">
        <v>0</v>
      </c>
      <c r="N83" s="12" t="n">
        <f aca="false">-Cost_k*$A83+Beta_q*(Declarations!$B$16*INDEX(M$21:M$141,MAX(1,MIN(121,$B83-ROUND(Declarations!$A$16/$D$18,0))))+Declarations!$B$17*INDEX(M$21:M$141,MAX(1,MIN(121,$B83-ROUND(Declarations!$A$17/$D$18,0))))+Declarations!$B$18*INDEX(M$21:M$141,MAX(1,MIN(121,$B83-ROUND(Declarations!$A$18/$D$18,0))))+Declarations!$B$19*INDEX(M$21:M$141,MAX(1,MIN(121,$B83-ROUND(Declarations!$A$19/$D$18,0))))+Declarations!$B$20*INDEX(M$21:M$141,MAX(1,MIN(121,$B83-ROUND(Declarations!$A$20/$D$18,0)))))</f>
        <v>-222</v>
      </c>
      <c r="O83" s="12" t="n">
        <f aca="false">INDEX(N$21:N$141,$I83+1)*(1-$J83)+INDEX(N$21:N$141,$I83+2)*$J83</f>
        <v>-216.45</v>
      </c>
      <c r="P83" s="12" t="n">
        <f aca="false">INDEX(N$21:N$141,$K83+1)*(1-$L83)+INDEX(N$21:N$141,$K83+2)*$L83</f>
        <v>-226.45</v>
      </c>
      <c r="Q83" s="12" t="n">
        <f aca="false">$C83+$D83+MAX(O83,P83,IF(COUNTIFS($A$21:$A$141,"&gt;="&amp;$G83,$A$21:$A$141,"&lt;="&amp;$H83)&gt;0,_xlfn.MAXIFS(N$21:N$141,$A$21:$A$141,"&gt;="&amp;$G83,$A$21:$A$141,"&lt;="&amp;$H83),O83))</f>
        <v>0</v>
      </c>
      <c r="R83" s="12" t="n">
        <f aca="false">-Cost_k*$A83+Beta_q*(Declarations!$B$16*INDEX(Q$21:Q$141,MAX(1,MIN(121,$B83-ROUND(Declarations!$A$16/$D$18,0))))+Declarations!$B$17*INDEX(Q$21:Q$141,MAX(1,MIN(121,$B83-ROUND(Declarations!$A$17/$D$18,0))))+Declarations!$B$18*INDEX(Q$21:Q$141,MAX(1,MIN(121,$B83-ROUND(Declarations!$A$18/$D$18,0))))+Declarations!$B$19*INDEX(Q$21:Q$141,MAX(1,MIN(121,$B83-ROUND(Declarations!$A$19/$D$18,0))))+Declarations!$B$20*INDEX(Q$21:Q$141,MAX(1,MIN(121,$B83-ROUND(Declarations!$A$20/$D$18,0)))))</f>
        <v>-222.156232654348</v>
      </c>
      <c r="S83" s="12" t="n">
        <f aca="false">INDEX(R$21:R$141,$I83+1)*(1-$J83)+INDEX(R$21:R$141,$I83+2)*$J83</f>
        <v>-217.884411057735</v>
      </c>
      <c r="T83" s="12" t="n">
        <f aca="false">INDEX(R$21:R$141,$K83+1)*(1-$L83)+INDEX(R$21:R$141,$K83+2)*$L83</f>
        <v>-226.45</v>
      </c>
      <c r="U83" s="12" t="n">
        <f aca="false">$C83+$D83+MAX(S83,T83,IF(COUNTIFS($A$21:$A$141,"&gt;="&amp;$G83,$A$21:$A$141,"&lt;="&amp;$H83)&gt;0,_xlfn.MAXIFS(R$21:R$141,$A$21:$A$141,"&gt;="&amp;$G83,$A$21:$A$141,"&lt;="&amp;$H83),S83))</f>
        <v>-1.43441105773451</v>
      </c>
      <c r="V83" s="12" t="n">
        <f aca="false">-Cost_k*$A83+Beta_q*(Declarations!$B$16*INDEX(U$21:U$141,MAX(1,MIN(121,$B83-ROUND(Declarations!$A$16/$D$18,0))))+Declarations!$B$17*INDEX(U$21:U$141,MAX(1,MIN(121,$B83-ROUND(Declarations!$A$17/$D$18,0))))+Declarations!$B$18*INDEX(U$21:U$141,MAX(1,MIN(121,$B83-ROUND(Declarations!$A$18/$D$18,0))))+Declarations!$B$19*INDEX(U$21:U$141,MAX(1,MIN(121,$B83-ROUND(Declarations!$A$19/$D$18,0))))+Declarations!$B$20*INDEX(U$21:U$141,MAX(1,MIN(121,$B83-ROUND(Declarations!$A$20/$D$18,0)))))</f>
        <v>-223.640297174509</v>
      </c>
      <c r="W83" s="12" t="n">
        <f aca="false">INDEX(V$21:V$141,$I83+1)*(1-$J83)+INDEX(V$21:V$141,$I83+2)*$J83</f>
        <v>-221.306439539151</v>
      </c>
      <c r="X83" s="12" t="n">
        <f aca="false">INDEX(V$21:V$141,$K83+1)*(1-$L83)+INDEX(V$21:V$141,$K83+2)*$L83</f>
        <v>-226.881009187984</v>
      </c>
      <c r="Y83" s="12" t="n">
        <f aca="false">$C83+$D83+MAX(W83,X83,IF(COUNTIFS($A$21:$A$141,"&gt;="&amp;$G83,$A$21:$A$141,"&lt;="&amp;$H83)&gt;0,_xlfn.MAXIFS(V$21:V$141,$A$21:$A$141,"&gt;="&amp;$G83,$A$21:$A$141,"&lt;="&amp;$H83),W83))</f>
        <v>-4.85643953915113</v>
      </c>
      <c r="Z83" s="12" t="n">
        <f aca="false">-Cost_k*$A83+Beta_q*(Declarations!$B$16*INDEX(Y$21:Y$141,MAX(1,MIN(121,$B83-ROUND(Declarations!$A$16/$D$18,0))))+Declarations!$B$17*INDEX(Y$21:Y$141,MAX(1,MIN(121,$B83-ROUND(Declarations!$A$17/$D$18,0))))+Declarations!$B$18*INDEX(Y$21:Y$141,MAX(1,MIN(121,$B83-ROUND(Declarations!$A$18/$D$18,0))))+Declarations!$B$19*INDEX(Y$21:Y$141,MAX(1,MIN(121,$B83-ROUND(Declarations!$A$19/$D$18,0))))+Declarations!$B$20*INDEX(Y$21:Y$141,MAX(1,MIN(121,$B83-ROUND(Declarations!$A$20/$D$18,0)))))</f>
        <v>-226.993398660495</v>
      </c>
      <c r="AA83" s="12" t="n">
        <f aca="false">INDEX(Z$21:Z$141,$I83+1)*(1-$J83)+INDEX(Z$21:Z$141,$I83+2)*$J83</f>
        <v>-226.608904263092</v>
      </c>
      <c r="AB83" s="12" t="n">
        <f aca="false">INDEX(Z$21:Z$141,$K83+1)*(1-$L83)+INDEX(Z$21:Z$141,$K83+2)*$L83</f>
        <v>-228.779639237574</v>
      </c>
      <c r="AC83" s="12" t="n">
        <f aca="false">$C83+$D83+MAX(AA83,AB83,IF(COUNTIFS($A$21:$A$141,"&gt;="&amp;$G83,$A$21:$A$141,"&lt;="&amp;$H83)&gt;0,_xlfn.MAXIFS(Z$21:Z$141,$A$21:$A$141,"&gt;="&amp;$G83,$A$21:$A$141,"&lt;="&amp;$H83),AA83))</f>
        <v>-10.0892600650805</v>
      </c>
      <c r="AD83" s="12" t="n">
        <f aca="false">-Cost_k*$A83+Beta_q*(Declarations!$B$16*INDEX(AC$21:AC$141,MAX(1,MIN(121,$B83-ROUND(Declarations!$A$16/$D$18,0))))+Declarations!$B$17*INDEX(AC$21:AC$141,MAX(1,MIN(121,$B83-ROUND(Declarations!$A$17/$D$18,0))))+Declarations!$B$18*INDEX(AC$21:AC$141,MAX(1,MIN(121,$B83-ROUND(Declarations!$A$18/$D$18,0))))+Declarations!$B$19*INDEX(AC$21:AC$141,MAX(1,MIN(121,$B83-ROUND(Declarations!$A$19/$D$18,0))))+Declarations!$B$20*INDEX(AC$21:AC$141,MAX(1,MIN(121,$B83-ROUND(Declarations!$A$20/$D$18,0)))))</f>
        <v>-232.034485705041</v>
      </c>
      <c r="AE83" s="12" t="n">
        <f aca="false">INDEX(AD$21:AD$141,$I83+1)*(1-$J83)+INDEX(AD$21:AD$141,$I83+2)*$J83</f>
        <v>-233.030776076156</v>
      </c>
      <c r="AF83" s="12" t="n">
        <f aca="false">INDEX(AD$21:AD$141,$K83+1)*(1-$L83)+INDEX(AD$21:AD$141,$K83+2)*$L83</f>
        <v>-232.464658124212</v>
      </c>
      <c r="AG83" s="12" t="n">
        <f aca="false">$C83+$D83+MAX(AE83,AF83,IF(COUNTIFS($A$21:$A$141,"&gt;="&amp;$G83,$A$21:$A$141,"&lt;="&amp;$H83)&gt;0,_xlfn.MAXIFS(AD$21:AD$141,$A$21:$A$141,"&gt;="&amp;$G83,$A$21:$A$141,"&lt;="&amp;$H83),AE83))</f>
        <v>-15.5651936264771</v>
      </c>
      <c r="AH83" s="12" t="n">
        <f aca="false">-Cost_k*$A83+Beta_q*(Declarations!$B$16*INDEX(AG$21:AG$141,MAX(1,MIN(121,$B83-ROUND(Declarations!$A$16/$D$18,0))))+Declarations!$B$17*INDEX(AG$21:AG$141,MAX(1,MIN(121,$B83-ROUND(Declarations!$A$17/$D$18,0))))+Declarations!$B$18*INDEX(AG$21:AG$141,MAX(1,MIN(121,$B83-ROUND(Declarations!$A$18/$D$18,0))))+Declarations!$B$19*INDEX(AG$21:AG$141,MAX(1,MIN(121,$B83-ROUND(Declarations!$A$19/$D$18,0))))+Declarations!$B$20*INDEX(AG$21:AG$141,MAX(1,MIN(121,$B83-ROUND(Declarations!$A$20/$D$18,0)))))</f>
        <v>-237.358487939356</v>
      </c>
      <c r="AI83" s="12" t="n">
        <f aca="false">INDEX(AH$21:AH$141,$I83+1)*(1-$J83)+INDEX(AH$21:AH$141,$I83+2)*$J83</f>
        <v>-238.573220501417</v>
      </c>
      <c r="AJ83" s="12" t="n">
        <f aca="false">INDEX(AH$21:AH$141,$K83+1)*(1-$L83)+INDEX(AH$21:AH$141,$K83+2)*$L83</f>
        <v>-237.449094985636</v>
      </c>
      <c r="AK83" s="12" t="n">
        <f aca="false">$C83+$D83+MAX(AI83,AJ83,IF(COUNTIFS($A$21:$A$141,"&gt;="&amp;$G83,$A$21:$A$141,"&lt;="&amp;$H83)&gt;0,_xlfn.MAXIFS(AH$21:AH$141,$A$21:$A$141,"&gt;="&amp;$G83,$A$21:$A$141,"&lt;="&amp;$H83),AI83))</f>
        <v>-20.8581760676685</v>
      </c>
      <c r="AL83" s="12" t="n">
        <f aca="false">-Cost_k*$A83+Beta_q*(Declarations!$B$16*INDEX(AK$21:AK$141,MAX(1,MIN(121,$B83-ROUND(Declarations!$A$16/$D$18,0))))+Declarations!$B$17*INDEX(AK$21:AK$141,MAX(1,MIN(121,$B83-ROUND(Declarations!$A$17/$D$18,0))))+Declarations!$B$18*INDEX(AK$21:AK$141,MAX(1,MIN(121,$B83-ROUND(Declarations!$A$18/$D$18,0))))+Declarations!$B$19*INDEX(AK$21:AK$141,MAX(1,MIN(121,$B83-ROUND(Declarations!$A$19/$D$18,0))))+Declarations!$B$20*INDEX(AK$21:AK$141,MAX(1,MIN(121,$B83-ROUND(Declarations!$A$20/$D$18,0)))))</f>
        <v>-242.529819303207</v>
      </c>
      <c r="AM83" s="12" t="n">
        <f aca="false">INDEX(AL$21:AL$141,$I83+1)*(1-$J83)+INDEX(AL$21:AL$141,$I83+2)*$J83</f>
        <v>-243.81257653498</v>
      </c>
      <c r="AN83" s="12" t="n">
        <f aca="false">INDEX(AL$21:AL$141,$K83+1)*(1-$L83)+INDEX(AL$21:AL$141,$K83+2)*$L83</f>
        <v>-242.592493196685</v>
      </c>
      <c r="AO83" s="12" t="n">
        <f aca="false">$C83+$D83+MAX(AM83,AN83,IF(COUNTIFS($A$21:$A$141,"&gt;="&amp;$G83,$A$21:$A$141,"&lt;="&amp;$H83)&gt;0,_xlfn.MAXIFS(AL$21:AL$141,$A$21:$A$141,"&gt;="&amp;$G83,$A$21:$A$141,"&lt;="&amp;$H83),AM83))</f>
        <v>-26.0276563065175</v>
      </c>
      <c r="AP83" s="12" t="n">
        <f aca="false">-Cost_k*$A83+Beta_q*(Declarations!$B$16*INDEX(AO$21:AO$141,MAX(1,MIN(121,$B83-ROUND(Declarations!$A$16/$D$18,0))))+Declarations!$B$17*INDEX(AO$21:AO$141,MAX(1,MIN(121,$B83-ROUND(Declarations!$A$17/$D$18,0))))+Declarations!$B$18*INDEX(AO$21:AO$141,MAX(1,MIN(121,$B83-ROUND(Declarations!$A$18/$D$18,0))))+Declarations!$B$19*INDEX(AO$21:AO$141,MAX(1,MIN(121,$B83-ROUND(Declarations!$A$19/$D$18,0))))+Declarations!$B$20*INDEX(AO$21:AO$141,MAX(1,MIN(121,$B83-ROUND(Declarations!$A$20/$D$18,0)))))</f>
        <v>-247.577984311259</v>
      </c>
      <c r="AQ83" s="12" t="n">
        <f aca="false">INDEX(AP$21:AP$141,$I83+1)*(1-$J83)+INDEX(AP$21:AP$141,$I83+2)*$J83</f>
        <v>-248.875315193982</v>
      </c>
      <c r="AR83" s="12" t="n">
        <f aca="false">INDEX(AP$21:AP$141,$K83+1)*(1-$L83)+INDEX(AP$21:AP$141,$K83+2)*$L83</f>
        <v>-247.638219552305</v>
      </c>
      <c r="AS83" s="12" t="n">
        <f aca="false">$C83+$D83+MAX(AQ83,AR83,IF(COUNTIFS($A$21:$A$141,"&gt;="&amp;$G83,$A$21:$A$141,"&lt;="&amp;$H83)&gt;0,_xlfn.MAXIFS(AP$21:AP$141,$A$21:$A$141,"&gt;="&amp;$G83,$A$21:$A$141,"&lt;="&amp;$H83),AQ83))</f>
        <v>-31.075534239341</v>
      </c>
      <c r="AT83" s="12" t="n">
        <f aca="false">-Cost_k*$A83+Beta_q*(Declarations!$B$16*INDEX(AS$21:AS$141,MAX(1,MIN(121,$B83-ROUND(Declarations!$A$16/$D$18,0))))+Declarations!$B$17*INDEX(AS$21:AS$141,MAX(1,MIN(121,$B83-ROUND(Declarations!$A$17/$D$18,0))))+Declarations!$B$18*INDEX(AS$21:AS$141,MAX(1,MIN(121,$B83-ROUND(Declarations!$A$18/$D$18,0))))+Declarations!$B$19*INDEX(AS$21:AS$141,MAX(1,MIN(121,$B83-ROUND(Declarations!$A$19/$D$18,0))))+Declarations!$B$20*INDEX(AS$21:AS$141,MAX(1,MIN(121,$B83-ROUND(Declarations!$A$20/$D$18,0)))))</f>
        <v>-252.507061382706</v>
      </c>
      <c r="AU83" s="12" t="n">
        <f aca="false">INDEX(AT$21:AT$141,$I83+1)*(1-$J83)+INDEX(AT$21:AT$141,$I83+2)*$J83</f>
        <v>-253.807275280421</v>
      </c>
      <c r="AV83" s="12" t="n">
        <f aca="false">INDEX(AT$21:AT$141,$K83+1)*(1-$L83)+INDEX(AT$21:AT$141,$K83+2)*$L83</f>
        <v>-252.567073096024</v>
      </c>
      <c r="AW83" s="12" t="n">
        <f aca="false">$C83+$D83+MAX(AU83,AV83,IF(COUNTIFS($A$21:$A$141,"&gt;="&amp;$G83,$A$21:$A$141,"&lt;="&amp;$H83)&gt;0,_xlfn.MAXIFS(AT$21:AT$141,$A$21:$A$141,"&gt;="&amp;$G83,$A$21:$A$141,"&lt;="&amp;$H83),AU83))</f>
        <v>-36.0045746247619</v>
      </c>
      <c r="AX83" s="12" t="n">
        <f aca="false">-Cost_k*$A83+Beta_q*(Declarations!$B$16*INDEX(AW$21:AW$141,MAX(1,MIN(121,$B83-ROUND(Declarations!$A$16/$D$18,0))))+Declarations!$B$17*INDEX(AW$21:AW$141,MAX(1,MIN(121,$B83-ROUND(Declarations!$A$17/$D$18,0))))+Declarations!$B$18*INDEX(AW$21:AW$141,MAX(1,MIN(121,$B83-ROUND(Declarations!$A$18/$D$18,0))))+Declarations!$B$19*INDEX(AW$21:AW$141,MAX(1,MIN(121,$B83-ROUND(Declarations!$A$19/$D$18,0))))+Declarations!$B$20*INDEX(AW$21:AW$141,MAX(1,MIN(121,$B83-ROUND(Declarations!$A$20/$D$18,0)))))</f>
        <v>-257.320052337612</v>
      </c>
      <c r="AY83" s="12" t="n">
        <f aca="false">INDEX(AX$21:AX$141,$I83+1)*(1-$J83)+INDEX(AX$21:AX$141,$I83+2)*$J83</f>
        <v>-258.620827928666</v>
      </c>
      <c r="AZ83" s="12" t="n">
        <f aca="false">INDEX(AX$21:AX$141,$K83+1)*(1-$L83)+INDEX(AX$21:AX$141,$K83+2)*$L83</f>
        <v>-257.38003969171</v>
      </c>
      <c r="BA83" s="12" t="n">
        <f aca="false">$C83+$D83+MAX(AY83,AZ83,IF(COUNTIFS($A$21:$A$141,"&gt;="&amp;$G83,$A$21:$A$141,"&lt;="&amp;$H83)&gt;0,_xlfn.MAXIFS(AX$21:AX$141,$A$21:$A$141,"&gt;="&amp;$G83,$A$21:$A$141,"&lt;="&amp;$H83),AY83))</f>
        <v>-40.8175594116307</v>
      </c>
      <c r="BB83" s="12" t="n">
        <f aca="false">-Cost_k*$A83+Beta_q*(Declarations!$B$16*INDEX(BA$21:BA$141,MAX(1,MIN(121,$B83-ROUND(Declarations!$A$16/$D$18,0))))+Declarations!$B$17*INDEX(BA$21:BA$141,MAX(1,MIN(121,$B83-ROUND(Declarations!$A$17/$D$18,0))))+Declarations!$B$18*INDEX(BA$21:BA$141,MAX(1,MIN(121,$B83-ROUND(Declarations!$A$18/$D$18,0))))+Declarations!$B$19*INDEX(BA$21:BA$141,MAX(1,MIN(121,$B83-ROUND(Declarations!$A$19/$D$18,0))))+Declarations!$B$20*INDEX(BA$21:BA$141,MAX(1,MIN(121,$B83-ROUND(Declarations!$A$20/$D$18,0)))))</f>
        <v>-262.019712551644</v>
      </c>
      <c r="BC83" s="12" t="n">
        <f aca="false">INDEX(BB$21:BB$141,$I83+1)*(1-$J83)+INDEX(BB$21:BB$141,$I83+2)*$J83</f>
        <v>-263.320595612721</v>
      </c>
      <c r="BD83" s="12" t="n">
        <f aca="false">INDEX(BB$21:BB$141,$K83+1)*(1-$L83)+INDEX(BB$21:BB$141,$K83+2)*$L83</f>
        <v>-262.079696791588</v>
      </c>
      <c r="BE83" s="12" t="n">
        <f aca="false">$C83+$D83+MAX(BC83,BD83,IF(COUNTIFS($A$21:$A$141,"&gt;="&amp;$G83,$A$21:$A$141,"&lt;="&amp;$H83)&gt;0,_xlfn.MAXIFS(BB$21:BB$141,$A$21:$A$141,"&gt;="&amp;$G83,$A$21:$A$141,"&lt;="&amp;$H83),BC83))</f>
        <v>-45.5172186139989</v>
      </c>
      <c r="BF83" s="12" t="n">
        <f aca="false">-Cost_k*$A83+Beta_q*(Declarations!$B$16*INDEX(BE$21:BE$141,MAX(1,MIN(121,$B83-ROUND(Declarations!$A$16/$D$18,0))))+Declarations!$B$17*INDEX(BE$21:BE$141,MAX(1,MIN(121,$B83-ROUND(Declarations!$A$17/$D$18,0))))+Declarations!$B$18*INDEX(BE$21:BE$141,MAX(1,MIN(121,$B83-ROUND(Declarations!$A$18/$D$18,0))))+Declarations!$B$19*INDEX(BE$21:BE$141,MAX(1,MIN(121,$B83-ROUND(Declarations!$A$19/$D$18,0))))+Declarations!$B$20*INDEX(BE$21:BE$141,MAX(1,MIN(121,$B83-ROUND(Declarations!$A$20/$D$18,0)))))</f>
        <v>-266.608714270552</v>
      </c>
      <c r="BG83" s="12" t="n">
        <f aca="false">INDEX(BF$21:BF$141,$I83+1)*(1-$J83)+INDEX(BF$21:BF$141,$I83+2)*$J83</f>
        <v>-267.909617911652</v>
      </c>
      <c r="BH83" s="12" t="n">
        <f aca="false">INDEX(BF$21:BF$141,$K83+1)*(1-$L83)+INDEX(BF$21:BF$141,$K83+2)*$L83</f>
        <v>-266.668698043765</v>
      </c>
      <c r="BI83" s="12" t="n">
        <f aca="false">$C83+$D83+MAX(BG83,BH83,IF(COUNTIFS($A$21:$A$141,"&gt;="&amp;$G83,$A$21:$A$141,"&lt;="&amp;$H83)&gt;0,_xlfn.MAXIFS(BF$21:BF$141,$A$21:$A$141,"&gt;="&amp;$G83,$A$21:$A$141,"&lt;="&amp;$H83),BG83))</f>
        <v>-50.1062201537861</v>
      </c>
      <c r="BJ83" s="23" t="n">
        <v>-50.1062201537861</v>
      </c>
      <c r="BK83" s="22" t="n">
        <f aca="false">ABS(BI83-BJ83)</f>
        <v>0</v>
      </c>
    </row>
    <row r="84" customFormat="false" ht="15" hidden="false" customHeight="false" outlineLevel="0" collapsed="false">
      <c r="A84" s="14" t="n">
        <f aca="false">A83+$D$18</f>
        <v>55.75</v>
      </c>
      <c r="B84" s="19" t="n">
        <v>64</v>
      </c>
      <c r="C84" s="12" t="n">
        <f aca="false">-Short_p*MAX(Floor_c-A84,0)</f>
        <v>-0</v>
      </c>
      <c r="D84" s="12" t="n">
        <f aca="false">Cost_k*Alpha_keep*A84</f>
        <v>217.425</v>
      </c>
      <c r="E84" s="12" t="n">
        <f aca="false">MIN(Cap_h,MAX(0,$B$18+MAX(Loss_w)-Alpha_keep*A84))</f>
        <v>0</v>
      </c>
      <c r="F84" s="12" t="n">
        <f aca="false">MAX(MIN(Cap_h,$F$18+MIN(Loss_w)-Alpha_keep*A84),E84)</f>
        <v>2.5</v>
      </c>
      <c r="G84" s="12" t="n">
        <f aca="false">Alpha_keep*A84+E84</f>
        <v>54.35625</v>
      </c>
      <c r="H84" s="12" t="n">
        <f aca="false">Alpha_keep*A84+F84</f>
        <v>56.85625</v>
      </c>
      <c r="I84" s="19" t="n">
        <f aca="false">MIN(INT((G84-$B$18)/$D$18+0.000000001),119)</f>
        <v>57</v>
      </c>
      <c r="J84" s="12" t="n">
        <f aca="false">(G84-$B$18)/$D$18-I84</f>
        <v>0.424999999999983</v>
      </c>
      <c r="K84" s="19" t="n">
        <f aca="false">MIN(INT((H84-$B$18)/$D$18+0.000000001),119)</f>
        <v>67</v>
      </c>
      <c r="L84" s="12" t="n">
        <f aca="false">(H84-$B$18)/$D$18-K84</f>
        <v>0.424999999999983</v>
      </c>
      <c r="M84" s="9" t="n">
        <v>0</v>
      </c>
      <c r="N84" s="12" t="n">
        <f aca="false">-Cost_k*$A84+Beta_q*(Declarations!$B$16*INDEX(M$21:M$141,MAX(1,MIN(121,$B84-ROUND(Declarations!$A$16/$D$18,0))))+Declarations!$B$17*INDEX(M$21:M$141,MAX(1,MIN(121,$B84-ROUND(Declarations!$A$17/$D$18,0))))+Declarations!$B$18*INDEX(M$21:M$141,MAX(1,MIN(121,$B84-ROUND(Declarations!$A$18/$D$18,0))))+Declarations!$B$19*INDEX(M$21:M$141,MAX(1,MIN(121,$B84-ROUND(Declarations!$A$19/$D$18,0))))+Declarations!$B$20*INDEX(M$21:M$141,MAX(1,MIN(121,$B84-ROUND(Declarations!$A$20/$D$18,0)))))</f>
        <v>-223</v>
      </c>
      <c r="O84" s="12" t="n">
        <f aca="false">INDEX(N$21:N$141,$I84+1)*(1-$J84)+INDEX(N$21:N$141,$I84+2)*$J84</f>
        <v>-217.425</v>
      </c>
      <c r="P84" s="12" t="n">
        <f aca="false">INDEX(N$21:N$141,$K84+1)*(1-$L84)+INDEX(N$21:N$141,$K84+2)*$L84</f>
        <v>-227.425</v>
      </c>
      <c r="Q84" s="12" t="n">
        <f aca="false">$C84+$D84+MAX(O84,P84,IF(COUNTIFS($A$21:$A$141,"&gt;="&amp;$G84,$A$21:$A$141,"&lt;="&amp;$H84)&gt;0,_xlfn.MAXIFS(N$21:N$141,$A$21:$A$141,"&gt;="&amp;$G84,$A$21:$A$141,"&lt;="&amp;$H84),O84))</f>
        <v>0</v>
      </c>
      <c r="R84" s="12" t="n">
        <f aca="false">-Cost_k*$A84+Beta_q*(Declarations!$B$16*INDEX(Q$21:Q$141,MAX(1,MIN(121,$B84-ROUND(Declarations!$A$16/$D$18,0))))+Declarations!$B$17*INDEX(Q$21:Q$141,MAX(1,MIN(121,$B84-ROUND(Declarations!$A$17/$D$18,0))))+Declarations!$B$18*INDEX(Q$21:Q$141,MAX(1,MIN(121,$B84-ROUND(Declarations!$A$18/$D$18,0))))+Declarations!$B$19*INDEX(Q$21:Q$141,MAX(1,MIN(121,$B84-ROUND(Declarations!$A$19/$D$18,0))))+Declarations!$B$20*INDEX(Q$21:Q$141,MAX(1,MIN(121,$B84-ROUND(Declarations!$A$20/$D$18,0)))))</f>
        <v>-223.058587245381</v>
      </c>
      <c r="S84" s="12" t="n">
        <f aca="false">INDEX(R$21:R$141,$I84+1)*(1-$J84)+INDEX(R$21:R$141,$I84+2)*$J84</f>
        <v>-218.530834256558</v>
      </c>
      <c r="T84" s="12" t="n">
        <f aca="false">INDEX(R$21:R$141,$K84+1)*(1-$L84)+INDEX(R$21:R$141,$K84+2)*$L84</f>
        <v>-227.425</v>
      </c>
      <c r="U84" s="12" t="n">
        <f aca="false">$C84+$D84+MAX(S84,T84,IF(COUNTIFS($A$21:$A$141,"&gt;="&amp;$G84,$A$21:$A$141,"&lt;="&amp;$H84)&gt;0,_xlfn.MAXIFS(R$21:R$141,$A$21:$A$141,"&gt;="&amp;$G84,$A$21:$A$141,"&lt;="&amp;$H84),S84))</f>
        <v>-1.10583425655844</v>
      </c>
      <c r="V84" s="12" t="n">
        <f aca="false">-Cost_k*$A84+Beta_q*(Declarations!$B$16*INDEX(U$21:U$141,MAX(1,MIN(121,$B84-ROUND(Declarations!$A$16/$D$18,0))))+Declarations!$B$17*INDEX(U$21:U$141,MAX(1,MIN(121,$B84-ROUND(Declarations!$A$17/$D$18,0))))+Declarations!$B$18*INDEX(U$21:U$141,MAX(1,MIN(121,$B84-ROUND(Declarations!$A$18/$D$18,0))))+Declarations!$B$19*INDEX(U$21:U$141,MAX(1,MIN(121,$B84-ROUND(Declarations!$A$19/$D$18,0))))+Declarations!$B$20*INDEX(U$21:U$141,MAX(1,MIN(121,$B84-ROUND(Declarations!$A$20/$D$18,0)))))</f>
        <v>-224.245147601132</v>
      </c>
      <c r="W84" s="12" t="n">
        <f aca="false">INDEX(V$21:V$141,$I84+1)*(1-$J84)+INDEX(V$21:V$141,$I84+2)*$J84</f>
        <v>-221.596315998641</v>
      </c>
      <c r="X84" s="12" t="n">
        <f aca="false">INDEX(V$21:V$141,$K84+1)*(1-$L84)+INDEX(V$21:V$141,$K84+2)*$L84</f>
        <v>-227.735459933255</v>
      </c>
      <c r="Y84" s="12" t="n">
        <f aca="false">$C84+$D84+MAX(W84,X84,IF(COUNTIFS($A$21:$A$141,"&gt;="&amp;$G84,$A$21:$A$141,"&lt;="&amp;$H84)&gt;0,_xlfn.MAXIFS(V$21:V$141,$A$21:$A$141,"&gt;="&amp;$G84,$A$21:$A$141,"&lt;="&amp;$H84),W84))</f>
        <v>-4.17131599864078</v>
      </c>
      <c r="Z84" s="12" t="n">
        <f aca="false">-Cost_k*$A84+Beta_q*(Declarations!$B$16*INDEX(Y$21:Y$141,MAX(1,MIN(121,$B84-ROUND(Declarations!$A$16/$D$18,0))))+Declarations!$B$17*INDEX(Y$21:Y$141,MAX(1,MIN(121,$B84-ROUND(Declarations!$A$17/$D$18,0))))+Declarations!$B$18*INDEX(Y$21:Y$141,MAX(1,MIN(121,$B84-ROUND(Declarations!$A$18/$D$18,0))))+Declarations!$B$19*INDEX(Y$21:Y$141,MAX(1,MIN(121,$B84-ROUND(Declarations!$A$19/$D$18,0))))+Declarations!$B$20*INDEX(Y$21:Y$141,MAX(1,MIN(121,$B84-ROUND(Declarations!$A$20/$D$18,0)))))</f>
        <v>-227.257161593164</v>
      </c>
      <c r="AA84" s="12" t="n">
        <f aca="false">INDEX(Z$21:Z$141,$I84+1)*(1-$J84)+INDEX(Z$21:Z$141,$I84+2)*$J84</f>
        <v>-226.55409373304</v>
      </c>
      <c r="AB84" s="12" t="n">
        <f aca="false">INDEX(Z$21:Z$141,$K84+1)*(1-$L84)+INDEX(Z$21:Z$141,$K84+2)*$L84</f>
        <v>-229.347836120818</v>
      </c>
      <c r="AC84" s="12" t="n">
        <f aca="false">$C84+$D84+MAX(AA84,AB84,IF(COUNTIFS($A$21:$A$141,"&gt;="&amp;$G84,$A$21:$A$141,"&lt;="&amp;$H84)&gt;0,_xlfn.MAXIFS(Z$21:Z$141,$A$21:$A$141,"&gt;="&amp;$G84,$A$21:$A$141,"&lt;="&amp;$H84),AA84))</f>
        <v>-9.11426006508046</v>
      </c>
      <c r="AD84" s="12" t="n">
        <f aca="false">-Cost_k*$A84+Beta_q*(Declarations!$B$16*INDEX(AC$21:AC$141,MAX(1,MIN(121,$B84-ROUND(Declarations!$A$16/$D$18,0))))+Declarations!$B$17*INDEX(AC$21:AC$141,MAX(1,MIN(121,$B84-ROUND(Declarations!$A$17/$D$18,0))))+Declarations!$B$18*INDEX(AC$21:AC$141,MAX(1,MIN(121,$B84-ROUND(Declarations!$A$18/$D$18,0))))+Declarations!$B$19*INDEX(AC$21:AC$141,MAX(1,MIN(121,$B84-ROUND(Declarations!$A$19/$D$18,0))))+Declarations!$B$20*INDEX(AC$21:AC$141,MAX(1,MIN(121,$B84-ROUND(Declarations!$A$20/$D$18,0)))))</f>
        <v>-232.015193626477</v>
      </c>
      <c r="AE84" s="12" t="n">
        <f aca="false">INDEX(AD$21:AD$141,$I84+1)*(1-$J84)+INDEX(AD$21:AD$141,$I84+2)*$J84</f>
        <v>-232.743314355039</v>
      </c>
      <c r="AF84" s="12" t="n">
        <f aca="false">INDEX(AD$21:AD$141,$K84+1)*(1-$L84)+INDEX(AD$21:AD$141,$K84+2)*$L84</f>
        <v>-232.720521853387</v>
      </c>
      <c r="AG84" s="12" t="n">
        <f aca="false">$C84+$D84+MAX(AE84,AF84,IF(COUNTIFS($A$21:$A$141,"&gt;="&amp;$G84,$A$21:$A$141,"&lt;="&amp;$H84)&gt;0,_xlfn.MAXIFS(AD$21:AD$141,$A$21:$A$141,"&gt;="&amp;$G84,$A$21:$A$141,"&lt;="&amp;$H84),AE84))</f>
        <v>-14.5901936264771</v>
      </c>
      <c r="AH84" s="12" t="n">
        <f aca="false">-Cost_k*$A84+Beta_q*(Declarations!$B$16*INDEX(AG$21:AG$141,MAX(1,MIN(121,$B84-ROUND(Declarations!$A$16/$D$18,0))))+Declarations!$B$17*INDEX(AG$21:AG$141,MAX(1,MIN(121,$B84-ROUND(Declarations!$A$17/$D$18,0))))+Declarations!$B$18*INDEX(AG$21:AG$141,MAX(1,MIN(121,$B84-ROUND(Declarations!$A$18/$D$18,0))))+Declarations!$B$19*INDEX(AG$21:AG$141,MAX(1,MIN(121,$B84-ROUND(Declarations!$A$19/$D$18,0))))+Declarations!$B$20*INDEX(AG$21:AG$141,MAX(1,MIN(121,$B84-ROUND(Declarations!$A$20/$D$18,0)))))</f>
        <v>-237.308176067668</v>
      </c>
      <c r="AI84" s="12" t="n">
        <f aca="false">INDEX(AH$21:AH$141,$I84+1)*(1-$J84)+INDEX(AH$21:AH$141,$I84+2)*$J84</f>
        <v>-238.214625718389</v>
      </c>
      <c r="AJ84" s="12" t="n">
        <f aca="false">INDEX(AH$21:AH$141,$K84+1)*(1-$L84)+INDEX(AH$21:AH$141,$K84+2)*$L84</f>
        <v>-237.526491352312</v>
      </c>
      <c r="AK84" s="12" t="n">
        <f aca="false">$C84+$D84+MAX(AI84,AJ84,IF(COUNTIFS($A$21:$A$141,"&gt;="&amp;$G84,$A$21:$A$141,"&lt;="&amp;$H84)&gt;0,_xlfn.MAXIFS(AH$21:AH$141,$A$21:$A$141,"&gt;="&amp;$G84,$A$21:$A$141,"&lt;="&amp;$H84),AI84))</f>
        <v>-19.8831760676685</v>
      </c>
      <c r="AL84" s="12" t="n">
        <f aca="false">-Cost_k*$A84+Beta_q*(Declarations!$B$16*INDEX(AK$21:AK$141,MAX(1,MIN(121,$B84-ROUND(Declarations!$A$16/$D$18,0))))+Declarations!$B$17*INDEX(AK$21:AK$141,MAX(1,MIN(121,$B84-ROUND(Declarations!$A$17/$D$18,0))))+Declarations!$B$18*INDEX(AK$21:AK$141,MAX(1,MIN(121,$B84-ROUND(Declarations!$A$18/$D$18,0))))+Declarations!$B$19*INDEX(AK$21:AK$141,MAX(1,MIN(121,$B84-ROUND(Declarations!$A$19/$D$18,0))))+Declarations!$B$20*INDEX(AK$21:AK$141,MAX(1,MIN(121,$B84-ROUND(Declarations!$A$20/$D$18,0)))))</f>
        <v>-242.477656306518</v>
      </c>
      <c r="AM84" s="12" t="n">
        <f aca="false">INDEX(AL$21:AL$141,$I84+1)*(1-$J84)+INDEX(AL$21:AL$141,$I84+2)*$J84</f>
        <v>-243.430334584286</v>
      </c>
      <c r="AN84" s="12" t="n">
        <f aca="false">INDEX(AL$21:AL$141,$K84+1)*(1-$L84)+INDEX(AL$21:AL$141,$K84+2)*$L84</f>
        <v>-242.649212547028</v>
      </c>
      <c r="AO84" s="12" t="n">
        <f aca="false">$C84+$D84+MAX(AM84,AN84,IF(COUNTIFS($A$21:$A$141,"&gt;="&amp;$G84,$A$21:$A$141,"&lt;="&amp;$H84)&gt;0,_xlfn.MAXIFS(AL$21:AL$141,$A$21:$A$141,"&gt;="&amp;$G84,$A$21:$A$141,"&lt;="&amp;$H84),AM84))</f>
        <v>-25.0526563065175</v>
      </c>
      <c r="AP84" s="12" t="n">
        <f aca="false">-Cost_k*$A84+Beta_q*(Declarations!$B$16*INDEX(AO$21:AO$141,MAX(1,MIN(121,$B84-ROUND(Declarations!$A$16/$D$18,0))))+Declarations!$B$17*INDEX(AO$21:AO$141,MAX(1,MIN(121,$B84-ROUND(Declarations!$A$17/$D$18,0))))+Declarations!$B$18*INDEX(AO$21:AO$141,MAX(1,MIN(121,$B84-ROUND(Declarations!$A$18/$D$18,0))))+Declarations!$B$19*INDEX(AO$21:AO$141,MAX(1,MIN(121,$B84-ROUND(Declarations!$A$19/$D$18,0))))+Declarations!$B$20*INDEX(AO$21:AO$141,MAX(1,MIN(121,$B84-ROUND(Declarations!$A$20/$D$18,0)))))</f>
        <v>-247.525534239341</v>
      </c>
      <c r="AQ84" s="12" t="n">
        <f aca="false">INDEX(AP$21:AP$141,$I84+1)*(1-$J84)+INDEX(AP$21:AP$141,$I84+2)*$J84</f>
        <v>-248.487038998234</v>
      </c>
      <c r="AR84" s="12" t="n">
        <f aca="false">INDEX(AP$21:AP$141,$K84+1)*(1-$L84)+INDEX(AP$21:AP$141,$K84+2)*$L84</f>
        <v>-247.693031708116</v>
      </c>
      <c r="AS84" s="12" t="n">
        <f aca="false">$C84+$D84+MAX(AQ84,AR84,IF(COUNTIFS($A$21:$A$141,"&gt;="&amp;$G84,$A$21:$A$141,"&lt;="&amp;$H84)&gt;0,_xlfn.MAXIFS(AP$21:AP$141,$A$21:$A$141,"&gt;="&amp;$G84,$A$21:$A$141,"&lt;="&amp;$H84),AQ84))</f>
        <v>-30.100534239341</v>
      </c>
      <c r="AT84" s="12" t="n">
        <f aca="false">-Cost_k*$A84+Beta_q*(Declarations!$B$16*INDEX(AS$21:AS$141,MAX(1,MIN(121,$B84-ROUND(Declarations!$A$16/$D$18,0))))+Declarations!$B$17*INDEX(AS$21:AS$141,MAX(1,MIN(121,$B84-ROUND(Declarations!$A$17/$D$18,0))))+Declarations!$B$18*INDEX(AS$21:AS$141,MAX(1,MIN(121,$B84-ROUND(Declarations!$A$18/$D$18,0))))+Declarations!$B$19*INDEX(AS$21:AS$141,MAX(1,MIN(121,$B84-ROUND(Declarations!$A$19/$D$18,0))))+Declarations!$B$20*INDEX(AS$21:AS$141,MAX(1,MIN(121,$B84-ROUND(Declarations!$A$20/$D$18,0)))))</f>
        <v>-252.454574624762</v>
      </c>
      <c r="AU84" s="12" t="n">
        <f aca="false">INDEX(AT$21:AT$141,$I84+1)*(1-$J84)+INDEX(AT$21:AT$141,$I84+2)*$J84</f>
        <v>-253.4177786259</v>
      </c>
      <c r="AV84" s="12" t="n">
        <f aca="false">INDEX(AT$21:AT$141,$K84+1)*(1-$L84)+INDEX(AT$21:AT$141,$K84+2)*$L84</f>
        <v>-252.621718794003</v>
      </c>
      <c r="AW84" s="12" t="n">
        <f aca="false">$C84+$D84+MAX(AU84,AV84,IF(COUNTIFS($A$21:$A$141,"&gt;="&amp;$G84,$A$21:$A$141,"&lt;="&amp;$H84)&gt;0,_xlfn.MAXIFS(AT$21:AT$141,$A$21:$A$141,"&gt;="&amp;$G84,$A$21:$A$141,"&lt;="&amp;$H84),AU84))</f>
        <v>-35.0295746247619</v>
      </c>
      <c r="AX84" s="12" t="n">
        <f aca="false">-Cost_k*$A84+Beta_q*(Declarations!$B$16*INDEX(AW$21:AW$141,MAX(1,MIN(121,$B84-ROUND(Declarations!$A$16/$D$18,0))))+Declarations!$B$17*INDEX(AW$21:AW$141,MAX(1,MIN(121,$B84-ROUND(Declarations!$A$17/$D$18,0))))+Declarations!$B$18*INDEX(AW$21:AW$141,MAX(1,MIN(121,$B84-ROUND(Declarations!$A$18/$D$18,0))))+Declarations!$B$19*INDEX(AW$21:AW$141,MAX(1,MIN(121,$B84-ROUND(Declarations!$A$19/$D$18,0))))+Declarations!$B$20*INDEX(AW$21:AW$141,MAX(1,MIN(121,$B84-ROUND(Declarations!$A$20/$D$18,0)))))</f>
        <v>-257.267559411631</v>
      </c>
      <c r="AY84" s="12" t="n">
        <f aca="false">INDEX(AX$21:AX$141,$I84+1)*(1-$J84)+INDEX(AX$21:AX$141,$I84+2)*$J84</f>
        <v>-258.231077006966</v>
      </c>
      <c r="AZ84" s="12" t="n">
        <f aca="false">INDEX(AX$21:AX$141,$K84+1)*(1-$L84)+INDEX(AX$21:AX$141,$K84+2)*$L84</f>
        <v>-257.434670385308</v>
      </c>
      <c r="BA84" s="12" t="n">
        <f aca="false">$C84+$D84+MAX(AY84,AZ84,IF(COUNTIFS($A$21:$A$141,"&gt;="&amp;$G84,$A$21:$A$141,"&lt;="&amp;$H84)&gt;0,_xlfn.MAXIFS(AX$21:AX$141,$A$21:$A$141,"&gt;="&amp;$G84,$A$21:$A$141,"&lt;="&amp;$H84),AY84))</f>
        <v>-39.8425594116307</v>
      </c>
      <c r="BB84" s="12" t="n">
        <f aca="false">-Cost_k*$A84+Beta_q*(Declarations!$B$16*INDEX(BA$21:BA$141,MAX(1,MIN(121,$B84-ROUND(Declarations!$A$16/$D$18,0))))+Declarations!$B$17*INDEX(BA$21:BA$141,MAX(1,MIN(121,$B84-ROUND(Declarations!$A$17/$D$18,0))))+Declarations!$B$18*INDEX(BA$21:BA$141,MAX(1,MIN(121,$B84-ROUND(Declarations!$A$18/$D$18,0))))+Declarations!$B$19*INDEX(BA$21:BA$141,MAX(1,MIN(121,$B84-ROUND(Declarations!$A$19/$D$18,0))))+Declarations!$B$20*INDEX(BA$21:BA$141,MAX(1,MIN(121,$B84-ROUND(Declarations!$A$20/$D$18,0)))))</f>
        <v>-261.967218613999</v>
      </c>
      <c r="BC84" s="12" t="n">
        <f aca="false">INDEX(BB$21:BB$141,$I84+1)*(1-$J84)+INDEX(BB$21:BB$141,$I84+2)*$J84</f>
        <v>-262.930795311285</v>
      </c>
      <c r="BD84" s="12" t="n">
        <f aca="false">INDEX(BB$21:BB$141,$K84+1)*(1-$L84)+INDEX(BB$21:BB$141,$K84+2)*$L84</f>
        <v>-262.134326013957</v>
      </c>
      <c r="BE84" s="12" t="n">
        <f aca="false">$C84+$D84+MAX(BC84,BD84,IF(COUNTIFS($A$21:$A$141,"&gt;="&amp;$G84,$A$21:$A$141,"&lt;="&amp;$H84)&gt;0,_xlfn.MAXIFS(BB$21:BB$141,$A$21:$A$141,"&gt;="&amp;$G84,$A$21:$A$141,"&lt;="&amp;$H84),BC84))</f>
        <v>-44.5422186139989</v>
      </c>
      <c r="BF84" s="12" t="n">
        <f aca="false">-Cost_k*$A84+Beta_q*(Declarations!$B$16*INDEX(BE$21:BE$141,MAX(1,MIN(121,$B84-ROUND(Declarations!$A$16/$D$18,0))))+Declarations!$B$17*INDEX(BE$21:BE$141,MAX(1,MIN(121,$B84-ROUND(Declarations!$A$17/$D$18,0))))+Declarations!$B$18*INDEX(BE$21:BE$141,MAX(1,MIN(121,$B84-ROUND(Declarations!$A$18/$D$18,0))))+Declarations!$B$19*INDEX(BE$21:BE$141,MAX(1,MIN(121,$B84-ROUND(Declarations!$A$19/$D$18,0))))+Declarations!$B$20*INDEX(BE$21:BE$141,MAX(1,MIN(121,$B84-ROUND(Declarations!$A$20/$D$18,0)))))</f>
        <v>-266.556220153786</v>
      </c>
      <c r="BG84" s="12" t="n">
        <f aca="false">INDEX(BF$21:BF$141,$I84+1)*(1-$J84)+INDEX(BF$21:BF$141,$I84+2)*$J84</f>
        <v>-267.519807902712</v>
      </c>
      <c r="BH84" s="12" t="n">
        <f aca="false">INDEX(BF$21:BF$141,$K84+1)*(1-$L84)+INDEX(BF$21:BF$141,$K84+2)*$L84</f>
        <v>-266.723327101752</v>
      </c>
      <c r="BI84" s="12" t="n">
        <f aca="false">$C84+$D84+MAX(BG84,BH84,IF(COUNTIFS($A$21:$A$141,"&gt;="&amp;$G84,$A$21:$A$141,"&lt;="&amp;$H84)&gt;0,_xlfn.MAXIFS(BF$21:BF$141,$A$21:$A$141,"&gt;="&amp;$G84,$A$21:$A$141,"&lt;="&amp;$H84),BG84))</f>
        <v>-49.1312201537861</v>
      </c>
      <c r="BJ84" s="23" t="n">
        <v>-49.1312201537861</v>
      </c>
      <c r="BK84" s="22" t="n">
        <f aca="false">ABS(BI84-BJ84)</f>
        <v>0</v>
      </c>
    </row>
    <row r="85" customFormat="false" ht="15" hidden="false" customHeight="false" outlineLevel="0" collapsed="false">
      <c r="A85" s="14" t="n">
        <f aca="false">A84+$D$18</f>
        <v>56</v>
      </c>
      <c r="B85" s="19" t="n">
        <v>65</v>
      </c>
      <c r="C85" s="12" t="n">
        <f aca="false">-Short_p*MAX(Floor_c-A85,0)</f>
        <v>-0</v>
      </c>
      <c r="D85" s="12" t="n">
        <f aca="false">Cost_k*Alpha_keep*A85</f>
        <v>218.4</v>
      </c>
      <c r="E85" s="12" t="n">
        <f aca="false">MIN(Cap_h,MAX(0,$B$18+MAX(Loss_w)-Alpha_keep*A85))</f>
        <v>0</v>
      </c>
      <c r="F85" s="12" t="n">
        <f aca="false">MAX(MIN(Cap_h,$F$18+MIN(Loss_w)-Alpha_keep*A85),E85)</f>
        <v>2.5</v>
      </c>
      <c r="G85" s="12" t="n">
        <f aca="false">Alpha_keep*A85+E85</f>
        <v>54.6</v>
      </c>
      <c r="H85" s="12" t="n">
        <f aca="false">Alpha_keep*A85+F85</f>
        <v>57.1</v>
      </c>
      <c r="I85" s="19" t="n">
        <f aca="false">MIN(INT((G85-$B$18)/$D$18+0.000000001),119)</f>
        <v>58</v>
      </c>
      <c r="J85" s="12" t="n">
        <f aca="false">(G85-$B$18)/$D$18-I85</f>
        <v>0.400000000000006</v>
      </c>
      <c r="K85" s="19" t="n">
        <f aca="false">MIN(INT((H85-$B$18)/$D$18+0.000000001),119)</f>
        <v>68</v>
      </c>
      <c r="L85" s="12" t="n">
        <f aca="false">(H85-$B$18)/$D$18-K85</f>
        <v>0.400000000000006</v>
      </c>
      <c r="M85" s="9" t="n">
        <v>0</v>
      </c>
      <c r="N85" s="12" t="n">
        <f aca="false">-Cost_k*$A85+Beta_q*(Declarations!$B$16*INDEX(M$21:M$141,MAX(1,MIN(121,$B85-ROUND(Declarations!$A$16/$D$18,0))))+Declarations!$B$17*INDEX(M$21:M$141,MAX(1,MIN(121,$B85-ROUND(Declarations!$A$17/$D$18,0))))+Declarations!$B$18*INDEX(M$21:M$141,MAX(1,MIN(121,$B85-ROUND(Declarations!$A$18/$D$18,0))))+Declarations!$B$19*INDEX(M$21:M$141,MAX(1,MIN(121,$B85-ROUND(Declarations!$A$19/$D$18,0))))+Declarations!$B$20*INDEX(M$21:M$141,MAX(1,MIN(121,$B85-ROUND(Declarations!$A$20/$D$18,0)))))</f>
        <v>-224</v>
      </c>
      <c r="O85" s="12" t="n">
        <f aca="false">INDEX(N$21:N$141,$I85+1)*(1-$J85)+INDEX(N$21:N$141,$I85+2)*$J85</f>
        <v>-218.4</v>
      </c>
      <c r="P85" s="12" t="n">
        <f aca="false">INDEX(N$21:N$141,$K85+1)*(1-$L85)+INDEX(N$21:N$141,$K85+2)*$L85</f>
        <v>-228.4</v>
      </c>
      <c r="Q85" s="12" t="n">
        <f aca="false">$C85+$D85+MAX(O85,P85,IF(COUNTIFS($A$21:$A$141,"&gt;="&amp;$G85,$A$21:$A$141,"&lt;="&amp;$H85)&gt;0,_xlfn.MAXIFS(N$21:N$141,$A$21:$A$141,"&gt;="&amp;$G85,$A$21:$A$141,"&lt;="&amp;$H85),O85))</f>
        <v>0</v>
      </c>
      <c r="R85" s="12" t="n">
        <f aca="false">-Cost_k*$A85+Beta_q*(Declarations!$B$16*INDEX(Q$21:Q$141,MAX(1,MIN(121,$B85-ROUND(Declarations!$A$16/$D$18,0))))+Declarations!$B$17*INDEX(Q$21:Q$141,MAX(1,MIN(121,$B85-ROUND(Declarations!$A$17/$D$18,0))))+Declarations!$B$18*INDEX(Q$21:Q$141,MAX(1,MIN(121,$B85-ROUND(Declarations!$A$18/$D$18,0))))+Declarations!$B$19*INDEX(Q$21:Q$141,MAX(1,MIN(121,$B85-ROUND(Declarations!$A$19/$D$18,0))))+Declarations!$B$20*INDEX(Q$21:Q$141,MAX(1,MIN(121,$B85-ROUND(Declarations!$A$20/$D$18,0)))))</f>
        <v>-224.039058163587</v>
      </c>
      <c r="S85" s="12" t="n">
        <f aca="false">INDEX(R$21:R$141,$I85+1)*(1-$J85)+INDEX(R$21:R$141,$I85+2)*$J85</f>
        <v>-219.220221435328</v>
      </c>
      <c r="T85" s="12" t="n">
        <f aca="false">INDEX(R$21:R$141,$K85+1)*(1-$L85)+INDEX(R$21:R$141,$K85+2)*$L85</f>
        <v>-228.4</v>
      </c>
      <c r="U85" s="12" t="n">
        <f aca="false">$C85+$D85+MAX(S85,T85,IF(COUNTIFS($A$21:$A$141,"&gt;="&amp;$G85,$A$21:$A$141,"&lt;="&amp;$H85)&gt;0,_xlfn.MAXIFS(R$21:R$141,$A$21:$A$141,"&gt;="&amp;$G85,$A$21:$A$141,"&lt;="&amp;$H85),S85))</f>
        <v>-0.820221435328108</v>
      </c>
      <c r="V85" s="12" t="n">
        <f aca="false">-Cost_k*$A85+Beta_q*(Declarations!$B$16*INDEX(U$21:U$141,MAX(1,MIN(121,$B85-ROUND(Declarations!$A$16/$D$18,0))))+Declarations!$B$17*INDEX(U$21:U$141,MAX(1,MIN(121,$B85-ROUND(Declarations!$A$17/$D$18,0))))+Declarations!$B$18*INDEX(U$21:U$141,MAX(1,MIN(121,$B85-ROUND(Declarations!$A$18/$D$18,0))))+Declarations!$B$19*INDEX(U$21:U$141,MAX(1,MIN(121,$B85-ROUND(Declarations!$A$19/$D$18,0))))+Declarations!$B$20*INDEX(U$21:U$141,MAX(1,MIN(121,$B85-ROUND(Declarations!$A$20/$D$18,0)))))</f>
        <v>-224.977408370793</v>
      </c>
      <c r="W85" s="12" t="n">
        <f aca="false">INDEX(V$21:V$141,$I85+1)*(1-$J85)+INDEX(V$21:V$141,$I85+2)*$J85</f>
        <v>-221.931306496215</v>
      </c>
      <c r="X85" s="12" t="n">
        <f aca="false">INDEX(V$21:V$141,$K85+1)*(1-$L85)+INDEX(V$21:V$141,$K85+2)*$L85</f>
        <v>-228.600398767008</v>
      </c>
      <c r="Y85" s="12" t="n">
        <f aca="false">$C85+$D85+MAX(W85,X85,IF(COUNTIFS($A$21:$A$141,"&gt;="&amp;$G85,$A$21:$A$141,"&lt;="&amp;$H85)&gt;0,_xlfn.MAXIFS(V$21:V$141,$A$21:$A$141,"&gt;="&amp;$G85,$A$21:$A$141,"&lt;="&amp;$H85),W85))</f>
        <v>-3.53130649621491</v>
      </c>
      <c r="Z85" s="12" t="n">
        <f aca="false">-Cost_k*$A85+Beta_q*(Declarations!$B$16*INDEX(Y$21:Y$141,MAX(1,MIN(121,$B85-ROUND(Declarations!$A$16/$D$18,0))))+Declarations!$B$17*INDEX(Y$21:Y$141,MAX(1,MIN(121,$B85-ROUND(Declarations!$A$17/$D$18,0))))+Declarations!$B$18*INDEX(Y$21:Y$141,MAX(1,MIN(121,$B85-ROUND(Declarations!$A$18/$D$18,0))))+Declarations!$B$19*INDEX(Y$21:Y$141,MAX(1,MIN(121,$B85-ROUND(Declarations!$A$19/$D$18,0))))+Declarations!$B$20*INDEX(Y$21:Y$141,MAX(1,MIN(121,$B85-ROUND(Declarations!$A$20/$D$18,0)))))</f>
        <v>-227.653415520158</v>
      </c>
      <c r="AA85" s="12" t="n">
        <f aca="false">INDEX(Z$21:Z$141,$I85+1)*(1-$J85)+INDEX(Z$21:Z$141,$I85+2)*$J85</f>
        <v>-226.544757804735</v>
      </c>
      <c r="AB85" s="12" t="n">
        <f aca="false">INDEX(Z$21:Z$141,$K85+1)*(1-$L85)+INDEX(Z$21:Z$141,$K85+2)*$L85</f>
        <v>-229.943584106747</v>
      </c>
      <c r="AC85" s="12" t="n">
        <f aca="false">$C85+$D85+MAX(AA85,AB85,IF(COUNTIFS($A$21:$A$141,"&gt;="&amp;$G85,$A$21:$A$141,"&lt;="&amp;$H85)&gt;0,_xlfn.MAXIFS(Z$21:Z$141,$A$21:$A$141,"&gt;="&amp;$G85,$A$21:$A$141,"&lt;="&amp;$H85),AA85))</f>
        <v>-8.13926006508044</v>
      </c>
      <c r="AD85" s="12" t="n">
        <f aca="false">-Cost_k*$A85+Beta_q*(Declarations!$B$16*INDEX(AC$21:AC$141,MAX(1,MIN(121,$B85-ROUND(Declarations!$A$16/$D$18,0))))+Declarations!$B$17*INDEX(AC$21:AC$141,MAX(1,MIN(121,$B85-ROUND(Declarations!$A$17/$D$18,0))))+Declarations!$B$18*INDEX(AC$21:AC$141,MAX(1,MIN(121,$B85-ROUND(Declarations!$A$18/$D$18,0))))+Declarations!$B$19*INDEX(AC$21:AC$141,MAX(1,MIN(121,$B85-ROUND(Declarations!$A$19/$D$18,0))))+Declarations!$B$20*INDEX(AC$21:AC$141,MAX(1,MIN(121,$B85-ROUND(Declarations!$A$20/$D$18,0)))))</f>
        <v>-232.105037181467</v>
      </c>
      <c r="AE85" s="12" t="n">
        <f aca="false">INDEX(AD$21:AD$141,$I85+1)*(1-$J85)+INDEX(AD$21:AD$141,$I85+2)*$J85</f>
        <v>-232.500934027519</v>
      </c>
      <c r="AF85" s="12" t="n">
        <f aca="false">INDEX(AD$21:AD$141,$K85+1)*(1-$L85)+INDEX(AD$21:AD$141,$K85+2)*$L85</f>
        <v>-233.007639607831</v>
      </c>
      <c r="AG85" s="12" t="n">
        <f aca="false">$C85+$D85+MAX(AE85,AF85,IF(COUNTIFS($A$21:$A$141,"&gt;="&amp;$G85,$A$21:$A$141,"&lt;="&amp;$H85)&gt;0,_xlfn.MAXIFS(AD$21:AD$141,$A$21:$A$141,"&gt;="&amp;$G85,$A$21:$A$141,"&lt;="&amp;$H85),AE85))</f>
        <v>-13.6151936264771</v>
      </c>
      <c r="AH85" s="12" t="n">
        <f aca="false">-Cost_k*$A85+Beta_q*(Declarations!$B$16*INDEX(AG$21:AG$141,MAX(1,MIN(121,$B85-ROUND(Declarations!$A$16/$D$18,0))))+Declarations!$B$17*INDEX(AG$21:AG$141,MAX(1,MIN(121,$B85-ROUND(Declarations!$A$17/$D$18,0))))+Declarations!$B$18*INDEX(AG$21:AG$141,MAX(1,MIN(121,$B85-ROUND(Declarations!$A$18/$D$18,0))))+Declarations!$B$19*INDEX(AG$21:AG$141,MAX(1,MIN(121,$B85-ROUND(Declarations!$A$19/$D$18,0))))+Declarations!$B$20*INDEX(AG$21:AG$141,MAX(1,MIN(121,$B85-ROUND(Declarations!$A$20/$D$18,0)))))</f>
        <v>-237.339634604021</v>
      </c>
      <c r="AI85" s="12" t="n">
        <f aca="false">INDEX(AH$21:AH$141,$I85+1)*(1-$J85)+INDEX(AH$21:AH$141,$I85+2)*$J85</f>
        <v>-237.916750067255</v>
      </c>
      <c r="AJ85" s="12" t="n">
        <f aca="false">INDEX(AH$21:AH$141,$K85+1)*(1-$L85)+INDEX(AH$21:AH$141,$K85+2)*$L85</f>
        <v>-237.617022252997</v>
      </c>
      <c r="AK85" s="12" t="n">
        <f aca="false">$C85+$D85+MAX(AI85,AJ85,IF(COUNTIFS($A$21:$A$141,"&gt;="&amp;$G85,$A$21:$A$141,"&lt;="&amp;$H85)&gt;0,_xlfn.MAXIFS(AH$21:AH$141,$A$21:$A$141,"&gt;="&amp;$G85,$A$21:$A$141,"&lt;="&amp;$H85),AI85))</f>
        <v>-18.9081760676685</v>
      </c>
      <c r="AL85" s="12" t="n">
        <f aca="false">-Cost_k*$A85+Beta_q*(Declarations!$B$16*INDEX(AK$21:AK$141,MAX(1,MIN(121,$B85-ROUND(Declarations!$A$16/$D$18,0))))+Declarations!$B$17*INDEX(AK$21:AK$141,MAX(1,MIN(121,$B85-ROUND(Declarations!$A$17/$D$18,0))))+Declarations!$B$18*INDEX(AK$21:AK$141,MAX(1,MIN(121,$B85-ROUND(Declarations!$A$18/$D$18,0))))+Declarations!$B$19*INDEX(AK$21:AK$141,MAX(1,MIN(121,$B85-ROUND(Declarations!$A$19/$D$18,0))))+Declarations!$B$20*INDEX(AK$21:AK$141,MAX(1,MIN(121,$B85-ROUND(Declarations!$A$20/$D$18,0)))))</f>
        <v>-242.505069355104</v>
      </c>
      <c r="AM85" s="12" t="n">
        <f aca="false">INDEX(AL$21:AL$141,$I85+1)*(1-$J85)+INDEX(AL$21:AL$141,$I85+2)*$J85</f>
        <v>-243.113912210718</v>
      </c>
      <c r="AN85" s="12" t="n">
        <f aca="false">INDEX(AL$21:AL$141,$K85+1)*(1-$L85)+INDEX(AL$21:AL$141,$K85+2)*$L85</f>
        <v>-242.709766821441</v>
      </c>
      <c r="AO85" s="12" t="n">
        <f aca="false">$C85+$D85+MAX(AM85,AN85,IF(COUNTIFS($A$21:$A$141,"&gt;="&amp;$G85,$A$21:$A$141,"&lt;="&amp;$H85)&gt;0,_xlfn.MAXIFS(AL$21:AL$141,$A$21:$A$141,"&gt;="&amp;$G85,$A$21:$A$141,"&lt;="&amp;$H85),AM85))</f>
        <v>-24.0776563065175</v>
      </c>
      <c r="AP85" s="12" t="n">
        <f aca="false">-Cost_k*$A85+Beta_q*(Declarations!$B$16*INDEX(AO$21:AO$141,MAX(1,MIN(121,$B85-ROUND(Declarations!$A$16/$D$18,0))))+Declarations!$B$17*INDEX(AO$21:AO$141,MAX(1,MIN(121,$B85-ROUND(Declarations!$A$17/$D$18,0))))+Declarations!$B$18*INDEX(AO$21:AO$141,MAX(1,MIN(121,$B85-ROUND(Declarations!$A$18/$D$18,0))))+Declarations!$B$19*INDEX(AO$21:AO$141,MAX(1,MIN(121,$B85-ROUND(Declarations!$A$19/$D$18,0))))+Declarations!$B$20*INDEX(AO$21:AO$141,MAX(1,MIN(121,$B85-ROUND(Declarations!$A$20/$D$18,0)))))</f>
        <v>-247.552622387779</v>
      </c>
      <c r="AQ85" s="12" t="n">
        <f aca="false">INDEX(AP$21:AP$141,$I85+1)*(1-$J85)+INDEX(AP$21:AP$141,$I85+2)*$J85</f>
        <v>-248.166916872357</v>
      </c>
      <c r="AR85" s="12" t="n">
        <f aca="false">INDEX(AP$21:AP$141,$K85+1)*(1-$L85)+INDEX(AP$21:AP$141,$K85+2)*$L85</f>
        <v>-247.75035315427</v>
      </c>
      <c r="AS85" s="12" t="n">
        <f aca="false">$C85+$D85+MAX(AQ85,AR85,IF(COUNTIFS($A$21:$A$141,"&gt;="&amp;$G85,$A$21:$A$141,"&lt;="&amp;$H85)&gt;0,_xlfn.MAXIFS(AP$21:AP$141,$A$21:$A$141,"&gt;="&amp;$G85,$A$21:$A$141,"&lt;="&amp;$H85),AQ85))</f>
        <v>-29.1255342393409</v>
      </c>
      <c r="AT85" s="12" t="n">
        <f aca="false">-Cost_k*$A85+Beta_q*(Declarations!$B$16*INDEX(AS$21:AS$141,MAX(1,MIN(121,$B85-ROUND(Declarations!$A$16/$D$18,0))))+Declarations!$B$17*INDEX(AS$21:AS$141,MAX(1,MIN(121,$B85-ROUND(Declarations!$A$17/$D$18,0))))+Declarations!$B$18*INDEX(AS$21:AS$141,MAX(1,MIN(121,$B85-ROUND(Declarations!$A$18/$D$18,0))))+Declarations!$B$19*INDEX(AS$21:AS$141,MAX(1,MIN(121,$B85-ROUND(Declarations!$A$19/$D$18,0))))+Declarations!$B$20*INDEX(AS$21:AS$141,MAX(1,MIN(121,$B85-ROUND(Declarations!$A$20/$D$18,0)))))</f>
        <v>-252.481630345399</v>
      </c>
      <c r="AU85" s="12" t="n">
        <f aca="false">INDEX(AT$21:AT$141,$I85+1)*(1-$J85)+INDEX(AT$21:AT$141,$I85+2)*$J85</f>
        <v>-253.096877053652</v>
      </c>
      <c r="AV85" s="12" t="n">
        <f aca="false">INDEX(AT$21:AT$141,$K85+1)*(1-$L85)+INDEX(AT$21:AT$141,$K85+2)*$L85</f>
        <v>-252.678730447396</v>
      </c>
      <c r="AW85" s="12" t="n">
        <f aca="false">$C85+$D85+MAX(AU85,AV85,IF(COUNTIFS($A$21:$A$141,"&gt;="&amp;$G85,$A$21:$A$141,"&lt;="&amp;$H85)&gt;0,_xlfn.MAXIFS(AT$21:AT$141,$A$21:$A$141,"&gt;="&amp;$G85,$A$21:$A$141,"&lt;="&amp;$H85),AU85))</f>
        <v>-34.0545746247619</v>
      </c>
      <c r="AX85" s="12" t="n">
        <f aca="false">-Cost_k*$A85+Beta_q*(Declarations!$B$16*INDEX(AW$21:AW$141,MAX(1,MIN(121,$B85-ROUND(Declarations!$A$16/$D$18,0))))+Declarations!$B$17*INDEX(AW$21:AW$141,MAX(1,MIN(121,$B85-ROUND(Declarations!$A$17/$D$18,0))))+Declarations!$B$18*INDEX(AW$21:AW$141,MAX(1,MIN(121,$B85-ROUND(Declarations!$A$18/$D$18,0))))+Declarations!$B$19*INDEX(AW$21:AW$141,MAX(1,MIN(121,$B85-ROUND(Declarations!$A$19/$D$18,0))))+Declarations!$B$20*INDEX(AW$21:AW$141,MAX(1,MIN(121,$B85-ROUND(Declarations!$A$20/$D$18,0)))))</f>
        <v>-257.294610903479</v>
      </c>
      <c r="AY85" s="12" t="n">
        <f aca="false">INDEX(AX$21:AX$141,$I85+1)*(1-$J85)+INDEX(AX$21:AX$141,$I85+2)*$J85</f>
        <v>-257.910028560812</v>
      </c>
      <c r="AZ85" s="12" t="n">
        <f aca="false">INDEX(AX$21:AX$141,$K85+1)*(1-$L85)+INDEX(AX$21:AX$141,$K85+2)*$L85</f>
        <v>-257.491653373948</v>
      </c>
      <c r="BA85" s="12" t="n">
        <f aca="false">$C85+$D85+MAX(AY85,AZ85,IF(COUNTIFS($A$21:$A$141,"&gt;="&amp;$G85,$A$21:$A$141,"&lt;="&amp;$H85)&gt;0,_xlfn.MAXIFS(AX$21:AX$141,$A$21:$A$141,"&gt;="&amp;$G85,$A$21:$A$141,"&lt;="&amp;$H85),AY85))</f>
        <v>-38.8675594116307</v>
      </c>
      <c r="BB85" s="12" t="n">
        <f aca="false">-Cost_k*$A85+Beta_q*(Declarations!$B$16*INDEX(BA$21:BA$141,MAX(1,MIN(121,$B85-ROUND(Declarations!$A$16/$D$18,0))))+Declarations!$B$17*INDEX(BA$21:BA$141,MAX(1,MIN(121,$B85-ROUND(Declarations!$A$17/$D$18,0))))+Declarations!$B$18*INDEX(BA$21:BA$141,MAX(1,MIN(121,$B85-ROUND(Declarations!$A$18/$D$18,0))))+Declarations!$B$19*INDEX(BA$21:BA$141,MAX(1,MIN(121,$B85-ROUND(Declarations!$A$19/$D$18,0))))+Declarations!$B$20*INDEX(BA$21:BA$141,MAX(1,MIN(121,$B85-ROUND(Declarations!$A$20/$D$18,0)))))</f>
        <v>-261.994269481696</v>
      </c>
      <c r="BC85" s="12" t="n">
        <f aca="false">INDEX(BB$21:BB$141,$I85+1)*(1-$J85)+INDEX(BB$21:BB$141,$I85+2)*$J85</f>
        <v>-262.609718254846</v>
      </c>
      <c r="BD85" s="12" t="n">
        <f aca="false">INDEX(BB$21:BB$141,$K85+1)*(1-$L85)+INDEX(BB$21:BB$141,$K85+2)*$L85</f>
        <v>-262.191306294145</v>
      </c>
      <c r="BE85" s="12" t="n">
        <f aca="false">$C85+$D85+MAX(BC85,BD85,IF(COUNTIFS($A$21:$A$141,"&gt;="&amp;$G85,$A$21:$A$141,"&lt;="&amp;$H85)&gt;0,_xlfn.MAXIFS(BB$21:BB$141,$A$21:$A$141,"&gt;="&amp;$G85,$A$21:$A$141,"&lt;="&amp;$H85),BC85))</f>
        <v>-43.5672186139989</v>
      </c>
      <c r="BF85" s="12" t="n">
        <f aca="false">-Cost_k*$A85+Beta_q*(Declarations!$B$16*INDEX(BE$21:BE$141,MAX(1,MIN(121,$B85-ROUND(Declarations!$A$16/$D$18,0))))+Declarations!$B$17*INDEX(BE$21:BE$141,MAX(1,MIN(121,$B85-ROUND(Declarations!$A$17/$D$18,0))))+Declarations!$B$18*INDEX(BE$21:BE$141,MAX(1,MIN(121,$B85-ROUND(Declarations!$A$18/$D$18,0))))+Declarations!$B$19*INDEX(BE$21:BE$141,MAX(1,MIN(121,$B85-ROUND(Declarations!$A$19/$D$18,0))))+Declarations!$B$20*INDEX(BE$21:BE$141,MAX(1,MIN(121,$B85-ROUND(Declarations!$A$20/$D$18,0)))))</f>
        <v>-266.583270918207</v>
      </c>
      <c r="BG85" s="12" t="n">
        <f aca="false">INDEX(BF$21:BF$141,$I85+1)*(1-$J85)+INDEX(BF$21:BF$141,$I85+2)*$J85</f>
        <v>-267.198725429152</v>
      </c>
      <c r="BH85" s="12" t="n">
        <f aca="false">INDEX(BF$21:BF$141,$K85+1)*(1-$L85)+INDEX(BF$21:BF$141,$K85+2)*$L85</f>
        <v>-266.780307102275</v>
      </c>
      <c r="BI85" s="12" t="n">
        <f aca="false">$C85+$D85+MAX(BG85,BH85,IF(COUNTIFS($A$21:$A$141,"&gt;="&amp;$G85,$A$21:$A$141,"&lt;="&amp;$H85)&gt;0,_xlfn.MAXIFS(BF$21:BF$141,$A$21:$A$141,"&gt;="&amp;$G85,$A$21:$A$141,"&lt;="&amp;$H85),BG85))</f>
        <v>-48.1562201537861</v>
      </c>
      <c r="BJ85" s="23" t="n">
        <v>-48.1562201537861</v>
      </c>
      <c r="BK85" s="22" t="n">
        <f aca="false">ABS(BI85-BJ85)</f>
        <v>0</v>
      </c>
    </row>
    <row r="86" customFormat="false" ht="15" hidden="false" customHeight="false" outlineLevel="0" collapsed="false">
      <c r="A86" s="14" t="n">
        <f aca="false">A85+$D$18</f>
        <v>56.25</v>
      </c>
      <c r="B86" s="19" t="n">
        <v>66</v>
      </c>
      <c r="C86" s="12" t="n">
        <f aca="false">-Short_p*MAX(Floor_c-A86,0)</f>
        <v>-0</v>
      </c>
      <c r="D86" s="12" t="n">
        <f aca="false">Cost_k*Alpha_keep*A86</f>
        <v>219.375</v>
      </c>
      <c r="E86" s="12" t="n">
        <f aca="false">MIN(Cap_h,MAX(0,$B$18+MAX(Loss_w)-Alpha_keep*A86))</f>
        <v>0</v>
      </c>
      <c r="F86" s="12" t="n">
        <f aca="false">MAX(MIN(Cap_h,$F$18+MIN(Loss_w)-Alpha_keep*A86),E86)</f>
        <v>2.5</v>
      </c>
      <c r="G86" s="12" t="n">
        <f aca="false">Alpha_keep*A86+E86</f>
        <v>54.84375</v>
      </c>
      <c r="H86" s="12" t="n">
        <f aca="false">Alpha_keep*A86+F86</f>
        <v>57.34375</v>
      </c>
      <c r="I86" s="19" t="n">
        <f aca="false">MIN(INT((G86-$B$18)/$D$18+0.000000001),119)</f>
        <v>59</v>
      </c>
      <c r="J86" s="12" t="n">
        <f aca="false">(G86-$B$18)/$D$18-I86</f>
        <v>0.375</v>
      </c>
      <c r="K86" s="19" t="n">
        <f aca="false">MIN(INT((H86-$B$18)/$D$18+0.000000001),119)</f>
        <v>69</v>
      </c>
      <c r="L86" s="12" t="n">
        <f aca="false">(H86-$B$18)/$D$18-K86</f>
        <v>0.375</v>
      </c>
      <c r="M86" s="9" t="n">
        <v>0</v>
      </c>
      <c r="N86" s="12" t="n">
        <f aca="false">-Cost_k*$A86+Beta_q*(Declarations!$B$16*INDEX(M$21:M$141,MAX(1,MIN(121,$B86-ROUND(Declarations!$A$16/$D$18,0))))+Declarations!$B$17*INDEX(M$21:M$141,MAX(1,MIN(121,$B86-ROUND(Declarations!$A$17/$D$18,0))))+Declarations!$B$18*INDEX(M$21:M$141,MAX(1,MIN(121,$B86-ROUND(Declarations!$A$18/$D$18,0))))+Declarations!$B$19*INDEX(M$21:M$141,MAX(1,MIN(121,$B86-ROUND(Declarations!$A$19/$D$18,0))))+Declarations!$B$20*INDEX(M$21:M$141,MAX(1,MIN(121,$B86-ROUND(Declarations!$A$20/$D$18,0)))))</f>
        <v>-225</v>
      </c>
      <c r="O86" s="12" t="n">
        <f aca="false">INDEX(N$21:N$141,$I86+1)*(1-$J86)+INDEX(N$21:N$141,$I86+2)*$J86</f>
        <v>-219.375</v>
      </c>
      <c r="P86" s="12" t="n">
        <f aca="false">INDEX(N$21:N$141,$K86+1)*(1-$L86)+INDEX(N$21:N$141,$K86+2)*$L86</f>
        <v>-229.375</v>
      </c>
      <c r="Q86" s="12" t="n">
        <f aca="false">$C86+$D86+MAX(O86,P86,IF(COUNTIFS($A$21:$A$141,"&gt;="&amp;$G86,$A$21:$A$141,"&lt;="&amp;$H86)&gt;0,_xlfn.MAXIFS(N$21:N$141,$A$21:$A$141,"&gt;="&amp;$G86,$A$21:$A$141,"&lt;="&amp;$H86),O86))</f>
        <v>0</v>
      </c>
      <c r="R86" s="12" t="n">
        <f aca="false">-Cost_k*$A86+Beta_q*(Declarations!$B$16*INDEX(Q$21:Q$141,MAX(1,MIN(121,$B86-ROUND(Declarations!$A$16/$D$18,0))))+Declarations!$B$17*INDEX(Q$21:Q$141,MAX(1,MIN(121,$B86-ROUND(Declarations!$A$17/$D$18,0))))+Declarations!$B$18*INDEX(Q$21:Q$141,MAX(1,MIN(121,$B86-ROUND(Declarations!$A$18/$D$18,0))))+Declarations!$B$19*INDEX(Q$21:Q$141,MAX(1,MIN(121,$B86-ROUND(Declarations!$A$19/$D$18,0))))+Declarations!$B$20*INDEX(Q$21:Q$141,MAX(1,MIN(121,$B86-ROUND(Declarations!$A$20/$D$18,0)))))</f>
        <v>-225.019529081794</v>
      </c>
      <c r="S86" s="12" t="n">
        <f aca="false">INDEX(R$21:R$141,$I86+1)*(1-$J86)+INDEX(R$21:R$141,$I86+2)*$J86</f>
        <v>-219.909608614098</v>
      </c>
      <c r="T86" s="12" t="n">
        <f aca="false">INDEX(R$21:R$141,$K86+1)*(1-$L86)+INDEX(R$21:R$141,$K86+2)*$L86</f>
        <v>-229.375</v>
      </c>
      <c r="U86" s="12" t="n">
        <f aca="false">$C86+$D86+MAX(S86,T86,IF(COUNTIFS($A$21:$A$141,"&gt;="&amp;$G86,$A$21:$A$141,"&lt;="&amp;$H86)&gt;0,_xlfn.MAXIFS(R$21:R$141,$A$21:$A$141,"&gt;="&amp;$G86,$A$21:$A$141,"&lt;="&amp;$H86),S86))</f>
        <v>-0.534608614097806</v>
      </c>
      <c r="V86" s="12" t="n">
        <f aca="false">-Cost_k*$A86+Beta_q*(Declarations!$B$16*INDEX(U$21:U$141,MAX(1,MIN(121,$B86-ROUND(Declarations!$A$16/$D$18,0))))+Declarations!$B$17*INDEX(U$21:U$141,MAX(1,MIN(121,$B86-ROUND(Declarations!$A$17/$D$18,0))))+Declarations!$B$18*INDEX(U$21:U$141,MAX(1,MIN(121,$B86-ROUND(Declarations!$A$18/$D$18,0))))+Declarations!$B$19*INDEX(U$21:U$141,MAX(1,MIN(121,$B86-ROUND(Declarations!$A$19/$D$18,0))))+Declarations!$B$20*INDEX(U$21:U$141,MAX(1,MIN(121,$B86-ROUND(Declarations!$A$20/$D$18,0)))))</f>
        <v>-225.709669140454</v>
      </c>
      <c r="W86" s="12" t="n">
        <f aca="false">INDEX(V$21:V$141,$I86+1)*(1-$J86)+INDEX(V$21:V$141,$I86+2)*$J86</f>
        <v>-222.271767485395</v>
      </c>
      <c r="X86" s="12" t="n">
        <f aca="false">INDEX(V$21:V$141,$K86+1)*(1-$L86)+INDEX(V$21:V$141,$K86+2)*$L86</f>
        <v>-229.50125930381</v>
      </c>
      <c r="Y86" s="12" t="n">
        <f aca="false">$C86+$D86+MAX(W86,X86,IF(COUNTIFS($A$21:$A$141,"&gt;="&amp;$G86,$A$21:$A$141,"&lt;="&amp;$H86)&gt;0,_xlfn.MAXIFS(V$21:V$141,$A$21:$A$141,"&gt;="&amp;$G86,$A$21:$A$141,"&lt;="&amp;$H86),W86))</f>
        <v>-2.89676748539486</v>
      </c>
      <c r="Z86" s="12" t="n">
        <f aca="false">-Cost_k*$A86+Beta_q*(Declarations!$B$16*INDEX(Y$21:Y$141,MAX(1,MIN(121,$B86-ROUND(Declarations!$A$16/$D$18,0))))+Declarations!$B$17*INDEX(Y$21:Y$141,MAX(1,MIN(121,$B86-ROUND(Declarations!$A$17/$D$18,0))))+Declarations!$B$18*INDEX(Y$21:Y$141,MAX(1,MIN(121,$B86-ROUND(Declarations!$A$18/$D$18,0))))+Declarations!$B$19*INDEX(Y$21:Y$141,MAX(1,MIN(121,$B86-ROUND(Declarations!$A$19/$D$18,0))))+Declarations!$B$20*INDEX(Y$21:Y$141,MAX(1,MIN(121,$B86-ROUND(Declarations!$A$20/$D$18,0)))))</f>
        <v>-228.055058612687</v>
      </c>
      <c r="AA86" s="12" t="n">
        <f aca="false">INDEX(Z$21:Z$141,$I86+1)*(1-$J86)+INDEX(Z$21:Z$141,$I86+2)*$J86</f>
        <v>-226.541913738148</v>
      </c>
      <c r="AB86" s="12" t="n">
        <f aca="false">INDEX(Z$21:Z$141,$K86+1)*(1-$L86)+INDEX(Z$21:Z$141,$K86+2)*$L86</f>
        <v>-230.606023727926</v>
      </c>
      <c r="AC86" s="12" t="n">
        <f aca="false">$C86+$D86+MAX(AA86,AB86,IF(COUNTIFS($A$21:$A$141,"&gt;="&amp;$G86,$A$21:$A$141,"&lt;="&amp;$H86)&gt;0,_xlfn.MAXIFS(Z$21:Z$141,$A$21:$A$141,"&gt;="&amp;$G86,$A$21:$A$141,"&lt;="&amp;$H86),AA86))</f>
        <v>-7.16691373814831</v>
      </c>
      <c r="AD86" s="12" t="n">
        <f aca="false">-Cost_k*$A86+Beta_q*(Declarations!$B$16*INDEX(AC$21:AC$141,MAX(1,MIN(121,$B86-ROUND(Declarations!$A$16/$D$18,0))))+Declarations!$B$17*INDEX(AC$21:AC$141,MAX(1,MIN(121,$B86-ROUND(Declarations!$A$17/$D$18,0))))+Declarations!$B$18*INDEX(AC$21:AC$141,MAX(1,MIN(121,$B86-ROUND(Declarations!$A$18/$D$18,0))))+Declarations!$B$19*INDEX(AC$21:AC$141,MAX(1,MIN(121,$B86-ROUND(Declarations!$A$19/$D$18,0))))+Declarations!$B$20*INDEX(AC$21:AC$141,MAX(1,MIN(121,$B86-ROUND(Declarations!$A$20/$D$18,0)))))</f>
        <v>-232.199639530904</v>
      </c>
      <c r="AE86" s="12" t="n">
        <f aca="false">INDEX(AD$21:AD$141,$I86+1)*(1-$J86)+INDEX(AD$21:AD$141,$I86+2)*$J86</f>
        <v>-232.262491499096</v>
      </c>
      <c r="AF86" s="12" t="n">
        <f aca="false">INDEX(AD$21:AD$141,$K86+1)*(1-$L86)+INDEX(AD$21:AD$141,$K86+2)*$L86</f>
        <v>-233.365997497832</v>
      </c>
      <c r="AG86" s="12" t="n">
        <f aca="false">$C86+$D86+MAX(AE86,AF86,IF(COUNTIFS($A$21:$A$141,"&gt;="&amp;$G86,$A$21:$A$141,"&lt;="&amp;$H86)&gt;0,_xlfn.MAXIFS(AD$21:AD$141,$A$21:$A$141,"&gt;="&amp;$G86,$A$21:$A$141,"&lt;="&amp;$H86),AE86))</f>
        <v>-12.6401936264771</v>
      </c>
      <c r="AH86" s="12" t="n">
        <f aca="false">-Cost_k*$A86+Beta_q*(Declarations!$B$16*INDEX(AG$21:AG$141,MAX(1,MIN(121,$B86-ROUND(Declarations!$A$16/$D$18,0))))+Declarations!$B$17*INDEX(AG$21:AG$141,MAX(1,MIN(121,$B86-ROUND(Declarations!$A$17/$D$18,0))))+Declarations!$B$18*INDEX(AG$21:AG$141,MAX(1,MIN(121,$B86-ROUND(Declarations!$A$18/$D$18,0))))+Declarations!$B$19*INDEX(AG$21:AG$141,MAX(1,MIN(121,$B86-ROUND(Declarations!$A$19/$D$18,0))))+Declarations!$B$20*INDEX(AG$21:AG$141,MAX(1,MIN(121,$B86-ROUND(Declarations!$A$20/$D$18,0)))))</f>
        <v>-237.372741197659</v>
      </c>
      <c r="AI86" s="12" t="n">
        <f aca="false">INDEX(AH$21:AH$141,$I86+1)*(1-$J86)+INDEX(AH$21:AH$141,$I86+2)*$J86</f>
        <v>-237.646981454661</v>
      </c>
      <c r="AJ86" s="12" t="n">
        <f aca="false">INDEX(AH$21:AH$141,$K86+1)*(1-$L86)+INDEX(AH$21:AH$141,$K86+2)*$L86</f>
        <v>-237.742813409705</v>
      </c>
      <c r="AK86" s="12" t="n">
        <f aca="false">$C86+$D86+MAX(AI86,AJ86,IF(COUNTIFS($A$21:$A$141,"&gt;="&amp;$G86,$A$21:$A$141,"&lt;="&amp;$H86)&gt;0,_xlfn.MAXIFS(AH$21:AH$141,$A$21:$A$141,"&gt;="&amp;$G86,$A$21:$A$141,"&lt;="&amp;$H86),AI86))</f>
        <v>-17.9331760676685</v>
      </c>
      <c r="AL86" s="12" t="n">
        <f aca="false">-Cost_k*$A86+Beta_q*(Declarations!$B$16*INDEX(AK$21:AK$141,MAX(1,MIN(121,$B86-ROUND(Declarations!$A$16/$D$18,0))))+Declarations!$B$17*INDEX(AK$21:AK$141,MAX(1,MIN(121,$B86-ROUND(Declarations!$A$17/$D$18,0))))+Declarations!$B$18*INDEX(AK$21:AK$141,MAX(1,MIN(121,$B86-ROUND(Declarations!$A$18/$D$18,0))))+Declarations!$B$19*INDEX(AK$21:AK$141,MAX(1,MIN(121,$B86-ROUND(Declarations!$A$19/$D$18,0))))+Declarations!$B$20*INDEX(AK$21:AK$141,MAX(1,MIN(121,$B86-ROUND(Declarations!$A$20/$D$18,0)))))</f>
        <v>-242.534059338242</v>
      </c>
      <c r="AM86" s="12" t="n">
        <f aca="false">INDEX(AL$21:AL$141,$I86+1)*(1-$J86)+INDEX(AL$21:AL$141,$I86+2)*$J86</f>
        <v>-242.832624964941</v>
      </c>
      <c r="AN86" s="12" t="n">
        <f aca="false">INDEX(AL$21:AL$141,$K86+1)*(1-$L86)+INDEX(AL$21:AL$141,$K86+2)*$L86</f>
        <v>-242.782126796174</v>
      </c>
      <c r="AO86" s="12" t="n">
        <f aca="false">$C86+$D86+MAX(AM86,AN86,IF(COUNTIFS($A$21:$A$141,"&gt;="&amp;$G86,$A$21:$A$141,"&lt;="&amp;$H86)&gt;0,_xlfn.MAXIFS(AL$21:AL$141,$A$21:$A$141,"&gt;="&amp;$G86,$A$21:$A$141,"&lt;="&amp;$H86),AM86))</f>
        <v>-23.1026563065175</v>
      </c>
      <c r="AP86" s="12" t="n">
        <f aca="false">-Cost_k*$A86+Beta_q*(Declarations!$B$16*INDEX(AO$21:AO$141,MAX(1,MIN(121,$B86-ROUND(Declarations!$A$16/$D$18,0))))+Declarations!$B$17*INDEX(AO$21:AO$141,MAX(1,MIN(121,$B86-ROUND(Declarations!$A$17/$D$18,0))))+Declarations!$B$18*INDEX(AO$21:AO$141,MAX(1,MIN(121,$B86-ROUND(Declarations!$A$18/$D$18,0))))+Declarations!$B$19*INDEX(AO$21:AO$141,MAX(1,MIN(121,$B86-ROUND(Declarations!$A$19/$D$18,0))))+Declarations!$B$20*INDEX(AO$21:AO$141,MAX(1,MIN(121,$B86-ROUND(Declarations!$A$20/$D$18,0)))))</f>
        <v>-247.581322450576</v>
      </c>
      <c r="AQ86" s="12" t="n">
        <f aca="false">INDEX(AP$21:AP$141,$I86+1)*(1-$J86)+INDEX(AP$21:AP$141,$I86+2)*$J86</f>
        <v>-247.8833378833</v>
      </c>
      <c r="AR86" s="12" t="n">
        <f aca="false">INDEX(AP$21:AP$141,$K86+1)*(1-$L86)+INDEX(AP$21:AP$141,$K86+2)*$L86</f>
        <v>-247.816241384528</v>
      </c>
      <c r="AS86" s="12" t="n">
        <f aca="false">$C86+$D86+MAX(AQ86,AR86,IF(COUNTIFS($A$21:$A$141,"&gt;="&amp;$G86,$A$21:$A$141,"&lt;="&amp;$H86)&gt;0,_xlfn.MAXIFS(AP$21:AP$141,$A$21:$A$141,"&gt;="&amp;$G86,$A$21:$A$141,"&lt;="&amp;$H86),AQ86))</f>
        <v>-28.1505342393409</v>
      </c>
      <c r="AT86" s="12" t="n">
        <f aca="false">-Cost_k*$A86+Beta_q*(Declarations!$B$16*INDEX(AS$21:AS$141,MAX(1,MIN(121,$B86-ROUND(Declarations!$A$16/$D$18,0))))+Declarations!$B$17*INDEX(AS$21:AS$141,MAX(1,MIN(121,$B86-ROUND(Declarations!$A$17/$D$18,0))))+Declarations!$B$18*INDEX(AS$21:AS$141,MAX(1,MIN(121,$B86-ROUND(Declarations!$A$18/$D$18,0))))+Declarations!$B$19*INDEX(AS$21:AS$141,MAX(1,MIN(121,$B86-ROUND(Declarations!$A$19/$D$18,0))))+Declarations!$B$20*INDEX(AS$21:AS$141,MAX(1,MIN(121,$B86-ROUND(Declarations!$A$20/$D$18,0)))))</f>
        <v>-252.51030523706</v>
      </c>
      <c r="AU86" s="12" t="n">
        <f aca="false">INDEX(AT$21:AT$141,$I86+1)*(1-$J86)+INDEX(AT$21:AT$141,$I86+2)*$J86</f>
        <v>-252.812850625946</v>
      </c>
      <c r="AV86" s="12" t="n">
        <f aca="false">INDEX(AT$21:AT$141,$K86+1)*(1-$L86)+INDEX(AT$21:AT$141,$K86+2)*$L86</f>
        <v>-252.743967522501</v>
      </c>
      <c r="AW86" s="12" t="n">
        <f aca="false">$C86+$D86+MAX(AU86,AV86,IF(COUNTIFS($A$21:$A$141,"&gt;="&amp;$G86,$A$21:$A$141,"&lt;="&amp;$H86)&gt;0,_xlfn.MAXIFS(AT$21:AT$141,$A$21:$A$141,"&gt;="&amp;$G86,$A$21:$A$141,"&lt;="&amp;$H86),AU86))</f>
        <v>-33.0795746247619</v>
      </c>
      <c r="AX86" s="12" t="n">
        <f aca="false">-Cost_k*$A86+Beta_q*(Declarations!$B$16*INDEX(AW$21:AW$141,MAX(1,MIN(121,$B86-ROUND(Declarations!$A$16/$D$18,0))))+Declarations!$B$17*INDEX(AW$21:AW$141,MAX(1,MIN(121,$B86-ROUND(Declarations!$A$17/$D$18,0))))+Declarations!$B$18*INDEX(AW$21:AW$141,MAX(1,MIN(121,$B86-ROUND(Declarations!$A$18/$D$18,0))))+Declarations!$B$19*INDEX(AW$21:AW$141,MAX(1,MIN(121,$B86-ROUND(Declarations!$A$19/$D$18,0))))+Declarations!$B$20*INDEX(AW$21:AW$141,MAX(1,MIN(121,$B86-ROUND(Declarations!$A$20/$D$18,0)))))</f>
        <v>-257.32328337635</v>
      </c>
      <c r="AY86" s="12" t="n">
        <f aca="false">INDEX(AX$21:AX$141,$I86+1)*(1-$J86)+INDEX(AX$21:AX$141,$I86+2)*$J86</f>
        <v>-257.625919682092</v>
      </c>
      <c r="AZ86" s="12" t="n">
        <f aca="false">INDEX(AX$21:AX$141,$K86+1)*(1-$L86)+INDEX(AX$21:AX$141,$K86+2)*$L86</f>
        <v>-257.556828701506</v>
      </c>
      <c r="BA86" s="12" t="n">
        <f aca="false">$C86+$D86+MAX(AY86,AZ86,IF(COUNTIFS($A$21:$A$141,"&gt;="&amp;$G86,$A$21:$A$141,"&lt;="&amp;$H86)&gt;0,_xlfn.MAXIFS(AX$21:AX$141,$A$21:$A$141,"&gt;="&amp;$G86,$A$21:$A$141,"&lt;="&amp;$H86),AY86))</f>
        <v>-37.8925594116307</v>
      </c>
      <c r="BB86" s="12" t="n">
        <f aca="false">-Cost_k*$A86+Beta_q*(Declarations!$B$16*INDEX(BA$21:BA$141,MAX(1,MIN(121,$B86-ROUND(Declarations!$A$16/$D$18,0))))+Declarations!$B$17*INDEX(BA$21:BA$141,MAX(1,MIN(121,$B86-ROUND(Declarations!$A$17/$D$18,0))))+Declarations!$B$18*INDEX(BA$21:BA$141,MAX(1,MIN(121,$B86-ROUND(Declarations!$A$18/$D$18,0))))+Declarations!$B$19*INDEX(BA$21:BA$141,MAX(1,MIN(121,$B86-ROUND(Declarations!$A$19/$D$18,0))))+Declarations!$B$20*INDEX(BA$21:BA$141,MAX(1,MIN(121,$B86-ROUND(Declarations!$A$20/$D$18,0)))))</f>
        <v>-262.022941669394</v>
      </c>
      <c r="BC86" s="12" t="n">
        <f aca="false">INDEX(BB$21:BB$141,$I86+1)*(1-$J86)+INDEX(BB$21:BB$141,$I86+2)*$J86</f>
        <v>-262.325593817384</v>
      </c>
      <c r="BD86" s="12" t="n">
        <f aca="false">INDEX(BB$21:BB$141,$K86+1)*(1-$L86)+INDEX(BB$21:BB$141,$K86+2)*$L86</f>
        <v>-262.256475607845</v>
      </c>
      <c r="BE86" s="12" t="n">
        <f aca="false">$C86+$D86+MAX(BC86,BD86,IF(COUNTIFS($A$21:$A$141,"&gt;="&amp;$G86,$A$21:$A$141,"&lt;="&amp;$H86)&gt;0,_xlfn.MAXIFS(BB$21:BB$141,$A$21:$A$141,"&gt;="&amp;$G86,$A$21:$A$141,"&lt;="&amp;$H86),BC86))</f>
        <v>-42.5922186139989</v>
      </c>
      <c r="BF86" s="12" t="n">
        <f aca="false">-Cost_k*$A86+Beta_q*(Declarations!$B$16*INDEX(BE$21:BE$141,MAX(1,MIN(121,$B86-ROUND(Declarations!$A$16/$D$18,0))))+Declarations!$B$17*INDEX(BE$21:BE$141,MAX(1,MIN(121,$B86-ROUND(Declarations!$A$17/$D$18,0))))+Declarations!$B$18*INDEX(BE$21:BE$141,MAX(1,MIN(121,$B86-ROUND(Declarations!$A$18/$D$18,0))))+Declarations!$B$19*INDEX(BE$21:BE$141,MAX(1,MIN(121,$B86-ROUND(Declarations!$A$19/$D$18,0))))+Declarations!$B$20*INDEX(BE$21:BE$141,MAX(1,MIN(121,$B86-ROUND(Declarations!$A$20/$D$18,0)))))</f>
        <v>-266.611943067003</v>
      </c>
      <c r="BG86" s="12" t="n">
        <f aca="false">INDEX(BF$21:BF$141,$I86+1)*(1-$J86)+INDEX(BF$21:BF$141,$I86+2)*$J86</f>
        <v>-266.914598088688</v>
      </c>
      <c r="BH86" s="12" t="n">
        <f aca="false">INDEX(BF$21:BF$141,$K86+1)*(1-$L86)+INDEX(BF$21:BF$141,$K86+2)*$L86</f>
        <v>-266.845475773559</v>
      </c>
      <c r="BI86" s="12" t="n">
        <f aca="false">$C86+$D86+MAX(BG86,BH86,IF(COUNTIFS($A$21:$A$141,"&gt;="&amp;$G86,$A$21:$A$141,"&lt;="&amp;$H86)&gt;0,_xlfn.MAXIFS(BF$21:BF$141,$A$21:$A$141,"&gt;="&amp;$G86,$A$21:$A$141,"&lt;="&amp;$H86),BG86))</f>
        <v>-47.1812201537861</v>
      </c>
      <c r="BJ86" s="23" t="n">
        <v>-47.1812201537861</v>
      </c>
      <c r="BK86" s="22" t="n">
        <f aca="false">ABS(BI86-BJ86)</f>
        <v>0</v>
      </c>
    </row>
    <row r="87" customFormat="false" ht="15" hidden="false" customHeight="false" outlineLevel="0" collapsed="false">
      <c r="A87" s="14" t="n">
        <f aca="false">A86+$D$18</f>
        <v>56.5</v>
      </c>
      <c r="B87" s="19" t="n">
        <v>67</v>
      </c>
      <c r="C87" s="12" t="n">
        <f aca="false">-Short_p*MAX(Floor_c-A87,0)</f>
        <v>-0</v>
      </c>
      <c r="D87" s="12" t="n">
        <f aca="false">Cost_k*Alpha_keep*A87</f>
        <v>220.35</v>
      </c>
      <c r="E87" s="12" t="n">
        <f aca="false">MIN(Cap_h,MAX(0,$B$18+MAX(Loss_w)-Alpha_keep*A87))</f>
        <v>0</v>
      </c>
      <c r="F87" s="12" t="n">
        <f aca="false">MAX(MIN(Cap_h,$F$18+MIN(Loss_w)-Alpha_keep*A87),E87)</f>
        <v>2.5</v>
      </c>
      <c r="G87" s="12" t="n">
        <f aca="false">Alpha_keep*A87+E87</f>
        <v>55.0875</v>
      </c>
      <c r="H87" s="12" t="n">
        <f aca="false">Alpha_keep*A87+F87</f>
        <v>57.5875</v>
      </c>
      <c r="I87" s="19" t="n">
        <f aca="false">MIN(INT((G87-$B$18)/$D$18+0.000000001),119)</f>
        <v>60</v>
      </c>
      <c r="J87" s="12" t="n">
        <f aca="false">(G87-$B$18)/$D$18-I87</f>
        <v>0.349999999999994</v>
      </c>
      <c r="K87" s="19" t="n">
        <f aca="false">MIN(INT((H87-$B$18)/$D$18+0.000000001),119)</f>
        <v>70</v>
      </c>
      <c r="L87" s="12" t="n">
        <f aca="false">(H87-$B$18)/$D$18-K87</f>
        <v>0.349999999999994</v>
      </c>
      <c r="M87" s="9" t="n">
        <v>0</v>
      </c>
      <c r="N87" s="12" t="n">
        <f aca="false">-Cost_k*$A87+Beta_q*(Declarations!$B$16*INDEX(M$21:M$141,MAX(1,MIN(121,$B87-ROUND(Declarations!$A$16/$D$18,0))))+Declarations!$B$17*INDEX(M$21:M$141,MAX(1,MIN(121,$B87-ROUND(Declarations!$A$17/$D$18,0))))+Declarations!$B$18*INDEX(M$21:M$141,MAX(1,MIN(121,$B87-ROUND(Declarations!$A$18/$D$18,0))))+Declarations!$B$19*INDEX(M$21:M$141,MAX(1,MIN(121,$B87-ROUND(Declarations!$A$19/$D$18,0))))+Declarations!$B$20*INDEX(M$21:M$141,MAX(1,MIN(121,$B87-ROUND(Declarations!$A$20/$D$18,0)))))</f>
        <v>-226</v>
      </c>
      <c r="O87" s="12" t="n">
        <f aca="false">INDEX(N$21:N$141,$I87+1)*(1-$J87)+INDEX(N$21:N$141,$I87+2)*$J87</f>
        <v>-220.35</v>
      </c>
      <c r="P87" s="12" t="n">
        <f aca="false">INDEX(N$21:N$141,$K87+1)*(1-$L87)+INDEX(N$21:N$141,$K87+2)*$L87</f>
        <v>-230.35</v>
      </c>
      <c r="Q87" s="12" t="n">
        <f aca="false">$C87+$D87+MAX(O87,P87,IF(COUNTIFS($A$21:$A$141,"&gt;="&amp;$G87,$A$21:$A$141,"&lt;="&amp;$H87)&gt;0,_xlfn.MAXIFS(N$21:N$141,$A$21:$A$141,"&gt;="&amp;$G87,$A$21:$A$141,"&lt;="&amp;$H87),O87))</f>
        <v>0</v>
      </c>
      <c r="R87" s="12" t="n">
        <f aca="false">-Cost_k*$A87+Beta_q*(Declarations!$B$16*INDEX(Q$21:Q$141,MAX(1,MIN(121,$B87-ROUND(Declarations!$A$16/$D$18,0))))+Declarations!$B$17*INDEX(Q$21:Q$141,MAX(1,MIN(121,$B87-ROUND(Declarations!$A$17/$D$18,0))))+Declarations!$B$18*INDEX(Q$21:Q$141,MAX(1,MIN(121,$B87-ROUND(Declarations!$A$18/$D$18,0))))+Declarations!$B$19*INDEX(Q$21:Q$141,MAX(1,MIN(121,$B87-ROUND(Declarations!$A$19/$D$18,0))))+Declarations!$B$20*INDEX(Q$21:Q$141,MAX(1,MIN(121,$B87-ROUND(Declarations!$A$20/$D$18,0)))))</f>
        <v>-226</v>
      </c>
      <c r="S87" s="12" t="n">
        <f aca="false">INDEX(R$21:R$141,$I87+1)*(1-$J87)+INDEX(R$21:R$141,$I87+2)*$J87</f>
        <v>-220.667347579145</v>
      </c>
      <c r="T87" s="12" t="n">
        <f aca="false">INDEX(R$21:R$141,$K87+1)*(1-$L87)+INDEX(R$21:R$141,$K87+2)*$L87</f>
        <v>-230.35</v>
      </c>
      <c r="U87" s="12" t="n">
        <f aca="false">$C87+$D87+MAX(S87,T87,IF(COUNTIFS($A$21:$A$141,"&gt;="&amp;$G87,$A$21:$A$141,"&lt;="&amp;$H87)&gt;0,_xlfn.MAXIFS(R$21:R$141,$A$21:$A$141,"&gt;="&amp;$G87,$A$21:$A$141,"&lt;="&amp;$H87),S87))</f>
        <v>-0.317347579144808</v>
      </c>
      <c r="V87" s="12" t="n">
        <f aca="false">-Cost_k*$A87+Beta_q*(Declarations!$B$16*INDEX(U$21:U$141,MAX(1,MIN(121,$B87-ROUND(Declarations!$A$16/$D$18,0))))+Declarations!$B$17*INDEX(U$21:U$141,MAX(1,MIN(121,$B87-ROUND(Declarations!$A$17/$D$18,0))))+Declarations!$B$18*INDEX(U$21:U$141,MAX(1,MIN(121,$B87-ROUND(Declarations!$A$18/$D$18,0))))+Declarations!$B$19*INDEX(U$21:U$141,MAX(1,MIN(121,$B87-ROUND(Declarations!$A$19/$D$18,0))))+Declarations!$B$20*INDEX(U$21:U$141,MAX(1,MIN(121,$B87-ROUND(Declarations!$A$20/$D$18,0)))))</f>
        <v>-226.486647305551</v>
      </c>
      <c r="W87" s="12" t="n">
        <f aca="false">INDEX(V$21:V$141,$I87+1)*(1-$J87)+INDEX(V$21:V$141,$I87+2)*$J87</f>
        <v>-222.695940543165</v>
      </c>
      <c r="X87" s="12" t="n">
        <f aca="false">INDEX(V$21:V$141,$K87+1)*(1-$L87)+INDEX(V$21:V$141,$K87+2)*$L87</f>
        <v>-230.435471961985</v>
      </c>
      <c r="Y87" s="12" t="n">
        <f aca="false">$C87+$D87+MAX(W87,X87,IF(COUNTIFS($A$21:$A$141,"&gt;="&amp;$G87,$A$21:$A$141,"&lt;="&amp;$H87)&gt;0,_xlfn.MAXIFS(V$21:V$141,$A$21:$A$141,"&gt;="&amp;$G87,$A$21:$A$141,"&lt;="&amp;$H87),W87))</f>
        <v>-2.34594054316491</v>
      </c>
      <c r="Z87" s="12" t="n">
        <f aca="false">-Cost_k*$A87+Beta_q*(Declarations!$B$16*INDEX(Y$21:Y$141,MAX(1,MIN(121,$B87-ROUND(Declarations!$A$16/$D$18,0))))+Declarations!$B$17*INDEX(Y$21:Y$141,MAX(1,MIN(121,$B87-ROUND(Declarations!$A$17/$D$18,0))))+Declarations!$B$18*INDEX(Y$21:Y$141,MAX(1,MIN(121,$B87-ROUND(Declarations!$A$18/$D$18,0))))+Declarations!$B$19*INDEX(Y$21:Y$141,MAX(1,MIN(121,$B87-ROUND(Declarations!$A$19/$D$18,0))))+Declarations!$B$20*INDEX(Y$21:Y$141,MAX(1,MIN(121,$B87-ROUND(Declarations!$A$20/$D$18,0)))))</f>
        <v>-228.518976482462</v>
      </c>
      <c r="AA87" s="12" t="n">
        <f aca="false">INDEX(Z$21:Z$141,$I87+1)*(1-$J87)+INDEX(Z$21:Z$141,$I87+2)*$J87</f>
        <v>-226.624157913287</v>
      </c>
      <c r="AB87" s="12" t="n">
        <f aca="false">INDEX(Z$21:Z$141,$K87+1)*(1-$L87)+INDEX(Z$21:Z$141,$K87+2)*$L87</f>
        <v>-231.324764915599</v>
      </c>
      <c r="AC87" s="12" t="n">
        <f aca="false">$C87+$D87+MAX(AA87,AB87,IF(COUNTIFS($A$21:$A$141,"&gt;="&amp;$G87,$A$21:$A$141,"&lt;="&amp;$H87)&gt;0,_xlfn.MAXIFS(Z$21:Z$141,$A$21:$A$141,"&gt;="&amp;$G87,$A$21:$A$141,"&lt;="&amp;$H87),AA87))</f>
        <v>-6.27415791328693</v>
      </c>
      <c r="AD87" s="12" t="n">
        <f aca="false">-Cost_k*$A87+Beta_q*(Declarations!$B$16*INDEX(AC$21:AC$141,MAX(1,MIN(121,$B87-ROUND(Declarations!$A$16/$D$18,0))))+Declarations!$B$17*INDEX(AC$21:AC$141,MAX(1,MIN(121,$B87-ROUND(Declarations!$A$17/$D$18,0))))+Declarations!$B$18*INDEX(AC$21:AC$141,MAX(1,MIN(121,$B87-ROUND(Declarations!$A$18/$D$18,0))))+Declarations!$B$19*INDEX(AC$21:AC$141,MAX(1,MIN(121,$B87-ROUND(Declarations!$A$19/$D$18,0))))+Declarations!$B$20*INDEX(AC$21:AC$141,MAX(1,MIN(121,$B87-ROUND(Declarations!$A$20/$D$18,0)))))</f>
        <v>-232.348769337451</v>
      </c>
      <c r="AE87" s="12" t="n">
        <f aca="false">INDEX(AD$21:AD$141,$I87+1)*(1-$J87)+INDEX(AD$21:AD$141,$I87+2)*$J87</f>
        <v>-232.097881682597</v>
      </c>
      <c r="AF87" s="12" t="n">
        <f aca="false">INDEX(AD$21:AD$141,$K87+1)*(1-$L87)+INDEX(AD$21:AD$141,$K87+2)*$L87</f>
        <v>-233.785882502102</v>
      </c>
      <c r="AG87" s="12" t="n">
        <f aca="false">$C87+$D87+MAX(AE87,AF87,IF(COUNTIFS($A$21:$A$141,"&gt;="&amp;$G87,$A$21:$A$141,"&lt;="&amp;$H87)&gt;0,_xlfn.MAXIFS(AD$21:AD$141,$A$21:$A$141,"&gt;="&amp;$G87,$A$21:$A$141,"&lt;="&amp;$H87),AE87))</f>
        <v>-11.6651936264771</v>
      </c>
      <c r="AH87" s="12" t="n">
        <f aca="false">-Cost_k*$A87+Beta_q*(Declarations!$B$16*INDEX(AG$21:AG$141,MAX(1,MIN(121,$B87-ROUND(Declarations!$A$16/$D$18,0))))+Declarations!$B$17*INDEX(AG$21:AG$141,MAX(1,MIN(121,$B87-ROUND(Declarations!$A$17/$D$18,0))))+Declarations!$B$18*INDEX(AG$21:AG$141,MAX(1,MIN(121,$B87-ROUND(Declarations!$A$18/$D$18,0))))+Declarations!$B$19*INDEX(AG$21:AG$141,MAX(1,MIN(121,$B87-ROUND(Declarations!$A$19/$D$18,0))))+Declarations!$B$20*INDEX(AG$21:AG$141,MAX(1,MIN(121,$B87-ROUND(Declarations!$A$20/$D$18,0)))))</f>
        <v>-237.414151806108</v>
      </c>
      <c r="AI87" s="12" t="n">
        <f aca="false">INDEX(AH$21:AH$141,$I87+1)*(1-$J87)+INDEX(AH$21:AH$141,$I87+2)*$J87</f>
        <v>-237.458655636419</v>
      </c>
      <c r="AJ87" s="12" t="n">
        <f aca="false">INDEX(AH$21:AH$141,$K87+1)*(1-$L87)+INDEX(AH$21:AH$141,$K87+2)*$L87</f>
        <v>-237.904078247348</v>
      </c>
      <c r="AK87" s="12" t="n">
        <f aca="false">$C87+$D87+MAX(AI87,AJ87,IF(COUNTIFS($A$21:$A$141,"&gt;="&amp;$G87,$A$21:$A$141,"&lt;="&amp;$H87)&gt;0,_xlfn.MAXIFS(AH$21:AH$141,$A$21:$A$141,"&gt;="&amp;$G87,$A$21:$A$141,"&lt;="&amp;$H87),AI87))</f>
        <v>-16.9581760676685</v>
      </c>
      <c r="AL87" s="12" t="n">
        <f aca="false">-Cost_k*$A87+Beta_q*(Declarations!$B$16*INDEX(AK$21:AK$141,MAX(1,MIN(121,$B87-ROUND(Declarations!$A$16/$D$18,0))))+Declarations!$B$17*INDEX(AK$21:AK$141,MAX(1,MIN(121,$B87-ROUND(Declarations!$A$17/$D$18,0))))+Declarations!$B$18*INDEX(AK$21:AK$141,MAX(1,MIN(121,$B87-ROUND(Declarations!$A$18/$D$18,0))))+Declarations!$B$19*INDEX(AK$21:AK$141,MAX(1,MIN(121,$B87-ROUND(Declarations!$A$19/$D$18,0))))+Declarations!$B$20*INDEX(AK$21:AK$141,MAX(1,MIN(121,$B87-ROUND(Declarations!$A$20/$D$18,0)))))</f>
        <v>-242.566502108138</v>
      </c>
      <c r="AM87" s="12" t="n">
        <f aca="false">INDEX(AL$21:AL$141,$I87+1)*(1-$J87)+INDEX(AL$21:AL$141,$I87+2)*$J87</f>
        <v>-242.637992651038</v>
      </c>
      <c r="AN87" s="12" t="n">
        <f aca="false">INDEX(AL$21:AL$141,$K87+1)*(1-$L87)+INDEX(AL$21:AL$141,$K87+2)*$L87</f>
        <v>-242.867029692816</v>
      </c>
      <c r="AO87" s="12" t="n">
        <f aca="false">$C87+$D87+MAX(AM87,AN87,IF(COUNTIFS($A$21:$A$141,"&gt;="&amp;$G87,$A$21:$A$141,"&lt;="&amp;$H87)&gt;0,_xlfn.MAXIFS(AL$21:AL$141,$A$21:$A$141,"&gt;="&amp;$G87,$A$21:$A$141,"&lt;="&amp;$H87),AM87))</f>
        <v>-22.1276563065175</v>
      </c>
      <c r="AP87" s="12" t="n">
        <f aca="false">-Cost_k*$A87+Beta_q*(Declarations!$B$16*INDEX(AO$21:AO$141,MAX(1,MIN(121,$B87-ROUND(Declarations!$A$16/$D$18,0))))+Declarations!$B$17*INDEX(AO$21:AO$141,MAX(1,MIN(121,$B87-ROUND(Declarations!$A$17/$D$18,0))))+Declarations!$B$18*INDEX(AO$21:AO$141,MAX(1,MIN(121,$B87-ROUND(Declarations!$A$18/$D$18,0))))+Declarations!$B$19*INDEX(AO$21:AO$141,MAX(1,MIN(121,$B87-ROUND(Declarations!$A$19/$D$18,0))))+Declarations!$B$20*INDEX(AO$21:AO$141,MAX(1,MIN(121,$B87-ROUND(Declarations!$A$20/$D$18,0)))))</f>
        <v>-247.61301438496</v>
      </c>
      <c r="AQ87" s="12" t="n">
        <f aca="false">INDEX(AP$21:AP$141,$I87+1)*(1-$J87)+INDEX(AP$21:AP$141,$I87+2)*$J87</f>
        <v>-247.687264131232</v>
      </c>
      <c r="AR87" s="12" t="n">
        <f aca="false">INDEX(AP$21:AP$141,$K87+1)*(1-$L87)+INDEX(AP$21:AP$141,$K87+2)*$L87</f>
        <v>-247.891203497046</v>
      </c>
      <c r="AS87" s="12" t="n">
        <f aca="false">$C87+$D87+MAX(AQ87,AR87,IF(COUNTIFS($A$21:$A$141,"&gt;="&amp;$G87,$A$21:$A$141,"&lt;="&amp;$H87)&gt;0,_xlfn.MAXIFS(AP$21:AP$141,$A$21:$A$141,"&gt;="&amp;$G87,$A$21:$A$141,"&lt;="&amp;$H87),AQ87))</f>
        <v>-27.1755342393409</v>
      </c>
      <c r="AT87" s="12" t="n">
        <f aca="false">-Cost_k*$A87+Beta_q*(Declarations!$B$16*INDEX(AS$21:AS$141,MAX(1,MIN(121,$B87-ROUND(Declarations!$A$16/$D$18,0))))+Declarations!$B$17*INDEX(AS$21:AS$141,MAX(1,MIN(121,$B87-ROUND(Declarations!$A$17/$D$18,0))))+Declarations!$B$18*INDEX(AS$21:AS$141,MAX(1,MIN(121,$B87-ROUND(Declarations!$A$18/$D$18,0))))+Declarations!$B$19*INDEX(AS$21:AS$141,MAX(1,MIN(121,$B87-ROUND(Declarations!$A$19/$D$18,0))))+Declarations!$B$20*INDEX(AS$21:AS$141,MAX(1,MIN(121,$B87-ROUND(Declarations!$A$20/$D$18,0)))))</f>
        <v>-252.54193425919</v>
      </c>
      <c r="AU87" s="12" t="n">
        <f aca="false">INDEX(AT$21:AT$141,$I87+1)*(1-$J87)+INDEX(AT$21:AT$141,$I87+2)*$J87</f>
        <v>-252.616537663436</v>
      </c>
      <c r="AV87" s="12" t="n">
        <f aca="false">INDEX(AT$21:AT$141,$K87+1)*(1-$L87)+INDEX(AT$21:AT$141,$K87+2)*$L87</f>
        <v>-252.817885339851</v>
      </c>
      <c r="AW87" s="12" t="n">
        <f aca="false">$C87+$D87+MAX(AU87,AV87,IF(COUNTIFS($A$21:$A$141,"&gt;="&amp;$G87,$A$21:$A$141,"&lt;="&amp;$H87)&gt;0,_xlfn.MAXIFS(AT$21:AT$141,$A$21:$A$141,"&gt;="&amp;$G87,$A$21:$A$141,"&lt;="&amp;$H87),AU87))</f>
        <v>-32.1045746247619</v>
      </c>
      <c r="AX87" s="12" t="n">
        <f aca="false">-Cost_k*$A87+Beta_q*(Declarations!$B$16*INDEX(AW$21:AW$141,MAX(1,MIN(121,$B87-ROUND(Declarations!$A$16/$D$18,0))))+Declarations!$B$17*INDEX(AW$21:AW$141,MAX(1,MIN(121,$B87-ROUND(Declarations!$A$17/$D$18,0))))+Declarations!$B$18*INDEX(AW$21:AW$141,MAX(1,MIN(121,$B87-ROUND(Declarations!$A$18/$D$18,0))))+Declarations!$B$19*INDEX(AW$21:AW$141,MAX(1,MIN(121,$B87-ROUND(Declarations!$A$19/$D$18,0))))+Declarations!$B$20*INDEX(AW$21:AW$141,MAX(1,MIN(121,$B87-ROUND(Declarations!$A$20/$D$18,0)))))</f>
        <v>-257.354906837193</v>
      </c>
      <c r="AY87" s="12" t="n">
        <f aca="false">INDEX(AX$21:AX$141,$I87+1)*(1-$J87)+INDEX(AX$21:AX$141,$I87+2)*$J87</f>
        <v>-257.429561283925</v>
      </c>
      <c r="AZ87" s="12" t="n">
        <f aca="false">INDEX(AX$21:AX$141,$K87+1)*(1-$L87)+INDEX(AX$21:AX$141,$K87+2)*$L87</f>
        <v>-257.630644550053</v>
      </c>
      <c r="BA87" s="12" t="n">
        <f aca="false">$C87+$D87+MAX(AY87,AZ87,IF(COUNTIFS($A$21:$A$141,"&gt;="&amp;$G87,$A$21:$A$141,"&lt;="&amp;$H87)&gt;0,_xlfn.MAXIFS(AX$21:AX$141,$A$21:$A$141,"&gt;="&amp;$G87,$A$21:$A$141,"&lt;="&amp;$H87),AY87))</f>
        <v>-36.9175594116307</v>
      </c>
      <c r="BB87" s="12" t="n">
        <f aca="false">-Cost_k*$A87+Beta_q*(Declarations!$B$16*INDEX(BA$21:BA$141,MAX(1,MIN(121,$B87-ROUND(Declarations!$A$16/$D$18,0))))+Declarations!$B$17*INDEX(BA$21:BA$141,MAX(1,MIN(121,$B87-ROUND(Declarations!$A$17/$D$18,0))))+Declarations!$B$18*INDEX(BA$21:BA$141,MAX(1,MIN(121,$B87-ROUND(Declarations!$A$18/$D$18,0))))+Declarations!$B$19*INDEX(BA$21:BA$141,MAX(1,MIN(121,$B87-ROUND(Declarations!$A$19/$D$18,0))))+Declarations!$B$20*INDEX(BA$21:BA$141,MAX(1,MIN(121,$B87-ROUND(Declarations!$A$20/$D$18,0)))))</f>
        <v>-262.054564562894</v>
      </c>
      <c r="BC87" s="12" t="n">
        <f aca="false">INDEX(BB$21:BB$141,$I87+1)*(1-$J87)+INDEX(BB$21:BB$141,$I87+2)*$J87</f>
        <v>-262.129227340654</v>
      </c>
      <c r="BD87" s="12" t="n">
        <f aca="false">INDEX(BB$21:BB$141,$K87+1)*(1-$L87)+INDEX(BB$21:BB$141,$K87+2)*$L87</f>
        <v>-262.330281496011</v>
      </c>
      <c r="BE87" s="12" t="n">
        <f aca="false">$C87+$D87+MAX(BC87,BD87,IF(COUNTIFS($A$21:$A$141,"&gt;="&amp;$G87,$A$21:$A$141,"&lt;="&amp;$H87)&gt;0,_xlfn.MAXIFS(BB$21:BB$141,$A$21:$A$141,"&gt;="&amp;$G87,$A$21:$A$141,"&lt;="&amp;$H87),BC87))</f>
        <v>-41.6172186139989</v>
      </c>
      <c r="BF87" s="12" t="n">
        <f aca="false">-Cost_k*$A87+Beta_q*(Declarations!$B$16*INDEX(BE$21:BE$141,MAX(1,MIN(121,$B87-ROUND(Declarations!$A$16/$D$18,0))))+Declarations!$B$17*INDEX(BE$21:BE$141,MAX(1,MIN(121,$B87-ROUND(Declarations!$A$17/$D$18,0))))+Declarations!$B$18*INDEX(BE$21:BE$141,MAX(1,MIN(121,$B87-ROUND(Declarations!$A$18/$D$18,0))))+Declarations!$B$19*INDEX(BE$21:BE$141,MAX(1,MIN(121,$B87-ROUND(Declarations!$A$19/$D$18,0))))+Declarations!$B$20*INDEX(BE$21:BE$141,MAX(1,MIN(121,$B87-ROUND(Declarations!$A$20/$D$18,0)))))</f>
        <v>-266.643565891937</v>
      </c>
      <c r="BG87" s="12" t="n">
        <f aca="false">INDEX(BF$21:BF$141,$I87+1)*(1-$J87)+INDEX(BF$21:BF$141,$I87+2)*$J87</f>
        <v>-266.718230103773</v>
      </c>
      <c r="BH87" s="12" t="n">
        <f aca="false">INDEX(BF$21:BF$141,$K87+1)*(1-$L87)+INDEX(BF$21:BF$141,$K87+2)*$L87</f>
        <v>-266.919280630949</v>
      </c>
      <c r="BI87" s="12" t="n">
        <f aca="false">$C87+$D87+MAX(BG87,BH87,IF(COUNTIFS($A$21:$A$141,"&gt;="&amp;$G87,$A$21:$A$141,"&lt;="&amp;$H87)&gt;0,_xlfn.MAXIFS(BF$21:BF$141,$A$21:$A$141,"&gt;="&amp;$G87,$A$21:$A$141,"&lt;="&amp;$H87),BG87))</f>
        <v>-46.2062201537861</v>
      </c>
      <c r="BJ87" s="23" t="n">
        <v>-46.2062201537861</v>
      </c>
      <c r="BK87" s="22" t="n">
        <f aca="false">ABS(BI87-BJ87)</f>
        <v>0</v>
      </c>
    </row>
    <row r="88" customFormat="false" ht="15" hidden="false" customHeight="false" outlineLevel="0" collapsed="false">
      <c r="A88" s="14" t="n">
        <f aca="false">A87+$D$18</f>
        <v>56.75</v>
      </c>
      <c r="B88" s="19" t="n">
        <v>68</v>
      </c>
      <c r="C88" s="12" t="n">
        <f aca="false">-Short_p*MAX(Floor_c-A88,0)</f>
        <v>-0</v>
      </c>
      <c r="D88" s="12" t="n">
        <f aca="false">Cost_k*Alpha_keep*A88</f>
        <v>221.325</v>
      </c>
      <c r="E88" s="12" t="n">
        <f aca="false">MIN(Cap_h,MAX(0,$B$18+MAX(Loss_w)-Alpha_keep*A88))</f>
        <v>0</v>
      </c>
      <c r="F88" s="12" t="n">
        <f aca="false">MAX(MIN(Cap_h,$F$18+MIN(Loss_w)-Alpha_keep*A88),E88)</f>
        <v>2.5</v>
      </c>
      <c r="G88" s="12" t="n">
        <f aca="false">Alpha_keep*A88+E88</f>
        <v>55.33125</v>
      </c>
      <c r="H88" s="12" t="n">
        <f aca="false">Alpha_keep*A88+F88</f>
        <v>57.83125</v>
      </c>
      <c r="I88" s="19" t="n">
        <f aca="false">MIN(INT((G88-$B$18)/$D$18+0.000000001),119)</f>
        <v>61</v>
      </c>
      <c r="J88" s="12" t="n">
        <f aca="false">(G88-$B$18)/$D$18-I88</f>
        <v>0.324999999999989</v>
      </c>
      <c r="K88" s="19" t="n">
        <f aca="false">MIN(INT((H88-$B$18)/$D$18+0.000000001),119)</f>
        <v>71</v>
      </c>
      <c r="L88" s="12" t="n">
        <f aca="false">(H88-$B$18)/$D$18-K88</f>
        <v>0.324999999999989</v>
      </c>
      <c r="M88" s="9" t="n">
        <v>0</v>
      </c>
      <c r="N88" s="12" t="n">
        <f aca="false">-Cost_k*$A88+Beta_q*(Declarations!$B$16*INDEX(M$21:M$141,MAX(1,MIN(121,$B88-ROUND(Declarations!$A$16/$D$18,0))))+Declarations!$B$17*INDEX(M$21:M$141,MAX(1,MIN(121,$B88-ROUND(Declarations!$A$17/$D$18,0))))+Declarations!$B$18*INDEX(M$21:M$141,MAX(1,MIN(121,$B88-ROUND(Declarations!$A$18/$D$18,0))))+Declarations!$B$19*INDEX(M$21:M$141,MAX(1,MIN(121,$B88-ROUND(Declarations!$A$19/$D$18,0))))+Declarations!$B$20*INDEX(M$21:M$141,MAX(1,MIN(121,$B88-ROUND(Declarations!$A$20/$D$18,0)))))</f>
        <v>-227</v>
      </c>
      <c r="O88" s="12" t="n">
        <f aca="false">INDEX(N$21:N$141,$I88+1)*(1-$J88)+INDEX(N$21:N$141,$I88+2)*$J88</f>
        <v>-221.325</v>
      </c>
      <c r="P88" s="12" t="n">
        <f aca="false">INDEX(N$21:N$141,$K88+1)*(1-$L88)+INDEX(N$21:N$141,$K88+2)*$L88</f>
        <v>-231.325</v>
      </c>
      <c r="Q88" s="12" t="n">
        <f aca="false">$C88+$D88+MAX(O88,P88,IF(COUNTIFS($A$21:$A$141,"&gt;="&amp;$G88,$A$21:$A$141,"&lt;="&amp;$H88)&gt;0,_xlfn.MAXIFS(N$21:N$141,$A$21:$A$141,"&gt;="&amp;$G88,$A$21:$A$141,"&lt;="&amp;$H88),O88))</f>
        <v>0</v>
      </c>
      <c r="R88" s="12" t="n">
        <f aca="false">-Cost_k*$A88+Beta_q*(Declarations!$B$16*INDEX(Q$21:Q$141,MAX(1,MIN(121,$B88-ROUND(Declarations!$A$16/$D$18,0))))+Declarations!$B$17*INDEX(Q$21:Q$141,MAX(1,MIN(121,$B88-ROUND(Declarations!$A$17/$D$18,0))))+Declarations!$B$18*INDEX(Q$21:Q$141,MAX(1,MIN(121,$B88-ROUND(Declarations!$A$18/$D$18,0))))+Declarations!$B$19*INDEX(Q$21:Q$141,MAX(1,MIN(121,$B88-ROUND(Declarations!$A$19/$D$18,0))))+Declarations!$B$20*INDEX(Q$21:Q$141,MAX(1,MIN(121,$B88-ROUND(Declarations!$A$20/$D$18,0)))))</f>
        <v>-227</v>
      </c>
      <c r="S88" s="12" t="n">
        <f aca="false">INDEX(R$21:R$141,$I88+1)*(1-$J88)+INDEX(R$21:R$141,$I88+2)*$J88</f>
        <v>-221.547143305401</v>
      </c>
      <c r="T88" s="12" t="n">
        <f aca="false">INDEX(R$21:R$141,$K88+1)*(1-$L88)+INDEX(R$21:R$141,$K88+2)*$L88</f>
        <v>-231.325</v>
      </c>
      <c r="U88" s="12" t="n">
        <f aca="false">$C88+$D88+MAX(S88,T88,IF(COUNTIFS($A$21:$A$141,"&gt;="&amp;$G88,$A$21:$A$141,"&lt;="&amp;$H88)&gt;0,_xlfn.MAXIFS(R$21:R$141,$A$21:$A$141,"&gt;="&amp;$G88,$A$21:$A$141,"&lt;="&amp;$H88),S88))</f>
        <v>-0.222143305401374</v>
      </c>
      <c r="V88" s="12" t="n">
        <f aca="false">-Cost_k*$A88+Beta_q*(Declarations!$B$16*INDEX(U$21:U$141,MAX(1,MIN(121,$B88-ROUND(Declarations!$A$16/$D$18,0))))+Declarations!$B$17*INDEX(U$21:U$141,MAX(1,MIN(121,$B88-ROUND(Declarations!$A$17/$D$18,0))))+Declarations!$B$18*INDEX(U$21:U$141,MAX(1,MIN(121,$B88-ROUND(Declarations!$A$18/$D$18,0))))+Declarations!$B$19*INDEX(U$21:U$141,MAX(1,MIN(121,$B88-ROUND(Declarations!$A$19/$D$18,0))))+Declarations!$B$20*INDEX(U$21:U$141,MAX(1,MIN(121,$B88-ROUND(Declarations!$A$20/$D$18,0)))))</f>
        <v>-227.363007044291</v>
      </c>
      <c r="W88" s="12" t="n">
        <f aca="false">INDEX(V$21:V$141,$I88+1)*(1-$J88)+INDEX(V$21:V$141,$I88+2)*$J88</f>
        <v>-223.253969461686</v>
      </c>
      <c r="X88" s="12" t="n">
        <f aca="false">INDEX(V$21:V$141,$K88+1)*(1-$L88)+INDEX(V$21:V$141,$K88+2)*$L88</f>
        <v>-231.37275238604</v>
      </c>
      <c r="Y88" s="12" t="n">
        <f aca="false">$C88+$D88+MAX(W88,X88,IF(COUNTIFS($A$21:$A$141,"&gt;="&amp;$G88,$A$21:$A$141,"&lt;="&amp;$H88)&gt;0,_xlfn.MAXIFS(V$21:V$141,$A$21:$A$141,"&gt;="&amp;$G88,$A$21:$A$141,"&lt;="&amp;$H88),W88))</f>
        <v>-1.92896946168639</v>
      </c>
      <c r="Z88" s="12" t="n">
        <f aca="false">-Cost_k*$A88+Beta_q*(Declarations!$B$16*INDEX(Y$21:Y$141,MAX(1,MIN(121,$B88-ROUND(Declarations!$A$16/$D$18,0))))+Declarations!$B$17*INDEX(Y$21:Y$141,MAX(1,MIN(121,$B88-ROUND(Declarations!$A$17/$D$18,0))))+Declarations!$B$18*INDEX(Y$21:Y$141,MAX(1,MIN(121,$B88-ROUND(Declarations!$A$18/$D$18,0))))+Declarations!$B$19*INDEX(Y$21:Y$141,MAX(1,MIN(121,$B88-ROUND(Declarations!$A$19/$D$18,0))))+Declarations!$B$20*INDEX(Y$21:Y$141,MAX(1,MIN(121,$B88-ROUND(Declarations!$A$20/$D$18,0)))))</f>
        <v>-229.098227049377</v>
      </c>
      <c r="AA88" s="12" t="n">
        <f aca="false">INDEX(Z$21:Z$141,$I88+1)*(1-$J88)+INDEX(Z$21:Z$141,$I88+2)*$J88</f>
        <v>-226.841715823019</v>
      </c>
      <c r="AB88" s="12" t="n">
        <f aca="false">INDEX(Z$21:Z$141,$K88+1)*(1-$L88)+INDEX(Z$21:Z$141,$K88+2)*$L88</f>
        <v>-232.063823708459</v>
      </c>
      <c r="AC88" s="12" t="n">
        <f aca="false">$C88+$D88+MAX(AA88,AB88,IF(COUNTIFS($A$21:$A$141,"&gt;="&amp;$G88,$A$21:$A$141,"&lt;="&amp;$H88)&gt;0,_xlfn.MAXIFS(Z$21:Z$141,$A$21:$A$141,"&gt;="&amp;$G88,$A$21:$A$141,"&lt;="&amp;$H88),AA88))</f>
        <v>-5.51671582301879</v>
      </c>
      <c r="AD88" s="12" t="n">
        <f aca="false">-Cost_k*$A88+Beta_q*(Declarations!$B$16*INDEX(AC$21:AC$141,MAX(1,MIN(121,$B88-ROUND(Declarations!$A$16/$D$18,0))))+Declarations!$B$17*INDEX(AC$21:AC$141,MAX(1,MIN(121,$B88-ROUND(Declarations!$A$17/$D$18,0))))+Declarations!$B$18*INDEX(AC$21:AC$141,MAX(1,MIN(121,$B88-ROUND(Declarations!$A$18/$D$18,0))))+Declarations!$B$19*INDEX(AC$21:AC$141,MAX(1,MIN(121,$B88-ROUND(Declarations!$A$19/$D$18,0))))+Declarations!$B$20*INDEX(AC$21:AC$141,MAX(1,MIN(121,$B88-ROUND(Declarations!$A$20/$D$18,0)))))</f>
        <v>-232.606299974697</v>
      </c>
      <c r="AE88" s="12" t="n">
        <f aca="false">INDEX(AD$21:AD$141,$I88+1)*(1-$J88)+INDEX(AD$21:AD$141,$I88+2)*$J88</f>
        <v>-232.060068917945</v>
      </c>
      <c r="AF88" s="12" t="n">
        <f aca="false">INDEX(AD$21:AD$141,$K88+1)*(1-$L88)+INDEX(AD$21:AD$141,$K88+2)*$L88</f>
        <v>-234.235884950766</v>
      </c>
      <c r="AG88" s="12" t="n">
        <f aca="false">$C88+$D88+MAX(AE88,AF88,IF(COUNTIFS($A$21:$A$141,"&gt;="&amp;$G88,$A$21:$A$141,"&lt;="&amp;$H88)&gt;0,_xlfn.MAXIFS(AD$21:AD$141,$A$21:$A$141,"&gt;="&amp;$G88,$A$21:$A$141,"&lt;="&amp;$H88),AE88))</f>
        <v>-10.6901936264771</v>
      </c>
      <c r="AH88" s="12" t="n">
        <f aca="false">-Cost_k*$A88+Beta_q*(Declarations!$B$16*INDEX(AG$21:AG$141,MAX(1,MIN(121,$B88-ROUND(Declarations!$A$16/$D$18,0))))+Declarations!$B$17*INDEX(AG$21:AG$141,MAX(1,MIN(121,$B88-ROUND(Declarations!$A$17/$D$18,0))))+Declarations!$B$18*INDEX(AG$21:AG$141,MAX(1,MIN(121,$B88-ROUND(Declarations!$A$18/$D$18,0))))+Declarations!$B$19*INDEX(AG$21:AG$141,MAX(1,MIN(121,$B88-ROUND(Declarations!$A$19/$D$18,0))))+Declarations!$B$20*INDEX(AG$21:AG$141,MAX(1,MIN(121,$B88-ROUND(Declarations!$A$20/$D$18,0)))))</f>
        <v>-237.491803316171</v>
      </c>
      <c r="AI88" s="12" t="n">
        <f aca="false">INDEX(AH$21:AH$141,$I88+1)*(1-$J88)+INDEX(AH$21:AH$141,$I88+2)*$J88</f>
        <v>-237.396930814403</v>
      </c>
      <c r="AJ88" s="12" t="n">
        <f aca="false">INDEX(AH$21:AH$141,$K88+1)*(1-$L88)+INDEX(AH$21:AH$141,$K88+2)*$L88</f>
        <v>-238.089436272676</v>
      </c>
      <c r="AK88" s="12" t="n">
        <f aca="false">$C88+$D88+MAX(AI88,AJ88,IF(COUNTIFS($A$21:$A$141,"&gt;="&amp;$G88,$A$21:$A$141,"&lt;="&amp;$H88)&gt;0,_xlfn.MAXIFS(AH$21:AH$141,$A$21:$A$141,"&gt;="&amp;$G88,$A$21:$A$141,"&lt;="&amp;$H88),AI88))</f>
        <v>-15.9831760676685</v>
      </c>
      <c r="AL88" s="12" t="n">
        <f aca="false">-Cost_k*$A88+Beta_q*(Declarations!$B$16*INDEX(AK$21:AK$141,MAX(1,MIN(121,$B88-ROUND(Declarations!$A$16/$D$18,0))))+Declarations!$B$17*INDEX(AK$21:AK$141,MAX(1,MIN(121,$B88-ROUND(Declarations!$A$17/$D$18,0))))+Declarations!$B$18*INDEX(AK$21:AK$141,MAX(1,MIN(121,$B88-ROUND(Declarations!$A$18/$D$18,0))))+Declarations!$B$19*INDEX(AK$21:AK$141,MAX(1,MIN(121,$B88-ROUND(Declarations!$A$19/$D$18,0))))+Declarations!$B$20*INDEX(AK$21:AK$141,MAX(1,MIN(121,$B88-ROUND(Declarations!$A$20/$D$18,0)))))</f>
        <v>-242.624260082688</v>
      </c>
      <c r="AM88" s="12" t="n">
        <f aca="false">INDEX(AL$21:AL$141,$I88+1)*(1-$J88)+INDEX(AL$21:AL$141,$I88+2)*$J88</f>
        <v>-242.570921588974</v>
      </c>
      <c r="AN88" s="12" t="n">
        <f aca="false">INDEX(AL$21:AL$141,$K88+1)*(1-$L88)+INDEX(AL$21:AL$141,$K88+2)*$L88</f>
        <v>-242.959514671572</v>
      </c>
      <c r="AO88" s="12" t="n">
        <f aca="false">$C88+$D88+MAX(AM88,AN88,IF(COUNTIFS($A$21:$A$141,"&gt;="&amp;$G88,$A$21:$A$141,"&lt;="&amp;$H88)&gt;0,_xlfn.MAXIFS(AL$21:AL$141,$A$21:$A$141,"&gt;="&amp;$G88,$A$21:$A$141,"&lt;="&amp;$H88),AM88))</f>
        <v>-21.1526563065175</v>
      </c>
      <c r="AP88" s="12" t="n">
        <f aca="false">-Cost_k*$A88+Beta_q*(Declarations!$B$16*INDEX(AO$21:AO$141,MAX(1,MIN(121,$B88-ROUND(Declarations!$A$16/$D$18,0))))+Declarations!$B$17*INDEX(AO$21:AO$141,MAX(1,MIN(121,$B88-ROUND(Declarations!$A$17/$D$18,0))))+Declarations!$B$18*INDEX(AO$21:AO$141,MAX(1,MIN(121,$B88-ROUND(Declarations!$A$18/$D$18,0))))+Declarations!$B$19*INDEX(AO$21:AO$141,MAX(1,MIN(121,$B88-ROUND(Declarations!$A$19/$D$18,0))))+Declarations!$B$20*INDEX(AO$21:AO$141,MAX(1,MIN(121,$B88-ROUND(Declarations!$A$20/$D$18,0)))))</f>
        <v>-247.669025867949</v>
      </c>
      <c r="AQ88" s="12" t="n">
        <f aca="false">INDEX(AP$21:AP$141,$I88+1)*(1-$J88)+INDEX(AP$21:AP$141,$I88+2)*$J88</f>
        <v>-247.619401498087</v>
      </c>
      <c r="AR88" s="12" t="n">
        <f aca="false">INDEX(AP$21:AP$141,$K88+1)*(1-$L88)+INDEX(AP$21:AP$141,$K88+2)*$L88</f>
        <v>-247.969663548568</v>
      </c>
      <c r="AS88" s="12" t="n">
        <f aca="false">$C88+$D88+MAX(AQ88,AR88,IF(COUNTIFS($A$21:$A$141,"&gt;="&amp;$G88,$A$21:$A$141,"&lt;="&amp;$H88)&gt;0,_xlfn.MAXIFS(AP$21:AP$141,$A$21:$A$141,"&gt;="&amp;$G88,$A$21:$A$141,"&lt;="&amp;$H88),AQ88))</f>
        <v>-26.200534239341</v>
      </c>
      <c r="AT88" s="12" t="n">
        <f aca="false">-Cost_k*$A88+Beta_q*(Declarations!$B$16*INDEX(AS$21:AS$141,MAX(1,MIN(121,$B88-ROUND(Declarations!$A$16/$D$18,0))))+Declarations!$B$17*INDEX(AS$21:AS$141,MAX(1,MIN(121,$B88-ROUND(Declarations!$A$17/$D$18,0))))+Declarations!$B$18*INDEX(AS$21:AS$141,MAX(1,MIN(121,$B88-ROUND(Declarations!$A$18/$D$18,0))))+Declarations!$B$19*INDEX(AS$21:AS$141,MAX(1,MIN(121,$B88-ROUND(Declarations!$A$19/$D$18,0))))+Declarations!$B$20*INDEX(AS$21:AS$141,MAX(1,MIN(121,$B88-ROUND(Declarations!$A$20/$D$18,0)))))</f>
        <v>-252.597798341042</v>
      </c>
      <c r="AU88" s="12" t="n">
        <f aca="false">INDEX(AT$21:AT$141,$I88+1)*(1-$J88)+INDEX(AT$21:AT$141,$I88+2)*$J88</f>
        <v>-252.548536754453</v>
      </c>
      <c r="AV88" s="12" t="n">
        <f aca="false">INDEX(AT$21:AT$141,$K88+1)*(1-$L88)+INDEX(AT$21:AT$141,$K88+2)*$L88</f>
        <v>-252.894706888207</v>
      </c>
      <c r="AW88" s="12" t="n">
        <f aca="false">$C88+$D88+MAX(AU88,AV88,IF(COUNTIFS($A$21:$A$141,"&gt;="&amp;$G88,$A$21:$A$141,"&lt;="&amp;$H88)&gt;0,_xlfn.MAXIFS(AT$21:AT$141,$A$21:$A$141,"&gt;="&amp;$G88,$A$21:$A$141,"&lt;="&amp;$H88),AU88))</f>
        <v>-31.1295746247619</v>
      </c>
      <c r="AX88" s="12" t="n">
        <f aca="false">-Cost_k*$A88+Beta_q*(Declarations!$B$16*INDEX(AW$21:AW$141,MAX(1,MIN(121,$B88-ROUND(Declarations!$A$16/$D$18,0))))+Declarations!$B$17*INDEX(AW$21:AW$141,MAX(1,MIN(121,$B88-ROUND(Declarations!$A$17/$D$18,0))))+Declarations!$B$18*INDEX(AW$21:AW$141,MAX(1,MIN(121,$B88-ROUND(Declarations!$A$18/$D$18,0))))+Declarations!$B$19*INDEX(AW$21:AW$141,MAX(1,MIN(121,$B88-ROUND(Declarations!$A$19/$D$18,0))))+Declarations!$B$20*INDEX(AW$21:AW$141,MAX(1,MIN(121,$B88-ROUND(Declarations!$A$20/$D$18,0)))))</f>
        <v>-257.410757625008</v>
      </c>
      <c r="AY88" s="12" t="n">
        <f aca="false">INDEX(AX$21:AX$141,$I88+1)*(1-$J88)+INDEX(AX$21:AX$141,$I88+2)*$J88</f>
        <v>-257.361536795723</v>
      </c>
      <c r="AZ88" s="12" t="n">
        <f aca="false">INDEX(AX$21:AX$141,$K88+1)*(1-$L88)+INDEX(AX$21:AX$141,$K88+2)*$L88</f>
        <v>-257.707296154924</v>
      </c>
      <c r="BA88" s="12" t="n">
        <f aca="false">$C88+$D88+MAX(AY88,AZ88,IF(COUNTIFS($A$21:$A$141,"&gt;="&amp;$G88,$A$21:$A$141,"&lt;="&amp;$H88)&gt;0,_xlfn.MAXIFS(AX$21:AX$141,$A$21:$A$141,"&gt;="&amp;$G88,$A$21:$A$141,"&lt;="&amp;$H88),AY88))</f>
        <v>-35.9425594116307</v>
      </c>
      <c r="BB88" s="12" t="n">
        <f aca="false">-Cost_k*$A88+Beta_q*(Declarations!$B$16*INDEX(BA$21:BA$141,MAX(1,MIN(121,$B88-ROUND(Declarations!$A$16/$D$18,0))))+Declarations!$B$17*INDEX(BA$21:BA$141,MAX(1,MIN(121,$B88-ROUND(Declarations!$A$17/$D$18,0))))+Declarations!$B$18*INDEX(BA$21:BA$141,MAX(1,MIN(121,$B88-ROUND(Declarations!$A$18/$D$18,0))))+Declarations!$B$19*INDEX(BA$21:BA$141,MAX(1,MIN(121,$B88-ROUND(Declarations!$A$19/$D$18,0))))+Declarations!$B$20*INDEX(BA$21:BA$141,MAX(1,MIN(121,$B88-ROUND(Declarations!$A$20/$D$18,0)))))</f>
        <v>-262.110413959991</v>
      </c>
      <c r="BC88" s="12" t="n">
        <f aca="false">INDEX(BB$21:BB$141,$I88+1)*(1-$J88)+INDEX(BB$21:BB$141,$I88+2)*$J88</f>
        <v>-262.06119865378</v>
      </c>
      <c r="BD88" s="12" t="n">
        <f aca="false">INDEX(BB$21:BB$141,$K88+1)*(1-$L88)+INDEX(BB$21:BB$141,$K88+2)*$L88</f>
        <v>-262.406916405907</v>
      </c>
      <c r="BE88" s="12" t="n">
        <f aca="false">$C88+$D88+MAX(BC88,BD88,IF(COUNTIFS($A$21:$A$141,"&gt;="&amp;$G88,$A$21:$A$141,"&lt;="&amp;$H88)&gt;0,_xlfn.MAXIFS(BB$21:BB$141,$A$21:$A$141,"&gt;="&amp;$G88,$A$21:$A$141,"&lt;="&amp;$H88),BC88))</f>
        <v>-40.6422186139989</v>
      </c>
      <c r="BF88" s="12" t="n">
        <f aca="false">-Cost_k*$A88+Beta_q*(Declarations!$B$16*INDEX(BE$21:BE$141,MAX(1,MIN(121,$B88-ROUND(Declarations!$A$16/$D$18,0))))+Declarations!$B$17*INDEX(BE$21:BE$141,MAX(1,MIN(121,$B88-ROUND(Declarations!$A$17/$D$18,0))))+Declarations!$B$18*INDEX(BE$21:BE$141,MAX(1,MIN(121,$B88-ROUND(Declarations!$A$18/$D$18,0))))+Declarations!$B$19*INDEX(BE$21:BE$141,MAX(1,MIN(121,$B88-ROUND(Declarations!$A$19/$D$18,0))))+Declarations!$B$20*INDEX(BE$21:BE$141,MAX(1,MIN(121,$B88-ROUND(Declarations!$A$20/$D$18,0)))))</f>
        <v>-266.699415118221</v>
      </c>
      <c r="BG88" s="12" t="n">
        <f aca="false">INDEX(BF$21:BF$141,$I88+1)*(1-$J88)+INDEX(BF$21:BF$141,$I88+2)*$J88</f>
        <v>-266.650200659807</v>
      </c>
      <c r="BH88" s="12" t="n">
        <f aca="false">INDEX(BF$21:BF$141,$K88+1)*(1-$L88)+INDEX(BF$21:BF$141,$K88+2)*$L88</f>
        <v>-266.995913895981</v>
      </c>
      <c r="BI88" s="12" t="n">
        <f aca="false">$C88+$D88+MAX(BG88,BH88,IF(COUNTIFS($A$21:$A$141,"&gt;="&amp;$G88,$A$21:$A$141,"&lt;="&amp;$H88)&gt;0,_xlfn.MAXIFS(BF$21:BF$141,$A$21:$A$141,"&gt;="&amp;$G88,$A$21:$A$141,"&lt;="&amp;$H88),BG88))</f>
        <v>-45.2312201537861</v>
      </c>
      <c r="BJ88" s="23" t="n">
        <v>-45.2312201537861</v>
      </c>
      <c r="BK88" s="22" t="n">
        <f aca="false">ABS(BI88-BJ88)</f>
        <v>0</v>
      </c>
    </row>
    <row r="89" customFormat="false" ht="15" hidden="false" customHeight="false" outlineLevel="0" collapsed="false">
      <c r="A89" s="14" t="n">
        <f aca="false">A88+$D$18</f>
        <v>57</v>
      </c>
      <c r="B89" s="19" t="n">
        <v>69</v>
      </c>
      <c r="C89" s="12" t="n">
        <f aca="false">-Short_p*MAX(Floor_c-A89,0)</f>
        <v>-0</v>
      </c>
      <c r="D89" s="12" t="n">
        <f aca="false">Cost_k*Alpha_keep*A89</f>
        <v>222.3</v>
      </c>
      <c r="E89" s="12" t="n">
        <f aca="false">MIN(Cap_h,MAX(0,$B$18+MAX(Loss_w)-Alpha_keep*A89))</f>
        <v>0</v>
      </c>
      <c r="F89" s="12" t="n">
        <f aca="false">MAX(MIN(Cap_h,$F$18+MIN(Loss_w)-Alpha_keep*A89),E89)</f>
        <v>2.5</v>
      </c>
      <c r="G89" s="12" t="n">
        <f aca="false">Alpha_keep*A89+E89</f>
        <v>55.575</v>
      </c>
      <c r="H89" s="12" t="n">
        <f aca="false">Alpha_keep*A89+F89</f>
        <v>58.075</v>
      </c>
      <c r="I89" s="19" t="n">
        <f aca="false">MIN(INT((G89-$B$18)/$D$18+0.000000001),119)</f>
        <v>62</v>
      </c>
      <c r="J89" s="12" t="n">
        <f aca="false">(G89-$B$18)/$D$18-I89</f>
        <v>0.299999999999983</v>
      </c>
      <c r="K89" s="19" t="n">
        <f aca="false">MIN(INT((H89-$B$18)/$D$18+0.000000001),119)</f>
        <v>72</v>
      </c>
      <c r="L89" s="12" t="n">
        <f aca="false">(H89-$B$18)/$D$18-K89</f>
        <v>0.299999999999983</v>
      </c>
      <c r="M89" s="9" t="n">
        <v>0</v>
      </c>
      <c r="N89" s="12" t="n">
        <f aca="false">-Cost_k*$A89+Beta_q*(Declarations!$B$16*INDEX(M$21:M$141,MAX(1,MIN(121,$B89-ROUND(Declarations!$A$16/$D$18,0))))+Declarations!$B$17*INDEX(M$21:M$141,MAX(1,MIN(121,$B89-ROUND(Declarations!$A$17/$D$18,0))))+Declarations!$B$18*INDEX(M$21:M$141,MAX(1,MIN(121,$B89-ROUND(Declarations!$A$18/$D$18,0))))+Declarations!$B$19*INDEX(M$21:M$141,MAX(1,MIN(121,$B89-ROUND(Declarations!$A$19/$D$18,0))))+Declarations!$B$20*INDEX(M$21:M$141,MAX(1,MIN(121,$B89-ROUND(Declarations!$A$20/$D$18,0)))))</f>
        <v>-228</v>
      </c>
      <c r="O89" s="12" t="n">
        <f aca="false">INDEX(N$21:N$141,$I89+1)*(1-$J89)+INDEX(N$21:N$141,$I89+2)*$J89</f>
        <v>-222.3</v>
      </c>
      <c r="P89" s="12" t="n">
        <f aca="false">INDEX(N$21:N$141,$K89+1)*(1-$L89)+INDEX(N$21:N$141,$K89+2)*$L89</f>
        <v>-232.3</v>
      </c>
      <c r="Q89" s="12" t="n">
        <f aca="false">$C89+$D89+MAX(O89,P89,IF(COUNTIFS($A$21:$A$141,"&gt;="&amp;$G89,$A$21:$A$141,"&lt;="&amp;$H89)&gt;0,_xlfn.MAXIFS(N$21:N$141,$A$21:$A$141,"&gt;="&amp;$G89,$A$21:$A$141,"&lt;="&amp;$H89),O89))</f>
        <v>0</v>
      </c>
      <c r="R89" s="12" t="n">
        <f aca="false">-Cost_k*$A89+Beta_q*(Declarations!$B$16*INDEX(Q$21:Q$141,MAX(1,MIN(121,$B89-ROUND(Declarations!$A$16/$D$18,0))))+Declarations!$B$17*INDEX(Q$21:Q$141,MAX(1,MIN(121,$B89-ROUND(Declarations!$A$17/$D$18,0))))+Declarations!$B$18*INDEX(Q$21:Q$141,MAX(1,MIN(121,$B89-ROUND(Declarations!$A$18/$D$18,0))))+Declarations!$B$19*INDEX(Q$21:Q$141,MAX(1,MIN(121,$B89-ROUND(Declarations!$A$19/$D$18,0))))+Declarations!$B$20*INDEX(Q$21:Q$141,MAX(1,MIN(121,$B89-ROUND(Declarations!$A$20/$D$18,0)))))</f>
        <v>-228</v>
      </c>
      <c r="S89" s="12" t="n">
        <f aca="false">INDEX(R$21:R$141,$I89+1)*(1-$J89)+INDEX(R$21:R$141,$I89+2)*$J89</f>
        <v>-222.426939031658</v>
      </c>
      <c r="T89" s="12" t="n">
        <f aca="false">INDEX(R$21:R$141,$K89+1)*(1-$L89)+INDEX(R$21:R$141,$K89+2)*$L89</f>
        <v>-232.3</v>
      </c>
      <c r="U89" s="12" t="n">
        <f aca="false">$C89+$D89+MAX(S89,T89,IF(COUNTIFS($A$21:$A$141,"&gt;="&amp;$G89,$A$21:$A$141,"&lt;="&amp;$H89)&gt;0,_xlfn.MAXIFS(R$21:R$141,$A$21:$A$141,"&gt;="&amp;$G89,$A$21:$A$141,"&lt;="&amp;$H89),S89))</f>
        <v>-0.126939031657912</v>
      </c>
      <c r="V89" s="12" t="n">
        <f aca="false">-Cost_k*$A89+Beta_q*(Declarations!$B$16*INDEX(U$21:U$141,MAX(1,MIN(121,$B89-ROUND(Declarations!$A$16/$D$18,0))))+Declarations!$B$17*INDEX(U$21:U$141,MAX(1,MIN(121,$B89-ROUND(Declarations!$A$17/$D$18,0))))+Declarations!$B$18*INDEX(U$21:U$141,MAX(1,MIN(121,$B89-ROUND(Declarations!$A$18/$D$18,0))))+Declarations!$B$19*INDEX(U$21:U$141,MAX(1,MIN(121,$B89-ROUND(Declarations!$A$19/$D$18,0))))+Declarations!$B$20*INDEX(U$21:U$141,MAX(1,MIN(121,$B89-ROUND(Declarations!$A$20/$D$18,0)))))</f>
        <v>-228.23936678303</v>
      </c>
      <c r="W89" s="12" t="n">
        <f aca="false">INDEX(V$21:V$141,$I89+1)*(1-$J89)+INDEX(V$21:V$141,$I89+2)*$J89</f>
        <v>-223.821752302496</v>
      </c>
      <c r="X89" s="12" t="n">
        <f aca="false">INDEX(V$21:V$141,$K89+1)*(1-$L89)+INDEX(V$21:V$141,$K89+2)*$L89</f>
        <v>-232.323376519032</v>
      </c>
      <c r="Y89" s="12" t="n">
        <f aca="false">$C89+$D89+MAX(W89,X89,IF(COUNTIFS($A$21:$A$141,"&gt;="&amp;$G89,$A$21:$A$141,"&lt;="&amp;$H89)&gt;0,_xlfn.MAXIFS(V$21:V$141,$A$21:$A$141,"&gt;="&amp;$G89,$A$21:$A$141,"&lt;="&amp;$H89),W89))</f>
        <v>-1.52175230249591</v>
      </c>
      <c r="Z89" s="12" t="n">
        <f aca="false">-Cost_k*$A89+Beta_q*(Declarations!$B$16*INDEX(Y$21:Y$141,MAX(1,MIN(121,$B89-ROUND(Declarations!$A$16/$D$18,0))))+Declarations!$B$17*INDEX(Y$21:Y$141,MAX(1,MIN(121,$B89-ROUND(Declarations!$A$17/$D$18,0))))+Declarations!$B$18*INDEX(Y$21:Y$141,MAX(1,MIN(121,$B89-ROUND(Declarations!$A$18/$D$18,0))))+Declarations!$B$19*INDEX(Y$21:Y$141,MAX(1,MIN(121,$B89-ROUND(Declarations!$A$19/$D$18,0))))+Declarations!$B$20*INDEX(Y$21:Y$141,MAX(1,MIN(121,$B89-ROUND(Declarations!$A$20/$D$18,0)))))</f>
        <v>-229.685542511593</v>
      </c>
      <c r="AA89" s="12" t="n">
        <f aca="false">INDEX(Z$21:Z$141,$I89+1)*(1-$J89)+INDEX(Z$21:Z$141,$I89+2)*$J89</f>
        <v>-227.072527540296</v>
      </c>
      <c r="AB89" s="12" t="n">
        <f aca="false">INDEX(Z$21:Z$141,$K89+1)*(1-$L89)+INDEX(Z$21:Z$141,$K89+2)*$L89</f>
        <v>-232.855219746285</v>
      </c>
      <c r="AC89" s="12" t="n">
        <f aca="false">$C89+$D89+MAX(AA89,AB89,IF(COUNTIFS($A$21:$A$141,"&gt;="&amp;$G89,$A$21:$A$141,"&lt;="&amp;$H89)&gt;0,_xlfn.MAXIFS(Z$21:Z$141,$A$21:$A$141,"&gt;="&amp;$G89,$A$21:$A$141,"&lt;="&amp;$H89),AA89))</f>
        <v>-4.77252754029578</v>
      </c>
      <c r="AD89" s="12" t="n">
        <f aca="false">-Cost_k*$A89+Beta_q*(Declarations!$B$16*INDEX(AC$21:AC$141,MAX(1,MIN(121,$B89-ROUND(Declarations!$A$16/$D$18,0))))+Declarations!$B$17*INDEX(AC$21:AC$141,MAX(1,MIN(121,$B89-ROUND(Declarations!$A$17/$D$18,0))))+Declarations!$B$18*INDEX(AC$21:AC$141,MAX(1,MIN(121,$B89-ROUND(Declarations!$A$18/$D$18,0))))+Declarations!$B$19*INDEX(AC$21:AC$141,MAX(1,MIN(121,$B89-ROUND(Declarations!$A$19/$D$18,0))))+Declarations!$B$20*INDEX(AC$21:AC$141,MAX(1,MIN(121,$B89-ROUND(Declarations!$A$20/$D$18,0)))))</f>
        <v>-232.875057336321</v>
      </c>
      <c r="AE89" s="12" t="n">
        <f aca="false">INDEX(AD$21:AD$141,$I89+1)*(1-$J89)+INDEX(AD$21:AD$141,$I89+2)*$J89</f>
        <v>-232.028698081472</v>
      </c>
      <c r="AF89" s="12" t="n">
        <f aca="false">INDEX(AD$21:AD$141,$K89+1)*(1-$L89)+INDEX(AD$21:AD$141,$K89+2)*$L89</f>
        <v>-234.753718622439</v>
      </c>
      <c r="AG89" s="12" t="n">
        <f aca="false">$C89+$D89+MAX(AE89,AF89,IF(COUNTIFS($A$21:$A$141,"&gt;="&amp;$G89,$A$21:$A$141,"&lt;="&amp;$H89)&gt;0,_xlfn.MAXIFS(AD$21:AD$141,$A$21:$A$141,"&gt;="&amp;$G89,$A$21:$A$141,"&lt;="&amp;$H89),AE89))</f>
        <v>-9.71519362647715</v>
      </c>
      <c r="AH89" s="12" t="n">
        <f aca="false">-Cost_k*$A89+Beta_q*(Declarations!$B$16*INDEX(AG$21:AG$141,MAX(1,MIN(121,$B89-ROUND(Declarations!$A$16/$D$18,0))))+Declarations!$B$17*INDEX(AG$21:AG$141,MAX(1,MIN(121,$B89-ROUND(Declarations!$A$17/$D$18,0))))+Declarations!$B$18*INDEX(AG$21:AG$141,MAX(1,MIN(121,$B89-ROUND(Declarations!$A$18/$D$18,0))))+Declarations!$B$19*INDEX(AG$21:AG$141,MAX(1,MIN(121,$B89-ROUND(Declarations!$A$19/$D$18,0))))+Declarations!$B$20*INDEX(AG$21:AG$141,MAX(1,MIN(121,$B89-ROUND(Declarations!$A$20/$D$18,0)))))</f>
        <v>-237.573422224739</v>
      </c>
      <c r="AI89" s="12" t="n">
        <f aca="false">INDEX(AH$21:AH$141,$I89+1)*(1-$J89)+INDEX(AH$21:AH$141,$I89+2)*$J89</f>
        <v>-237.34339437785</v>
      </c>
      <c r="AJ89" s="12" t="n">
        <f aca="false">INDEX(AH$21:AH$141,$K89+1)*(1-$L89)+INDEX(AH$21:AH$141,$K89+2)*$L89</f>
        <v>-238.330107714257</v>
      </c>
      <c r="AK89" s="12" t="n">
        <f aca="false">$C89+$D89+MAX(AI89,AJ89,IF(COUNTIFS($A$21:$A$141,"&gt;="&amp;$G89,$A$21:$A$141,"&lt;="&amp;$H89)&gt;0,_xlfn.MAXIFS(AH$21:AH$141,$A$21:$A$141,"&gt;="&amp;$G89,$A$21:$A$141,"&lt;="&amp;$H89),AI89))</f>
        <v>-15.0081760676685</v>
      </c>
      <c r="AL89" s="12" t="n">
        <f aca="false">-Cost_k*$A89+Beta_q*(Declarations!$B$16*INDEX(AK$21:AK$141,MAX(1,MIN(121,$B89-ROUND(Declarations!$A$16/$D$18,0))))+Declarations!$B$17*INDEX(AK$21:AK$141,MAX(1,MIN(121,$B89-ROUND(Declarations!$A$17/$D$18,0))))+Declarations!$B$18*INDEX(AK$21:AK$141,MAX(1,MIN(121,$B89-ROUND(Declarations!$A$18/$D$18,0))))+Declarations!$B$19*INDEX(AK$21:AK$141,MAX(1,MIN(121,$B89-ROUND(Declarations!$A$19/$D$18,0))))+Declarations!$B$20*INDEX(AK$21:AK$141,MAX(1,MIN(121,$B89-ROUND(Declarations!$A$20/$D$18,0)))))</f>
        <v>-242.68297176349</v>
      </c>
      <c r="AM89" s="12" t="n">
        <f aca="false">INDEX(AL$21:AL$141,$I89+1)*(1-$J89)+INDEX(AL$21:AL$141,$I89+2)*$J89</f>
        <v>-242.5141704042</v>
      </c>
      <c r="AN89" s="12" t="n">
        <f aca="false">INDEX(AL$21:AL$141,$K89+1)*(1-$L89)+INDEX(AL$21:AL$141,$K89+2)*$L89</f>
        <v>-243.071841874732</v>
      </c>
      <c r="AO89" s="12" t="n">
        <f aca="false">$C89+$D89+MAX(AM89,AN89,IF(COUNTIFS($A$21:$A$141,"&gt;="&amp;$G89,$A$21:$A$141,"&lt;="&amp;$H89)&gt;0,_xlfn.MAXIFS(AL$21:AL$141,$A$21:$A$141,"&gt;="&amp;$G89,$A$21:$A$141,"&lt;="&amp;$H89),AM89))</f>
        <v>-20.1776563065175</v>
      </c>
      <c r="AP89" s="12" t="n">
        <f aca="false">-Cost_k*$A89+Beta_q*(Declarations!$B$16*INDEX(AO$21:AO$141,MAX(1,MIN(121,$B89-ROUND(Declarations!$A$16/$D$18,0))))+Declarations!$B$17*INDEX(AO$21:AO$141,MAX(1,MIN(121,$B89-ROUND(Declarations!$A$17/$D$18,0))))+Declarations!$B$18*INDEX(AO$21:AO$141,MAX(1,MIN(121,$B89-ROUND(Declarations!$A$18/$D$18,0))))+Declarations!$B$19*INDEX(AO$21:AO$141,MAX(1,MIN(121,$B89-ROUND(Declarations!$A$19/$D$18,0))))+Declarations!$B$20*INDEX(AO$21:AO$141,MAX(1,MIN(121,$B89-ROUND(Declarations!$A$20/$D$18,0)))))</f>
        <v>-247.725510197752</v>
      </c>
      <c r="AQ89" s="12" t="n">
        <f aca="false">INDEX(AP$21:AP$141,$I89+1)*(1-$J89)+INDEX(AP$21:AP$141,$I89+2)*$J89</f>
        <v>-247.562249289683</v>
      </c>
      <c r="AR89" s="12" t="n">
        <f aca="false">INDEX(AP$21:AP$141,$K89+1)*(1-$L89)+INDEX(AP$21:AP$141,$K89+2)*$L89</f>
        <v>-248.058611020979</v>
      </c>
      <c r="AS89" s="12" t="n">
        <f aca="false">$C89+$D89+MAX(AQ89,AR89,IF(COUNTIFS($A$21:$A$141,"&gt;="&amp;$G89,$A$21:$A$141,"&lt;="&amp;$H89)&gt;0,_xlfn.MAXIFS(AP$21:AP$141,$A$21:$A$141,"&gt;="&amp;$G89,$A$21:$A$141,"&lt;="&amp;$H89),AQ89))</f>
        <v>-25.225534239341</v>
      </c>
      <c r="AT89" s="12" t="n">
        <f aca="false">-Cost_k*$A89+Beta_q*(Declarations!$B$16*INDEX(AS$21:AS$141,MAX(1,MIN(121,$B89-ROUND(Declarations!$A$16/$D$18,0))))+Declarations!$B$17*INDEX(AS$21:AS$141,MAX(1,MIN(121,$B89-ROUND(Declarations!$A$17/$D$18,0))))+Declarations!$B$18*INDEX(AS$21:AS$141,MAX(1,MIN(121,$B89-ROUND(Declarations!$A$18/$D$18,0))))+Declarations!$B$19*INDEX(AS$21:AS$141,MAX(1,MIN(121,$B89-ROUND(Declarations!$A$19/$D$18,0))))+Declarations!$B$20*INDEX(AS$21:AS$141,MAX(1,MIN(121,$B89-ROUND(Declarations!$A$20/$D$18,0)))))</f>
        <v>-252.654081759773</v>
      </c>
      <c r="AU89" s="12" t="n">
        <f aca="false">INDEX(AT$21:AT$141,$I89+1)*(1-$J89)+INDEX(AT$21:AT$141,$I89+2)*$J89</f>
        <v>-252.491315355323</v>
      </c>
      <c r="AV89" s="12" t="n">
        <f aca="false">INDEX(AT$21:AT$141,$K89+1)*(1-$L89)+INDEX(AT$21:AT$141,$K89+2)*$L89</f>
        <v>-252.980665832582</v>
      </c>
      <c r="AW89" s="12" t="n">
        <f aca="false">$C89+$D89+MAX(AU89,AV89,IF(COUNTIFS($A$21:$A$141,"&gt;="&amp;$G89,$A$21:$A$141,"&lt;="&amp;$H89)&gt;0,_xlfn.MAXIFS(AT$21:AT$141,$A$21:$A$141,"&gt;="&amp;$G89,$A$21:$A$141,"&lt;="&amp;$H89),AU89))</f>
        <v>-30.1545746247619</v>
      </c>
      <c r="AX89" s="12" t="n">
        <f aca="false">-Cost_k*$A89+Beta_q*(Declarations!$B$16*INDEX(AW$21:AW$141,MAX(1,MIN(121,$B89-ROUND(Declarations!$A$16/$D$18,0))))+Declarations!$B$17*INDEX(AW$21:AW$141,MAX(1,MIN(121,$B89-ROUND(Declarations!$A$17/$D$18,0))))+Declarations!$B$18*INDEX(AW$21:AW$141,MAX(1,MIN(121,$B89-ROUND(Declarations!$A$18/$D$18,0))))+Declarations!$B$19*INDEX(AW$21:AW$141,MAX(1,MIN(121,$B89-ROUND(Declarations!$A$19/$D$18,0))))+Declarations!$B$20*INDEX(AW$21:AW$141,MAX(1,MIN(121,$B89-ROUND(Declarations!$A$20/$D$18,0)))))</f>
        <v>-257.46702294336</v>
      </c>
      <c r="AY89" s="12" t="n">
        <f aca="false">INDEX(AX$21:AX$141,$I89+1)*(1-$J89)+INDEX(AX$21:AX$141,$I89+2)*$J89</f>
        <v>-257.304304459818</v>
      </c>
      <c r="AZ89" s="12" t="n">
        <f aca="false">INDEX(AX$21:AX$141,$K89+1)*(1-$L89)+INDEX(AX$21:AX$141,$K89+2)*$L89</f>
        <v>-257.792931429257</v>
      </c>
      <c r="BA89" s="12" t="n">
        <f aca="false">$C89+$D89+MAX(AY89,AZ89,IF(COUNTIFS($A$21:$A$141,"&gt;="&amp;$G89,$A$21:$A$141,"&lt;="&amp;$H89)&gt;0,_xlfn.MAXIFS(AX$21:AX$141,$A$21:$A$141,"&gt;="&amp;$G89,$A$21:$A$141,"&lt;="&amp;$H89),AY89))</f>
        <v>-34.9675594116307</v>
      </c>
      <c r="BB89" s="12" t="n">
        <f aca="false">-Cost_k*$A89+Beta_q*(Declarations!$B$16*INDEX(BA$21:BA$141,MAX(1,MIN(121,$B89-ROUND(Declarations!$A$16/$D$18,0))))+Declarations!$B$17*INDEX(BA$21:BA$141,MAX(1,MIN(121,$B89-ROUND(Declarations!$A$17/$D$18,0))))+Declarations!$B$18*INDEX(BA$21:BA$141,MAX(1,MIN(121,$B89-ROUND(Declarations!$A$18/$D$18,0))))+Declarations!$B$19*INDEX(BA$21:BA$141,MAX(1,MIN(121,$B89-ROUND(Declarations!$A$19/$D$18,0))))+Declarations!$B$20*INDEX(BA$21:BA$141,MAX(1,MIN(121,$B89-ROUND(Declarations!$A$20/$D$18,0)))))</f>
        <v>-262.166677616383</v>
      </c>
      <c r="BC89" s="12" t="n">
        <f aca="false">INDEX(BB$21:BB$141,$I89+1)*(1-$J89)+INDEX(BB$21:BB$141,$I89+2)*$J89</f>
        <v>-262.003964370351</v>
      </c>
      <c r="BD89" s="12" t="n">
        <f aca="false">INDEX(BB$21:BB$141,$K89+1)*(1-$L89)+INDEX(BB$21:BB$141,$K89+2)*$L89</f>
        <v>-262.49251911066</v>
      </c>
      <c r="BE89" s="12" t="n">
        <f aca="false">$C89+$D89+MAX(BC89,BD89,IF(COUNTIFS($A$21:$A$141,"&gt;="&amp;$G89,$A$21:$A$141,"&lt;="&amp;$H89)&gt;0,_xlfn.MAXIFS(BB$21:BB$141,$A$21:$A$141,"&gt;="&amp;$G89,$A$21:$A$141,"&lt;="&amp;$H89),BC89))</f>
        <v>-39.6672186139989</v>
      </c>
      <c r="BF89" s="12" t="n">
        <f aca="false">-Cost_k*$A89+Beta_q*(Declarations!$B$16*INDEX(BE$21:BE$141,MAX(1,MIN(121,$B89-ROUND(Declarations!$A$16/$D$18,0))))+Declarations!$B$17*INDEX(BE$21:BE$141,MAX(1,MIN(121,$B89-ROUND(Declarations!$A$17/$D$18,0))))+Declarations!$B$18*INDEX(BE$21:BE$141,MAX(1,MIN(121,$B89-ROUND(Declarations!$A$18/$D$18,0))))+Declarations!$B$19*INDEX(BE$21:BE$141,MAX(1,MIN(121,$B89-ROUND(Declarations!$A$19/$D$18,0))))+Declarations!$B$20*INDEX(BE$21:BE$141,MAX(1,MIN(121,$B89-ROUND(Declarations!$A$20/$D$18,0)))))</f>
        <v>-266.755678608881</v>
      </c>
      <c r="BG89" s="12" t="n">
        <f aca="false">INDEX(BF$21:BF$141,$I89+1)*(1-$J89)+INDEX(BF$21:BF$141,$I89+2)*$J89</f>
        <v>-266.592966035522</v>
      </c>
      <c r="BH89" s="12" t="n">
        <f aca="false">INDEX(BF$21:BF$141,$K89+1)*(1-$L89)+INDEX(BF$21:BF$141,$K89+2)*$L89</f>
        <v>-267.081513337029</v>
      </c>
      <c r="BI89" s="12" t="n">
        <f aca="false">$C89+$D89+MAX(BG89,BH89,IF(COUNTIFS($A$21:$A$141,"&gt;="&amp;$G89,$A$21:$A$141,"&lt;="&amp;$H89)&gt;0,_xlfn.MAXIFS(BF$21:BF$141,$A$21:$A$141,"&gt;="&amp;$G89,$A$21:$A$141,"&lt;="&amp;$H89),BG89))</f>
        <v>-44.2562201537861</v>
      </c>
      <c r="BJ89" s="23" t="n">
        <v>-44.2562201537861</v>
      </c>
      <c r="BK89" s="22" t="n">
        <f aca="false">ABS(BI89-BJ89)</f>
        <v>0</v>
      </c>
    </row>
    <row r="90" customFormat="false" ht="15" hidden="false" customHeight="false" outlineLevel="0" collapsed="false">
      <c r="A90" s="14" t="n">
        <f aca="false">A89+$D$18</f>
        <v>57.25</v>
      </c>
      <c r="B90" s="19" t="n">
        <v>70</v>
      </c>
      <c r="C90" s="12" t="n">
        <f aca="false">-Short_p*MAX(Floor_c-A90,0)</f>
        <v>-0</v>
      </c>
      <c r="D90" s="12" t="n">
        <f aca="false">Cost_k*Alpha_keep*A90</f>
        <v>223.275</v>
      </c>
      <c r="E90" s="12" t="n">
        <f aca="false">MIN(Cap_h,MAX(0,$B$18+MAX(Loss_w)-Alpha_keep*A90))</f>
        <v>0</v>
      </c>
      <c r="F90" s="12" t="n">
        <f aca="false">MAX(MIN(Cap_h,$F$18+MIN(Loss_w)-Alpha_keep*A90),E90)</f>
        <v>2.5</v>
      </c>
      <c r="G90" s="12" t="n">
        <f aca="false">Alpha_keep*A90+E90</f>
        <v>55.81875</v>
      </c>
      <c r="H90" s="12" t="n">
        <f aca="false">Alpha_keep*A90+F90</f>
        <v>58.31875</v>
      </c>
      <c r="I90" s="19" t="n">
        <f aca="false">MIN(INT((G90-$B$18)/$D$18+0.000000001),119)</f>
        <v>63</v>
      </c>
      <c r="J90" s="12" t="n">
        <f aca="false">(G90-$B$18)/$D$18-I90</f>
        <v>0.275000000000006</v>
      </c>
      <c r="K90" s="19" t="n">
        <f aca="false">MIN(INT((H90-$B$18)/$D$18+0.000000001),119)</f>
        <v>73</v>
      </c>
      <c r="L90" s="12" t="n">
        <f aca="false">(H90-$B$18)/$D$18-K90</f>
        <v>0.275000000000006</v>
      </c>
      <c r="M90" s="9" t="n">
        <v>0</v>
      </c>
      <c r="N90" s="12" t="n">
        <f aca="false">-Cost_k*$A90+Beta_q*(Declarations!$B$16*INDEX(M$21:M$141,MAX(1,MIN(121,$B90-ROUND(Declarations!$A$16/$D$18,0))))+Declarations!$B$17*INDEX(M$21:M$141,MAX(1,MIN(121,$B90-ROUND(Declarations!$A$17/$D$18,0))))+Declarations!$B$18*INDEX(M$21:M$141,MAX(1,MIN(121,$B90-ROUND(Declarations!$A$18/$D$18,0))))+Declarations!$B$19*INDEX(M$21:M$141,MAX(1,MIN(121,$B90-ROUND(Declarations!$A$19/$D$18,0))))+Declarations!$B$20*INDEX(M$21:M$141,MAX(1,MIN(121,$B90-ROUND(Declarations!$A$20/$D$18,0)))))</f>
        <v>-229</v>
      </c>
      <c r="O90" s="12" t="n">
        <f aca="false">INDEX(N$21:N$141,$I90+1)*(1-$J90)+INDEX(N$21:N$141,$I90+2)*$J90</f>
        <v>-223.275</v>
      </c>
      <c r="P90" s="12" t="n">
        <f aca="false">INDEX(N$21:N$141,$K90+1)*(1-$L90)+INDEX(N$21:N$141,$K90+2)*$L90</f>
        <v>-233.275</v>
      </c>
      <c r="Q90" s="12" t="n">
        <f aca="false">$C90+$D90+MAX(O90,P90,IF(COUNTIFS($A$21:$A$141,"&gt;="&amp;$G90,$A$21:$A$141,"&lt;="&amp;$H90)&gt;0,_xlfn.MAXIFS(N$21:N$141,$A$21:$A$141,"&gt;="&amp;$G90,$A$21:$A$141,"&lt;="&amp;$H90),O90))</f>
        <v>0</v>
      </c>
      <c r="R90" s="12" t="n">
        <f aca="false">-Cost_k*$A90+Beta_q*(Declarations!$B$16*INDEX(Q$21:Q$141,MAX(1,MIN(121,$B90-ROUND(Declarations!$A$16/$D$18,0))))+Declarations!$B$17*INDEX(Q$21:Q$141,MAX(1,MIN(121,$B90-ROUND(Declarations!$A$17/$D$18,0))))+Declarations!$B$18*INDEX(Q$21:Q$141,MAX(1,MIN(121,$B90-ROUND(Declarations!$A$18/$D$18,0))))+Declarations!$B$19*INDEX(Q$21:Q$141,MAX(1,MIN(121,$B90-ROUND(Declarations!$A$19/$D$18,0))))+Declarations!$B$20*INDEX(Q$21:Q$141,MAX(1,MIN(121,$B90-ROUND(Declarations!$A$20/$D$18,0)))))</f>
        <v>-229</v>
      </c>
      <c r="S90" s="12" t="n">
        <f aca="false">INDEX(R$21:R$141,$I90+1)*(1-$J90)+INDEX(R$21:R$141,$I90+2)*$J90</f>
        <v>-223.328216747887</v>
      </c>
      <c r="T90" s="12" t="n">
        <f aca="false">INDEX(R$21:R$141,$K90+1)*(1-$L90)+INDEX(R$21:R$141,$K90+2)*$L90</f>
        <v>-233.275</v>
      </c>
      <c r="U90" s="12" t="n">
        <f aca="false">$C90+$D90+MAX(S90,T90,IF(COUNTIFS($A$21:$A$141,"&gt;="&amp;$G90,$A$21:$A$141,"&lt;="&amp;$H90)&gt;0,_xlfn.MAXIFS(R$21:R$141,$A$21:$A$141,"&gt;="&amp;$G90,$A$21:$A$141,"&lt;="&amp;$H90),S90))</f>
        <v>-0.0532167478873475</v>
      </c>
      <c r="V90" s="12" t="n">
        <f aca="false">-Cost_k*$A90+Beta_q*(Declarations!$B$16*INDEX(U$21:U$141,MAX(1,MIN(121,$B90-ROUND(Declarations!$A$16/$D$18,0))))+Declarations!$B$17*INDEX(U$21:U$141,MAX(1,MIN(121,$B90-ROUND(Declarations!$A$17/$D$18,0))))+Declarations!$B$18*INDEX(U$21:U$141,MAX(1,MIN(121,$B90-ROUND(Declarations!$A$18/$D$18,0))))+Declarations!$B$19*INDEX(U$21:U$141,MAX(1,MIN(121,$B90-ROUND(Declarations!$A$19/$D$18,0))))+Declarations!$B$20*INDEX(U$21:U$141,MAX(1,MIN(121,$B90-ROUND(Declarations!$A$20/$D$18,0)))))</f>
        <v>-229.141946742974</v>
      </c>
      <c r="W90" s="12" t="n">
        <f aca="false">INDEX(V$21:V$141,$I90+1)*(1-$J90)+INDEX(V$21:V$141,$I90+2)*$J90</f>
        <v>-224.446519312789</v>
      </c>
      <c r="X90" s="12" t="n">
        <f aca="false">INDEX(V$21:V$141,$K90+1)*(1-$L90)+INDEX(V$21:V$141,$K90+2)*$L90</f>
        <v>-233.290219050667</v>
      </c>
      <c r="Y90" s="12" t="n">
        <f aca="false">$C90+$D90+MAX(W90,X90,IF(COUNTIFS($A$21:$A$141,"&gt;="&amp;$G90,$A$21:$A$141,"&lt;="&amp;$H90)&gt;0,_xlfn.MAXIFS(V$21:V$141,$A$21:$A$141,"&gt;="&amp;$G90,$A$21:$A$141,"&lt;="&amp;$H90),W90))</f>
        <v>-1.1715193127888</v>
      </c>
      <c r="Z90" s="12" t="n">
        <f aca="false">-Cost_k*$A90+Beta_q*(Declarations!$B$16*INDEX(Y$21:Y$141,MAX(1,MIN(121,$B90-ROUND(Declarations!$A$16/$D$18,0))))+Declarations!$B$17*INDEX(Y$21:Y$141,MAX(1,MIN(121,$B90-ROUND(Declarations!$A$17/$D$18,0))))+Declarations!$B$18*INDEX(Y$21:Y$141,MAX(1,MIN(121,$B90-ROUND(Declarations!$A$18/$D$18,0))))+Declarations!$B$19*INDEX(Y$21:Y$141,MAX(1,MIN(121,$B90-ROUND(Declarations!$A$19/$D$18,0))))+Declarations!$B$20*INDEX(Y$21:Y$141,MAX(1,MIN(121,$B90-ROUND(Declarations!$A$20/$D$18,0)))))</f>
        <v>-230.330646499479</v>
      </c>
      <c r="AA90" s="12" t="n">
        <f aca="false">INDEX(Z$21:Z$141,$I90+1)*(1-$J90)+INDEX(Z$21:Z$141,$I90+2)*$J90</f>
        <v>-227.366131423087</v>
      </c>
      <c r="AB90" s="12" t="n">
        <f aca="false">INDEX(Z$21:Z$141,$K90+1)*(1-$L90)+INDEX(Z$21:Z$141,$K90+2)*$L90</f>
        <v>-233.69636448248</v>
      </c>
      <c r="AC90" s="12" t="n">
        <f aca="false">$C90+$D90+MAX(AA90,AB90,IF(COUNTIFS($A$21:$A$141,"&gt;="&amp;$G90,$A$21:$A$141,"&lt;="&amp;$H90)&gt;0,_xlfn.MAXIFS(Z$21:Z$141,$A$21:$A$141,"&gt;="&amp;$G90,$A$21:$A$141,"&lt;="&amp;$H90),AA90))</f>
        <v>-4.09113142308715</v>
      </c>
      <c r="AD90" s="12" t="n">
        <f aca="false">-Cost_k*$A90+Beta_q*(Declarations!$B$16*INDEX(AC$21:AC$141,MAX(1,MIN(121,$B90-ROUND(Declarations!$A$16/$D$18,0))))+Declarations!$B$17*INDEX(AC$21:AC$141,MAX(1,MIN(121,$B90-ROUND(Declarations!$A$17/$D$18,0))))+Declarations!$B$18*INDEX(AC$21:AC$141,MAX(1,MIN(121,$B90-ROUND(Declarations!$A$18/$D$18,0))))+Declarations!$B$19*INDEX(AC$21:AC$141,MAX(1,MIN(121,$B90-ROUND(Declarations!$A$19/$D$18,0))))+Declarations!$B$20*INDEX(AC$21:AC$141,MAX(1,MIN(121,$B90-ROUND(Declarations!$A$20/$D$18,0)))))</f>
        <v>-233.206513015096</v>
      </c>
      <c r="AE90" s="12" t="n">
        <f aca="false">INDEX(AD$21:AD$141,$I90+1)*(1-$J90)+INDEX(AD$21:AD$141,$I90+2)*$J90</f>
        <v>-232.039900604099</v>
      </c>
      <c r="AF90" s="12" t="n">
        <f aca="false">INDEX(AD$21:AD$141,$K90+1)*(1-$L90)+INDEX(AD$21:AD$141,$K90+2)*$L90</f>
        <v>-235.334422543547</v>
      </c>
      <c r="AG90" s="12" t="n">
        <f aca="false">$C90+$D90+MAX(AE90,AF90,IF(COUNTIFS($A$21:$A$141,"&gt;="&amp;$G90,$A$21:$A$141,"&lt;="&amp;$H90)&gt;0,_xlfn.MAXIFS(AD$21:AD$141,$A$21:$A$141,"&gt;="&amp;$G90,$A$21:$A$141,"&lt;="&amp;$H90),AE90))</f>
        <v>-8.7649006040993</v>
      </c>
      <c r="AH90" s="12" t="n">
        <f aca="false">-Cost_k*$A90+Beta_q*(Declarations!$B$16*INDEX(AG$21:AG$141,MAX(1,MIN(121,$B90-ROUND(Declarations!$A$16/$D$18,0))))+Declarations!$B$17*INDEX(AG$21:AG$141,MAX(1,MIN(121,$B90-ROUND(Declarations!$A$17/$D$18,0))))+Declarations!$B$18*INDEX(AG$21:AG$141,MAX(1,MIN(121,$B90-ROUND(Declarations!$A$18/$D$18,0))))+Declarations!$B$19*INDEX(AG$21:AG$141,MAX(1,MIN(121,$B90-ROUND(Declarations!$A$19/$D$18,0))))+Declarations!$B$20*INDEX(AG$21:AG$141,MAX(1,MIN(121,$B90-ROUND(Declarations!$A$20/$D$18,0)))))</f>
        <v>-237.682422295385</v>
      </c>
      <c r="AI90" s="12" t="n">
        <f aca="false">INDEX(AH$21:AH$141,$I90+1)*(1-$J90)+INDEX(AH$21:AH$141,$I90+2)*$J90</f>
        <v>-237.316827165165</v>
      </c>
      <c r="AJ90" s="12" t="n">
        <f aca="false">INDEX(AH$21:AH$141,$K90+1)*(1-$L90)+INDEX(AH$21:AH$141,$K90+2)*$L90</f>
        <v>-238.625397905378</v>
      </c>
      <c r="AK90" s="12" t="n">
        <f aca="false">$C90+$D90+MAX(AI90,AJ90,IF(COUNTIFS($A$21:$A$141,"&gt;="&amp;$G90,$A$21:$A$141,"&lt;="&amp;$H90)&gt;0,_xlfn.MAXIFS(AH$21:AH$141,$A$21:$A$141,"&gt;="&amp;$G90,$A$21:$A$141,"&lt;="&amp;$H90),AI90))</f>
        <v>-14.0418271651654</v>
      </c>
      <c r="AL90" s="12" t="n">
        <f aca="false">-Cost_k*$A90+Beta_q*(Declarations!$B$16*INDEX(AK$21:AK$141,MAX(1,MIN(121,$B90-ROUND(Declarations!$A$16/$D$18,0))))+Declarations!$B$17*INDEX(AK$21:AK$141,MAX(1,MIN(121,$B90-ROUND(Declarations!$A$17/$D$18,0))))+Declarations!$B$18*INDEX(AK$21:AK$141,MAX(1,MIN(121,$B90-ROUND(Declarations!$A$18/$D$18,0))))+Declarations!$B$19*INDEX(AK$21:AK$141,MAX(1,MIN(121,$B90-ROUND(Declarations!$A$19/$D$18,0))))+Declarations!$B$20*INDEX(AK$21:AK$141,MAX(1,MIN(121,$B90-ROUND(Declarations!$A$20/$D$18,0)))))</f>
        <v>-242.749959408368</v>
      </c>
      <c r="AM90" s="12" t="n">
        <f aca="false">INDEX(AL$21:AL$141,$I90+1)*(1-$J90)+INDEX(AL$21:AL$141,$I90+2)*$J90</f>
        <v>-242.485194894879</v>
      </c>
      <c r="AN90" s="12" t="n">
        <f aca="false">INDEX(AL$21:AL$141,$K90+1)*(1-$L90)+INDEX(AL$21:AL$141,$K90+2)*$L90</f>
        <v>-243.207004798242</v>
      </c>
      <c r="AO90" s="12" t="n">
        <f aca="false">$C90+$D90+MAX(AM90,AN90,IF(COUNTIFS($A$21:$A$141,"&gt;="&amp;$G90,$A$21:$A$141,"&lt;="&amp;$H90)&gt;0,_xlfn.MAXIFS(AL$21:AL$141,$A$21:$A$141,"&gt;="&amp;$G90,$A$21:$A$141,"&lt;="&amp;$H90),AM90))</f>
        <v>-19.2101948948789</v>
      </c>
      <c r="AP90" s="12" t="n">
        <f aca="false">-Cost_k*$A90+Beta_q*(Declarations!$B$16*INDEX(AO$21:AO$141,MAX(1,MIN(121,$B90-ROUND(Declarations!$A$16/$D$18,0))))+Declarations!$B$17*INDEX(AO$21:AO$141,MAX(1,MIN(121,$B90-ROUND(Declarations!$A$17/$D$18,0))))+Declarations!$B$18*INDEX(AO$21:AO$141,MAX(1,MIN(121,$B90-ROUND(Declarations!$A$18/$D$18,0))))+Declarations!$B$19*INDEX(AO$21:AO$141,MAX(1,MIN(121,$B90-ROUND(Declarations!$A$19/$D$18,0))))+Declarations!$B$20*INDEX(AO$21:AO$141,MAX(1,MIN(121,$B90-ROUND(Declarations!$A$20/$D$18,0)))))</f>
        <v>-247.787617589047</v>
      </c>
      <c r="AQ90" s="12" t="n">
        <f aca="false">INDEX(AP$21:AP$141,$I90+1)*(1-$J90)+INDEX(AP$21:AP$141,$I90+2)*$J90</f>
        <v>-247.532983480162</v>
      </c>
      <c r="AR90" s="12" t="n">
        <f aca="false">INDEX(AP$21:AP$141,$K90+1)*(1-$L90)+INDEX(AP$21:AP$141,$K90+2)*$L90</f>
        <v>-248.16046254338</v>
      </c>
      <c r="AS90" s="12" t="n">
        <f aca="false">$C90+$D90+MAX(AQ90,AR90,IF(COUNTIFS($A$21:$A$141,"&gt;="&amp;$G90,$A$21:$A$141,"&lt;="&amp;$H90)&gt;0,_xlfn.MAXIFS(AP$21:AP$141,$A$21:$A$141,"&gt;="&amp;$G90,$A$21:$A$141,"&lt;="&amp;$H90),AQ90))</f>
        <v>-24.2579834801615</v>
      </c>
      <c r="AT90" s="12" t="n">
        <f aca="false">-Cost_k*$A90+Beta_q*(Declarations!$B$16*INDEX(AS$21:AS$141,MAX(1,MIN(121,$B90-ROUND(Declarations!$A$16/$D$18,0))))+Declarations!$B$17*INDEX(AS$21:AS$141,MAX(1,MIN(121,$B90-ROUND(Declarations!$A$17/$D$18,0))))+Declarations!$B$18*INDEX(AS$21:AS$141,MAX(1,MIN(121,$B90-ROUND(Declarations!$A$18/$D$18,0))))+Declarations!$B$19*INDEX(AS$21:AS$141,MAX(1,MIN(121,$B90-ROUND(Declarations!$A$19/$D$18,0))))+Declarations!$B$20*INDEX(AS$21:AS$141,MAX(1,MIN(121,$B90-ROUND(Declarations!$A$20/$D$18,0)))))</f>
        <v>-252.715703478831</v>
      </c>
      <c r="AU90" s="12" t="n">
        <f aca="false">INDEX(AT$21:AT$141,$I90+1)*(1-$J90)+INDEX(AT$21:AT$141,$I90+2)*$J90</f>
        <v>-252.462014947937</v>
      </c>
      <c r="AV90" s="12" t="n">
        <f aca="false">INDEX(AT$21:AT$141,$K90+1)*(1-$L90)+INDEX(AT$21:AT$141,$K90+2)*$L90</f>
        <v>-253.077982623988</v>
      </c>
      <c r="AW90" s="12" t="n">
        <f aca="false">$C90+$D90+MAX(AU90,AV90,IF(COUNTIFS($A$21:$A$141,"&gt;="&amp;$G90,$A$21:$A$141,"&lt;="&amp;$H90)&gt;0,_xlfn.MAXIFS(AT$21:AT$141,$A$21:$A$141,"&gt;="&amp;$G90,$A$21:$A$141,"&lt;="&amp;$H90),AU90))</f>
        <v>-29.1870149479371</v>
      </c>
      <c r="AX90" s="12" t="n">
        <f aca="false">-Cost_k*$A90+Beta_q*(Declarations!$B$16*INDEX(AW$21:AW$141,MAX(1,MIN(121,$B90-ROUND(Declarations!$A$16/$D$18,0))))+Declarations!$B$17*INDEX(AW$21:AW$141,MAX(1,MIN(121,$B90-ROUND(Declarations!$A$17/$D$18,0))))+Declarations!$B$18*INDEX(AW$21:AW$141,MAX(1,MIN(121,$B90-ROUND(Declarations!$A$18/$D$18,0))))+Declarations!$B$19*INDEX(AW$21:AW$141,MAX(1,MIN(121,$B90-ROUND(Declarations!$A$19/$D$18,0))))+Declarations!$B$20*INDEX(AW$21:AW$141,MAX(1,MIN(121,$B90-ROUND(Declarations!$A$20/$D$18,0)))))</f>
        <v>-257.528599019828</v>
      </c>
      <c r="AY90" s="12" t="n">
        <f aca="false">INDEX(AX$21:AX$141,$I90+1)*(1-$J90)+INDEX(AX$21:AX$141,$I90+2)*$J90</f>
        <v>-257.274998571889</v>
      </c>
      <c r="AZ90" s="12" t="n">
        <f aca="false">INDEX(AX$21:AX$141,$K90+1)*(1-$L90)+INDEX(AX$21:AX$141,$K90+2)*$L90</f>
        <v>-257.889737597192</v>
      </c>
      <c r="BA90" s="12" t="n">
        <f aca="false">$C90+$D90+MAX(AY90,AZ90,IF(COUNTIFS($A$21:$A$141,"&gt;="&amp;$G90,$A$21:$A$141,"&lt;="&amp;$H90)&gt;0,_xlfn.MAXIFS(AX$21:AX$141,$A$21:$A$141,"&gt;="&amp;$G90,$A$21:$A$141,"&lt;="&amp;$H90),AY90))</f>
        <v>-33.999998571889</v>
      </c>
      <c r="BB90" s="12" t="n">
        <f aca="false">-Cost_k*$A90+Beta_q*(Declarations!$B$16*INDEX(BA$21:BA$141,MAX(1,MIN(121,$B90-ROUND(Declarations!$A$16/$D$18,0))))+Declarations!$B$17*INDEX(BA$21:BA$141,MAX(1,MIN(121,$B90-ROUND(Declarations!$A$17/$D$18,0))))+Declarations!$B$18*INDEX(BA$21:BA$141,MAX(1,MIN(121,$B90-ROUND(Declarations!$A$18/$D$18,0))))+Declarations!$B$19*INDEX(BA$21:BA$141,MAX(1,MIN(121,$B90-ROUND(Declarations!$A$19/$D$18,0))))+Declarations!$B$20*INDEX(BA$21:BA$141,MAX(1,MIN(121,$B90-ROUND(Declarations!$A$20/$D$18,0)))))</f>
        <v>-262.228249310789</v>
      </c>
      <c r="BC90" s="12" t="n">
        <f aca="false">INDEX(BB$21:BB$141,$I90+1)*(1-$J90)+INDEX(BB$21:BB$141,$I90+2)*$J90</f>
        <v>-261.974657602616</v>
      </c>
      <c r="BD90" s="12" t="n">
        <f aca="false">INDEX(BB$21:BB$141,$K90+1)*(1-$L90)+INDEX(BB$21:BB$141,$K90+2)*$L90</f>
        <v>-262.589272566062</v>
      </c>
      <c r="BE90" s="12" t="n">
        <f aca="false">$C90+$D90+MAX(BC90,BD90,IF(COUNTIFS($A$21:$A$141,"&gt;="&amp;$G90,$A$21:$A$141,"&lt;="&amp;$H90)&gt;0,_xlfn.MAXIFS(BB$21:BB$141,$A$21:$A$141,"&gt;="&amp;$G90,$A$21:$A$141,"&lt;="&amp;$H90),BC90))</f>
        <v>-38.6996576026156</v>
      </c>
      <c r="BF90" s="12" t="n">
        <f aca="false">-Cost_k*$A90+Beta_q*(Declarations!$B$16*INDEX(BE$21:BE$141,MAX(1,MIN(121,$B90-ROUND(Declarations!$A$16/$D$18,0))))+Declarations!$B$17*INDEX(BE$21:BE$141,MAX(1,MIN(121,$B90-ROUND(Declarations!$A$17/$D$18,0))))+Declarations!$B$18*INDEX(BE$21:BE$141,MAX(1,MIN(121,$B90-ROUND(Declarations!$A$18/$D$18,0))))+Declarations!$B$19*INDEX(BE$21:BE$141,MAX(1,MIN(121,$B90-ROUND(Declarations!$A$19/$D$18,0))))+Declarations!$B$20*INDEX(BE$21:BE$141,MAX(1,MIN(121,$B90-ROUND(Declarations!$A$20/$D$18,0)))))</f>
        <v>-266.817249842366</v>
      </c>
      <c r="BG90" s="12" t="n">
        <f aca="false">INDEX(BF$21:BF$141,$I90+1)*(1-$J90)+INDEX(BF$21:BF$141,$I90+2)*$J90</f>
        <v>-266.563659114002</v>
      </c>
      <c r="BH90" s="12" t="n">
        <f aca="false">INDEX(BF$21:BF$141,$K90+1)*(1-$L90)+INDEX(BF$21:BF$141,$K90+2)*$L90</f>
        <v>-267.178261472182</v>
      </c>
      <c r="BI90" s="12" t="n">
        <f aca="false">$C90+$D90+MAX(BG90,BH90,IF(COUNTIFS($A$21:$A$141,"&gt;="&amp;$G90,$A$21:$A$141,"&lt;="&amp;$H90)&gt;0,_xlfn.MAXIFS(BF$21:BF$141,$A$21:$A$141,"&gt;="&amp;$G90,$A$21:$A$141,"&lt;="&amp;$H90),BG90))</f>
        <v>-43.2886591140017</v>
      </c>
      <c r="BJ90" s="23" t="n">
        <v>-43.2886591140017</v>
      </c>
      <c r="BK90" s="22" t="n">
        <f aca="false">ABS(BI90-BJ90)</f>
        <v>0</v>
      </c>
    </row>
    <row r="91" customFormat="false" ht="15" hidden="false" customHeight="false" outlineLevel="0" collapsed="false">
      <c r="A91" s="14" t="n">
        <f aca="false">A90+$D$18</f>
        <v>57.5</v>
      </c>
      <c r="B91" s="19" t="n">
        <v>71</v>
      </c>
      <c r="C91" s="12" t="n">
        <f aca="false">-Short_p*MAX(Floor_c-A91,0)</f>
        <v>-0</v>
      </c>
      <c r="D91" s="12" t="n">
        <f aca="false">Cost_k*Alpha_keep*A91</f>
        <v>224.25</v>
      </c>
      <c r="E91" s="12" t="n">
        <f aca="false">MIN(Cap_h,MAX(0,$B$18+MAX(Loss_w)-Alpha_keep*A91))</f>
        <v>0</v>
      </c>
      <c r="F91" s="12" t="n">
        <f aca="false">MAX(MIN(Cap_h,$F$18+MIN(Loss_w)-Alpha_keep*A91),E91)</f>
        <v>2.5</v>
      </c>
      <c r="G91" s="12" t="n">
        <f aca="false">Alpha_keep*A91+E91</f>
        <v>56.0625</v>
      </c>
      <c r="H91" s="12" t="n">
        <f aca="false">Alpha_keep*A91+F91</f>
        <v>58.5625</v>
      </c>
      <c r="I91" s="19" t="n">
        <f aca="false">MIN(INT((G91-$B$18)/$D$18+0.000000001),119)</f>
        <v>64</v>
      </c>
      <c r="J91" s="12" t="n">
        <f aca="false">(G91-$B$18)/$D$18-I91</f>
        <v>0.25</v>
      </c>
      <c r="K91" s="19" t="n">
        <f aca="false">MIN(INT((H91-$B$18)/$D$18+0.000000001),119)</f>
        <v>74</v>
      </c>
      <c r="L91" s="12" t="n">
        <f aca="false">(H91-$B$18)/$D$18-K91</f>
        <v>0.25</v>
      </c>
      <c r="M91" s="9" t="n">
        <v>0</v>
      </c>
      <c r="N91" s="12" t="n">
        <f aca="false">-Cost_k*$A91+Beta_q*(Declarations!$B$16*INDEX(M$21:M$141,MAX(1,MIN(121,$B91-ROUND(Declarations!$A$16/$D$18,0))))+Declarations!$B$17*INDEX(M$21:M$141,MAX(1,MIN(121,$B91-ROUND(Declarations!$A$17/$D$18,0))))+Declarations!$B$18*INDEX(M$21:M$141,MAX(1,MIN(121,$B91-ROUND(Declarations!$A$18/$D$18,0))))+Declarations!$B$19*INDEX(M$21:M$141,MAX(1,MIN(121,$B91-ROUND(Declarations!$A$19/$D$18,0))))+Declarations!$B$20*INDEX(M$21:M$141,MAX(1,MIN(121,$B91-ROUND(Declarations!$A$20/$D$18,0)))))</f>
        <v>-230</v>
      </c>
      <c r="O91" s="12" t="n">
        <f aca="false">INDEX(N$21:N$141,$I91+1)*(1-$J91)+INDEX(N$21:N$141,$I91+2)*$J91</f>
        <v>-224.25</v>
      </c>
      <c r="P91" s="12" t="n">
        <f aca="false">INDEX(N$21:N$141,$K91+1)*(1-$L91)+INDEX(N$21:N$141,$K91+2)*$L91</f>
        <v>-234.25</v>
      </c>
      <c r="Q91" s="12" t="n">
        <f aca="false">$C91+$D91+MAX(O91,P91,IF(COUNTIFS($A$21:$A$141,"&gt;="&amp;$G91,$A$21:$A$141,"&lt;="&amp;$H91)&gt;0,_xlfn.MAXIFS(N$21:N$141,$A$21:$A$141,"&gt;="&amp;$G91,$A$21:$A$141,"&lt;="&amp;$H91),O91))</f>
        <v>0</v>
      </c>
      <c r="R91" s="12" t="n">
        <f aca="false">-Cost_k*$A91+Beta_q*(Declarations!$B$16*INDEX(Q$21:Q$141,MAX(1,MIN(121,$B91-ROUND(Declarations!$A$16/$D$18,0))))+Declarations!$B$17*INDEX(Q$21:Q$141,MAX(1,MIN(121,$B91-ROUND(Declarations!$A$17/$D$18,0))))+Declarations!$B$18*INDEX(Q$21:Q$141,MAX(1,MIN(121,$B91-ROUND(Declarations!$A$18/$D$18,0))))+Declarations!$B$19*INDEX(Q$21:Q$141,MAX(1,MIN(121,$B91-ROUND(Declarations!$A$19/$D$18,0))))+Declarations!$B$20*INDEX(Q$21:Q$141,MAX(1,MIN(121,$B91-ROUND(Declarations!$A$20/$D$18,0)))))</f>
        <v>-230</v>
      </c>
      <c r="S91" s="12" t="n">
        <f aca="false">INDEX(R$21:R$141,$I91+1)*(1-$J91)+INDEX(R$21:R$141,$I91+2)*$J91</f>
        <v>-224.284175893139</v>
      </c>
      <c r="T91" s="12" t="n">
        <f aca="false">INDEX(R$21:R$141,$K91+1)*(1-$L91)+INDEX(R$21:R$141,$K91+2)*$L91</f>
        <v>-234.25</v>
      </c>
      <c r="U91" s="12" t="n">
        <f aca="false">$C91+$D91+MAX(S91,T91,IF(COUNTIFS($A$21:$A$141,"&gt;="&amp;$G91,$A$21:$A$141,"&lt;="&amp;$H91)&gt;0,_xlfn.MAXIFS(R$21:R$141,$A$21:$A$141,"&gt;="&amp;$G91,$A$21:$A$141,"&lt;="&amp;$H91),S91))</f>
        <v>-0.0341758931386664</v>
      </c>
      <c r="V91" s="12" t="n">
        <f aca="false">-Cost_k*$A91+Beta_q*(Declarations!$B$16*INDEX(U$21:U$141,MAX(1,MIN(121,$B91-ROUND(Declarations!$A$16/$D$18,0))))+Declarations!$B$17*INDEX(U$21:U$141,MAX(1,MIN(121,$B91-ROUND(Declarations!$A$17/$D$18,0))))+Declarations!$B$18*INDEX(U$21:U$141,MAX(1,MIN(121,$B91-ROUND(Declarations!$A$18/$D$18,0))))+Declarations!$B$19*INDEX(U$21:U$141,MAX(1,MIN(121,$B91-ROUND(Declarations!$A$19/$D$18,0))))+Declarations!$B$20*INDEX(U$21:U$141,MAX(1,MIN(121,$B91-ROUND(Declarations!$A$20/$D$18,0)))))</f>
        <v>-230.100113571871</v>
      </c>
      <c r="W91" s="12" t="n">
        <f aca="false">INDEX(V$21:V$141,$I91+1)*(1-$J91)+INDEX(V$21:V$141,$I91+2)*$J91</f>
        <v>-225.160473563208</v>
      </c>
      <c r="X91" s="12" t="n">
        <f aca="false">INDEX(V$21:V$141,$K91+1)*(1-$L91)+INDEX(V$21:V$141,$K91+2)*$L91</f>
        <v>-234.257514477032</v>
      </c>
      <c r="Y91" s="12" t="n">
        <f aca="false">$C91+$D91+MAX(W91,X91,IF(COUNTIFS($A$21:$A$141,"&gt;="&amp;$G91,$A$21:$A$141,"&lt;="&amp;$H91)&gt;0,_xlfn.MAXIFS(V$21:V$141,$A$21:$A$141,"&gt;="&amp;$G91,$A$21:$A$141,"&lt;="&amp;$H91),W91))</f>
        <v>-0.910473563208399</v>
      </c>
      <c r="Z91" s="12" t="n">
        <f aca="false">-Cost_k*$A91+Beta_q*(Declarations!$B$16*INDEX(Y$21:Y$141,MAX(1,MIN(121,$B91-ROUND(Declarations!$A$16/$D$18,0))))+Declarations!$B$17*INDEX(Y$21:Y$141,MAX(1,MIN(121,$B91-ROUND(Declarations!$A$17/$D$18,0))))+Declarations!$B$18*INDEX(Y$21:Y$141,MAX(1,MIN(121,$B91-ROUND(Declarations!$A$18/$D$18,0))))+Declarations!$B$19*INDEX(Y$21:Y$141,MAX(1,MIN(121,$B91-ROUND(Declarations!$A$19/$D$18,0))))+Declarations!$B$20*INDEX(Y$21:Y$141,MAX(1,MIN(121,$B91-ROUND(Declarations!$A$20/$D$18,0)))))</f>
        <v>-231.064985775338</v>
      </c>
      <c r="AA91" s="12" t="n">
        <f aca="false">INDEX(Z$21:Z$141,$I91+1)*(1-$J91)+INDEX(Z$21:Z$141,$I91+2)*$J91</f>
        <v>-227.75382629329</v>
      </c>
      <c r="AB91" s="12" t="n">
        <f aca="false">INDEX(Z$21:Z$141,$K91+1)*(1-$L91)+INDEX(Z$21:Z$141,$K91+2)*$L91</f>
        <v>-234.547945656609</v>
      </c>
      <c r="AC91" s="12" t="n">
        <f aca="false">$C91+$D91+MAX(AA91,AB91,IF(COUNTIFS($A$21:$A$141,"&gt;="&amp;$G91,$A$21:$A$141,"&lt;="&amp;$H91)&gt;0,_xlfn.MAXIFS(Z$21:Z$141,$A$21:$A$141,"&gt;="&amp;$G91,$A$21:$A$141,"&lt;="&amp;$H91),AA91))</f>
        <v>-3.50382629328993</v>
      </c>
      <c r="AD91" s="12" t="n">
        <f aca="false">-Cost_k*$A91+Beta_q*(Declarations!$B$16*INDEX(AC$21:AC$141,MAX(1,MIN(121,$B91-ROUND(Declarations!$A$16/$D$18,0))))+Declarations!$B$17*INDEX(AC$21:AC$141,MAX(1,MIN(121,$B91-ROUND(Declarations!$A$17/$D$18,0))))+Declarations!$B$18*INDEX(AC$21:AC$141,MAX(1,MIN(121,$B91-ROUND(Declarations!$A$18/$D$18,0))))+Declarations!$B$19*INDEX(AC$21:AC$141,MAX(1,MIN(121,$B91-ROUND(Declarations!$A$19/$D$18,0))))+Declarations!$B$20*INDEX(AC$21:AC$141,MAX(1,MIN(121,$B91-ROUND(Declarations!$A$20/$D$18,0)))))</f>
        <v>-233.631804969059</v>
      </c>
      <c r="AE91" s="12" t="n">
        <f aca="false">INDEX(AD$21:AD$141,$I91+1)*(1-$J91)+INDEX(AD$21:AD$141,$I91+2)*$J91</f>
        <v>-232.128687768826</v>
      </c>
      <c r="AF91" s="12" t="n">
        <f aca="false">INDEX(AD$21:AD$141,$K91+1)*(1-$L91)+INDEX(AD$21:AD$141,$K91+2)*$L91</f>
        <v>-235.938727736465</v>
      </c>
      <c r="AG91" s="12" t="n">
        <f aca="false">$C91+$D91+MAX(AE91,AF91,IF(COUNTIFS($A$21:$A$141,"&gt;="&amp;$G91,$A$21:$A$141,"&lt;="&amp;$H91)&gt;0,_xlfn.MAXIFS(AD$21:AD$141,$A$21:$A$141,"&gt;="&amp;$G91,$A$21:$A$141,"&lt;="&amp;$H91),AE91))</f>
        <v>-7.87868776882624</v>
      </c>
      <c r="AH91" s="12" t="n">
        <f aca="false">-Cost_k*$A91+Beta_q*(Declarations!$B$16*INDEX(AG$21:AG$141,MAX(1,MIN(121,$B91-ROUND(Declarations!$A$16/$D$18,0))))+Declarations!$B$17*INDEX(AG$21:AG$141,MAX(1,MIN(121,$B91-ROUND(Declarations!$A$17/$D$18,0))))+Declarations!$B$18*INDEX(AG$21:AG$141,MAX(1,MIN(121,$B91-ROUND(Declarations!$A$18/$D$18,0))))+Declarations!$B$19*INDEX(AG$21:AG$141,MAX(1,MIN(121,$B91-ROUND(Declarations!$A$19/$D$18,0))))+Declarations!$B$20*INDEX(AG$21:AG$141,MAX(1,MIN(121,$B91-ROUND(Declarations!$A$20/$D$18,0)))))</f>
        <v>-237.843465266906</v>
      </c>
      <c r="AI91" s="12" t="n">
        <f aca="false">INDEX(AH$21:AH$141,$I91+1)*(1-$J91)+INDEX(AH$21:AH$141,$I91+2)*$J91</f>
        <v>-237.34791125243</v>
      </c>
      <c r="AJ91" s="12" t="n">
        <f aca="false">INDEX(AH$21:AH$141,$K91+1)*(1-$L91)+INDEX(AH$21:AH$141,$K91+2)*$L91</f>
        <v>-238.946799693097</v>
      </c>
      <c r="AK91" s="12" t="n">
        <f aca="false">$C91+$D91+MAX(AI91,AJ91,IF(COUNTIFS($A$21:$A$141,"&gt;="&amp;$G91,$A$21:$A$141,"&lt;="&amp;$H91)&gt;0,_xlfn.MAXIFS(AH$21:AH$141,$A$21:$A$141,"&gt;="&amp;$G91,$A$21:$A$141,"&lt;="&amp;$H91),AI91))</f>
        <v>-13.0979112524305</v>
      </c>
      <c r="AL91" s="12" t="n">
        <f aca="false">-Cost_k*$A91+Beta_q*(Declarations!$B$16*INDEX(AK$21:AK$141,MAX(1,MIN(121,$B91-ROUND(Declarations!$A$16/$D$18,0))))+Declarations!$B$17*INDEX(AK$21:AK$141,MAX(1,MIN(121,$B91-ROUND(Declarations!$A$17/$D$18,0))))+Declarations!$B$18*INDEX(AK$21:AK$141,MAX(1,MIN(121,$B91-ROUND(Declarations!$A$18/$D$18,0))))+Declarations!$B$19*INDEX(AK$21:AK$141,MAX(1,MIN(121,$B91-ROUND(Declarations!$A$19/$D$18,0))))+Declarations!$B$20*INDEX(AK$21:AK$141,MAX(1,MIN(121,$B91-ROUND(Declarations!$A$20/$D$18,0)))))</f>
        <v>-242.835739109184</v>
      </c>
      <c r="AM91" s="12" t="n">
        <f aca="false">INDEX(AL$21:AL$141,$I91+1)*(1-$J91)+INDEX(AL$21:AL$141,$I91+2)*$J91</f>
        <v>-242.512316850889</v>
      </c>
      <c r="AN91" s="12" t="n">
        <f aca="false">INDEX(AL$21:AL$141,$K91+1)*(1-$L91)+INDEX(AL$21:AL$141,$K91+2)*$L91</f>
        <v>-243.355004588666</v>
      </c>
      <c r="AO91" s="12" t="n">
        <f aca="false">$C91+$D91+MAX(AM91,AN91,IF(COUNTIFS($A$21:$A$141,"&gt;="&amp;$G91,$A$21:$A$141,"&lt;="&amp;$H91)&gt;0,_xlfn.MAXIFS(AL$21:AL$141,$A$21:$A$141,"&gt;="&amp;$G91,$A$21:$A$141,"&lt;="&amp;$H91),AM91))</f>
        <v>-18.262316850889</v>
      </c>
      <c r="AP91" s="12" t="n">
        <f aca="false">-Cost_k*$A91+Beta_q*(Declarations!$B$16*INDEX(AO$21:AO$141,MAX(1,MIN(121,$B91-ROUND(Declarations!$A$16/$D$18,0))))+Declarations!$B$17*INDEX(AO$21:AO$141,MAX(1,MIN(121,$B91-ROUND(Declarations!$A$17/$D$18,0))))+Declarations!$B$18*INDEX(AO$21:AO$141,MAX(1,MIN(121,$B91-ROUND(Declarations!$A$18/$D$18,0))))+Declarations!$B$19*INDEX(AO$21:AO$141,MAX(1,MIN(121,$B91-ROUND(Declarations!$A$19/$D$18,0))))+Declarations!$B$20*INDEX(AO$21:AO$141,MAX(1,MIN(121,$B91-ROUND(Declarations!$A$20/$D$18,0)))))</f>
        <v>-247.863947710329</v>
      </c>
      <c r="AQ91" s="12" t="n">
        <f aca="false">INDEX(AP$21:AP$141,$I91+1)*(1-$J91)+INDEX(AP$21:AP$141,$I91+2)*$J91</f>
        <v>-247.559797403479</v>
      </c>
      <c r="AR91" s="12" t="n">
        <f aca="false">INDEX(AP$21:AP$141,$K91+1)*(1-$L91)+INDEX(AP$21:AP$141,$K91+2)*$L91</f>
        <v>-248.266846718784</v>
      </c>
      <c r="AS91" s="12" t="n">
        <f aca="false">$C91+$D91+MAX(AQ91,AR91,IF(COUNTIFS($A$21:$A$141,"&gt;="&amp;$G91,$A$21:$A$141,"&lt;="&amp;$H91)&gt;0,_xlfn.MAXIFS(AP$21:AP$141,$A$21:$A$141,"&gt;="&amp;$G91,$A$21:$A$141,"&lt;="&amp;$H91),AQ91))</f>
        <v>-23.3097974034786</v>
      </c>
      <c r="AT91" s="12" t="n">
        <f aca="false">-Cost_k*$A91+Beta_q*(Declarations!$B$16*INDEX(AS$21:AS$141,MAX(1,MIN(121,$B91-ROUND(Declarations!$A$16/$D$18,0))))+Declarations!$B$17*INDEX(AS$21:AS$141,MAX(1,MIN(121,$B91-ROUND(Declarations!$A$17/$D$18,0))))+Declarations!$B$18*INDEX(AS$21:AS$141,MAX(1,MIN(121,$B91-ROUND(Declarations!$A$18/$D$18,0))))+Declarations!$B$19*INDEX(AS$21:AS$141,MAX(1,MIN(121,$B91-ROUND(Declarations!$A$19/$D$18,0))))+Declarations!$B$20*INDEX(AS$21:AS$141,MAX(1,MIN(121,$B91-ROUND(Declarations!$A$20/$D$18,0)))))</f>
        <v>-252.791074261952</v>
      </c>
      <c r="AU91" s="12" t="n">
        <f aca="false">INDEX(AT$21:AT$141,$I91+1)*(1-$J91)+INDEX(AT$21:AT$141,$I91+2)*$J91</f>
        <v>-252.488799068314</v>
      </c>
      <c r="AV91" s="12" t="n">
        <f aca="false">INDEX(AT$21:AT$141,$K91+1)*(1-$L91)+INDEX(AT$21:AT$141,$K91+2)*$L91</f>
        <v>-253.178054626489</v>
      </c>
      <c r="AW91" s="12" t="n">
        <f aca="false">$C91+$D91+MAX(AU91,AV91,IF(COUNTIFS($A$21:$A$141,"&gt;="&amp;$G91,$A$21:$A$141,"&lt;="&amp;$H91)&gt;0,_xlfn.MAXIFS(AT$21:AT$141,$A$21:$A$141,"&gt;="&amp;$G91,$A$21:$A$141,"&lt;="&amp;$H91),AU91))</f>
        <v>-28.2387990683142</v>
      </c>
      <c r="AX91" s="12" t="n">
        <f aca="false">-Cost_k*$A91+Beta_q*(Declarations!$B$16*INDEX(AW$21:AW$141,MAX(1,MIN(121,$B91-ROUND(Declarations!$A$16/$D$18,0))))+Declarations!$B$17*INDEX(AW$21:AW$141,MAX(1,MIN(121,$B91-ROUND(Declarations!$A$17/$D$18,0))))+Declarations!$B$18*INDEX(AW$21:AW$141,MAX(1,MIN(121,$B91-ROUND(Declarations!$A$18/$D$18,0))))+Declarations!$B$19*INDEX(AW$21:AW$141,MAX(1,MIN(121,$B91-ROUND(Declarations!$A$19/$D$18,0))))+Declarations!$B$20*INDEX(AW$21:AW$141,MAX(1,MIN(121,$B91-ROUND(Declarations!$A$20/$D$18,0)))))</f>
        <v>-257.603878170968</v>
      </c>
      <c r="AY91" s="12" t="n">
        <f aca="false">INDEX(AX$21:AX$141,$I91+1)*(1-$J91)+INDEX(AX$21:AX$141,$I91+2)*$J91</f>
        <v>-257.301779021697</v>
      </c>
      <c r="AZ91" s="12" t="n">
        <f aca="false">INDEX(AX$21:AX$141,$K91+1)*(1-$L91)+INDEX(AX$21:AX$141,$K91+2)*$L91</f>
        <v>-257.989039076936</v>
      </c>
      <c r="BA91" s="12" t="n">
        <f aca="false">$C91+$D91+MAX(AY91,AZ91,IF(COUNTIFS($A$21:$A$141,"&gt;="&amp;$G91,$A$21:$A$141,"&lt;="&amp;$H91)&gt;0,_xlfn.MAXIFS(AX$21:AX$141,$A$21:$A$141,"&gt;="&amp;$G91,$A$21:$A$141,"&lt;="&amp;$H91),AY91))</f>
        <v>-33.0517790216969</v>
      </c>
      <c r="BB91" s="12" t="n">
        <f aca="false">-Cost_k*$A91+Beta_q*(Declarations!$B$16*INDEX(BA$21:BA$141,MAX(1,MIN(121,$B91-ROUND(Declarations!$A$16/$D$18,0))))+Declarations!$B$17*INDEX(BA$21:BA$141,MAX(1,MIN(121,$B91-ROUND(Declarations!$A$17/$D$18,0))))+Declarations!$B$18*INDEX(BA$21:BA$141,MAX(1,MIN(121,$B91-ROUND(Declarations!$A$18/$D$18,0))))+Declarations!$B$19*INDEX(BA$21:BA$141,MAX(1,MIN(121,$B91-ROUND(Declarations!$A$19/$D$18,0))))+Declarations!$B$20*INDEX(BA$21:BA$141,MAX(1,MIN(121,$B91-ROUND(Declarations!$A$20/$D$18,0)))))</f>
        <v>-262.303519436273</v>
      </c>
      <c r="BC91" s="12" t="n">
        <f aca="false">INDEX(BB$21:BB$141,$I91+1)*(1-$J91)+INDEX(BB$21:BB$141,$I91+2)*$J91</f>
        <v>-262.001437528621</v>
      </c>
      <c r="BD91" s="12" t="n">
        <f aca="false">INDEX(BB$21:BB$141,$K91+1)*(1-$L91)+INDEX(BB$21:BB$141,$K91+2)*$L91</f>
        <v>-262.688490377866</v>
      </c>
      <c r="BE91" s="12" t="n">
        <f aca="false">$C91+$D91+MAX(BC91,BD91,IF(COUNTIFS($A$21:$A$141,"&gt;="&amp;$G91,$A$21:$A$141,"&lt;="&amp;$H91)&gt;0,_xlfn.MAXIFS(BB$21:BB$141,$A$21:$A$141,"&gt;="&amp;$G91,$A$21:$A$141,"&lt;="&amp;$H91),BC91))</f>
        <v>-37.7514375286207</v>
      </c>
      <c r="BF91" s="12" t="n">
        <f aca="false">-Cost_k*$A91+Beta_q*(Declarations!$B$16*INDEX(BE$21:BE$141,MAX(1,MIN(121,$B91-ROUND(Declarations!$A$16/$D$18,0))))+Declarations!$B$17*INDEX(BE$21:BE$141,MAX(1,MIN(121,$B91-ROUND(Declarations!$A$17/$D$18,0))))+Declarations!$B$18*INDEX(BE$21:BE$141,MAX(1,MIN(121,$B91-ROUND(Declarations!$A$18/$D$18,0))))+Declarations!$B$19*INDEX(BE$21:BE$141,MAX(1,MIN(121,$B91-ROUND(Declarations!$A$19/$D$18,0))))+Declarations!$B$20*INDEX(BE$21:BE$141,MAX(1,MIN(121,$B91-ROUND(Declarations!$A$20/$D$18,0)))))</f>
        <v>-266.892518992215</v>
      </c>
      <c r="BG91" s="12" t="n">
        <f aca="false">INDEX(BF$21:BF$141,$I91+1)*(1-$J91)+INDEX(BF$21:BF$141,$I91+2)*$J91</f>
        <v>-266.590438955406</v>
      </c>
      <c r="BH91" s="12" t="n">
        <f aca="false">INDEX(BF$21:BF$141,$K91+1)*(1-$L91)+INDEX(BF$21:BF$141,$K91+2)*$L91</f>
        <v>-267.277470725758</v>
      </c>
      <c r="BI91" s="12" t="n">
        <f aca="false">$C91+$D91+MAX(BG91,BH91,IF(COUNTIFS($A$21:$A$141,"&gt;="&amp;$G91,$A$21:$A$141,"&lt;="&amp;$H91)&gt;0,_xlfn.MAXIFS(BF$21:BF$141,$A$21:$A$141,"&gt;="&amp;$G91,$A$21:$A$141,"&lt;="&amp;$H91),BG91))</f>
        <v>-42.3404389554057</v>
      </c>
      <c r="BJ91" s="23" t="n">
        <v>-42.3404389554058</v>
      </c>
      <c r="BK91" s="22" t="n">
        <f aca="false">ABS(BI91-BJ91)</f>
        <v>0</v>
      </c>
    </row>
    <row r="92" customFormat="false" ht="15" hidden="false" customHeight="false" outlineLevel="0" collapsed="false">
      <c r="A92" s="14" t="n">
        <f aca="false">A91+$D$18</f>
        <v>57.75</v>
      </c>
      <c r="B92" s="19" t="n">
        <v>72</v>
      </c>
      <c r="C92" s="12" t="n">
        <f aca="false">-Short_p*MAX(Floor_c-A92,0)</f>
        <v>-0</v>
      </c>
      <c r="D92" s="12" t="n">
        <f aca="false">Cost_k*Alpha_keep*A92</f>
        <v>225.225</v>
      </c>
      <c r="E92" s="12" t="n">
        <f aca="false">MIN(Cap_h,MAX(0,$B$18+MAX(Loss_w)-Alpha_keep*A92))</f>
        <v>0</v>
      </c>
      <c r="F92" s="12" t="n">
        <f aca="false">MAX(MIN(Cap_h,$F$18+MIN(Loss_w)-Alpha_keep*A92),E92)</f>
        <v>2.5</v>
      </c>
      <c r="G92" s="12" t="n">
        <f aca="false">Alpha_keep*A92+E92</f>
        <v>56.30625</v>
      </c>
      <c r="H92" s="12" t="n">
        <f aca="false">Alpha_keep*A92+F92</f>
        <v>58.80625</v>
      </c>
      <c r="I92" s="19" t="n">
        <f aca="false">MIN(INT((G92-$B$18)/$D$18+0.000000001),119)</f>
        <v>65</v>
      </c>
      <c r="J92" s="12" t="n">
        <f aca="false">(G92-$B$18)/$D$18-I92</f>
        <v>0.224999999999994</v>
      </c>
      <c r="K92" s="19" t="n">
        <f aca="false">MIN(INT((H92-$B$18)/$D$18+0.000000001),119)</f>
        <v>75</v>
      </c>
      <c r="L92" s="12" t="n">
        <f aca="false">(H92-$B$18)/$D$18-K92</f>
        <v>0.224999999999994</v>
      </c>
      <c r="M92" s="9" t="n">
        <v>0</v>
      </c>
      <c r="N92" s="12" t="n">
        <f aca="false">-Cost_k*$A92+Beta_q*(Declarations!$B$16*INDEX(M$21:M$141,MAX(1,MIN(121,$B92-ROUND(Declarations!$A$16/$D$18,0))))+Declarations!$B$17*INDEX(M$21:M$141,MAX(1,MIN(121,$B92-ROUND(Declarations!$A$17/$D$18,0))))+Declarations!$B$18*INDEX(M$21:M$141,MAX(1,MIN(121,$B92-ROUND(Declarations!$A$18/$D$18,0))))+Declarations!$B$19*INDEX(M$21:M$141,MAX(1,MIN(121,$B92-ROUND(Declarations!$A$19/$D$18,0))))+Declarations!$B$20*INDEX(M$21:M$141,MAX(1,MIN(121,$B92-ROUND(Declarations!$A$20/$D$18,0)))))</f>
        <v>-231</v>
      </c>
      <c r="O92" s="12" t="n">
        <f aca="false">INDEX(N$21:N$141,$I92+1)*(1-$J92)+INDEX(N$21:N$141,$I92+2)*$J92</f>
        <v>-225.225</v>
      </c>
      <c r="P92" s="12" t="n">
        <f aca="false">INDEX(N$21:N$141,$K92+1)*(1-$L92)+INDEX(N$21:N$141,$K92+2)*$L92</f>
        <v>-235.225</v>
      </c>
      <c r="Q92" s="12" t="n">
        <f aca="false">$C92+$D92+MAX(O92,P92,IF(COUNTIFS($A$21:$A$141,"&gt;="&amp;$G92,$A$21:$A$141,"&lt;="&amp;$H92)&gt;0,_xlfn.MAXIFS(N$21:N$141,$A$21:$A$141,"&gt;="&amp;$G92,$A$21:$A$141,"&lt;="&amp;$H92),O92))</f>
        <v>0</v>
      </c>
      <c r="R92" s="12" t="n">
        <f aca="false">-Cost_k*$A92+Beta_q*(Declarations!$B$16*INDEX(Q$21:Q$141,MAX(1,MIN(121,$B92-ROUND(Declarations!$A$16/$D$18,0))))+Declarations!$B$17*INDEX(Q$21:Q$141,MAX(1,MIN(121,$B92-ROUND(Declarations!$A$17/$D$18,0))))+Declarations!$B$18*INDEX(Q$21:Q$141,MAX(1,MIN(121,$B92-ROUND(Declarations!$A$18/$D$18,0))))+Declarations!$B$19*INDEX(Q$21:Q$141,MAX(1,MIN(121,$B92-ROUND(Declarations!$A$19/$D$18,0))))+Declarations!$B$20*INDEX(Q$21:Q$141,MAX(1,MIN(121,$B92-ROUND(Declarations!$A$20/$D$18,0)))))</f>
        <v>-231</v>
      </c>
      <c r="S92" s="12" t="n">
        <f aca="false">INDEX(R$21:R$141,$I92+1)*(1-$J92)+INDEX(R$21:R$141,$I92+2)*$J92</f>
        <v>-225.24013503839</v>
      </c>
      <c r="T92" s="12" t="n">
        <f aca="false">INDEX(R$21:R$141,$K92+1)*(1-$L92)+INDEX(R$21:R$141,$K92+2)*$L92</f>
        <v>-235.225</v>
      </c>
      <c r="U92" s="12" t="n">
        <f aca="false">$C92+$D92+MAX(S92,T92,IF(COUNTIFS($A$21:$A$141,"&gt;="&amp;$G92,$A$21:$A$141,"&lt;="&amp;$H92)&gt;0,_xlfn.MAXIFS(R$21:R$141,$A$21:$A$141,"&gt;="&amp;$G92,$A$21:$A$141,"&lt;="&amp;$H92),S92))</f>
        <v>-0.0151350383899853</v>
      </c>
      <c r="V92" s="12" t="n">
        <f aca="false">-Cost_k*$A92+Beta_q*(Declarations!$B$16*INDEX(U$21:U$141,MAX(1,MIN(121,$B92-ROUND(Declarations!$A$16/$D$18,0))))+Declarations!$B$17*INDEX(U$21:U$141,MAX(1,MIN(121,$B92-ROUND(Declarations!$A$17/$D$18,0))))+Declarations!$B$18*INDEX(U$21:U$141,MAX(1,MIN(121,$B92-ROUND(Declarations!$A$18/$D$18,0))))+Declarations!$B$19*INDEX(U$21:U$141,MAX(1,MIN(121,$B92-ROUND(Declarations!$A$19/$D$18,0))))+Declarations!$B$20*INDEX(U$21:U$141,MAX(1,MIN(121,$B92-ROUND(Declarations!$A$20/$D$18,0)))))</f>
        <v>-231.058280400768</v>
      </c>
      <c r="W92" s="12" t="n">
        <f aca="false">INDEX(V$21:V$141,$I92+1)*(1-$J92)+INDEX(V$21:V$141,$I92+2)*$J92</f>
        <v>-225.884489227601</v>
      </c>
      <c r="X92" s="12" t="n">
        <f aca="false">INDEX(V$21:V$141,$K92+1)*(1-$L92)+INDEX(V$21:V$141,$K92+2)*$L92</f>
        <v>-235.2273890197</v>
      </c>
      <c r="Y92" s="12" t="n">
        <f aca="false">$C92+$D92+MAX(W92,X92,IF(COUNTIFS($A$21:$A$141,"&gt;="&amp;$G92,$A$21:$A$141,"&lt;="&amp;$H92)&gt;0,_xlfn.MAXIFS(V$21:V$141,$A$21:$A$141,"&gt;="&amp;$G92,$A$21:$A$141,"&lt;="&amp;$H92),W92))</f>
        <v>-0.659489227600972</v>
      </c>
      <c r="Z92" s="12" t="n">
        <f aca="false">-Cost_k*$A92+Beta_q*(Declarations!$B$16*INDEX(Y$21:Y$141,MAX(1,MIN(121,$B92-ROUND(Declarations!$A$16/$D$18,0))))+Declarations!$B$17*INDEX(Y$21:Y$141,MAX(1,MIN(121,$B92-ROUND(Declarations!$A$17/$D$18,0))))+Declarations!$B$18*INDEX(Y$21:Y$141,MAX(1,MIN(121,$B92-ROUND(Declarations!$A$18/$D$18,0))))+Declarations!$B$19*INDEX(Y$21:Y$141,MAX(1,MIN(121,$B92-ROUND(Declarations!$A$19/$D$18,0))))+Declarations!$B$20*INDEX(Y$21:Y$141,MAX(1,MIN(121,$B92-ROUND(Declarations!$A$20/$D$18,0)))))</f>
        <v>-231.807211890369</v>
      </c>
      <c r="AA92" s="12" t="n">
        <f aca="false">INDEX(Z$21:Z$141,$I92+1)*(1-$J92)+INDEX(Z$21:Z$141,$I92+2)*$J92</f>
        <v>-228.159440133386</v>
      </c>
      <c r="AB92" s="12" t="n">
        <f aca="false">INDEX(Z$21:Z$141,$K92+1)*(1-$L92)+INDEX(Z$21:Z$141,$K92+2)*$L92</f>
        <v>-235.431248030168</v>
      </c>
      <c r="AC92" s="12" t="n">
        <f aca="false">$C92+$D92+MAX(AA92,AB92,IF(COUNTIFS($A$21:$A$141,"&gt;="&amp;$G92,$A$21:$A$141,"&lt;="&amp;$H92)&gt;0,_xlfn.MAXIFS(Z$21:Z$141,$A$21:$A$141,"&gt;="&amp;$G92,$A$21:$A$141,"&lt;="&amp;$H92),AA92))</f>
        <v>-2.93444013338646</v>
      </c>
      <c r="AD92" s="12" t="n">
        <f aca="false">-Cost_k*$A92+Beta_q*(Declarations!$B$16*INDEX(AC$21:AC$141,MAX(1,MIN(121,$B92-ROUND(Declarations!$A$16/$D$18,0))))+Declarations!$B$17*INDEX(AC$21:AC$141,MAX(1,MIN(121,$B92-ROUND(Declarations!$A$17/$D$18,0))))+Declarations!$B$18*INDEX(AC$21:AC$141,MAX(1,MIN(121,$B92-ROUND(Declarations!$A$18/$D$18,0))))+Declarations!$B$19*INDEX(AC$21:AC$141,MAX(1,MIN(121,$B92-ROUND(Declarations!$A$19/$D$18,0))))+Declarations!$B$20*INDEX(AC$21:AC$141,MAX(1,MIN(121,$B92-ROUND(Declarations!$A$20/$D$18,0)))))</f>
        <v>-234.072026492039</v>
      </c>
      <c r="AE92" s="12" t="n">
        <f aca="false">INDEX(AD$21:AD$141,$I92+1)*(1-$J92)+INDEX(AD$21:AD$141,$I92+2)*$J92</f>
        <v>-232.233193737377</v>
      </c>
      <c r="AF92" s="12" t="n">
        <f aca="false">INDEX(AD$21:AD$141,$K92+1)*(1-$L92)+INDEX(AD$21:AD$141,$K92+2)*$L92</f>
        <v>-236.600365463924</v>
      </c>
      <c r="AG92" s="12" t="n">
        <f aca="false">$C92+$D92+MAX(AE92,AF92,IF(COUNTIFS($A$21:$A$141,"&gt;="&amp;$G92,$A$21:$A$141,"&lt;="&amp;$H92)&gt;0,_xlfn.MAXIFS(AD$21:AD$141,$A$21:$A$141,"&gt;="&amp;$G92,$A$21:$A$141,"&lt;="&amp;$H92),AE92))</f>
        <v>-7.00819373737744</v>
      </c>
      <c r="AH92" s="12" t="n">
        <f aca="false">-Cost_k*$A92+Beta_q*(Declarations!$B$16*INDEX(AG$21:AG$141,MAX(1,MIN(121,$B92-ROUND(Declarations!$A$16/$D$18,0))))+Declarations!$B$17*INDEX(AG$21:AG$141,MAX(1,MIN(121,$B92-ROUND(Declarations!$A$17/$D$18,0))))+Declarations!$B$18*INDEX(AG$21:AG$141,MAX(1,MIN(121,$B92-ROUND(Declarations!$A$18/$D$18,0))))+Declarations!$B$19*INDEX(AG$21:AG$141,MAX(1,MIN(121,$B92-ROUND(Declarations!$A$19/$D$18,0))))+Declarations!$B$20*INDEX(AG$21:AG$141,MAX(1,MIN(121,$B92-ROUND(Declarations!$A$20/$D$18,0)))))</f>
        <v>-238.016645211027</v>
      </c>
      <c r="AI92" s="12" t="n">
        <f aca="false">INDEX(AH$21:AH$141,$I92+1)*(1-$J92)+INDEX(AH$21:AH$141,$I92+2)*$J92</f>
        <v>-237.38205858456</v>
      </c>
      <c r="AJ92" s="12" t="n">
        <f aca="false">INDEX(AH$21:AH$141,$K92+1)*(1-$L92)+INDEX(AH$21:AH$141,$K92+2)*$L92</f>
        <v>-239.328855385629</v>
      </c>
      <c r="AK92" s="12" t="n">
        <f aca="false">$C92+$D92+MAX(AI92,AJ92,IF(COUNTIFS($A$21:$A$141,"&gt;="&amp;$G92,$A$21:$A$141,"&lt;="&amp;$H92)&gt;0,_xlfn.MAXIFS(AH$21:AH$141,$A$21:$A$141,"&gt;="&amp;$G92,$A$21:$A$141,"&lt;="&amp;$H92),AI92))</f>
        <v>-12.1570585845603</v>
      </c>
      <c r="AL92" s="12" t="n">
        <f aca="false">-Cost_k*$A92+Beta_q*(Declarations!$B$16*INDEX(AK$21:AK$141,MAX(1,MIN(121,$B92-ROUND(Declarations!$A$16/$D$18,0))))+Declarations!$B$17*INDEX(AK$21:AK$141,MAX(1,MIN(121,$B92-ROUND(Declarations!$A$17/$D$18,0))))+Declarations!$B$18*INDEX(AK$21:AK$141,MAX(1,MIN(121,$B92-ROUND(Declarations!$A$18/$D$18,0))))+Declarations!$B$19*INDEX(AK$21:AK$141,MAX(1,MIN(121,$B92-ROUND(Declarations!$A$19/$D$18,0))))+Declarations!$B$20*INDEX(AK$21:AK$141,MAX(1,MIN(121,$B92-ROUND(Declarations!$A$20/$D$18,0)))))</f>
        <v>-242.925140776703</v>
      </c>
      <c r="AM92" s="12" t="n">
        <f aca="false">INDEX(AL$21:AL$141,$I92+1)*(1-$J92)+INDEX(AL$21:AL$141,$I92+2)*$J92</f>
        <v>-242.541358961469</v>
      </c>
      <c r="AN92" s="12" t="n">
        <f aca="false">INDEX(AL$21:AL$141,$K92+1)*(1-$L92)+INDEX(AL$21:AL$141,$K92+2)*$L92</f>
        <v>-243.534923919174</v>
      </c>
      <c r="AO92" s="12" t="n">
        <f aca="false">$C92+$D92+MAX(AM92,AN92,IF(COUNTIFS($A$21:$A$141,"&gt;="&amp;$G92,$A$21:$A$141,"&lt;="&amp;$H92)&gt;0,_xlfn.MAXIFS(AL$21:AL$141,$A$21:$A$141,"&gt;="&amp;$G92,$A$21:$A$141,"&lt;="&amp;$H92),AM92))</f>
        <v>-17.316358961469</v>
      </c>
      <c r="AP92" s="12" t="n">
        <f aca="false">-Cost_k*$A92+Beta_q*(Declarations!$B$16*INDEX(AO$21:AO$141,MAX(1,MIN(121,$B92-ROUND(Declarations!$A$16/$D$18,0))))+Declarations!$B$17*INDEX(AO$21:AO$141,MAX(1,MIN(121,$B92-ROUND(Declarations!$A$17/$D$18,0))))+Declarations!$B$18*INDEX(AO$21:AO$141,MAX(1,MIN(121,$B92-ROUND(Declarations!$A$18/$D$18,0))))+Declarations!$B$19*INDEX(AO$21:AO$141,MAX(1,MIN(121,$B92-ROUND(Declarations!$A$19/$D$18,0))))+Declarations!$B$20*INDEX(AO$21:AO$141,MAX(1,MIN(121,$B92-ROUND(Declarations!$A$20/$D$18,0)))))</f>
        <v>-247.941821386665</v>
      </c>
      <c r="AQ92" s="12" t="n">
        <f aca="false">INDEX(AP$21:AP$141,$I92+1)*(1-$J92)+INDEX(AP$21:AP$141,$I92+2)*$J92</f>
        <v>-247.588453135813</v>
      </c>
      <c r="AR92" s="12" t="n">
        <f aca="false">INDEX(AP$21:AP$141,$K92+1)*(1-$L92)+INDEX(AP$21:AP$141,$K92+2)*$L92</f>
        <v>-248.385773389174</v>
      </c>
      <c r="AS92" s="12" t="n">
        <f aca="false">$C92+$D92+MAX(AQ92,AR92,IF(COUNTIFS($A$21:$A$141,"&gt;="&amp;$G92,$A$21:$A$141,"&lt;="&amp;$H92)&gt;0,_xlfn.MAXIFS(AP$21:AP$141,$A$21:$A$141,"&gt;="&amp;$G92,$A$21:$A$141,"&lt;="&amp;$H92),AQ92))</f>
        <v>-22.3634531358126</v>
      </c>
      <c r="AT92" s="12" t="n">
        <f aca="false">-Cost_k*$A92+Beta_q*(Declarations!$B$16*INDEX(AS$21:AS$141,MAX(1,MIN(121,$B92-ROUND(Declarations!$A$16/$D$18,0))))+Declarations!$B$17*INDEX(AS$21:AS$141,MAX(1,MIN(121,$B92-ROUND(Declarations!$A$17/$D$18,0))))+Declarations!$B$18*INDEX(AS$21:AS$141,MAX(1,MIN(121,$B92-ROUND(Declarations!$A$18/$D$18,0))))+Declarations!$B$19*INDEX(AS$21:AS$141,MAX(1,MIN(121,$B92-ROUND(Declarations!$A$19/$D$18,0))))+Declarations!$B$20*INDEX(AS$21:AS$141,MAX(1,MIN(121,$B92-ROUND(Declarations!$A$20/$D$18,0)))))</f>
        <v>-252.867677341663</v>
      </c>
      <c r="AU92" s="12" t="n">
        <f aca="false">INDEX(AT$21:AT$141,$I92+1)*(1-$J92)+INDEX(AT$21:AT$141,$I92+2)*$J92</f>
        <v>-252.517421767039</v>
      </c>
      <c r="AV92" s="12" t="n">
        <f aca="false">INDEX(AT$21:AT$141,$K92+1)*(1-$L92)+INDEX(AT$21:AT$141,$K92+2)*$L92</f>
        <v>-253.286507376627</v>
      </c>
      <c r="AW92" s="12" t="n">
        <f aca="false">$C92+$D92+MAX(AU92,AV92,IF(COUNTIFS($A$21:$A$141,"&gt;="&amp;$G92,$A$21:$A$141,"&lt;="&amp;$H92)&gt;0,_xlfn.MAXIFS(AT$21:AT$141,$A$21:$A$141,"&gt;="&amp;$G92,$A$21:$A$141,"&lt;="&amp;$H92),AU92))</f>
        <v>-27.2924217670391</v>
      </c>
      <c r="AX92" s="12" t="n">
        <f aca="false">-Cost_k*$A92+Beta_q*(Declarations!$B$16*INDEX(AW$21:AW$141,MAX(1,MIN(121,$B92-ROUND(Declarations!$A$16/$D$18,0))))+Declarations!$B$17*INDEX(AW$21:AW$141,MAX(1,MIN(121,$B92-ROUND(Declarations!$A$17/$D$18,0))))+Declarations!$B$18*INDEX(AW$21:AW$141,MAX(1,MIN(121,$B92-ROUND(Declarations!$A$18/$D$18,0))))+Declarations!$B$19*INDEX(AW$21:AW$141,MAX(1,MIN(121,$B92-ROUND(Declarations!$A$19/$D$18,0))))+Declarations!$B$20*INDEX(AW$21:AW$141,MAX(1,MIN(121,$B92-ROUND(Declarations!$A$20/$D$18,0)))))</f>
        <v>-257.680353539781</v>
      </c>
      <c r="AY92" s="12" t="n">
        <f aca="false">INDEX(AX$21:AX$141,$I92+1)*(1-$J92)+INDEX(AX$21:AX$141,$I92+2)*$J92</f>
        <v>-257.33039865504</v>
      </c>
      <c r="AZ92" s="12" t="n">
        <f aca="false">INDEX(AX$21:AX$141,$K92+1)*(1-$L92)+INDEX(AX$21:AX$141,$K92+2)*$L92</f>
        <v>-258.096117222702</v>
      </c>
      <c r="BA92" s="12" t="n">
        <f aca="false">$C92+$D92+MAX(AY92,AZ92,IF(COUNTIFS($A$21:$A$141,"&gt;="&amp;$G92,$A$21:$A$141,"&lt;="&amp;$H92)&gt;0,_xlfn.MAXIFS(AX$21:AX$141,$A$21:$A$141,"&gt;="&amp;$G92,$A$21:$A$141,"&lt;="&amp;$H92),AY92))</f>
        <v>-32.1053986550398</v>
      </c>
      <c r="BB92" s="12" t="n">
        <f aca="false">-Cost_k*$A92+Beta_q*(Declarations!$B$16*INDEX(BA$21:BA$141,MAX(1,MIN(121,$B92-ROUND(Declarations!$A$16/$D$18,0))))+Declarations!$B$17*INDEX(BA$21:BA$141,MAX(1,MIN(121,$B92-ROUND(Declarations!$A$17/$D$18,0))))+Declarations!$B$18*INDEX(BA$21:BA$141,MAX(1,MIN(121,$B92-ROUND(Declarations!$A$18/$D$18,0))))+Declarations!$B$19*INDEX(BA$21:BA$141,MAX(1,MIN(121,$B92-ROUND(Declarations!$A$19/$D$18,0))))+Declarations!$B$20*INDEX(BA$21:BA$141,MAX(1,MIN(121,$B92-ROUND(Declarations!$A$20/$D$18,0)))))</f>
        <v>-262.379982464097</v>
      </c>
      <c r="BC92" s="12" t="n">
        <f aca="false">INDEX(BB$21:BB$141,$I92+1)*(1-$J92)+INDEX(BB$21:BB$141,$I92+2)*$J92</f>
        <v>-262.030056820431</v>
      </c>
      <c r="BD92" s="12" t="n">
        <f aca="false">INDEX(BB$21:BB$141,$K92+1)*(1-$L92)+INDEX(BB$21:BB$141,$K92+2)*$L92</f>
        <v>-262.795412642812</v>
      </c>
      <c r="BE92" s="12" t="n">
        <f aca="false">$C92+$D92+MAX(BC92,BD92,IF(COUNTIFS($A$21:$A$141,"&gt;="&amp;$G92,$A$21:$A$141,"&lt;="&amp;$H92)&gt;0,_xlfn.MAXIFS(BB$21:BB$141,$A$21:$A$141,"&gt;="&amp;$G92,$A$21:$A$141,"&lt;="&amp;$H92),BC92))</f>
        <v>-36.8050568204314</v>
      </c>
      <c r="BF92" s="12" t="n">
        <f aca="false">-Cost_k*$A92+Beta_q*(Declarations!$B$16*INDEX(BE$21:BE$141,MAX(1,MIN(121,$B92-ROUND(Declarations!$A$16/$D$18,0))))+Declarations!$B$17*INDEX(BE$21:BE$141,MAX(1,MIN(121,$B92-ROUND(Declarations!$A$17/$D$18,0))))+Declarations!$B$18*INDEX(BE$21:BE$141,MAX(1,MIN(121,$B92-ROUND(Declarations!$A$18/$D$18,0))))+Declarations!$B$19*INDEX(BE$21:BE$141,MAX(1,MIN(121,$B92-ROUND(Declarations!$A$19/$D$18,0))))+Declarations!$B$20*INDEX(BE$21:BE$141,MAX(1,MIN(121,$B92-ROUND(Declarations!$A$20/$D$18,0)))))</f>
        <v>-266.968980817171</v>
      </c>
      <c r="BG92" s="12" t="n">
        <f aca="false">INDEX(BF$21:BF$141,$I92+1)*(1-$J92)+INDEX(BF$21:BF$141,$I92+2)*$J92</f>
        <v>-266.619058202613</v>
      </c>
      <c r="BH92" s="12" t="n">
        <f aca="false">INDEX(BF$21:BF$141,$K92+1)*(1-$L92)+INDEX(BF$21:BF$141,$K92+2)*$L92</f>
        <v>-267.384376567527</v>
      </c>
      <c r="BI92" s="12" t="n">
        <f aca="false">$C92+$D92+MAX(BG92,BH92,IF(COUNTIFS($A$21:$A$141,"&gt;="&amp;$G92,$A$21:$A$141,"&lt;="&amp;$H92)&gt;0,_xlfn.MAXIFS(BF$21:BF$141,$A$21:$A$141,"&gt;="&amp;$G92,$A$21:$A$141,"&lt;="&amp;$H92),BG92))</f>
        <v>-41.3940582026132</v>
      </c>
      <c r="BJ92" s="23" t="n">
        <v>-41.3940582026132</v>
      </c>
      <c r="BK92" s="22" t="n">
        <f aca="false">ABS(BI92-BJ92)</f>
        <v>0</v>
      </c>
    </row>
    <row r="93" customFormat="false" ht="15" hidden="false" customHeight="false" outlineLevel="0" collapsed="false">
      <c r="A93" s="14" t="n">
        <f aca="false">A92+$D$18</f>
        <v>58</v>
      </c>
      <c r="B93" s="19" t="n">
        <v>73</v>
      </c>
      <c r="C93" s="12" t="n">
        <f aca="false">-Short_p*MAX(Floor_c-A93,0)</f>
        <v>-0</v>
      </c>
      <c r="D93" s="12" t="n">
        <f aca="false">Cost_k*Alpha_keep*A93</f>
        <v>226.2</v>
      </c>
      <c r="E93" s="12" t="n">
        <f aca="false">MIN(Cap_h,MAX(0,$B$18+MAX(Loss_w)-Alpha_keep*A93))</f>
        <v>0</v>
      </c>
      <c r="F93" s="12" t="n">
        <f aca="false">MAX(MIN(Cap_h,$F$18+MIN(Loss_w)-Alpha_keep*A93),E93)</f>
        <v>2.5</v>
      </c>
      <c r="G93" s="12" t="n">
        <f aca="false">Alpha_keep*A93+E93</f>
        <v>56.55</v>
      </c>
      <c r="H93" s="12" t="n">
        <f aca="false">Alpha_keep*A93+F93</f>
        <v>59.05</v>
      </c>
      <c r="I93" s="19" t="n">
        <f aca="false">MIN(INT((G93-$B$18)/$D$18+0.000000001),119)</f>
        <v>66</v>
      </c>
      <c r="J93" s="12" t="n">
        <f aca="false">(G93-$B$18)/$D$18-I93</f>
        <v>0.199999999999989</v>
      </c>
      <c r="K93" s="19" t="n">
        <f aca="false">MIN(INT((H93-$B$18)/$D$18+0.000000001),119)</f>
        <v>76</v>
      </c>
      <c r="L93" s="12" t="n">
        <f aca="false">(H93-$B$18)/$D$18-K93</f>
        <v>0.199999999999989</v>
      </c>
      <c r="M93" s="9" t="n">
        <v>0</v>
      </c>
      <c r="N93" s="12" t="n">
        <f aca="false">-Cost_k*$A93+Beta_q*(Declarations!$B$16*INDEX(M$21:M$141,MAX(1,MIN(121,$B93-ROUND(Declarations!$A$16/$D$18,0))))+Declarations!$B$17*INDEX(M$21:M$141,MAX(1,MIN(121,$B93-ROUND(Declarations!$A$17/$D$18,0))))+Declarations!$B$18*INDEX(M$21:M$141,MAX(1,MIN(121,$B93-ROUND(Declarations!$A$18/$D$18,0))))+Declarations!$B$19*INDEX(M$21:M$141,MAX(1,MIN(121,$B93-ROUND(Declarations!$A$19/$D$18,0))))+Declarations!$B$20*INDEX(M$21:M$141,MAX(1,MIN(121,$B93-ROUND(Declarations!$A$20/$D$18,0)))))</f>
        <v>-232</v>
      </c>
      <c r="O93" s="12" t="n">
        <f aca="false">INDEX(N$21:N$141,$I93+1)*(1-$J93)+INDEX(N$21:N$141,$I93+2)*$J93</f>
        <v>-226.2</v>
      </c>
      <c r="P93" s="12" t="n">
        <f aca="false">INDEX(N$21:N$141,$K93+1)*(1-$L93)+INDEX(N$21:N$141,$K93+2)*$L93</f>
        <v>-236.2</v>
      </c>
      <c r="Q93" s="12" t="n">
        <f aca="false">$C93+$D93+MAX(O93,P93,IF(COUNTIFS($A$21:$A$141,"&gt;="&amp;$G93,$A$21:$A$141,"&lt;="&amp;$H93)&gt;0,_xlfn.MAXIFS(N$21:N$141,$A$21:$A$141,"&gt;="&amp;$G93,$A$21:$A$141,"&lt;="&amp;$H93),O93))</f>
        <v>0</v>
      </c>
      <c r="R93" s="12" t="n">
        <f aca="false">-Cost_k*$A93+Beta_q*(Declarations!$B$16*INDEX(Q$21:Q$141,MAX(1,MIN(121,$B93-ROUND(Declarations!$A$16/$D$18,0))))+Declarations!$B$17*INDEX(Q$21:Q$141,MAX(1,MIN(121,$B93-ROUND(Declarations!$A$17/$D$18,0))))+Declarations!$B$18*INDEX(Q$21:Q$141,MAX(1,MIN(121,$B93-ROUND(Declarations!$A$18/$D$18,0))))+Declarations!$B$19*INDEX(Q$21:Q$141,MAX(1,MIN(121,$B93-ROUND(Declarations!$A$19/$D$18,0))))+Declarations!$B$20*INDEX(Q$21:Q$141,MAX(1,MIN(121,$B93-ROUND(Declarations!$A$20/$D$18,0)))))</f>
        <v>-232</v>
      </c>
      <c r="S93" s="12" t="n">
        <f aca="false">INDEX(R$21:R$141,$I93+1)*(1-$J93)+INDEX(R$21:R$141,$I93+2)*$J93</f>
        <v>-226.2</v>
      </c>
      <c r="T93" s="12" t="n">
        <f aca="false">INDEX(R$21:R$141,$K93+1)*(1-$L93)+INDEX(R$21:R$141,$K93+2)*$L93</f>
        <v>-236.2</v>
      </c>
      <c r="U93" s="12" t="n">
        <f aca="false">$C93+$D93+MAX(S93,T93,IF(COUNTIFS($A$21:$A$141,"&gt;="&amp;$G93,$A$21:$A$141,"&lt;="&amp;$H93)&gt;0,_xlfn.MAXIFS(R$21:R$141,$A$21:$A$141,"&gt;="&amp;$G93,$A$21:$A$141,"&lt;="&amp;$H93),S93))</f>
        <v>0</v>
      </c>
      <c r="V93" s="12" t="n">
        <f aca="false">-Cost_k*$A93+Beta_q*(Declarations!$B$16*INDEX(U$21:U$141,MAX(1,MIN(121,$B93-ROUND(Declarations!$A$16/$D$18,0))))+Declarations!$B$17*INDEX(U$21:U$141,MAX(1,MIN(121,$B93-ROUND(Declarations!$A$17/$D$18,0))))+Declarations!$B$18*INDEX(U$21:U$141,MAX(1,MIN(121,$B93-ROUND(Declarations!$A$18/$D$18,0))))+Declarations!$B$19*INDEX(U$21:U$141,MAX(1,MIN(121,$B93-ROUND(Declarations!$A$19/$D$18,0))))+Declarations!$B$20*INDEX(U$21:U$141,MAX(1,MIN(121,$B93-ROUND(Declarations!$A$20/$D$18,0)))))</f>
        <v>-232.025886509298</v>
      </c>
      <c r="W93" s="12" t="n">
        <f aca="false">INDEX(V$21:V$141,$I93+1)*(1-$J93)+INDEX(V$21:V$141,$I93+2)*$J93</f>
        <v>-226.661919253299</v>
      </c>
      <c r="X93" s="12" t="n">
        <f aca="false">INDEX(V$21:V$141,$K93+1)*(1-$L93)+INDEX(V$21:V$141,$K93+2)*$L93</f>
        <v>-236.201482634326</v>
      </c>
      <c r="Y93" s="12" t="n">
        <f aca="false">$C93+$D93+MAX(W93,X93,IF(COUNTIFS($A$21:$A$141,"&gt;="&amp;$G93,$A$21:$A$141,"&lt;="&amp;$H93)&gt;0,_xlfn.MAXIFS(V$21:V$141,$A$21:$A$141,"&gt;="&amp;$G93,$A$21:$A$141,"&lt;="&amp;$H93),W93))</f>
        <v>-0.461919253298873</v>
      </c>
      <c r="Z93" s="12" t="n">
        <f aca="false">-Cost_k*$A93+Beta_q*(Declarations!$B$16*INDEX(Y$21:Y$141,MAX(1,MIN(121,$B93-ROUND(Declarations!$A$16/$D$18,0))))+Declarations!$B$17*INDEX(Y$21:Y$141,MAX(1,MIN(121,$B93-ROUND(Declarations!$A$17/$D$18,0))))+Declarations!$B$18*INDEX(Y$21:Y$141,MAX(1,MIN(121,$B93-ROUND(Declarations!$A$18/$D$18,0))))+Declarations!$B$19*INDEX(Y$21:Y$141,MAX(1,MIN(121,$B93-ROUND(Declarations!$A$19/$D$18,0))))+Declarations!$B$20*INDEX(Y$21:Y$141,MAX(1,MIN(121,$B93-ROUND(Declarations!$A$20/$D$18,0)))))</f>
        <v>-232.596786715261</v>
      </c>
      <c r="AA93" s="12" t="n">
        <f aca="false">INDEX(Z$21:Z$141,$I93+1)*(1-$J93)+INDEX(Z$21:Z$141,$I93+2)*$J93</f>
        <v>-228.634826595845</v>
      </c>
      <c r="AB93" s="12" t="n">
        <f aca="false">INDEX(Z$21:Z$141,$K93+1)*(1-$L93)+INDEX(Z$21:Z$141,$K93+2)*$L93</f>
        <v>-236.350171710805</v>
      </c>
      <c r="AC93" s="12" t="n">
        <f aca="false">$C93+$D93+MAX(AA93,AB93,IF(COUNTIFS($A$21:$A$141,"&gt;="&amp;$G93,$A$21:$A$141,"&lt;="&amp;$H93)&gt;0,_xlfn.MAXIFS(Z$21:Z$141,$A$21:$A$141,"&gt;="&amp;$G93,$A$21:$A$141,"&lt;="&amp;$H93),AA93))</f>
        <v>-2.43482659584521</v>
      </c>
      <c r="AD93" s="12" t="n">
        <f aca="false">-Cost_k*$A93+Beta_q*(Declarations!$B$16*INDEX(AC$21:AC$141,MAX(1,MIN(121,$B93-ROUND(Declarations!$A$16/$D$18,0))))+Declarations!$B$17*INDEX(AC$21:AC$141,MAX(1,MIN(121,$B93-ROUND(Declarations!$A$17/$D$18,0))))+Declarations!$B$18*INDEX(AC$21:AC$141,MAX(1,MIN(121,$B93-ROUND(Declarations!$A$18/$D$18,0))))+Declarations!$B$19*INDEX(AC$21:AC$141,MAX(1,MIN(121,$B93-ROUND(Declarations!$A$19/$D$18,0))))+Declarations!$B$20*INDEX(AC$21:AC$141,MAX(1,MIN(121,$B93-ROUND(Declarations!$A$20/$D$18,0)))))</f>
        <v>-234.576206365047</v>
      </c>
      <c r="AE93" s="12" t="n">
        <f aca="false">INDEX(AD$21:AD$141,$I93+1)*(1-$J93)+INDEX(AD$21:AD$141,$I93+2)*$J93</f>
        <v>-232.4002754649</v>
      </c>
      <c r="AF93" s="12" t="n">
        <f aca="false">INDEX(AD$21:AD$141,$K93+1)*(1-$L93)+INDEX(AD$21:AD$141,$K93+2)*$L93</f>
        <v>-237.320179603739</v>
      </c>
      <c r="AG93" s="12" t="n">
        <f aca="false">$C93+$D93+MAX(AE93,AF93,IF(COUNTIFS($A$21:$A$141,"&gt;="&amp;$G93,$A$21:$A$141,"&lt;="&amp;$H93)&gt;0,_xlfn.MAXIFS(AD$21:AD$141,$A$21:$A$141,"&gt;="&amp;$G93,$A$21:$A$141,"&lt;="&amp;$H93),AE93))</f>
        <v>-6.20027546490024</v>
      </c>
      <c r="AH93" s="12" t="n">
        <f aca="false">-Cost_k*$A93+Beta_q*(Declarations!$B$16*INDEX(AG$21:AG$141,MAX(1,MIN(121,$B93-ROUND(Declarations!$A$16/$D$18,0))))+Declarations!$B$17*INDEX(AG$21:AG$141,MAX(1,MIN(121,$B93-ROUND(Declarations!$A$17/$D$18,0))))+Declarations!$B$18*INDEX(AG$21:AG$141,MAX(1,MIN(121,$B93-ROUND(Declarations!$A$18/$D$18,0))))+Declarations!$B$19*INDEX(AG$21:AG$141,MAX(1,MIN(121,$B93-ROUND(Declarations!$A$19/$D$18,0))))+Declarations!$B$20*INDEX(AG$21:AG$141,MAX(1,MIN(121,$B93-ROUND(Declarations!$A$20/$D$18,0)))))</f>
        <v>-238.240617708411</v>
      </c>
      <c r="AI93" s="12" t="n">
        <f aca="false">INDEX(AH$21:AH$141,$I93+1)*(1-$J93)+INDEX(AH$21:AH$141,$I93+2)*$J93</f>
        <v>-237.42968210812</v>
      </c>
      <c r="AJ93" s="12" t="n">
        <f aca="false">INDEX(AH$21:AH$141,$K93+1)*(1-$L93)+INDEX(AH$21:AH$141,$K93+2)*$L93</f>
        <v>-239.773352862743</v>
      </c>
      <c r="AK93" s="12" t="n">
        <f aca="false">$C93+$D93+MAX(AI93,AJ93,IF(COUNTIFS($A$21:$A$141,"&gt;="&amp;$G93,$A$21:$A$141,"&lt;="&amp;$H93)&gt;0,_xlfn.MAXIFS(AH$21:AH$141,$A$21:$A$141,"&gt;="&amp;$G93,$A$21:$A$141,"&lt;="&amp;$H93),AI93))</f>
        <v>-11.2296821081202</v>
      </c>
      <c r="AL93" s="12" t="n">
        <f aca="false">-Cost_k*$A93+Beta_q*(Declarations!$B$16*INDEX(AK$21:AK$141,MAX(1,MIN(121,$B93-ROUND(Declarations!$A$16/$D$18,0))))+Declarations!$B$17*INDEX(AK$21:AK$141,MAX(1,MIN(121,$B93-ROUND(Declarations!$A$17/$D$18,0))))+Declarations!$B$18*INDEX(AK$21:AK$141,MAX(1,MIN(121,$B93-ROUND(Declarations!$A$18/$D$18,0))))+Declarations!$B$19*INDEX(AK$21:AK$141,MAX(1,MIN(121,$B93-ROUND(Declarations!$A$19/$D$18,0))))+Declarations!$B$20*INDEX(AK$21:AK$141,MAX(1,MIN(121,$B93-ROUND(Declarations!$A$20/$D$18,0)))))</f>
        <v>-243.030906607069</v>
      </c>
      <c r="AM93" s="12" t="n">
        <f aca="false">INDEX(AL$21:AL$141,$I93+1)*(1-$J93)+INDEX(AL$21:AL$141,$I93+2)*$J93</f>
        <v>-242.578053703048</v>
      </c>
      <c r="AN93" s="12" t="n">
        <f aca="false">INDEX(AL$21:AL$141,$K93+1)*(1-$L93)+INDEX(AL$21:AL$141,$K93+2)*$L93</f>
        <v>-243.751886853012</v>
      </c>
      <c r="AO93" s="12" t="n">
        <f aca="false">$C93+$D93+MAX(AM93,AN93,IF(COUNTIFS($A$21:$A$141,"&gt;="&amp;$G93,$A$21:$A$141,"&lt;="&amp;$H93)&gt;0,_xlfn.MAXIFS(AL$21:AL$141,$A$21:$A$141,"&gt;="&amp;$G93,$A$21:$A$141,"&lt;="&amp;$H93),AM93))</f>
        <v>-16.3780537030479</v>
      </c>
      <c r="AP93" s="12" t="n">
        <f aca="false">-Cost_k*$A93+Beta_q*(Declarations!$B$16*INDEX(AO$21:AO$141,MAX(1,MIN(121,$B93-ROUND(Declarations!$A$16/$D$18,0))))+Declarations!$B$17*INDEX(AO$21:AO$141,MAX(1,MIN(121,$B93-ROUND(Declarations!$A$17/$D$18,0))))+Declarations!$B$18*INDEX(AO$21:AO$141,MAX(1,MIN(121,$B93-ROUND(Declarations!$A$18/$D$18,0))))+Declarations!$B$19*INDEX(AO$21:AO$141,MAX(1,MIN(121,$B93-ROUND(Declarations!$A$19/$D$18,0))))+Declarations!$B$20*INDEX(AO$21:AO$141,MAX(1,MIN(121,$B93-ROUND(Declarations!$A$20/$D$18,0)))))</f>
        <v>-248.027489577136</v>
      </c>
      <c r="AQ93" s="12" t="n">
        <f aca="false">INDEX(AP$21:AP$141,$I93+1)*(1-$J93)+INDEX(AP$21:AP$141,$I93+2)*$J93</f>
        <v>-247.624216681558</v>
      </c>
      <c r="AR93" s="12" t="n">
        <f aca="false">INDEX(AP$21:AP$141,$K93+1)*(1-$L93)+INDEX(AP$21:AP$141,$K93+2)*$L93</f>
        <v>-248.521021500828</v>
      </c>
      <c r="AS93" s="12" t="n">
        <f aca="false">$C93+$D93+MAX(AQ93,AR93,IF(COUNTIFS($A$21:$A$141,"&gt;="&amp;$G93,$A$21:$A$141,"&lt;="&amp;$H93)&gt;0,_xlfn.MAXIFS(AP$21:AP$141,$A$21:$A$141,"&gt;="&amp;$G93,$A$21:$A$141,"&lt;="&amp;$H93),AQ93))</f>
        <v>-21.4242166815577</v>
      </c>
      <c r="AT93" s="12" t="n">
        <f aca="false">-Cost_k*$A93+Beta_q*(Declarations!$B$16*INDEX(AS$21:AS$141,MAX(1,MIN(121,$B93-ROUND(Declarations!$A$16/$D$18,0))))+Declarations!$B$17*INDEX(AS$21:AS$141,MAX(1,MIN(121,$B93-ROUND(Declarations!$A$17/$D$18,0))))+Declarations!$B$18*INDEX(AS$21:AS$141,MAX(1,MIN(121,$B93-ROUND(Declarations!$A$18/$D$18,0))))+Declarations!$B$19*INDEX(AS$21:AS$141,MAX(1,MIN(121,$B93-ROUND(Declarations!$A$19/$D$18,0))))+Declarations!$B$20*INDEX(AS$21:AS$141,MAX(1,MIN(121,$B93-ROUND(Declarations!$A$20/$D$18,0)))))</f>
        <v>-252.950845177183</v>
      </c>
      <c r="AU93" s="12" t="n">
        <f aca="false">INDEX(AT$21:AT$141,$I93+1)*(1-$J93)+INDEX(AT$21:AT$141,$I93+2)*$J93</f>
        <v>-252.553107075561</v>
      </c>
      <c r="AV93" s="12" t="n">
        <f aca="false">INDEX(AT$21:AT$141,$K93+1)*(1-$L93)+INDEX(AT$21:AT$141,$K93+2)*$L93</f>
        <v>-253.406493673899</v>
      </c>
      <c r="AW93" s="12" t="n">
        <f aca="false">$C93+$D93+MAX(AU93,AV93,IF(COUNTIFS($A$21:$A$141,"&gt;="&amp;$G93,$A$21:$A$141,"&lt;="&amp;$H93)&gt;0,_xlfn.MAXIFS(AT$21:AT$141,$A$21:$A$141,"&gt;="&amp;$G93,$A$21:$A$141,"&lt;="&amp;$H93),AU93))</f>
        <v>-26.3531070755605</v>
      </c>
      <c r="AX93" s="12" t="n">
        <f aca="false">-Cost_k*$A93+Beta_q*(Declarations!$B$16*INDEX(AW$21:AW$141,MAX(1,MIN(121,$B93-ROUND(Declarations!$A$16/$D$18,0))))+Declarations!$B$17*INDEX(AW$21:AW$141,MAX(1,MIN(121,$B93-ROUND(Declarations!$A$17/$D$18,0))))+Declarations!$B$18*INDEX(AW$21:AW$141,MAX(1,MIN(121,$B93-ROUND(Declarations!$A$18/$D$18,0))))+Declarations!$B$19*INDEX(AW$21:AW$141,MAX(1,MIN(121,$B93-ROUND(Declarations!$A$19/$D$18,0))))+Declarations!$B$20*INDEX(AW$21:AW$141,MAX(1,MIN(121,$B93-ROUND(Declarations!$A$20/$D$18,0)))))</f>
        <v>-257.763253894066</v>
      </c>
      <c r="AY93" s="12" t="n">
        <f aca="false">INDEX(AX$21:AX$141,$I93+1)*(1-$J93)+INDEX(AX$21:AX$141,$I93+2)*$J93</f>
        <v>-257.366076994756</v>
      </c>
      <c r="AZ93" s="12" t="n">
        <f aca="false">INDEX(AX$21:AX$141,$K93+1)*(1-$L93)+INDEX(AX$21:AX$141,$K93+2)*$L93</f>
        <v>-258.214002369457</v>
      </c>
      <c r="BA93" s="12" t="n">
        <f aca="false">$C93+$D93+MAX(AY93,AZ93,IF(COUNTIFS($A$21:$A$141,"&gt;="&amp;$G93,$A$21:$A$141,"&lt;="&amp;$H93)&gt;0,_xlfn.MAXIFS(AX$21:AX$141,$A$21:$A$141,"&gt;="&amp;$G93,$A$21:$A$141,"&lt;="&amp;$H93),AY93))</f>
        <v>-31.1660769947562</v>
      </c>
      <c r="BB93" s="12" t="n">
        <f aca="false">-Cost_k*$A93+Beta_q*(Declarations!$B$16*INDEX(BA$21:BA$141,MAX(1,MIN(121,$B93-ROUND(Declarations!$A$16/$D$18,0))))+Declarations!$B$17*INDEX(BA$21:BA$141,MAX(1,MIN(121,$B93-ROUND(Declarations!$A$17/$D$18,0))))+Declarations!$B$18*INDEX(BA$21:BA$141,MAX(1,MIN(121,$B93-ROUND(Declarations!$A$18/$D$18,0))))+Declarations!$B$19*INDEX(BA$21:BA$141,MAX(1,MIN(121,$B93-ROUND(Declarations!$A$19/$D$18,0))))+Declarations!$B$20*INDEX(BA$21:BA$141,MAX(1,MIN(121,$B93-ROUND(Declarations!$A$20/$D$18,0)))))</f>
        <v>-262.462856131206</v>
      </c>
      <c r="BC93" s="12" t="n">
        <f aca="false">INDEX(BB$21:BB$141,$I93+1)*(1-$J93)+INDEX(BB$21:BB$141,$I93+2)*$J93</f>
        <v>-262.065734442313</v>
      </c>
      <c r="BD93" s="12" t="n">
        <f aca="false">INDEX(BB$21:BB$141,$K93+1)*(1-$L93)+INDEX(BB$21:BB$141,$K93+2)*$L93</f>
        <v>-262.913051860495</v>
      </c>
      <c r="BE93" s="12" t="n">
        <f aca="false">$C93+$D93+MAX(BC93,BD93,IF(COUNTIFS($A$21:$A$141,"&gt;="&amp;$G93,$A$21:$A$141,"&lt;="&amp;$H93)&gt;0,_xlfn.MAXIFS(BB$21:BB$141,$A$21:$A$141,"&gt;="&amp;$G93,$A$21:$A$141,"&lt;="&amp;$H93),BC93))</f>
        <v>-35.8657344423133</v>
      </c>
      <c r="BF93" s="12" t="n">
        <f aca="false">-Cost_k*$A93+Beta_q*(Declarations!$B$16*INDEX(BE$21:BE$141,MAX(1,MIN(121,$B93-ROUND(Declarations!$A$16/$D$18,0))))+Declarations!$B$17*INDEX(BE$21:BE$141,MAX(1,MIN(121,$B93-ROUND(Declarations!$A$17/$D$18,0))))+Declarations!$B$18*INDEX(BE$21:BE$141,MAX(1,MIN(121,$B93-ROUND(Declarations!$A$18/$D$18,0))))+Declarations!$B$19*INDEX(BE$21:BE$141,MAX(1,MIN(121,$B93-ROUND(Declarations!$A$19/$D$18,0))))+Declarations!$B$20*INDEX(BE$21:BE$141,MAX(1,MIN(121,$B93-ROUND(Declarations!$A$20/$D$18,0)))))</f>
        <v>-267.051851828894</v>
      </c>
      <c r="BG93" s="12" t="n">
        <f aca="false">INDEX(BF$21:BF$141,$I93+1)*(1-$J93)+INDEX(BF$21:BF$141,$I93+2)*$J93</f>
        <v>-266.654735737194</v>
      </c>
      <c r="BH93" s="12" t="n">
        <f aca="false">INDEX(BF$21:BF$141,$K93+1)*(1-$L93)+INDEX(BF$21:BF$141,$K93+2)*$L93</f>
        <v>-267.501989329898</v>
      </c>
      <c r="BI93" s="12" t="n">
        <f aca="false">$C93+$D93+MAX(BG93,BH93,IF(COUNTIFS($A$21:$A$141,"&gt;="&amp;$G93,$A$21:$A$141,"&lt;="&amp;$H93)&gt;0,_xlfn.MAXIFS(BF$21:BF$141,$A$21:$A$141,"&gt;="&amp;$G93,$A$21:$A$141,"&lt;="&amp;$H93),BG93))</f>
        <v>-40.4547357371936</v>
      </c>
      <c r="BJ93" s="23" t="n">
        <v>-40.4547357371935</v>
      </c>
      <c r="BK93" s="22" t="n">
        <f aca="false">ABS(BI93-BJ93)</f>
        <v>0</v>
      </c>
    </row>
    <row r="94" customFormat="false" ht="15" hidden="false" customHeight="false" outlineLevel="0" collapsed="false">
      <c r="A94" s="14" t="n">
        <f aca="false">A93+$D$18</f>
        <v>58.25</v>
      </c>
      <c r="B94" s="19" t="n">
        <v>74</v>
      </c>
      <c r="C94" s="12" t="n">
        <f aca="false">-Short_p*MAX(Floor_c-A94,0)</f>
        <v>-0</v>
      </c>
      <c r="D94" s="12" t="n">
        <f aca="false">Cost_k*Alpha_keep*A94</f>
        <v>227.175</v>
      </c>
      <c r="E94" s="12" t="n">
        <f aca="false">MIN(Cap_h,MAX(0,$B$18+MAX(Loss_w)-Alpha_keep*A94))</f>
        <v>0</v>
      </c>
      <c r="F94" s="12" t="n">
        <f aca="false">MAX(MIN(Cap_h,$F$18+MIN(Loss_w)-Alpha_keep*A94),E94)</f>
        <v>2.5</v>
      </c>
      <c r="G94" s="12" t="n">
        <f aca="false">Alpha_keep*A94+E94</f>
        <v>56.79375</v>
      </c>
      <c r="H94" s="12" t="n">
        <f aca="false">Alpha_keep*A94+F94</f>
        <v>59.29375</v>
      </c>
      <c r="I94" s="19" t="n">
        <f aca="false">MIN(INT((G94-$B$18)/$D$18+0.000000001),119)</f>
        <v>67</v>
      </c>
      <c r="J94" s="12" t="n">
        <f aca="false">(G94-$B$18)/$D$18-I94</f>
        <v>0.174999999999983</v>
      </c>
      <c r="K94" s="19" t="n">
        <f aca="false">MIN(INT((H94-$B$18)/$D$18+0.000000001),119)</f>
        <v>77</v>
      </c>
      <c r="L94" s="12" t="n">
        <f aca="false">(H94-$B$18)/$D$18-K94</f>
        <v>0.174999999999983</v>
      </c>
      <c r="M94" s="9" t="n">
        <v>0</v>
      </c>
      <c r="N94" s="12" t="n">
        <f aca="false">-Cost_k*$A94+Beta_q*(Declarations!$B$16*INDEX(M$21:M$141,MAX(1,MIN(121,$B94-ROUND(Declarations!$A$16/$D$18,0))))+Declarations!$B$17*INDEX(M$21:M$141,MAX(1,MIN(121,$B94-ROUND(Declarations!$A$17/$D$18,0))))+Declarations!$B$18*INDEX(M$21:M$141,MAX(1,MIN(121,$B94-ROUND(Declarations!$A$18/$D$18,0))))+Declarations!$B$19*INDEX(M$21:M$141,MAX(1,MIN(121,$B94-ROUND(Declarations!$A$19/$D$18,0))))+Declarations!$B$20*INDEX(M$21:M$141,MAX(1,MIN(121,$B94-ROUND(Declarations!$A$20/$D$18,0)))))</f>
        <v>-233</v>
      </c>
      <c r="O94" s="12" t="n">
        <f aca="false">INDEX(N$21:N$141,$I94+1)*(1-$J94)+INDEX(N$21:N$141,$I94+2)*$J94</f>
        <v>-227.175</v>
      </c>
      <c r="P94" s="12" t="n">
        <f aca="false">INDEX(N$21:N$141,$K94+1)*(1-$L94)+INDEX(N$21:N$141,$K94+2)*$L94</f>
        <v>-237.175</v>
      </c>
      <c r="Q94" s="12" t="n">
        <f aca="false">$C94+$D94+MAX(O94,P94,IF(COUNTIFS($A$21:$A$141,"&gt;="&amp;$G94,$A$21:$A$141,"&lt;="&amp;$H94)&gt;0,_xlfn.MAXIFS(N$21:N$141,$A$21:$A$141,"&gt;="&amp;$G94,$A$21:$A$141,"&lt;="&amp;$H94),O94))</f>
        <v>0</v>
      </c>
      <c r="R94" s="12" t="n">
        <f aca="false">-Cost_k*$A94+Beta_q*(Declarations!$B$16*INDEX(Q$21:Q$141,MAX(1,MIN(121,$B94-ROUND(Declarations!$A$16/$D$18,0))))+Declarations!$B$17*INDEX(Q$21:Q$141,MAX(1,MIN(121,$B94-ROUND(Declarations!$A$17/$D$18,0))))+Declarations!$B$18*INDEX(Q$21:Q$141,MAX(1,MIN(121,$B94-ROUND(Declarations!$A$18/$D$18,0))))+Declarations!$B$19*INDEX(Q$21:Q$141,MAX(1,MIN(121,$B94-ROUND(Declarations!$A$19/$D$18,0))))+Declarations!$B$20*INDEX(Q$21:Q$141,MAX(1,MIN(121,$B94-ROUND(Declarations!$A$20/$D$18,0)))))</f>
        <v>-233</v>
      </c>
      <c r="S94" s="12" t="n">
        <f aca="false">INDEX(R$21:R$141,$I94+1)*(1-$J94)+INDEX(R$21:R$141,$I94+2)*$J94</f>
        <v>-227.175</v>
      </c>
      <c r="T94" s="12" t="n">
        <f aca="false">INDEX(R$21:R$141,$K94+1)*(1-$L94)+INDEX(R$21:R$141,$K94+2)*$L94</f>
        <v>-237.175</v>
      </c>
      <c r="U94" s="12" t="n">
        <f aca="false">$C94+$D94+MAX(S94,T94,IF(COUNTIFS($A$21:$A$141,"&gt;="&amp;$G94,$A$21:$A$141,"&lt;="&amp;$H94)&gt;0,_xlfn.MAXIFS(R$21:R$141,$A$21:$A$141,"&gt;="&amp;$G94,$A$21:$A$141,"&lt;="&amp;$H94),S94))</f>
        <v>0</v>
      </c>
      <c r="V94" s="12" t="n">
        <f aca="false">-Cost_k*$A94+Beta_q*(Declarations!$B$16*INDEX(U$21:U$141,MAX(1,MIN(121,$B94-ROUND(Declarations!$A$16/$D$18,0))))+Declarations!$B$17*INDEX(U$21:U$141,MAX(1,MIN(121,$B94-ROUND(Declarations!$A$17/$D$18,0))))+Declarations!$B$18*INDEX(U$21:U$141,MAX(1,MIN(121,$B94-ROUND(Declarations!$A$18/$D$18,0))))+Declarations!$B$19*INDEX(U$21:U$141,MAX(1,MIN(121,$B94-ROUND(Declarations!$A$19/$D$18,0))))+Declarations!$B$20*INDEX(U$21:U$141,MAX(1,MIN(121,$B94-ROUND(Declarations!$A$20/$D$18,0)))))</f>
        <v>-233.017519875077</v>
      </c>
      <c r="W94" s="12" t="n">
        <f aca="false">INDEX(V$21:V$141,$I94+1)*(1-$J94)+INDEX(V$21:V$141,$I94+2)*$J94</f>
        <v>-227.51636999857</v>
      </c>
      <c r="X94" s="12" t="n">
        <f aca="false">INDEX(V$21:V$141,$K94+1)*(1-$L94)+INDEX(V$21:V$141,$K94+2)*$L94</f>
        <v>-237.175609620143</v>
      </c>
      <c r="Y94" s="12" t="n">
        <f aca="false">$C94+$D94+MAX(W94,X94,IF(COUNTIFS($A$21:$A$141,"&gt;="&amp;$G94,$A$21:$A$141,"&lt;="&amp;$H94)&gt;0,_xlfn.MAXIFS(V$21:V$141,$A$21:$A$141,"&gt;="&amp;$G94,$A$21:$A$141,"&lt;="&amp;$H94),W94))</f>
        <v>-0.341369998569945</v>
      </c>
      <c r="Z94" s="12" t="n">
        <f aca="false">-Cost_k*$A94+Beta_q*(Declarations!$B$16*INDEX(Y$21:Y$141,MAX(1,MIN(121,$B94-ROUND(Declarations!$A$16/$D$18,0))))+Declarations!$B$17*INDEX(Y$21:Y$141,MAX(1,MIN(121,$B94-ROUND(Declarations!$A$17/$D$18,0))))+Declarations!$B$18*INDEX(Y$21:Y$141,MAX(1,MIN(121,$B94-ROUND(Declarations!$A$18/$D$18,0))))+Declarations!$B$19*INDEX(Y$21:Y$141,MAX(1,MIN(121,$B94-ROUND(Declarations!$A$19/$D$18,0))))+Declarations!$B$20*INDEX(Y$21:Y$141,MAX(1,MIN(121,$B94-ROUND(Declarations!$A$20/$D$18,0)))))</f>
        <v>-233.45823015201</v>
      </c>
      <c r="AA94" s="12" t="n">
        <f aca="false">INDEX(Z$21:Z$141,$I94+1)*(1-$J94)+INDEX(Z$21:Z$141,$I94+2)*$J94</f>
        <v>-229.201007255264</v>
      </c>
      <c r="AB94" s="12" t="n">
        <f aca="false">INDEX(Z$21:Z$141,$K94+1)*(1-$L94)+INDEX(Z$21:Z$141,$K94+2)*$L94</f>
        <v>-237.272667983166</v>
      </c>
      <c r="AC94" s="12" t="n">
        <f aca="false">$C94+$D94+MAX(AA94,AB94,IF(COUNTIFS($A$21:$A$141,"&gt;="&amp;$G94,$A$21:$A$141,"&lt;="&amp;$H94)&gt;0,_xlfn.MAXIFS(Z$21:Z$141,$A$21:$A$141,"&gt;="&amp;$G94,$A$21:$A$141,"&lt;="&amp;$H94),AA94))</f>
        <v>-2.02600725526449</v>
      </c>
      <c r="AD94" s="12" t="n">
        <f aca="false">-Cost_k*$A94+Beta_q*(Declarations!$B$16*INDEX(AC$21:AC$141,MAX(1,MIN(121,$B94-ROUND(Declarations!$A$16/$D$18,0))))+Declarations!$B$17*INDEX(AC$21:AC$141,MAX(1,MIN(121,$B94-ROUND(Declarations!$A$17/$D$18,0))))+Declarations!$B$18*INDEX(AC$21:AC$141,MAX(1,MIN(121,$B94-ROUND(Declarations!$A$18/$D$18,0))))+Declarations!$B$19*INDEX(AC$21:AC$141,MAX(1,MIN(121,$B94-ROUND(Declarations!$A$19/$D$18,0))))+Declarations!$B$20*INDEX(AC$21:AC$141,MAX(1,MIN(121,$B94-ROUND(Declarations!$A$20/$D$18,0)))))</f>
        <v>-235.167913889687</v>
      </c>
      <c r="AE94" s="12" t="n">
        <f aca="false">INDEX(AD$21:AD$141,$I94+1)*(1-$J94)+INDEX(AD$21:AD$141,$I94+2)*$J94</f>
        <v>-232.653332512981</v>
      </c>
      <c r="AF94" s="12" t="n">
        <f aca="false">INDEX(AD$21:AD$141,$K94+1)*(1-$L94)+INDEX(AD$21:AD$141,$K94+2)*$L94</f>
        <v>-238.055291574549</v>
      </c>
      <c r="AG94" s="12" t="n">
        <f aca="false">$C94+$D94+MAX(AE94,AF94,IF(COUNTIFS($A$21:$A$141,"&gt;="&amp;$G94,$A$21:$A$141,"&lt;="&amp;$H94)&gt;0,_xlfn.MAXIFS(AD$21:AD$141,$A$21:$A$141,"&gt;="&amp;$G94,$A$21:$A$141,"&lt;="&amp;$H94),AE94))</f>
        <v>-5.47833251298098</v>
      </c>
      <c r="AH94" s="12" t="n">
        <f aca="false">-Cost_k*$A94+Beta_q*(Declarations!$B$16*INDEX(AG$21:AG$141,MAX(1,MIN(121,$B94-ROUND(Declarations!$A$16/$D$18,0))))+Declarations!$B$17*INDEX(AG$21:AG$141,MAX(1,MIN(121,$B94-ROUND(Declarations!$A$17/$D$18,0))))+Declarations!$B$18*INDEX(AG$21:AG$141,MAX(1,MIN(121,$B94-ROUND(Declarations!$A$18/$D$18,0))))+Declarations!$B$19*INDEX(AG$21:AG$141,MAX(1,MIN(121,$B94-ROUND(Declarations!$A$19/$D$18,0))))+Declarations!$B$20*INDEX(AG$21:AG$141,MAX(1,MIN(121,$B94-ROUND(Declarations!$A$20/$D$18,0)))))</f>
        <v>-238.538917727898</v>
      </c>
      <c r="AI94" s="12" t="n">
        <f aca="false">INDEX(AH$21:AH$141,$I94+1)*(1-$J94)+INDEX(AH$21:AH$141,$I94+2)*$J94</f>
        <v>-237.50608662517</v>
      </c>
      <c r="AJ94" s="12" t="n">
        <f aca="false">INDEX(AH$21:AH$141,$K94+1)*(1-$L94)+INDEX(AH$21:AH$141,$K94+2)*$L94</f>
        <v>-240.240579034031</v>
      </c>
      <c r="AK94" s="12" t="n">
        <f aca="false">$C94+$D94+MAX(AI94,AJ94,IF(COUNTIFS($A$21:$A$141,"&gt;="&amp;$G94,$A$21:$A$141,"&lt;="&amp;$H94)&gt;0,_xlfn.MAXIFS(AH$21:AH$141,$A$21:$A$141,"&gt;="&amp;$G94,$A$21:$A$141,"&lt;="&amp;$H94),AI94))</f>
        <v>-10.3310866251703</v>
      </c>
      <c r="AL94" s="12" t="n">
        <f aca="false">-Cost_k*$A94+Beta_q*(Declarations!$B$16*INDEX(AK$21:AK$141,MAX(1,MIN(121,$B94-ROUND(Declarations!$A$16/$D$18,0))))+Declarations!$B$17*INDEX(AK$21:AK$141,MAX(1,MIN(121,$B94-ROUND(Declarations!$A$17/$D$18,0))))+Declarations!$B$18*INDEX(AK$21:AK$141,MAX(1,MIN(121,$B94-ROUND(Declarations!$A$18/$D$18,0))))+Declarations!$B$19*INDEX(AK$21:AK$141,MAX(1,MIN(121,$B94-ROUND(Declarations!$A$19/$D$18,0))))+Declarations!$B$20*INDEX(AK$21:AK$141,MAX(1,MIN(121,$B94-ROUND(Declarations!$A$20/$D$18,0)))))</f>
        <v>-243.167357499281</v>
      </c>
      <c r="AM94" s="12" t="n">
        <f aca="false">INDEX(AL$21:AL$141,$I94+1)*(1-$J94)+INDEX(AL$21:AL$141,$I94+2)*$J94</f>
        <v>-242.634534626828</v>
      </c>
      <c r="AN94" s="12" t="n">
        <f aca="false">INDEX(AL$21:AL$141,$K94+1)*(1-$L94)+INDEX(AL$21:AL$141,$K94+2)*$L94</f>
        <v>-243.986252501383</v>
      </c>
      <c r="AO94" s="12" t="n">
        <f aca="false">$C94+$D94+MAX(AM94,AN94,IF(COUNTIFS($A$21:$A$141,"&gt;="&amp;$G94,$A$21:$A$141,"&lt;="&amp;$H94)&gt;0,_xlfn.MAXIFS(AL$21:AL$141,$A$21:$A$141,"&gt;="&amp;$G94,$A$21:$A$141,"&lt;="&amp;$H94),AM94))</f>
        <v>-15.4595346268279</v>
      </c>
      <c r="AP94" s="12" t="n">
        <f aca="false">-Cost_k*$A94+Beta_q*(Declarations!$B$16*INDEX(AO$21:AO$141,MAX(1,MIN(121,$B94-ROUND(Declarations!$A$16/$D$18,0))))+Declarations!$B$17*INDEX(AO$21:AO$141,MAX(1,MIN(121,$B94-ROUND(Declarations!$A$17/$D$18,0))))+Declarations!$B$18*INDEX(AO$21:AO$141,MAX(1,MIN(121,$B94-ROUND(Declarations!$A$18/$D$18,0))))+Declarations!$B$19*INDEX(AO$21:AO$141,MAX(1,MIN(121,$B94-ROUND(Declarations!$A$19/$D$18,0))))+Declarations!$B$20*INDEX(AO$21:AO$141,MAX(1,MIN(121,$B94-ROUND(Declarations!$A$20/$D$18,0)))))</f>
        <v>-248.131227723279</v>
      </c>
      <c r="AQ94" s="12" t="n">
        <f aca="false">INDEX(AP$21:AP$141,$I94+1)*(1-$J94)+INDEX(AP$21:AP$141,$I94+2)*$J94</f>
        <v>-247.678910625665</v>
      </c>
      <c r="AR94" s="12" t="n">
        <f aca="false">INDEX(AP$21:AP$141,$K94+1)*(1-$L94)+INDEX(AP$21:AP$141,$K94+2)*$L94</f>
        <v>-248.663003703918</v>
      </c>
      <c r="AS94" s="12" t="n">
        <f aca="false">$C94+$D94+MAX(AQ94,AR94,IF(COUNTIFS($A$21:$A$141,"&gt;="&amp;$G94,$A$21:$A$141,"&lt;="&amp;$H94)&gt;0,_xlfn.MAXIFS(AP$21:AP$141,$A$21:$A$141,"&gt;="&amp;$G94,$A$21:$A$141,"&lt;="&amp;$H94),AQ94))</f>
        <v>-20.5039106256648</v>
      </c>
      <c r="AT94" s="12" t="n">
        <f aca="false">-Cost_k*$A94+Beta_q*(Declarations!$B$16*INDEX(AS$21:AS$141,MAX(1,MIN(121,$B94-ROUND(Declarations!$A$16/$D$18,0))))+Declarations!$B$17*INDEX(AS$21:AS$141,MAX(1,MIN(121,$B94-ROUND(Declarations!$A$17/$D$18,0))))+Declarations!$B$18*INDEX(AS$21:AS$141,MAX(1,MIN(121,$B94-ROUND(Declarations!$A$18/$D$18,0))))+Declarations!$B$19*INDEX(AS$21:AS$141,MAX(1,MIN(121,$B94-ROUND(Declarations!$A$19/$D$18,0))))+Declarations!$B$20*INDEX(AS$21:AS$141,MAX(1,MIN(121,$B94-ROUND(Declarations!$A$20/$D$18,0)))))</f>
        <v>-253.050247361848</v>
      </c>
      <c r="AU94" s="12" t="n">
        <f aca="false">INDEX(AT$21:AT$141,$I94+1)*(1-$J94)+INDEX(AT$21:AT$141,$I94+2)*$J94</f>
        <v>-252.60764793932</v>
      </c>
      <c r="AV94" s="12" t="n">
        <f aca="false">INDEX(AT$21:AT$141,$K94+1)*(1-$L94)+INDEX(AT$21:AT$141,$K94+2)*$L94</f>
        <v>-253.529479021824</v>
      </c>
      <c r="AW94" s="12" t="n">
        <f aca="false">$C94+$D94+MAX(AU94,AV94,IF(COUNTIFS($A$21:$A$141,"&gt;="&amp;$G94,$A$21:$A$141,"&lt;="&amp;$H94)&gt;0,_xlfn.MAXIFS(AT$21:AT$141,$A$21:$A$141,"&gt;="&amp;$G94,$A$21:$A$141,"&lt;="&amp;$H94),AU94))</f>
        <v>-25.4326479393203</v>
      </c>
      <c r="AX94" s="12" t="n">
        <f aca="false">-Cost_k*$A94+Beta_q*(Declarations!$B$16*INDEX(AW$21:AW$141,MAX(1,MIN(121,$B94-ROUND(Declarations!$A$16/$D$18,0))))+Declarations!$B$17*INDEX(AW$21:AW$141,MAX(1,MIN(121,$B94-ROUND(Declarations!$A$17/$D$18,0))))+Declarations!$B$18*INDEX(AW$21:AW$141,MAX(1,MIN(121,$B94-ROUND(Declarations!$A$18/$D$18,0))))+Declarations!$B$19*INDEX(AW$21:AW$141,MAX(1,MIN(121,$B94-ROUND(Declarations!$A$19/$D$18,0))))+Declarations!$B$20*INDEX(AW$21:AW$141,MAX(1,MIN(121,$B94-ROUND(Declarations!$A$20/$D$18,0)))))</f>
        <v>-257.86217901137</v>
      </c>
      <c r="AY94" s="12" t="n">
        <f aca="false">INDEX(AX$21:AX$141,$I94+1)*(1-$J94)+INDEX(AX$21:AX$141,$I94+2)*$J94</f>
        <v>-257.42060405572</v>
      </c>
      <c r="AZ94" s="12" t="n">
        <f aca="false">INDEX(AX$21:AX$141,$K94+1)*(1-$L94)+INDEX(AX$21:AX$141,$K94+2)*$L94</f>
        <v>-258.334156232233</v>
      </c>
      <c r="BA94" s="12" t="n">
        <f aca="false">$C94+$D94+MAX(AY94,AZ94,IF(COUNTIFS($A$21:$A$141,"&gt;="&amp;$G94,$A$21:$A$141,"&lt;="&amp;$H94)&gt;0,_xlfn.MAXIFS(AX$21:AX$141,$A$21:$A$141,"&gt;="&amp;$G94,$A$21:$A$141,"&lt;="&amp;$H94),AY94))</f>
        <v>-30.24560405572</v>
      </c>
      <c r="BB94" s="12" t="n">
        <f aca="false">-Cost_k*$A94+Beta_q*(Declarations!$B$16*INDEX(BA$21:BA$141,MAX(1,MIN(121,$B94-ROUND(Declarations!$A$16/$D$18,0))))+Declarations!$B$17*INDEX(BA$21:BA$141,MAX(1,MIN(121,$B94-ROUND(Declarations!$A$17/$D$18,0))))+Declarations!$B$18*INDEX(BA$21:BA$141,MAX(1,MIN(121,$B94-ROUND(Declarations!$A$18/$D$18,0))))+Declarations!$B$19*INDEX(BA$21:BA$141,MAX(1,MIN(121,$B94-ROUND(Declarations!$A$19/$D$18,0))))+Declarations!$B$20*INDEX(BA$21:BA$141,MAX(1,MIN(121,$B94-ROUND(Declarations!$A$20/$D$18,0)))))</f>
        <v>-262.561732729385</v>
      </c>
      <c r="BC94" s="12" t="n">
        <f aca="false">INDEX(BB$21:BB$141,$I94+1)*(1-$J94)+INDEX(BB$21:BB$141,$I94+2)*$J94</f>
        <v>-262.12026009986</v>
      </c>
      <c r="BD94" s="12" t="n">
        <f aca="false">INDEX(BB$21:BB$141,$K94+1)*(1-$L94)+INDEX(BB$21:BB$141,$K94+2)*$L94</f>
        <v>-263.032853456156</v>
      </c>
      <c r="BE94" s="12" t="n">
        <f aca="false">$C94+$D94+MAX(BC94,BD94,IF(COUNTIFS($A$21:$A$141,"&gt;="&amp;$G94,$A$21:$A$141,"&lt;="&amp;$H94)&gt;0,_xlfn.MAXIFS(BB$21:BB$141,$A$21:$A$141,"&gt;="&amp;$G94,$A$21:$A$141,"&lt;="&amp;$H94),BC94))</f>
        <v>-34.9452600998595</v>
      </c>
      <c r="BF94" s="12" t="n">
        <f aca="false">-Cost_k*$A94+Beta_q*(Declarations!$B$16*INDEX(BE$21:BE$141,MAX(1,MIN(121,$B94-ROUND(Declarations!$A$16/$D$18,0))))+Declarations!$B$17*INDEX(BE$21:BE$141,MAX(1,MIN(121,$B94-ROUND(Declarations!$A$17/$D$18,0))))+Declarations!$B$18*INDEX(BE$21:BE$141,MAX(1,MIN(121,$B94-ROUND(Declarations!$A$18/$D$18,0))))+Declarations!$B$19*INDEX(BE$21:BE$141,MAX(1,MIN(121,$B94-ROUND(Declarations!$A$19/$D$18,0))))+Declarations!$B$20*INDEX(BE$21:BE$141,MAX(1,MIN(121,$B94-ROUND(Declarations!$A$20/$D$18,0)))))</f>
        <v>-267.150723522675</v>
      </c>
      <c r="BG94" s="12" t="n">
        <f aca="false">INDEX(BF$21:BF$141,$I94+1)*(1-$J94)+INDEX(BF$21:BF$141,$I94+2)*$J94</f>
        <v>-266.709261229087</v>
      </c>
      <c r="BH94" s="12" t="n">
        <f aca="false">INDEX(BF$21:BF$141,$K94+1)*(1-$L94)+INDEX(BF$21:BF$141,$K94+2)*$L94</f>
        <v>-267.621751589997</v>
      </c>
      <c r="BI94" s="12" t="n">
        <f aca="false">$C94+$D94+MAX(BG94,BH94,IF(COUNTIFS($A$21:$A$141,"&gt;="&amp;$G94,$A$21:$A$141,"&lt;="&amp;$H94)&gt;0,_xlfn.MAXIFS(BF$21:BF$141,$A$21:$A$141,"&gt;="&amp;$G94,$A$21:$A$141,"&lt;="&amp;$H94),BG94))</f>
        <v>-39.5342612290867</v>
      </c>
      <c r="BJ94" s="23" t="n">
        <v>-39.5342612290867</v>
      </c>
      <c r="BK94" s="22" t="n">
        <f aca="false">ABS(BI94-BJ94)</f>
        <v>0</v>
      </c>
    </row>
    <row r="95" customFormat="false" ht="15" hidden="false" customHeight="false" outlineLevel="0" collapsed="false">
      <c r="A95" s="14" t="n">
        <f aca="false">A94+$D$18</f>
        <v>58.5</v>
      </c>
      <c r="B95" s="19" t="n">
        <v>75</v>
      </c>
      <c r="C95" s="12" t="n">
        <f aca="false">-Short_p*MAX(Floor_c-A95,0)</f>
        <v>-0</v>
      </c>
      <c r="D95" s="12" t="n">
        <f aca="false">Cost_k*Alpha_keep*A95</f>
        <v>228.15</v>
      </c>
      <c r="E95" s="12" t="n">
        <f aca="false">MIN(Cap_h,MAX(0,$B$18+MAX(Loss_w)-Alpha_keep*A95))</f>
        <v>0</v>
      </c>
      <c r="F95" s="12" t="n">
        <f aca="false">MAX(MIN(Cap_h,$F$18+MIN(Loss_w)-Alpha_keep*A95),E95)</f>
        <v>2.5</v>
      </c>
      <c r="G95" s="12" t="n">
        <f aca="false">Alpha_keep*A95+E95</f>
        <v>57.0375</v>
      </c>
      <c r="H95" s="12" t="n">
        <f aca="false">Alpha_keep*A95+F95</f>
        <v>59.5375</v>
      </c>
      <c r="I95" s="19" t="n">
        <f aca="false">MIN(INT((G95-$B$18)/$D$18+0.000000001),119)</f>
        <v>68</v>
      </c>
      <c r="J95" s="12" t="n">
        <f aca="false">(G95-$B$18)/$D$18-I95</f>
        <v>0.150000000000006</v>
      </c>
      <c r="K95" s="19" t="n">
        <f aca="false">MIN(INT((H95-$B$18)/$D$18+0.000000001),119)</f>
        <v>78</v>
      </c>
      <c r="L95" s="12" t="n">
        <f aca="false">(H95-$B$18)/$D$18-K95</f>
        <v>0.150000000000006</v>
      </c>
      <c r="M95" s="9" t="n">
        <v>0</v>
      </c>
      <c r="N95" s="12" t="n">
        <f aca="false">-Cost_k*$A95+Beta_q*(Declarations!$B$16*INDEX(M$21:M$141,MAX(1,MIN(121,$B95-ROUND(Declarations!$A$16/$D$18,0))))+Declarations!$B$17*INDEX(M$21:M$141,MAX(1,MIN(121,$B95-ROUND(Declarations!$A$17/$D$18,0))))+Declarations!$B$18*INDEX(M$21:M$141,MAX(1,MIN(121,$B95-ROUND(Declarations!$A$18/$D$18,0))))+Declarations!$B$19*INDEX(M$21:M$141,MAX(1,MIN(121,$B95-ROUND(Declarations!$A$19/$D$18,0))))+Declarations!$B$20*INDEX(M$21:M$141,MAX(1,MIN(121,$B95-ROUND(Declarations!$A$20/$D$18,0)))))</f>
        <v>-234</v>
      </c>
      <c r="O95" s="12" t="n">
        <f aca="false">INDEX(N$21:N$141,$I95+1)*(1-$J95)+INDEX(N$21:N$141,$I95+2)*$J95</f>
        <v>-228.15</v>
      </c>
      <c r="P95" s="12" t="n">
        <f aca="false">INDEX(N$21:N$141,$K95+1)*(1-$L95)+INDEX(N$21:N$141,$K95+2)*$L95</f>
        <v>-238.15</v>
      </c>
      <c r="Q95" s="12" t="n">
        <f aca="false">$C95+$D95+MAX(O95,P95,IF(COUNTIFS($A$21:$A$141,"&gt;="&amp;$G95,$A$21:$A$141,"&lt;="&amp;$H95)&gt;0,_xlfn.MAXIFS(N$21:N$141,$A$21:$A$141,"&gt;="&amp;$G95,$A$21:$A$141,"&lt;="&amp;$H95),O95))</f>
        <v>0</v>
      </c>
      <c r="R95" s="12" t="n">
        <f aca="false">-Cost_k*$A95+Beta_q*(Declarations!$B$16*INDEX(Q$21:Q$141,MAX(1,MIN(121,$B95-ROUND(Declarations!$A$16/$D$18,0))))+Declarations!$B$17*INDEX(Q$21:Q$141,MAX(1,MIN(121,$B95-ROUND(Declarations!$A$17/$D$18,0))))+Declarations!$B$18*INDEX(Q$21:Q$141,MAX(1,MIN(121,$B95-ROUND(Declarations!$A$18/$D$18,0))))+Declarations!$B$19*INDEX(Q$21:Q$141,MAX(1,MIN(121,$B95-ROUND(Declarations!$A$19/$D$18,0))))+Declarations!$B$20*INDEX(Q$21:Q$141,MAX(1,MIN(121,$B95-ROUND(Declarations!$A$20/$D$18,0)))))</f>
        <v>-234</v>
      </c>
      <c r="S95" s="12" t="n">
        <f aca="false">INDEX(R$21:R$141,$I95+1)*(1-$J95)+INDEX(R$21:R$141,$I95+2)*$J95</f>
        <v>-228.15</v>
      </c>
      <c r="T95" s="12" t="n">
        <f aca="false">INDEX(R$21:R$141,$K95+1)*(1-$L95)+INDEX(R$21:R$141,$K95+2)*$L95</f>
        <v>-238.15</v>
      </c>
      <c r="U95" s="12" t="n">
        <f aca="false">$C95+$D95+MAX(S95,T95,IF(COUNTIFS($A$21:$A$141,"&gt;="&amp;$G95,$A$21:$A$141,"&lt;="&amp;$H95)&gt;0,_xlfn.MAXIFS(R$21:R$141,$A$21:$A$141,"&gt;="&amp;$G95,$A$21:$A$141,"&lt;="&amp;$H95),S95))</f>
        <v>0</v>
      </c>
      <c r="V95" s="12" t="n">
        <f aca="false">-Cost_k*$A95+Beta_q*(Declarations!$B$16*INDEX(U$21:U$141,MAX(1,MIN(121,$B95-ROUND(Declarations!$A$16/$D$18,0))))+Declarations!$B$17*INDEX(U$21:U$141,MAX(1,MIN(121,$B95-ROUND(Declarations!$A$17/$D$18,0))))+Declarations!$B$18*INDEX(U$21:U$141,MAX(1,MIN(121,$B95-ROUND(Declarations!$A$18/$D$18,0))))+Declarations!$B$19*INDEX(U$21:U$141,MAX(1,MIN(121,$B95-ROUND(Declarations!$A$19/$D$18,0))))+Declarations!$B$20*INDEX(U$21:U$141,MAX(1,MIN(121,$B95-ROUND(Declarations!$A$20/$D$18,0)))))</f>
        <v>-234.009153240857</v>
      </c>
      <c r="W95" s="12" t="n">
        <f aca="false">INDEX(V$21:V$141,$I95+1)*(1-$J95)+INDEX(V$21:V$141,$I95+2)*$J95</f>
        <v>-228.374753777022</v>
      </c>
      <c r="X95" s="12" t="n">
        <f aca="false">INDEX(V$21:V$141,$K95+1)*(1-$L95)+INDEX(V$21:V$141,$K95+2)*$L95</f>
        <v>-238.15</v>
      </c>
      <c r="Y95" s="12" t="n">
        <f aca="false">$C95+$D95+MAX(W95,X95,IF(COUNTIFS($A$21:$A$141,"&gt;="&amp;$G95,$A$21:$A$141,"&lt;="&amp;$H95)&gt;0,_xlfn.MAXIFS(V$21:V$141,$A$21:$A$141,"&gt;="&amp;$G95,$A$21:$A$141,"&lt;="&amp;$H95),W95))</f>
        <v>-0.224753777021675</v>
      </c>
      <c r="Z95" s="12" t="n">
        <f aca="false">-Cost_k*$A95+Beta_q*(Declarations!$B$16*INDEX(Y$21:Y$141,MAX(1,MIN(121,$B95-ROUND(Declarations!$A$16/$D$18,0))))+Declarations!$B$17*INDEX(Y$21:Y$141,MAX(1,MIN(121,$B95-ROUND(Declarations!$A$17/$D$18,0))))+Declarations!$B$18*INDEX(Y$21:Y$141,MAX(1,MIN(121,$B95-ROUND(Declarations!$A$18/$D$18,0))))+Declarations!$B$19*INDEX(Y$21:Y$141,MAX(1,MIN(121,$B95-ROUND(Declarations!$A$19/$D$18,0))))+Declarations!$B$20*INDEX(Y$21:Y$141,MAX(1,MIN(121,$B95-ROUND(Declarations!$A$20/$D$18,0)))))</f>
        <v>-234.324173171903</v>
      </c>
      <c r="AA95" s="12" t="n">
        <f aca="false">INDEX(Z$21:Z$141,$I95+1)*(1-$J95)+INDEX(Z$21:Z$141,$I95+2)*$J95</f>
        <v>-229.782308109776</v>
      </c>
      <c r="AB95" s="12" t="n">
        <f aca="false">INDEX(Z$21:Z$141,$K95+1)*(1-$L95)+INDEX(Z$21:Z$141,$K95+2)*$L95</f>
        <v>-238.209522847761</v>
      </c>
      <c r="AC95" s="12" t="n">
        <f aca="false">$C95+$D95+MAX(AA95,AB95,IF(COUNTIFS($A$21:$A$141,"&gt;="&amp;$G95,$A$21:$A$141,"&lt;="&amp;$H95)&gt;0,_xlfn.MAXIFS(Z$21:Z$141,$A$21:$A$141,"&gt;="&amp;$G95,$A$21:$A$141,"&lt;="&amp;$H95),AA95))</f>
        <v>-1.63230810977555</v>
      </c>
      <c r="AD95" s="12" t="n">
        <f aca="false">-Cost_k*$A95+Beta_q*(Declarations!$B$16*INDEX(AC$21:AC$141,MAX(1,MIN(121,$B95-ROUND(Declarations!$A$16/$D$18,0))))+Declarations!$B$17*INDEX(AC$21:AC$141,MAX(1,MIN(121,$B95-ROUND(Declarations!$A$17/$D$18,0))))+Declarations!$B$18*INDEX(AC$21:AC$141,MAX(1,MIN(121,$B95-ROUND(Declarations!$A$18/$D$18,0))))+Declarations!$B$19*INDEX(AC$21:AC$141,MAX(1,MIN(121,$B95-ROUND(Declarations!$A$19/$D$18,0))))+Declarations!$B$20*INDEX(AC$21:AC$141,MAX(1,MIN(121,$B95-ROUND(Declarations!$A$20/$D$18,0)))))</f>
        <v>-235.773399903722</v>
      </c>
      <c r="AE95" s="12" t="n">
        <f aca="false">INDEX(AD$21:AD$141,$I95+1)*(1-$J95)+INDEX(AD$21:AD$141,$I95+2)*$J95</f>
        <v>-232.924775688137</v>
      </c>
      <c r="AF95" s="12" t="n">
        <f aca="false">INDEX(AD$21:AD$141,$K95+1)*(1-$L95)+INDEX(AD$21:AD$141,$K95+2)*$L95</f>
        <v>-238.834540713952</v>
      </c>
      <c r="AG95" s="12" t="n">
        <f aca="false">$C95+$D95+MAX(AE95,AF95,IF(COUNTIFS($A$21:$A$141,"&gt;="&amp;$G95,$A$21:$A$141,"&lt;="&amp;$H95)&gt;0,_xlfn.MAXIFS(AD$21:AD$141,$A$21:$A$141,"&gt;="&amp;$G95,$A$21:$A$141,"&lt;="&amp;$H95),AE95))</f>
        <v>-4.77477568813711</v>
      </c>
      <c r="AH95" s="12" t="n">
        <f aca="false">-Cost_k*$A95+Beta_q*(Declarations!$B$16*INDEX(AG$21:AG$141,MAX(1,MIN(121,$B95-ROUND(Declarations!$A$16/$D$18,0))))+Declarations!$B$17*INDEX(AG$21:AG$141,MAX(1,MIN(121,$B95-ROUND(Declarations!$A$17/$D$18,0))))+Declarations!$B$18*INDEX(AG$21:AG$141,MAX(1,MIN(121,$B95-ROUND(Declarations!$A$18/$D$18,0))))+Declarations!$B$19*INDEX(AG$21:AG$141,MAX(1,MIN(121,$B95-ROUND(Declarations!$A$19/$D$18,0))))+Declarations!$B$20*INDEX(AG$21:AG$141,MAX(1,MIN(121,$B95-ROUND(Declarations!$A$20/$D$18,0)))))</f>
        <v>-238.853391100553</v>
      </c>
      <c r="AI95" s="12" t="n">
        <f aca="false">INDEX(AH$21:AH$141,$I95+1)*(1-$J95)+INDEX(AH$21:AH$141,$I95+2)*$J95</f>
        <v>-237.589772235336</v>
      </c>
      <c r="AJ95" s="12" t="n">
        <f aca="false">INDEX(AH$21:AH$141,$K95+1)*(1-$L95)+INDEX(AH$21:AH$141,$K95+2)*$L95</f>
        <v>-240.765879946932</v>
      </c>
      <c r="AK95" s="12" t="n">
        <f aca="false">$C95+$D95+MAX(AI95,AJ95,IF(COUNTIFS($A$21:$A$141,"&gt;="&amp;$G95,$A$21:$A$141,"&lt;="&amp;$H95)&gt;0,_xlfn.MAXIFS(AH$21:AH$141,$A$21:$A$141,"&gt;="&amp;$G95,$A$21:$A$141,"&lt;="&amp;$H95),AI95))</f>
        <v>-9.43977223533571</v>
      </c>
      <c r="AL95" s="12" t="n">
        <f aca="false">-Cost_k*$A95+Beta_q*(Declarations!$B$16*INDEX(AK$21:AK$141,MAX(1,MIN(121,$B95-ROUND(Declarations!$A$16/$D$18,0))))+Declarations!$B$17*INDEX(AK$21:AK$141,MAX(1,MIN(121,$B95-ROUND(Declarations!$A$17/$D$18,0))))+Declarations!$B$18*INDEX(AK$21:AK$141,MAX(1,MIN(121,$B95-ROUND(Declarations!$A$18/$D$18,0))))+Declarations!$B$19*INDEX(AK$21:AK$141,MAX(1,MIN(121,$B95-ROUND(Declarations!$A$19/$D$18,0))))+Declarations!$B$20*INDEX(AK$21:AK$141,MAX(1,MIN(121,$B95-ROUND(Declarations!$A$20/$D$18,0)))))</f>
        <v>-243.311529495502</v>
      </c>
      <c r="AM95" s="12" t="n">
        <f aca="false">INDEX(AL$21:AL$141,$I95+1)*(1-$J95)+INDEX(AL$21:AL$141,$I95+2)*$J95</f>
        <v>-242.693019910221</v>
      </c>
      <c r="AN95" s="12" t="n">
        <f aca="false">INDEX(AL$21:AL$141,$K95+1)*(1-$L95)+INDEX(AL$21:AL$141,$K95+2)*$L95</f>
        <v>-244.265413353482</v>
      </c>
      <c r="AO95" s="12" t="n">
        <f aca="false">$C95+$D95+MAX(AM95,AN95,IF(COUNTIFS($A$21:$A$141,"&gt;="&amp;$G95,$A$21:$A$141,"&lt;="&amp;$H95)&gt;0,_xlfn.MAXIFS(AL$21:AL$141,$A$21:$A$141,"&gt;="&amp;$G95,$A$21:$A$141,"&lt;="&amp;$H95),AM95))</f>
        <v>-14.5430199102215</v>
      </c>
      <c r="AP95" s="12" t="n">
        <f aca="false">-Cost_k*$A95+Beta_q*(Declarations!$B$16*INDEX(AO$21:AO$141,MAX(1,MIN(121,$B95-ROUND(Declarations!$A$16/$D$18,0))))+Declarations!$B$17*INDEX(AO$21:AO$141,MAX(1,MIN(121,$B95-ROUND(Declarations!$A$17/$D$18,0))))+Declarations!$B$18*INDEX(AO$21:AO$141,MAX(1,MIN(121,$B95-ROUND(Declarations!$A$18/$D$18,0))))+Declarations!$B$19*INDEX(AO$21:AO$141,MAX(1,MIN(121,$B95-ROUND(Declarations!$A$19/$D$18,0))))+Declarations!$B$20*INDEX(AO$21:AO$141,MAX(1,MIN(121,$B95-ROUND(Declarations!$A$20/$D$18,0)))))</f>
        <v>-248.237536160011</v>
      </c>
      <c r="AQ95" s="12" t="n">
        <f aca="false">INDEX(AP$21:AP$141,$I95+1)*(1-$J95)+INDEX(AP$21:AP$141,$I95+2)*$J95</f>
        <v>-247.734826306447</v>
      </c>
      <c r="AR95" s="12" t="n">
        <f aca="false">INDEX(AP$21:AP$141,$K95+1)*(1-$L95)+INDEX(AP$21:AP$141,$K95+2)*$L95</f>
        <v>-248.82360254384</v>
      </c>
      <c r="AS95" s="12" t="n">
        <f aca="false">$C95+$D95+MAX(AQ95,AR95,IF(COUNTIFS($A$21:$A$141,"&gt;="&amp;$G95,$A$21:$A$141,"&lt;="&amp;$H95)&gt;0,_xlfn.MAXIFS(AP$21:AP$141,$A$21:$A$141,"&gt;="&amp;$G95,$A$21:$A$141,"&lt;="&amp;$H95),AQ95))</f>
        <v>-19.5848263064466</v>
      </c>
      <c r="AT95" s="12" t="n">
        <f aca="false">-Cost_k*$A95+Beta_q*(Declarations!$B$16*INDEX(AS$21:AS$141,MAX(1,MIN(121,$B95-ROUND(Declarations!$A$16/$D$18,0))))+Declarations!$B$17*INDEX(AS$21:AS$141,MAX(1,MIN(121,$B95-ROUND(Declarations!$A$17/$D$18,0))))+Declarations!$B$18*INDEX(AS$21:AS$141,MAX(1,MIN(121,$B95-ROUND(Declarations!$A$18/$D$18,0))))+Declarations!$B$19*INDEX(AS$21:AS$141,MAX(1,MIN(121,$B95-ROUND(Declarations!$A$19/$D$18,0))))+Declarations!$B$20*INDEX(AS$21:AS$141,MAX(1,MIN(121,$B95-ROUND(Declarations!$A$20/$D$18,0)))))</f>
        <v>-253.15110286054</v>
      </c>
      <c r="AU95" s="12" t="n">
        <f aca="false">INDEX(AT$21:AT$141,$I95+1)*(1-$J95)+INDEX(AT$21:AT$141,$I95+2)*$J95</f>
        <v>-252.663325017632</v>
      </c>
      <c r="AV95" s="12" t="n">
        <f aca="false">INDEX(AT$21:AT$141,$K95+1)*(1-$L95)+INDEX(AT$21:AT$141,$K95+2)*$L95</f>
        <v>-253.661631336161</v>
      </c>
      <c r="AW95" s="12" t="n">
        <f aca="false">$C95+$D95+MAX(AU95,AV95,IF(COUNTIFS($A$21:$A$141,"&gt;="&amp;$G95,$A$21:$A$141,"&lt;="&amp;$H95)&gt;0,_xlfn.MAXIFS(AT$21:AT$141,$A$21:$A$141,"&gt;="&amp;$G95,$A$21:$A$141,"&lt;="&amp;$H95),AU95))</f>
        <v>-24.5133250176316</v>
      </c>
      <c r="AX95" s="12" t="n">
        <f aca="false">-Cost_k*$A95+Beta_q*(Declarations!$B$16*INDEX(AW$21:AW$141,MAX(1,MIN(121,$B95-ROUND(Declarations!$A$16/$D$18,0))))+Declarations!$B$17*INDEX(AW$21:AW$141,MAX(1,MIN(121,$B95-ROUND(Declarations!$A$17/$D$18,0))))+Declarations!$B$18*INDEX(AW$21:AW$141,MAX(1,MIN(121,$B95-ROUND(Declarations!$A$18/$D$18,0))))+Declarations!$B$19*INDEX(AW$21:AW$141,MAX(1,MIN(121,$B95-ROUND(Declarations!$A$19/$D$18,0))))+Declarations!$B$20*INDEX(AW$21:AW$141,MAX(1,MIN(121,$B95-ROUND(Declarations!$A$20/$D$18,0)))))</f>
        <v>-257.962392050723</v>
      </c>
      <c r="AY95" s="12" t="n">
        <f aca="false">INDEX(AX$21:AX$141,$I95+1)*(1-$J95)+INDEX(AX$21:AX$141,$I95+2)*$J95</f>
        <v>-257.476259354831</v>
      </c>
      <c r="AZ95" s="12" t="n">
        <f aca="false">INDEX(AX$21:AX$141,$K95+1)*(1-$L95)+INDEX(AX$21:AX$141,$K95+2)*$L95</f>
        <v>-258.461634004894</v>
      </c>
      <c r="BA95" s="12" t="n">
        <f aca="false">$C95+$D95+MAX(AY95,AZ95,IF(COUNTIFS($A$21:$A$141,"&gt;="&amp;$G95,$A$21:$A$141,"&lt;="&amp;$H95)&gt;0,_xlfn.MAXIFS(AX$21:AX$141,$A$21:$A$141,"&gt;="&amp;$G95,$A$21:$A$141,"&lt;="&amp;$H95),AY95))</f>
        <v>-29.3262593548306</v>
      </c>
      <c r="BB95" s="12" t="n">
        <f aca="false">-Cost_k*$A95+Beta_q*(Declarations!$B$16*INDEX(BA$21:BA$141,MAX(1,MIN(121,$B95-ROUND(Declarations!$A$16/$D$18,0))))+Declarations!$B$17*INDEX(BA$21:BA$141,MAX(1,MIN(121,$B95-ROUND(Declarations!$A$17/$D$18,0))))+Declarations!$B$18*INDEX(BA$21:BA$141,MAX(1,MIN(121,$B95-ROUND(Declarations!$A$18/$D$18,0))))+Declarations!$B$19*INDEX(BA$21:BA$141,MAX(1,MIN(121,$B95-ROUND(Declarations!$A$19/$D$18,0))))+Declarations!$B$20*INDEX(BA$21:BA$141,MAX(1,MIN(121,$B95-ROUND(Declarations!$A$20/$D$18,0)))))</f>
        <v>-262.661877590029</v>
      </c>
      <c r="BC95" s="12" t="n">
        <f aca="false">INDEX(BB$21:BB$141,$I95+1)*(1-$J95)+INDEX(BB$21:BB$141,$I95+2)*$J95</f>
        <v>-262.175913370543</v>
      </c>
      <c r="BD95" s="12" t="n">
        <f aca="false">INDEX(BB$21:BB$141,$K95+1)*(1-$L95)+INDEX(BB$21:BB$141,$K95+2)*$L95</f>
        <v>-263.159711944975</v>
      </c>
      <c r="BE95" s="12" t="n">
        <f aca="false">$C95+$D95+MAX(BC95,BD95,IF(COUNTIFS($A$21:$A$141,"&gt;="&amp;$G95,$A$21:$A$141,"&lt;="&amp;$H95)&gt;0,_xlfn.MAXIFS(BB$21:BB$141,$A$21:$A$141,"&gt;="&amp;$G95,$A$21:$A$141,"&lt;="&amp;$H95),BC95))</f>
        <v>-34.0259133705435</v>
      </c>
      <c r="BF95" s="12" t="n">
        <f aca="false">-Cost_k*$A95+Beta_q*(Declarations!$B$16*INDEX(BE$21:BE$141,MAX(1,MIN(121,$B95-ROUND(Declarations!$A$16/$D$18,0))))+Declarations!$B$17*INDEX(BE$21:BE$141,MAX(1,MIN(121,$B95-ROUND(Declarations!$A$17/$D$18,0))))+Declarations!$B$18*INDEX(BE$21:BE$141,MAX(1,MIN(121,$B95-ROUND(Declarations!$A$18/$D$18,0))))+Declarations!$B$19*INDEX(BE$21:BE$141,MAX(1,MIN(121,$B95-ROUND(Declarations!$A$19/$D$18,0))))+Declarations!$B$20*INDEX(BE$21:BE$141,MAX(1,MIN(121,$B95-ROUND(Declarations!$A$20/$D$18,0)))))</f>
        <v>-267.250861520881</v>
      </c>
      <c r="BG95" s="12" t="n">
        <f aca="false">INDEX(BF$21:BF$141,$I95+1)*(1-$J95)+INDEX(BF$21:BF$141,$I95+2)*$J95</f>
        <v>-266.764914293904</v>
      </c>
      <c r="BH95" s="12" t="n">
        <f aca="false">INDEX(BF$21:BF$141,$K95+1)*(1-$L95)+INDEX(BF$21:BF$141,$K95+2)*$L95</f>
        <v>-267.748537971236</v>
      </c>
      <c r="BI95" s="12" t="n">
        <f aca="false">$C95+$D95+MAX(BG95,BH95,IF(COUNTIFS($A$21:$A$141,"&gt;="&amp;$G95,$A$21:$A$141,"&lt;="&amp;$H95)&gt;0,_xlfn.MAXIFS(BF$21:BF$141,$A$21:$A$141,"&gt;="&amp;$G95,$A$21:$A$141,"&lt;="&amp;$H95),BG95))</f>
        <v>-38.6149142939041</v>
      </c>
      <c r="BJ95" s="23" t="n">
        <v>-38.6149142939041</v>
      </c>
      <c r="BK95" s="22" t="n">
        <f aca="false">ABS(BI95-BJ95)</f>
        <v>0</v>
      </c>
    </row>
    <row r="96" customFormat="false" ht="15" hidden="false" customHeight="false" outlineLevel="0" collapsed="false">
      <c r="A96" s="14" t="n">
        <f aca="false">A95+$D$18</f>
        <v>58.75</v>
      </c>
      <c r="B96" s="19" t="n">
        <v>76</v>
      </c>
      <c r="C96" s="12" t="n">
        <f aca="false">-Short_p*MAX(Floor_c-A96,0)</f>
        <v>-0</v>
      </c>
      <c r="D96" s="12" t="n">
        <f aca="false">Cost_k*Alpha_keep*A96</f>
        <v>229.125</v>
      </c>
      <c r="E96" s="12" t="n">
        <f aca="false">MIN(Cap_h,MAX(0,$B$18+MAX(Loss_w)-Alpha_keep*A96))</f>
        <v>0</v>
      </c>
      <c r="F96" s="12" t="n">
        <f aca="false">MAX(MIN(Cap_h,$F$18+MIN(Loss_w)-Alpha_keep*A96),E96)</f>
        <v>2.5</v>
      </c>
      <c r="G96" s="12" t="n">
        <f aca="false">Alpha_keep*A96+E96</f>
        <v>57.28125</v>
      </c>
      <c r="H96" s="12" t="n">
        <f aca="false">Alpha_keep*A96+F96</f>
        <v>59.78125</v>
      </c>
      <c r="I96" s="19" t="n">
        <f aca="false">MIN(INT((G96-$B$18)/$D$18+0.000000001),119)</f>
        <v>69</v>
      </c>
      <c r="J96" s="12" t="n">
        <f aca="false">(G96-$B$18)/$D$18-I96</f>
        <v>0.125</v>
      </c>
      <c r="K96" s="19" t="n">
        <f aca="false">MIN(INT((H96-$B$18)/$D$18+0.000000001),119)</f>
        <v>79</v>
      </c>
      <c r="L96" s="12" t="n">
        <f aca="false">(H96-$B$18)/$D$18-K96</f>
        <v>0.125</v>
      </c>
      <c r="M96" s="9" t="n">
        <v>0</v>
      </c>
      <c r="N96" s="12" t="n">
        <f aca="false">-Cost_k*$A96+Beta_q*(Declarations!$B$16*INDEX(M$21:M$141,MAX(1,MIN(121,$B96-ROUND(Declarations!$A$16/$D$18,0))))+Declarations!$B$17*INDEX(M$21:M$141,MAX(1,MIN(121,$B96-ROUND(Declarations!$A$17/$D$18,0))))+Declarations!$B$18*INDEX(M$21:M$141,MAX(1,MIN(121,$B96-ROUND(Declarations!$A$18/$D$18,0))))+Declarations!$B$19*INDEX(M$21:M$141,MAX(1,MIN(121,$B96-ROUND(Declarations!$A$19/$D$18,0))))+Declarations!$B$20*INDEX(M$21:M$141,MAX(1,MIN(121,$B96-ROUND(Declarations!$A$20/$D$18,0)))))</f>
        <v>-235</v>
      </c>
      <c r="O96" s="12" t="n">
        <f aca="false">INDEX(N$21:N$141,$I96+1)*(1-$J96)+INDEX(N$21:N$141,$I96+2)*$J96</f>
        <v>-229.125</v>
      </c>
      <c r="P96" s="12" t="n">
        <f aca="false">INDEX(N$21:N$141,$K96+1)*(1-$L96)+INDEX(N$21:N$141,$K96+2)*$L96</f>
        <v>-239.125</v>
      </c>
      <c r="Q96" s="12" t="n">
        <f aca="false">$C96+$D96+MAX(O96,P96,IF(COUNTIFS($A$21:$A$141,"&gt;="&amp;$G96,$A$21:$A$141,"&lt;="&amp;$H96)&gt;0,_xlfn.MAXIFS(N$21:N$141,$A$21:$A$141,"&gt;="&amp;$G96,$A$21:$A$141,"&lt;="&amp;$H96),O96))</f>
        <v>0</v>
      </c>
      <c r="R96" s="12" t="n">
        <f aca="false">-Cost_k*$A96+Beta_q*(Declarations!$B$16*INDEX(Q$21:Q$141,MAX(1,MIN(121,$B96-ROUND(Declarations!$A$16/$D$18,0))))+Declarations!$B$17*INDEX(Q$21:Q$141,MAX(1,MIN(121,$B96-ROUND(Declarations!$A$17/$D$18,0))))+Declarations!$B$18*INDEX(Q$21:Q$141,MAX(1,MIN(121,$B96-ROUND(Declarations!$A$18/$D$18,0))))+Declarations!$B$19*INDEX(Q$21:Q$141,MAX(1,MIN(121,$B96-ROUND(Declarations!$A$19/$D$18,0))))+Declarations!$B$20*INDEX(Q$21:Q$141,MAX(1,MIN(121,$B96-ROUND(Declarations!$A$20/$D$18,0)))))</f>
        <v>-235</v>
      </c>
      <c r="S96" s="12" t="n">
        <f aca="false">INDEX(R$21:R$141,$I96+1)*(1-$J96)+INDEX(R$21:R$141,$I96+2)*$J96</f>
        <v>-229.125</v>
      </c>
      <c r="T96" s="12" t="n">
        <f aca="false">INDEX(R$21:R$141,$K96+1)*(1-$L96)+INDEX(R$21:R$141,$K96+2)*$L96</f>
        <v>-239.125</v>
      </c>
      <c r="U96" s="12" t="n">
        <f aca="false">$C96+$D96+MAX(S96,T96,IF(COUNTIFS($A$21:$A$141,"&gt;="&amp;$G96,$A$21:$A$141,"&lt;="&amp;$H96)&gt;0,_xlfn.MAXIFS(R$21:R$141,$A$21:$A$141,"&gt;="&amp;$G96,$A$21:$A$141,"&lt;="&amp;$H96),S96))</f>
        <v>0</v>
      </c>
      <c r="V96" s="12" t="n">
        <f aca="false">-Cost_k*$A96+Beta_q*(Declarations!$B$16*INDEX(U$21:U$141,MAX(1,MIN(121,$B96-ROUND(Declarations!$A$16/$D$18,0))))+Declarations!$B$17*INDEX(U$21:U$141,MAX(1,MIN(121,$B96-ROUND(Declarations!$A$17/$D$18,0))))+Declarations!$B$18*INDEX(U$21:U$141,MAX(1,MIN(121,$B96-ROUND(Declarations!$A$18/$D$18,0))))+Declarations!$B$19*INDEX(U$21:U$141,MAX(1,MIN(121,$B96-ROUND(Declarations!$A$19/$D$18,0))))+Declarations!$B$20*INDEX(U$21:U$141,MAX(1,MIN(121,$B96-ROUND(Declarations!$A$20/$D$18,0)))))</f>
        <v>-235.002598185556</v>
      </c>
      <c r="W96" s="12" t="n">
        <f aca="false">INDEX(V$21:V$141,$I96+1)*(1-$J96)+INDEX(V$21:V$141,$I96+2)*$J96</f>
        <v>-229.261717596586</v>
      </c>
      <c r="X96" s="12" t="n">
        <f aca="false">INDEX(V$21:V$141,$K96+1)*(1-$L96)+INDEX(V$21:V$141,$K96+2)*$L96</f>
        <v>-239.125</v>
      </c>
      <c r="Y96" s="12" t="n">
        <f aca="false">$C96+$D96+MAX(W96,X96,IF(COUNTIFS($A$21:$A$141,"&gt;="&amp;$G96,$A$21:$A$141,"&lt;="&amp;$H96)&gt;0,_xlfn.MAXIFS(V$21:V$141,$A$21:$A$141,"&gt;="&amp;$G96,$A$21:$A$141,"&lt;="&amp;$H96),W96))</f>
        <v>-0.136717596586038</v>
      </c>
      <c r="Z96" s="12" t="n">
        <f aca="false">-Cost_k*$A96+Beta_q*(Declarations!$B$16*INDEX(Y$21:Y$141,MAX(1,MIN(121,$B96-ROUND(Declarations!$A$16/$D$18,0))))+Declarations!$B$17*INDEX(Y$21:Y$141,MAX(1,MIN(121,$B96-ROUND(Declarations!$A$17/$D$18,0))))+Declarations!$B$18*INDEX(Y$21:Y$141,MAX(1,MIN(121,$B96-ROUND(Declarations!$A$18/$D$18,0))))+Declarations!$B$19*INDEX(Y$21:Y$141,MAX(1,MIN(121,$B96-ROUND(Declarations!$A$19/$D$18,0))))+Declarations!$B$20*INDEX(Y$21:Y$141,MAX(1,MIN(121,$B96-ROUND(Declarations!$A$20/$D$18,0)))))</f>
        <v>-235.219263110727</v>
      </c>
      <c r="AA96" s="12" t="n">
        <f aca="false">INDEX(Z$21:Z$141,$I96+1)*(1-$J96)+INDEX(Z$21:Z$141,$I96+2)*$J96</f>
        <v>-230.422438908961</v>
      </c>
      <c r="AB96" s="12" t="n">
        <f aca="false">INDEX(Z$21:Z$141,$K96+1)*(1-$L96)+INDEX(Z$21:Z$141,$K96+2)*$L96</f>
        <v>-239.166977347269</v>
      </c>
      <c r="AC96" s="12" t="n">
        <f aca="false">$C96+$D96+MAX(AA96,AB96,IF(COUNTIFS($A$21:$A$141,"&gt;="&amp;$G96,$A$21:$A$141,"&lt;="&amp;$H96)&gt;0,_xlfn.MAXIFS(Z$21:Z$141,$A$21:$A$141,"&gt;="&amp;$G96,$A$21:$A$141,"&lt;="&amp;$H96),AA96))</f>
        <v>-1.29743890896123</v>
      </c>
      <c r="AD96" s="12" t="n">
        <f aca="false">-Cost_k*$A96+Beta_q*(Declarations!$B$16*INDEX(AC$21:AC$141,MAX(1,MIN(121,$B96-ROUND(Declarations!$A$16/$D$18,0))))+Declarations!$B$17*INDEX(AC$21:AC$141,MAX(1,MIN(121,$B96-ROUND(Declarations!$A$17/$D$18,0))))+Declarations!$B$18*INDEX(AC$21:AC$141,MAX(1,MIN(121,$B96-ROUND(Declarations!$A$18/$D$18,0))))+Declarations!$B$19*INDEX(AC$21:AC$141,MAX(1,MIN(121,$B96-ROUND(Declarations!$A$19/$D$18,0))))+Declarations!$B$20*INDEX(AC$21:AC$141,MAX(1,MIN(121,$B96-ROUND(Declarations!$A$20/$D$18,0)))))</f>
        <v>-236.434711234697</v>
      </c>
      <c r="AE96" s="12" t="n">
        <f aca="false">INDEX(AD$21:AD$141,$I96+1)*(1-$J96)+INDEX(AD$21:AD$141,$I96+2)*$J96</f>
        <v>-233.259674509342</v>
      </c>
      <c r="AF96" s="12" t="n">
        <f aca="false">INDEX(AD$21:AD$141,$K96+1)*(1-$L96)+INDEX(AD$21:AD$141,$K96+2)*$L96</f>
        <v>-239.665429014319</v>
      </c>
      <c r="AG96" s="12" t="n">
        <f aca="false">$C96+$D96+MAX(AE96,AF96,IF(COUNTIFS($A$21:$A$141,"&gt;="&amp;$G96,$A$21:$A$141,"&lt;="&amp;$H96)&gt;0,_xlfn.MAXIFS(AD$21:AD$141,$A$21:$A$141,"&gt;="&amp;$G96,$A$21:$A$141,"&lt;="&amp;$H96),AE96))</f>
        <v>-4.13467450934166</v>
      </c>
      <c r="AH96" s="12" t="n">
        <f aca="false">-Cost_k*$A96+Beta_q*(Declarations!$B$16*INDEX(AG$21:AG$141,MAX(1,MIN(121,$B96-ROUND(Declarations!$A$16/$D$18,0))))+Declarations!$B$17*INDEX(AG$21:AG$141,MAX(1,MIN(121,$B96-ROUND(Declarations!$A$17/$D$18,0))))+Declarations!$B$18*INDEX(AG$21:AG$141,MAX(1,MIN(121,$B96-ROUND(Declarations!$A$18/$D$18,0))))+Declarations!$B$19*INDEX(AG$21:AG$141,MAX(1,MIN(121,$B96-ROUND(Declarations!$A$19/$D$18,0))))+Declarations!$B$20*INDEX(AG$21:AG$141,MAX(1,MIN(121,$B96-ROUND(Declarations!$A$20/$D$18,0)))))</f>
        <v>-239.22702547073</v>
      </c>
      <c r="AI96" s="12" t="n">
        <f aca="false">INDEX(AH$21:AH$141,$I96+1)*(1-$J96)+INDEX(AH$21:AH$141,$I96+2)*$J96</f>
        <v>-237.702552666825</v>
      </c>
      <c r="AJ96" s="12" t="n">
        <f aca="false">INDEX(AH$21:AH$141,$K96+1)*(1-$L96)+INDEX(AH$21:AH$141,$K96+2)*$L96</f>
        <v>-241.355944123175</v>
      </c>
      <c r="AK96" s="12" t="n">
        <f aca="false">$C96+$D96+MAX(AI96,AJ96,IF(COUNTIFS($A$21:$A$141,"&gt;="&amp;$G96,$A$21:$A$141,"&lt;="&amp;$H96)&gt;0,_xlfn.MAXIFS(AH$21:AH$141,$A$21:$A$141,"&gt;="&amp;$G96,$A$21:$A$141,"&lt;="&amp;$H96),AI96))</f>
        <v>-8.57755266682534</v>
      </c>
      <c r="AL96" s="12" t="n">
        <f aca="false">-Cost_k*$A96+Beta_q*(Declarations!$B$16*INDEX(AK$21:AK$141,MAX(1,MIN(121,$B96-ROUND(Declarations!$A$16/$D$18,0))))+Declarations!$B$17*INDEX(AK$21:AK$141,MAX(1,MIN(121,$B96-ROUND(Declarations!$A$17/$D$18,0))))+Declarations!$B$18*INDEX(AK$21:AK$141,MAX(1,MIN(121,$B96-ROUND(Declarations!$A$18/$D$18,0))))+Declarations!$B$19*INDEX(AK$21:AK$141,MAX(1,MIN(121,$B96-ROUND(Declarations!$A$19/$D$18,0))))+Declarations!$B$20*INDEX(AK$21:AK$141,MAX(1,MIN(121,$B96-ROUND(Declarations!$A$20/$D$18,0)))))</f>
        <v>-243.485429868157</v>
      </c>
      <c r="AM96" s="12" t="n">
        <f aca="false">INDEX(AL$21:AL$141,$I96+1)*(1-$J96)+INDEX(AL$21:AL$141,$I96+2)*$J96</f>
        <v>-242.76068187097</v>
      </c>
      <c r="AN96" s="12" t="n">
        <f aca="false">INDEX(AL$21:AL$141,$K96+1)*(1-$L96)+INDEX(AL$21:AL$141,$K96+2)*$L96</f>
        <v>-244.597729795967</v>
      </c>
      <c r="AO96" s="12" t="n">
        <f aca="false">$C96+$D96+MAX(AM96,AN96,IF(COUNTIFS($A$21:$A$141,"&gt;="&amp;$G96,$A$21:$A$141,"&lt;="&amp;$H96)&gt;0,_xlfn.MAXIFS(AL$21:AL$141,$A$21:$A$141,"&gt;="&amp;$G96,$A$21:$A$141,"&lt;="&amp;$H96),AM96))</f>
        <v>-13.6356818709701</v>
      </c>
      <c r="AP96" s="12" t="n">
        <f aca="false">-Cost_k*$A96+Beta_q*(Declarations!$B$16*INDEX(AO$21:AO$141,MAX(1,MIN(121,$B96-ROUND(Declarations!$A$16/$D$18,0))))+Declarations!$B$17*INDEX(AO$21:AO$141,MAX(1,MIN(121,$B96-ROUND(Declarations!$A$17/$D$18,0))))+Declarations!$B$18*INDEX(AO$21:AO$141,MAX(1,MIN(121,$B96-ROUND(Declarations!$A$18/$D$18,0))))+Declarations!$B$19*INDEX(AO$21:AO$141,MAX(1,MIN(121,$B96-ROUND(Declarations!$A$19/$D$18,0))))+Declarations!$B$20*INDEX(AO$21:AO$141,MAX(1,MIN(121,$B96-ROUND(Declarations!$A$20/$D$18,0)))))</f>
        <v>-248.354778395105</v>
      </c>
      <c r="AQ96" s="12" t="n">
        <f aca="false">INDEX(AP$21:AP$141,$I96+1)*(1-$J96)+INDEX(AP$21:AP$141,$I96+2)*$J96</f>
        <v>-247.797158854207</v>
      </c>
      <c r="AR96" s="12" t="n">
        <f aca="false">INDEX(AP$21:AP$141,$K96+1)*(1-$L96)+INDEX(AP$21:AP$141,$K96+2)*$L96</f>
        <v>-249.009509197652</v>
      </c>
      <c r="AS96" s="12" t="n">
        <f aca="false">$C96+$D96+MAX(AQ96,AR96,IF(COUNTIFS($A$21:$A$141,"&gt;="&amp;$G96,$A$21:$A$141,"&lt;="&amp;$H96)&gt;0,_xlfn.MAXIFS(AP$21:AP$141,$A$21:$A$141,"&gt;="&amp;$G96,$A$21:$A$141,"&lt;="&amp;$H96),AQ96))</f>
        <v>-18.6721588542074</v>
      </c>
      <c r="AT96" s="12" t="n">
        <f aca="false">-Cost_k*$A96+Beta_q*(Declarations!$B$16*INDEX(AS$21:AS$141,MAX(1,MIN(121,$B96-ROUND(Declarations!$A$16/$D$18,0))))+Declarations!$B$17*INDEX(AS$21:AS$141,MAX(1,MIN(121,$B96-ROUND(Declarations!$A$17/$D$18,0))))+Declarations!$B$18*INDEX(AS$21:AS$141,MAX(1,MIN(121,$B96-ROUND(Declarations!$A$18/$D$18,0))))+Declarations!$B$19*INDEX(AS$21:AS$141,MAX(1,MIN(121,$B96-ROUND(Declarations!$A$19/$D$18,0))))+Declarations!$B$20*INDEX(AS$21:AS$141,MAX(1,MIN(121,$B96-ROUND(Declarations!$A$20/$D$18,0)))))</f>
        <v>-253.258909924337</v>
      </c>
      <c r="AU96" s="12" t="n">
        <f aca="false">INDEX(AT$21:AT$141,$I96+1)*(1-$J96)+INDEX(AT$21:AT$141,$I96+2)*$J96</f>
        <v>-252.725124826721</v>
      </c>
      <c r="AV96" s="12" t="n">
        <f aca="false">INDEX(AT$21:AT$141,$K96+1)*(1-$L96)+INDEX(AT$21:AT$141,$K96+2)*$L96</f>
        <v>-253.807890375695</v>
      </c>
      <c r="AW96" s="12" t="n">
        <f aca="false">$C96+$D96+MAX(AU96,AV96,IF(COUNTIFS($A$21:$A$141,"&gt;="&amp;$G96,$A$21:$A$141,"&lt;="&amp;$H96)&gt;0,_xlfn.MAXIFS(AT$21:AT$141,$A$21:$A$141,"&gt;="&amp;$G96,$A$21:$A$141,"&lt;="&amp;$H96),AU96))</f>
        <v>-23.6001248267207</v>
      </c>
      <c r="AX96" s="12" t="n">
        <f aca="false">-Cost_k*$A96+Beta_q*(Declarations!$B$16*INDEX(AW$21:AW$141,MAX(1,MIN(121,$B96-ROUND(Declarations!$A$16/$D$18,0))))+Declarations!$B$17*INDEX(AW$21:AW$141,MAX(1,MIN(121,$B96-ROUND(Declarations!$A$17/$D$18,0))))+Declarations!$B$18*INDEX(AW$21:AW$141,MAX(1,MIN(121,$B96-ROUND(Declarations!$A$18/$D$18,0))))+Declarations!$B$19*INDEX(AW$21:AW$141,MAX(1,MIN(121,$B96-ROUND(Declarations!$A$19/$D$18,0))))+Declarations!$B$20*INDEX(AW$21:AW$141,MAX(1,MIN(121,$B96-ROUND(Declarations!$A$20/$D$18,0)))))</f>
        <v>-258.068980155573</v>
      </c>
      <c r="AY96" s="12" t="n">
        <f aca="false">INDEX(AX$21:AX$141,$I96+1)*(1-$J96)+INDEX(AX$21:AX$141,$I96+2)*$J96</f>
        <v>-257.538008913721</v>
      </c>
      <c r="AZ96" s="12" t="n">
        <f aca="false">INDEX(AX$21:AX$141,$K96+1)*(1-$L96)+INDEX(AX$21:AX$141,$K96+2)*$L96</f>
        <v>-258.600930851037</v>
      </c>
      <c r="BA96" s="12" t="n">
        <f aca="false">$C96+$D96+MAX(AY96,AZ96,IF(COUNTIFS($A$21:$A$141,"&gt;="&amp;$G96,$A$21:$A$141,"&lt;="&amp;$H96)&gt;0,_xlfn.MAXIFS(AX$21:AX$141,$A$21:$A$141,"&gt;="&amp;$G96,$A$21:$A$141,"&lt;="&amp;$H96),AY96))</f>
        <v>-28.4130089137207</v>
      </c>
      <c r="BB96" s="12" t="n">
        <f aca="false">-Cost_k*$A96+Beta_q*(Declarations!$B$16*INDEX(BA$21:BA$141,MAX(1,MIN(121,$B96-ROUND(Declarations!$A$16/$D$18,0))))+Declarations!$B$17*INDEX(BA$21:BA$141,MAX(1,MIN(121,$B96-ROUND(Declarations!$A$17/$D$18,0))))+Declarations!$B$18*INDEX(BA$21:BA$141,MAX(1,MIN(121,$B96-ROUND(Declarations!$A$18/$D$18,0))))+Declarations!$B$19*INDEX(BA$21:BA$141,MAX(1,MIN(121,$B96-ROUND(Declarations!$A$19/$D$18,0))))+Declarations!$B$20*INDEX(BA$21:BA$141,MAX(1,MIN(121,$B96-ROUND(Declarations!$A$20/$D$18,0)))))</f>
        <v>-262.768328741376</v>
      </c>
      <c r="BC96" s="12" t="n">
        <f aca="false">INDEX(BB$21:BB$141,$I96+1)*(1-$J96)+INDEX(BB$21:BB$141,$I96+2)*$J96</f>
        <v>-262.237658076474</v>
      </c>
      <c r="BD96" s="12" t="n">
        <f aca="false">INDEX(BB$21:BB$141,$K96+1)*(1-$L96)+INDEX(BB$21:BB$141,$K96+2)*$L96</f>
        <v>-263.298048245643</v>
      </c>
      <c r="BE96" s="12" t="n">
        <f aca="false">$C96+$D96+MAX(BC96,BD96,IF(COUNTIFS($A$21:$A$141,"&gt;="&amp;$G96,$A$21:$A$141,"&lt;="&amp;$H96)&gt;0,_xlfn.MAXIFS(BB$21:BB$141,$A$21:$A$141,"&gt;="&amp;$G96,$A$21:$A$141,"&lt;="&amp;$H96),BC96))</f>
        <v>-33.1126580764742</v>
      </c>
      <c r="BF96" s="12" t="n">
        <f aca="false">-Cost_k*$A96+Beta_q*(Declarations!$B$16*INDEX(BE$21:BE$141,MAX(1,MIN(121,$B96-ROUND(Declarations!$A$16/$D$18,0))))+Declarations!$B$17*INDEX(BE$21:BE$141,MAX(1,MIN(121,$B96-ROUND(Declarations!$A$17/$D$18,0))))+Declarations!$B$18*INDEX(BE$21:BE$141,MAX(1,MIN(121,$B96-ROUND(Declarations!$A$18/$D$18,0))))+Declarations!$B$19*INDEX(BE$21:BE$141,MAX(1,MIN(121,$B96-ROUND(Declarations!$A$19/$D$18,0))))+Declarations!$B$20*INDEX(BE$21:BE$141,MAX(1,MIN(121,$B96-ROUND(Declarations!$A$20/$D$18,0)))))</f>
        <v>-267.35729834039</v>
      </c>
      <c r="BG96" s="12" t="n">
        <f aca="false">INDEX(BF$21:BF$141,$I96+1)*(1-$J96)+INDEX(BF$21:BF$141,$I96+2)*$J96</f>
        <v>-266.826658486097</v>
      </c>
      <c r="BH96" s="12" t="n">
        <f aca="false">INDEX(BF$21:BF$141,$K96+1)*(1-$L96)+INDEX(BF$21:BF$141,$K96+2)*$L96</f>
        <v>-267.886759289772</v>
      </c>
      <c r="BI96" s="12" t="n">
        <f aca="false">$C96+$D96+MAX(BG96,BH96,IF(COUNTIFS($A$21:$A$141,"&gt;="&amp;$G96,$A$21:$A$141,"&lt;="&amp;$H96)&gt;0,_xlfn.MAXIFS(BF$21:BF$141,$A$21:$A$141,"&gt;="&amp;$G96,$A$21:$A$141,"&lt;="&amp;$H96),BG96))</f>
        <v>-37.7016584860974</v>
      </c>
      <c r="BJ96" s="23" t="n">
        <v>-37.7016584860974</v>
      </c>
      <c r="BK96" s="22" t="n">
        <f aca="false">ABS(BI96-BJ96)</f>
        <v>0</v>
      </c>
    </row>
    <row r="97" customFormat="false" ht="15" hidden="false" customHeight="false" outlineLevel="0" collapsed="false">
      <c r="A97" s="14" t="n">
        <f aca="false">A96+$D$18</f>
        <v>59</v>
      </c>
      <c r="B97" s="19" t="n">
        <v>77</v>
      </c>
      <c r="C97" s="12" t="n">
        <f aca="false">-Short_p*MAX(Floor_c-A97,0)</f>
        <v>-0</v>
      </c>
      <c r="D97" s="12" t="n">
        <f aca="false">Cost_k*Alpha_keep*A97</f>
        <v>230.1</v>
      </c>
      <c r="E97" s="12" t="n">
        <f aca="false">MIN(Cap_h,MAX(0,$B$18+MAX(Loss_w)-Alpha_keep*A97))</f>
        <v>0</v>
      </c>
      <c r="F97" s="12" t="n">
        <f aca="false">MAX(MIN(Cap_h,$F$18+MIN(Loss_w)-Alpha_keep*A97),E97)</f>
        <v>2.5</v>
      </c>
      <c r="G97" s="12" t="n">
        <f aca="false">Alpha_keep*A97+E97</f>
        <v>57.525</v>
      </c>
      <c r="H97" s="12" t="n">
        <f aca="false">Alpha_keep*A97+F97</f>
        <v>60.025</v>
      </c>
      <c r="I97" s="19" t="n">
        <f aca="false">MIN(INT((G97-$B$18)/$D$18+0.000000001),119)</f>
        <v>70</v>
      </c>
      <c r="J97" s="12" t="n">
        <f aca="false">(G97-$B$18)/$D$18-I97</f>
        <v>0.0999999999999943</v>
      </c>
      <c r="K97" s="19" t="n">
        <f aca="false">MIN(INT((H97-$B$18)/$D$18+0.000000001),119)</f>
        <v>80</v>
      </c>
      <c r="L97" s="12" t="n">
        <f aca="false">(H97-$B$18)/$D$18-K97</f>
        <v>0.0999999999999943</v>
      </c>
      <c r="M97" s="9" t="n">
        <v>0</v>
      </c>
      <c r="N97" s="12" t="n">
        <f aca="false">-Cost_k*$A97+Beta_q*(Declarations!$B$16*INDEX(M$21:M$141,MAX(1,MIN(121,$B97-ROUND(Declarations!$A$16/$D$18,0))))+Declarations!$B$17*INDEX(M$21:M$141,MAX(1,MIN(121,$B97-ROUND(Declarations!$A$17/$D$18,0))))+Declarations!$B$18*INDEX(M$21:M$141,MAX(1,MIN(121,$B97-ROUND(Declarations!$A$18/$D$18,0))))+Declarations!$B$19*INDEX(M$21:M$141,MAX(1,MIN(121,$B97-ROUND(Declarations!$A$19/$D$18,0))))+Declarations!$B$20*INDEX(M$21:M$141,MAX(1,MIN(121,$B97-ROUND(Declarations!$A$20/$D$18,0)))))</f>
        <v>-236</v>
      </c>
      <c r="O97" s="12" t="n">
        <f aca="false">INDEX(N$21:N$141,$I97+1)*(1-$J97)+INDEX(N$21:N$141,$I97+2)*$J97</f>
        <v>-230.1</v>
      </c>
      <c r="P97" s="12" t="n">
        <f aca="false">INDEX(N$21:N$141,$K97+1)*(1-$L97)+INDEX(N$21:N$141,$K97+2)*$L97</f>
        <v>-240.1</v>
      </c>
      <c r="Q97" s="12" t="n">
        <f aca="false">$C97+$D97+MAX(O97,P97,IF(COUNTIFS($A$21:$A$141,"&gt;="&amp;$G97,$A$21:$A$141,"&lt;="&amp;$H97)&gt;0,_xlfn.MAXIFS(N$21:N$141,$A$21:$A$141,"&gt;="&amp;$G97,$A$21:$A$141,"&lt;="&amp;$H97),O97))</f>
        <v>0</v>
      </c>
      <c r="R97" s="12" t="n">
        <f aca="false">-Cost_k*$A97+Beta_q*(Declarations!$B$16*INDEX(Q$21:Q$141,MAX(1,MIN(121,$B97-ROUND(Declarations!$A$16/$D$18,0))))+Declarations!$B$17*INDEX(Q$21:Q$141,MAX(1,MIN(121,$B97-ROUND(Declarations!$A$17/$D$18,0))))+Declarations!$B$18*INDEX(Q$21:Q$141,MAX(1,MIN(121,$B97-ROUND(Declarations!$A$18/$D$18,0))))+Declarations!$B$19*INDEX(Q$21:Q$141,MAX(1,MIN(121,$B97-ROUND(Declarations!$A$19/$D$18,0))))+Declarations!$B$20*INDEX(Q$21:Q$141,MAX(1,MIN(121,$B97-ROUND(Declarations!$A$20/$D$18,0)))))</f>
        <v>-236</v>
      </c>
      <c r="S97" s="12" t="n">
        <f aca="false">INDEX(R$21:R$141,$I97+1)*(1-$J97)+INDEX(R$21:R$141,$I97+2)*$J97</f>
        <v>-230.1</v>
      </c>
      <c r="T97" s="12" t="n">
        <f aca="false">INDEX(R$21:R$141,$K97+1)*(1-$L97)+INDEX(R$21:R$141,$K97+2)*$L97</f>
        <v>-240.1</v>
      </c>
      <c r="U97" s="12" t="n">
        <f aca="false">$C97+$D97+MAX(S97,T97,IF(COUNTIFS($A$21:$A$141,"&gt;="&amp;$G97,$A$21:$A$141,"&lt;="&amp;$H97)&gt;0,_xlfn.MAXIFS(R$21:R$141,$A$21:$A$141,"&gt;="&amp;$G97,$A$21:$A$141,"&lt;="&amp;$H97),S97))</f>
        <v>0</v>
      </c>
      <c r="V97" s="12" t="n">
        <f aca="false">-Cost_k*$A97+Beta_q*(Declarations!$B$16*INDEX(U$21:U$141,MAX(1,MIN(121,$B97-ROUND(Declarations!$A$16/$D$18,0))))+Declarations!$B$17*INDEX(U$21:U$141,MAX(1,MIN(121,$B97-ROUND(Declarations!$A$17/$D$18,0))))+Declarations!$B$18*INDEX(U$21:U$141,MAX(1,MIN(121,$B97-ROUND(Declarations!$A$18/$D$18,0))))+Declarations!$B$19*INDEX(U$21:U$141,MAX(1,MIN(121,$B97-ROUND(Declarations!$A$19/$D$18,0))))+Declarations!$B$20*INDEX(U$21:U$141,MAX(1,MIN(121,$B97-ROUND(Declarations!$A$20/$D$18,0)))))</f>
        <v>-236.001668559531</v>
      </c>
      <c r="W97" s="12" t="n">
        <f aca="false">INDEX(V$21:V$141,$I97+1)*(1-$J97)+INDEX(V$21:V$141,$I97+2)*$J97</f>
        <v>-230.19593025476</v>
      </c>
      <c r="X97" s="12" t="n">
        <f aca="false">INDEX(V$21:V$141,$K97+1)*(1-$L97)+INDEX(V$21:V$141,$K97+2)*$L97</f>
        <v>-240.1</v>
      </c>
      <c r="Y97" s="12" t="n">
        <f aca="false">$C97+$D97+MAX(W97,X97,IF(COUNTIFS($A$21:$A$141,"&gt;="&amp;$G97,$A$21:$A$141,"&lt;="&amp;$H97)&gt;0,_xlfn.MAXIFS(V$21:V$141,$A$21:$A$141,"&gt;="&amp;$G97,$A$21:$A$141,"&lt;="&amp;$H97),W97))</f>
        <v>-0.095930254760475</v>
      </c>
      <c r="Z97" s="12" t="n">
        <f aca="false">-Cost_k*$A97+Beta_q*(Declarations!$B$16*INDEX(Y$21:Y$141,MAX(1,MIN(121,$B97-ROUND(Declarations!$A$16/$D$18,0))))+Declarations!$B$17*INDEX(Y$21:Y$141,MAX(1,MIN(121,$B97-ROUND(Declarations!$A$17/$D$18,0))))+Declarations!$B$18*INDEX(Y$21:Y$141,MAX(1,MIN(121,$B97-ROUND(Declarations!$A$18/$D$18,0))))+Declarations!$B$19*INDEX(Y$21:Y$141,MAX(1,MIN(121,$B97-ROUND(Declarations!$A$19/$D$18,0))))+Declarations!$B$20*INDEX(Y$21:Y$141,MAX(1,MIN(121,$B97-ROUND(Declarations!$A$20/$D$18,0)))))</f>
        <v>-236.161418308243</v>
      </c>
      <c r="AA97" s="12" t="n">
        <f aca="false">INDEX(Z$21:Z$141,$I97+1)*(1-$J97)+INDEX(Z$21:Z$141,$I97+2)*$J97</f>
        <v>-231.139208386841</v>
      </c>
      <c r="AB97" s="12" t="n">
        <f aca="false">INDEX(Z$21:Z$141,$K97+1)*(1-$L97)+INDEX(Z$21:Z$141,$K97+2)*$L97</f>
        <v>-240.125157483696</v>
      </c>
      <c r="AC97" s="12" t="n">
        <f aca="false">$C97+$D97+MAX(AA97,AB97,IF(COUNTIFS($A$21:$A$141,"&gt;="&amp;$G97,$A$21:$A$141,"&lt;="&amp;$H97)&gt;0,_xlfn.MAXIFS(Z$21:Z$141,$A$21:$A$141,"&gt;="&amp;$G97,$A$21:$A$141,"&lt;="&amp;$H97),AA97))</f>
        <v>-1.03920838684147</v>
      </c>
      <c r="AD97" s="12" t="n">
        <f aca="false">-Cost_k*$A97+Beta_q*(Declarations!$B$16*INDEX(AC$21:AC$141,MAX(1,MIN(121,$B97-ROUND(Declarations!$A$16/$D$18,0))))+Declarations!$B$17*INDEX(AC$21:AC$141,MAX(1,MIN(121,$B97-ROUND(Declarations!$A$17/$D$18,0))))+Declarations!$B$18*INDEX(AC$21:AC$141,MAX(1,MIN(121,$B97-ROUND(Declarations!$A$18/$D$18,0))))+Declarations!$B$19*INDEX(AC$21:AC$141,MAX(1,MIN(121,$B97-ROUND(Declarations!$A$19/$D$18,0))))+Declarations!$B$20*INDEX(AC$21:AC$141,MAX(1,MIN(121,$B97-ROUND(Declarations!$A$20/$D$18,0)))))</f>
        <v>-237.170952253485</v>
      </c>
      <c r="AE97" s="12" t="n">
        <f aca="false">INDEX(AD$21:AD$141,$I97+1)*(1-$J97)+INDEX(AD$21:AD$141,$I97+2)*$J97</f>
        <v>-233.675827121357</v>
      </c>
      <c r="AF97" s="12" t="n">
        <f aca="false">INDEX(AD$21:AD$141,$K97+1)*(1-$L97)+INDEX(AD$21:AD$141,$K97+2)*$L97</f>
        <v>-240.503841766114</v>
      </c>
      <c r="AG97" s="12" t="n">
        <f aca="false">$C97+$D97+MAX(AE97,AF97,IF(COUNTIFS($A$21:$A$141,"&gt;="&amp;$G97,$A$21:$A$141,"&lt;="&amp;$H97)&gt;0,_xlfn.MAXIFS(AD$21:AD$141,$A$21:$A$141,"&gt;="&amp;$G97,$A$21:$A$141,"&lt;="&amp;$H97),AE97))</f>
        <v>-3.5758271213565</v>
      </c>
      <c r="AH97" s="12" t="n">
        <f aca="false">-Cost_k*$A97+Beta_q*(Declarations!$B$16*INDEX(AG$21:AG$141,MAX(1,MIN(121,$B97-ROUND(Declarations!$A$16/$D$18,0))))+Declarations!$B$17*INDEX(AG$21:AG$141,MAX(1,MIN(121,$B97-ROUND(Declarations!$A$17/$D$18,0))))+Declarations!$B$18*INDEX(AG$21:AG$141,MAX(1,MIN(121,$B97-ROUND(Declarations!$A$18/$D$18,0))))+Declarations!$B$19*INDEX(AG$21:AG$141,MAX(1,MIN(121,$B97-ROUND(Declarations!$A$19/$D$18,0))))+Declarations!$B$20*INDEX(AG$21:AG$141,MAX(1,MIN(121,$B97-ROUND(Declarations!$A$20/$D$18,0)))))</f>
        <v>-239.679602870282</v>
      </c>
      <c r="AI97" s="12" t="n">
        <f aca="false">INDEX(AH$21:AH$141,$I97+1)*(1-$J97)+INDEX(AH$21:AH$141,$I97+2)*$J97</f>
        <v>-237.860783261318</v>
      </c>
      <c r="AJ97" s="12" t="n">
        <f aca="false">INDEX(AH$21:AH$141,$K97+1)*(1-$L97)+INDEX(AH$21:AH$141,$K97+2)*$L97</f>
        <v>-241.962519686132</v>
      </c>
      <c r="AK97" s="12" t="n">
        <f aca="false">$C97+$D97+MAX(AI97,AJ97,IF(COUNTIFS($A$21:$A$141,"&gt;="&amp;$G97,$A$21:$A$141,"&lt;="&amp;$H97)&gt;0,_xlfn.MAXIFS(AH$21:AH$141,$A$21:$A$141,"&gt;="&amp;$G97,$A$21:$A$141,"&lt;="&amp;$H97),AI97))</f>
        <v>-7.76078326131773</v>
      </c>
      <c r="AL97" s="12" t="n">
        <f aca="false">-Cost_k*$A97+Beta_q*(Declarations!$B$16*INDEX(AK$21:AK$141,MAX(1,MIN(121,$B97-ROUND(Declarations!$A$16/$D$18,0))))+Declarations!$B$17*INDEX(AK$21:AK$141,MAX(1,MIN(121,$B97-ROUND(Declarations!$A$17/$D$18,0))))+Declarations!$B$18*INDEX(AK$21:AK$141,MAX(1,MIN(121,$B97-ROUND(Declarations!$A$18/$D$18,0))))+Declarations!$B$19*INDEX(AK$21:AK$141,MAX(1,MIN(121,$B97-ROUND(Declarations!$A$19/$D$18,0))))+Declarations!$B$20*INDEX(AK$21:AK$141,MAX(1,MIN(121,$B97-ROUND(Declarations!$A$20/$D$18,0)))))</f>
        <v>-243.705403428234</v>
      </c>
      <c r="AM97" s="12" t="n">
        <f aca="false">INDEX(AL$21:AL$141,$I97+1)*(1-$J97)+INDEX(AL$21:AL$141,$I97+2)*$J97</f>
        <v>-242.844679275936</v>
      </c>
      <c r="AN97" s="12" t="n">
        <f aca="false">INDEX(AL$21:AL$141,$K97+1)*(1-$L97)+INDEX(AL$21:AL$141,$K97+2)*$L97</f>
        <v>-244.947898547791</v>
      </c>
      <c r="AO97" s="12" t="n">
        <f aca="false">$C97+$D97+MAX(AM97,AN97,IF(COUNTIFS($A$21:$A$141,"&gt;="&amp;$G97,$A$21:$A$141,"&lt;="&amp;$H97)&gt;0,_xlfn.MAXIFS(AL$21:AL$141,$A$21:$A$141,"&gt;="&amp;$G97,$A$21:$A$141,"&lt;="&amp;$H97),AM97))</f>
        <v>-12.7446792759363</v>
      </c>
      <c r="AP97" s="12" t="n">
        <f aca="false">-Cost_k*$A97+Beta_q*(Declarations!$B$16*INDEX(AO$21:AO$141,MAX(1,MIN(121,$B97-ROUND(Declarations!$A$16/$D$18,0))))+Declarations!$B$17*INDEX(AO$21:AO$141,MAX(1,MIN(121,$B97-ROUND(Declarations!$A$17/$D$18,0))))+Declarations!$B$18*INDEX(AO$21:AO$141,MAX(1,MIN(121,$B97-ROUND(Declarations!$A$18/$D$18,0))))+Declarations!$B$19*INDEX(AO$21:AO$141,MAX(1,MIN(121,$B97-ROUND(Declarations!$A$19/$D$18,0))))+Declarations!$B$20*INDEX(AO$21:AO$141,MAX(1,MIN(121,$B97-ROUND(Declarations!$A$20/$D$18,0)))))</f>
        <v>-248.4925339243</v>
      </c>
      <c r="AQ97" s="12" t="n">
        <f aca="false">INDEX(AP$21:AP$141,$I97+1)*(1-$J97)+INDEX(AP$21:AP$141,$I97+2)*$J97</f>
        <v>-247.871735077962</v>
      </c>
      <c r="AR97" s="12" t="n">
        <f aca="false">INDEX(AP$21:AP$141,$K97+1)*(1-$L97)+INDEX(AP$21:AP$141,$K97+2)*$L97</f>
        <v>-249.204945306138</v>
      </c>
      <c r="AS97" s="12" t="n">
        <f aca="false">$C97+$D97+MAX(AQ97,AR97,IF(COUNTIFS($A$21:$A$141,"&gt;="&amp;$G97,$A$21:$A$141,"&lt;="&amp;$H97)&gt;0,_xlfn.MAXIFS(AP$21:AP$141,$A$21:$A$141,"&gt;="&amp;$G97,$A$21:$A$141,"&lt;="&amp;$H97),AQ97))</f>
        <v>-17.7717350779623</v>
      </c>
      <c r="AT97" s="12" t="n">
        <f aca="false">-Cost_k*$A97+Beta_q*(Declarations!$B$16*INDEX(AS$21:AS$141,MAX(1,MIN(121,$B97-ROUND(Declarations!$A$16/$D$18,0))))+Declarations!$B$17*INDEX(AS$21:AS$141,MAX(1,MIN(121,$B97-ROUND(Declarations!$A$17/$D$18,0))))+Declarations!$B$18*INDEX(AS$21:AS$141,MAX(1,MIN(121,$B97-ROUND(Declarations!$A$18/$D$18,0))))+Declarations!$B$19*INDEX(AS$21:AS$141,MAX(1,MIN(121,$B97-ROUND(Declarations!$A$19/$D$18,0))))+Declarations!$B$20*INDEX(AS$21:AS$141,MAX(1,MIN(121,$B97-ROUND(Declarations!$A$20/$D$18,0)))))</f>
        <v>-253.38156526785</v>
      </c>
      <c r="AU97" s="12" t="n">
        <f aca="false">INDEX(AT$21:AT$141,$I97+1)*(1-$J97)+INDEX(AT$21:AT$141,$I97+2)*$J97</f>
        <v>-252.798734569923</v>
      </c>
      <c r="AV97" s="12" t="n">
        <f aca="false">INDEX(AT$21:AT$141,$K97+1)*(1-$L97)+INDEX(AT$21:AT$141,$K97+2)*$L97</f>
        <v>-253.957880881433</v>
      </c>
      <c r="AW97" s="12" t="n">
        <f aca="false">$C97+$D97+MAX(AU97,AV97,IF(COUNTIFS($A$21:$A$141,"&gt;="&amp;$G97,$A$21:$A$141,"&lt;="&amp;$H97)&gt;0,_xlfn.MAXIFS(AT$21:AT$141,$A$21:$A$141,"&gt;="&amp;$G97,$A$21:$A$141,"&lt;="&amp;$H97),AU97))</f>
        <v>-22.6987345699234</v>
      </c>
      <c r="AX97" s="12" t="n">
        <f aca="false">-Cost_k*$A97+Beta_q*(Declarations!$B$16*INDEX(AW$21:AW$141,MAX(1,MIN(121,$B97-ROUND(Declarations!$A$16/$D$18,0))))+Declarations!$B$17*INDEX(AW$21:AW$141,MAX(1,MIN(121,$B97-ROUND(Declarations!$A$17/$D$18,0))))+Declarations!$B$18*INDEX(AW$21:AW$141,MAX(1,MIN(121,$B97-ROUND(Declarations!$A$18/$D$18,0))))+Declarations!$B$19*INDEX(AW$21:AW$141,MAX(1,MIN(121,$B97-ROUND(Declarations!$A$19/$D$18,0))))+Declarations!$B$20*INDEX(AW$21:AW$141,MAX(1,MIN(121,$B97-ROUND(Declarations!$A$20/$D$18,0)))))</f>
        <v>-258.189589342814</v>
      </c>
      <c r="AY97" s="12" t="n">
        <f aca="false">INDEX(AX$21:AX$141,$I97+1)*(1-$J97)+INDEX(AX$21:AX$141,$I97+2)*$J97</f>
        <v>-257.611525707849</v>
      </c>
      <c r="AZ97" s="12" t="n">
        <f aca="false">INDEX(AX$21:AX$141,$K97+1)*(1-$L97)+INDEX(AX$21:AX$141,$K97+2)*$L97</f>
        <v>-258.742340111345</v>
      </c>
      <c r="BA97" s="12" t="n">
        <f aca="false">$C97+$D97+MAX(AY97,AZ97,IF(COUNTIFS($A$21:$A$141,"&gt;="&amp;$G97,$A$21:$A$141,"&lt;="&amp;$H97)&gt;0,_xlfn.MAXIFS(AX$21:AX$141,$A$21:$A$141,"&gt;="&amp;$G97,$A$21:$A$141,"&lt;="&amp;$H97),AY97))</f>
        <v>-27.5115257078495</v>
      </c>
      <c r="BB97" s="12" t="n">
        <f aca="false">-Cost_k*$A97+Beta_q*(Declarations!$B$16*INDEX(BA$21:BA$141,MAX(1,MIN(121,$B97-ROUND(Declarations!$A$16/$D$18,0))))+Declarations!$B$17*INDEX(BA$21:BA$141,MAX(1,MIN(121,$B97-ROUND(Declarations!$A$17/$D$18,0))))+Declarations!$B$18*INDEX(BA$21:BA$141,MAX(1,MIN(121,$B97-ROUND(Declarations!$A$18/$D$18,0))))+Declarations!$B$19*INDEX(BA$21:BA$141,MAX(1,MIN(121,$B97-ROUND(Declarations!$A$19/$D$18,0))))+Declarations!$B$20*INDEX(BA$21:BA$141,MAX(1,MIN(121,$B97-ROUND(Declarations!$A$20/$D$18,0)))))</f>
        <v>-262.888701636646</v>
      </c>
      <c r="BC97" s="12" t="n">
        <f aca="false">INDEX(BB$21:BB$141,$I97+1)*(1-$J97)+INDEX(BB$21:BB$141,$I97+2)*$J97</f>
        <v>-262.311165739055</v>
      </c>
      <c r="BD97" s="12" t="n">
        <f aca="false">INDEX(BB$21:BB$141,$K97+1)*(1-$L97)+INDEX(BB$21:BB$141,$K97+2)*$L97</f>
        <v>-263.438198596312</v>
      </c>
      <c r="BE97" s="12" t="n">
        <f aca="false">$C97+$D97+MAX(BC97,BD97,IF(COUNTIFS($A$21:$A$141,"&gt;="&amp;$G97,$A$21:$A$141,"&lt;="&amp;$H97)&gt;0,_xlfn.MAXIFS(BB$21:BB$141,$A$21:$A$141,"&gt;="&amp;$G97,$A$21:$A$141,"&lt;="&amp;$H97),BC97))</f>
        <v>-32.2111657390554</v>
      </c>
      <c r="BF97" s="12" t="n">
        <f aca="false">-Cost_k*$A97+Beta_q*(Declarations!$B$16*INDEX(BE$21:BE$141,MAX(1,MIN(121,$B97-ROUND(Declarations!$A$16/$D$18,0))))+Declarations!$B$17*INDEX(BE$21:BE$141,MAX(1,MIN(121,$B97-ROUND(Declarations!$A$17/$D$18,0))))+Declarations!$B$18*INDEX(BE$21:BE$141,MAX(1,MIN(121,$B97-ROUND(Declarations!$A$18/$D$18,0))))+Declarations!$B$19*INDEX(BE$21:BE$141,MAX(1,MIN(121,$B97-ROUND(Declarations!$A$19/$D$18,0))))+Declarations!$B$20*INDEX(BE$21:BE$141,MAX(1,MIN(121,$B97-ROUND(Declarations!$A$20/$D$18,0)))))</f>
        <v>-267.477646016552</v>
      </c>
      <c r="BG97" s="12" t="n">
        <f aca="false">INDEX(BF$21:BF$141,$I97+1)*(1-$J97)+INDEX(BF$21:BF$141,$I97+2)*$J97</f>
        <v>-266.90016517471</v>
      </c>
      <c r="BH97" s="12" t="n">
        <f aca="false">INDEX(BF$21:BF$141,$K97+1)*(1-$L97)+INDEX(BF$21:BF$141,$K97+2)*$L97</f>
        <v>-268.026751613974</v>
      </c>
      <c r="BI97" s="12" t="n">
        <f aca="false">$C97+$D97+MAX(BG97,BH97,IF(COUNTIFS($A$21:$A$141,"&gt;="&amp;$G97,$A$21:$A$141,"&lt;="&amp;$H97)&gt;0,_xlfn.MAXIFS(BF$21:BF$141,$A$21:$A$141,"&gt;="&amp;$G97,$A$21:$A$141,"&lt;="&amp;$H97),BG97))</f>
        <v>-36.8001651747101</v>
      </c>
      <c r="BJ97" s="23" t="n">
        <v>-36.8001651747101</v>
      </c>
      <c r="BK97" s="22" t="n">
        <f aca="false">ABS(BI97-BJ97)</f>
        <v>0</v>
      </c>
    </row>
    <row r="98" customFormat="false" ht="15" hidden="false" customHeight="false" outlineLevel="0" collapsed="false">
      <c r="A98" s="14" t="n">
        <f aca="false">A97+$D$18</f>
        <v>59.25</v>
      </c>
      <c r="B98" s="19" t="n">
        <v>78</v>
      </c>
      <c r="C98" s="12" t="n">
        <f aca="false">-Short_p*MAX(Floor_c-A98,0)</f>
        <v>-0</v>
      </c>
      <c r="D98" s="12" t="n">
        <f aca="false">Cost_k*Alpha_keep*A98</f>
        <v>231.075</v>
      </c>
      <c r="E98" s="12" t="n">
        <f aca="false">MIN(Cap_h,MAX(0,$B$18+MAX(Loss_w)-Alpha_keep*A98))</f>
        <v>0</v>
      </c>
      <c r="F98" s="12" t="n">
        <f aca="false">MAX(MIN(Cap_h,$F$18+MIN(Loss_w)-Alpha_keep*A98),E98)</f>
        <v>2.5</v>
      </c>
      <c r="G98" s="12" t="n">
        <f aca="false">Alpha_keep*A98+E98</f>
        <v>57.76875</v>
      </c>
      <c r="H98" s="12" t="n">
        <f aca="false">Alpha_keep*A98+F98</f>
        <v>60.26875</v>
      </c>
      <c r="I98" s="19" t="n">
        <f aca="false">MIN(INT((G98-$B$18)/$D$18+0.000000001),119)</f>
        <v>71</v>
      </c>
      <c r="J98" s="12" t="n">
        <f aca="false">(G98-$B$18)/$D$18-I98</f>
        <v>0.0749999999999886</v>
      </c>
      <c r="K98" s="19" t="n">
        <f aca="false">MIN(INT((H98-$B$18)/$D$18+0.000000001),119)</f>
        <v>81</v>
      </c>
      <c r="L98" s="12" t="n">
        <f aca="false">(H98-$B$18)/$D$18-K98</f>
        <v>0.0749999999999886</v>
      </c>
      <c r="M98" s="9" t="n">
        <v>0</v>
      </c>
      <c r="N98" s="12" t="n">
        <f aca="false">-Cost_k*$A98+Beta_q*(Declarations!$B$16*INDEX(M$21:M$141,MAX(1,MIN(121,$B98-ROUND(Declarations!$A$16/$D$18,0))))+Declarations!$B$17*INDEX(M$21:M$141,MAX(1,MIN(121,$B98-ROUND(Declarations!$A$17/$D$18,0))))+Declarations!$B$18*INDEX(M$21:M$141,MAX(1,MIN(121,$B98-ROUND(Declarations!$A$18/$D$18,0))))+Declarations!$B$19*INDEX(M$21:M$141,MAX(1,MIN(121,$B98-ROUND(Declarations!$A$19/$D$18,0))))+Declarations!$B$20*INDEX(M$21:M$141,MAX(1,MIN(121,$B98-ROUND(Declarations!$A$20/$D$18,0)))))</f>
        <v>-237</v>
      </c>
      <c r="O98" s="12" t="n">
        <f aca="false">INDEX(N$21:N$141,$I98+1)*(1-$J98)+INDEX(N$21:N$141,$I98+2)*$J98</f>
        <v>-231.075</v>
      </c>
      <c r="P98" s="12" t="n">
        <f aca="false">INDEX(N$21:N$141,$K98+1)*(1-$L98)+INDEX(N$21:N$141,$K98+2)*$L98</f>
        <v>-241.075</v>
      </c>
      <c r="Q98" s="12" t="n">
        <f aca="false">$C98+$D98+MAX(O98,P98,IF(COUNTIFS($A$21:$A$141,"&gt;="&amp;$G98,$A$21:$A$141,"&lt;="&amp;$H98)&gt;0,_xlfn.MAXIFS(N$21:N$141,$A$21:$A$141,"&gt;="&amp;$G98,$A$21:$A$141,"&lt;="&amp;$H98),O98))</f>
        <v>0</v>
      </c>
      <c r="R98" s="12" t="n">
        <f aca="false">-Cost_k*$A98+Beta_q*(Declarations!$B$16*INDEX(Q$21:Q$141,MAX(1,MIN(121,$B98-ROUND(Declarations!$A$16/$D$18,0))))+Declarations!$B$17*INDEX(Q$21:Q$141,MAX(1,MIN(121,$B98-ROUND(Declarations!$A$17/$D$18,0))))+Declarations!$B$18*INDEX(Q$21:Q$141,MAX(1,MIN(121,$B98-ROUND(Declarations!$A$18/$D$18,0))))+Declarations!$B$19*INDEX(Q$21:Q$141,MAX(1,MIN(121,$B98-ROUND(Declarations!$A$19/$D$18,0))))+Declarations!$B$20*INDEX(Q$21:Q$141,MAX(1,MIN(121,$B98-ROUND(Declarations!$A$20/$D$18,0)))))</f>
        <v>-237</v>
      </c>
      <c r="S98" s="12" t="n">
        <f aca="false">INDEX(R$21:R$141,$I98+1)*(1-$J98)+INDEX(R$21:R$141,$I98+2)*$J98</f>
        <v>-231.075</v>
      </c>
      <c r="T98" s="12" t="n">
        <f aca="false">INDEX(R$21:R$141,$K98+1)*(1-$L98)+INDEX(R$21:R$141,$K98+2)*$L98</f>
        <v>-241.075</v>
      </c>
      <c r="U98" s="12" t="n">
        <f aca="false">$C98+$D98+MAX(S98,T98,IF(COUNTIFS($A$21:$A$141,"&gt;="&amp;$G98,$A$21:$A$141,"&lt;="&amp;$H98)&gt;0,_xlfn.MAXIFS(R$21:R$141,$A$21:$A$141,"&gt;="&amp;$G98,$A$21:$A$141,"&lt;="&amp;$H98),S98))</f>
        <v>0</v>
      </c>
      <c r="V98" s="12" t="n">
        <f aca="false">-Cost_k*$A98+Beta_q*(Declarations!$B$16*INDEX(U$21:U$141,MAX(1,MIN(121,$B98-ROUND(Declarations!$A$16/$D$18,0))))+Declarations!$B$17*INDEX(U$21:U$141,MAX(1,MIN(121,$B98-ROUND(Declarations!$A$17/$D$18,0))))+Declarations!$B$18*INDEX(U$21:U$141,MAX(1,MIN(121,$B98-ROUND(Declarations!$A$18/$D$18,0))))+Declarations!$B$19*INDEX(U$21:U$141,MAX(1,MIN(121,$B98-ROUND(Declarations!$A$19/$D$18,0))))+Declarations!$B$20*INDEX(U$21:U$141,MAX(1,MIN(121,$B98-ROUND(Declarations!$A$20/$D$18,0)))))</f>
        <v>-237.000738933507</v>
      </c>
      <c r="W98" s="12" t="n">
        <f aca="false">INDEX(V$21:V$141,$I98+1)*(1-$J98)+INDEX(V$21:V$141,$I98+2)*$J98</f>
        <v>-231.130850858907</v>
      </c>
      <c r="X98" s="12" t="n">
        <f aca="false">INDEX(V$21:V$141,$K98+1)*(1-$L98)+INDEX(V$21:V$141,$K98+2)*$L98</f>
        <v>-241.075</v>
      </c>
      <c r="Y98" s="12" t="n">
        <f aca="false">$C98+$D98+MAX(W98,X98,IF(COUNTIFS($A$21:$A$141,"&gt;="&amp;$G98,$A$21:$A$141,"&lt;="&amp;$H98)&gt;0,_xlfn.MAXIFS(V$21:V$141,$A$21:$A$141,"&gt;="&amp;$G98,$A$21:$A$141,"&lt;="&amp;$H98),W98))</f>
        <v>-0.0558508589074336</v>
      </c>
      <c r="Z98" s="12" t="n">
        <f aca="false">-Cost_k*$A98+Beta_q*(Declarations!$B$16*INDEX(Y$21:Y$141,MAX(1,MIN(121,$B98-ROUND(Declarations!$A$16/$D$18,0))))+Declarations!$B$17*INDEX(Y$21:Y$141,MAX(1,MIN(121,$B98-ROUND(Declarations!$A$17/$D$18,0))))+Declarations!$B$18*INDEX(Y$21:Y$141,MAX(1,MIN(121,$B98-ROUND(Declarations!$A$18/$D$18,0))))+Declarations!$B$19*INDEX(Y$21:Y$141,MAX(1,MIN(121,$B98-ROUND(Declarations!$A$19/$D$18,0))))+Declarations!$B$20*INDEX(Y$21:Y$141,MAX(1,MIN(121,$B98-ROUND(Declarations!$A$20/$D$18,0)))))</f>
        <v>-237.105185321054</v>
      </c>
      <c r="AA98" s="12" t="n">
        <f aca="false">INDEX(Z$21:Z$141,$I98+1)*(1-$J98)+INDEX(Z$21:Z$141,$I98+2)*$J98</f>
        <v>-231.866430002236</v>
      </c>
      <c r="AB98" s="12" t="n">
        <f aca="false">INDEX(Z$21:Z$141,$K98+1)*(1-$L98)+INDEX(Z$21:Z$141,$K98+2)*$L98</f>
        <v>-241.08770331495</v>
      </c>
      <c r="AC98" s="12" t="n">
        <f aca="false">$C98+$D98+MAX(AA98,AB98,IF(COUNTIFS($A$21:$A$141,"&gt;="&amp;$G98,$A$21:$A$141,"&lt;="&amp;$H98)&gt;0,_xlfn.MAXIFS(Z$21:Z$141,$A$21:$A$141,"&gt;="&amp;$G98,$A$21:$A$141,"&lt;="&amp;$H98),AA98))</f>
        <v>-0.791430002236325</v>
      </c>
      <c r="AD98" s="12" t="n">
        <f aca="false">-Cost_k*$A98+Beta_q*(Declarations!$B$16*INDEX(AC$21:AC$141,MAX(1,MIN(121,$B98-ROUND(Declarations!$A$16/$D$18,0))))+Declarations!$B$17*INDEX(AC$21:AC$141,MAX(1,MIN(121,$B98-ROUND(Declarations!$A$17/$D$18,0))))+Declarations!$B$18*INDEX(AC$21:AC$141,MAX(1,MIN(121,$B98-ROUND(Declarations!$A$18/$D$18,0))))+Declarations!$B$19*INDEX(AC$21:AC$141,MAX(1,MIN(121,$B98-ROUND(Declarations!$A$19/$D$18,0))))+Declarations!$B$20*INDEX(AC$21:AC$141,MAX(1,MIN(121,$B98-ROUND(Declarations!$A$20/$D$18,0)))))</f>
        <v>-237.917089004755</v>
      </c>
      <c r="AE98" s="12" t="n">
        <f aca="false">INDEX(AD$21:AD$141,$I98+1)*(1-$J98)+INDEX(AD$21:AD$141,$I98+2)*$J98</f>
        <v>-234.109839982514</v>
      </c>
      <c r="AF98" s="12" t="n">
        <f aca="false">INDEX(AD$21:AD$141,$K98+1)*(1-$L98)+INDEX(AD$21:AD$141,$K98+2)*$L98</f>
        <v>-241.370265756835</v>
      </c>
      <c r="AG98" s="12" t="n">
        <f aca="false">$C98+$D98+MAX(AE98,AF98,IF(COUNTIFS($A$21:$A$141,"&gt;="&amp;$G98,$A$21:$A$141,"&lt;="&amp;$H98)&gt;0,_xlfn.MAXIFS(AD$21:AD$141,$A$21:$A$141,"&gt;="&amp;$G98,$A$21:$A$141,"&lt;="&amp;$H98),AE98))</f>
        <v>-3.0348399825142</v>
      </c>
      <c r="AH98" s="12" t="n">
        <f aca="false">-Cost_k*$A98+Beta_q*(Declarations!$B$16*INDEX(AG$21:AG$141,MAX(1,MIN(121,$B98-ROUND(Declarations!$A$16/$D$18,0))))+Declarations!$B$17*INDEX(AG$21:AG$141,MAX(1,MIN(121,$B98-ROUND(Declarations!$A$17/$D$18,0))))+Declarations!$B$18*INDEX(AG$21:AG$141,MAX(1,MIN(121,$B98-ROUND(Declarations!$A$18/$D$18,0))))+Declarations!$B$19*INDEX(AG$21:AG$141,MAX(1,MIN(121,$B98-ROUND(Declarations!$A$19/$D$18,0))))+Declarations!$B$20*INDEX(AG$21:AG$141,MAX(1,MIN(121,$B98-ROUND(Declarations!$A$20/$D$18,0)))))</f>
        <v>-240.148352832585</v>
      </c>
      <c r="AI98" s="12" t="n">
        <f aca="false">INDEX(AH$21:AH$141,$I98+1)*(1-$J98)+INDEX(AH$21:AH$141,$I98+2)*$J98</f>
        <v>-238.03344314833</v>
      </c>
      <c r="AJ98" s="12" t="n">
        <f aca="false">INDEX(AH$21:AH$141,$K98+1)*(1-$L98)+INDEX(AH$21:AH$141,$K98+2)*$L98</f>
        <v>-242.618534710198</v>
      </c>
      <c r="AK98" s="12" t="n">
        <f aca="false">$C98+$D98+MAX(AI98,AJ98,IF(COUNTIFS($A$21:$A$141,"&gt;="&amp;$G98,$A$21:$A$141,"&lt;="&amp;$H98)&gt;0,_xlfn.MAXIFS(AH$21:AH$141,$A$21:$A$141,"&gt;="&amp;$G98,$A$21:$A$141,"&lt;="&amp;$H98),AI98))</f>
        <v>-6.95844314833039</v>
      </c>
      <c r="AL98" s="12" t="n">
        <f aca="false">-Cost_k*$A98+Beta_q*(Declarations!$B$16*INDEX(AK$21:AK$141,MAX(1,MIN(121,$B98-ROUND(Declarations!$A$16/$D$18,0))))+Declarations!$B$17*INDEX(AK$21:AK$141,MAX(1,MIN(121,$B98-ROUND(Declarations!$A$17/$D$18,0))))+Declarations!$B$18*INDEX(AK$21:AK$141,MAX(1,MIN(121,$B98-ROUND(Declarations!$A$18/$D$18,0))))+Declarations!$B$19*INDEX(AK$21:AK$141,MAX(1,MIN(121,$B98-ROUND(Declarations!$A$19/$D$18,0))))+Declarations!$B$20*INDEX(AK$21:AK$141,MAX(1,MIN(121,$B98-ROUND(Declarations!$A$20/$D$18,0)))))</f>
        <v>-243.937820552124</v>
      </c>
      <c r="AM98" s="12" t="n">
        <f aca="false">INDEX(AL$21:AL$141,$I98+1)*(1-$J98)+INDEX(AL$21:AL$141,$I98+2)*$J98</f>
        <v>-242.933073213981</v>
      </c>
      <c r="AN98" s="12" t="n">
        <f aca="false">INDEX(AL$21:AL$141,$K98+1)*(1-$L98)+INDEX(AL$21:AL$141,$K98+2)*$L98</f>
        <v>-245.348550295599</v>
      </c>
      <c r="AO98" s="12" t="n">
        <f aca="false">$C98+$D98+MAX(AM98,AN98,IF(COUNTIFS($A$21:$A$141,"&gt;="&amp;$G98,$A$21:$A$141,"&lt;="&amp;$H98)&gt;0,_xlfn.MAXIFS(AL$21:AL$141,$A$21:$A$141,"&gt;="&amp;$G98,$A$21:$A$141,"&lt;="&amp;$H98),AM98))</f>
        <v>-11.8580732139807</v>
      </c>
      <c r="AP98" s="12" t="n">
        <f aca="false">-Cost_k*$A98+Beta_q*(Declarations!$B$16*INDEX(AO$21:AO$141,MAX(1,MIN(121,$B98-ROUND(Declarations!$A$16/$D$18,0))))+Declarations!$B$17*INDEX(AO$21:AO$141,MAX(1,MIN(121,$B98-ROUND(Declarations!$A$17/$D$18,0))))+Declarations!$B$18*INDEX(AO$21:AO$141,MAX(1,MIN(121,$B98-ROUND(Declarations!$A$18/$D$18,0))))+Declarations!$B$19*INDEX(AO$21:AO$141,MAX(1,MIN(121,$B98-ROUND(Declarations!$A$19/$D$18,0))))+Declarations!$B$20*INDEX(AO$21:AO$141,MAX(1,MIN(121,$B98-ROUND(Declarations!$A$20/$D$18,0)))))</f>
        <v>-248.634971806941</v>
      </c>
      <c r="AQ98" s="12" t="n">
        <f aca="false">INDEX(AP$21:AP$141,$I98+1)*(1-$J98)+INDEX(AP$21:AP$141,$I98+2)*$J98</f>
        <v>-247.94824650095</v>
      </c>
      <c r="AR98" s="12" t="n">
        <f aca="false">INDEX(AP$21:AP$141,$K98+1)*(1-$L98)+INDEX(AP$21:AP$141,$K98+2)*$L98</f>
        <v>-249.427921349503</v>
      </c>
      <c r="AS98" s="12" t="n">
        <f aca="false">$C98+$D98+MAX(AQ98,AR98,IF(COUNTIFS($A$21:$A$141,"&gt;="&amp;$G98,$A$21:$A$141,"&lt;="&amp;$H98)&gt;0,_xlfn.MAXIFS(AP$21:AP$141,$A$21:$A$141,"&gt;="&amp;$G98,$A$21:$A$141,"&lt;="&amp;$H98),AQ98))</f>
        <v>-16.8732465009503</v>
      </c>
      <c r="AT98" s="12" t="n">
        <f aca="false">-Cost_k*$A98+Beta_q*(Declarations!$B$16*INDEX(AS$21:AS$141,MAX(1,MIN(121,$B98-ROUND(Declarations!$A$16/$D$18,0))))+Declarations!$B$17*INDEX(AS$21:AS$141,MAX(1,MIN(121,$B98-ROUND(Declarations!$A$17/$D$18,0))))+Declarations!$B$18*INDEX(AS$21:AS$141,MAX(1,MIN(121,$B98-ROUND(Declarations!$A$18/$D$18,0))))+Declarations!$B$19*INDEX(AS$21:AS$141,MAX(1,MIN(121,$B98-ROUND(Declarations!$A$19/$D$18,0))))+Declarations!$B$20*INDEX(AS$21:AS$141,MAX(1,MIN(121,$B98-ROUND(Declarations!$A$20/$D$18,0)))))</f>
        <v>-253.506207298095</v>
      </c>
      <c r="AU98" s="12" t="n">
        <f aca="false">INDEX(AT$21:AT$141,$I98+1)*(1-$J98)+INDEX(AT$21:AT$141,$I98+2)*$J98</f>
        <v>-252.873914929327</v>
      </c>
      <c r="AV98" s="12" t="n">
        <f aca="false">INDEX(AT$21:AT$141,$K98+1)*(1-$L98)+INDEX(AT$21:AT$141,$K98+2)*$L98</f>
        <v>-254.119386195856</v>
      </c>
      <c r="AW98" s="12" t="n">
        <f aca="false">$C98+$D98+MAX(AU98,AV98,IF(COUNTIFS($A$21:$A$141,"&gt;="&amp;$G98,$A$21:$A$141,"&lt;="&amp;$H98)&gt;0,_xlfn.MAXIFS(AT$21:AT$141,$A$21:$A$141,"&gt;="&amp;$G98,$A$21:$A$141,"&lt;="&amp;$H98),AU98))</f>
        <v>-21.7989149293266</v>
      </c>
      <c r="AX98" s="12" t="n">
        <f aca="false">-Cost_k*$A98+Beta_q*(Declarations!$B$16*INDEX(AW$21:AW$141,MAX(1,MIN(121,$B98-ROUND(Declarations!$A$16/$D$18,0))))+Declarations!$B$17*INDEX(AW$21:AW$141,MAX(1,MIN(121,$B98-ROUND(Declarations!$A$17/$D$18,0))))+Declarations!$B$18*INDEX(AW$21:AW$141,MAX(1,MIN(121,$B98-ROUND(Declarations!$A$18/$D$18,0))))+Declarations!$B$19*INDEX(AW$21:AW$141,MAX(1,MIN(121,$B98-ROUND(Declarations!$A$19/$D$18,0))))+Declarations!$B$20*INDEX(AW$21:AW$141,MAX(1,MIN(121,$B98-ROUND(Declarations!$A$20/$D$18,0)))))</f>
        <v>-258.311654476031</v>
      </c>
      <c r="AY98" s="12" t="n">
        <f aca="false">INDEX(AX$21:AX$141,$I98+1)*(1-$J98)+INDEX(AX$21:AX$141,$I98+2)*$J98</f>
        <v>-257.686571066353</v>
      </c>
      <c r="AZ98" s="12" t="n">
        <f aca="false">INDEX(AX$21:AX$141,$K98+1)*(1-$L98)+INDEX(AX$21:AX$141,$K98+2)*$L98</f>
        <v>-258.890841265096</v>
      </c>
      <c r="BA98" s="12" t="n">
        <f aca="false">$C98+$D98+MAX(AY98,AZ98,IF(COUNTIFS($A$21:$A$141,"&gt;="&amp;$G98,$A$21:$A$141,"&lt;="&amp;$H98)&gt;0,_xlfn.MAXIFS(AX$21:AX$141,$A$21:$A$141,"&gt;="&amp;$G98,$A$21:$A$141,"&lt;="&amp;$H98),AY98))</f>
        <v>-26.6115710663527</v>
      </c>
      <c r="BB98" s="12" t="n">
        <f aca="false">-Cost_k*$A98+Beta_q*(Declarations!$B$16*INDEX(BA$21:BA$141,MAX(1,MIN(121,$B98-ROUND(Declarations!$A$16/$D$18,0))))+Declarations!$B$17*INDEX(BA$21:BA$141,MAX(1,MIN(121,$B98-ROUND(Declarations!$A$17/$D$18,0))))+Declarations!$B$18*INDEX(BA$21:BA$141,MAX(1,MIN(121,$B98-ROUND(Declarations!$A$18/$D$18,0))))+Declarations!$B$19*INDEX(BA$21:BA$141,MAX(1,MIN(121,$B98-ROUND(Declarations!$A$19/$D$18,0))))+Declarations!$B$20*INDEX(BA$21:BA$141,MAX(1,MIN(121,$B98-ROUND(Declarations!$A$20/$D$18,0)))))</f>
        <v>-263.01045275589</v>
      </c>
      <c r="BC98" s="12" t="n">
        <f aca="false">INDEX(BB$21:BB$141,$I98+1)*(1-$J98)+INDEX(BB$21:BB$141,$I98+2)*$J98</f>
        <v>-262.38619798913</v>
      </c>
      <c r="BD98" s="12" t="n">
        <f aca="false">INDEX(BB$21:BB$141,$K98+1)*(1-$L98)+INDEX(BB$21:BB$141,$K98+2)*$L98</f>
        <v>-263.584637237416</v>
      </c>
      <c r="BE98" s="12" t="n">
        <f aca="false">$C98+$D98+MAX(BC98,BD98,IF(COUNTIFS($A$21:$A$141,"&gt;="&amp;$G98,$A$21:$A$141,"&lt;="&amp;$H98)&gt;0,_xlfn.MAXIFS(BB$21:BB$141,$A$21:$A$141,"&gt;="&amp;$G98,$A$21:$A$141,"&lt;="&amp;$H98),BC98))</f>
        <v>-31.3111979891299</v>
      </c>
      <c r="BF98" s="12" t="n">
        <f aca="false">-Cost_k*$A98+Beta_q*(Declarations!$B$16*INDEX(BE$21:BE$141,MAX(1,MIN(121,$B98-ROUND(Declarations!$A$16/$D$18,0))))+Declarations!$B$17*INDEX(BE$21:BE$141,MAX(1,MIN(121,$B98-ROUND(Declarations!$A$17/$D$18,0))))+Declarations!$B$18*INDEX(BE$21:BE$141,MAX(1,MIN(121,$B98-ROUND(Declarations!$A$18/$D$18,0))))+Declarations!$B$19*INDEX(BE$21:BE$141,MAX(1,MIN(121,$B98-ROUND(Declarations!$A$19/$D$18,0))))+Declarations!$B$20*INDEX(BE$21:BE$141,MAX(1,MIN(121,$B98-ROUND(Declarations!$A$20/$D$18,0)))))</f>
        <v>-267.599362583283</v>
      </c>
      <c r="BG98" s="12" t="n">
        <f aca="false">INDEX(BF$21:BF$141,$I98+1)*(1-$J98)+INDEX(BF$21:BF$141,$I98+2)*$J98</f>
        <v>-266.97519614305</v>
      </c>
      <c r="BH98" s="12" t="n">
        <f aca="false">INDEX(BF$21:BF$141,$K98+1)*(1-$L98)+INDEX(BF$21:BF$141,$K98+2)*$L98</f>
        <v>-268.172916947581</v>
      </c>
      <c r="BI98" s="12" t="n">
        <f aca="false">$C98+$D98+MAX(BG98,BH98,IF(COUNTIFS($A$21:$A$141,"&gt;="&amp;$G98,$A$21:$A$141,"&lt;="&amp;$H98)&gt;0,_xlfn.MAXIFS(BF$21:BF$141,$A$21:$A$141,"&gt;="&amp;$G98,$A$21:$A$141,"&lt;="&amp;$H98),BG98))</f>
        <v>-35.9001961430502</v>
      </c>
      <c r="BJ98" s="23" t="n">
        <v>-35.9001961430502</v>
      </c>
      <c r="BK98" s="22" t="n">
        <f aca="false">ABS(BI98-BJ98)</f>
        <v>0</v>
      </c>
    </row>
    <row r="99" customFormat="false" ht="15" hidden="false" customHeight="false" outlineLevel="0" collapsed="false">
      <c r="A99" s="14" t="n">
        <f aca="false">A98+$D$18</f>
        <v>59.5</v>
      </c>
      <c r="B99" s="19" t="n">
        <v>79</v>
      </c>
      <c r="C99" s="12" t="n">
        <f aca="false">-Short_p*MAX(Floor_c-A99,0)</f>
        <v>-0</v>
      </c>
      <c r="D99" s="12" t="n">
        <f aca="false">Cost_k*Alpha_keep*A99</f>
        <v>232.05</v>
      </c>
      <c r="E99" s="12" t="n">
        <f aca="false">MIN(Cap_h,MAX(0,$B$18+MAX(Loss_w)-Alpha_keep*A99))</f>
        <v>0</v>
      </c>
      <c r="F99" s="12" t="n">
        <f aca="false">MAX(MIN(Cap_h,$F$18+MIN(Loss_w)-Alpha_keep*A99),E99)</f>
        <v>2.5</v>
      </c>
      <c r="G99" s="12" t="n">
        <f aca="false">Alpha_keep*A99+E99</f>
        <v>58.0125</v>
      </c>
      <c r="H99" s="12" t="n">
        <f aca="false">Alpha_keep*A99+F99</f>
        <v>60.5125</v>
      </c>
      <c r="I99" s="19" t="n">
        <f aca="false">MIN(INT((G99-$B$18)/$D$18+0.000000001),119)</f>
        <v>72</v>
      </c>
      <c r="J99" s="12" t="n">
        <f aca="false">(G99-$B$18)/$D$18-I99</f>
        <v>0.049999999999983</v>
      </c>
      <c r="K99" s="19" t="n">
        <f aca="false">MIN(INT((H99-$B$18)/$D$18+0.000000001),119)</f>
        <v>82</v>
      </c>
      <c r="L99" s="12" t="n">
        <f aca="false">(H99-$B$18)/$D$18-K99</f>
        <v>0.049999999999983</v>
      </c>
      <c r="M99" s="9" t="n">
        <v>0</v>
      </c>
      <c r="N99" s="12" t="n">
        <f aca="false">-Cost_k*$A99+Beta_q*(Declarations!$B$16*INDEX(M$21:M$141,MAX(1,MIN(121,$B99-ROUND(Declarations!$A$16/$D$18,0))))+Declarations!$B$17*INDEX(M$21:M$141,MAX(1,MIN(121,$B99-ROUND(Declarations!$A$17/$D$18,0))))+Declarations!$B$18*INDEX(M$21:M$141,MAX(1,MIN(121,$B99-ROUND(Declarations!$A$18/$D$18,0))))+Declarations!$B$19*INDEX(M$21:M$141,MAX(1,MIN(121,$B99-ROUND(Declarations!$A$19/$D$18,0))))+Declarations!$B$20*INDEX(M$21:M$141,MAX(1,MIN(121,$B99-ROUND(Declarations!$A$20/$D$18,0)))))</f>
        <v>-238</v>
      </c>
      <c r="O99" s="12" t="n">
        <f aca="false">INDEX(N$21:N$141,$I99+1)*(1-$J99)+INDEX(N$21:N$141,$I99+2)*$J99</f>
        <v>-232.05</v>
      </c>
      <c r="P99" s="12" t="n">
        <f aca="false">INDEX(N$21:N$141,$K99+1)*(1-$L99)+INDEX(N$21:N$141,$K99+2)*$L99</f>
        <v>-242.05</v>
      </c>
      <c r="Q99" s="12" t="n">
        <f aca="false">$C99+$D99+MAX(O99,P99,IF(COUNTIFS($A$21:$A$141,"&gt;="&amp;$G99,$A$21:$A$141,"&lt;="&amp;$H99)&gt;0,_xlfn.MAXIFS(N$21:N$141,$A$21:$A$141,"&gt;="&amp;$G99,$A$21:$A$141,"&lt;="&amp;$H99),O99))</f>
        <v>0</v>
      </c>
      <c r="R99" s="12" t="n">
        <f aca="false">-Cost_k*$A99+Beta_q*(Declarations!$B$16*INDEX(Q$21:Q$141,MAX(1,MIN(121,$B99-ROUND(Declarations!$A$16/$D$18,0))))+Declarations!$B$17*INDEX(Q$21:Q$141,MAX(1,MIN(121,$B99-ROUND(Declarations!$A$17/$D$18,0))))+Declarations!$B$18*INDEX(Q$21:Q$141,MAX(1,MIN(121,$B99-ROUND(Declarations!$A$18/$D$18,0))))+Declarations!$B$19*INDEX(Q$21:Q$141,MAX(1,MIN(121,$B99-ROUND(Declarations!$A$19/$D$18,0))))+Declarations!$B$20*INDEX(Q$21:Q$141,MAX(1,MIN(121,$B99-ROUND(Declarations!$A$20/$D$18,0)))))</f>
        <v>-238</v>
      </c>
      <c r="S99" s="12" t="n">
        <f aca="false">INDEX(R$21:R$141,$I99+1)*(1-$J99)+INDEX(R$21:R$141,$I99+2)*$J99</f>
        <v>-232.05</v>
      </c>
      <c r="T99" s="12" t="n">
        <f aca="false">INDEX(R$21:R$141,$K99+1)*(1-$L99)+INDEX(R$21:R$141,$K99+2)*$L99</f>
        <v>-242.05</v>
      </c>
      <c r="U99" s="12" t="n">
        <f aca="false">$C99+$D99+MAX(S99,T99,IF(COUNTIFS($A$21:$A$141,"&gt;="&amp;$G99,$A$21:$A$141,"&lt;="&amp;$H99)&gt;0,_xlfn.MAXIFS(R$21:R$141,$A$21:$A$141,"&gt;="&amp;$G99,$A$21:$A$141,"&lt;="&amp;$H99),S99))</f>
        <v>0</v>
      </c>
      <c r="V99" s="12" t="n">
        <f aca="false">-Cost_k*$A99+Beta_q*(Declarations!$B$16*INDEX(U$21:U$141,MAX(1,MIN(121,$B99-ROUND(Declarations!$A$16/$D$18,0))))+Declarations!$B$17*INDEX(U$21:U$141,MAX(1,MIN(121,$B99-ROUND(Declarations!$A$17/$D$18,0))))+Declarations!$B$18*INDEX(U$21:U$141,MAX(1,MIN(121,$B99-ROUND(Declarations!$A$18/$D$18,0))))+Declarations!$B$19*INDEX(U$21:U$141,MAX(1,MIN(121,$B99-ROUND(Declarations!$A$19/$D$18,0))))+Declarations!$B$20*INDEX(U$21:U$141,MAX(1,MIN(121,$B99-ROUND(Declarations!$A$20/$D$18,0)))))</f>
        <v>-238</v>
      </c>
      <c r="W99" s="12" t="n">
        <f aca="false">INDEX(V$21:V$141,$I99+1)*(1-$J99)+INDEX(V$21:V$141,$I99+2)*$J99</f>
        <v>-232.075468177587</v>
      </c>
      <c r="X99" s="12" t="n">
        <f aca="false">INDEX(V$21:V$141,$K99+1)*(1-$L99)+INDEX(V$21:V$141,$K99+2)*$L99</f>
        <v>-242.05</v>
      </c>
      <c r="Y99" s="12" t="n">
        <f aca="false">$C99+$D99+MAX(W99,X99,IF(COUNTIFS($A$21:$A$141,"&gt;="&amp;$G99,$A$21:$A$141,"&lt;="&amp;$H99)&gt;0,_xlfn.MAXIFS(V$21:V$141,$A$21:$A$141,"&gt;="&amp;$G99,$A$21:$A$141,"&lt;="&amp;$H99),W99))</f>
        <v>-0.0254681775869869</v>
      </c>
      <c r="Z99" s="12" t="n">
        <f aca="false">-Cost_k*$A99+Beta_q*(Declarations!$B$16*INDEX(Y$21:Y$141,MAX(1,MIN(121,$B99-ROUND(Declarations!$A$16/$D$18,0))))+Declarations!$B$17*INDEX(Y$21:Y$141,MAX(1,MIN(121,$B99-ROUND(Declarations!$A$17/$D$18,0))))+Declarations!$B$18*INDEX(Y$21:Y$141,MAX(1,MIN(121,$B99-ROUND(Declarations!$A$18/$D$18,0))))+Declarations!$B$19*INDEX(Y$21:Y$141,MAX(1,MIN(121,$B99-ROUND(Declarations!$A$19/$D$18,0))))+Declarations!$B$20*INDEX(Y$21:Y$141,MAX(1,MIN(121,$B99-ROUND(Declarations!$A$20/$D$18,0)))))</f>
        <v>-238.062229104552</v>
      </c>
      <c r="AA99" s="12" t="n">
        <f aca="false">INDEX(Z$21:Z$141,$I99+1)*(1-$J99)+INDEX(Z$21:Z$141,$I99+2)*$J99</f>
        <v>-232.639858887098</v>
      </c>
      <c r="AB99" s="12" t="n">
        <f aca="false">INDEX(Z$21:Z$141,$K99+1)*(1-$L99)+INDEX(Z$21:Z$141,$K99+2)*$L99</f>
        <v>-242.058701907108</v>
      </c>
      <c r="AC99" s="12" t="n">
        <f aca="false">$C99+$D99+MAX(AA99,AB99,IF(COUNTIFS($A$21:$A$141,"&gt;="&amp;$G99,$A$21:$A$141,"&lt;="&amp;$H99)&gt;0,_xlfn.MAXIFS(Z$21:Z$141,$A$21:$A$141,"&gt;="&amp;$G99,$A$21:$A$141,"&lt;="&amp;$H99),AA99))</f>
        <v>-0.589858887097961</v>
      </c>
      <c r="AD99" s="12" t="n">
        <f aca="false">-Cost_k*$A99+Beta_q*(Declarations!$B$16*INDEX(AC$21:AC$141,MAX(1,MIN(121,$B99-ROUND(Declarations!$A$16/$D$18,0))))+Declarations!$B$17*INDEX(AC$21:AC$141,MAX(1,MIN(121,$B99-ROUND(Declarations!$A$17/$D$18,0))))+Declarations!$B$18*INDEX(AC$21:AC$141,MAX(1,MIN(121,$B99-ROUND(Declarations!$A$18/$D$18,0))))+Declarations!$B$19*INDEX(AC$21:AC$141,MAX(1,MIN(121,$B99-ROUND(Declarations!$A$19/$D$18,0))))+Declarations!$B$20*INDEX(AC$21:AC$141,MAX(1,MIN(121,$B99-ROUND(Declarations!$A$20/$D$18,0)))))</f>
        <v>-238.706817975006</v>
      </c>
      <c r="AE99" s="12" t="n">
        <f aca="false">INDEX(AD$21:AD$141,$I99+1)*(1-$J99)+INDEX(AD$21:AD$141,$I99+2)*$J99</f>
        <v>-234.605791741279</v>
      </c>
      <c r="AF99" s="12" t="n">
        <f aca="false">INDEX(AD$21:AD$141,$K99+1)*(1-$L99)+INDEX(AD$21:AD$141,$K99+2)*$L99</f>
        <v>-242.275936161883</v>
      </c>
      <c r="AG99" s="12" t="n">
        <f aca="false">$C99+$D99+MAX(AE99,AF99,IF(COUNTIFS($A$21:$A$141,"&gt;="&amp;$G99,$A$21:$A$141,"&lt;="&amp;$H99)&gt;0,_xlfn.MAXIFS(AD$21:AD$141,$A$21:$A$141,"&gt;="&amp;$G99,$A$21:$A$141,"&lt;="&amp;$H99),AE99))</f>
        <v>-2.55579174127936</v>
      </c>
      <c r="AH99" s="12" t="n">
        <f aca="false">-Cost_k*$A99+Beta_q*(Declarations!$B$16*INDEX(AG$21:AG$141,MAX(1,MIN(121,$B99-ROUND(Declarations!$A$16/$D$18,0))))+Declarations!$B$17*INDEX(AG$21:AG$141,MAX(1,MIN(121,$B99-ROUND(Declarations!$A$17/$D$18,0))))+Declarations!$B$18*INDEX(AG$21:AG$141,MAX(1,MIN(121,$B99-ROUND(Declarations!$A$18/$D$18,0))))+Declarations!$B$19*INDEX(AG$21:AG$141,MAX(1,MIN(121,$B99-ROUND(Declarations!$A$19/$D$18,0))))+Declarations!$B$20*INDEX(AG$21:AG$141,MAX(1,MIN(121,$B99-ROUND(Declarations!$A$20/$D$18,0)))))</f>
        <v>-240.67535969799</v>
      </c>
      <c r="AI99" s="12" t="n">
        <f aca="false">INDEX(AH$21:AH$141,$I99+1)*(1-$J99)+INDEX(AH$21:AH$141,$I99+2)*$J99</f>
        <v>-238.255532709385</v>
      </c>
      <c r="AJ99" s="12" t="n">
        <f aca="false">INDEX(AH$21:AH$141,$K99+1)*(1-$L99)+INDEX(AH$21:AH$141,$K99+2)*$L99</f>
        <v>-243.336045656321</v>
      </c>
      <c r="AK99" s="12" t="n">
        <f aca="false">$C99+$D99+MAX(AI99,AJ99,IF(COUNTIFS($A$21:$A$141,"&gt;="&amp;$G99,$A$21:$A$141,"&lt;="&amp;$H99)&gt;0,_xlfn.MAXIFS(AH$21:AH$141,$A$21:$A$141,"&gt;="&amp;$G99,$A$21:$A$141,"&lt;="&amp;$H99),AI99))</f>
        <v>-6.20553270938501</v>
      </c>
      <c r="AL99" s="12" t="n">
        <f aca="false">-Cost_k*$A99+Beta_q*(Declarations!$B$16*INDEX(AK$21:AK$141,MAX(1,MIN(121,$B99-ROUND(Declarations!$A$16/$D$18,0))))+Declarations!$B$17*INDEX(AK$21:AK$141,MAX(1,MIN(121,$B99-ROUND(Declarations!$A$17/$D$18,0))))+Declarations!$B$18*INDEX(AK$21:AK$141,MAX(1,MIN(121,$B99-ROUND(Declarations!$A$18/$D$18,0))))+Declarations!$B$19*INDEX(AK$21:AK$141,MAX(1,MIN(121,$B99-ROUND(Declarations!$A$19/$D$18,0))))+Declarations!$B$20*INDEX(AK$21:AK$141,MAX(1,MIN(121,$B99-ROUND(Declarations!$A$20/$D$18,0)))))</f>
        <v>-244.214574547891</v>
      </c>
      <c r="AM99" s="12" t="n">
        <f aca="false">INDEX(AL$21:AL$141,$I99+1)*(1-$J99)+INDEX(AL$21:AL$141,$I99+2)*$J99</f>
        <v>-243.037729151679</v>
      </c>
      <c r="AN99" s="12" t="n">
        <f aca="false">INDEX(AL$21:AL$141,$K99+1)*(1-$L99)+INDEX(AL$21:AL$141,$K99+2)*$L99</f>
        <v>-245.812384239161</v>
      </c>
      <c r="AO99" s="12" t="n">
        <f aca="false">$C99+$D99+MAX(AM99,AN99,IF(COUNTIFS($A$21:$A$141,"&gt;="&amp;$G99,$A$21:$A$141,"&lt;="&amp;$H99)&gt;0,_xlfn.MAXIFS(AL$21:AL$141,$A$21:$A$141,"&gt;="&amp;$G99,$A$21:$A$141,"&lt;="&amp;$H99),AM99))</f>
        <v>-10.9877291516792</v>
      </c>
      <c r="AP99" s="12" t="n">
        <f aca="false">-Cost_k*$A99+Beta_q*(Declarations!$B$16*INDEX(AO$21:AO$141,MAX(1,MIN(121,$B99-ROUND(Declarations!$A$16/$D$18,0))))+Declarations!$B$17*INDEX(AO$21:AO$141,MAX(1,MIN(121,$B99-ROUND(Declarations!$A$17/$D$18,0))))+Declarations!$B$18*INDEX(AO$21:AO$141,MAX(1,MIN(121,$B99-ROUND(Declarations!$A$18/$D$18,0))))+Declarations!$B$19*INDEX(AO$21:AO$141,MAX(1,MIN(121,$B99-ROUND(Declarations!$A$19/$D$18,0))))+Declarations!$B$20*INDEX(AO$21:AO$141,MAX(1,MIN(121,$B99-ROUND(Declarations!$A$20/$D$18,0)))))</f>
        <v>-248.795154075378</v>
      </c>
      <c r="AQ99" s="12" t="n">
        <f aca="false">INDEX(AP$21:AP$141,$I99+1)*(1-$J99)+INDEX(AP$21:AP$141,$I99+2)*$J99</f>
        <v>-248.032676484444</v>
      </c>
      <c r="AR99" s="12" t="n">
        <f aca="false">INDEX(AP$21:AP$141,$K99+1)*(1-$L99)+INDEX(AP$21:AP$141,$K99+2)*$L99</f>
        <v>-249.689429709686</v>
      </c>
      <c r="AS99" s="12" t="n">
        <f aca="false">$C99+$D99+MAX(AQ99,AR99,IF(COUNTIFS($A$21:$A$141,"&gt;="&amp;$G99,$A$21:$A$141,"&lt;="&amp;$H99)&gt;0,_xlfn.MAXIFS(AP$21:AP$141,$A$21:$A$141,"&gt;="&amp;$G99,$A$21:$A$141,"&lt;="&amp;$H99),AQ99))</f>
        <v>-15.9826764844435</v>
      </c>
      <c r="AT99" s="12" t="n">
        <f aca="false">-Cost_k*$A99+Beta_q*(Declarations!$B$16*INDEX(AS$21:AS$141,MAX(1,MIN(121,$B99-ROUND(Declarations!$A$16/$D$18,0))))+Declarations!$B$17*INDEX(AS$21:AS$141,MAX(1,MIN(121,$B99-ROUND(Declarations!$A$17/$D$18,0))))+Declarations!$B$18*INDEX(AS$21:AS$141,MAX(1,MIN(121,$B99-ROUND(Declarations!$A$18/$D$18,0))))+Declarations!$B$19*INDEX(AS$21:AS$141,MAX(1,MIN(121,$B99-ROUND(Declarations!$A$19/$D$18,0))))+Declarations!$B$20*INDEX(AS$21:AS$141,MAX(1,MIN(121,$B99-ROUND(Declarations!$A$20/$D$18,0)))))</f>
        <v>-253.639188576546</v>
      </c>
      <c r="AU99" s="12" t="n">
        <f aca="false">INDEX(AT$21:AT$141,$I99+1)*(1-$J99)+INDEX(AT$21:AT$141,$I99+2)*$J99</f>
        <v>-252.955815286416</v>
      </c>
      <c r="AV99" s="12" t="n">
        <f aca="false">INDEX(AT$21:AT$141,$K99+1)*(1-$L99)+INDEX(AT$21:AT$141,$K99+2)*$L99</f>
        <v>-254.299655650837</v>
      </c>
      <c r="AW99" s="12" t="n">
        <f aca="false">$C99+$D99+MAX(AU99,AV99,IF(COUNTIFS($A$21:$A$141,"&gt;="&amp;$G99,$A$21:$A$141,"&lt;="&amp;$H99)&gt;0,_xlfn.MAXIFS(AT$21:AT$141,$A$21:$A$141,"&gt;="&amp;$G99,$A$21:$A$141,"&lt;="&amp;$H99),AU99))</f>
        <v>-20.9058152864162</v>
      </c>
      <c r="AX99" s="12" t="n">
        <f aca="false">-Cost_k*$A99+Beta_q*(Declarations!$B$16*INDEX(AW$21:AW$141,MAX(1,MIN(121,$B99-ROUND(Declarations!$A$16/$D$18,0))))+Declarations!$B$17*INDEX(AW$21:AW$141,MAX(1,MIN(121,$B99-ROUND(Declarations!$A$17/$D$18,0))))+Declarations!$B$18*INDEX(AW$21:AW$141,MAX(1,MIN(121,$B99-ROUND(Declarations!$A$18/$D$18,0))))+Declarations!$B$19*INDEX(AW$21:AW$141,MAX(1,MIN(121,$B99-ROUND(Declarations!$A$19/$D$18,0))))+Declarations!$B$20*INDEX(AW$21:AW$141,MAX(1,MIN(121,$B99-ROUND(Declarations!$A$20/$D$18,0)))))</f>
        <v>-258.440235940043</v>
      </c>
      <c r="AY99" s="12" t="n">
        <f aca="false">INDEX(AX$21:AX$141,$I99+1)*(1-$J99)+INDEX(AX$21:AX$141,$I99+2)*$J99</f>
        <v>-257.768200149931</v>
      </c>
      <c r="AZ99" s="12" t="n">
        <f aca="false">INDEX(AX$21:AX$141,$K99+1)*(1-$L99)+INDEX(AX$21:AX$141,$K99+2)*$L99</f>
        <v>-259.052303110854</v>
      </c>
      <c r="BA99" s="12" t="n">
        <f aca="false">$C99+$D99+MAX(AY99,AZ99,IF(COUNTIFS($A$21:$A$141,"&gt;="&amp;$G99,$A$21:$A$141,"&lt;="&amp;$H99)&gt;0,_xlfn.MAXIFS(AX$21:AX$141,$A$21:$A$141,"&gt;="&amp;$G99,$A$21:$A$141,"&lt;="&amp;$H99),AY99))</f>
        <v>-25.7182001499308</v>
      </c>
      <c r="BB99" s="12" t="n">
        <f aca="false">-Cost_k*$A99+Beta_q*(Declarations!$B$16*INDEX(BA$21:BA$141,MAX(1,MIN(121,$B99-ROUND(Declarations!$A$16/$D$18,0))))+Declarations!$B$17*INDEX(BA$21:BA$141,MAX(1,MIN(121,$B99-ROUND(Declarations!$A$17/$D$18,0))))+Declarations!$B$18*INDEX(BA$21:BA$141,MAX(1,MIN(121,$B99-ROUND(Declarations!$A$18/$D$18,0))))+Declarations!$B$19*INDEX(BA$21:BA$141,MAX(1,MIN(121,$B99-ROUND(Declarations!$A$19/$D$18,0))))+Declarations!$B$20*INDEX(BA$21:BA$141,MAX(1,MIN(121,$B99-ROUND(Declarations!$A$20/$D$18,0)))))</f>
        <v>-263.138456757409</v>
      </c>
      <c r="BC99" s="12" t="n">
        <f aca="false">INDEX(BB$21:BB$141,$I99+1)*(1-$J99)+INDEX(BB$21:BB$141,$I99+2)*$J99</f>
        <v>-262.467799961115</v>
      </c>
      <c r="BD99" s="12" t="n">
        <f aca="false">INDEX(BB$21:BB$141,$K99+1)*(1-$L99)+INDEX(BB$21:BB$141,$K99+2)*$L99</f>
        <v>-263.742949147369</v>
      </c>
      <c r="BE99" s="12" t="n">
        <f aca="false">$C99+$D99+MAX(BC99,BD99,IF(COUNTIFS($A$21:$A$141,"&gt;="&amp;$G99,$A$21:$A$141,"&lt;="&amp;$H99)&gt;0,_xlfn.MAXIFS(BB$21:BB$141,$A$21:$A$141,"&gt;="&amp;$G99,$A$21:$A$141,"&lt;="&amp;$H99),BC99))</f>
        <v>-30.417799961115</v>
      </c>
      <c r="BF99" s="12" t="n">
        <f aca="false">-Cost_k*$A99+Beta_q*(Declarations!$B$16*INDEX(BE$21:BE$141,MAX(1,MIN(121,$B99-ROUND(Declarations!$A$16/$D$18,0))))+Declarations!$B$17*INDEX(BE$21:BE$141,MAX(1,MIN(121,$B99-ROUND(Declarations!$A$17/$D$18,0))))+Declarations!$B$18*INDEX(BE$21:BE$141,MAX(1,MIN(121,$B99-ROUND(Declarations!$A$18/$D$18,0))))+Declarations!$B$19*INDEX(BE$21:BE$141,MAX(1,MIN(121,$B99-ROUND(Declarations!$A$19/$D$18,0))))+Declarations!$B$20*INDEX(BE$21:BE$141,MAX(1,MIN(121,$B99-ROUND(Declarations!$A$20/$D$18,0)))))</f>
        <v>-267.727299764508</v>
      </c>
      <c r="BG99" s="12" t="n">
        <f aca="false">INDEX(BF$21:BF$141,$I99+1)*(1-$J99)+INDEX(BF$21:BF$141,$I99+2)*$J99</f>
        <v>-267.056795413583</v>
      </c>
      <c r="BH99" s="12" t="n">
        <f aca="false">INDEX(BF$21:BF$141,$K99+1)*(1-$L99)+INDEX(BF$21:BF$141,$K99+2)*$L99</f>
        <v>-268.330796297259</v>
      </c>
      <c r="BI99" s="12" t="n">
        <f aca="false">$C99+$D99+MAX(BG99,BH99,IF(COUNTIFS($A$21:$A$141,"&gt;="&amp;$G99,$A$21:$A$141,"&lt;="&amp;$H99)&gt;0,_xlfn.MAXIFS(BF$21:BF$141,$A$21:$A$141,"&gt;="&amp;$G99,$A$21:$A$141,"&lt;="&amp;$H99),BG99))</f>
        <v>-35.0067954135834</v>
      </c>
      <c r="BJ99" s="23" t="n">
        <v>-35.0067954135834</v>
      </c>
      <c r="BK99" s="22" t="n">
        <f aca="false">ABS(BI99-BJ99)</f>
        <v>0</v>
      </c>
    </row>
    <row r="100" customFormat="false" ht="15" hidden="false" customHeight="false" outlineLevel="0" collapsed="false">
      <c r="A100" s="14" t="n">
        <f aca="false">A99+$D$18</f>
        <v>59.75</v>
      </c>
      <c r="B100" s="19" t="n">
        <v>80</v>
      </c>
      <c r="C100" s="12" t="n">
        <f aca="false">-Short_p*MAX(Floor_c-A100,0)</f>
        <v>-0</v>
      </c>
      <c r="D100" s="12" t="n">
        <f aca="false">Cost_k*Alpha_keep*A100</f>
        <v>233.025</v>
      </c>
      <c r="E100" s="12" t="n">
        <f aca="false">MIN(Cap_h,MAX(0,$B$18+MAX(Loss_w)-Alpha_keep*A100))</f>
        <v>0</v>
      </c>
      <c r="F100" s="12" t="n">
        <f aca="false">MAX(MIN(Cap_h,$F$18+MIN(Loss_w)-Alpha_keep*A100),E100)</f>
        <v>2.5</v>
      </c>
      <c r="G100" s="12" t="n">
        <f aca="false">Alpha_keep*A100+E100</f>
        <v>58.25625</v>
      </c>
      <c r="H100" s="12" t="n">
        <f aca="false">Alpha_keep*A100+F100</f>
        <v>60.75625</v>
      </c>
      <c r="I100" s="19" t="n">
        <f aca="false">MIN(INT((G100-$B$18)/$D$18+0.000000001),119)</f>
        <v>73</v>
      </c>
      <c r="J100" s="12" t="n">
        <f aca="false">(G100-$B$18)/$D$18-I100</f>
        <v>0.0250000000000057</v>
      </c>
      <c r="K100" s="19" t="n">
        <f aca="false">MIN(INT((H100-$B$18)/$D$18+0.000000001),119)</f>
        <v>83</v>
      </c>
      <c r="L100" s="12" t="n">
        <f aca="false">(H100-$B$18)/$D$18-K100</f>
        <v>0.0250000000000057</v>
      </c>
      <c r="M100" s="9" t="n">
        <v>0</v>
      </c>
      <c r="N100" s="12" t="n">
        <f aca="false">-Cost_k*$A100+Beta_q*(Declarations!$B$16*INDEX(M$21:M$141,MAX(1,MIN(121,$B100-ROUND(Declarations!$A$16/$D$18,0))))+Declarations!$B$17*INDEX(M$21:M$141,MAX(1,MIN(121,$B100-ROUND(Declarations!$A$17/$D$18,0))))+Declarations!$B$18*INDEX(M$21:M$141,MAX(1,MIN(121,$B100-ROUND(Declarations!$A$18/$D$18,0))))+Declarations!$B$19*INDEX(M$21:M$141,MAX(1,MIN(121,$B100-ROUND(Declarations!$A$19/$D$18,0))))+Declarations!$B$20*INDEX(M$21:M$141,MAX(1,MIN(121,$B100-ROUND(Declarations!$A$20/$D$18,0)))))</f>
        <v>-239</v>
      </c>
      <c r="O100" s="12" t="n">
        <f aca="false">INDEX(N$21:N$141,$I100+1)*(1-$J100)+INDEX(N$21:N$141,$I100+2)*$J100</f>
        <v>-233.025</v>
      </c>
      <c r="P100" s="12" t="n">
        <f aca="false">INDEX(N$21:N$141,$K100+1)*(1-$L100)+INDEX(N$21:N$141,$K100+2)*$L100</f>
        <v>-243.025</v>
      </c>
      <c r="Q100" s="12" t="n">
        <f aca="false">$C100+$D100+MAX(O100,P100,IF(COUNTIFS($A$21:$A$141,"&gt;="&amp;$G100,$A$21:$A$141,"&lt;="&amp;$H100)&gt;0,_xlfn.MAXIFS(N$21:N$141,$A$21:$A$141,"&gt;="&amp;$G100,$A$21:$A$141,"&lt;="&amp;$H100),O100))</f>
        <v>0</v>
      </c>
      <c r="R100" s="12" t="n">
        <f aca="false">-Cost_k*$A100+Beta_q*(Declarations!$B$16*INDEX(Q$21:Q$141,MAX(1,MIN(121,$B100-ROUND(Declarations!$A$16/$D$18,0))))+Declarations!$B$17*INDEX(Q$21:Q$141,MAX(1,MIN(121,$B100-ROUND(Declarations!$A$17/$D$18,0))))+Declarations!$B$18*INDEX(Q$21:Q$141,MAX(1,MIN(121,$B100-ROUND(Declarations!$A$18/$D$18,0))))+Declarations!$B$19*INDEX(Q$21:Q$141,MAX(1,MIN(121,$B100-ROUND(Declarations!$A$19/$D$18,0))))+Declarations!$B$20*INDEX(Q$21:Q$141,MAX(1,MIN(121,$B100-ROUND(Declarations!$A$20/$D$18,0)))))</f>
        <v>-239</v>
      </c>
      <c r="S100" s="12" t="n">
        <f aca="false">INDEX(R$21:R$141,$I100+1)*(1-$J100)+INDEX(R$21:R$141,$I100+2)*$J100</f>
        <v>-233.025</v>
      </c>
      <c r="T100" s="12" t="n">
        <f aca="false">INDEX(R$21:R$141,$K100+1)*(1-$L100)+INDEX(R$21:R$141,$K100+2)*$L100</f>
        <v>-243.025</v>
      </c>
      <c r="U100" s="12" t="n">
        <f aca="false">$C100+$D100+MAX(S100,T100,IF(COUNTIFS($A$21:$A$141,"&gt;="&amp;$G100,$A$21:$A$141,"&lt;="&amp;$H100)&gt;0,_xlfn.MAXIFS(R$21:R$141,$A$21:$A$141,"&gt;="&amp;$G100,$A$21:$A$141,"&lt;="&amp;$H100),S100))</f>
        <v>0</v>
      </c>
      <c r="V100" s="12" t="n">
        <f aca="false">-Cost_k*$A100+Beta_q*(Declarations!$B$16*INDEX(U$21:U$141,MAX(1,MIN(121,$B100-ROUND(Declarations!$A$16/$D$18,0))))+Declarations!$B$17*INDEX(U$21:U$141,MAX(1,MIN(121,$B100-ROUND(Declarations!$A$17/$D$18,0))))+Declarations!$B$18*INDEX(U$21:U$141,MAX(1,MIN(121,$B100-ROUND(Declarations!$A$18/$D$18,0))))+Declarations!$B$19*INDEX(U$21:U$141,MAX(1,MIN(121,$B100-ROUND(Declarations!$A$19/$D$18,0))))+Declarations!$B$20*INDEX(U$21:U$141,MAX(1,MIN(121,$B100-ROUND(Declarations!$A$20/$D$18,0)))))</f>
        <v>-239</v>
      </c>
      <c r="W100" s="12" t="n">
        <f aca="false">INDEX(V$21:V$141,$I100+1)*(1-$J100)+INDEX(V$21:V$141,$I100+2)*$J100</f>
        <v>-233.042310709222</v>
      </c>
      <c r="X100" s="12" t="n">
        <f aca="false">INDEX(V$21:V$141,$K100+1)*(1-$L100)+INDEX(V$21:V$141,$K100+2)*$L100</f>
        <v>-243.025</v>
      </c>
      <c r="Y100" s="12" t="n">
        <f aca="false">$C100+$D100+MAX(W100,X100,IF(COUNTIFS($A$21:$A$141,"&gt;="&amp;$G100,$A$21:$A$141,"&lt;="&amp;$H100)&gt;0,_xlfn.MAXIFS(V$21:V$141,$A$21:$A$141,"&gt;="&amp;$G100,$A$21:$A$141,"&lt;="&amp;$H100),W100))</f>
        <v>-0.0173107092218743</v>
      </c>
      <c r="Z100" s="12" t="n">
        <f aca="false">-Cost_k*$A100+Beta_q*(Declarations!$B$16*INDEX(Y$21:Y$141,MAX(1,MIN(121,$B100-ROUND(Declarations!$A$16/$D$18,0))))+Declarations!$B$17*INDEX(Y$21:Y$141,MAX(1,MIN(121,$B100-ROUND(Declarations!$A$17/$D$18,0))))+Declarations!$B$18*INDEX(Y$21:Y$141,MAX(1,MIN(121,$B100-ROUND(Declarations!$A$18/$D$18,0))))+Declarations!$B$19*INDEX(Y$21:Y$141,MAX(1,MIN(121,$B100-ROUND(Declarations!$A$19/$D$18,0))))+Declarations!$B$20*INDEX(Y$21:Y$141,MAX(1,MIN(121,$B100-ROUND(Declarations!$A$20/$D$18,0)))))</f>
        <v>-239.044187392611</v>
      </c>
      <c r="AA100" s="12" t="n">
        <f aca="false">INDEX(Z$21:Z$141,$I100+1)*(1-$J100)+INDEX(Z$21:Z$141,$I100+2)*$J100</f>
        <v>-233.479878727507</v>
      </c>
      <c r="AB100" s="12" t="n">
        <f aca="false">INDEX(Z$21:Z$141,$K100+1)*(1-$L100)+INDEX(Z$21:Z$141,$K100+2)*$L100</f>
        <v>-243.029831885489</v>
      </c>
      <c r="AC100" s="12" t="n">
        <f aca="false">$C100+$D100+MAX(AA100,AB100,IF(COUNTIFS($A$21:$A$141,"&gt;="&amp;$G100,$A$21:$A$141,"&lt;="&amp;$H100)&gt;0,_xlfn.MAXIFS(Z$21:Z$141,$A$21:$A$141,"&gt;="&amp;$G100,$A$21:$A$141,"&lt;="&amp;$H100),AA100))</f>
        <v>-0.454878727506838</v>
      </c>
      <c r="AD100" s="12" t="n">
        <f aca="false">-Cost_k*$A100+Beta_q*(Declarations!$B$16*INDEX(AC$21:AC$141,MAX(1,MIN(121,$B100-ROUND(Declarations!$A$16/$D$18,0))))+Declarations!$B$17*INDEX(AC$21:AC$141,MAX(1,MIN(121,$B100-ROUND(Declarations!$A$17/$D$18,0))))+Declarations!$B$18*INDEX(AC$21:AC$141,MAX(1,MIN(121,$B100-ROUND(Declarations!$A$18/$D$18,0))))+Declarations!$B$19*INDEX(AC$21:AC$141,MAX(1,MIN(121,$B100-ROUND(Declarations!$A$19/$D$18,0))))+Declarations!$B$20*INDEX(AC$21:AC$141,MAX(1,MIN(121,$B100-ROUND(Declarations!$A$20/$D$18,0)))))</f>
        <v>-239.558302901311</v>
      </c>
      <c r="AE100" s="12" t="n">
        <f aca="false">INDEX(AD$21:AD$141,$I100+1)*(1-$J100)+INDEX(AD$21:AD$141,$I100+2)*$J100</f>
        <v>-235.183051040038</v>
      </c>
      <c r="AF100" s="12" t="n">
        <f aca="false">INDEX(AD$21:AD$141,$K100+1)*(1-$L100)+INDEX(AD$21:AD$141,$K100+2)*$L100</f>
        <v>-243.184999223459</v>
      </c>
      <c r="AG100" s="12" t="n">
        <f aca="false">$C100+$D100+MAX(AE100,AF100,IF(COUNTIFS($A$21:$A$141,"&gt;="&amp;$G100,$A$21:$A$141,"&lt;="&amp;$H100)&gt;0,_xlfn.MAXIFS(AD$21:AD$141,$A$21:$A$141,"&gt;="&amp;$G100,$A$21:$A$141,"&lt;="&amp;$H100),AE100))</f>
        <v>-2.15805104003789</v>
      </c>
      <c r="AH100" s="12" t="n">
        <f aca="false">-Cost_k*$A100+Beta_q*(Declarations!$B$16*INDEX(AG$21:AG$141,MAX(1,MIN(121,$B100-ROUND(Declarations!$A$16/$D$18,0))))+Declarations!$B$17*INDEX(AG$21:AG$141,MAX(1,MIN(121,$B100-ROUND(Declarations!$A$17/$D$18,0))))+Declarations!$B$18*INDEX(AG$21:AG$141,MAX(1,MIN(121,$B100-ROUND(Declarations!$A$18/$D$18,0))))+Declarations!$B$19*INDEX(AG$21:AG$141,MAX(1,MIN(121,$B100-ROUND(Declarations!$A$19/$D$18,0))))+Declarations!$B$20*INDEX(AG$21:AG$141,MAX(1,MIN(121,$B100-ROUND(Declarations!$A$20/$D$18,0)))))</f>
        <v>-241.27882802427</v>
      </c>
      <c r="AI100" s="12" t="n">
        <f aca="false">INDEX(AH$21:AH$141,$I100+1)*(1-$J100)+INDEX(AH$21:AH$141,$I100+2)*$J100</f>
        <v>-238.546779562214</v>
      </c>
      <c r="AJ100" s="12" t="n">
        <f aca="false">INDEX(AH$21:AH$141,$K100+1)*(1-$L100)+INDEX(AH$21:AH$141,$K100+2)*$L100</f>
        <v>-244.065086822715</v>
      </c>
      <c r="AK100" s="12" t="n">
        <f aca="false">$C100+$D100+MAX(AI100,AJ100,IF(COUNTIFS($A$21:$A$141,"&gt;="&amp;$G100,$A$21:$A$141,"&lt;="&amp;$H100)&gt;0,_xlfn.MAXIFS(AH$21:AH$141,$A$21:$A$141,"&gt;="&amp;$G100,$A$21:$A$141,"&lt;="&amp;$H100),AI100))</f>
        <v>-5.52177956221431</v>
      </c>
      <c r="AL100" s="12" t="n">
        <f aca="false">-Cost_k*$A100+Beta_q*(Declarations!$B$16*INDEX(AK$21:AK$141,MAX(1,MIN(121,$B100-ROUND(Declarations!$A$16/$D$18,0))))+Declarations!$B$17*INDEX(AK$21:AK$141,MAX(1,MIN(121,$B100-ROUND(Declarations!$A$17/$D$18,0))))+Declarations!$B$18*INDEX(AK$21:AK$141,MAX(1,MIN(121,$B100-ROUND(Declarations!$A$18/$D$18,0))))+Declarations!$B$19*INDEX(AK$21:AK$141,MAX(1,MIN(121,$B100-ROUND(Declarations!$A$19/$D$18,0))))+Declarations!$B$20*INDEX(AK$21:AK$141,MAX(1,MIN(121,$B100-ROUND(Declarations!$A$20/$D$18,0)))))</f>
        <v>-244.553499918499</v>
      </c>
      <c r="AM100" s="12" t="n">
        <f aca="false">INDEX(AL$21:AL$141,$I100+1)*(1-$J100)+INDEX(AL$21:AL$141,$I100+2)*$J100</f>
        <v>-243.170961799186</v>
      </c>
      <c r="AN100" s="12" t="n">
        <f aca="false">INDEX(AL$21:AL$141,$K100+1)*(1-$L100)+INDEX(AL$21:AL$141,$K100+2)*$L100</f>
        <v>-246.292917713681</v>
      </c>
      <c r="AO100" s="12" t="n">
        <f aca="false">$C100+$D100+MAX(AM100,AN100,IF(COUNTIFS($A$21:$A$141,"&gt;="&amp;$G100,$A$21:$A$141,"&lt;="&amp;$H100)&gt;0,_xlfn.MAXIFS(AL$21:AL$141,$A$21:$A$141,"&gt;="&amp;$G100,$A$21:$A$141,"&lt;="&amp;$H100),AM100))</f>
        <v>-10.1459617991864</v>
      </c>
      <c r="AP100" s="12" t="n">
        <f aca="false">-Cost_k*$A100+Beta_q*(Declarations!$B$16*INDEX(AO$21:AO$141,MAX(1,MIN(121,$B100-ROUND(Declarations!$A$16/$D$18,0))))+Declarations!$B$17*INDEX(AO$21:AO$141,MAX(1,MIN(121,$B100-ROUND(Declarations!$A$17/$D$18,0))))+Declarations!$B$18*INDEX(AO$21:AO$141,MAX(1,MIN(121,$B100-ROUND(Declarations!$A$18/$D$18,0))))+Declarations!$B$19*INDEX(AO$21:AO$141,MAX(1,MIN(121,$B100-ROUND(Declarations!$A$19/$D$18,0))))+Declarations!$B$20*INDEX(AO$21:AO$141,MAX(1,MIN(121,$B100-ROUND(Declarations!$A$20/$D$18,0)))))</f>
        <v>-248.984810531796</v>
      </c>
      <c r="AQ100" s="12" t="n">
        <f aca="false">INDEX(AP$21:AP$141,$I100+1)*(1-$J100)+INDEX(AP$21:AP$141,$I100+2)*$J100</f>
        <v>-248.133885434197</v>
      </c>
      <c r="AR100" s="12" t="n">
        <f aca="false">INDEX(AP$21:AP$141,$K100+1)*(1-$L100)+INDEX(AP$21:AP$141,$K100+2)*$L100</f>
        <v>-249.963648530815</v>
      </c>
      <c r="AS100" s="12" t="n">
        <f aca="false">$C100+$D100+MAX(AQ100,AR100,IF(COUNTIFS($A$21:$A$141,"&gt;="&amp;$G100,$A$21:$A$141,"&lt;="&amp;$H100)&gt;0,_xlfn.MAXIFS(AP$21:AP$141,$A$21:$A$141,"&gt;="&amp;$G100,$A$21:$A$141,"&lt;="&amp;$H100),AQ100))</f>
        <v>-15.1088854341974</v>
      </c>
      <c r="AT100" s="12" t="n">
        <f aca="false">-Cost_k*$A100+Beta_q*(Declarations!$B$16*INDEX(AS$21:AS$141,MAX(1,MIN(121,$B100-ROUND(Declarations!$A$16/$D$18,0))))+Declarations!$B$17*INDEX(AS$21:AS$141,MAX(1,MIN(121,$B100-ROUND(Declarations!$A$17/$D$18,0))))+Declarations!$B$18*INDEX(AS$21:AS$141,MAX(1,MIN(121,$B100-ROUND(Declarations!$A$18/$D$18,0))))+Declarations!$B$19*INDEX(AS$21:AS$141,MAX(1,MIN(121,$B100-ROUND(Declarations!$A$19/$D$18,0))))+Declarations!$B$20*INDEX(AS$21:AS$141,MAX(1,MIN(121,$B100-ROUND(Declarations!$A$20/$D$18,0)))))</f>
        <v>-253.788806973979</v>
      </c>
      <c r="AU100" s="12" t="n">
        <f aca="false">INDEX(AT$21:AT$141,$I100+1)*(1-$J100)+INDEX(AT$21:AT$141,$I100+2)*$J100</f>
        <v>-253.052768749315</v>
      </c>
      <c r="AV100" s="12" t="n">
        <f aca="false">INDEX(AT$21:AT$141,$K100+1)*(1-$L100)+INDEX(AT$21:AT$141,$K100+2)*$L100</f>
        <v>-254.485583960719</v>
      </c>
      <c r="AW100" s="12" t="n">
        <f aca="false">$C100+$D100+MAX(AU100,AV100,IF(COUNTIFS($A$21:$A$141,"&gt;="&amp;$G100,$A$21:$A$141,"&lt;="&amp;$H100)&gt;0,_xlfn.MAXIFS(AT$21:AT$141,$A$21:$A$141,"&gt;="&amp;$G100,$A$21:$A$141,"&lt;="&amp;$H100),AU100))</f>
        <v>-20.027768749315</v>
      </c>
      <c r="AX100" s="12" t="n">
        <f aca="false">-Cost_k*$A100+Beta_q*(Declarations!$B$16*INDEX(AW$21:AW$141,MAX(1,MIN(121,$B100-ROUND(Declarations!$A$16/$D$18,0))))+Declarations!$B$17*INDEX(AW$21:AW$141,MAX(1,MIN(121,$B100-ROUND(Declarations!$A$17/$D$18,0))))+Declarations!$B$18*INDEX(AW$21:AW$141,MAX(1,MIN(121,$B100-ROUND(Declarations!$A$18/$D$18,0))))+Declarations!$B$19*INDEX(AW$21:AW$141,MAX(1,MIN(121,$B100-ROUND(Declarations!$A$19/$D$18,0))))+Declarations!$B$20*INDEX(AW$21:AW$141,MAX(1,MIN(121,$B100-ROUND(Declarations!$A$20/$D$18,0)))))</f>
        <v>-258.582889705719</v>
      </c>
      <c r="AY100" s="12" t="n">
        <f aca="false">INDEX(AX$21:AX$141,$I100+1)*(1-$J100)+INDEX(AX$21:AX$141,$I100+2)*$J100</f>
        <v>-257.864684337353</v>
      </c>
      <c r="AZ100" s="12" t="n">
        <f aca="false">INDEX(AX$21:AX$141,$K100+1)*(1-$L100)+INDEX(AX$21:AX$141,$K100+2)*$L100</f>
        <v>-259.216410699674</v>
      </c>
      <c r="BA100" s="12" t="n">
        <f aca="false">$C100+$D100+MAX(AY100,AZ100,IF(COUNTIFS($A$21:$A$141,"&gt;="&amp;$G100,$A$21:$A$141,"&lt;="&amp;$H100)&gt;0,_xlfn.MAXIFS(AX$21:AX$141,$A$21:$A$141,"&gt;="&amp;$G100,$A$21:$A$141,"&lt;="&amp;$H100),AY100))</f>
        <v>-24.8396843373534</v>
      </c>
      <c r="BB100" s="12" t="n">
        <f aca="false">-Cost_k*$A100+Beta_q*(Declarations!$B$16*INDEX(BA$21:BA$141,MAX(1,MIN(121,$B100-ROUND(Declarations!$A$16/$D$18,0))))+Declarations!$B$17*INDEX(BA$21:BA$141,MAX(1,MIN(121,$B100-ROUND(Declarations!$A$17/$D$18,0))))+Declarations!$B$18*INDEX(BA$21:BA$141,MAX(1,MIN(121,$B100-ROUND(Declarations!$A$18/$D$18,0))))+Declarations!$B$19*INDEX(BA$21:BA$141,MAX(1,MIN(121,$B100-ROUND(Declarations!$A$19/$D$18,0))))+Declarations!$B$20*INDEX(BA$21:BA$141,MAX(1,MIN(121,$B100-ROUND(Declarations!$A$20/$D$18,0)))))</f>
        <v>-263.280158007851</v>
      </c>
      <c r="BC100" s="12" t="n">
        <f aca="false">INDEX(BB$21:BB$141,$I100+1)*(1-$J100)+INDEX(BB$21:BB$141,$I100+2)*$J100</f>
        <v>-262.564236350901</v>
      </c>
      <c r="BD100" s="12" t="n">
        <f aca="false">INDEX(BB$21:BB$141,$K100+1)*(1-$L100)+INDEX(BB$21:BB$141,$K100+2)*$L100</f>
        <v>-263.903181842798</v>
      </c>
      <c r="BE100" s="12" t="n">
        <f aca="false">$C100+$D100+MAX(BC100,BD100,IF(COUNTIFS($A$21:$A$141,"&gt;="&amp;$G100,$A$21:$A$141,"&lt;="&amp;$H100)&gt;0,_xlfn.MAXIFS(BB$21:BB$141,$A$21:$A$141,"&gt;="&amp;$G100,$A$21:$A$141,"&lt;="&amp;$H100),BC100))</f>
        <v>-29.5392363509007</v>
      </c>
      <c r="BF100" s="12" t="n">
        <f aca="false">-Cost_k*$A100+Beta_q*(Declarations!$B$16*INDEX(BE$21:BE$141,MAX(1,MIN(121,$B100-ROUND(Declarations!$A$16/$D$18,0))))+Declarations!$B$17*INDEX(BE$21:BE$141,MAX(1,MIN(121,$B100-ROUND(Declarations!$A$17/$D$18,0))))+Declarations!$B$18*INDEX(BE$21:BE$141,MAX(1,MIN(121,$B100-ROUND(Declarations!$A$18/$D$18,0))))+Declarations!$B$19*INDEX(BE$21:BE$141,MAX(1,MIN(121,$B100-ROUND(Declarations!$A$19/$D$18,0))))+Declarations!$B$20*INDEX(BE$21:BE$141,MAX(1,MIN(121,$B100-ROUND(Declarations!$A$20/$D$18,0)))))</f>
        <v>-267.86888780936</v>
      </c>
      <c r="BG100" s="12" t="n">
        <f aca="false">INDEX(BF$21:BF$141,$I100+1)*(1-$J100)+INDEX(BF$21:BF$141,$I100+2)*$J100</f>
        <v>-267.153226972631</v>
      </c>
      <c r="BH100" s="12" t="n">
        <f aca="false">INDEX(BF$21:BF$141,$K100+1)*(1-$L100)+INDEX(BF$21:BF$141,$K100+2)*$L100</f>
        <v>-268.490469886491</v>
      </c>
      <c r="BI100" s="12" t="n">
        <f aca="false">$C100+$D100+MAX(BG100,BH100,IF(COUNTIFS($A$21:$A$141,"&gt;="&amp;$G100,$A$21:$A$141,"&lt;="&amp;$H100)&gt;0,_xlfn.MAXIFS(BF$21:BF$141,$A$21:$A$141,"&gt;="&amp;$G100,$A$21:$A$141,"&lt;="&amp;$H100),BG100))</f>
        <v>-34.1282269726305</v>
      </c>
      <c r="BJ100" s="23" t="n">
        <v>-34.1282269726305</v>
      </c>
      <c r="BK100" s="22" t="n">
        <f aca="false">ABS(BI100-BJ100)</f>
        <v>0</v>
      </c>
    </row>
    <row r="101" customFormat="false" ht="15" hidden="false" customHeight="false" outlineLevel="0" collapsed="false">
      <c r="A101" s="14" t="n">
        <f aca="false">A100+$D$18</f>
        <v>60</v>
      </c>
      <c r="B101" s="19" t="n">
        <v>81</v>
      </c>
      <c r="C101" s="12" t="n">
        <f aca="false">-Short_p*MAX(Floor_c-A101,0)</f>
        <v>-0</v>
      </c>
      <c r="D101" s="12" t="n">
        <f aca="false">Cost_k*Alpha_keep*A101</f>
        <v>234</v>
      </c>
      <c r="E101" s="12" t="n">
        <f aca="false">MIN(Cap_h,MAX(0,$B$18+MAX(Loss_w)-Alpha_keep*A101))</f>
        <v>0</v>
      </c>
      <c r="F101" s="12" t="n">
        <f aca="false">MAX(MIN(Cap_h,$F$18+MIN(Loss_w)-Alpha_keep*A101),E101)</f>
        <v>2.5</v>
      </c>
      <c r="G101" s="12" t="n">
        <f aca="false">Alpha_keep*A101+E101</f>
        <v>58.5</v>
      </c>
      <c r="H101" s="12" t="n">
        <f aca="false">Alpha_keep*A101+F101</f>
        <v>61</v>
      </c>
      <c r="I101" s="19" t="n">
        <f aca="false">MIN(INT((G101-$B$18)/$D$18+0.000000001),119)</f>
        <v>74</v>
      </c>
      <c r="J101" s="12" t="n">
        <f aca="false">(G101-$B$18)/$D$18-I101</f>
        <v>0</v>
      </c>
      <c r="K101" s="19" t="n">
        <f aca="false">MIN(INT((H101-$B$18)/$D$18+0.000000001),119)</f>
        <v>84</v>
      </c>
      <c r="L101" s="12" t="n">
        <f aca="false">(H101-$B$18)/$D$18-K101</f>
        <v>0</v>
      </c>
      <c r="M101" s="9" t="n">
        <v>0</v>
      </c>
      <c r="N101" s="12" t="n">
        <f aca="false">-Cost_k*$A101+Beta_q*(Declarations!$B$16*INDEX(M$21:M$141,MAX(1,MIN(121,$B101-ROUND(Declarations!$A$16/$D$18,0))))+Declarations!$B$17*INDEX(M$21:M$141,MAX(1,MIN(121,$B101-ROUND(Declarations!$A$17/$D$18,0))))+Declarations!$B$18*INDEX(M$21:M$141,MAX(1,MIN(121,$B101-ROUND(Declarations!$A$18/$D$18,0))))+Declarations!$B$19*INDEX(M$21:M$141,MAX(1,MIN(121,$B101-ROUND(Declarations!$A$19/$D$18,0))))+Declarations!$B$20*INDEX(M$21:M$141,MAX(1,MIN(121,$B101-ROUND(Declarations!$A$20/$D$18,0)))))</f>
        <v>-240</v>
      </c>
      <c r="O101" s="12" t="n">
        <f aca="false">INDEX(N$21:N$141,$I101+1)*(1-$J101)+INDEX(N$21:N$141,$I101+2)*$J101</f>
        <v>-234</v>
      </c>
      <c r="P101" s="12" t="n">
        <f aca="false">INDEX(N$21:N$141,$K101+1)*(1-$L101)+INDEX(N$21:N$141,$K101+2)*$L101</f>
        <v>-244</v>
      </c>
      <c r="Q101" s="12" t="n">
        <f aca="false">$C101+$D101+MAX(O101,P101,IF(COUNTIFS($A$21:$A$141,"&gt;="&amp;$G101,$A$21:$A$141,"&lt;="&amp;$H101)&gt;0,_xlfn.MAXIFS(N$21:N$141,$A$21:$A$141,"&gt;="&amp;$G101,$A$21:$A$141,"&lt;="&amp;$H101),O101))</f>
        <v>0</v>
      </c>
      <c r="R101" s="12" t="n">
        <f aca="false">-Cost_k*$A101+Beta_q*(Declarations!$B$16*INDEX(Q$21:Q$141,MAX(1,MIN(121,$B101-ROUND(Declarations!$A$16/$D$18,0))))+Declarations!$B$17*INDEX(Q$21:Q$141,MAX(1,MIN(121,$B101-ROUND(Declarations!$A$17/$D$18,0))))+Declarations!$B$18*INDEX(Q$21:Q$141,MAX(1,MIN(121,$B101-ROUND(Declarations!$A$18/$D$18,0))))+Declarations!$B$19*INDEX(Q$21:Q$141,MAX(1,MIN(121,$B101-ROUND(Declarations!$A$19/$D$18,0))))+Declarations!$B$20*INDEX(Q$21:Q$141,MAX(1,MIN(121,$B101-ROUND(Declarations!$A$20/$D$18,0)))))</f>
        <v>-240</v>
      </c>
      <c r="S101" s="12" t="n">
        <f aca="false">INDEX(R$21:R$141,$I101+1)*(1-$J101)+INDEX(R$21:R$141,$I101+2)*$J101</f>
        <v>-234</v>
      </c>
      <c r="T101" s="12" t="n">
        <f aca="false">INDEX(R$21:R$141,$K101+1)*(1-$L101)+INDEX(R$21:R$141,$K101+2)*$L101</f>
        <v>-244</v>
      </c>
      <c r="U101" s="12" t="n">
        <f aca="false">$C101+$D101+MAX(S101,T101,IF(COUNTIFS($A$21:$A$141,"&gt;="&amp;$G101,$A$21:$A$141,"&lt;="&amp;$H101)&gt;0,_xlfn.MAXIFS(R$21:R$141,$A$21:$A$141,"&gt;="&amp;$G101,$A$21:$A$141,"&lt;="&amp;$H101),S101))</f>
        <v>0</v>
      </c>
      <c r="V101" s="12" t="n">
        <f aca="false">-Cost_k*$A101+Beta_q*(Declarations!$B$16*INDEX(U$21:U$141,MAX(1,MIN(121,$B101-ROUND(Declarations!$A$16/$D$18,0))))+Declarations!$B$17*INDEX(U$21:U$141,MAX(1,MIN(121,$B101-ROUND(Declarations!$A$17/$D$18,0))))+Declarations!$B$18*INDEX(U$21:U$141,MAX(1,MIN(121,$B101-ROUND(Declarations!$A$18/$D$18,0))))+Declarations!$B$19*INDEX(U$21:U$141,MAX(1,MIN(121,$B101-ROUND(Declarations!$A$19/$D$18,0))))+Declarations!$B$20*INDEX(U$21:U$141,MAX(1,MIN(121,$B101-ROUND(Declarations!$A$20/$D$18,0)))))</f>
        <v>-240</v>
      </c>
      <c r="W101" s="12" t="n">
        <f aca="false">INDEX(V$21:V$141,$I101+1)*(1-$J101)+INDEX(V$21:V$141,$I101+2)*$J101</f>
        <v>-234.009153240857</v>
      </c>
      <c r="X101" s="12" t="n">
        <f aca="false">INDEX(V$21:V$141,$K101+1)*(1-$L101)+INDEX(V$21:V$141,$K101+2)*$L101</f>
        <v>-244</v>
      </c>
      <c r="Y101" s="12" t="n">
        <f aca="false">$C101+$D101+MAX(W101,X101,IF(COUNTIFS($A$21:$A$141,"&gt;="&amp;$G101,$A$21:$A$141,"&lt;="&amp;$H101)&gt;0,_xlfn.MAXIFS(V$21:V$141,$A$21:$A$141,"&gt;="&amp;$G101,$A$21:$A$141,"&lt;="&amp;$H101),W101))</f>
        <v>-0.00915324085676161</v>
      </c>
      <c r="Z101" s="12" t="n">
        <f aca="false">-Cost_k*$A101+Beta_q*(Declarations!$B$16*INDEX(Y$21:Y$141,MAX(1,MIN(121,$B101-ROUND(Declarations!$A$16/$D$18,0))))+Declarations!$B$17*INDEX(Y$21:Y$141,MAX(1,MIN(121,$B101-ROUND(Declarations!$A$17/$D$18,0))))+Declarations!$B$18*INDEX(Y$21:Y$141,MAX(1,MIN(121,$B101-ROUND(Declarations!$A$18/$D$18,0))))+Declarations!$B$19*INDEX(Y$21:Y$141,MAX(1,MIN(121,$B101-ROUND(Declarations!$A$19/$D$18,0))))+Declarations!$B$20*INDEX(Y$21:Y$141,MAX(1,MIN(121,$B101-ROUND(Declarations!$A$20/$D$18,0)))))</f>
        <v>-240.026507029876</v>
      </c>
      <c r="AA101" s="12" t="n">
        <f aca="false">INDEX(Z$21:Z$141,$I101+1)*(1-$J101)+INDEX(Z$21:Z$141,$I101+2)*$J101</f>
        <v>-234.324173171903</v>
      </c>
      <c r="AB101" s="12" t="n">
        <f aca="false">INDEX(Z$21:Z$141,$K101+1)*(1-$L101)+INDEX(Z$21:Z$141,$K101+2)*$L101</f>
        <v>-244.001818907375</v>
      </c>
      <c r="AC101" s="12" t="n">
        <f aca="false">$C101+$D101+MAX(AA101,AB101,IF(COUNTIFS($A$21:$A$141,"&gt;="&amp;$G101,$A$21:$A$141,"&lt;="&amp;$H101)&gt;0,_xlfn.MAXIFS(Z$21:Z$141,$A$21:$A$141,"&gt;="&amp;$G101,$A$21:$A$141,"&lt;="&amp;$H101),AA101))</f>
        <v>-0.324173171903368</v>
      </c>
      <c r="AD101" s="12" t="n">
        <f aca="false">-Cost_k*$A101+Beta_q*(Declarations!$B$16*INDEX(AC$21:AC$141,MAX(1,MIN(121,$B101-ROUND(Declarations!$A$16/$D$18,0))))+Declarations!$B$17*INDEX(AC$21:AC$141,MAX(1,MIN(121,$B101-ROUND(Declarations!$A$17/$D$18,0))))+Declarations!$B$18*INDEX(AC$21:AC$141,MAX(1,MIN(121,$B101-ROUND(Declarations!$A$18/$D$18,0))))+Declarations!$B$19*INDEX(AC$21:AC$141,MAX(1,MIN(121,$B101-ROUND(Declarations!$A$19/$D$18,0))))+Declarations!$B$20*INDEX(AC$21:AC$141,MAX(1,MIN(121,$B101-ROUND(Declarations!$A$20/$D$18,0)))))</f>
        <v>-240.415311805373</v>
      </c>
      <c r="AE101" s="12" t="n">
        <f aca="false">INDEX(AD$21:AD$141,$I101+1)*(1-$J101)+INDEX(AD$21:AD$141,$I101+2)*$J101</f>
        <v>-235.773399903722</v>
      </c>
      <c r="AF101" s="12" t="n">
        <f aca="false">INDEX(AD$21:AD$141,$K101+1)*(1-$L101)+INDEX(AD$21:AD$141,$K101+2)*$L101</f>
        <v>-244.107738729748</v>
      </c>
      <c r="AG101" s="12" t="n">
        <f aca="false">$C101+$D101+MAX(AE101,AF101,IF(COUNTIFS($A$21:$A$141,"&gt;="&amp;$G101,$A$21:$A$141,"&lt;="&amp;$H101)&gt;0,_xlfn.MAXIFS(AD$21:AD$141,$A$21:$A$141,"&gt;="&amp;$G101,$A$21:$A$141,"&lt;="&amp;$H101),AE101))</f>
        <v>-1.77339990372155</v>
      </c>
      <c r="AH101" s="12" t="n">
        <f aca="false">-Cost_k*$A101+Beta_q*(Declarations!$B$16*INDEX(AG$21:AG$141,MAX(1,MIN(121,$B101-ROUND(Declarations!$A$16/$D$18,0))))+Declarations!$B$17*INDEX(AG$21:AG$141,MAX(1,MIN(121,$B101-ROUND(Declarations!$A$17/$D$18,0))))+Declarations!$B$18*INDEX(AG$21:AG$141,MAX(1,MIN(121,$B101-ROUND(Declarations!$A$18/$D$18,0))))+Declarations!$B$19*INDEX(AG$21:AG$141,MAX(1,MIN(121,$B101-ROUND(Declarations!$A$19/$D$18,0))))+Declarations!$B$20*INDEX(AG$21:AG$141,MAX(1,MIN(121,$B101-ROUND(Declarations!$A$20/$D$18,0)))))</f>
        <v>-241.895756815512</v>
      </c>
      <c r="AI101" s="12" t="n">
        <f aca="false">INDEX(AH$21:AH$141,$I101+1)*(1-$J101)+INDEX(AH$21:AH$141,$I101+2)*$J101</f>
        <v>-238.853391100553</v>
      </c>
      <c r="AJ101" s="12" t="n">
        <f aca="false">INDEX(AH$21:AH$141,$K101+1)*(1-$L101)+INDEX(AH$21:AH$141,$K101+2)*$L101</f>
        <v>-244.830514780263</v>
      </c>
      <c r="AK101" s="12" t="n">
        <f aca="false">$C101+$D101+MAX(AI101,AJ101,IF(COUNTIFS($A$21:$A$141,"&gt;="&amp;$G101,$A$21:$A$141,"&lt;="&amp;$H101)&gt;0,_xlfn.MAXIFS(AH$21:AH$141,$A$21:$A$141,"&gt;="&amp;$G101,$A$21:$A$141,"&lt;="&amp;$H101),AI101))</f>
        <v>-4.85339110055287</v>
      </c>
      <c r="AL101" s="12" t="n">
        <f aca="false">-Cost_k*$A101+Beta_q*(Declarations!$B$16*INDEX(AK$21:AK$141,MAX(1,MIN(121,$B101-ROUND(Declarations!$A$16/$D$18,0))))+Declarations!$B$17*INDEX(AK$21:AK$141,MAX(1,MIN(121,$B101-ROUND(Declarations!$A$17/$D$18,0))))+Declarations!$B$18*INDEX(AK$21:AK$141,MAX(1,MIN(121,$B101-ROUND(Declarations!$A$18/$D$18,0))))+Declarations!$B$19*INDEX(AK$21:AK$141,MAX(1,MIN(121,$B101-ROUND(Declarations!$A$19/$D$18,0))))+Declarations!$B$20*INDEX(AK$21:AK$141,MAX(1,MIN(121,$B101-ROUND(Declarations!$A$20/$D$18,0)))))</f>
        <v>-244.907338938244</v>
      </c>
      <c r="AM101" s="12" t="n">
        <f aca="false">INDEX(AL$21:AL$141,$I101+1)*(1-$J101)+INDEX(AL$21:AL$141,$I101+2)*$J101</f>
        <v>-243.311529495502</v>
      </c>
      <c r="AN101" s="12" t="n">
        <f aca="false">INDEX(AL$21:AL$141,$K101+1)*(1-$L101)+INDEX(AL$21:AL$141,$K101+2)*$L101</f>
        <v>-246.820649459112</v>
      </c>
      <c r="AO101" s="12" t="n">
        <f aca="false">$C101+$D101+MAX(AM101,AN101,IF(COUNTIFS($A$21:$A$141,"&gt;="&amp;$G101,$A$21:$A$141,"&lt;="&amp;$H101)&gt;0,_xlfn.MAXIFS(AL$21:AL$141,$A$21:$A$141,"&gt;="&amp;$G101,$A$21:$A$141,"&lt;="&amp;$H101),AM101))</f>
        <v>-9.31152949550187</v>
      </c>
      <c r="AP101" s="12" t="n">
        <f aca="false">-Cost_k*$A101+Beta_q*(Declarations!$B$16*INDEX(AO$21:AO$141,MAX(1,MIN(121,$B101-ROUND(Declarations!$A$16/$D$18,0))))+Declarations!$B$17*INDEX(AO$21:AO$141,MAX(1,MIN(121,$B101-ROUND(Declarations!$A$17/$D$18,0))))+Declarations!$B$18*INDEX(AO$21:AO$141,MAX(1,MIN(121,$B101-ROUND(Declarations!$A$18/$D$18,0))))+Declarations!$B$19*INDEX(AO$21:AO$141,MAX(1,MIN(121,$B101-ROUND(Declarations!$A$19/$D$18,0))))+Declarations!$B$20*INDEX(AO$21:AO$141,MAX(1,MIN(121,$B101-ROUND(Declarations!$A$20/$D$18,0)))))</f>
        <v>-249.182399858648</v>
      </c>
      <c r="AQ101" s="12" t="n">
        <f aca="false">INDEX(AP$21:AP$141,$I101+1)*(1-$J101)+INDEX(AP$21:AP$141,$I101+2)*$J101</f>
        <v>-248.237536160011</v>
      </c>
      <c r="AR101" s="12" t="n">
        <f aca="false">INDEX(AP$21:AP$141,$K101+1)*(1-$L101)+INDEX(AP$21:AP$141,$K101+2)*$L101</f>
        <v>-250.272946447968</v>
      </c>
      <c r="AS101" s="12" t="n">
        <f aca="false">$C101+$D101+MAX(AQ101,AR101,IF(COUNTIFS($A$21:$A$141,"&gt;="&amp;$G101,$A$21:$A$141,"&lt;="&amp;$H101)&gt;0,_xlfn.MAXIFS(AP$21:AP$141,$A$21:$A$141,"&gt;="&amp;$G101,$A$21:$A$141,"&lt;="&amp;$H101),AQ101))</f>
        <v>-14.2375361600106</v>
      </c>
      <c r="AT101" s="12" t="n">
        <f aca="false">-Cost_k*$A101+Beta_q*(Declarations!$B$16*INDEX(AS$21:AS$141,MAX(1,MIN(121,$B101-ROUND(Declarations!$A$16/$D$18,0))))+Declarations!$B$17*INDEX(AS$21:AS$141,MAX(1,MIN(121,$B101-ROUND(Declarations!$A$17/$D$18,0))))+Declarations!$B$18*INDEX(AS$21:AS$141,MAX(1,MIN(121,$B101-ROUND(Declarations!$A$18/$D$18,0))))+Declarations!$B$19*INDEX(AS$21:AS$141,MAX(1,MIN(121,$B101-ROUND(Declarations!$A$19/$D$18,0))))+Declarations!$B$20*INDEX(AS$21:AS$141,MAX(1,MIN(121,$B101-ROUND(Declarations!$A$20/$D$18,0)))))</f>
        <v>-253.941474187706</v>
      </c>
      <c r="AU101" s="12" t="n">
        <f aca="false">INDEX(AT$21:AT$141,$I101+1)*(1-$J101)+INDEX(AT$21:AT$141,$I101+2)*$J101</f>
        <v>-253.15110286054</v>
      </c>
      <c r="AV101" s="12" t="n">
        <f aca="false">INDEX(AT$21:AT$141,$K101+1)*(1-$L101)+INDEX(AT$21:AT$141,$K101+2)*$L101</f>
        <v>-254.687224726675</v>
      </c>
      <c r="AW101" s="12" t="n">
        <f aca="false">$C101+$D101+MAX(AU101,AV101,IF(COUNTIFS($A$21:$A$141,"&gt;="&amp;$G101,$A$21:$A$141,"&lt;="&amp;$H101)&gt;0,_xlfn.MAXIFS(AT$21:AT$141,$A$21:$A$141,"&gt;="&amp;$G101,$A$21:$A$141,"&lt;="&amp;$H101),AU101))</f>
        <v>-19.1511028605402</v>
      </c>
      <c r="AX101" s="12" t="n">
        <f aca="false">-Cost_k*$A101+Beta_q*(Declarations!$B$16*INDEX(AW$21:AW$141,MAX(1,MIN(121,$B101-ROUND(Declarations!$A$16/$D$18,0))))+Declarations!$B$17*INDEX(AW$21:AW$141,MAX(1,MIN(121,$B101-ROUND(Declarations!$A$17/$D$18,0))))+Declarations!$B$18*INDEX(AW$21:AW$141,MAX(1,MIN(121,$B101-ROUND(Declarations!$A$18/$D$18,0))))+Declarations!$B$19*INDEX(AW$21:AW$141,MAX(1,MIN(121,$B101-ROUND(Declarations!$A$19/$D$18,0))))+Declarations!$B$20*INDEX(AW$21:AW$141,MAX(1,MIN(121,$B101-ROUND(Declarations!$A$20/$D$18,0)))))</f>
        <v>-258.727218868259</v>
      </c>
      <c r="AY101" s="12" t="n">
        <f aca="false">INDEX(AX$21:AX$141,$I101+1)*(1-$J101)+INDEX(AX$21:AX$141,$I101+2)*$J101</f>
        <v>-257.962392050723</v>
      </c>
      <c r="AZ101" s="12" t="n">
        <f aca="false">INDEX(AX$21:AX$141,$K101+1)*(1-$L101)+INDEX(AX$21:AX$141,$K101+2)*$L101</f>
        <v>-259.388058070786</v>
      </c>
      <c r="BA101" s="12" t="n">
        <f aca="false">$C101+$D101+MAX(AY101,AZ101,IF(COUNTIFS($A$21:$A$141,"&gt;="&amp;$G101,$A$21:$A$141,"&lt;="&amp;$H101)&gt;0,_xlfn.MAXIFS(AX$21:AX$141,$A$21:$A$141,"&gt;="&amp;$G101,$A$21:$A$141,"&lt;="&amp;$H101),AY101))</f>
        <v>-23.9623920507233</v>
      </c>
      <c r="BB101" s="12" t="n">
        <f aca="false">-Cost_k*$A101+Beta_q*(Declarations!$B$16*INDEX(BA$21:BA$141,MAX(1,MIN(121,$B101-ROUND(Declarations!$A$16/$D$18,0))))+Declarations!$B$17*INDEX(BA$21:BA$141,MAX(1,MIN(121,$B101-ROUND(Declarations!$A$17/$D$18,0))))+Declarations!$B$18*INDEX(BA$21:BA$141,MAX(1,MIN(121,$B101-ROUND(Declarations!$A$18/$D$18,0))))+Declarations!$B$19*INDEX(BA$21:BA$141,MAX(1,MIN(121,$B101-ROUND(Declarations!$A$19/$D$18,0))))+Declarations!$B$20*INDEX(BA$21:BA$141,MAX(1,MIN(121,$B101-ROUND(Declarations!$A$20/$D$18,0)))))</f>
        <v>-263.423279910183</v>
      </c>
      <c r="BC101" s="12" t="n">
        <f aca="false">INDEX(BB$21:BB$141,$I101+1)*(1-$J101)+INDEX(BB$21:BB$141,$I101+2)*$J101</f>
        <v>-262.661877590029</v>
      </c>
      <c r="BD101" s="12" t="n">
        <f aca="false">INDEX(BB$21:BB$141,$K101+1)*(1-$L101)+INDEX(BB$21:BB$141,$K101+2)*$L101</f>
        <v>-264.069020007185</v>
      </c>
      <c r="BE101" s="12" t="n">
        <f aca="false">$C101+$D101+MAX(BC101,BD101,IF(COUNTIFS($A$21:$A$141,"&gt;="&amp;$G101,$A$21:$A$141,"&lt;="&amp;$H101)&gt;0,_xlfn.MAXIFS(BB$21:BB$141,$A$21:$A$141,"&gt;="&amp;$G101,$A$21:$A$141,"&lt;="&amp;$H101),BC101))</f>
        <v>-28.6618775900291</v>
      </c>
      <c r="BF101" s="12" t="n">
        <f aca="false">-Cost_k*$A101+Beta_q*(Declarations!$B$16*INDEX(BE$21:BE$141,MAX(1,MIN(121,$B101-ROUND(Declarations!$A$16/$D$18,0))))+Declarations!$B$17*INDEX(BE$21:BE$141,MAX(1,MIN(121,$B101-ROUND(Declarations!$A$17/$D$18,0))))+Declarations!$B$18*INDEX(BE$21:BE$141,MAX(1,MIN(121,$B101-ROUND(Declarations!$A$18/$D$18,0))))+Declarations!$B$19*INDEX(BE$21:BE$141,MAX(1,MIN(121,$B101-ROUND(Declarations!$A$19/$D$18,0))))+Declarations!$B$20*INDEX(BE$21:BE$141,MAX(1,MIN(121,$B101-ROUND(Declarations!$A$20/$D$18,0)))))</f>
        <v>-268.011859652657</v>
      </c>
      <c r="BG101" s="12" t="n">
        <f aca="false">INDEX(BF$21:BF$141,$I101+1)*(1-$J101)+INDEX(BF$21:BF$141,$I101+2)*$J101</f>
        <v>-267.250861520881</v>
      </c>
      <c r="BH101" s="12" t="n">
        <f aca="false">INDEX(BF$21:BF$141,$K101+1)*(1-$L101)+INDEX(BF$21:BF$141,$K101+2)*$L101</f>
        <v>-268.655415333791</v>
      </c>
      <c r="BI101" s="12" t="n">
        <f aca="false">$C101+$D101+MAX(BG101,BH101,IF(COUNTIFS($A$21:$A$141,"&gt;="&amp;$G101,$A$21:$A$141,"&lt;="&amp;$H101)&gt;0,_xlfn.MAXIFS(BF$21:BF$141,$A$21:$A$141,"&gt;="&amp;$G101,$A$21:$A$141,"&lt;="&amp;$H101),BG101))</f>
        <v>-33.2508615208809</v>
      </c>
      <c r="BJ101" s="23" t="n">
        <v>-33.2508615208809</v>
      </c>
      <c r="BK101" s="22" t="n">
        <f aca="false">ABS(BI101-BJ101)</f>
        <v>0</v>
      </c>
    </row>
    <row r="102" customFormat="false" ht="15" hidden="false" customHeight="false" outlineLevel="0" collapsed="false">
      <c r="A102" s="14" t="n">
        <f aca="false">A101+$D$18</f>
        <v>60.25</v>
      </c>
      <c r="B102" s="19" t="n">
        <v>82</v>
      </c>
      <c r="C102" s="12" t="n">
        <f aca="false">-Short_p*MAX(Floor_c-A102,0)</f>
        <v>-0</v>
      </c>
      <c r="D102" s="12" t="n">
        <f aca="false">Cost_k*Alpha_keep*A102</f>
        <v>234.975</v>
      </c>
      <c r="E102" s="12" t="n">
        <f aca="false">MIN(Cap_h,MAX(0,$B$18+MAX(Loss_w)-Alpha_keep*A102))</f>
        <v>0</v>
      </c>
      <c r="F102" s="12" t="n">
        <f aca="false">MAX(MIN(Cap_h,$F$18+MIN(Loss_w)-Alpha_keep*A102),E102)</f>
        <v>2.5</v>
      </c>
      <c r="G102" s="12" t="n">
        <f aca="false">Alpha_keep*A102+E102</f>
        <v>58.74375</v>
      </c>
      <c r="H102" s="12" t="n">
        <f aca="false">Alpha_keep*A102+F102</f>
        <v>61.24375</v>
      </c>
      <c r="I102" s="19" t="n">
        <f aca="false">MIN(INT((G102-$B$18)/$D$18+0.000000001),119)</f>
        <v>74</v>
      </c>
      <c r="J102" s="12" t="n">
        <f aca="false">(G102-$B$18)/$D$18-I102</f>
        <v>0.974999999999994</v>
      </c>
      <c r="K102" s="19" t="n">
        <f aca="false">MIN(INT((H102-$B$18)/$D$18+0.000000001),119)</f>
        <v>84</v>
      </c>
      <c r="L102" s="12" t="n">
        <f aca="false">(H102-$B$18)/$D$18-K102</f>
        <v>0.974999999999994</v>
      </c>
      <c r="M102" s="9" t="n">
        <v>0</v>
      </c>
      <c r="N102" s="12" t="n">
        <f aca="false">-Cost_k*$A102+Beta_q*(Declarations!$B$16*INDEX(M$21:M$141,MAX(1,MIN(121,$B102-ROUND(Declarations!$A$16/$D$18,0))))+Declarations!$B$17*INDEX(M$21:M$141,MAX(1,MIN(121,$B102-ROUND(Declarations!$A$17/$D$18,0))))+Declarations!$B$18*INDEX(M$21:M$141,MAX(1,MIN(121,$B102-ROUND(Declarations!$A$18/$D$18,0))))+Declarations!$B$19*INDEX(M$21:M$141,MAX(1,MIN(121,$B102-ROUND(Declarations!$A$19/$D$18,0))))+Declarations!$B$20*INDEX(M$21:M$141,MAX(1,MIN(121,$B102-ROUND(Declarations!$A$20/$D$18,0)))))</f>
        <v>-241</v>
      </c>
      <c r="O102" s="12" t="n">
        <f aca="false">INDEX(N$21:N$141,$I102+1)*(1-$J102)+INDEX(N$21:N$141,$I102+2)*$J102</f>
        <v>-234.975</v>
      </c>
      <c r="P102" s="12" t="n">
        <f aca="false">INDEX(N$21:N$141,$K102+1)*(1-$L102)+INDEX(N$21:N$141,$K102+2)*$L102</f>
        <v>-244.975</v>
      </c>
      <c r="Q102" s="12" t="n">
        <f aca="false">$C102+$D102+MAX(O102,P102,IF(COUNTIFS($A$21:$A$141,"&gt;="&amp;$G102,$A$21:$A$141,"&lt;="&amp;$H102)&gt;0,_xlfn.MAXIFS(N$21:N$141,$A$21:$A$141,"&gt;="&amp;$G102,$A$21:$A$141,"&lt;="&amp;$H102),O102))</f>
        <v>0</v>
      </c>
      <c r="R102" s="12" t="n">
        <f aca="false">-Cost_k*$A102+Beta_q*(Declarations!$B$16*INDEX(Q$21:Q$141,MAX(1,MIN(121,$B102-ROUND(Declarations!$A$16/$D$18,0))))+Declarations!$B$17*INDEX(Q$21:Q$141,MAX(1,MIN(121,$B102-ROUND(Declarations!$A$17/$D$18,0))))+Declarations!$B$18*INDEX(Q$21:Q$141,MAX(1,MIN(121,$B102-ROUND(Declarations!$A$18/$D$18,0))))+Declarations!$B$19*INDEX(Q$21:Q$141,MAX(1,MIN(121,$B102-ROUND(Declarations!$A$19/$D$18,0))))+Declarations!$B$20*INDEX(Q$21:Q$141,MAX(1,MIN(121,$B102-ROUND(Declarations!$A$20/$D$18,0)))))</f>
        <v>-241</v>
      </c>
      <c r="S102" s="12" t="n">
        <f aca="false">INDEX(R$21:R$141,$I102+1)*(1-$J102)+INDEX(R$21:R$141,$I102+2)*$J102</f>
        <v>-234.975</v>
      </c>
      <c r="T102" s="12" t="n">
        <f aca="false">INDEX(R$21:R$141,$K102+1)*(1-$L102)+INDEX(R$21:R$141,$K102+2)*$L102</f>
        <v>-244.975</v>
      </c>
      <c r="U102" s="12" t="n">
        <f aca="false">$C102+$D102+MAX(S102,T102,IF(COUNTIFS($A$21:$A$141,"&gt;="&amp;$G102,$A$21:$A$141,"&lt;="&amp;$H102)&gt;0,_xlfn.MAXIFS(R$21:R$141,$A$21:$A$141,"&gt;="&amp;$G102,$A$21:$A$141,"&lt;="&amp;$H102),S102))</f>
        <v>0</v>
      </c>
      <c r="V102" s="12" t="n">
        <f aca="false">-Cost_k*$A102+Beta_q*(Declarations!$B$16*INDEX(U$21:U$141,MAX(1,MIN(121,$B102-ROUND(Declarations!$A$16/$D$18,0))))+Declarations!$B$17*INDEX(U$21:U$141,MAX(1,MIN(121,$B102-ROUND(Declarations!$A$17/$D$18,0))))+Declarations!$B$18*INDEX(U$21:U$141,MAX(1,MIN(121,$B102-ROUND(Declarations!$A$18/$D$18,0))))+Declarations!$B$19*INDEX(U$21:U$141,MAX(1,MIN(121,$B102-ROUND(Declarations!$A$19/$D$18,0))))+Declarations!$B$20*INDEX(U$21:U$141,MAX(1,MIN(121,$B102-ROUND(Declarations!$A$20/$D$18,0)))))</f>
        <v>-241</v>
      </c>
      <c r="W102" s="12" t="n">
        <f aca="false">INDEX(V$21:V$141,$I102+1)*(1-$J102)+INDEX(V$21:V$141,$I102+2)*$J102</f>
        <v>-234.977762061938</v>
      </c>
      <c r="X102" s="12" t="n">
        <f aca="false">INDEX(V$21:V$141,$K102+1)*(1-$L102)+INDEX(V$21:V$141,$K102+2)*$L102</f>
        <v>-244.975</v>
      </c>
      <c r="Y102" s="12" t="n">
        <f aca="false">$C102+$D102+MAX(W102,X102,IF(COUNTIFS($A$21:$A$141,"&gt;="&amp;$G102,$A$21:$A$141,"&lt;="&amp;$H102)&gt;0,_xlfn.MAXIFS(V$21:V$141,$A$21:$A$141,"&gt;="&amp;$G102,$A$21:$A$141,"&lt;="&amp;$H102),W102))</f>
        <v>-0.00276206193819917</v>
      </c>
      <c r="Z102" s="12" t="n">
        <f aca="false">-Cost_k*$A102+Beta_q*(Declarations!$B$16*INDEX(Y$21:Y$141,MAX(1,MIN(121,$B102-ROUND(Declarations!$A$16/$D$18,0))))+Declarations!$B$17*INDEX(Y$21:Y$141,MAX(1,MIN(121,$B102-ROUND(Declarations!$A$17/$D$18,0))))+Declarations!$B$18*INDEX(Y$21:Y$141,MAX(1,MIN(121,$B102-ROUND(Declarations!$A$18/$D$18,0))))+Declarations!$B$19*INDEX(Y$21:Y$141,MAX(1,MIN(121,$B102-ROUND(Declarations!$A$19/$D$18,0))))+Declarations!$B$20*INDEX(Y$21:Y$141,MAX(1,MIN(121,$B102-ROUND(Declarations!$A$20/$D$18,0)))))</f>
        <v>-241.013011568079</v>
      </c>
      <c r="AA102" s="12" t="n">
        <f aca="false">INDEX(Z$21:Z$141,$I102+1)*(1-$J102)+INDEX(Z$21:Z$141,$I102+2)*$J102</f>
        <v>-235.196885862256</v>
      </c>
      <c r="AB102" s="12" t="n">
        <f aca="false">INDEX(Z$21:Z$141,$K102+1)*(1-$L102)+INDEX(Z$21:Z$141,$K102+2)*$L102</f>
        <v>-244.976196057868</v>
      </c>
      <c r="AC102" s="12" t="n">
        <f aca="false">$C102+$D102+MAX(AA102,AB102,IF(COUNTIFS($A$21:$A$141,"&gt;="&amp;$G102,$A$21:$A$141,"&lt;="&amp;$H102)&gt;0,_xlfn.MAXIFS(Z$21:Z$141,$A$21:$A$141,"&gt;="&amp;$G102,$A$21:$A$141,"&lt;="&amp;$H102),AA102))</f>
        <v>-0.221885862256215</v>
      </c>
      <c r="AD102" s="12" t="n">
        <f aca="false">-Cost_k*$A102+Beta_q*(Declarations!$B$16*INDEX(AC$21:AC$141,MAX(1,MIN(121,$B102-ROUND(Declarations!$A$16/$D$18,0))))+Declarations!$B$17*INDEX(AC$21:AC$141,MAX(1,MIN(121,$B102-ROUND(Declarations!$A$17/$D$18,0))))+Declarations!$B$18*INDEX(AC$21:AC$141,MAX(1,MIN(121,$B102-ROUND(Declarations!$A$18/$D$18,0))))+Declarations!$B$19*INDEX(AC$21:AC$141,MAX(1,MIN(121,$B102-ROUND(Declarations!$A$19/$D$18,0))))+Declarations!$B$20*INDEX(AC$21:AC$141,MAX(1,MIN(121,$B102-ROUND(Declarations!$A$20/$D$18,0)))))</f>
        <v>-241.300611412788</v>
      </c>
      <c r="AE102" s="12" t="n">
        <f aca="false">INDEX(AD$21:AD$141,$I102+1)*(1-$J102)+INDEX(AD$21:AD$141,$I102+2)*$J102</f>
        <v>-236.418178451423</v>
      </c>
      <c r="AF102" s="12" t="n">
        <f aca="false">INDEX(AD$21:AD$141,$K102+1)*(1-$L102)+INDEX(AD$21:AD$141,$K102+2)*$L102</f>
        <v>-245.054656455033</v>
      </c>
      <c r="AG102" s="12" t="n">
        <f aca="false">$C102+$D102+MAX(AE102,AF102,IF(COUNTIFS($A$21:$A$141,"&gt;="&amp;$G102,$A$21:$A$141,"&lt;="&amp;$H102)&gt;0,_xlfn.MAXIFS(AD$21:AD$141,$A$21:$A$141,"&gt;="&amp;$G102,$A$21:$A$141,"&lt;="&amp;$H102),AE102))</f>
        <v>-1.4431784514226</v>
      </c>
      <c r="AH102" s="12" t="n">
        <f aca="false">-Cost_k*$A102+Beta_q*(Declarations!$B$16*INDEX(AG$21:AG$141,MAX(1,MIN(121,$B102-ROUND(Declarations!$A$16/$D$18,0))))+Declarations!$B$17*INDEX(AG$21:AG$141,MAX(1,MIN(121,$B102-ROUND(Declarations!$A$17/$D$18,0))))+Declarations!$B$18*INDEX(AG$21:AG$141,MAX(1,MIN(121,$B102-ROUND(Declarations!$A$18/$D$18,0))))+Declarations!$B$19*INDEX(AG$21:AG$141,MAX(1,MIN(121,$B102-ROUND(Declarations!$A$19/$D$18,0))))+Declarations!$B$20*INDEX(AG$21:AG$141,MAX(1,MIN(121,$B102-ROUND(Declarations!$A$20/$D$18,0)))))</f>
        <v>-242.563385521715</v>
      </c>
      <c r="AI102" s="12" t="n">
        <f aca="false">INDEX(AH$21:AH$141,$I102+1)*(1-$J102)+INDEX(AH$21:AH$141,$I102+2)*$J102</f>
        <v>-239.217684611475</v>
      </c>
      <c r="AJ102" s="12" t="n">
        <f aca="false">INDEX(AH$21:AH$141,$K102+1)*(1-$L102)+INDEX(AH$21:AH$141,$K102+2)*$L102</f>
        <v>-245.649078686149</v>
      </c>
      <c r="AK102" s="12" t="n">
        <f aca="false">$C102+$D102+MAX(AI102,AJ102,IF(COUNTIFS($A$21:$A$141,"&gt;="&amp;$G102,$A$21:$A$141,"&lt;="&amp;$H102)&gt;0,_xlfn.MAXIFS(AH$21:AH$141,$A$21:$A$141,"&gt;="&amp;$G102,$A$21:$A$141,"&lt;="&amp;$H102),AI102))</f>
        <v>-4.24268461147523</v>
      </c>
      <c r="AL102" s="12" t="n">
        <f aca="false">-Cost_k*$A102+Beta_q*(Declarations!$B$16*INDEX(AK$21:AK$141,MAX(1,MIN(121,$B102-ROUND(Declarations!$A$16/$D$18,0))))+Declarations!$B$17*INDEX(AK$21:AK$141,MAX(1,MIN(121,$B102-ROUND(Declarations!$A$17/$D$18,0))))+Declarations!$B$18*INDEX(AK$21:AK$141,MAX(1,MIN(121,$B102-ROUND(Declarations!$A$18/$D$18,0))))+Declarations!$B$19*INDEX(AK$21:AK$141,MAX(1,MIN(121,$B102-ROUND(Declarations!$A$19/$D$18,0))))+Declarations!$B$20*INDEX(AK$21:AK$141,MAX(1,MIN(121,$B102-ROUND(Declarations!$A$20/$D$18,0)))))</f>
        <v>-245.312935033708</v>
      </c>
      <c r="AM102" s="12" t="n">
        <f aca="false">INDEX(AL$21:AL$141,$I102+1)*(1-$J102)+INDEX(AL$21:AL$141,$I102+2)*$J102</f>
        <v>-243.481082358841</v>
      </c>
      <c r="AN102" s="12" t="n">
        <f aca="false">INDEX(AL$21:AL$141,$K102+1)*(1-$L102)+INDEX(AL$21:AL$141,$K102+2)*$L102</f>
        <v>-247.413931282751</v>
      </c>
      <c r="AO102" s="12" t="n">
        <f aca="false">$C102+$D102+MAX(AM102,AN102,IF(COUNTIFS($A$21:$A$141,"&gt;="&amp;$G102,$A$21:$A$141,"&lt;="&amp;$H102)&gt;0,_xlfn.MAXIFS(AL$21:AL$141,$A$21:$A$141,"&gt;="&amp;$G102,$A$21:$A$141,"&lt;="&amp;$H102),AM102))</f>
        <v>-8.50608235884079</v>
      </c>
      <c r="AP102" s="12" t="n">
        <f aca="false">-Cost_k*$A102+Beta_q*(Declarations!$B$16*INDEX(AO$21:AO$141,MAX(1,MIN(121,$B102-ROUND(Declarations!$A$16/$D$18,0))))+Declarations!$B$17*INDEX(AO$21:AO$141,MAX(1,MIN(121,$B102-ROUND(Declarations!$A$17/$D$18,0))))+Declarations!$B$18*INDEX(AO$21:AO$141,MAX(1,MIN(121,$B102-ROUND(Declarations!$A$18/$D$18,0))))+Declarations!$B$19*INDEX(AO$21:AO$141,MAX(1,MIN(121,$B102-ROUND(Declarations!$A$19/$D$18,0))))+Declarations!$B$20*INDEX(AO$21:AO$141,MAX(1,MIN(121,$B102-ROUND(Declarations!$A$20/$D$18,0)))))</f>
        <v>-249.407854333551</v>
      </c>
      <c r="AQ102" s="12" t="n">
        <f aca="false">INDEX(AP$21:AP$141,$I102+1)*(1-$J102)+INDEX(AP$21:AP$141,$I102+2)*$J102</f>
        <v>-248.351847339228</v>
      </c>
      <c r="AR102" s="12" t="n">
        <f aca="false">INDEX(AP$21:AP$141,$K102+1)*(1-$L102)+INDEX(AP$21:AP$141,$K102+2)*$L102</f>
        <v>-250.634300117777</v>
      </c>
      <c r="AS102" s="12" t="n">
        <f aca="false">$C102+$D102+MAX(AQ102,AR102,IF(COUNTIFS($A$21:$A$141,"&gt;="&amp;$G102,$A$21:$A$141,"&lt;="&amp;$H102)&gt;0,_xlfn.MAXIFS(AP$21:AP$141,$A$21:$A$141,"&gt;="&amp;$G102,$A$21:$A$141,"&lt;="&amp;$H102),AQ102))</f>
        <v>-13.3768473392278</v>
      </c>
      <c r="AT102" s="12" t="n">
        <f aca="false">-Cost_k*$A102+Beta_q*(Declarations!$B$16*INDEX(AS$21:AS$141,MAX(1,MIN(121,$B102-ROUND(Declarations!$A$16/$D$18,0))))+Declarations!$B$17*INDEX(AS$21:AS$141,MAX(1,MIN(121,$B102-ROUND(Declarations!$A$17/$D$18,0))))+Declarations!$B$18*INDEX(AS$21:AS$141,MAX(1,MIN(121,$B102-ROUND(Declarations!$A$18/$D$18,0))))+Declarations!$B$19*INDEX(AS$21:AS$141,MAX(1,MIN(121,$B102-ROUND(Declarations!$A$19/$D$18,0))))+Declarations!$B$20*INDEX(AS$21:AS$141,MAX(1,MIN(121,$B102-ROUND(Declarations!$A$20/$D$18,0)))))</f>
        <v>-254.105541124971</v>
      </c>
      <c r="AU102" s="12" t="n">
        <f aca="false">INDEX(AT$21:AT$141,$I102+1)*(1-$J102)+INDEX(AT$21:AT$141,$I102+2)*$J102</f>
        <v>-253.256214747742</v>
      </c>
      <c r="AV102" s="12" t="n">
        <f aca="false">INDEX(AT$21:AT$141,$K102+1)*(1-$L102)+INDEX(AT$21:AT$141,$K102+2)*$L102</f>
        <v>-254.915732647954</v>
      </c>
      <c r="AW102" s="12" t="n">
        <f aca="false">$C102+$D102+MAX(AU102,AV102,IF(COUNTIFS($A$21:$A$141,"&gt;="&amp;$G102,$A$21:$A$141,"&lt;="&amp;$H102)&gt;0,_xlfn.MAXIFS(AT$21:AT$141,$A$21:$A$141,"&gt;="&amp;$G102,$A$21:$A$141,"&lt;="&amp;$H102),AU102))</f>
        <v>-18.2812147477421</v>
      </c>
      <c r="AX102" s="12" t="n">
        <f aca="false">-Cost_k*$A102+Beta_q*(Declarations!$B$16*INDEX(AW$21:AW$141,MAX(1,MIN(121,$B102-ROUND(Declarations!$A$16/$D$18,0))))+Declarations!$B$17*INDEX(AW$21:AW$141,MAX(1,MIN(121,$B102-ROUND(Declarations!$A$17/$D$18,0))))+Declarations!$B$18*INDEX(AW$21:AW$141,MAX(1,MIN(121,$B102-ROUND(Declarations!$A$18/$D$18,0))))+Declarations!$B$19*INDEX(AW$21:AW$141,MAX(1,MIN(121,$B102-ROUND(Declarations!$A$19/$D$18,0))))+Declarations!$B$20*INDEX(AW$21:AW$141,MAX(1,MIN(121,$B102-ROUND(Declarations!$A$20/$D$18,0)))))</f>
        <v>-258.878431299113</v>
      </c>
      <c r="AY102" s="12" t="n">
        <f aca="false">INDEX(AX$21:AX$141,$I102+1)*(1-$J102)+INDEX(AX$21:AX$141,$I102+2)*$J102</f>
        <v>-258.066315452952</v>
      </c>
      <c r="AZ102" s="12" t="n">
        <f aca="false">INDEX(AX$21:AX$141,$K102+1)*(1-$L102)+INDEX(AX$21:AX$141,$K102+2)*$L102</f>
        <v>-259.574916893601</v>
      </c>
      <c r="BA102" s="12" t="n">
        <f aca="false">$C102+$D102+MAX(AY102,AZ102,IF(COUNTIFS($A$21:$A$141,"&gt;="&amp;$G102,$A$21:$A$141,"&lt;="&amp;$H102)&gt;0,_xlfn.MAXIFS(AX$21:AX$141,$A$21:$A$141,"&gt;="&amp;$G102,$A$21:$A$141,"&lt;="&amp;$H102),AY102))</f>
        <v>-23.0913154529517</v>
      </c>
      <c r="BB102" s="12" t="n">
        <f aca="false">-Cost_k*$A102+Beta_q*(Declarations!$B$16*INDEX(BA$21:BA$141,MAX(1,MIN(121,$B102-ROUND(Declarations!$A$16/$D$18,0))))+Declarations!$B$17*INDEX(BA$21:BA$141,MAX(1,MIN(121,$B102-ROUND(Declarations!$A$17/$D$18,0))))+Declarations!$B$18*INDEX(BA$21:BA$141,MAX(1,MIN(121,$B102-ROUND(Declarations!$A$18/$D$18,0))))+Declarations!$B$19*INDEX(BA$21:BA$141,MAX(1,MIN(121,$B102-ROUND(Declarations!$A$19/$D$18,0))))+Declarations!$B$20*INDEX(BA$21:BA$141,MAX(1,MIN(121,$B102-ROUND(Declarations!$A$20/$D$18,0)))))</f>
        <v>-263.572466771466</v>
      </c>
      <c r="BC102" s="12" t="n">
        <f aca="false">INDEX(BB$21:BB$141,$I102+1)*(1-$J102)+INDEX(BB$21:BB$141,$I102+2)*$J102</f>
        <v>-262.765667462592</v>
      </c>
      <c r="BD102" s="12" t="n">
        <f aca="false">INDEX(BB$21:BB$141,$K102+1)*(1-$L102)+INDEX(BB$21:BB$141,$K102+2)*$L102</f>
        <v>-264.24718683875</v>
      </c>
      <c r="BE102" s="12" t="n">
        <f aca="false">$C102+$D102+MAX(BC102,BD102,IF(COUNTIFS($A$21:$A$141,"&gt;="&amp;$G102,$A$21:$A$141,"&lt;="&amp;$H102)&gt;0,_xlfn.MAXIFS(BB$21:BB$141,$A$21:$A$141,"&gt;="&amp;$G102,$A$21:$A$141,"&lt;="&amp;$H102),BC102))</f>
        <v>-27.790667462592</v>
      </c>
      <c r="BF102" s="12" t="n">
        <f aca="false">-Cost_k*$A102+Beta_q*(Declarations!$B$16*INDEX(BE$21:BE$141,MAX(1,MIN(121,$B102-ROUND(Declarations!$A$16/$D$18,0))))+Declarations!$B$17*INDEX(BE$21:BE$141,MAX(1,MIN(121,$B102-ROUND(Declarations!$A$17/$D$18,0))))+Declarations!$B$18*INDEX(BE$21:BE$141,MAX(1,MIN(121,$B102-ROUND(Declarations!$A$18/$D$18,0))))+Declarations!$B$19*INDEX(BE$21:BE$141,MAX(1,MIN(121,$B102-ROUND(Declarations!$A$19/$D$18,0))))+Declarations!$B$20*INDEX(BE$21:BE$141,MAX(1,MIN(121,$B102-ROUND(Declarations!$A$20/$D$18,0)))))</f>
        <v>-268.160779265824</v>
      </c>
      <c r="BG102" s="12" t="n">
        <f aca="false">INDEX(BF$21:BF$141,$I102+1)*(1-$J102)+INDEX(BF$21:BF$141,$I102+2)*$J102</f>
        <v>-267.354637419903</v>
      </c>
      <c r="BH102" s="12" t="n">
        <f aca="false">INDEX(BF$21:BF$141,$K102+1)*(1-$L102)+INDEX(BF$21:BF$141,$K102+2)*$L102</f>
        <v>-268.832179770428</v>
      </c>
      <c r="BI102" s="12" t="n">
        <f aca="false">$C102+$D102+MAX(BG102,BH102,IF(COUNTIFS($A$21:$A$141,"&gt;="&amp;$G102,$A$21:$A$141,"&lt;="&amp;$H102)&gt;0,_xlfn.MAXIFS(BF$21:BF$141,$A$21:$A$141,"&gt;="&amp;$G102,$A$21:$A$141,"&lt;="&amp;$H102),BG102))</f>
        <v>-32.3796374199027</v>
      </c>
      <c r="BJ102" s="23" t="n">
        <v>-32.3796374199026</v>
      </c>
      <c r="BK102" s="22" t="n">
        <f aca="false">ABS(BI102-BJ102)</f>
        <v>0</v>
      </c>
    </row>
    <row r="103" customFormat="false" ht="15" hidden="false" customHeight="false" outlineLevel="0" collapsed="false">
      <c r="A103" s="14" t="n">
        <f aca="false">A102+$D$18</f>
        <v>60.5</v>
      </c>
      <c r="B103" s="19" t="n">
        <v>83</v>
      </c>
      <c r="C103" s="12" t="n">
        <f aca="false">-Short_p*MAX(Floor_c-A103,0)</f>
        <v>-0</v>
      </c>
      <c r="D103" s="12" t="n">
        <f aca="false">Cost_k*Alpha_keep*A103</f>
        <v>235.95</v>
      </c>
      <c r="E103" s="12" t="n">
        <f aca="false">MIN(Cap_h,MAX(0,$B$18+MAX(Loss_w)-Alpha_keep*A103))</f>
        <v>0</v>
      </c>
      <c r="F103" s="12" t="n">
        <f aca="false">MAX(MIN(Cap_h,$F$18+MIN(Loss_w)-Alpha_keep*A103),E103)</f>
        <v>2.5</v>
      </c>
      <c r="G103" s="12" t="n">
        <f aca="false">Alpha_keep*A103+E103</f>
        <v>58.9875</v>
      </c>
      <c r="H103" s="12" t="n">
        <f aca="false">Alpha_keep*A103+F103</f>
        <v>61.4875</v>
      </c>
      <c r="I103" s="19" t="n">
        <f aca="false">MIN(INT((G103-$B$18)/$D$18+0.000000001),119)</f>
        <v>75</v>
      </c>
      <c r="J103" s="12" t="n">
        <f aca="false">(G103-$B$18)/$D$18-I103</f>
        <v>0.949999999999989</v>
      </c>
      <c r="K103" s="19" t="n">
        <f aca="false">MIN(INT((H103-$B$18)/$D$18+0.000000001),119)</f>
        <v>85</v>
      </c>
      <c r="L103" s="12" t="n">
        <f aca="false">(H103-$B$18)/$D$18-K103</f>
        <v>0.949999999999989</v>
      </c>
      <c r="M103" s="9" t="n">
        <v>0</v>
      </c>
      <c r="N103" s="12" t="n">
        <f aca="false">-Cost_k*$A103+Beta_q*(Declarations!$B$16*INDEX(M$21:M$141,MAX(1,MIN(121,$B103-ROUND(Declarations!$A$16/$D$18,0))))+Declarations!$B$17*INDEX(M$21:M$141,MAX(1,MIN(121,$B103-ROUND(Declarations!$A$17/$D$18,0))))+Declarations!$B$18*INDEX(M$21:M$141,MAX(1,MIN(121,$B103-ROUND(Declarations!$A$18/$D$18,0))))+Declarations!$B$19*INDEX(M$21:M$141,MAX(1,MIN(121,$B103-ROUND(Declarations!$A$19/$D$18,0))))+Declarations!$B$20*INDEX(M$21:M$141,MAX(1,MIN(121,$B103-ROUND(Declarations!$A$20/$D$18,0)))))</f>
        <v>-242</v>
      </c>
      <c r="O103" s="12" t="n">
        <f aca="false">INDEX(N$21:N$141,$I103+1)*(1-$J103)+INDEX(N$21:N$141,$I103+2)*$J103</f>
        <v>-235.95</v>
      </c>
      <c r="P103" s="12" t="n">
        <f aca="false">INDEX(N$21:N$141,$K103+1)*(1-$L103)+INDEX(N$21:N$141,$K103+2)*$L103</f>
        <v>-245.95</v>
      </c>
      <c r="Q103" s="12" t="n">
        <f aca="false">$C103+$D103+MAX(O103,P103,IF(COUNTIFS($A$21:$A$141,"&gt;="&amp;$G103,$A$21:$A$141,"&lt;="&amp;$H103)&gt;0,_xlfn.MAXIFS(N$21:N$141,$A$21:$A$141,"&gt;="&amp;$G103,$A$21:$A$141,"&lt;="&amp;$H103),O103))</f>
        <v>0</v>
      </c>
      <c r="R103" s="12" t="n">
        <f aca="false">-Cost_k*$A103+Beta_q*(Declarations!$B$16*INDEX(Q$21:Q$141,MAX(1,MIN(121,$B103-ROUND(Declarations!$A$16/$D$18,0))))+Declarations!$B$17*INDEX(Q$21:Q$141,MAX(1,MIN(121,$B103-ROUND(Declarations!$A$17/$D$18,0))))+Declarations!$B$18*INDEX(Q$21:Q$141,MAX(1,MIN(121,$B103-ROUND(Declarations!$A$18/$D$18,0))))+Declarations!$B$19*INDEX(Q$21:Q$141,MAX(1,MIN(121,$B103-ROUND(Declarations!$A$19/$D$18,0))))+Declarations!$B$20*INDEX(Q$21:Q$141,MAX(1,MIN(121,$B103-ROUND(Declarations!$A$20/$D$18,0)))))</f>
        <v>-242</v>
      </c>
      <c r="S103" s="12" t="n">
        <f aca="false">INDEX(R$21:R$141,$I103+1)*(1-$J103)+INDEX(R$21:R$141,$I103+2)*$J103</f>
        <v>-235.95</v>
      </c>
      <c r="T103" s="12" t="n">
        <f aca="false">INDEX(R$21:R$141,$K103+1)*(1-$L103)+INDEX(R$21:R$141,$K103+2)*$L103</f>
        <v>-245.95</v>
      </c>
      <c r="U103" s="12" t="n">
        <f aca="false">$C103+$D103+MAX(S103,T103,IF(COUNTIFS($A$21:$A$141,"&gt;="&amp;$G103,$A$21:$A$141,"&lt;="&amp;$H103)&gt;0,_xlfn.MAXIFS(R$21:R$141,$A$21:$A$141,"&gt;="&amp;$G103,$A$21:$A$141,"&lt;="&amp;$H103),S103))</f>
        <v>0</v>
      </c>
      <c r="V103" s="12" t="n">
        <f aca="false">-Cost_k*$A103+Beta_q*(Declarations!$B$16*INDEX(U$21:U$141,MAX(1,MIN(121,$B103-ROUND(Declarations!$A$16/$D$18,0))))+Declarations!$B$17*INDEX(U$21:U$141,MAX(1,MIN(121,$B103-ROUND(Declarations!$A$17/$D$18,0))))+Declarations!$B$18*INDEX(U$21:U$141,MAX(1,MIN(121,$B103-ROUND(Declarations!$A$18/$D$18,0))))+Declarations!$B$19*INDEX(U$21:U$141,MAX(1,MIN(121,$B103-ROUND(Declarations!$A$19/$D$18,0))))+Declarations!$B$20*INDEX(U$21:U$141,MAX(1,MIN(121,$B103-ROUND(Declarations!$A$20/$D$18,0)))))</f>
        <v>-242</v>
      </c>
      <c r="W103" s="12" t="n">
        <f aca="false">INDEX(V$21:V$141,$I103+1)*(1-$J103)+INDEX(V$21:V$141,$I103+2)*$J103</f>
        <v>-235.951715040832</v>
      </c>
      <c r="X103" s="12" t="n">
        <f aca="false">INDEX(V$21:V$141,$K103+1)*(1-$L103)+INDEX(V$21:V$141,$K103+2)*$L103</f>
        <v>-245.95</v>
      </c>
      <c r="Y103" s="12" t="n">
        <f aca="false">$C103+$D103+MAX(W103,X103,IF(COUNTIFS($A$21:$A$141,"&gt;="&amp;$G103,$A$21:$A$141,"&lt;="&amp;$H103)&gt;0,_xlfn.MAXIFS(V$21:V$141,$A$21:$A$141,"&gt;="&amp;$G103,$A$21:$A$141,"&lt;="&amp;$H103),W103))</f>
        <v>-0.00171504083238005</v>
      </c>
      <c r="Z103" s="12" t="n">
        <f aca="false">-Cost_k*$A103+Beta_q*(Declarations!$B$16*INDEX(Y$21:Y$141,MAX(1,MIN(121,$B103-ROUND(Declarations!$A$16/$D$18,0))))+Declarations!$B$17*INDEX(Y$21:Y$141,MAX(1,MIN(121,$B103-ROUND(Declarations!$A$17/$D$18,0))))+Declarations!$B$18*INDEX(Y$21:Y$141,MAX(1,MIN(121,$B103-ROUND(Declarations!$A$18/$D$18,0))))+Declarations!$B$19*INDEX(Y$21:Y$141,MAX(1,MIN(121,$B103-ROUND(Declarations!$A$19/$D$18,0))))+Declarations!$B$20*INDEX(Y$21:Y$141,MAX(1,MIN(121,$B103-ROUND(Declarations!$A$20/$D$18,0)))))</f>
        <v>-242.00890152636</v>
      </c>
      <c r="AA103" s="12" t="n">
        <f aca="false">INDEX(Z$21:Z$141,$I103+1)*(1-$J103)+INDEX(Z$21:Z$141,$I103+2)*$J103</f>
        <v>-236.114310548367</v>
      </c>
      <c r="AB103" s="12" t="n">
        <f aca="false">INDEX(Z$21:Z$141,$K103+1)*(1-$L103)+INDEX(Z$21:Z$141,$K103+2)*$L103</f>
        <v>-245.95063357288</v>
      </c>
      <c r="AC103" s="12" t="n">
        <f aca="false">$C103+$D103+MAX(AA103,AB103,IF(COUNTIFS($A$21:$A$141,"&gt;="&amp;$G103,$A$21:$A$141,"&lt;="&amp;$H103)&gt;0,_xlfn.MAXIFS(Z$21:Z$141,$A$21:$A$141,"&gt;="&amp;$G103,$A$21:$A$141,"&lt;="&amp;$H103),AA103))</f>
        <v>-0.164310548367297</v>
      </c>
      <c r="AD103" s="12" t="n">
        <f aca="false">-Cost_k*$A103+Beta_q*(Declarations!$B$16*INDEX(AC$21:AC$141,MAX(1,MIN(121,$B103-ROUND(Declarations!$A$16/$D$18,0))))+Declarations!$B$17*INDEX(AC$21:AC$141,MAX(1,MIN(121,$B103-ROUND(Declarations!$A$17/$D$18,0))))+Declarations!$B$18*INDEX(AC$21:AC$141,MAX(1,MIN(121,$B103-ROUND(Declarations!$A$18/$D$18,0))))+Declarations!$B$19*INDEX(AC$21:AC$141,MAX(1,MIN(121,$B103-ROUND(Declarations!$A$19/$D$18,0))))+Declarations!$B$20*INDEX(AC$21:AC$141,MAX(1,MIN(121,$B103-ROUND(Declarations!$A$20/$D$18,0)))))</f>
        <v>-242.229336000081</v>
      </c>
      <c r="AE103" s="12" t="n">
        <f aca="false">INDEX(AD$21:AD$141,$I103+1)*(1-$J103)+INDEX(AD$21:AD$141,$I103+2)*$J103</f>
        <v>-237.134140202545</v>
      </c>
      <c r="AF103" s="12" t="n">
        <f aca="false">INDEX(AD$21:AD$141,$K103+1)*(1-$L103)+INDEX(AD$21:AD$141,$K103+2)*$L103</f>
        <v>-246.003917501578</v>
      </c>
      <c r="AG103" s="12" t="n">
        <f aca="false">$C103+$D103+MAX(AE103,AF103,IF(COUNTIFS($A$21:$A$141,"&gt;="&amp;$G103,$A$21:$A$141,"&lt;="&amp;$H103)&gt;0,_xlfn.MAXIFS(AD$21:AD$141,$A$21:$A$141,"&gt;="&amp;$G103,$A$21:$A$141,"&lt;="&amp;$H103),AE103))</f>
        <v>-1.18414020254525</v>
      </c>
      <c r="AH103" s="12" t="n">
        <f aca="false">-Cost_k*$A103+Beta_q*(Declarations!$B$16*INDEX(AG$21:AG$141,MAX(1,MIN(121,$B103-ROUND(Declarations!$A$16/$D$18,0))))+Declarations!$B$17*INDEX(AG$21:AG$141,MAX(1,MIN(121,$B103-ROUND(Declarations!$A$17/$D$18,0))))+Declarations!$B$18*INDEX(AG$21:AG$141,MAX(1,MIN(121,$B103-ROUND(Declarations!$A$18/$D$18,0))))+Declarations!$B$19*INDEX(AG$21:AG$141,MAX(1,MIN(121,$B103-ROUND(Declarations!$A$19/$D$18,0))))+Declarations!$B$20*INDEX(AG$21:AG$141,MAX(1,MIN(121,$B103-ROUND(Declarations!$A$20/$D$18,0)))))</f>
        <v>-243.298708034821</v>
      </c>
      <c r="AI103" s="12" t="n">
        <f aca="false">INDEX(AH$21:AH$141,$I103+1)*(1-$J103)+INDEX(AH$21:AH$141,$I103+2)*$J103</f>
        <v>-239.656974000305</v>
      </c>
      <c r="AJ103" s="12" t="n">
        <f aca="false">INDEX(AH$21:AH$141,$K103+1)*(1-$L103)+INDEX(AH$21:AH$141,$K103+2)*$L103</f>
        <v>-246.477586522612</v>
      </c>
      <c r="AK103" s="12" t="n">
        <f aca="false">$C103+$D103+MAX(AI103,AJ103,IF(COUNTIFS($A$21:$A$141,"&gt;="&amp;$G103,$A$21:$A$141,"&lt;="&amp;$H103)&gt;0,_xlfn.MAXIFS(AH$21:AH$141,$A$21:$A$141,"&gt;="&amp;$G103,$A$21:$A$141,"&lt;="&amp;$H103),AI103))</f>
        <v>-3.70697400030474</v>
      </c>
      <c r="AL103" s="12" t="n">
        <f aca="false">-Cost_k*$A103+Beta_q*(Declarations!$B$16*INDEX(AK$21:AK$141,MAX(1,MIN(121,$B103-ROUND(Declarations!$A$16/$D$18,0))))+Declarations!$B$17*INDEX(AK$21:AK$141,MAX(1,MIN(121,$B103-ROUND(Declarations!$A$17/$D$18,0))))+Declarations!$B$18*INDEX(AK$21:AK$141,MAX(1,MIN(121,$B103-ROUND(Declarations!$A$18/$D$18,0))))+Declarations!$B$19*INDEX(AK$21:AK$141,MAX(1,MIN(121,$B103-ROUND(Declarations!$A$19/$D$18,0))))+Declarations!$B$20*INDEX(AK$21:AK$141,MAX(1,MIN(121,$B103-ROUND(Declarations!$A$20/$D$18,0)))))</f>
        <v>-245.78780519225</v>
      </c>
      <c r="AM103" s="12" t="n">
        <f aca="false">INDEX(AL$21:AL$141,$I103+1)*(1-$J103)+INDEX(AL$21:AL$141,$I103+2)*$J103</f>
        <v>-243.69440475023</v>
      </c>
      <c r="AN103" s="12" t="n">
        <f aca="false">INDEX(AL$21:AL$141,$K103+1)*(1-$L103)+INDEX(AL$21:AL$141,$K103+2)*$L103</f>
        <v>-248.024733419496</v>
      </c>
      <c r="AO103" s="12" t="n">
        <f aca="false">$C103+$D103+MAX(AM103,AN103,IF(COUNTIFS($A$21:$A$141,"&gt;="&amp;$G103,$A$21:$A$141,"&lt;="&amp;$H103)&gt;0,_xlfn.MAXIFS(AL$21:AL$141,$A$21:$A$141,"&gt;="&amp;$G103,$A$21:$A$141,"&lt;="&amp;$H103),AM103))</f>
        <v>-7.74440475023008</v>
      </c>
      <c r="AP103" s="12" t="n">
        <f aca="false">-Cost_k*$A103+Beta_q*(Declarations!$B$16*INDEX(AO$21:AO$141,MAX(1,MIN(121,$B103-ROUND(Declarations!$A$16/$D$18,0))))+Declarations!$B$17*INDEX(AO$21:AO$141,MAX(1,MIN(121,$B103-ROUND(Declarations!$A$17/$D$18,0))))+Declarations!$B$18*INDEX(AO$21:AO$141,MAX(1,MIN(121,$B103-ROUND(Declarations!$A$18/$D$18,0))))+Declarations!$B$19*INDEX(AO$21:AO$141,MAX(1,MIN(121,$B103-ROUND(Declarations!$A$19/$D$18,0))))+Declarations!$B$20*INDEX(AO$21:AO$141,MAX(1,MIN(121,$B103-ROUND(Declarations!$A$20/$D$18,0)))))</f>
        <v>-249.675414546248</v>
      </c>
      <c r="AQ103" s="12" t="n">
        <f aca="false">INDEX(AP$21:AP$141,$I103+1)*(1-$J103)+INDEX(AP$21:AP$141,$I103+2)*$J103</f>
        <v>-248.48564614784</v>
      </c>
      <c r="AR103" s="12" t="n">
        <f aca="false">INDEX(AP$21:AP$141,$K103+1)*(1-$L103)+INDEX(AP$21:AP$141,$K103+2)*$L103</f>
        <v>-251.013136560577</v>
      </c>
      <c r="AS103" s="12" t="n">
        <f aca="false">$C103+$D103+MAX(AQ103,AR103,IF(COUNTIFS($A$21:$A$141,"&gt;="&amp;$G103,$A$21:$A$141,"&lt;="&amp;$H103)&gt;0,_xlfn.MAXIFS(AP$21:AP$141,$A$21:$A$141,"&gt;="&amp;$G103,$A$21:$A$141,"&lt;="&amp;$H103),AQ103))</f>
        <v>-12.5356461478398</v>
      </c>
      <c r="AT103" s="12" t="n">
        <f aca="false">-Cost_k*$A103+Beta_q*(Declarations!$B$16*INDEX(AS$21:AS$141,MAX(1,MIN(121,$B103-ROUND(Declarations!$A$16/$D$18,0))))+Declarations!$B$17*INDEX(AS$21:AS$141,MAX(1,MIN(121,$B103-ROUND(Declarations!$A$17/$D$18,0))))+Declarations!$B$18*INDEX(AS$21:AS$141,MAX(1,MIN(121,$B103-ROUND(Declarations!$A$18/$D$18,0))))+Declarations!$B$19*INDEX(AS$21:AS$141,MAX(1,MIN(121,$B103-ROUND(Declarations!$A$19/$D$18,0))))+Declarations!$B$20*INDEX(AS$21:AS$141,MAX(1,MIN(121,$B103-ROUND(Declarations!$A$20/$D$18,0)))))</f>
        <v>-254.290142070109</v>
      </c>
      <c r="AU103" s="12" t="n">
        <f aca="false">INDEX(AT$21:AT$141,$I103+1)*(1-$J103)+INDEX(AT$21:AT$141,$I103+2)*$J103</f>
        <v>-253.375432500674</v>
      </c>
      <c r="AV103" s="12" t="n">
        <f aca="false">INDEX(AT$21:AT$141,$K103+1)*(1-$L103)+INDEX(AT$21:AT$141,$K103+2)*$L103</f>
        <v>-255.154162911659</v>
      </c>
      <c r="AW103" s="12" t="n">
        <f aca="false">$C103+$D103+MAX(AU103,AV103,IF(COUNTIFS($A$21:$A$141,"&gt;="&amp;$G103,$A$21:$A$141,"&lt;="&amp;$H103)&gt;0,_xlfn.MAXIFS(AT$21:AT$141,$A$21:$A$141,"&gt;="&amp;$G103,$A$21:$A$141,"&lt;="&amp;$H103),AU103))</f>
        <v>-17.425432500674</v>
      </c>
      <c r="AX103" s="12" t="n">
        <f aca="false">-Cost_k*$A103+Beta_q*(Declarations!$B$16*INDEX(AW$21:AW$141,MAX(1,MIN(121,$B103-ROUND(Declarations!$A$16/$D$18,0))))+Declarations!$B$17*INDEX(AW$21:AW$141,MAX(1,MIN(121,$B103-ROUND(Declarations!$A$17/$D$18,0))))+Declarations!$B$18*INDEX(AW$21:AW$141,MAX(1,MIN(121,$B103-ROUND(Declarations!$A$18/$D$18,0))))+Declarations!$B$19*INDEX(AW$21:AW$141,MAX(1,MIN(121,$B103-ROUND(Declarations!$A$19/$D$18,0))))+Declarations!$B$20*INDEX(AW$21:AW$141,MAX(1,MIN(121,$B103-ROUND(Declarations!$A$20/$D$18,0)))))</f>
        <v>-259.043897512214</v>
      </c>
      <c r="AY103" s="12" t="n">
        <f aca="false">INDEX(AX$21:AX$141,$I103+1)*(1-$J103)+INDEX(AX$21:AX$141,$I103+2)*$J103</f>
        <v>-258.183558883452</v>
      </c>
      <c r="AZ103" s="12" t="n">
        <f aca="false">INDEX(AX$21:AX$141,$K103+1)*(1-$L103)+INDEX(AX$21:AX$141,$K103+2)*$L103</f>
        <v>-259.766363844757</v>
      </c>
      <c r="BA103" s="12" t="n">
        <f aca="false">$C103+$D103+MAX(AY103,AZ103,IF(COUNTIFS($A$21:$A$141,"&gt;="&amp;$G103,$A$21:$A$141,"&lt;="&amp;$H103)&gt;0,_xlfn.MAXIFS(AX$21:AX$141,$A$21:$A$141,"&gt;="&amp;$G103,$A$21:$A$141,"&lt;="&amp;$H103),AY103))</f>
        <v>-22.233558883452</v>
      </c>
      <c r="BB103" s="12" t="n">
        <f aca="false">-Cost_k*$A103+Beta_q*(Declarations!$B$16*INDEX(BA$21:BA$141,MAX(1,MIN(121,$B103-ROUND(Declarations!$A$16/$D$18,0))))+Declarations!$B$17*INDEX(BA$21:BA$141,MAX(1,MIN(121,$B103-ROUND(Declarations!$A$17/$D$18,0))))+Declarations!$B$18*INDEX(BA$21:BA$141,MAX(1,MIN(121,$B103-ROUND(Declarations!$A$18/$D$18,0))))+Declarations!$B$19*INDEX(BA$21:BA$141,MAX(1,MIN(121,$B103-ROUND(Declarations!$A$19/$D$18,0))))+Declarations!$B$20*INDEX(BA$21:BA$141,MAX(1,MIN(121,$B103-ROUND(Declarations!$A$20/$D$18,0)))))</f>
        <v>-263.7347396508</v>
      </c>
      <c r="BC103" s="12" t="n">
        <f aca="false">INDEX(BB$21:BB$141,$I103+1)*(1-$J103)+INDEX(BB$21:BB$141,$I103+2)*$J103</f>
        <v>-262.882682991883</v>
      </c>
      <c r="BD103" s="12" t="n">
        <f aca="false">INDEX(BB$21:BB$141,$K103+1)*(1-$L103)+INDEX(BB$21:BB$141,$K103+2)*$L103</f>
        <v>-264.428219420986</v>
      </c>
      <c r="BE103" s="12" t="n">
        <f aca="false">$C103+$D103+MAX(BC103,BD103,IF(COUNTIFS($A$21:$A$141,"&gt;="&amp;$G103,$A$21:$A$141,"&lt;="&amp;$H103)&gt;0,_xlfn.MAXIFS(BB$21:BB$141,$A$21:$A$141,"&gt;="&amp;$G103,$A$21:$A$141,"&lt;="&amp;$H103),BC103))</f>
        <v>-26.9326829918829</v>
      </c>
      <c r="BF103" s="12" t="n">
        <f aca="false">-Cost_k*$A103+Beta_q*(Declarations!$B$16*INDEX(BE$21:BE$141,MAX(1,MIN(121,$B103-ROUND(Declarations!$A$16/$D$18,0))))+Declarations!$B$17*INDEX(BE$21:BE$141,MAX(1,MIN(121,$B103-ROUND(Declarations!$A$17/$D$18,0))))+Declarations!$B$18*INDEX(BE$21:BE$141,MAX(1,MIN(121,$B103-ROUND(Declarations!$A$18/$D$18,0))))+Declarations!$B$19*INDEX(BE$21:BE$141,MAX(1,MIN(121,$B103-ROUND(Declarations!$A$19/$D$18,0))))+Declarations!$B$20*INDEX(BE$21:BE$141,MAX(1,MIN(121,$B103-ROUND(Declarations!$A$20/$D$18,0)))))</f>
        <v>-268.322615022586</v>
      </c>
      <c r="BG103" s="12" t="n">
        <f aca="false">INDEX(BF$21:BF$141,$I103+1)*(1-$J103)+INDEX(BF$21:BF$141,$I103+2)*$J103</f>
        <v>-267.471628632744</v>
      </c>
      <c r="BH103" s="12" t="n">
        <f aca="false">INDEX(BF$21:BF$141,$K103+1)*(1-$L103)+INDEX(BF$21:BF$141,$K103+2)*$L103</f>
        <v>-269.011441628174</v>
      </c>
      <c r="BI103" s="12" t="n">
        <f aca="false">$C103+$D103+MAX(BG103,BH103,IF(COUNTIFS($A$21:$A$141,"&gt;="&amp;$G103,$A$21:$A$141,"&lt;="&amp;$H103)&gt;0,_xlfn.MAXIFS(BF$21:BF$141,$A$21:$A$141,"&gt;="&amp;$G103,$A$21:$A$141,"&lt;="&amp;$H103),BG103))</f>
        <v>-31.5216286327435</v>
      </c>
      <c r="BJ103" s="23" t="n">
        <v>-31.5216286327435</v>
      </c>
      <c r="BK103" s="22" t="n">
        <f aca="false">ABS(BI103-BJ103)</f>
        <v>0</v>
      </c>
    </row>
    <row r="104" customFormat="false" ht="15" hidden="false" customHeight="false" outlineLevel="0" collapsed="false">
      <c r="A104" s="14" t="n">
        <f aca="false">A103+$D$18</f>
        <v>60.75</v>
      </c>
      <c r="B104" s="19" t="n">
        <v>84</v>
      </c>
      <c r="C104" s="12" t="n">
        <f aca="false">-Short_p*MAX(Floor_c-A104,0)</f>
        <v>-0</v>
      </c>
      <c r="D104" s="12" t="n">
        <f aca="false">Cost_k*Alpha_keep*A104</f>
        <v>236.925</v>
      </c>
      <c r="E104" s="12" t="n">
        <f aca="false">MIN(Cap_h,MAX(0,$B$18+MAX(Loss_w)-Alpha_keep*A104))</f>
        <v>0</v>
      </c>
      <c r="F104" s="12" t="n">
        <f aca="false">MAX(MIN(Cap_h,$F$18+MIN(Loss_w)-Alpha_keep*A104),E104)</f>
        <v>2.5</v>
      </c>
      <c r="G104" s="12" t="n">
        <f aca="false">Alpha_keep*A104+E104</f>
        <v>59.23125</v>
      </c>
      <c r="H104" s="12" t="n">
        <f aca="false">Alpha_keep*A104+F104</f>
        <v>61.73125</v>
      </c>
      <c r="I104" s="19" t="n">
        <f aca="false">MIN(INT((G104-$B$18)/$D$18+0.000000001),119)</f>
        <v>76</v>
      </c>
      <c r="J104" s="12" t="n">
        <f aca="false">(G104-$B$18)/$D$18-I104</f>
        <v>0.924999999999983</v>
      </c>
      <c r="K104" s="19" t="n">
        <f aca="false">MIN(INT((H104-$B$18)/$D$18+0.000000001),119)</f>
        <v>86</v>
      </c>
      <c r="L104" s="12" t="n">
        <f aca="false">(H104-$B$18)/$D$18-K104</f>
        <v>0.924999999999983</v>
      </c>
      <c r="M104" s="9" t="n">
        <v>0</v>
      </c>
      <c r="N104" s="12" t="n">
        <f aca="false">-Cost_k*$A104+Beta_q*(Declarations!$B$16*INDEX(M$21:M$141,MAX(1,MIN(121,$B104-ROUND(Declarations!$A$16/$D$18,0))))+Declarations!$B$17*INDEX(M$21:M$141,MAX(1,MIN(121,$B104-ROUND(Declarations!$A$17/$D$18,0))))+Declarations!$B$18*INDEX(M$21:M$141,MAX(1,MIN(121,$B104-ROUND(Declarations!$A$18/$D$18,0))))+Declarations!$B$19*INDEX(M$21:M$141,MAX(1,MIN(121,$B104-ROUND(Declarations!$A$19/$D$18,0))))+Declarations!$B$20*INDEX(M$21:M$141,MAX(1,MIN(121,$B104-ROUND(Declarations!$A$20/$D$18,0)))))</f>
        <v>-243</v>
      </c>
      <c r="O104" s="12" t="n">
        <f aca="false">INDEX(N$21:N$141,$I104+1)*(1-$J104)+INDEX(N$21:N$141,$I104+2)*$J104</f>
        <v>-236.925</v>
      </c>
      <c r="P104" s="12" t="n">
        <f aca="false">INDEX(N$21:N$141,$K104+1)*(1-$L104)+INDEX(N$21:N$141,$K104+2)*$L104</f>
        <v>-246.925</v>
      </c>
      <c r="Q104" s="12" t="n">
        <f aca="false">$C104+$D104+MAX(O104,P104,IF(COUNTIFS($A$21:$A$141,"&gt;="&amp;$G104,$A$21:$A$141,"&lt;="&amp;$H104)&gt;0,_xlfn.MAXIFS(N$21:N$141,$A$21:$A$141,"&gt;="&amp;$G104,$A$21:$A$141,"&lt;="&amp;$H104),O104))</f>
        <v>0</v>
      </c>
      <c r="R104" s="12" t="n">
        <f aca="false">-Cost_k*$A104+Beta_q*(Declarations!$B$16*INDEX(Q$21:Q$141,MAX(1,MIN(121,$B104-ROUND(Declarations!$A$16/$D$18,0))))+Declarations!$B$17*INDEX(Q$21:Q$141,MAX(1,MIN(121,$B104-ROUND(Declarations!$A$17/$D$18,0))))+Declarations!$B$18*INDEX(Q$21:Q$141,MAX(1,MIN(121,$B104-ROUND(Declarations!$A$18/$D$18,0))))+Declarations!$B$19*INDEX(Q$21:Q$141,MAX(1,MIN(121,$B104-ROUND(Declarations!$A$19/$D$18,0))))+Declarations!$B$20*INDEX(Q$21:Q$141,MAX(1,MIN(121,$B104-ROUND(Declarations!$A$20/$D$18,0)))))</f>
        <v>-243</v>
      </c>
      <c r="S104" s="12" t="n">
        <f aca="false">INDEX(R$21:R$141,$I104+1)*(1-$J104)+INDEX(R$21:R$141,$I104+2)*$J104</f>
        <v>-236.925</v>
      </c>
      <c r="T104" s="12" t="n">
        <f aca="false">INDEX(R$21:R$141,$K104+1)*(1-$L104)+INDEX(R$21:R$141,$K104+2)*$L104</f>
        <v>-246.925</v>
      </c>
      <c r="U104" s="12" t="n">
        <f aca="false">$C104+$D104+MAX(S104,T104,IF(COUNTIFS($A$21:$A$141,"&gt;="&amp;$G104,$A$21:$A$141,"&lt;="&amp;$H104)&gt;0,_xlfn.MAXIFS(R$21:R$141,$A$21:$A$141,"&gt;="&amp;$G104,$A$21:$A$141,"&lt;="&amp;$H104),S104))</f>
        <v>0</v>
      </c>
      <c r="V104" s="12" t="n">
        <f aca="false">-Cost_k*$A104+Beta_q*(Declarations!$B$16*INDEX(U$21:U$141,MAX(1,MIN(121,$B104-ROUND(Declarations!$A$16/$D$18,0))))+Declarations!$B$17*INDEX(U$21:U$141,MAX(1,MIN(121,$B104-ROUND(Declarations!$A$17/$D$18,0))))+Declarations!$B$18*INDEX(U$21:U$141,MAX(1,MIN(121,$B104-ROUND(Declarations!$A$18/$D$18,0))))+Declarations!$B$19*INDEX(U$21:U$141,MAX(1,MIN(121,$B104-ROUND(Declarations!$A$19/$D$18,0))))+Declarations!$B$20*INDEX(U$21:U$141,MAX(1,MIN(121,$B104-ROUND(Declarations!$A$20/$D$18,0)))))</f>
        <v>-243</v>
      </c>
      <c r="W104" s="12" t="n">
        <f aca="false">INDEX(V$21:V$141,$I104+1)*(1-$J104)+INDEX(V$21:V$141,$I104+2)*$J104</f>
        <v>-236.925808655458</v>
      </c>
      <c r="X104" s="12" t="n">
        <f aca="false">INDEX(V$21:V$141,$K104+1)*(1-$L104)+INDEX(V$21:V$141,$K104+2)*$L104</f>
        <v>-246.925</v>
      </c>
      <c r="Y104" s="12" t="n">
        <f aca="false">$C104+$D104+MAX(W104,X104,IF(COUNTIFS($A$21:$A$141,"&gt;="&amp;$G104,$A$21:$A$141,"&lt;="&amp;$H104)&gt;0,_xlfn.MAXIFS(V$21:V$141,$A$21:$A$141,"&gt;="&amp;$G104,$A$21:$A$141,"&lt;="&amp;$H104),W104))</f>
        <v>-0.000808655458484964</v>
      </c>
      <c r="Z104" s="12" t="n">
        <f aca="false">-Cost_k*$A104+Beta_q*(Declarations!$B$16*INDEX(Y$21:Y$141,MAX(1,MIN(121,$B104-ROUND(Declarations!$A$16/$D$18,0))))+Declarations!$B$17*INDEX(Y$21:Y$141,MAX(1,MIN(121,$B104-ROUND(Declarations!$A$17/$D$18,0))))+Declarations!$B$18*INDEX(Y$21:Y$141,MAX(1,MIN(121,$B104-ROUND(Declarations!$A$18/$D$18,0))))+Declarations!$B$19*INDEX(Y$21:Y$141,MAX(1,MIN(121,$B104-ROUND(Declarations!$A$19/$D$18,0))))+Declarations!$B$20*INDEX(Y$21:Y$141,MAX(1,MIN(121,$B104-ROUND(Declarations!$A$20/$D$18,0)))))</f>
        <v>-243.004909141338</v>
      </c>
      <c r="AA104" s="12" t="n">
        <f aca="false">INDEX(Z$21:Z$141,$I104+1)*(1-$J104)+INDEX(Z$21:Z$141,$I104+2)*$J104</f>
        <v>-237.034402795093</v>
      </c>
      <c r="AB104" s="12" t="n">
        <f aca="false">INDEX(Z$21:Z$141,$K104+1)*(1-$L104)+INDEX(Z$21:Z$141,$K104+2)*$L104</f>
        <v>-246.925183446547</v>
      </c>
      <c r="AC104" s="12" t="n">
        <f aca="false">$C104+$D104+MAX(AA104,AB104,IF(COUNTIFS($A$21:$A$141,"&gt;="&amp;$G104,$A$21:$A$141,"&lt;="&amp;$H104)&gt;0,_xlfn.MAXIFS(Z$21:Z$141,$A$21:$A$141,"&gt;="&amp;$G104,$A$21:$A$141,"&lt;="&amp;$H104),AA104))</f>
        <v>-0.109402795093388</v>
      </c>
      <c r="AD104" s="12" t="n">
        <f aca="false">-Cost_k*$A104+Beta_q*(Declarations!$B$16*INDEX(AC$21:AC$141,MAX(1,MIN(121,$B104-ROUND(Declarations!$A$16/$D$18,0))))+Declarations!$B$17*INDEX(AC$21:AC$141,MAX(1,MIN(121,$B104-ROUND(Declarations!$A$17/$D$18,0))))+Declarations!$B$18*INDEX(AC$21:AC$141,MAX(1,MIN(121,$B104-ROUND(Declarations!$A$18/$D$18,0))))+Declarations!$B$19*INDEX(AC$21:AC$141,MAX(1,MIN(121,$B104-ROUND(Declarations!$A$19/$D$18,0))))+Declarations!$B$20*INDEX(AC$21:AC$141,MAX(1,MIN(121,$B104-ROUND(Declarations!$A$20/$D$18,0)))))</f>
        <v>-243.161339236118</v>
      </c>
      <c r="AE104" s="12" t="n">
        <f aca="false">INDEX(AD$21:AD$141,$I104+1)*(1-$J104)+INDEX(AD$21:AD$141,$I104+2)*$J104</f>
        <v>-237.861128748409</v>
      </c>
      <c r="AF104" s="12" t="n">
        <f aca="false">INDEX(AD$21:AD$141,$K104+1)*(1-$L104)+INDEX(AD$21:AD$141,$K104+2)*$L104</f>
        <v>-246.958407219587</v>
      </c>
      <c r="AG104" s="12" t="n">
        <f aca="false">$C104+$D104+MAX(AE104,AF104,IF(COUNTIFS($A$21:$A$141,"&gt;="&amp;$G104,$A$21:$A$141,"&lt;="&amp;$H104)&gt;0,_xlfn.MAXIFS(AD$21:AD$141,$A$21:$A$141,"&gt;="&amp;$G104,$A$21:$A$141,"&lt;="&amp;$H104),AE104))</f>
        <v>-0.936128748409288</v>
      </c>
      <c r="AH104" s="12" t="n">
        <f aca="false">-Cost_k*$A104+Beta_q*(Declarations!$B$16*INDEX(AG$21:AG$141,MAX(1,MIN(121,$B104-ROUND(Declarations!$A$16/$D$18,0))))+Declarations!$B$17*INDEX(AG$21:AG$141,MAX(1,MIN(121,$B104-ROUND(Declarations!$A$17/$D$18,0))))+Declarations!$B$18*INDEX(AG$21:AG$141,MAX(1,MIN(121,$B104-ROUND(Declarations!$A$18/$D$18,0))))+Declarations!$B$19*INDEX(AG$21:AG$141,MAX(1,MIN(121,$B104-ROUND(Declarations!$A$19/$D$18,0))))+Declarations!$B$20*INDEX(AG$21:AG$141,MAX(1,MIN(121,$B104-ROUND(Declarations!$A$20/$D$18,0)))))</f>
        <v>-244.045460464829</v>
      </c>
      <c r="AI104" s="12" t="n">
        <f aca="false">INDEX(AH$21:AH$141,$I104+1)*(1-$J104)+INDEX(AH$21:AH$141,$I104+2)*$J104</f>
        <v>-240.113196585412</v>
      </c>
      <c r="AJ104" s="12" t="n">
        <f aca="false">INDEX(AH$21:AH$141,$K104+1)*(1-$L104)+INDEX(AH$21:AH$141,$K104+2)*$L104</f>
        <v>-247.329112879401</v>
      </c>
      <c r="AK104" s="12" t="n">
        <f aca="false">$C104+$D104+MAX(AI104,AJ104,IF(COUNTIFS($A$21:$A$141,"&gt;="&amp;$G104,$A$21:$A$141,"&lt;="&amp;$H104)&gt;0,_xlfn.MAXIFS(AH$21:AH$141,$A$21:$A$141,"&gt;="&amp;$G104,$A$21:$A$141,"&lt;="&amp;$H104),AI104))</f>
        <v>-3.18819658541239</v>
      </c>
      <c r="AL104" s="12" t="n">
        <f aca="false">-Cost_k*$A104+Beta_q*(Declarations!$B$16*INDEX(AK$21:AK$141,MAX(1,MIN(121,$B104-ROUND(Declarations!$A$16/$D$18,0))))+Declarations!$B$17*INDEX(AK$21:AK$141,MAX(1,MIN(121,$B104-ROUND(Declarations!$A$17/$D$18,0))))+Declarations!$B$18*INDEX(AK$21:AK$141,MAX(1,MIN(121,$B104-ROUND(Declarations!$A$18/$D$18,0))))+Declarations!$B$19*INDEX(AK$21:AK$141,MAX(1,MIN(121,$B104-ROUND(Declarations!$A$19/$D$18,0))))+Declarations!$B$20*INDEX(AK$21:AK$141,MAX(1,MIN(121,$B104-ROUND(Declarations!$A$20/$D$18,0)))))</f>
        <v>-246.279386130464</v>
      </c>
      <c r="AM104" s="12" t="n">
        <f aca="false">INDEX(AL$21:AL$141,$I104+1)*(1-$J104)+INDEX(AL$21:AL$141,$I104+2)*$J104</f>
        <v>-243.920389267832</v>
      </c>
      <c r="AN104" s="12" t="n">
        <f aca="false">INDEX(AL$21:AL$141,$K104+1)*(1-$L104)+INDEX(AL$21:AL$141,$K104+2)*$L104</f>
        <v>-248.674350756284</v>
      </c>
      <c r="AO104" s="12" t="n">
        <f aca="false">$C104+$D104+MAX(AM104,AN104,IF(COUNTIFS($A$21:$A$141,"&gt;="&amp;$G104,$A$21:$A$141,"&lt;="&amp;$H104)&gt;0,_xlfn.MAXIFS(AL$21:AL$141,$A$21:$A$141,"&gt;="&amp;$G104,$A$21:$A$141,"&lt;="&amp;$H104),AM104))</f>
        <v>-6.9953892678322</v>
      </c>
      <c r="AP104" s="12" t="n">
        <f aca="false">-Cost_k*$A104+Beta_q*(Declarations!$B$16*INDEX(AO$21:AO$141,MAX(1,MIN(121,$B104-ROUND(Declarations!$A$16/$D$18,0))))+Declarations!$B$17*INDEX(AO$21:AO$141,MAX(1,MIN(121,$B104-ROUND(Declarations!$A$17/$D$18,0))))+Declarations!$B$18*INDEX(AO$21:AO$141,MAX(1,MIN(121,$B104-ROUND(Declarations!$A$18/$D$18,0))))+Declarations!$B$19*INDEX(AO$21:AO$141,MAX(1,MIN(121,$B104-ROUND(Declarations!$A$19/$D$18,0))))+Declarations!$B$20*INDEX(AO$21:AO$141,MAX(1,MIN(121,$B104-ROUND(Declarations!$A$20/$D$18,0)))))</f>
        <v>-249.955717814991</v>
      </c>
      <c r="AQ104" s="12" t="n">
        <f aca="false">INDEX(AP$21:AP$141,$I104+1)*(1-$J104)+INDEX(AP$21:AP$141,$I104+2)*$J104</f>
        <v>-248.624288965743</v>
      </c>
      <c r="AR104" s="12" t="n">
        <f aca="false">INDEX(AP$21:AP$141,$K104+1)*(1-$L104)+INDEX(AP$21:AP$141,$K104+2)*$L104</f>
        <v>-251.43001606982</v>
      </c>
      <c r="AS104" s="12" t="n">
        <f aca="false">$C104+$D104+MAX(AQ104,AR104,IF(COUNTIFS($A$21:$A$141,"&gt;="&amp;$G104,$A$21:$A$141,"&lt;="&amp;$H104)&gt;0,_xlfn.MAXIFS(AP$21:AP$141,$A$21:$A$141,"&gt;="&amp;$G104,$A$21:$A$141,"&lt;="&amp;$H104),AQ104))</f>
        <v>-11.6992889657431</v>
      </c>
      <c r="AT104" s="12" t="n">
        <f aca="false">-Cost_k*$A104+Beta_q*(Declarations!$B$16*INDEX(AS$21:AS$141,MAX(1,MIN(121,$B104-ROUND(Declarations!$A$16/$D$18,0))))+Declarations!$B$17*INDEX(AS$21:AS$141,MAX(1,MIN(121,$B104-ROUND(Declarations!$A$17/$D$18,0))))+Declarations!$B$18*INDEX(AS$21:AS$141,MAX(1,MIN(121,$B104-ROUND(Declarations!$A$18/$D$18,0))))+Declarations!$B$19*INDEX(AS$21:AS$141,MAX(1,MIN(121,$B104-ROUND(Declarations!$A$19/$D$18,0))))+Declarations!$B$20*INDEX(AS$21:AS$141,MAX(1,MIN(121,$B104-ROUND(Declarations!$A$20/$D$18,0)))))</f>
        <v>-254.480413684669</v>
      </c>
      <c r="AU104" s="12" t="n">
        <f aca="false">INDEX(AT$21:AT$141,$I104+1)*(1-$J104)+INDEX(AT$21:AT$141,$I104+2)*$J104</f>
        <v>-253.496859145826</v>
      </c>
      <c r="AV104" s="12" t="n">
        <f aca="false">INDEX(AT$21:AT$141,$K104+1)*(1-$L104)+INDEX(AT$21:AT$141,$K104+2)*$L104</f>
        <v>-255.414022923889</v>
      </c>
      <c r="AW104" s="12" t="n">
        <f aca="false">$C104+$D104+MAX(AU104,AV104,IF(COUNTIFS($A$21:$A$141,"&gt;="&amp;$G104,$A$21:$A$141,"&lt;="&amp;$H104)&gt;0,_xlfn.MAXIFS(AT$21:AT$141,$A$21:$A$141,"&gt;="&amp;$G104,$A$21:$A$141,"&lt;="&amp;$H104),AU104))</f>
        <v>-16.5718591458264</v>
      </c>
      <c r="AX104" s="12" t="n">
        <f aca="false">-Cost_k*$A104+Beta_q*(Declarations!$B$16*INDEX(AW$21:AW$141,MAX(1,MIN(121,$B104-ROUND(Declarations!$A$16/$D$18,0))))+Declarations!$B$17*INDEX(AW$21:AW$141,MAX(1,MIN(121,$B104-ROUND(Declarations!$A$17/$D$18,0))))+Declarations!$B$18*INDEX(AW$21:AW$141,MAX(1,MIN(121,$B104-ROUND(Declarations!$A$18/$D$18,0))))+Declarations!$B$19*INDEX(AW$21:AW$141,MAX(1,MIN(121,$B104-ROUND(Declarations!$A$19/$D$18,0))))+Declarations!$B$20*INDEX(AW$21:AW$141,MAX(1,MIN(121,$B104-ROUND(Declarations!$A$20/$D$18,0)))))</f>
        <v>-259.212009485031</v>
      </c>
      <c r="AY104" s="12" t="n">
        <f aca="false">INDEX(AX$21:AX$141,$I104+1)*(1-$J104)+INDEX(AX$21:AX$141,$I104+2)*$J104</f>
        <v>-258.30249959104</v>
      </c>
      <c r="AZ104" s="12" t="n">
        <f aca="false">INDEX(AX$21:AX$141,$K104+1)*(1-$L104)+INDEX(AX$21:AX$141,$K104+2)*$L104</f>
        <v>-259.967303780878</v>
      </c>
      <c r="BA104" s="12" t="n">
        <f aca="false">$C104+$D104+MAX(AY104,AZ104,IF(COUNTIFS($A$21:$A$141,"&gt;="&amp;$G104,$A$21:$A$141,"&lt;="&amp;$H104)&gt;0,_xlfn.MAXIFS(AX$21:AX$141,$A$21:$A$141,"&gt;="&amp;$G104,$A$21:$A$141,"&lt;="&amp;$H104),AY104))</f>
        <v>-21.3774995910395</v>
      </c>
      <c r="BB104" s="12" t="n">
        <f aca="false">-Cost_k*$A104+Beta_q*(Declarations!$B$16*INDEX(BA$21:BA$141,MAX(1,MIN(121,$B104-ROUND(Declarations!$A$16/$D$18,0))))+Declarations!$B$17*INDEX(BA$21:BA$141,MAX(1,MIN(121,$B104-ROUND(Declarations!$A$17/$D$18,0))))+Declarations!$B$18*INDEX(BA$21:BA$141,MAX(1,MIN(121,$B104-ROUND(Declarations!$A$18/$D$18,0))))+Declarations!$B$19*INDEX(BA$21:BA$141,MAX(1,MIN(121,$B104-ROUND(Declarations!$A$19/$D$18,0))))+Declarations!$B$20*INDEX(BA$21:BA$141,MAX(1,MIN(121,$B104-ROUND(Declarations!$A$20/$D$18,0)))))</f>
        <v>-263.898929582173</v>
      </c>
      <c r="BC104" s="12" t="n">
        <f aca="false">INDEX(BB$21:BB$141,$I104+1)*(1-$J104)+INDEX(BB$21:BB$141,$I104+2)*$J104</f>
        <v>-263.001321421947</v>
      </c>
      <c r="BD104" s="12" t="n">
        <f aca="false">INDEX(BB$21:BB$141,$K104+1)*(1-$L104)+INDEX(BB$21:BB$141,$K104+2)*$L104</f>
        <v>-264.61487954166</v>
      </c>
      <c r="BE104" s="12" t="n">
        <f aca="false">$C104+$D104+MAX(BC104,BD104,IF(COUNTIFS($A$21:$A$141,"&gt;="&amp;$G104,$A$21:$A$141,"&lt;="&amp;$H104)&gt;0,_xlfn.MAXIFS(BB$21:BB$141,$A$21:$A$141,"&gt;="&amp;$G104,$A$21:$A$141,"&lt;="&amp;$H104),BC104))</f>
        <v>-26.0763214219466</v>
      </c>
      <c r="BF104" s="12" t="n">
        <f aca="false">-Cost_k*$A104+Beta_q*(Declarations!$B$16*INDEX(BE$21:BE$141,MAX(1,MIN(121,$B104-ROUND(Declarations!$A$16/$D$18,0))))+Declarations!$B$17*INDEX(BE$21:BE$141,MAX(1,MIN(121,$B104-ROUND(Declarations!$A$17/$D$18,0))))+Declarations!$B$18*INDEX(BE$21:BE$141,MAX(1,MIN(121,$B104-ROUND(Declarations!$A$18/$D$18,0))))+Declarations!$B$19*INDEX(BE$21:BE$141,MAX(1,MIN(121,$B104-ROUND(Declarations!$A$19/$D$18,0))))+Declarations!$B$20*INDEX(BE$21:BE$141,MAX(1,MIN(121,$B104-ROUND(Declarations!$A$20/$D$18,0)))))</f>
        <v>-268.486240516048</v>
      </c>
      <c r="BG104" s="12" t="n">
        <f aca="false">INDEX(BF$21:BF$141,$I104+1)*(1-$J104)+INDEX(BF$21:BF$141,$I104+2)*$J104</f>
        <v>-267.590233840778</v>
      </c>
      <c r="BH104" s="12" t="n">
        <f aca="false">INDEX(BF$21:BF$141,$K104+1)*(1-$L104)+INDEX(BF$21:BF$141,$K104+2)*$L104</f>
        <v>-269.195504908144</v>
      </c>
      <c r="BI104" s="12" t="n">
        <f aca="false">$C104+$D104+MAX(BG104,BH104,IF(COUNTIFS($A$21:$A$141,"&gt;="&amp;$G104,$A$21:$A$141,"&lt;="&amp;$H104)&gt;0,_xlfn.MAXIFS(BF$21:BF$141,$A$21:$A$141,"&gt;="&amp;$G104,$A$21:$A$141,"&lt;="&amp;$H104),BG104))</f>
        <v>-30.665233840778</v>
      </c>
      <c r="BJ104" s="23" t="n">
        <v>-30.6652338407781</v>
      </c>
      <c r="BK104" s="22" t="n">
        <f aca="false">ABS(BI104-BJ104)</f>
        <v>0</v>
      </c>
    </row>
    <row r="105" customFormat="false" ht="15" hidden="false" customHeight="false" outlineLevel="0" collapsed="false">
      <c r="A105" s="14" t="n">
        <f aca="false">A104+$D$18</f>
        <v>61</v>
      </c>
      <c r="B105" s="19" t="n">
        <v>85</v>
      </c>
      <c r="C105" s="12" t="n">
        <f aca="false">-Short_p*MAX(Floor_c-A105,0)</f>
        <v>-0</v>
      </c>
      <c r="D105" s="12" t="n">
        <f aca="false">Cost_k*Alpha_keep*A105</f>
        <v>237.9</v>
      </c>
      <c r="E105" s="12" t="n">
        <f aca="false">MIN(Cap_h,MAX(0,$B$18+MAX(Loss_w)-Alpha_keep*A105))</f>
        <v>0</v>
      </c>
      <c r="F105" s="12" t="n">
        <f aca="false">MAX(MIN(Cap_h,$F$18+MIN(Loss_w)-Alpha_keep*A105),E105)</f>
        <v>2.5</v>
      </c>
      <c r="G105" s="12" t="n">
        <f aca="false">Alpha_keep*A105+E105</f>
        <v>59.475</v>
      </c>
      <c r="H105" s="12" t="n">
        <f aca="false">Alpha_keep*A105+F105</f>
        <v>61.975</v>
      </c>
      <c r="I105" s="19" t="n">
        <f aca="false">MIN(INT((G105-$B$18)/$D$18+0.000000001),119)</f>
        <v>77</v>
      </c>
      <c r="J105" s="12" t="n">
        <f aca="false">(G105-$B$18)/$D$18-I105</f>
        <v>0.900000000000006</v>
      </c>
      <c r="K105" s="19" t="n">
        <f aca="false">MIN(INT((H105-$B$18)/$D$18+0.000000001),119)</f>
        <v>87</v>
      </c>
      <c r="L105" s="12" t="n">
        <f aca="false">(H105-$B$18)/$D$18-K105</f>
        <v>0.900000000000006</v>
      </c>
      <c r="M105" s="9" t="n">
        <v>0</v>
      </c>
      <c r="N105" s="12" t="n">
        <f aca="false">-Cost_k*$A105+Beta_q*(Declarations!$B$16*INDEX(M$21:M$141,MAX(1,MIN(121,$B105-ROUND(Declarations!$A$16/$D$18,0))))+Declarations!$B$17*INDEX(M$21:M$141,MAX(1,MIN(121,$B105-ROUND(Declarations!$A$17/$D$18,0))))+Declarations!$B$18*INDEX(M$21:M$141,MAX(1,MIN(121,$B105-ROUND(Declarations!$A$18/$D$18,0))))+Declarations!$B$19*INDEX(M$21:M$141,MAX(1,MIN(121,$B105-ROUND(Declarations!$A$19/$D$18,0))))+Declarations!$B$20*INDEX(M$21:M$141,MAX(1,MIN(121,$B105-ROUND(Declarations!$A$20/$D$18,0)))))</f>
        <v>-244</v>
      </c>
      <c r="O105" s="12" t="n">
        <f aca="false">INDEX(N$21:N$141,$I105+1)*(1-$J105)+INDEX(N$21:N$141,$I105+2)*$J105</f>
        <v>-237.9</v>
      </c>
      <c r="P105" s="12" t="n">
        <f aca="false">INDEX(N$21:N$141,$K105+1)*(1-$L105)+INDEX(N$21:N$141,$K105+2)*$L105</f>
        <v>-247.9</v>
      </c>
      <c r="Q105" s="12" t="n">
        <f aca="false">$C105+$D105+MAX(O105,P105,IF(COUNTIFS($A$21:$A$141,"&gt;="&amp;$G105,$A$21:$A$141,"&lt;="&amp;$H105)&gt;0,_xlfn.MAXIFS(N$21:N$141,$A$21:$A$141,"&gt;="&amp;$G105,$A$21:$A$141,"&lt;="&amp;$H105),O105))</f>
        <v>0</v>
      </c>
      <c r="R105" s="12" t="n">
        <f aca="false">-Cost_k*$A105+Beta_q*(Declarations!$B$16*INDEX(Q$21:Q$141,MAX(1,MIN(121,$B105-ROUND(Declarations!$A$16/$D$18,0))))+Declarations!$B$17*INDEX(Q$21:Q$141,MAX(1,MIN(121,$B105-ROUND(Declarations!$A$17/$D$18,0))))+Declarations!$B$18*INDEX(Q$21:Q$141,MAX(1,MIN(121,$B105-ROUND(Declarations!$A$18/$D$18,0))))+Declarations!$B$19*INDEX(Q$21:Q$141,MAX(1,MIN(121,$B105-ROUND(Declarations!$A$19/$D$18,0))))+Declarations!$B$20*INDEX(Q$21:Q$141,MAX(1,MIN(121,$B105-ROUND(Declarations!$A$20/$D$18,0)))))</f>
        <v>-244</v>
      </c>
      <c r="S105" s="12" t="n">
        <f aca="false">INDEX(R$21:R$141,$I105+1)*(1-$J105)+INDEX(R$21:R$141,$I105+2)*$J105</f>
        <v>-237.9</v>
      </c>
      <c r="T105" s="12" t="n">
        <f aca="false">INDEX(R$21:R$141,$K105+1)*(1-$L105)+INDEX(R$21:R$141,$K105+2)*$L105</f>
        <v>-247.9</v>
      </c>
      <c r="U105" s="12" t="n">
        <f aca="false">$C105+$D105+MAX(S105,T105,IF(COUNTIFS($A$21:$A$141,"&gt;="&amp;$G105,$A$21:$A$141,"&lt;="&amp;$H105)&gt;0,_xlfn.MAXIFS(R$21:R$141,$A$21:$A$141,"&gt;="&amp;$G105,$A$21:$A$141,"&lt;="&amp;$H105),S105))</f>
        <v>0</v>
      </c>
      <c r="V105" s="12" t="n">
        <f aca="false">-Cost_k*$A105+Beta_q*(Declarations!$B$16*INDEX(U$21:U$141,MAX(1,MIN(121,$B105-ROUND(Declarations!$A$16/$D$18,0))))+Declarations!$B$17*INDEX(U$21:U$141,MAX(1,MIN(121,$B105-ROUND(Declarations!$A$17/$D$18,0))))+Declarations!$B$18*INDEX(U$21:U$141,MAX(1,MIN(121,$B105-ROUND(Declarations!$A$18/$D$18,0))))+Declarations!$B$19*INDEX(U$21:U$141,MAX(1,MIN(121,$B105-ROUND(Declarations!$A$19/$D$18,0))))+Declarations!$B$20*INDEX(U$21:U$141,MAX(1,MIN(121,$B105-ROUND(Declarations!$A$20/$D$18,0)))))</f>
        <v>-244</v>
      </c>
      <c r="W105" s="12" t="n">
        <f aca="false">INDEX(V$21:V$141,$I105+1)*(1-$J105)+INDEX(V$21:V$141,$I105+2)*$J105</f>
        <v>-237.900073893351</v>
      </c>
      <c r="X105" s="12" t="n">
        <f aca="false">INDEX(V$21:V$141,$K105+1)*(1-$L105)+INDEX(V$21:V$141,$K105+2)*$L105</f>
        <v>-247.9</v>
      </c>
      <c r="Y105" s="12" t="n">
        <f aca="false">$C105+$D105+MAX(W105,X105,IF(COUNTIFS($A$21:$A$141,"&gt;="&amp;$G105,$A$21:$A$141,"&lt;="&amp;$H105)&gt;0,_xlfn.MAXIFS(V$21:V$141,$A$21:$A$141,"&gt;="&amp;$G105,$A$21:$A$141,"&lt;="&amp;$H105),W105))</f>
        <v>-7.38933506738704E-005</v>
      </c>
      <c r="Z105" s="12" t="n">
        <f aca="false">-Cost_k*$A105+Beta_q*(Declarations!$B$16*INDEX(Y$21:Y$141,MAX(1,MIN(121,$B105-ROUND(Declarations!$A$16/$D$18,0))))+Declarations!$B$17*INDEX(Y$21:Y$141,MAX(1,MIN(121,$B105-ROUND(Declarations!$A$17/$D$18,0))))+Declarations!$B$18*INDEX(Y$21:Y$141,MAX(1,MIN(121,$B105-ROUND(Declarations!$A$18/$D$18,0))))+Declarations!$B$19*INDEX(Y$21:Y$141,MAX(1,MIN(121,$B105-ROUND(Declarations!$A$19/$D$18,0))))+Declarations!$B$20*INDEX(Y$21:Y$141,MAX(1,MIN(121,$B105-ROUND(Declarations!$A$20/$D$18,0)))))</f>
        <v>-244.001818907375</v>
      </c>
      <c r="AA105" s="12" t="n">
        <f aca="false">INDEX(Z$21:Z$141,$I105+1)*(1-$J105)+INDEX(Z$21:Z$141,$I105+2)*$J105</f>
        <v>-237.966524726202</v>
      </c>
      <c r="AB105" s="12" t="n">
        <f aca="false">INDEX(Z$21:Z$141,$K105+1)*(1-$L105)+INDEX(Z$21:Z$141,$K105+2)*$L105</f>
        <v>-247.900090287841</v>
      </c>
      <c r="AC105" s="12" t="n">
        <f aca="false">$C105+$D105+MAX(AA105,AB105,IF(COUNTIFS($A$21:$A$141,"&gt;="&amp;$G105,$A$21:$A$141,"&lt;="&amp;$H105)&gt;0,_xlfn.MAXIFS(Z$21:Z$141,$A$21:$A$141,"&gt;="&amp;$G105,$A$21:$A$141,"&lt;="&amp;$H105),AA105))</f>
        <v>-0.0665247262018909</v>
      </c>
      <c r="AD105" s="12" t="n">
        <f aca="false">-Cost_k*$A105+Beta_q*(Declarations!$B$16*INDEX(AC$21:AC$141,MAX(1,MIN(121,$B105-ROUND(Declarations!$A$16/$D$18,0))))+Declarations!$B$17*INDEX(AC$21:AC$141,MAX(1,MIN(121,$B105-ROUND(Declarations!$A$17/$D$18,0))))+Declarations!$B$18*INDEX(AC$21:AC$141,MAX(1,MIN(121,$B105-ROUND(Declarations!$A$18/$D$18,0))))+Declarations!$B$19*INDEX(AC$21:AC$141,MAX(1,MIN(121,$B105-ROUND(Declarations!$A$19/$D$18,0))))+Declarations!$B$20*INDEX(AC$21:AC$141,MAX(1,MIN(121,$B105-ROUND(Declarations!$A$20/$D$18,0)))))</f>
        <v>-244.107738729748</v>
      </c>
      <c r="AE105" s="12" t="n">
        <f aca="false">INDEX(AD$21:AD$141,$I105+1)*(1-$J105)+INDEX(AD$21:AD$141,$I105+2)*$J105</f>
        <v>-238.627845077981</v>
      </c>
      <c r="AF105" s="12" t="n">
        <f aca="false">INDEX(AD$21:AD$141,$K105+1)*(1-$L105)+INDEX(AD$21:AD$141,$K105+2)*$L105</f>
        <v>-247.92308335092</v>
      </c>
      <c r="AG105" s="12" t="n">
        <f aca="false">$C105+$D105+MAX(AE105,AF105,IF(COUNTIFS($A$21:$A$141,"&gt;="&amp;$G105,$A$21:$A$141,"&lt;="&amp;$H105)&gt;0,_xlfn.MAXIFS(AD$21:AD$141,$A$21:$A$141,"&gt;="&amp;$G105,$A$21:$A$141,"&lt;="&amp;$H105),AE105))</f>
        <v>-0.727845077981073</v>
      </c>
      <c r="AH105" s="12" t="n">
        <f aca="false">-Cost_k*$A105+Beta_q*(Declarations!$B$16*INDEX(AG$21:AG$141,MAX(1,MIN(121,$B105-ROUND(Declarations!$A$16/$D$18,0))))+Declarations!$B$17*INDEX(AG$21:AG$141,MAX(1,MIN(121,$B105-ROUND(Declarations!$A$17/$D$18,0))))+Declarations!$B$18*INDEX(AG$21:AG$141,MAX(1,MIN(121,$B105-ROUND(Declarations!$A$18/$D$18,0))))+Declarations!$B$19*INDEX(AG$21:AG$141,MAX(1,MIN(121,$B105-ROUND(Declarations!$A$19/$D$18,0))))+Declarations!$B$20*INDEX(AG$21:AG$141,MAX(1,MIN(121,$B105-ROUND(Declarations!$A$20/$D$18,0)))))</f>
        <v>-244.830514780263</v>
      </c>
      <c r="AI105" s="12" t="n">
        <f aca="false">INDEX(AH$21:AH$141,$I105+1)*(1-$J105)+INDEX(AH$21:AH$141,$I105+2)*$J105</f>
        <v>-240.62265901145</v>
      </c>
      <c r="AJ105" s="12" t="n">
        <f aca="false">INDEX(AH$21:AH$141,$K105+1)*(1-$L105)+INDEX(AH$21:AH$141,$K105+2)*$L105</f>
        <v>-248.216316213317</v>
      </c>
      <c r="AK105" s="12" t="n">
        <f aca="false">$C105+$D105+MAX(AI105,AJ105,IF(COUNTIFS($A$21:$A$141,"&gt;="&amp;$G105,$A$21:$A$141,"&lt;="&amp;$H105)&gt;0,_xlfn.MAXIFS(AH$21:AH$141,$A$21:$A$141,"&gt;="&amp;$G105,$A$21:$A$141,"&lt;="&amp;$H105),AI105))</f>
        <v>-2.72265901144971</v>
      </c>
      <c r="AL105" s="12" t="n">
        <f aca="false">-Cost_k*$A105+Beta_q*(Declarations!$B$16*INDEX(AK$21:AK$141,MAX(1,MIN(121,$B105-ROUND(Declarations!$A$16/$D$18,0))))+Declarations!$B$17*INDEX(AK$21:AK$141,MAX(1,MIN(121,$B105-ROUND(Declarations!$A$17/$D$18,0))))+Declarations!$B$18*INDEX(AK$21:AK$141,MAX(1,MIN(121,$B105-ROUND(Declarations!$A$18/$D$18,0))))+Declarations!$B$19*INDEX(AK$21:AK$141,MAX(1,MIN(121,$B105-ROUND(Declarations!$A$19/$D$18,0))))+Declarations!$B$20*INDEX(AK$21:AK$141,MAX(1,MIN(121,$B105-ROUND(Declarations!$A$20/$D$18,0)))))</f>
        <v>-246.820649459112</v>
      </c>
      <c r="AM105" s="12" t="n">
        <f aca="false">INDEX(AL$21:AL$141,$I105+1)*(1-$J105)+INDEX(AL$21:AL$141,$I105+2)*$J105</f>
        <v>-244.186899148314</v>
      </c>
      <c r="AN105" s="12" t="n">
        <f aca="false">INDEX(AL$21:AL$141,$K105+1)*(1-$L105)+INDEX(AL$21:AL$141,$K105+2)*$L105</f>
        <v>-249.378878096023</v>
      </c>
      <c r="AO105" s="12" t="n">
        <f aca="false">$C105+$D105+MAX(AM105,AN105,IF(COUNTIFS($A$21:$A$141,"&gt;="&amp;$G105,$A$21:$A$141,"&lt;="&amp;$H105)&gt;0,_xlfn.MAXIFS(AL$21:AL$141,$A$21:$A$141,"&gt;="&amp;$G105,$A$21:$A$141,"&lt;="&amp;$H105),AM105))</f>
        <v>-6.28689914831443</v>
      </c>
      <c r="AP105" s="12" t="n">
        <f aca="false">-Cost_k*$A105+Beta_q*(Declarations!$B$16*INDEX(AO$21:AO$141,MAX(1,MIN(121,$B105-ROUND(Declarations!$A$16/$D$18,0))))+Declarations!$B$17*INDEX(AO$21:AO$141,MAX(1,MIN(121,$B105-ROUND(Declarations!$A$17/$D$18,0))))+Declarations!$B$18*INDEX(AO$21:AO$141,MAX(1,MIN(121,$B105-ROUND(Declarations!$A$18/$D$18,0))))+Declarations!$B$19*INDEX(AO$21:AO$141,MAX(1,MIN(121,$B105-ROUND(Declarations!$A$19/$D$18,0))))+Declarations!$B$20*INDEX(AO$21:AO$141,MAX(1,MIN(121,$B105-ROUND(Declarations!$A$20/$D$18,0)))))</f>
        <v>-250.272946447968</v>
      </c>
      <c r="AQ105" s="12" t="n">
        <f aca="false">INDEX(AP$21:AP$141,$I105+1)*(1-$J105)+INDEX(AP$21:AP$141,$I105+2)*$J105</f>
        <v>-248.779135848534</v>
      </c>
      <c r="AR105" s="12" t="n">
        <f aca="false">INDEX(AP$21:AP$141,$K105+1)*(1-$L105)+INDEX(AP$21:AP$141,$K105+2)*$L105</f>
        <v>-251.901514178933</v>
      </c>
      <c r="AS105" s="12" t="n">
        <f aca="false">$C105+$D105+MAX(AQ105,AR105,IF(COUNTIFS($A$21:$A$141,"&gt;="&amp;$G105,$A$21:$A$141,"&lt;="&amp;$H105)&gt;0,_xlfn.MAXIFS(AP$21:AP$141,$A$21:$A$141,"&gt;="&amp;$G105,$A$21:$A$141,"&lt;="&amp;$H105),AQ105))</f>
        <v>-10.8791358485339</v>
      </c>
      <c r="AT105" s="12" t="n">
        <f aca="false">-Cost_k*$A105+Beta_q*(Declarations!$B$16*INDEX(AS$21:AS$141,MAX(1,MIN(121,$B105-ROUND(Declarations!$A$16/$D$18,0))))+Declarations!$B$17*INDEX(AS$21:AS$141,MAX(1,MIN(121,$B105-ROUND(Declarations!$A$17/$D$18,0))))+Declarations!$B$18*INDEX(AS$21:AS$141,MAX(1,MIN(121,$B105-ROUND(Declarations!$A$18/$D$18,0))))+Declarations!$B$19*INDEX(AS$21:AS$141,MAX(1,MIN(121,$B105-ROUND(Declarations!$A$19/$D$18,0))))+Declarations!$B$20*INDEX(AS$21:AS$141,MAX(1,MIN(121,$B105-ROUND(Declarations!$A$20/$D$18,0)))))</f>
        <v>-254.687224726675</v>
      </c>
      <c r="AU105" s="12" t="n">
        <f aca="false">INDEX(AT$21:AT$141,$I105+1)*(1-$J105)+INDEX(AT$21:AT$141,$I105+2)*$J105</f>
        <v>-253.625890448701</v>
      </c>
      <c r="AV105" s="12" t="n">
        <f aca="false">INDEX(AT$21:AT$141,$K105+1)*(1-$L105)+INDEX(AT$21:AT$141,$K105+2)*$L105</f>
        <v>-255.707756139465</v>
      </c>
      <c r="AW105" s="12" t="n">
        <f aca="false">$C105+$D105+MAX(AU105,AV105,IF(COUNTIFS($A$21:$A$141,"&gt;="&amp;$G105,$A$21:$A$141,"&lt;="&amp;$H105)&gt;0,_xlfn.MAXIFS(AT$21:AT$141,$A$21:$A$141,"&gt;="&amp;$G105,$A$21:$A$141,"&lt;="&amp;$H105),AU105))</f>
        <v>-15.7258904487005</v>
      </c>
      <c r="AX105" s="12" t="n">
        <f aca="false">-Cost_k*$A105+Beta_q*(Declarations!$B$16*INDEX(AW$21:AW$141,MAX(1,MIN(121,$B105-ROUND(Declarations!$A$16/$D$18,0))))+Declarations!$B$17*INDEX(AW$21:AW$141,MAX(1,MIN(121,$B105-ROUND(Declarations!$A$17/$D$18,0))))+Declarations!$B$18*INDEX(AW$21:AW$141,MAX(1,MIN(121,$B105-ROUND(Declarations!$A$18/$D$18,0))))+Declarations!$B$19*INDEX(AW$21:AW$141,MAX(1,MIN(121,$B105-ROUND(Declarations!$A$19/$D$18,0))))+Declarations!$B$20*INDEX(AW$21:AW$141,MAX(1,MIN(121,$B105-ROUND(Declarations!$A$20/$D$18,0)))))</f>
        <v>-259.388058070786</v>
      </c>
      <c r="AY105" s="12" t="n">
        <f aca="false">INDEX(AX$21:AX$141,$I105+1)*(1-$J105)+INDEX(AX$21:AX$141,$I105+2)*$J105</f>
        <v>-258.427377793642</v>
      </c>
      <c r="AZ105" s="12" t="n">
        <f aca="false">INDEX(AX$21:AX$141,$K105+1)*(1-$L105)+INDEX(AX$21:AX$141,$K105+2)*$L105</f>
        <v>-260.185514054498</v>
      </c>
      <c r="BA105" s="12" t="n">
        <f aca="false">$C105+$D105+MAX(AY105,AZ105,IF(COUNTIFS($A$21:$A$141,"&gt;="&amp;$G105,$A$21:$A$141,"&lt;="&amp;$H105)&gt;0,_xlfn.MAXIFS(AX$21:AX$141,$A$21:$A$141,"&gt;="&amp;$G105,$A$21:$A$141,"&lt;="&amp;$H105),AY105))</f>
        <v>-20.5273777936416</v>
      </c>
      <c r="BB105" s="12" t="n">
        <f aca="false">-Cost_k*$A105+Beta_q*(Declarations!$B$16*INDEX(BA$21:BA$141,MAX(1,MIN(121,$B105-ROUND(Declarations!$A$16/$D$18,0))))+Declarations!$B$17*INDEX(BA$21:BA$141,MAX(1,MIN(121,$B105-ROUND(Declarations!$A$17/$D$18,0))))+Declarations!$B$18*INDEX(BA$21:BA$141,MAX(1,MIN(121,$B105-ROUND(Declarations!$A$18/$D$18,0))))+Declarations!$B$19*INDEX(BA$21:BA$141,MAX(1,MIN(121,$B105-ROUND(Declarations!$A$19/$D$18,0))))+Declarations!$B$20*INDEX(BA$21:BA$141,MAX(1,MIN(121,$B105-ROUND(Declarations!$A$20/$D$18,0)))))</f>
        <v>-264.069020007185</v>
      </c>
      <c r="BC105" s="12" t="n">
        <f aca="false">INDEX(BB$21:BB$141,$I105+1)*(1-$J105)+INDEX(BB$21:BB$141,$I105+2)*$J105</f>
        <v>-263.125656357257</v>
      </c>
      <c r="BD105" s="12" t="n">
        <f aca="false">INDEX(BB$21:BB$141,$K105+1)*(1-$L105)+INDEX(BB$21:BB$141,$K105+2)*$L105</f>
        <v>-264.813106860131</v>
      </c>
      <c r="BE105" s="12" t="n">
        <f aca="false">$C105+$D105+MAX(BC105,BD105,IF(COUNTIFS($A$21:$A$141,"&gt;="&amp;$G105,$A$21:$A$141,"&lt;="&amp;$H105)&gt;0,_xlfn.MAXIFS(BB$21:BB$141,$A$21:$A$141,"&gt;="&amp;$G105,$A$21:$A$141,"&lt;="&amp;$H105),BC105))</f>
        <v>-25.225656357257</v>
      </c>
      <c r="BF105" s="12" t="n">
        <f aca="false">-Cost_k*$A105+Beta_q*(Declarations!$B$16*INDEX(BE$21:BE$141,MAX(1,MIN(121,$B105-ROUND(Declarations!$A$16/$D$18,0))))+Declarations!$B$17*INDEX(BE$21:BE$141,MAX(1,MIN(121,$B105-ROUND(Declarations!$A$17/$D$18,0))))+Declarations!$B$18*INDEX(BE$21:BE$141,MAX(1,MIN(121,$B105-ROUND(Declarations!$A$18/$D$18,0))))+Declarations!$B$19*INDEX(BE$21:BE$141,MAX(1,MIN(121,$B105-ROUND(Declarations!$A$19/$D$18,0))))+Declarations!$B$20*INDEX(BE$21:BE$141,MAX(1,MIN(121,$B105-ROUND(Declarations!$A$20/$D$18,0)))))</f>
        <v>-268.655415333791</v>
      </c>
      <c r="BG105" s="12" t="n">
        <f aca="false">INDEX(BF$21:BF$141,$I105+1)*(1-$J105)+INDEX(BF$21:BF$141,$I105+2)*$J105</f>
        <v>-267.714506046385</v>
      </c>
      <c r="BH105" s="12" t="n">
        <f aca="false">INDEX(BF$21:BF$141,$K105+1)*(1-$L105)+INDEX(BF$21:BF$141,$K105+2)*$L105</f>
        <v>-269.389875362904</v>
      </c>
      <c r="BI105" s="12" t="n">
        <f aca="false">$C105+$D105+MAX(BG105,BH105,IF(COUNTIFS($A$21:$A$141,"&gt;="&amp;$G105,$A$21:$A$141,"&lt;="&amp;$H105)&gt;0,_xlfn.MAXIFS(BF$21:BF$141,$A$21:$A$141,"&gt;="&amp;$G105,$A$21:$A$141,"&lt;="&amp;$H105),BG105))</f>
        <v>-29.8145060463853</v>
      </c>
      <c r="BJ105" s="23" t="n">
        <v>-29.8145060463853</v>
      </c>
      <c r="BK105" s="22" t="n">
        <f aca="false">ABS(BI105-BJ105)</f>
        <v>0</v>
      </c>
    </row>
    <row r="106" customFormat="false" ht="15" hidden="false" customHeight="false" outlineLevel="0" collapsed="false">
      <c r="A106" s="14" t="n">
        <f aca="false">A105+$D$18</f>
        <v>61.25</v>
      </c>
      <c r="B106" s="19" t="n">
        <v>86</v>
      </c>
      <c r="C106" s="12" t="n">
        <f aca="false">-Short_p*MAX(Floor_c-A106,0)</f>
        <v>-0</v>
      </c>
      <c r="D106" s="12" t="n">
        <f aca="false">Cost_k*Alpha_keep*A106</f>
        <v>238.875</v>
      </c>
      <c r="E106" s="12" t="n">
        <f aca="false">MIN(Cap_h,MAX(0,$B$18+MAX(Loss_w)-Alpha_keep*A106))</f>
        <v>0</v>
      </c>
      <c r="F106" s="12" t="n">
        <f aca="false">MAX(MIN(Cap_h,$F$18+MIN(Loss_w)-Alpha_keep*A106),E106)</f>
        <v>2.5</v>
      </c>
      <c r="G106" s="12" t="n">
        <f aca="false">Alpha_keep*A106+E106</f>
        <v>59.71875</v>
      </c>
      <c r="H106" s="12" t="n">
        <f aca="false">Alpha_keep*A106+F106</f>
        <v>62.21875</v>
      </c>
      <c r="I106" s="19" t="n">
        <f aca="false">MIN(INT((G106-$B$18)/$D$18+0.000000001),119)</f>
        <v>78</v>
      </c>
      <c r="J106" s="12" t="n">
        <f aca="false">(G106-$B$18)/$D$18-I106</f>
        <v>0.875</v>
      </c>
      <c r="K106" s="19" t="n">
        <f aca="false">MIN(INT((H106-$B$18)/$D$18+0.000000001),119)</f>
        <v>88</v>
      </c>
      <c r="L106" s="12" t="n">
        <f aca="false">(H106-$B$18)/$D$18-K106</f>
        <v>0.875</v>
      </c>
      <c r="M106" s="9" t="n">
        <v>0</v>
      </c>
      <c r="N106" s="12" t="n">
        <f aca="false">-Cost_k*$A106+Beta_q*(Declarations!$B$16*INDEX(M$21:M$141,MAX(1,MIN(121,$B106-ROUND(Declarations!$A$16/$D$18,0))))+Declarations!$B$17*INDEX(M$21:M$141,MAX(1,MIN(121,$B106-ROUND(Declarations!$A$17/$D$18,0))))+Declarations!$B$18*INDEX(M$21:M$141,MAX(1,MIN(121,$B106-ROUND(Declarations!$A$18/$D$18,0))))+Declarations!$B$19*INDEX(M$21:M$141,MAX(1,MIN(121,$B106-ROUND(Declarations!$A$19/$D$18,0))))+Declarations!$B$20*INDEX(M$21:M$141,MAX(1,MIN(121,$B106-ROUND(Declarations!$A$20/$D$18,0)))))</f>
        <v>-245</v>
      </c>
      <c r="O106" s="12" t="n">
        <f aca="false">INDEX(N$21:N$141,$I106+1)*(1-$J106)+INDEX(N$21:N$141,$I106+2)*$J106</f>
        <v>-238.875</v>
      </c>
      <c r="P106" s="12" t="n">
        <f aca="false">INDEX(N$21:N$141,$K106+1)*(1-$L106)+INDEX(N$21:N$141,$K106+2)*$L106</f>
        <v>-248.875</v>
      </c>
      <c r="Q106" s="12" t="n">
        <f aca="false">$C106+$D106+MAX(O106,P106,IF(COUNTIFS($A$21:$A$141,"&gt;="&amp;$G106,$A$21:$A$141,"&lt;="&amp;$H106)&gt;0,_xlfn.MAXIFS(N$21:N$141,$A$21:$A$141,"&gt;="&amp;$G106,$A$21:$A$141,"&lt;="&amp;$H106),O106))</f>
        <v>0</v>
      </c>
      <c r="R106" s="12" t="n">
        <f aca="false">-Cost_k*$A106+Beta_q*(Declarations!$B$16*INDEX(Q$21:Q$141,MAX(1,MIN(121,$B106-ROUND(Declarations!$A$16/$D$18,0))))+Declarations!$B$17*INDEX(Q$21:Q$141,MAX(1,MIN(121,$B106-ROUND(Declarations!$A$17/$D$18,0))))+Declarations!$B$18*INDEX(Q$21:Q$141,MAX(1,MIN(121,$B106-ROUND(Declarations!$A$18/$D$18,0))))+Declarations!$B$19*INDEX(Q$21:Q$141,MAX(1,MIN(121,$B106-ROUND(Declarations!$A$19/$D$18,0))))+Declarations!$B$20*INDEX(Q$21:Q$141,MAX(1,MIN(121,$B106-ROUND(Declarations!$A$20/$D$18,0)))))</f>
        <v>-245</v>
      </c>
      <c r="S106" s="12" t="n">
        <f aca="false">INDEX(R$21:R$141,$I106+1)*(1-$J106)+INDEX(R$21:R$141,$I106+2)*$J106</f>
        <v>-238.875</v>
      </c>
      <c r="T106" s="12" t="n">
        <f aca="false">INDEX(R$21:R$141,$K106+1)*(1-$L106)+INDEX(R$21:R$141,$K106+2)*$L106</f>
        <v>-248.875</v>
      </c>
      <c r="U106" s="12" t="n">
        <f aca="false">$C106+$D106+MAX(S106,T106,IF(COUNTIFS($A$21:$A$141,"&gt;="&amp;$G106,$A$21:$A$141,"&lt;="&amp;$H106)&gt;0,_xlfn.MAXIFS(R$21:R$141,$A$21:$A$141,"&gt;="&amp;$G106,$A$21:$A$141,"&lt;="&amp;$H106),S106))</f>
        <v>0</v>
      </c>
      <c r="V106" s="12" t="n">
        <f aca="false">-Cost_k*$A106+Beta_q*(Declarations!$B$16*INDEX(U$21:U$141,MAX(1,MIN(121,$B106-ROUND(Declarations!$A$16/$D$18,0))))+Declarations!$B$17*INDEX(U$21:U$141,MAX(1,MIN(121,$B106-ROUND(Declarations!$A$17/$D$18,0))))+Declarations!$B$18*INDEX(U$21:U$141,MAX(1,MIN(121,$B106-ROUND(Declarations!$A$18/$D$18,0))))+Declarations!$B$19*INDEX(U$21:U$141,MAX(1,MIN(121,$B106-ROUND(Declarations!$A$19/$D$18,0))))+Declarations!$B$20*INDEX(U$21:U$141,MAX(1,MIN(121,$B106-ROUND(Declarations!$A$20/$D$18,0)))))</f>
        <v>-245</v>
      </c>
      <c r="W106" s="12" t="n">
        <f aca="false">INDEX(V$21:V$141,$I106+1)*(1-$J106)+INDEX(V$21:V$141,$I106+2)*$J106</f>
        <v>-238.875</v>
      </c>
      <c r="X106" s="12" t="n">
        <f aca="false">INDEX(V$21:V$141,$K106+1)*(1-$L106)+INDEX(V$21:V$141,$K106+2)*$L106</f>
        <v>-248.875</v>
      </c>
      <c r="Y106" s="12" t="n">
        <f aca="false">$C106+$D106+MAX(W106,X106,IF(COUNTIFS($A$21:$A$141,"&gt;="&amp;$G106,$A$21:$A$141,"&lt;="&amp;$H106)&gt;0,_xlfn.MAXIFS(V$21:V$141,$A$21:$A$141,"&gt;="&amp;$G106,$A$21:$A$141,"&lt;="&amp;$H106),W106))</f>
        <v>0</v>
      </c>
      <c r="Z106" s="12" t="n">
        <f aca="false">-Cost_k*$A106+Beta_q*(Declarations!$B$16*INDEX(Y$21:Y$141,MAX(1,MIN(121,$B106-ROUND(Declarations!$A$16/$D$18,0))))+Declarations!$B$17*INDEX(Y$21:Y$141,MAX(1,MIN(121,$B106-ROUND(Declarations!$A$17/$D$18,0))))+Declarations!$B$18*INDEX(Y$21:Y$141,MAX(1,MIN(121,$B106-ROUND(Declarations!$A$18/$D$18,0))))+Declarations!$B$19*INDEX(Y$21:Y$141,MAX(1,MIN(121,$B106-ROUND(Declarations!$A$19/$D$18,0))))+Declarations!$B$20*INDEX(Y$21:Y$141,MAX(1,MIN(121,$B106-ROUND(Declarations!$A$20/$D$18,0)))))</f>
        <v>-245.001180087368</v>
      </c>
      <c r="AA106" s="12" t="n">
        <f aca="false">INDEX(Z$21:Z$141,$I106+1)*(1-$J106)+INDEX(Z$21:Z$141,$I106+2)*$J106</f>
        <v>-238.921442606604</v>
      </c>
      <c r="AB106" s="12" t="n">
        <f aca="false">INDEX(Z$21:Z$141,$K106+1)*(1-$L106)+INDEX(Z$21:Z$141,$K106+2)*$L106</f>
        <v>-248.87504501227</v>
      </c>
      <c r="AC106" s="12" t="n">
        <f aca="false">$C106+$D106+MAX(AA106,AB106,IF(COUNTIFS($A$21:$A$141,"&gt;="&amp;$G106,$A$21:$A$141,"&lt;="&amp;$H106)&gt;0,_xlfn.MAXIFS(Z$21:Z$141,$A$21:$A$141,"&gt;="&amp;$G106,$A$21:$A$141,"&lt;="&amp;$H106),AA106))</f>
        <v>-0.0464426066037049</v>
      </c>
      <c r="AD106" s="12" t="n">
        <f aca="false">-Cost_k*$A106+Beta_q*(Declarations!$B$16*INDEX(AC$21:AC$141,MAX(1,MIN(121,$B106-ROUND(Declarations!$A$16/$D$18,0))))+Declarations!$B$17*INDEX(AC$21:AC$141,MAX(1,MIN(121,$B106-ROUND(Declarations!$A$17/$D$18,0))))+Declarations!$B$18*INDEX(AC$21:AC$141,MAX(1,MIN(121,$B106-ROUND(Declarations!$A$18/$D$18,0))))+Declarations!$B$19*INDEX(AC$21:AC$141,MAX(1,MIN(121,$B106-ROUND(Declarations!$A$19/$D$18,0))))+Declarations!$B$20*INDEX(AC$21:AC$141,MAX(1,MIN(121,$B106-ROUND(Declarations!$A$20/$D$18,0)))))</f>
        <v>-245.078936396707</v>
      </c>
      <c r="AE106" s="12" t="n">
        <f aca="false">INDEX(AD$21:AD$141,$I106+1)*(1-$J106)+INDEX(AD$21:AD$141,$I106+2)*$J106</f>
        <v>-239.451867285523</v>
      </c>
      <c r="AF106" s="12" t="n">
        <f aca="false">INDEX(AD$21:AD$141,$K106+1)*(1-$L106)+INDEX(AD$21:AD$141,$K106+2)*$L106</f>
        <v>-248.890036169048</v>
      </c>
      <c r="AG106" s="12" t="n">
        <f aca="false">$C106+$D106+MAX(AE106,AF106,IF(COUNTIFS($A$21:$A$141,"&gt;="&amp;$G106,$A$21:$A$141,"&lt;="&amp;$H106)&gt;0,_xlfn.MAXIFS(AD$21:AD$141,$A$21:$A$141,"&gt;="&amp;$G106,$A$21:$A$141,"&lt;="&amp;$H106),AE106))</f>
        <v>-0.576867285523264</v>
      </c>
      <c r="AH106" s="12" t="n">
        <f aca="false">-Cost_k*$A106+Beta_q*(Declarations!$B$16*INDEX(AG$21:AG$141,MAX(1,MIN(121,$B106-ROUND(Declarations!$A$16/$D$18,0))))+Declarations!$B$17*INDEX(AG$21:AG$141,MAX(1,MIN(121,$B106-ROUND(Declarations!$A$17/$D$18,0))))+Declarations!$B$18*INDEX(AG$21:AG$141,MAX(1,MIN(121,$B106-ROUND(Declarations!$A$18/$D$18,0))))+Declarations!$B$19*INDEX(AG$21:AG$141,MAX(1,MIN(121,$B106-ROUND(Declarations!$A$19/$D$18,0))))+Declarations!$B$20*INDEX(AG$21:AG$141,MAX(1,MIN(121,$B106-ROUND(Declarations!$A$20/$D$18,0)))))</f>
        <v>-245.670067504249</v>
      </c>
      <c r="AI106" s="12" t="n">
        <f aca="false">INDEX(AH$21:AH$141,$I106+1)*(1-$J106)+INDEX(AH$21:AH$141,$I106+2)*$J106</f>
        <v>-241.203394483485</v>
      </c>
      <c r="AJ106" s="12" t="n">
        <f aca="false">INDEX(AH$21:AH$141,$K106+1)*(1-$L106)+INDEX(AH$21:AH$141,$K106+2)*$L106</f>
        <v>-249.114602280503</v>
      </c>
      <c r="AK106" s="12" t="n">
        <f aca="false">$C106+$D106+MAX(AI106,AJ106,IF(COUNTIFS($A$21:$A$141,"&gt;="&amp;$G106,$A$21:$A$141,"&lt;="&amp;$H106)&gt;0,_xlfn.MAXIFS(AH$21:AH$141,$A$21:$A$141,"&gt;="&amp;$G106,$A$21:$A$141,"&lt;="&amp;$H106),AI106))</f>
        <v>-2.32839448348531</v>
      </c>
      <c r="AL106" s="12" t="n">
        <f aca="false">-Cost_k*$A106+Beta_q*(Declarations!$B$16*INDEX(AK$21:AK$141,MAX(1,MIN(121,$B106-ROUND(Declarations!$A$16/$D$18,0))))+Declarations!$B$17*INDEX(AK$21:AK$141,MAX(1,MIN(121,$B106-ROUND(Declarations!$A$17/$D$18,0))))+Declarations!$B$18*INDEX(AK$21:AK$141,MAX(1,MIN(121,$B106-ROUND(Declarations!$A$18/$D$18,0))))+Declarations!$B$19*INDEX(AK$21:AK$141,MAX(1,MIN(121,$B106-ROUND(Declarations!$A$19/$D$18,0))))+Declarations!$B$20*INDEX(AK$21:AK$141,MAX(1,MIN(121,$B106-ROUND(Declarations!$A$20/$D$18,0)))))</f>
        <v>-247.429143637203</v>
      </c>
      <c r="AM106" s="12" t="n">
        <f aca="false">INDEX(AL$21:AL$141,$I106+1)*(1-$J106)+INDEX(AL$21:AL$141,$I106+2)*$J106</f>
        <v>-244.511134247173</v>
      </c>
      <c r="AN106" s="12" t="n">
        <f aca="false">INDEX(AL$21:AL$141,$K106+1)*(1-$L106)+INDEX(AL$21:AL$141,$K106+2)*$L106</f>
        <v>-250.105000737003</v>
      </c>
      <c r="AO106" s="12" t="n">
        <f aca="false">$C106+$D106+MAX(AM106,AN106,IF(COUNTIFS($A$21:$A$141,"&gt;="&amp;$G106,$A$21:$A$141,"&lt;="&amp;$H106)&gt;0,_xlfn.MAXIFS(AL$21:AL$141,$A$21:$A$141,"&gt;="&amp;$G106,$A$21:$A$141,"&lt;="&amp;$H106),AM106))</f>
        <v>-5.63613424717323</v>
      </c>
      <c r="AP106" s="12" t="n">
        <f aca="false">-Cost_k*$A106+Beta_q*(Declarations!$B$16*INDEX(AO$21:AO$141,MAX(1,MIN(121,$B106-ROUND(Declarations!$A$16/$D$18,0))))+Declarations!$B$17*INDEX(AO$21:AO$141,MAX(1,MIN(121,$B106-ROUND(Declarations!$A$17/$D$18,0))))+Declarations!$B$18*INDEX(AO$21:AO$141,MAX(1,MIN(121,$B106-ROUND(Declarations!$A$18/$D$18,0))))+Declarations!$B$19*INDEX(AO$21:AO$141,MAX(1,MIN(121,$B106-ROUND(Declarations!$A$19/$D$18,0))))+Declarations!$B$20*INDEX(AO$21:AO$141,MAX(1,MIN(121,$B106-ROUND(Declarations!$A$20/$D$18,0)))))</f>
        <v>-250.64356559649</v>
      </c>
      <c r="AQ106" s="12" t="n">
        <f aca="false">INDEX(AP$21:AP$141,$I106+1)*(1-$J106)+INDEX(AP$21:AP$141,$I106+2)*$J106</f>
        <v>-248.961103474743</v>
      </c>
      <c r="AR106" s="12" t="n">
        <f aca="false">INDEX(AP$21:AP$141,$K106+1)*(1-$L106)+INDEX(AP$21:AP$141,$K106+2)*$L106</f>
        <v>-252.398293318725</v>
      </c>
      <c r="AS106" s="12" t="n">
        <f aca="false">$C106+$D106+MAX(AQ106,AR106,IF(COUNTIFS($A$21:$A$141,"&gt;="&amp;$G106,$A$21:$A$141,"&lt;="&amp;$H106)&gt;0,_xlfn.MAXIFS(AP$21:AP$141,$A$21:$A$141,"&gt;="&amp;$G106,$A$21:$A$141,"&lt;="&amp;$H106),AQ106))</f>
        <v>-10.0861034747434</v>
      </c>
      <c r="AT106" s="12" t="n">
        <f aca="false">-Cost_k*$A106+Beta_q*(Declarations!$B$16*INDEX(AS$21:AS$141,MAX(1,MIN(121,$B106-ROUND(Declarations!$A$16/$D$18,0))))+Declarations!$B$17*INDEX(AS$21:AS$141,MAX(1,MIN(121,$B106-ROUND(Declarations!$A$17/$D$18,0))))+Declarations!$B$18*INDEX(AS$21:AS$141,MAX(1,MIN(121,$B106-ROUND(Declarations!$A$18/$D$18,0))))+Declarations!$B$19*INDEX(AS$21:AS$141,MAX(1,MIN(121,$B106-ROUND(Declarations!$A$19/$D$18,0))))+Declarations!$B$20*INDEX(AS$21:AS$141,MAX(1,MIN(121,$B106-ROUND(Declarations!$A$20/$D$18,0)))))</f>
        <v>-254.921591825423</v>
      </c>
      <c r="AU106" s="12" t="n">
        <f aca="false">INDEX(AT$21:AT$141,$I106+1)*(1-$J106)+INDEX(AT$21:AT$141,$I106+2)*$J106</f>
        <v>-253.7701046743</v>
      </c>
      <c r="AV106" s="12" t="n">
        <f aca="false">INDEX(AT$21:AT$141,$K106+1)*(1-$L106)+INDEX(AT$21:AT$141,$K106+2)*$L106</f>
        <v>-256.01937742187</v>
      </c>
      <c r="AW106" s="12" t="n">
        <f aca="false">$C106+$D106+MAX(AU106,AV106,IF(COUNTIFS($A$21:$A$141,"&gt;="&amp;$G106,$A$21:$A$141,"&lt;="&amp;$H106)&gt;0,_xlfn.MAXIFS(AT$21:AT$141,$A$21:$A$141,"&gt;="&amp;$G106,$A$21:$A$141,"&lt;="&amp;$H106),AU106))</f>
        <v>-14.8951046742999</v>
      </c>
      <c r="AX106" s="12" t="n">
        <f aca="false">-Cost_k*$A106+Beta_q*(Declarations!$B$16*INDEX(AW$21:AW$141,MAX(1,MIN(121,$B106-ROUND(Declarations!$A$16/$D$18,0))))+Declarations!$B$17*INDEX(AW$21:AW$141,MAX(1,MIN(121,$B106-ROUND(Declarations!$A$17/$D$18,0))))+Declarations!$B$18*INDEX(AW$21:AW$141,MAX(1,MIN(121,$B106-ROUND(Declarations!$A$18/$D$18,0))))+Declarations!$B$19*INDEX(AW$21:AW$141,MAX(1,MIN(121,$B106-ROUND(Declarations!$A$19/$D$18,0))))+Declarations!$B$20*INDEX(AW$21:AW$141,MAX(1,MIN(121,$B106-ROUND(Declarations!$A$20/$D$18,0)))))</f>
        <v>-259.579708145468</v>
      </c>
      <c r="AY106" s="12" t="n">
        <f aca="false">INDEX(AX$21:AX$141,$I106+1)*(1-$J106)+INDEX(AX$21:AX$141,$I106+2)*$J106</f>
        <v>-258.56505798501</v>
      </c>
      <c r="AZ106" s="12" t="n">
        <f aca="false">INDEX(AX$21:AX$141,$K106+1)*(1-$L106)+INDEX(AX$21:AX$141,$K106+2)*$L106</f>
        <v>-260.412749390557</v>
      </c>
      <c r="BA106" s="12" t="n">
        <f aca="false">$C106+$D106+MAX(AY106,AZ106,IF(COUNTIFS($A$21:$A$141,"&gt;="&amp;$G106,$A$21:$A$141,"&lt;="&amp;$H106)&gt;0,_xlfn.MAXIFS(AX$21:AX$141,$A$21:$A$141,"&gt;="&amp;$G106,$A$21:$A$141,"&lt;="&amp;$H106),AY106))</f>
        <v>-19.6900579850097</v>
      </c>
      <c r="BB106" s="12" t="n">
        <f aca="false">-Cost_k*$A106+Beta_q*(Declarations!$B$16*INDEX(BA$21:BA$141,MAX(1,MIN(121,$B106-ROUND(Declarations!$A$16/$D$18,0))))+Declarations!$B$17*INDEX(BA$21:BA$141,MAX(1,MIN(121,$B106-ROUND(Declarations!$A$17/$D$18,0))))+Declarations!$B$18*INDEX(BA$21:BA$141,MAX(1,MIN(121,$B106-ROUND(Declarations!$A$18/$D$18,0))))+Declarations!$B$19*INDEX(BA$21:BA$141,MAX(1,MIN(121,$B106-ROUND(Declarations!$A$19/$D$18,0))))+Declarations!$B$20*INDEX(BA$21:BA$141,MAX(1,MIN(121,$B106-ROUND(Declarations!$A$20/$D$18,0)))))</f>
        <v>-264.251755219046</v>
      </c>
      <c r="BC106" s="12" t="n">
        <f aca="false">INDEX(BB$21:BB$141,$I106+1)*(1-$J106)+INDEX(BB$21:BB$141,$I106+2)*$J106</f>
        <v>-263.262445351546</v>
      </c>
      <c r="BD106" s="12" t="n">
        <f aca="false">INDEX(BB$21:BB$141,$K106+1)*(1-$L106)+INDEX(BB$21:BB$141,$K106+2)*$L106</f>
        <v>-265.016506551172</v>
      </c>
      <c r="BE106" s="12" t="n">
        <f aca="false">$C106+$D106+MAX(BC106,BD106,IF(COUNTIFS($A$21:$A$141,"&gt;="&amp;$G106,$A$21:$A$141,"&lt;="&amp;$H106)&gt;0,_xlfn.MAXIFS(BB$21:BB$141,$A$21:$A$141,"&gt;="&amp;$G106,$A$21:$A$141,"&lt;="&amp;$H106),BC106))</f>
        <v>-24.3874453515457</v>
      </c>
      <c r="BF106" s="12" t="n">
        <f aca="false">-Cost_k*$A106+Beta_q*(Declarations!$B$16*INDEX(BE$21:BE$141,MAX(1,MIN(121,$B106-ROUND(Declarations!$A$16/$D$18,0))))+Declarations!$B$17*INDEX(BE$21:BE$141,MAX(1,MIN(121,$B106-ROUND(Declarations!$A$17/$D$18,0))))+Declarations!$B$18*INDEX(BE$21:BE$141,MAX(1,MIN(121,$B106-ROUND(Declarations!$A$18/$D$18,0))))+Declarations!$B$19*INDEX(BE$21:BE$141,MAX(1,MIN(121,$B106-ROUND(Declarations!$A$19/$D$18,0))))+Declarations!$B$20*INDEX(BE$21:BE$141,MAX(1,MIN(121,$B106-ROUND(Declarations!$A$20/$D$18,0)))))</f>
        <v>-268.83671219188</v>
      </c>
      <c r="BG106" s="12" t="n">
        <f aca="false">INDEX(BF$21:BF$141,$I106+1)*(1-$J106)+INDEX(BF$21:BF$141,$I106+2)*$J106</f>
        <v>-267.851189303753</v>
      </c>
      <c r="BH106" s="12" t="n">
        <f aca="false">INDEX(BF$21:BF$141,$K106+1)*(1-$L106)+INDEX(BF$21:BF$141,$K106+2)*$L106</f>
        <v>-269.588410161257</v>
      </c>
      <c r="BI106" s="12" t="n">
        <f aca="false">$C106+$D106+MAX(BG106,BH106,IF(COUNTIFS($A$21:$A$141,"&gt;="&amp;$G106,$A$21:$A$141,"&lt;="&amp;$H106)&gt;0,_xlfn.MAXIFS(BF$21:BF$141,$A$21:$A$141,"&gt;="&amp;$G106,$A$21:$A$141,"&lt;="&amp;$H106),BG106))</f>
        <v>-28.9761893037532</v>
      </c>
      <c r="BJ106" s="23" t="n">
        <v>-28.9761893037531</v>
      </c>
      <c r="BK106" s="22" t="n">
        <f aca="false">ABS(BI106-BJ106)</f>
        <v>0</v>
      </c>
    </row>
    <row r="107" customFormat="false" ht="15" hidden="false" customHeight="false" outlineLevel="0" collapsed="false">
      <c r="A107" s="14" t="n">
        <f aca="false">A106+$D$18</f>
        <v>61.5</v>
      </c>
      <c r="B107" s="19" t="n">
        <v>87</v>
      </c>
      <c r="C107" s="12" t="n">
        <f aca="false">-Short_p*MAX(Floor_c-A107,0)</f>
        <v>-0</v>
      </c>
      <c r="D107" s="12" t="n">
        <f aca="false">Cost_k*Alpha_keep*A107</f>
        <v>239.85</v>
      </c>
      <c r="E107" s="12" t="n">
        <f aca="false">MIN(Cap_h,MAX(0,$B$18+MAX(Loss_w)-Alpha_keep*A107))</f>
        <v>0</v>
      </c>
      <c r="F107" s="12" t="n">
        <f aca="false">MAX(MIN(Cap_h,$F$18+MIN(Loss_w)-Alpha_keep*A107),E107)</f>
        <v>2.5</v>
      </c>
      <c r="G107" s="12" t="n">
        <f aca="false">Alpha_keep*A107+E107</f>
        <v>59.9625</v>
      </c>
      <c r="H107" s="12" t="n">
        <f aca="false">Alpha_keep*A107+F107</f>
        <v>62.4625</v>
      </c>
      <c r="I107" s="19" t="n">
        <f aca="false">MIN(INT((G107-$B$18)/$D$18+0.000000001),119)</f>
        <v>79</v>
      </c>
      <c r="J107" s="12" t="n">
        <f aca="false">(G107-$B$18)/$D$18-I107</f>
        <v>0.849999999999994</v>
      </c>
      <c r="K107" s="19" t="n">
        <f aca="false">MIN(INT((H107-$B$18)/$D$18+0.000000001),119)</f>
        <v>89</v>
      </c>
      <c r="L107" s="12" t="n">
        <f aca="false">(H107-$B$18)/$D$18-K107</f>
        <v>0.849999999999994</v>
      </c>
      <c r="M107" s="9" t="n">
        <v>0</v>
      </c>
      <c r="N107" s="12" t="n">
        <f aca="false">-Cost_k*$A107+Beta_q*(Declarations!$B$16*INDEX(M$21:M$141,MAX(1,MIN(121,$B107-ROUND(Declarations!$A$16/$D$18,0))))+Declarations!$B$17*INDEX(M$21:M$141,MAX(1,MIN(121,$B107-ROUND(Declarations!$A$17/$D$18,0))))+Declarations!$B$18*INDEX(M$21:M$141,MAX(1,MIN(121,$B107-ROUND(Declarations!$A$18/$D$18,0))))+Declarations!$B$19*INDEX(M$21:M$141,MAX(1,MIN(121,$B107-ROUND(Declarations!$A$19/$D$18,0))))+Declarations!$B$20*INDEX(M$21:M$141,MAX(1,MIN(121,$B107-ROUND(Declarations!$A$20/$D$18,0)))))</f>
        <v>-246</v>
      </c>
      <c r="O107" s="12" t="n">
        <f aca="false">INDEX(N$21:N$141,$I107+1)*(1-$J107)+INDEX(N$21:N$141,$I107+2)*$J107</f>
        <v>-239.85</v>
      </c>
      <c r="P107" s="12" t="n">
        <f aca="false">INDEX(N$21:N$141,$K107+1)*(1-$L107)+INDEX(N$21:N$141,$K107+2)*$L107</f>
        <v>-249.85</v>
      </c>
      <c r="Q107" s="12" t="n">
        <f aca="false">$C107+$D107+MAX(O107,P107,IF(COUNTIFS($A$21:$A$141,"&gt;="&amp;$G107,$A$21:$A$141,"&lt;="&amp;$H107)&gt;0,_xlfn.MAXIFS(N$21:N$141,$A$21:$A$141,"&gt;="&amp;$G107,$A$21:$A$141,"&lt;="&amp;$H107),O107))</f>
        <v>0</v>
      </c>
      <c r="R107" s="12" t="n">
        <f aca="false">-Cost_k*$A107+Beta_q*(Declarations!$B$16*INDEX(Q$21:Q$141,MAX(1,MIN(121,$B107-ROUND(Declarations!$A$16/$D$18,0))))+Declarations!$B$17*INDEX(Q$21:Q$141,MAX(1,MIN(121,$B107-ROUND(Declarations!$A$17/$D$18,0))))+Declarations!$B$18*INDEX(Q$21:Q$141,MAX(1,MIN(121,$B107-ROUND(Declarations!$A$18/$D$18,0))))+Declarations!$B$19*INDEX(Q$21:Q$141,MAX(1,MIN(121,$B107-ROUND(Declarations!$A$19/$D$18,0))))+Declarations!$B$20*INDEX(Q$21:Q$141,MAX(1,MIN(121,$B107-ROUND(Declarations!$A$20/$D$18,0)))))</f>
        <v>-246</v>
      </c>
      <c r="S107" s="12" t="n">
        <f aca="false">INDEX(R$21:R$141,$I107+1)*(1-$J107)+INDEX(R$21:R$141,$I107+2)*$J107</f>
        <v>-239.85</v>
      </c>
      <c r="T107" s="12" t="n">
        <f aca="false">INDEX(R$21:R$141,$K107+1)*(1-$L107)+INDEX(R$21:R$141,$K107+2)*$L107</f>
        <v>-249.85</v>
      </c>
      <c r="U107" s="12" t="n">
        <f aca="false">$C107+$D107+MAX(S107,T107,IF(COUNTIFS($A$21:$A$141,"&gt;="&amp;$G107,$A$21:$A$141,"&lt;="&amp;$H107)&gt;0,_xlfn.MAXIFS(R$21:R$141,$A$21:$A$141,"&gt;="&amp;$G107,$A$21:$A$141,"&lt;="&amp;$H107),S107))</f>
        <v>0</v>
      </c>
      <c r="V107" s="12" t="n">
        <f aca="false">-Cost_k*$A107+Beta_q*(Declarations!$B$16*INDEX(U$21:U$141,MAX(1,MIN(121,$B107-ROUND(Declarations!$A$16/$D$18,0))))+Declarations!$B$17*INDEX(U$21:U$141,MAX(1,MIN(121,$B107-ROUND(Declarations!$A$17/$D$18,0))))+Declarations!$B$18*INDEX(U$21:U$141,MAX(1,MIN(121,$B107-ROUND(Declarations!$A$18/$D$18,0))))+Declarations!$B$19*INDEX(U$21:U$141,MAX(1,MIN(121,$B107-ROUND(Declarations!$A$19/$D$18,0))))+Declarations!$B$20*INDEX(U$21:U$141,MAX(1,MIN(121,$B107-ROUND(Declarations!$A$20/$D$18,0)))))</f>
        <v>-246</v>
      </c>
      <c r="W107" s="12" t="n">
        <f aca="false">INDEX(V$21:V$141,$I107+1)*(1-$J107)+INDEX(V$21:V$141,$I107+2)*$J107</f>
        <v>-239.85</v>
      </c>
      <c r="X107" s="12" t="n">
        <f aca="false">INDEX(V$21:V$141,$K107+1)*(1-$L107)+INDEX(V$21:V$141,$K107+2)*$L107</f>
        <v>-249.85</v>
      </c>
      <c r="Y107" s="12" t="n">
        <f aca="false">$C107+$D107+MAX(W107,X107,IF(COUNTIFS($A$21:$A$141,"&gt;="&amp;$G107,$A$21:$A$141,"&lt;="&amp;$H107)&gt;0,_xlfn.MAXIFS(V$21:V$141,$A$21:$A$141,"&gt;="&amp;$G107,$A$21:$A$141,"&lt;="&amp;$H107),W107))</f>
        <v>0</v>
      </c>
      <c r="Z107" s="12" t="n">
        <f aca="false">-Cost_k*$A107+Beta_q*(Declarations!$B$16*INDEX(Y$21:Y$141,MAX(1,MIN(121,$B107-ROUND(Declarations!$A$16/$D$18,0))))+Declarations!$B$17*INDEX(Y$21:Y$141,MAX(1,MIN(121,$B107-ROUND(Declarations!$A$17/$D$18,0))))+Declarations!$B$18*INDEX(Y$21:Y$141,MAX(1,MIN(121,$B107-ROUND(Declarations!$A$18/$D$18,0))))+Declarations!$B$19*INDEX(Y$21:Y$141,MAX(1,MIN(121,$B107-ROUND(Declarations!$A$19/$D$18,0))))+Declarations!$B$20*INDEX(Y$21:Y$141,MAX(1,MIN(121,$B107-ROUND(Declarations!$A$20/$D$18,0)))))</f>
        <v>-246.000604808959</v>
      </c>
      <c r="AA107" s="12" t="n">
        <f aca="false">INDEX(Z$21:Z$141,$I107+1)*(1-$J107)+INDEX(Z$21:Z$141,$I107+2)*$J107</f>
        <v>-239.879159084286</v>
      </c>
      <c r="AB107" s="12" t="n">
        <f aca="false">INDEX(Z$21:Z$141,$K107+1)*(1-$L107)+INDEX(Z$21:Z$141,$K107+2)*$L107</f>
        <v>-249.850008988634</v>
      </c>
      <c r="AC107" s="12" t="n">
        <f aca="false">$C107+$D107+MAX(AA107,AB107,IF(COUNTIFS($A$21:$A$141,"&gt;="&amp;$G107,$A$21:$A$141,"&lt;="&amp;$H107)&gt;0,_xlfn.MAXIFS(Z$21:Z$141,$A$21:$A$141,"&gt;="&amp;$G107,$A$21:$A$141,"&lt;="&amp;$H107),AA107))</f>
        <v>-0.0291590842860217</v>
      </c>
      <c r="AD107" s="12" t="n">
        <f aca="false">-Cost_k*$A107+Beta_q*(Declarations!$B$16*INDEX(AC$21:AC$141,MAX(1,MIN(121,$B107-ROUND(Declarations!$A$16/$D$18,0))))+Declarations!$B$17*INDEX(AC$21:AC$141,MAX(1,MIN(121,$B107-ROUND(Declarations!$A$17/$D$18,0))))+Declarations!$B$18*INDEX(AC$21:AC$141,MAX(1,MIN(121,$B107-ROUND(Declarations!$A$18/$D$18,0))))+Declarations!$B$19*INDEX(AC$21:AC$141,MAX(1,MIN(121,$B107-ROUND(Declarations!$A$19/$D$18,0))))+Declarations!$B$20*INDEX(AC$21:AC$141,MAX(1,MIN(121,$B107-ROUND(Declarations!$A$20/$D$18,0)))))</f>
        <v>-246.052600717624</v>
      </c>
      <c r="AE107" s="12" t="n">
        <f aca="false">INDEX(AD$21:AD$141,$I107+1)*(1-$J107)+INDEX(AD$21:AD$141,$I107+2)*$J107</f>
        <v>-240.286760469764</v>
      </c>
      <c r="AF107" s="12" t="n">
        <f aca="false">INDEX(AD$21:AD$141,$K107+1)*(1-$L107)+INDEX(AD$21:AD$141,$K107+2)*$L107</f>
        <v>-249.858542051939</v>
      </c>
      <c r="AG107" s="12" t="n">
        <f aca="false">$C107+$D107+MAX(AE107,AF107,IF(COUNTIFS($A$21:$A$141,"&gt;="&amp;$G107,$A$21:$A$141,"&lt;="&amp;$H107)&gt;0,_xlfn.MAXIFS(AD$21:AD$141,$A$21:$A$141,"&gt;="&amp;$G107,$A$21:$A$141,"&lt;="&amp;$H107),AE107))</f>
        <v>-0.436760469763613</v>
      </c>
      <c r="AH107" s="12" t="n">
        <f aca="false">-Cost_k*$A107+Beta_q*(Declarations!$B$16*INDEX(AG$21:AG$141,MAX(1,MIN(121,$B107-ROUND(Declarations!$A$16/$D$18,0))))+Declarations!$B$17*INDEX(AG$21:AG$141,MAX(1,MIN(121,$B107-ROUND(Declarations!$A$17/$D$18,0))))+Declarations!$B$18*INDEX(AG$21:AG$141,MAX(1,MIN(121,$B107-ROUND(Declarations!$A$18/$D$18,0))))+Declarations!$B$19*INDEX(AG$21:AG$141,MAX(1,MIN(121,$B107-ROUND(Declarations!$A$19/$D$18,0))))+Declarations!$B$20*INDEX(AG$21:AG$141,MAX(1,MIN(121,$B107-ROUND(Declarations!$A$20/$D$18,0)))))</f>
        <v>-246.520087523579</v>
      </c>
      <c r="AI107" s="12" t="n">
        <f aca="false">INDEX(AH$21:AH$141,$I107+1)*(1-$J107)+INDEX(AH$21:AH$141,$I107+2)*$J107</f>
        <v>-241.803217496825</v>
      </c>
      <c r="AJ107" s="12" t="n">
        <f aca="false">INDEX(AH$21:AH$141,$K107+1)*(1-$L107)+INDEX(AH$21:AH$141,$K107+2)*$L107</f>
        <v>-250.025020625867</v>
      </c>
      <c r="AK107" s="12" t="n">
        <f aca="false">$C107+$D107+MAX(AI107,AJ107,IF(COUNTIFS($A$21:$A$141,"&gt;="&amp;$G107,$A$21:$A$141,"&lt;="&amp;$H107)&gt;0,_xlfn.MAXIFS(AH$21:AH$141,$A$21:$A$141,"&gt;="&amp;$G107,$A$21:$A$141,"&lt;="&amp;$H107),AI107))</f>
        <v>-1.95321749682537</v>
      </c>
      <c r="AL107" s="12" t="n">
        <f aca="false">-Cost_k*$A107+Beta_q*(Declarations!$B$16*INDEX(AK$21:AK$141,MAX(1,MIN(121,$B107-ROUND(Declarations!$A$16/$D$18,0))))+Declarations!$B$17*INDEX(AK$21:AK$141,MAX(1,MIN(121,$B107-ROUND(Declarations!$A$17/$D$18,0))))+Declarations!$B$18*INDEX(AK$21:AK$141,MAX(1,MIN(121,$B107-ROUND(Declarations!$A$18/$D$18,0))))+Declarations!$B$19*INDEX(AK$21:AK$141,MAX(1,MIN(121,$B107-ROUND(Declarations!$A$19/$D$18,0))))+Declarations!$B$20*INDEX(AK$21:AK$141,MAX(1,MIN(121,$B107-ROUND(Declarations!$A$20/$D$18,0)))))</f>
        <v>-248.056080250143</v>
      </c>
      <c r="AM107" s="12" t="n">
        <f aca="false">INDEX(AL$21:AL$141,$I107+1)*(1-$J107)+INDEX(AL$21:AL$141,$I107+2)*$J107</f>
        <v>-244.854263085282</v>
      </c>
      <c r="AN107" s="12" t="n">
        <f aca="false">INDEX(AL$21:AL$141,$K107+1)*(1-$L107)+INDEX(AL$21:AL$141,$K107+2)*$L107</f>
        <v>-250.859088739189</v>
      </c>
      <c r="AO107" s="12" t="n">
        <f aca="false">$C107+$D107+MAX(AM107,AN107,IF(COUNTIFS($A$21:$A$141,"&gt;="&amp;$G107,$A$21:$A$141,"&lt;="&amp;$H107)&gt;0,_xlfn.MAXIFS(AL$21:AL$141,$A$21:$A$141,"&gt;="&amp;$G107,$A$21:$A$141,"&lt;="&amp;$H107),AM107))</f>
        <v>-5.00426308528247</v>
      </c>
      <c r="AP107" s="12" t="n">
        <f aca="false">-Cost_k*$A107+Beta_q*(Declarations!$B$16*INDEX(AO$21:AO$141,MAX(1,MIN(121,$B107-ROUND(Declarations!$A$16/$D$18,0))))+Declarations!$B$17*INDEX(AO$21:AO$141,MAX(1,MIN(121,$B107-ROUND(Declarations!$A$17/$D$18,0))))+Declarations!$B$18*INDEX(AO$21:AO$141,MAX(1,MIN(121,$B107-ROUND(Declarations!$A$18/$D$18,0))))+Declarations!$B$19*INDEX(AO$21:AO$141,MAX(1,MIN(121,$B107-ROUND(Declarations!$A$19/$D$18,0))))+Declarations!$B$20*INDEX(AO$21:AO$141,MAX(1,MIN(121,$B107-ROUND(Declarations!$A$20/$D$18,0)))))</f>
        <v>-251.03258766395</v>
      </c>
      <c r="AQ107" s="12" t="n">
        <f aca="false">INDEX(AP$21:AP$141,$I107+1)*(1-$J107)+INDEX(AP$21:AP$141,$I107+2)*$J107</f>
        <v>-249.15276145962</v>
      </c>
      <c r="AR107" s="12" t="n">
        <f aca="false">INDEX(AP$21:AP$141,$K107+1)*(1-$L107)+INDEX(AP$21:AP$141,$K107+2)*$L107</f>
        <v>-252.929925357053</v>
      </c>
      <c r="AS107" s="12" t="n">
        <f aca="false">$C107+$D107+MAX(AQ107,AR107,IF(COUNTIFS($A$21:$A$141,"&gt;="&amp;$G107,$A$21:$A$141,"&lt;="&amp;$H107)&gt;0,_xlfn.MAXIFS(AP$21:AP$141,$A$21:$A$141,"&gt;="&amp;$G107,$A$21:$A$141,"&lt;="&amp;$H107),AQ107))</f>
        <v>-9.30276145962034</v>
      </c>
      <c r="AT107" s="12" t="n">
        <f aca="false">-Cost_k*$A107+Beta_q*(Declarations!$B$16*INDEX(AS$21:AS$141,MAX(1,MIN(121,$B107-ROUND(Declarations!$A$16/$D$18,0))))+Declarations!$B$17*INDEX(AS$21:AS$141,MAX(1,MIN(121,$B107-ROUND(Declarations!$A$17/$D$18,0))))+Declarations!$B$18*INDEX(AS$21:AS$141,MAX(1,MIN(121,$B107-ROUND(Declarations!$A$18/$D$18,0))))+Declarations!$B$19*INDEX(AS$21:AS$141,MAX(1,MIN(121,$B107-ROUND(Declarations!$A$19/$D$18,0))))+Declarations!$B$20*INDEX(AS$21:AS$141,MAX(1,MIN(121,$B107-ROUND(Declarations!$A$20/$D$18,0)))))</f>
        <v>-255.166403495145</v>
      </c>
      <c r="AU107" s="12" t="n">
        <f aca="false">INDEX(AT$21:AT$141,$I107+1)*(1-$J107)+INDEX(AT$21:AT$141,$I107+2)*$J107</f>
        <v>-253.918574105647</v>
      </c>
      <c r="AV107" s="12" t="n">
        <f aca="false">INDEX(AT$21:AT$141,$K107+1)*(1-$L107)+INDEX(AT$21:AT$141,$K107+2)*$L107</f>
        <v>-256.356625499588</v>
      </c>
      <c r="AW107" s="12" t="n">
        <f aca="false">$C107+$D107+MAX(AU107,AV107,IF(COUNTIFS($A$21:$A$141,"&gt;="&amp;$G107,$A$21:$A$141,"&lt;="&amp;$H107)&gt;0,_xlfn.MAXIFS(AT$21:AT$141,$A$21:$A$141,"&gt;="&amp;$G107,$A$21:$A$141,"&lt;="&amp;$H107),AU107))</f>
        <v>-14.0685741056471</v>
      </c>
      <c r="AX107" s="12" t="n">
        <f aca="false">-Cost_k*$A107+Beta_q*(Declarations!$B$16*INDEX(AW$21:AW$141,MAX(1,MIN(121,$B107-ROUND(Declarations!$A$16/$D$18,0))))+Declarations!$B$17*INDEX(AW$21:AW$141,MAX(1,MIN(121,$B107-ROUND(Declarations!$A$17/$D$18,0))))+Declarations!$B$18*INDEX(AW$21:AW$141,MAX(1,MIN(121,$B107-ROUND(Declarations!$A$18/$D$18,0))))+Declarations!$B$19*INDEX(AW$21:AW$141,MAX(1,MIN(121,$B107-ROUND(Declarations!$A$19/$D$18,0))))+Declarations!$B$20*INDEX(AW$21:AW$141,MAX(1,MIN(121,$B107-ROUND(Declarations!$A$20/$D$18,0)))))</f>
        <v>-259.77618782893</v>
      </c>
      <c r="AY107" s="12" t="n">
        <f aca="false">INDEX(AX$21:AX$141,$I107+1)*(1-$J107)+INDEX(AX$21:AX$141,$I107+2)*$J107</f>
        <v>-258.705569493878</v>
      </c>
      <c r="AZ107" s="12" t="n">
        <f aca="false">INDEX(AX$21:AX$141,$K107+1)*(1-$L107)+INDEX(AX$21:AX$141,$K107+2)*$L107</f>
        <v>-260.652407608218</v>
      </c>
      <c r="BA107" s="12" t="n">
        <f aca="false">$C107+$D107+MAX(AY107,AZ107,IF(COUNTIFS($A$21:$A$141,"&gt;="&amp;$G107,$A$21:$A$141,"&lt;="&amp;$H107)&gt;0,_xlfn.MAXIFS(AX$21:AX$141,$A$21:$A$141,"&gt;="&amp;$G107,$A$21:$A$141,"&lt;="&amp;$H107),AY107))</f>
        <v>-18.8555694938781</v>
      </c>
      <c r="BB107" s="12" t="n">
        <f aca="false">-Cost_k*$A107+Beta_q*(Declarations!$B$16*INDEX(BA$21:BA$141,MAX(1,MIN(121,$B107-ROUND(Declarations!$A$16/$D$18,0))))+Declarations!$B$17*INDEX(BA$21:BA$141,MAX(1,MIN(121,$B107-ROUND(Declarations!$A$17/$D$18,0))))+Declarations!$B$18*INDEX(BA$21:BA$141,MAX(1,MIN(121,$B107-ROUND(Declarations!$A$18/$D$18,0))))+Declarations!$B$19*INDEX(BA$21:BA$141,MAX(1,MIN(121,$B107-ROUND(Declarations!$A$19/$D$18,0))))+Declarations!$B$20*INDEX(BA$21:BA$141,MAX(1,MIN(121,$B107-ROUND(Declarations!$A$20/$D$18,0)))))</f>
        <v>-264.437507010562</v>
      </c>
      <c r="BC107" s="12" t="n">
        <f aca="false">INDEX(BB$21:BB$141,$I107+1)*(1-$J107)+INDEX(BB$21:BB$141,$I107+2)*$J107</f>
        <v>-263.401811624834</v>
      </c>
      <c r="BD107" s="12" t="n">
        <f aca="false">INDEX(BB$21:BB$141,$K107+1)*(1-$L107)+INDEX(BB$21:BB$141,$K107+2)*$L107</f>
        <v>-265.226124456301</v>
      </c>
      <c r="BE107" s="12" t="n">
        <f aca="false">$C107+$D107+MAX(BC107,BD107,IF(COUNTIFS($A$21:$A$141,"&gt;="&amp;$G107,$A$21:$A$141,"&lt;="&amp;$H107)&gt;0,_xlfn.MAXIFS(BB$21:BB$141,$A$21:$A$141,"&gt;="&amp;$G107,$A$21:$A$141,"&lt;="&amp;$H107),BC107))</f>
        <v>-23.5518116248336</v>
      </c>
      <c r="BF107" s="12" t="n">
        <f aca="false">-Cost_k*$A107+Beta_q*(Declarations!$B$16*INDEX(BE$21:BE$141,MAX(1,MIN(121,$B107-ROUND(Declarations!$A$16/$D$18,0))))+Declarations!$B$17*INDEX(BE$21:BE$141,MAX(1,MIN(121,$B107-ROUND(Declarations!$A$17/$D$18,0))))+Declarations!$B$18*INDEX(BE$21:BE$141,MAX(1,MIN(121,$B107-ROUND(Declarations!$A$18/$D$18,0))))+Declarations!$B$19*INDEX(BE$21:BE$141,MAX(1,MIN(121,$B107-ROUND(Declarations!$A$19/$D$18,0))))+Declarations!$B$20*INDEX(BE$21:BE$141,MAX(1,MIN(121,$B107-ROUND(Declarations!$A$20/$D$18,0)))))</f>
        <v>-269.020637914295</v>
      </c>
      <c r="BG107" s="12" t="n">
        <f aca="false">INDEX(BF$21:BF$141,$I107+1)*(1-$J107)+INDEX(BF$21:BF$141,$I107+2)*$J107</f>
        <v>-267.990413876163</v>
      </c>
      <c r="BH107" s="12" t="n">
        <f aca="false">INDEX(BF$21:BF$141,$K107+1)*(1-$L107)+INDEX(BF$21:BF$141,$K107+2)*$L107</f>
        <v>-269.791465735924</v>
      </c>
      <c r="BI107" s="12" t="n">
        <f aca="false">$C107+$D107+MAX(BG107,BH107,IF(COUNTIFS($A$21:$A$141,"&gt;="&amp;$G107,$A$21:$A$141,"&lt;="&amp;$H107)&gt;0,_xlfn.MAXIFS(BF$21:BF$141,$A$21:$A$141,"&gt;="&amp;$G107,$A$21:$A$141,"&lt;="&amp;$H107),BG107))</f>
        <v>-28.1404138761628</v>
      </c>
      <c r="BJ107" s="23" t="n">
        <v>-28.1404138761627</v>
      </c>
      <c r="BK107" s="22" t="n">
        <f aca="false">ABS(BI107-BJ107)</f>
        <v>0</v>
      </c>
    </row>
    <row r="108" customFormat="false" ht="15" hidden="false" customHeight="false" outlineLevel="0" collapsed="false">
      <c r="A108" s="14" t="n">
        <f aca="false">A107+$D$18</f>
        <v>61.75</v>
      </c>
      <c r="B108" s="19" t="n">
        <v>88</v>
      </c>
      <c r="C108" s="12" t="n">
        <f aca="false">-Short_p*MAX(Floor_c-A108,0)</f>
        <v>-0</v>
      </c>
      <c r="D108" s="12" t="n">
        <f aca="false">Cost_k*Alpha_keep*A108</f>
        <v>240.825</v>
      </c>
      <c r="E108" s="12" t="n">
        <f aca="false">MIN(Cap_h,MAX(0,$B$18+MAX(Loss_w)-Alpha_keep*A108))</f>
        <v>0</v>
      </c>
      <c r="F108" s="12" t="n">
        <f aca="false">MAX(MIN(Cap_h,$F$18+MIN(Loss_w)-Alpha_keep*A108),E108)</f>
        <v>2.5</v>
      </c>
      <c r="G108" s="12" t="n">
        <f aca="false">Alpha_keep*A108+E108</f>
        <v>60.20625</v>
      </c>
      <c r="H108" s="12" t="n">
        <f aca="false">Alpha_keep*A108+F108</f>
        <v>62.70625</v>
      </c>
      <c r="I108" s="19" t="n">
        <f aca="false">MIN(INT((G108-$B$18)/$D$18+0.000000001),119)</f>
        <v>80</v>
      </c>
      <c r="J108" s="12" t="n">
        <f aca="false">(G108-$B$18)/$D$18-I108</f>
        <v>0.824999999999989</v>
      </c>
      <c r="K108" s="19" t="n">
        <f aca="false">MIN(INT((H108-$B$18)/$D$18+0.000000001),119)</f>
        <v>90</v>
      </c>
      <c r="L108" s="12" t="n">
        <f aca="false">(H108-$B$18)/$D$18-K108</f>
        <v>0.824999999999989</v>
      </c>
      <c r="M108" s="9" t="n">
        <v>0</v>
      </c>
      <c r="N108" s="12" t="n">
        <f aca="false">-Cost_k*$A108+Beta_q*(Declarations!$B$16*INDEX(M$21:M$141,MAX(1,MIN(121,$B108-ROUND(Declarations!$A$16/$D$18,0))))+Declarations!$B$17*INDEX(M$21:M$141,MAX(1,MIN(121,$B108-ROUND(Declarations!$A$17/$D$18,0))))+Declarations!$B$18*INDEX(M$21:M$141,MAX(1,MIN(121,$B108-ROUND(Declarations!$A$18/$D$18,0))))+Declarations!$B$19*INDEX(M$21:M$141,MAX(1,MIN(121,$B108-ROUND(Declarations!$A$19/$D$18,0))))+Declarations!$B$20*INDEX(M$21:M$141,MAX(1,MIN(121,$B108-ROUND(Declarations!$A$20/$D$18,0)))))</f>
        <v>-247</v>
      </c>
      <c r="O108" s="12" t="n">
        <f aca="false">INDEX(N$21:N$141,$I108+1)*(1-$J108)+INDEX(N$21:N$141,$I108+2)*$J108</f>
        <v>-240.825</v>
      </c>
      <c r="P108" s="12" t="n">
        <f aca="false">INDEX(N$21:N$141,$K108+1)*(1-$L108)+INDEX(N$21:N$141,$K108+2)*$L108</f>
        <v>-250.825</v>
      </c>
      <c r="Q108" s="12" t="n">
        <f aca="false">$C108+$D108+MAX(O108,P108,IF(COUNTIFS($A$21:$A$141,"&gt;="&amp;$G108,$A$21:$A$141,"&lt;="&amp;$H108)&gt;0,_xlfn.MAXIFS(N$21:N$141,$A$21:$A$141,"&gt;="&amp;$G108,$A$21:$A$141,"&lt;="&amp;$H108),O108))</f>
        <v>0</v>
      </c>
      <c r="R108" s="12" t="n">
        <f aca="false">-Cost_k*$A108+Beta_q*(Declarations!$B$16*INDEX(Q$21:Q$141,MAX(1,MIN(121,$B108-ROUND(Declarations!$A$16/$D$18,0))))+Declarations!$B$17*INDEX(Q$21:Q$141,MAX(1,MIN(121,$B108-ROUND(Declarations!$A$17/$D$18,0))))+Declarations!$B$18*INDEX(Q$21:Q$141,MAX(1,MIN(121,$B108-ROUND(Declarations!$A$18/$D$18,0))))+Declarations!$B$19*INDEX(Q$21:Q$141,MAX(1,MIN(121,$B108-ROUND(Declarations!$A$19/$D$18,0))))+Declarations!$B$20*INDEX(Q$21:Q$141,MAX(1,MIN(121,$B108-ROUND(Declarations!$A$20/$D$18,0)))))</f>
        <v>-247</v>
      </c>
      <c r="S108" s="12" t="n">
        <f aca="false">INDEX(R$21:R$141,$I108+1)*(1-$J108)+INDEX(R$21:R$141,$I108+2)*$J108</f>
        <v>-240.825</v>
      </c>
      <c r="T108" s="12" t="n">
        <f aca="false">INDEX(R$21:R$141,$K108+1)*(1-$L108)+INDEX(R$21:R$141,$K108+2)*$L108</f>
        <v>-250.825</v>
      </c>
      <c r="U108" s="12" t="n">
        <f aca="false">$C108+$D108+MAX(S108,T108,IF(COUNTIFS($A$21:$A$141,"&gt;="&amp;$G108,$A$21:$A$141,"&lt;="&amp;$H108)&gt;0,_xlfn.MAXIFS(R$21:R$141,$A$21:$A$141,"&gt;="&amp;$G108,$A$21:$A$141,"&lt;="&amp;$H108),S108))</f>
        <v>0</v>
      </c>
      <c r="V108" s="12" t="n">
        <f aca="false">-Cost_k*$A108+Beta_q*(Declarations!$B$16*INDEX(U$21:U$141,MAX(1,MIN(121,$B108-ROUND(Declarations!$A$16/$D$18,0))))+Declarations!$B$17*INDEX(U$21:U$141,MAX(1,MIN(121,$B108-ROUND(Declarations!$A$17/$D$18,0))))+Declarations!$B$18*INDEX(U$21:U$141,MAX(1,MIN(121,$B108-ROUND(Declarations!$A$18/$D$18,0))))+Declarations!$B$19*INDEX(U$21:U$141,MAX(1,MIN(121,$B108-ROUND(Declarations!$A$19/$D$18,0))))+Declarations!$B$20*INDEX(U$21:U$141,MAX(1,MIN(121,$B108-ROUND(Declarations!$A$20/$D$18,0)))))</f>
        <v>-247</v>
      </c>
      <c r="W108" s="12" t="n">
        <f aca="false">INDEX(V$21:V$141,$I108+1)*(1-$J108)+INDEX(V$21:V$141,$I108+2)*$J108</f>
        <v>-240.825</v>
      </c>
      <c r="X108" s="12" t="n">
        <f aca="false">INDEX(V$21:V$141,$K108+1)*(1-$L108)+INDEX(V$21:V$141,$K108+2)*$L108</f>
        <v>-250.825</v>
      </c>
      <c r="Y108" s="12" t="n">
        <f aca="false">$C108+$D108+MAX(W108,X108,IF(COUNTIFS($A$21:$A$141,"&gt;="&amp;$G108,$A$21:$A$141,"&lt;="&amp;$H108)&gt;0,_xlfn.MAXIFS(V$21:V$141,$A$21:$A$141,"&gt;="&amp;$G108,$A$21:$A$141,"&lt;="&amp;$H108),W108))</f>
        <v>0</v>
      </c>
      <c r="Z108" s="12" t="n">
        <f aca="false">-Cost_k*$A108+Beta_q*(Declarations!$B$16*INDEX(Y$21:Y$141,MAX(1,MIN(121,$B108-ROUND(Declarations!$A$16/$D$18,0))))+Declarations!$B$17*INDEX(Y$21:Y$141,MAX(1,MIN(121,$B108-ROUND(Declarations!$A$17/$D$18,0))))+Declarations!$B$18*INDEX(Y$21:Y$141,MAX(1,MIN(121,$B108-ROUND(Declarations!$A$18/$D$18,0))))+Declarations!$B$19*INDEX(Y$21:Y$141,MAX(1,MIN(121,$B108-ROUND(Declarations!$A$19/$D$18,0))))+Declarations!$B$20*INDEX(Y$21:Y$141,MAX(1,MIN(121,$B108-ROUND(Declarations!$A$20/$D$18,0)))))</f>
        <v>-247.000149282027</v>
      </c>
      <c r="AA108" s="12" t="n">
        <f aca="false">INDEX(Z$21:Z$141,$I108+1)*(1-$J108)+INDEX(Z$21:Z$141,$I108+2)*$J108</f>
        <v>-240.840373273893</v>
      </c>
      <c r="AB108" s="12" t="n">
        <f aca="false">INDEX(Z$21:Z$141,$K108+1)*(1-$L108)+INDEX(Z$21:Z$141,$K108+2)*$L108</f>
        <v>-250.825000631343</v>
      </c>
      <c r="AC108" s="12" t="n">
        <f aca="false">$C108+$D108+MAX(AA108,AB108,IF(COUNTIFS($A$21:$A$141,"&gt;="&amp;$G108,$A$21:$A$141,"&lt;="&amp;$H108)&gt;0,_xlfn.MAXIFS(Z$21:Z$141,$A$21:$A$141,"&gt;="&amp;$G108,$A$21:$A$141,"&lt;="&amp;$H108),AA108))</f>
        <v>-0.015373273893232</v>
      </c>
      <c r="AD108" s="12" t="n">
        <f aca="false">-Cost_k*$A108+Beta_q*(Declarations!$B$16*INDEX(AC$21:AC$141,MAX(1,MIN(121,$B108-ROUND(Declarations!$A$16/$D$18,0))))+Declarations!$B$17*INDEX(AC$21:AC$141,MAX(1,MIN(121,$B108-ROUND(Declarations!$A$17/$D$18,0))))+Declarations!$B$18*INDEX(AC$21:AC$141,MAX(1,MIN(121,$B108-ROUND(Declarations!$A$18/$D$18,0))))+Declarations!$B$19*INDEX(AC$21:AC$141,MAX(1,MIN(121,$B108-ROUND(Declarations!$A$19/$D$18,0))))+Declarations!$B$20*INDEX(AC$21:AC$141,MAX(1,MIN(121,$B108-ROUND(Declarations!$A$20/$D$18,0)))))</f>
        <v>-247.031850990017</v>
      </c>
      <c r="AE108" s="12" t="n">
        <f aca="false">INDEX(AD$21:AD$141,$I108+1)*(1-$J108)+INDEX(AD$21:AD$141,$I108+2)*$J108</f>
        <v>-241.14568398149</v>
      </c>
      <c r="AF108" s="12" t="n">
        <f aca="false">INDEX(AD$21:AD$141,$K108+1)*(1-$L108)+INDEX(AD$21:AD$141,$K108+2)*$L108</f>
        <v>-250.830326098506</v>
      </c>
      <c r="AG108" s="12" t="n">
        <f aca="false">$C108+$D108+MAX(AE108,AF108,IF(COUNTIFS($A$21:$A$141,"&gt;="&amp;$G108,$A$21:$A$141,"&lt;="&amp;$H108)&gt;0,_xlfn.MAXIFS(AD$21:AD$141,$A$21:$A$141,"&gt;="&amp;$G108,$A$21:$A$141,"&lt;="&amp;$H108),AE108))</f>
        <v>-0.320683981490049</v>
      </c>
      <c r="AH108" s="12" t="n">
        <f aca="false">-Cost_k*$A108+Beta_q*(Declarations!$B$16*INDEX(AG$21:AG$141,MAX(1,MIN(121,$B108-ROUND(Declarations!$A$16/$D$18,0))))+Declarations!$B$17*INDEX(AG$21:AG$141,MAX(1,MIN(121,$B108-ROUND(Declarations!$A$17/$D$18,0))))+Declarations!$B$18*INDEX(AG$21:AG$141,MAX(1,MIN(121,$B108-ROUND(Declarations!$A$18/$D$18,0))))+Declarations!$B$19*INDEX(AG$21:AG$141,MAX(1,MIN(121,$B108-ROUND(Declarations!$A$19/$D$18,0))))+Declarations!$B$20*INDEX(AG$21:AG$141,MAX(1,MIN(121,$B108-ROUND(Declarations!$A$20/$D$18,0)))))</f>
        <v>-247.394709529873</v>
      </c>
      <c r="AI108" s="12" t="n">
        <f aca="false">INDEX(AH$21:AH$141,$I108+1)*(1-$J108)+INDEX(AH$21:AH$141,$I108+2)*$J108</f>
        <v>-242.44655049813</v>
      </c>
      <c r="AJ108" s="12" t="n">
        <f aca="false">INDEX(AH$21:AH$141,$K108+1)*(1-$L108)+INDEX(AH$21:AH$141,$K108+2)*$L108</f>
        <v>-250.955754176441</v>
      </c>
      <c r="AK108" s="12" t="n">
        <f aca="false">$C108+$D108+MAX(AI108,AJ108,IF(COUNTIFS($A$21:$A$141,"&gt;="&amp;$G108,$A$21:$A$141,"&lt;="&amp;$H108)&gt;0,_xlfn.MAXIFS(AH$21:AH$141,$A$21:$A$141,"&gt;="&amp;$G108,$A$21:$A$141,"&lt;="&amp;$H108),AI108))</f>
        <v>-1.62155049812958</v>
      </c>
      <c r="AL108" s="12" t="n">
        <f aca="false">-Cost_k*$A108+Beta_q*(Declarations!$B$16*INDEX(AK$21:AK$141,MAX(1,MIN(121,$B108-ROUND(Declarations!$A$16/$D$18,0))))+Declarations!$B$17*INDEX(AK$21:AK$141,MAX(1,MIN(121,$B108-ROUND(Declarations!$A$17/$D$18,0))))+Declarations!$B$18*INDEX(AK$21:AK$141,MAX(1,MIN(121,$B108-ROUND(Declarations!$A$18/$D$18,0))))+Declarations!$B$19*INDEX(AK$21:AK$141,MAX(1,MIN(121,$B108-ROUND(Declarations!$A$19/$D$18,0))))+Declarations!$B$20*INDEX(AK$21:AK$141,MAX(1,MIN(121,$B108-ROUND(Declarations!$A$20/$D$18,0)))))</f>
        <v>-248.724480797322</v>
      </c>
      <c r="AM108" s="12" t="n">
        <f aca="false">INDEX(AL$21:AL$141,$I108+1)*(1-$J108)+INDEX(AL$21:AL$141,$I108+2)*$J108</f>
        <v>-245.241955717002</v>
      </c>
      <c r="AN108" s="12" t="n">
        <f aca="false">INDEX(AL$21:AL$141,$K108+1)*(1-$L108)+INDEX(AL$21:AL$141,$K108+2)*$L108</f>
        <v>-251.655127860357</v>
      </c>
      <c r="AO108" s="12" t="n">
        <f aca="false">$C108+$D108+MAX(AM108,AN108,IF(COUNTIFS($A$21:$A$141,"&gt;="&amp;$G108,$A$21:$A$141,"&lt;="&amp;$H108)&gt;0,_xlfn.MAXIFS(AL$21:AL$141,$A$21:$A$141,"&gt;="&amp;$G108,$A$21:$A$141,"&lt;="&amp;$H108),AM108))</f>
        <v>-4.41695571700188</v>
      </c>
      <c r="AP108" s="12" t="n">
        <f aca="false">-Cost_k*$A108+Beta_q*(Declarations!$B$16*INDEX(AO$21:AO$141,MAX(1,MIN(121,$B108-ROUND(Declarations!$A$16/$D$18,0))))+Declarations!$B$17*INDEX(AO$21:AO$141,MAX(1,MIN(121,$B108-ROUND(Declarations!$A$17/$D$18,0))))+Declarations!$B$18*INDEX(AO$21:AO$141,MAX(1,MIN(121,$B108-ROUND(Declarations!$A$18/$D$18,0))))+Declarations!$B$19*INDEX(AO$21:AO$141,MAX(1,MIN(121,$B108-ROUND(Declarations!$A$19/$D$18,0))))+Declarations!$B$20*INDEX(AO$21:AO$141,MAX(1,MIN(121,$B108-ROUND(Declarations!$A$20/$D$18,0)))))</f>
        <v>-251.46223999462</v>
      </c>
      <c r="AQ108" s="12" t="n">
        <f aca="false">INDEX(AP$21:AP$141,$I108+1)*(1-$J108)+INDEX(AP$21:AP$141,$I108+2)*$J108</f>
        <v>-249.368399800443</v>
      </c>
      <c r="AR108" s="12" t="n">
        <f aca="false">INDEX(AP$21:AP$141,$K108+1)*(1-$L108)+INDEX(AP$21:AP$141,$K108+2)*$L108</f>
        <v>-253.512656409488</v>
      </c>
      <c r="AS108" s="12" t="n">
        <f aca="false">$C108+$D108+MAX(AQ108,AR108,IF(COUNTIFS($A$21:$A$141,"&gt;="&amp;$G108,$A$21:$A$141,"&lt;="&amp;$H108)&gt;0,_xlfn.MAXIFS(AP$21:AP$141,$A$21:$A$141,"&gt;="&amp;$G108,$A$21:$A$141,"&lt;="&amp;$H108),AQ108))</f>
        <v>-8.54339980044313</v>
      </c>
      <c r="AT108" s="12" t="n">
        <f aca="false">-Cost_k*$A108+Beta_q*(Declarations!$B$16*INDEX(AS$21:AS$141,MAX(1,MIN(121,$B108-ROUND(Declarations!$A$16/$D$18,0))))+Declarations!$B$17*INDEX(AS$21:AS$141,MAX(1,MIN(121,$B108-ROUND(Declarations!$A$17/$D$18,0))))+Declarations!$B$18*INDEX(AS$21:AS$141,MAX(1,MIN(121,$B108-ROUND(Declarations!$A$18/$D$18,0))))+Declarations!$B$19*INDEX(AS$21:AS$141,MAX(1,MIN(121,$B108-ROUND(Declarations!$A$19/$D$18,0))))+Declarations!$B$20*INDEX(AS$21:AS$141,MAX(1,MIN(121,$B108-ROUND(Declarations!$A$20/$D$18,0)))))</f>
        <v>-255.434100174868</v>
      </c>
      <c r="AU108" s="12" t="n">
        <f aca="false">INDEX(AT$21:AT$141,$I108+1)*(1-$J108)+INDEX(AT$21:AT$141,$I108+2)*$J108</f>
        <v>-254.07682941095</v>
      </c>
      <c r="AV108" s="12" t="n">
        <f aca="false">INDEX(AT$21:AT$141,$K108+1)*(1-$L108)+INDEX(AT$21:AT$141,$K108+2)*$L108</f>
        <v>-256.733478198144</v>
      </c>
      <c r="AW108" s="12" t="n">
        <f aca="false">$C108+$D108+MAX(AU108,AV108,IF(COUNTIFS($A$21:$A$141,"&gt;="&amp;$G108,$A$21:$A$141,"&lt;="&amp;$H108)&gt;0,_xlfn.MAXIFS(AT$21:AT$141,$A$21:$A$141,"&gt;="&amp;$G108,$A$21:$A$141,"&lt;="&amp;$H108),AU108))</f>
        <v>-13.2518294109496</v>
      </c>
      <c r="AX108" s="12" t="n">
        <f aca="false">-Cost_k*$A108+Beta_q*(Declarations!$B$16*INDEX(AW$21:AW$141,MAX(1,MIN(121,$B108-ROUND(Declarations!$A$16/$D$18,0))))+Declarations!$B$17*INDEX(AW$21:AW$141,MAX(1,MIN(121,$B108-ROUND(Declarations!$A$17/$D$18,0))))+Declarations!$B$18*INDEX(AW$21:AW$141,MAX(1,MIN(121,$B108-ROUND(Declarations!$A$18/$D$18,0))))+Declarations!$B$19*INDEX(AW$21:AW$141,MAX(1,MIN(121,$B108-ROUND(Declarations!$A$19/$D$18,0))))+Declarations!$B$20*INDEX(AW$21:AW$141,MAX(1,MIN(121,$B108-ROUND(Declarations!$A$20/$D$18,0)))))</f>
        <v>-259.982799668874</v>
      </c>
      <c r="AY108" s="12" t="n">
        <f aca="false">INDEX(AX$21:AX$141,$I108+1)*(1-$J108)+INDEX(AX$21:AX$141,$I108+2)*$J108</f>
        <v>-258.851969123714</v>
      </c>
      <c r="AZ108" s="12" t="n">
        <f aca="false">INDEX(AX$21:AX$141,$K108+1)*(1-$L108)+INDEX(AX$21:AX$141,$K108+2)*$L108</f>
        <v>-260.913196376279</v>
      </c>
      <c r="BA108" s="12" t="n">
        <f aca="false">$C108+$D108+MAX(AY108,AZ108,IF(COUNTIFS($A$21:$A$141,"&gt;="&amp;$G108,$A$21:$A$141,"&lt;="&amp;$H108)&gt;0,_xlfn.MAXIFS(AX$21:AX$141,$A$21:$A$141,"&gt;="&amp;$G108,$A$21:$A$141,"&lt;="&amp;$H108),AY108))</f>
        <v>-18.026969123714</v>
      </c>
      <c r="BB108" s="12" t="n">
        <f aca="false">-Cost_k*$A108+Beta_q*(Declarations!$B$16*INDEX(BA$21:BA$141,MAX(1,MIN(121,$B108-ROUND(Declarations!$A$16/$D$18,0))))+Declarations!$B$17*INDEX(BA$21:BA$141,MAX(1,MIN(121,$B108-ROUND(Declarations!$A$17/$D$18,0))))+Declarations!$B$18*INDEX(BA$21:BA$141,MAX(1,MIN(121,$B108-ROUND(Declarations!$A$18/$D$18,0))))+Declarations!$B$19*INDEX(BA$21:BA$141,MAX(1,MIN(121,$B108-ROUND(Declarations!$A$19/$D$18,0))))+Declarations!$B$20*INDEX(BA$21:BA$141,MAX(1,MIN(121,$B108-ROUND(Declarations!$A$20/$D$18,0)))))</f>
        <v>-264.629261098236</v>
      </c>
      <c r="BC108" s="12" t="n">
        <f aca="false">INDEX(BB$21:BB$141,$I108+1)*(1-$J108)+INDEX(BB$21:BB$141,$I108+2)*$J108</f>
        <v>-263.546359070742</v>
      </c>
      <c r="BD108" s="12" t="n">
        <f aca="false">INDEX(BB$21:BB$141,$K108+1)*(1-$L108)+INDEX(BB$21:BB$141,$K108+2)*$L108</f>
        <v>-265.447571229412</v>
      </c>
      <c r="BE108" s="12" t="n">
        <f aca="false">$C108+$D108+MAX(BC108,BD108,IF(COUNTIFS($A$21:$A$141,"&gt;="&amp;$G108,$A$21:$A$141,"&lt;="&amp;$H108)&gt;0,_xlfn.MAXIFS(BB$21:BB$141,$A$21:$A$141,"&gt;="&amp;$G108,$A$21:$A$141,"&lt;="&amp;$H108),BC108))</f>
        <v>-22.7213590707416</v>
      </c>
      <c r="BF108" s="12" t="n">
        <f aca="false">-Cost_k*$A108+Beta_q*(Declarations!$B$16*INDEX(BE$21:BE$141,MAX(1,MIN(121,$B108-ROUND(Declarations!$A$16/$D$18,0))))+Declarations!$B$17*INDEX(BE$21:BE$141,MAX(1,MIN(121,$B108-ROUND(Declarations!$A$17/$D$18,0))))+Declarations!$B$18*INDEX(BE$21:BE$141,MAX(1,MIN(121,$B108-ROUND(Declarations!$A$18/$D$18,0))))+Declarations!$B$19*INDEX(BE$21:BE$141,MAX(1,MIN(121,$B108-ROUND(Declarations!$A$19/$D$18,0))))+Declarations!$B$20*INDEX(BE$21:BE$141,MAX(1,MIN(121,$B108-ROUND(Declarations!$A$20/$D$18,0)))))</f>
        <v>-269.20968331305</v>
      </c>
      <c r="BG108" s="12" t="n">
        <f aca="false">INDEX(BF$21:BF$141,$I108+1)*(1-$J108)+INDEX(BF$21:BF$141,$I108+2)*$J108</f>
        <v>-268.13471833352</v>
      </c>
      <c r="BH108" s="12" t="n">
        <f aca="false">INDEX(BF$21:BF$141,$K108+1)*(1-$L108)+INDEX(BF$21:BF$141,$K108+2)*$L108</f>
        <v>-270.003703857259</v>
      </c>
      <c r="BI108" s="12" t="n">
        <f aca="false">$C108+$D108+MAX(BG108,BH108,IF(COUNTIFS($A$21:$A$141,"&gt;="&amp;$G108,$A$21:$A$141,"&lt;="&amp;$H108)&gt;0,_xlfn.MAXIFS(BF$21:BF$141,$A$21:$A$141,"&gt;="&amp;$G108,$A$21:$A$141,"&lt;="&amp;$H108),BG108))</f>
        <v>-27.3097183335198</v>
      </c>
      <c r="BJ108" s="23" t="n">
        <v>-27.3097183335197</v>
      </c>
      <c r="BK108" s="22" t="n">
        <f aca="false">ABS(BI108-BJ108)</f>
        <v>0</v>
      </c>
    </row>
    <row r="109" customFormat="false" ht="15" hidden="false" customHeight="false" outlineLevel="0" collapsed="false">
      <c r="A109" s="14" t="n">
        <f aca="false">A108+$D$18</f>
        <v>62</v>
      </c>
      <c r="B109" s="19" t="n">
        <v>89</v>
      </c>
      <c r="C109" s="12" t="n">
        <f aca="false">-Short_p*MAX(Floor_c-A109,0)</f>
        <v>-0</v>
      </c>
      <c r="D109" s="12" t="n">
        <f aca="false">Cost_k*Alpha_keep*A109</f>
        <v>241.8</v>
      </c>
      <c r="E109" s="12" t="n">
        <f aca="false">MIN(Cap_h,MAX(0,$B$18+MAX(Loss_w)-Alpha_keep*A109))</f>
        <v>0</v>
      </c>
      <c r="F109" s="12" t="n">
        <f aca="false">MAX(MIN(Cap_h,$F$18+MIN(Loss_w)-Alpha_keep*A109),E109)</f>
        <v>2.5</v>
      </c>
      <c r="G109" s="12" t="n">
        <f aca="false">Alpha_keep*A109+E109</f>
        <v>60.45</v>
      </c>
      <c r="H109" s="12" t="n">
        <f aca="false">Alpha_keep*A109+F109</f>
        <v>62.95</v>
      </c>
      <c r="I109" s="19" t="n">
        <f aca="false">MIN(INT((G109-$B$18)/$D$18+0.000000001),119)</f>
        <v>81</v>
      </c>
      <c r="J109" s="12" t="n">
        <f aca="false">(G109-$B$18)/$D$18-I109</f>
        <v>0.799999999999983</v>
      </c>
      <c r="K109" s="19" t="n">
        <f aca="false">MIN(INT((H109-$B$18)/$D$18+0.000000001),119)</f>
        <v>91</v>
      </c>
      <c r="L109" s="12" t="n">
        <f aca="false">(H109-$B$18)/$D$18-K109</f>
        <v>0.799999999999983</v>
      </c>
      <c r="M109" s="9" t="n">
        <v>0</v>
      </c>
      <c r="N109" s="12" t="n">
        <f aca="false">-Cost_k*$A109+Beta_q*(Declarations!$B$16*INDEX(M$21:M$141,MAX(1,MIN(121,$B109-ROUND(Declarations!$A$16/$D$18,0))))+Declarations!$B$17*INDEX(M$21:M$141,MAX(1,MIN(121,$B109-ROUND(Declarations!$A$17/$D$18,0))))+Declarations!$B$18*INDEX(M$21:M$141,MAX(1,MIN(121,$B109-ROUND(Declarations!$A$18/$D$18,0))))+Declarations!$B$19*INDEX(M$21:M$141,MAX(1,MIN(121,$B109-ROUND(Declarations!$A$19/$D$18,0))))+Declarations!$B$20*INDEX(M$21:M$141,MAX(1,MIN(121,$B109-ROUND(Declarations!$A$20/$D$18,0)))))</f>
        <v>-248</v>
      </c>
      <c r="O109" s="12" t="n">
        <f aca="false">INDEX(N$21:N$141,$I109+1)*(1-$J109)+INDEX(N$21:N$141,$I109+2)*$J109</f>
        <v>-241.8</v>
      </c>
      <c r="P109" s="12" t="n">
        <f aca="false">INDEX(N$21:N$141,$K109+1)*(1-$L109)+INDEX(N$21:N$141,$K109+2)*$L109</f>
        <v>-251.8</v>
      </c>
      <c r="Q109" s="12" t="n">
        <f aca="false">$C109+$D109+MAX(O109,P109,IF(COUNTIFS($A$21:$A$141,"&gt;="&amp;$G109,$A$21:$A$141,"&lt;="&amp;$H109)&gt;0,_xlfn.MAXIFS(N$21:N$141,$A$21:$A$141,"&gt;="&amp;$G109,$A$21:$A$141,"&lt;="&amp;$H109),O109))</f>
        <v>0</v>
      </c>
      <c r="R109" s="12" t="n">
        <f aca="false">-Cost_k*$A109+Beta_q*(Declarations!$B$16*INDEX(Q$21:Q$141,MAX(1,MIN(121,$B109-ROUND(Declarations!$A$16/$D$18,0))))+Declarations!$B$17*INDEX(Q$21:Q$141,MAX(1,MIN(121,$B109-ROUND(Declarations!$A$17/$D$18,0))))+Declarations!$B$18*INDEX(Q$21:Q$141,MAX(1,MIN(121,$B109-ROUND(Declarations!$A$18/$D$18,0))))+Declarations!$B$19*INDEX(Q$21:Q$141,MAX(1,MIN(121,$B109-ROUND(Declarations!$A$19/$D$18,0))))+Declarations!$B$20*INDEX(Q$21:Q$141,MAX(1,MIN(121,$B109-ROUND(Declarations!$A$20/$D$18,0)))))</f>
        <v>-248</v>
      </c>
      <c r="S109" s="12" t="n">
        <f aca="false">INDEX(R$21:R$141,$I109+1)*(1-$J109)+INDEX(R$21:R$141,$I109+2)*$J109</f>
        <v>-241.8</v>
      </c>
      <c r="T109" s="12" t="n">
        <f aca="false">INDEX(R$21:R$141,$K109+1)*(1-$L109)+INDEX(R$21:R$141,$K109+2)*$L109</f>
        <v>-251.8</v>
      </c>
      <c r="U109" s="12" t="n">
        <f aca="false">$C109+$D109+MAX(S109,T109,IF(COUNTIFS($A$21:$A$141,"&gt;="&amp;$G109,$A$21:$A$141,"&lt;="&amp;$H109)&gt;0,_xlfn.MAXIFS(R$21:R$141,$A$21:$A$141,"&gt;="&amp;$G109,$A$21:$A$141,"&lt;="&amp;$H109),S109))</f>
        <v>0</v>
      </c>
      <c r="V109" s="12" t="n">
        <f aca="false">-Cost_k*$A109+Beta_q*(Declarations!$B$16*INDEX(U$21:U$141,MAX(1,MIN(121,$B109-ROUND(Declarations!$A$16/$D$18,0))))+Declarations!$B$17*INDEX(U$21:U$141,MAX(1,MIN(121,$B109-ROUND(Declarations!$A$17/$D$18,0))))+Declarations!$B$18*INDEX(U$21:U$141,MAX(1,MIN(121,$B109-ROUND(Declarations!$A$18/$D$18,0))))+Declarations!$B$19*INDEX(U$21:U$141,MAX(1,MIN(121,$B109-ROUND(Declarations!$A$19/$D$18,0))))+Declarations!$B$20*INDEX(U$21:U$141,MAX(1,MIN(121,$B109-ROUND(Declarations!$A$20/$D$18,0)))))</f>
        <v>-248</v>
      </c>
      <c r="W109" s="12" t="n">
        <f aca="false">INDEX(V$21:V$141,$I109+1)*(1-$J109)+INDEX(V$21:V$141,$I109+2)*$J109</f>
        <v>-241.8</v>
      </c>
      <c r="X109" s="12" t="n">
        <f aca="false">INDEX(V$21:V$141,$K109+1)*(1-$L109)+INDEX(V$21:V$141,$K109+2)*$L109</f>
        <v>-251.8</v>
      </c>
      <c r="Y109" s="12" t="n">
        <f aca="false">$C109+$D109+MAX(W109,X109,IF(COUNTIFS($A$21:$A$141,"&gt;="&amp;$G109,$A$21:$A$141,"&lt;="&amp;$H109)&gt;0,_xlfn.MAXIFS(V$21:V$141,$A$21:$A$141,"&gt;="&amp;$G109,$A$21:$A$141,"&lt;="&amp;$H109),W109))</f>
        <v>0</v>
      </c>
      <c r="Z109" s="12" t="n">
        <f aca="false">-Cost_k*$A109+Beta_q*(Declarations!$B$16*INDEX(Y$21:Y$141,MAX(1,MIN(121,$B109-ROUND(Declarations!$A$16/$D$18,0))))+Declarations!$B$17*INDEX(Y$21:Y$141,MAX(1,MIN(121,$B109-ROUND(Declarations!$A$17/$D$18,0))))+Declarations!$B$18*INDEX(Y$21:Y$141,MAX(1,MIN(121,$B109-ROUND(Declarations!$A$18/$D$18,0))))+Declarations!$B$19*INDEX(Y$21:Y$141,MAX(1,MIN(121,$B109-ROUND(Declarations!$A$19/$D$18,0))))+Declarations!$B$20*INDEX(Y$21:Y$141,MAX(1,MIN(121,$B109-ROUND(Declarations!$A$20/$D$18,0)))))</f>
        <v>-248.000083732932</v>
      </c>
      <c r="AA109" s="12" t="n">
        <f aca="false">INDEX(Z$21:Z$141,$I109+1)*(1-$J109)+INDEX(Z$21:Z$141,$I109+2)*$J109</f>
        <v>-241.809723534703</v>
      </c>
      <c r="AB109" s="12" t="n">
        <f aca="false">INDEX(Z$21:Z$141,$K109+1)*(1-$L109)+INDEX(Z$21:Z$141,$K109+2)*$L109</f>
        <v>-251.8</v>
      </c>
      <c r="AC109" s="12" t="n">
        <f aca="false">$C109+$D109+MAX(AA109,AB109,IF(COUNTIFS($A$21:$A$141,"&gt;="&amp;$G109,$A$21:$A$141,"&lt;="&amp;$H109)&gt;0,_xlfn.MAXIFS(Z$21:Z$141,$A$21:$A$141,"&gt;="&amp;$G109,$A$21:$A$141,"&lt;="&amp;$H109),AA109))</f>
        <v>-0.00972353470339726</v>
      </c>
      <c r="AD109" s="12" t="n">
        <f aca="false">-Cost_k*$A109+Beta_q*(Declarations!$B$16*INDEX(AC$21:AC$141,MAX(1,MIN(121,$B109-ROUND(Declarations!$A$16/$D$18,0))))+Declarations!$B$17*INDEX(AC$21:AC$141,MAX(1,MIN(121,$B109-ROUND(Declarations!$A$17/$D$18,0))))+Declarations!$B$18*INDEX(AC$21:AC$141,MAX(1,MIN(121,$B109-ROUND(Declarations!$A$18/$D$18,0))))+Declarations!$B$19*INDEX(AC$21:AC$141,MAX(1,MIN(121,$B109-ROUND(Declarations!$A$19/$D$18,0))))+Declarations!$B$20*INDEX(AC$21:AC$141,MAX(1,MIN(121,$B109-ROUND(Declarations!$A$20/$D$18,0)))))</f>
        <v>-248.022109168798</v>
      </c>
      <c r="AE109" s="12" t="n">
        <f aca="false">INDEX(AD$21:AD$141,$I109+1)*(1-$J109)+INDEX(AD$21:AD$141,$I109+2)*$J109</f>
        <v>-242.043591082622</v>
      </c>
      <c r="AF109" s="12" t="n">
        <f aca="false">INDEX(AD$21:AD$141,$K109+1)*(1-$L109)+INDEX(AD$21:AD$141,$K109+2)*$L109</f>
        <v>-251.803328445859</v>
      </c>
      <c r="AG109" s="12" t="n">
        <f aca="false">$C109+$D109+MAX(AE109,AF109,IF(COUNTIFS($A$21:$A$141,"&gt;="&amp;$G109,$A$21:$A$141,"&lt;="&amp;$H109)&gt;0,_xlfn.MAXIFS(AD$21:AD$141,$A$21:$A$141,"&gt;="&amp;$G109,$A$21:$A$141,"&lt;="&amp;$H109),AE109))</f>
        <v>-0.243591082622459</v>
      </c>
      <c r="AH109" s="12" t="n">
        <f aca="false">-Cost_k*$A109+Beta_q*(Declarations!$B$16*INDEX(AG$21:AG$141,MAX(1,MIN(121,$B109-ROUND(Declarations!$A$16/$D$18,0))))+Declarations!$B$17*INDEX(AG$21:AG$141,MAX(1,MIN(121,$B109-ROUND(Declarations!$A$17/$D$18,0))))+Declarations!$B$18*INDEX(AG$21:AG$141,MAX(1,MIN(121,$B109-ROUND(Declarations!$A$18/$D$18,0))))+Declarations!$B$19*INDEX(AG$21:AG$141,MAX(1,MIN(121,$B109-ROUND(Declarations!$A$19/$D$18,0))))+Declarations!$B$20*INDEX(AG$21:AG$141,MAX(1,MIN(121,$B109-ROUND(Declarations!$A$20/$D$18,0)))))</f>
        <v>-248.307605844811</v>
      </c>
      <c r="AI109" s="12" t="n">
        <f aca="false">INDEX(AH$21:AH$141,$I109+1)*(1-$J109)+INDEX(AH$21:AH$141,$I109+2)*$J109</f>
        <v>-243.1516435322</v>
      </c>
      <c r="AJ109" s="12" t="n">
        <f aca="false">INDEX(AH$21:AH$141,$K109+1)*(1-$L109)+INDEX(AH$21:AH$141,$K109+2)*$L109</f>
        <v>-251.895783570867</v>
      </c>
      <c r="AK109" s="12" t="n">
        <f aca="false">$C109+$D109+MAX(AI109,AJ109,IF(COUNTIFS($A$21:$A$141,"&gt;="&amp;$G109,$A$21:$A$141,"&lt;="&amp;$H109)&gt;0,_xlfn.MAXIFS(AH$21:AH$141,$A$21:$A$141,"&gt;="&amp;$G109,$A$21:$A$141,"&lt;="&amp;$H109),AI109))</f>
        <v>-1.35164353219957</v>
      </c>
      <c r="AL109" s="12" t="n">
        <f aca="false">-Cost_k*$A109+Beta_q*(Declarations!$B$16*INDEX(AK$21:AK$141,MAX(1,MIN(121,$B109-ROUND(Declarations!$A$16/$D$18,0))))+Declarations!$B$17*INDEX(AK$21:AK$141,MAX(1,MIN(121,$B109-ROUND(Declarations!$A$17/$D$18,0))))+Declarations!$B$18*INDEX(AK$21:AK$141,MAX(1,MIN(121,$B109-ROUND(Declarations!$A$18/$D$18,0))))+Declarations!$B$19*INDEX(AK$21:AK$141,MAX(1,MIN(121,$B109-ROUND(Declarations!$A$19/$D$18,0))))+Declarations!$B$20*INDEX(AK$21:AK$141,MAX(1,MIN(121,$B109-ROUND(Declarations!$A$20/$D$18,0)))))</f>
        <v>-249.45158890699</v>
      </c>
      <c r="AM109" s="12" t="n">
        <f aca="false">INDEX(AL$21:AL$141,$I109+1)*(1-$J109)+INDEX(AL$21:AL$141,$I109+2)*$J109</f>
        <v>-245.692831160541</v>
      </c>
      <c r="AN109" s="12" t="n">
        <f aca="false">INDEX(AL$21:AL$141,$K109+1)*(1-$L109)+INDEX(AL$21:AL$141,$K109+2)*$L109</f>
        <v>-252.473634714283</v>
      </c>
      <c r="AO109" s="12" t="n">
        <f aca="false">$C109+$D109+MAX(AM109,AN109,IF(COUNTIFS($A$21:$A$141,"&gt;="&amp;$G109,$A$21:$A$141,"&lt;="&amp;$H109)&gt;0,_xlfn.MAXIFS(AL$21:AL$141,$A$21:$A$141,"&gt;="&amp;$G109,$A$21:$A$141,"&lt;="&amp;$H109),AM109))</f>
        <v>-3.89283116054145</v>
      </c>
      <c r="AP109" s="12" t="n">
        <f aca="false">-Cost_k*$A109+Beta_q*(Declarations!$B$16*INDEX(AO$21:AO$141,MAX(1,MIN(121,$B109-ROUND(Declarations!$A$16/$D$18,0))))+Declarations!$B$17*INDEX(AO$21:AO$141,MAX(1,MIN(121,$B109-ROUND(Declarations!$A$17/$D$18,0))))+Declarations!$B$18*INDEX(AO$21:AO$141,MAX(1,MIN(121,$B109-ROUND(Declarations!$A$18/$D$18,0))))+Declarations!$B$19*INDEX(AO$21:AO$141,MAX(1,MIN(121,$B109-ROUND(Declarations!$A$19/$D$18,0))))+Declarations!$B$20*INDEX(AO$21:AO$141,MAX(1,MIN(121,$B109-ROUND(Declarations!$A$20/$D$18,0)))))</f>
        <v>-251.950322421634</v>
      </c>
      <c r="AQ109" s="12" t="n">
        <f aca="false">INDEX(AP$21:AP$141,$I109+1)*(1-$J109)+INDEX(AP$21:AP$141,$I109+2)*$J109</f>
        <v>-249.621902503709</v>
      </c>
      <c r="AR109" s="12" t="n">
        <f aca="false">INDEX(AP$21:AP$141,$K109+1)*(1-$L109)+INDEX(AP$21:AP$141,$K109+2)*$L109</f>
        <v>-254.126111211649</v>
      </c>
      <c r="AS109" s="12" t="n">
        <f aca="false">$C109+$D109+MAX(AQ109,AR109,IF(COUNTIFS($A$21:$A$141,"&gt;="&amp;$G109,$A$21:$A$141,"&lt;="&amp;$H109)&gt;0,_xlfn.MAXIFS(AP$21:AP$141,$A$21:$A$141,"&gt;="&amp;$G109,$A$21:$A$141,"&lt;="&amp;$H109),AQ109))</f>
        <v>-7.82190250370897</v>
      </c>
      <c r="AT109" s="12" t="n">
        <f aca="false">-Cost_k*$A109+Beta_q*(Declarations!$B$16*INDEX(AS$21:AS$141,MAX(1,MIN(121,$B109-ROUND(Declarations!$A$16/$D$18,0))))+Declarations!$B$17*INDEX(AS$21:AS$141,MAX(1,MIN(121,$B109-ROUND(Declarations!$A$17/$D$18,0))))+Declarations!$B$18*INDEX(AS$21:AS$141,MAX(1,MIN(121,$B109-ROUND(Declarations!$A$18/$D$18,0))))+Declarations!$B$19*INDEX(AS$21:AS$141,MAX(1,MIN(121,$B109-ROUND(Declarations!$A$19/$D$18,0))))+Declarations!$B$20*INDEX(AS$21:AS$141,MAX(1,MIN(121,$B109-ROUND(Declarations!$A$20/$D$18,0)))))</f>
        <v>-255.738162357754</v>
      </c>
      <c r="AU109" s="12" t="n">
        <f aca="false">INDEX(AT$21:AT$141,$I109+1)*(1-$J109)+INDEX(AT$21:AT$141,$I109+2)*$J109</f>
        <v>-254.253221881082</v>
      </c>
      <c r="AV109" s="12" t="n">
        <f aca="false">INDEX(AT$21:AT$141,$K109+1)*(1-$L109)+INDEX(AT$21:AT$141,$K109+2)*$L109</f>
        <v>-257.136985428757</v>
      </c>
      <c r="AW109" s="12" t="n">
        <f aca="false">$C109+$D109+MAX(AU109,AV109,IF(COUNTIFS($A$21:$A$141,"&gt;="&amp;$G109,$A$21:$A$141,"&lt;="&amp;$H109)&gt;0,_xlfn.MAXIFS(AT$21:AT$141,$A$21:$A$141,"&gt;="&amp;$G109,$A$21:$A$141,"&lt;="&amp;$H109),AU109))</f>
        <v>-12.4532218810817</v>
      </c>
      <c r="AX109" s="12" t="n">
        <f aca="false">-Cost_k*$A109+Beta_q*(Declarations!$B$16*INDEX(AW$21:AW$141,MAX(1,MIN(121,$B109-ROUND(Declarations!$A$16/$D$18,0))))+Declarations!$B$17*INDEX(AW$21:AW$141,MAX(1,MIN(121,$B109-ROUND(Declarations!$A$17/$D$18,0))))+Declarations!$B$18*INDEX(AW$21:AW$141,MAX(1,MIN(121,$B109-ROUND(Declarations!$A$18/$D$18,0))))+Declarations!$B$19*INDEX(AW$21:AW$141,MAX(1,MIN(121,$B109-ROUND(Declarations!$A$19/$D$18,0))))+Declarations!$B$20*INDEX(AW$21:AW$141,MAX(1,MIN(121,$B109-ROUND(Declarations!$A$20/$D$18,0)))))</f>
        <v>-260.208037875123</v>
      </c>
      <c r="AY109" s="12" t="n">
        <f aca="false">INDEX(AX$21:AX$141,$I109+1)*(1-$J109)+INDEX(AX$21:AX$141,$I109+2)*$J109</f>
        <v>-259.010804269594</v>
      </c>
      <c r="AZ109" s="12" t="n">
        <f aca="false">INDEX(AX$21:AX$141,$K109+1)*(1-$L109)+INDEX(AX$21:AX$141,$K109+2)*$L109</f>
        <v>-261.189240101014</v>
      </c>
      <c r="BA109" s="12" t="n">
        <f aca="false">$C109+$D109+MAX(AY109,AZ109,IF(COUNTIFS($A$21:$A$141,"&gt;="&amp;$G109,$A$21:$A$141,"&lt;="&amp;$H109)&gt;0,_xlfn.MAXIFS(AX$21:AX$141,$A$21:$A$141,"&gt;="&amp;$G109,$A$21:$A$141,"&lt;="&amp;$H109),AY109))</f>
        <v>-17.2108042695936</v>
      </c>
      <c r="BB109" s="12" t="n">
        <f aca="false">-Cost_k*$A109+Beta_q*(Declarations!$B$16*INDEX(BA$21:BA$141,MAX(1,MIN(121,$B109-ROUND(Declarations!$A$16/$D$18,0))))+Declarations!$B$17*INDEX(BA$21:BA$141,MAX(1,MIN(121,$B109-ROUND(Declarations!$A$17/$D$18,0))))+Declarations!$B$18*INDEX(BA$21:BA$141,MAX(1,MIN(121,$B109-ROUND(Declarations!$A$18/$D$18,0))))+Declarations!$B$19*INDEX(BA$21:BA$141,MAX(1,MIN(121,$B109-ROUND(Declarations!$A$19/$D$18,0))))+Declarations!$B$20*INDEX(BA$21:BA$141,MAX(1,MIN(121,$B109-ROUND(Declarations!$A$20/$D$18,0)))))</f>
        <v>-264.833534167009</v>
      </c>
      <c r="BC109" s="12" t="n">
        <f aca="false">INDEX(BB$21:BB$141,$I109+1)*(1-$J109)+INDEX(BB$21:BB$141,$I109+2)*$J109</f>
        <v>-263.702285074933</v>
      </c>
      <c r="BD109" s="12" t="n">
        <f aca="false">INDEX(BB$21:BB$141,$K109+1)*(1-$L109)+INDEX(BB$21:BB$141,$K109+2)*$L109</f>
        <v>-265.677159655327</v>
      </c>
      <c r="BE109" s="12" t="n">
        <f aca="false">$C109+$D109+MAX(BC109,BD109,IF(COUNTIFS($A$21:$A$141,"&gt;="&amp;$G109,$A$21:$A$141,"&lt;="&amp;$H109)&gt;0,_xlfn.MAXIFS(BB$21:BB$141,$A$21:$A$141,"&gt;="&amp;$G109,$A$21:$A$141,"&lt;="&amp;$H109),BC109))</f>
        <v>-21.9022850749332</v>
      </c>
      <c r="BF109" s="12" t="n">
        <f aca="false">-Cost_k*$A109+Beta_q*(Declarations!$B$16*INDEX(BE$21:BE$141,MAX(1,MIN(121,$B109-ROUND(Declarations!$A$16/$D$18,0))))+Declarations!$B$17*INDEX(BE$21:BE$141,MAX(1,MIN(121,$B109-ROUND(Declarations!$A$17/$D$18,0))))+Declarations!$B$18*INDEX(BE$21:BE$141,MAX(1,MIN(121,$B109-ROUND(Declarations!$A$18/$D$18,0))))+Declarations!$B$19*INDEX(BE$21:BE$141,MAX(1,MIN(121,$B109-ROUND(Declarations!$A$19/$D$18,0))))+Declarations!$B$20*INDEX(BE$21:BE$141,MAX(1,MIN(121,$B109-ROUND(Declarations!$A$20/$D$18,0)))))</f>
        <v>-269.409896701777</v>
      </c>
      <c r="BG109" s="12" t="n">
        <f aca="false">INDEX(BF$21:BF$141,$I109+1)*(1-$J109)+INDEX(BF$21:BF$141,$I109+2)*$J109</f>
        <v>-268.290247871234</v>
      </c>
      <c r="BH109" s="12" t="n">
        <f aca="false">INDEX(BF$21:BF$141,$K109+1)*(1-$L109)+INDEX(BF$21:BF$141,$K109+2)*$L109</f>
        <v>-270.221731959601</v>
      </c>
      <c r="BI109" s="12" t="n">
        <f aca="false">$C109+$D109+MAX(BG109,BH109,IF(COUNTIFS($A$21:$A$141,"&gt;="&amp;$G109,$A$21:$A$141,"&lt;="&amp;$H109)&gt;0,_xlfn.MAXIFS(BF$21:BF$141,$A$21:$A$141,"&gt;="&amp;$G109,$A$21:$A$141,"&lt;="&amp;$H109),BG109))</f>
        <v>-26.4902478712336</v>
      </c>
      <c r="BJ109" s="23" t="n">
        <v>-26.4902478712336</v>
      </c>
      <c r="BK109" s="22" t="n">
        <f aca="false">ABS(BI109-BJ109)</f>
        <v>0</v>
      </c>
    </row>
    <row r="110" customFormat="false" ht="15" hidden="false" customHeight="false" outlineLevel="0" collapsed="false">
      <c r="A110" s="14" t="n">
        <f aca="false">A109+$D$18</f>
        <v>62.25</v>
      </c>
      <c r="B110" s="19" t="n">
        <v>90</v>
      </c>
      <c r="C110" s="12" t="n">
        <f aca="false">-Short_p*MAX(Floor_c-A110,0)</f>
        <v>-0</v>
      </c>
      <c r="D110" s="12" t="n">
        <f aca="false">Cost_k*Alpha_keep*A110</f>
        <v>242.775</v>
      </c>
      <c r="E110" s="12" t="n">
        <f aca="false">MIN(Cap_h,MAX(0,$B$18+MAX(Loss_w)-Alpha_keep*A110))</f>
        <v>0</v>
      </c>
      <c r="F110" s="12" t="n">
        <f aca="false">MAX(MIN(Cap_h,$F$18+MIN(Loss_w)-Alpha_keep*A110),E110)</f>
        <v>2.5</v>
      </c>
      <c r="G110" s="12" t="n">
        <f aca="false">Alpha_keep*A110+E110</f>
        <v>60.69375</v>
      </c>
      <c r="H110" s="12" t="n">
        <f aca="false">Alpha_keep*A110+F110</f>
        <v>63.19375</v>
      </c>
      <c r="I110" s="19" t="n">
        <f aca="false">MIN(INT((G110-$B$18)/$D$18+0.000000001),119)</f>
        <v>82</v>
      </c>
      <c r="J110" s="12" t="n">
        <f aca="false">(G110-$B$18)/$D$18-I110</f>
        <v>0.775000000000006</v>
      </c>
      <c r="K110" s="19" t="n">
        <f aca="false">MIN(INT((H110-$B$18)/$D$18+0.000000001),119)</f>
        <v>92</v>
      </c>
      <c r="L110" s="12" t="n">
        <f aca="false">(H110-$B$18)/$D$18-K110</f>
        <v>0.775000000000006</v>
      </c>
      <c r="M110" s="9" t="n">
        <v>0</v>
      </c>
      <c r="N110" s="12" t="n">
        <f aca="false">-Cost_k*$A110+Beta_q*(Declarations!$B$16*INDEX(M$21:M$141,MAX(1,MIN(121,$B110-ROUND(Declarations!$A$16/$D$18,0))))+Declarations!$B$17*INDEX(M$21:M$141,MAX(1,MIN(121,$B110-ROUND(Declarations!$A$17/$D$18,0))))+Declarations!$B$18*INDEX(M$21:M$141,MAX(1,MIN(121,$B110-ROUND(Declarations!$A$18/$D$18,0))))+Declarations!$B$19*INDEX(M$21:M$141,MAX(1,MIN(121,$B110-ROUND(Declarations!$A$19/$D$18,0))))+Declarations!$B$20*INDEX(M$21:M$141,MAX(1,MIN(121,$B110-ROUND(Declarations!$A$20/$D$18,0)))))</f>
        <v>-249</v>
      </c>
      <c r="O110" s="12" t="n">
        <f aca="false">INDEX(N$21:N$141,$I110+1)*(1-$J110)+INDEX(N$21:N$141,$I110+2)*$J110</f>
        <v>-242.775</v>
      </c>
      <c r="P110" s="12" t="n">
        <f aca="false">INDEX(N$21:N$141,$K110+1)*(1-$L110)+INDEX(N$21:N$141,$K110+2)*$L110</f>
        <v>-252.775</v>
      </c>
      <c r="Q110" s="12" t="n">
        <f aca="false">$C110+$D110+MAX(O110,P110,IF(COUNTIFS($A$21:$A$141,"&gt;="&amp;$G110,$A$21:$A$141,"&lt;="&amp;$H110)&gt;0,_xlfn.MAXIFS(N$21:N$141,$A$21:$A$141,"&gt;="&amp;$G110,$A$21:$A$141,"&lt;="&amp;$H110),O110))</f>
        <v>0</v>
      </c>
      <c r="R110" s="12" t="n">
        <f aca="false">-Cost_k*$A110+Beta_q*(Declarations!$B$16*INDEX(Q$21:Q$141,MAX(1,MIN(121,$B110-ROUND(Declarations!$A$16/$D$18,0))))+Declarations!$B$17*INDEX(Q$21:Q$141,MAX(1,MIN(121,$B110-ROUND(Declarations!$A$17/$D$18,0))))+Declarations!$B$18*INDEX(Q$21:Q$141,MAX(1,MIN(121,$B110-ROUND(Declarations!$A$18/$D$18,0))))+Declarations!$B$19*INDEX(Q$21:Q$141,MAX(1,MIN(121,$B110-ROUND(Declarations!$A$19/$D$18,0))))+Declarations!$B$20*INDEX(Q$21:Q$141,MAX(1,MIN(121,$B110-ROUND(Declarations!$A$20/$D$18,0)))))</f>
        <v>-249</v>
      </c>
      <c r="S110" s="12" t="n">
        <f aca="false">INDEX(R$21:R$141,$I110+1)*(1-$J110)+INDEX(R$21:R$141,$I110+2)*$J110</f>
        <v>-242.775</v>
      </c>
      <c r="T110" s="12" t="n">
        <f aca="false">INDEX(R$21:R$141,$K110+1)*(1-$L110)+INDEX(R$21:R$141,$K110+2)*$L110</f>
        <v>-252.775</v>
      </c>
      <c r="U110" s="12" t="n">
        <f aca="false">$C110+$D110+MAX(S110,T110,IF(COUNTIFS($A$21:$A$141,"&gt;="&amp;$G110,$A$21:$A$141,"&lt;="&amp;$H110)&gt;0,_xlfn.MAXIFS(R$21:R$141,$A$21:$A$141,"&gt;="&amp;$G110,$A$21:$A$141,"&lt;="&amp;$H110),S110))</f>
        <v>0</v>
      </c>
      <c r="V110" s="12" t="n">
        <f aca="false">-Cost_k*$A110+Beta_q*(Declarations!$B$16*INDEX(U$21:U$141,MAX(1,MIN(121,$B110-ROUND(Declarations!$A$16/$D$18,0))))+Declarations!$B$17*INDEX(U$21:U$141,MAX(1,MIN(121,$B110-ROUND(Declarations!$A$17/$D$18,0))))+Declarations!$B$18*INDEX(U$21:U$141,MAX(1,MIN(121,$B110-ROUND(Declarations!$A$18/$D$18,0))))+Declarations!$B$19*INDEX(U$21:U$141,MAX(1,MIN(121,$B110-ROUND(Declarations!$A$19/$D$18,0))))+Declarations!$B$20*INDEX(U$21:U$141,MAX(1,MIN(121,$B110-ROUND(Declarations!$A$20/$D$18,0)))))</f>
        <v>-249</v>
      </c>
      <c r="W110" s="12" t="n">
        <f aca="false">INDEX(V$21:V$141,$I110+1)*(1-$J110)+INDEX(V$21:V$141,$I110+2)*$J110</f>
        <v>-242.775</v>
      </c>
      <c r="X110" s="12" t="n">
        <f aca="false">INDEX(V$21:V$141,$K110+1)*(1-$L110)+INDEX(V$21:V$141,$K110+2)*$L110</f>
        <v>-252.775</v>
      </c>
      <c r="Y110" s="12" t="n">
        <f aca="false">$C110+$D110+MAX(W110,X110,IF(COUNTIFS($A$21:$A$141,"&gt;="&amp;$G110,$A$21:$A$141,"&lt;="&amp;$H110)&gt;0,_xlfn.MAXIFS(V$21:V$141,$A$21:$A$141,"&gt;="&amp;$G110,$A$21:$A$141,"&lt;="&amp;$H110),W110))</f>
        <v>0</v>
      </c>
      <c r="Z110" s="12" t="n">
        <f aca="false">-Cost_k*$A110+Beta_q*(Declarations!$B$16*INDEX(Y$21:Y$141,MAX(1,MIN(121,$B110-ROUND(Declarations!$A$16/$D$18,0))))+Declarations!$B$17*INDEX(Y$21:Y$141,MAX(1,MIN(121,$B110-ROUND(Declarations!$A$17/$D$18,0))))+Declarations!$B$18*INDEX(Y$21:Y$141,MAX(1,MIN(121,$B110-ROUND(Declarations!$A$18/$D$18,0))))+Declarations!$B$19*INDEX(Y$21:Y$141,MAX(1,MIN(121,$B110-ROUND(Declarations!$A$19/$D$18,0))))+Declarations!$B$20*INDEX(Y$21:Y$141,MAX(1,MIN(121,$B110-ROUND(Declarations!$A$20/$D$18,0)))))</f>
        <v>-249.000039480746</v>
      </c>
      <c r="AA110" s="12" t="n">
        <f aca="false">INDEX(Z$21:Z$141,$I110+1)*(1-$J110)+INDEX(Z$21:Z$141,$I110+2)*$J110</f>
        <v>-242.780807427968</v>
      </c>
      <c r="AB110" s="12" t="n">
        <f aca="false">INDEX(Z$21:Z$141,$K110+1)*(1-$L110)+INDEX(Z$21:Z$141,$K110+2)*$L110</f>
        <v>-252.775</v>
      </c>
      <c r="AC110" s="12" t="n">
        <f aca="false">$C110+$D110+MAX(AA110,AB110,IF(COUNTIFS($A$21:$A$141,"&gt;="&amp;$G110,$A$21:$A$141,"&lt;="&amp;$H110)&gt;0,_xlfn.MAXIFS(Z$21:Z$141,$A$21:$A$141,"&gt;="&amp;$G110,$A$21:$A$141,"&lt;="&amp;$H110),AA110))</f>
        <v>-0.00580742796790901</v>
      </c>
      <c r="AD110" s="12" t="n">
        <f aca="false">-Cost_k*$A110+Beta_q*(Declarations!$B$16*INDEX(AC$21:AC$141,MAX(1,MIN(121,$B110-ROUND(Declarations!$A$16/$D$18,0))))+Declarations!$B$17*INDEX(AC$21:AC$141,MAX(1,MIN(121,$B110-ROUND(Declarations!$A$17/$D$18,0))))+Declarations!$B$18*INDEX(AC$21:AC$141,MAX(1,MIN(121,$B110-ROUND(Declarations!$A$18/$D$18,0))))+Declarations!$B$19*INDEX(AC$21:AC$141,MAX(1,MIN(121,$B110-ROUND(Declarations!$A$19/$D$18,0))))+Declarations!$B$20*INDEX(AC$21:AC$141,MAX(1,MIN(121,$B110-ROUND(Declarations!$A$20/$D$18,0)))))</f>
        <v>-249.014025740512</v>
      </c>
      <c r="AE110" s="12" t="n">
        <f aca="false">INDEX(AD$21:AD$141,$I110+1)*(1-$J110)+INDEX(AD$21:AD$141,$I110+2)*$J110</f>
        <v>-242.95163850801</v>
      </c>
      <c r="AF110" s="12" t="n">
        <f aca="false">INDEX(AD$21:AD$141,$K110+1)*(1-$L110)+INDEX(AD$21:AD$141,$K110+2)*$L110</f>
        <v>-252.776752484729</v>
      </c>
      <c r="AG110" s="12" t="n">
        <f aca="false">$C110+$D110+MAX(AE110,AF110,IF(COUNTIFS($A$21:$A$141,"&gt;="&amp;$G110,$A$21:$A$141,"&lt;="&amp;$H110)&gt;0,_xlfn.MAXIFS(AD$21:AD$141,$A$21:$A$141,"&gt;="&amp;$G110,$A$21:$A$141,"&lt;="&amp;$H110),AE110))</f>
        <v>-0.176638508009631</v>
      </c>
      <c r="AH110" s="12" t="n">
        <f aca="false">-Cost_k*$A110+Beta_q*(Declarations!$B$16*INDEX(AG$21:AG$141,MAX(1,MIN(121,$B110-ROUND(Declarations!$A$16/$D$18,0))))+Declarations!$B$17*INDEX(AG$21:AG$141,MAX(1,MIN(121,$B110-ROUND(Declarations!$A$17/$D$18,0))))+Declarations!$B$18*INDEX(AG$21:AG$141,MAX(1,MIN(121,$B110-ROUND(Declarations!$A$18/$D$18,0))))+Declarations!$B$19*INDEX(AG$21:AG$141,MAX(1,MIN(121,$B110-ROUND(Declarations!$A$19/$D$18,0))))+Declarations!$B$20*INDEX(AG$21:AG$141,MAX(1,MIN(121,$B110-ROUND(Declarations!$A$20/$D$18,0)))))</f>
        <v>-249.229887485602</v>
      </c>
      <c r="AI110" s="12" t="n">
        <f aca="false">INDEX(AH$21:AH$141,$I110+1)*(1-$J110)+INDEX(AH$21:AH$141,$I110+2)*$J110</f>
        <v>-243.877441168077</v>
      </c>
      <c r="AJ110" s="12" t="n">
        <f aca="false">INDEX(AH$21:AH$141,$K110+1)*(1-$L110)+INDEX(AH$21:AH$141,$K110+2)*$L110</f>
        <v>-252.841686322535</v>
      </c>
      <c r="AK110" s="12" t="n">
        <f aca="false">$C110+$D110+MAX(AI110,AJ110,IF(COUNTIFS($A$21:$A$141,"&gt;="&amp;$G110,$A$21:$A$141,"&lt;="&amp;$H110)&gt;0,_xlfn.MAXIFS(AH$21:AH$141,$A$21:$A$141,"&gt;="&amp;$G110,$A$21:$A$141,"&lt;="&amp;$H110),AI110))</f>
        <v>-1.10244116807704</v>
      </c>
      <c r="AL110" s="12" t="n">
        <f aca="false">-Cost_k*$A110+Beta_q*(Declarations!$B$16*INDEX(AK$21:AK$141,MAX(1,MIN(121,$B110-ROUND(Declarations!$A$16/$D$18,0))))+Declarations!$B$17*INDEX(AK$21:AK$141,MAX(1,MIN(121,$B110-ROUND(Declarations!$A$17/$D$18,0))))+Declarations!$B$18*INDEX(AK$21:AK$141,MAX(1,MIN(121,$B110-ROUND(Declarations!$A$18/$D$18,0))))+Declarations!$B$19*INDEX(AK$21:AK$141,MAX(1,MIN(121,$B110-ROUND(Declarations!$A$19/$D$18,0))))+Declarations!$B$20*INDEX(AK$21:AK$141,MAX(1,MIN(121,$B110-ROUND(Declarations!$A$20/$D$18,0)))))</f>
        <v>-250.198345284148</v>
      </c>
      <c r="AM110" s="12" t="n">
        <f aca="false">INDEX(AL$21:AL$141,$I110+1)*(1-$J110)+INDEX(AL$21:AL$141,$I110+2)*$J110</f>
        <v>-246.168780419366</v>
      </c>
      <c r="AN110" s="12" t="n">
        <f aca="false">INDEX(AL$21:AL$141,$K110+1)*(1-$L110)+INDEX(AL$21:AL$141,$K110+2)*$L110</f>
        <v>-253.311181737395</v>
      </c>
      <c r="AO110" s="12" t="n">
        <f aca="false">$C110+$D110+MAX(AM110,AN110,IF(COUNTIFS($A$21:$A$141,"&gt;="&amp;$G110,$A$21:$A$141,"&lt;="&amp;$H110)&gt;0,_xlfn.MAXIFS(AL$21:AL$141,$A$21:$A$141,"&gt;="&amp;$G110,$A$21:$A$141,"&lt;="&amp;$H110),AM110))</f>
        <v>-3.3937804193661</v>
      </c>
      <c r="AP110" s="12" t="n">
        <f aca="false">-Cost_k*$A110+Beta_q*(Declarations!$B$16*INDEX(AO$21:AO$141,MAX(1,MIN(121,$B110-ROUND(Declarations!$A$16/$D$18,0))))+Declarations!$B$17*INDEX(AO$21:AO$141,MAX(1,MIN(121,$B110-ROUND(Declarations!$A$17/$D$18,0))))+Declarations!$B$18*INDEX(AO$21:AO$141,MAX(1,MIN(121,$B110-ROUND(Declarations!$A$18/$D$18,0))))+Declarations!$B$19*INDEX(AO$21:AO$141,MAX(1,MIN(121,$B110-ROUND(Declarations!$A$19/$D$18,0))))+Declarations!$B$20*INDEX(AO$21:AO$141,MAX(1,MIN(121,$B110-ROUND(Declarations!$A$20/$D$18,0)))))</f>
        <v>-252.462289161166</v>
      </c>
      <c r="AQ110" s="12" t="n">
        <f aca="false">INDEX(AP$21:AP$141,$I110+1)*(1-$J110)+INDEX(AP$21:AP$141,$I110+2)*$J110</f>
        <v>-249.892649579524</v>
      </c>
      <c r="AR110" s="12" t="n">
        <f aca="false">INDEX(AP$21:AP$141,$K110+1)*(1-$L110)+INDEX(AP$21:AP$141,$K110+2)*$L110</f>
        <v>-254.769316835496</v>
      </c>
      <c r="AS110" s="12" t="n">
        <f aca="false">$C110+$D110+MAX(AQ110,AR110,IF(COUNTIFS($A$21:$A$141,"&gt;="&amp;$G110,$A$21:$A$141,"&lt;="&amp;$H110)&gt;0,_xlfn.MAXIFS(AP$21:AP$141,$A$21:$A$141,"&gt;="&amp;$G110,$A$21:$A$141,"&lt;="&amp;$H110),AQ110))</f>
        <v>-7.11764957952352</v>
      </c>
      <c r="AT110" s="12" t="n">
        <f aca="false">-Cost_k*$A110+Beta_q*(Declarations!$B$16*INDEX(AS$21:AS$141,MAX(1,MIN(121,$B110-ROUND(Declarations!$A$16/$D$18,0))))+Declarations!$B$17*INDEX(AS$21:AS$141,MAX(1,MIN(121,$B110-ROUND(Declarations!$A$17/$D$18,0))))+Declarations!$B$18*INDEX(AS$21:AS$141,MAX(1,MIN(121,$B110-ROUND(Declarations!$A$18/$D$18,0))))+Declarations!$B$19*INDEX(AS$21:AS$141,MAX(1,MIN(121,$B110-ROUND(Declarations!$A$19/$D$18,0))))+Declarations!$B$20*INDEX(AS$21:AS$141,MAX(1,MIN(121,$B110-ROUND(Declarations!$A$20/$D$18,0)))))</f>
        <v>-256.059551002459</v>
      </c>
      <c r="AU110" s="12" t="n">
        <f aca="false">INDEX(AT$21:AT$141,$I110+1)*(1-$J110)+INDEX(AT$21:AT$141,$I110+2)*$J110</f>
        <v>-254.437602571393</v>
      </c>
      <c r="AV110" s="12" t="n">
        <f aca="false">INDEX(AT$21:AT$141,$K110+1)*(1-$L110)+INDEX(AT$21:AT$141,$K110+2)*$L110</f>
        <v>-257.568483893806</v>
      </c>
      <c r="AW110" s="12" t="n">
        <f aca="false">$C110+$D110+MAX(AU110,AV110,IF(COUNTIFS($A$21:$A$141,"&gt;="&amp;$G110,$A$21:$A$141,"&lt;="&amp;$H110)&gt;0,_xlfn.MAXIFS(AT$21:AT$141,$A$21:$A$141,"&gt;="&amp;$G110,$A$21:$A$141,"&lt;="&amp;$H110),AU110))</f>
        <v>-11.6626025713927</v>
      </c>
      <c r="AX110" s="12" t="n">
        <f aca="false">-Cost_k*$A110+Beta_q*(Declarations!$B$16*INDEX(AW$21:AW$141,MAX(1,MIN(121,$B110-ROUND(Declarations!$A$16/$D$18,0))))+Declarations!$B$17*INDEX(AW$21:AW$141,MAX(1,MIN(121,$B110-ROUND(Declarations!$A$17/$D$18,0))))+Declarations!$B$18*INDEX(AW$21:AW$141,MAX(1,MIN(121,$B110-ROUND(Declarations!$A$18/$D$18,0))))+Declarations!$B$19*INDEX(AW$21:AW$141,MAX(1,MIN(121,$B110-ROUND(Declarations!$A$19/$D$18,0))))+Declarations!$B$20*INDEX(AW$21:AW$141,MAX(1,MIN(121,$B110-ROUND(Declarations!$A$20/$D$18,0)))))</f>
        <v>-260.441993892761</v>
      </c>
      <c r="AY110" s="12" t="n">
        <f aca="false">INDEX(AX$21:AX$141,$I110+1)*(1-$J110)+INDEX(AX$21:AX$141,$I110+2)*$J110</f>
        <v>-259.174184291147</v>
      </c>
      <c r="AZ110" s="12" t="n">
        <f aca="false">INDEX(AX$21:AX$141,$K110+1)*(1-$L110)+INDEX(AX$21:AX$141,$K110+2)*$L110</f>
        <v>-261.481678331364</v>
      </c>
      <c r="BA110" s="12" t="n">
        <f aca="false">$C110+$D110+MAX(AY110,AZ110,IF(COUNTIFS($A$21:$A$141,"&gt;="&amp;$G110,$A$21:$A$141,"&lt;="&amp;$H110)&gt;0,_xlfn.MAXIFS(AX$21:AX$141,$A$21:$A$141,"&gt;="&amp;$G110,$A$21:$A$141,"&lt;="&amp;$H110),AY110))</f>
        <v>-16.3991842911467</v>
      </c>
      <c r="BB110" s="12" t="n">
        <f aca="false">-Cost_k*$A110+Beta_q*(Declarations!$B$16*INDEX(BA$21:BA$141,MAX(1,MIN(121,$B110-ROUND(Declarations!$A$16/$D$18,0))))+Declarations!$B$17*INDEX(BA$21:BA$141,MAX(1,MIN(121,$B110-ROUND(Declarations!$A$17/$D$18,0))))+Declarations!$B$18*INDEX(BA$21:BA$141,MAX(1,MIN(121,$B110-ROUND(Declarations!$A$18/$D$18,0))))+Declarations!$B$19*INDEX(BA$21:BA$141,MAX(1,MIN(121,$B110-ROUND(Declarations!$A$19/$D$18,0))))+Declarations!$B$20*INDEX(BA$21:BA$141,MAX(1,MIN(121,$B110-ROUND(Declarations!$A$20/$D$18,0)))))</f>
        <v>-265.042645463195</v>
      </c>
      <c r="BC110" s="12" t="n">
        <f aca="false">INDEX(BB$21:BB$141,$I110+1)*(1-$J110)+INDEX(BB$21:BB$141,$I110+2)*$J110</f>
        <v>-263.861986847614</v>
      </c>
      <c r="BD110" s="12" t="n">
        <f aca="false">INDEX(BB$21:BB$141,$K110+1)*(1-$L110)+INDEX(BB$21:BB$141,$K110+2)*$L110</f>
        <v>-265.914672252763</v>
      </c>
      <c r="BE110" s="12" t="n">
        <f aca="false">$C110+$D110+MAX(BC110,BD110,IF(COUNTIFS($A$21:$A$141,"&gt;="&amp;$G110,$A$21:$A$141,"&lt;="&amp;$H110)&gt;0,_xlfn.MAXIFS(BB$21:BB$141,$A$21:$A$141,"&gt;="&amp;$G110,$A$21:$A$141,"&lt;="&amp;$H110),BC110))</f>
        <v>-21.0869868476139</v>
      </c>
      <c r="BF110" s="12" t="n">
        <f aca="false">-Cost_k*$A110+Beta_q*(Declarations!$B$16*INDEX(BE$21:BE$141,MAX(1,MIN(121,$B110-ROUND(Declarations!$A$16/$D$18,0))))+Declarations!$B$17*INDEX(BE$21:BE$141,MAX(1,MIN(121,$B110-ROUND(Declarations!$A$17/$D$18,0))))+Declarations!$B$18*INDEX(BE$21:BE$141,MAX(1,MIN(121,$B110-ROUND(Declarations!$A$18/$D$18,0))))+Declarations!$B$19*INDEX(BE$21:BE$141,MAX(1,MIN(121,$B110-ROUND(Declarations!$A$19/$D$18,0))))+Declarations!$B$20*INDEX(BE$21:BE$141,MAX(1,MIN(121,$B110-ROUND(Declarations!$A$20/$D$18,0)))))</f>
        <v>-269.61391208404</v>
      </c>
      <c r="BG110" s="12" t="n">
        <f aca="false">INDEX(BF$21:BF$141,$I110+1)*(1-$J110)+INDEX(BF$21:BF$141,$I110+2)*$J110</f>
        <v>-268.449424780019</v>
      </c>
      <c r="BH110" s="12" t="n">
        <f aca="false">INDEX(BF$21:BF$141,$K110+1)*(1-$L110)+INDEX(BF$21:BF$141,$K110+2)*$L110</f>
        <v>-270.44461747057</v>
      </c>
      <c r="BI110" s="12" t="n">
        <f aca="false">$C110+$D110+MAX(BG110,BH110,IF(COUNTIFS($A$21:$A$141,"&gt;="&amp;$G110,$A$21:$A$141,"&lt;="&amp;$H110)&gt;0,_xlfn.MAXIFS(BF$21:BF$141,$A$21:$A$141,"&gt;="&amp;$G110,$A$21:$A$141,"&lt;="&amp;$H110),BG110))</f>
        <v>-25.6744247800188</v>
      </c>
      <c r="BJ110" s="23" t="n">
        <v>-25.6744247800188</v>
      </c>
      <c r="BK110" s="22" t="n">
        <f aca="false">ABS(BI110-BJ110)</f>
        <v>0</v>
      </c>
    </row>
    <row r="111" customFormat="false" ht="15" hidden="false" customHeight="false" outlineLevel="0" collapsed="false">
      <c r="A111" s="14" t="n">
        <f aca="false">A110+$D$18</f>
        <v>62.5</v>
      </c>
      <c r="B111" s="19" t="n">
        <v>91</v>
      </c>
      <c r="C111" s="12" t="n">
        <f aca="false">-Short_p*MAX(Floor_c-A111,0)</f>
        <v>-0</v>
      </c>
      <c r="D111" s="12" t="n">
        <f aca="false">Cost_k*Alpha_keep*A111</f>
        <v>243.75</v>
      </c>
      <c r="E111" s="12" t="n">
        <f aca="false">MIN(Cap_h,MAX(0,$B$18+MAX(Loss_w)-Alpha_keep*A111))</f>
        <v>0</v>
      </c>
      <c r="F111" s="12" t="n">
        <f aca="false">MAX(MIN(Cap_h,$F$18+MIN(Loss_w)-Alpha_keep*A111),E111)</f>
        <v>2.5</v>
      </c>
      <c r="G111" s="12" t="n">
        <f aca="false">Alpha_keep*A111+E111</f>
        <v>60.9375</v>
      </c>
      <c r="H111" s="12" t="n">
        <f aca="false">Alpha_keep*A111+F111</f>
        <v>63.4375</v>
      </c>
      <c r="I111" s="19" t="n">
        <f aca="false">MIN(INT((G111-$B$18)/$D$18+0.000000001),119)</f>
        <v>83</v>
      </c>
      <c r="J111" s="12" t="n">
        <f aca="false">(G111-$B$18)/$D$18-I111</f>
        <v>0.75</v>
      </c>
      <c r="K111" s="19" t="n">
        <f aca="false">MIN(INT((H111-$B$18)/$D$18+0.000000001),119)</f>
        <v>93</v>
      </c>
      <c r="L111" s="12" t="n">
        <f aca="false">(H111-$B$18)/$D$18-K111</f>
        <v>0.75</v>
      </c>
      <c r="M111" s="9" t="n">
        <v>0</v>
      </c>
      <c r="N111" s="12" t="n">
        <f aca="false">-Cost_k*$A111+Beta_q*(Declarations!$B$16*INDEX(M$21:M$141,MAX(1,MIN(121,$B111-ROUND(Declarations!$A$16/$D$18,0))))+Declarations!$B$17*INDEX(M$21:M$141,MAX(1,MIN(121,$B111-ROUND(Declarations!$A$17/$D$18,0))))+Declarations!$B$18*INDEX(M$21:M$141,MAX(1,MIN(121,$B111-ROUND(Declarations!$A$18/$D$18,0))))+Declarations!$B$19*INDEX(M$21:M$141,MAX(1,MIN(121,$B111-ROUND(Declarations!$A$19/$D$18,0))))+Declarations!$B$20*INDEX(M$21:M$141,MAX(1,MIN(121,$B111-ROUND(Declarations!$A$20/$D$18,0)))))</f>
        <v>-250</v>
      </c>
      <c r="O111" s="12" t="n">
        <f aca="false">INDEX(N$21:N$141,$I111+1)*(1-$J111)+INDEX(N$21:N$141,$I111+2)*$J111</f>
        <v>-243.75</v>
      </c>
      <c r="P111" s="12" t="n">
        <f aca="false">INDEX(N$21:N$141,$K111+1)*(1-$L111)+INDEX(N$21:N$141,$K111+2)*$L111</f>
        <v>-253.75</v>
      </c>
      <c r="Q111" s="12" t="n">
        <f aca="false">$C111+$D111+MAX(O111,P111,IF(COUNTIFS($A$21:$A$141,"&gt;="&amp;$G111,$A$21:$A$141,"&lt;="&amp;$H111)&gt;0,_xlfn.MAXIFS(N$21:N$141,$A$21:$A$141,"&gt;="&amp;$G111,$A$21:$A$141,"&lt;="&amp;$H111),O111))</f>
        <v>0</v>
      </c>
      <c r="R111" s="12" t="n">
        <f aca="false">-Cost_k*$A111+Beta_q*(Declarations!$B$16*INDEX(Q$21:Q$141,MAX(1,MIN(121,$B111-ROUND(Declarations!$A$16/$D$18,0))))+Declarations!$B$17*INDEX(Q$21:Q$141,MAX(1,MIN(121,$B111-ROUND(Declarations!$A$17/$D$18,0))))+Declarations!$B$18*INDEX(Q$21:Q$141,MAX(1,MIN(121,$B111-ROUND(Declarations!$A$18/$D$18,0))))+Declarations!$B$19*INDEX(Q$21:Q$141,MAX(1,MIN(121,$B111-ROUND(Declarations!$A$19/$D$18,0))))+Declarations!$B$20*INDEX(Q$21:Q$141,MAX(1,MIN(121,$B111-ROUND(Declarations!$A$20/$D$18,0)))))</f>
        <v>-250</v>
      </c>
      <c r="S111" s="12" t="n">
        <f aca="false">INDEX(R$21:R$141,$I111+1)*(1-$J111)+INDEX(R$21:R$141,$I111+2)*$J111</f>
        <v>-243.75</v>
      </c>
      <c r="T111" s="12" t="n">
        <f aca="false">INDEX(R$21:R$141,$K111+1)*(1-$L111)+INDEX(R$21:R$141,$K111+2)*$L111</f>
        <v>-253.75</v>
      </c>
      <c r="U111" s="12" t="n">
        <f aca="false">$C111+$D111+MAX(S111,T111,IF(COUNTIFS($A$21:$A$141,"&gt;="&amp;$G111,$A$21:$A$141,"&lt;="&amp;$H111)&gt;0,_xlfn.MAXIFS(R$21:R$141,$A$21:$A$141,"&gt;="&amp;$G111,$A$21:$A$141,"&lt;="&amp;$H111),S111))</f>
        <v>0</v>
      </c>
      <c r="V111" s="12" t="n">
        <f aca="false">-Cost_k*$A111+Beta_q*(Declarations!$B$16*INDEX(U$21:U$141,MAX(1,MIN(121,$B111-ROUND(Declarations!$A$16/$D$18,0))))+Declarations!$B$17*INDEX(U$21:U$141,MAX(1,MIN(121,$B111-ROUND(Declarations!$A$17/$D$18,0))))+Declarations!$B$18*INDEX(U$21:U$141,MAX(1,MIN(121,$B111-ROUND(Declarations!$A$18/$D$18,0))))+Declarations!$B$19*INDEX(U$21:U$141,MAX(1,MIN(121,$B111-ROUND(Declarations!$A$19/$D$18,0))))+Declarations!$B$20*INDEX(U$21:U$141,MAX(1,MIN(121,$B111-ROUND(Declarations!$A$20/$D$18,0)))))</f>
        <v>-250</v>
      </c>
      <c r="W111" s="12" t="n">
        <f aca="false">INDEX(V$21:V$141,$I111+1)*(1-$J111)+INDEX(V$21:V$141,$I111+2)*$J111</f>
        <v>-243.75</v>
      </c>
      <c r="X111" s="12" t="n">
        <f aca="false">INDEX(V$21:V$141,$K111+1)*(1-$L111)+INDEX(V$21:V$141,$K111+2)*$L111</f>
        <v>-253.75</v>
      </c>
      <c r="Y111" s="12" t="n">
        <f aca="false">$C111+$D111+MAX(W111,X111,IF(COUNTIFS($A$21:$A$141,"&gt;="&amp;$G111,$A$21:$A$141,"&lt;="&amp;$H111)&gt;0,_xlfn.MAXIFS(V$21:V$141,$A$21:$A$141,"&gt;="&amp;$G111,$A$21:$A$141,"&lt;="&amp;$H111),W111))</f>
        <v>0</v>
      </c>
      <c r="Z111" s="12" t="n">
        <f aca="false">-Cost_k*$A111+Beta_q*(Declarations!$B$16*INDEX(Y$21:Y$141,MAX(1,MIN(121,$B111-ROUND(Declarations!$A$16/$D$18,0))))+Declarations!$B$17*INDEX(Y$21:Y$141,MAX(1,MIN(121,$B111-ROUND(Declarations!$A$17/$D$18,0))))+Declarations!$B$18*INDEX(Y$21:Y$141,MAX(1,MIN(121,$B111-ROUND(Declarations!$A$18/$D$18,0))))+Declarations!$B$19*INDEX(Y$21:Y$141,MAX(1,MIN(121,$B111-ROUND(Declarations!$A$19/$D$18,0))))+Declarations!$B$20*INDEX(Y$21:Y$141,MAX(1,MIN(121,$B111-ROUND(Declarations!$A$20/$D$18,0)))))</f>
        <v>-250.000003607673</v>
      </c>
      <c r="AA111" s="12" t="n">
        <f aca="false">INDEX(Z$21:Z$141,$I111+1)*(1-$J111)+INDEX(Z$21:Z$141,$I111+2)*$J111</f>
        <v>-243.752591465866</v>
      </c>
      <c r="AB111" s="12" t="n">
        <f aca="false">INDEX(Z$21:Z$141,$K111+1)*(1-$L111)+INDEX(Z$21:Z$141,$K111+2)*$L111</f>
        <v>-253.75</v>
      </c>
      <c r="AC111" s="12" t="n">
        <f aca="false">$C111+$D111+MAX(AA111,AB111,IF(COUNTIFS($A$21:$A$141,"&gt;="&amp;$G111,$A$21:$A$141,"&lt;="&amp;$H111)&gt;0,_xlfn.MAXIFS(Z$21:Z$141,$A$21:$A$141,"&gt;="&amp;$G111,$A$21:$A$141,"&lt;="&amp;$H111),AA111))</f>
        <v>-0.00259146586606107</v>
      </c>
      <c r="AD111" s="12" t="n">
        <f aca="false">-Cost_k*$A111+Beta_q*(Declarations!$B$16*INDEX(AC$21:AC$141,MAX(1,MIN(121,$B111-ROUND(Declarations!$A$16/$D$18,0))))+Declarations!$B$17*INDEX(AC$21:AC$141,MAX(1,MIN(121,$B111-ROUND(Declarations!$A$17/$D$18,0))))+Declarations!$B$18*INDEX(AC$21:AC$141,MAX(1,MIN(121,$B111-ROUND(Declarations!$A$18/$D$18,0))))+Declarations!$B$19*INDEX(AC$21:AC$141,MAX(1,MIN(121,$B111-ROUND(Declarations!$A$19/$D$18,0))))+Declarations!$B$20*INDEX(AC$21:AC$141,MAX(1,MIN(121,$B111-ROUND(Declarations!$A$20/$D$18,0)))))</f>
        <v>-250.00757434219</v>
      </c>
      <c r="AE111" s="12" t="n">
        <f aca="false">INDEX(AD$21:AD$141,$I111+1)*(1-$J111)+INDEX(AD$21:AD$141,$I111+2)*$J111</f>
        <v>-243.87113885634</v>
      </c>
      <c r="AF111" s="12" t="n">
        <f aca="false">INDEX(AD$21:AD$141,$K111+1)*(1-$L111)+INDEX(AD$21:AD$141,$K111+2)*$L111</f>
        <v>-253.750945240012</v>
      </c>
      <c r="AG111" s="12" t="n">
        <f aca="false">$C111+$D111+MAX(AE111,AF111,IF(COUNTIFS($A$21:$A$141,"&gt;="&amp;$G111,$A$21:$A$141,"&lt;="&amp;$H111)&gt;0,_xlfn.MAXIFS(AD$21:AD$141,$A$21:$A$141,"&gt;="&amp;$G111,$A$21:$A$141,"&lt;="&amp;$H111),AE111))</f>
        <v>-0.121138856340139</v>
      </c>
      <c r="AH111" s="12" t="n">
        <f aca="false">-Cost_k*$A111+Beta_q*(Declarations!$B$16*INDEX(AG$21:AG$141,MAX(1,MIN(121,$B111-ROUND(Declarations!$A$16/$D$18,0))))+Declarations!$B$17*INDEX(AG$21:AG$141,MAX(1,MIN(121,$B111-ROUND(Declarations!$A$17/$D$18,0))))+Declarations!$B$18*INDEX(AG$21:AG$141,MAX(1,MIN(121,$B111-ROUND(Declarations!$A$18/$D$18,0))))+Declarations!$B$19*INDEX(AG$21:AG$141,MAX(1,MIN(121,$B111-ROUND(Declarations!$A$19/$D$18,0))))+Declarations!$B$20*INDEX(AG$21:AG$141,MAX(1,MIN(121,$B111-ROUND(Declarations!$A$20/$D$18,0)))))</f>
        <v>-250.165338238855</v>
      </c>
      <c r="AI111" s="12" t="n">
        <f aca="false">INDEX(AH$21:AH$141,$I111+1)*(1-$J111)+INDEX(AH$21:AH$141,$I111+2)*$J111</f>
        <v>-244.634251201404</v>
      </c>
      <c r="AJ111" s="12" t="n">
        <f aca="false">INDEX(AH$21:AH$141,$K111+1)*(1-$L111)+INDEX(AH$21:AH$141,$K111+2)*$L111</f>
        <v>-253.796966832143</v>
      </c>
      <c r="AK111" s="12" t="n">
        <f aca="false">$C111+$D111+MAX(AI111,AJ111,IF(COUNTIFS($A$21:$A$141,"&gt;="&amp;$G111,$A$21:$A$141,"&lt;="&amp;$H111)&gt;0,_xlfn.MAXIFS(AH$21:AH$141,$A$21:$A$141,"&gt;="&amp;$G111,$A$21:$A$141,"&lt;="&amp;$H111),AI111))</f>
        <v>-0.884251201404283</v>
      </c>
      <c r="AL111" s="12" t="n">
        <f aca="false">-Cost_k*$A111+Beta_q*(Declarations!$B$16*INDEX(AK$21:AK$141,MAX(1,MIN(121,$B111-ROUND(Declarations!$A$16/$D$18,0))))+Declarations!$B$17*INDEX(AK$21:AK$141,MAX(1,MIN(121,$B111-ROUND(Declarations!$A$17/$D$18,0))))+Declarations!$B$18*INDEX(AK$21:AK$141,MAX(1,MIN(121,$B111-ROUND(Declarations!$A$18/$D$18,0))))+Declarations!$B$19*INDEX(AK$21:AK$141,MAX(1,MIN(121,$B111-ROUND(Declarations!$A$19/$D$18,0))))+Declarations!$B$20*INDEX(AK$21:AK$141,MAX(1,MIN(121,$B111-ROUND(Declarations!$A$20/$D$18,0)))))</f>
        <v>-250.975690525372</v>
      </c>
      <c r="AM111" s="12" t="n">
        <f aca="false">INDEX(AL$21:AL$141,$I111+1)*(1-$J111)+INDEX(AL$21:AL$141,$I111+2)*$J111</f>
        <v>-246.68533362695</v>
      </c>
      <c r="AN111" s="12" t="n">
        <f aca="false">INDEX(AL$21:AL$141,$K111+1)*(1-$L111)+INDEX(AL$21:AL$141,$K111+2)*$L111</f>
        <v>-254.17681508796</v>
      </c>
      <c r="AO111" s="12" t="n">
        <f aca="false">$C111+$D111+MAX(AM111,AN111,IF(COUNTIFS($A$21:$A$141,"&gt;="&amp;$G111,$A$21:$A$141,"&lt;="&amp;$H111)&gt;0,_xlfn.MAXIFS(AL$21:AL$141,$A$21:$A$141,"&gt;="&amp;$G111,$A$21:$A$141,"&lt;="&amp;$H111),AM111))</f>
        <v>-2.93533362695013</v>
      </c>
      <c r="AP111" s="12" t="n">
        <f aca="false">-Cost_k*$A111+Beta_q*(Declarations!$B$16*INDEX(AO$21:AO$141,MAX(1,MIN(121,$B111-ROUND(Declarations!$A$16/$D$18,0))))+Declarations!$B$17*INDEX(AO$21:AO$141,MAX(1,MIN(121,$B111-ROUND(Declarations!$A$17/$D$18,0))))+Declarations!$B$18*INDEX(AO$21:AO$141,MAX(1,MIN(121,$B111-ROUND(Declarations!$A$18/$D$18,0))))+Declarations!$B$19*INDEX(AO$21:AO$141,MAX(1,MIN(121,$B111-ROUND(Declarations!$A$19/$D$18,0))))+Declarations!$B$20*INDEX(AO$21:AO$141,MAX(1,MIN(121,$B111-ROUND(Declarations!$A$20/$D$18,0)))))</f>
        <v>-253.012449391621</v>
      </c>
      <c r="AQ111" s="12" t="n">
        <f aca="false">INDEX(AP$21:AP$141,$I111+1)*(1-$J111)+INDEX(AP$21:AP$141,$I111+2)*$J111</f>
        <v>-250.193639289723</v>
      </c>
      <c r="AR111" s="12" t="n">
        <f aca="false">INDEX(AP$21:AP$141,$K111+1)*(1-$L111)+INDEX(AP$21:AP$141,$K111+2)*$L111</f>
        <v>-255.455051081151</v>
      </c>
      <c r="AS111" s="12" t="n">
        <f aca="false">$C111+$D111+MAX(AQ111,AR111,IF(COUNTIFS($A$21:$A$141,"&gt;="&amp;$G111,$A$21:$A$141,"&lt;="&amp;$H111)&gt;0,_xlfn.MAXIFS(AP$21:AP$141,$A$21:$A$141,"&gt;="&amp;$G111,$A$21:$A$141,"&lt;="&amp;$H111),AQ111))</f>
        <v>-6.44363928972328</v>
      </c>
      <c r="AT111" s="12" t="n">
        <f aca="false">-Cost_k*$A111+Beta_q*(Declarations!$B$16*INDEX(AS$21:AS$141,MAX(1,MIN(121,$B111-ROUND(Declarations!$A$16/$D$18,0))))+Declarations!$B$17*INDEX(AS$21:AS$141,MAX(1,MIN(121,$B111-ROUND(Declarations!$A$17/$D$18,0))))+Declarations!$B$18*INDEX(AS$21:AS$141,MAX(1,MIN(121,$B111-ROUND(Declarations!$A$18/$D$18,0))))+Declarations!$B$19*INDEX(AS$21:AS$141,MAX(1,MIN(121,$B111-ROUND(Declarations!$A$19/$D$18,0))))+Declarations!$B$20*INDEX(AS$21:AS$141,MAX(1,MIN(121,$B111-ROUND(Declarations!$A$20/$D$18,0)))))</f>
        <v>-256.409050410846</v>
      </c>
      <c r="AU111" s="12" t="n">
        <f aca="false">INDEX(AT$21:AT$141,$I111+1)*(1-$J111)+INDEX(AT$21:AT$141,$I111+2)*$J111</f>
        <v>-254.635521966173</v>
      </c>
      <c r="AV111" s="12" t="n">
        <f aca="false">INDEX(AT$21:AT$141,$K111+1)*(1-$L111)+INDEX(AT$21:AT$141,$K111+2)*$L111</f>
        <v>-258.040951916797</v>
      </c>
      <c r="AW111" s="12" t="n">
        <f aca="false">$C111+$D111+MAX(AU111,AV111,IF(COUNTIFS($A$21:$A$141,"&gt;="&amp;$G111,$A$21:$A$141,"&lt;="&amp;$H111)&gt;0,_xlfn.MAXIFS(AT$21:AT$141,$A$21:$A$141,"&gt;="&amp;$G111,$A$21:$A$141,"&lt;="&amp;$H111),AU111))</f>
        <v>-10.8855219661733</v>
      </c>
      <c r="AX111" s="12" t="n">
        <f aca="false">-Cost_k*$A111+Beta_q*(Declarations!$B$16*INDEX(AW$21:AW$141,MAX(1,MIN(121,$B111-ROUND(Declarations!$A$16/$D$18,0))))+Declarations!$B$17*INDEX(AW$21:AW$141,MAX(1,MIN(121,$B111-ROUND(Declarations!$A$17/$D$18,0))))+Declarations!$B$18*INDEX(AW$21:AW$141,MAX(1,MIN(121,$B111-ROUND(Declarations!$A$18/$D$18,0))))+Declarations!$B$19*INDEX(AW$21:AW$141,MAX(1,MIN(121,$B111-ROUND(Declarations!$A$19/$D$18,0))))+Declarations!$B$20*INDEX(AW$21:AW$141,MAX(1,MIN(121,$B111-ROUND(Declarations!$A$20/$D$18,0)))))</f>
        <v>-260.689539440357</v>
      </c>
      <c r="AY111" s="12" t="n">
        <f aca="false">INDEX(AX$21:AX$141,$I111+1)*(1-$J111)+INDEX(AX$21:AX$141,$I111+2)*$J111</f>
        <v>-259.344045924347</v>
      </c>
      <c r="AZ111" s="12" t="n">
        <f aca="false">INDEX(AX$21:AX$141,$K111+1)*(1-$L111)+INDEX(AX$21:AX$141,$K111+2)*$L111</f>
        <v>-261.799571799999</v>
      </c>
      <c r="BA111" s="12" t="n">
        <f aca="false">$C111+$D111+MAX(AY111,AZ111,IF(COUNTIFS($A$21:$A$141,"&gt;="&amp;$G111,$A$21:$A$141,"&lt;="&amp;$H111)&gt;0,_xlfn.MAXIFS(AX$21:AX$141,$A$21:$A$141,"&gt;="&amp;$G111,$A$21:$A$141,"&lt;="&amp;$H111),AY111))</f>
        <v>-15.5940459243469</v>
      </c>
      <c r="BB111" s="12" t="n">
        <f aca="false">-Cost_k*$A111+Beta_q*(Declarations!$B$16*INDEX(BA$21:BA$141,MAX(1,MIN(121,$B111-ROUND(Declarations!$A$16/$D$18,0))))+Declarations!$B$17*INDEX(BA$21:BA$141,MAX(1,MIN(121,$B111-ROUND(Declarations!$A$17/$D$18,0))))+Declarations!$B$18*INDEX(BA$21:BA$141,MAX(1,MIN(121,$B111-ROUND(Declarations!$A$18/$D$18,0))))+Declarations!$B$19*INDEX(BA$21:BA$141,MAX(1,MIN(121,$B111-ROUND(Declarations!$A$19/$D$18,0))))+Declarations!$B$20*INDEX(BA$21:BA$141,MAX(1,MIN(121,$B111-ROUND(Declarations!$A$20/$D$18,0)))))</f>
        <v>-265.258503102144</v>
      </c>
      <c r="BC111" s="12" t="n">
        <f aca="false">INDEX(BB$21:BB$141,$I111+1)*(1-$J111)+INDEX(BB$21:BB$141,$I111+2)*$J111</f>
        <v>-264.026497400932</v>
      </c>
      <c r="BD111" s="12" t="n">
        <f aca="false">INDEX(BB$21:BB$141,$K111+1)*(1-$L111)+INDEX(BB$21:BB$141,$K111+2)*$L111</f>
        <v>-266.165361278369</v>
      </c>
      <c r="BE111" s="12" t="n">
        <f aca="false">$C111+$D111+MAX(BC111,BD111,IF(COUNTIFS($A$21:$A$141,"&gt;="&amp;$G111,$A$21:$A$141,"&lt;="&amp;$H111)&gt;0,_xlfn.MAXIFS(BB$21:BB$141,$A$21:$A$141,"&gt;="&amp;$G111,$A$21:$A$141,"&lt;="&amp;$H111),BC111))</f>
        <v>-20.276497400932</v>
      </c>
      <c r="BF111" s="12" t="n">
        <f aca="false">-Cost_k*$A111+Beta_q*(Declarations!$B$16*INDEX(BE$21:BE$141,MAX(1,MIN(121,$B111-ROUND(Declarations!$A$16/$D$18,0))))+Declarations!$B$17*INDEX(BE$21:BE$141,MAX(1,MIN(121,$B111-ROUND(Declarations!$A$17/$D$18,0))))+Declarations!$B$18*INDEX(BE$21:BE$141,MAX(1,MIN(121,$B111-ROUND(Declarations!$A$18/$D$18,0))))+Declarations!$B$19*INDEX(BE$21:BE$141,MAX(1,MIN(121,$B111-ROUND(Declarations!$A$19/$D$18,0))))+Declarations!$B$20*INDEX(BE$21:BE$141,MAX(1,MIN(121,$B111-ROUND(Declarations!$A$20/$D$18,0)))))</f>
        <v>-269.822798733315</v>
      </c>
      <c r="BG111" s="12" t="n">
        <f aca="false">INDEX(BF$21:BF$141,$I111+1)*(1-$J111)+INDEX(BF$21:BF$141,$I111+2)*$J111</f>
        <v>-268.613121629355</v>
      </c>
      <c r="BH111" s="12" t="n">
        <f aca="false">INDEX(BF$21:BF$141,$K111+1)*(1-$L111)+INDEX(BF$21:BF$141,$K111+2)*$L111</f>
        <v>-270.676022606499</v>
      </c>
      <c r="BI111" s="12" t="n">
        <f aca="false">$C111+$D111+MAX(BG111,BH111,IF(COUNTIFS($A$21:$A$141,"&gt;="&amp;$G111,$A$21:$A$141,"&lt;="&amp;$H111)&gt;0,_xlfn.MAXIFS(BF$21:BF$141,$A$21:$A$141,"&gt;="&amp;$G111,$A$21:$A$141,"&lt;="&amp;$H111),BG111))</f>
        <v>-24.8631216293549</v>
      </c>
      <c r="BJ111" s="23" t="n">
        <v>-24.8631216293549</v>
      </c>
      <c r="BK111" s="22" t="n">
        <f aca="false">ABS(BI111-BJ111)</f>
        <v>0</v>
      </c>
    </row>
    <row r="112" customFormat="false" ht="15" hidden="false" customHeight="false" outlineLevel="0" collapsed="false">
      <c r="A112" s="14" t="n">
        <f aca="false">A111+$D$18</f>
        <v>62.75</v>
      </c>
      <c r="B112" s="19" t="n">
        <v>92</v>
      </c>
      <c r="C112" s="12" t="n">
        <f aca="false">-Short_p*MAX(Floor_c-A112,0)</f>
        <v>-0</v>
      </c>
      <c r="D112" s="12" t="n">
        <f aca="false">Cost_k*Alpha_keep*A112</f>
        <v>244.725</v>
      </c>
      <c r="E112" s="12" t="n">
        <f aca="false">MIN(Cap_h,MAX(0,$B$18+MAX(Loss_w)-Alpha_keep*A112))</f>
        <v>0</v>
      </c>
      <c r="F112" s="12" t="n">
        <f aca="false">MAX(MIN(Cap_h,$F$18+MIN(Loss_w)-Alpha_keep*A112),E112)</f>
        <v>2.5</v>
      </c>
      <c r="G112" s="12" t="n">
        <f aca="false">Alpha_keep*A112+E112</f>
        <v>61.18125</v>
      </c>
      <c r="H112" s="12" t="n">
        <f aca="false">Alpha_keep*A112+F112</f>
        <v>63.68125</v>
      </c>
      <c r="I112" s="19" t="n">
        <f aca="false">MIN(INT((G112-$B$18)/$D$18+0.000000001),119)</f>
        <v>84</v>
      </c>
      <c r="J112" s="12" t="n">
        <f aca="false">(G112-$B$18)/$D$18-I112</f>
        <v>0.724999999999994</v>
      </c>
      <c r="K112" s="19" t="n">
        <f aca="false">MIN(INT((H112-$B$18)/$D$18+0.000000001),119)</f>
        <v>94</v>
      </c>
      <c r="L112" s="12" t="n">
        <f aca="false">(H112-$B$18)/$D$18-K112</f>
        <v>0.724999999999994</v>
      </c>
      <c r="M112" s="9" t="n">
        <v>0</v>
      </c>
      <c r="N112" s="12" t="n">
        <f aca="false">-Cost_k*$A112+Beta_q*(Declarations!$B$16*INDEX(M$21:M$141,MAX(1,MIN(121,$B112-ROUND(Declarations!$A$16/$D$18,0))))+Declarations!$B$17*INDEX(M$21:M$141,MAX(1,MIN(121,$B112-ROUND(Declarations!$A$17/$D$18,0))))+Declarations!$B$18*INDEX(M$21:M$141,MAX(1,MIN(121,$B112-ROUND(Declarations!$A$18/$D$18,0))))+Declarations!$B$19*INDEX(M$21:M$141,MAX(1,MIN(121,$B112-ROUND(Declarations!$A$19/$D$18,0))))+Declarations!$B$20*INDEX(M$21:M$141,MAX(1,MIN(121,$B112-ROUND(Declarations!$A$20/$D$18,0)))))</f>
        <v>-251</v>
      </c>
      <c r="O112" s="12" t="n">
        <f aca="false">INDEX(N$21:N$141,$I112+1)*(1-$J112)+INDEX(N$21:N$141,$I112+2)*$J112</f>
        <v>-244.725</v>
      </c>
      <c r="P112" s="12" t="n">
        <f aca="false">INDEX(N$21:N$141,$K112+1)*(1-$L112)+INDEX(N$21:N$141,$K112+2)*$L112</f>
        <v>-254.725</v>
      </c>
      <c r="Q112" s="12" t="n">
        <f aca="false">$C112+$D112+MAX(O112,P112,IF(COUNTIFS($A$21:$A$141,"&gt;="&amp;$G112,$A$21:$A$141,"&lt;="&amp;$H112)&gt;0,_xlfn.MAXIFS(N$21:N$141,$A$21:$A$141,"&gt;="&amp;$G112,$A$21:$A$141,"&lt;="&amp;$H112),O112))</f>
        <v>0</v>
      </c>
      <c r="R112" s="12" t="n">
        <f aca="false">-Cost_k*$A112+Beta_q*(Declarations!$B$16*INDEX(Q$21:Q$141,MAX(1,MIN(121,$B112-ROUND(Declarations!$A$16/$D$18,0))))+Declarations!$B$17*INDEX(Q$21:Q$141,MAX(1,MIN(121,$B112-ROUND(Declarations!$A$17/$D$18,0))))+Declarations!$B$18*INDEX(Q$21:Q$141,MAX(1,MIN(121,$B112-ROUND(Declarations!$A$18/$D$18,0))))+Declarations!$B$19*INDEX(Q$21:Q$141,MAX(1,MIN(121,$B112-ROUND(Declarations!$A$19/$D$18,0))))+Declarations!$B$20*INDEX(Q$21:Q$141,MAX(1,MIN(121,$B112-ROUND(Declarations!$A$20/$D$18,0)))))</f>
        <v>-251</v>
      </c>
      <c r="S112" s="12" t="n">
        <f aca="false">INDEX(R$21:R$141,$I112+1)*(1-$J112)+INDEX(R$21:R$141,$I112+2)*$J112</f>
        <v>-244.725</v>
      </c>
      <c r="T112" s="12" t="n">
        <f aca="false">INDEX(R$21:R$141,$K112+1)*(1-$L112)+INDEX(R$21:R$141,$K112+2)*$L112</f>
        <v>-254.725</v>
      </c>
      <c r="U112" s="12" t="n">
        <f aca="false">$C112+$D112+MAX(S112,T112,IF(COUNTIFS($A$21:$A$141,"&gt;="&amp;$G112,$A$21:$A$141,"&lt;="&amp;$H112)&gt;0,_xlfn.MAXIFS(R$21:R$141,$A$21:$A$141,"&gt;="&amp;$G112,$A$21:$A$141,"&lt;="&amp;$H112),S112))</f>
        <v>0</v>
      </c>
      <c r="V112" s="12" t="n">
        <f aca="false">-Cost_k*$A112+Beta_q*(Declarations!$B$16*INDEX(U$21:U$141,MAX(1,MIN(121,$B112-ROUND(Declarations!$A$16/$D$18,0))))+Declarations!$B$17*INDEX(U$21:U$141,MAX(1,MIN(121,$B112-ROUND(Declarations!$A$17/$D$18,0))))+Declarations!$B$18*INDEX(U$21:U$141,MAX(1,MIN(121,$B112-ROUND(Declarations!$A$18/$D$18,0))))+Declarations!$B$19*INDEX(U$21:U$141,MAX(1,MIN(121,$B112-ROUND(Declarations!$A$19/$D$18,0))))+Declarations!$B$20*INDEX(U$21:U$141,MAX(1,MIN(121,$B112-ROUND(Declarations!$A$20/$D$18,0)))))</f>
        <v>-251</v>
      </c>
      <c r="W112" s="12" t="n">
        <f aca="false">INDEX(V$21:V$141,$I112+1)*(1-$J112)+INDEX(V$21:V$141,$I112+2)*$J112</f>
        <v>-244.725</v>
      </c>
      <c r="X112" s="12" t="n">
        <f aca="false">INDEX(V$21:V$141,$K112+1)*(1-$L112)+INDEX(V$21:V$141,$K112+2)*$L112</f>
        <v>-254.725</v>
      </c>
      <c r="Y112" s="12" t="n">
        <f aca="false">$C112+$D112+MAX(W112,X112,IF(COUNTIFS($A$21:$A$141,"&gt;="&amp;$G112,$A$21:$A$141,"&lt;="&amp;$H112)&gt;0,_xlfn.MAXIFS(V$21:V$141,$A$21:$A$141,"&gt;="&amp;$G112,$A$21:$A$141,"&lt;="&amp;$H112),W112))</f>
        <v>0</v>
      </c>
      <c r="Z112" s="12" t="n">
        <f aca="false">-Cost_k*$A112+Beta_q*(Declarations!$B$16*INDEX(Y$21:Y$141,MAX(1,MIN(121,$B112-ROUND(Declarations!$A$16/$D$18,0))))+Declarations!$B$17*INDEX(Y$21:Y$141,MAX(1,MIN(121,$B112-ROUND(Declarations!$A$17/$D$18,0))))+Declarations!$B$18*INDEX(Y$21:Y$141,MAX(1,MIN(121,$B112-ROUND(Declarations!$A$18/$D$18,0))))+Declarations!$B$19*INDEX(Y$21:Y$141,MAX(1,MIN(121,$B112-ROUND(Declarations!$A$19/$D$18,0))))+Declarations!$B$20*INDEX(Y$21:Y$141,MAX(1,MIN(121,$B112-ROUND(Declarations!$A$20/$D$18,0)))))</f>
        <v>-251</v>
      </c>
      <c r="AA112" s="12" t="n">
        <f aca="false">INDEX(Z$21:Z$141,$I112+1)*(1-$J112)+INDEX(Z$21:Z$141,$I112+2)*$J112</f>
        <v>-244.72635576287</v>
      </c>
      <c r="AB112" s="12" t="n">
        <f aca="false">INDEX(Z$21:Z$141,$K112+1)*(1-$L112)+INDEX(Z$21:Z$141,$K112+2)*$L112</f>
        <v>-254.725</v>
      </c>
      <c r="AC112" s="12" t="n">
        <f aca="false">$C112+$D112+MAX(AA112,AB112,IF(COUNTIFS($A$21:$A$141,"&gt;="&amp;$G112,$A$21:$A$141,"&lt;="&amp;$H112)&gt;0,_xlfn.MAXIFS(Z$21:Z$141,$A$21:$A$141,"&gt;="&amp;$G112,$A$21:$A$141,"&lt;="&amp;$H112),AA112))</f>
        <v>-0.00135576286979244</v>
      </c>
      <c r="AD112" s="12" t="n">
        <f aca="false">-Cost_k*$A112+Beta_q*(Declarations!$B$16*INDEX(AC$21:AC$141,MAX(1,MIN(121,$B112-ROUND(Declarations!$A$16/$D$18,0))))+Declarations!$B$17*INDEX(AC$21:AC$141,MAX(1,MIN(121,$B112-ROUND(Declarations!$A$17/$D$18,0))))+Declarations!$B$18*INDEX(AC$21:AC$141,MAX(1,MIN(121,$B112-ROUND(Declarations!$A$18/$D$18,0))))+Declarations!$B$19*INDEX(AC$21:AC$141,MAX(1,MIN(121,$B112-ROUND(Declarations!$A$19/$D$18,0))))+Declarations!$B$20*INDEX(AC$21:AC$141,MAX(1,MIN(121,$B112-ROUND(Declarations!$A$20/$D$18,0)))))</f>
        <v>-251.004849198331</v>
      </c>
      <c r="AE112" s="12" t="n">
        <f aca="false">INDEX(AD$21:AD$141,$I112+1)*(1-$J112)+INDEX(AD$21:AD$141,$I112+2)*$J112</f>
        <v>-244.811857038293</v>
      </c>
      <c r="AF112" s="12" t="n">
        <f aca="false">INDEX(AD$21:AD$141,$K112+1)*(1-$L112)+INDEX(AD$21:AD$141,$K112+2)*$L112</f>
        <v>-254.725553245406</v>
      </c>
      <c r="AG112" s="12" t="n">
        <f aca="false">$C112+$D112+MAX(AE112,AF112,IF(COUNTIFS($A$21:$A$141,"&gt;="&amp;$G112,$A$21:$A$141,"&lt;="&amp;$H112)&gt;0,_xlfn.MAXIFS(AD$21:AD$141,$A$21:$A$141,"&gt;="&amp;$G112,$A$21:$A$141,"&lt;="&amp;$H112),AE112))</f>
        <v>-0.0868570382932887</v>
      </c>
      <c r="AH112" s="12" t="n">
        <f aca="false">-Cost_k*$A112+Beta_q*(Declarations!$B$16*INDEX(AG$21:AG$141,MAX(1,MIN(121,$B112-ROUND(Declarations!$A$16/$D$18,0))))+Declarations!$B$17*INDEX(AG$21:AG$141,MAX(1,MIN(121,$B112-ROUND(Declarations!$A$17/$D$18,0))))+Declarations!$B$18*INDEX(AG$21:AG$141,MAX(1,MIN(121,$B112-ROUND(Declarations!$A$18/$D$18,0))))+Declarations!$B$19*INDEX(AG$21:AG$141,MAX(1,MIN(121,$B112-ROUND(Declarations!$A$19/$D$18,0))))+Declarations!$B$20*INDEX(AG$21:AG$141,MAX(1,MIN(121,$B112-ROUND(Declarations!$A$20/$D$18,0)))))</f>
        <v>-251.123418163201</v>
      </c>
      <c r="AI112" s="12" t="n">
        <f aca="false">INDEX(AH$21:AH$141,$I112+1)*(1-$J112)+INDEX(AH$21:AH$141,$I112+2)*$J112</f>
        <v>-245.439190505153</v>
      </c>
      <c r="AJ112" s="12" t="n">
        <f aca="false">INDEX(AH$21:AH$141,$K112+1)*(1-$L112)+INDEX(AH$21:AH$141,$K112+2)*$L112</f>
        <v>-254.758115911262</v>
      </c>
      <c r="AK112" s="12" t="n">
        <f aca="false">$C112+$D112+MAX(AI112,AJ112,IF(COUNTIFS($A$21:$A$141,"&gt;="&amp;$G112,$A$21:$A$141,"&lt;="&amp;$H112)&gt;0,_xlfn.MAXIFS(AH$21:AH$141,$A$21:$A$141,"&gt;="&amp;$G112,$A$21:$A$141,"&lt;="&amp;$H112),AI112))</f>
        <v>-0.714190505152573</v>
      </c>
      <c r="AL112" s="12" t="n">
        <f aca="false">-Cost_k*$A112+Beta_q*(Declarations!$B$16*INDEX(AK$21:AK$141,MAX(1,MIN(121,$B112-ROUND(Declarations!$A$16/$D$18,0))))+Declarations!$B$17*INDEX(AK$21:AK$141,MAX(1,MIN(121,$B112-ROUND(Declarations!$A$17/$D$18,0))))+Declarations!$B$18*INDEX(AK$21:AK$141,MAX(1,MIN(121,$B112-ROUND(Declarations!$A$18/$D$18,0))))+Declarations!$B$19*INDEX(AK$21:AK$141,MAX(1,MIN(121,$B112-ROUND(Declarations!$A$19/$D$18,0))))+Declarations!$B$20*INDEX(AK$21:AK$141,MAX(1,MIN(121,$B112-ROUND(Declarations!$A$20/$D$18,0)))))</f>
        <v>-251.799250931414</v>
      </c>
      <c r="AM112" s="12" t="n">
        <f aca="false">INDEX(AL$21:AL$141,$I112+1)*(1-$J112)+INDEX(AL$21:AL$141,$I112+2)*$J112</f>
        <v>-247.261807738228</v>
      </c>
      <c r="AN112" s="12" t="n">
        <f aca="false">INDEX(AL$21:AL$141,$K112+1)*(1-$L112)+INDEX(AL$21:AL$141,$K112+2)*$L112</f>
        <v>-255.061960846742</v>
      </c>
      <c r="AO112" s="12" t="n">
        <f aca="false">$C112+$D112+MAX(AM112,AN112,IF(COUNTIFS($A$21:$A$141,"&gt;="&amp;$G112,$A$21:$A$141,"&lt;="&amp;$H112)&gt;0,_xlfn.MAXIFS(AL$21:AL$141,$A$21:$A$141,"&gt;="&amp;$G112,$A$21:$A$141,"&lt;="&amp;$H112),AM112))</f>
        <v>-2.53680773822791</v>
      </c>
      <c r="AP112" s="12" t="n">
        <f aca="false">-Cost_k*$A112+Beta_q*(Declarations!$B$16*INDEX(AO$21:AO$141,MAX(1,MIN(121,$B112-ROUND(Declarations!$A$16/$D$18,0))))+Declarations!$B$17*INDEX(AO$21:AO$141,MAX(1,MIN(121,$B112-ROUND(Declarations!$A$17/$D$18,0))))+Declarations!$B$18*INDEX(AO$21:AO$141,MAX(1,MIN(121,$B112-ROUND(Declarations!$A$18/$D$18,0))))+Declarations!$B$19*INDEX(AO$21:AO$141,MAX(1,MIN(121,$B112-ROUND(Declarations!$A$19/$D$18,0))))+Declarations!$B$20*INDEX(AO$21:AO$141,MAX(1,MIN(121,$B112-ROUND(Declarations!$A$20/$D$18,0)))))</f>
        <v>-253.61876092843</v>
      </c>
      <c r="AQ112" s="12" t="n">
        <f aca="false">INDEX(AP$21:AP$141,$I112+1)*(1-$J112)+INDEX(AP$21:AP$141,$I112+2)*$J112</f>
        <v>-250.541645330646</v>
      </c>
      <c r="AR112" s="12" t="n">
        <f aca="false">INDEX(AP$21:AP$141,$K112+1)*(1-$L112)+INDEX(AP$21:AP$141,$K112+2)*$L112</f>
        <v>-256.172767687654</v>
      </c>
      <c r="AS112" s="12" t="n">
        <f aca="false">$C112+$D112+MAX(AQ112,AR112,IF(COUNTIFS($A$21:$A$141,"&gt;="&amp;$G112,$A$21:$A$141,"&lt;="&amp;$H112)&gt;0,_xlfn.MAXIFS(AP$21:AP$141,$A$21:$A$141,"&gt;="&amp;$G112,$A$21:$A$141,"&lt;="&amp;$H112),AQ112))</f>
        <v>-5.81664533064645</v>
      </c>
      <c r="AT112" s="12" t="n">
        <f aca="false">-Cost_k*$A112+Beta_q*(Declarations!$B$16*INDEX(AS$21:AS$141,MAX(1,MIN(121,$B112-ROUND(Declarations!$A$16/$D$18,0))))+Declarations!$B$17*INDEX(AS$21:AS$141,MAX(1,MIN(121,$B112-ROUND(Declarations!$A$17/$D$18,0))))+Declarations!$B$18*INDEX(AS$21:AS$141,MAX(1,MIN(121,$B112-ROUND(Declarations!$A$18/$D$18,0))))+Declarations!$B$19*INDEX(AS$21:AS$141,MAX(1,MIN(121,$B112-ROUND(Declarations!$A$19/$D$18,0))))+Declarations!$B$20*INDEX(AS$21:AS$141,MAX(1,MIN(121,$B112-ROUND(Declarations!$A$20/$D$18,0)))))</f>
        <v>-256.802296213631</v>
      </c>
      <c r="AU112" s="12" t="n">
        <f aca="false">INDEX(AT$21:AT$141,$I112+1)*(1-$J112)+INDEX(AT$21:AT$141,$I112+2)*$J112</f>
        <v>-254.857140873267</v>
      </c>
      <c r="AV112" s="12" t="n">
        <f aca="false">INDEX(AT$21:AT$141,$K112+1)*(1-$L112)+INDEX(AT$21:AT$141,$K112+2)*$L112</f>
        <v>-258.546864604463</v>
      </c>
      <c r="AW112" s="12" t="n">
        <f aca="false">$C112+$D112+MAX(AU112,AV112,IF(COUNTIFS($A$21:$A$141,"&gt;="&amp;$G112,$A$21:$A$141,"&lt;="&amp;$H112)&gt;0,_xlfn.MAXIFS(AT$21:AT$141,$A$21:$A$141,"&gt;="&amp;$G112,$A$21:$A$141,"&lt;="&amp;$H112),AU112))</f>
        <v>-10.132140873267</v>
      </c>
      <c r="AX112" s="12" t="n">
        <f aca="false">-Cost_k*$A112+Beta_q*(Declarations!$B$16*INDEX(AW$21:AW$141,MAX(1,MIN(121,$B112-ROUND(Declarations!$A$16/$D$18,0))))+Declarations!$B$17*INDEX(AW$21:AW$141,MAX(1,MIN(121,$B112-ROUND(Declarations!$A$17/$D$18,0))))+Declarations!$B$18*INDEX(AW$21:AW$141,MAX(1,MIN(121,$B112-ROUND(Declarations!$A$18/$D$18,0))))+Declarations!$B$19*INDEX(AW$21:AW$141,MAX(1,MIN(121,$B112-ROUND(Declarations!$A$19/$D$18,0))))+Declarations!$B$20*INDEX(AW$21:AW$141,MAX(1,MIN(121,$B112-ROUND(Declarations!$A$20/$D$18,0)))))</f>
        <v>-260.960638756626</v>
      </c>
      <c r="AY112" s="12" t="n">
        <f aca="false">INDEX(AX$21:AX$141,$I112+1)*(1-$J112)+INDEX(AX$21:AX$141,$I112+2)*$J112</f>
        <v>-259.527004374931</v>
      </c>
      <c r="AZ112" s="12" t="n">
        <f aca="false">INDEX(AX$21:AX$141,$K112+1)*(1-$L112)+INDEX(AX$21:AX$141,$K112+2)*$L112</f>
        <v>-262.140089176926</v>
      </c>
      <c r="BA112" s="12" t="n">
        <f aca="false">$C112+$D112+MAX(AY112,AZ112,IF(COUNTIFS($A$21:$A$141,"&gt;="&amp;$G112,$A$21:$A$141,"&lt;="&amp;$H112)&gt;0,_xlfn.MAXIFS(AX$21:AX$141,$A$21:$A$141,"&gt;="&amp;$G112,$A$21:$A$141,"&lt;="&amp;$H112),AY112))</f>
        <v>-14.8020043749307</v>
      </c>
      <c r="BB112" s="12" t="n">
        <f aca="false">-Cost_k*$A112+Beta_q*(Declarations!$B$16*INDEX(BA$21:BA$141,MAX(1,MIN(121,$B112-ROUND(Declarations!$A$16/$D$18,0))))+Declarations!$B$17*INDEX(BA$21:BA$141,MAX(1,MIN(121,$B112-ROUND(Declarations!$A$17/$D$18,0))))+Declarations!$B$18*INDEX(BA$21:BA$141,MAX(1,MIN(121,$B112-ROUND(Declarations!$A$18/$D$18,0))))+Declarations!$B$19*INDEX(BA$21:BA$141,MAX(1,MIN(121,$B112-ROUND(Declarations!$A$19/$D$18,0))))+Declarations!$B$20*INDEX(BA$21:BA$141,MAX(1,MIN(121,$B112-ROUND(Declarations!$A$20/$D$18,0)))))</f>
        <v>-265.487676589741</v>
      </c>
      <c r="BC112" s="12" t="n">
        <f aca="false">INDEX(BB$21:BB$141,$I112+1)*(1-$J112)+INDEX(BB$21:BB$141,$I112+2)*$J112</f>
        <v>-264.201503035784</v>
      </c>
      <c r="BD112" s="12" t="n">
        <f aca="false">INDEX(BB$21:BB$141,$K112+1)*(1-$L112)+INDEX(BB$21:BB$141,$K112+2)*$L112</f>
        <v>-266.428094950674</v>
      </c>
      <c r="BE112" s="12" t="n">
        <f aca="false">$C112+$D112+MAX(BC112,BD112,IF(COUNTIFS($A$21:$A$141,"&gt;="&amp;$G112,$A$21:$A$141,"&lt;="&amp;$H112)&gt;0,_xlfn.MAXIFS(BB$21:BB$141,$A$21:$A$141,"&gt;="&amp;$G112,$A$21:$A$141,"&lt;="&amp;$H112),BC112))</f>
        <v>-19.4765030357845</v>
      </c>
      <c r="BF112" s="12" t="n">
        <f aca="false">-Cost_k*$A112+Beta_q*(Declarations!$B$16*INDEX(BE$21:BE$141,MAX(1,MIN(121,$B112-ROUND(Declarations!$A$16/$D$18,0))))+Declarations!$B$17*INDEX(BE$21:BE$141,MAX(1,MIN(121,$B112-ROUND(Declarations!$A$17/$D$18,0))))+Declarations!$B$18*INDEX(BE$21:BE$141,MAX(1,MIN(121,$B112-ROUND(Declarations!$A$18/$D$18,0))))+Declarations!$B$19*INDEX(BE$21:BE$141,MAX(1,MIN(121,$B112-ROUND(Declarations!$A$19/$D$18,0))))+Declarations!$B$20*INDEX(BE$21:BE$141,MAX(1,MIN(121,$B112-ROUND(Declarations!$A$20/$D$18,0)))))</f>
        <v>-270.042077671429</v>
      </c>
      <c r="BG112" s="12" t="n">
        <f aca="false">INDEX(BF$21:BF$141,$I112+1)*(1-$J112)+INDEX(BF$21:BF$141,$I112+2)*$J112</f>
        <v>-268.786855555905</v>
      </c>
      <c r="BH112" s="12" t="n">
        <f aca="false">INDEX(BF$21:BF$141,$K112+1)*(1-$L112)+INDEX(BF$21:BF$141,$K112+2)*$L112</f>
        <v>-270.914878952979</v>
      </c>
      <c r="BI112" s="12" t="n">
        <f aca="false">$C112+$D112+MAX(BG112,BH112,IF(COUNTIFS($A$21:$A$141,"&gt;="&amp;$G112,$A$21:$A$141,"&lt;="&amp;$H112)&gt;0,_xlfn.MAXIFS(BF$21:BF$141,$A$21:$A$141,"&gt;="&amp;$G112,$A$21:$A$141,"&lt;="&amp;$H112),BG112))</f>
        <v>-24.0618555559054</v>
      </c>
      <c r="BJ112" s="23" t="n">
        <v>-24.0618555559053</v>
      </c>
      <c r="BK112" s="22" t="n">
        <f aca="false">ABS(BI112-BJ112)</f>
        <v>0</v>
      </c>
    </row>
    <row r="113" customFormat="false" ht="15" hidden="false" customHeight="false" outlineLevel="0" collapsed="false">
      <c r="A113" s="14" t="n">
        <f aca="false">A112+$D$18</f>
        <v>63</v>
      </c>
      <c r="B113" s="19" t="n">
        <v>93</v>
      </c>
      <c r="C113" s="12" t="n">
        <f aca="false">-Short_p*MAX(Floor_c-A113,0)</f>
        <v>-0</v>
      </c>
      <c r="D113" s="12" t="n">
        <f aca="false">Cost_k*Alpha_keep*A113</f>
        <v>245.7</v>
      </c>
      <c r="E113" s="12" t="n">
        <f aca="false">MIN(Cap_h,MAX(0,$B$18+MAX(Loss_w)-Alpha_keep*A113))</f>
        <v>0</v>
      </c>
      <c r="F113" s="12" t="n">
        <f aca="false">MAX(MIN(Cap_h,$F$18+MIN(Loss_w)-Alpha_keep*A113),E113)</f>
        <v>2.5</v>
      </c>
      <c r="G113" s="12" t="n">
        <f aca="false">Alpha_keep*A113+E113</f>
        <v>61.425</v>
      </c>
      <c r="H113" s="12" t="n">
        <f aca="false">Alpha_keep*A113+F113</f>
        <v>63.925</v>
      </c>
      <c r="I113" s="19" t="n">
        <f aca="false">MIN(INT((G113-$B$18)/$D$18+0.000000001),119)</f>
        <v>85</v>
      </c>
      <c r="J113" s="12" t="n">
        <f aca="false">(G113-$B$18)/$D$18-I113</f>
        <v>0.699999999999989</v>
      </c>
      <c r="K113" s="19" t="n">
        <f aca="false">MIN(INT((H113-$B$18)/$D$18+0.000000001),119)</f>
        <v>95</v>
      </c>
      <c r="L113" s="12" t="n">
        <f aca="false">(H113-$B$18)/$D$18-K113</f>
        <v>0.699999999999989</v>
      </c>
      <c r="M113" s="9" t="n">
        <v>0</v>
      </c>
      <c r="N113" s="12" t="n">
        <f aca="false">-Cost_k*$A113+Beta_q*(Declarations!$B$16*INDEX(M$21:M$141,MAX(1,MIN(121,$B113-ROUND(Declarations!$A$16/$D$18,0))))+Declarations!$B$17*INDEX(M$21:M$141,MAX(1,MIN(121,$B113-ROUND(Declarations!$A$17/$D$18,0))))+Declarations!$B$18*INDEX(M$21:M$141,MAX(1,MIN(121,$B113-ROUND(Declarations!$A$18/$D$18,0))))+Declarations!$B$19*INDEX(M$21:M$141,MAX(1,MIN(121,$B113-ROUND(Declarations!$A$19/$D$18,0))))+Declarations!$B$20*INDEX(M$21:M$141,MAX(1,MIN(121,$B113-ROUND(Declarations!$A$20/$D$18,0)))))</f>
        <v>-252</v>
      </c>
      <c r="O113" s="12" t="n">
        <f aca="false">INDEX(N$21:N$141,$I113+1)*(1-$J113)+INDEX(N$21:N$141,$I113+2)*$J113</f>
        <v>-245.7</v>
      </c>
      <c r="P113" s="12" t="n">
        <f aca="false">INDEX(N$21:N$141,$K113+1)*(1-$L113)+INDEX(N$21:N$141,$K113+2)*$L113</f>
        <v>-255.7</v>
      </c>
      <c r="Q113" s="12" t="n">
        <f aca="false">$C113+$D113+MAX(O113,P113,IF(COUNTIFS($A$21:$A$141,"&gt;="&amp;$G113,$A$21:$A$141,"&lt;="&amp;$H113)&gt;0,_xlfn.MAXIFS(N$21:N$141,$A$21:$A$141,"&gt;="&amp;$G113,$A$21:$A$141,"&lt;="&amp;$H113),O113))</f>
        <v>0</v>
      </c>
      <c r="R113" s="12" t="n">
        <f aca="false">-Cost_k*$A113+Beta_q*(Declarations!$B$16*INDEX(Q$21:Q$141,MAX(1,MIN(121,$B113-ROUND(Declarations!$A$16/$D$18,0))))+Declarations!$B$17*INDEX(Q$21:Q$141,MAX(1,MIN(121,$B113-ROUND(Declarations!$A$17/$D$18,0))))+Declarations!$B$18*INDEX(Q$21:Q$141,MAX(1,MIN(121,$B113-ROUND(Declarations!$A$18/$D$18,0))))+Declarations!$B$19*INDEX(Q$21:Q$141,MAX(1,MIN(121,$B113-ROUND(Declarations!$A$19/$D$18,0))))+Declarations!$B$20*INDEX(Q$21:Q$141,MAX(1,MIN(121,$B113-ROUND(Declarations!$A$20/$D$18,0)))))</f>
        <v>-252</v>
      </c>
      <c r="S113" s="12" t="n">
        <f aca="false">INDEX(R$21:R$141,$I113+1)*(1-$J113)+INDEX(R$21:R$141,$I113+2)*$J113</f>
        <v>-245.7</v>
      </c>
      <c r="T113" s="12" t="n">
        <f aca="false">INDEX(R$21:R$141,$K113+1)*(1-$L113)+INDEX(R$21:R$141,$K113+2)*$L113</f>
        <v>-255.7</v>
      </c>
      <c r="U113" s="12" t="n">
        <f aca="false">$C113+$D113+MAX(S113,T113,IF(COUNTIFS($A$21:$A$141,"&gt;="&amp;$G113,$A$21:$A$141,"&lt;="&amp;$H113)&gt;0,_xlfn.MAXIFS(R$21:R$141,$A$21:$A$141,"&gt;="&amp;$G113,$A$21:$A$141,"&lt;="&amp;$H113),S113))</f>
        <v>0</v>
      </c>
      <c r="V113" s="12" t="n">
        <f aca="false">-Cost_k*$A113+Beta_q*(Declarations!$B$16*INDEX(U$21:U$141,MAX(1,MIN(121,$B113-ROUND(Declarations!$A$16/$D$18,0))))+Declarations!$B$17*INDEX(U$21:U$141,MAX(1,MIN(121,$B113-ROUND(Declarations!$A$17/$D$18,0))))+Declarations!$B$18*INDEX(U$21:U$141,MAX(1,MIN(121,$B113-ROUND(Declarations!$A$18/$D$18,0))))+Declarations!$B$19*INDEX(U$21:U$141,MAX(1,MIN(121,$B113-ROUND(Declarations!$A$19/$D$18,0))))+Declarations!$B$20*INDEX(U$21:U$141,MAX(1,MIN(121,$B113-ROUND(Declarations!$A$20/$D$18,0)))))</f>
        <v>-252</v>
      </c>
      <c r="W113" s="12" t="n">
        <f aca="false">INDEX(V$21:V$141,$I113+1)*(1-$J113)+INDEX(V$21:V$141,$I113+2)*$J113</f>
        <v>-245.7</v>
      </c>
      <c r="X113" s="12" t="n">
        <f aca="false">INDEX(V$21:V$141,$K113+1)*(1-$L113)+INDEX(V$21:V$141,$K113+2)*$L113</f>
        <v>-255.7</v>
      </c>
      <c r="Y113" s="12" t="n">
        <f aca="false">$C113+$D113+MAX(W113,X113,IF(COUNTIFS($A$21:$A$141,"&gt;="&amp;$G113,$A$21:$A$141,"&lt;="&amp;$H113)&gt;0,_xlfn.MAXIFS(V$21:V$141,$A$21:$A$141,"&gt;="&amp;$G113,$A$21:$A$141,"&lt;="&amp;$H113),W113))</f>
        <v>0</v>
      </c>
      <c r="Z113" s="12" t="n">
        <f aca="false">-Cost_k*$A113+Beta_q*(Declarations!$B$16*INDEX(Y$21:Y$141,MAX(1,MIN(121,$B113-ROUND(Declarations!$A$16/$D$18,0))))+Declarations!$B$17*INDEX(Y$21:Y$141,MAX(1,MIN(121,$B113-ROUND(Declarations!$A$17/$D$18,0))))+Declarations!$B$18*INDEX(Y$21:Y$141,MAX(1,MIN(121,$B113-ROUND(Declarations!$A$18/$D$18,0))))+Declarations!$B$19*INDEX(Y$21:Y$141,MAX(1,MIN(121,$B113-ROUND(Declarations!$A$19/$D$18,0))))+Declarations!$B$20*INDEX(Y$21:Y$141,MAX(1,MIN(121,$B113-ROUND(Declarations!$A$20/$D$18,0)))))</f>
        <v>-252</v>
      </c>
      <c r="AA113" s="12" t="n">
        <f aca="false">INDEX(Z$21:Z$141,$I113+1)*(1-$J113)+INDEX(Z$21:Z$141,$I113+2)*$J113</f>
        <v>-245.700777392482</v>
      </c>
      <c r="AB113" s="12" t="n">
        <f aca="false">INDEX(Z$21:Z$141,$K113+1)*(1-$L113)+INDEX(Z$21:Z$141,$K113+2)*$L113</f>
        <v>-255.7</v>
      </c>
      <c r="AC113" s="12" t="n">
        <f aca="false">$C113+$D113+MAX(AA113,AB113,IF(COUNTIFS($A$21:$A$141,"&gt;="&amp;$G113,$A$21:$A$141,"&lt;="&amp;$H113)&gt;0,_xlfn.MAXIFS(Z$21:Z$141,$A$21:$A$141,"&gt;="&amp;$G113,$A$21:$A$141,"&lt;="&amp;$H113),AA113))</f>
        <v>-0.000777392481836614</v>
      </c>
      <c r="AD113" s="12" t="n">
        <f aca="false">-Cost_k*$A113+Beta_q*(Declarations!$B$16*INDEX(AC$21:AC$141,MAX(1,MIN(121,$B113-ROUND(Declarations!$A$16/$D$18,0))))+Declarations!$B$17*INDEX(AC$21:AC$141,MAX(1,MIN(121,$B113-ROUND(Declarations!$A$17/$D$18,0))))+Declarations!$B$18*INDEX(AC$21:AC$141,MAX(1,MIN(121,$B113-ROUND(Declarations!$A$18/$D$18,0))))+Declarations!$B$19*INDEX(AC$21:AC$141,MAX(1,MIN(121,$B113-ROUND(Declarations!$A$19/$D$18,0))))+Declarations!$B$20*INDEX(AC$21:AC$141,MAX(1,MIN(121,$B113-ROUND(Declarations!$A$20/$D$18,0)))))</f>
        <v>-252.002948257741</v>
      </c>
      <c r="AE113" s="12" t="n">
        <f aca="false">INDEX(AD$21:AD$141,$I113+1)*(1-$J113)+INDEX(AD$21:AD$141,$I113+2)*$J113</f>
        <v>-245.760501421349</v>
      </c>
      <c r="AF113" s="12" t="n">
        <f aca="false">INDEX(AD$21:AD$141,$K113+1)*(1-$L113)+INDEX(AD$21:AD$141,$K113+2)*$L113</f>
        <v>-255.700274167262</v>
      </c>
      <c r="AG113" s="12" t="n">
        <f aca="false">$C113+$D113+MAX(AE113,AF113,IF(COUNTIFS($A$21:$A$141,"&gt;="&amp;$G113,$A$21:$A$141,"&lt;="&amp;$H113)&gt;0,_xlfn.MAXIFS(AD$21:AD$141,$A$21:$A$141,"&gt;="&amp;$G113,$A$21:$A$141,"&lt;="&amp;$H113),AE113))</f>
        <v>-0.0605014213490449</v>
      </c>
      <c r="AH113" s="12" t="n">
        <f aca="false">-Cost_k*$A113+Beta_q*(Declarations!$B$16*INDEX(AG$21:AG$141,MAX(1,MIN(121,$B113-ROUND(Declarations!$A$16/$D$18,0))))+Declarations!$B$17*INDEX(AG$21:AG$141,MAX(1,MIN(121,$B113-ROUND(Declarations!$A$17/$D$18,0))))+Declarations!$B$18*INDEX(AG$21:AG$141,MAX(1,MIN(121,$B113-ROUND(Declarations!$A$18/$D$18,0))))+Declarations!$B$19*INDEX(AG$21:AG$141,MAX(1,MIN(121,$B113-ROUND(Declarations!$A$19/$D$18,0))))+Declarations!$B$20*INDEX(AG$21:AG$141,MAX(1,MIN(121,$B113-ROUND(Declarations!$A$20/$D$18,0)))))</f>
        <v>-252.088874922783</v>
      </c>
      <c r="AI113" s="12" t="n">
        <f aca="false">INDEX(AH$21:AH$141,$I113+1)*(1-$J113)+INDEX(AH$21:AH$141,$I113+2)*$J113</f>
        <v>-246.26508151778</v>
      </c>
      <c r="AJ113" s="12" t="n">
        <f aca="false">INDEX(AH$21:AH$141,$K113+1)*(1-$L113)+INDEX(AH$21:AH$141,$K113+2)*$L113</f>
        <v>-255.722052825792</v>
      </c>
      <c r="AK113" s="12" t="n">
        <f aca="false">$C113+$D113+MAX(AI113,AJ113,IF(COUNTIFS($A$21:$A$141,"&gt;="&amp;$G113,$A$21:$A$141,"&lt;="&amp;$H113)&gt;0,_xlfn.MAXIFS(AH$21:AH$141,$A$21:$A$141,"&gt;="&amp;$G113,$A$21:$A$141,"&lt;="&amp;$H113),AI113))</f>
        <v>-0.565081517779788</v>
      </c>
      <c r="AL113" s="12" t="n">
        <f aca="false">-Cost_k*$A113+Beta_q*(Declarations!$B$16*INDEX(AK$21:AK$141,MAX(1,MIN(121,$B113-ROUND(Declarations!$A$16/$D$18,0))))+Declarations!$B$17*INDEX(AK$21:AK$141,MAX(1,MIN(121,$B113-ROUND(Declarations!$A$17/$D$18,0))))+Declarations!$B$18*INDEX(AK$21:AK$141,MAX(1,MIN(121,$B113-ROUND(Declarations!$A$18/$D$18,0))))+Declarations!$B$19*INDEX(AK$21:AK$141,MAX(1,MIN(121,$B113-ROUND(Declarations!$A$19/$D$18,0))))+Declarations!$B$20*INDEX(AK$21:AK$141,MAX(1,MIN(121,$B113-ROUND(Declarations!$A$20/$D$18,0)))))</f>
        <v>-252.64223066</v>
      </c>
      <c r="AM113" s="12" t="n">
        <f aca="false">INDEX(AL$21:AL$141,$I113+1)*(1-$J113)+INDEX(AL$21:AL$141,$I113+2)*$J113</f>
        <v>-247.867999266261</v>
      </c>
      <c r="AN113" s="12" t="n">
        <f aca="false">INDEX(AL$21:AL$141,$K113+1)*(1-$L113)+INDEX(AL$21:AL$141,$K113+2)*$L113</f>
        <v>-255.959862403508</v>
      </c>
      <c r="AO113" s="12" t="n">
        <f aca="false">$C113+$D113+MAX(AM113,AN113,IF(COUNTIFS($A$21:$A$141,"&gt;="&amp;$G113,$A$21:$A$141,"&lt;="&amp;$H113)&gt;0,_xlfn.MAXIFS(AL$21:AL$141,$A$21:$A$141,"&gt;="&amp;$G113,$A$21:$A$141,"&lt;="&amp;$H113),AM113))</f>
        <v>-2.16799926626067</v>
      </c>
      <c r="AP113" s="12" t="n">
        <f aca="false">-Cost_k*$A113+Beta_q*(Declarations!$B$16*INDEX(AO$21:AO$141,MAX(1,MIN(121,$B113-ROUND(Declarations!$A$16/$D$18,0))))+Declarations!$B$17*INDEX(AO$21:AO$141,MAX(1,MIN(121,$B113-ROUND(Declarations!$A$17/$D$18,0))))+Declarations!$B$18*INDEX(AO$21:AO$141,MAX(1,MIN(121,$B113-ROUND(Declarations!$A$18/$D$18,0))))+Declarations!$B$19*INDEX(AO$21:AO$141,MAX(1,MIN(121,$B113-ROUND(Declarations!$A$19/$D$18,0))))+Declarations!$B$20*INDEX(AO$21:AO$141,MAX(1,MIN(121,$B113-ROUND(Declarations!$A$20/$D$18,0)))))</f>
        <v>-254.252948782454</v>
      </c>
      <c r="AQ113" s="12" t="n">
        <f aca="false">INDEX(AP$21:AP$141,$I113+1)*(1-$J113)+INDEX(AP$21:AP$141,$I113+2)*$J113</f>
        <v>-250.915881043712</v>
      </c>
      <c r="AR113" s="12" t="n">
        <f aca="false">INDEX(AP$21:AP$141,$K113+1)*(1-$L113)+INDEX(AP$21:AP$141,$K113+2)*$L113</f>
        <v>-256.915360598855</v>
      </c>
      <c r="AS113" s="12" t="n">
        <f aca="false">$C113+$D113+MAX(AQ113,AR113,IF(COUNTIFS($A$21:$A$141,"&gt;="&amp;$G113,$A$21:$A$141,"&lt;="&amp;$H113)&gt;0,_xlfn.MAXIFS(AP$21:AP$141,$A$21:$A$141,"&gt;="&amp;$G113,$A$21:$A$141,"&lt;="&amp;$H113),AQ113))</f>
        <v>-5.2158810437123</v>
      </c>
      <c r="AT113" s="12" t="n">
        <f aca="false">-Cost_k*$A113+Beta_q*(Declarations!$B$16*INDEX(AS$21:AS$141,MAX(1,MIN(121,$B113-ROUND(Declarations!$A$16/$D$18,0))))+Declarations!$B$17*INDEX(AS$21:AS$141,MAX(1,MIN(121,$B113-ROUND(Declarations!$A$17/$D$18,0))))+Declarations!$B$18*INDEX(AS$21:AS$141,MAX(1,MIN(121,$B113-ROUND(Declarations!$A$18/$D$18,0))))+Declarations!$B$19*INDEX(AS$21:AS$141,MAX(1,MIN(121,$B113-ROUND(Declarations!$A$19/$D$18,0))))+Declarations!$B$20*INDEX(AS$21:AS$141,MAX(1,MIN(121,$B113-ROUND(Declarations!$A$20/$D$18,0)))))</f>
        <v>-257.220657732539</v>
      </c>
      <c r="AU113" s="12" t="n">
        <f aca="false">INDEX(AT$21:AT$141,$I113+1)*(1-$J113)+INDEX(AT$21:AT$141,$I113+2)*$J113</f>
        <v>-255.092959994228</v>
      </c>
      <c r="AV113" s="12" t="n">
        <f aca="false">INDEX(AT$21:AT$141,$K113+1)*(1-$L113)+INDEX(AT$21:AT$141,$K113+2)*$L113</f>
        <v>-259.081672611935</v>
      </c>
      <c r="AW113" s="12" t="n">
        <f aca="false">$C113+$D113+MAX(AU113,AV113,IF(COUNTIFS($A$21:$A$141,"&gt;="&amp;$G113,$A$21:$A$141,"&lt;="&amp;$H113)&gt;0,_xlfn.MAXIFS(AT$21:AT$141,$A$21:$A$141,"&gt;="&amp;$G113,$A$21:$A$141,"&lt;="&amp;$H113),AU113))</f>
        <v>-9.39295999422839</v>
      </c>
      <c r="AX113" s="12" t="n">
        <f aca="false">-Cost_k*$A113+Beta_q*(Declarations!$B$16*INDEX(AW$21:AW$141,MAX(1,MIN(121,$B113-ROUND(Declarations!$A$16/$D$18,0))))+Declarations!$B$17*INDEX(AW$21:AW$141,MAX(1,MIN(121,$B113-ROUND(Declarations!$A$17/$D$18,0))))+Declarations!$B$18*INDEX(AW$21:AW$141,MAX(1,MIN(121,$B113-ROUND(Declarations!$A$18/$D$18,0))))+Declarations!$B$19*INDEX(AW$21:AW$141,MAX(1,MIN(121,$B113-ROUND(Declarations!$A$19/$D$18,0))))+Declarations!$B$20*INDEX(AW$21:AW$141,MAX(1,MIN(121,$B113-ROUND(Declarations!$A$20/$D$18,0)))))</f>
        <v>-261.246390437112</v>
      </c>
      <c r="AY113" s="12" t="n">
        <f aca="false">INDEX(AX$21:AX$141,$I113+1)*(1-$J113)+INDEX(AX$21:AX$141,$I113+2)*$J113</f>
        <v>-259.717243923892</v>
      </c>
      <c r="AZ113" s="12" t="n">
        <f aca="false">INDEX(AX$21:AX$141,$K113+1)*(1-$L113)+INDEX(AX$21:AX$141,$K113+2)*$L113</f>
        <v>-262.501594355612</v>
      </c>
      <c r="BA113" s="12" t="n">
        <f aca="false">$C113+$D113+MAX(AY113,AZ113,IF(COUNTIFS($A$21:$A$141,"&gt;="&amp;$G113,$A$21:$A$141,"&lt;="&amp;$H113)&gt;0,_xlfn.MAXIFS(AX$21:AX$141,$A$21:$A$141,"&gt;="&amp;$G113,$A$21:$A$141,"&lt;="&amp;$H113),AY113))</f>
        <v>-14.0172439238916</v>
      </c>
      <c r="BB113" s="12" t="n">
        <f aca="false">-Cost_k*$A113+Beta_q*(Declarations!$B$16*INDEX(BA$21:BA$141,MAX(1,MIN(121,$B113-ROUND(Declarations!$A$16/$D$18,0))))+Declarations!$B$17*INDEX(BA$21:BA$141,MAX(1,MIN(121,$B113-ROUND(Declarations!$A$17/$D$18,0))))+Declarations!$B$18*INDEX(BA$21:BA$141,MAX(1,MIN(121,$B113-ROUND(Declarations!$A$18/$D$18,0))))+Declarations!$B$19*INDEX(BA$21:BA$141,MAX(1,MIN(121,$B113-ROUND(Declarations!$A$19/$D$18,0))))+Declarations!$B$20*INDEX(BA$21:BA$141,MAX(1,MIN(121,$B113-ROUND(Declarations!$A$20/$D$18,0)))))</f>
        <v>-265.724530421724</v>
      </c>
      <c r="BC113" s="12" t="n">
        <f aca="false">INDEX(BB$21:BB$141,$I113+1)*(1-$J113)+INDEX(BB$21:BB$141,$I113+2)*$J113</f>
        <v>-264.381781473107</v>
      </c>
      <c r="BD113" s="12" t="n">
        <f aca="false">INDEX(BB$21:BB$141,$K113+1)*(1-$L113)+INDEX(BB$21:BB$141,$K113+2)*$L113</f>
        <v>-266.701811937788</v>
      </c>
      <c r="BE113" s="12" t="n">
        <f aca="false">$C113+$D113+MAX(BC113,BD113,IF(COUNTIFS($A$21:$A$141,"&gt;="&amp;$G113,$A$21:$A$141,"&lt;="&amp;$H113)&gt;0,_xlfn.MAXIFS(BB$21:BB$141,$A$21:$A$141,"&gt;="&amp;$G113,$A$21:$A$141,"&lt;="&amp;$H113),BC113))</f>
        <v>-18.6817814731073</v>
      </c>
      <c r="BF113" s="12" t="n">
        <f aca="false">-Cost_k*$A113+Beta_q*(Declarations!$B$16*INDEX(BE$21:BE$141,MAX(1,MIN(121,$B113-ROUND(Declarations!$A$16/$D$18,0))))+Declarations!$B$17*INDEX(BE$21:BE$141,MAX(1,MIN(121,$B113-ROUND(Declarations!$A$17/$D$18,0))))+Declarations!$B$18*INDEX(BE$21:BE$141,MAX(1,MIN(121,$B113-ROUND(Declarations!$A$18/$D$18,0))))+Declarations!$B$19*INDEX(BE$21:BE$141,MAX(1,MIN(121,$B113-ROUND(Declarations!$A$19/$D$18,0))))+Declarations!$B$20*INDEX(BE$21:BE$141,MAX(1,MIN(121,$B113-ROUND(Declarations!$A$20/$D$18,0)))))</f>
        <v>-270.266645531644</v>
      </c>
      <c r="BG113" s="12" t="n">
        <f aca="false">INDEX(BF$21:BF$141,$I113+1)*(1-$J113)+INDEX(BF$21:BF$141,$I113+2)*$J113</f>
        <v>-268.96546019757</v>
      </c>
      <c r="BH113" s="12" t="n">
        <f aca="false">INDEX(BF$21:BF$141,$K113+1)*(1-$L113)+INDEX(BF$21:BF$141,$K113+2)*$L113</f>
        <v>-271.159756463983</v>
      </c>
      <c r="BI113" s="12" t="n">
        <f aca="false">$C113+$D113+MAX(BG113,BH113,IF(COUNTIFS($A$21:$A$141,"&gt;="&amp;$G113,$A$21:$A$141,"&lt;="&amp;$H113)&gt;0,_xlfn.MAXIFS(BF$21:BF$141,$A$21:$A$141,"&gt;="&amp;$G113,$A$21:$A$141,"&lt;="&amp;$H113),BG113))</f>
        <v>-23.2654601975704</v>
      </c>
      <c r="BJ113" s="23" t="n">
        <v>-23.2654601975704</v>
      </c>
      <c r="BK113" s="22" t="n">
        <f aca="false">ABS(BI113-BJ113)</f>
        <v>0</v>
      </c>
    </row>
    <row r="114" customFormat="false" ht="15" hidden="false" customHeight="false" outlineLevel="0" collapsed="false">
      <c r="A114" s="14" t="n">
        <f aca="false">A113+$D$18</f>
        <v>63.25</v>
      </c>
      <c r="B114" s="19" t="n">
        <v>94</v>
      </c>
      <c r="C114" s="12" t="n">
        <f aca="false">-Short_p*MAX(Floor_c-A114,0)</f>
        <v>-0</v>
      </c>
      <c r="D114" s="12" t="n">
        <f aca="false">Cost_k*Alpha_keep*A114</f>
        <v>246.675</v>
      </c>
      <c r="E114" s="12" t="n">
        <f aca="false">MIN(Cap_h,MAX(0,$B$18+MAX(Loss_w)-Alpha_keep*A114))</f>
        <v>0</v>
      </c>
      <c r="F114" s="12" t="n">
        <f aca="false">MAX(MIN(Cap_h,$F$18+MIN(Loss_w)-Alpha_keep*A114),E114)</f>
        <v>2.5</v>
      </c>
      <c r="G114" s="12" t="n">
        <f aca="false">Alpha_keep*A114+E114</f>
        <v>61.66875</v>
      </c>
      <c r="H114" s="12" t="n">
        <f aca="false">Alpha_keep*A114+F114</f>
        <v>64.16875</v>
      </c>
      <c r="I114" s="19" t="n">
        <f aca="false">MIN(INT((G114-$B$18)/$D$18+0.000000001),119)</f>
        <v>86</v>
      </c>
      <c r="J114" s="12" t="n">
        <f aca="false">(G114-$B$18)/$D$18-I114</f>
        <v>0.674999999999983</v>
      </c>
      <c r="K114" s="19" t="n">
        <f aca="false">MIN(INT((H114-$B$18)/$D$18+0.000000001),119)</f>
        <v>96</v>
      </c>
      <c r="L114" s="12" t="n">
        <f aca="false">(H114-$B$18)/$D$18-K114</f>
        <v>0.674999999999955</v>
      </c>
      <c r="M114" s="9" t="n">
        <v>0</v>
      </c>
      <c r="N114" s="12" t="n">
        <f aca="false">-Cost_k*$A114+Beta_q*(Declarations!$B$16*INDEX(M$21:M$141,MAX(1,MIN(121,$B114-ROUND(Declarations!$A$16/$D$18,0))))+Declarations!$B$17*INDEX(M$21:M$141,MAX(1,MIN(121,$B114-ROUND(Declarations!$A$17/$D$18,0))))+Declarations!$B$18*INDEX(M$21:M$141,MAX(1,MIN(121,$B114-ROUND(Declarations!$A$18/$D$18,0))))+Declarations!$B$19*INDEX(M$21:M$141,MAX(1,MIN(121,$B114-ROUND(Declarations!$A$19/$D$18,0))))+Declarations!$B$20*INDEX(M$21:M$141,MAX(1,MIN(121,$B114-ROUND(Declarations!$A$20/$D$18,0)))))</f>
        <v>-253</v>
      </c>
      <c r="O114" s="12" t="n">
        <f aca="false">INDEX(N$21:N$141,$I114+1)*(1-$J114)+INDEX(N$21:N$141,$I114+2)*$J114</f>
        <v>-246.675</v>
      </c>
      <c r="P114" s="12" t="n">
        <f aca="false">INDEX(N$21:N$141,$K114+1)*(1-$L114)+INDEX(N$21:N$141,$K114+2)*$L114</f>
        <v>-256.675</v>
      </c>
      <c r="Q114" s="12" t="n">
        <f aca="false">$C114+$D114+MAX(O114,P114,IF(COUNTIFS($A$21:$A$141,"&gt;="&amp;$G114,$A$21:$A$141,"&lt;="&amp;$H114)&gt;0,_xlfn.MAXIFS(N$21:N$141,$A$21:$A$141,"&gt;="&amp;$G114,$A$21:$A$141,"&lt;="&amp;$H114),O114))</f>
        <v>0</v>
      </c>
      <c r="R114" s="12" t="n">
        <f aca="false">-Cost_k*$A114+Beta_q*(Declarations!$B$16*INDEX(Q$21:Q$141,MAX(1,MIN(121,$B114-ROUND(Declarations!$A$16/$D$18,0))))+Declarations!$B$17*INDEX(Q$21:Q$141,MAX(1,MIN(121,$B114-ROUND(Declarations!$A$17/$D$18,0))))+Declarations!$B$18*INDEX(Q$21:Q$141,MAX(1,MIN(121,$B114-ROUND(Declarations!$A$18/$D$18,0))))+Declarations!$B$19*INDEX(Q$21:Q$141,MAX(1,MIN(121,$B114-ROUND(Declarations!$A$19/$D$18,0))))+Declarations!$B$20*INDEX(Q$21:Q$141,MAX(1,MIN(121,$B114-ROUND(Declarations!$A$20/$D$18,0)))))</f>
        <v>-253</v>
      </c>
      <c r="S114" s="12" t="n">
        <f aca="false">INDEX(R$21:R$141,$I114+1)*(1-$J114)+INDEX(R$21:R$141,$I114+2)*$J114</f>
        <v>-246.675</v>
      </c>
      <c r="T114" s="12" t="n">
        <f aca="false">INDEX(R$21:R$141,$K114+1)*(1-$L114)+INDEX(R$21:R$141,$K114+2)*$L114</f>
        <v>-256.675</v>
      </c>
      <c r="U114" s="12" t="n">
        <f aca="false">$C114+$D114+MAX(S114,T114,IF(COUNTIFS($A$21:$A$141,"&gt;="&amp;$G114,$A$21:$A$141,"&lt;="&amp;$H114)&gt;0,_xlfn.MAXIFS(R$21:R$141,$A$21:$A$141,"&gt;="&amp;$G114,$A$21:$A$141,"&lt;="&amp;$H114),S114))</f>
        <v>0</v>
      </c>
      <c r="V114" s="12" t="n">
        <f aca="false">-Cost_k*$A114+Beta_q*(Declarations!$B$16*INDEX(U$21:U$141,MAX(1,MIN(121,$B114-ROUND(Declarations!$A$16/$D$18,0))))+Declarations!$B$17*INDEX(U$21:U$141,MAX(1,MIN(121,$B114-ROUND(Declarations!$A$17/$D$18,0))))+Declarations!$B$18*INDEX(U$21:U$141,MAX(1,MIN(121,$B114-ROUND(Declarations!$A$18/$D$18,0))))+Declarations!$B$19*INDEX(U$21:U$141,MAX(1,MIN(121,$B114-ROUND(Declarations!$A$19/$D$18,0))))+Declarations!$B$20*INDEX(U$21:U$141,MAX(1,MIN(121,$B114-ROUND(Declarations!$A$20/$D$18,0)))))</f>
        <v>-253</v>
      </c>
      <c r="W114" s="12" t="n">
        <f aca="false">INDEX(V$21:V$141,$I114+1)*(1-$J114)+INDEX(V$21:V$141,$I114+2)*$J114</f>
        <v>-246.675</v>
      </c>
      <c r="X114" s="12" t="n">
        <f aca="false">INDEX(V$21:V$141,$K114+1)*(1-$L114)+INDEX(V$21:V$141,$K114+2)*$L114</f>
        <v>-256.675</v>
      </c>
      <c r="Y114" s="12" t="n">
        <f aca="false">$C114+$D114+MAX(W114,X114,IF(COUNTIFS($A$21:$A$141,"&gt;="&amp;$G114,$A$21:$A$141,"&lt;="&amp;$H114)&gt;0,_xlfn.MAXIFS(V$21:V$141,$A$21:$A$141,"&gt;="&amp;$G114,$A$21:$A$141,"&lt;="&amp;$H114),W114))</f>
        <v>0</v>
      </c>
      <c r="Z114" s="12" t="n">
        <f aca="false">-Cost_k*$A114+Beta_q*(Declarations!$B$16*INDEX(Y$21:Y$141,MAX(1,MIN(121,$B114-ROUND(Declarations!$A$16/$D$18,0))))+Declarations!$B$17*INDEX(Y$21:Y$141,MAX(1,MIN(121,$B114-ROUND(Declarations!$A$17/$D$18,0))))+Declarations!$B$18*INDEX(Y$21:Y$141,MAX(1,MIN(121,$B114-ROUND(Declarations!$A$18/$D$18,0))))+Declarations!$B$19*INDEX(Y$21:Y$141,MAX(1,MIN(121,$B114-ROUND(Declarations!$A$19/$D$18,0))))+Declarations!$B$20*INDEX(Y$21:Y$141,MAX(1,MIN(121,$B114-ROUND(Declarations!$A$20/$D$18,0)))))</f>
        <v>-253</v>
      </c>
      <c r="AA114" s="12" t="n">
        <f aca="false">INDEX(Z$21:Z$141,$I114+1)*(1-$J114)+INDEX(Z$21:Z$141,$I114+2)*$J114</f>
        <v>-246.67529732828</v>
      </c>
      <c r="AB114" s="12" t="n">
        <f aca="false">INDEX(Z$21:Z$141,$K114+1)*(1-$L114)+INDEX(Z$21:Z$141,$K114+2)*$L114</f>
        <v>-256.675</v>
      </c>
      <c r="AC114" s="12" t="n">
        <f aca="false">$C114+$D114+MAX(AA114,AB114,IF(COUNTIFS($A$21:$A$141,"&gt;="&amp;$G114,$A$21:$A$141,"&lt;="&amp;$H114)&gt;0,_xlfn.MAXIFS(Z$21:Z$141,$A$21:$A$141,"&gt;="&amp;$G114,$A$21:$A$141,"&lt;="&amp;$H114),AA114))</f>
        <v>-0.000297328279771136</v>
      </c>
      <c r="AD114" s="12" t="n">
        <f aca="false">-Cost_k*$A114+Beta_q*(Declarations!$B$16*INDEX(AC$21:AC$141,MAX(1,MIN(121,$B114-ROUND(Declarations!$A$16/$D$18,0))))+Declarations!$B$17*INDEX(AC$21:AC$141,MAX(1,MIN(121,$B114-ROUND(Declarations!$A$17/$D$18,0))))+Declarations!$B$18*INDEX(AC$21:AC$141,MAX(1,MIN(121,$B114-ROUND(Declarations!$A$18/$D$18,0))))+Declarations!$B$19*INDEX(AC$21:AC$141,MAX(1,MIN(121,$B114-ROUND(Declarations!$A$19/$D$18,0))))+Declarations!$B$20*INDEX(AC$21:AC$141,MAX(1,MIN(121,$B114-ROUND(Declarations!$A$20/$D$18,0)))))</f>
        <v>-253.001405324822</v>
      </c>
      <c r="AE114" s="12" t="n">
        <f aca="false">INDEX(AD$21:AD$141,$I114+1)*(1-$J114)+INDEX(AD$21:AD$141,$I114+2)*$J114</f>
        <v>-246.713594651489</v>
      </c>
      <c r="AF114" s="12" t="n">
        <f aca="false">INDEX(AD$21:AD$141,$K114+1)*(1-$L114)+INDEX(AD$21:AD$141,$K114+2)*$L114</f>
        <v>-256.675122087293</v>
      </c>
      <c r="AG114" s="12" t="n">
        <f aca="false">$C114+$D114+MAX(AE114,AF114,IF(COUNTIFS($A$21:$A$141,"&gt;="&amp;$G114,$A$21:$A$141,"&lt;="&amp;$H114)&gt;0,_xlfn.MAXIFS(AD$21:AD$141,$A$21:$A$141,"&gt;="&amp;$G114,$A$21:$A$141,"&lt;="&amp;$H114),AE114))</f>
        <v>-0.0385946514891486</v>
      </c>
      <c r="AH114" s="12" t="n">
        <f aca="false">-Cost_k*$A114+Beta_q*(Declarations!$B$16*INDEX(AG$21:AG$141,MAX(1,MIN(121,$B114-ROUND(Declarations!$A$16/$D$18,0))))+Declarations!$B$17*INDEX(AG$21:AG$141,MAX(1,MIN(121,$B114-ROUND(Declarations!$A$17/$D$18,0))))+Declarations!$B$18*INDEX(AG$21:AG$141,MAX(1,MIN(121,$B114-ROUND(Declarations!$A$18/$D$18,0))))+Declarations!$B$19*INDEX(AG$21:AG$141,MAX(1,MIN(121,$B114-ROUND(Declarations!$A$19/$D$18,0))))+Declarations!$B$20*INDEX(AG$21:AG$141,MAX(1,MIN(121,$B114-ROUND(Declarations!$A$20/$D$18,0)))))</f>
        <v>-253.06024447085</v>
      </c>
      <c r="AI114" s="12" t="n">
        <f aca="false">INDEX(AH$21:AH$141,$I114+1)*(1-$J114)+INDEX(AH$21:AH$141,$I114+2)*$J114</f>
        <v>-247.110457377827</v>
      </c>
      <c r="AJ114" s="12" t="n">
        <f aca="false">INDEX(AH$21:AH$141,$K114+1)*(1-$L114)+INDEX(AH$21:AH$141,$K114+2)*$L114</f>
        <v>-256.689479976967</v>
      </c>
      <c r="AK114" s="12" t="n">
        <f aca="false">$C114+$D114+MAX(AI114,AJ114,IF(COUNTIFS($A$21:$A$141,"&gt;="&amp;$G114,$A$21:$A$141,"&lt;="&amp;$H114)&gt;0,_xlfn.MAXIFS(AH$21:AH$141,$A$21:$A$141,"&gt;="&amp;$G114,$A$21:$A$141,"&lt;="&amp;$H114),AI114))</f>
        <v>-0.435457377827305</v>
      </c>
      <c r="AL114" s="12" t="n">
        <f aca="false">-Cost_k*$A114+Beta_q*(Declarations!$B$16*INDEX(AK$21:AK$141,MAX(1,MIN(121,$B114-ROUND(Declarations!$A$16/$D$18,0))))+Declarations!$B$17*INDEX(AK$21:AK$141,MAX(1,MIN(121,$B114-ROUND(Declarations!$A$17/$D$18,0))))+Declarations!$B$18*INDEX(AK$21:AK$141,MAX(1,MIN(121,$B114-ROUND(Declarations!$A$18/$D$18,0))))+Declarations!$B$19*INDEX(AK$21:AK$141,MAX(1,MIN(121,$B114-ROUND(Declarations!$A$19/$D$18,0))))+Declarations!$B$20*INDEX(AK$21:AK$141,MAX(1,MIN(121,$B114-ROUND(Declarations!$A$20/$D$18,0)))))</f>
        <v>-253.505393340509</v>
      </c>
      <c r="AM114" s="12" t="n">
        <f aca="false">INDEX(AL$21:AL$141,$I114+1)*(1-$J114)+INDEX(AL$21:AL$141,$I114+2)*$J114</f>
        <v>-248.507250619489</v>
      </c>
      <c r="AN114" s="12" t="n">
        <f aca="false">INDEX(AL$21:AL$141,$K114+1)*(1-$L114)+INDEX(AL$21:AL$141,$K114+2)*$L114</f>
        <v>-256.874033388857</v>
      </c>
      <c r="AO114" s="12" t="n">
        <f aca="false">$C114+$D114+MAX(AM114,AN114,IF(COUNTIFS($A$21:$A$141,"&gt;="&amp;$G114,$A$21:$A$141,"&lt;="&amp;$H114)&gt;0,_xlfn.MAXIFS(AL$21:AL$141,$A$21:$A$141,"&gt;="&amp;$G114,$A$21:$A$141,"&lt;="&amp;$H114),AM114))</f>
        <v>-1.83225061948869</v>
      </c>
      <c r="AP114" s="12" t="n">
        <f aca="false">-Cost_k*$A114+Beta_q*(Declarations!$B$16*INDEX(AO$21:AO$141,MAX(1,MIN(121,$B114-ROUND(Declarations!$A$16/$D$18,0))))+Declarations!$B$17*INDEX(AO$21:AO$141,MAX(1,MIN(121,$B114-ROUND(Declarations!$A$17/$D$18,0))))+Declarations!$B$18*INDEX(AO$21:AO$141,MAX(1,MIN(121,$B114-ROUND(Declarations!$A$18/$D$18,0))))+Declarations!$B$19*INDEX(AO$21:AO$141,MAX(1,MIN(121,$B114-ROUND(Declarations!$A$19/$D$18,0))))+Declarations!$B$20*INDEX(AO$21:AO$141,MAX(1,MIN(121,$B114-ROUND(Declarations!$A$20/$D$18,0)))))</f>
        <v>-254.919230141218</v>
      </c>
      <c r="AQ114" s="12" t="n">
        <f aca="false">INDEX(AP$21:AP$141,$I114+1)*(1-$J114)+INDEX(AP$21:AP$141,$I114+2)*$J114</f>
        <v>-251.322602987152</v>
      </c>
      <c r="AR114" s="12" t="n">
        <f aca="false">INDEX(AP$21:AP$141,$K114+1)*(1-$L114)+INDEX(AP$21:AP$141,$K114+2)*$L114</f>
        <v>-257.689833129925</v>
      </c>
      <c r="AS114" s="12" t="n">
        <f aca="false">$C114+$D114+MAX(AQ114,AR114,IF(COUNTIFS($A$21:$A$141,"&gt;="&amp;$G114,$A$21:$A$141,"&lt;="&amp;$H114)&gt;0,_xlfn.MAXIFS(AP$21:AP$141,$A$21:$A$141,"&gt;="&amp;$G114,$A$21:$A$141,"&lt;="&amp;$H114),AQ114))</f>
        <v>-4.64760298715228</v>
      </c>
      <c r="AT114" s="12" t="n">
        <f aca="false">-Cost_k*$A114+Beta_q*(Declarations!$B$16*INDEX(AS$21:AS$141,MAX(1,MIN(121,$B114-ROUND(Declarations!$A$16/$D$18,0))))+Declarations!$B$17*INDEX(AS$21:AS$141,MAX(1,MIN(121,$B114-ROUND(Declarations!$A$17/$D$18,0))))+Declarations!$B$18*INDEX(AS$21:AS$141,MAX(1,MIN(121,$B114-ROUND(Declarations!$A$18/$D$18,0))))+Declarations!$B$19*INDEX(AS$21:AS$141,MAX(1,MIN(121,$B114-ROUND(Declarations!$A$19/$D$18,0))))+Declarations!$B$20*INDEX(AS$21:AS$141,MAX(1,MIN(121,$B114-ROUND(Declarations!$A$20/$D$18,0)))))</f>
        <v>-257.669465682561</v>
      </c>
      <c r="AU114" s="12" t="n">
        <f aca="false">INDEX(AT$21:AT$141,$I114+1)*(1-$J114)+INDEX(AT$21:AT$141,$I114+2)*$J114</f>
        <v>-255.347098753958</v>
      </c>
      <c r="AV114" s="12" t="n">
        <f aca="false">INDEX(AT$21:AT$141,$K114+1)*(1-$L114)+INDEX(AT$21:AT$141,$K114+2)*$L114</f>
        <v>-259.654272187528</v>
      </c>
      <c r="AW114" s="12" t="n">
        <f aca="false">$C114+$D114+MAX(AU114,AV114,IF(COUNTIFS($A$21:$A$141,"&gt;="&amp;$G114,$A$21:$A$141,"&lt;="&amp;$H114)&gt;0,_xlfn.MAXIFS(AT$21:AT$141,$A$21:$A$141,"&gt;="&amp;$G114,$A$21:$A$141,"&lt;="&amp;$H114),AU114))</f>
        <v>-8.67209875395818</v>
      </c>
      <c r="AX114" s="12" t="n">
        <f aca="false">-Cost_k*$A114+Beta_q*(Declarations!$B$16*INDEX(AW$21:AW$141,MAX(1,MIN(121,$B114-ROUND(Declarations!$A$16/$D$18,0))))+Declarations!$B$17*INDEX(AW$21:AW$141,MAX(1,MIN(121,$B114-ROUND(Declarations!$A$17/$D$18,0))))+Declarations!$B$18*INDEX(AW$21:AW$141,MAX(1,MIN(121,$B114-ROUND(Declarations!$A$18/$D$18,0))))+Declarations!$B$19*INDEX(AW$21:AW$141,MAX(1,MIN(121,$B114-ROUND(Declarations!$A$19/$D$18,0))))+Declarations!$B$20*INDEX(AW$21:AW$141,MAX(1,MIN(121,$B114-ROUND(Declarations!$A$20/$D$18,0)))))</f>
        <v>-261.549987720018</v>
      </c>
      <c r="AY114" s="12" t="n">
        <f aca="false">INDEX(AX$21:AX$141,$I114+1)*(1-$J114)+INDEX(AX$21:AX$141,$I114+2)*$J114</f>
        <v>-259.915650820892</v>
      </c>
      <c r="AZ114" s="12" t="n">
        <f aca="false">INDEX(AX$21:AX$141,$K114+1)*(1-$L114)+INDEX(AX$21:AX$141,$K114+2)*$L114</f>
        <v>-262.891737927869</v>
      </c>
      <c r="BA114" s="12" t="n">
        <f aca="false">$C114+$D114+MAX(AY114,AZ114,IF(COUNTIFS($A$21:$A$141,"&gt;="&amp;$G114,$A$21:$A$141,"&lt;="&amp;$H114)&gt;0,_xlfn.MAXIFS(AX$21:AX$141,$A$21:$A$141,"&gt;="&amp;$G114,$A$21:$A$141,"&lt;="&amp;$H114),AY114))</f>
        <v>-13.2406508208921</v>
      </c>
      <c r="BB114" s="12" t="n">
        <f aca="false">-Cost_k*$A114+Beta_q*(Declarations!$B$16*INDEX(BA$21:BA$141,MAX(1,MIN(121,$B114-ROUND(Declarations!$A$16/$D$18,0))))+Declarations!$B$17*INDEX(BA$21:BA$141,MAX(1,MIN(121,$B114-ROUND(Declarations!$A$17/$D$18,0))))+Declarations!$B$18*INDEX(BA$21:BA$141,MAX(1,MIN(121,$B114-ROUND(Declarations!$A$18/$D$18,0))))+Declarations!$B$19*INDEX(BA$21:BA$141,MAX(1,MIN(121,$B114-ROUND(Declarations!$A$19/$D$18,0))))+Declarations!$B$20*INDEX(BA$21:BA$141,MAX(1,MIN(121,$B114-ROUND(Declarations!$A$20/$D$18,0)))))</f>
        <v>-265.969874719838</v>
      </c>
      <c r="BC114" s="12" t="n">
        <f aca="false">INDEX(BB$21:BB$141,$I114+1)*(1-$J114)+INDEX(BB$21:BB$141,$I114+2)*$J114</f>
        <v>-264.566941019742</v>
      </c>
      <c r="BD114" s="12" t="n">
        <f aca="false">INDEX(BB$21:BB$141,$K114+1)*(1-$L114)+INDEX(BB$21:BB$141,$K114+2)*$L114</f>
        <v>-266.991081739465</v>
      </c>
      <c r="BE114" s="12" t="n">
        <f aca="false">$C114+$D114+MAX(BC114,BD114,IF(COUNTIFS($A$21:$A$141,"&gt;="&amp;$G114,$A$21:$A$141,"&lt;="&amp;$H114)&gt;0,_xlfn.MAXIFS(BB$21:BB$141,$A$21:$A$141,"&gt;="&amp;$G114,$A$21:$A$141,"&lt;="&amp;$H114),BC114))</f>
        <v>-17.8919410197417</v>
      </c>
      <c r="BF114" s="12" t="n">
        <f aca="false">-Cost_k*$A114+Beta_q*(Declarations!$B$16*INDEX(BE$21:BE$141,MAX(1,MIN(121,$B114-ROUND(Declarations!$A$16/$D$18,0))))+Declarations!$B$17*INDEX(BE$21:BE$141,MAX(1,MIN(121,$B114-ROUND(Declarations!$A$17/$D$18,0))))+Declarations!$B$18*INDEX(BE$21:BE$141,MAX(1,MIN(121,$B114-ROUND(Declarations!$A$18/$D$18,0))))+Declarations!$B$19*INDEX(BE$21:BE$141,MAX(1,MIN(121,$B114-ROUND(Declarations!$A$19/$D$18,0))))+Declarations!$B$20*INDEX(BE$21:BE$141,MAX(1,MIN(121,$B114-ROUND(Declarations!$A$20/$D$18,0)))))</f>
        <v>-270.496286743162</v>
      </c>
      <c r="BG114" s="12" t="n">
        <f aca="false">INDEX(BF$21:BF$141,$I114+1)*(1-$J114)+INDEX(BF$21:BF$141,$I114+2)*$J114</f>
        <v>-269.148243558455</v>
      </c>
      <c r="BH114" s="12" t="n">
        <f aca="false">INDEX(BF$21:BF$141,$K114+1)*(1-$L114)+INDEX(BF$21:BF$141,$K114+2)*$L114</f>
        <v>-271.413275839676</v>
      </c>
      <c r="BI114" s="12" t="n">
        <f aca="false">$C114+$D114+MAX(BG114,BH114,IF(COUNTIFS($A$21:$A$141,"&gt;="&amp;$G114,$A$21:$A$141,"&lt;="&amp;$H114)&gt;0,_xlfn.MAXIFS(BF$21:BF$141,$A$21:$A$141,"&gt;="&amp;$G114,$A$21:$A$141,"&lt;="&amp;$H114),BG114))</f>
        <v>-22.4732435584549</v>
      </c>
      <c r="BJ114" s="23" t="n">
        <v>-22.4732435584548</v>
      </c>
      <c r="BK114" s="22" t="n">
        <f aca="false">ABS(BI114-BJ114)</f>
        <v>0</v>
      </c>
    </row>
    <row r="115" customFormat="false" ht="15" hidden="false" customHeight="false" outlineLevel="0" collapsed="false">
      <c r="A115" s="14" t="n">
        <f aca="false">A114+$D$18</f>
        <v>63.5</v>
      </c>
      <c r="B115" s="19" t="n">
        <v>95</v>
      </c>
      <c r="C115" s="12" t="n">
        <f aca="false">-Short_p*MAX(Floor_c-A115,0)</f>
        <v>-0</v>
      </c>
      <c r="D115" s="12" t="n">
        <f aca="false">Cost_k*Alpha_keep*A115</f>
        <v>247.65</v>
      </c>
      <c r="E115" s="12" t="n">
        <f aca="false">MIN(Cap_h,MAX(0,$B$18+MAX(Loss_w)-Alpha_keep*A115))</f>
        <v>0</v>
      </c>
      <c r="F115" s="12" t="n">
        <f aca="false">MAX(MIN(Cap_h,$F$18+MIN(Loss_w)-Alpha_keep*A115),E115)</f>
        <v>2.5</v>
      </c>
      <c r="G115" s="12" t="n">
        <f aca="false">Alpha_keep*A115+E115</f>
        <v>61.9125</v>
      </c>
      <c r="H115" s="12" t="n">
        <f aca="false">Alpha_keep*A115+F115</f>
        <v>64.4125</v>
      </c>
      <c r="I115" s="19" t="n">
        <f aca="false">MIN(INT((G115-$B$18)/$D$18+0.000000001),119)</f>
        <v>87</v>
      </c>
      <c r="J115" s="12" t="n">
        <f aca="false">(G115-$B$18)/$D$18-I115</f>
        <v>0.650000000000006</v>
      </c>
      <c r="K115" s="19" t="n">
        <f aca="false">MIN(INT((H115-$B$18)/$D$18+0.000000001),119)</f>
        <v>97</v>
      </c>
      <c r="L115" s="12" t="n">
        <f aca="false">(H115-$B$18)/$D$18-K115</f>
        <v>0.649999999999977</v>
      </c>
      <c r="M115" s="9" t="n">
        <v>0</v>
      </c>
      <c r="N115" s="12" t="n">
        <f aca="false">-Cost_k*$A115+Beta_q*(Declarations!$B$16*INDEX(M$21:M$141,MAX(1,MIN(121,$B115-ROUND(Declarations!$A$16/$D$18,0))))+Declarations!$B$17*INDEX(M$21:M$141,MAX(1,MIN(121,$B115-ROUND(Declarations!$A$17/$D$18,0))))+Declarations!$B$18*INDEX(M$21:M$141,MAX(1,MIN(121,$B115-ROUND(Declarations!$A$18/$D$18,0))))+Declarations!$B$19*INDEX(M$21:M$141,MAX(1,MIN(121,$B115-ROUND(Declarations!$A$19/$D$18,0))))+Declarations!$B$20*INDEX(M$21:M$141,MAX(1,MIN(121,$B115-ROUND(Declarations!$A$20/$D$18,0)))))</f>
        <v>-254</v>
      </c>
      <c r="O115" s="12" t="n">
        <f aca="false">INDEX(N$21:N$141,$I115+1)*(1-$J115)+INDEX(N$21:N$141,$I115+2)*$J115</f>
        <v>-247.65</v>
      </c>
      <c r="P115" s="12" t="n">
        <f aca="false">INDEX(N$21:N$141,$K115+1)*(1-$L115)+INDEX(N$21:N$141,$K115+2)*$L115</f>
        <v>-257.65</v>
      </c>
      <c r="Q115" s="12" t="n">
        <f aca="false">$C115+$D115+MAX(O115,P115,IF(COUNTIFS($A$21:$A$141,"&gt;="&amp;$G115,$A$21:$A$141,"&lt;="&amp;$H115)&gt;0,_xlfn.MAXIFS(N$21:N$141,$A$21:$A$141,"&gt;="&amp;$G115,$A$21:$A$141,"&lt;="&amp;$H115),O115))</f>
        <v>0</v>
      </c>
      <c r="R115" s="12" t="n">
        <f aca="false">-Cost_k*$A115+Beta_q*(Declarations!$B$16*INDEX(Q$21:Q$141,MAX(1,MIN(121,$B115-ROUND(Declarations!$A$16/$D$18,0))))+Declarations!$B$17*INDEX(Q$21:Q$141,MAX(1,MIN(121,$B115-ROUND(Declarations!$A$17/$D$18,0))))+Declarations!$B$18*INDEX(Q$21:Q$141,MAX(1,MIN(121,$B115-ROUND(Declarations!$A$18/$D$18,0))))+Declarations!$B$19*INDEX(Q$21:Q$141,MAX(1,MIN(121,$B115-ROUND(Declarations!$A$19/$D$18,0))))+Declarations!$B$20*INDEX(Q$21:Q$141,MAX(1,MIN(121,$B115-ROUND(Declarations!$A$20/$D$18,0)))))</f>
        <v>-254</v>
      </c>
      <c r="S115" s="12" t="n">
        <f aca="false">INDEX(R$21:R$141,$I115+1)*(1-$J115)+INDEX(R$21:R$141,$I115+2)*$J115</f>
        <v>-247.65</v>
      </c>
      <c r="T115" s="12" t="n">
        <f aca="false">INDEX(R$21:R$141,$K115+1)*(1-$L115)+INDEX(R$21:R$141,$K115+2)*$L115</f>
        <v>-257.65</v>
      </c>
      <c r="U115" s="12" t="n">
        <f aca="false">$C115+$D115+MAX(S115,T115,IF(COUNTIFS($A$21:$A$141,"&gt;="&amp;$G115,$A$21:$A$141,"&lt;="&amp;$H115)&gt;0,_xlfn.MAXIFS(R$21:R$141,$A$21:$A$141,"&gt;="&amp;$G115,$A$21:$A$141,"&lt;="&amp;$H115),S115))</f>
        <v>0</v>
      </c>
      <c r="V115" s="12" t="n">
        <f aca="false">-Cost_k*$A115+Beta_q*(Declarations!$B$16*INDEX(U$21:U$141,MAX(1,MIN(121,$B115-ROUND(Declarations!$A$16/$D$18,0))))+Declarations!$B$17*INDEX(U$21:U$141,MAX(1,MIN(121,$B115-ROUND(Declarations!$A$17/$D$18,0))))+Declarations!$B$18*INDEX(U$21:U$141,MAX(1,MIN(121,$B115-ROUND(Declarations!$A$18/$D$18,0))))+Declarations!$B$19*INDEX(U$21:U$141,MAX(1,MIN(121,$B115-ROUND(Declarations!$A$19/$D$18,0))))+Declarations!$B$20*INDEX(U$21:U$141,MAX(1,MIN(121,$B115-ROUND(Declarations!$A$20/$D$18,0)))))</f>
        <v>-254</v>
      </c>
      <c r="W115" s="12" t="n">
        <f aca="false">INDEX(V$21:V$141,$I115+1)*(1-$J115)+INDEX(V$21:V$141,$I115+2)*$J115</f>
        <v>-247.65</v>
      </c>
      <c r="X115" s="12" t="n">
        <f aca="false">INDEX(V$21:V$141,$K115+1)*(1-$L115)+INDEX(V$21:V$141,$K115+2)*$L115</f>
        <v>-257.65</v>
      </c>
      <c r="Y115" s="12" t="n">
        <f aca="false">$C115+$D115+MAX(W115,X115,IF(COUNTIFS($A$21:$A$141,"&gt;="&amp;$G115,$A$21:$A$141,"&lt;="&amp;$H115)&gt;0,_xlfn.MAXIFS(V$21:V$141,$A$21:$A$141,"&gt;="&amp;$G115,$A$21:$A$141,"&lt;="&amp;$H115),W115))</f>
        <v>0</v>
      </c>
      <c r="Z115" s="12" t="n">
        <f aca="false">-Cost_k*$A115+Beta_q*(Declarations!$B$16*INDEX(Y$21:Y$141,MAX(1,MIN(121,$B115-ROUND(Declarations!$A$16/$D$18,0))))+Declarations!$B$17*INDEX(Y$21:Y$141,MAX(1,MIN(121,$B115-ROUND(Declarations!$A$17/$D$18,0))))+Declarations!$B$18*INDEX(Y$21:Y$141,MAX(1,MIN(121,$B115-ROUND(Declarations!$A$18/$D$18,0))))+Declarations!$B$19*INDEX(Y$21:Y$141,MAX(1,MIN(121,$B115-ROUND(Declarations!$A$19/$D$18,0))))+Declarations!$B$20*INDEX(Y$21:Y$141,MAX(1,MIN(121,$B115-ROUND(Declarations!$A$20/$D$18,0)))))</f>
        <v>-254</v>
      </c>
      <c r="AA115" s="12" t="n">
        <f aca="false">INDEX(Z$21:Z$141,$I115+1)*(1-$J115)+INDEX(Z$21:Z$141,$I115+2)*$J115</f>
        <v>-247.650106675115</v>
      </c>
      <c r="AB115" s="12" t="n">
        <f aca="false">INDEX(Z$21:Z$141,$K115+1)*(1-$L115)+INDEX(Z$21:Z$141,$K115+2)*$L115</f>
        <v>-257.65</v>
      </c>
      <c r="AC115" s="12" t="n">
        <f aca="false">$C115+$D115+MAX(AA115,AB115,IF(COUNTIFS($A$21:$A$141,"&gt;="&amp;$G115,$A$21:$A$141,"&lt;="&amp;$H115)&gt;0,_xlfn.MAXIFS(Z$21:Z$141,$A$21:$A$141,"&gt;="&amp;$G115,$A$21:$A$141,"&lt;="&amp;$H115),AA115))</f>
        <v>-0.000106675114949439</v>
      </c>
      <c r="AD115" s="12" t="n">
        <f aca="false">-Cost_k*$A115+Beta_q*(Declarations!$B$16*INDEX(AC$21:AC$141,MAX(1,MIN(121,$B115-ROUND(Declarations!$A$16/$D$18,0))))+Declarations!$B$17*INDEX(AC$21:AC$141,MAX(1,MIN(121,$B115-ROUND(Declarations!$A$17/$D$18,0))))+Declarations!$B$18*INDEX(AC$21:AC$141,MAX(1,MIN(121,$B115-ROUND(Declarations!$A$18/$D$18,0))))+Declarations!$B$19*INDEX(AC$21:AC$141,MAX(1,MIN(121,$B115-ROUND(Declarations!$A$19/$D$18,0))))+Declarations!$B$20*INDEX(AC$21:AC$141,MAX(1,MIN(121,$B115-ROUND(Declarations!$A$20/$D$18,0)))))</f>
        <v>-254.000791878409</v>
      </c>
      <c r="AE115" s="12" t="n">
        <f aca="false">INDEX(AD$21:AD$141,$I115+1)*(1-$J115)+INDEX(AD$21:AD$141,$I115+2)*$J115</f>
        <v>-247.675518806225</v>
      </c>
      <c r="AF115" s="12" t="n">
        <f aca="false">INDEX(AD$21:AD$141,$K115+1)*(1-$L115)+INDEX(AD$21:AD$141,$K115+2)*$L115</f>
        <v>-257.650062509149</v>
      </c>
      <c r="AG115" s="12" t="n">
        <f aca="false">$C115+$D115+MAX(AE115,AF115,IF(COUNTIFS($A$21:$A$141,"&gt;="&amp;$G115,$A$21:$A$141,"&lt;="&amp;$H115)&gt;0,_xlfn.MAXIFS(AD$21:AD$141,$A$21:$A$141,"&gt;="&amp;$G115,$A$21:$A$141,"&lt;="&amp;$H115),AE115))</f>
        <v>-0.0255188062246816</v>
      </c>
      <c r="AH115" s="12" t="n">
        <f aca="false">-Cost_k*$A115+Beta_q*(Declarations!$B$16*INDEX(AG$21:AG$141,MAX(1,MIN(121,$B115-ROUND(Declarations!$A$16/$D$18,0))))+Declarations!$B$17*INDEX(AG$21:AG$141,MAX(1,MIN(121,$B115-ROUND(Declarations!$A$17/$D$18,0))))+Declarations!$B$18*INDEX(AG$21:AG$141,MAX(1,MIN(121,$B115-ROUND(Declarations!$A$18/$D$18,0))))+Declarations!$B$19*INDEX(AG$21:AG$141,MAX(1,MIN(121,$B115-ROUND(Declarations!$A$19/$D$18,0))))+Declarations!$B$20*INDEX(AG$21:AG$141,MAX(1,MIN(121,$B115-ROUND(Declarations!$A$20/$D$18,0)))))</f>
        <v>-254.042540952573</v>
      </c>
      <c r="AI115" s="12" t="n">
        <f aca="false">INDEX(AH$21:AH$141,$I115+1)*(1-$J115)+INDEX(AH$21:AH$141,$I115+2)*$J115</f>
        <v>-247.988092134582</v>
      </c>
      <c r="AJ115" s="12" t="n">
        <f aca="false">INDEX(AH$21:AH$141,$K115+1)*(1-$L115)+INDEX(AH$21:AH$141,$K115+2)*$L115</f>
        <v>-257.65970788699</v>
      </c>
      <c r="AK115" s="12" t="n">
        <f aca="false">$C115+$D115+MAX(AI115,AJ115,IF(COUNTIFS($A$21:$A$141,"&gt;="&amp;$G115,$A$21:$A$141,"&lt;="&amp;$H115)&gt;0,_xlfn.MAXIFS(AH$21:AH$141,$A$21:$A$141,"&gt;="&amp;$G115,$A$21:$A$141,"&lt;="&amp;$H115),AI115))</f>
        <v>-0.338092134582467</v>
      </c>
      <c r="AL115" s="12" t="n">
        <f aca="false">-Cost_k*$A115+Beta_q*(Declarations!$B$16*INDEX(AK$21:AK$141,MAX(1,MIN(121,$B115-ROUND(Declarations!$A$16/$D$18,0))))+Declarations!$B$17*INDEX(AK$21:AK$141,MAX(1,MIN(121,$B115-ROUND(Declarations!$A$17/$D$18,0))))+Declarations!$B$18*INDEX(AK$21:AK$141,MAX(1,MIN(121,$B115-ROUND(Declarations!$A$18/$D$18,0))))+Declarations!$B$19*INDEX(AK$21:AK$141,MAX(1,MIN(121,$B115-ROUND(Declarations!$A$19/$D$18,0))))+Declarations!$B$20*INDEX(AK$21:AK$141,MAX(1,MIN(121,$B115-ROUND(Declarations!$A$20/$D$18,0)))))</f>
        <v>-254.400622337111</v>
      </c>
      <c r="AM115" s="12" t="n">
        <f aca="false">INDEX(AL$21:AL$141,$I115+1)*(1-$J115)+INDEX(AL$21:AL$141,$I115+2)*$J115</f>
        <v>-249.197101068606</v>
      </c>
      <c r="AN115" s="12" t="n">
        <f aca="false">INDEX(AL$21:AL$141,$K115+1)*(1-$L115)+INDEX(AL$21:AL$141,$K115+2)*$L115</f>
        <v>-257.802143260848</v>
      </c>
      <c r="AO115" s="12" t="n">
        <f aca="false">$C115+$D115+MAX(AM115,AN115,IF(COUNTIFS($A$21:$A$141,"&gt;="&amp;$G115,$A$21:$A$141,"&lt;="&amp;$H115)&gt;0,_xlfn.MAXIFS(AL$21:AL$141,$A$21:$A$141,"&gt;="&amp;$G115,$A$21:$A$141,"&lt;="&amp;$H115),AM115))</f>
        <v>-1.54710106860628</v>
      </c>
      <c r="AP115" s="12" t="n">
        <f aca="false">-Cost_k*$A115+Beta_q*(Declarations!$B$16*INDEX(AO$21:AO$141,MAX(1,MIN(121,$B115-ROUND(Declarations!$A$16/$D$18,0))))+Declarations!$B$17*INDEX(AO$21:AO$141,MAX(1,MIN(121,$B115-ROUND(Declarations!$A$17/$D$18,0))))+Declarations!$B$18*INDEX(AO$21:AO$141,MAX(1,MIN(121,$B115-ROUND(Declarations!$A$18/$D$18,0))))+Declarations!$B$19*INDEX(AO$21:AO$141,MAX(1,MIN(121,$B115-ROUND(Declarations!$A$19/$D$18,0))))+Declarations!$B$20*INDEX(AO$21:AO$141,MAX(1,MIN(121,$B115-ROUND(Declarations!$A$20/$D$18,0)))))</f>
        <v>-255.633658061129</v>
      </c>
      <c r="AQ115" s="12" t="n">
        <f aca="false">INDEX(AP$21:AP$141,$I115+1)*(1-$J115)+INDEX(AP$21:AP$141,$I115+2)*$J115</f>
        <v>-251.779493572179</v>
      </c>
      <c r="AR115" s="12" t="n">
        <f aca="false">INDEX(AP$21:AP$141,$K115+1)*(1-$L115)+INDEX(AP$21:AP$141,$K115+2)*$L115</f>
        <v>-258.493034585105</v>
      </c>
      <c r="AS115" s="12" t="n">
        <f aca="false">$C115+$D115+MAX(AQ115,AR115,IF(COUNTIFS($A$21:$A$141,"&gt;="&amp;$G115,$A$21:$A$141,"&lt;="&amp;$H115)&gt;0,_xlfn.MAXIFS(AP$21:AP$141,$A$21:$A$141,"&gt;="&amp;$G115,$A$21:$A$141,"&lt;="&amp;$H115),AQ115))</f>
        <v>-4.12949357217917</v>
      </c>
      <c r="AT115" s="12" t="n">
        <f aca="false">-Cost_k*$A115+Beta_q*(Declarations!$B$16*INDEX(AS$21:AS$141,MAX(1,MIN(121,$B115-ROUND(Declarations!$A$16/$D$18,0))))+Declarations!$B$17*INDEX(AS$21:AS$141,MAX(1,MIN(121,$B115-ROUND(Declarations!$A$17/$D$18,0))))+Declarations!$B$18*INDEX(AS$21:AS$141,MAX(1,MIN(121,$B115-ROUND(Declarations!$A$18/$D$18,0))))+Declarations!$B$19*INDEX(AS$21:AS$141,MAX(1,MIN(121,$B115-ROUND(Declarations!$A$19/$D$18,0))))+Declarations!$B$20*INDEX(AS$21:AS$141,MAX(1,MIN(121,$B115-ROUND(Declarations!$A$20/$D$18,0)))))</f>
        <v>-258.164780661543</v>
      </c>
      <c r="AU115" s="12" t="n">
        <f aca="false">INDEX(AT$21:AT$141,$I115+1)*(1-$J115)+INDEX(AT$21:AT$141,$I115+2)*$J115</f>
        <v>-255.631740593744</v>
      </c>
      <c r="AV115" s="12" t="n">
        <f aca="false">INDEX(AT$21:AT$141,$K115+1)*(1-$L115)+INDEX(AT$21:AT$141,$K115+2)*$L115</f>
        <v>-260.262789618917</v>
      </c>
      <c r="AW115" s="12" t="n">
        <f aca="false">$C115+$D115+MAX(AU115,AV115,IF(COUNTIFS($A$21:$A$141,"&gt;="&amp;$G115,$A$21:$A$141,"&lt;="&amp;$H115)&gt;0,_xlfn.MAXIFS(AT$21:AT$141,$A$21:$A$141,"&gt;="&amp;$G115,$A$21:$A$141,"&lt;="&amp;$H115),AU115))</f>
        <v>-7.98174059374369</v>
      </c>
      <c r="AX115" s="12" t="n">
        <f aca="false">-Cost_k*$A115+Beta_q*(Declarations!$B$16*INDEX(AW$21:AW$141,MAX(1,MIN(121,$B115-ROUND(Declarations!$A$16/$D$18,0))))+Declarations!$B$17*INDEX(AW$21:AW$141,MAX(1,MIN(121,$B115-ROUND(Declarations!$A$17/$D$18,0))))+Declarations!$B$18*INDEX(AW$21:AW$141,MAX(1,MIN(121,$B115-ROUND(Declarations!$A$18/$D$18,0))))+Declarations!$B$19*INDEX(AW$21:AW$141,MAX(1,MIN(121,$B115-ROUND(Declarations!$A$19/$D$18,0))))+Declarations!$B$20*INDEX(AW$21:AW$141,MAX(1,MIN(121,$B115-ROUND(Declarations!$A$20/$D$18,0)))))</f>
        <v>-261.882766493326</v>
      </c>
      <c r="AY115" s="12" t="n">
        <f aca="false">INDEX(AX$21:AX$141,$I115+1)*(1-$J115)+INDEX(AX$21:AX$141,$I115+2)*$J115</f>
        <v>-260.129204502936</v>
      </c>
      <c r="AZ115" s="12" t="n">
        <f aca="false">INDEX(AX$21:AX$141,$K115+1)*(1-$L115)+INDEX(AX$21:AX$141,$K115+2)*$L115</f>
        <v>-263.311098876509</v>
      </c>
      <c r="BA115" s="12" t="n">
        <f aca="false">$C115+$D115+MAX(AY115,AZ115,IF(COUNTIFS($A$21:$A$141,"&gt;="&amp;$G115,$A$21:$A$141,"&lt;="&amp;$H115)&gt;0,_xlfn.MAXIFS(AX$21:AX$141,$A$21:$A$141,"&gt;="&amp;$G115,$A$21:$A$141,"&lt;="&amp;$H115),AY115))</f>
        <v>-12.4792045029359</v>
      </c>
      <c r="BB115" s="12" t="n">
        <f aca="false">-Cost_k*$A115+Beta_q*(Declarations!$B$16*INDEX(BA$21:BA$141,MAX(1,MIN(121,$B115-ROUND(Declarations!$A$16/$D$18,0))))+Declarations!$B$17*INDEX(BA$21:BA$141,MAX(1,MIN(121,$B115-ROUND(Declarations!$A$17/$D$18,0))))+Declarations!$B$18*INDEX(BA$21:BA$141,MAX(1,MIN(121,$B115-ROUND(Declarations!$A$18/$D$18,0))))+Declarations!$B$19*INDEX(BA$21:BA$141,MAX(1,MIN(121,$B115-ROUND(Declarations!$A$19/$D$18,0))))+Declarations!$B$20*INDEX(BA$21:BA$141,MAX(1,MIN(121,$B115-ROUND(Declarations!$A$20/$D$18,0)))))</f>
        <v>-266.230523464546</v>
      </c>
      <c r="BC115" s="12" t="n">
        <f aca="false">INDEX(BB$21:BB$141,$I115+1)*(1-$J115)+INDEX(BB$21:BB$141,$I115+2)*$J115</f>
        <v>-264.762038592938</v>
      </c>
      <c r="BD115" s="12" t="n">
        <f aca="false">INDEX(BB$21:BB$141,$K115+1)*(1-$L115)+INDEX(BB$21:BB$141,$K115+2)*$L115</f>
        <v>-267.29715582312</v>
      </c>
      <c r="BE115" s="12" t="n">
        <f aca="false">$C115+$D115+MAX(BC115,BD115,IF(COUNTIFS($A$21:$A$141,"&gt;="&amp;$G115,$A$21:$A$141,"&lt;="&amp;$H115)&gt;0,_xlfn.MAXIFS(BB$21:BB$141,$A$21:$A$141,"&gt;="&amp;$G115,$A$21:$A$141,"&lt;="&amp;$H115),BC115))</f>
        <v>-17.112038592938</v>
      </c>
      <c r="BF115" s="12" t="n">
        <f aca="false">-Cost_k*$A115+Beta_q*(Declarations!$B$16*INDEX(BE$21:BE$141,MAX(1,MIN(121,$B115-ROUND(Declarations!$A$16/$D$18,0))))+Declarations!$B$17*INDEX(BE$21:BE$141,MAX(1,MIN(121,$B115-ROUND(Declarations!$A$17/$D$18,0))))+Declarations!$B$18*INDEX(BE$21:BE$141,MAX(1,MIN(121,$B115-ROUND(Declarations!$A$18/$D$18,0))))+Declarations!$B$19*INDEX(BE$21:BE$141,MAX(1,MIN(121,$B115-ROUND(Declarations!$A$19/$D$18,0))))+Declarations!$B$20*INDEX(BE$21:BE$141,MAX(1,MIN(121,$B115-ROUND(Declarations!$A$20/$D$18,0)))))</f>
        <v>-270.735934560944</v>
      </c>
      <c r="BG115" s="12" t="n">
        <f aca="false">INDEX(BF$21:BF$141,$I115+1)*(1-$J115)+INDEX(BF$21:BF$141,$I115+2)*$J115</f>
        <v>-269.339822015723</v>
      </c>
      <c r="BH115" s="12" t="n">
        <f aca="false">INDEX(BF$21:BF$141,$K115+1)*(1-$L115)+INDEX(BF$21:BF$141,$K115+2)*$L115</f>
        <v>-271.676175651873</v>
      </c>
      <c r="BI115" s="12" t="n">
        <f aca="false">$C115+$D115+MAX(BG115,BH115,IF(COUNTIFS($A$21:$A$141,"&gt;="&amp;$G115,$A$21:$A$141,"&lt;="&amp;$H115)&gt;0,_xlfn.MAXIFS(BF$21:BF$141,$A$21:$A$141,"&gt;="&amp;$G115,$A$21:$A$141,"&lt;="&amp;$H115),BG115))</f>
        <v>-21.6898220157226</v>
      </c>
      <c r="BJ115" s="23" t="n">
        <v>-21.6898220157226</v>
      </c>
      <c r="BK115" s="22" t="n">
        <f aca="false">ABS(BI115-BJ115)</f>
        <v>0</v>
      </c>
    </row>
    <row r="116" customFormat="false" ht="15" hidden="false" customHeight="false" outlineLevel="0" collapsed="false">
      <c r="A116" s="14" t="n">
        <f aca="false">A115+$D$18</f>
        <v>63.75</v>
      </c>
      <c r="B116" s="19" t="n">
        <v>96</v>
      </c>
      <c r="C116" s="12" t="n">
        <f aca="false">-Short_p*MAX(Floor_c-A116,0)</f>
        <v>-0</v>
      </c>
      <c r="D116" s="12" t="n">
        <f aca="false">Cost_k*Alpha_keep*A116</f>
        <v>248.625</v>
      </c>
      <c r="E116" s="12" t="n">
        <f aca="false">MIN(Cap_h,MAX(0,$B$18+MAX(Loss_w)-Alpha_keep*A116))</f>
        <v>0</v>
      </c>
      <c r="F116" s="12" t="n">
        <f aca="false">MAX(MIN(Cap_h,$F$18+MIN(Loss_w)-Alpha_keep*A116),E116)</f>
        <v>2.5</v>
      </c>
      <c r="G116" s="12" t="n">
        <f aca="false">Alpha_keep*A116+E116</f>
        <v>62.15625</v>
      </c>
      <c r="H116" s="12" t="n">
        <f aca="false">Alpha_keep*A116+F116</f>
        <v>64.65625</v>
      </c>
      <c r="I116" s="19" t="n">
        <f aca="false">MIN(INT((G116-$B$18)/$D$18+0.000000001),119)</f>
        <v>88</v>
      </c>
      <c r="J116" s="12" t="n">
        <f aca="false">(G116-$B$18)/$D$18-I116</f>
        <v>0.625</v>
      </c>
      <c r="K116" s="19" t="n">
        <f aca="false">MIN(INT((H116-$B$18)/$D$18+0.000000001),119)</f>
        <v>98</v>
      </c>
      <c r="L116" s="12" t="n">
        <f aca="false">(H116-$B$18)/$D$18-K116</f>
        <v>0.625</v>
      </c>
      <c r="M116" s="9" t="n">
        <v>0</v>
      </c>
      <c r="N116" s="12" t="n">
        <f aca="false">-Cost_k*$A116+Beta_q*(Declarations!$B$16*INDEX(M$21:M$141,MAX(1,MIN(121,$B116-ROUND(Declarations!$A$16/$D$18,0))))+Declarations!$B$17*INDEX(M$21:M$141,MAX(1,MIN(121,$B116-ROUND(Declarations!$A$17/$D$18,0))))+Declarations!$B$18*INDEX(M$21:M$141,MAX(1,MIN(121,$B116-ROUND(Declarations!$A$18/$D$18,0))))+Declarations!$B$19*INDEX(M$21:M$141,MAX(1,MIN(121,$B116-ROUND(Declarations!$A$19/$D$18,0))))+Declarations!$B$20*INDEX(M$21:M$141,MAX(1,MIN(121,$B116-ROUND(Declarations!$A$20/$D$18,0)))))</f>
        <v>-255</v>
      </c>
      <c r="O116" s="12" t="n">
        <f aca="false">INDEX(N$21:N$141,$I116+1)*(1-$J116)+INDEX(N$21:N$141,$I116+2)*$J116</f>
        <v>-248.625</v>
      </c>
      <c r="P116" s="12" t="n">
        <f aca="false">INDEX(N$21:N$141,$K116+1)*(1-$L116)+INDEX(N$21:N$141,$K116+2)*$L116</f>
        <v>-258.625</v>
      </c>
      <c r="Q116" s="12" t="n">
        <f aca="false">$C116+$D116+MAX(O116,P116,IF(COUNTIFS($A$21:$A$141,"&gt;="&amp;$G116,$A$21:$A$141,"&lt;="&amp;$H116)&gt;0,_xlfn.MAXIFS(N$21:N$141,$A$21:$A$141,"&gt;="&amp;$G116,$A$21:$A$141,"&lt;="&amp;$H116),O116))</f>
        <v>0</v>
      </c>
      <c r="R116" s="12" t="n">
        <f aca="false">-Cost_k*$A116+Beta_q*(Declarations!$B$16*INDEX(Q$21:Q$141,MAX(1,MIN(121,$B116-ROUND(Declarations!$A$16/$D$18,0))))+Declarations!$B$17*INDEX(Q$21:Q$141,MAX(1,MIN(121,$B116-ROUND(Declarations!$A$17/$D$18,0))))+Declarations!$B$18*INDEX(Q$21:Q$141,MAX(1,MIN(121,$B116-ROUND(Declarations!$A$18/$D$18,0))))+Declarations!$B$19*INDEX(Q$21:Q$141,MAX(1,MIN(121,$B116-ROUND(Declarations!$A$19/$D$18,0))))+Declarations!$B$20*INDEX(Q$21:Q$141,MAX(1,MIN(121,$B116-ROUND(Declarations!$A$20/$D$18,0)))))</f>
        <v>-255</v>
      </c>
      <c r="S116" s="12" t="n">
        <f aca="false">INDEX(R$21:R$141,$I116+1)*(1-$J116)+INDEX(R$21:R$141,$I116+2)*$J116</f>
        <v>-248.625</v>
      </c>
      <c r="T116" s="12" t="n">
        <f aca="false">INDEX(R$21:R$141,$K116+1)*(1-$L116)+INDEX(R$21:R$141,$K116+2)*$L116</f>
        <v>-258.625</v>
      </c>
      <c r="U116" s="12" t="n">
        <f aca="false">$C116+$D116+MAX(S116,T116,IF(COUNTIFS($A$21:$A$141,"&gt;="&amp;$G116,$A$21:$A$141,"&lt;="&amp;$H116)&gt;0,_xlfn.MAXIFS(R$21:R$141,$A$21:$A$141,"&gt;="&amp;$G116,$A$21:$A$141,"&lt;="&amp;$H116),S116))</f>
        <v>0</v>
      </c>
      <c r="V116" s="12" t="n">
        <f aca="false">-Cost_k*$A116+Beta_q*(Declarations!$B$16*INDEX(U$21:U$141,MAX(1,MIN(121,$B116-ROUND(Declarations!$A$16/$D$18,0))))+Declarations!$B$17*INDEX(U$21:U$141,MAX(1,MIN(121,$B116-ROUND(Declarations!$A$17/$D$18,0))))+Declarations!$B$18*INDEX(U$21:U$141,MAX(1,MIN(121,$B116-ROUND(Declarations!$A$18/$D$18,0))))+Declarations!$B$19*INDEX(U$21:U$141,MAX(1,MIN(121,$B116-ROUND(Declarations!$A$19/$D$18,0))))+Declarations!$B$20*INDEX(U$21:U$141,MAX(1,MIN(121,$B116-ROUND(Declarations!$A$20/$D$18,0)))))</f>
        <v>-255</v>
      </c>
      <c r="W116" s="12" t="n">
        <f aca="false">INDEX(V$21:V$141,$I116+1)*(1-$J116)+INDEX(V$21:V$141,$I116+2)*$J116</f>
        <v>-248.625</v>
      </c>
      <c r="X116" s="12" t="n">
        <f aca="false">INDEX(V$21:V$141,$K116+1)*(1-$L116)+INDEX(V$21:V$141,$K116+2)*$L116</f>
        <v>-258.625</v>
      </c>
      <c r="Y116" s="12" t="n">
        <f aca="false">$C116+$D116+MAX(W116,X116,IF(COUNTIFS($A$21:$A$141,"&gt;="&amp;$G116,$A$21:$A$141,"&lt;="&amp;$H116)&gt;0,_xlfn.MAXIFS(V$21:V$141,$A$21:$A$141,"&gt;="&amp;$G116,$A$21:$A$141,"&lt;="&amp;$H116),W116))</f>
        <v>0</v>
      </c>
      <c r="Z116" s="12" t="n">
        <f aca="false">-Cost_k*$A116+Beta_q*(Declarations!$B$16*INDEX(Y$21:Y$141,MAX(1,MIN(121,$B116-ROUND(Declarations!$A$16/$D$18,0))))+Declarations!$B$17*INDEX(Y$21:Y$141,MAX(1,MIN(121,$B116-ROUND(Declarations!$A$17/$D$18,0))))+Declarations!$B$18*INDEX(Y$21:Y$141,MAX(1,MIN(121,$B116-ROUND(Declarations!$A$18/$D$18,0))))+Declarations!$B$19*INDEX(Y$21:Y$141,MAX(1,MIN(121,$B116-ROUND(Declarations!$A$19/$D$18,0))))+Declarations!$B$20*INDEX(Y$21:Y$141,MAX(1,MIN(121,$B116-ROUND(Declarations!$A$20/$D$18,0)))))</f>
        <v>-255</v>
      </c>
      <c r="AA116" s="12" t="n">
        <f aca="false">INDEX(Z$21:Z$141,$I116+1)*(1-$J116)+INDEX(Z$21:Z$141,$I116+2)*$J116</f>
        <v>-248.625056075316</v>
      </c>
      <c r="AB116" s="12" t="n">
        <f aca="false">INDEX(Z$21:Z$141,$K116+1)*(1-$L116)+INDEX(Z$21:Z$141,$K116+2)*$L116</f>
        <v>-258.625</v>
      </c>
      <c r="AC116" s="12" t="n">
        <f aca="false">$C116+$D116+MAX(AA116,AB116,IF(COUNTIFS($A$21:$A$141,"&gt;="&amp;$G116,$A$21:$A$141,"&lt;="&amp;$H116)&gt;0,_xlfn.MAXIFS(Z$21:Z$141,$A$21:$A$141,"&gt;="&amp;$G116,$A$21:$A$141,"&lt;="&amp;$H116),AA116))</f>
        <v>-5.6075315939097E-005</v>
      </c>
      <c r="AD116" s="12" t="n">
        <f aca="false">-Cost_k*$A116+Beta_q*(Declarations!$B$16*INDEX(AC$21:AC$141,MAX(1,MIN(121,$B116-ROUND(Declarations!$A$16/$D$18,0))))+Declarations!$B$17*INDEX(AC$21:AC$141,MAX(1,MIN(121,$B116-ROUND(Declarations!$A$17/$D$18,0))))+Declarations!$B$18*INDEX(AC$21:AC$141,MAX(1,MIN(121,$B116-ROUND(Declarations!$A$18/$D$18,0))))+Declarations!$B$19*INDEX(AC$21:AC$141,MAX(1,MIN(121,$B116-ROUND(Declarations!$A$19/$D$18,0))))+Declarations!$B$20*INDEX(AC$21:AC$141,MAX(1,MIN(121,$B116-ROUND(Declarations!$A$20/$D$18,0)))))</f>
        <v>-255.000462729439</v>
      </c>
      <c r="AE116" s="12" t="n">
        <f aca="false">INDEX(AD$21:AD$141,$I116+1)*(1-$J116)+INDEX(AD$21:AD$141,$I116+2)*$J116</f>
        <v>-248.642057026119</v>
      </c>
      <c r="AF116" s="12" t="n">
        <f aca="false">INDEX(AD$21:AD$141,$K116+1)*(1-$L116)+INDEX(AD$21:AD$141,$K116+2)*$L116</f>
        <v>-258.625029604017</v>
      </c>
      <c r="AG116" s="12" t="n">
        <f aca="false">$C116+$D116+MAX(AE116,AF116,IF(COUNTIFS($A$21:$A$141,"&gt;="&amp;$G116,$A$21:$A$141,"&lt;="&amp;$H116)&gt;0,_xlfn.MAXIFS(AD$21:AD$141,$A$21:$A$141,"&gt;="&amp;$G116,$A$21:$A$141,"&lt;="&amp;$H116),AE116))</f>
        <v>-0.0170570261193745</v>
      </c>
      <c r="AH116" s="12" t="n">
        <f aca="false">-Cost_k*$A116+Beta_q*(Declarations!$B$16*INDEX(AG$21:AG$141,MAX(1,MIN(121,$B116-ROUND(Declarations!$A$16/$D$18,0))))+Declarations!$B$17*INDEX(AG$21:AG$141,MAX(1,MIN(121,$B116-ROUND(Declarations!$A$17/$D$18,0))))+Declarations!$B$18*INDEX(AG$21:AG$141,MAX(1,MIN(121,$B116-ROUND(Declarations!$A$18/$D$18,0))))+Declarations!$B$19*INDEX(AG$21:AG$141,MAX(1,MIN(121,$B116-ROUND(Declarations!$A$19/$D$18,0))))+Declarations!$B$20*INDEX(AG$21:AG$141,MAX(1,MIN(121,$B116-ROUND(Declarations!$A$20/$D$18,0)))))</f>
        <v>-255.029540895592</v>
      </c>
      <c r="AI116" s="12" t="n">
        <f aca="false">INDEX(AH$21:AH$141,$I116+1)*(1-$J116)+INDEX(AH$21:AH$141,$I116+2)*$J116</f>
        <v>-248.884031870305</v>
      </c>
      <c r="AJ116" s="12" t="n">
        <f aca="false">INDEX(AH$21:AH$141,$K116+1)*(1-$L116)+INDEX(AH$21:AH$141,$K116+2)*$L116</f>
        <v>-258.631213550283</v>
      </c>
      <c r="AK116" s="12" t="n">
        <f aca="false">$C116+$D116+MAX(AI116,AJ116,IF(COUNTIFS($A$21:$A$141,"&gt;="&amp;$G116,$A$21:$A$141,"&lt;="&amp;$H116)&gt;0,_xlfn.MAXIFS(AH$21:AH$141,$A$21:$A$141,"&gt;="&amp;$G116,$A$21:$A$141,"&lt;="&amp;$H116),AI116))</f>
        <v>-0.259031870304995</v>
      </c>
      <c r="AL116" s="12" t="n">
        <f aca="false">-Cost_k*$A116+Beta_q*(Declarations!$B$16*INDEX(AK$21:AK$141,MAX(1,MIN(121,$B116-ROUND(Declarations!$A$16/$D$18,0))))+Declarations!$B$17*INDEX(AK$21:AK$141,MAX(1,MIN(121,$B116-ROUND(Declarations!$A$17/$D$18,0))))+Declarations!$B$18*INDEX(AK$21:AK$141,MAX(1,MIN(121,$B116-ROUND(Declarations!$A$18/$D$18,0))))+Declarations!$B$19*INDEX(AK$21:AK$141,MAX(1,MIN(121,$B116-ROUND(Declarations!$A$19/$D$18,0))))+Declarations!$B$20*INDEX(AK$21:AK$141,MAX(1,MIN(121,$B116-ROUND(Declarations!$A$20/$D$18,0)))))</f>
        <v>-255.312813384878</v>
      </c>
      <c r="AM116" s="12" t="n">
        <f aca="false">INDEX(AL$21:AL$141,$I116+1)*(1-$J116)+INDEX(AL$21:AL$141,$I116+2)*$J116</f>
        <v>-249.918311642714</v>
      </c>
      <c r="AN116" s="12" t="n">
        <f aca="false">INDEX(AL$21:AL$141,$K116+1)*(1-$L116)+INDEX(AL$21:AL$141,$K116+2)*$L116</f>
        <v>-258.738678603433</v>
      </c>
      <c r="AO116" s="12" t="n">
        <f aca="false">$C116+$D116+MAX(AM116,AN116,IF(COUNTIFS($A$21:$A$141,"&gt;="&amp;$G116,$A$21:$A$141,"&lt;="&amp;$H116)&gt;0,_xlfn.MAXIFS(AL$21:AL$141,$A$21:$A$141,"&gt;="&amp;$G116,$A$21:$A$141,"&lt;="&amp;$H116),AM116))</f>
        <v>-1.2933116427136</v>
      </c>
      <c r="AP116" s="12" t="n">
        <f aca="false">-Cost_k*$A116+Beta_q*(Declarations!$B$16*INDEX(AO$21:AO$141,MAX(1,MIN(121,$B116-ROUND(Declarations!$A$16/$D$18,0))))+Declarations!$B$17*INDEX(AO$21:AO$141,MAX(1,MIN(121,$B116-ROUND(Declarations!$A$17/$D$18,0))))+Declarations!$B$18*INDEX(AO$21:AO$141,MAX(1,MIN(121,$B116-ROUND(Declarations!$A$18/$D$18,0))))+Declarations!$B$19*INDEX(AO$21:AO$141,MAX(1,MIN(121,$B116-ROUND(Declarations!$A$19/$D$18,0))))+Declarations!$B$20*INDEX(AO$21:AO$141,MAX(1,MIN(121,$B116-ROUND(Declarations!$A$20/$D$18,0)))))</f>
        <v>-256.377257545991</v>
      </c>
      <c r="AQ116" s="12" t="n">
        <f aca="false">INDEX(AP$21:AP$141,$I116+1)*(1-$J116)+INDEX(AP$21:AP$141,$I116+2)*$J116</f>
        <v>-252.270301633842</v>
      </c>
      <c r="AR116" s="12" t="n">
        <f aca="false">INDEX(AP$21:AP$141,$K116+1)*(1-$L116)+INDEX(AP$21:AP$141,$K116+2)*$L116</f>
        <v>-259.316894978423</v>
      </c>
      <c r="AS116" s="12" t="n">
        <f aca="false">$C116+$D116+MAX(AQ116,AR116,IF(COUNTIFS($A$21:$A$141,"&gt;="&amp;$G116,$A$21:$A$141,"&lt;="&amp;$H116)&gt;0,_xlfn.MAXIFS(AP$21:AP$141,$A$21:$A$141,"&gt;="&amp;$G116,$A$21:$A$141,"&lt;="&amp;$H116),AQ116))</f>
        <v>-3.64530163384165</v>
      </c>
      <c r="AT116" s="12" t="n">
        <f aca="false">-Cost_k*$A116+Beta_q*(Declarations!$B$16*INDEX(AS$21:AS$141,MAX(1,MIN(121,$B116-ROUND(Declarations!$A$16/$D$18,0))))+Declarations!$B$17*INDEX(AS$21:AS$141,MAX(1,MIN(121,$B116-ROUND(Declarations!$A$17/$D$18,0))))+Declarations!$B$18*INDEX(AS$21:AS$141,MAX(1,MIN(121,$B116-ROUND(Declarations!$A$18/$D$18,0))))+Declarations!$B$19*INDEX(AS$21:AS$141,MAX(1,MIN(121,$B116-ROUND(Declarations!$A$19/$D$18,0))))+Declarations!$B$20*INDEX(AS$21:AS$141,MAX(1,MIN(121,$B116-ROUND(Declarations!$A$20/$D$18,0)))))</f>
        <v>-258.691792996606</v>
      </c>
      <c r="AU116" s="12" t="n">
        <f aca="false">INDEX(AT$21:AT$141,$I116+1)*(1-$J116)+INDEX(AT$21:AT$141,$I116+2)*$J116</f>
        <v>-255.939030260694</v>
      </c>
      <c r="AV116" s="12" t="n">
        <f aca="false">INDEX(AT$21:AT$141,$K116+1)*(1-$L116)+INDEX(AT$21:AT$141,$K116+2)*$L116</f>
        <v>-260.900116573924</v>
      </c>
      <c r="AW116" s="12" t="n">
        <f aca="false">$C116+$D116+MAX(AU116,AV116,IF(COUNTIFS($A$21:$A$141,"&gt;="&amp;$G116,$A$21:$A$141,"&lt;="&amp;$H116)&gt;0,_xlfn.MAXIFS(AT$21:AT$141,$A$21:$A$141,"&gt;="&amp;$G116,$A$21:$A$141,"&lt;="&amp;$H116),AU116))</f>
        <v>-7.31403026069415</v>
      </c>
      <c r="AX116" s="12" t="n">
        <f aca="false">-Cost_k*$A116+Beta_q*(Declarations!$B$16*INDEX(AW$21:AW$141,MAX(1,MIN(121,$B116-ROUND(Declarations!$A$16/$D$18,0))))+Declarations!$B$17*INDEX(AW$21:AW$141,MAX(1,MIN(121,$B116-ROUND(Declarations!$A$17/$D$18,0))))+Declarations!$B$18*INDEX(AW$21:AW$141,MAX(1,MIN(121,$B116-ROUND(Declarations!$A$18/$D$18,0))))+Declarations!$B$19*INDEX(AW$21:AW$141,MAX(1,MIN(121,$B116-ROUND(Declarations!$A$19/$D$18,0))))+Declarations!$B$20*INDEX(AW$21:AW$141,MAX(1,MIN(121,$B116-ROUND(Declarations!$A$20/$D$18,0)))))</f>
        <v>-262.237694332775</v>
      </c>
      <c r="AY116" s="12" t="n">
        <f aca="false">INDEX(AX$21:AX$141,$I116+1)*(1-$J116)+INDEX(AX$21:AX$141,$I116+2)*$J116</f>
        <v>-260.354260386147</v>
      </c>
      <c r="AZ116" s="12" t="n">
        <f aca="false">INDEX(AX$21:AX$141,$K116+1)*(1-$L116)+INDEX(AX$21:AX$141,$K116+2)*$L116</f>
        <v>-263.756059601093</v>
      </c>
      <c r="BA116" s="12" t="n">
        <f aca="false">$C116+$D116+MAX(AY116,AZ116,IF(COUNTIFS($A$21:$A$141,"&gt;="&amp;$G116,$A$21:$A$141,"&lt;="&amp;$H116)&gt;0,_xlfn.MAXIFS(AX$21:AX$141,$A$21:$A$141,"&gt;="&amp;$G116,$A$21:$A$141,"&lt;="&amp;$H116),AY116))</f>
        <v>-11.7292603861471</v>
      </c>
      <c r="BB116" s="12" t="n">
        <f aca="false">-Cost_k*$A116+Beta_q*(Declarations!$B$16*INDEX(BA$21:BA$141,MAX(1,MIN(121,$B116-ROUND(Declarations!$A$16/$D$18,0))))+Declarations!$B$17*INDEX(BA$21:BA$141,MAX(1,MIN(121,$B116-ROUND(Declarations!$A$17/$D$18,0))))+Declarations!$B$18*INDEX(BA$21:BA$141,MAX(1,MIN(121,$B116-ROUND(Declarations!$A$18/$D$18,0))))+Declarations!$B$19*INDEX(BA$21:BA$141,MAX(1,MIN(121,$B116-ROUND(Declarations!$A$19/$D$18,0))))+Declarations!$B$20*INDEX(BA$21:BA$141,MAX(1,MIN(121,$B116-ROUND(Declarations!$A$20/$D$18,0)))))</f>
        <v>-266.503035859205</v>
      </c>
      <c r="BC116" s="12" t="n">
        <f aca="false">INDEX(BB$21:BB$141,$I116+1)*(1-$J116)+INDEX(BB$21:BB$141,$I116+2)*$J116</f>
        <v>-264.964228727125</v>
      </c>
      <c r="BD116" s="12" t="n">
        <f aca="false">INDEX(BB$21:BB$141,$K116+1)*(1-$L116)+INDEX(BB$21:BB$141,$K116+2)*$L116</f>
        <v>-267.618626731095</v>
      </c>
      <c r="BE116" s="12" t="n">
        <f aca="false">$C116+$D116+MAX(BC116,BD116,IF(COUNTIFS($A$21:$A$141,"&gt;="&amp;$G116,$A$21:$A$141,"&lt;="&amp;$H116)&gt;0,_xlfn.MAXIFS(BB$21:BB$141,$A$21:$A$141,"&gt;="&amp;$G116,$A$21:$A$141,"&lt;="&amp;$H116),BC116))</f>
        <v>-16.3392287271252</v>
      </c>
      <c r="BF116" s="12" t="n">
        <f aca="false">-Cost_k*$A116+Beta_q*(Declarations!$B$16*INDEX(BE$21:BE$141,MAX(1,MIN(121,$B116-ROUND(Declarations!$A$16/$D$18,0))))+Declarations!$B$17*INDEX(BE$21:BE$141,MAX(1,MIN(121,$B116-ROUND(Declarations!$A$17/$D$18,0))))+Declarations!$B$18*INDEX(BE$21:BE$141,MAX(1,MIN(121,$B116-ROUND(Declarations!$A$18/$D$18,0))))+Declarations!$B$19*INDEX(BE$21:BE$141,MAX(1,MIN(121,$B116-ROUND(Declarations!$A$19/$D$18,0))))+Declarations!$B$20*INDEX(BE$21:BE$141,MAX(1,MIN(121,$B116-ROUND(Declarations!$A$20/$D$18,0)))))</f>
        <v>-270.982754412027</v>
      </c>
      <c r="BG116" s="12" t="n">
        <f aca="false">INDEX(BF$21:BF$141,$I116+1)*(1-$J116)+INDEX(BF$21:BF$141,$I116+2)*$J116</f>
        <v>-269.537406315691</v>
      </c>
      <c r="BH116" s="12" t="n">
        <f aca="false">INDEX(BF$21:BF$141,$K116+1)*(1-$L116)+INDEX(BF$21:BF$141,$K116+2)*$L116</f>
        <v>-271.947256715672</v>
      </c>
      <c r="BI116" s="12" t="n">
        <f aca="false">$C116+$D116+MAX(BG116,BH116,IF(COUNTIFS($A$21:$A$141,"&gt;="&amp;$G116,$A$21:$A$141,"&lt;="&amp;$H116)&gt;0,_xlfn.MAXIFS(BF$21:BF$141,$A$21:$A$141,"&gt;="&amp;$G116,$A$21:$A$141,"&lt;="&amp;$H116),BG116))</f>
        <v>-20.9124063156914</v>
      </c>
      <c r="BJ116" s="23" t="n">
        <v>-20.9124063156914</v>
      </c>
      <c r="BK116" s="22" t="n">
        <f aca="false">ABS(BI116-BJ116)</f>
        <v>0</v>
      </c>
    </row>
    <row r="117" customFormat="false" ht="15" hidden="false" customHeight="false" outlineLevel="0" collapsed="false">
      <c r="A117" s="14" t="n">
        <f aca="false">A116+$D$18</f>
        <v>64</v>
      </c>
      <c r="B117" s="19" t="n">
        <v>97</v>
      </c>
      <c r="C117" s="12" t="n">
        <f aca="false">-Short_p*MAX(Floor_c-A117,0)</f>
        <v>-0</v>
      </c>
      <c r="D117" s="12" t="n">
        <f aca="false">Cost_k*Alpha_keep*A117</f>
        <v>249.6</v>
      </c>
      <c r="E117" s="12" t="n">
        <f aca="false">MIN(Cap_h,MAX(0,$B$18+MAX(Loss_w)-Alpha_keep*A117))</f>
        <v>0</v>
      </c>
      <c r="F117" s="12" t="n">
        <f aca="false">MAX(MIN(Cap_h,$F$18+MIN(Loss_w)-Alpha_keep*A117),E117)</f>
        <v>2.5</v>
      </c>
      <c r="G117" s="12" t="n">
        <f aca="false">Alpha_keep*A117+E117</f>
        <v>62.4</v>
      </c>
      <c r="H117" s="12" t="n">
        <f aca="false">Alpha_keep*A117+F117</f>
        <v>64.9</v>
      </c>
      <c r="I117" s="19" t="n">
        <f aca="false">MIN(INT((G117-$B$18)/$D$18+0.000000001),119)</f>
        <v>89</v>
      </c>
      <c r="J117" s="12" t="n">
        <f aca="false">(G117-$B$18)/$D$18-I117</f>
        <v>0.599999999999994</v>
      </c>
      <c r="K117" s="19" t="n">
        <f aca="false">MIN(INT((H117-$B$18)/$D$18+0.000000001),119)</f>
        <v>99</v>
      </c>
      <c r="L117" s="12" t="n">
        <f aca="false">(H117-$B$18)/$D$18-K117</f>
        <v>0.600000000000023</v>
      </c>
      <c r="M117" s="9" t="n">
        <v>0</v>
      </c>
      <c r="N117" s="12" t="n">
        <f aca="false">-Cost_k*$A117+Beta_q*(Declarations!$B$16*INDEX(M$21:M$141,MAX(1,MIN(121,$B117-ROUND(Declarations!$A$16/$D$18,0))))+Declarations!$B$17*INDEX(M$21:M$141,MAX(1,MIN(121,$B117-ROUND(Declarations!$A$17/$D$18,0))))+Declarations!$B$18*INDEX(M$21:M$141,MAX(1,MIN(121,$B117-ROUND(Declarations!$A$18/$D$18,0))))+Declarations!$B$19*INDEX(M$21:M$141,MAX(1,MIN(121,$B117-ROUND(Declarations!$A$19/$D$18,0))))+Declarations!$B$20*INDEX(M$21:M$141,MAX(1,MIN(121,$B117-ROUND(Declarations!$A$20/$D$18,0)))))</f>
        <v>-256</v>
      </c>
      <c r="O117" s="12" t="n">
        <f aca="false">INDEX(N$21:N$141,$I117+1)*(1-$J117)+INDEX(N$21:N$141,$I117+2)*$J117</f>
        <v>-249.6</v>
      </c>
      <c r="P117" s="12" t="n">
        <f aca="false">INDEX(N$21:N$141,$K117+1)*(1-$L117)+INDEX(N$21:N$141,$K117+2)*$L117</f>
        <v>-259.6</v>
      </c>
      <c r="Q117" s="12" t="n">
        <f aca="false">$C117+$D117+MAX(O117,P117,IF(COUNTIFS($A$21:$A$141,"&gt;="&amp;$G117,$A$21:$A$141,"&lt;="&amp;$H117)&gt;0,_xlfn.MAXIFS(N$21:N$141,$A$21:$A$141,"&gt;="&amp;$G117,$A$21:$A$141,"&lt;="&amp;$H117),O117))</f>
        <v>0</v>
      </c>
      <c r="R117" s="12" t="n">
        <f aca="false">-Cost_k*$A117+Beta_q*(Declarations!$B$16*INDEX(Q$21:Q$141,MAX(1,MIN(121,$B117-ROUND(Declarations!$A$16/$D$18,0))))+Declarations!$B$17*INDEX(Q$21:Q$141,MAX(1,MIN(121,$B117-ROUND(Declarations!$A$17/$D$18,0))))+Declarations!$B$18*INDEX(Q$21:Q$141,MAX(1,MIN(121,$B117-ROUND(Declarations!$A$18/$D$18,0))))+Declarations!$B$19*INDEX(Q$21:Q$141,MAX(1,MIN(121,$B117-ROUND(Declarations!$A$19/$D$18,0))))+Declarations!$B$20*INDEX(Q$21:Q$141,MAX(1,MIN(121,$B117-ROUND(Declarations!$A$20/$D$18,0)))))</f>
        <v>-256</v>
      </c>
      <c r="S117" s="12" t="n">
        <f aca="false">INDEX(R$21:R$141,$I117+1)*(1-$J117)+INDEX(R$21:R$141,$I117+2)*$J117</f>
        <v>-249.6</v>
      </c>
      <c r="T117" s="12" t="n">
        <f aca="false">INDEX(R$21:R$141,$K117+1)*(1-$L117)+INDEX(R$21:R$141,$K117+2)*$L117</f>
        <v>-259.6</v>
      </c>
      <c r="U117" s="12" t="n">
        <f aca="false">$C117+$D117+MAX(S117,T117,IF(COUNTIFS($A$21:$A$141,"&gt;="&amp;$G117,$A$21:$A$141,"&lt;="&amp;$H117)&gt;0,_xlfn.MAXIFS(R$21:R$141,$A$21:$A$141,"&gt;="&amp;$G117,$A$21:$A$141,"&lt;="&amp;$H117),S117))</f>
        <v>0</v>
      </c>
      <c r="V117" s="12" t="n">
        <f aca="false">-Cost_k*$A117+Beta_q*(Declarations!$B$16*INDEX(U$21:U$141,MAX(1,MIN(121,$B117-ROUND(Declarations!$A$16/$D$18,0))))+Declarations!$B$17*INDEX(U$21:U$141,MAX(1,MIN(121,$B117-ROUND(Declarations!$A$17/$D$18,0))))+Declarations!$B$18*INDEX(U$21:U$141,MAX(1,MIN(121,$B117-ROUND(Declarations!$A$18/$D$18,0))))+Declarations!$B$19*INDEX(U$21:U$141,MAX(1,MIN(121,$B117-ROUND(Declarations!$A$19/$D$18,0))))+Declarations!$B$20*INDEX(U$21:U$141,MAX(1,MIN(121,$B117-ROUND(Declarations!$A$20/$D$18,0)))))</f>
        <v>-256</v>
      </c>
      <c r="W117" s="12" t="n">
        <f aca="false">INDEX(V$21:V$141,$I117+1)*(1-$J117)+INDEX(V$21:V$141,$I117+2)*$J117</f>
        <v>-249.6</v>
      </c>
      <c r="X117" s="12" t="n">
        <f aca="false">INDEX(V$21:V$141,$K117+1)*(1-$L117)+INDEX(V$21:V$141,$K117+2)*$L117</f>
        <v>-259.6</v>
      </c>
      <c r="Y117" s="12" t="n">
        <f aca="false">$C117+$D117+MAX(W117,X117,IF(COUNTIFS($A$21:$A$141,"&gt;="&amp;$G117,$A$21:$A$141,"&lt;="&amp;$H117)&gt;0,_xlfn.MAXIFS(V$21:V$141,$A$21:$A$141,"&gt;="&amp;$G117,$A$21:$A$141,"&lt;="&amp;$H117),W117))</f>
        <v>0</v>
      </c>
      <c r="Z117" s="12" t="n">
        <f aca="false">-Cost_k*$A117+Beta_q*(Declarations!$B$16*INDEX(Y$21:Y$141,MAX(1,MIN(121,$B117-ROUND(Declarations!$A$16/$D$18,0))))+Declarations!$B$17*INDEX(Y$21:Y$141,MAX(1,MIN(121,$B117-ROUND(Declarations!$A$17/$D$18,0))))+Declarations!$B$18*INDEX(Y$21:Y$141,MAX(1,MIN(121,$B117-ROUND(Declarations!$A$18/$D$18,0))))+Declarations!$B$19*INDEX(Y$21:Y$141,MAX(1,MIN(121,$B117-ROUND(Declarations!$A$19/$D$18,0))))+Declarations!$B$20*INDEX(Y$21:Y$141,MAX(1,MIN(121,$B117-ROUND(Declarations!$A$20/$D$18,0)))))</f>
        <v>-256</v>
      </c>
      <c r="AA117" s="12" t="n">
        <f aca="false">INDEX(Z$21:Z$141,$I117+1)*(1-$J117)+INDEX(Z$21:Z$141,$I117+2)*$J117</f>
        <v>-249.600017956903</v>
      </c>
      <c r="AB117" s="12" t="n">
        <f aca="false">INDEX(Z$21:Z$141,$K117+1)*(1-$L117)+INDEX(Z$21:Z$141,$K117+2)*$L117</f>
        <v>-259.6</v>
      </c>
      <c r="AC117" s="12" t="n">
        <f aca="false">$C117+$D117+MAX(AA117,AB117,IF(COUNTIFS($A$21:$A$141,"&gt;="&amp;$G117,$A$21:$A$141,"&lt;="&amp;$H117)&gt;0,_xlfn.MAXIFS(Z$21:Z$141,$A$21:$A$141,"&gt;="&amp;$G117,$A$21:$A$141,"&lt;="&amp;$H117),AA117))</f>
        <v>-1.79569024965076E-005</v>
      </c>
      <c r="AD117" s="12" t="n">
        <f aca="false">-Cost_k*$A117+Beta_q*(Declarations!$B$16*INDEX(AC$21:AC$141,MAX(1,MIN(121,$B117-ROUND(Declarations!$A$16/$D$18,0))))+Declarations!$B$17*INDEX(AC$21:AC$141,MAX(1,MIN(121,$B117-ROUND(Declarations!$A$17/$D$18,0))))+Declarations!$B$18*INDEX(AC$21:AC$141,MAX(1,MIN(121,$B117-ROUND(Declarations!$A$18/$D$18,0))))+Declarations!$B$19*INDEX(AC$21:AC$141,MAX(1,MIN(121,$B117-ROUND(Declarations!$A$19/$D$18,0))))+Declarations!$B$20*INDEX(AC$21:AC$141,MAX(1,MIN(121,$B117-ROUND(Declarations!$A$20/$D$18,0)))))</f>
        <v>-256.000193354901</v>
      </c>
      <c r="AE117" s="12" t="n">
        <f aca="false">INDEX(AD$21:AD$141,$I117+1)*(1-$J117)+INDEX(AD$21:AD$141,$I117+2)*$J117</f>
        <v>-249.610154901519</v>
      </c>
      <c r="AF117" s="12" t="n">
        <f aca="false">INDEX(AD$21:AD$141,$K117+1)*(1-$L117)+INDEX(AD$21:AD$141,$K117+2)*$L117</f>
        <v>-259.600010513835</v>
      </c>
      <c r="AG117" s="12" t="n">
        <f aca="false">$C117+$D117+MAX(AE117,AF117,IF(COUNTIFS($A$21:$A$141,"&gt;="&amp;$G117,$A$21:$A$141,"&lt;="&amp;$H117)&gt;0,_xlfn.MAXIFS(AD$21:AD$141,$A$21:$A$141,"&gt;="&amp;$G117,$A$21:$A$141,"&lt;="&amp;$H117),AE117))</f>
        <v>-0.0101549015189732</v>
      </c>
      <c r="AH117" s="12" t="n">
        <f aca="false">-Cost_k*$A117+Beta_q*(Declarations!$B$16*INDEX(AG$21:AG$141,MAX(1,MIN(121,$B117-ROUND(Declarations!$A$16/$D$18,0))))+Declarations!$B$17*INDEX(AG$21:AG$141,MAX(1,MIN(121,$B117-ROUND(Declarations!$A$17/$D$18,0))))+Declarations!$B$18*INDEX(AG$21:AG$141,MAX(1,MIN(121,$B117-ROUND(Declarations!$A$18/$D$18,0))))+Declarations!$B$19*INDEX(AG$21:AG$141,MAX(1,MIN(121,$B117-ROUND(Declarations!$A$19/$D$18,0))))+Declarations!$B$20*INDEX(AG$21:AG$141,MAX(1,MIN(121,$B117-ROUND(Declarations!$A$20/$D$18,0)))))</f>
        <v>-256.018843653021</v>
      </c>
      <c r="AI117" s="12" t="n">
        <f aca="false">INDEX(AH$21:AH$141,$I117+1)*(1-$J117)+INDEX(AH$21:AH$141,$I117+2)*$J117</f>
        <v>-249.791157937554</v>
      </c>
      <c r="AJ117" s="12" t="n">
        <f aca="false">INDEX(AH$21:AH$141,$K117+1)*(1-$L117)+INDEX(AH$21:AH$141,$K117+2)*$L117</f>
        <v>-259.603783031281</v>
      </c>
      <c r="AK117" s="12" t="n">
        <f aca="false">$C117+$D117+MAX(AI117,AJ117,IF(COUNTIFS($A$21:$A$141,"&gt;="&amp;$G117,$A$21:$A$141,"&lt;="&amp;$H117)&gt;0,_xlfn.MAXIFS(AH$21:AH$141,$A$21:$A$141,"&gt;="&amp;$G117,$A$21:$A$141,"&lt;="&amp;$H117),AI117))</f>
        <v>-0.191157937553868</v>
      </c>
      <c r="AL117" s="12" t="n">
        <f aca="false">-Cost_k*$A117+Beta_q*(Declarations!$B$16*INDEX(AK$21:AK$141,MAX(1,MIN(121,$B117-ROUND(Declarations!$A$16/$D$18,0))))+Declarations!$B$17*INDEX(AK$21:AK$141,MAX(1,MIN(121,$B117-ROUND(Declarations!$A$17/$D$18,0))))+Declarations!$B$18*INDEX(AK$21:AK$141,MAX(1,MIN(121,$B117-ROUND(Declarations!$A$18/$D$18,0))))+Declarations!$B$19*INDEX(AK$21:AK$141,MAX(1,MIN(121,$B117-ROUND(Declarations!$A$19/$D$18,0))))+Declarations!$B$20*INDEX(AK$21:AK$141,MAX(1,MIN(121,$B117-ROUND(Declarations!$A$20/$D$18,0)))))</f>
        <v>-256.237169125779</v>
      </c>
      <c r="AM117" s="12" t="n">
        <f aca="false">INDEX(AL$21:AL$141,$I117+1)*(1-$J117)+INDEX(AL$21:AL$141,$I117+2)*$J117</f>
        <v>-250.664752428882</v>
      </c>
      <c r="AN117" s="12" t="n">
        <f aca="false">INDEX(AL$21:AL$141,$K117+1)*(1-$L117)+INDEX(AL$21:AL$141,$K117+2)*$L117</f>
        <v>-259.683445941936</v>
      </c>
      <c r="AO117" s="12" t="n">
        <f aca="false">$C117+$D117+MAX(AM117,AN117,IF(COUNTIFS($A$21:$A$141,"&gt;="&amp;$G117,$A$21:$A$141,"&lt;="&amp;$H117)&gt;0,_xlfn.MAXIFS(AL$21:AL$141,$A$21:$A$141,"&gt;="&amp;$G117,$A$21:$A$141,"&lt;="&amp;$H117),AM117))</f>
        <v>-1.06475242888243</v>
      </c>
      <c r="AP117" s="12" t="n">
        <f aca="false">-Cost_k*$A117+Beta_q*(Declarations!$B$16*INDEX(AO$21:AO$141,MAX(1,MIN(121,$B117-ROUND(Declarations!$A$16/$D$18,0))))+Declarations!$B$17*INDEX(AO$21:AO$141,MAX(1,MIN(121,$B117-ROUND(Declarations!$A$17/$D$18,0))))+Declarations!$B$18*INDEX(AO$21:AO$141,MAX(1,MIN(121,$B117-ROUND(Declarations!$A$18/$D$18,0))))+Declarations!$B$19*INDEX(AO$21:AO$141,MAX(1,MIN(121,$B117-ROUND(Declarations!$A$19/$D$18,0))))+Declarations!$B$20*INDEX(AO$21:AO$141,MAX(1,MIN(121,$B117-ROUND(Declarations!$A$20/$D$18,0)))))</f>
        <v>-257.145976192939</v>
      </c>
      <c r="AQ117" s="12" t="n">
        <f aca="false">INDEX(AP$21:AP$141,$I117+1)*(1-$J117)+INDEX(AP$21:AP$141,$I117+2)*$J117</f>
        <v>-252.792385299439</v>
      </c>
      <c r="AR117" s="12" t="n">
        <f aca="false">INDEX(AP$21:AP$141,$K117+1)*(1-$L117)+INDEX(AP$21:AP$141,$K117+2)*$L117</f>
        <v>-260.162607996558</v>
      </c>
      <c r="AS117" s="12" t="n">
        <f aca="false">$C117+$D117+MAX(AQ117,AR117,IF(COUNTIFS($A$21:$A$141,"&gt;="&amp;$G117,$A$21:$A$141,"&lt;="&amp;$H117)&gt;0,_xlfn.MAXIFS(AP$21:AP$141,$A$21:$A$141,"&gt;="&amp;$G117,$A$21:$A$141,"&lt;="&amp;$H117),AQ117))</f>
        <v>-3.192385299439</v>
      </c>
      <c r="AT117" s="12" t="n">
        <f aca="false">-Cost_k*$A117+Beta_q*(Declarations!$B$16*INDEX(AS$21:AS$141,MAX(1,MIN(121,$B117-ROUND(Declarations!$A$16/$D$18,0))))+Declarations!$B$17*INDEX(AS$21:AS$141,MAX(1,MIN(121,$B117-ROUND(Declarations!$A$17/$D$18,0))))+Declarations!$B$18*INDEX(AS$21:AS$141,MAX(1,MIN(121,$B117-ROUND(Declarations!$A$18/$D$18,0))))+Declarations!$B$19*INDEX(AS$21:AS$141,MAX(1,MIN(121,$B117-ROUND(Declarations!$A$19/$D$18,0))))+Declarations!$B$20*INDEX(AS$21:AS$141,MAX(1,MIN(121,$B117-ROUND(Declarations!$A$20/$D$18,0)))))</f>
        <v>-259.248763875647</v>
      </c>
      <c r="AU117" s="12" t="n">
        <f aca="false">INDEX(AT$21:AT$141,$I117+1)*(1-$J117)+INDEX(AT$21:AT$141,$I117+2)*$J117</f>
        <v>-256.269250647491</v>
      </c>
      <c r="AV117" s="12" t="n">
        <f aca="false">INDEX(AT$21:AT$141,$K117+1)*(1-$L117)+INDEX(AT$21:AT$141,$K117+2)*$L117</f>
        <v>-261.569391913379</v>
      </c>
      <c r="AW117" s="12" t="n">
        <f aca="false">$C117+$D117+MAX(AU117,AV117,IF(COUNTIFS($A$21:$A$141,"&gt;="&amp;$G117,$A$21:$A$141,"&lt;="&amp;$H117)&gt;0,_xlfn.MAXIFS(AT$21:AT$141,$A$21:$A$141,"&gt;="&amp;$G117,$A$21:$A$141,"&lt;="&amp;$H117),AU117))</f>
        <v>-6.66925064749083</v>
      </c>
      <c r="AX117" s="12" t="n">
        <f aca="false">-Cost_k*$A117+Beta_q*(Declarations!$B$16*INDEX(AW$21:AW$141,MAX(1,MIN(121,$B117-ROUND(Declarations!$A$16/$D$18,0))))+Declarations!$B$17*INDEX(AW$21:AW$141,MAX(1,MIN(121,$B117-ROUND(Declarations!$A$17/$D$18,0))))+Declarations!$B$18*INDEX(AW$21:AW$141,MAX(1,MIN(121,$B117-ROUND(Declarations!$A$18/$D$18,0))))+Declarations!$B$19*INDEX(AW$21:AW$141,MAX(1,MIN(121,$B117-ROUND(Declarations!$A$19/$D$18,0))))+Declarations!$B$20*INDEX(AW$21:AW$141,MAX(1,MIN(121,$B117-ROUND(Declarations!$A$20/$D$18,0)))))</f>
        <v>-262.614694365399</v>
      </c>
      <c r="AY117" s="12" t="n">
        <f aca="false">INDEX(AX$21:AX$141,$I117+1)*(1-$J117)+INDEX(AX$21:AX$141,$I117+2)*$J117</f>
        <v>-260.590521221319</v>
      </c>
      <c r="AZ117" s="12" t="n">
        <f aca="false">INDEX(AX$21:AX$141,$K117+1)*(1-$L117)+INDEX(AX$21:AX$141,$K117+2)*$L117</f>
        <v>-264.230777666024</v>
      </c>
      <c r="BA117" s="12" t="n">
        <f aca="false">$C117+$D117+MAX(AY117,AZ117,IF(COUNTIFS($A$21:$A$141,"&gt;="&amp;$G117,$A$21:$A$141,"&lt;="&amp;$H117)&gt;0,_xlfn.MAXIFS(AX$21:AX$141,$A$21:$A$141,"&gt;="&amp;$G117,$A$21:$A$141,"&lt;="&amp;$H117),AY117))</f>
        <v>-10.9905212213188</v>
      </c>
      <c r="BB117" s="12" t="n">
        <f aca="false">-Cost_k*$A117+Beta_q*(Declarations!$B$16*INDEX(BA$21:BA$141,MAX(1,MIN(121,$B117-ROUND(Declarations!$A$16/$D$18,0))))+Declarations!$B$17*INDEX(BA$21:BA$141,MAX(1,MIN(121,$B117-ROUND(Declarations!$A$17/$D$18,0))))+Declarations!$B$18*INDEX(BA$21:BA$141,MAX(1,MIN(121,$B117-ROUND(Declarations!$A$18/$D$18,0))))+Declarations!$B$19*INDEX(BA$21:BA$141,MAX(1,MIN(121,$B117-ROUND(Declarations!$A$19/$D$18,0))))+Declarations!$B$20*INDEX(BA$21:BA$141,MAX(1,MIN(121,$B117-ROUND(Declarations!$A$20/$D$18,0)))))</f>
        <v>-266.787001685752</v>
      </c>
      <c r="BC117" s="12" t="n">
        <f aca="false">INDEX(BB$21:BB$141,$I117+1)*(1-$J117)+INDEX(BB$21:BB$141,$I117+2)*$J117</f>
        <v>-265.172160046564</v>
      </c>
      <c r="BD117" s="12" t="n">
        <f aca="false">INDEX(BB$21:BB$141,$K117+1)*(1-$L117)+INDEX(BB$21:BB$141,$K117+2)*$L117</f>
        <v>-267.958640812841</v>
      </c>
      <c r="BE117" s="12" t="n">
        <f aca="false">$C117+$D117+MAX(BC117,BD117,IF(COUNTIFS($A$21:$A$141,"&gt;="&amp;$G117,$A$21:$A$141,"&lt;="&amp;$H117)&gt;0,_xlfn.MAXIFS(BB$21:BB$141,$A$21:$A$141,"&gt;="&amp;$G117,$A$21:$A$141,"&lt;="&amp;$H117),BC117))</f>
        <v>-15.5721600465642</v>
      </c>
      <c r="BF117" s="12" t="n">
        <f aca="false">-Cost_k*$A117+Beta_q*(Declarations!$B$16*INDEX(BE$21:BE$141,MAX(1,MIN(121,$B117-ROUND(Declarations!$A$16/$D$18,0))))+Declarations!$B$17*INDEX(BE$21:BE$141,MAX(1,MIN(121,$B117-ROUND(Declarations!$A$17/$D$18,0))))+Declarations!$B$18*INDEX(BE$21:BE$141,MAX(1,MIN(121,$B117-ROUND(Declarations!$A$18/$D$18,0))))+Declarations!$B$19*INDEX(BE$21:BE$141,MAX(1,MIN(121,$B117-ROUND(Declarations!$A$19/$D$18,0))))+Declarations!$B$20*INDEX(BE$21:BE$141,MAX(1,MIN(121,$B117-ROUND(Declarations!$A$20/$D$18,0)))))</f>
        <v>-271.235614486249</v>
      </c>
      <c r="BG117" s="12" t="n">
        <f aca="false">INDEX(BF$21:BF$141,$I117+1)*(1-$J117)+INDEX(BF$21:BF$141,$I117+2)*$J117</f>
        <v>-269.739244073605</v>
      </c>
      <c r="BH117" s="12" t="n">
        <f aca="false">INDEX(BF$21:BF$141,$K117+1)*(1-$L117)+INDEX(BF$21:BF$141,$K117+2)*$L117</f>
        <v>-272.228124441501</v>
      </c>
      <c r="BI117" s="12" t="n">
        <f aca="false">$C117+$D117+MAX(BG117,BH117,IF(COUNTIFS($A$21:$A$141,"&gt;="&amp;$G117,$A$21:$A$141,"&lt;="&amp;$H117)&gt;0,_xlfn.MAXIFS(BF$21:BF$141,$A$21:$A$141,"&gt;="&amp;$G117,$A$21:$A$141,"&lt;="&amp;$H117),BG117))</f>
        <v>-20.1392440736051</v>
      </c>
      <c r="BJ117" s="23" t="n">
        <v>-20.1392440736051</v>
      </c>
      <c r="BK117" s="22" t="n">
        <f aca="false">ABS(BI117-BJ117)</f>
        <v>0</v>
      </c>
    </row>
    <row r="118" customFormat="false" ht="15" hidden="false" customHeight="false" outlineLevel="0" collapsed="false">
      <c r="A118" s="14" t="n">
        <f aca="false">A117+$D$18</f>
        <v>64.25</v>
      </c>
      <c r="B118" s="19" t="n">
        <v>98</v>
      </c>
      <c r="C118" s="12" t="n">
        <f aca="false">-Short_p*MAX(Floor_c-A118,0)</f>
        <v>-0</v>
      </c>
      <c r="D118" s="12" t="n">
        <f aca="false">Cost_k*Alpha_keep*A118</f>
        <v>250.575</v>
      </c>
      <c r="E118" s="12" t="n">
        <f aca="false">MIN(Cap_h,MAX(0,$B$18+MAX(Loss_w)-Alpha_keep*A118))</f>
        <v>0</v>
      </c>
      <c r="F118" s="12" t="n">
        <f aca="false">MAX(MIN(Cap_h,$F$18+MIN(Loss_w)-Alpha_keep*A118),E118)</f>
        <v>2.5</v>
      </c>
      <c r="G118" s="12" t="n">
        <f aca="false">Alpha_keep*A118+E118</f>
        <v>62.64375</v>
      </c>
      <c r="H118" s="12" t="n">
        <f aca="false">Alpha_keep*A118+F118</f>
        <v>65.14375</v>
      </c>
      <c r="I118" s="19" t="n">
        <f aca="false">MIN(INT((G118-$B$18)/$D$18+0.000000001),119)</f>
        <v>90</v>
      </c>
      <c r="J118" s="12" t="n">
        <f aca="false">(G118-$B$18)/$D$18-I118</f>
        <v>0.574999999999989</v>
      </c>
      <c r="K118" s="19" t="n">
        <f aca="false">MIN(INT((H118-$B$18)/$D$18+0.000000001),119)</f>
        <v>100</v>
      </c>
      <c r="L118" s="12" t="n">
        <f aca="false">(H118-$B$18)/$D$18-K118</f>
        <v>0.574999999999989</v>
      </c>
      <c r="M118" s="9" t="n">
        <v>0</v>
      </c>
      <c r="N118" s="12" t="n">
        <f aca="false">-Cost_k*$A118+Beta_q*(Declarations!$B$16*INDEX(M$21:M$141,MAX(1,MIN(121,$B118-ROUND(Declarations!$A$16/$D$18,0))))+Declarations!$B$17*INDEX(M$21:M$141,MAX(1,MIN(121,$B118-ROUND(Declarations!$A$17/$D$18,0))))+Declarations!$B$18*INDEX(M$21:M$141,MAX(1,MIN(121,$B118-ROUND(Declarations!$A$18/$D$18,0))))+Declarations!$B$19*INDEX(M$21:M$141,MAX(1,MIN(121,$B118-ROUND(Declarations!$A$19/$D$18,0))))+Declarations!$B$20*INDEX(M$21:M$141,MAX(1,MIN(121,$B118-ROUND(Declarations!$A$20/$D$18,0)))))</f>
        <v>-257</v>
      </c>
      <c r="O118" s="12" t="n">
        <f aca="false">INDEX(N$21:N$141,$I118+1)*(1-$J118)+INDEX(N$21:N$141,$I118+2)*$J118</f>
        <v>-250.575</v>
      </c>
      <c r="P118" s="12" t="n">
        <f aca="false">INDEX(N$21:N$141,$K118+1)*(1-$L118)+INDEX(N$21:N$141,$K118+2)*$L118</f>
        <v>-260.575</v>
      </c>
      <c r="Q118" s="12" t="n">
        <f aca="false">$C118+$D118+MAX(O118,P118,IF(COUNTIFS($A$21:$A$141,"&gt;="&amp;$G118,$A$21:$A$141,"&lt;="&amp;$H118)&gt;0,_xlfn.MAXIFS(N$21:N$141,$A$21:$A$141,"&gt;="&amp;$G118,$A$21:$A$141,"&lt;="&amp;$H118),O118))</f>
        <v>0</v>
      </c>
      <c r="R118" s="12" t="n">
        <f aca="false">-Cost_k*$A118+Beta_q*(Declarations!$B$16*INDEX(Q$21:Q$141,MAX(1,MIN(121,$B118-ROUND(Declarations!$A$16/$D$18,0))))+Declarations!$B$17*INDEX(Q$21:Q$141,MAX(1,MIN(121,$B118-ROUND(Declarations!$A$17/$D$18,0))))+Declarations!$B$18*INDEX(Q$21:Q$141,MAX(1,MIN(121,$B118-ROUND(Declarations!$A$18/$D$18,0))))+Declarations!$B$19*INDEX(Q$21:Q$141,MAX(1,MIN(121,$B118-ROUND(Declarations!$A$19/$D$18,0))))+Declarations!$B$20*INDEX(Q$21:Q$141,MAX(1,MIN(121,$B118-ROUND(Declarations!$A$20/$D$18,0)))))</f>
        <v>-257</v>
      </c>
      <c r="S118" s="12" t="n">
        <f aca="false">INDEX(R$21:R$141,$I118+1)*(1-$J118)+INDEX(R$21:R$141,$I118+2)*$J118</f>
        <v>-250.575</v>
      </c>
      <c r="T118" s="12" t="n">
        <f aca="false">INDEX(R$21:R$141,$K118+1)*(1-$L118)+INDEX(R$21:R$141,$K118+2)*$L118</f>
        <v>-260.575</v>
      </c>
      <c r="U118" s="12" t="n">
        <f aca="false">$C118+$D118+MAX(S118,T118,IF(COUNTIFS($A$21:$A$141,"&gt;="&amp;$G118,$A$21:$A$141,"&lt;="&amp;$H118)&gt;0,_xlfn.MAXIFS(R$21:R$141,$A$21:$A$141,"&gt;="&amp;$G118,$A$21:$A$141,"&lt;="&amp;$H118),S118))</f>
        <v>0</v>
      </c>
      <c r="V118" s="12" t="n">
        <f aca="false">-Cost_k*$A118+Beta_q*(Declarations!$B$16*INDEX(U$21:U$141,MAX(1,MIN(121,$B118-ROUND(Declarations!$A$16/$D$18,0))))+Declarations!$B$17*INDEX(U$21:U$141,MAX(1,MIN(121,$B118-ROUND(Declarations!$A$17/$D$18,0))))+Declarations!$B$18*INDEX(U$21:U$141,MAX(1,MIN(121,$B118-ROUND(Declarations!$A$18/$D$18,0))))+Declarations!$B$19*INDEX(U$21:U$141,MAX(1,MIN(121,$B118-ROUND(Declarations!$A$19/$D$18,0))))+Declarations!$B$20*INDEX(U$21:U$141,MAX(1,MIN(121,$B118-ROUND(Declarations!$A$20/$D$18,0)))))</f>
        <v>-257</v>
      </c>
      <c r="W118" s="12" t="n">
        <f aca="false">INDEX(V$21:V$141,$I118+1)*(1-$J118)+INDEX(V$21:V$141,$I118+2)*$J118</f>
        <v>-250.575</v>
      </c>
      <c r="X118" s="12" t="n">
        <f aca="false">INDEX(V$21:V$141,$K118+1)*(1-$L118)+INDEX(V$21:V$141,$K118+2)*$L118</f>
        <v>-260.575</v>
      </c>
      <c r="Y118" s="12" t="n">
        <f aca="false">$C118+$D118+MAX(W118,X118,IF(COUNTIFS($A$21:$A$141,"&gt;="&amp;$G118,$A$21:$A$141,"&lt;="&amp;$H118)&gt;0,_xlfn.MAXIFS(V$21:V$141,$A$21:$A$141,"&gt;="&amp;$G118,$A$21:$A$141,"&lt;="&amp;$H118),W118))</f>
        <v>0</v>
      </c>
      <c r="Z118" s="12" t="n">
        <f aca="false">-Cost_k*$A118+Beta_q*(Declarations!$B$16*INDEX(Y$21:Y$141,MAX(1,MIN(121,$B118-ROUND(Declarations!$A$16/$D$18,0))))+Declarations!$B$17*INDEX(Y$21:Y$141,MAX(1,MIN(121,$B118-ROUND(Declarations!$A$17/$D$18,0))))+Declarations!$B$18*INDEX(Y$21:Y$141,MAX(1,MIN(121,$B118-ROUND(Declarations!$A$18/$D$18,0))))+Declarations!$B$19*INDEX(Y$21:Y$141,MAX(1,MIN(121,$B118-ROUND(Declarations!$A$19/$D$18,0))))+Declarations!$B$20*INDEX(Y$21:Y$141,MAX(1,MIN(121,$B118-ROUND(Declarations!$A$20/$D$18,0)))))</f>
        <v>-257</v>
      </c>
      <c r="AA118" s="12" t="n">
        <f aca="false">INDEX(Z$21:Z$141,$I118+1)*(1-$J118)+INDEX(Z$21:Z$141,$I118+2)*$J118</f>
        <v>-250.575001533261</v>
      </c>
      <c r="AB118" s="12" t="n">
        <f aca="false">INDEX(Z$21:Z$141,$K118+1)*(1-$L118)+INDEX(Z$21:Z$141,$K118+2)*$L118</f>
        <v>-260.575</v>
      </c>
      <c r="AC118" s="12" t="n">
        <f aca="false">$C118+$D118+MAX(AA118,AB118,IF(COUNTIFS($A$21:$A$141,"&gt;="&amp;$G118,$A$21:$A$141,"&lt;="&amp;$H118)&gt;0,_xlfn.MAXIFS(Z$21:Z$141,$A$21:$A$141,"&gt;="&amp;$G118,$A$21:$A$141,"&lt;="&amp;$H118),AA118))</f>
        <v>-1.5332611269514E-006</v>
      </c>
      <c r="AD118" s="12" t="n">
        <f aca="false">-Cost_k*$A118+Beta_q*(Declarations!$B$16*INDEX(AC$21:AC$141,MAX(1,MIN(121,$B118-ROUND(Declarations!$A$16/$D$18,0))))+Declarations!$B$17*INDEX(AC$21:AC$141,MAX(1,MIN(121,$B118-ROUND(Declarations!$A$17/$D$18,0))))+Declarations!$B$18*INDEX(AC$21:AC$141,MAX(1,MIN(121,$B118-ROUND(Declarations!$A$18/$D$18,0))))+Declarations!$B$19*INDEX(AC$21:AC$141,MAX(1,MIN(121,$B118-ROUND(Declarations!$A$19/$D$18,0))))+Declarations!$B$20*INDEX(AC$21:AC$141,MAX(1,MIN(121,$B118-ROUND(Declarations!$A$20/$D$18,0)))))</f>
        <v>-257.00008777326</v>
      </c>
      <c r="AE118" s="12" t="n">
        <f aca="false">INDEX(AD$21:AD$141,$I118+1)*(1-$J118)+INDEX(AD$21:AD$141,$I118+2)*$J118</f>
        <v>-250.581007384471</v>
      </c>
      <c r="AF118" s="12" t="n">
        <f aca="false">INDEX(AD$21:AD$141,$K118+1)*(1-$L118)+INDEX(AD$21:AD$141,$K118+2)*$L118</f>
        <v>-260.575003914935</v>
      </c>
      <c r="AG118" s="12" t="n">
        <f aca="false">$C118+$D118+MAX(AE118,AF118,IF(COUNTIFS($A$21:$A$141,"&gt;="&amp;$G118,$A$21:$A$141,"&lt;="&amp;$H118)&gt;0,_xlfn.MAXIFS(AD$21:AD$141,$A$21:$A$141,"&gt;="&amp;$G118,$A$21:$A$141,"&lt;="&amp;$H118),AE118))</f>
        <v>-0.006007384471161</v>
      </c>
      <c r="AH118" s="12" t="n">
        <f aca="false">-Cost_k*$A118+Beta_q*(Declarations!$B$16*INDEX(AG$21:AG$141,MAX(1,MIN(121,$B118-ROUND(Declarations!$A$16/$D$18,0))))+Declarations!$B$17*INDEX(AG$21:AG$141,MAX(1,MIN(121,$B118-ROUND(Declarations!$A$17/$D$18,0))))+Declarations!$B$18*INDEX(AG$21:AG$141,MAX(1,MIN(121,$B118-ROUND(Declarations!$A$18/$D$18,0))))+Declarations!$B$19*INDEX(AG$21:AG$141,MAX(1,MIN(121,$B118-ROUND(Declarations!$A$19/$D$18,0))))+Declarations!$B$20*INDEX(AG$21:AG$141,MAX(1,MIN(121,$B118-ROUND(Declarations!$A$20/$D$18,0)))))</f>
        <v>-257.012378947756</v>
      </c>
      <c r="AI118" s="12" t="n">
        <f aca="false">INDEX(AH$21:AH$141,$I118+1)*(1-$J118)+INDEX(AH$21:AH$141,$I118+2)*$J118</f>
        <v>-250.716234195354</v>
      </c>
      <c r="AJ118" s="12" t="n">
        <f aca="false">INDEX(AH$21:AH$141,$K118+1)*(1-$L118)+INDEX(AH$21:AH$141,$K118+2)*$L118</f>
        <v>-260.577361293515</v>
      </c>
      <c r="AK118" s="12" t="n">
        <f aca="false">$C118+$D118+MAX(AI118,AJ118,IF(COUNTIFS($A$21:$A$141,"&gt;="&amp;$G118,$A$21:$A$141,"&lt;="&amp;$H118)&gt;0,_xlfn.MAXIFS(AH$21:AH$141,$A$21:$A$141,"&gt;="&amp;$G118,$A$21:$A$141,"&lt;="&amp;$H118),AI118))</f>
        <v>-0.141234195354116</v>
      </c>
      <c r="AL118" s="12" t="n">
        <f aca="false">-Cost_k*$A118+Beta_q*(Declarations!$B$16*INDEX(AK$21:AK$141,MAX(1,MIN(121,$B118-ROUND(Declarations!$A$16/$D$18,0))))+Declarations!$B$17*INDEX(AK$21:AK$141,MAX(1,MIN(121,$B118-ROUND(Declarations!$A$17/$D$18,0))))+Declarations!$B$18*INDEX(AK$21:AK$141,MAX(1,MIN(121,$B118-ROUND(Declarations!$A$18/$D$18,0))))+Declarations!$B$19*INDEX(AK$21:AK$141,MAX(1,MIN(121,$B118-ROUND(Declarations!$A$19/$D$18,0))))+Declarations!$B$20*INDEX(AK$21:AK$141,MAX(1,MIN(121,$B118-ROUND(Declarations!$A$20/$D$18,0)))))</f>
        <v>-257.180671737747</v>
      </c>
      <c r="AM118" s="12" t="n">
        <f aca="false">INDEX(AL$21:AL$141,$I118+1)*(1-$J118)+INDEX(AL$21:AL$141,$I118+2)*$J118</f>
        <v>-251.449237758846</v>
      </c>
      <c r="AN118" s="12" t="n">
        <f aca="false">INDEX(AL$21:AL$141,$K118+1)*(1-$L118)+INDEX(AL$21:AL$141,$K118+2)*$L118</f>
        <v>-260.636311854184</v>
      </c>
      <c r="AO118" s="12" t="n">
        <f aca="false">$C118+$D118+MAX(AM118,AN118,IF(COUNTIFS($A$21:$A$141,"&gt;="&amp;$G118,$A$21:$A$141,"&lt;="&amp;$H118)&gt;0,_xlfn.MAXIFS(AL$21:AL$141,$A$21:$A$141,"&gt;="&amp;$G118,$A$21:$A$141,"&lt;="&amp;$H118),AM118))</f>
        <v>-0.874237758846334</v>
      </c>
      <c r="AP118" s="12" t="n">
        <f aca="false">-Cost_k*$A118+Beta_q*(Declarations!$B$16*INDEX(AO$21:AO$141,MAX(1,MIN(121,$B118-ROUND(Declarations!$A$16/$D$18,0))))+Declarations!$B$17*INDEX(AO$21:AO$141,MAX(1,MIN(121,$B118-ROUND(Declarations!$A$17/$D$18,0))))+Declarations!$B$18*INDEX(AO$21:AO$141,MAX(1,MIN(121,$B118-ROUND(Declarations!$A$18/$D$18,0))))+Declarations!$B$19*INDEX(AO$21:AO$141,MAX(1,MIN(121,$B118-ROUND(Declarations!$A$19/$D$18,0))))+Declarations!$B$20*INDEX(AO$21:AO$141,MAX(1,MIN(121,$B118-ROUND(Declarations!$A$20/$D$18,0)))))</f>
        <v>-257.951690173659</v>
      </c>
      <c r="AQ118" s="12" t="n">
        <f aca="false">INDEX(AP$21:AP$141,$I118+1)*(1-$J118)+INDEX(AP$21:AP$141,$I118+2)*$J118</f>
        <v>-253.361078525286</v>
      </c>
      <c r="AR118" s="12" t="n">
        <f aca="false">INDEX(AP$21:AP$141,$K118+1)*(1-$L118)+INDEX(AP$21:AP$141,$K118+2)*$L118</f>
        <v>-261.030516499892</v>
      </c>
      <c r="AS118" s="12" t="n">
        <f aca="false">$C118+$D118+MAX(AQ118,AR118,IF(COUNTIFS($A$21:$A$141,"&gt;="&amp;$G118,$A$21:$A$141,"&lt;="&amp;$H118)&gt;0,_xlfn.MAXIFS(AP$21:AP$141,$A$21:$A$141,"&gt;="&amp;$G118,$A$21:$A$141,"&lt;="&amp;$H118),AQ118))</f>
        <v>-2.78607852528603</v>
      </c>
      <c r="AT118" s="12" t="n">
        <f aca="false">-Cost_k*$A118+Beta_q*(Declarations!$B$16*INDEX(AS$21:AS$141,MAX(1,MIN(121,$B118-ROUND(Declarations!$A$16/$D$18,0))))+Declarations!$B$17*INDEX(AS$21:AS$141,MAX(1,MIN(121,$B118-ROUND(Declarations!$A$17/$D$18,0))))+Declarations!$B$18*INDEX(AS$21:AS$141,MAX(1,MIN(121,$B118-ROUND(Declarations!$A$18/$D$18,0))))+Declarations!$B$19*INDEX(AS$21:AS$141,MAX(1,MIN(121,$B118-ROUND(Declarations!$A$19/$D$18,0))))+Declarations!$B$20*INDEX(AS$21:AS$141,MAX(1,MIN(121,$B118-ROUND(Declarations!$A$20/$D$18,0)))))</f>
        <v>-259.849516930285</v>
      </c>
      <c r="AU118" s="12" t="n">
        <f aca="false">INDEX(AT$21:AT$141,$I118+1)*(1-$J118)+INDEX(AT$21:AT$141,$I118+2)*$J118</f>
        <v>-256.635166747447</v>
      </c>
      <c r="AV118" s="12" t="n">
        <f aca="false">INDEX(AT$21:AT$141,$K118+1)*(1-$L118)+INDEX(AT$21:AT$141,$K118+2)*$L118</f>
        <v>-262.272194319893</v>
      </c>
      <c r="AW118" s="12" t="n">
        <f aca="false">$C118+$D118+MAX(AU118,AV118,IF(COUNTIFS($A$21:$A$141,"&gt;="&amp;$G118,$A$21:$A$141,"&lt;="&amp;$H118)&gt;0,_xlfn.MAXIFS(AT$21:AT$141,$A$21:$A$141,"&gt;="&amp;$G118,$A$21:$A$141,"&lt;="&amp;$H118),AU118))</f>
        <v>-6.06016674744723</v>
      </c>
      <c r="AX118" s="12" t="n">
        <f aca="false">-Cost_k*$A118+Beta_q*(Declarations!$B$16*INDEX(AW$21:AW$141,MAX(1,MIN(121,$B118-ROUND(Declarations!$A$16/$D$18,0))))+Declarations!$B$17*INDEX(AW$21:AW$141,MAX(1,MIN(121,$B118-ROUND(Declarations!$A$17/$D$18,0))))+Declarations!$B$18*INDEX(AW$21:AW$141,MAX(1,MIN(121,$B118-ROUND(Declarations!$A$18/$D$18,0))))+Declarations!$B$19*INDEX(AW$21:AW$141,MAX(1,MIN(121,$B118-ROUND(Declarations!$A$19/$D$18,0))))+Declarations!$B$20*INDEX(AW$21:AW$141,MAX(1,MIN(121,$B118-ROUND(Declarations!$A$20/$D$18,0)))))</f>
        <v>-263.025129272763</v>
      </c>
      <c r="AY118" s="12" t="n">
        <f aca="false">INDEX(AX$21:AX$141,$I118+1)*(1-$J118)+INDEX(AX$21:AX$141,$I118+2)*$J118</f>
        <v>-260.845421547212</v>
      </c>
      <c r="AZ118" s="12" t="n">
        <f aca="false">INDEX(AX$21:AX$141,$K118+1)*(1-$L118)+INDEX(AX$21:AX$141,$K118+2)*$L118</f>
        <v>-264.738311399641</v>
      </c>
      <c r="BA118" s="12" t="n">
        <f aca="false">$C118+$D118+MAX(AY118,AZ118,IF(COUNTIFS($A$21:$A$141,"&gt;="&amp;$G118,$A$21:$A$141,"&lt;="&amp;$H118)&gt;0,_xlfn.MAXIFS(AX$21:AX$141,$A$21:$A$141,"&gt;="&amp;$G118,$A$21:$A$141,"&lt;="&amp;$H118),AY118))</f>
        <v>-10.2704215472118</v>
      </c>
      <c r="BB118" s="12" t="n">
        <f aca="false">-Cost_k*$A118+Beta_q*(Declarations!$B$16*INDEX(BA$21:BA$141,MAX(1,MIN(121,$B118-ROUND(Declarations!$A$16/$D$18,0))))+Declarations!$B$17*INDEX(BA$21:BA$141,MAX(1,MIN(121,$B118-ROUND(Declarations!$A$17/$D$18,0))))+Declarations!$B$18*INDEX(BA$21:BA$141,MAX(1,MIN(121,$B118-ROUND(Declarations!$A$18/$D$18,0))))+Declarations!$B$19*INDEX(BA$21:BA$141,MAX(1,MIN(121,$B118-ROUND(Declarations!$A$19/$D$18,0))))+Declarations!$B$20*INDEX(BA$21:BA$141,MAX(1,MIN(121,$B118-ROUND(Declarations!$A$20/$D$18,0)))))</f>
        <v>-267.089342506068</v>
      </c>
      <c r="BC118" s="12" t="n">
        <f aca="false">INDEX(BB$21:BB$141,$I118+1)*(1-$J118)+INDEX(BB$21:BB$141,$I118+2)*$J118</f>
        <v>-265.390277857512</v>
      </c>
      <c r="BD118" s="12" t="n">
        <f aca="false">INDEX(BB$21:BB$141,$K118+1)*(1-$L118)+INDEX(BB$21:BB$141,$K118+2)*$L118</f>
        <v>-268.320275518607</v>
      </c>
      <c r="BE118" s="12" t="n">
        <f aca="false">$C118+$D118+MAX(BC118,BD118,IF(COUNTIFS($A$21:$A$141,"&gt;="&amp;$G118,$A$21:$A$141,"&lt;="&amp;$H118)&gt;0,_xlfn.MAXIFS(BB$21:BB$141,$A$21:$A$141,"&gt;="&amp;$G118,$A$21:$A$141,"&lt;="&amp;$H118),BC118))</f>
        <v>-14.8152778575123</v>
      </c>
      <c r="BF118" s="12" t="n">
        <f aca="false">-Cost_k*$A118+Beta_q*(Declarations!$B$16*INDEX(BE$21:BE$141,MAX(1,MIN(121,$B118-ROUND(Declarations!$A$16/$D$18,0))))+Declarations!$B$17*INDEX(BE$21:BE$141,MAX(1,MIN(121,$B118-ROUND(Declarations!$A$17/$D$18,0))))+Declarations!$B$18*INDEX(BE$21:BE$141,MAX(1,MIN(121,$B118-ROUND(Declarations!$A$18/$D$18,0))))+Declarations!$B$19*INDEX(BE$21:BE$141,MAX(1,MIN(121,$B118-ROUND(Declarations!$A$19/$D$18,0))))+Declarations!$B$20*INDEX(BE$21:BE$141,MAX(1,MIN(121,$B118-ROUND(Declarations!$A$20/$D$18,0)))))</f>
        <v>-271.498816491326</v>
      </c>
      <c r="BG118" s="12" t="n">
        <f aca="false">INDEX(BF$21:BF$141,$I118+1)*(1-$J118)+INDEX(BF$21:BF$141,$I118+2)*$J118</f>
        <v>-269.94888412273</v>
      </c>
      <c r="BH118" s="12" t="n">
        <f aca="false">INDEX(BF$21:BF$141,$K118+1)*(1-$L118)+INDEX(BF$21:BF$141,$K118+2)*$L118</f>
        <v>-272.520749403852</v>
      </c>
      <c r="BI118" s="12" t="n">
        <f aca="false">$C118+$D118+MAX(BG118,BH118,IF(COUNTIFS($A$21:$A$141,"&gt;="&amp;$G118,$A$21:$A$141,"&lt;="&amp;$H118)&gt;0,_xlfn.MAXIFS(BF$21:BF$141,$A$21:$A$141,"&gt;="&amp;$G118,$A$21:$A$141,"&lt;="&amp;$H118),BG118))</f>
        <v>-19.3738841227304</v>
      </c>
      <c r="BJ118" s="23" t="n">
        <v>-19.3738841227304</v>
      </c>
      <c r="BK118" s="22" t="n">
        <f aca="false">ABS(BI118-BJ118)</f>
        <v>0</v>
      </c>
    </row>
    <row r="119" customFormat="false" ht="15" hidden="false" customHeight="false" outlineLevel="0" collapsed="false">
      <c r="A119" s="14" t="n">
        <f aca="false">A118+$D$18</f>
        <v>64.5</v>
      </c>
      <c r="B119" s="19" t="n">
        <v>99</v>
      </c>
      <c r="C119" s="12" t="n">
        <f aca="false">-Short_p*MAX(Floor_c-A119,0)</f>
        <v>-0</v>
      </c>
      <c r="D119" s="12" t="n">
        <f aca="false">Cost_k*Alpha_keep*A119</f>
        <v>251.55</v>
      </c>
      <c r="E119" s="12" t="n">
        <f aca="false">MIN(Cap_h,MAX(0,$B$18+MAX(Loss_w)-Alpha_keep*A119))</f>
        <v>0</v>
      </c>
      <c r="F119" s="12" t="n">
        <f aca="false">MAX(MIN(Cap_h,$F$18+MIN(Loss_w)-Alpha_keep*A119),E119)</f>
        <v>2.5</v>
      </c>
      <c r="G119" s="12" t="n">
        <f aca="false">Alpha_keep*A119+E119</f>
        <v>62.8875</v>
      </c>
      <c r="H119" s="12" t="n">
        <f aca="false">Alpha_keep*A119+F119</f>
        <v>65.3875</v>
      </c>
      <c r="I119" s="19" t="n">
        <f aca="false">MIN(INT((G119-$B$18)/$D$18+0.000000001),119)</f>
        <v>91</v>
      </c>
      <c r="J119" s="12" t="n">
        <f aca="false">(G119-$B$18)/$D$18-I119</f>
        <v>0.549999999999983</v>
      </c>
      <c r="K119" s="19" t="n">
        <f aca="false">MIN(INT((H119-$B$18)/$D$18+0.000000001),119)</f>
        <v>101</v>
      </c>
      <c r="L119" s="12" t="n">
        <f aca="false">(H119-$B$18)/$D$18-K119</f>
        <v>0.549999999999955</v>
      </c>
      <c r="M119" s="9" t="n">
        <v>0</v>
      </c>
      <c r="N119" s="12" t="n">
        <f aca="false">-Cost_k*$A119+Beta_q*(Declarations!$B$16*INDEX(M$21:M$141,MAX(1,MIN(121,$B119-ROUND(Declarations!$A$16/$D$18,0))))+Declarations!$B$17*INDEX(M$21:M$141,MAX(1,MIN(121,$B119-ROUND(Declarations!$A$17/$D$18,0))))+Declarations!$B$18*INDEX(M$21:M$141,MAX(1,MIN(121,$B119-ROUND(Declarations!$A$18/$D$18,0))))+Declarations!$B$19*INDEX(M$21:M$141,MAX(1,MIN(121,$B119-ROUND(Declarations!$A$19/$D$18,0))))+Declarations!$B$20*INDEX(M$21:M$141,MAX(1,MIN(121,$B119-ROUND(Declarations!$A$20/$D$18,0)))))</f>
        <v>-258</v>
      </c>
      <c r="O119" s="12" t="n">
        <f aca="false">INDEX(N$21:N$141,$I119+1)*(1-$J119)+INDEX(N$21:N$141,$I119+2)*$J119</f>
        <v>-251.55</v>
      </c>
      <c r="P119" s="12" t="n">
        <f aca="false">INDEX(N$21:N$141,$K119+1)*(1-$L119)+INDEX(N$21:N$141,$K119+2)*$L119</f>
        <v>-261.55</v>
      </c>
      <c r="Q119" s="12" t="n">
        <f aca="false">$C119+$D119+MAX(O119,P119,IF(COUNTIFS($A$21:$A$141,"&gt;="&amp;$G119,$A$21:$A$141,"&lt;="&amp;$H119)&gt;0,_xlfn.MAXIFS(N$21:N$141,$A$21:$A$141,"&gt;="&amp;$G119,$A$21:$A$141,"&lt;="&amp;$H119),O119))</f>
        <v>0</v>
      </c>
      <c r="R119" s="12" t="n">
        <f aca="false">-Cost_k*$A119+Beta_q*(Declarations!$B$16*INDEX(Q$21:Q$141,MAX(1,MIN(121,$B119-ROUND(Declarations!$A$16/$D$18,0))))+Declarations!$B$17*INDEX(Q$21:Q$141,MAX(1,MIN(121,$B119-ROUND(Declarations!$A$17/$D$18,0))))+Declarations!$B$18*INDEX(Q$21:Q$141,MAX(1,MIN(121,$B119-ROUND(Declarations!$A$18/$D$18,0))))+Declarations!$B$19*INDEX(Q$21:Q$141,MAX(1,MIN(121,$B119-ROUND(Declarations!$A$19/$D$18,0))))+Declarations!$B$20*INDEX(Q$21:Q$141,MAX(1,MIN(121,$B119-ROUND(Declarations!$A$20/$D$18,0)))))</f>
        <v>-258</v>
      </c>
      <c r="S119" s="12" t="n">
        <f aca="false">INDEX(R$21:R$141,$I119+1)*(1-$J119)+INDEX(R$21:R$141,$I119+2)*$J119</f>
        <v>-251.55</v>
      </c>
      <c r="T119" s="12" t="n">
        <f aca="false">INDEX(R$21:R$141,$K119+1)*(1-$L119)+INDEX(R$21:R$141,$K119+2)*$L119</f>
        <v>-261.55</v>
      </c>
      <c r="U119" s="12" t="n">
        <f aca="false">$C119+$D119+MAX(S119,T119,IF(COUNTIFS($A$21:$A$141,"&gt;="&amp;$G119,$A$21:$A$141,"&lt;="&amp;$H119)&gt;0,_xlfn.MAXIFS(R$21:R$141,$A$21:$A$141,"&gt;="&amp;$G119,$A$21:$A$141,"&lt;="&amp;$H119),S119))</f>
        <v>0</v>
      </c>
      <c r="V119" s="12" t="n">
        <f aca="false">-Cost_k*$A119+Beta_q*(Declarations!$B$16*INDEX(U$21:U$141,MAX(1,MIN(121,$B119-ROUND(Declarations!$A$16/$D$18,0))))+Declarations!$B$17*INDEX(U$21:U$141,MAX(1,MIN(121,$B119-ROUND(Declarations!$A$17/$D$18,0))))+Declarations!$B$18*INDEX(U$21:U$141,MAX(1,MIN(121,$B119-ROUND(Declarations!$A$18/$D$18,0))))+Declarations!$B$19*INDEX(U$21:U$141,MAX(1,MIN(121,$B119-ROUND(Declarations!$A$19/$D$18,0))))+Declarations!$B$20*INDEX(U$21:U$141,MAX(1,MIN(121,$B119-ROUND(Declarations!$A$20/$D$18,0)))))</f>
        <v>-258</v>
      </c>
      <c r="W119" s="12" t="n">
        <f aca="false">INDEX(V$21:V$141,$I119+1)*(1-$J119)+INDEX(V$21:V$141,$I119+2)*$J119</f>
        <v>-251.55</v>
      </c>
      <c r="X119" s="12" t="n">
        <f aca="false">INDEX(V$21:V$141,$K119+1)*(1-$L119)+INDEX(V$21:V$141,$K119+2)*$L119</f>
        <v>-261.55</v>
      </c>
      <c r="Y119" s="12" t="n">
        <f aca="false">$C119+$D119+MAX(W119,X119,IF(COUNTIFS($A$21:$A$141,"&gt;="&amp;$G119,$A$21:$A$141,"&lt;="&amp;$H119)&gt;0,_xlfn.MAXIFS(V$21:V$141,$A$21:$A$141,"&gt;="&amp;$G119,$A$21:$A$141,"&lt;="&amp;$H119),W119))</f>
        <v>0</v>
      </c>
      <c r="Z119" s="12" t="n">
        <f aca="false">-Cost_k*$A119+Beta_q*(Declarations!$B$16*INDEX(Y$21:Y$141,MAX(1,MIN(121,$B119-ROUND(Declarations!$A$16/$D$18,0))))+Declarations!$B$17*INDEX(Y$21:Y$141,MAX(1,MIN(121,$B119-ROUND(Declarations!$A$17/$D$18,0))))+Declarations!$B$18*INDEX(Y$21:Y$141,MAX(1,MIN(121,$B119-ROUND(Declarations!$A$18/$D$18,0))))+Declarations!$B$19*INDEX(Y$21:Y$141,MAX(1,MIN(121,$B119-ROUND(Declarations!$A$19/$D$18,0))))+Declarations!$B$20*INDEX(Y$21:Y$141,MAX(1,MIN(121,$B119-ROUND(Declarations!$A$20/$D$18,0)))))</f>
        <v>-258</v>
      </c>
      <c r="AA119" s="12" t="n">
        <f aca="false">INDEX(Z$21:Z$141,$I119+1)*(1-$J119)+INDEX(Z$21:Z$141,$I119+2)*$J119</f>
        <v>-251.55</v>
      </c>
      <c r="AB119" s="12" t="n">
        <f aca="false">INDEX(Z$21:Z$141,$K119+1)*(1-$L119)+INDEX(Z$21:Z$141,$K119+2)*$L119</f>
        <v>-261.55</v>
      </c>
      <c r="AC119" s="12" t="n">
        <f aca="false">$C119+$D119+MAX(AA119,AB119,IF(COUNTIFS($A$21:$A$141,"&gt;="&amp;$G119,$A$21:$A$141,"&lt;="&amp;$H119)&gt;0,_xlfn.MAXIFS(Z$21:Z$141,$A$21:$A$141,"&gt;="&amp;$G119,$A$21:$A$141,"&lt;="&amp;$H119),AA119))</f>
        <v>0</v>
      </c>
      <c r="AD119" s="12" t="n">
        <f aca="false">-Cost_k*$A119+Beta_q*(Declarations!$B$16*INDEX(AC$21:AC$141,MAX(1,MIN(121,$B119-ROUND(Declarations!$A$16/$D$18,0))))+Declarations!$B$17*INDEX(AC$21:AC$141,MAX(1,MIN(121,$B119-ROUND(Declarations!$A$17/$D$18,0))))+Declarations!$B$18*INDEX(AC$21:AC$141,MAX(1,MIN(121,$B119-ROUND(Declarations!$A$18/$D$18,0))))+Declarations!$B$19*INDEX(AC$21:AC$141,MAX(1,MIN(121,$B119-ROUND(Declarations!$A$19/$D$18,0))))+Declarations!$B$20*INDEX(AC$21:AC$141,MAX(1,MIN(121,$B119-ROUND(Declarations!$A$20/$D$18,0)))))</f>
        <v>-258.000048905398</v>
      </c>
      <c r="AE119" s="12" t="n">
        <f aca="false">INDEX(AD$21:AD$141,$I119+1)*(1-$J119)+INDEX(AD$21:AD$141,$I119+2)*$J119</f>
        <v>-251.553803681007</v>
      </c>
      <c r="AF119" s="12" t="n">
        <f aca="false">INDEX(AD$21:AD$141,$K119+1)*(1-$L119)+INDEX(AD$21:AD$141,$K119+2)*$L119</f>
        <v>-261.550001714174</v>
      </c>
      <c r="AG119" s="12" t="n">
        <f aca="false">$C119+$D119+MAX(AE119,AF119,IF(COUNTIFS($A$21:$A$141,"&gt;="&amp;$G119,$A$21:$A$141,"&lt;="&amp;$H119)&gt;0,_xlfn.MAXIFS(AD$21:AD$141,$A$21:$A$141,"&gt;="&amp;$G119,$A$21:$A$141,"&lt;="&amp;$H119),AE119))</f>
        <v>-0.00380368100672968</v>
      </c>
      <c r="AH119" s="12" t="n">
        <f aca="false">-Cost_k*$A119+Beta_q*(Declarations!$B$16*INDEX(AG$21:AG$141,MAX(1,MIN(121,$B119-ROUND(Declarations!$A$16/$D$18,0))))+Declarations!$B$17*INDEX(AG$21:AG$141,MAX(1,MIN(121,$B119-ROUND(Declarations!$A$17/$D$18,0))))+Declarations!$B$18*INDEX(AG$21:AG$141,MAX(1,MIN(121,$B119-ROUND(Declarations!$A$18/$D$18,0))))+Declarations!$B$19*INDEX(AG$21:AG$141,MAX(1,MIN(121,$B119-ROUND(Declarations!$A$19/$D$18,0))))+Declarations!$B$20*INDEX(AG$21:AG$141,MAX(1,MIN(121,$B119-ROUND(Declarations!$A$20/$D$18,0)))))</f>
        <v>-258.0082696235</v>
      </c>
      <c r="AI119" s="12" t="n">
        <f aca="false">INDEX(AH$21:AH$141,$I119+1)*(1-$J119)+INDEX(AH$21:AH$141,$I119+2)*$J119</f>
        <v>-251.654419380971</v>
      </c>
      <c r="AJ119" s="12" t="n">
        <f aca="false">INDEX(AH$21:AH$141,$K119+1)*(1-$L119)+INDEX(AH$21:AH$141,$K119+2)*$L119</f>
        <v>-261.551453215749</v>
      </c>
      <c r="AK119" s="12" t="n">
        <f aca="false">$C119+$D119+MAX(AI119,AJ119,IF(COUNTIFS($A$21:$A$141,"&gt;="&amp;$G119,$A$21:$A$141,"&lt;="&amp;$H119)&gt;0,_xlfn.MAXIFS(AH$21:AH$141,$A$21:$A$141,"&gt;="&amp;$G119,$A$21:$A$141,"&lt;="&amp;$H119),AI119))</f>
        <v>-0.104419380971336</v>
      </c>
      <c r="AL119" s="12" t="n">
        <f aca="false">-Cost_k*$A119+Beta_q*(Declarations!$B$16*INDEX(AK$21:AK$141,MAX(1,MIN(121,$B119-ROUND(Declarations!$A$16/$D$18,0))))+Declarations!$B$17*INDEX(AK$21:AK$141,MAX(1,MIN(121,$B119-ROUND(Declarations!$A$17/$D$18,0))))+Declarations!$B$18*INDEX(AK$21:AK$141,MAX(1,MIN(121,$B119-ROUND(Declarations!$A$18/$D$18,0))))+Declarations!$B$19*INDEX(AK$21:AK$141,MAX(1,MIN(121,$B119-ROUND(Declarations!$A$19/$D$18,0))))+Declarations!$B$20*INDEX(AK$21:AK$141,MAX(1,MIN(121,$B119-ROUND(Declarations!$A$20/$D$18,0)))))</f>
        <v>-258.136781773286</v>
      </c>
      <c r="AM119" s="12" t="n">
        <f aca="false">INDEX(AL$21:AL$141,$I119+1)*(1-$J119)+INDEX(AL$21:AL$141,$I119+2)*$J119</f>
        <v>-252.262889782137</v>
      </c>
      <c r="AN119" s="12" t="n">
        <f aca="false">INDEX(AL$21:AL$141,$K119+1)*(1-$L119)+INDEX(AL$21:AL$141,$K119+2)*$L119</f>
        <v>-261.594363085585</v>
      </c>
      <c r="AO119" s="12" t="n">
        <f aca="false">$C119+$D119+MAX(AM119,AN119,IF(COUNTIFS($A$21:$A$141,"&gt;="&amp;$G119,$A$21:$A$141,"&lt;="&amp;$H119)&gt;0,_xlfn.MAXIFS(AL$21:AL$141,$A$21:$A$141,"&gt;="&amp;$G119,$A$21:$A$141,"&lt;="&amp;$H119),AM119))</f>
        <v>-0.712889782136557</v>
      </c>
      <c r="AP119" s="12" t="n">
        <f aca="false">-Cost_k*$A119+Beta_q*(Declarations!$B$16*INDEX(AO$21:AO$141,MAX(1,MIN(121,$B119-ROUND(Declarations!$A$16/$D$18,0))))+Declarations!$B$17*INDEX(AO$21:AO$141,MAX(1,MIN(121,$B119-ROUND(Declarations!$A$17/$D$18,0))))+Declarations!$B$18*INDEX(AO$21:AO$141,MAX(1,MIN(121,$B119-ROUND(Declarations!$A$18/$D$18,0))))+Declarations!$B$19*INDEX(AO$21:AO$141,MAX(1,MIN(121,$B119-ROUND(Declarations!$A$19/$D$18,0))))+Declarations!$B$20*INDEX(AO$21:AO$141,MAX(1,MIN(121,$B119-ROUND(Declarations!$A$20/$D$18,0)))))</f>
        <v>-258.784527729729</v>
      </c>
      <c r="AQ119" s="12" t="n">
        <f aca="false">INDEX(AP$21:AP$141,$I119+1)*(1-$J119)+INDEX(AP$21:AP$141,$I119+2)*$J119</f>
        <v>-253.967564248143</v>
      </c>
      <c r="AR119" s="12" t="n">
        <f aca="false">INDEX(AP$21:AP$141,$K119+1)*(1-$L119)+INDEX(AP$21:AP$141,$K119+2)*$L119</f>
        <v>-261.91492092241</v>
      </c>
      <c r="AS119" s="12" t="n">
        <f aca="false">$C119+$D119+MAX(AQ119,AR119,IF(COUNTIFS($A$21:$A$141,"&gt;="&amp;$G119,$A$21:$A$141,"&lt;="&amp;$H119)&gt;0,_xlfn.MAXIFS(AP$21:AP$141,$A$21:$A$141,"&gt;="&amp;$G119,$A$21:$A$141,"&lt;="&amp;$H119),AQ119))</f>
        <v>-2.41756424814309</v>
      </c>
      <c r="AT119" s="12" t="n">
        <f aca="false">-Cost_k*$A119+Beta_q*(Declarations!$B$16*INDEX(AS$21:AS$141,MAX(1,MIN(121,$B119-ROUND(Declarations!$A$16/$D$18,0))))+Declarations!$B$17*INDEX(AS$21:AS$141,MAX(1,MIN(121,$B119-ROUND(Declarations!$A$17/$D$18,0))))+Declarations!$B$18*INDEX(AS$21:AS$141,MAX(1,MIN(121,$B119-ROUND(Declarations!$A$18/$D$18,0))))+Declarations!$B$19*INDEX(AS$21:AS$141,MAX(1,MIN(121,$B119-ROUND(Declarations!$A$19/$D$18,0))))+Declarations!$B$20*INDEX(AS$21:AS$141,MAX(1,MIN(121,$B119-ROUND(Declarations!$A$20/$D$18,0)))))</f>
        <v>-260.485321066642</v>
      </c>
      <c r="AU119" s="12" t="n">
        <f aca="false">INDEX(AT$21:AT$141,$I119+1)*(1-$J119)+INDEX(AT$21:AT$141,$I119+2)*$J119</f>
        <v>-257.03239504903</v>
      </c>
      <c r="AV119" s="12" t="n">
        <f aca="false">INDEX(AT$21:AT$141,$K119+1)*(1-$L119)+INDEX(AT$21:AT$141,$K119+2)*$L119</f>
        <v>-263.002480086574</v>
      </c>
      <c r="AW119" s="12" t="n">
        <f aca="false">$C119+$D119+MAX(AU119,AV119,IF(COUNTIFS($A$21:$A$141,"&gt;="&amp;$G119,$A$21:$A$141,"&lt;="&amp;$H119)&gt;0,_xlfn.MAXIFS(AT$21:AT$141,$A$21:$A$141,"&gt;="&amp;$G119,$A$21:$A$141,"&lt;="&amp;$H119),AU119))</f>
        <v>-5.4823950490302</v>
      </c>
      <c r="AX119" s="12" t="n">
        <f aca="false">-Cost_k*$A119+Beta_q*(Declarations!$B$16*INDEX(AW$21:AW$141,MAX(1,MIN(121,$B119-ROUND(Declarations!$A$16/$D$18,0))))+Declarations!$B$17*INDEX(AW$21:AW$141,MAX(1,MIN(121,$B119-ROUND(Declarations!$A$17/$D$18,0))))+Declarations!$B$18*INDEX(AW$21:AW$141,MAX(1,MIN(121,$B119-ROUND(Declarations!$A$18/$D$18,0))))+Declarations!$B$19*INDEX(AW$21:AW$141,MAX(1,MIN(121,$B119-ROUND(Declarations!$A$19/$D$18,0))))+Declarations!$B$20*INDEX(AW$21:AW$141,MAX(1,MIN(121,$B119-ROUND(Declarations!$A$20/$D$18,0)))))</f>
        <v>-263.465082509296</v>
      </c>
      <c r="AY119" s="12" t="n">
        <f aca="false">INDEX(AX$21:AX$141,$I119+1)*(1-$J119)+INDEX(AX$21:AX$141,$I119+2)*$J119</f>
        <v>-261.117802180893</v>
      </c>
      <c r="AZ119" s="12" t="n">
        <f aca="false">INDEX(AX$21:AX$141,$K119+1)*(1-$L119)+INDEX(AX$21:AX$141,$K119+2)*$L119</f>
        <v>-265.275073834266</v>
      </c>
      <c r="BA119" s="12" t="n">
        <f aca="false">$C119+$D119+MAX(AY119,AZ119,IF(COUNTIFS($A$21:$A$141,"&gt;="&amp;$G119,$A$21:$A$141,"&lt;="&amp;$H119)&gt;0,_xlfn.MAXIFS(AX$21:AX$141,$A$21:$A$141,"&gt;="&amp;$G119,$A$21:$A$141,"&lt;="&amp;$H119),AY119))</f>
        <v>-9.56780218089315</v>
      </c>
      <c r="BB119" s="12" t="n">
        <f aca="false">-Cost_k*$A119+Beta_q*(Declarations!$B$16*INDEX(BA$21:BA$141,MAX(1,MIN(121,$B119-ROUND(Declarations!$A$16/$D$18,0))))+Declarations!$B$17*INDEX(BA$21:BA$141,MAX(1,MIN(121,$B119-ROUND(Declarations!$A$17/$D$18,0))))+Declarations!$B$18*INDEX(BA$21:BA$141,MAX(1,MIN(121,$B119-ROUND(Declarations!$A$18/$D$18,0))))+Declarations!$B$19*INDEX(BA$21:BA$141,MAX(1,MIN(121,$B119-ROUND(Declarations!$A$19/$D$18,0))))+Declarations!$B$20*INDEX(BA$21:BA$141,MAX(1,MIN(121,$B119-ROUND(Declarations!$A$20/$D$18,0)))))</f>
        <v>-267.409055301533</v>
      </c>
      <c r="BC119" s="12" t="n">
        <f aca="false">INDEX(BB$21:BB$141,$I119+1)*(1-$J119)+INDEX(BB$21:BB$141,$I119+2)*$J119</f>
        <v>-265.617946197332</v>
      </c>
      <c r="BD119" s="12" t="n">
        <f aca="false">INDEX(BB$21:BB$141,$K119+1)*(1-$L119)+INDEX(BB$21:BB$141,$K119+2)*$L119</f>
        <v>-268.702561926175</v>
      </c>
      <c r="BE119" s="12" t="n">
        <f aca="false">$C119+$D119+MAX(BC119,BD119,IF(COUNTIFS($A$21:$A$141,"&gt;="&amp;$G119,$A$21:$A$141,"&lt;="&amp;$H119)&gt;0,_xlfn.MAXIFS(BB$21:BB$141,$A$21:$A$141,"&gt;="&amp;$G119,$A$21:$A$141,"&lt;="&amp;$H119),BC119))</f>
        <v>-14.0679461973316</v>
      </c>
      <c r="BF119" s="12" t="n">
        <f aca="false">-Cost_k*$A119+Beta_q*(Declarations!$B$16*INDEX(BE$21:BE$141,MAX(1,MIN(121,$B119-ROUND(Declarations!$A$16/$D$18,0))))+Declarations!$B$17*INDEX(BE$21:BE$141,MAX(1,MIN(121,$B119-ROUND(Declarations!$A$17/$D$18,0))))+Declarations!$B$18*INDEX(BE$21:BE$141,MAX(1,MIN(121,$B119-ROUND(Declarations!$A$18/$D$18,0))))+Declarations!$B$19*INDEX(BE$21:BE$141,MAX(1,MIN(121,$B119-ROUND(Declarations!$A$19/$D$18,0))))+Declarations!$B$20*INDEX(BE$21:BE$141,MAX(1,MIN(121,$B119-ROUND(Declarations!$A$20/$D$18,0)))))</f>
        <v>-271.771676738321</v>
      </c>
      <c r="BG119" s="12" t="n">
        <f aca="false">INDEX(BF$21:BF$141,$I119+1)*(1-$J119)+INDEX(BF$21:BF$141,$I119+2)*$J119</f>
        <v>-270.165589994547</v>
      </c>
      <c r="BH119" s="12" t="n">
        <f aca="false">INDEX(BF$21:BF$141,$K119+1)*(1-$L119)+INDEX(BF$21:BF$141,$K119+2)*$L119</f>
        <v>-272.824761222062</v>
      </c>
      <c r="BI119" s="12" t="n">
        <f aca="false">$C119+$D119+MAX(BG119,BH119,IF(COUNTIFS($A$21:$A$141,"&gt;="&amp;$G119,$A$21:$A$141,"&lt;="&amp;$H119)&gt;0,_xlfn.MAXIFS(BF$21:BF$141,$A$21:$A$141,"&gt;="&amp;$G119,$A$21:$A$141,"&lt;="&amp;$H119),BG119))</f>
        <v>-18.6155899945471</v>
      </c>
      <c r="BJ119" s="23" t="n">
        <v>-18.6155899945471</v>
      </c>
      <c r="BK119" s="22" t="n">
        <f aca="false">ABS(BI119-BJ119)</f>
        <v>0</v>
      </c>
    </row>
    <row r="120" customFormat="false" ht="15" hidden="false" customHeight="false" outlineLevel="0" collapsed="false">
      <c r="A120" s="14" t="n">
        <f aca="false">A119+$D$18</f>
        <v>64.75</v>
      </c>
      <c r="B120" s="19" t="n">
        <v>100</v>
      </c>
      <c r="C120" s="12" t="n">
        <f aca="false">-Short_p*MAX(Floor_c-A120,0)</f>
        <v>-0</v>
      </c>
      <c r="D120" s="12" t="n">
        <f aca="false">Cost_k*Alpha_keep*A120</f>
        <v>252.525</v>
      </c>
      <c r="E120" s="12" t="n">
        <f aca="false">MIN(Cap_h,MAX(0,$B$18+MAX(Loss_w)-Alpha_keep*A120))</f>
        <v>0</v>
      </c>
      <c r="F120" s="12" t="n">
        <f aca="false">MAX(MIN(Cap_h,$F$18+MIN(Loss_w)-Alpha_keep*A120),E120)</f>
        <v>2.5</v>
      </c>
      <c r="G120" s="12" t="n">
        <f aca="false">Alpha_keep*A120+E120</f>
        <v>63.13125</v>
      </c>
      <c r="H120" s="12" t="n">
        <f aca="false">Alpha_keep*A120+F120</f>
        <v>65.63125</v>
      </c>
      <c r="I120" s="19" t="n">
        <f aca="false">MIN(INT((G120-$B$18)/$D$18+0.000000001),119)</f>
        <v>92</v>
      </c>
      <c r="J120" s="12" t="n">
        <f aca="false">(G120-$B$18)/$D$18-I120</f>
        <v>0.525000000000006</v>
      </c>
      <c r="K120" s="19" t="n">
        <f aca="false">MIN(INT((H120-$B$18)/$D$18+0.000000001),119)</f>
        <v>102</v>
      </c>
      <c r="L120" s="12" t="n">
        <f aca="false">(H120-$B$18)/$D$18-K120</f>
        <v>0.524999999999977</v>
      </c>
      <c r="M120" s="9" t="n">
        <v>0</v>
      </c>
      <c r="N120" s="12" t="n">
        <f aca="false">-Cost_k*$A120+Beta_q*(Declarations!$B$16*INDEX(M$21:M$141,MAX(1,MIN(121,$B120-ROUND(Declarations!$A$16/$D$18,0))))+Declarations!$B$17*INDEX(M$21:M$141,MAX(1,MIN(121,$B120-ROUND(Declarations!$A$17/$D$18,0))))+Declarations!$B$18*INDEX(M$21:M$141,MAX(1,MIN(121,$B120-ROUND(Declarations!$A$18/$D$18,0))))+Declarations!$B$19*INDEX(M$21:M$141,MAX(1,MIN(121,$B120-ROUND(Declarations!$A$19/$D$18,0))))+Declarations!$B$20*INDEX(M$21:M$141,MAX(1,MIN(121,$B120-ROUND(Declarations!$A$20/$D$18,0)))))</f>
        <v>-259</v>
      </c>
      <c r="O120" s="12" t="n">
        <f aca="false">INDEX(N$21:N$141,$I120+1)*(1-$J120)+INDEX(N$21:N$141,$I120+2)*$J120</f>
        <v>-252.525</v>
      </c>
      <c r="P120" s="12" t="n">
        <f aca="false">INDEX(N$21:N$141,$K120+1)*(1-$L120)+INDEX(N$21:N$141,$K120+2)*$L120</f>
        <v>-262.525</v>
      </c>
      <c r="Q120" s="12" t="n">
        <f aca="false">$C120+$D120+MAX(O120,P120,IF(COUNTIFS($A$21:$A$141,"&gt;="&amp;$G120,$A$21:$A$141,"&lt;="&amp;$H120)&gt;0,_xlfn.MAXIFS(N$21:N$141,$A$21:$A$141,"&gt;="&amp;$G120,$A$21:$A$141,"&lt;="&amp;$H120),O120))</f>
        <v>0</v>
      </c>
      <c r="R120" s="12" t="n">
        <f aca="false">-Cost_k*$A120+Beta_q*(Declarations!$B$16*INDEX(Q$21:Q$141,MAX(1,MIN(121,$B120-ROUND(Declarations!$A$16/$D$18,0))))+Declarations!$B$17*INDEX(Q$21:Q$141,MAX(1,MIN(121,$B120-ROUND(Declarations!$A$17/$D$18,0))))+Declarations!$B$18*INDEX(Q$21:Q$141,MAX(1,MIN(121,$B120-ROUND(Declarations!$A$18/$D$18,0))))+Declarations!$B$19*INDEX(Q$21:Q$141,MAX(1,MIN(121,$B120-ROUND(Declarations!$A$19/$D$18,0))))+Declarations!$B$20*INDEX(Q$21:Q$141,MAX(1,MIN(121,$B120-ROUND(Declarations!$A$20/$D$18,0)))))</f>
        <v>-259</v>
      </c>
      <c r="S120" s="12" t="n">
        <f aca="false">INDEX(R$21:R$141,$I120+1)*(1-$J120)+INDEX(R$21:R$141,$I120+2)*$J120</f>
        <v>-252.525</v>
      </c>
      <c r="T120" s="12" t="n">
        <f aca="false">INDEX(R$21:R$141,$K120+1)*(1-$L120)+INDEX(R$21:R$141,$K120+2)*$L120</f>
        <v>-262.525</v>
      </c>
      <c r="U120" s="12" t="n">
        <f aca="false">$C120+$D120+MAX(S120,T120,IF(COUNTIFS($A$21:$A$141,"&gt;="&amp;$G120,$A$21:$A$141,"&lt;="&amp;$H120)&gt;0,_xlfn.MAXIFS(R$21:R$141,$A$21:$A$141,"&gt;="&amp;$G120,$A$21:$A$141,"&lt;="&amp;$H120),S120))</f>
        <v>0</v>
      </c>
      <c r="V120" s="12" t="n">
        <f aca="false">-Cost_k*$A120+Beta_q*(Declarations!$B$16*INDEX(U$21:U$141,MAX(1,MIN(121,$B120-ROUND(Declarations!$A$16/$D$18,0))))+Declarations!$B$17*INDEX(U$21:U$141,MAX(1,MIN(121,$B120-ROUND(Declarations!$A$17/$D$18,0))))+Declarations!$B$18*INDEX(U$21:U$141,MAX(1,MIN(121,$B120-ROUND(Declarations!$A$18/$D$18,0))))+Declarations!$B$19*INDEX(U$21:U$141,MAX(1,MIN(121,$B120-ROUND(Declarations!$A$19/$D$18,0))))+Declarations!$B$20*INDEX(U$21:U$141,MAX(1,MIN(121,$B120-ROUND(Declarations!$A$20/$D$18,0)))))</f>
        <v>-259</v>
      </c>
      <c r="W120" s="12" t="n">
        <f aca="false">INDEX(V$21:V$141,$I120+1)*(1-$J120)+INDEX(V$21:V$141,$I120+2)*$J120</f>
        <v>-252.525</v>
      </c>
      <c r="X120" s="12" t="n">
        <f aca="false">INDEX(V$21:V$141,$K120+1)*(1-$L120)+INDEX(V$21:V$141,$K120+2)*$L120</f>
        <v>-262.525</v>
      </c>
      <c r="Y120" s="12" t="n">
        <f aca="false">$C120+$D120+MAX(W120,X120,IF(COUNTIFS($A$21:$A$141,"&gt;="&amp;$G120,$A$21:$A$141,"&lt;="&amp;$H120)&gt;0,_xlfn.MAXIFS(V$21:V$141,$A$21:$A$141,"&gt;="&amp;$G120,$A$21:$A$141,"&lt;="&amp;$H120),W120))</f>
        <v>0</v>
      </c>
      <c r="Z120" s="12" t="n">
        <f aca="false">-Cost_k*$A120+Beta_q*(Declarations!$B$16*INDEX(Y$21:Y$141,MAX(1,MIN(121,$B120-ROUND(Declarations!$A$16/$D$18,0))))+Declarations!$B$17*INDEX(Y$21:Y$141,MAX(1,MIN(121,$B120-ROUND(Declarations!$A$17/$D$18,0))))+Declarations!$B$18*INDEX(Y$21:Y$141,MAX(1,MIN(121,$B120-ROUND(Declarations!$A$18/$D$18,0))))+Declarations!$B$19*INDEX(Y$21:Y$141,MAX(1,MIN(121,$B120-ROUND(Declarations!$A$19/$D$18,0))))+Declarations!$B$20*INDEX(Y$21:Y$141,MAX(1,MIN(121,$B120-ROUND(Declarations!$A$20/$D$18,0)))))</f>
        <v>-259</v>
      </c>
      <c r="AA120" s="12" t="n">
        <f aca="false">INDEX(Z$21:Z$141,$I120+1)*(1-$J120)+INDEX(Z$21:Z$141,$I120+2)*$J120</f>
        <v>-252.525</v>
      </c>
      <c r="AB120" s="12" t="n">
        <f aca="false">INDEX(Z$21:Z$141,$K120+1)*(1-$L120)+INDEX(Z$21:Z$141,$K120+2)*$L120</f>
        <v>-262.525</v>
      </c>
      <c r="AC120" s="12" t="n">
        <f aca="false">$C120+$D120+MAX(AA120,AB120,IF(COUNTIFS($A$21:$A$141,"&gt;="&amp;$G120,$A$21:$A$141,"&lt;="&amp;$H120)&gt;0,_xlfn.MAXIFS(Z$21:Z$141,$A$21:$A$141,"&gt;="&amp;$G120,$A$21:$A$141,"&lt;="&amp;$H120),AA120))</f>
        <v>0</v>
      </c>
      <c r="AD120" s="12" t="n">
        <f aca="false">-Cost_k*$A120+Beta_q*(Declarations!$B$16*INDEX(AC$21:AC$141,MAX(1,MIN(121,$B120-ROUND(Declarations!$A$16/$D$18,0))))+Declarations!$B$17*INDEX(AC$21:AC$141,MAX(1,MIN(121,$B120-ROUND(Declarations!$A$17/$D$18,0))))+Declarations!$B$18*INDEX(AC$21:AC$141,MAX(1,MIN(121,$B120-ROUND(Declarations!$A$18/$D$18,0))))+Declarations!$B$19*INDEX(AC$21:AC$141,MAX(1,MIN(121,$B120-ROUND(Declarations!$A$19/$D$18,0))))+Declarations!$B$20*INDEX(AC$21:AC$141,MAX(1,MIN(121,$B120-ROUND(Declarations!$A$20/$D$18,0)))))</f>
        <v>-259.000018023189</v>
      </c>
      <c r="AE120" s="12" t="n">
        <f aca="false">INDEX(AD$21:AD$141,$I120+1)*(1-$J120)+INDEX(AD$21:AD$141,$I120+2)*$J120</f>
        <v>-252.527138217959</v>
      </c>
      <c r="AF120" s="12" t="n">
        <f aca="false">INDEX(AD$21:AD$141,$K120+1)*(1-$L120)+INDEX(AD$21:AD$141,$K120+2)*$L120</f>
        <v>-262.525000455735</v>
      </c>
      <c r="AG120" s="12" t="n">
        <f aca="false">$C120+$D120+MAX(AE120,AF120,IF(COUNTIFS($A$21:$A$141,"&gt;="&amp;$G120,$A$21:$A$141,"&lt;="&amp;$H120)&gt;0,_xlfn.MAXIFS(AD$21:AD$141,$A$21:$A$141,"&gt;="&amp;$G120,$A$21:$A$141,"&lt;="&amp;$H120),AE120))</f>
        <v>-0.00213821795895797</v>
      </c>
      <c r="AH120" s="12" t="n">
        <f aca="false">-Cost_k*$A120+Beta_q*(Declarations!$B$16*INDEX(AG$21:AG$141,MAX(1,MIN(121,$B120-ROUND(Declarations!$A$16/$D$18,0))))+Declarations!$B$17*INDEX(AG$21:AG$141,MAX(1,MIN(121,$B120-ROUND(Declarations!$A$17/$D$18,0))))+Declarations!$B$18*INDEX(AG$21:AG$141,MAX(1,MIN(121,$B120-ROUND(Declarations!$A$18/$D$18,0))))+Declarations!$B$19*INDEX(AG$21:AG$141,MAX(1,MIN(121,$B120-ROUND(Declarations!$A$19/$D$18,0))))+Declarations!$B$20*INDEX(AG$21:AG$141,MAX(1,MIN(121,$B120-ROUND(Declarations!$A$20/$D$18,0)))))</f>
        <v>-259.004979906352</v>
      </c>
      <c r="AI120" s="12" t="n">
        <f aca="false">INDEX(AH$21:AH$141,$I120+1)*(1-$J120)+INDEX(AH$21:AH$141,$I120+2)*$J120</f>
        <v>-252.598843935518</v>
      </c>
      <c r="AJ120" s="12" t="n">
        <f aca="false">INDEX(AH$21:AH$141,$K120+1)*(1-$L120)+INDEX(AH$21:AH$141,$K120+2)*$L120</f>
        <v>-262.525822652303</v>
      </c>
      <c r="AK120" s="12" t="n">
        <f aca="false">$C120+$D120+MAX(AI120,AJ120,IF(COUNTIFS($A$21:$A$141,"&gt;="&amp;$G120,$A$21:$A$141,"&lt;="&amp;$H120)&gt;0,_xlfn.MAXIFS(AH$21:AH$141,$A$21:$A$141,"&gt;="&amp;$G120,$A$21:$A$141,"&lt;="&amp;$H120),AI120))</f>
        <v>-0.0738439355182265</v>
      </c>
      <c r="AL120" s="12" t="n">
        <f aca="false">-Cost_k*$A120+Beta_q*(Declarations!$B$16*INDEX(AK$21:AK$141,MAX(1,MIN(121,$B120-ROUND(Declarations!$A$16/$D$18,0))))+Declarations!$B$17*INDEX(AK$21:AK$141,MAX(1,MIN(121,$B120-ROUND(Declarations!$A$17/$D$18,0))))+Declarations!$B$18*INDEX(AK$21:AK$141,MAX(1,MIN(121,$B120-ROUND(Declarations!$A$18/$D$18,0))))+Declarations!$B$19*INDEX(AK$21:AK$141,MAX(1,MIN(121,$B120-ROUND(Declarations!$A$19/$D$18,0))))+Declarations!$B$20*INDEX(AK$21:AK$141,MAX(1,MIN(121,$B120-ROUND(Declarations!$A$20/$D$18,0)))))</f>
        <v>-259.099816701521</v>
      </c>
      <c r="AM120" s="12" t="n">
        <f aca="false">INDEX(AL$21:AL$141,$I120+1)*(1-$J120)+INDEX(AL$21:AL$141,$I120+2)*$J120</f>
        <v>-253.095391067268</v>
      </c>
      <c r="AN120" s="12" t="n">
        <f aca="false">INDEX(AL$21:AL$141,$K120+1)*(1-$L120)+INDEX(AL$21:AL$141,$K120+2)*$L120</f>
        <v>-262.556186954018</v>
      </c>
      <c r="AO120" s="12" t="n">
        <f aca="false">$C120+$D120+MAX(AM120,AN120,IF(COUNTIFS($A$21:$A$141,"&gt;="&amp;$G120,$A$21:$A$141,"&lt;="&amp;$H120)&gt;0,_xlfn.MAXIFS(AL$21:AL$141,$A$21:$A$141,"&gt;="&amp;$G120,$A$21:$A$141,"&lt;="&amp;$H120),AM120))</f>
        <v>-0.570391067267565</v>
      </c>
      <c r="AP120" s="12" t="n">
        <f aca="false">-Cost_k*$A120+Beta_q*(Declarations!$B$16*INDEX(AO$21:AO$141,MAX(1,MIN(121,$B120-ROUND(Declarations!$A$16/$D$18,0))))+Declarations!$B$17*INDEX(AO$21:AO$141,MAX(1,MIN(121,$B120-ROUND(Declarations!$A$17/$D$18,0))))+Declarations!$B$18*INDEX(AO$21:AO$141,MAX(1,MIN(121,$B120-ROUND(Declarations!$A$18/$D$18,0))))+Declarations!$B$19*INDEX(AO$21:AO$141,MAX(1,MIN(121,$B120-ROUND(Declarations!$A$19/$D$18,0))))+Declarations!$B$20*INDEX(AO$21:AO$141,MAX(1,MIN(121,$B120-ROUND(Declarations!$A$20/$D$18,0)))))</f>
        <v>-259.63631532764</v>
      </c>
      <c r="AQ120" s="12" t="n">
        <f aca="false">INDEX(AP$21:AP$141,$I120+1)*(1-$J120)+INDEX(AP$21:AP$141,$I120+2)*$J120</f>
        <v>-254.602746495805</v>
      </c>
      <c r="AR120" s="12" t="n">
        <f aca="false">INDEX(AP$21:AP$141,$K120+1)*(1-$L120)+INDEX(AP$21:AP$141,$K120+2)*$L120</f>
        <v>-262.813395249627</v>
      </c>
      <c r="AS120" s="12" t="n">
        <f aca="false">$C120+$D120+MAX(AQ120,AR120,IF(COUNTIFS($A$21:$A$141,"&gt;="&amp;$G120,$A$21:$A$141,"&lt;="&amp;$H120)&gt;0,_xlfn.MAXIFS(AP$21:AP$141,$A$21:$A$141,"&gt;="&amp;$G120,$A$21:$A$141,"&lt;="&amp;$H120),AQ120))</f>
        <v>-2.0777464958048</v>
      </c>
      <c r="AT120" s="12" t="n">
        <f aca="false">-Cost_k*$A120+Beta_q*(Declarations!$B$16*INDEX(AS$21:AS$141,MAX(1,MIN(121,$B120-ROUND(Declarations!$A$16/$D$18,0))))+Declarations!$B$17*INDEX(AS$21:AS$141,MAX(1,MIN(121,$B120-ROUND(Declarations!$A$17/$D$18,0))))+Declarations!$B$18*INDEX(AS$21:AS$141,MAX(1,MIN(121,$B120-ROUND(Declarations!$A$18/$D$18,0))))+Declarations!$B$19*INDEX(AS$21:AS$141,MAX(1,MIN(121,$B120-ROUND(Declarations!$A$19/$D$18,0))))+Declarations!$B$20*INDEX(AS$21:AS$141,MAX(1,MIN(121,$B120-ROUND(Declarations!$A$20/$D$18,0)))))</f>
        <v>-261.148993878293</v>
      </c>
      <c r="AU120" s="12" t="n">
        <f aca="false">INDEX(AT$21:AT$141,$I120+1)*(1-$J120)+INDEX(AT$21:AT$141,$I120+2)*$J120</f>
        <v>-257.456281906301</v>
      </c>
      <c r="AV120" s="12" t="n">
        <f aca="false">INDEX(AT$21:AT$141,$K120+1)*(1-$L120)+INDEX(AT$21:AT$141,$K120+2)*$L120</f>
        <v>-263.758417754486</v>
      </c>
      <c r="AW120" s="12" t="n">
        <f aca="false">$C120+$D120+MAX(AU120,AV120,IF(COUNTIFS($A$21:$A$141,"&gt;="&amp;$G120,$A$21:$A$141,"&lt;="&amp;$H120)&gt;0,_xlfn.MAXIFS(AT$21:AT$141,$A$21:$A$141,"&gt;="&amp;$G120,$A$21:$A$141,"&lt;="&amp;$H120),AU120))</f>
        <v>-4.93128190630048</v>
      </c>
      <c r="AX120" s="12" t="n">
        <f aca="false">-Cost_k*$A120+Beta_q*(Declarations!$B$16*INDEX(AW$21:AW$141,MAX(1,MIN(121,$B120-ROUND(Declarations!$A$16/$D$18,0))))+Declarations!$B$17*INDEX(AW$21:AW$141,MAX(1,MIN(121,$B120-ROUND(Declarations!$A$17/$D$18,0))))+Declarations!$B$18*INDEX(AW$21:AW$141,MAX(1,MIN(121,$B120-ROUND(Declarations!$A$18/$D$18,0))))+Declarations!$B$19*INDEX(AW$21:AW$141,MAX(1,MIN(121,$B120-ROUND(Declarations!$A$19/$D$18,0))))+Declarations!$B$20*INDEX(AW$21:AW$141,MAX(1,MIN(121,$B120-ROUND(Declarations!$A$20/$D$18,0)))))</f>
        <v>-263.930645856171</v>
      </c>
      <c r="AY120" s="12" t="n">
        <f aca="false">INDEX(AX$21:AX$141,$I120+1)*(1-$J120)+INDEX(AX$21:AX$141,$I120+2)*$J120</f>
        <v>-261.405779010637</v>
      </c>
      <c r="AZ120" s="12" t="n">
        <f aca="false">INDEX(AX$21:AX$141,$K120+1)*(1-$L120)+INDEX(AX$21:AX$141,$K120+2)*$L120</f>
        <v>-265.840950126346</v>
      </c>
      <c r="BA120" s="12" t="n">
        <f aca="false">$C120+$D120+MAX(AY120,AZ120,IF(COUNTIFS($A$21:$A$141,"&gt;="&amp;$G120,$A$21:$A$141,"&lt;="&amp;$H120)&gt;0,_xlfn.MAXIFS(AX$21:AX$141,$A$21:$A$141,"&gt;="&amp;$G120,$A$21:$A$141,"&lt;="&amp;$H120),AY120))</f>
        <v>-8.88077901063744</v>
      </c>
      <c r="BB120" s="12" t="n">
        <f aca="false">-Cost_k*$A120+Beta_q*(Declarations!$B$16*INDEX(BA$21:BA$141,MAX(1,MIN(121,$B120-ROUND(Declarations!$A$16/$D$18,0))))+Declarations!$B$17*INDEX(BA$21:BA$141,MAX(1,MIN(121,$B120-ROUND(Declarations!$A$17/$D$18,0))))+Declarations!$B$18*INDEX(BA$21:BA$141,MAX(1,MIN(121,$B120-ROUND(Declarations!$A$18/$D$18,0))))+Declarations!$B$19*INDEX(BA$21:BA$141,MAX(1,MIN(121,$B120-ROUND(Declarations!$A$19/$D$18,0))))+Declarations!$B$20*INDEX(BA$21:BA$141,MAX(1,MIN(121,$B120-ROUND(Declarations!$A$20/$D$18,0)))))</f>
        <v>-267.744369588832</v>
      </c>
      <c r="BC120" s="12" t="n">
        <f aca="false">INDEX(BB$21:BB$141,$I120+1)*(1-$J120)+INDEX(BB$21:BB$141,$I120+2)*$J120</f>
        <v>-265.853336178234</v>
      </c>
      <c r="BD120" s="12" t="n">
        <f aca="false">INDEX(BB$21:BB$141,$K120+1)*(1-$L120)+INDEX(BB$21:BB$141,$K120+2)*$L120</f>
        <v>-269.106524702299</v>
      </c>
      <c r="BE120" s="12" t="n">
        <f aca="false">$C120+$D120+MAX(BC120,BD120,IF(COUNTIFS($A$21:$A$141,"&gt;="&amp;$G120,$A$21:$A$141,"&lt;="&amp;$H120)&gt;0,_xlfn.MAXIFS(BB$21:BB$141,$A$21:$A$141,"&gt;="&amp;$G120,$A$21:$A$141,"&lt;="&amp;$H120),BC120))</f>
        <v>-13.3283361782339</v>
      </c>
      <c r="BF120" s="12" t="n">
        <f aca="false">-Cost_k*$A120+Beta_q*(Declarations!$B$16*INDEX(BE$21:BE$141,MAX(1,MIN(121,$B120-ROUND(Declarations!$A$16/$D$18,0))))+Declarations!$B$17*INDEX(BE$21:BE$141,MAX(1,MIN(121,$B120-ROUND(Declarations!$A$17/$D$18,0))))+Declarations!$B$18*INDEX(BE$21:BE$141,MAX(1,MIN(121,$B120-ROUND(Declarations!$A$18/$D$18,0))))+Declarations!$B$19*INDEX(BE$21:BE$141,MAX(1,MIN(121,$B120-ROUND(Declarations!$A$19/$D$18,0))))+Declarations!$B$20*INDEX(BE$21:BE$141,MAX(1,MIN(121,$B120-ROUND(Declarations!$A$20/$D$18,0)))))</f>
        <v>-272.052604702082</v>
      </c>
      <c r="BG120" s="12" t="n">
        <f aca="false">INDEX(BF$21:BF$141,$I120+1)*(1-$J120)+INDEX(BF$21:BF$141,$I120+2)*$J120</f>
        <v>-270.387207167691</v>
      </c>
      <c r="BH120" s="12" t="n">
        <f aca="false">INDEX(BF$21:BF$141,$K120+1)*(1-$L120)+INDEX(BF$21:BF$141,$K120+2)*$L120</f>
        <v>-273.140843006118</v>
      </c>
      <c r="BI120" s="12" t="n">
        <f aca="false">$C120+$D120+MAX(BG120,BH120,IF(COUNTIFS($A$21:$A$141,"&gt;="&amp;$G120,$A$21:$A$141,"&lt;="&amp;$H120)&gt;0,_xlfn.MAXIFS(BF$21:BF$141,$A$21:$A$141,"&gt;="&amp;$G120,$A$21:$A$141,"&lt;="&amp;$H120),BG120))</f>
        <v>-17.8622071676909</v>
      </c>
      <c r="BJ120" s="23" t="n">
        <v>-17.8622071676909</v>
      </c>
      <c r="BK120" s="22" t="n">
        <f aca="false">ABS(BI120-BJ120)</f>
        <v>0</v>
      </c>
    </row>
    <row r="121" customFormat="false" ht="15" hidden="false" customHeight="false" outlineLevel="0" collapsed="false">
      <c r="A121" s="14" t="n">
        <f aca="false">A120+$D$18</f>
        <v>65</v>
      </c>
      <c r="B121" s="19" t="n">
        <v>101</v>
      </c>
      <c r="C121" s="12" t="n">
        <f aca="false">-Short_p*MAX(Floor_c-A121,0)</f>
        <v>-0</v>
      </c>
      <c r="D121" s="12" t="n">
        <f aca="false">Cost_k*Alpha_keep*A121</f>
        <v>253.5</v>
      </c>
      <c r="E121" s="12" t="n">
        <f aca="false">MIN(Cap_h,MAX(0,$B$18+MAX(Loss_w)-Alpha_keep*A121))</f>
        <v>0</v>
      </c>
      <c r="F121" s="12" t="n">
        <f aca="false">MAX(MIN(Cap_h,$F$18+MIN(Loss_w)-Alpha_keep*A121),E121)</f>
        <v>2.5</v>
      </c>
      <c r="G121" s="12" t="n">
        <f aca="false">Alpha_keep*A121+E121</f>
        <v>63.375</v>
      </c>
      <c r="H121" s="12" t="n">
        <f aca="false">Alpha_keep*A121+F121</f>
        <v>65.875</v>
      </c>
      <c r="I121" s="19" t="n">
        <f aca="false">MIN(INT((G121-$B$18)/$D$18+0.000000001),119)</f>
        <v>93</v>
      </c>
      <c r="J121" s="12" t="n">
        <f aca="false">(G121-$B$18)/$D$18-I121</f>
        <v>0.5</v>
      </c>
      <c r="K121" s="19" t="n">
        <f aca="false">MIN(INT((H121-$B$18)/$D$18+0.000000001),119)</f>
        <v>103</v>
      </c>
      <c r="L121" s="12" t="n">
        <f aca="false">(H121-$B$18)/$D$18-K121</f>
        <v>0.5</v>
      </c>
      <c r="M121" s="9" t="n">
        <v>0</v>
      </c>
      <c r="N121" s="12" t="n">
        <f aca="false">-Cost_k*$A121+Beta_q*(Declarations!$B$16*INDEX(M$21:M$141,MAX(1,MIN(121,$B121-ROUND(Declarations!$A$16/$D$18,0))))+Declarations!$B$17*INDEX(M$21:M$141,MAX(1,MIN(121,$B121-ROUND(Declarations!$A$17/$D$18,0))))+Declarations!$B$18*INDEX(M$21:M$141,MAX(1,MIN(121,$B121-ROUND(Declarations!$A$18/$D$18,0))))+Declarations!$B$19*INDEX(M$21:M$141,MAX(1,MIN(121,$B121-ROUND(Declarations!$A$19/$D$18,0))))+Declarations!$B$20*INDEX(M$21:M$141,MAX(1,MIN(121,$B121-ROUND(Declarations!$A$20/$D$18,0)))))</f>
        <v>-260</v>
      </c>
      <c r="O121" s="12" t="n">
        <f aca="false">INDEX(N$21:N$141,$I121+1)*(1-$J121)+INDEX(N$21:N$141,$I121+2)*$J121</f>
        <v>-253.5</v>
      </c>
      <c r="P121" s="12" t="n">
        <f aca="false">INDEX(N$21:N$141,$K121+1)*(1-$L121)+INDEX(N$21:N$141,$K121+2)*$L121</f>
        <v>-263.5</v>
      </c>
      <c r="Q121" s="12" t="n">
        <f aca="false">$C121+$D121+MAX(O121,P121,IF(COUNTIFS($A$21:$A$141,"&gt;="&amp;$G121,$A$21:$A$141,"&lt;="&amp;$H121)&gt;0,_xlfn.MAXIFS(N$21:N$141,$A$21:$A$141,"&gt;="&amp;$G121,$A$21:$A$141,"&lt;="&amp;$H121),O121))</f>
        <v>0</v>
      </c>
      <c r="R121" s="12" t="n">
        <f aca="false">-Cost_k*$A121+Beta_q*(Declarations!$B$16*INDEX(Q$21:Q$141,MAX(1,MIN(121,$B121-ROUND(Declarations!$A$16/$D$18,0))))+Declarations!$B$17*INDEX(Q$21:Q$141,MAX(1,MIN(121,$B121-ROUND(Declarations!$A$17/$D$18,0))))+Declarations!$B$18*INDEX(Q$21:Q$141,MAX(1,MIN(121,$B121-ROUND(Declarations!$A$18/$D$18,0))))+Declarations!$B$19*INDEX(Q$21:Q$141,MAX(1,MIN(121,$B121-ROUND(Declarations!$A$19/$D$18,0))))+Declarations!$B$20*INDEX(Q$21:Q$141,MAX(1,MIN(121,$B121-ROUND(Declarations!$A$20/$D$18,0)))))</f>
        <v>-260</v>
      </c>
      <c r="S121" s="12" t="n">
        <f aca="false">INDEX(R$21:R$141,$I121+1)*(1-$J121)+INDEX(R$21:R$141,$I121+2)*$J121</f>
        <v>-253.5</v>
      </c>
      <c r="T121" s="12" t="n">
        <f aca="false">INDEX(R$21:R$141,$K121+1)*(1-$L121)+INDEX(R$21:R$141,$K121+2)*$L121</f>
        <v>-263.5</v>
      </c>
      <c r="U121" s="12" t="n">
        <f aca="false">$C121+$D121+MAX(S121,T121,IF(COUNTIFS($A$21:$A$141,"&gt;="&amp;$G121,$A$21:$A$141,"&lt;="&amp;$H121)&gt;0,_xlfn.MAXIFS(R$21:R$141,$A$21:$A$141,"&gt;="&amp;$G121,$A$21:$A$141,"&lt;="&amp;$H121),S121))</f>
        <v>0</v>
      </c>
      <c r="V121" s="12" t="n">
        <f aca="false">-Cost_k*$A121+Beta_q*(Declarations!$B$16*INDEX(U$21:U$141,MAX(1,MIN(121,$B121-ROUND(Declarations!$A$16/$D$18,0))))+Declarations!$B$17*INDEX(U$21:U$141,MAX(1,MIN(121,$B121-ROUND(Declarations!$A$17/$D$18,0))))+Declarations!$B$18*INDEX(U$21:U$141,MAX(1,MIN(121,$B121-ROUND(Declarations!$A$18/$D$18,0))))+Declarations!$B$19*INDEX(U$21:U$141,MAX(1,MIN(121,$B121-ROUND(Declarations!$A$19/$D$18,0))))+Declarations!$B$20*INDEX(U$21:U$141,MAX(1,MIN(121,$B121-ROUND(Declarations!$A$20/$D$18,0)))))</f>
        <v>-260</v>
      </c>
      <c r="W121" s="12" t="n">
        <f aca="false">INDEX(V$21:V$141,$I121+1)*(1-$J121)+INDEX(V$21:V$141,$I121+2)*$J121</f>
        <v>-253.5</v>
      </c>
      <c r="X121" s="12" t="n">
        <f aca="false">INDEX(V$21:V$141,$K121+1)*(1-$L121)+INDEX(V$21:V$141,$K121+2)*$L121</f>
        <v>-263.5</v>
      </c>
      <c r="Y121" s="12" t="n">
        <f aca="false">$C121+$D121+MAX(W121,X121,IF(COUNTIFS($A$21:$A$141,"&gt;="&amp;$G121,$A$21:$A$141,"&lt;="&amp;$H121)&gt;0,_xlfn.MAXIFS(V$21:V$141,$A$21:$A$141,"&gt;="&amp;$G121,$A$21:$A$141,"&lt;="&amp;$H121),W121))</f>
        <v>0</v>
      </c>
      <c r="Z121" s="12" t="n">
        <f aca="false">-Cost_k*$A121+Beta_q*(Declarations!$B$16*INDEX(Y$21:Y$141,MAX(1,MIN(121,$B121-ROUND(Declarations!$A$16/$D$18,0))))+Declarations!$B$17*INDEX(Y$21:Y$141,MAX(1,MIN(121,$B121-ROUND(Declarations!$A$17/$D$18,0))))+Declarations!$B$18*INDEX(Y$21:Y$141,MAX(1,MIN(121,$B121-ROUND(Declarations!$A$18/$D$18,0))))+Declarations!$B$19*INDEX(Y$21:Y$141,MAX(1,MIN(121,$B121-ROUND(Declarations!$A$19/$D$18,0))))+Declarations!$B$20*INDEX(Y$21:Y$141,MAX(1,MIN(121,$B121-ROUND(Declarations!$A$20/$D$18,0)))))</f>
        <v>-260</v>
      </c>
      <c r="AA121" s="12" t="n">
        <f aca="false">INDEX(Z$21:Z$141,$I121+1)*(1-$J121)+INDEX(Z$21:Z$141,$I121+2)*$J121</f>
        <v>-253.5</v>
      </c>
      <c r="AB121" s="12" t="n">
        <f aca="false">INDEX(Z$21:Z$141,$K121+1)*(1-$L121)+INDEX(Z$21:Z$141,$K121+2)*$L121</f>
        <v>-263.5</v>
      </c>
      <c r="AC121" s="12" t="n">
        <f aca="false">$C121+$D121+MAX(AA121,AB121,IF(COUNTIFS($A$21:$A$141,"&gt;="&amp;$G121,$A$21:$A$141,"&lt;="&amp;$H121)&gt;0,_xlfn.MAXIFS(Z$21:Z$141,$A$21:$A$141,"&gt;="&amp;$G121,$A$21:$A$141,"&lt;="&amp;$H121),AA121))</f>
        <v>0</v>
      </c>
      <c r="AD121" s="12" t="n">
        <f aca="false">-Cost_k*$A121+Beta_q*(Declarations!$B$16*INDEX(AC$21:AC$141,MAX(1,MIN(121,$B121-ROUND(Declarations!$A$16/$D$18,0))))+Declarations!$B$17*INDEX(AC$21:AC$141,MAX(1,MIN(121,$B121-ROUND(Declarations!$A$17/$D$18,0))))+Declarations!$B$18*INDEX(AC$21:AC$141,MAX(1,MIN(121,$B121-ROUND(Declarations!$A$18/$D$18,0))))+Declarations!$B$19*INDEX(AC$21:AC$141,MAX(1,MIN(121,$B121-ROUND(Declarations!$A$19/$D$18,0))))+Declarations!$B$20*INDEX(AC$21:AC$141,MAX(1,MIN(121,$B121-ROUND(Declarations!$A$20/$D$18,0)))))</f>
        <v>-260.000005507599</v>
      </c>
      <c r="AE121" s="12" t="n">
        <f aca="false">INDEX(AD$21:AD$141,$I121+1)*(1-$J121)+INDEX(AD$21:AD$141,$I121+2)*$J121</f>
        <v>-253.501098601616</v>
      </c>
      <c r="AF121" s="12" t="n">
        <f aca="false">INDEX(AD$21:AD$141,$K121+1)*(1-$L121)+INDEX(AD$21:AD$141,$K121+2)*$L121</f>
        <v>-263.500000037429</v>
      </c>
      <c r="AG121" s="12" t="n">
        <f aca="false">$C121+$D121+MAX(AE121,AF121,IF(COUNTIFS($A$21:$A$141,"&gt;="&amp;$G121,$A$21:$A$141,"&lt;="&amp;$H121)&gt;0,_xlfn.MAXIFS(AD$21:AD$141,$A$21:$A$141,"&gt;="&amp;$G121,$A$21:$A$141,"&lt;="&amp;$H121),AE121))</f>
        <v>-0.0010986016157517</v>
      </c>
      <c r="AH121" s="12" t="n">
        <f aca="false">-Cost_k*$A121+Beta_q*(Declarations!$B$16*INDEX(AG$21:AG$141,MAX(1,MIN(121,$B121-ROUND(Declarations!$A$16/$D$18,0))))+Declarations!$B$17*INDEX(AG$21:AG$141,MAX(1,MIN(121,$B121-ROUND(Declarations!$A$17/$D$18,0))))+Declarations!$B$18*INDEX(AG$21:AG$141,MAX(1,MIN(121,$B121-ROUND(Declarations!$A$18/$D$18,0))))+Declarations!$B$19*INDEX(AG$21:AG$141,MAX(1,MIN(121,$B121-ROUND(Declarations!$A$19/$D$18,0))))+Declarations!$B$20*INDEX(AG$21:AG$141,MAX(1,MIN(121,$B121-ROUND(Declarations!$A$20/$D$18,0)))))</f>
        <v>-260.002985114566</v>
      </c>
      <c r="AI121" s="12" t="n">
        <f aca="false">INDEX(AH$21:AH$141,$I121+1)*(1-$J121)+INDEX(AH$21:AH$141,$I121+2)*$J121</f>
        <v>-253.551392711712</v>
      </c>
      <c r="AJ121" s="12" t="n">
        <f aca="false">INDEX(AH$21:AH$141,$K121+1)*(1-$L121)+INDEX(AH$21:AH$141,$K121+2)*$L121</f>
        <v>-263.500464509062</v>
      </c>
      <c r="AK121" s="12" t="n">
        <f aca="false">$C121+$D121+MAX(AI121,AJ121,IF(COUNTIFS($A$21:$A$141,"&gt;="&amp;$G121,$A$21:$A$141,"&lt;="&amp;$H121)&gt;0,_xlfn.MAXIFS(AH$21:AH$141,$A$21:$A$141,"&gt;="&amp;$G121,$A$21:$A$141,"&lt;="&amp;$H121),AI121))</f>
        <v>-0.0513927117115713</v>
      </c>
      <c r="AL121" s="12" t="n">
        <f aca="false">-Cost_k*$A121+Beta_q*(Declarations!$B$16*INDEX(AK$21:AK$141,MAX(1,MIN(121,$B121-ROUND(Declarations!$A$16/$D$18,0))))+Declarations!$B$17*INDEX(AK$21:AK$141,MAX(1,MIN(121,$B121-ROUND(Declarations!$A$17/$D$18,0))))+Declarations!$B$18*INDEX(AK$21:AK$141,MAX(1,MIN(121,$B121-ROUND(Declarations!$A$18/$D$18,0))))+Declarations!$B$19*INDEX(AK$21:AK$141,MAX(1,MIN(121,$B121-ROUND(Declarations!$A$19/$D$18,0))))+Declarations!$B$20*INDEX(AK$21:AK$141,MAX(1,MIN(121,$B121-ROUND(Declarations!$A$20/$D$18,0)))))</f>
        <v>-260.072532102212</v>
      </c>
      <c r="AM121" s="12" t="n">
        <f aca="false">INDEX(AL$21:AL$141,$I121+1)*(1-$J121)+INDEX(AL$21:AL$141,$I121+2)*$J121</f>
        <v>-253.95300783881</v>
      </c>
      <c r="AN121" s="12" t="n">
        <f aca="false">INDEX(AL$21:AL$141,$K121+1)*(1-$L121)+INDEX(AL$21:AL$141,$K121+2)*$L121</f>
        <v>-263.521826955933</v>
      </c>
      <c r="AO121" s="12" t="n">
        <f aca="false">$C121+$D121+MAX(AM121,AN121,IF(COUNTIFS($A$21:$A$141,"&gt;="&amp;$G121,$A$21:$A$141,"&lt;="&amp;$H121)&gt;0,_xlfn.MAXIFS(AL$21:AL$141,$A$21:$A$141,"&gt;="&amp;$G121,$A$21:$A$141,"&lt;="&amp;$H121),AM121))</f>
        <v>-0.453007838810009</v>
      </c>
      <c r="AP121" s="12" t="n">
        <f aca="false">-Cost_k*$A121+Beta_q*(Declarations!$B$16*INDEX(AO$21:AO$141,MAX(1,MIN(121,$B121-ROUND(Declarations!$A$16/$D$18,0))))+Declarations!$B$17*INDEX(AO$21:AO$141,MAX(1,MIN(121,$B121-ROUND(Declarations!$A$17/$D$18,0))))+Declarations!$B$18*INDEX(AO$21:AO$141,MAX(1,MIN(121,$B121-ROUND(Declarations!$A$18/$D$18,0))))+Declarations!$B$19*INDEX(AO$21:AO$141,MAX(1,MIN(121,$B121-ROUND(Declarations!$A$19/$D$18,0))))+Declarations!$B$20*INDEX(AO$21:AO$141,MAX(1,MIN(121,$B121-ROUND(Declarations!$A$20/$D$18,0)))))</f>
        <v>-260.513469775837</v>
      </c>
      <c r="AQ121" s="12" t="n">
        <f aca="false">INDEX(AP$21:AP$141,$I121+1)*(1-$J121)+INDEX(AP$21:AP$141,$I121+2)*$J121</f>
        <v>-255.276444101173</v>
      </c>
      <c r="AR121" s="12" t="n">
        <f aca="false">INDEX(AP$21:AP$141,$K121+1)*(1-$L121)+INDEX(AP$21:AP$141,$K121+2)*$L121</f>
        <v>-263.726566993567</v>
      </c>
      <c r="AS121" s="12" t="n">
        <f aca="false">$C121+$D121+MAX(AQ121,AR121,IF(COUNTIFS($A$21:$A$141,"&gt;="&amp;$G121,$A$21:$A$141,"&lt;="&amp;$H121)&gt;0,_xlfn.MAXIFS(AP$21:AP$141,$A$21:$A$141,"&gt;="&amp;$G121,$A$21:$A$141,"&lt;="&amp;$H121),AQ121))</f>
        <v>-1.77644410117335</v>
      </c>
      <c r="AT121" s="12" t="n">
        <f aca="false">-Cost_k*$A121+Beta_q*(Declarations!$B$16*INDEX(AS$21:AS$141,MAX(1,MIN(121,$B121-ROUND(Declarations!$A$16/$D$18,0))))+Declarations!$B$17*INDEX(AS$21:AS$141,MAX(1,MIN(121,$B121-ROUND(Declarations!$A$17/$D$18,0))))+Declarations!$B$18*INDEX(AS$21:AS$141,MAX(1,MIN(121,$B121-ROUND(Declarations!$A$18/$D$18,0))))+Declarations!$B$19*INDEX(AS$21:AS$141,MAX(1,MIN(121,$B121-ROUND(Declarations!$A$19/$D$18,0))))+Declarations!$B$20*INDEX(AS$21:AS$141,MAX(1,MIN(121,$B121-ROUND(Declarations!$A$20/$D$18,0)))))</f>
        <v>-261.849657270103</v>
      </c>
      <c r="AU121" s="12" t="n">
        <f aca="false">INDEX(AT$21:AT$141,$I121+1)*(1-$J121)+INDEX(AT$21:AT$141,$I121+2)*$J121</f>
        <v>-257.917123172052</v>
      </c>
      <c r="AV121" s="12" t="n">
        <f aca="false">INDEX(AT$21:AT$141,$K121+1)*(1-$L121)+INDEX(AT$21:AT$141,$K121+2)*$L121</f>
        <v>-264.541927499395</v>
      </c>
      <c r="AW121" s="12" t="n">
        <f aca="false">$C121+$D121+MAX(AU121,AV121,IF(COUNTIFS($A$21:$A$141,"&gt;="&amp;$G121,$A$21:$A$141,"&lt;="&amp;$H121)&gt;0,_xlfn.MAXIFS(AT$21:AT$141,$A$21:$A$141,"&gt;="&amp;$G121,$A$21:$A$141,"&lt;="&amp;$H121),AU121))</f>
        <v>-4.41712317205202</v>
      </c>
      <c r="AX121" s="12" t="n">
        <f aca="false">-Cost_k*$A121+Beta_q*(Declarations!$B$16*INDEX(AW$21:AW$141,MAX(1,MIN(121,$B121-ROUND(Declarations!$A$16/$D$18,0))))+Declarations!$B$17*INDEX(AW$21:AW$141,MAX(1,MIN(121,$B121-ROUND(Declarations!$A$17/$D$18,0))))+Declarations!$B$18*INDEX(AW$21:AW$141,MAX(1,MIN(121,$B121-ROUND(Declarations!$A$18/$D$18,0))))+Declarations!$B$19*INDEX(AW$21:AW$141,MAX(1,MIN(121,$B121-ROUND(Declarations!$A$19/$D$18,0))))+Declarations!$B$20*INDEX(AW$21:AW$141,MAX(1,MIN(121,$B121-ROUND(Declarations!$A$20/$D$18,0)))))</f>
        <v>-264.430865539259</v>
      </c>
      <c r="AY121" s="12" t="n">
        <f aca="false">INDEX(AX$21:AX$141,$I121+1)*(1-$J121)+INDEX(AX$21:AX$141,$I121+2)*$J121</f>
        <v>-261.716377106672</v>
      </c>
      <c r="AZ121" s="12" t="n">
        <f aca="false">INDEX(AX$21:AX$141,$K121+1)*(1-$L121)+INDEX(AX$21:AX$141,$K121+2)*$L121</f>
        <v>-266.43925605347</v>
      </c>
      <c r="BA121" s="12" t="n">
        <f aca="false">$C121+$D121+MAX(AY121,AZ121,IF(COUNTIFS($A$21:$A$141,"&gt;="&amp;$G121,$A$21:$A$141,"&lt;="&amp;$H121)&gt;0,_xlfn.MAXIFS(AX$21:AX$141,$A$21:$A$141,"&gt;="&amp;$G121,$A$21:$A$141,"&lt;="&amp;$H121),AY121))</f>
        <v>-8.21637710667204</v>
      </c>
      <c r="BB121" s="12" t="n">
        <f aca="false">-Cost_k*$A121+Beta_q*(Declarations!$B$16*INDEX(BA$21:BA$141,MAX(1,MIN(121,$B121-ROUND(Declarations!$A$16/$D$18,0))))+Declarations!$B$17*INDEX(BA$21:BA$141,MAX(1,MIN(121,$B121-ROUND(Declarations!$A$17/$D$18,0))))+Declarations!$B$18*INDEX(BA$21:BA$141,MAX(1,MIN(121,$B121-ROUND(Declarations!$A$18/$D$18,0))))+Declarations!$B$19*INDEX(BA$21:BA$141,MAX(1,MIN(121,$B121-ROUND(Declarations!$A$19/$D$18,0))))+Declarations!$B$20*INDEX(BA$21:BA$141,MAX(1,MIN(121,$B121-ROUND(Declarations!$A$20/$D$18,0)))))</f>
        <v>-268.101488295514</v>
      </c>
      <c r="BC121" s="12" t="n">
        <f aca="false">INDEX(BB$21:BB$141,$I121+1)*(1-$J121)+INDEX(BB$21:BB$141,$I121+2)*$J121</f>
        <v>-266.100199092192</v>
      </c>
      <c r="BD121" s="12" t="n">
        <f aca="false">INDEX(BB$21:BB$141,$K121+1)*(1-$L121)+INDEX(BB$21:BB$141,$K121+2)*$L121</f>
        <v>-269.535746300623</v>
      </c>
      <c r="BE121" s="12" t="n">
        <f aca="false">$C121+$D121+MAX(BC121,BD121,IF(COUNTIFS($A$21:$A$141,"&gt;="&amp;$G121,$A$21:$A$141,"&lt;="&amp;$H121)&gt;0,_xlfn.MAXIFS(BB$21:BB$141,$A$21:$A$141,"&gt;="&amp;$G121,$A$21:$A$141,"&lt;="&amp;$H121),BC121))</f>
        <v>-12.600199092192</v>
      </c>
      <c r="BF121" s="12" t="n">
        <f aca="false">-Cost_k*$A121+Beta_q*(Declarations!$B$16*INDEX(BE$21:BE$141,MAX(1,MIN(121,$B121-ROUND(Declarations!$A$16/$D$18,0))))+Declarations!$B$17*INDEX(BE$21:BE$141,MAX(1,MIN(121,$B121-ROUND(Declarations!$A$17/$D$18,0))))+Declarations!$B$18*INDEX(BE$21:BE$141,MAX(1,MIN(121,$B121-ROUND(Declarations!$A$18/$D$18,0))))+Declarations!$B$19*INDEX(BE$21:BE$141,MAX(1,MIN(121,$B121-ROUND(Declarations!$A$19/$D$18,0))))+Declarations!$B$20*INDEX(BE$21:BE$141,MAX(1,MIN(121,$B121-ROUND(Declarations!$A$20/$D$18,0)))))</f>
        <v>-272.345137601113</v>
      </c>
      <c r="BG121" s="12" t="n">
        <f aca="false">INDEX(BF$21:BF$141,$I121+1)*(1-$J121)+INDEX(BF$21:BF$141,$I121+2)*$J121</f>
        <v>-270.616110652053</v>
      </c>
      <c r="BH121" s="12" t="n">
        <f aca="false">INDEX(BF$21:BF$141,$K121+1)*(1-$L121)+INDEX(BF$21:BF$141,$K121+2)*$L121</f>
        <v>-273.471464101428</v>
      </c>
      <c r="BI121" s="12" t="n">
        <f aca="false">$C121+$D121+MAX(BG121,BH121,IF(COUNTIFS($A$21:$A$141,"&gt;="&amp;$G121,$A$21:$A$141,"&lt;="&amp;$H121)&gt;0,_xlfn.MAXIFS(BF$21:BF$141,$A$21:$A$141,"&gt;="&amp;$G121,$A$21:$A$141,"&lt;="&amp;$H121),BG121))</f>
        <v>-17.1161106520532</v>
      </c>
      <c r="BJ121" s="23" t="n">
        <v>-17.1161106520532</v>
      </c>
      <c r="BK121" s="22" t="n">
        <f aca="false">ABS(BI121-BJ121)</f>
        <v>0</v>
      </c>
    </row>
    <row r="122" customFormat="false" ht="15" hidden="false" customHeight="false" outlineLevel="0" collapsed="false">
      <c r="A122" s="14" t="n">
        <f aca="false">A121+$D$18</f>
        <v>65.25</v>
      </c>
      <c r="B122" s="19" t="n">
        <v>102</v>
      </c>
      <c r="C122" s="12" t="n">
        <f aca="false">-Short_p*MAX(Floor_c-A122,0)</f>
        <v>-0</v>
      </c>
      <c r="D122" s="12" t="n">
        <f aca="false">Cost_k*Alpha_keep*A122</f>
        <v>254.475</v>
      </c>
      <c r="E122" s="12" t="n">
        <f aca="false">MIN(Cap_h,MAX(0,$B$18+MAX(Loss_w)-Alpha_keep*A122))</f>
        <v>0</v>
      </c>
      <c r="F122" s="12" t="n">
        <f aca="false">MAX(MIN(Cap_h,$F$18+MIN(Loss_w)-Alpha_keep*A122),E122)</f>
        <v>2.5</v>
      </c>
      <c r="G122" s="12" t="n">
        <f aca="false">Alpha_keep*A122+E122</f>
        <v>63.61875</v>
      </c>
      <c r="H122" s="12" t="n">
        <f aca="false">Alpha_keep*A122+F122</f>
        <v>66.11875</v>
      </c>
      <c r="I122" s="19" t="n">
        <f aca="false">MIN(INT((G122-$B$18)/$D$18+0.000000001),119)</f>
        <v>94</v>
      </c>
      <c r="J122" s="12" t="n">
        <f aca="false">(G122-$B$18)/$D$18-I122</f>
        <v>0.474999999999994</v>
      </c>
      <c r="K122" s="19" t="n">
        <f aca="false">MIN(INT((H122-$B$18)/$D$18+0.000000001),119)</f>
        <v>104</v>
      </c>
      <c r="L122" s="12" t="n">
        <f aca="false">(H122-$B$18)/$D$18-K122</f>
        <v>0.475000000000023</v>
      </c>
      <c r="M122" s="9" t="n">
        <v>0</v>
      </c>
      <c r="N122" s="12" t="n">
        <f aca="false">-Cost_k*$A122+Beta_q*(Declarations!$B$16*INDEX(M$21:M$141,MAX(1,MIN(121,$B122-ROUND(Declarations!$A$16/$D$18,0))))+Declarations!$B$17*INDEX(M$21:M$141,MAX(1,MIN(121,$B122-ROUND(Declarations!$A$17/$D$18,0))))+Declarations!$B$18*INDEX(M$21:M$141,MAX(1,MIN(121,$B122-ROUND(Declarations!$A$18/$D$18,0))))+Declarations!$B$19*INDEX(M$21:M$141,MAX(1,MIN(121,$B122-ROUND(Declarations!$A$19/$D$18,0))))+Declarations!$B$20*INDEX(M$21:M$141,MAX(1,MIN(121,$B122-ROUND(Declarations!$A$20/$D$18,0)))))</f>
        <v>-261</v>
      </c>
      <c r="O122" s="12" t="n">
        <f aca="false">INDEX(N$21:N$141,$I122+1)*(1-$J122)+INDEX(N$21:N$141,$I122+2)*$J122</f>
        <v>-254.475</v>
      </c>
      <c r="P122" s="12" t="n">
        <f aca="false">INDEX(N$21:N$141,$K122+1)*(1-$L122)+INDEX(N$21:N$141,$K122+2)*$L122</f>
        <v>-264.475</v>
      </c>
      <c r="Q122" s="12" t="n">
        <f aca="false">$C122+$D122+MAX(O122,P122,IF(COUNTIFS($A$21:$A$141,"&gt;="&amp;$G122,$A$21:$A$141,"&lt;="&amp;$H122)&gt;0,_xlfn.MAXIFS(N$21:N$141,$A$21:$A$141,"&gt;="&amp;$G122,$A$21:$A$141,"&lt;="&amp;$H122),O122))</f>
        <v>0</v>
      </c>
      <c r="R122" s="12" t="n">
        <f aca="false">-Cost_k*$A122+Beta_q*(Declarations!$B$16*INDEX(Q$21:Q$141,MAX(1,MIN(121,$B122-ROUND(Declarations!$A$16/$D$18,0))))+Declarations!$B$17*INDEX(Q$21:Q$141,MAX(1,MIN(121,$B122-ROUND(Declarations!$A$17/$D$18,0))))+Declarations!$B$18*INDEX(Q$21:Q$141,MAX(1,MIN(121,$B122-ROUND(Declarations!$A$18/$D$18,0))))+Declarations!$B$19*INDEX(Q$21:Q$141,MAX(1,MIN(121,$B122-ROUND(Declarations!$A$19/$D$18,0))))+Declarations!$B$20*INDEX(Q$21:Q$141,MAX(1,MIN(121,$B122-ROUND(Declarations!$A$20/$D$18,0)))))</f>
        <v>-261</v>
      </c>
      <c r="S122" s="12" t="n">
        <f aca="false">INDEX(R$21:R$141,$I122+1)*(1-$J122)+INDEX(R$21:R$141,$I122+2)*$J122</f>
        <v>-254.475</v>
      </c>
      <c r="T122" s="12" t="n">
        <f aca="false">INDEX(R$21:R$141,$K122+1)*(1-$L122)+INDEX(R$21:R$141,$K122+2)*$L122</f>
        <v>-264.475</v>
      </c>
      <c r="U122" s="12" t="n">
        <f aca="false">$C122+$D122+MAX(S122,T122,IF(COUNTIFS($A$21:$A$141,"&gt;="&amp;$G122,$A$21:$A$141,"&lt;="&amp;$H122)&gt;0,_xlfn.MAXIFS(R$21:R$141,$A$21:$A$141,"&gt;="&amp;$G122,$A$21:$A$141,"&lt;="&amp;$H122),S122))</f>
        <v>0</v>
      </c>
      <c r="V122" s="12" t="n">
        <f aca="false">-Cost_k*$A122+Beta_q*(Declarations!$B$16*INDEX(U$21:U$141,MAX(1,MIN(121,$B122-ROUND(Declarations!$A$16/$D$18,0))))+Declarations!$B$17*INDEX(U$21:U$141,MAX(1,MIN(121,$B122-ROUND(Declarations!$A$17/$D$18,0))))+Declarations!$B$18*INDEX(U$21:U$141,MAX(1,MIN(121,$B122-ROUND(Declarations!$A$18/$D$18,0))))+Declarations!$B$19*INDEX(U$21:U$141,MAX(1,MIN(121,$B122-ROUND(Declarations!$A$19/$D$18,0))))+Declarations!$B$20*INDEX(U$21:U$141,MAX(1,MIN(121,$B122-ROUND(Declarations!$A$20/$D$18,0)))))</f>
        <v>-261</v>
      </c>
      <c r="W122" s="12" t="n">
        <f aca="false">INDEX(V$21:V$141,$I122+1)*(1-$J122)+INDEX(V$21:V$141,$I122+2)*$J122</f>
        <v>-254.475</v>
      </c>
      <c r="X122" s="12" t="n">
        <f aca="false">INDEX(V$21:V$141,$K122+1)*(1-$L122)+INDEX(V$21:V$141,$K122+2)*$L122</f>
        <v>-264.475</v>
      </c>
      <c r="Y122" s="12" t="n">
        <f aca="false">$C122+$D122+MAX(W122,X122,IF(COUNTIFS($A$21:$A$141,"&gt;="&amp;$G122,$A$21:$A$141,"&lt;="&amp;$H122)&gt;0,_xlfn.MAXIFS(V$21:V$141,$A$21:$A$141,"&gt;="&amp;$G122,$A$21:$A$141,"&lt;="&amp;$H122),W122))</f>
        <v>0</v>
      </c>
      <c r="Z122" s="12" t="n">
        <f aca="false">-Cost_k*$A122+Beta_q*(Declarations!$B$16*INDEX(Y$21:Y$141,MAX(1,MIN(121,$B122-ROUND(Declarations!$A$16/$D$18,0))))+Declarations!$B$17*INDEX(Y$21:Y$141,MAX(1,MIN(121,$B122-ROUND(Declarations!$A$17/$D$18,0))))+Declarations!$B$18*INDEX(Y$21:Y$141,MAX(1,MIN(121,$B122-ROUND(Declarations!$A$18/$D$18,0))))+Declarations!$B$19*INDEX(Y$21:Y$141,MAX(1,MIN(121,$B122-ROUND(Declarations!$A$19/$D$18,0))))+Declarations!$B$20*INDEX(Y$21:Y$141,MAX(1,MIN(121,$B122-ROUND(Declarations!$A$20/$D$18,0)))))</f>
        <v>-261</v>
      </c>
      <c r="AA122" s="12" t="n">
        <f aca="false">INDEX(Z$21:Z$141,$I122+1)*(1-$J122)+INDEX(Z$21:Z$141,$I122+2)*$J122</f>
        <v>-254.475</v>
      </c>
      <c r="AB122" s="12" t="n">
        <f aca="false">INDEX(Z$21:Z$141,$K122+1)*(1-$L122)+INDEX(Z$21:Z$141,$K122+2)*$L122</f>
        <v>-264.475</v>
      </c>
      <c r="AC122" s="12" t="n">
        <f aca="false">$C122+$D122+MAX(AA122,AB122,IF(COUNTIFS($A$21:$A$141,"&gt;="&amp;$G122,$A$21:$A$141,"&lt;="&amp;$H122)&gt;0,_xlfn.MAXIFS(Z$21:Z$141,$A$21:$A$141,"&gt;="&amp;$G122,$A$21:$A$141,"&lt;="&amp;$H122),AA122))</f>
        <v>0</v>
      </c>
      <c r="AD122" s="12" t="n">
        <f aca="false">-Cost_k*$A122+Beta_q*(Declarations!$B$16*INDEX(AC$21:AC$141,MAX(1,MIN(121,$B122-ROUND(Declarations!$A$16/$D$18,0))))+Declarations!$B$17*INDEX(AC$21:AC$141,MAX(1,MIN(121,$B122-ROUND(Declarations!$A$17/$D$18,0))))+Declarations!$B$18*INDEX(AC$21:AC$141,MAX(1,MIN(121,$B122-ROUND(Declarations!$A$18/$D$18,0))))+Declarations!$B$19*INDEX(AC$21:AC$141,MAX(1,MIN(121,$B122-ROUND(Declarations!$A$19/$D$18,0))))+Declarations!$B$20*INDEX(AC$21:AC$141,MAX(1,MIN(121,$B122-ROUND(Declarations!$A$20/$D$18,0)))))</f>
        <v>-261.000002737749</v>
      </c>
      <c r="AE122" s="12" t="n">
        <f aca="false">INDEX(AD$21:AD$141,$I122+1)*(1-$J122)+INDEX(AD$21:AD$141,$I122+2)*$J122</f>
        <v>-254.475635532648</v>
      </c>
      <c r="AF122" s="12" t="n">
        <f aca="false">INDEX(AD$21:AD$141,$K122+1)*(1-$L122)+INDEX(AD$21:AD$141,$K122+2)*$L122</f>
        <v>-264.475</v>
      </c>
      <c r="AG122" s="12" t="n">
        <f aca="false">$C122+$D122+MAX(AE122,AF122,IF(COUNTIFS($A$21:$A$141,"&gt;="&amp;$G122,$A$21:$A$141,"&lt;="&amp;$H122)&gt;0,_xlfn.MAXIFS(AD$21:AD$141,$A$21:$A$141,"&gt;="&amp;$G122,$A$21:$A$141,"&lt;="&amp;$H122),AE122))</f>
        <v>-0.000635532648260551</v>
      </c>
      <c r="AH122" s="12" t="n">
        <f aca="false">-Cost_k*$A122+Beta_q*(Declarations!$B$16*INDEX(AG$21:AG$141,MAX(1,MIN(121,$B122-ROUND(Declarations!$A$16/$D$18,0))))+Declarations!$B$17*INDEX(AG$21:AG$141,MAX(1,MIN(121,$B122-ROUND(Declarations!$A$17/$D$18,0))))+Declarations!$B$18*INDEX(AG$21:AG$141,MAX(1,MIN(121,$B122-ROUND(Declarations!$A$18/$D$18,0))))+Declarations!$B$19*INDEX(AG$21:AG$141,MAX(1,MIN(121,$B122-ROUND(Declarations!$A$19/$D$18,0))))+Declarations!$B$20*INDEX(AG$21:AG$141,MAX(1,MIN(121,$B122-ROUND(Declarations!$A$20/$D$18,0)))))</f>
        <v>-261.00190020839</v>
      </c>
      <c r="AI122" s="12" t="n">
        <f aca="false">INDEX(AH$21:AH$141,$I122+1)*(1-$J122)+INDEX(AH$21:AH$141,$I122+2)*$J122</f>
        <v>-254.511365925507</v>
      </c>
      <c r="AJ122" s="12" t="n">
        <f aca="false">INDEX(AH$21:AH$141,$K122+1)*(1-$L122)+INDEX(AH$21:AH$141,$K122+2)*$L122</f>
        <v>-264.475271766706</v>
      </c>
      <c r="AK122" s="12" t="n">
        <f aca="false">$C122+$D122+MAX(AI122,AJ122,IF(COUNTIFS($A$21:$A$141,"&gt;="&amp;$G122,$A$21:$A$141,"&lt;="&amp;$H122)&gt;0,_xlfn.MAXIFS(AH$21:AH$141,$A$21:$A$141,"&gt;="&amp;$G122,$A$21:$A$141,"&lt;="&amp;$H122),AI122))</f>
        <v>-0.0363659255073117</v>
      </c>
      <c r="AL122" s="12" t="n">
        <f aca="false">-Cost_k*$A122+Beta_q*(Declarations!$B$16*INDEX(AK$21:AK$141,MAX(1,MIN(121,$B122-ROUND(Declarations!$A$16/$D$18,0))))+Declarations!$B$17*INDEX(AK$21:AK$141,MAX(1,MIN(121,$B122-ROUND(Declarations!$A$17/$D$18,0))))+Declarations!$B$18*INDEX(AK$21:AK$141,MAX(1,MIN(121,$B122-ROUND(Declarations!$A$18/$D$18,0))))+Declarations!$B$19*INDEX(AK$21:AK$141,MAX(1,MIN(121,$B122-ROUND(Declarations!$A$19/$D$18,0))))+Declarations!$B$20*INDEX(AK$21:AK$141,MAX(1,MIN(121,$B122-ROUND(Declarations!$A$20/$D$18,0)))))</f>
        <v>-261.053018627381</v>
      </c>
      <c r="AM122" s="12" t="n">
        <f aca="false">INDEX(AL$21:AL$141,$I122+1)*(1-$J122)+INDEX(AL$21:AL$141,$I122+2)*$J122</f>
        <v>-254.8339130848</v>
      </c>
      <c r="AN122" s="12" t="n">
        <f aca="false">INDEX(AL$21:AL$141,$K122+1)*(1-$L122)+INDEX(AL$21:AL$141,$K122+2)*$L122</f>
        <v>-264.490238782225</v>
      </c>
      <c r="AO122" s="12" t="n">
        <f aca="false">$C122+$D122+MAX(AM122,AN122,IF(COUNTIFS($A$21:$A$141,"&gt;="&amp;$G122,$A$21:$A$141,"&lt;="&amp;$H122)&gt;0,_xlfn.MAXIFS(AL$21:AL$141,$A$21:$A$141,"&gt;="&amp;$G122,$A$21:$A$141,"&lt;="&amp;$H122),AM122))</f>
        <v>-0.35891308479998</v>
      </c>
      <c r="AP122" s="12" t="n">
        <f aca="false">-Cost_k*$A122+Beta_q*(Declarations!$B$16*INDEX(AO$21:AO$141,MAX(1,MIN(121,$B122-ROUND(Declarations!$A$16/$D$18,0))))+Declarations!$B$17*INDEX(AO$21:AO$141,MAX(1,MIN(121,$B122-ROUND(Declarations!$A$17/$D$18,0))))+Declarations!$B$18*INDEX(AO$21:AO$141,MAX(1,MIN(121,$B122-ROUND(Declarations!$A$18/$D$18,0))))+Declarations!$B$19*INDEX(AO$21:AO$141,MAX(1,MIN(121,$B122-ROUND(Declarations!$A$19/$D$18,0))))+Declarations!$B$20*INDEX(AO$21:AO$141,MAX(1,MIN(121,$B122-ROUND(Declarations!$A$20/$D$18,0)))))</f>
        <v>-261.412681469845</v>
      </c>
      <c r="AQ122" s="12" t="n">
        <f aca="false">INDEX(AP$21:AP$141,$I122+1)*(1-$J122)+INDEX(AP$21:AP$141,$I122+2)*$J122</f>
        <v>-255.986867816439</v>
      </c>
      <c r="AR122" s="12" t="n">
        <f aca="false">INDEX(AP$21:AP$141,$K122+1)*(1-$L122)+INDEX(AP$21:AP$141,$K122+2)*$L122</f>
        <v>-264.651736936048</v>
      </c>
      <c r="AS122" s="12" t="n">
        <f aca="false">$C122+$D122+MAX(AQ122,AR122,IF(COUNTIFS($A$21:$A$141,"&gt;="&amp;$G122,$A$21:$A$141,"&lt;="&amp;$H122)&gt;0,_xlfn.MAXIFS(AP$21:AP$141,$A$21:$A$141,"&gt;="&amp;$G122,$A$21:$A$141,"&lt;="&amp;$H122),AQ122))</f>
        <v>-1.5118678164387</v>
      </c>
      <c r="AT122" s="12" t="n">
        <f aca="false">-Cost_k*$A122+Beta_q*(Declarations!$B$16*INDEX(AS$21:AS$141,MAX(1,MIN(121,$B122-ROUND(Declarations!$A$16/$D$18,0))))+Declarations!$B$17*INDEX(AS$21:AS$141,MAX(1,MIN(121,$B122-ROUND(Declarations!$A$17/$D$18,0))))+Declarations!$B$18*INDEX(AS$21:AS$141,MAX(1,MIN(121,$B122-ROUND(Declarations!$A$18/$D$18,0))))+Declarations!$B$19*INDEX(AS$21:AS$141,MAX(1,MIN(121,$B122-ROUND(Declarations!$A$19/$D$18,0))))+Declarations!$B$20*INDEX(AS$21:AS$141,MAX(1,MIN(121,$B122-ROUND(Declarations!$A$20/$D$18,0)))))</f>
        <v>-262.584504313215</v>
      </c>
      <c r="AU122" s="12" t="n">
        <f aca="false">INDEX(AT$21:AT$141,$I122+1)*(1-$J122)+INDEX(AT$21:AT$141,$I122+2)*$J122</f>
        <v>-258.415111520698</v>
      </c>
      <c r="AV122" s="12" t="n">
        <f aca="false">INDEX(AT$21:AT$141,$K122+1)*(1-$L122)+INDEX(AT$21:AT$141,$K122+2)*$L122</f>
        <v>-265.349793170905</v>
      </c>
      <c r="AW122" s="12" t="n">
        <f aca="false">$C122+$D122+MAX(AU122,AV122,IF(COUNTIFS($A$21:$A$141,"&gt;="&amp;$G122,$A$21:$A$141,"&lt;="&amp;$H122)&gt;0,_xlfn.MAXIFS(AT$21:AT$141,$A$21:$A$141,"&gt;="&amp;$G122,$A$21:$A$141,"&lt;="&amp;$H122),AU122))</f>
        <v>-3.94011152069774</v>
      </c>
      <c r="AX122" s="12" t="n">
        <f aca="false">-Cost_k*$A122+Beta_q*(Declarations!$B$16*INDEX(AW$21:AW$141,MAX(1,MIN(121,$B122-ROUND(Declarations!$A$16/$D$18,0))))+Declarations!$B$17*INDEX(AW$21:AW$141,MAX(1,MIN(121,$B122-ROUND(Declarations!$A$17/$D$18,0))))+Declarations!$B$18*INDEX(AW$21:AW$141,MAX(1,MIN(121,$B122-ROUND(Declarations!$A$18/$D$18,0))))+Declarations!$B$19*INDEX(AW$21:AW$141,MAX(1,MIN(121,$B122-ROUND(Declarations!$A$19/$D$18,0))))+Declarations!$B$20*INDEX(AW$21:AW$141,MAX(1,MIN(121,$B122-ROUND(Declarations!$A$20/$D$18,0)))))</f>
        <v>-264.965553992098</v>
      </c>
      <c r="AY122" s="12" t="n">
        <f aca="false">INDEX(AX$21:AX$141,$I122+1)*(1-$J122)+INDEX(AX$21:AX$141,$I122+2)*$J122</f>
        <v>-262.051357217064</v>
      </c>
      <c r="AZ122" s="12" t="n">
        <f aca="false">INDEX(AX$21:AX$141,$K122+1)*(1-$L122)+INDEX(AX$21:AX$141,$K122+2)*$L122</f>
        <v>-267.068184683546</v>
      </c>
      <c r="BA122" s="12" t="n">
        <f aca="false">$C122+$D122+MAX(AY122,AZ122,IF(COUNTIFS($A$21:$A$141,"&gt;="&amp;$G122,$A$21:$A$141,"&lt;="&amp;$H122)&gt;0,_xlfn.MAXIFS(AX$21:AX$141,$A$21:$A$141,"&gt;="&amp;$G122,$A$21:$A$141,"&lt;="&amp;$H122),AY122))</f>
        <v>-7.5763572170641</v>
      </c>
      <c r="BB122" s="12" t="n">
        <f aca="false">-Cost_k*$A122+Beta_q*(Declarations!$B$16*INDEX(BA$21:BA$141,MAX(1,MIN(121,$B122-ROUND(Declarations!$A$16/$D$18,0))))+Declarations!$B$17*INDEX(BA$21:BA$141,MAX(1,MIN(121,$B122-ROUND(Declarations!$A$17/$D$18,0))))+Declarations!$B$18*INDEX(BA$21:BA$141,MAX(1,MIN(121,$B122-ROUND(Declarations!$A$18/$D$18,0))))+Declarations!$B$19*INDEX(BA$21:BA$141,MAX(1,MIN(121,$B122-ROUND(Declarations!$A$19/$D$18,0))))+Declarations!$B$20*INDEX(BA$21:BA$141,MAX(1,MIN(121,$B122-ROUND(Declarations!$A$20/$D$18,0)))))</f>
        <v>-268.481987813936</v>
      </c>
      <c r="BC122" s="12" t="n">
        <f aca="false">INDEX(BB$21:BB$141,$I122+1)*(1-$J122)+INDEX(BB$21:BB$141,$I122+2)*$J122</f>
        <v>-266.359966852009</v>
      </c>
      <c r="BD122" s="12" t="n">
        <f aca="false">INDEX(BB$21:BB$141,$K122+1)*(1-$L122)+INDEX(BB$21:BB$141,$K122+2)*$L122</f>
        <v>-269.990503112562</v>
      </c>
      <c r="BE122" s="12" t="n">
        <f aca="false">$C122+$D122+MAX(BC122,BD122,IF(COUNTIFS($A$21:$A$141,"&gt;="&amp;$G122,$A$21:$A$141,"&lt;="&amp;$H122)&gt;0,_xlfn.MAXIFS(BB$21:BB$141,$A$21:$A$141,"&gt;="&amp;$G122,$A$21:$A$141,"&lt;="&amp;$H122),BC122))</f>
        <v>-11.8849668520088</v>
      </c>
      <c r="BF122" s="12" t="n">
        <f aca="false">-Cost_k*$A122+Beta_q*(Declarations!$B$16*INDEX(BE$21:BE$141,MAX(1,MIN(121,$B122-ROUND(Declarations!$A$16/$D$18,0))))+Declarations!$B$17*INDEX(BE$21:BE$141,MAX(1,MIN(121,$B122-ROUND(Declarations!$A$17/$D$18,0))))+Declarations!$B$18*INDEX(BE$21:BE$141,MAX(1,MIN(121,$B122-ROUND(Declarations!$A$18/$D$18,0))))+Declarations!$B$19*INDEX(BE$21:BE$141,MAX(1,MIN(121,$B122-ROUND(Declarations!$A$19/$D$18,0))))+Declarations!$B$20*INDEX(BE$21:BE$141,MAX(1,MIN(121,$B122-ROUND(Declarations!$A$20/$D$18,0)))))</f>
        <v>-272.650549431963</v>
      </c>
      <c r="BG122" s="12" t="n">
        <f aca="false">INDEX(BF$21:BF$141,$I122+1)*(1-$J122)+INDEX(BF$21:BF$141,$I122+2)*$J122</f>
        <v>-270.853173990209</v>
      </c>
      <c r="BH122" s="12" t="n">
        <f aca="false">INDEX(BF$21:BF$141,$K122+1)*(1-$L122)+INDEX(BF$21:BF$141,$K122+2)*$L122</f>
        <v>-273.817463691082</v>
      </c>
      <c r="BI122" s="12" t="n">
        <f aca="false">$C122+$D122+MAX(BG122,BH122,IF(COUNTIFS($A$21:$A$141,"&gt;="&amp;$G122,$A$21:$A$141,"&lt;="&amp;$H122)&gt;0,_xlfn.MAXIFS(BF$21:BF$141,$A$21:$A$141,"&gt;="&amp;$G122,$A$21:$A$141,"&lt;="&amp;$H122),BG122))</f>
        <v>-16.3781739902086</v>
      </c>
      <c r="BJ122" s="23" t="n">
        <v>-16.3781739902086</v>
      </c>
      <c r="BK122" s="22" t="n">
        <f aca="false">ABS(BI122-BJ122)</f>
        <v>0</v>
      </c>
    </row>
    <row r="123" customFormat="false" ht="15" hidden="false" customHeight="false" outlineLevel="0" collapsed="false">
      <c r="A123" s="14" t="n">
        <f aca="false">A122+$D$18</f>
        <v>65.5</v>
      </c>
      <c r="B123" s="19" t="n">
        <v>103</v>
      </c>
      <c r="C123" s="12" t="n">
        <f aca="false">-Short_p*MAX(Floor_c-A123,0)</f>
        <v>-0</v>
      </c>
      <c r="D123" s="12" t="n">
        <f aca="false">Cost_k*Alpha_keep*A123</f>
        <v>255.45</v>
      </c>
      <c r="E123" s="12" t="n">
        <f aca="false">MIN(Cap_h,MAX(0,$B$18+MAX(Loss_w)-Alpha_keep*A123))</f>
        <v>0</v>
      </c>
      <c r="F123" s="12" t="n">
        <f aca="false">MAX(MIN(Cap_h,$F$18+MIN(Loss_w)-Alpha_keep*A123),E123)</f>
        <v>2.5</v>
      </c>
      <c r="G123" s="12" t="n">
        <f aca="false">Alpha_keep*A123+E123</f>
        <v>63.8625</v>
      </c>
      <c r="H123" s="12" t="n">
        <f aca="false">Alpha_keep*A123+F123</f>
        <v>66.3625</v>
      </c>
      <c r="I123" s="19" t="n">
        <f aca="false">MIN(INT((G123-$B$18)/$D$18+0.000000001),119)</f>
        <v>95</v>
      </c>
      <c r="J123" s="12" t="n">
        <f aca="false">(G123-$B$18)/$D$18-I123</f>
        <v>0.449999999999989</v>
      </c>
      <c r="K123" s="19" t="n">
        <f aca="false">MIN(INT((H123-$B$18)/$D$18+0.000000001),119)</f>
        <v>105</v>
      </c>
      <c r="L123" s="12" t="n">
        <f aca="false">(H123-$B$18)/$D$18-K123</f>
        <v>0.449999999999989</v>
      </c>
      <c r="M123" s="9" t="n">
        <v>0</v>
      </c>
      <c r="N123" s="12" t="n">
        <f aca="false">-Cost_k*$A123+Beta_q*(Declarations!$B$16*INDEX(M$21:M$141,MAX(1,MIN(121,$B123-ROUND(Declarations!$A$16/$D$18,0))))+Declarations!$B$17*INDEX(M$21:M$141,MAX(1,MIN(121,$B123-ROUND(Declarations!$A$17/$D$18,0))))+Declarations!$B$18*INDEX(M$21:M$141,MAX(1,MIN(121,$B123-ROUND(Declarations!$A$18/$D$18,0))))+Declarations!$B$19*INDEX(M$21:M$141,MAX(1,MIN(121,$B123-ROUND(Declarations!$A$19/$D$18,0))))+Declarations!$B$20*INDEX(M$21:M$141,MAX(1,MIN(121,$B123-ROUND(Declarations!$A$20/$D$18,0)))))</f>
        <v>-262</v>
      </c>
      <c r="O123" s="12" t="n">
        <f aca="false">INDEX(N$21:N$141,$I123+1)*(1-$J123)+INDEX(N$21:N$141,$I123+2)*$J123</f>
        <v>-255.45</v>
      </c>
      <c r="P123" s="12" t="n">
        <f aca="false">INDEX(N$21:N$141,$K123+1)*(1-$L123)+INDEX(N$21:N$141,$K123+2)*$L123</f>
        <v>-265.45</v>
      </c>
      <c r="Q123" s="12" t="n">
        <f aca="false">$C123+$D123+MAX(O123,P123,IF(COUNTIFS($A$21:$A$141,"&gt;="&amp;$G123,$A$21:$A$141,"&lt;="&amp;$H123)&gt;0,_xlfn.MAXIFS(N$21:N$141,$A$21:$A$141,"&gt;="&amp;$G123,$A$21:$A$141,"&lt;="&amp;$H123),O123))</f>
        <v>0</v>
      </c>
      <c r="R123" s="12" t="n">
        <f aca="false">-Cost_k*$A123+Beta_q*(Declarations!$B$16*INDEX(Q$21:Q$141,MAX(1,MIN(121,$B123-ROUND(Declarations!$A$16/$D$18,0))))+Declarations!$B$17*INDEX(Q$21:Q$141,MAX(1,MIN(121,$B123-ROUND(Declarations!$A$17/$D$18,0))))+Declarations!$B$18*INDEX(Q$21:Q$141,MAX(1,MIN(121,$B123-ROUND(Declarations!$A$18/$D$18,0))))+Declarations!$B$19*INDEX(Q$21:Q$141,MAX(1,MIN(121,$B123-ROUND(Declarations!$A$19/$D$18,0))))+Declarations!$B$20*INDEX(Q$21:Q$141,MAX(1,MIN(121,$B123-ROUND(Declarations!$A$20/$D$18,0)))))</f>
        <v>-262</v>
      </c>
      <c r="S123" s="12" t="n">
        <f aca="false">INDEX(R$21:R$141,$I123+1)*(1-$J123)+INDEX(R$21:R$141,$I123+2)*$J123</f>
        <v>-255.45</v>
      </c>
      <c r="T123" s="12" t="n">
        <f aca="false">INDEX(R$21:R$141,$K123+1)*(1-$L123)+INDEX(R$21:R$141,$K123+2)*$L123</f>
        <v>-265.45</v>
      </c>
      <c r="U123" s="12" t="n">
        <f aca="false">$C123+$D123+MAX(S123,T123,IF(COUNTIFS($A$21:$A$141,"&gt;="&amp;$G123,$A$21:$A$141,"&lt;="&amp;$H123)&gt;0,_xlfn.MAXIFS(R$21:R$141,$A$21:$A$141,"&gt;="&amp;$G123,$A$21:$A$141,"&lt;="&amp;$H123),S123))</f>
        <v>0</v>
      </c>
      <c r="V123" s="12" t="n">
        <f aca="false">-Cost_k*$A123+Beta_q*(Declarations!$B$16*INDEX(U$21:U$141,MAX(1,MIN(121,$B123-ROUND(Declarations!$A$16/$D$18,0))))+Declarations!$B$17*INDEX(U$21:U$141,MAX(1,MIN(121,$B123-ROUND(Declarations!$A$17/$D$18,0))))+Declarations!$B$18*INDEX(U$21:U$141,MAX(1,MIN(121,$B123-ROUND(Declarations!$A$18/$D$18,0))))+Declarations!$B$19*INDEX(U$21:U$141,MAX(1,MIN(121,$B123-ROUND(Declarations!$A$19/$D$18,0))))+Declarations!$B$20*INDEX(U$21:U$141,MAX(1,MIN(121,$B123-ROUND(Declarations!$A$20/$D$18,0)))))</f>
        <v>-262</v>
      </c>
      <c r="W123" s="12" t="n">
        <f aca="false">INDEX(V$21:V$141,$I123+1)*(1-$J123)+INDEX(V$21:V$141,$I123+2)*$J123</f>
        <v>-255.45</v>
      </c>
      <c r="X123" s="12" t="n">
        <f aca="false">INDEX(V$21:V$141,$K123+1)*(1-$L123)+INDEX(V$21:V$141,$K123+2)*$L123</f>
        <v>-265.45</v>
      </c>
      <c r="Y123" s="12" t="n">
        <f aca="false">$C123+$D123+MAX(W123,X123,IF(COUNTIFS($A$21:$A$141,"&gt;="&amp;$G123,$A$21:$A$141,"&lt;="&amp;$H123)&gt;0,_xlfn.MAXIFS(V$21:V$141,$A$21:$A$141,"&gt;="&amp;$G123,$A$21:$A$141,"&lt;="&amp;$H123),W123))</f>
        <v>0</v>
      </c>
      <c r="Z123" s="12" t="n">
        <f aca="false">-Cost_k*$A123+Beta_q*(Declarations!$B$16*INDEX(Y$21:Y$141,MAX(1,MIN(121,$B123-ROUND(Declarations!$A$16/$D$18,0))))+Declarations!$B$17*INDEX(Y$21:Y$141,MAX(1,MIN(121,$B123-ROUND(Declarations!$A$17/$D$18,0))))+Declarations!$B$18*INDEX(Y$21:Y$141,MAX(1,MIN(121,$B123-ROUND(Declarations!$A$18/$D$18,0))))+Declarations!$B$19*INDEX(Y$21:Y$141,MAX(1,MIN(121,$B123-ROUND(Declarations!$A$19/$D$18,0))))+Declarations!$B$20*INDEX(Y$21:Y$141,MAX(1,MIN(121,$B123-ROUND(Declarations!$A$20/$D$18,0)))))</f>
        <v>-262</v>
      </c>
      <c r="AA123" s="12" t="n">
        <f aca="false">INDEX(Z$21:Z$141,$I123+1)*(1-$J123)+INDEX(Z$21:Z$141,$I123+2)*$J123</f>
        <v>-255.45</v>
      </c>
      <c r="AB123" s="12" t="n">
        <f aca="false">INDEX(Z$21:Z$141,$K123+1)*(1-$L123)+INDEX(Z$21:Z$141,$K123+2)*$L123</f>
        <v>-265.45</v>
      </c>
      <c r="AC123" s="12" t="n">
        <f aca="false">$C123+$D123+MAX(AA123,AB123,IF(COUNTIFS($A$21:$A$141,"&gt;="&amp;$G123,$A$21:$A$141,"&lt;="&amp;$H123)&gt;0,_xlfn.MAXIFS(Z$21:Z$141,$A$21:$A$141,"&gt;="&amp;$G123,$A$21:$A$141,"&lt;="&amp;$H123),AA123))</f>
        <v>0</v>
      </c>
      <c r="AD123" s="12" t="n">
        <f aca="false">-Cost_k*$A123+Beta_q*(Declarations!$B$16*INDEX(AC$21:AC$141,MAX(1,MIN(121,$B123-ROUND(Declarations!$A$16/$D$18,0))))+Declarations!$B$17*INDEX(AC$21:AC$141,MAX(1,MIN(121,$B123-ROUND(Declarations!$A$17/$D$18,0))))+Declarations!$B$18*INDEX(AC$21:AC$141,MAX(1,MIN(121,$B123-ROUND(Declarations!$A$18/$D$18,0))))+Declarations!$B$19*INDEX(AC$21:AC$141,MAX(1,MIN(121,$B123-ROUND(Declarations!$A$19/$D$18,0))))+Declarations!$B$20*INDEX(AC$21:AC$141,MAX(1,MIN(121,$B123-ROUND(Declarations!$A$20/$D$18,0)))))</f>
        <v>-262.000000876705</v>
      </c>
      <c r="AE123" s="12" t="n">
        <f aca="false">INDEX(AD$21:AD$141,$I123+1)*(1-$J123)+INDEX(AD$21:AD$141,$I123+2)*$J123</f>
        <v>-255.450341510897</v>
      </c>
      <c r="AF123" s="12" t="n">
        <f aca="false">INDEX(AD$21:AD$141,$K123+1)*(1-$L123)+INDEX(AD$21:AD$141,$K123+2)*$L123</f>
        <v>-265.45</v>
      </c>
      <c r="AG123" s="12" t="n">
        <f aca="false">$C123+$D123+MAX(AE123,AF123,IF(COUNTIFS($A$21:$A$141,"&gt;="&amp;$G123,$A$21:$A$141,"&lt;="&amp;$H123)&gt;0,_xlfn.MAXIFS(AD$21:AD$141,$A$21:$A$141,"&gt;="&amp;$G123,$A$21:$A$141,"&lt;="&amp;$H123),AE123))</f>
        <v>-0.000341510896646469</v>
      </c>
      <c r="AH123" s="12" t="n">
        <f aca="false">-Cost_k*$A123+Beta_q*(Declarations!$B$16*INDEX(AG$21:AG$141,MAX(1,MIN(121,$B123-ROUND(Declarations!$A$16/$D$18,0))))+Declarations!$B$17*INDEX(AG$21:AG$141,MAX(1,MIN(121,$B123-ROUND(Declarations!$A$17/$D$18,0))))+Declarations!$B$18*INDEX(AG$21:AG$141,MAX(1,MIN(121,$B123-ROUND(Declarations!$A$18/$D$18,0))))+Declarations!$B$19*INDEX(AG$21:AG$141,MAX(1,MIN(121,$B123-ROUND(Declarations!$A$19/$D$18,0))))+Declarations!$B$20*INDEX(AG$21:AG$141,MAX(1,MIN(121,$B123-ROUND(Declarations!$A$20/$D$18,0)))))</f>
        <v>-262.001087494498</v>
      </c>
      <c r="AI123" s="12" t="n">
        <f aca="false">INDEX(AH$21:AH$141,$I123+1)*(1-$J123)+INDEX(AH$21:AH$141,$I123+2)*$J123</f>
        <v>-255.474727136435</v>
      </c>
      <c r="AJ123" s="12" t="n">
        <f aca="false">INDEX(AH$21:AH$141,$K123+1)*(1-$L123)+INDEX(AH$21:AH$141,$K123+2)*$L123</f>
        <v>-265.450144595117</v>
      </c>
      <c r="AK123" s="12" t="n">
        <f aca="false">$C123+$D123+MAX(AI123,AJ123,IF(COUNTIFS($A$21:$A$141,"&gt;="&amp;$G123,$A$21:$A$141,"&lt;="&amp;$H123)&gt;0,_xlfn.MAXIFS(AH$21:AH$141,$A$21:$A$141,"&gt;="&amp;$G123,$A$21:$A$141,"&lt;="&amp;$H123),AI123))</f>
        <v>-0.0247271364350468</v>
      </c>
      <c r="AL123" s="12" t="n">
        <f aca="false">-Cost_k*$A123+Beta_q*(Declarations!$B$16*INDEX(AK$21:AK$141,MAX(1,MIN(121,$B123-ROUND(Declarations!$A$16/$D$18,0))))+Declarations!$B$17*INDEX(AK$21:AK$141,MAX(1,MIN(121,$B123-ROUND(Declarations!$A$17/$D$18,0))))+Declarations!$B$18*INDEX(AK$21:AK$141,MAX(1,MIN(121,$B123-ROUND(Declarations!$A$18/$D$18,0))))+Declarations!$B$19*INDEX(AK$21:AK$141,MAX(1,MIN(121,$B123-ROUND(Declarations!$A$19/$D$18,0))))+Declarations!$B$20*INDEX(AK$21:AK$141,MAX(1,MIN(121,$B123-ROUND(Declarations!$A$20/$D$18,0)))))</f>
        <v>-262.037281278662</v>
      </c>
      <c r="AM123" s="12" t="n">
        <f aca="false">INDEX(AL$21:AL$141,$I123+1)*(1-$J123)+INDEX(AL$21:AL$141,$I123+2)*$J123</f>
        <v>-255.728773468283</v>
      </c>
      <c r="AN123" s="12" t="n">
        <f aca="false">INDEX(AL$21:AL$141,$K123+1)*(1-$L123)+INDEX(AL$21:AL$141,$K123+2)*$L123</f>
        <v>-265.460285893561</v>
      </c>
      <c r="AO123" s="12" t="n">
        <f aca="false">$C123+$D123+MAX(AM123,AN123,IF(COUNTIFS($A$21:$A$141,"&gt;="&amp;$G123,$A$21:$A$141,"&lt;="&amp;$H123)&gt;0,_xlfn.MAXIFS(AL$21:AL$141,$A$21:$A$141,"&gt;="&amp;$G123,$A$21:$A$141,"&lt;="&amp;$H123),AM123))</f>
        <v>-0.278773468283021</v>
      </c>
      <c r="AP123" s="12" t="n">
        <f aca="false">-Cost_k*$A123+Beta_q*(Declarations!$B$16*INDEX(AO$21:AO$141,MAX(1,MIN(121,$B123-ROUND(Declarations!$A$16/$D$18,0))))+Declarations!$B$17*INDEX(AO$21:AO$141,MAX(1,MIN(121,$B123-ROUND(Declarations!$A$17/$D$18,0))))+Declarations!$B$18*INDEX(AO$21:AO$141,MAX(1,MIN(121,$B123-ROUND(Declarations!$A$18/$D$18,0))))+Declarations!$B$19*INDEX(AO$21:AO$141,MAX(1,MIN(121,$B123-ROUND(Declarations!$A$19/$D$18,0))))+Declarations!$B$20*INDEX(AO$21:AO$141,MAX(1,MIN(121,$B123-ROUND(Declarations!$A$20/$D$18,0)))))</f>
        <v>-262.325844110873</v>
      </c>
      <c r="AQ123" s="12" t="n">
        <f aca="false">INDEX(AP$21:AP$141,$I123+1)*(1-$J123)+INDEX(AP$21:AP$141,$I123+2)*$J123</f>
        <v>-256.723180937118</v>
      </c>
      <c r="AR123" s="12" t="n">
        <f aca="false">INDEX(AP$21:AP$141,$K123+1)*(1-$L123)+INDEX(AP$21:AP$141,$K123+2)*$L123</f>
        <v>-265.58566434289</v>
      </c>
      <c r="AS123" s="12" t="n">
        <f aca="false">$C123+$D123+MAX(AQ123,AR123,IF(COUNTIFS($A$21:$A$141,"&gt;="&amp;$G123,$A$21:$A$141,"&lt;="&amp;$H123)&gt;0,_xlfn.MAXIFS(AP$21:AP$141,$A$21:$A$141,"&gt;="&amp;$G123,$A$21:$A$141,"&lt;="&amp;$H123),AQ123))</f>
        <v>-1.27318093711796</v>
      </c>
      <c r="AT123" s="12" t="n">
        <f aca="false">-Cost_k*$A123+Beta_q*(Declarations!$B$16*INDEX(AS$21:AS$141,MAX(1,MIN(121,$B123-ROUND(Declarations!$A$16/$D$18,0))))+Declarations!$B$17*INDEX(AS$21:AS$141,MAX(1,MIN(121,$B123-ROUND(Declarations!$A$17/$D$18,0))))+Declarations!$B$18*INDEX(AS$21:AS$141,MAX(1,MIN(121,$B123-ROUND(Declarations!$A$18/$D$18,0))))+Declarations!$B$19*INDEX(AS$21:AS$141,MAX(1,MIN(121,$B123-ROUND(Declarations!$A$19/$D$18,0))))+Declarations!$B$20*INDEX(AS$21:AS$141,MAX(1,MIN(121,$B123-ROUND(Declarations!$A$20/$D$18,0)))))</f>
        <v>-263.344460264777</v>
      </c>
      <c r="AU123" s="12" t="n">
        <f aca="false">INDEX(AT$21:AT$141,$I123+1)*(1-$J123)+INDEX(AT$21:AT$141,$I123+2)*$J123</f>
        <v>-258.942429892174</v>
      </c>
      <c r="AV123" s="12" t="n">
        <f aca="false">INDEX(AT$21:AT$141,$K123+1)*(1-$L123)+INDEX(AT$21:AT$141,$K123+2)*$L123</f>
        <v>-266.177802296852</v>
      </c>
      <c r="AW123" s="12" t="n">
        <f aca="false">$C123+$D123+MAX(AU123,AV123,IF(COUNTIFS($A$21:$A$141,"&gt;="&amp;$G123,$A$21:$A$141,"&lt;="&amp;$H123)&gt;0,_xlfn.MAXIFS(AT$21:AT$141,$A$21:$A$141,"&gt;="&amp;$G123,$A$21:$A$141,"&lt;="&amp;$H123),AU123))</f>
        <v>-3.49242989217424</v>
      </c>
      <c r="AX123" s="12" t="n">
        <f aca="false">-Cost_k*$A123+Beta_q*(Declarations!$B$16*INDEX(AW$21:AW$141,MAX(1,MIN(121,$B123-ROUND(Declarations!$A$16/$D$18,0))))+Declarations!$B$17*INDEX(AW$21:AW$141,MAX(1,MIN(121,$B123-ROUND(Declarations!$A$17/$D$18,0))))+Declarations!$B$18*INDEX(AW$21:AW$141,MAX(1,MIN(121,$B123-ROUND(Declarations!$A$18/$D$18,0))))+Declarations!$B$19*INDEX(AW$21:AW$141,MAX(1,MIN(121,$B123-ROUND(Declarations!$A$19/$D$18,0))))+Declarations!$B$20*INDEX(AW$21:AW$141,MAX(1,MIN(121,$B123-ROUND(Declarations!$A$20/$D$18,0)))))</f>
        <v>-265.528317341494</v>
      </c>
      <c r="AY123" s="12" t="n">
        <f aca="false">INDEX(AX$21:AX$141,$I123+1)*(1-$J123)+INDEX(AX$21:AX$141,$I123+2)*$J123</f>
        <v>-262.407344347455</v>
      </c>
      <c r="AZ123" s="12" t="n">
        <f aca="false">INDEX(AX$21:AX$141,$K123+1)*(1-$L123)+INDEX(AX$21:AX$141,$K123+2)*$L123</f>
        <v>-267.724621668518</v>
      </c>
      <c r="BA123" s="12" t="n">
        <f aca="false">$C123+$D123+MAX(AY123,AZ123,IF(COUNTIFS($A$21:$A$141,"&gt;="&amp;$G123,$A$21:$A$141,"&lt;="&amp;$H123)&gt;0,_xlfn.MAXIFS(AX$21:AX$141,$A$21:$A$141,"&gt;="&amp;$G123,$A$21:$A$141,"&lt;="&amp;$H123),AY123))</f>
        <v>-6.95734434745538</v>
      </c>
      <c r="BB123" s="12" t="n">
        <f aca="false">-Cost_k*$A123+Beta_q*(Declarations!$B$16*INDEX(BA$21:BA$141,MAX(1,MIN(121,$B123-ROUND(Declarations!$A$16/$D$18,0))))+Declarations!$B$17*INDEX(BA$21:BA$141,MAX(1,MIN(121,$B123-ROUND(Declarations!$A$17/$D$18,0))))+Declarations!$B$18*INDEX(BA$21:BA$141,MAX(1,MIN(121,$B123-ROUND(Declarations!$A$18/$D$18,0))))+Declarations!$B$19*INDEX(BA$21:BA$141,MAX(1,MIN(121,$B123-ROUND(Declarations!$A$19/$D$18,0))))+Declarations!$B$20*INDEX(BA$21:BA$141,MAX(1,MIN(121,$B123-ROUND(Declarations!$A$20/$D$18,0)))))</f>
        <v>-268.88303165437</v>
      </c>
      <c r="BC123" s="12" t="n">
        <f aca="false">INDEX(BB$21:BB$141,$I123+1)*(1-$J123)+INDEX(BB$21:BB$141,$I123+2)*$J123</f>
        <v>-266.630820481151</v>
      </c>
      <c r="BD123" s="12" t="n">
        <f aca="false">INDEX(BB$21:BB$141,$K123+1)*(1-$L123)+INDEX(BB$21:BB$141,$K123+2)*$L123</f>
        <v>-270.469842968962</v>
      </c>
      <c r="BE123" s="12" t="n">
        <f aca="false">$C123+$D123+MAX(BC123,BD123,IF(COUNTIFS($A$21:$A$141,"&gt;="&amp;$G123,$A$21:$A$141,"&lt;="&amp;$H123)&gt;0,_xlfn.MAXIFS(BB$21:BB$141,$A$21:$A$141,"&gt;="&amp;$G123,$A$21:$A$141,"&lt;="&amp;$H123),BC123))</f>
        <v>-11.180820481151</v>
      </c>
      <c r="BF123" s="12" t="n">
        <f aca="false">-Cost_k*$A123+Beta_q*(Declarations!$B$16*INDEX(BE$21:BE$141,MAX(1,MIN(121,$B123-ROUND(Declarations!$A$16/$D$18,0))))+Declarations!$B$17*INDEX(BE$21:BE$141,MAX(1,MIN(121,$B123-ROUND(Declarations!$A$17/$D$18,0))))+Declarations!$B$18*INDEX(BE$21:BE$141,MAX(1,MIN(121,$B123-ROUND(Declarations!$A$18/$D$18,0))))+Declarations!$B$19*INDEX(BE$21:BE$141,MAX(1,MIN(121,$B123-ROUND(Declarations!$A$19/$D$18,0))))+Declarations!$B$20*INDEX(BE$21:BE$141,MAX(1,MIN(121,$B123-ROUND(Declarations!$A$20/$D$18,0)))))</f>
        <v>-272.967298141234</v>
      </c>
      <c r="BG123" s="12" t="n">
        <f aca="false">INDEX(BF$21:BF$141,$I123+1)*(1-$J123)+INDEX(BF$21:BF$141,$I123+2)*$J123</f>
        <v>-271.096541445427</v>
      </c>
      <c r="BH123" s="12" t="n">
        <f aca="false">INDEX(BF$21:BF$141,$K123+1)*(1-$L123)+INDEX(BF$21:BF$141,$K123+2)*$L123</f>
        <v>-274.178877261714</v>
      </c>
      <c r="BI123" s="12" t="n">
        <f aca="false">$C123+$D123+MAX(BG123,BH123,IF(COUNTIFS($A$21:$A$141,"&gt;="&amp;$G123,$A$21:$A$141,"&lt;="&amp;$H123)&gt;0,_xlfn.MAXIFS(BF$21:BF$141,$A$21:$A$141,"&gt;="&amp;$G123,$A$21:$A$141,"&lt;="&amp;$H123),BG123))</f>
        <v>-15.646541445427</v>
      </c>
      <c r="BJ123" s="23" t="n">
        <v>-15.646541445427</v>
      </c>
      <c r="BK123" s="22" t="n">
        <f aca="false">ABS(BI123-BJ123)</f>
        <v>0</v>
      </c>
    </row>
    <row r="124" customFormat="false" ht="15" hidden="false" customHeight="false" outlineLevel="0" collapsed="false">
      <c r="A124" s="14" t="n">
        <f aca="false">A123+$D$18</f>
        <v>65.75</v>
      </c>
      <c r="B124" s="19" t="n">
        <v>104</v>
      </c>
      <c r="C124" s="12" t="n">
        <f aca="false">-Short_p*MAX(Floor_c-A124,0)</f>
        <v>-0</v>
      </c>
      <c r="D124" s="12" t="n">
        <f aca="false">Cost_k*Alpha_keep*A124</f>
        <v>256.425</v>
      </c>
      <c r="E124" s="12" t="n">
        <f aca="false">MIN(Cap_h,MAX(0,$B$18+MAX(Loss_w)-Alpha_keep*A124))</f>
        <v>0</v>
      </c>
      <c r="F124" s="12" t="n">
        <f aca="false">MAX(MIN(Cap_h,$F$18+MIN(Loss_w)-Alpha_keep*A124),E124)</f>
        <v>2.5</v>
      </c>
      <c r="G124" s="12" t="n">
        <f aca="false">Alpha_keep*A124+E124</f>
        <v>64.10625</v>
      </c>
      <c r="H124" s="12" t="n">
        <f aca="false">Alpha_keep*A124+F124</f>
        <v>66.60625</v>
      </c>
      <c r="I124" s="19" t="n">
        <f aca="false">MIN(INT((G124-$B$18)/$D$18+0.000000001),119)</f>
        <v>96</v>
      </c>
      <c r="J124" s="12" t="n">
        <f aca="false">(G124-$B$18)/$D$18-I124</f>
        <v>0.425000000000011</v>
      </c>
      <c r="K124" s="19" t="n">
        <f aca="false">MIN(INT((H124-$B$18)/$D$18+0.000000001),119)</f>
        <v>106</v>
      </c>
      <c r="L124" s="12" t="n">
        <f aca="false">(H124-$B$18)/$D$18-K124</f>
        <v>0.425000000000011</v>
      </c>
      <c r="M124" s="9" t="n">
        <v>0</v>
      </c>
      <c r="N124" s="12" t="n">
        <f aca="false">-Cost_k*$A124+Beta_q*(Declarations!$B$16*INDEX(M$21:M$141,MAX(1,MIN(121,$B124-ROUND(Declarations!$A$16/$D$18,0))))+Declarations!$B$17*INDEX(M$21:M$141,MAX(1,MIN(121,$B124-ROUND(Declarations!$A$17/$D$18,0))))+Declarations!$B$18*INDEX(M$21:M$141,MAX(1,MIN(121,$B124-ROUND(Declarations!$A$18/$D$18,0))))+Declarations!$B$19*INDEX(M$21:M$141,MAX(1,MIN(121,$B124-ROUND(Declarations!$A$19/$D$18,0))))+Declarations!$B$20*INDEX(M$21:M$141,MAX(1,MIN(121,$B124-ROUND(Declarations!$A$20/$D$18,0)))))</f>
        <v>-263</v>
      </c>
      <c r="O124" s="12" t="n">
        <f aca="false">INDEX(N$21:N$141,$I124+1)*(1-$J124)+INDEX(N$21:N$141,$I124+2)*$J124</f>
        <v>-256.425</v>
      </c>
      <c r="P124" s="12" t="n">
        <f aca="false">INDEX(N$21:N$141,$K124+1)*(1-$L124)+INDEX(N$21:N$141,$K124+2)*$L124</f>
        <v>-266.425</v>
      </c>
      <c r="Q124" s="12" t="n">
        <f aca="false">$C124+$D124+MAX(O124,P124,IF(COUNTIFS($A$21:$A$141,"&gt;="&amp;$G124,$A$21:$A$141,"&lt;="&amp;$H124)&gt;0,_xlfn.MAXIFS(N$21:N$141,$A$21:$A$141,"&gt;="&amp;$G124,$A$21:$A$141,"&lt;="&amp;$H124),O124))</f>
        <v>0</v>
      </c>
      <c r="R124" s="12" t="n">
        <f aca="false">-Cost_k*$A124+Beta_q*(Declarations!$B$16*INDEX(Q$21:Q$141,MAX(1,MIN(121,$B124-ROUND(Declarations!$A$16/$D$18,0))))+Declarations!$B$17*INDEX(Q$21:Q$141,MAX(1,MIN(121,$B124-ROUND(Declarations!$A$17/$D$18,0))))+Declarations!$B$18*INDEX(Q$21:Q$141,MAX(1,MIN(121,$B124-ROUND(Declarations!$A$18/$D$18,0))))+Declarations!$B$19*INDEX(Q$21:Q$141,MAX(1,MIN(121,$B124-ROUND(Declarations!$A$19/$D$18,0))))+Declarations!$B$20*INDEX(Q$21:Q$141,MAX(1,MIN(121,$B124-ROUND(Declarations!$A$20/$D$18,0)))))</f>
        <v>-263</v>
      </c>
      <c r="S124" s="12" t="n">
        <f aca="false">INDEX(R$21:R$141,$I124+1)*(1-$J124)+INDEX(R$21:R$141,$I124+2)*$J124</f>
        <v>-256.425</v>
      </c>
      <c r="T124" s="12" t="n">
        <f aca="false">INDEX(R$21:R$141,$K124+1)*(1-$L124)+INDEX(R$21:R$141,$K124+2)*$L124</f>
        <v>-266.425</v>
      </c>
      <c r="U124" s="12" t="n">
        <f aca="false">$C124+$D124+MAX(S124,T124,IF(COUNTIFS($A$21:$A$141,"&gt;="&amp;$G124,$A$21:$A$141,"&lt;="&amp;$H124)&gt;0,_xlfn.MAXIFS(R$21:R$141,$A$21:$A$141,"&gt;="&amp;$G124,$A$21:$A$141,"&lt;="&amp;$H124),S124))</f>
        <v>0</v>
      </c>
      <c r="V124" s="12" t="n">
        <f aca="false">-Cost_k*$A124+Beta_q*(Declarations!$B$16*INDEX(U$21:U$141,MAX(1,MIN(121,$B124-ROUND(Declarations!$A$16/$D$18,0))))+Declarations!$B$17*INDEX(U$21:U$141,MAX(1,MIN(121,$B124-ROUND(Declarations!$A$17/$D$18,0))))+Declarations!$B$18*INDEX(U$21:U$141,MAX(1,MIN(121,$B124-ROUND(Declarations!$A$18/$D$18,0))))+Declarations!$B$19*INDEX(U$21:U$141,MAX(1,MIN(121,$B124-ROUND(Declarations!$A$19/$D$18,0))))+Declarations!$B$20*INDEX(U$21:U$141,MAX(1,MIN(121,$B124-ROUND(Declarations!$A$20/$D$18,0)))))</f>
        <v>-263</v>
      </c>
      <c r="W124" s="12" t="n">
        <f aca="false">INDEX(V$21:V$141,$I124+1)*(1-$J124)+INDEX(V$21:V$141,$I124+2)*$J124</f>
        <v>-256.425</v>
      </c>
      <c r="X124" s="12" t="n">
        <f aca="false">INDEX(V$21:V$141,$K124+1)*(1-$L124)+INDEX(V$21:V$141,$K124+2)*$L124</f>
        <v>-266.425</v>
      </c>
      <c r="Y124" s="12" t="n">
        <f aca="false">$C124+$D124+MAX(W124,X124,IF(COUNTIFS($A$21:$A$141,"&gt;="&amp;$G124,$A$21:$A$141,"&lt;="&amp;$H124)&gt;0,_xlfn.MAXIFS(V$21:V$141,$A$21:$A$141,"&gt;="&amp;$G124,$A$21:$A$141,"&lt;="&amp;$H124),W124))</f>
        <v>0</v>
      </c>
      <c r="Z124" s="12" t="n">
        <f aca="false">-Cost_k*$A124+Beta_q*(Declarations!$B$16*INDEX(Y$21:Y$141,MAX(1,MIN(121,$B124-ROUND(Declarations!$A$16/$D$18,0))))+Declarations!$B$17*INDEX(Y$21:Y$141,MAX(1,MIN(121,$B124-ROUND(Declarations!$A$17/$D$18,0))))+Declarations!$B$18*INDEX(Y$21:Y$141,MAX(1,MIN(121,$B124-ROUND(Declarations!$A$18/$D$18,0))))+Declarations!$B$19*INDEX(Y$21:Y$141,MAX(1,MIN(121,$B124-ROUND(Declarations!$A$19/$D$18,0))))+Declarations!$B$20*INDEX(Y$21:Y$141,MAX(1,MIN(121,$B124-ROUND(Declarations!$A$20/$D$18,0)))))</f>
        <v>-263</v>
      </c>
      <c r="AA124" s="12" t="n">
        <f aca="false">INDEX(Z$21:Z$141,$I124+1)*(1-$J124)+INDEX(Z$21:Z$141,$I124+2)*$J124</f>
        <v>-256.425</v>
      </c>
      <c r="AB124" s="12" t="n">
        <f aca="false">INDEX(Z$21:Z$141,$K124+1)*(1-$L124)+INDEX(Z$21:Z$141,$K124+2)*$L124</f>
        <v>-266.425</v>
      </c>
      <c r="AC124" s="12" t="n">
        <f aca="false">$C124+$D124+MAX(AA124,AB124,IF(COUNTIFS($A$21:$A$141,"&gt;="&amp;$G124,$A$21:$A$141,"&lt;="&amp;$H124)&gt;0,_xlfn.MAXIFS(Z$21:Z$141,$A$21:$A$141,"&gt;="&amp;$G124,$A$21:$A$141,"&lt;="&amp;$H124),AA124))</f>
        <v>0</v>
      </c>
      <c r="AD124" s="12" t="n">
        <f aca="false">-Cost_k*$A124+Beta_q*(Declarations!$B$16*INDEX(AC$21:AC$141,MAX(1,MIN(121,$B124-ROUND(Declarations!$A$16/$D$18,0))))+Declarations!$B$17*INDEX(AC$21:AC$141,MAX(1,MIN(121,$B124-ROUND(Declarations!$A$17/$D$18,0))))+Declarations!$B$18*INDEX(AC$21:AC$141,MAX(1,MIN(121,$B124-ROUND(Declarations!$A$18/$D$18,0))))+Declarations!$B$19*INDEX(AC$21:AC$141,MAX(1,MIN(121,$B124-ROUND(Declarations!$A$19/$D$18,0))))+Declarations!$B$20*INDEX(AC$21:AC$141,MAX(1,MIN(121,$B124-ROUND(Declarations!$A$20/$D$18,0)))))</f>
        <v>-263.000000074858</v>
      </c>
      <c r="AE124" s="12" t="n">
        <f aca="false">INDEX(AD$21:AD$141,$I124+1)*(1-$J124)+INDEX(AD$21:AD$141,$I124+2)*$J124</f>
        <v>-256.425148482703</v>
      </c>
      <c r="AF124" s="12" t="n">
        <f aca="false">INDEX(AD$21:AD$141,$K124+1)*(1-$L124)+INDEX(AD$21:AD$141,$K124+2)*$L124</f>
        <v>-266.425</v>
      </c>
      <c r="AG124" s="12" t="n">
        <f aca="false">$C124+$D124+MAX(AE124,AF124,IF(COUNTIFS($A$21:$A$141,"&gt;="&amp;$G124,$A$21:$A$141,"&lt;="&amp;$H124)&gt;0,_xlfn.MAXIFS(AD$21:AD$141,$A$21:$A$141,"&gt;="&amp;$G124,$A$21:$A$141,"&lt;="&amp;$H124),AE124))</f>
        <v>-0.000148482703309583</v>
      </c>
      <c r="AH124" s="12" t="n">
        <f aca="false">-Cost_k*$A124+Beta_q*(Declarations!$B$16*INDEX(AG$21:AG$141,MAX(1,MIN(121,$B124-ROUND(Declarations!$A$16/$D$18,0))))+Declarations!$B$17*INDEX(AG$21:AG$141,MAX(1,MIN(121,$B124-ROUND(Declarations!$A$17/$D$18,0))))+Declarations!$B$18*INDEX(AG$21:AG$141,MAX(1,MIN(121,$B124-ROUND(Declarations!$A$18/$D$18,0))))+Declarations!$B$19*INDEX(AG$21:AG$141,MAX(1,MIN(121,$B124-ROUND(Declarations!$A$19/$D$18,0))))+Declarations!$B$20*INDEX(AG$21:AG$141,MAX(1,MIN(121,$B124-ROUND(Declarations!$A$20/$D$18,0)))))</f>
        <v>-263.000583033174</v>
      </c>
      <c r="AI124" s="12" t="n">
        <f aca="false">INDEX(AH$21:AH$141,$I124+1)*(1-$J124)+INDEX(AH$21:AH$141,$I124+2)*$J124</f>
        <v>-256.441096153283</v>
      </c>
      <c r="AJ124" s="12" t="n">
        <f aca="false">INDEX(AH$21:AH$141,$K124+1)*(1-$L124)+INDEX(AH$21:AH$141,$K124+2)*$L124</f>
        <v>-266.425071560598</v>
      </c>
      <c r="AK124" s="12" t="n">
        <f aca="false">$C124+$D124+MAX(AI124,AJ124,IF(COUNTIFS($A$21:$A$141,"&gt;="&amp;$G124,$A$21:$A$141,"&lt;="&amp;$H124)&gt;0,_xlfn.MAXIFS(AH$21:AH$141,$A$21:$A$141,"&gt;="&amp;$G124,$A$21:$A$141,"&lt;="&amp;$H124),AI124))</f>
        <v>-0.0160961532832857</v>
      </c>
      <c r="AL124" s="12" t="n">
        <f aca="false">-Cost_k*$A124+Beta_q*(Declarations!$B$16*INDEX(AK$21:AK$141,MAX(1,MIN(121,$B124-ROUND(Declarations!$A$16/$D$18,0))))+Declarations!$B$17*INDEX(AK$21:AK$141,MAX(1,MIN(121,$B124-ROUND(Declarations!$A$17/$D$18,0))))+Declarations!$B$18*INDEX(AK$21:AK$141,MAX(1,MIN(121,$B124-ROUND(Declarations!$A$18/$D$18,0))))+Declarations!$B$19*INDEX(AK$21:AK$141,MAX(1,MIN(121,$B124-ROUND(Declarations!$A$19/$D$18,0))))+Declarations!$B$20*INDEX(AK$21:AK$141,MAX(1,MIN(121,$B124-ROUND(Declarations!$A$20/$D$18,0)))))</f>
        <v>-263.025673041244</v>
      </c>
      <c r="AM124" s="12" t="n">
        <f aca="false">INDEX(AL$21:AL$141,$I124+1)*(1-$J124)+INDEX(AL$21:AL$141,$I124+2)*$J124</f>
        <v>-256.638157735865</v>
      </c>
      <c r="AN124" s="12" t="n">
        <f aca="false">INDEX(AL$21:AL$141,$K124+1)*(1-$L124)+INDEX(AL$21:AL$141,$K124+2)*$L124</f>
        <v>-266.431800539974</v>
      </c>
      <c r="AO124" s="12" t="n">
        <f aca="false">$C124+$D124+MAX(AM124,AN124,IF(COUNTIFS($A$21:$A$141,"&gt;="&amp;$G124,$A$21:$A$141,"&lt;="&amp;$H124)&gt;0,_xlfn.MAXIFS(AL$21:AL$141,$A$21:$A$141,"&gt;="&amp;$G124,$A$21:$A$141,"&lt;="&amp;$H124),AM124))</f>
        <v>-0.213157735865252</v>
      </c>
      <c r="AP124" s="12" t="n">
        <f aca="false">-Cost_k*$A124+Beta_q*(Declarations!$B$16*INDEX(AO$21:AO$141,MAX(1,MIN(121,$B124-ROUND(Declarations!$A$16/$D$18,0))))+Declarations!$B$17*INDEX(AO$21:AO$141,MAX(1,MIN(121,$B124-ROUND(Declarations!$A$17/$D$18,0))))+Declarations!$B$18*INDEX(AO$21:AO$141,MAX(1,MIN(121,$B124-ROUND(Declarations!$A$18/$D$18,0))))+Declarations!$B$19*INDEX(AO$21:AO$141,MAX(1,MIN(121,$B124-ROUND(Declarations!$A$19/$D$18,0))))+Declarations!$B$20*INDEX(AO$21:AO$141,MAX(1,MIN(121,$B124-ROUND(Declarations!$A$20/$D$18,0)))))</f>
        <v>-263.254512946596</v>
      </c>
      <c r="AQ124" s="12" t="n">
        <f aca="false">INDEX(AP$21:AP$141,$I124+1)*(1-$J124)+INDEX(AP$21:AP$141,$I124+2)*$J124</f>
        <v>-257.488404634745</v>
      </c>
      <c r="AR124" s="12" t="n">
        <f aca="false">INDEX(AP$21:AP$141,$K124+1)*(1-$L124)+INDEX(AP$21:AP$141,$K124+2)*$L124</f>
        <v>-266.527986795719</v>
      </c>
      <c r="AS124" s="12" t="n">
        <f aca="false">$C124+$D124+MAX(AQ124,AR124,IF(COUNTIFS($A$21:$A$141,"&gt;="&amp;$G124,$A$21:$A$141,"&lt;="&amp;$H124)&gt;0,_xlfn.MAXIFS(AP$21:AP$141,$A$21:$A$141,"&gt;="&amp;$G124,$A$21:$A$141,"&lt;="&amp;$H124),AQ124))</f>
        <v>-1.06340463474515</v>
      </c>
      <c r="AT124" s="12" t="n">
        <f aca="false">-Cost_k*$A124+Beta_q*(Declarations!$B$16*INDEX(AS$21:AS$141,MAX(1,MIN(121,$B124-ROUND(Declarations!$A$16/$D$18,0))))+Declarations!$B$17*INDEX(AS$21:AS$141,MAX(1,MIN(121,$B124-ROUND(Declarations!$A$17/$D$18,0))))+Declarations!$B$18*INDEX(AS$21:AS$141,MAX(1,MIN(121,$B124-ROUND(Declarations!$A$18/$D$18,0))))+Declarations!$B$19*INDEX(AS$21:AS$141,MAX(1,MIN(121,$B124-ROUND(Declarations!$A$19/$D$18,0))))+Declarations!$B$20*INDEX(AS$21:AS$141,MAX(1,MIN(121,$B124-ROUND(Declarations!$A$20/$D$18,0)))))</f>
        <v>-264.132950721365</v>
      </c>
      <c r="AU124" s="12" t="n">
        <f aca="false">INDEX(AT$21:AT$141,$I124+1)*(1-$J124)+INDEX(AT$21:AT$141,$I124+2)*$J124</f>
        <v>-259.504083923868</v>
      </c>
      <c r="AV124" s="12" t="n">
        <f aca="false">INDEX(AT$21:AT$141,$K124+1)*(1-$L124)+INDEX(AT$21:AT$141,$K124+2)*$L124</f>
        <v>-267.026108777892</v>
      </c>
      <c r="AW124" s="12" t="n">
        <f aca="false">$C124+$D124+MAX(AU124,AV124,IF(COUNTIFS($A$21:$A$141,"&gt;="&amp;$G124,$A$21:$A$141,"&lt;="&amp;$H124)&gt;0,_xlfn.MAXIFS(AT$21:AT$141,$A$21:$A$141,"&gt;="&amp;$G124,$A$21:$A$141,"&lt;="&amp;$H124),AU124))</f>
        <v>-3.07908392386815</v>
      </c>
      <c r="AX124" s="12" t="n">
        <f aca="false">-Cost_k*$A124+Beta_q*(Declarations!$B$16*INDEX(AW$21:AW$141,MAX(1,MIN(121,$B124-ROUND(Declarations!$A$16/$D$18,0))))+Declarations!$B$17*INDEX(AW$21:AW$141,MAX(1,MIN(121,$B124-ROUND(Declarations!$A$17/$D$18,0))))+Declarations!$B$18*INDEX(AW$21:AW$141,MAX(1,MIN(121,$B124-ROUND(Declarations!$A$18/$D$18,0))))+Declarations!$B$19*INDEX(AW$21:AW$141,MAX(1,MIN(121,$B124-ROUND(Declarations!$A$19/$D$18,0))))+Declarations!$B$20*INDEX(AW$21:AW$141,MAX(1,MIN(121,$B124-ROUND(Declarations!$A$20/$D$18,0)))))</f>
        <v>-266.12380836026</v>
      </c>
      <c r="AY124" s="12" t="n">
        <f aca="false">INDEX(AX$21:AX$141,$I124+1)*(1-$J124)+INDEX(AX$21:AX$141,$I124+2)*$J124</f>
        <v>-262.789129201028</v>
      </c>
      <c r="AZ124" s="12" t="n">
        <f aca="false">INDEX(AX$21:AX$141,$K124+1)*(1-$L124)+INDEX(AX$21:AX$141,$K124+2)*$L124</f>
        <v>-268.409913512739</v>
      </c>
      <c r="BA124" s="12" t="n">
        <f aca="false">$C124+$D124+MAX(AY124,AZ124,IF(COUNTIFS($A$21:$A$141,"&gt;="&amp;$G124,$A$21:$A$141,"&lt;="&amp;$H124)&gt;0,_xlfn.MAXIFS(AX$21:AX$141,$A$21:$A$141,"&gt;="&amp;$G124,$A$21:$A$141,"&lt;="&amp;$H124),AY124))</f>
        <v>-6.36412920102833</v>
      </c>
      <c r="BB124" s="12" t="n">
        <f aca="false">-Cost_k*$A124+Beta_q*(Declarations!$B$16*INDEX(BA$21:BA$141,MAX(1,MIN(121,$B124-ROUND(Declarations!$A$16/$D$18,0))))+Declarations!$B$17*INDEX(BA$21:BA$141,MAX(1,MIN(121,$B124-ROUND(Declarations!$A$17/$D$18,0))))+Declarations!$B$18*INDEX(BA$21:BA$141,MAX(1,MIN(121,$B124-ROUND(Declarations!$A$18/$D$18,0))))+Declarations!$B$19*INDEX(BA$21:BA$141,MAX(1,MIN(121,$B124-ROUND(Declarations!$A$19/$D$18,0))))+Declarations!$B$20*INDEX(BA$21:BA$141,MAX(1,MIN(121,$B124-ROUND(Declarations!$A$20/$D$18,0)))))</f>
        <v>-269.308732698045</v>
      </c>
      <c r="BC124" s="12" t="n">
        <f aca="false">INDEX(BB$21:BB$141,$I124+1)*(1-$J124)+INDEX(BB$21:BB$141,$I124+2)*$J124</f>
        <v>-266.915496534386</v>
      </c>
      <c r="BD124" s="12" t="n">
        <f aca="false">INDEX(BB$21:BB$141,$K124+1)*(1-$L124)+INDEX(BB$21:BB$141,$K124+2)*$L124</f>
        <v>-270.976075627703</v>
      </c>
      <c r="BE124" s="12" t="n">
        <f aca="false">$C124+$D124+MAX(BC124,BD124,IF(COUNTIFS($A$21:$A$141,"&gt;="&amp;$G124,$A$21:$A$141,"&lt;="&amp;$H124)&gt;0,_xlfn.MAXIFS(BB$21:BB$141,$A$21:$A$141,"&gt;="&amp;$G124,$A$21:$A$141,"&lt;="&amp;$H124),BC124))</f>
        <v>-10.4904965343861</v>
      </c>
      <c r="BF124" s="12" t="n">
        <f aca="false">-Cost_k*$A124+Beta_q*(Declarations!$B$16*INDEX(BE$21:BE$141,MAX(1,MIN(121,$B124-ROUND(Declarations!$A$16/$D$18,0))))+Declarations!$B$17*INDEX(BE$21:BE$141,MAX(1,MIN(121,$B124-ROUND(Declarations!$A$17/$D$18,0))))+Declarations!$B$18*INDEX(BE$21:BE$141,MAX(1,MIN(121,$B124-ROUND(Declarations!$A$18/$D$18,0))))+Declarations!$B$19*INDEX(BE$21:BE$141,MAX(1,MIN(121,$B124-ROUND(Declarations!$A$19/$D$18,0))))+Declarations!$B$20*INDEX(BE$21:BE$141,MAX(1,MIN(121,$B124-ROUND(Declarations!$A$20/$D$18,0)))))</f>
        <v>-273.297859788632</v>
      </c>
      <c r="BG124" s="12" t="n">
        <f aca="false">INDEX(BF$21:BF$141,$I124+1)*(1-$J124)+INDEX(BF$21:BF$141,$I124+2)*$J124</f>
        <v>-271.347475338407</v>
      </c>
      <c r="BH124" s="12" t="n">
        <f aca="false">INDEX(BF$21:BF$141,$K124+1)*(1-$L124)+INDEX(BF$21:BF$141,$K124+2)*$L124</f>
        <v>-274.557742292821</v>
      </c>
      <c r="BI124" s="12" t="n">
        <f aca="false">$C124+$D124+MAX(BG124,BH124,IF(COUNTIFS($A$21:$A$141,"&gt;="&amp;$G124,$A$21:$A$141,"&lt;="&amp;$H124)&gt;0,_xlfn.MAXIFS(BF$21:BF$141,$A$21:$A$141,"&gt;="&amp;$G124,$A$21:$A$141,"&lt;="&amp;$H124),BG124))</f>
        <v>-14.9224753384071</v>
      </c>
      <c r="BJ124" s="23" t="n">
        <v>-14.9224753384071</v>
      </c>
      <c r="BK124" s="22" t="n">
        <f aca="false">ABS(BI124-BJ124)</f>
        <v>0</v>
      </c>
    </row>
    <row r="125" customFormat="false" ht="15" hidden="false" customHeight="false" outlineLevel="0" collapsed="false">
      <c r="A125" s="14" t="n">
        <f aca="false">A124+$D$18</f>
        <v>66</v>
      </c>
      <c r="B125" s="19" t="n">
        <v>105</v>
      </c>
      <c r="C125" s="12" t="n">
        <f aca="false">-Short_p*MAX(Floor_c-A125,0)</f>
        <v>-0</v>
      </c>
      <c r="D125" s="12" t="n">
        <f aca="false">Cost_k*Alpha_keep*A125</f>
        <v>257.4</v>
      </c>
      <c r="E125" s="12" t="n">
        <f aca="false">MIN(Cap_h,MAX(0,$B$18+MAX(Loss_w)-Alpha_keep*A125))</f>
        <v>0</v>
      </c>
      <c r="F125" s="12" t="n">
        <f aca="false">MAX(MIN(Cap_h,$F$18+MIN(Loss_w)-Alpha_keep*A125),E125)</f>
        <v>2.5</v>
      </c>
      <c r="G125" s="12" t="n">
        <f aca="false">Alpha_keep*A125+E125</f>
        <v>64.35</v>
      </c>
      <c r="H125" s="12" t="n">
        <f aca="false">Alpha_keep*A125+F125</f>
        <v>66.85</v>
      </c>
      <c r="I125" s="19" t="n">
        <f aca="false">MIN(INT((G125-$B$18)/$D$18+0.000000001),119)</f>
        <v>97</v>
      </c>
      <c r="J125" s="12" t="n">
        <f aca="false">(G125-$B$18)/$D$18-I125</f>
        <v>0.399999999999977</v>
      </c>
      <c r="K125" s="19" t="n">
        <f aca="false">MIN(INT((H125-$B$18)/$D$18+0.000000001),119)</f>
        <v>107</v>
      </c>
      <c r="L125" s="12" t="n">
        <f aca="false">(H125-$B$18)/$D$18-K125</f>
        <v>0.399999999999977</v>
      </c>
      <c r="M125" s="9" t="n">
        <v>0</v>
      </c>
      <c r="N125" s="12" t="n">
        <f aca="false">-Cost_k*$A125+Beta_q*(Declarations!$B$16*INDEX(M$21:M$141,MAX(1,MIN(121,$B125-ROUND(Declarations!$A$16/$D$18,0))))+Declarations!$B$17*INDEX(M$21:M$141,MAX(1,MIN(121,$B125-ROUND(Declarations!$A$17/$D$18,0))))+Declarations!$B$18*INDEX(M$21:M$141,MAX(1,MIN(121,$B125-ROUND(Declarations!$A$18/$D$18,0))))+Declarations!$B$19*INDEX(M$21:M$141,MAX(1,MIN(121,$B125-ROUND(Declarations!$A$19/$D$18,0))))+Declarations!$B$20*INDEX(M$21:M$141,MAX(1,MIN(121,$B125-ROUND(Declarations!$A$20/$D$18,0)))))</f>
        <v>-264</v>
      </c>
      <c r="O125" s="12" t="n">
        <f aca="false">INDEX(N$21:N$141,$I125+1)*(1-$J125)+INDEX(N$21:N$141,$I125+2)*$J125</f>
        <v>-257.4</v>
      </c>
      <c r="P125" s="12" t="n">
        <f aca="false">INDEX(N$21:N$141,$K125+1)*(1-$L125)+INDEX(N$21:N$141,$K125+2)*$L125</f>
        <v>-267.4</v>
      </c>
      <c r="Q125" s="12" t="n">
        <f aca="false">$C125+$D125+MAX(O125,P125,IF(COUNTIFS($A$21:$A$141,"&gt;="&amp;$G125,$A$21:$A$141,"&lt;="&amp;$H125)&gt;0,_xlfn.MAXIFS(N$21:N$141,$A$21:$A$141,"&gt;="&amp;$G125,$A$21:$A$141,"&lt;="&amp;$H125),O125))</f>
        <v>0</v>
      </c>
      <c r="R125" s="12" t="n">
        <f aca="false">-Cost_k*$A125+Beta_q*(Declarations!$B$16*INDEX(Q$21:Q$141,MAX(1,MIN(121,$B125-ROUND(Declarations!$A$16/$D$18,0))))+Declarations!$B$17*INDEX(Q$21:Q$141,MAX(1,MIN(121,$B125-ROUND(Declarations!$A$17/$D$18,0))))+Declarations!$B$18*INDEX(Q$21:Q$141,MAX(1,MIN(121,$B125-ROUND(Declarations!$A$18/$D$18,0))))+Declarations!$B$19*INDEX(Q$21:Q$141,MAX(1,MIN(121,$B125-ROUND(Declarations!$A$19/$D$18,0))))+Declarations!$B$20*INDEX(Q$21:Q$141,MAX(1,MIN(121,$B125-ROUND(Declarations!$A$20/$D$18,0)))))</f>
        <v>-264</v>
      </c>
      <c r="S125" s="12" t="n">
        <f aca="false">INDEX(R$21:R$141,$I125+1)*(1-$J125)+INDEX(R$21:R$141,$I125+2)*$J125</f>
        <v>-257.4</v>
      </c>
      <c r="T125" s="12" t="n">
        <f aca="false">INDEX(R$21:R$141,$K125+1)*(1-$L125)+INDEX(R$21:R$141,$K125+2)*$L125</f>
        <v>-267.4</v>
      </c>
      <c r="U125" s="12" t="n">
        <f aca="false">$C125+$D125+MAX(S125,T125,IF(COUNTIFS($A$21:$A$141,"&gt;="&amp;$G125,$A$21:$A$141,"&lt;="&amp;$H125)&gt;0,_xlfn.MAXIFS(R$21:R$141,$A$21:$A$141,"&gt;="&amp;$G125,$A$21:$A$141,"&lt;="&amp;$H125),S125))</f>
        <v>0</v>
      </c>
      <c r="V125" s="12" t="n">
        <f aca="false">-Cost_k*$A125+Beta_q*(Declarations!$B$16*INDEX(U$21:U$141,MAX(1,MIN(121,$B125-ROUND(Declarations!$A$16/$D$18,0))))+Declarations!$B$17*INDEX(U$21:U$141,MAX(1,MIN(121,$B125-ROUND(Declarations!$A$17/$D$18,0))))+Declarations!$B$18*INDEX(U$21:U$141,MAX(1,MIN(121,$B125-ROUND(Declarations!$A$18/$D$18,0))))+Declarations!$B$19*INDEX(U$21:U$141,MAX(1,MIN(121,$B125-ROUND(Declarations!$A$19/$D$18,0))))+Declarations!$B$20*INDEX(U$21:U$141,MAX(1,MIN(121,$B125-ROUND(Declarations!$A$20/$D$18,0)))))</f>
        <v>-264</v>
      </c>
      <c r="W125" s="12" t="n">
        <f aca="false">INDEX(V$21:V$141,$I125+1)*(1-$J125)+INDEX(V$21:V$141,$I125+2)*$J125</f>
        <v>-257.4</v>
      </c>
      <c r="X125" s="12" t="n">
        <f aca="false">INDEX(V$21:V$141,$K125+1)*(1-$L125)+INDEX(V$21:V$141,$K125+2)*$L125</f>
        <v>-267.4</v>
      </c>
      <c r="Y125" s="12" t="n">
        <f aca="false">$C125+$D125+MAX(W125,X125,IF(COUNTIFS($A$21:$A$141,"&gt;="&amp;$G125,$A$21:$A$141,"&lt;="&amp;$H125)&gt;0,_xlfn.MAXIFS(V$21:V$141,$A$21:$A$141,"&gt;="&amp;$G125,$A$21:$A$141,"&lt;="&amp;$H125),W125))</f>
        <v>0</v>
      </c>
      <c r="Z125" s="12" t="n">
        <f aca="false">-Cost_k*$A125+Beta_q*(Declarations!$B$16*INDEX(Y$21:Y$141,MAX(1,MIN(121,$B125-ROUND(Declarations!$A$16/$D$18,0))))+Declarations!$B$17*INDEX(Y$21:Y$141,MAX(1,MIN(121,$B125-ROUND(Declarations!$A$17/$D$18,0))))+Declarations!$B$18*INDEX(Y$21:Y$141,MAX(1,MIN(121,$B125-ROUND(Declarations!$A$18/$D$18,0))))+Declarations!$B$19*INDEX(Y$21:Y$141,MAX(1,MIN(121,$B125-ROUND(Declarations!$A$19/$D$18,0))))+Declarations!$B$20*INDEX(Y$21:Y$141,MAX(1,MIN(121,$B125-ROUND(Declarations!$A$20/$D$18,0)))))</f>
        <v>-264</v>
      </c>
      <c r="AA125" s="12" t="n">
        <f aca="false">INDEX(Z$21:Z$141,$I125+1)*(1-$J125)+INDEX(Z$21:Z$141,$I125+2)*$J125</f>
        <v>-257.4</v>
      </c>
      <c r="AB125" s="12" t="n">
        <f aca="false">INDEX(Z$21:Z$141,$K125+1)*(1-$L125)+INDEX(Z$21:Z$141,$K125+2)*$L125</f>
        <v>-267.4</v>
      </c>
      <c r="AC125" s="12" t="n">
        <f aca="false">$C125+$D125+MAX(AA125,AB125,IF(COUNTIFS($A$21:$A$141,"&gt;="&amp;$G125,$A$21:$A$141,"&lt;="&amp;$H125)&gt;0,_xlfn.MAXIFS(Z$21:Z$141,$A$21:$A$141,"&gt;="&amp;$G125,$A$21:$A$141,"&lt;="&amp;$H125),AA125))</f>
        <v>0</v>
      </c>
      <c r="AD125" s="12" t="n">
        <f aca="false">-Cost_k*$A125+Beta_q*(Declarations!$B$16*INDEX(AC$21:AC$141,MAX(1,MIN(121,$B125-ROUND(Declarations!$A$16/$D$18,0))))+Declarations!$B$17*INDEX(AC$21:AC$141,MAX(1,MIN(121,$B125-ROUND(Declarations!$A$17/$D$18,0))))+Declarations!$B$18*INDEX(AC$21:AC$141,MAX(1,MIN(121,$B125-ROUND(Declarations!$A$18/$D$18,0))))+Declarations!$B$19*INDEX(AC$21:AC$141,MAX(1,MIN(121,$B125-ROUND(Declarations!$A$19/$D$18,0))))+Declarations!$B$20*INDEX(AC$21:AC$141,MAX(1,MIN(121,$B125-ROUND(Declarations!$A$20/$D$18,0)))))</f>
        <v>-264</v>
      </c>
      <c r="AE125" s="12" t="n">
        <f aca="false">INDEX(AD$21:AD$141,$I125+1)*(1-$J125)+INDEX(AD$21:AD$141,$I125+2)*$J125</f>
        <v>-257.400072226115</v>
      </c>
      <c r="AF125" s="12" t="n">
        <f aca="false">INDEX(AD$21:AD$141,$K125+1)*(1-$L125)+INDEX(AD$21:AD$141,$K125+2)*$L125</f>
        <v>-267.4</v>
      </c>
      <c r="AG125" s="12" t="n">
        <f aca="false">$C125+$D125+MAX(AE125,AF125,IF(COUNTIFS($A$21:$A$141,"&gt;="&amp;$G125,$A$21:$A$141,"&lt;="&amp;$H125)&gt;0,_xlfn.MAXIFS(AD$21:AD$141,$A$21:$A$141,"&gt;="&amp;$G125,$A$21:$A$141,"&lt;="&amp;$H125),AE125))</f>
        <v>-7.2226115094054E-005</v>
      </c>
      <c r="AH125" s="12" t="n">
        <f aca="false">-Cost_k*$A125+Beta_q*(Declarations!$B$16*INDEX(AG$21:AG$141,MAX(1,MIN(121,$B125-ROUND(Declarations!$A$16/$D$18,0))))+Declarations!$B$17*INDEX(AG$21:AG$141,MAX(1,MIN(121,$B125-ROUND(Declarations!$A$17/$D$18,0))))+Declarations!$B$18*INDEX(AG$21:AG$141,MAX(1,MIN(121,$B125-ROUND(Declarations!$A$18/$D$18,0))))+Declarations!$B$19*INDEX(AG$21:AG$141,MAX(1,MIN(121,$B125-ROUND(Declarations!$A$19/$D$18,0))))+Declarations!$B$20*INDEX(AG$21:AG$141,MAX(1,MIN(121,$B125-ROUND(Declarations!$A$20/$D$18,0)))))</f>
        <v>-264.000345984951</v>
      </c>
      <c r="AI125" s="12" t="n">
        <f aca="false">INDEX(AH$21:AH$141,$I125+1)*(1-$J125)+INDEX(AH$21:AH$141,$I125+2)*$J125</f>
        <v>-257.410735218054</v>
      </c>
      <c r="AJ125" s="12" t="n">
        <f aca="false">INDEX(AH$21:AH$141,$K125+1)*(1-$L125)+INDEX(AH$21:AH$141,$K125+2)*$L125</f>
        <v>-267.40003844704</v>
      </c>
      <c r="AK125" s="12" t="n">
        <f aca="false">$C125+$D125+MAX(AI125,AJ125,IF(COUNTIFS($A$21:$A$141,"&gt;="&amp;$G125,$A$21:$A$141,"&lt;="&amp;$H125)&gt;0,_xlfn.MAXIFS(AH$21:AH$141,$A$21:$A$141,"&gt;="&amp;$G125,$A$21:$A$141,"&lt;="&amp;$H125),AI125))</f>
        <v>-0.0107352180537532</v>
      </c>
      <c r="AL125" s="12" t="n">
        <f aca="false">-Cost_k*$A125+Beta_q*(Declarations!$B$16*INDEX(AK$21:AK$141,MAX(1,MIN(121,$B125-ROUND(Declarations!$A$16/$D$18,0))))+Declarations!$B$17*INDEX(AK$21:AK$141,MAX(1,MIN(121,$B125-ROUND(Declarations!$A$17/$D$18,0))))+Declarations!$B$18*INDEX(AK$21:AK$141,MAX(1,MIN(121,$B125-ROUND(Declarations!$A$18/$D$18,0))))+Declarations!$B$19*INDEX(AK$21:AK$141,MAX(1,MIN(121,$B125-ROUND(Declarations!$A$19/$D$18,0))))+Declarations!$B$20*INDEX(AK$21:AK$141,MAX(1,MIN(121,$B125-ROUND(Declarations!$A$20/$D$18,0)))))</f>
        <v>-264.017980870621</v>
      </c>
      <c r="AM125" s="12" t="n">
        <f aca="false">INDEX(AL$21:AL$141,$I125+1)*(1-$J125)+INDEX(AL$21:AL$141,$I125+2)*$J125</f>
        <v>-257.563115751963</v>
      </c>
      <c r="AN125" s="12" t="n">
        <f aca="false">INDEX(AL$21:AL$141,$K125+1)*(1-$L125)+INDEX(AL$21:AL$141,$K125+2)*$L125</f>
        <v>-267.404539263169</v>
      </c>
      <c r="AO125" s="12" t="n">
        <f aca="false">$C125+$D125+MAX(AM125,AN125,IF(COUNTIFS($A$21:$A$141,"&gt;="&amp;$G125,$A$21:$A$141,"&lt;="&amp;$H125)&gt;0,_xlfn.MAXIFS(AL$21:AL$141,$A$21:$A$141,"&gt;="&amp;$G125,$A$21:$A$141,"&lt;="&amp;$H125),AM125))</f>
        <v>-0.163115751962891</v>
      </c>
      <c r="AP125" s="12" t="n">
        <f aca="false">-Cost_k*$A125+Beta_q*(Declarations!$B$16*INDEX(AO$21:AO$141,MAX(1,MIN(121,$B125-ROUND(Declarations!$A$16/$D$18,0))))+Declarations!$B$17*INDEX(AO$21:AO$141,MAX(1,MIN(121,$B125-ROUND(Declarations!$A$17/$D$18,0))))+Declarations!$B$18*INDEX(AO$21:AO$141,MAX(1,MIN(121,$B125-ROUND(Declarations!$A$18/$D$18,0))))+Declarations!$B$19*INDEX(AO$21:AO$141,MAX(1,MIN(121,$B125-ROUND(Declarations!$A$19/$D$18,0))))+Declarations!$B$20*INDEX(AO$21:AO$141,MAX(1,MIN(121,$B125-ROUND(Declarations!$A$20/$D$18,0)))))</f>
        <v>-264.198621040539</v>
      </c>
      <c r="AQ125" s="12" t="n">
        <f aca="false">INDEX(AP$21:AP$141,$I125+1)*(1-$J125)+INDEX(AP$21:AP$141,$I125+2)*$J125</f>
        <v>-258.284825196087</v>
      </c>
      <c r="AR125" s="12" t="n">
        <f aca="false">INDEX(AP$21:AP$141,$K125+1)*(1-$L125)+INDEX(AP$21:AP$141,$K125+2)*$L125</f>
        <v>-267.47789697144</v>
      </c>
      <c r="AS125" s="12" t="n">
        <f aca="false">$C125+$D125+MAX(AQ125,AR125,IF(COUNTIFS($A$21:$A$141,"&gt;="&amp;$G125,$A$21:$A$141,"&lt;="&amp;$H125)&gt;0,_xlfn.MAXIFS(AP$21:AP$141,$A$21:$A$141,"&gt;="&amp;$G125,$A$21:$A$141,"&lt;="&amp;$H125),AQ125))</f>
        <v>-0.884825196086979</v>
      </c>
      <c r="AT125" s="12" t="n">
        <f aca="false">-Cost_k*$A125+Beta_q*(Declarations!$B$16*INDEX(AS$21:AS$141,MAX(1,MIN(121,$B125-ROUND(Declarations!$A$16/$D$18,0))))+Declarations!$B$17*INDEX(AS$21:AS$141,MAX(1,MIN(121,$B125-ROUND(Declarations!$A$17/$D$18,0))))+Declarations!$B$18*INDEX(AS$21:AS$141,MAX(1,MIN(121,$B125-ROUND(Declarations!$A$18/$D$18,0))))+Declarations!$B$19*INDEX(AS$21:AS$141,MAX(1,MIN(121,$B125-ROUND(Declarations!$A$19/$D$18,0))))+Declarations!$B$20*INDEX(AS$21:AS$141,MAX(1,MIN(121,$B125-ROUND(Declarations!$A$20/$D$18,0)))))</f>
        <v>-264.950904277426</v>
      </c>
      <c r="AU125" s="12" t="n">
        <f aca="false">INDEX(AT$21:AT$141,$I125+1)*(1-$J125)+INDEX(AT$21:AT$141,$I125+2)*$J125</f>
        <v>-260.103838584828</v>
      </c>
      <c r="AV125" s="12" t="n">
        <f aca="false">INDEX(AT$21:AT$141,$K125+1)*(1-$L125)+INDEX(AT$21:AT$141,$K125+2)*$L125</f>
        <v>-267.893841514343</v>
      </c>
      <c r="AW125" s="12" t="n">
        <f aca="false">$C125+$D125+MAX(AU125,AV125,IF(COUNTIFS($A$21:$A$141,"&gt;="&amp;$G125,$A$21:$A$141,"&lt;="&amp;$H125)&gt;0,_xlfn.MAXIFS(AT$21:AT$141,$A$21:$A$141,"&gt;="&amp;$G125,$A$21:$A$141,"&lt;="&amp;$H125),AU125))</f>
        <v>-2.70383858482785</v>
      </c>
      <c r="AX125" s="12" t="n">
        <f aca="false">-Cost_k*$A125+Beta_q*(Declarations!$B$16*INDEX(AW$21:AW$141,MAX(1,MIN(121,$B125-ROUND(Declarations!$A$16/$D$18,0))))+Declarations!$B$17*INDEX(AW$21:AW$141,MAX(1,MIN(121,$B125-ROUND(Declarations!$A$17/$D$18,0))))+Declarations!$B$18*INDEX(AW$21:AW$141,MAX(1,MIN(121,$B125-ROUND(Declarations!$A$18/$D$18,0))))+Declarations!$B$19*INDEX(AW$21:AW$141,MAX(1,MIN(121,$B125-ROUND(Declarations!$A$19/$D$18,0))))+Declarations!$B$20*INDEX(AW$21:AW$141,MAX(1,MIN(121,$B125-ROUND(Declarations!$A$20/$D$18,0)))))</f>
        <v>-266.75470374668</v>
      </c>
      <c r="AY125" s="12" t="n">
        <f aca="false">INDEX(AX$21:AX$141,$I125+1)*(1-$J125)+INDEX(AX$21:AX$141,$I125+2)*$J125</f>
        <v>-263.201110567376</v>
      </c>
      <c r="AZ125" s="12" t="n">
        <f aca="false">INDEX(AX$21:AX$141,$K125+1)*(1-$L125)+INDEX(AX$21:AX$141,$K125+2)*$L125</f>
        <v>-269.124183425177</v>
      </c>
      <c r="BA125" s="12" t="n">
        <f aca="false">$C125+$D125+MAX(AY125,AZ125,IF(COUNTIFS($A$21:$A$141,"&gt;="&amp;$G125,$A$21:$A$141,"&lt;="&amp;$H125)&gt;0,_xlfn.MAXIFS(AX$21:AX$141,$A$21:$A$141,"&gt;="&amp;$G125,$A$21:$A$141,"&lt;="&amp;$H125),AY125))</f>
        <v>-5.80111056737604</v>
      </c>
      <c r="BB125" s="12" t="n">
        <f aca="false">-Cost_k*$A125+Beta_q*(Declarations!$B$16*INDEX(BA$21:BA$141,MAX(1,MIN(121,$B125-ROUND(Declarations!$A$16/$D$18,0))))+Declarations!$B$17*INDEX(BA$21:BA$141,MAX(1,MIN(121,$B125-ROUND(Declarations!$A$17/$D$18,0))))+Declarations!$B$18*INDEX(BA$21:BA$141,MAX(1,MIN(121,$B125-ROUND(Declarations!$A$18/$D$18,0))))+Declarations!$B$19*INDEX(BA$21:BA$141,MAX(1,MIN(121,$B125-ROUND(Declarations!$A$19/$D$18,0))))+Declarations!$B$20*INDEX(BA$21:BA$141,MAX(1,MIN(121,$B125-ROUND(Declarations!$A$20/$D$18,0)))))</f>
        <v>-269.762759903201</v>
      </c>
      <c r="BC125" s="12" t="n">
        <f aca="false">INDEX(BB$21:BB$141,$I125+1)*(1-$J125)+INDEX(BB$21:BB$141,$I125+2)*$J125</f>
        <v>-267.217227624254</v>
      </c>
      <c r="BD125" s="12" t="n">
        <f aca="false">INDEX(BB$21:BB$141,$K125+1)*(1-$L125)+INDEX(BB$21:BB$141,$K125+2)*$L125</f>
        <v>-271.510802942134</v>
      </c>
      <c r="BE125" s="12" t="n">
        <f aca="false">$C125+$D125+MAX(BC125,BD125,IF(COUNTIFS($A$21:$A$141,"&gt;="&amp;$G125,$A$21:$A$141,"&lt;="&amp;$H125)&gt;0,_xlfn.MAXIFS(BB$21:BB$141,$A$21:$A$141,"&gt;="&amp;$G125,$A$21:$A$141,"&lt;="&amp;$H125),BC125))</f>
        <v>-9.81722762425369</v>
      </c>
      <c r="BF125" s="12" t="n">
        <f aca="false">-Cost_k*$A125+Beta_q*(Declarations!$B$16*INDEX(BE$21:BE$141,MAX(1,MIN(121,$B125-ROUND(Declarations!$A$16/$D$18,0))))+Declarations!$B$17*INDEX(BE$21:BE$141,MAX(1,MIN(121,$B125-ROUND(Declarations!$A$17/$D$18,0))))+Declarations!$B$18*INDEX(BE$21:BE$141,MAX(1,MIN(121,$B125-ROUND(Declarations!$A$18/$D$18,0))))+Declarations!$B$19*INDEX(BE$21:BE$141,MAX(1,MIN(121,$B125-ROUND(Declarations!$A$19/$D$18,0))))+Declarations!$B$20*INDEX(BE$21:BE$141,MAX(1,MIN(121,$B125-ROUND(Declarations!$A$20/$D$18,0)))))</f>
        <v>-273.645068414223</v>
      </c>
      <c r="BG125" s="12" t="n">
        <f aca="false">INDEX(BF$21:BF$141,$I125+1)*(1-$J125)+INDEX(BF$21:BF$141,$I125+2)*$J125</f>
        <v>-271.607960590124</v>
      </c>
      <c r="BH125" s="12" t="n">
        <f aca="false">INDEX(BF$21:BF$141,$K125+1)*(1-$L125)+INDEX(BF$21:BF$141,$K125+2)*$L125</f>
        <v>-274.956034473027</v>
      </c>
      <c r="BI125" s="12" t="n">
        <f aca="false">$C125+$D125+MAX(BG125,BH125,IF(COUNTIFS($A$21:$A$141,"&gt;="&amp;$G125,$A$21:$A$141,"&lt;="&amp;$H125)&gt;0,_xlfn.MAXIFS(BF$21:BF$141,$A$21:$A$141,"&gt;="&amp;$G125,$A$21:$A$141,"&lt;="&amp;$H125),BG125))</f>
        <v>-14.2079605901243</v>
      </c>
      <c r="BJ125" s="23" t="n">
        <v>-14.2079605901243</v>
      </c>
      <c r="BK125" s="22" t="n">
        <f aca="false">ABS(BI125-BJ125)</f>
        <v>0</v>
      </c>
    </row>
    <row r="126" customFormat="false" ht="15" hidden="false" customHeight="false" outlineLevel="0" collapsed="false">
      <c r="A126" s="14" t="n">
        <f aca="false">A125+$D$18</f>
        <v>66.25</v>
      </c>
      <c r="B126" s="19" t="n">
        <v>106</v>
      </c>
      <c r="C126" s="12" t="n">
        <f aca="false">-Short_p*MAX(Floor_c-A126,0)</f>
        <v>-0</v>
      </c>
      <c r="D126" s="12" t="n">
        <f aca="false">Cost_k*Alpha_keep*A126</f>
        <v>258.375</v>
      </c>
      <c r="E126" s="12" t="n">
        <f aca="false">MIN(Cap_h,MAX(0,$B$18+MAX(Loss_w)-Alpha_keep*A126))</f>
        <v>0</v>
      </c>
      <c r="F126" s="12" t="n">
        <f aca="false">MAX(MIN(Cap_h,$F$18+MIN(Loss_w)-Alpha_keep*A126),E126)</f>
        <v>2.5</v>
      </c>
      <c r="G126" s="12" t="n">
        <f aca="false">Alpha_keep*A126+E126</f>
        <v>64.59375</v>
      </c>
      <c r="H126" s="12" t="n">
        <f aca="false">Alpha_keep*A126+F126</f>
        <v>67.09375</v>
      </c>
      <c r="I126" s="19" t="n">
        <f aca="false">MIN(INT((G126-$B$18)/$D$18+0.000000001),119)</f>
        <v>98</v>
      </c>
      <c r="J126" s="12" t="n">
        <f aca="false">(G126-$B$18)/$D$18-I126</f>
        <v>0.375</v>
      </c>
      <c r="K126" s="19" t="n">
        <f aca="false">MIN(INT((H126-$B$18)/$D$18+0.000000001),119)</f>
        <v>108</v>
      </c>
      <c r="L126" s="12" t="n">
        <f aca="false">(H126-$B$18)/$D$18-K126</f>
        <v>0.375</v>
      </c>
      <c r="M126" s="9" t="n">
        <v>0</v>
      </c>
      <c r="N126" s="12" t="n">
        <f aca="false">-Cost_k*$A126+Beta_q*(Declarations!$B$16*INDEX(M$21:M$141,MAX(1,MIN(121,$B126-ROUND(Declarations!$A$16/$D$18,0))))+Declarations!$B$17*INDEX(M$21:M$141,MAX(1,MIN(121,$B126-ROUND(Declarations!$A$17/$D$18,0))))+Declarations!$B$18*INDEX(M$21:M$141,MAX(1,MIN(121,$B126-ROUND(Declarations!$A$18/$D$18,0))))+Declarations!$B$19*INDEX(M$21:M$141,MAX(1,MIN(121,$B126-ROUND(Declarations!$A$19/$D$18,0))))+Declarations!$B$20*INDEX(M$21:M$141,MAX(1,MIN(121,$B126-ROUND(Declarations!$A$20/$D$18,0)))))</f>
        <v>-265</v>
      </c>
      <c r="O126" s="12" t="n">
        <f aca="false">INDEX(N$21:N$141,$I126+1)*(1-$J126)+INDEX(N$21:N$141,$I126+2)*$J126</f>
        <v>-258.375</v>
      </c>
      <c r="P126" s="12" t="n">
        <f aca="false">INDEX(N$21:N$141,$K126+1)*(1-$L126)+INDEX(N$21:N$141,$K126+2)*$L126</f>
        <v>-268.375</v>
      </c>
      <c r="Q126" s="12" t="n">
        <f aca="false">$C126+$D126+MAX(O126,P126,IF(COUNTIFS($A$21:$A$141,"&gt;="&amp;$G126,$A$21:$A$141,"&lt;="&amp;$H126)&gt;0,_xlfn.MAXIFS(N$21:N$141,$A$21:$A$141,"&gt;="&amp;$G126,$A$21:$A$141,"&lt;="&amp;$H126),O126))</f>
        <v>0</v>
      </c>
      <c r="R126" s="12" t="n">
        <f aca="false">-Cost_k*$A126+Beta_q*(Declarations!$B$16*INDEX(Q$21:Q$141,MAX(1,MIN(121,$B126-ROUND(Declarations!$A$16/$D$18,0))))+Declarations!$B$17*INDEX(Q$21:Q$141,MAX(1,MIN(121,$B126-ROUND(Declarations!$A$17/$D$18,0))))+Declarations!$B$18*INDEX(Q$21:Q$141,MAX(1,MIN(121,$B126-ROUND(Declarations!$A$18/$D$18,0))))+Declarations!$B$19*INDEX(Q$21:Q$141,MAX(1,MIN(121,$B126-ROUND(Declarations!$A$19/$D$18,0))))+Declarations!$B$20*INDEX(Q$21:Q$141,MAX(1,MIN(121,$B126-ROUND(Declarations!$A$20/$D$18,0)))))</f>
        <v>-265</v>
      </c>
      <c r="S126" s="12" t="n">
        <f aca="false">INDEX(R$21:R$141,$I126+1)*(1-$J126)+INDEX(R$21:R$141,$I126+2)*$J126</f>
        <v>-258.375</v>
      </c>
      <c r="T126" s="12" t="n">
        <f aca="false">INDEX(R$21:R$141,$K126+1)*(1-$L126)+INDEX(R$21:R$141,$K126+2)*$L126</f>
        <v>-268.375</v>
      </c>
      <c r="U126" s="12" t="n">
        <f aca="false">$C126+$D126+MAX(S126,T126,IF(COUNTIFS($A$21:$A$141,"&gt;="&amp;$G126,$A$21:$A$141,"&lt;="&amp;$H126)&gt;0,_xlfn.MAXIFS(R$21:R$141,$A$21:$A$141,"&gt;="&amp;$G126,$A$21:$A$141,"&lt;="&amp;$H126),S126))</f>
        <v>0</v>
      </c>
      <c r="V126" s="12" t="n">
        <f aca="false">-Cost_k*$A126+Beta_q*(Declarations!$B$16*INDEX(U$21:U$141,MAX(1,MIN(121,$B126-ROUND(Declarations!$A$16/$D$18,0))))+Declarations!$B$17*INDEX(U$21:U$141,MAX(1,MIN(121,$B126-ROUND(Declarations!$A$17/$D$18,0))))+Declarations!$B$18*INDEX(U$21:U$141,MAX(1,MIN(121,$B126-ROUND(Declarations!$A$18/$D$18,0))))+Declarations!$B$19*INDEX(U$21:U$141,MAX(1,MIN(121,$B126-ROUND(Declarations!$A$19/$D$18,0))))+Declarations!$B$20*INDEX(U$21:U$141,MAX(1,MIN(121,$B126-ROUND(Declarations!$A$20/$D$18,0)))))</f>
        <v>-265</v>
      </c>
      <c r="W126" s="12" t="n">
        <f aca="false">INDEX(V$21:V$141,$I126+1)*(1-$J126)+INDEX(V$21:V$141,$I126+2)*$J126</f>
        <v>-258.375</v>
      </c>
      <c r="X126" s="12" t="n">
        <f aca="false">INDEX(V$21:V$141,$K126+1)*(1-$L126)+INDEX(V$21:V$141,$K126+2)*$L126</f>
        <v>-268.375</v>
      </c>
      <c r="Y126" s="12" t="n">
        <f aca="false">$C126+$D126+MAX(W126,X126,IF(COUNTIFS($A$21:$A$141,"&gt;="&amp;$G126,$A$21:$A$141,"&lt;="&amp;$H126)&gt;0,_xlfn.MAXIFS(V$21:V$141,$A$21:$A$141,"&gt;="&amp;$G126,$A$21:$A$141,"&lt;="&amp;$H126),W126))</f>
        <v>0</v>
      </c>
      <c r="Z126" s="12" t="n">
        <f aca="false">-Cost_k*$A126+Beta_q*(Declarations!$B$16*INDEX(Y$21:Y$141,MAX(1,MIN(121,$B126-ROUND(Declarations!$A$16/$D$18,0))))+Declarations!$B$17*INDEX(Y$21:Y$141,MAX(1,MIN(121,$B126-ROUND(Declarations!$A$17/$D$18,0))))+Declarations!$B$18*INDEX(Y$21:Y$141,MAX(1,MIN(121,$B126-ROUND(Declarations!$A$18/$D$18,0))))+Declarations!$B$19*INDEX(Y$21:Y$141,MAX(1,MIN(121,$B126-ROUND(Declarations!$A$19/$D$18,0))))+Declarations!$B$20*INDEX(Y$21:Y$141,MAX(1,MIN(121,$B126-ROUND(Declarations!$A$20/$D$18,0)))))</f>
        <v>-265</v>
      </c>
      <c r="AA126" s="12" t="n">
        <f aca="false">INDEX(Z$21:Z$141,$I126+1)*(1-$J126)+INDEX(Z$21:Z$141,$I126+2)*$J126</f>
        <v>-258.375</v>
      </c>
      <c r="AB126" s="12" t="n">
        <f aca="false">INDEX(Z$21:Z$141,$K126+1)*(1-$L126)+INDEX(Z$21:Z$141,$K126+2)*$L126</f>
        <v>-268.375</v>
      </c>
      <c r="AC126" s="12" t="n">
        <f aca="false">$C126+$D126+MAX(AA126,AB126,IF(COUNTIFS($A$21:$A$141,"&gt;="&amp;$G126,$A$21:$A$141,"&lt;="&amp;$H126)&gt;0,_xlfn.MAXIFS(Z$21:Z$141,$A$21:$A$141,"&gt;="&amp;$G126,$A$21:$A$141,"&lt;="&amp;$H126),AA126))</f>
        <v>0</v>
      </c>
      <c r="AD126" s="12" t="n">
        <f aca="false">-Cost_k*$A126+Beta_q*(Declarations!$B$16*INDEX(AC$21:AC$141,MAX(1,MIN(121,$B126-ROUND(Declarations!$A$16/$D$18,0))))+Declarations!$B$17*INDEX(AC$21:AC$141,MAX(1,MIN(121,$B126-ROUND(Declarations!$A$17/$D$18,0))))+Declarations!$B$18*INDEX(AC$21:AC$141,MAX(1,MIN(121,$B126-ROUND(Declarations!$A$18/$D$18,0))))+Declarations!$B$19*INDEX(AC$21:AC$141,MAX(1,MIN(121,$B126-ROUND(Declarations!$A$19/$D$18,0))))+Declarations!$B$20*INDEX(AC$21:AC$141,MAX(1,MIN(121,$B126-ROUND(Declarations!$A$20/$D$18,0)))))</f>
        <v>-265</v>
      </c>
      <c r="AE126" s="12" t="n">
        <f aca="false">INDEX(AD$21:AD$141,$I126+1)*(1-$J126)+INDEX(AD$21:AD$141,$I126+2)*$J126</f>
        <v>-258.375037324569</v>
      </c>
      <c r="AF126" s="12" t="n">
        <f aca="false">INDEX(AD$21:AD$141,$K126+1)*(1-$L126)+INDEX(AD$21:AD$141,$K126+2)*$L126</f>
        <v>-268.375</v>
      </c>
      <c r="AG126" s="12" t="n">
        <f aca="false">$C126+$D126+MAX(AE126,AF126,IF(COUNTIFS($A$21:$A$141,"&gt;="&amp;$G126,$A$21:$A$141,"&lt;="&amp;$H126)&gt;0,_xlfn.MAXIFS(AD$21:AD$141,$A$21:$A$141,"&gt;="&amp;$G126,$A$21:$A$141,"&lt;="&amp;$H126),AE126))</f>
        <v>-3.73245694049729E-005</v>
      </c>
      <c r="AH126" s="12" t="n">
        <f aca="false">-Cost_k*$A126+Beta_q*(Declarations!$B$16*INDEX(AG$21:AG$141,MAX(1,MIN(121,$B126-ROUND(Declarations!$A$16/$D$18,0))))+Declarations!$B$17*INDEX(AG$21:AG$141,MAX(1,MIN(121,$B126-ROUND(Declarations!$A$17/$D$18,0))))+Declarations!$B$18*INDEX(AG$21:AG$141,MAX(1,MIN(121,$B126-ROUND(Declarations!$A$18/$D$18,0))))+Declarations!$B$19*INDEX(AG$21:AG$141,MAX(1,MIN(121,$B126-ROUND(Declarations!$A$19/$D$18,0))))+Declarations!$B$20*INDEX(AG$21:AG$141,MAX(1,MIN(121,$B126-ROUND(Declarations!$A$20/$D$18,0)))))</f>
        <v>-265.000189736014</v>
      </c>
      <c r="AI126" s="12" t="n">
        <f aca="false">INDEX(AH$21:AH$141,$I126+1)*(1-$J126)+INDEX(AH$21:AH$141,$I126+2)*$J126</f>
        <v>-258.38203597957</v>
      </c>
      <c r="AJ126" s="12" t="n">
        <f aca="false">INDEX(AH$21:AH$141,$K126+1)*(1-$L126)+INDEX(AH$21:AH$141,$K126+2)*$L126</f>
        <v>-268.375019479432</v>
      </c>
      <c r="AK126" s="12" t="n">
        <f aca="false">$C126+$D126+MAX(AI126,AJ126,IF(COUNTIFS($A$21:$A$141,"&gt;="&amp;$G126,$A$21:$A$141,"&lt;="&amp;$H126)&gt;0,_xlfn.MAXIFS(AH$21:AH$141,$A$21:$A$141,"&gt;="&amp;$G126,$A$21:$A$141,"&lt;="&amp;$H126),AI126))</f>
        <v>-0.00703597956965041</v>
      </c>
      <c r="AL126" s="12" t="n">
        <f aca="false">-Cost_k*$A126+Beta_q*(Declarations!$B$16*INDEX(AK$21:AK$141,MAX(1,MIN(121,$B126-ROUND(Declarations!$A$16/$D$18,0))))+Declarations!$B$17*INDEX(AK$21:AK$141,MAX(1,MIN(121,$B126-ROUND(Declarations!$A$17/$D$18,0))))+Declarations!$B$18*INDEX(AK$21:AK$141,MAX(1,MIN(121,$B126-ROUND(Declarations!$A$18/$D$18,0))))+Declarations!$B$19*INDEX(AK$21:AK$141,MAX(1,MIN(121,$B126-ROUND(Declarations!$A$19/$D$18,0))))+Declarations!$B$20*INDEX(AK$21:AK$141,MAX(1,MIN(121,$B126-ROUND(Declarations!$A$20/$D$18,0)))))</f>
        <v>-265.012208052946</v>
      </c>
      <c r="AM126" s="12" t="n">
        <f aca="false">INDEX(AL$21:AL$141,$I126+1)*(1-$J126)+INDEX(AL$21:AL$141,$I126+2)*$J126</f>
        <v>-258.497919871374</v>
      </c>
      <c r="AN126" s="12" t="n">
        <f aca="false">INDEX(AL$21:AL$141,$K126+1)*(1-$L126)+INDEX(AL$21:AL$141,$K126+2)*$L126</f>
        <v>-268.377952855821</v>
      </c>
      <c r="AO126" s="12" t="n">
        <f aca="false">$C126+$D126+MAX(AM126,AN126,IF(COUNTIFS($A$21:$A$141,"&gt;="&amp;$G126,$A$21:$A$141,"&lt;="&amp;$H126)&gt;0,_xlfn.MAXIFS(AL$21:AL$141,$A$21:$A$141,"&gt;="&amp;$G126,$A$21:$A$141,"&lt;="&amp;$H126),AM126))</f>
        <v>-0.122919871374279</v>
      </c>
      <c r="AP126" s="12" t="n">
        <f aca="false">-Cost_k*$A126+Beta_q*(Declarations!$B$16*INDEX(AO$21:AO$141,MAX(1,MIN(121,$B126-ROUND(Declarations!$A$16/$D$18,0))))+Declarations!$B$17*INDEX(AO$21:AO$141,MAX(1,MIN(121,$B126-ROUND(Declarations!$A$17/$D$18,0))))+Declarations!$B$18*INDEX(AO$21:AO$141,MAX(1,MIN(121,$B126-ROUND(Declarations!$A$18/$D$18,0))))+Declarations!$B$19*INDEX(AO$21:AO$141,MAX(1,MIN(121,$B126-ROUND(Declarations!$A$19/$D$18,0))))+Declarations!$B$20*INDEX(AO$21:AO$141,MAX(1,MIN(121,$B126-ROUND(Declarations!$A$20/$D$18,0)))))</f>
        <v>-265.15254924161</v>
      </c>
      <c r="AQ126" s="12" t="n">
        <f aca="false">INDEX(AP$21:AP$141,$I126+1)*(1-$J126)+INDEX(AP$21:AP$141,$I126+2)*$J126</f>
        <v>-259.103948078946</v>
      </c>
      <c r="AR126" s="12" t="n">
        <f aca="false">INDEX(AP$21:AP$141,$K126+1)*(1-$L126)+INDEX(AP$21:AP$141,$K126+2)*$L126</f>
        <v>-268.433081855327</v>
      </c>
      <c r="AS126" s="12" t="n">
        <f aca="false">$C126+$D126+MAX(AQ126,AR126,IF(COUNTIFS($A$21:$A$141,"&gt;="&amp;$G126,$A$21:$A$141,"&lt;="&amp;$H126)&gt;0,_xlfn.MAXIFS(AP$21:AP$141,$A$21:$A$141,"&gt;="&amp;$G126,$A$21:$A$141,"&lt;="&amp;$H126),AQ126))</f>
        <v>-0.728948078945678</v>
      </c>
      <c r="AT126" s="12" t="n">
        <f aca="false">-Cost_k*$A126+Beta_q*(Declarations!$B$16*INDEX(AS$21:AS$141,MAX(1,MIN(121,$B126-ROUND(Declarations!$A$16/$D$18,0))))+Declarations!$B$17*INDEX(AS$21:AS$141,MAX(1,MIN(121,$B126-ROUND(Declarations!$A$17/$D$18,0))))+Declarations!$B$18*INDEX(AS$21:AS$141,MAX(1,MIN(121,$B126-ROUND(Declarations!$A$18/$D$18,0))))+Declarations!$B$19*INDEX(AS$21:AS$141,MAX(1,MIN(121,$B126-ROUND(Declarations!$A$19/$D$18,0))))+Declarations!$B$20*INDEX(AS$21:AS$141,MAX(1,MIN(121,$B126-ROUND(Declarations!$A$20/$D$18,0)))))</f>
        <v>-265.790670368961</v>
      </c>
      <c r="AU126" s="12" t="n">
        <f aca="false">INDEX(AT$21:AT$141,$I126+1)*(1-$J126)+INDEX(AT$21:AT$141,$I126+2)*$J126</f>
        <v>-260.734198371011</v>
      </c>
      <c r="AV126" s="12" t="n">
        <f aca="false">INDEX(AT$21:AT$141,$K126+1)*(1-$L126)+INDEX(AT$21:AT$141,$K126+2)*$L126</f>
        <v>-268.777075498712</v>
      </c>
      <c r="AW126" s="12" t="n">
        <f aca="false">$C126+$D126+MAX(AU126,AV126,IF(COUNTIFS($A$21:$A$141,"&gt;="&amp;$G126,$A$21:$A$141,"&lt;="&amp;$H126)&gt;0,_xlfn.MAXIFS(AT$21:AT$141,$A$21:$A$141,"&gt;="&amp;$G126,$A$21:$A$141,"&lt;="&amp;$H126),AU126))</f>
        <v>-2.35919837101091</v>
      </c>
      <c r="AX126" s="12" t="n">
        <f aca="false">-Cost_k*$A126+Beta_q*(Declarations!$B$16*INDEX(AW$21:AW$141,MAX(1,MIN(121,$B126-ROUND(Declarations!$A$16/$D$18,0))))+Declarations!$B$17*INDEX(AW$21:AW$141,MAX(1,MIN(121,$B126-ROUND(Declarations!$A$17/$D$18,0))))+Declarations!$B$18*INDEX(AW$21:AW$141,MAX(1,MIN(121,$B126-ROUND(Declarations!$A$18/$D$18,0))))+Declarations!$B$19*INDEX(AW$21:AW$141,MAX(1,MIN(121,$B126-ROUND(Declarations!$A$19/$D$18,0))))+Declarations!$B$20*INDEX(AW$21:AW$141,MAX(1,MIN(121,$B126-ROUND(Declarations!$A$20/$D$18,0)))))</f>
        <v>-267.414663613767</v>
      </c>
      <c r="AY126" s="12" t="n">
        <f aca="false">INDEX(AX$21:AX$141,$I126+1)*(1-$J126)+INDEX(AX$21:AX$141,$I126+2)*$J126</f>
        <v>-263.639668764374</v>
      </c>
      <c r="AZ126" s="12" t="n">
        <f aca="false">INDEX(AX$21:AX$141,$K126+1)*(1-$L126)+INDEX(AX$21:AX$141,$K126+2)*$L126</f>
        <v>-269.863733730031</v>
      </c>
      <c r="BA126" s="12" t="n">
        <f aca="false">$C126+$D126+MAX(AY126,AZ126,IF(COUNTIFS($A$21:$A$141,"&gt;="&amp;$G126,$A$21:$A$141,"&lt;="&amp;$H126)&gt;0,_xlfn.MAXIFS(AX$21:AX$141,$A$21:$A$141,"&gt;="&amp;$G126,$A$21:$A$141,"&lt;="&amp;$H126),AY126))</f>
        <v>-5.26466876437411</v>
      </c>
      <c r="BB126" s="12" t="n">
        <f aca="false">-Cost_k*$A126+Beta_q*(Declarations!$B$16*INDEX(BA$21:BA$141,MAX(1,MIN(121,$B126-ROUND(Declarations!$A$16/$D$18,0))))+Declarations!$B$17*INDEX(BA$21:BA$141,MAX(1,MIN(121,$B126-ROUND(Declarations!$A$17/$D$18,0))))+Declarations!$B$18*INDEX(BA$21:BA$141,MAX(1,MIN(121,$B126-ROUND(Declarations!$A$18/$D$18,0))))+Declarations!$B$19*INDEX(BA$21:BA$141,MAX(1,MIN(121,$B126-ROUND(Declarations!$A$19/$D$18,0))))+Declarations!$B$20*INDEX(BA$21:BA$141,MAX(1,MIN(121,$B126-ROUND(Declarations!$A$20/$D$18,0)))))</f>
        <v>-270.242219291329</v>
      </c>
      <c r="BC126" s="12" t="n">
        <f aca="false">INDEX(BB$21:BB$141,$I126+1)*(1-$J126)+INDEX(BB$21:BB$141,$I126+2)*$J126</f>
        <v>-267.53479815927</v>
      </c>
      <c r="BD126" s="12" t="n">
        <f aca="false">INDEX(BB$21:BB$141,$K126+1)*(1-$L126)+INDEX(BB$21:BB$141,$K126+2)*$L126</f>
        <v>-272.072319955379</v>
      </c>
      <c r="BE126" s="12" t="n">
        <f aca="false">$C126+$D126+MAX(BC126,BD126,IF(COUNTIFS($A$21:$A$141,"&gt;="&amp;$G126,$A$21:$A$141,"&lt;="&amp;$H126)&gt;0,_xlfn.MAXIFS(BB$21:BB$141,$A$21:$A$141,"&gt;="&amp;$G126,$A$21:$A$141,"&lt;="&amp;$H126),BC126))</f>
        <v>-9.15979815927005</v>
      </c>
      <c r="BF126" s="12" t="n">
        <f aca="false">-Cost_k*$A126+Beta_q*(Declarations!$B$16*INDEX(BE$21:BE$141,MAX(1,MIN(121,$B126-ROUND(Declarations!$A$16/$D$18,0))))+Declarations!$B$17*INDEX(BE$21:BE$141,MAX(1,MIN(121,$B126-ROUND(Declarations!$A$17/$D$18,0))))+Declarations!$B$18*INDEX(BE$21:BE$141,MAX(1,MIN(121,$B126-ROUND(Declarations!$A$18/$D$18,0))))+Declarations!$B$19*INDEX(BE$21:BE$141,MAX(1,MIN(121,$B126-ROUND(Declarations!$A$19/$D$18,0))))+Declarations!$B$20*INDEX(BE$21:BE$141,MAX(1,MIN(121,$B126-ROUND(Declarations!$A$20/$D$18,0)))))</f>
        <v>-274.00800583919</v>
      </c>
      <c r="BG126" s="12" t="n">
        <f aca="false">INDEX(BF$21:BF$141,$I126+1)*(1-$J126)+INDEX(BF$21:BF$141,$I126+2)*$J126</f>
        <v>-271.877024724732</v>
      </c>
      <c r="BH126" s="12" t="n">
        <f aca="false">INDEX(BF$21:BF$141,$K126+1)*(1-$L126)+INDEX(BF$21:BF$141,$K126+2)*$L126</f>
        <v>-275.373734522818</v>
      </c>
      <c r="BI126" s="12" t="n">
        <f aca="false">$C126+$D126+MAX(BG126,BH126,IF(COUNTIFS($A$21:$A$141,"&gt;="&amp;$G126,$A$21:$A$141,"&lt;="&amp;$H126)&gt;0,_xlfn.MAXIFS(BF$21:BF$141,$A$21:$A$141,"&gt;="&amp;$G126,$A$21:$A$141,"&lt;="&amp;$H126),BG126))</f>
        <v>-13.5020247247317</v>
      </c>
      <c r="BJ126" s="23" t="n">
        <v>-13.5020247247317</v>
      </c>
      <c r="BK126" s="22" t="n">
        <f aca="false">ABS(BI126-BJ126)</f>
        <v>6.21724893790088E-014</v>
      </c>
    </row>
    <row r="127" customFormat="false" ht="15" hidden="false" customHeight="false" outlineLevel="0" collapsed="false">
      <c r="A127" s="14" t="n">
        <f aca="false">A126+$D$18</f>
        <v>66.5</v>
      </c>
      <c r="B127" s="19" t="n">
        <v>107</v>
      </c>
      <c r="C127" s="12" t="n">
        <f aca="false">-Short_p*MAX(Floor_c-A127,0)</f>
        <v>-0</v>
      </c>
      <c r="D127" s="12" t="n">
        <f aca="false">Cost_k*Alpha_keep*A127</f>
        <v>259.35</v>
      </c>
      <c r="E127" s="12" t="n">
        <f aca="false">MIN(Cap_h,MAX(0,$B$18+MAX(Loss_w)-Alpha_keep*A127))</f>
        <v>0</v>
      </c>
      <c r="F127" s="12" t="n">
        <f aca="false">MAX(MIN(Cap_h,$F$18+MIN(Loss_w)-Alpha_keep*A127),E127)</f>
        <v>2.5</v>
      </c>
      <c r="G127" s="12" t="n">
        <f aca="false">Alpha_keep*A127+E127</f>
        <v>64.8375</v>
      </c>
      <c r="H127" s="12" t="n">
        <f aca="false">Alpha_keep*A127+F127</f>
        <v>67.3375</v>
      </c>
      <c r="I127" s="19" t="n">
        <f aca="false">MIN(INT((G127-$B$18)/$D$18+0.000000001),119)</f>
        <v>99</v>
      </c>
      <c r="J127" s="12" t="n">
        <f aca="false">(G127-$B$18)/$D$18-I127</f>
        <v>0.349999999999966</v>
      </c>
      <c r="K127" s="19" t="n">
        <f aca="false">MIN(INT((H127-$B$18)/$D$18+0.000000001),119)</f>
        <v>109</v>
      </c>
      <c r="L127" s="12" t="n">
        <f aca="false">(H127-$B$18)/$D$18-K127</f>
        <v>0.349999999999966</v>
      </c>
      <c r="M127" s="9" t="n">
        <v>0</v>
      </c>
      <c r="N127" s="12" t="n">
        <f aca="false">-Cost_k*$A127+Beta_q*(Declarations!$B$16*INDEX(M$21:M$141,MAX(1,MIN(121,$B127-ROUND(Declarations!$A$16/$D$18,0))))+Declarations!$B$17*INDEX(M$21:M$141,MAX(1,MIN(121,$B127-ROUND(Declarations!$A$17/$D$18,0))))+Declarations!$B$18*INDEX(M$21:M$141,MAX(1,MIN(121,$B127-ROUND(Declarations!$A$18/$D$18,0))))+Declarations!$B$19*INDEX(M$21:M$141,MAX(1,MIN(121,$B127-ROUND(Declarations!$A$19/$D$18,0))))+Declarations!$B$20*INDEX(M$21:M$141,MAX(1,MIN(121,$B127-ROUND(Declarations!$A$20/$D$18,0)))))</f>
        <v>-266</v>
      </c>
      <c r="O127" s="12" t="n">
        <f aca="false">INDEX(N$21:N$141,$I127+1)*(1-$J127)+INDEX(N$21:N$141,$I127+2)*$J127</f>
        <v>-259.35</v>
      </c>
      <c r="P127" s="12" t="n">
        <f aca="false">INDEX(N$21:N$141,$K127+1)*(1-$L127)+INDEX(N$21:N$141,$K127+2)*$L127</f>
        <v>-269.35</v>
      </c>
      <c r="Q127" s="12" t="n">
        <f aca="false">$C127+$D127+MAX(O127,P127,IF(COUNTIFS($A$21:$A$141,"&gt;="&amp;$G127,$A$21:$A$141,"&lt;="&amp;$H127)&gt;0,_xlfn.MAXIFS(N$21:N$141,$A$21:$A$141,"&gt;="&amp;$G127,$A$21:$A$141,"&lt;="&amp;$H127),O127))</f>
        <v>0</v>
      </c>
      <c r="R127" s="12" t="n">
        <f aca="false">-Cost_k*$A127+Beta_q*(Declarations!$B$16*INDEX(Q$21:Q$141,MAX(1,MIN(121,$B127-ROUND(Declarations!$A$16/$D$18,0))))+Declarations!$B$17*INDEX(Q$21:Q$141,MAX(1,MIN(121,$B127-ROUND(Declarations!$A$17/$D$18,0))))+Declarations!$B$18*INDEX(Q$21:Q$141,MAX(1,MIN(121,$B127-ROUND(Declarations!$A$18/$D$18,0))))+Declarations!$B$19*INDEX(Q$21:Q$141,MAX(1,MIN(121,$B127-ROUND(Declarations!$A$19/$D$18,0))))+Declarations!$B$20*INDEX(Q$21:Q$141,MAX(1,MIN(121,$B127-ROUND(Declarations!$A$20/$D$18,0)))))</f>
        <v>-266</v>
      </c>
      <c r="S127" s="12" t="n">
        <f aca="false">INDEX(R$21:R$141,$I127+1)*(1-$J127)+INDEX(R$21:R$141,$I127+2)*$J127</f>
        <v>-259.35</v>
      </c>
      <c r="T127" s="12" t="n">
        <f aca="false">INDEX(R$21:R$141,$K127+1)*(1-$L127)+INDEX(R$21:R$141,$K127+2)*$L127</f>
        <v>-269.35</v>
      </c>
      <c r="U127" s="12" t="n">
        <f aca="false">$C127+$D127+MAX(S127,T127,IF(COUNTIFS($A$21:$A$141,"&gt;="&amp;$G127,$A$21:$A$141,"&lt;="&amp;$H127)&gt;0,_xlfn.MAXIFS(R$21:R$141,$A$21:$A$141,"&gt;="&amp;$G127,$A$21:$A$141,"&lt;="&amp;$H127),S127))</f>
        <v>0</v>
      </c>
      <c r="V127" s="12" t="n">
        <f aca="false">-Cost_k*$A127+Beta_q*(Declarations!$B$16*INDEX(U$21:U$141,MAX(1,MIN(121,$B127-ROUND(Declarations!$A$16/$D$18,0))))+Declarations!$B$17*INDEX(U$21:U$141,MAX(1,MIN(121,$B127-ROUND(Declarations!$A$17/$D$18,0))))+Declarations!$B$18*INDEX(U$21:U$141,MAX(1,MIN(121,$B127-ROUND(Declarations!$A$18/$D$18,0))))+Declarations!$B$19*INDEX(U$21:U$141,MAX(1,MIN(121,$B127-ROUND(Declarations!$A$19/$D$18,0))))+Declarations!$B$20*INDEX(U$21:U$141,MAX(1,MIN(121,$B127-ROUND(Declarations!$A$20/$D$18,0)))))</f>
        <v>-266</v>
      </c>
      <c r="W127" s="12" t="n">
        <f aca="false">INDEX(V$21:V$141,$I127+1)*(1-$J127)+INDEX(V$21:V$141,$I127+2)*$J127</f>
        <v>-259.35</v>
      </c>
      <c r="X127" s="12" t="n">
        <f aca="false">INDEX(V$21:V$141,$K127+1)*(1-$L127)+INDEX(V$21:V$141,$K127+2)*$L127</f>
        <v>-269.35</v>
      </c>
      <c r="Y127" s="12" t="n">
        <f aca="false">$C127+$D127+MAX(W127,X127,IF(COUNTIFS($A$21:$A$141,"&gt;="&amp;$G127,$A$21:$A$141,"&lt;="&amp;$H127)&gt;0,_xlfn.MAXIFS(V$21:V$141,$A$21:$A$141,"&gt;="&amp;$G127,$A$21:$A$141,"&lt;="&amp;$H127),W127))</f>
        <v>0</v>
      </c>
      <c r="Z127" s="12" t="n">
        <f aca="false">-Cost_k*$A127+Beta_q*(Declarations!$B$16*INDEX(Y$21:Y$141,MAX(1,MIN(121,$B127-ROUND(Declarations!$A$16/$D$18,0))))+Declarations!$B$17*INDEX(Y$21:Y$141,MAX(1,MIN(121,$B127-ROUND(Declarations!$A$17/$D$18,0))))+Declarations!$B$18*INDEX(Y$21:Y$141,MAX(1,MIN(121,$B127-ROUND(Declarations!$A$18/$D$18,0))))+Declarations!$B$19*INDEX(Y$21:Y$141,MAX(1,MIN(121,$B127-ROUND(Declarations!$A$19/$D$18,0))))+Declarations!$B$20*INDEX(Y$21:Y$141,MAX(1,MIN(121,$B127-ROUND(Declarations!$A$20/$D$18,0)))))</f>
        <v>-266</v>
      </c>
      <c r="AA127" s="12" t="n">
        <f aca="false">INDEX(Z$21:Z$141,$I127+1)*(1-$J127)+INDEX(Z$21:Z$141,$I127+2)*$J127</f>
        <v>-259.35</v>
      </c>
      <c r="AB127" s="12" t="n">
        <f aca="false">INDEX(Z$21:Z$141,$K127+1)*(1-$L127)+INDEX(Z$21:Z$141,$K127+2)*$L127</f>
        <v>-269.35</v>
      </c>
      <c r="AC127" s="12" t="n">
        <f aca="false">$C127+$D127+MAX(AA127,AB127,IF(COUNTIFS($A$21:$A$141,"&gt;="&amp;$G127,$A$21:$A$141,"&lt;="&amp;$H127)&gt;0,_xlfn.MAXIFS(Z$21:Z$141,$A$21:$A$141,"&gt;="&amp;$G127,$A$21:$A$141,"&lt;="&amp;$H127),AA127))</f>
        <v>0</v>
      </c>
      <c r="AD127" s="12" t="n">
        <f aca="false">-Cost_k*$A127+Beta_q*(Declarations!$B$16*INDEX(AC$21:AC$141,MAX(1,MIN(121,$B127-ROUND(Declarations!$A$16/$D$18,0))))+Declarations!$B$17*INDEX(AC$21:AC$141,MAX(1,MIN(121,$B127-ROUND(Declarations!$A$17/$D$18,0))))+Declarations!$B$18*INDEX(AC$21:AC$141,MAX(1,MIN(121,$B127-ROUND(Declarations!$A$18/$D$18,0))))+Declarations!$B$19*INDEX(AC$21:AC$141,MAX(1,MIN(121,$B127-ROUND(Declarations!$A$19/$D$18,0))))+Declarations!$B$20*INDEX(AC$21:AC$141,MAX(1,MIN(121,$B127-ROUND(Declarations!$A$20/$D$18,0)))))</f>
        <v>-266</v>
      </c>
      <c r="AE127" s="12" t="n">
        <f aca="false">INDEX(AD$21:AD$141,$I127+1)*(1-$J127)+INDEX(AD$21:AD$141,$I127+2)*$J127</f>
        <v>-259.350013642733</v>
      </c>
      <c r="AF127" s="12" t="n">
        <f aca="false">INDEX(AD$21:AD$141,$K127+1)*(1-$L127)+INDEX(AD$21:AD$141,$K127+2)*$L127</f>
        <v>-269.35</v>
      </c>
      <c r="AG127" s="12" t="n">
        <f aca="false">$C127+$D127+MAX(AE127,AF127,IF(COUNTIFS($A$21:$A$141,"&gt;="&amp;$G127,$A$21:$A$141,"&lt;="&amp;$H127)&gt;0,_xlfn.MAXIFS(AD$21:AD$141,$A$21:$A$141,"&gt;="&amp;$G127,$A$21:$A$141,"&lt;="&amp;$H127),AE127))</f>
        <v>-1.36427325969635E-005</v>
      </c>
      <c r="AH127" s="12" t="n">
        <f aca="false">-Cost_k*$A127+Beta_q*(Declarations!$B$16*INDEX(AG$21:AG$141,MAX(1,MIN(121,$B127-ROUND(Declarations!$A$16/$D$18,0))))+Declarations!$B$17*INDEX(AG$21:AG$141,MAX(1,MIN(121,$B127-ROUND(Declarations!$A$17/$D$18,0))))+Declarations!$B$18*INDEX(AG$21:AG$141,MAX(1,MIN(121,$B127-ROUND(Declarations!$A$18/$D$18,0))))+Declarations!$B$19*INDEX(AG$21:AG$141,MAX(1,MIN(121,$B127-ROUND(Declarations!$A$19/$D$18,0))))+Declarations!$B$20*INDEX(AG$21:AG$141,MAX(1,MIN(121,$B127-ROUND(Declarations!$A$20/$D$18,0)))))</f>
        <v>-266.000089422911</v>
      </c>
      <c r="AI127" s="12" t="n">
        <f aca="false">INDEX(AH$21:AH$141,$I127+1)*(1-$J127)+INDEX(AH$21:AH$141,$I127+2)*$J127</f>
        <v>-259.354281729227</v>
      </c>
      <c r="AJ127" s="12" t="n">
        <f aca="false">INDEX(AH$21:AH$141,$K127+1)*(1-$L127)+INDEX(AH$21:AH$141,$K127+2)*$L127</f>
        <v>-269.350008210814</v>
      </c>
      <c r="AK127" s="12" t="n">
        <f aca="false">$C127+$D127+MAX(AI127,AJ127,IF(COUNTIFS($A$21:$A$141,"&gt;="&amp;$G127,$A$21:$A$141,"&lt;="&amp;$H127)&gt;0,_xlfn.MAXIFS(AH$21:AH$141,$A$21:$A$141,"&gt;="&amp;$G127,$A$21:$A$141,"&lt;="&amp;$H127),AI127))</f>
        <v>-0.00428172922698877</v>
      </c>
      <c r="AL127" s="12" t="n">
        <f aca="false">-Cost_k*$A127+Beta_q*(Declarations!$B$16*INDEX(AK$21:AK$141,MAX(1,MIN(121,$B127-ROUND(Declarations!$A$16/$D$18,0))))+Declarations!$B$17*INDEX(AK$21:AK$141,MAX(1,MIN(121,$B127-ROUND(Declarations!$A$17/$D$18,0))))+Declarations!$B$18*INDEX(AK$21:AK$141,MAX(1,MIN(121,$B127-ROUND(Declarations!$A$18/$D$18,0))))+Declarations!$B$19*INDEX(AK$21:AK$141,MAX(1,MIN(121,$B127-ROUND(Declarations!$A$19/$D$18,0))))+Declarations!$B$20*INDEX(AK$21:AK$141,MAX(1,MIN(121,$B127-ROUND(Declarations!$A$20/$D$18,0)))))</f>
        <v>-266.007936587645</v>
      </c>
      <c r="AM127" s="12" t="n">
        <f aca="false">INDEX(AL$21:AL$141,$I127+1)*(1-$J127)+INDEX(AL$21:AL$141,$I127+2)*$J127</f>
        <v>-259.440267091763</v>
      </c>
      <c r="AN127" s="12" t="n">
        <f aca="false">INDEX(AL$21:AL$141,$K127+1)*(1-$L127)+INDEX(AL$21:AL$141,$K127+2)*$L127</f>
        <v>-269.351836345407</v>
      </c>
      <c r="AO127" s="12" t="n">
        <f aca="false">$C127+$D127+MAX(AM127,AN127,IF(COUNTIFS($A$21:$A$141,"&gt;="&amp;$G127,$A$21:$A$141,"&lt;="&amp;$H127)&gt;0,_xlfn.MAXIFS(AL$21:AL$141,$A$21:$A$141,"&gt;="&amp;$G127,$A$21:$A$141,"&lt;="&amp;$H127),AM127))</f>
        <v>-0.0902670917628257</v>
      </c>
      <c r="AP127" s="12" t="n">
        <f aca="false">-Cost_k*$A127+Beta_q*(Declarations!$B$16*INDEX(AO$21:AO$141,MAX(1,MIN(121,$B127-ROUND(Declarations!$A$16/$D$18,0))))+Declarations!$B$17*INDEX(AO$21:AO$141,MAX(1,MIN(121,$B127-ROUND(Declarations!$A$17/$D$18,0))))+Declarations!$B$18*INDEX(AO$21:AO$141,MAX(1,MIN(121,$B127-ROUND(Declarations!$A$18/$D$18,0))))+Declarations!$B$19*INDEX(AO$21:AO$141,MAX(1,MIN(121,$B127-ROUND(Declarations!$A$19/$D$18,0))))+Declarations!$B$20*INDEX(AO$21:AO$141,MAX(1,MIN(121,$B127-ROUND(Declarations!$A$20/$D$18,0)))))</f>
        <v>-266.115027244455</v>
      </c>
      <c r="AQ127" s="12" t="n">
        <f aca="false">INDEX(AP$21:AP$141,$I127+1)*(1-$J127)+INDEX(AP$21:AP$141,$I127+2)*$J127</f>
        <v>-259.943319384509</v>
      </c>
      <c r="AR127" s="12" t="n">
        <f aca="false">INDEX(AP$21:AP$141,$K127+1)*(1-$L127)+INDEX(AP$21:AP$141,$K127+2)*$L127</f>
        <v>-269.392501776016</v>
      </c>
      <c r="AS127" s="12" t="n">
        <f aca="false">$C127+$D127+MAX(AQ127,AR127,IF(COUNTIFS($A$21:$A$141,"&gt;="&amp;$G127,$A$21:$A$141,"&lt;="&amp;$H127)&gt;0,_xlfn.MAXIFS(AP$21:AP$141,$A$21:$A$141,"&gt;="&amp;$G127,$A$21:$A$141,"&lt;="&amp;$H127),AQ127))</f>
        <v>-0.593319384508732</v>
      </c>
      <c r="AT127" s="12" t="n">
        <f aca="false">-Cost_k*$A127+Beta_q*(Declarations!$B$16*INDEX(AS$21:AS$141,MAX(1,MIN(121,$B127-ROUND(Declarations!$A$16/$D$18,0))))+Declarations!$B$17*INDEX(AS$21:AS$141,MAX(1,MIN(121,$B127-ROUND(Declarations!$A$17/$D$18,0))))+Declarations!$B$18*INDEX(AS$21:AS$141,MAX(1,MIN(121,$B127-ROUND(Declarations!$A$18/$D$18,0))))+Declarations!$B$19*INDEX(AS$21:AS$141,MAX(1,MIN(121,$B127-ROUND(Declarations!$A$19/$D$18,0))))+Declarations!$B$20*INDEX(AS$21:AS$141,MAX(1,MIN(121,$B127-ROUND(Declarations!$A$20/$D$18,0)))))</f>
        <v>-266.650963542052</v>
      </c>
      <c r="AU127" s="12" t="n">
        <f aca="false">INDEX(AT$21:AT$141,$I127+1)*(1-$J127)+INDEX(AT$21:AT$141,$I127+2)*$J127</f>
        <v>-261.394226065427</v>
      </c>
      <c r="AV127" s="12" t="n">
        <f aca="false">INDEX(AT$21:AT$141,$K127+1)*(1-$L127)+INDEX(AT$21:AT$141,$K127+2)*$L127</f>
        <v>-269.67402414595</v>
      </c>
      <c r="AW127" s="12" t="n">
        <f aca="false">$C127+$D127+MAX(AU127,AV127,IF(COUNTIFS($A$21:$A$141,"&gt;="&amp;$G127,$A$21:$A$141,"&lt;="&amp;$H127)&gt;0,_xlfn.MAXIFS(AT$21:AT$141,$A$21:$A$141,"&gt;="&amp;$G127,$A$21:$A$141,"&lt;="&amp;$H127),AU127))</f>
        <v>-2.0442260654267</v>
      </c>
      <c r="AX127" s="12" t="n">
        <f aca="false">-Cost_k*$A127+Beta_q*(Declarations!$B$16*INDEX(AW$21:AW$141,MAX(1,MIN(121,$B127-ROUND(Declarations!$A$16/$D$18,0))))+Declarations!$B$17*INDEX(AW$21:AW$141,MAX(1,MIN(121,$B127-ROUND(Declarations!$A$17/$D$18,0))))+Declarations!$B$18*INDEX(AW$21:AW$141,MAX(1,MIN(121,$B127-ROUND(Declarations!$A$18/$D$18,0))))+Declarations!$B$19*INDEX(AW$21:AW$141,MAX(1,MIN(121,$B127-ROUND(Declarations!$A$19/$D$18,0))))+Declarations!$B$20*INDEX(AW$21:AW$141,MAX(1,MIN(121,$B127-ROUND(Declarations!$A$20/$D$18,0)))))</f>
        <v>-268.103459290992</v>
      </c>
      <c r="AY127" s="12" t="n">
        <f aca="false">INDEX(AX$21:AX$141,$I127+1)*(1-$J127)+INDEX(AX$21:AX$141,$I127+2)*$J127</f>
        <v>-264.105722745251</v>
      </c>
      <c r="AZ127" s="12" t="n">
        <f aca="false">INDEX(AX$21:AX$141,$K127+1)*(1-$L127)+INDEX(AX$21:AX$141,$K127+2)*$L127</f>
        <v>-270.627156819985</v>
      </c>
      <c r="BA127" s="12" t="n">
        <f aca="false">$C127+$D127+MAX(AY127,AZ127,IF(COUNTIFS($A$21:$A$141,"&gt;="&amp;$G127,$A$21:$A$141,"&lt;="&amp;$H127)&gt;0,_xlfn.MAXIFS(AX$21:AX$141,$A$21:$A$141,"&gt;="&amp;$G127,$A$21:$A$141,"&lt;="&amp;$H127),AY127))</f>
        <v>-4.75572274525149</v>
      </c>
      <c r="BB127" s="12" t="n">
        <f aca="false">-Cost_k*$A127+Beta_q*(Declarations!$B$16*INDEX(BA$21:BA$141,MAX(1,MIN(121,$B127-ROUND(Declarations!$A$16/$D$18,0))))+Declarations!$B$17*INDEX(BA$21:BA$141,MAX(1,MIN(121,$B127-ROUND(Declarations!$A$17/$D$18,0))))+Declarations!$B$18*INDEX(BA$21:BA$141,MAX(1,MIN(121,$B127-ROUND(Declarations!$A$18/$D$18,0))))+Declarations!$B$19*INDEX(BA$21:BA$141,MAX(1,MIN(121,$B127-ROUND(Declarations!$A$19/$D$18,0))))+Declarations!$B$20*INDEX(BA$21:BA$141,MAX(1,MIN(121,$B127-ROUND(Declarations!$A$20/$D$18,0)))))</f>
        <v>-270.748049686069</v>
      </c>
      <c r="BC127" s="12" t="n">
        <f aca="false">INDEX(BB$21:BB$141,$I127+1)*(1-$J127)+INDEX(BB$21:BB$141,$I127+2)*$J127</f>
        <v>-267.869361136171</v>
      </c>
      <c r="BD127" s="12" t="n">
        <f aca="false">INDEX(BB$21:BB$141,$K127+1)*(1-$L127)+INDEX(BB$21:BB$141,$K127+2)*$L127</f>
        <v>-272.66050198656</v>
      </c>
      <c r="BE127" s="12" t="n">
        <f aca="false">$C127+$D127+MAX(BC127,BD127,IF(COUNTIFS($A$21:$A$141,"&gt;="&amp;$G127,$A$21:$A$141,"&lt;="&amp;$H127)&gt;0,_xlfn.MAXIFS(BB$21:BB$141,$A$21:$A$141,"&gt;="&amp;$G127,$A$21:$A$141,"&lt;="&amp;$H127),BC127))</f>
        <v>-8.51936113617097</v>
      </c>
      <c r="BF127" s="12" t="n">
        <f aca="false">-Cost_k*$A127+Beta_q*(Declarations!$B$16*INDEX(BE$21:BE$141,MAX(1,MIN(121,$B127-ROUND(Declarations!$A$16/$D$18,0))))+Declarations!$B$17*INDEX(BE$21:BE$141,MAX(1,MIN(121,$B127-ROUND(Declarations!$A$17/$D$18,0))))+Declarations!$B$18*INDEX(BE$21:BE$141,MAX(1,MIN(121,$B127-ROUND(Declarations!$A$18/$D$18,0))))+Declarations!$B$19*INDEX(BE$21:BE$141,MAX(1,MIN(121,$B127-ROUND(Declarations!$A$19/$D$18,0))))+Declarations!$B$20*INDEX(BE$21:BE$141,MAX(1,MIN(121,$B127-ROUND(Declarations!$A$20/$D$18,0)))))</f>
        <v>-274.387720111467</v>
      </c>
      <c r="BG127" s="12" t="n">
        <f aca="false">INDEX(BF$21:BF$141,$I127+1)*(1-$J127)+INDEX(BF$21:BF$141,$I127+2)*$J127</f>
        <v>-272.154991216743</v>
      </c>
      <c r="BH127" s="12" t="n">
        <f aca="false">INDEX(BF$21:BF$141,$K127+1)*(1-$L127)+INDEX(BF$21:BF$141,$K127+2)*$L127</f>
        <v>-275.811640692143</v>
      </c>
      <c r="BI127" s="12" t="n">
        <f aca="false">$C127+$D127+MAX(BG127,BH127,IF(COUNTIFS($A$21:$A$141,"&gt;="&amp;$G127,$A$21:$A$141,"&lt;="&amp;$H127)&gt;0,_xlfn.MAXIFS(BF$21:BF$141,$A$21:$A$141,"&gt;="&amp;$G127,$A$21:$A$141,"&lt;="&amp;$H127),BG127))</f>
        <v>-12.8049912167432</v>
      </c>
      <c r="BJ127" s="23" t="n">
        <v>-12.8049912167432</v>
      </c>
      <c r="BK127" s="22" t="n">
        <f aca="false">ABS(BI127-BJ127)</f>
        <v>5.6843418860808E-014</v>
      </c>
    </row>
    <row r="128" customFormat="false" ht="15" hidden="false" customHeight="false" outlineLevel="0" collapsed="false">
      <c r="A128" s="14" t="n">
        <f aca="false">A127+$D$18</f>
        <v>66.75</v>
      </c>
      <c r="B128" s="19" t="n">
        <v>108</v>
      </c>
      <c r="C128" s="12" t="n">
        <f aca="false">-Short_p*MAX(Floor_c-A128,0)</f>
        <v>-0</v>
      </c>
      <c r="D128" s="12" t="n">
        <f aca="false">Cost_k*Alpha_keep*A128</f>
        <v>260.325</v>
      </c>
      <c r="E128" s="12" t="n">
        <f aca="false">MIN(Cap_h,MAX(0,$B$18+MAX(Loss_w)-Alpha_keep*A128))</f>
        <v>0</v>
      </c>
      <c r="F128" s="12" t="n">
        <f aca="false">MAX(MIN(Cap_h,$F$18+MIN(Loss_w)-Alpha_keep*A128),E128)</f>
        <v>2.5</v>
      </c>
      <c r="G128" s="12" t="n">
        <f aca="false">Alpha_keep*A128+E128</f>
        <v>65.08125</v>
      </c>
      <c r="H128" s="12" t="n">
        <f aca="false">Alpha_keep*A128+F128</f>
        <v>67.58125</v>
      </c>
      <c r="I128" s="19" t="n">
        <f aca="false">MIN(INT((G128-$B$18)/$D$18+0.000000001),119)</f>
        <v>100</v>
      </c>
      <c r="J128" s="12" t="n">
        <f aca="false">(G128-$B$18)/$D$18-I128</f>
        <v>0.324999999999989</v>
      </c>
      <c r="K128" s="19" t="n">
        <f aca="false">MIN(INT((H128-$B$18)/$D$18+0.000000001),119)</f>
        <v>110</v>
      </c>
      <c r="L128" s="12" t="n">
        <f aca="false">(H128-$B$18)/$D$18-K128</f>
        <v>0.324999999999989</v>
      </c>
      <c r="M128" s="9" t="n">
        <v>0</v>
      </c>
      <c r="N128" s="12" t="n">
        <f aca="false">-Cost_k*$A128+Beta_q*(Declarations!$B$16*INDEX(M$21:M$141,MAX(1,MIN(121,$B128-ROUND(Declarations!$A$16/$D$18,0))))+Declarations!$B$17*INDEX(M$21:M$141,MAX(1,MIN(121,$B128-ROUND(Declarations!$A$17/$D$18,0))))+Declarations!$B$18*INDEX(M$21:M$141,MAX(1,MIN(121,$B128-ROUND(Declarations!$A$18/$D$18,0))))+Declarations!$B$19*INDEX(M$21:M$141,MAX(1,MIN(121,$B128-ROUND(Declarations!$A$19/$D$18,0))))+Declarations!$B$20*INDEX(M$21:M$141,MAX(1,MIN(121,$B128-ROUND(Declarations!$A$20/$D$18,0)))))</f>
        <v>-267</v>
      </c>
      <c r="O128" s="12" t="n">
        <f aca="false">INDEX(N$21:N$141,$I128+1)*(1-$J128)+INDEX(N$21:N$141,$I128+2)*$J128</f>
        <v>-260.325</v>
      </c>
      <c r="P128" s="12" t="n">
        <f aca="false">INDEX(N$21:N$141,$K128+1)*(1-$L128)+INDEX(N$21:N$141,$K128+2)*$L128</f>
        <v>-270.325</v>
      </c>
      <c r="Q128" s="12" t="n">
        <f aca="false">$C128+$D128+MAX(O128,P128,IF(COUNTIFS($A$21:$A$141,"&gt;="&amp;$G128,$A$21:$A$141,"&lt;="&amp;$H128)&gt;0,_xlfn.MAXIFS(N$21:N$141,$A$21:$A$141,"&gt;="&amp;$G128,$A$21:$A$141,"&lt;="&amp;$H128),O128))</f>
        <v>0</v>
      </c>
      <c r="R128" s="12" t="n">
        <f aca="false">-Cost_k*$A128+Beta_q*(Declarations!$B$16*INDEX(Q$21:Q$141,MAX(1,MIN(121,$B128-ROUND(Declarations!$A$16/$D$18,0))))+Declarations!$B$17*INDEX(Q$21:Q$141,MAX(1,MIN(121,$B128-ROUND(Declarations!$A$17/$D$18,0))))+Declarations!$B$18*INDEX(Q$21:Q$141,MAX(1,MIN(121,$B128-ROUND(Declarations!$A$18/$D$18,0))))+Declarations!$B$19*INDEX(Q$21:Q$141,MAX(1,MIN(121,$B128-ROUND(Declarations!$A$19/$D$18,0))))+Declarations!$B$20*INDEX(Q$21:Q$141,MAX(1,MIN(121,$B128-ROUND(Declarations!$A$20/$D$18,0)))))</f>
        <v>-267</v>
      </c>
      <c r="S128" s="12" t="n">
        <f aca="false">INDEX(R$21:R$141,$I128+1)*(1-$J128)+INDEX(R$21:R$141,$I128+2)*$J128</f>
        <v>-260.325</v>
      </c>
      <c r="T128" s="12" t="n">
        <f aca="false">INDEX(R$21:R$141,$K128+1)*(1-$L128)+INDEX(R$21:R$141,$K128+2)*$L128</f>
        <v>-270.325</v>
      </c>
      <c r="U128" s="12" t="n">
        <f aca="false">$C128+$D128+MAX(S128,T128,IF(COUNTIFS($A$21:$A$141,"&gt;="&amp;$G128,$A$21:$A$141,"&lt;="&amp;$H128)&gt;0,_xlfn.MAXIFS(R$21:R$141,$A$21:$A$141,"&gt;="&amp;$G128,$A$21:$A$141,"&lt;="&amp;$H128),S128))</f>
        <v>0</v>
      </c>
      <c r="V128" s="12" t="n">
        <f aca="false">-Cost_k*$A128+Beta_q*(Declarations!$B$16*INDEX(U$21:U$141,MAX(1,MIN(121,$B128-ROUND(Declarations!$A$16/$D$18,0))))+Declarations!$B$17*INDEX(U$21:U$141,MAX(1,MIN(121,$B128-ROUND(Declarations!$A$17/$D$18,0))))+Declarations!$B$18*INDEX(U$21:U$141,MAX(1,MIN(121,$B128-ROUND(Declarations!$A$18/$D$18,0))))+Declarations!$B$19*INDEX(U$21:U$141,MAX(1,MIN(121,$B128-ROUND(Declarations!$A$19/$D$18,0))))+Declarations!$B$20*INDEX(U$21:U$141,MAX(1,MIN(121,$B128-ROUND(Declarations!$A$20/$D$18,0)))))</f>
        <v>-267</v>
      </c>
      <c r="W128" s="12" t="n">
        <f aca="false">INDEX(V$21:V$141,$I128+1)*(1-$J128)+INDEX(V$21:V$141,$I128+2)*$J128</f>
        <v>-260.325</v>
      </c>
      <c r="X128" s="12" t="n">
        <f aca="false">INDEX(V$21:V$141,$K128+1)*(1-$L128)+INDEX(V$21:V$141,$K128+2)*$L128</f>
        <v>-270.325</v>
      </c>
      <c r="Y128" s="12" t="n">
        <f aca="false">$C128+$D128+MAX(W128,X128,IF(COUNTIFS($A$21:$A$141,"&gt;="&amp;$G128,$A$21:$A$141,"&lt;="&amp;$H128)&gt;0,_xlfn.MAXIFS(V$21:V$141,$A$21:$A$141,"&gt;="&amp;$G128,$A$21:$A$141,"&lt;="&amp;$H128),W128))</f>
        <v>0</v>
      </c>
      <c r="Z128" s="12" t="n">
        <f aca="false">-Cost_k*$A128+Beta_q*(Declarations!$B$16*INDEX(Y$21:Y$141,MAX(1,MIN(121,$B128-ROUND(Declarations!$A$16/$D$18,0))))+Declarations!$B$17*INDEX(Y$21:Y$141,MAX(1,MIN(121,$B128-ROUND(Declarations!$A$17/$D$18,0))))+Declarations!$B$18*INDEX(Y$21:Y$141,MAX(1,MIN(121,$B128-ROUND(Declarations!$A$18/$D$18,0))))+Declarations!$B$19*INDEX(Y$21:Y$141,MAX(1,MIN(121,$B128-ROUND(Declarations!$A$19/$D$18,0))))+Declarations!$B$20*INDEX(Y$21:Y$141,MAX(1,MIN(121,$B128-ROUND(Declarations!$A$20/$D$18,0)))))</f>
        <v>-267</v>
      </c>
      <c r="AA128" s="12" t="n">
        <f aca="false">INDEX(Z$21:Z$141,$I128+1)*(1-$J128)+INDEX(Z$21:Z$141,$I128+2)*$J128</f>
        <v>-260.325</v>
      </c>
      <c r="AB128" s="12" t="n">
        <f aca="false">INDEX(Z$21:Z$141,$K128+1)*(1-$L128)+INDEX(Z$21:Z$141,$K128+2)*$L128</f>
        <v>-270.325</v>
      </c>
      <c r="AC128" s="12" t="n">
        <f aca="false">$C128+$D128+MAX(AA128,AB128,IF(COUNTIFS($A$21:$A$141,"&gt;="&amp;$G128,$A$21:$A$141,"&lt;="&amp;$H128)&gt;0,_xlfn.MAXIFS(Z$21:Z$141,$A$21:$A$141,"&gt;="&amp;$G128,$A$21:$A$141,"&lt;="&amp;$H128),AA128))</f>
        <v>0</v>
      </c>
      <c r="AD128" s="12" t="n">
        <f aca="false">-Cost_k*$A128+Beta_q*(Declarations!$B$16*INDEX(AC$21:AC$141,MAX(1,MIN(121,$B128-ROUND(Declarations!$A$16/$D$18,0))))+Declarations!$B$17*INDEX(AC$21:AC$141,MAX(1,MIN(121,$B128-ROUND(Declarations!$A$17/$D$18,0))))+Declarations!$B$18*INDEX(AC$21:AC$141,MAX(1,MIN(121,$B128-ROUND(Declarations!$A$18/$D$18,0))))+Declarations!$B$19*INDEX(AC$21:AC$141,MAX(1,MIN(121,$B128-ROUND(Declarations!$A$19/$D$18,0))))+Declarations!$B$20*INDEX(AC$21:AC$141,MAX(1,MIN(121,$B128-ROUND(Declarations!$A$20/$D$18,0)))))</f>
        <v>-267</v>
      </c>
      <c r="AE128" s="12" t="n">
        <f aca="false">INDEX(AD$21:AD$141,$I128+1)*(1-$J128)+INDEX(AD$21:AD$141,$I128+2)*$J128</f>
        <v>-260.325004607398</v>
      </c>
      <c r="AF128" s="12" t="n">
        <f aca="false">INDEX(AD$21:AD$141,$K128+1)*(1-$L128)+INDEX(AD$21:AD$141,$K128+2)*$L128</f>
        <v>-270.325</v>
      </c>
      <c r="AG128" s="12" t="n">
        <f aca="false">$C128+$D128+MAX(AE128,AF128,IF(COUNTIFS($A$21:$A$141,"&gt;="&amp;$G128,$A$21:$A$141,"&lt;="&amp;$H128)&gt;0,_xlfn.MAXIFS(AD$21:AD$141,$A$21:$A$141,"&gt;="&amp;$G128,$A$21:$A$141,"&lt;="&amp;$H128),AE128))</f>
        <v>-4.60739789787112E-006</v>
      </c>
      <c r="AH128" s="12" t="n">
        <f aca="false">-Cost_k*$A128+Beta_q*(Declarations!$B$16*INDEX(AG$21:AG$141,MAX(1,MIN(121,$B128-ROUND(Declarations!$A$16/$D$18,0))))+Declarations!$B$17*INDEX(AG$21:AG$141,MAX(1,MIN(121,$B128-ROUND(Declarations!$A$17/$D$18,0))))+Declarations!$B$18*INDEX(AG$21:AG$141,MAX(1,MIN(121,$B128-ROUND(Declarations!$A$18/$D$18,0))))+Declarations!$B$19*INDEX(AG$21:AG$141,MAX(1,MIN(121,$B128-ROUND(Declarations!$A$19/$D$18,0))))+Declarations!$B$20*INDEX(AG$21:AG$141,MAX(1,MIN(121,$B128-ROUND(Declarations!$A$20/$D$18,0)))))</f>
        <v>-267.00004739394</v>
      </c>
      <c r="AI128" s="12" t="n">
        <f aca="false">INDEX(AH$21:AH$141,$I128+1)*(1-$J128)+INDEX(AH$21:AH$141,$I128+2)*$J128</f>
        <v>-260.327632520059</v>
      </c>
      <c r="AJ128" s="12" t="n">
        <f aca="false">INDEX(AH$21:AH$141,$K128+1)*(1-$L128)+INDEX(AH$21:AH$141,$K128+2)*$L128</f>
        <v>-270.325003736661</v>
      </c>
      <c r="AK128" s="12" t="n">
        <f aca="false">$C128+$D128+MAX(AI128,AJ128,IF(COUNTIFS($A$21:$A$141,"&gt;="&amp;$G128,$A$21:$A$141,"&lt;="&amp;$H128)&gt;0,_xlfn.MAXIFS(AH$21:AH$141,$A$21:$A$141,"&gt;="&amp;$G128,$A$21:$A$141,"&lt;="&amp;$H128),AI128))</f>
        <v>-0.0026325200589099</v>
      </c>
      <c r="AL128" s="12" t="n">
        <f aca="false">-Cost_k*$A128+Beta_q*(Declarations!$B$16*INDEX(AK$21:AK$141,MAX(1,MIN(121,$B128-ROUND(Declarations!$A$16/$D$18,0))))+Declarations!$B$17*INDEX(AK$21:AK$141,MAX(1,MIN(121,$B128-ROUND(Declarations!$A$17/$D$18,0))))+Declarations!$B$18*INDEX(AK$21:AK$141,MAX(1,MIN(121,$B128-ROUND(Declarations!$A$18/$D$18,0))))+Declarations!$B$19*INDEX(AK$21:AK$141,MAX(1,MIN(121,$B128-ROUND(Declarations!$A$19/$D$18,0))))+Declarations!$B$20*INDEX(AK$21:AK$141,MAX(1,MIN(121,$B128-ROUND(Declarations!$A$20/$D$18,0)))))</f>
        <v>-267.005263534302</v>
      </c>
      <c r="AM128" s="12" t="n">
        <f aca="false">INDEX(AL$21:AL$141,$I128+1)*(1-$J128)+INDEX(AL$21:AL$141,$I128+2)*$J128</f>
        <v>-260.391190222892</v>
      </c>
      <c r="AN128" s="12" t="n">
        <f aca="false">INDEX(AL$21:AL$141,$K128+1)*(1-$L128)+INDEX(AL$21:AL$141,$K128+2)*$L128</f>
        <v>-270.326153508473</v>
      </c>
      <c r="AO128" s="12" t="n">
        <f aca="false">$C128+$D128+MAX(AM128,AN128,IF(COUNTIFS($A$21:$A$141,"&gt;="&amp;$G128,$A$21:$A$141,"&lt;="&amp;$H128)&gt;0,_xlfn.MAXIFS(AL$21:AL$141,$A$21:$A$141,"&gt;="&amp;$G128,$A$21:$A$141,"&lt;="&amp;$H128),AM128))</f>
        <v>-0.0661902228919757</v>
      </c>
      <c r="AP128" s="12" t="n">
        <f aca="false">-Cost_k*$A128+Beta_q*(Declarations!$B$16*INDEX(AO$21:AO$141,MAX(1,MIN(121,$B128-ROUND(Declarations!$A$16/$D$18,0))))+Declarations!$B$17*INDEX(AO$21:AO$141,MAX(1,MIN(121,$B128-ROUND(Declarations!$A$17/$D$18,0))))+Declarations!$B$18*INDEX(AO$21:AO$141,MAX(1,MIN(121,$B128-ROUND(Declarations!$A$18/$D$18,0))))+Declarations!$B$19*INDEX(AO$21:AO$141,MAX(1,MIN(121,$B128-ROUND(Declarations!$A$19/$D$18,0))))+Declarations!$B$20*INDEX(AO$21:AO$141,MAX(1,MIN(121,$B128-ROUND(Declarations!$A$20/$D$18,0)))))</f>
        <v>-267.08669677684</v>
      </c>
      <c r="AQ128" s="12" t="n">
        <f aca="false">INDEX(AP$21:AP$141,$I128+1)*(1-$J128)+INDEX(AP$21:AP$141,$I128+2)*$J128</f>
        <v>-260.80571357639</v>
      </c>
      <c r="AR128" s="12" t="n">
        <f aca="false">INDEX(AP$21:AP$141,$K128+1)*(1-$L128)+INDEX(AP$21:AP$141,$K128+2)*$L128</f>
        <v>-270.355979312488</v>
      </c>
      <c r="AS128" s="12" t="n">
        <f aca="false">$C128+$D128+MAX(AQ128,AR128,IF(COUNTIFS($A$21:$A$141,"&gt;="&amp;$G128,$A$21:$A$141,"&lt;="&amp;$H128)&gt;0,_xlfn.MAXIFS(AP$21:AP$141,$A$21:$A$141,"&gt;="&amp;$G128,$A$21:$A$141,"&lt;="&amp;$H128),AQ128))</f>
        <v>-0.480713576389746</v>
      </c>
      <c r="AT128" s="12" t="n">
        <f aca="false">-Cost_k*$A128+Beta_q*(Declarations!$B$16*INDEX(AS$21:AS$141,MAX(1,MIN(121,$B128-ROUND(Declarations!$A$16/$D$18,0))))+Declarations!$B$17*INDEX(AS$21:AS$141,MAX(1,MIN(121,$B128-ROUND(Declarations!$A$17/$D$18,0))))+Declarations!$B$18*INDEX(AS$21:AS$141,MAX(1,MIN(121,$B128-ROUND(Declarations!$A$18/$D$18,0))))+Declarations!$B$19*INDEX(AS$21:AS$141,MAX(1,MIN(121,$B128-ROUND(Declarations!$A$19/$D$18,0))))+Declarations!$B$20*INDEX(AS$21:AS$141,MAX(1,MIN(121,$B128-ROUND(Declarations!$A$20/$D$18,0)))))</f>
        <v>-267.533658214617</v>
      </c>
      <c r="AU128" s="12" t="n">
        <f aca="false">INDEX(AT$21:AT$141,$I128+1)*(1-$J128)+INDEX(AT$21:AT$141,$I128+2)*$J128</f>
        <v>-262.088482559115</v>
      </c>
      <c r="AV128" s="12" t="n">
        <f aca="false">INDEX(AT$21:AT$141,$K128+1)*(1-$L128)+INDEX(AT$21:AT$141,$K128+2)*$L128</f>
        <v>-270.584615050664</v>
      </c>
      <c r="AW128" s="12" t="n">
        <f aca="false">$C128+$D128+MAX(AU128,AV128,IF(COUNTIFS($A$21:$A$141,"&gt;="&amp;$G128,$A$21:$A$141,"&lt;="&amp;$H128)&gt;0,_xlfn.MAXIFS(AT$21:AT$141,$A$21:$A$141,"&gt;="&amp;$G128,$A$21:$A$141,"&lt;="&amp;$H128),AU128))</f>
        <v>-1.76348255911461</v>
      </c>
      <c r="AX128" s="12" t="n">
        <f aca="false">-Cost_k*$A128+Beta_q*(Declarations!$B$16*INDEX(AW$21:AW$141,MAX(1,MIN(121,$B128-ROUND(Declarations!$A$16/$D$18,0))))+Declarations!$B$17*INDEX(AW$21:AW$141,MAX(1,MIN(121,$B128-ROUND(Declarations!$A$17/$D$18,0))))+Declarations!$B$18*INDEX(AW$21:AW$141,MAX(1,MIN(121,$B128-ROUND(Declarations!$A$18/$D$18,0))))+Declarations!$B$19*INDEX(AW$21:AW$141,MAX(1,MIN(121,$B128-ROUND(Declarations!$A$19/$D$18,0))))+Declarations!$B$20*INDEX(AW$21:AW$141,MAX(1,MIN(121,$B128-ROUND(Declarations!$A$20/$D$18,0)))))</f>
        <v>-268.824528048045</v>
      </c>
      <c r="AY128" s="12" t="n">
        <f aca="false">INDEX(AX$21:AX$141,$I128+1)*(1-$J128)+INDEX(AX$21:AX$141,$I128+2)*$J128</f>
        <v>-264.604639286432</v>
      </c>
      <c r="AZ128" s="12" t="n">
        <f aca="false">INDEX(AX$21:AX$141,$K128+1)*(1-$L128)+INDEX(AX$21:AX$141,$K128+2)*$L128</f>
        <v>-271.415167401047</v>
      </c>
      <c r="BA128" s="12" t="n">
        <f aca="false">$C128+$D128+MAX(AY128,AZ128,IF(COUNTIFS($A$21:$A$141,"&gt;="&amp;$G128,$A$21:$A$141,"&lt;="&amp;$H128)&gt;0,_xlfn.MAXIFS(AX$21:AX$141,$A$21:$A$141,"&gt;="&amp;$G128,$A$21:$A$141,"&lt;="&amp;$H128),AY128))</f>
        <v>-4.27963928643163</v>
      </c>
      <c r="BB128" s="12" t="n">
        <f aca="false">-Cost_k*$A128+Beta_q*(Declarations!$B$16*INDEX(BA$21:BA$141,MAX(1,MIN(121,$B128-ROUND(Declarations!$A$16/$D$18,0))))+Declarations!$B$17*INDEX(BA$21:BA$141,MAX(1,MIN(121,$B128-ROUND(Declarations!$A$17/$D$18,0))))+Declarations!$B$18*INDEX(BA$21:BA$141,MAX(1,MIN(121,$B128-ROUND(Declarations!$A$18/$D$18,0))))+Declarations!$B$19*INDEX(BA$21:BA$141,MAX(1,MIN(121,$B128-ROUND(Declarations!$A$19/$D$18,0))))+Declarations!$B$20*INDEX(BA$21:BA$141,MAX(1,MIN(121,$B128-ROUND(Declarations!$A$20/$D$18,0)))))</f>
        <v>-271.284581313442</v>
      </c>
      <c r="BC128" s="12" t="n">
        <f aca="false">INDEX(BB$21:BB$141,$I128+1)*(1-$J128)+INDEX(BB$21:BB$141,$I128+2)*$J128</f>
        <v>-268.225150639001</v>
      </c>
      <c r="BD128" s="12" t="n">
        <f aca="false">INDEX(BB$21:BB$141,$K128+1)*(1-$L128)+INDEX(BB$21:BB$141,$K128+2)*$L128</f>
        <v>-273.277229003735</v>
      </c>
      <c r="BE128" s="12" t="n">
        <f aca="false">$C128+$D128+MAX(BC128,BD128,IF(COUNTIFS($A$21:$A$141,"&gt;="&amp;$G128,$A$21:$A$141,"&lt;="&amp;$H128)&gt;0,_xlfn.MAXIFS(BB$21:BB$141,$A$21:$A$141,"&gt;="&amp;$G128,$A$21:$A$141,"&lt;="&amp;$H128),BC128))</f>
        <v>-7.9001506390012</v>
      </c>
      <c r="BF128" s="12" t="n">
        <f aca="false">-Cost_k*$A128+Beta_q*(Declarations!$B$16*INDEX(BE$21:BE$141,MAX(1,MIN(121,$B128-ROUND(Declarations!$A$16/$D$18,0))))+Declarations!$B$17*INDEX(BE$21:BE$141,MAX(1,MIN(121,$B128-ROUND(Declarations!$A$17/$D$18,0))))+Declarations!$B$18*INDEX(BE$21:BE$141,MAX(1,MIN(121,$B128-ROUND(Declarations!$A$18/$D$18,0))))+Declarations!$B$19*INDEX(BE$21:BE$141,MAX(1,MIN(121,$B128-ROUND(Declarations!$A$19/$D$18,0))))+Declarations!$B$20*INDEX(BE$21:BE$141,MAX(1,MIN(121,$B128-ROUND(Declarations!$A$20/$D$18,0)))))</f>
        <v>-274.787772302889</v>
      </c>
      <c r="BG128" s="12" t="n">
        <f aca="false">INDEX(BF$21:BF$141,$I128+1)*(1-$J128)+INDEX(BF$21:BF$141,$I128+2)*$J128</f>
        <v>-272.444396446139</v>
      </c>
      <c r="BH128" s="12" t="n">
        <f aca="false">INDEX(BF$21:BF$141,$K128+1)*(1-$L128)+INDEX(BF$21:BF$141,$K128+2)*$L128</f>
        <v>-276.272087628415</v>
      </c>
      <c r="BI128" s="12" t="n">
        <f aca="false">$C128+$D128+MAX(BG128,BH128,IF(COUNTIFS($A$21:$A$141,"&gt;="&amp;$G128,$A$21:$A$141,"&lt;="&amp;$H128)&gt;0,_xlfn.MAXIFS(BF$21:BF$141,$A$21:$A$141,"&gt;="&amp;$G128,$A$21:$A$141,"&lt;="&amp;$H128),BG128))</f>
        <v>-12.1193964461392</v>
      </c>
      <c r="BJ128" s="23" t="n">
        <v>-12.1193964461392</v>
      </c>
      <c r="BK128" s="22" t="n">
        <f aca="false">ABS(BI128-BJ128)</f>
        <v>0</v>
      </c>
    </row>
    <row r="129" customFormat="false" ht="15" hidden="false" customHeight="false" outlineLevel="0" collapsed="false">
      <c r="A129" s="14" t="n">
        <f aca="false">A128+$D$18</f>
        <v>67</v>
      </c>
      <c r="B129" s="19" t="n">
        <v>109</v>
      </c>
      <c r="C129" s="12" t="n">
        <f aca="false">-Short_p*MAX(Floor_c-A129,0)</f>
        <v>-0</v>
      </c>
      <c r="D129" s="12" t="n">
        <f aca="false">Cost_k*Alpha_keep*A129</f>
        <v>261.3</v>
      </c>
      <c r="E129" s="12" t="n">
        <f aca="false">MIN(Cap_h,MAX(0,$B$18+MAX(Loss_w)-Alpha_keep*A129))</f>
        <v>0</v>
      </c>
      <c r="F129" s="12" t="n">
        <f aca="false">MAX(MIN(Cap_h,$F$18+MIN(Loss_w)-Alpha_keep*A129),E129)</f>
        <v>2.5</v>
      </c>
      <c r="G129" s="12" t="n">
        <f aca="false">Alpha_keep*A129+E129</f>
        <v>65.325</v>
      </c>
      <c r="H129" s="12" t="n">
        <f aca="false">Alpha_keep*A129+F129</f>
        <v>67.825</v>
      </c>
      <c r="I129" s="19" t="n">
        <f aca="false">MIN(INT((G129-$B$18)/$D$18+0.000000001),119)</f>
        <v>101</v>
      </c>
      <c r="J129" s="12" t="n">
        <f aca="false">(G129-$B$18)/$D$18-I129</f>
        <v>0.300000000000011</v>
      </c>
      <c r="K129" s="19" t="n">
        <f aca="false">MIN(INT((H129-$B$18)/$D$18+0.000000001),119)</f>
        <v>111</v>
      </c>
      <c r="L129" s="12" t="n">
        <f aca="false">(H129-$B$18)/$D$18-K129</f>
        <v>0.300000000000011</v>
      </c>
      <c r="M129" s="9" t="n">
        <v>0</v>
      </c>
      <c r="N129" s="12" t="n">
        <f aca="false">-Cost_k*$A129+Beta_q*(Declarations!$B$16*INDEX(M$21:M$141,MAX(1,MIN(121,$B129-ROUND(Declarations!$A$16/$D$18,0))))+Declarations!$B$17*INDEX(M$21:M$141,MAX(1,MIN(121,$B129-ROUND(Declarations!$A$17/$D$18,0))))+Declarations!$B$18*INDEX(M$21:M$141,MAX(1,MIN(121,$B129-ROUND(Declarations!$A$18/$D$18,0))))+Declarations!$B$19*INDEX(M$21:M$141,MAX(1,MIN(121,$B129-ROUND(Declarations!$A$19/$D$18,0))))+Declarations!$B$20*INDEX(M$21:M$141,MAX(1,MIN(121,$B129-ROUND(Declarations!$A$20/$D$18,0)))))</f>
        <v>-268</v>
      </c>
      <c r="O129" s="12" t="n">
        <f aca="false">INDEX(N$21:N$141,$I129+1)*(1-$J129)+INDEX(N$21:N$141,$I129+2)*$J129</f>
        <v>-261.3</v>
      </c>
      <c r="P129" s="12" t="n">
        <f aca="false">INDEX(N$21:N$141,$K129+1)*(1-$L129)+INDEX(N$21:N$141,$K129+2)*$L129</f>
        <v>-271.3</v>
      </c>
      <c r="Q129" s="12" t="n">
        <f aca="false">$C129+$D129+MAX(O129,P129,IF(COUNTIFS($A$21:$A$141,"&gt;="&amp;$G129,$A$21:$A$141,"&lt;="&amp;$H129)&gt;0,_xlfn.MAXIFS(N$21:N$141,$A$21:$A$141,"&gt;="&amp;$G129,$A$21:$A$141,"&lt;="&amp;$H129),O129))</f>
        <v>0</v>
      </c>
      <c r="R129" s="12" t="n">
        <f aca="false">-Cost_k*$A129+Beta_q*(Declarations!$B$16*INDEX(Q$21:Q$141,MAX(1,MIN(121,$B129-ROUND(Declarations!$A$16/$D$18,0))))+Declarations!$B$17*INDEX(Q$21:Q$141,MAX(1,MIN(121,$B129-ROUND(Declarations!$A$17/$D$18,0))))+Declarations!$B$18*INDEX(Q$21:Q$141,MAX(1,MIN(121,$B129-ROUND(Declarations!$A$18/$D$18,0))))+Declarations!$B$19*INDEX(Q$21:Q$141,MAX(1,MIN(121,$B129-ROUND(Declarations!$A$19/$D$18,0))))+Declarations!$B$20*INDEX(Q$21:Q$141,MAX(1,MIN(121,$B129-ROUND(Declarations!$A$20/$D$18,0)))))</f>
        <v>-268</v>
      </c>
      <c r="S129" s="12" t="n">
        <f aca="false">INDEX(R$21:R$141,$I129+1)*(1-$J129)+INDEX(R$21:R$141,$I129+2)*$J129</f>
        <v>-261.3</v>
      </c>
      <c r="T129" s="12" t="n">
        <f aca="false">INDEX(R$21:R$141,$K129+1)*(1-$L129)+INDEX(R$21:R$141,$K129+2)*$L129</f>
        <v>-271.3</v>
      </c>
      <c r="U129" s="12" t="n">
        <f aca="false">$C129+$D129+MAX(S129,T129,IF(COUNTIFS($A$21:$A$141,"&gt;="&amp;$G129,$A$21:$A$141,"&lt;="&amp;$H129)&gt;0,_xlfn.MAXIFS(R$21:R$141,$A$21:$A$141,"&gt;="&amp;$G129,$A$21:$A$141,"&lt;="&amp;$H129),S129))</f>
        <v>0</v>
      </c>
      <c r="V129" s="12" t="n">
        <f aca="false">-Cost_k*$A129+Beta_q*(Declarations!$B$16*INDEX(U$21:U$141,MAX(1,MIN(121,$B129-ROUND(Declarations!$A$16/$D$18,0))))+Declarations!$B$17*INDEX(U$21:U$141,MAX(1,MIN(121,$B129-ROUND(Declarations!$A$17/$D$18,0))))+Declarations!$B$18*INDEX(U$21:U$141,MAX(1,MIN(121,$B129-ROUND(Declarations!$A$18/$D$18,0))))+Declarations!$B$19*INDEX(U$21:U$141,MAX(1,MIN(121,$B129-ROUND(Declarations!$A$19/$D$18,0))))+Declarations!$B$20*INDEX(U$21:U$141,MAX(1,MIN(121,$B129-ROUND(Declarations!$A$20/$D$18,0)))))</f>
        <v>-268</v>
      </c>
      <c r="W129" s="12" t="n">
        <f aca="false">INDEX(V$21:V$141,$I129+1)*(1-$J129)+INDEX(V$21:V$141,$I129+2)*$J129</f>
        <v>-261.3</v>
      </c>
      <c r="X129" s="12" t="n">
        <f aca="false">INDEX(V$21:V$141,$K129+1)*(1-$L129)+INDEX(V$21:V$141,$K129+2)*$L129</f>
        <v>-271.3</v>
      </c>
      <c r="Y129" s="12" t="n">
        <f aca="false">$C129+$D129+MAX(W129,X129,IF(COUNTIFS($A$21:$A$141,"&gt;="&amp;$G129,$A$21:$A$141,"&lt;="&amp;$H129)&gt;0,_xlfn.MAXIFS(V$21:V$141,$A$21:$A$141,"&gt;="&amp;$G129,$A$21:$A$141,"&lt;="&amp;$H129),W129))</f>
        <v>0</v>
      </c>
      <c r="Z129" s="12" t="n">
        <f aca="false">-Cost_k*$A129+Beta_q*(Declarations!$B$16*INDEX(Y$21:Y$141,MAX(1,MIN(121,$B129-ROUND(Declarations!$A$16/$D$18,0))))+Declarations!$B$17*INDEX(Y$21:Y$141,MAX(1,MIN(121,$B129-ROUND(Declarations!$A$17/$D$18,0))))+Declarations!$B$18*INDEX(Y$21:Y$141,MAX(1,MIN(121,$B129-ROUND(Declarations!$A$18/$D$18,0))))+Declarations!$B$19*INDEX(Y$21:Y$141,MAX(1,MIN(121,$B129-ROUND(Declarations!$A$19/$D$18,0))))+Declarations!$B$20*INDEX(Y$21:Y$141,MAX(1,MIN(121,$B129-ROUND(Declarations!$A$20/$D$18,0)))))</f>
        <v>-268</v>
      </c>
      <c r="AA129" s="12" t="n">
        <f aca="false">INDEX(Z$21:Z$141,$I129+1)*(1-$J129)+INDEX(Z$21:Z$141,$I129+2)*$J129</f>
        <v>-261.3</v>
      </c>
      <c r="AB129" s="12" t="n">
        <f aca="false">INDEX(Z$21:Z$141,$K129+1)*(1-$L129)+INDEX(Z$21:Z$141,$K129+2)*$L129</f>
        <v>-271.3</v>
      </c>
      <c r="AC129" s="12" t="n">
        <f aca="false">$C129+$D129+MAX(AA129,AB129,IF(COUNTIFS($A$21:$A$141,"&gt;="&amp;$G129,$A$21:$A$141,"&lt;="&amp;$H129)&gt;0,_xlfn.MAXIFS(Z$21:Z$141,$A$21:$A$141,"&gt;="&amp;$G129,$A$21:$A$141,"&lt;="&amp;$H129),AA129))</f>
        <v>0</v>
      </c>
      <c r="AD129" s="12" t="n">
        <f aca="false">-Cost_k*$A129+Beta_q*(Declarations!$B$16*INDEX(AC$21:AC$141,MAX(1,MIN(121,$B129-ROUND(Declarations!$A$16/$D$18,0))))+Declarations!$B$17*INDEX(AC$21:AC$141,MAX(1,MIN(121,$B129-ROUND(Declarations!$A$17/$D$18,0))))+Declarations!$B$18*INDEX(AC$21:AC$141,MAX(1,MIN(121,$B129-ROUND(Declarations!$A$18/$D$18,0))))+Declarations!$B$19*INDEX(AC$21:AC$141,MAX(1,MIN(121,$B129-ROUND(Declarations!$A$19/$D$18,0))))+Declarations!$B$20*INDEX(AC$21:AC$141,MAX(1,MIN(121,$B129-ROUND(Declarations!$A$20/$D$18,0)))))</f>
        <v>-268</v>
      </c>
      <c r="AE129" s="12" t="n">
        <f aca="false">INDEX(AD$21:AD$141,$I129+1)*(1-$J129)+INDEX(AD$21:AD$141,$I129+2)*$J129</f>
        <v>-261.300002179435</v>
      </c>
      <c r="AF129" s="12" t="n">
        <f aca="false">INDEX(AD$21:AD$141,$K129+1)*(1-$L129)+INDEX(AD$21:AD$141,$K129+2)*$L129</f>
        <v>-271.3</v>
      </c>
      <c r="AG129" s="12" t="n">
        <f aca="false">$C129+$D129+MAX(AE129,AF129,IF(COUNTIFS($A$21:$A$141,"&gt;="&amp;$G129,$A$21:$A$141,"&lt;="&amp;$H129)&gt;0,_xlfn.MAXIFS(AD$21:AD$141,$A$21:$A$141,"&gt;="&amp;$G129,$A$21:$A$141,"&lt;="&amp;$H129),AE129))</f>
        <v>-2.17943534153164E-006</v>
      </c>
      <c r="AH129" s="12" t="n">
        <f aca="false">-Cost_k*$A129+Beta_q*(Declarations!$B$16*INDEX(AG$21:AG$141,MAX(1,MIN(121,$B129-ROUND(Declarations!$A$16/$D$18,0))))+Declarations!$B$17*INDEX(AG$21:AG$141,MAX(1,MIN(121,$B129-ROUND(Declarations!$A$17/$D$18,0))))+Declarations!$B$18*INDEX(AG$21:AG$141,MAX(1,MIN(121,$B129-ROUND(Declarations!$A$18/$D$18,0))))+Declarations!$B$19*INDEX(AG$21:AG$141,MAX(1,MIN(121,$B129-ROUND(Declarations!$A$19/$D$18,0))))+Declarations!$B$20*INDEX(AG$21:AG$141,MAX(1,MIN(121,$B129-ROUND(Declarations!$A$20/$D$18,0)))))</f>
        <v>-268.000025026691</v>
      </c>
      <c r="AI129" s="12" t="n">
        <f aca="false">INDEX(AH$21:AH$141,$I129+1)*(1-$J129)+INDEX(AH$21:AH$141,$I129+2)*$J129</f>
        <v>-261.301656394222</v>
      </c>
      <c r="AJ129" s="12" t="n">
        <f aca="false">INDEX(AH$21:AH$141,$K129+1)*(1-$L129)+INDEX(AH$21:AH$141,$K129+2)*$L129</f>
        <v>-271.300001811804</v>
      </c>
      <c r="AK129" s="12" t="n">
        <f aca="false">$C129+$D129+MAX(AI129,AJ129,IF(COUNTIFS($A$21:$A$141,"&gt;="&amp;$G129,$A$21:$A$141,"&lt;="&amp;$H129)&gt;0,_xlfn.MAXIFS(AH$21:AH$141,$A$21:$A$141,"&gt;="&amp;$G129,$A$21:$A$141,"&lt;="&amp;$H129),AI129))</f>
        <v>-0.00165639422226604</v>
      </c>
      <c r="AL129" s="12" t="n">
        <f aca="false">-Cost_k*$A129+Beta_q*(Declarations!$B$16*INDEX(AK$21:AK$141,MAX(1,MIN(121,$B129-ROUND(Declarations!$A$16/$D$18,0))))+Declarations!$B$17*INDEX(AK$21:AK$141,MAX(1,MIN(121,$B129-ROUND(Declarations!$A$17/$D$18,0))))+Declarations!$B$18*INDEX(AK$21:AK$141,MAX(1,MIN(121,$B129-ROUND(Declarations!$A$18/$D$18,0))))+Declarations!$B$19*INDEX(AK$21:AK$141,MAX(1,MIN(121,$B129-ROUND(Declarations!$A$19/$D$18,0))))+Declarations!$B$20*INDEX(AK$21:AK$141,MAX(1,MIN(121,$B129-ROUND(Declarations!$A$20/$D$18,0)))))</f>
        <v>-268.00345285647</v>
      </c>
      <c r="AM129" s="12" t="n">
        <f aca="false">INDEX(AL$21:AL$141,$I129+1)*(1-$J129)+INDEX(AL$21:AL$141,$I129+2)*$J129</f>
        <v>-261.348297422765</v>
      </c>
      <c r="AN129" s="12" t="n">
        <f aca="false">INDEX(AL$21:AL$141,$K129+1)*(1-$L129)+INDEX(AL$21:AL$141,$K129+2)*$L129</f>
        <v>-271.300723832153</v>
      </c>
      <c r="AO129" s="12" t="n">
        <f aca="false">$C129+$D129+MAX(AM129,AN129,IF(COUNTIFS($A$21:$A$141,"&gt;="&amp;$G129,$A$21:$A$141,"&lt;="&amp;$H129)&gt;0,_xlfn.MAXIFS(AL$21:AL$141,$A$21:$A$141,"&gt;="&amp;$G129,$A$21:$A$141,"&lt;="&amp;$H129),AM129))</f>
        <v>-0.0482974227648469</v>
      </c>
      <c r="AP129" s="12" t="n">
        <f aca="false">-Cost_k*$A129+Beta_q*(Declarations!$B$16*INDEX(AO$21:AO$141,MAX(1,MIN(121,$B129-ROUND(Declarations!$A$16/$D$18,0))))+Declarations!$B$17*INDEX(AO$21:AO$141,MAX(1,MIN(121,$B129-ROUND(Declarations!$A$17/$D$18,0))))+Declarations!$B$18*INDEX(AO$21:AO$141,MAX(1,MIN(121,$B129-ROUND(Declarations!$A$18/$D$18,0))))+Declarations!$B$19*INDEX(AO$21:AO$141,MAX(1,MIN(121,$B129-ROUND(Declarations!$A$19/$D$18,0))))+Declarations!$B$20*INDEX(AO$21:AO$141,MAX(1,MIN(121,$B129-ROUND(Declarations!$A$20/$D$18,0)))))</f>
        <v>-268.064697263339</v>
      </c>
      <c r="AQ129" s="12" t="n">
        <f aca="false">INDEX(AP$21:AP$141,$I129+1)*(1-$J129)+INDEX(AP$21:AP$141,$I129+2)*$J129</f>
        <v>-261.686630262154</v>
      </c>
      <c r="AR129" s="12" t="n">
        <f aca="false">INDEX(AP$21:AP$141,$K129+1)*(1-$L129)+INDEX(AP$21:AP$141,$K129+2)*$L129</f>
        <v>-271.322417174475</v>
      </c>
      <c r="AS129" s="12" t="n">
        <f aca="false">$C129+$D129+MAX(AQ129,AR129,IF(COUNTIFS($A$21:$A$141,"&gt;="&amp;$G129,$A$21:$A$141,"&lt;="&amp;$H129)&gt;0,_xlfn.MAXIFS(AP$21:AP$141,$A$21:$A$141,"&gt;="&amp;$G129,$A$21:$A$141,"&lt;="&amp;$H129),AQ129))</f>
        <v>-0.386630262153574</v>
      </c>
      <c r="AT129" s="12" t="n">
        <f aca="false">-Cost_k*$A129+Beta_q*(Declarations!$B$16*INDEX(AS$21:AS$141,MAX(1,MIN(121,$B129-ROUND(Declarations!$A$16/$D$18,0))))+Declarations!$B$17*INDEX(AS$21:AS$141,MAX(1,MIN(121,$B129-ROUND(Declarations!$A$17/$D$18,0))))+Declarations!$B$18*INDEX(AS$21:AS$141,MAX(1,MIN(121,$B129-ROUND(Declarations!$A$18/$D$18,0))))+Declarations!$B$19*INDEX(AS$21:AS$141,MAX(1,MIN(121,$B129-ROUND(Declarations!$A$19/$D$18,0))))+Declarations!$B$20*INDEX(AS$21:AS$141,MAX(1,MIN(121,$B129-ROUND(Declarations!$A$20/$D$18,0)))))</f>
        <v>-268.434116463931</v>
      </c>
      <c r="AU129" s="12" t="n">
        <f aca="false">INDEX(AT$21:AT$141,$I129+1)*(1-$J129)+INDEX(AT$21:AT$141,$I129+2)*$J129</f>
        <v>-262.812491098684</v>
      </c>
      <c r="AV129" s="12" t="n">
        <f aca="false">INDEX(AT$21:AT$141,$K129+1)*(1-$L129)+INDEX(AT$21:AT$141,$K129+2)*$L129</f>
        <v>-271.506536075641</v>
      </c>
      <c r="AW129" s="12" t="n">
        <f aca="false">$C129+$D129+MAX(AU129,AV129,IF(COUNTIFS($A$21:$A$141,"&gt;="&amp;$G129,$A$21:$A$141,"&lt;="&amp;$H129)&gt;0,_xlfn.MAXIFS(AT$21:AT$141,$A$21:$A$141,"&gt;="&amp;$G129,$A$21:$A$141,"&lt;="&amp;$H129),AU129))</f>
        <v>-1.51249109868382</v>
      </c>
      <c r="AX129" s="12" t="n">
        <f aca="false">-Cost_k*$A129+Beta_q*(Declarations!$B$16*INDEX(AW$21:AW$141,MAX(1,MIN(121,$B129-ROUND(Declarations!$A$16/$D$18,0))))+Declarations!$B$17*INDEX(AW$21:AW$141,MAX(1,MIN(121,$B129-ROUND(Declarations!$A$17/$D$18,0))))+Declarations!$B$18*INDEX(AW$21:AW$141,MAX(1,MIN(121,$B129-ROUND(Declarations!$A$18/$D$18,0))))+Declarations!$B$19*INDEX(AW$21:AW$141,MAX(1,MIN(121,$B129-ROUND(Declarations!$A$19/$D$18,0))))+Declarations!$B$20*INDEX(AW$21:AW$141,MAX(1,MIN(121,$B129-ROUND(Declarations!$A$20/$D$18,0)))))</f>
        <v>-269.573666490874</v>
      </c>
      <c r="AY129" s="12" t="n">
        <f aca="false">INDEX(AX$21:AX$141,$I129+1)*(1-$J129)+INDEX(AX$21:AX$141,$I129+2)*$J129</f>
        <v>-265.134382996917</v>
      </c>
      <c r="AZ129" s="12" t="n">
        <f aca="false">INDEX(AX$21:AX$141,$K129+1)*(1-$L129)+INDEX(AX$21:AX$141,$K129+2)*$L129</f>
        <v>-272.225349543688</v>
      </c>
      <c r="BA129" s="12" t="n">
        <f aca="false">$C129+$D129+MAX(AY129,AZ129,IF(COUNTIFS($A$21:$A$141,"&gt;="&amp;$G129,$A$21:$A$141,"&lt;="&amp;$H129)&gt;0,_xlfn.MAXIFS(AX$21:AX$141,$A$21:$A$141,"&gt;="&amp;$G129,$A$21:$A$141,"&lt;="&amp;$H129),AY129))</f>
        <v>-3.83438299691676</v>
      </c>
      <c r="BB129" s="12" t="n">
        <f aca="false">-Cost_k*$A129+Beta_q*(Declarations!$B$16*INDEX(BA$21:BA$141,MAX(1,MIN(121,$B129-ROUND(Declarations!$A$16/$D$18,0))))+Declarations!$B$17*INDEX(BA$21:BA$141,MAX(1,MIN(121,$B129-ROUND(Declarations!$A$17/$D$18,0))))+Declarations!$B$18*INDEX(BA$21:BA$141,MAX(1,MIN(121,$B129-ROUND(Declarations!$A$18/$D$18,0))))+Declarations!$B$19*INDEX(BA$21:BA$141,MAX(1,MIN(121,$B129-ROUND(Declarations!$A$19/$D$18,0))))+Declarations!$B$20*INDEX(BA$21:BA$141,MAX(1,MIN(121,$B129-ROUND(Declarations!$A$20/$D$18,0)))))</f>
        <v>-271.850135385173</v>
      </c>
      <c r="BC129" s="12" t="n">
        <f aca="false">INDEX(BB$21:BB$141,$I129+1)*(1-$J129)+INDEX(BB$21:BB$141,$I129+2)*$J129</f>
        <v>-268.602300966066</v>
      </c>
      <c r="BD129" s="12" t="n">
        <f aca="false">INDEX(BB$21:BB$141,$K129+1)*(1-$L129)+INDEX(BB$21:BB$141,$K129+2)*$L129</f>
        <v>-273.921493446498</v>
      </c>
      <c r="BE129" s="12" t="n">
        <f aca="false">$C129+$D129+MAX(BC129,BD129,IF(COUNTIFS($A$21:$A$141,"&gt;="&amp;$G129,$A$21:$A$141,"&lt;="&amp;$H129)&gt;0,_xlfn.MAXIFS(BB$21:BB$141,$A$21:$A$141,"&gt;="&amp;$G129,$A$21:$A$141,"&lt;="&amp;$H129),BC129))</f>
        <v>-7.30230096606618</v>
      </c>
      <c r="BF129" s="12" t="n">
        <f aca="false">-Cost_k*$A129+Beta_q*(Declarations!$B$16*INDEX(BE$21:BE$141,MAX(1,MIN(121,$B129-ROUND(Declarations!$A$16/$D$18,0))))+Declarations!$B$17*INDEX(BE$21:BE$141,MAX(1,MIN(121,$B129-ROUND(Declarations!$A$17/$D$18,0))))+Declarations!$B$18*INDEX(BE$21:BE$141,MAX(1,MIN(121,$B129-ROUND(Declarations!$A$18/$D$18,0))))+Declarations!$B$19*INDEX(BE$21:BE$141,MAX(1,MIN(121,$B129-ROUND(Declarations!$A$19/$D$18,0))))+Declarations!$B$20*INDEX(BE$21:BE$141,MAX(1,MIN(121,$B129-ROUND(Declarations!$A$20/$D$18,0)))))</f>
        <v>-275.208427728234</v>
      </c>
      <c r="BG129" s="12" t="n">
        <f aca="false">INDEX(BF$21:BF$141,$I129+1)*(1-$J129)+INDEX(BF$21:BF$141,$I129+2)*$J129</f>
        <v>-272.745574044744</v>
      </c>
      <c r="BH129" s="12" t="n">
        <f aca="false">INDEX(BF$21:BF$141,$K129+1)*(1-$L129)+INDEX(BF$21:BF$141,$K129+2)*$L129</f>
        <v>-276.755698632174</v>
      </c>
      <c r="BI129" s="12" t="n">
        <f aca="false">$C129+$D129+MAX(BG129,BH129,IF(COUNTIFS($A$21:$A$141,"&gt;="&amp;$G129,$A$21:$A$141,"&lt;="&amp;$H129)&gt;0,_xlfn.MAXIFS(BF$21:BF$141,$A$21:$A$141,"&gt;="&amp;$G129,$A$21:$A$141,"&lt;="&amp;$H129),BG129))</f>
        <v>-11.4455740447439</v>
      </c>
      <c r="BJ129" s="23" t="n">
        <v>-11.4455740447438</v>
      </c>
      <c r="BK129" s="22" t="n">
        <f aca="false">ABS(BI129-BJ129)</f>
        <v>5.50670620214078E-014</v>
      </c>
    </row>
    <row r="130" customFormat="false" ht="15" hidden="false" customHeight="false" outlineLevel="0" collapsed="false">
      <c r="A130" s="14" t="n">
        <f aca="false">A129+$D$18</f>
        <v>67.25</v>
      </c>
      <c r="B130" s="19" t="n">
        <v>110</v>
      </c>
      <c r="C130" s="12" t="n">
        <f aca="false">-Short_p*MAX(Floor_c-A130,0)</f>
        <v>-0</v>
      </c>
      <c r="D130" s="12" t="n">
        <f aca="false">Cost_k*Alpha_keep*A130</f>
        <v>262.275</v>
      </c>
      <c r="E130" s="12" t="n">
        <f aca="false">MIN(Cap_h,MAX(0,$B$18+MAX(Loss_w)-Alpha_keep*A130))</f>
        <v>0</v>
      </c>
      <c r="F130" s="12" t="n">
        <f aca="false">MAX(MIN(Cap_h,$F$18+MIN(Loss_w)-Alpha_keep*A130),E130)</f>
        <v>2.5</v>
      </c>
      <c r="G130" s="12" t="n">
        <f aca="false">Alpha_keep*A130+E130</f>
        <v>65.56875</v>
      </c>
      <c r="H130" s="12" t="n">
        <f aca="false">Alpha_keep*A130+F130</f>
        <v>68.06875</v>
      </c>
      <c r="I130" s="19" t="n">
        <f aca="false">MIN(INT((G130-$B$18)/$D$18+0.000000001),119)</f>
        <v>102</v>
      </c>
      <c r="J130" s="12" t="n">
        <f aca="false">(G130-$B$18)/$D$18-I130</f>
        <v>0.274999999999977</v>
      </c>
      <c r="K130" s="19" t="n">
        <f aca="false">MIN(INT((H130-$B$18)/$D$18+0.000000001),119)</f>
        <v>112</v>
      </c>
      <c r="L130" s="12" t="n">
        <f aca="false">(H130-$B$18)/$D$18-K130</f>
        <v>0.274999999999977</v>
      </c>
      <c r="M130" s="9" t="n">
        <v>0</v>
      </c>
      <c r="N130" s="12" t="n">
        <f aca="false">-Cost_k*$A130+Beta_q*(Declarations!$B$16*INDEX(M$21:M$141,MAX(1,MIN(121,$B130-ROUND(Declarations!$A$16/$D$18,0))))+Declarations!$B$17*INDEX(M$21:M$141,MAX(1,MIN(121,$B130-ROUND(Declarations!$A$17/$D$18,0))))+Declarations!$B$18*INDEX(M$21:M$141,MAX(1,MIN(121,$B130-ROUND(Declarations!$A$18/$D$18,0))))+Declarations!$B$19*INDEX(M$21:M$141,MAX(1,MIN(121,$B130-ROUND(Declarations!$A$19/$D$18,0))))+Declarations!$B$20*INDEX(M$21:M$141,MAX(1,MIN(121,$B130-ROUND(Declarations!$A$20/$D$18,0)))))</f>
        <v>-269</v>
      </c>
      <c r="O130" s="12" t="n">
        <f aca="false">INDEX(N$21:N$141,$I130+1)*(1-$J130)+INDEX(N$21:N$141,$I130+2)*$J130</f>
        <v>-262.275</v>
      </c>
      <c r="P130" s="12" t="n">
        <f aca="false">INDEX(N$21:N$141,$K130+1)*(1-$L130)+INDEX(N$21:N$141,$K130+2)*$L130</f>
        <v>-272.275</v>
      </c>
      <c r="Q130" s="12" t="n">
        <f aca="false">$C130+$D130+MAX(O130,P130,IF(COUNTIFS($A$21:$A$141,"&gt;="&amp;$G130,$A$21:$A$141,"&lt;="&amp;$H130)&gt;0,_xlfn.MAXIFS(N$21:N$141,$A$21:$A$141,"&gt;="&amp;$G130,$A$21:$A$141,"&lt;="&amp;$H130),O130))</f>
        <v>0</v>
      </c>
      <c r="R130" s="12" t="n">
        <f aca="false">-Cost_k*$A130+Beta_q*(Declarations!$B$16*INDEX(Q$21:Q$141,MAX(1,MIN(121,$B130-ROUND(Declarations!$A$16/$D$18,0))))+Declarations!$B$17*INDEX(Q$21:Q$141,MAX(1,MIN(121,$B130-ROUND(Declarations!$A$17/$D$18,0))))+Declarations!$B$18*INDEX(Q$21:Q$141,MAX(1,MIN(121,$B130-ROUND(Declarations!$A$18/$D$18,0))))+Declarations!$B$19*INDEX(Q$21:Q$141,MAX(1,MIN(121,$B130-ROUND(Declarations!$A$19/$D$18,0))))+Declarations!$B$20*INDEX(Q$21:Q$141,MAX(1,MIN(121,$B130-ROUND(Declarations!$A$20/$D$18,0)))))</f>
        <v>-269</v>
      </c>
      <c r="S130" s="12" t="n">
        <f aca="false">INDEX(R$21:R$141,$I130+1)*(1-$J130)+INDEX(R$21:R$141,$I130+2)*$J130</f>
        <v>-262.275</v>
      </c>
      <c r="T130" s="12" t="n">
        <f aca="false">INDEX(R$21:R$141,$K130+1)*(1-$L130)+INDEX(R$21:R$141,$K130+2)*$L130</f>
        <v>-272.275</v>
      </c>
      <c r="U130" s="12" t="n">
        <f aca="false">$C130+$D130+MAX(S130,T130,IF(COUNTIFS($A$21:$A$141,"&gt;="&amp;$G130,$A$21:$A$141,"&lt;="&amp;$H130)&gt;0,_xlfn.MAXIFS(R$21:R$141,$A$21:$A$141,"&gt;="&amp;$G130,$A$21:$A$141,"&lt;="&amp;$H130),S130))</f>
        <v>0</v>
      </c>
      <c r="V130" s="12" t="n">
        <f aca="false">-Cost_k*$A130+Beta_q*(Declarations!$B$16*INDEX(U$21:U$141,MAX(1,MIN(121,$B130-ROUND(Declarations!$A$16/$D$18,0))))+Declarations!$B$17*INDEX(U$21:U$141,MAX(1,MIN(121,$B130-ROUND(Declarations!$A$17/$D$18,0))))+Declarations!$B$18*INDEX(U$21:U$141,MAX(1,MIN(121,$B130-ROUND(Declarations!$A$18/$D$18,0))))+Declarations!$B$19*INDEX(U$21:U$141,MAX(1,MIN(121,$B130-ROUND(Declarations!$A$19/$D$18,0))))+Declarations!$B$20*INDEX(U$21:U$141,MAX(1,MIN(121,$B130-ROUND(Declarations!$A$20/$D$18,0)))))</f>
        <v>-269</v>
      </c>
      <c r="W130" s="12" t="n">
        <f aca="false">INDEX(V$21:V$141,$I130+1)*(1-$J130)+INDEX(V$21:V$141,$I130+2)*$J130</f>
        <v>-262.275</v>
      </c>
      <c r="X130" s="12" t="n">
        <f aca="false">INDEX(V$21:V$141,$K130+1)*(1-$L130)+INDEX(V$21:V$141,$K130+2)*$L130</f>
        <v>-272.275</v>
      </c>
      <c r="Y130" s="12" t="n">
        <f aca="false">$C130+$D130+MAX(W130,X130,IF(COUNTIFS($A$21:$A$141,"&gt;="&amp;$G130,$A$21:$A$141,"&lt;="&amp;$H130)&gt;0,_xlfn.MAXIFS(V$21:V$141,$A$21:$A$141,"&gt;="&amp;$G130,$A$21:$A$141,"&lt;="&amp;$H130),W130))</f>
        <v>0</v>
      </c>
      <c r="Z130" s="12" t="n">
        <f aca="false">-Cost_k*$A130+Beta_q*(Declarations!$B$16*INDEX(Y$21:Y$141,MAX(1,MIN(121,$B130-ROUND(Declarations!$A$16/$D$18,0))))+Declarations!$B$17*INDEX(Y$21:Y$141,MAX(1,MIN(121,$B130-ROUND(Declarations!$A$17/$D$18,0))))+Declarations!$B$18*INDEX(Y$21:Y$141,MAX(1,MIN(121,$B130-ROUND(Declarations!$A$18/$D$18,0))))+Declarations!$B$19*INDEX(Y$21:Y$141,MAX(1,MIN(121,$B130-ROUND(Declarations!$A$19/$D$18,0))))+Declarations!$B$20*INDEX(Y$21:Y$141,MAX(1,MIN(121,$B130-ROUND(Declarations!$A$20/$D$18,0)))))</f>
        <v>-269</v>
      </c>
      <c r="AA130" s="12" t="n">
        <f aca="false">INDEX(Z$21:Z$141,$I130+1)*(1-$J130)+INDEX(Z$21:Z$141,$I130+2)*$J130</f>
        <v>-262.275</v>
      </c>
      <c r="AB130" s="12" t="n">
        <f aca="false">INDEX(Z$21:Z$141,$K130+1)*(1-$L130)+INDEX(Z$21:Z$141,$K130+2)*$L130</f>
        <v>-272.275</v>
      </c>
      <c r="AC130" s="12" t="n">
        <f aca="false">$C130+$D130+MAX(AA130,AB130,IF(COUNTIFS($A$21:$A$141,"&gt;="&amp;$G130,$A$21:$A$141,"&lt;="&amp;$H130)&gt;0,_xlfn.MAXIFS(Z$21:Z$141,$A$21:$A$141,"&gt;="&amp;$G130,$A$21:$A$141,"&lt;="&amp;$H130),AA130))</f>
        <v>0</v>
      </c>
      <c r="AD130" s="12" t="n">
        <f aca="false">-Cost_k*$A130+Beta_q*(Declarations!$B$16*INDEX(AC$21:AC$141,MAX(1,MIN(121,$B130-ROUND(Declarations!$A$16/$D$18,0))))+Declarations!$B$17*INDEX(AC$21:AC$141,MAX(1,MIN(121,$B130-ROUND(Declarations!$A$17/$D$18,0))))+Declarations!$B$18*INDEX(AC$21:AC$141,MAX(1,MIN(121,$B130-ROUND(Declarations!$A$18/$D$18,0))))+Declarations!$B$19*INDEX(AC$21:AC$141,MAX(1,MIN(121,$B130-ROUND(Declarations!$A$19/$D$18,0))))+Declarations!$B$20*INDEX(AC$21:AC$141,MAX(1,MIN(121,$B130-ROUND(Declarations!$A$20/$D$18,0)))))</f>
        <v>-269</v>
      </c>
      <c r="AE130" s="12" t="n">
        <f aca="false">INDEX(AD$21:AD$141,$I130+1)*(1-$J130)+INDEX(AD$21:AD$141,$I130+2)*$J130</f>
        <v>-262.275000656197</v>
      </c>
      <c r="AF130" s="12" t="n">
        <f aca="false">INDEX(AD$21:AD$141,$K130+1)*(1-$L130)+INDEX(AD$21:AD$141,$K130+2)*$L130</f>
        <v>-272.275</v>
      </c>
      <c r="AG130" s="12" t="n">
        <f aca="false">$C130+$D130+MAX(AE130,AF130,IF(COUNTIFS($A$21:$A$141,"&gt;="&amp;$G130,$A$21:$A$141,"&lt;="&amp;$H130)&gt;0,_xlfn.MAXIFS(AD$21:AD$141,$A$21:$A$141,"&gt;="&amp;$G130,$A$21:$A$141,"&lt;="&amp;$H130),AE130))</f>
        <v>-6.56196675663523E-007</v>
      </c>
      <c r="AH130" s="12" t="n">
        <f aca="false">-Cost_k*$A130+Beta_q*(Declarations!$B$16*INDEX(AG$21:AG$141,MAX(1,MIN(121,$B130-ROUND(Declarations!$A$16/$D$18,0))))+Declarations!$B$17*INDEX(AG$21:AG$141,MAX(1,MIN(121,$B130-ROUND(Declarations!$A$17/$D$18,0))))+Declarations!$B$18*INDEX(AG$21:AG$141,MAX(1,MIN(121,$B130-ROUND(Declarations!$A$18/$D$18,0))))+Declarations!$B$19*INDEX(AG$21:AG$141,MAX(1,MIN(121,$B130-ROUND(Declarations!$A$19/$D$18,0))))+Declarations!$B$20*INDEX(AG$21:AG$141,MAX(1,MIN(121,$B130-ROUND(Declarations!$A$20/$D$18,0)))))</f>
        <v>-269.000010234001</v>
      </c>
      <c r="AI130" s="12" t="n">
        <f aca="false">INDEX(AH$21:AH$141,$I130+1)*(1-$J130)+INDEX(AH$21:AH$141,$I130+2)*$J130</f>
        <v>-262.275948767634</v>
      </c>
      <c r="AJ130" s="12" t="n">
        <f aca="false">INDEX(AH$21:AH$141,$K130+1)*(1-$L130)+INDEX(AH$21:AH$141,$K130+2)*$L130</f>
        <v>-272.275000640688</v>
      </c>
      <c r="AK130" s="12" t="n">
        <f aca="false">$C130+$D130+MAX(AI130,AJ130,IF(COUNTIFS($A$21:$A$141,"&gt;="&amp;$G130,$A$21:$A$141,"&lt;="&amp;$H130)&gt;0,_xlfn.MAXIFS(AH$21:AH$141,$A$21:$A$141,"&gt;="&amp;$G130,$A$21:$A$141,"&lt;="&amp;$H130),AI130))</f>
        <v>-0.000948767633587977</v>
      </c>
      <c r="AL130" s="12" t="n">
        <f aca="false">-Cost_k*$A130+Beta_q*(Declarations!$B$16*INDEX(AK$21:AK$141,MAX(1,MIN(121,$B130-ROUND(Declarations!$A$16/$D$18,0))))+Declarations!$B$17*INDEX(AK$21:AK$141,MAX(1,MIN(121,$B130-ROUND(Declarations!$A$17/$D$18,0))))+Declarations!$B$18*INDEX(AK$21:AK$141,MAX(1,MIN(121,$B130-ROUND(Declarations!$A$18/$D$18,0))))+Declarations!$B$19*INDEX(AK$21:AK$141,MAX(1,MIN(121,$B130-ROUND(Declarations!$A$19/$D$18,0))))+Declarations!$B$20*INDEX(AK$21:AK$141,MAX(1,MIN(121,$B130-ROUND(Declarations!$A$20/$D$18,0)))))</f>
        <v>-269.002119521405</v>
      </c>
      <c r="AM130" s="12" t="n">
        <f aca="false">INDEX(AL$21:AL$141,$I130+1)*(1-$J130)+INDEX(AL$21:AL$141,$I130+2)*$J130</f>
        <v>-262.309089013372</v>
      </c>
      <c r="AN130" s="12" t="n">
        <f aca="false">INDEX(AL$21:AL$141,$K130+1)*(1-$L130)+INDEX(AL$21:AL$141,$K130+2)*$L130</f>
        <v>-272.275424328765</v>
      </c>
      <c r="AO130" s="12" t="n">
        <f aca="false">$C130+$D130+MAX(AM130,AN130,IF(COUNTIFS($A$21:$A$141,"&gt;="&amp;$G130,$A$21:$A$141,"&lt;="&amp;$H130)&gt;0,_xlfn.MAXIFS(AL$21:AL$141,$A$21:$A$141,"&gt;="&amp;$G130,$A$21:$A$141,"&lt;="&amp;$H130),AM130))</f>
        <v>-0.0340890133718403</v>
      </c>
      <c r="AP130" s="12" t="n">
        <f aca="false">-Cost_k*$A130+Beta_q*(Declarations!$B$16*INDEX(AO$21:AO$141,MAX(1,MIN(121,$B130-ROUND(Declarations!$A$16/$D$18,0))))+Declarations!$B$17*INDEX(AO$21:AO$141,MAX(1,MIN(121,$B130-ROUND(Declarations!$A$17/$D$18,0))))+Declarations!$B$18*INDEX(AO$21:AO$141,MAX(1,MIN(121,$B130-ROUND(Declarations!$A$18/$D$18,0))))+Declarations!$B$19*INDEX(AO$21:AO$141,MAX(1,MIN(121,$B130-ROUND(Declarations!$A$19/$D$18,0))))+Declarations!$B$20*INDEX(AO$21:AO$141,MAX(1,MIN(121,$B130-ROUND(Declarations!$A$20/$D$18,0)))))</f>
        <v>-269.047056175307</v>
      </c>
      <c r="AQ130" s="12" t="n">
        <f aca="false">INDEX(AP$21:AP$141,$I130+1)*(1-$J130)+INDEX(AP$21:AP$141,$I130+2)*$J130</f>
        <v>-262.581228040697</v>
      </c>
      <c r="AR130" s="12" t="n">
        <f aca="false">INDEX(AP$21:AP$141,$K130+1)*(1-$L130)+INDEX(AP$21:AP$141,$K130+2)*$L130</f>
        <v>-272.290817286328</v>
      </c>
      <c r="AS130" s="12" t="n">
        <f aca="false">$C130+$D130+MAX(AQ130,AR130,IF(COUNTIFS($A$21:$A$141,"&gt;="&amp;$G130,$A$21:$A$141,"&lt;="&amp;$H130)&gt;0,_xlfn.MAXIFS(AP$21:AP$141,$A$21:$A$141,"&gt;="&amp;$G130,$A$21:$A$141,"&lt;="&amp;$H130),AQ130))</f>
        <v>-0.30622804069651</v>
      </c>
      <c r="AT130" s="12" t="n">
        <f aca="false">-Cost_k*$A130+Beta_q*(Declarations!$B$16*INDEX(AS$21:AS$141,MAX(1,MIN(121,$B130-ROUND(Declarations!$A$16/$D$18,0))))+Declarations!$B$17*INDEX(AS$21:AS$141,MAX(1,MIN(121,$B130-ROUND(Declarations!$A$17/$D$18,0))))+Declarations!$B$18*INDEX(AS$21:AS$141,MAX(1,MIN(121,$B130-ROUND(Declarations!$A$18/$D$18,0))))+Declarations!$B$19*INDEX(AS$21:AS$141,MAX(1,MIN(121,$B130-ROUND(Declarations!$A$19/$D$18,0))))+Declarations!$B$20*INDEX(AS$21:AS$141,MAX(1,MIN(121,$B130-ROUND(Declarations!$A$20/$D$18,0)))))</f>
        <v>-269.348673890014</v>
      </c>
      <c r="AU130" s="12" t="n">
        <f aca="false">INDEX(AT$21:AT$141,$I130+1)*(1-$J130)+INDEX(AT$21:AT$141,$I130+2)*$J130</f>
        <v>-263.561295140339</v>
      </c>
      <c r="AV130" s="12" t="n">
        <f aca="false">INDEX(AT$21:AT$141,$K130+1)*(1-$L130)+INDEX(AT$21:AT$141,$K130+2)*$L130</f>
        <v>-272.437244174808</v>
      </c>
      <c r="AW130" s="12" t="n">
        <f aca="false">$C130+$D130+MAX(AU130,AV130,IF(COUNTIFS($A$21:$A$141,"&gt;="&amp;$G130,$A$21:$A$141,"&lt;="&amp;$H130)&gt;0,_xlfn.MAXIFS(AT$21:AT$141,$A$21:$A$141,"&gt;="&amp;$G130,$A$21:$A$141,"&lt;="&amp;$H130),AU130))</f>
        <v>-1.28629514033912</v>
      </c>
      <c r="AX130" s="12" t="n">
        <f aca="false">-Cost_k*$A130+Beta_q*(Declarations!$B$16*INDEX(AW$21:AW$141,MAX(1,MIN(121,$B130-ROUND(Declarations!$A$16/$D$18,0))))+Declarations!$B$17*INDEX(AW$21:AW$141,MAX(1,MIN(121,$B130-ROUND(Declarations!$A$17/$D$18,0))))+Declarations!$B$18*INDEX(AW$21:AW$141,MAX(1,MIN(121,$B130-ROUND(Declarations!$A$18/$D$18,0))))+Declarations!$B$19*INDEX(AW$21:AW$141,MAX(1,MIN(121,$B130-ROUND(Declarations!$A$19/$D$18,0))))+Declarations!$B$20*INDEX(AW$21:AW$141,MAX(1,MIN(121,$B130-ROUND(Declarations!$A$20/$D$18,0)))))</f>
        <v>-270.347179128625</v>
      </c>
      <c r="AY130" s="12" t="n">
        <f aca="false">INDEX(AX$21:AX$141,$I130+1)*(1-$J130)+INDEX(AX$21:AX$141,$I130+2)*$J130</f>
        <v>-265.692077371655</v>
      </c>
      <c r="AZ130" s="12" t="n">
        <f aca="false">INDEX(AX$21:AX$141,$K130+1)*(1-$L130)+INDEX(AX$21:AX$141,$K130+2)*$L130</f>
        <v>-273.054524285125</v>
      </c>
      <c r="BA130" s="12" t="n">
        <f aca="false">$C130+$D130+MAX(AY130,AZ130,IF(COUNTIFS($A$21:$A$141,"&gt;="&amp;$G130,$A$21:$A$141,"&lt;="&amp;$H130)&gt;0,_xlfn.MAXIFS(AX$21:AX$141,$A$21:$A$141,"&gt;="&amp;$G130,$A$21:$A$141,"&lt;="&amp;$H130),AY130))</f>
        <v>-3.41707737165484</v>
      </c>
      <c r="BB130" s="12" t="n">
        <f aca="false">-Cost_k*$A130+Beta_q*(Declarations!$B$16*INDEX(BA$21:BA$141,MAX(1,MIN(121,$B130-ROUND(Declarations!$A$16/$D$18,0))))+Declarations!$B$17*INDEX(BA$21:BA$141,MAX(1,MIN(121,$B130-ROUND(Declarations!$A$17/$D$18,0))))+Declarations!$B$18*INDEX(BA$21:BA$141,MAX(1,MIN(121,$B130-ROUND(Declarations!$A$18/$D$18,0))))+Declarations!$B$19*INDEX(BA$21:BA$141,MAX(1,MIN(121,$B130-ROUND(Declarations!$A$19/$D$18,0))))+Declarations!$B$20*INDEX(BA$21:BA$141,MAX(1,MIN(121,$B130-ROUND(Declarations!$A$20/$D$18,0)))))</f>
        <v>-272.442627572387</v>
      </c>
      <c r="BC130" s="12" t="n">
        <f aca="false">INDEX(BB$21:BB$141,$I130+1)*(1-$J130)+INDEX(BB$21:BB$141,$I130+2)*$J130</f>
        <v>-269.000099441381</v>
      </c>
      <c r="BD130" s="12" t="n">
        <f aca="false">INDEX(BB$21:BB$141,$K130+1)*(1-$L130)+INDEX(BB$21:BB$141,$K130+2)*$L130</f>
        <v>-274.591073260872</v>
      </c>
      <c r="BE130" s="12" t="n">
        <f aca="false">$C130+$D130+MAX(BC130,BD130,IF(COUNTIFS($A$21:$A$141,"&gt;="&amp;$G130,$A$21:$A$141,"&lt;="&amp;$H130)&gt;0,_xlfn.MAXIFS(BB$21:BB$141,$A$21:$A$141,"&gt;="&amp;$G130,$A$21:$A$141,"&lt;="&amp;$H130),BC130))</f>
        <v>-6.72509944138051</v>
      </c>
      <c r="BF130" s="12" t="n">
        <f aca="false">-Cost_k*$A130+Beta_q*(Declarations!$B$16*INDEX(BE$21:BE$141,MAX(1,MIN(121,$B130-ROUND(Declarations!$A$16/$D$18,0))))+Declarations!$B$17*INDEX(BE$21:BE$141,MAX(1,MIN(121,$B130-ROUND(Declarations!$A$17/$D$18,0))))+Declarations!$B$18*INDEX(BE$21:BE$141,MAX(1,MIN(121,$B130-ROUND(Declarations!$A$18/$D$18,0))))+Declarations!$B$19*INDEX(BE$21:BE$141,MAX(1,MIN(121,$B130-ROUND(Declarations!$A$19/$D$18,0))))+Declarations!$B$20*INDEX(BE$21:BE$141,MAX(1,MIN(121,$B130-ROUND(Declarations!$A$20/$D$18,0)))))</f>
        <v>-275.649245847124</v>
      </c>
      <c r="BG130" s="12" t="n">
        <f aca="false">INDEX(BF$21:BF$141,$I130+1)*(1-$J130)+INDEX(BF$21:BF$141,$I130+2)*$J130</f>
        <v>-273.058202594268</v>
      </c>
      <c r="BH130" s="12" t="n">
        <f aca="false">INDEX(BF$21:BF$141,$K130+1)*(1-$L130)+INDEX(BF$21:BF$141,$K130+2)*$L130</f>
        <v>-277.261939783583</v>
      </c>
      <c r="BI130" s="12" t="n">
        <f aca="false">$C130+$D130+MAX(BG130,BH130,IF(COUNTIFS($A$21:$A$141,"&gt;="&amp;$G130,$A$21:$A$141,"&lt;="&amp;$H130)&gt;0,_xlfn.MAXIFS(BF$21:BF$141,$A$21:$A$141,"&gt;="&amp;$G130,$A$21:$A$141,"&lt;="&amp;$H130),BG130))</f>
        <v>-10.7832025942682</v>
      </c>
      <c r="BJ130" s="23" t="n">
        <v>-10.7832025942682</v>
      </c>
      <c r="BK130" s="22" t="n">
        <f aca="false">ABS(BI130-BJ130)</f>
        <v>5.15143483426073E-014</v>
      </c>
    </row>
    <row r="131" customFormat="false" ht="15" hidden="false" customHeight="false" outlineLevel="0" collapsed="false">
      <c r="A131" s="14" t="n">
        <f aca="false">A130+$D$18</f>
        <v>67.5</v>
      </c>
      <c r="B131" s="19" t="n">
        <v>111</v>
      </c>
      <c r="C131" s="12" t="n">
        <f aca="false">-Short_p*MAX(Floor_c-A131,0)</f>
        <v>-0</v>
      </c>
      <c r="D131" s="12" t="n">
        <f aca="false">Cost_k*Alpha_keep*A131</f>
        <v>263.25</v>
      </c>
      <c r="E131" s="12" t="n">
        <f aca="false">MIN(Cap_h,MAX(0,$B$18+MAX(Loss_w)-Alpha_keep*A131))</f>
        <v>0</v>
      </c>
      <c r="F131" s="12" t="n">
        <f aca="false">MAX(MIN(Cap_h,$F$18+MIN(Loss_w)-Alpha_keep*A131),E131)</f>
        <v>2.5</v>
      </c>
      <c r="G131" s="12" t="n">
        <f aca="false">Alpha_keep*A131+E131</f>
        <v>65.8125</v>
      </c>
      <c r="H131" s="12" t="n">
        <f aca="false">Alpha_keep*A131+F131</f>
        <v>68.3125</v>
      </c>
      <c r="I131" s="19" t="n">
        <f aca="false">MIN(INT((G131-$B$18)/$D$18+0.000000001),119)</f>
        <v>103</v>
      </c>
      <c r="J131" s="12" t="n">
        <f aca="false">(G131-$B$18)/$D$18-I131</f>
        <v>0.25</v>
      </c>
      <c r="K131" s="19" t="n">
        <f aca="false">MIN(INT((H131-$B$18)/$D$18+0.000000001),119)</f>
        <v>113</v>
      </c>
      <c r="L131" s="12" t="n">
        <f aca="false">(H131-$B$18)/$D$18-K131</f>
        <v>0.25</v>
      </c>
      <c r="M131" s="9" t="n">
        <v>0</v>
      </c>
      <c r="N131" s="12" t="n">
        <f aca="false">-Cost_k*$A131+Beta_q*(Declarations!$B$16*INDEX(M$21:M$141,MAX(1,MIN(121,$B131-ROUND(Declarations!$A$16/$D$18,0))))+Declarations!$B$17*INDEX(M$21:M$141,MAX(1,MIN(121,$B131-ROUND(Declarations!$A$17/$D$18,0))))+Declarations!$B$18*INDEX(M$21:M$141,MAX(1,MIN(121,$B131-ROUND(Declarations!$A$18/$D$18,0))))+Declarations!$B$19*INDEX(M$21:M$141,MAX(1,MIN(121,$B131-ROUND(Declarations!$A$19/$D$18,0))))+Declarations!$B$20*INDEX(M$21:M$141,MAX(1,MIN(121,$B131-ROUND(Declarations!$A$20/$D$18,0)))))</f>
        <v>-270</v>
      </c>
      <c r="O131" s="12" t="n">
        <f aca="false">INDEX(N$21:N$141,$I131+1)*(1-$J131)+INDEX(N$21:N$141,$I131+2)*$J131</f>
        <v>-263.25</v>
      </c>
      <c r="P131" s="12" t="n">
        <f aca="false">INDEX(N$21:N$141,$K131+1)*(1-$L131)+INDEX(N$21:N$141,$K131+2)*$L131</f>
        <v>-273.25</v>
      </c>
      <c r="Q131" s="12" t="n">
        <f aca="false">$C131+$D131+MAX(O131,P131,IF(COUNTIFS($A$21:$A$141,"&gt;="&amp;$G131,$A$21:$A$141,"&lt;="&amp;$H131)&gt;0,_xlfn.MAXIFS(N$21:N$141,$A$21:$A$141,"&gt;="&amp;$G131,$A$21:$A$141,"&lt;="&amp;$H131),O131))</f>
        <v>0</v>
      </c>
      <c r="R131" s="12" t="n">
        <f aca="false">-Cost_k*$A131+Beta_q*(Declarations!$B$16*INDEX(Q$21:Q$141,MAX(1,MIN(121,$B131-ROUND(Declarations!$A$16/$D$18,0))))+Declarations!$B$17*INDEX(Q$21:Q$141,MAX(1,MIN(121,$B131-ROUND(Declarations!$A$17/$D$18,0))))+Declarations!$B$18*INDEX(Q$21:Q$141,MAX(1,MIN(121,$B131-ROUND(Declarations!$A$18/$D$18,0))))+Declarations!$B$19*INDEX(Q$21:Q$141,MAX(1,MIN(121,$B131-ROUND(Declarations!$A$19/$D$18,0))))+Declarations!$B$20*INDEX(Q$21:Q$141,MAX(1,MIN(121,$B131-ROUND(Declarations!$A$20/$D$18,0)))))</f>
        <v>-270</v>
      </c>
      <c r="S131" s="12" t="n">
        <f aca="false">INDEX(R$21:R$141,$I131+1)*(1-$J131)+INDEX(R$21:R$141,$I131+2)*$J131</f>
        <v>-263.25</v>
      </c>
      <c r="T131" s="12" t="n">
        <f aca="false">INDEX(R$21:R$141,$K131+1)*(1-$L131)+INDEX(R$21:R$141,$K131+2)*$L131</f>
        <v>-273.25</v>
      </c>
      <c r="U131" s="12" t="n">
        <f aca="false">$C131+$D131+MAX(S131,T131,IF(COUNTIFS($A$21:$A$141,"&gt;="&amp;$G131,$A$21:$A$141,"&lt;="&amp;$H131)&gt;0,_xlfn.MAXIFS(R$21:R$141,$A$21:$A$141,"&gt;="&amp;$G131,$A$21:$A$141,"&lt;="&amp;$H131),S131))</f>
        <v>0</v>
      </c>
      <c r="V131" s="12" t="n">
        <f aca="false">-Cost_k*$A131+Beta_q*(Declarations!$B$16*INDEX(U$21:U$141,MAX(1,MIN(121,$B131-ROUND(Declarations!$A$16/$D$18,0))))+Declarations!$B$17*INDEX(U$21:U$141,MAX(1,MIN(121,$B131-ROUND(Declarations!$A$17/$D$18,0))))+Declarations!$B$18*INDEX(U$21:U$141,MAX(1,MIN(121,$B131-ROUND(Declarations!$A$18/$D$18,0))))+Declarations!$B$19*INDEX(U$21:U$141,MAX(1,MIN(121,$B131-ROUND(Declarations!$A$19/$D$18,0))))+Declarations!$B$20*INDEX(U$21:U$141,MAX(1,MIN(121,$B131-ROUND(Declarations!$A$20/$D$18,0)))))</f>
        <v>-270</v>
      </c>
      <c r="W131" s="12" t="n">
        <f aca="false">INDEX(V$21:V$141,$I131+1)*(1-$J131)+INDEX(V$21:V$141,$I131+2)*$J131</f>
        <v>-263.25</v>
      </c>
      <c r="X131" s="12" t="n">
        <f aca="false">INDEX(V$21:V$141,$K131+1)*(1-$L131)+INDEX(V$21:V$141,$K131+2)*$L131</f>
        <v>-273.25</v>
      </c>
      <c r="Y131" s="12" t="n">
        <f aca="false">$C131+$D131+MAX(W131,X131,IF(COUNTIFS($A$21:$A$141,"&gt;="&amp;$G131,$A$21:$A$141,"&lt;="&amp;$H131)&gt;0,_xlfn.MAXIFS(V$21:V$141,$A$21:$A$141,"&gt;="&amp;$G131,$A$21:$A$141,"&lt;="&amp;$H131),W131))</f>
        <v>0</v>
      </c>
      <c r="Z131" s="12" t="n">
        <f aca="false">-Cost_k*$A131+Beta_q*(Declarations!$B$16*INDEX(Y$21:Y$141,MAX(1,MIN(121,$B131-ROUND(Declarations!$A$16/$D$18,0))))+Declarations!$B$17*INDEX(Y$21:Y$141,MAX(1,MIN(121,$B131-ROUND(Declarations!$A$17/$D$18,0))))+Declarations!$B$18*INDEX(Y$21:Y$141,MAX(1,MIN(121,$B131-ROUND(Declarations!$A$18/$D$18,0))))+Declarations!$B$19*INDEX(Y$21:Y$141,MAX(1,MIN(121,$B131-ROUND(Declarations!$A$19/$D$18,0))))+Declarations!$B$20*INDEX(Y$21:Y$141,MAX(1,MIN(121,$B131-ROUND(Declarations!$A$20/$D$18,0)))))</f>
        <v>-270</v>
      </c>
      <c r="AA131" s="12" t="n">
        <f aca="false">INDEX(Z$21:Z$141,$I131+1)*(1-$J131)+INDEX(Z$21:Z$141,$I131+2)*$J131</f>
        <v>-263.25</v>
      </c>
      <c r="AB131" s="12" t="n">
        <f aca="false">INDEX(Z$21:Z$141,$K131+1)*(1-$L131)+INDEX(Z$21:Z$141,$K131+2)*$L131</f>
        <v>-273.25</v>
      </c>
      <c r="AC131" s="12" t="n">
        <f aca="false">$C131+$D131+MAX(AA131,AB131,IF(COUNTIFS($A$21:$A$141,"&gt;="&amp;$G131,$A$21:$A$141,"&lt;="&amp;$H131)&gt;0,_xlfn.MAXIFS(Z$21:Z$141,$A$21:$A$141,"&gt;="&amp;$G131,$A$21:$A$141,"&lt;="&amp;$H131),AA131))</f>
        <v>0</v>
      </c>
      <c r="AD131" s="12" t="n">
        <f aca="false">-Cost_k*$A131+Beta_q*(Declarations!$B$16*INDEX(AC$21:AC$141,MAX(1,MIN(121,$B131-ROUND(Declarations!$A$16/$D$18,0))))+Declarations!$B$17*INDEX(AC$21:AC$141,MAX(1,MIN(121,$B131-ROUND(Declarations!$A$17/$D$18,0))))+Declarations!$B$18*INDEX(AC$21:AC$141,MAX(1,MIN(121,$B131-ROUND(Declarations!$A$18/$D$18,0))))+Declarations!$B$19*INDEX(AC$21:AC$141,MAX(1,MIN(121,$B131-ROUND(Declarations!$A$19/$D$18,0))))+Declarations!$B$20*INDEX(AC$21:AC$141,MAX(1,MIN(121,$B131-ROUND(Declarations!$A$20/$D$18,0)))))</f>
        <v>-270</v>
      </c>
      <c r="AE131" s="12" t="n">
        <f aca="false">INDEX(AD$21:AD$141,$I131+1)*(1-$J131)+INDEX(AD$21:AD$141,$I131+2)*$J131</f>
        <v>-263.250000056143</v>
      </c>
      <c r="AF131" s="12" t="n">
        <f aca="false">INDEX(AD$21:AD$141,$K131+1)*(1-$L131)+INDEX(AD$21:AD$141,$K131+2)*$L131</f>
        <v>-273.25</v>
      </c>
      <c r="AG131" s="12" t="n">
        <f aca="false">$C131+$D131+MAX(AE131,AF131,IF(COUNTIFS($A$21:$A$141,"&gt;="&amp;$G131,$A$21:$A$141,"&lt;="&amp;$H131)&gt;0,_xlfn.MAXIFS(AD$21:AD$141,$A$21:$A$141,"&gt;="&amp;$G131,$A$21:$A$141,"&lt;="&amp;$H131),AE131))</f>
        <v>-5.6143449000956E-008</v>
      </c>
      <c r="AH131" s="12" t="n">
        <f aca="false">-Cost_k*$A131+Beta_q*(Declarations!$B$16*INDEX(AG$21:AG$141,MAX(1,MIN(121,$B131-ROUND(Declarations!$A$16/$D$18,0))))+Declarations!$B$17*INDEX(AG$21:AG$141,MAX(1,MIN(121,$B131-ROUND(Declarations!$A$17/$D$18,0))))+Declarations!$B$18*INDEX(AG$21:AG$141,MAX(1,MIN(121,$B131-ROUND(Declarations!$A$18/$D$18,0))))+Declarations!$B$19*INDEX(AG$21:AG$141,MAX(1,MIN(121,$B131-ROUND(Declarations!$A$19/$D$18,0))))+Declarations!$B$20*INDEX(AG$21:AG$141,MAX(1,MIN(121,$B131-ROUND(Declarations!$A$20/$D$18,0)))))</f>
        <v>-270.000004453468</v>
      </c>
      <c r="AI131" s="12" t="n">
        <f aca="false">INDEX(AH$21:AH$141,$I131+1)*(1-$J131)+INDEX(AH$21:AH$141,$I131+2)*$J131</f>
        <v>-263.250523771118</v>
      </c>
      <c r="AJ131" s="12" t="n">
        <f aca="false">INDEX(AH$21:AH$141,$K131+1)*(1-$L131)+INDEX(AH$21:AH$141,$K131+2)*$L131</f>
        <v>-273.250000203534</v>
      </c>
      <c r="AK131" s="12" t="n">
        <f aca="false">$C131+$D131+MAX(AI131,AJ131,IF(COUNTIFS($A$21:$A$141,"&gt;="&amp;$G131,$A$21:$A$141,"&lt;="&amp;$H131)&gt;0,_xlfn.MAXIFS(AH$21:AH$141,$A$21:$A$141,"&gt;="&amp;$G131,$A$21:$A$141,"&lt;="&amp;$H131),AI131))</f>
        <v>-0.000523771118196237</v>
      </c>
      <c r="AL131" s="12" t="n">
        <f aca="false">-Cost_k*$A131+Beta_q*(Declarations!$B$16*INDEX(AK$21:AK$141,MAX(1,MIN(121,$B131-ROUND(Declarations!$A$16/$D$18,0))))+Declarations!$B$17*INDEX(AK$21:AK$141,MAX(1,MIN(121,$B131-ROUND(Declarations!$A$17/$D$18,0))))+Declarations!$B$18*INDEX(AK$21:AK$141,MAX(1,MIN(121,$B131-ROUND(Declarations!$A$18/$D$18,0))))+Declarations!$B$19*INDEX(AK$21:AK$141,MAX(1,MIN(121,$B131-ROUND(Declarations!$A$19/$D$18,0))))+Declarations!$B$20*INDEX(AK$21:AK$141,MAX(1,MIN(121,$B131-ROUND(Declarations!$A$20/$D$18,0)))))</f>
        <v>-270.001310447125</v>
      </c>
      <c r="AM131" s="12" t="n">
        <f aca="false">INDEX(AL$21:AL$141,$I131+1)*(1-$J131)+INDEX(AL$21:AL$141,$I131+2)*$J131</f>
        <v>-263.273749998588</v>
      </c>
      <c r="AN131" s="12" t="n">
        <f aca="false">INDEX(AL$21:AL$141,$K131+1)*(1-$L131)+INDEX(AL$21:AL$141,$K131+2)*$L131</f>
        <v>-273.250245584888</v>
      </c>
      <c r="AO131" s="12" t="n">
        <f aca="false">$C131+$D131+MAX(AM131,AN131,IF(COUNTIFS($A$21:$A$141,"&gt;="&amp;$G131,$A$21:$A$141,"&lt;="&amp;$H131)&gt;0,_xlfn.MAXIFS(AL$21:AL$141,$A$21:$A$141,"&gt;="&amp;$G131,$A$21:$A$141,"&lt;="&amp;$H131),AM131))</f>
        <v>-0.023749998588471</v>
      </c>
      <c r="AP131" s="12" t="n">
        <f aca="false">-Cost_k*$A131+Beta_q*(Declarations!$B$16*INDEX(AO$21:AO$141,MAX(1,MIN(121,$B131-ROUND(Declarations!$A$16/$D$18,0))))+Declarations!$B$17*INDEX(AO$21:AO$141,MAX(1,MIN(121,$B131-ROUND(Declarations!$A$17/$D$18,0))))+Declarations!$B$18*INDEX(AO$21:AO$141,MAX(1,MIN(121,$B131-ROUND(Declarations!$A$18/$D$18,0))))+Declarations!$B$19*INDEX(AO$21:AO$141,MAX(1,MIN(121,$B131-ROUND(Declarations!$A$19/$D$18,0))))+Declarations!$B$20*INDEX(AO$21:AO$141,MAX(1,MIN(121,$B131-ROUND(Declarations!$A$20/$D$18,0)))))</f>
        <v>-270.034043605904</v>
      </c>
      <c r="AQ131" s="12" t="n">
        <f aca="false">INDEX(AP$21:AP$141,$I131+1)*(1-$J131)+INDEX(AP$21:AP$141,$I131+2)*$J131</f>
        <v>-263.490539970082</v>
      </c>
      <c r="AR131" s="12" t="n">
        <f aca="false">INDEX(AP$21:AP$141,$K131+1)*(1-$L131)+INDEX(AP$21:AP$141,$K131+2)*$L131</f>
        <v>-273.26103200609</v>
      </c>
      <c r="AS131" s="12" t="n">
        <f aca="false">$C131+$D131+MAX(AQ131,AR131,IF(COUNTIFS($A$21:$A$141,"&gt;="&amp;$G131,$A$21:$A$141,"&lt;="&amp;$H131)&gt;0,_xlfn.MAXIFS(AP$21:AP$141,$A$21:$A$141,"&gt;="&amp;$G131,$A$21:$A$141,"&lt;="&amp;$H131),AQ131))</f>
        <v>-0.24053997008167</v>
      </c>
      <c r="AT131" s="12" t="n">
        <f aca="false">-Cost_k*$A131+Beta_q*(Declarations!$B$16*INDEX(AS$21:AS$141,MAX(1,MIN(121,$B131-ROUND(Declarations!$A$16/$D$18,0))))+Declarations!$B$17*INDEX(AS$21:AS$141,MAX(1,MIN(121,$B131-ROUND(Declarations!$A$17/$D$18,0))))+Declarations!$B$18*INDEX(AS$21:AS$141,MAX(1,MIN(121,$B131-ROUND(Declarations!$A$18/$D$18,0))))+Declarations!$B$19*INDEX(AS$21:AS$141,MAX(1,MIN(121,$B131-ROUND(Declarations!$A$19/$D$18,0))))+Declarations!$B$20*INDEX(AS$21:AS$141,MAX(1,MIN(121,$B131-ROUND(Declarations!$A$20/$D$18,0)))))</f>
        <v>-270.278246049831</v>
      </c>
      <c r="AU131" s="12" t="n">
        <f aca="false">INDEX(AT$21:AT$141,$I131+1)*(1-$J131)+INDEX(AT$21:AT$141,$I131+2)*$J131</f>
        <v>-264.33743911038</v>
      </c>
      <c r="AV131" s="12" t="n">
        <f aca="false">INDEX(AT$21:AT$141,$K131+1)*(1-$L131)+INDEX(AT$21:AT$141,$K131+2)*$L131</f>
        <v>-273.376330320494</v>
      </c>
      <c r="AW131" s="12" t="n">
        <f aca="false">$C131+$D131+MAX(AU131,AV131,IF(COUNTIFS($A$21:$A$141,"&gt;="&amp;$G131,$A$21:$A$141,"&lt;="&amp;$H131)&gt;0,_xlfn.MAXIFS(AT$21:AT$141,$A$21:$A$141,"&gt;="&amp;$G131,$A$21:$A$141,"&lt;="&amp;$H131),AU131))</f>
        <v>-1.08743911038022</v>
      </c>
      <c r="AX131" s="12" t="n">
        <f aca="false">-Cost_k*$A131+Beta_q*(Declarations!$B$16*INDEX(AW$21:AW$141,MAX(1,MIN(121,$B131-ROUND(Declarations!$A$16/$D$18,0))))+Declarations!$B$17*INDEX(AW$21:AW$141,MAX(1,MIN(121,$B131-ROUND(Declarations!$A$17/$D$18,0))))+Declarations!$B$18*INDEX(AW$21:AW$141,MAX(1,MIN(121,$B131-ROUND(Declarations!$A$18/$D$18,0))))+Declarations!$B$19*INDEX(AW$21:AW$141,MAX(1,MIN(121,$B131-ROUND(Declarations!$A$19/$D$18,0))))+Declarations!$B$20*INDEX(AW$21:AW$141,MAX(1,MIN(121,$B131-ROUND(Declarations!$A$20/$D$18,0)))))</f>
        <v>-271.147115389654</v>
      </c>
      <c r="AY131" s="12" t="n">
        <f aca="false">INDEX(AX$21:AX$141,$I131+1)*(1-$J131)+INDEX(AX$21:AX$141,$I131+2)*$J131</f>
        <v>-266.281532206865</v>
      </c>
      <c r="AZ131" s="12" t="n">
        <f aca="false">INDEX(AX$21:AX$141,$K131+1)*(1-$L131)+INDEX(AX$21:AX$141,$K131+2)*$L131</f>
        <v>-273.902481870699</v>
      </c>
      <c r="BA131" s="12" t="n">
        <f aca="false">$C131+$D131+MAX(AY131,AZ131,IF(COUNTIFS($A$21:$A$141,"&gt;="&amp;$G131,$A$21:$A$141,"&lt;="&amp;$H131)&gt;0,_xlfn.MAXIFS(AX$21:AX$141,$A$21:$A$141,"&gt;="&amp;$G131,$A$21:$A$141,"&lt;="&amp;$H131),AY131))</f>
        <v>-3.03153220686528</v>
      </c>
      <c r="BB131" s="12" t="n">
        <f aca="false">-Cost_k*$A131+Beta_q*(Declarations!$B$16*INDEX(BA$21:BA$141,MAX(1,MIN(121,$B131-ROUND(Declarations!$A$16/$D$18,0))))+Declarations!$B$17*INDEX(BA$21:BA$141,MAX(1,MIN(121,$B131-ROUND(Declarations!$A$17/$D$18,0))))+Declarations!$B$18*INDEX(BA$21:BA$141,MAX(1,MIN(121,$B131-ROUND(Declarations!$A$18/$D$18,0))))+Declarations!$B$19*INDEX(BA$21:BA$141,MAX(1,MIN(121,$B131-ROUND(Declarations!$A$19/$D$18,0))))+Declarations!$B$20*INDEX(BA$21:BA$141,MAX(1,MIN(121,$B131-ROUND(Declarations!$A$20/$D$18,0)))))</f>
        <v>-273.065125898596</v>
      </c>
      <c r="BC131" s="12" t="n">
        <f aca="false">INDEX(BB$21:BB$141,$I131+1)*(1-$J131)+INDEX(BB$21:BB$141,$I131+2)*$J131</f>
        <v>-269.422239499334</v>
      </c>
      <c r="BD131" s="12" t="n">
        <f aca="false">INDEX(BB$21:BB$141,$K131+1)*(1-$L131)+INDEX(BB$21:BB$141,$K131+2)*$L131</f>
        <v>-275.286593869739</v>
      </c>
      <c r="BE131" s="12" t="n">
        <f aca="false">$C131+$D131+MAX(BC131,BD131,IF(COUNTIFS($A$21:$A$141,"&gt;="&amp;$G131,$A$21:$A$141,"&lt;="&amp;$H131)&gt;0,_xlfn.MAXIFS(BB$21:BB$141,$A$21:$A$141,"&gt;="&amp;$G131,$A$21:$A$141,"&lt;="&amp;$H131),BC131))</f>
        <v>-6.17223949933378</v>
      </c>
      <c r="BF131" s="12" t="n">
        <f aca="false">-Cost_k*$A131+Beta_q*(Declarations!$B$16*INDEX(BE$21:BE$141,MAX(1,MIN(121,$B131-ROUND(Declarations!$A$16/$D$18,0))))+Declarations!$B$17*INDEX(BE$21:BE$141,MAX(1,MIN(121,$B131-ROUND(Declarations!$A$17/$D$18,0))))+Declarations!$B$18*INDEX(BE$21:BE$141,MAX(1,MIN(121,$B131-ROUND(Declarations!$A$18/$D$18,0))))+Declarations!$B$19*INDEX(BE$21:BE$141,MAX(1,MIN(121,$B131-ROUND(Declarations!$A$19/$D$18,0))))+Declarations!$B$20*INDEX(BE$21:BE$141,MAX(1,MIN(121,$B131-ROUND(Declarations!$A$20/$D$18,0)))))</f>
        <v>-276.113231118607</v>
      </c>
      <c r="BG131" s="12" t="n">
        <f aca="false">INDEX(BF$21:BF$141,$I131+1)*(1-$J131)+INDEX(BF$21:BF$141,$I131+2)*$J131</f>
        <v>-273.38466194503</v>
      </c>
      <c r="BH131" s="12" t="n">
        <f aca="false">INDEX(BF$21:BF$141,$K131+1)*(1-$L131)+INDEX(BF$21:BF$141,$K131+2)*$L131</f>
        <v>-277.792233323166</v>
      </c>
      <c r="BI131" s="12" t="n">
        <f aca="false">$C131+$D131+MAX(BG131,BH131,IF(COUNTIFS($A$21:$A$141,"&gt;="&amp;$G131,$A$21:$A$141,"&lt;="&amp;$H131)&gt;0,_xlfn.MAXIFS(BF$21:BF$141,$A$21:$A$141,"&gt;="&amp;$G131,$A$21:$A$141,"&lt;="&amp;$H131),BG131))</f>
        <v>-10.1346619450298</v>
      </c>
      <c r="BJ131" s="23" t="n">
        <v>-10.1346619450298</v>
      </c>
      <c r="BK131" s="22" t="n">
        <f aca="false">ABS(BI131-BJ131)</f>
        <v>0</v>
      </c>
    </row>
    <row r="132" customFormat="false" ht="15" hidden="false" customHeight="false" outlineLevel="0" collapsed="false">
      <c r="A132" s="14" t="n">
        <f aca="false">A131+$D$18</f>
        <v>67.75</v>
      </c>
      <c r="B132" s="19" t="n">
        <v>112</v>
      </c>
      <c r="C132" s="12" t="n">
        <f aca="false">-Short_p*MAX(Floor_c-A132,0)</f>
        <v>-0</v>
      </c>
      <c r="D132" s="12" t="n">
        <f aca="false">Cost_k*Alpha_keep*A132</f>
        <v>264.225</v>
      </c>
      <c r="E132" s="12" t="n">
        <f aca="false">MIN(Cap_h,MAX(0,$B$18+MAX(Loss_w)-Alpha_keep*A132))</f>
        <v>0</v>
      </c>
      <c r="F132" s="12" t="n">
        <f aca="false">MAX(MIN(Cap_h,$F$18+MIN(Loss_w)-Alpha_keep*A132),E132)</f>
        <v>2.44375000000001</v>
      </c>
      <c r="G132" s="12" t="n">
        <f aca="false">Alpha_keep*A132+E132</f>
        <v>66.05625</v>
      </c>
      <c r="H132" s="12" t="n">
        <f aca="false">Alpha_keep*A132+F132</f>
        <v>68.5</v>
      </c>
      <c r="I132" s="19" t="n">
        <f aca="false">MIN(INT((G132-$B$18)/$D$18+0.000000001),119)</f>
        <v>104</v>
      </c>
      <c r="J132" s="12" t="n">
        <f aca="false">(G132-$B$18)/$D$18-I132</f>
        <v>0.224999999999966</v>
      </c>
      <c r="K132" s="19" t="n">
        <f aca="false">MIN(INT((H132-$B$18)/$D$18+0.000000001),119)</f>
        <v>114</v>
      </c>
      <c r="L132" s="12" t="n">
        <f aca="false">(H132-$B$18)/$D$18-K132</f>
        <v>0</v>
      </c>
      <c r="M132" s="9" t="n">
        <v>0</v>
      </c>
      <c r="N132" s="12" t="n">
        <f aca="false">-Cost_k*$A132+Beta_q*(Declarations!$B$16*INDEX(M$21:M$141,MAX(1,MIN(121,$B132-ROUND(Declarations!$A$16/$D$18,0))))+Declarations!$B$17*INDEX(M$21:M$141,MAX(1,MIN(121,$B132-ROUND(Declarations!$A$17/$D$18,0))))+Declarations!$B$18*INDEX(M$21:M$141,MAX(1,MIN(121,$B132-ROUND(Declarations!$A$18/$D$18,0))))+Declarations!$B$19*INDEX(M$21:M$141,MAX(1,MIN(121,$B132-ROUND(Declarations!$A$19/$D$18,0))))+Declarations!$B$20*INDEX(M$21:M$141,MAX(1,MIN(121,$B132-ROUND(Declarations!$A$20/$D$18,0)))))</f>
        <v>-271</v>
      </c>
      <c r="O132" s="12" t="n">
        <f aca="false">INDEX(N$21:N$141,$I132+1)*(1-$J132)+INDEX(N$21:N$141,$I132+2)*$J132</f>
        <v>-264.225</v>
      </c>
      <c r="P132" s="12" t="n">
        <f aca="false">INDEX(N$21:N$141,$K132+1)*(1-$L132)+INDEX(N$21:N$141,$K132+2)*$L132</f>
        <v>-274</v>
      </c>
      <c r="Q132" s="12" t="n">
        <f aca="false">$C132+$D132+MAX(O132,P132,IF(COUNTIFS($A$21:$A$141,"&gt;="&amp;$G132,$A$21:$A$141,"&lt;="&amp;$H132)&gt;0,_xlfn.MAXIFS(N$21:N$141,$A$21:$A$141,"&gt;="&amp;$G132,$A$21:$A$141,"&lt;="&amp;$H132),O132))</f>
        <v>0</v>
      </c>
      <c r="R132" s="12" t="n">
        <f aca="false">-Cost_k*$A132+Beta_q*(Declarations!$B$16*INDEX(Q$21:Q$141,MAX(1,MIN(121,$B132-ROUND(Declarations!$A$16/$D$18,0))))+Declarations!$B$17*INDEX(Q$21:Q$141,MAX(1,MIN(121,$B132-ROUND(Declarations!$A$17/$D$18,0))))+Declarations!$B$18*INDEX(Q$21:Q$141,MAX(1,MIN(121,$B132-ROUND(Declarations!$A$18/$D$18,0))))+Declarations!$B$19*INDEX(Q$21:Q$141,MAX(1,MIN(121,$B132-ROUND(Declarations!$A$19/$D$18,0))))+Declarations!$B$20*INDEX(Q$21:Q$141,MAX(1,MIN(121,$B132-ROUND(Declarations!$A$20/$D$18,0)))))</f>
        <v>-271</v>
      </c>
      <c r="S132" s="12" t="n">
        <f aca="false">INDEX(R$21:R$141,$I132+1)*(1-$J132)+INDEX(R$21:R$141,$I132+2)*$J132</f>
        <v>-264.225</v>
      </c>
      <c r="T132" s="12" t="n">
        <f aca="false">INDEX(R$21:R$141,$K132+1)*(1-$L132)+INDEX(R$21:R$141,$K132+2)*$L132</f>
        <v>-274</v>
      </c>
      <c r="U132" s="12" t="n">
        <f aca="false">$C132+$D132+MAX(S132,T132,IF(COUNTIFS($A$21:$A$141,"&gt;="&amp;$G132,$A$21:$A$141,"&lt;="&amp;$H132)&gt;0,_xlfn.MAXIFS(R$21:R$141,$A$21:$A$141,"&gt;="&amp;$G132,$A$21:$A$141,"&lt;="&amp;$H132),S132))</f>
        <v>0</v>
      </c>
      <c r="V132" s="12" t="n">
        <f aca="false">-Cost_k*$A132+Beta_q*(Declarations!$B$16*INDEX(U$21:U$141,MAX(1,MIN(121,$B132-ROUND(Declarations!$A$16/$D$18,0))))+Declarations!$B$17*INDEX(U$21:U$141,MAX(1,MIN(121,$B132-ROUND(Declarations!$A$17/$D$18,0))))+Declarations!$B$18*INDEX(U$21:U$141,MAX(1,MIN(121,$B132-ROUND(Declarations!$A$18/$D$18,0))))+Declarations!$B$19*INDEX(U$21:U$141,MAX(1,MIN(121,$B132-ROUND(Declarations!$A$19/$D$18,0))))+Declarations!$B$20*INDEX(U$21:U$141,MAX(1,MIN(121,$B132-ROUND(Declarations!$A$20/$D$18,0)))))</f>
        <v>-271</v>
      </c>
      <c r="W132" s="12" t="n">
        <f aca="false">INDEX(V$21:V$141,$I132+1)*(1-$J132)+INDEX(V$21:V$141,$I132+2)*$J132</f>
        <v>-264.225</v>
      </c>
      <c r="X132" s="12" t="n">
        <f aca="false">INDEX(V$21:V$141,$K132+1)*(1-$L132)+INDEX(V$21:V$141,$K132+2)*$L132</f>
        <v>-274</v>
      </c>
      <c r="Y132" s="12" t="n">
        <f aca="false">$C132+$D132+MAX(W132,X132,IF(COUNTIFS($A$21:$A$141,"&gt;="&amp;$G132,$A$21:$A$141,"&lt;="&amp;$H132)&gt;0,_xlfn.MAXIFS(V$21:V$141,$A$21:$A$141,"&gt;="&amp;$G132,$A$21:$A$141,"&lt;="&amp;$H132),W132))</f>
        <v>0</v>
      </c>
      <c r="Z132" s="12" t="n">
        <f aca="false">-Cost_k*$A132+Beta_q*(Declarations!$B$16*INDEX(Y$21:Y$141,MAX(1,MIN(121,$B132-ROUND(Declarations!$A$16/$D$18,0))))+Declarations!$B$17*INDEX(Y$21:Y$141,MAX(1,MIN(121,$B132-ROUND(Declarations!$A$17/$D$18,0))))+Declarations!$B$18*INDEX(Y$21:Y$141,MAX(1,MIN(121,$B132-ROUND(Declarations!$A$18/$D$18,0))))+Declarations!$B$19*INDEX(Y$21:Y$141,MAX(1,MIN(121,$B132-ROUND(Declarations!$A$19/$D$18,0))))+Declarations!$B$20*INDEX(Y$21:Y$141,MAX(1,MIN(121,$B132-ROUND(Declarations!$A$20/$D$18,0)))))</f>
        <v>-271</v>
      </c>
      <c r="AA132" s="12" t="n">
        <f aca="false">INDEX(Z$21:Z$141,$I132+1)*(1-$J132)+INDEX(Z$21:Z$141,$I132+2)*$J132</f>
        <v>-264.225</v>
      </c>
      <c r="AB132" s="12" t="n">
        <f aca="false">INDEX(Z$21:Z$141,$K132+1)*(1-$L132)+INDEX(Z$21:Z$141,$K132+2)*$L132</f>
        <v>-274</v>
      </c>
      <c r="AC132" s="12" t="n">
        <f aca="false">$C132+$D132+MAX(AA132,AB132,IF(COUNTIFS($A$21:$A$141,"&gt;="&amp;$G132,$A$21:$A$141,"&lt;="&amp;$H132)&gt;0,_xlfn.MAXIFS(Z$21:Z$141,$A$21:$A$141,"&gt;="&amp;$G132,$A$21:$A$141,"&lt;="&amp;$H132),AA132))</f>
        <v>0</v>
      </c>
      <c r="AD132" s="12" t="n">
        <f aca="false">-Cost_k*$A132+Beta_q*(Declarations!$B$16*INDEX(AC$21:AC$141,MAX(1,MIN(121,$B132-ROUND(Declarations!$A$16/$D$18,0))))+Declarations!$B$17*INDEX(AC$21:AC$141,MAX(1,MIN(121,$B132-ROUND(Declarations!$A$17/$D$18,0))))+Declarations!$B$18*INDEX(AC$21:AC$141,MAX(1,MIN(121,$B132-ROUND(Declarations!$A$18/$D$18,0))))+Declarations!$B$19*INDEX(AC$21:AC$141,MAX(1,MIN(121,$B132-ROUND(Declarations!$A$19/$D$18,0))))+Declarations!$B$20*INDEX(AC$21:AC$141,MAX(1,MIN(121,$B132-ROUND(Declarations!$A$20/$D$18,0)))))</f>
        <v>-271</v>
      </c>
      <c r="AE132" s="12" t="n">
        <f aca="false">INDEX(AD$21:AD$141,$I132+1)*(1-$J132)+INDEX(AD$21:AD$141,$I132+2)*$J132</f>
        <v>-264.225</v>
      </c>
      <c r="AF132" s="12" t="n">
        <f aca="false">INDEX(AD$21:AD$141,$K132+1)*(1-$L132)+INDEX(AD$21:AD$141,$K132+2)*$L132</f>
        <v>-274</v>
      </c>
      <c r="AG132" s="12" t="n">
        <f aca="false">$C132+$D132+MAX(AE132,AF132,IF(COUNTIFS($A$21:$A$141,"&gt;="&amp;$G132,$A$21:$A$141,"&lt;="&amp;$H132)&gt;0,_xlfn.MAXIFS(AD$21:AD$141,$A$21:$A$141,"&gt;="&amp;$G132,$A$21:$A$141,"&lt;="&amp;$H132),AE132))</f>
        <v>0</v>
      </c>
      <c r="AH132" s="12" t="n">
        <f aca="false">-Cost_k*$A132+Beta_q*(Declarations!$B$16*INDEX(AG$21:AG$141,MAX(1,MIN(121,$B132-ROUND(Declarations!$A$16/$D$18,0))))+Declarations!$B$17*INDEX(AG$21:AG$141,MAX(1,MIN(121,$B132-ROUND(Declarations!$A$17/$D$18,0))))+Declarations!$B$18*INDEX(AG$21:AG$141,MAX(1,MIN(121,$B132-ROUND(Declarations!$A$18/$D$18,0))))+Declarations!$B$19*INDEX(AG$21:AG$141,MAX(1,MIN(121,$B132-ROUND(Declarations!$A$19/$D$18,0))))+Declarations!$B$20*INDEX(AG$21:AG$141,MAX(1,MIN(121,$B132-ROUND(Declarations!$A$20/$D$18,0)))))</f>
        <v>-271.00000224791</v>
      </c>
      <c r="AI132" s="12" t="n">
        <f aca="false">INDEX(AH$21:AH$141,$I132+1)*(1-$J132)+INDEX(AH$21:AH$141,$I132+2)*$J132</f>
        <v>-264.22531082894</v>
      </c>
      <c r="AJ132" s="12" t="n">
        <f aca="false">INDEX(AH$21:AH$141,$K132+1)*(1-$L132)+INDEX(AH$21:AH$141,$K132+2)*$L132</f>
        <v>-274.000000106406</v>
      </c>
      <c r="AK132" s="12" t="n">
        <f aca="false">$C132+$D132+MAX(AI132,AJ132,IF(COUNTIFS($A$21:$A$141,"&gt;="&amp;$G132,$A$21:$A$141,"&lt;="&amp;$H132)&gt;0,_xlfn.MAXIFS(AH$21:AH$141,$A$21:$A$141,"&gt;="&amp;$G132,$A$21:$A$141,"&lt;="&amp;$H132),AI132))</f>
        <v>-0.000310828939916519</v>
      </c>
      <c r="AL132" s="12" t="n">
        <f aca="false">-Cost_k*$A132+Beta_q*(Declarations!$B$16*INDEX(AK$21:AK$141,MAX(1,MIN(121,$B132-ROUND(Declarations!$A$16/$D$18,0))))+Declarations!$B$17*INDEX(AK$21:AK$141,MAX(1,MIN(121,$B132-ROUND(Declarations!$A$17/$D$18,0))))+Declarations!$B$18*INDEX(AK$21:AK$141,MAX(1,MIN(121,$B132-ROUND(Declarations!$A$18/$D$18,0))))+Declarations!$B$19*INDEX(AK$21:AK$141,MAX(1,MIN(121,$B132-ROUND(Declarations!$A$19/$D$18,0))))+Declarations!$B$20*INDEX(AK$21:AK$141,MAX(1,MIN(121,$B132-ROUND(Declarations!$A$20/$D$18,0)))))</f>
        <v>-271.000827558966</v>
      </c>
      <c r="AM132" s="12" t="n">
        <f aca="false">INDEX(AL$21:AL$141,$I132+1)*(1-$J132)+INDEX(AL$21:AL$141,$I132+2)*$J132</f>
        <v>-264.241681986644</v>
      </c>
      <c r="AN132" s="12" t="n">
        <f aca="false">INDEX(AL$21:AL$141,$K132+1)*(1-$L132)+INDEX(AL$21:AL$141,$K132+2)*$L132</f>
        <v>-274.000163921577</v>
      </c>
      <c r="AO132" s="12" t="n">
        <f aca="false">$C132+$D132+MAX(AM132,AN132,IF(COUNTIFS($A$21:$A$141,"&gt;="&amp;$G132,$A$21:$A$141,"&lt;="&amp;$H132)&gt;0,_xlfn.MAXIFS(AL$21:AL$141,$A$21:$A$141,"&gt;="&amp;$G132,$A$21:$A$141,"&lt;="&amp;$H132),AM132))</f>
        <v>-0.0166819866441301</v>
      </c>
      <c r="AP132" s="12" t="n">
        <f aca="false">-Cost_k*$A132+Beta_q*(Declarations!$B$16*INDEX(AO$21:AO$141,MAX(1,MIN(121,$B132-ROUND(Declarations!$A$16/$D$18,0))))+Declarations!$B$17*INDEX(AO$21:AO$141,MAX(1,MIN(121,$B132-ROUND(Declarations!$A$17/$D$18,0))))+Declarations!$B$18*INDEX(AO$21:AO$141,MAX(1,MIN(121,$B132-ROUND(Declarations!$A$18/$D$18,0))))+Declarations!$B$19*INDEX(AO$21:AO$141,MAX(1,MIN(121,$B132-ROUND(Declarations!$A$19/$D$18,0))))+Declarations!$B$20*INDEX(AO$21:AO$141,MAX(1,MIN(121,$B132-ROUND(Declarations!$A$20/$D$18,0)))))</f>
        <v>-271.024615010778</v>
      </c>
      <c r="AQ132" s="12" t="n">
        <f aca="false">INDEX(AP$21:AP$141,$I132+1)*(1-$J132)+INDEX(AP$21:AP$141,$I132+2)*$J132</f>
        <v>-264.41325488578</v>
      </c>
      <c r="AR132" s="12" t="n">
        <f aca="false">INDEX(AP$21:AP$141,$K132+1)*(1-$L132)+INDEX(AP$21:AP$141,$K132+2)*$L132</f>
        <v>-274.008315210775</v>
      </c>
      <c r="AS132" s="12" t="n">
        <f aca="false">$C132+$D132+MAX(AQ132,AR132,IF(COUNTIFS($A$21:$A$141,"&gt;="&amp;$G132,$A$21:$A$141,"&lt;="&amp;$H132)&gt;0,_xlfn.MAXIFS(AP$21:AP$141,$A$21:$A$141,"&gt;="&amp;$G132,$A$21:$A$141,"&lt;="&amp;$H132),AQ132))</f>
        <v>-0.188254885779941</v>
      </c>
      <c r="AT132" s="12" t="n">
        <f aca="false">-Cost_k*$A132+Beta_q*(Declarations!$B$16*INDEX(AS$21:AS$141,MAX(1,MIN(121,$B132-ROUND(Declarations!$A$16/$D$18,0))))+Declarations!$B$17*INDEX(AS$21:AS$141,MAX(1,MIN(121,$B132-ROUND(Declarations!$A$17/$D$18,0))))+Declarations!$B$18*INDEX(AS$21:AS$141,MAX(1,MIN(121,$B132-ROUND(Declarations!$A$18/$D$18,0))))+Declarations!$B$19*INDEX(AS$21:AS$141,MAX(1,MIN(121,$B132-ROUND(Declarations!$A$19/$D$18,0))))+Declarations!$B$20*INDEX(AS$21:AS$141,MAX(1,MIN(121,$B132-ROUND(Declarations!$A$20/$D$18,0)))))</f>
        <v>-271.220919898548</v>
      </c>
      <c r="AU132" s="12" t="n">
        <f aca="false">INDEX(AT$21:AT$141,$I132+1)*(1-$J132)+INDEX(AT$21:AT$141,$I132+2)*$J132</f>
        <v>-265.139851648021</v>
      </c>
      <c r="AV132" s="12" t="n">
        <f aca="false">INDEX(AT$21:AT$141,$K132+1)*(1-$L132)+INDEX(AT$21:AT$141,$K132+2)*$L132</f>
        <v>-274.103450514118</v>
      </c>
      <c r="AW132" s="12" t="n">
        <f aca="false">$C132+$D132+MAX(AU132,AV132,IF(COUNTIFS($A$21:$A$141,"&gt;="&amp;$G132,$A$21:$A$141,"&lt;="&amp;$H132)&gt;0,_xlfn.MAXIFS(AT$21:AT$141,$A$21:$A$141,"&gt;="&amp;$G132,$A$21:$A$141,"&lt;="&amp;$H132),AU132))</f>
        <v>-0.914851648020999</v>
      </c>
      <c r="AX132" s="12" t="n">
        <f aca="false">-Cost_k*$A132+Beta_q*(Declarations!$B$16*INDEX(AW$21:AW$141,MAX(1,MIN(121,$B132-ROUND(Declarations!$A$16/$D$18,0))))+Declarations!$B$17*INDEX(AW$21:AW$141,MAX(1,MIN(121,$B132-ROUND(Declarations!$A$17/$D$18,0))))+Declarations!$B$18*INDEX(AW$21:AW$141,MAX(1,MIN(121,$B132-ROUND(Declarations!$A$18/$D$18,0))))+Declarations!$B$19*INDEX(AW$21:AW$141,MAX(1,MIN(121,$B132-ROUND(Declarations!$A$19/$D$18,0))))+Declarations!$B$20*INDEX(AW$21:AW$141,MAX(1,MIN(121,$B132-ROUND(Declarations!$A$20/$D$18,0)))))</f>
        <v>-271.971890809325</v>
      </c>
      <c r="AY132" s="12" t="n">
        <f aca="false">INDEX(AX$21:AX$141,$I132+1)*(1-$J132)+INDEX(AX$21:AX$141,$I132+2)*$J132</f>
        <v>-266.903194716774</v>
      </c>
      <c r="AZ132" s="12" t="n">
        <f aca="false">INDEX(AX$21:AX$141,$K132+1)*(1-$L132)+INDEX(AX$21:AX$141,$K132+2)*$L132</f>
        <v>-274.565801952019</v>
      </c>
      <c r="BA132" s="12" t="n">
        <f aca="false">$C132+$D132+MAX(AY132,AZ132,IF(COUNTIFS($A$21:$A$141,"&gt;="&amp;$G132,$A$21:$A$141,"&lt;="&amp;$H132)&gt;0,_xlfn.MAXIFS(AX$21:AX$141,$A$21:$A$141,"&gt;="&amp;$G132,$A$21:$A$141,"&lt;="&amp;$H132),AY132))</f>
        <v>-2.67819471677444</v>
      </c>
      <c r="BB132" s="12" t="n">
        <f aca="false">-Cost_k*$A132+Beta_q*(Declarations!$B$16*INDEX(BA$21:BA$141,MAX(1,MIN(121,$B132-ROUND(Declarations!$A$16/$D$18,0))))+Declarations!$B$17*INDEX(BA$21:BA$141,MAX(1,MIN(121,$B132-ROUND(Declarations!$A$17/$D$18,0))))+Declarations!$B$18*INDEX(BA$21:BA$141,MAX(1,MIN(121,$B132-ROUND(Declarations!$A$18/$D$18,0))))+Declarations!$B$19*INDEX(BA$21:BA$141,MAX(1,MIN(121,$B132-ROUND(Declarations!$A$19/$D$18,0))))+Declarations!$B$20*INDEX(BA$21:BA$141,MAX(1,MIN(121,$B132-ROUND(Declarations!$A$20/$D$18,0)))))</f>
        <v>-273.717750837486</v>
      </c>
      <c r="BC132" s="12" t="n">
        <f aca="false">INDEX(BB$21:BB$141,$I132+1)*(1-$J132)+INDEX(BB$21:BB$141,$I132+2)*$J132</f>
        <v>-269.87063826553</v>
      </c>
      <c r="BD132" s="12" t="n">
        <f aca="false">INDEX(BB$21:BB$141,$K132+1)*(1-$L132)+INDEX(BB$21:BB$141,$K132+2)*$L132</f>
        <v>-275.837365312624</v>
      </c>
      <c r="BE132" s="12" t="n">
        <f aca="false">$C132+$D132+MAX(BC132,BD132,IF(COUNTIFS($A$21:$A$141,"&gt;="&amp;$G132,$A$21:$A$141,"&lt;="&amp;$H132)&gt;0,_xlfn.MAXIFS(BB$21:BB$141,$A$21:$A$141,"&gt;="&amp;$G132,$A$21:$A$141,"&lt;="&amp;$H132),BC132))</f>
        <v>-5.64563826552973</v>
      </c>
      <c r="BF132" s="12" t="n">
        <f aca="false">-Cost_k*$A132+Beta_q*(Declarations!$B$16*INDEX(BE$21:BE$141,MAX(1,MIN(121,$B132-ROUND(Declarations!$A$16/$D$18,0))))+Declarations!$B$17*INDEX(BE$21:BE$141,MAX(1,MIN(121,$B132-ROUND(Declarations!$A$17/$D$18,0))))+Declarations!$B$18*INDEX(BE$21:BE$141,MAX(1,MIN(121,$B132-ROUND(Declarations!$A$18/$D$18,0))))+Declarations!$B$19*INDEX(BE$21:BE$141,MAX(1,MIN(121,$B132-ROUND(Declarations!$A$19/$D$18,0))))+Declarations!$B$20*INDEX(BE$21:BE$141,MAX(1,MIN(121,$B132-ROUND(Declarations!$A$20/$D$18,0)))))</f>
        <v>-276.602020379555</v>
      </c>
      <c r="BG132" s="12" t="n">
        <f aca="false">INDEX(BF$21:BF$141,$I132+1)*(1-$J132)+INDEX(BF$21:BF$141,$I132+2)*$J132</f>
        <v>-273.726729334841</v>
      </c>
      <c r="BH132" s="12" t="n">
        <f aca="false">INDEX(BF$21:BF$141,$K132+1)*(1-$L132)+INDEX(BF$21:BF$141,$K132+2)*$L132</f>
        <v>-278.215268951839</v>
      </c>
      <c r="BI132" s="12" t="n">
        <f aca="false">$C132+$D132+MAX(BG132,BH132,IF(COUNTIFS($A$21:$A$141,"&gt;="&amp;$G132,$A$21:$A$141,"&lt;="&amp;$H132)&gt;0,_xlfn.MAXIFS(BF$21:BF$141,$A$21:$A$141,"&gt;="&amp;$G132,$A$21:$A$141,"&lt;="&amp;$H132),BG132))</f>
        <v>-9.50172933484078</v>
      </c>
      <c r="BJ132" s="23" t="n">
        <v>-9.50172933484072</v>
      </c>
      <c r="BK132" s="22" t="n">
        <f aca="false">ABS(BI132-BJ132)</f>
        <v>5.6843418860808E-014</v>
      </c>
    </row>
    <row r="133" customFormat="false" ht="15" hidden="false" customHeight="false" outlineLevel="0" collapsed="false">
      <c r="A133" s="14" t="n">
        <f aca="false">A132+$D$18</f>
        <v>68</v>
      </c>
      <c r="B133" s="19" t="n">
        <v>113</v>
      </c>
      <c r="C133" s="12" t="n">
        <f aca="false">-Short_p*MAX(Floor_c-A133,0)</f>
        <v>-0</v>
      </c>
      <c r="D133" s="12" t="n">
        <f aca="false">Cost_k*Alpha_keep*A133</f>
        <v>265.2</v>
      </c>
      <c r="E133" s="12" t="n">
        <f aca="false">MIN(Cap_h,MAX(0,$B$18+MAX(Loss_w)-Alpha_keep*A133))</f>
        <v>0</v>
      </c>
      <c r="F133" s="12" t="n">
        <f aca="false">MAX(MIN(Cap_h,$F$18+MIN(Loss_w)-Alpha_keep*A133),E133)</f>
        <v>2.2</v>
      </c>
      <c r="G133" s="12" t="n">
        <f aca="false">Alpha_keep*A133+E133</f>
        <v>66.3</v>
      </c>
      <c r="H133" s="12" t="n">
        <f aca="false">Alpha_keep*A133+F133</f>
        <v>68.5</v>
      </c>
      <c r="I133" s="19" t="n">
        <f aca="false">MIN(INT((G133-$B$18)/$D$18+0.000000001),119)</f>
        <v>105</v>
      </c>
      <c r="J133" s="12" t="n">
        <f aca="false">(G133-$B$18)/$D$18-I133</f>
        <v>0.199999999999989</v>
      </c>
      <c r="K133" s="19" t="n">
        <f aca="false">MIN(INT((H133-$B$18)/$D$18+0.000000001),119)</f>
        <v>114</v>
      </c>
      <c r="L133" s="12" t="n">
        <f aca="false">(H133-$B$18)/$D$18-K133</f>
        <v>0</v>
      </c>
      <c r="M133" s="9" t="n">
        <v>0</v>
      </c>
      <c r="N133" s="12" t="n">
        <f aca="false">-Cost_k*$A133+Beta_q*(Declarations!$B$16*INDEX(M$21:M$141,MAX(1,MIN(121,$B133-ROUND(Declarations!$A$16/$D$18,0))))+Declarations!$B$17*INDEX(M$21:M$141,MAX(1,MIN(121,$B133-ROUND(Declarations!$A$17/$D$18,0))))+Declarations!$B$18*INDEX(M$21:M$141,MAX(1,MIN(121,$B133-ROUND(Declarations!$A$18/$D$18,0))))+Declarations!$B$19*INDEX(M$21:M$141,MAX(1,MIN(121,$B133-ROUND(Declarations!$A$19/$D$18,0))))+Declarations!$B$20*INDEX(M$21:M$141,MAX(1,MIN(121,$B133-ROUND(Declarations!$A$20/$D$18,0)))))</f>
        <v>-272</v>
      </c>
      <c r="O133" s="12" t="n">
        <f aca="false">INDEX(N$21:N$141,$I133+1)*(1-$J133)+INDEX(N$21:N$141,$I133+2)*$J133</f>
        <v>-265.2</v>
      </c>
      <c r="P133" s="12" t="n">
        <f aca="false">INDEX(N$21:N$141,$K133+1)*(1-$L133)+INDEX(N$21:N$141,$K133+2)*$L133</f>
        <v>-274</v>
      </c>
      <c r="Q133" s="12" t="n">
        <f aca="false">$C133+$D133+MAX(O133,P133,IF(COUNTIFS($A$21:$A$141,"&gt;="&amp;$G133,$A$21:$A$141,"&lt;="&amp;$H133)&gt;0,_xlfn.MAXIFS(N$21:N$141,$A$21:$A$141,"&gt;="&amp;$G133,$A$21:$A$141,"&lt;="&amp;$H133),O133))</f>
        <v>0</v>
      </c>
      <c r="R133" s="12" t="n">
        <f aca="false">-Cost_k*$A133+Beta_q*(Declarations!$B$16*INDEX(Q$21:Q$141,MAX(1,MIN(121,$B133-ROUND(Declarations!$A$16/$D$18,0))))+Declarations!$B$17*INDEX(Q$21:Q$141,MAX(1,MIN(121,$B133-ROUND(Declarations!$A$17/$D$18,0))))+Declarations!$B$18*INDEX(Q$21:Q$141,MAX(1,MIN(121,$B133-ROUND(Declarations!$A$18/$D$18,0))))+Declarations!$B$19*INDEX(Q$21:Q$141,MAX(1,MIN(121,$B133-ROUND(Declarations!$A$19/$D$18,0))))+Declarations!$B$20*INDEX(Q$21:Q$141,MAX(1,MIN(121,$B133-ROUND(Declarations!$A$20/$D$18,0)))))</f>
        <v>-272</v>
      </c>
      <c r="S133" s="12" t="n">
        <f aca="false">INDEX(R$21:R$141,$I133+1)*(1-$J133)+INDEX(R$21:R$141,$I133+2)*$J133</f>
        <v>-265.2</v>
      </c>
      <c r="T133" s="12" t="n">
        <f aca="false">INDEX(R$21:R$141,$K133+1)*(1-$L133)+INDEX(R$21:R$141,$K133+2)*$L133</f>
        <v>-274</v>
      </c>
      <c r="U133" s="12" t="n">
        <f aca="false">$C133+$D133+MAX(S133,T133,IF(COUNTIFS($A$21:$A$141,"&gt;="&amp;$G133,$A$21:$A$141,"&lt;="&amp;$H133)&gt;0,_xlfn.MAXIFS(R$21:R$141,$A$21:$A$141,"&gt;="&amp;$G133,$A$21:$A$141,"&lt;="&amp;$H133),S133))</f>
        <v>0</v>
      </c>
      <c r="V133" s="12" t="n">
        <f aca="false">-Cost_k*$A133+Beta_q*(Declarations!$B$16*INDEX(U$21:U$141,MAX(1,MIN(121,$B133-ROUND(Declarations!$A$16/$D$18,0))))+Declarations!$B$17*INDEX(U$21:U$141,MAX(1,MIN(121,$B133-ROUND(Declarations!$A$17/$D$18,0))))+Declarations!$B$18*INDEX(U$21:U$141,MAX(1,MIN(121,$B133-ROUND(Declarations!$A$18/$D$18,0))))+Declarations!$B$19*INDEX(U$21:U$141,MAX(1,MIN(121,$B133-ROUND(Declarations!$A$19/$D$18,0))))+Declarations!$B$20*INDEX(U$21:U$141,MAX(1,MIN(121,$B133-ROUND(Declarations!$A$20/$D$18,0)))))</f>
        <v>-272</v>
      </c>
      <c r="W133" s="12" t="n">
        <f aca="false">INDEX(V$21:V$141,$I133+1)*(1-$J133)+INDEX(V$21:V$141,$I133+2)*$J133</f>
        <v>-265.2</v>
      </c>
      <c r="X133" s="12" t="n">
        <f aca="false">INDEX(V$21:V$141,$K133+1)*(1-$L133)+INDEX(V$21:V$141,$K133+2)*$L133</f>
        <v>-274</v>
      </c>
      <c r="Y133" s="12" t="n">
        <f aca="false">$C133+$D133+MAX(W133,X133,IF(COUNTIFS($A$21:$A$141,"&gt;="&amp;$G133,$A$21:$A$141,"&lt;="&amp;$H133)&gt;0,_xlfn.MAXIFS(V$21:V$141,$A$21:$A$141,"&gt;="&amp;$G133,$A$21:$A$141,"&lt;="&amp;$H133),W133))</f>
        <v>0</v>
      </c>
      <c r="Z133" s="12" t="n">
        <f aca="false">-Cost_k*$A133+Beta_q*(Declarations!$B$16*INDEX(Y$21:Y$141,MAX(1,MIN(121,$B133-ROUND(Declarations!$A$16/$D$18,0))))+Declarations!$B$17*INDEX(Y$21:Y$141,MAX(1,MIN(121,$B133-ROUND(Declarations!$A$17/$D$18,0))))+Declarations!$B$18*INDEX(Y$21:Y$141,MAX(1,MIN(121,$B133-ROUND(Declarations!$A$18/$D$18,0))))+Declarations!$B$19*INDEX(Y$21:Y$141,MAX(1,MIN(121,$B133-ROUND(Declarations!$A$19/$D$18,0))))+Declarations!$B$20*INDEX(Y$21:Y$141,MAX(1,MIN(121,$B133-ROUND(Declarations!$A$20/$D$18,0)))))</f>
        <v>-272</v>
      </c>
      <c r="AA133" s="12" t="n">
        <f aca="false">INDEX(Z$21:Z$141,$I133+1)*(1-$J133)+INDEX(Z$21:Z$141,$I133+2)*$J133</f>
        <v>-265.2</v>
      </c>
      <c r="AB133" s="12" t="n">
        <f aca="false">INDEX(Z$21:Z$141,$K133+1)*(1-$L133)+INDEX(Z$21:Z$141,$K133+2)*$L133</f>
        <v>-274</v>
      </c>
      <c r="AC133" s="12" t="n">
        <f aca="false">$C133+$D133+MAX(AA133,AB133,IF(COUNTIFS($A$21:$A$141,"&gt;="&amp;$G133,$A$21:$A$141,"&lt;="&amp;$H133)&gt;0,_xlfn.MAXIFS(Z$21:Z$141,$A$21:$A$141,"&gt;="&amp;$G133,$A$21:$A$141,"&lt;="&amp;$H133),AA133))</f>
        <v>0</v>
      </c>
      <c r="AD133" s="12" t="n">
        <f aca="false">-Cost_k*$A133+Beta_q*(Declarations!$B$16*INDEX(AC$21:AC$141,MAX(1,MIN(121,$B133-ROUND(Declarations!$A$16/$D$18,0))))+Declarations!$B$17*INDEX(AC$21:AC$141,MAX(1,MIN(121,$B133-ROUND(Declarations!$A$17/$D$18,0))))+Declarations!$B$18*INDEX(AC$21:AC$141,MAX(1,MIN(121,$B133-ROUND(Declarations!$A$18/$D$18,0))))+Declarations!$B$19*INDEX(AC$21:AC$141,MAX(1,MIN(121,$B133-ROUND(Declarations!$A$19/$D$18,0))))+Declarations!$B$20*INDEX(AC$21:AC$141,MAX(1,MIN(121,$B133-ROUND(Declarations!$A$20/$D$18,0)))))</f>
        <v>-272</v>
      </c>
      <c r="AE133" s="12" t="n">
        <f aca="false">INDEX(AD$21:AD$141,$I133+1)*(1-$J133)+INDEX(AD$21:AD$141,$I133+2)*$J133</f>
        <v>-265.2</v>
      </c>
      <c r="AF133" s="12" t="n">
        <f aca="false">INDEX(AD$21:AD$141,$K133+1)*(1-$L133)+INDEX(AD$21:AD$141,$K133+2)*$L133</f>
        <v>-274</v>
      </c>
      <c r="AG133" s="12" t="n">
        <f aca="false">$C133+$D133+MAX(AE133,AF133,IF(COUNTIFS($A$21:$A$141,"&gt;="&amp;$G133,$A$21:$A$141,"&lt;="&amp;$H133)&gt;0,_xlfn.MAXIFS(AD$21:AD$141,$A$21:$A$141,"&gt;="&amp;$G133,$A$21:$A$141,"&lt;="&amp;$H133),AE133))</f>
        <v>0</v>
      </c>
      <c r="AH133" s="12" t="n">
        <f aca="false">-Cost_k*$A133+Beta_q*(Declarations!$B$16*INDEX(AG$21:AG$141,MAX(1,MIN(121,$B133-ROUND(Declarations!$A$16/$D$18,0))))+Declarations!$B$17*INDEX(AG$21:AG$141,MAX(1,MIN(121,$B133-ROUND(Declarations!$A$17/$D$18,0))))+Declarations!$B$18*INDEX(AG$21:AG$141,MAX(1,MIN(121,$B133-ROUND(Declarations!$A$18/$D$18,0))))+Declarations!$B$19*INDEX(AG$21:AG$141,MAX(1,MIN(121,$B133-ROUND(Declarations!$A$19/$D$18,0))))+Declarations!$B$20*INDEX(AG$21:AG$141,MAX(1,MIN(121,$B133-ROUND(Declarations!$A$20/$D$18,0)))))</f>
        <v>-272.000000794224</v>
      </c>
      <c r="AI133" s="12" t="n">
        <f aca="false">INDEX(AH$21:AH$141,$I133+1)*(1-$J133)+INDEX(AH$21:AH$141,$I133+2)*$J133</f>
        <v>-265.200169673393</v>
      </c>
      <c r="AJ133" s="12" t="n">
        <f aca="false">INDEX(AH$21:AH$141,$K133+1)*(1-$L133)+INDEX(AH$21:AH$141,$K133+2)*$L133</f>
        <v>-274.000000106406</v>
      </c>
      <c r="AK133" s="12" t="n">
        <f aca="false">$C133+$D133+MAX(AI133,AJ133,IF(COUNTIFS($A$21:$A$141,"&gt;="&amp;$G133,$A$21:$A$141,"&lt;="&amp;$H133)&gt;0,_xlfn.MAXIFS(AH$21:AH$141,$A$21:$A$141,"&gt;="&amp;$G133,$A$21:$A$141,"&lt;="&amp;$H133),AI133))</f>
        <v>-0.000169673393202174</v>
      </c>
      <c r="AL133" s="12" t="n">
        <f aca="false">-Cost_k*$A133+Beta_q*(Declarations!$B$16*INDEX(AK$21:AK$141,MAX(1,MIN(121,$B133-ROUND(Declarations!$A$16/$D$18,0))))+Declarations!$B$17*INDEX(AK$21:AK$141,MAX(1,MIN(121,$B133-ROUND(Declarations!$A$17/$D$18,0))))+Declarations!$B$18*INDEX(AK$21:AK$141,MAX(1,MIN(121,$B133-ROUND(Declarations!$A$18/$D$18,0))))+Declarations!$B$19*INDEX(AK$21:AK$141,MAX(1,MIN(121,$B133-ROUND(Declarations!$A$19/$D$18,0))))+Declarations!$B$20*INDEX(AK$21:AK$141,MAX(1,MIN(121,$B133-ROUND(Declarations!$A$20/$D$18,0)))))</f>
        <v>-272.000481802921</v>
      </c>
      <c r="AM133" s="12" t="n">
        <f aca="false">INDEX(AL$21:AL$141,$I133+1)*(1-$J133)+INDEX(AL$21:AL$141,$I133+2)*$J133</f>
        <v>-265.211353759886</v>
      </c>
      <c r="AN133" s="12" t="n">
        <f aca="false">INDEX(AL$21:AL$141,$K133+1)*(1-$L133)+INDEX(AL$21:AL$141,$K133+2)*$L133</f>
        <v>-274.000163921577</v>
      </c>
      <c r="AO133" s="12" t="n">
        <f aca="false">$C133+$D133+MAX(AM133,AN133,IF(COUNTIFS($A$21:$A$141,"&gt;="&amp;$G133,$A$21:$A$141,"&lt;="&amp;$H133)&gt;0,_xlfn.MAXIFS(AL$21:AL$141,$A$21:$A$141,"&gt;="&amp;$G133,$A$21:$A$141,"&lt;="&amp;$H133),AM133))</f>
        <v>-0.0113537598859352</v>
      </c>
      <c r="AP133" s="12" t="n">
        <f aca="false">-Cost_k*$A133+Beta_q*(Declarations!$B$16*INDEX(AO$21:AO$141,MAX(1,MIN(121,$B133-ROUND(Declarations!$A$16/$D$18,0))))+Declarations!$B$17*INDEX(AO$21:AO$141,MAX(1,MIN(121,$B133-ROUND(Declarations!$A$17/$D$18,0))))+Declarations!$B$18*INDEX(AO$21:AO$141,MAX(1,MIN(121,$B133-ROUND(Declarations!$A$18/$D$18,0))))+Declarations!$B$19*INDEX(AO$21:AO$141,MAX(1,MIN(121,$B133-ROUND(Declarations!$A$19/$D$18,0))))+Declarations!$B$20*INDEX(AO$21:AO$141,MAX(1,MIN(121,$B133-ROUND(Declarations!$A$20/$D$18,0)))))</f>
        <v>-272.017288889769</v>
      </c>
      <c r="AQ133" s="12" t="n">
        <f aca="false">INDEX(AP$21:AP$141,$I133+1)*(1-$J133)+INDEX(AP$21:AP$141,$I133+2)*$J133</f>
        <v>-265.345044842179</v>
      </c>
      <c r="AR133" s="12" t="n">
        <f aca="false">INDEX(AP$21:AP$141,$K133+1)*(1-$L133)+INDEX(AP$21:AP$141,$K133+2)*$L133</f>
        <v>-274.008315210775</v>
      </c>
      <c r="AS133" s="12" t="n">
        <f aca="false">$C133+$D133+MAX(AQ133,AR133,IF(COUNTIFS($A$21:$A$141,"&gt;="&amp;$G133,$A$21:$A$141,"&lt;="&amp;$H133)&gt;0,_xlfn.MAXIFS(AP$21:AP$141,$A$21:$A$141,"&gt;="&amp;$G133,$A$21:$A$141,"&lt;="&amp;$H133),AQ133))</f>
        <v>-0.145044842178947</v>
      </c>
      <c r="AT133" s="12" t="n">
        <f aca="false">-Cost_k*$A133+Beta_q*(Declarations!$B$16*INDEX(AS$21:AS$141,MAX(1,MIN(121,$B133-ROUND(Declarations!$A$16/$D$18,0))))+Declarations!$B$17*INDEX(AS$21:AS$141,MAX(1,MIN(121,$B133-ROUND(Declarations!$A$17/$D$18,0))))+Declarations!$B$18*INDEX(AS$21:AS$141,MAX(1,MIN(121,$B133-ROUND(Declarations!$A$18/$D$18,0))))+Declarations!$B$19*INDEX(AS$21:AS$141,MAX(1,MIN(121,$B133-ROUND(Declarations!$A$19/$D$18,0))))+Declarations!$B$20*INDEX(AS$21:AS$141,MAX(1,MIN(121,$B133-ROUND(Declarations!$A$20/$D$18,0)))))</f>
        <v>-272.17297382219</v>
      </c>
      <c r="AU133" s="12" t="n">
        <f aca="false">INDEX(AT$21:AT$141,$I133+1)*(1-$J133)+INDEX(AT$21:AT$141,$I133+2)*$J133</f>
        <v>-265.962729003579</v>
      </c>
      <c r="AV133" s="12" t="n">
        <f aca="false">INDEX(AT$21:AT$141,$K133+1)*(1-$L133)+INDEX(AT$21:AT$141,$K133+2)*$L133</f>
        <v>-274.103450514118</v>
      </c>
      <c r="AW133" s="12" t="n">
        <f aca="false">$C133+$D133+MAX(AU133,AV133,IF(COUNTIFS($A$21:$A$141,"&gt;="&amp;$G133,$A$21:$A$141,"&lt;="&amp;$H133)&gt;0,_xlfn.MAXIFS(AT$21:AT$141,$A$21:$A$141,"&gt;="&amp;$G133,$A$21:$A$141,"&lt;="&amp;$H133),AU133))</f>
        <v>-0.762729003579125</v>
      </c>
      <c r="AX133" s="12" t="n">
        <f aca="false">-Cost_k*$A133+Beta_q*(Declarations!$B$16*INDEX(AW$21:AW$141,MAX(1,MIN(121,$B133-ROUND(Declarations!$A$16/$D$18,0))))+Declarations!$B$17*INDEX(AW$21:AW$141,MAX(1,MIN(121,$B133-ROUND(Declarations!$A$17/$D$18,0))))+Declarations!$B$18*INDEX(AW$21:AW$141,MAX(1,MIN(121,$B133-ROUND(Declarations!$A$18/$D$18,0))))+Declarations!$B$19*INDEX(AW$21:AW$141,MAX(1,MIN(121,$B133-ROUND(Declarations!$A$19/$D$18,0))))+Declarations!$B$20*INDEX(AW$21:AW$141,MAX(1,MIN(121,$B133-ROUND(Declarations!$A$20/$D$18,0)))))</f>
        <v>-272.816753257201</v>
      </c>
      <c r="AY133" s="12" t="n">
        <f aca="false">INDEX(AX$21:AX$141,$I133+1)*(1-$J133)+INDEX(AX$21:AX$141,$I133+2)*$J133</f>
        <v>-267.552422749212</v>
      </c>
      <c r="AZ133" s="12" t="n">
        <f aca="false">INDEX(AX$21:AX$141,$K133+1)*(1-$L133)+INDEX(AX$21:AX$141,$K133+2)*$L133</f>
        <v>-274.565801952019</v>
      </c>
      <c r="BA133" s="12" t="n">
        <f aca="false">$C133+$D133+MAX(AY133,AZ133,IF(COUNTIFS($A$21:$A$141,"&gt;="&amp;$G133,$A$21:$A$141,"&lt;="&amp;$H133)&gt;0,_xlfn.MAXIFS(AX$21:AX$141,$A$21:$A$141,"&gt;="&amp;$G133,$A$21:$A$141,"&lt;="&amp;$H133),AY133))</f>
        <v>-2.35242274921211</v>
      </c>
      <c r="BB133" s="12" t="n">
        <f aca="false">-Cost_k*$A133+Beta_q*(Declarations!$B$16*INDEX(BA$21:BA$141,MAX(1,MIN(121,$B133-ROUND(Declarations!$A$16/$D$18,0))))+Declarations!$B$17*INDEX(BA$21:BA$141,MAX(1,MIN(121,$B133-ROUND(Declarations!$A$17/$D$18,0))))+Declarations!$B$18*INDEX(BA$21:BA$141,MAX(1,MIN(121,$B133-ROUND(Declarations!$A$18/$D$18,0))))+Declarations!$B$19*INDEX(BA$21:BA$141,MAX(1,MIN(121,$B133-ROUND(Declarations!$A$19/$D$18,0))))+Declarations!$B$20*INDEX(BA$21:BA$141,MAX(1,MIN(121,$B133-ROUND(Declarations!$A$20/$D$18,0)))))</f>
        <v>-274.396892867528</v>
      </c>
      <c r="BC133" s="12" t="n">
        <f aca="false">INDEX(BB$21:BB$141,$I133+1)*(1-$J133)+INDEX(BB$21:BB$141,$I133+2)*$J133</f>
        <v>-270.343385370277</v>
      </c>
      <c r="BD133" s="12" t="n">
        <f aca="false">INDEX(BB$21:BB$141,$K133+1)*(1-$L133)+INDEX(BB$21:BB$141,$K133+2)*$L133</f>
        <v>-275.837365312624</v>
      </c>
      <c r="BE133" s="12" t="n">
        <f aca="false">$C133+$D133+MAX(BC133,BD133,IF(COUNTIFS($A$21:$A$141,"&gt;="&amp;$G133,$A$21:$A$141,"&lt;="&amp;$H133)&gt;0,_xlfn.MAXIFS(BB$21:BB$141,$A$21:$A$141,"&gt;="&amp;$G133,$A$21:$A$141,"&lt;="&amp;$H133),BC133))</f>
        <v>-5.14338537027669</v>
      </c>
      <c r="BF133" s="12" t="n">
        <f aca="false">-Cost_k*$A133+Beta_q*(Declarations!$B$16*INDEX(BE$21:BE$141,MAX(1,MIN(121,$B133-ROUND(Declarations!$A$16/$D$18,0))))+Declarations!$B$17*INDEX(BE$21:BE$141,MAX(1,MIN(121,$B133-ROUND(Declarations!$A$17/$D$18,0))))+Declarations!$B$18*INDEX(BE$21:BE$141,MAX(1,MIN(121,$B133-ROUND(Declarations!$A$18/$D$18,0))))+Declarations!$B$19*INDEX(BE$21:BE$141,MAX(1,MIN(121,$B133-ROUND(Declarations!$A$19/$D$18,0))))+Declarations!$B$20*INDEX(BE$21:BE$141,MAX(1,MIN(121,$B133-ROUND(Declarations!$A$20/$D$18,0)))))</f>
        <v>-277.114281221619</v>
      </c>
      <c r="BG133" s="12" t="n">
        <f aca="false">INDEX(BF$21:BF$141,$I133+1)*(1-$J133)+INDEX(BF$21:BF$141,$I133+2)*$J133</f>
        <v>-274.083948693645</v>
      </c>
      <c r="BH133" s="12" t="n">
        <f aca="false">INDEX(BF$21:BF$141,$K133+1)*(1-$L133)+INDEX(BF$21:BF$141,$K133+2)*$L133</f>
        <v>-278.215268951839</v>
      </c>
      <c r="BI133" s="12" t="n">
        <f aca="false">$C133+$D133+MAX(BG133,BH133,IF(COUNTIFS($A$21:$A$141,"&gt;="&amp;$G133,$A$21:$A$141,"&lt;="&amp;$H133)&gt;0,_xlfn.MAXIFS(BF$21:BF$141,$A$21:$A$141,"&gt;="&amp;$G133,$A$21:$A$141,"&lt;="&amp;$H133),BG133))</f>
        <v>-8.8839486936451</v>
      </c>
      <c r="BJ133" s="23" t="n">
        <v>-8.88394869364498</v>
      </c>
      <c r="BK133" s="22" t="n">
        <f aca="false">ABS(BI133-BJ133)</f>
        <v>1.13686837721616E-013</v>
      </c>
    </row>
    <row r="134" customFormat="false" ht="15" hidden="false" customHeight="false" outlineLevel="0" collapsed="false">
      <c r="A134" s="14" t="n">
        <f aca="false">A133+$D$18</f>
        <v>68.25</v>
      </c>
      <c r="B134" s="19" t="n">
        <v>114</v>
      </c>
      <c r="C134" s="12" t="n">
        <f aca="false">-Short_p*MAX(Floor_c-A134,0)</f>
        <v>-0</v>
      </c>
      <c r="D134" s="12" t="n">
        <f aca="false">Cost_k*Alpha_keep*A134</f>
        <v>266.175</v>
      </c>
      <c r="E134" s="12" t="n">
        <f aca="false">MIN(Cap_h,MAX(0,$B$18+MAX(Loss_w)-Alpha_keep*A134))</f>
        <v>0</v>
      </c>
      <c r="F134" s="12" t="n">
        <f aca="false">MAX(MIN(Cap_h,$F$18+MIN(Loss_w)-Alpha_keep*A134),E134)</f>
        <v>1.95625</v>
      </c>
      <c r="G134" s="12" t="n">
        <f aca="false">Alpha_keep*A134+E134</f>
        <v>66.54375</v>
      </c>
      <c r="H134" s="12" t="n">
        <f aca="false">Alpha_keep*A134+F134</f>
        <v>68.5</v>
      </c>
      <c r="I134" s="19" t="n">
        <f aca="false">MIN(INT((G134-$B$18)/$D$18+0.000000001),119)</f>
        <v>106</v>
      </c>
      <c r="J134" s="12" t="n">
        <f aca="false">(G134-$B$18)/$D$18-I134</f>
        <v>0.175000000000011</v>
      </c>
      <c r="K134" s="19" t="n">
        <f aca="false">MIN(INT((H134-$B$18)/$D$18+0.000000001),119)</f>
        <v>114</v>
      </c>
      <c r="L134" s="12" t="n">
        <f aca="false">(H134-$B$18)/$D$18-K134</f>
        <v>0</v>
      </c>
      <c r="M134" s="9" t="n">
        <v>0</v>
      </c>
      <c r="N134" s="12" t="n">
        <f aca="false">-Cost_k*$A134+Beta_q*(Declarations!$B$16*INDEX(M$21:M$141,MAX(1,MIN(121,$B134-ROUND(Declarations!$A$16/$D$18,0))))+Declarations!$B$17*INDEX(M$21:M$141,MAX(1,MIN(121,$B134-ROUND(Declarations!$A$17/$D$18,0))))+Declarations!$B$18*INDEX(M$21:M$141,MAX(1,MIN(121,$B134-ROUND(Declarations!$A$18/$D$18,0))))+Declarations!$B$19*INDEX(M$21:M$141,MAX(1,MIN(121,$B134-ROUND(Declarations!$A$19/$D$18,0))))+Declarations!$B$20*INDEX(M$21:M$141,MAX(1,MIN(121,$B134-ROUND(Declarations!$A$20/$D$18,0)))))</f>
        <v>-273</v>
      </c>
      <c r="O134" s="12" t="n">
        <f aca="false">INDEX(N$21:N$141,$I134+1)*(1-$J134)+INDEX(N$21:N$141,$I134+2)*$J134</f>
        <v>-266.175</v>
      </c>
      <c r="P134" s="12" t="n">
        <f aca="false">INDEX(N$21:N$141,$K134+1)*(1-$L134)+INDEX(N$21:N$141,$K134+2)*$L134</f>
        <v>-274</v>
      </c>
      <c r="Q134" s="12" t="n">
        <f aca="false">$C134+$D134+MAX(O134,P134,IF(COUNTIFS($A$21:$A$141,"&gt;="&amp;$G134,$A$21:$A$141,"&lt;="&amp;$H134)&gt;0,_xlfn.MAXIFS(N$21:N$141,$A$21:$A$141,"&gt;="&amp;$G134,$A$21:$A$141,"&lt;="&amp;$H134),O134))</f>
        <v>0</v>
      </c>
      <c r="R134" s="12" t="n">
        <f aca="false">-Cost_k*$A134+Beta_q*(Declarations!$B$16*INDEX(Q$21:Q$141,MAX(1,MIN(121,$B134-ROUND(Declarations!$A$16/$D$18,0))))+Declarations!$B$17*INDEX(Q$21:Q$141,MAX(1,MIN(121,$B134-ROUND(Declarations!$A$17/$D$18,0))))+Declarations!$B$18*INDEX(Q$21:Q$141,MAX(1,MIN(121,$B134-ROUND(Declarations!$A$18/$D$18,0))))+Declarations!$B$19*INDEX(Q$21:Q$141,MAX(1,MIN(121,$B134-ROUND(Declarations!$A$19/$D$18,0))))+Declarations!$B$20*INDEX(Q$21:Q$141,MAX(1,MIN(121,$B134-ROUND(Declarations!$A$20/$D$18,0)))))</f>
        <v>-273</v>
      </c>
      <c r="S134" s="12" t="n">
        <f aca="false">INDEX(R$21:R$141,$I134+1)*(1-$J134)+INDEX(R$21:R$141,$I134+2)*$J134</f>
        <v>-266.175</v>
      </c>
      <c r="T134" s="12" t="n">
        <f aca="false">INDEX(R$21:R$141,$K134+1)*(1-$L134)+INDEX(R$21:R$141,$K134+2)*$L134</f>
        <v>-274</v>
      </c>
      <c r="U134" s="12" t="n">
        <f aca="false">$C134+$D134+MAX(S134,T134,IF(COUNTIFS($A$21:$A$141,"&gt;="&amp;$G134,$A$21:$A$141,"&lt;="&amp;$H134)&gt;0,_xlfn.MAXIFS(R$21:R$141,$A$21:$A$141,"&gt;="&amp;$G134,$A$21:$A$141,"&lt;="&amp;$H134),S134))</f>
        <v>0</v>
      </c>
      <c r="V134" s="12" t="n">
        <f aca="false">-Cost_k*$A134+Beta_q*(Declarations!$B$16*INDEX(U$21:U$141,MAX(1,MIN(121,$B134-ROUND(Declarations!$A$16/$D$18,0))))+Declarations!$B$17*INDEX(U$21:U$141,MAX(1,MIN(121,$B134-ROUND(Declarations!$A$17/$D$18,0))))+Declarations!$B$18*INDEX(U$21:U$141,MAX(1,MIN(121,$B134-ROUND(Declarations!$A$18/$D$18,0))))+Declarations!$B$19*INDEX(U$21:U$141,MAX(1,MIN(121,$B134-ROUND(Declarations!$A$19/$D$18,0))))+Declarations!$B$20*INDEX(U$21:U$141,MAX(1,MIN(121,$B134-ROUND(Declarations!$A$20/$D$18,0)))))</f>
        <v>-273</v>
      </c>
      <c r="W134" s="12" t="n">
        <f aca="false">INDEX(V$21:V$141,$I134+1)*(1-$J134)+INDEX(V$21:V$141,$I134+2)*$J134</f>
        <v>-266.175</v>
      </c>
      <c r="X134" s="12" t="n">
        <f aca="false">INDEX(V$21:V$141,$K134+1)*(1-$L134)+INDEX(V$21:V$141,$K134+2)*$L134</f>
        <v>-274</v>
      </c>
      <c r="Y134" s="12" t="n">
        <f aca="false">$C134+$D134+MAX(W134,X134,IF(COUNTIFS($A$21:$A$141,"&gt;="&amp;$G134,$A$21:$A$141,"&lt;="&amp;$H134)&gt;0,_xlfn.MAXIFS(V$21:V$141,$A$21:$A$141,"&gt;="&amp;$G134,$A$21:$A$141,"&lt;="&amp;$H134),W134))</f>
        <v>0</v>
      </c>
      <c r="Z134" s="12" t="n">
        <f aca="false">-Cost_k*$A134+Beta_q*(Declarations!$B$16*INDEX(Y$21:Y$141,MAX(1,MIN(121,$B134-ROUND(Declarations!$A$16/$D$18,0))))+Declarations!$B$17*INDEX(Y$21:Y$141,MAX(1,MIN(121,$B134-ROUND(Declarations!$A$17/$D$18,0))))+Declarations!$B$18*INDEX(Y$21:Y$141,MAX(1,MIN(121,$B134-ROUND(Declarations!$A$18/$D$18,0))))+Declarations!$B$19*INDEX(Y$21:Y$141,MAX(1,MIN(121,$B134-ROUND(Declarations!$A$19/$D$18,0))))+Declarations!$B$20*INDEX(Y$21:Y$141,MAX(1,MIN(121,$B134-ROUND(Declarations!$A$20/$D$18,0)))))</f>
        <v>-273</v>
      </c>
      <c r="AA134" s="12" t="n">
        <f aca="false">INDEX(Z$21:Z$141,$I134+1)*(1-$J134)+INDEX(Z$21:Z$141,$I134+2)*$J134</f>
        <v>-266.175</v>
      </c>
      <c r="AB134" s="12" t="n">
        <f aca="false">INDEX(Z$21:Z$141,$K134+1)*(1-$L134)+INDEX(Z$21:Z$141,$K134+2)*$L134</f>
        <v>-274</v>
      </c>
      <c r="AC134" s="12" t="n">
        <f aca="false">$C134+$D134+MAX(AA134,AB134,IF(COUNTIFS($A$21:$A$141,"&gt;="&amp;$G134,$A$21:$A$141,"&lt;="&amp;$H134)&gt;0,_xlfn.MAXIFS(Z$21:Z$141,$A$21:$A$141,"&gt;="&amp;$G134,$A$21:$A$141,"&lt;="&amp;$H134),AA134))</f>
        <v>0</v>
      </c>
      <c r="AD134" s="12" t="n">
        <f aca="false">-Cost_k*$A134+Beta_q*(Declarations!$B$16*INDEX(AC$21:AC$141,MAX(1,MIN(121,$B134-ROUND(Declarations!$A$16/$D$18,0))))+Declarations!$B$17*INDEX(AC$21:AC$141,MAX(1,MIN(121,$B134-ROUND(Declarations!$A$17/$D$18,0))))+Declarations!$B$18*INDEX(AC$21:AC$141,MAX(1,MIN(121,$B134-ROUND(Declarations!$A$18/$D$18,0))))+Declarations!$B$19*INDEX(AC$21:AC$141,MAX(1,MIN(121,$B134-ROUND(Declarations!$A$19/$D$18,0))))+Declarations!$B$20*INDEX(AC$21:AC$141,MAX(1,MIN(121,$B134-ROUND(Declarations!$A$20/$D$18,0)))))</f>
        <v>-273</v>
      </c>
      <c r="AE134" s="12" t="n">
        <f aca="false">INDEX(AD$21:AD$141,$I134+1)*(1-$J134)+INDEX(AD$21:AD$141,$I134+2)*$J134</f>
        <v>-266.175</v>
      </c>
      <c r="AF134" s="12" t="n">
        <f aca="false">INDEX(AD$21:AD$141,$K134+1)*(1-$L134)+INDEX(AD$21:AD$141,$K134+2)*$L134</f>
        <v>-274</v>
      </c>
      <c r="AG134" s="12" t="n">
        <f aca="false">$C134+$D134+MAX(AE134,AF134,IF(COUNTIFS($A$21:$A$141,"&gt;="&amp;$G134,$A$21:$A$141,"&lt;="&amp;$H134)&gt;0,_xlfn.MAXIFS(AD$21:AD$141,$A$21:$A$141,"&gt;="&amp;$G134,$A$21:$A$141,"&lt;="&amp;$H134),AE134))</f>
        <v>0</v>
      </c>
      <c r="AH134" s="12" t="n">
        <f aca="false">-Cost_k*$A134+Beta_q*(Declarations!$B$16*INDEX(AG$21:AG$141,MAX(1,MIN(121,$B134-ROUND(Declarations!$A$16/$D$18,0))))+Declarations!$B$17*INDEX(AG$21:AG$141,MAX(1,MIN(121,$B134-ROUND(Declarations!$A$17/$D$18,0))))+Declarations!$B$18*INDEX(AG$21:AG$141,MAX(1,MIN(121,$B134-ROUND(Declarations!$A$18/$D$18,0))))+Declarations!$B$19*INDEX(AG$21:AG$141,MAX(1,MIN(121,$B134-ROUND(Declarations!$A$19/$D$18,0))))+Declarations!$B$20*INDEX(AG$21:AG$141,MAX(1,MIN(121,$B134-ROUND(Declarations!$A$20/$D$18,0)))))</f>
        <v>-273.00000023591</v>
      </c>
      <c r="AI134" s="12" t="n">
        <f aca="false">INDEX(AH$21:AH$141,$I134+1)*(1-$J134)+INDEX(AH$21:AH$141,$I134+2)*$J134</f>
        <v>-266.175082067841</v>
      </c>
      <c r="AJ134" s="12" t="n">
        <f aca="false">INDEX(AH$21:AH$141,$K134+1)*(1-$L134)+INDEX(AH$21:AH$141,$K134+2)*$L134</f>
        <v>-274.000000106406</v>
      </c>
      <c r="AK134" s="12" t="n">
        <f aca="false">$C134+$D134+MAX(AI134,AJ134,IF(COUNTIFS($A$21:$A$141,"&gt;="&amp;$G134,$A$21:$A$141,"&lt;="&amp;$H134)&gt;0,_xlfn.MAXIFS(AH$21:AH$141,$A$21:$A$141,"&gt;="&amp;$G134,$A$21:$A$141,"&lt;="&amp;$H134),AI134))</f>
        <v>-8.20678409922948E-005</v>
      </c>
      <c r="AL134" s="12" t="n">
        <f aca="false">-Cost_k*$A134+Beta_q*(Declarations!$B$16*INDEX(AK$21:AK$141,MAX(1,MIN(121,$B134-ROUND(Declarations!$A$16/$D$18,0))))+Declarations!$B$17*INDEX(AK$21:AK$141,MAX(1,MIN(121,$B134-ROUND(Declarations!$A$17/$D$18,0))))+Declarations!$B$18*INDEX(AK$21:AK$141,MAX(1,MIN(121,$B134-ROUND(Declarations!$A$18/$D$18,0))))+Declarations!$B$19*INDEX(AK$21:AK$141,MAX(1,MIN(121,$B134-ROUND(Declarations!$A$19/$D$18,0))))+Declarations!$B$20*INDEX(AK$21:AK$141,MAX(1,MIN(121,$B134-ROUND(Declarations!$A$20/$D$18,0)))))</f>
        <v>-273.000272805991</v>
      </c>
      <c r="AM134" s="12" t="n">
        <f aca="false">INDEX(AL$21:AL$141,$I134+1)*(1-$J134)+INDEX(AL$21:AL$141,$I134+2)*$J134</f>
        <v>-266.18246880331</v>
      </c>
      <c r="AN134" s="12" t="n">
        <f aca="false">INDEX(AL$21:AL$141,$K134+1)*(1-$L134)+INDEX(AL$21:AL$141,$K134+2)*$L134</f>
        <v>-274.000163921577</v>
      </c>
      <c r="AO134" s="12" t="n">
        <f aca="false">$C134+$D134+MAX(AM134,AN134,IF(COUNTIFS($A$21:$A$141,"&gt;="&amp;$G134,$A$21:$A$141,"&lt;="&amp;$H134)&gt;0,_xlfn.MAXIFS(AL$21:AL$141,$A$21:$A$141,"&gt;="&amp;$G134,$A$21:$A$141,"&lt;="&amp;$H134),AM134))</f>
        <v>-0.0074688033100756</v>
      </c>
      <c r="AP134" s="12" t="n">
        <f aca="false">-Cost_k*$A134+Beta_q*(Declarations!$B$16*INDEX(AO$21:AO$141,MAX(1,MIN(121,$B134-ROUND(Declarations!$A$16/$D$18,0))))+Declarations!$B$17*INDEX(AO$21:AO$141,MAX(1,MIN(121,$B134-ROUND(Declarations!$A$17/$D$18,0))))+Declarations!$B$18*INDEX(AO$21:AO$141,MAX(1,MIN(121,$B134-ROUND(Declarations!$A$18/$D$18,0))))+Declarations!$B$19*INDEX(AO$21:AO$141,MAX(1,MIN(121,$B134-ROUND(Declarations!$A$19/$D$18,0))))+Declarations!$B$20*INDEX(AO$21:AO$141,MAX(1,MIN(121,$B134-ROUND(Declarations!$A$20/$D$18,0)))))</f>
        <v>-273.011937604529</v>
      </c>
      <c r="AQ134" s="12" t="n">
        <f aca="false">INDEX(AP$21:AP$141,$I134+1)*(1-$J134)+INDEX(AP$21:AP$141,$I134+2)*$J134</f>
        <v>-266.285069412622</v>
      </c>
      <c r="AR134" s="12" t="n">
        <f aca="false">INDEX(AP$21:AP$141,$K134+1)*(1-$L134)+INDEX(AP$21:AP$141,$K134+2)*$L134</f>
        <v>-274.008315210775</v>
      </c>
      <c r="AS134" s="12" t="n">
        <f aca="false">$C134+$D134+MAX(AQ134,AR134,IF(COUNTIFS($A$21:$A$141,"&gt;="&amp;$G134,$A$21:$A$141,"&lt;="&amp;$H134)&gt;0,_xlfn.MAXIFS(AP$21:AP$141,$A$21:$A$141,"&gt;="&amp;$G134,$A$21:$A$141,"&lt;="&amp;$H134),AQ134))</f>
        <v>-0.110069412622124</v>
      </c>
      <c r="AT134" s="12" t="n">
        <f aca="false">-Cost_k*$A134+Beta_q*(Declarations!$B$16*INDEX(AS$21:AS$141,MAX(1,MIN(121,$B134-ROUND(Declarations!$A$16/$D$18,0))))+Declarations!$B$17*INDEX(AS$21:AS$141,MAX(1,MIN(121,$B134-ROUND(Declarations!$A$17/$D$18,0))))+Declarations!$B$18*INDEX(AS$21:AS$141,MAX(1,MIN(121,$B134-ROUND(Declarations!$A$18/$D$18,0))))+Declarations!$B$19*INDEX(AS$21:AS$141,MAX(1,MIN(121,$B134-ROUND(Declarations!$A$19/$D$18,0))))+Declarations!$B$20*INDEX(AS$21:AS$141,MAX(1,MIN(121,$B134-ROUND(Declarations!$A$20/$D$18,0)))))</f>
        <v>-273.133956922619</v>
      </c>
      <c r="AU134" s="12" t="n">
        <f aca="false">INDEX(AT$21:AT$141,$I134+1)*(1-$J134)+INDEX(AT$21:AT$141,$I134+2)*$J134</f>
        <v>-266.805435109751</v>
      </c>
      <c r="AV134" s="12" t="n">
        <f aca="false">INDEX(AT$21:AT$141,$K134+1)*(1-$L134)+INDEX(AT$21:AT$141,$K134+2)*$L134</f>
        <v>-274.103450514118</v>
      </c>
      <c r="AW134" s="12" t="n">
        <f aca="false">$C134+$D134+MAX(AU134,AV134,IF(COUNTIFS($A$21:$A$141,"&gt;="&amp;$G134,$A$21:$A$141,"&lt;="&amp;$H134)&gt;0,_xlfn.MAXIFS(AT$21:AT$141,$A$21:$A$141,"&gt;="&amp;$G134,$A$21:$A$141,"&lt;="&amp;$H134),AU134))</f>
        <v>-0.630435109750806</v>
      </c>
      <c r="AX134" s="12" t="n">
        <f aca="false">-Cost_k*$A134+Beta_q*(Declarations!$B$16*INDEX(AW$21:AW$141,MAX(1,MIN(121,$B134-ROUND(Declarations!$A$16/$D$18,0))))+Declarations!$B$17*INDEX(AW$21:AW$141,MAX(1,MIN(121,$B134-ROUND(Declarations!$A$17/$D$18,0))))+Declarations!$B$18*INDEX(AW$21:AW$141,MAX(1,MIN(121,$B134-ROUND(Declarations!$A$18/$D$18,0))))+Declarations!$B$19*INDEX(AW$21:AW$141,MAX(1,MIN(121,$B134-ROUND(Declarations!$A$19/$D$18,0))))+Declarations!$B$20*INDEX(AW$21:AW$141,MAX(1,MIN(121,$B134-ROUND(Declarations!$A$20/$D$18,0)))))</f>
        <v>-273.681375176925</v>
      </c>
      <c r="AY134" s="12" t="n">
        <f aca="false">INDEX(AX$21:AX$141,$I134+1)*(1-$J134)+INDEX(AX$21:AX$141,$I134+2)*$J134</f>
        <v>-268.229646323476</v>
      </c>
      <c r="AZ134" s="12" t="n">
        <f aca="false">INDEX(AX$21:AX$141,$K134+1)*(1-$L134)+INDEX(AX$21:AX$141,$K134+2)*$L134</f>
        <v>-274.565801952019</v>
      </c>
      <c r="BA134" s="12" t="n">
        <f aca="false">$C134+$D134+MAX(AY134,AZ134,IF(COUNTIFS($A$21:$A$141,"&gt;="&amp;$G134,$A$21:$A$141,"&lt;="&amp;$H134)&gt;0,_xlfn.MAXIFS(AX$21:AX$141,$A$21:$A$141,"&gt;="&amp;$G134,$A$21:$A$141,"&lt;="&amp;$H134),AY134))</f>
        <v>-2.05464632347594</v>
      </c>
      <c r="BB134" s="12" t="n">
        <f aca="false">-Cost_k*$A134+Beta_q*(Declarations!$B$16*INDEX(BA$21:BA$141,MAX(1,MIN(121,$B134-ROUND(Declarations!$A$16/$D$18,0))))+Declarations!$B$17*INDEX(BA$21:BA$141,MAX(1,MIN(121,$B134-ROUND(Declarations!$A$17/$D$18,0))))+Declarations!$B$18*INDEX(BA$21:BA$141,MAX(1,MIN(121,$B134-ROUND(Declarations!$A$18/$D$18,0))))+Declarations!$B$19*INDEX(BA$21:BA$141,MAX(1,MIN(121,$B134-ROUND(Declarations!$A$19/$D$18,0))))+Declarations!$B$20*INDEX(BA$21:BA$141,MAX(1,MIN(121,$B134-ROUND(Declarations!$A$20/$D$18,0)))))</f>
        <v>-275.103003388777</v>
      </c>
      <c r="BC134" s="12" t="n">
        <f aca="false">INDEX(BB$21:BB$141,$I134+1)*(1-$J134)+INDEX(BB$21:BB$141,$I134+2)*$J134</f>
        <v>-270.841942720859</v>
      </c>
      <c r="BD134" s="12" t="n">
        <f aca="false">INDEX(BB$21:BB$141,$K134+1)*(1-$L134)+INDEX(BB$21:BB$141,$K134+2)*$L134</f>
        <v>-275.837365312624</v>
      </c>
      <c r="BE134" s="12" t="n">
        <f aca="false">$C134+$D134+MAX(BC134,BD134,IF(COUNTIFS($A$21:$A$141,"&gt;="&amp;$G134,$A$21:$A$141,"&lt;="&amp;$H134)&gt;0,_xlfn.MAXIFS(BB$21:BB$141,$A$21:$A$141,"&gt;="&amp;$G134,$A$21:$A$141,"&lt;="&amp;$H134),BC134))</f>
        <v>-4.66694272085942</v>
      </c>
      <c r="BF134" s="12" t="n">
        <f aca="false">-Cost_k*$A134+Beta_q*(Declarations!$B$16*INDEX(BE$21:BE$141,MAX(1,MIN(121,$B134-ROUND(Declarations!$A$16/$D$18,0))))+Declarations!$B$17*INDEX(BE$21:BE$141,MAX(1,MIN(121,$B134-ROUND(Declarations!$A$17/$D$18,0))))+Declarations!$B$18*INDEX(BE$21:BE$141,MAX(1,MIN(121,$B134-ROUND(Declarations!$A$18/$D$18,0))))+Declarations!$B$19*INDEX(BE$21:BE$141,MAX(1,MIN(121,$B134-ROUND(Declarations!$A$19/$D$18,0))))+Declarations!$B$20*INDEX(BE$21:BE$141,MAX(1,MIN(121,$B134-ROUND(Declarations!$A$20/$D$18,0)))))</f>
        <v>-277.651221446942</v>
      </c>
      <c r="BG134" s="12" t="n">
        <f aca="false">INDEX(BF$21:BF$141,$I134+1)*(1-$J134)+INDEX(BF$21:BF$141,$I134+2)*$J134</f>
        <v>-274.457729244966</v>
      </c>
      <c r="BH134" s="12" t="n">
        <f aca="false">INDEX(BF$21:BF$141,$K134+1)*(1-$L134)+INDEX(BF$21:BF$141,$K134+2)*$L134</f>
        <v>-278.215268951839</v>
      </c>
      <c r="BI134" s="12" t="n">
        <f aca="false">$C134+$D134+MAX(BG134,BH134,IF(COUNTIFS($A$21:$A$141,"&gt;="&amp;$G134,$A$21:$A$141,"&lt;="&amp;$H134)&gt;0,_xlfn.MAXIFS(BF$21:BF$141,$A$21:$A$141,"&gt;="&amp;$G134,$A$21:$A$141,"&lt;="&amp;$H134),BG134))</f>
        <v>-8.28272924496588</v>
      </c>
      <c r="BJ134" s="23" t="n">
        <v>-8.28272924496582</v>
      </c>
      <c r="BK134" s="22" t="n">
        <f aca="false">ABS(BI134-BJ134)</f>
        <v>5.6843418860808E-014</v>
      </c>
    </row>
    <row r="135" customFormat="false" ht="15" hidden="false" customHeight="false" outlineLevel="0" collapsed="false">
      <c r="A135" s="14" t="n">
        <f aca="false">A134+$D$18</f>
        <v>68.5</v>
      </c>
      <c r="B135" s="19" t="n">
        <v>115</v>
      </c>
      <c r="C135" s="12" t="n">
        <f aca="false">-Short_p*MAX(Floor_c-A135,0)</f>
        <v>-0</v>
      </c>
      <c r="D135" s="12" t="n">
        <f aca="false">Cost_k*Alpha_keep*A135</f>
        <v>267.15</v>
      </c>
      <c r="E135" s="12" t="n">
        <f aca="false">MIN(Cap_h,MAX(0,$B$18+MAX(Loss_w)-Alpha_keep*A135))</f>
        <v>0</v>
      </c>
      <c r="F135" s="12" t="n">
        <f aca="false">MAX(MIN(Cap_h,$F$18+MIN(Loss_w)-Alpha_keep*A135),E135)</f>
        <v>1.71250000000001</v>
      </c>
      <c r="G135" s="12" t="n">
        <f aca="false">Alpha_keep*A135+E135</f>
        <v>66.7875</v>
      </c>
      <c r="H135" s="12" t="n">
        <f aca="false">Alpha_keep*A135+F135</f>
        <v>68.5</v>
      </c>
      <c r="I135" s="19" t="n">
        <f aca="false">MIN(INT((G135-$B$18)/$D$18+0.000000001),119)</f>
        <v>107</v>
      </c>
      <c r="J135" s="12" t="n">
        <f aca="false">(G135-$B$18)/$D$18-I135</f>
        <v>0.149999999999977</v>
      </c>
      <c r="K135" s="19" t="n">
        <f aca="false">MIN(INT((H135-$B$18)/$D$18+0.000000001),119)</f>
        <v>114</v>
      </c>
      <c r="L135" s="12" t="n">
        <f aca="false">(H135-$B$18)/$D$18-K135</f>
        <v>0</v>
      </c>
      <c r="M135" s="9" t="n">
        <v>0</v>
      </c>
      <c r="N135" s="12" t="n">
        <f aca="false">-Cost_k*$A135+Beta_q*(Declarations!$B$16*INDEX(M$21:M$141,MAX(1,MIN(121,$B135-ROUND(Declarations!$A$16/$D$18,0))))+Declarations!$B$17*INDEX(M$21:M$141,MAX(1,MIN(121,$B135-ROUND(Declarations!$A$17/$D$18,0))))+Declarations!$B$18*INDEX(M$21:M$141,MAX(1,MIN(121,$B135-ROUND(Declarations!$A$18/$D$18,0))))+Declarations!$B$19*INDEX(M$21:M$141,MAX(1,MIN(121,$B135-ROUND(Declarations!$A$19/$D$18,0))))+Declarations!$B$20*INDEX(M$21:M$141,MAX(1,MIN(121,$B135-ROUND(Declarations!$A$20/$D$18,0)))))</f>
        <v>-274</v>
      </c>
      <c r="O135" s="12" t="n">
        <f aca="false">INDEX(N$21:N$141,$I135+1)*(1-$J135)+INDEX(N$21:N$141,$I135+2)*$J135</f>
        <v>-267.15</v>
      </c>
      <c r="P135" s="12" t="n">
        <f aca="false">INDEX(N$21:N$141,$K135+1)*(1-$L135)+INDEX(N$21:N$141,$K135+2)*$L135</f>
        <v>-274</v>
      </c>
      <c r="Q135" s="12" t="n">
        <f aca="false">$C135+$D135+MAX(O135,P135,IF(COUNTIFS($A$21:$A$141,"&gt;="&amp;$G135,$A$21:$A$141,"&lt;="&amp;$H135)&gt;0,_xlfn.MAXIFS(N$21:N$141,$A$21:$A$141,"&gt;="&amp;$G135,$A$21:$A$141,"&lt;="&amp;$H135),O135))</f>
        <v>0</v>
      </c>
      <c r="R135" s="12" t="n">
        <f aca="false">-Cost_k*$A135+Beta_q*(Declarations!$B$16*INDEX(Q$21:Q$141,MAX(1,MIN(121,$B135-ROUND(Declarations!$A$16/$D$18,0))))+Declarations!$B$17*INDEX(Q$21:Q$141,MAX(1,MIN(121,$B135-ROUND(Declarations!$A$17/$D$18,0))))+Declarations!$B$18*INDEX(Q$21:Q$141,MAX(1,MIN(121,$B135-ROUND(Declarations!$A$18/$D$18,0))))+Declarations!$B$19*INDEX(Q$21:Q$141,MAX(1,MIN(121,$B135-ROUND(Declarations!$A$19/$D$18,0))))+Declarations!$B$20*INDEX(Q$21:Q$141,MAX(1,MIN(121,$B135-ROUND(Declarations!$A$20/$D$18,0)))))</f>
        <v>-274</v>
      </c>
      <c r="S135" s="12" t="n">
        <f aca="false">INDEX(R$21:R$141,$I135+1)*(1-$J135)+INDEX(R$21:R$141,$I135+2)*$J135</f>
        <v>-267.15</v>
      </c>
      <c r="T135" s="12" t="n">
        <f aca="false">INDEX(R$21:R$141,$K135+1)*(1-$L135)+INDEX(R$21:R$141,$K135+2)*$L135</f>
        <v>-274</v>
      </c>
      <c r="U135" s="12" t="n">
        <f aca="false">$C135+$D135+MAX(S135,T135,IF(COUNTIFS($A$21:$A$141,"&gt;="&amp;$G135,$A$21:$A$141,"&lt;="&amp;$H135)&gt;0,_xlfn.MAXIFS(R$21:R$141,$A$21:$A$141,"&gt;="&amp;$G135,$A$21:$A$141,"&lt;="&amp;$H135),S135))</f>
        <v>0</v>
      </c>
      <c r="V135" s="12" t="n">
        <f aca="false">-Cost_k*$A135+Beta_q*(Declarations!$B$16*INDEX(U$21:U$141,MAX(1,MIN(121,$B135-ROUND(Declarations!$A$16/$D$18,0))))+Declarations!$B$17*INDEX(U$21:U$141,MAX(1,MIN(121,$B135-ROUND(Declarations!$A$17/$D$18,0))))+Declarations!$B$18*INDEX(U$21:U$141,MAX(1,MIN(121,$B135-ROUND(Declarations!$A$18/$D$18,0))))+Declarations!$B$19*INDEX(U$21:U$141,MAX(1,MIN(121,$B135-ROUND(Declarations!$A$19/$D$18,0))))+Declarations!$B$20*INDEX(U$21:U$141,MAX(1,MIN(121,$B135-ROUND(Declarations!$A$20/$D$18,0)))))</f>
        <v>-274</v>
      </c>
      <c r="W135" s="12" t="n">
        <f aca="false">INDEX(V$21:V$141,$I135+1)*(1-$J135)+INDEX(V$21:V$141,$I135+2)*$J135</f>
        <v>-267.15</v>
      </c>
      <c r="X135" s="12" t="n">
        <f aca="false">INDEX(V$21:V$141,$K135+1)*(1-$L135)+INDEX(V$21:V$141,$K135+2)*$L135</f>
        <v>-274</v>
      </c>
      <c r="Y135" s="12" t="n">
        <f aca="false">$C135+$D135+MAX(W135,X135,IF(COUNTIFS($A$21:$A$141,"&gt;="&amp;$G135,$A$21:$A$141,"&lt;="&amp;$H135)&gt;0,_xlfn.MAXIFS(V$21:V$141,$A$21:$A$141,"&gt;="&amp;$G135,$A$21:$A$141,"&lt;="&amp;$H135),W135))</f>
        <v>0</v>
      </c>
      <c r="Z135" s="12" t="n">
        <f aca="false">-Cost_k*$A135+Beta_q*(Declarations!$B$16*INDEX(Y$21:Y$141,MAX(1,MIN(121,$B135-ROUND(Declarations!$A$16/$D$18,0))))+Declarations!$B$17*INDEX(Y$21:Y$141,MAX(1,MIN(121,$B135-ROUND(Declarations!$A$17/$D$18,0))))+Declarations!$B$18*INDEX(Y$21:Y$141,MAX(1,MIN(121,$B135-ROUND(Declarations!$A$18/$D$18,0))))+Declarations!$B$19*INDEX(Y$21:Y$141,MAX(1,MIN(121,$B135-ROUND(Declarations!$A$19/$D$18,0))))+Declarations!$B$20*INDEX(Y$21:Y$141,MAX(1,MIN(121,$B135-ROUND(Declarations!$A$20/$D$18,0)))))</f>
        <v>-274</v>
      </c>
      <c r="AA135" s="12" t="n">
        <f aca="false">INDEX(Z$21:Z$141,$I135+1)*(1-$J135)+INDEX(Z$21:Z$141,$I135+2)*$J135</f>
        <v>-267.15</v>
      </c>
      <c r="AB135" s="12" t="n">
        <f aca="false">INDEX(Z$21:Z$141,$K135+1)*(1-$L135)+INDEX(Z$21:Z$141,$K135+2)*$L135</f>
        <v>-274</v>
      </c>
      <c r="AC135" s="12" t="n">
        <f aca="false">$C135+$D135+MAX(AA135,AB135,IF(COUNTIFS($A$21:$A$141,"&gt;="&amp;$G135,$A$21:$A$141,"&lt;="&amp;$H135)&gt;0,_xlfn.MAXIFS(Z$21:Z$141,$A$21:$A$141,"&gt;="&amp;$G135,$A$21:$A$141,"&lt;="&amp;$H135),AA135))</f>
        <v>0</v>
      </c>
      <c r="AD135" s="12" t="n">
        <f aca="false">-Cost_k*$A135+Beta_q*(Declarations!$B$16*INDEX(AC$21:AC$141,MAX(1,MIN(121,$B135-ROUND(Declarations!$A$16/$D$18,0))))+Declarations!$B$17*INDEX(AC$21:AC$141,MAX(1,MIN(121,$B135-ROUND(Declarations!$A$17/$D$18,0))))+Declarations!$B$18*INDEX(AC$21:AC$141,MAX(1,MIN(121,$B135-ROUND(Declarations!$A$18/$D$18,0))))+Declarations!$B$19*INDEX(AC$21:AC$141,MAX(1,MIN(121,$B135-ROUND(Declarations!$A$19/$D$18,0))))+Declarations!$B$20*INDEX(AC$21:AC$141,MAX(1,MIN(121,$B135-ROUND(Declarations!$A$20/$D$18,0)))))</f>
        <v>-274</v>
      </c>
      <c r="AE135" s="12" t="n">
        <f aca="false">INDEX(AD$21:AD$141,$I135+1)*(1-$J135)+INDEX(AD$21:AD$141,$I135+2)*$J135</f>
        <v>-267.15</v>
      </c>
      <c r="AF135" s="12" t="n">
        <f aca="false">INDEX(AD$21:AD$141,$K135+1)*(1-$L135)+INDEX(AD$21:AD$141,$K135+2)*$L135</f>
        <v>-274</v>
      </c>
      <c r="AG135" s="12" t="n">
        <f aca="false">$C135+$D135+MAX(AE135,AF135,IF(COUNTIFS($A$21:$A$141,"&gt;="&amp;$G135,$A$21:$A$141,"&lt;="&amp;$H135)&gt;0,_xlfn.MAXIFS(AD$21:AD$141,$A$21:$A$141,"&gt;="&amp;$G135,$A$21:$A$141,"&lt;="&amp;$H135),AE135))</f>
        <v>0</v>
      </c>
      <c r="AH135" s="12" t="n">
        <f aca="false">-Cost_k*$A135+Beta_q*(Declarations!$B$16*INDEX(AG$21:AG$141,MAX(1,MIN(121,$B135-ROUND(Declarations!$A$16/$D$18,0))))+Declarations!$B$17*INDEX(AG$21:AG$141,MAX(1,MIN(121,$B135-ROUND(Declarations!$A$17/$D$18,0))))+Declarations!$B$18*INDEX(AG$21:AG$141,MAX(1,MIN(121,$B135-ROUND(Declarations!$A$18/$D$18,0))))+Declarations!$B$19*INDEX(AG$21:AG$141,MAX(1,MIN(121,$B135-ROUND(Declarations!$A$19/$D$18,0))))+Declarations!$B$20*INDEX(AG$21:AG$141,MAX(1,MIN(121,$B135-ROUND(Declarations!$A$20/$D$18,0)))))</f>
        <v>-274.000000106406</v>
      </c>
      <c r="AI135" s="12" t="n">
        <f aca="false">INDEX(AH$21:AH$141,$I135+1)*(1-$J135)+INDEX(AH$21:AH$141,$I135+2)*$J135</f>
        <v>-267.150044038853</v>
      </c>
      <c r="AJ135" s="12" t="n">
        <f aca="false">INDEX(AH$21:AH$141,$K135+1)*(1-$L135)+INDEX(AH$21:AH$141,$K135+2)*$L135</f>
        <v>-274.000000106406</v>
      </c>
      <c r="AK135" s="12" t="n">
        <f aca="false">$C135+$D135+MAX(AI135,AJ135,IF(COUNTIFS($A$21:$A$141,"&gt;="&amp;$G135,$A$21:$A$141,"&lt;="&amp;$H135)&gt;0,_xlfn.MAXIFS(AH$21:AH$141,$A$21:$A$141,"&gt;="&amp;$G135,$A$21:$A$141,"&lt;="&amp;$H135),AI135))</f>
        <v>-4.40388528772928E-005</v>
      </c>
      <c r="AL135" s="12" t="n">
        <f aca="false">-Cost_k*$A135+Beta_q*(Declarations!$B$16*INDEX(AK$21:AK$141,MAX(1,MIN(121,$B135-ROUND(Declarations!$A$16/$D$18,0))))+Declarations!$B$17*INDEX(AK$21:AK$141,MAX(1,MIN(121,$B135-ROUND(Declarations!$A$17/$D$18,0))))+Declarations!$B$18*INDEX(AK$21:AK$141,MAX(1,MIN(121,$B135-ROUND(Declarations!$A$18/$D$18,0))))+Declarations!$B$19*INDEX(AK$21:AK$141,MAX(1,MIN(121,$B135-ROUND(Declarations!$A$19/$D$18,0))))+Declarations!$B$20*INDEX(AK$21:AK$141,MAX(1,MIN(121,$B135-ROUND(Declarations!$A$20/$D$18,0)))))</f>
        <v>-274.000163921577</v>
      </c>
      <c r="AM135" s="12" t="n">
        <f aca="false">INDEX(AL$21:AL$141,$I135+1)*(1-$J135)+INDEX(AL$21:AL$141,$I135+2)*$J135</f>
        <v>-267.154991932627</v>
      </c>
      <c r="AN135" s="12" t="n">
        <f aca="false">INDEX(AL$21:AL$141,$K135+1)*(1-$L135)+INDEX(AL$21:AL$141,$K135+2)*$L135</f>
        <v>-274.000163921577</v>
      </c>
      <c r="AO135" s="12" t="n">
        <f aca="false">$C135+$D135+MAX(AM135,AN135,IF(COUNTIFS($A$21:$A$141,"&gt;="&amp;$G135,$A$21:$A$141,"&lt;="&amp;$H135)&gt;0,_xlfn.MAXIFS(AL$21:AL$141,$A$21:$A$141,"&gt;="&amp;$G135,$A$21:$A$141,"&lt;="&amp;$H135),AM135))</f>
        <v>-0.00499193262686504</v>
      </c>
      <c r="AP135" s="12" t="n">
        <f aca="false">-Cost_k*$A135+Beta_q*(Declarations!$B$16*INDEX(AO$21:AO$141,MAX(1,MIN(121,$B135-ROUND(Declarations!$A$16/$D$18,0))))+Declarations!$B$17*INDEX(AO$21:AO$141,MAX(1,MIN(121,$B135-ROUND(Declarations!$A$17/$D$18,0))))+Declarations!$B$18*INDEX(AO$21:AO$141,MAX(1,MIN(121,$B135-ROUND(Declarations!$A$18/$D$18,0))))+Declarations!$B$19*INDEX(AO$21:AO$141,MAX(1,MIN(121,$B135-ROUND(Declarations!$A$19/$D$18,0))))+Declarations!$B$20*INDEX(AO$21:AO$141,MAX(1,MIN(121,$B135-ROUND(Declarations!$A$20/$D$18,0)))))</f>
        <v>-274.008315210775</v>
      </c>
      <c r="AQ135" s="12" t="n">
        <f aca="false">INDEX(AP$21:AP$141,$I135+1)*(1-$J135)+INDEX(AP$21:AP$141,$I135+2)*$J135</f>
        <v>-267.233396849815</v>
      </c>
      <c r="AR135" s="12" t="n">
        <f aca="false">INDEX(AP$21:AP$141,$K135+1)*(1-$L135)+INDEX(AP$21:AP$141,$K135+2)*$L135</f>
        <v>-274.008315210775</v>
      </c>
      <c r="AS135" s="12" t="n">
        <f aca="false">$C135+$D135+MAX(AQ135,AR135,IF(COUNTIFS($A$21:$A$141,"&gt;="&amp;$G135,$A$21:$A$141,"&lt;="&amp;$H135)&gt;0,_xlfn.MAXIFS(AP$21:AP$141,$A$21:$A$141,"&gt;="&amp;$G135,$A$21:$A$141,"&lt;="&amp;$H135),AQ135))</f>
        <v>-0.0833968498151876</v>
      </c>
      <c r="AT135" s="12" t="n">
        <f aca="false">-Cost_k*$A135+Beta_q*(Declarations!$B$16*INDEX(AS$21:AS$141,MAX(1,MIN(121,$B135-ROUND(Declarations!$A$16/$D$18,0))))+Declarations!$B$17*INDEX(AS$21:AS$141,MAX(1,MIN(121,$B135-ROUND(Declarations!$A$17/$D$18,0))))+Declarations!$B$18*INDEX(AS$21:AS$141,MAX(1,MIN(121,$B135-ROUND(Declarations!$A$18/$D$18,0))))+Declarations!$B$19*INDEX(AS$21:AS$141,MAX(1,MIN(121,$B135-ROUND(Declarations!$A$19/$D$18,0))))+Declarations!$B$20*INDEX(AS$21:AS$141,MAX(1,MIN(121,$B135-ROUND(Declarations!$A$20/$D$18,0)))))</f>
        <v>-274.103450514118</v>
      </c>
      <c r="AU135" s="12" t="n">
        <f aca="false">INDEX(AT$21:AT$141,$I135+1)*(1-$J135)+INDEX(AT$21:AT$141,$I135+2)*$J135</f>
        <v>-267.668726952014</v>
      </c>
      <c r="AV135" s="12" t="n">
        <f aca="false">INDEX(AT$21:AT$141,$K135+1)*(1-$L135)+INDEX(AT$21:AT$141,$K135+2)*$L135</f>
        <v>-274.103450514118</v>
      </c>
      <c r="AW135" s="12" t="n">
        <f aca="false">$C135+$D135+MAX(AU135,AV135,IF(COUNTIFS($A$21:$A$141,"&gt;="&amp;$G135,$A$21:$A$141,"&lt;="&amp;$H135)&gt;0,_xlfn.MAXIFS(AT$21:AT$141,$A$21:$A$141,"&gt;="&amp;$G135,$A$21:$A$141,"&lt;="&amp;$H135),AU135))</f>
        <v>-0.518726952014106</v>
      </c>
      <c r="AX135" s="12" t="n">
        <f aca="false">-Cost_k*$A135+Beta_q*(Declarations!$B$16*INDEX(AW$21:AW$141,MAX(1,MIN(121,$B135-ROUND(Declarations!$A$16/$D$18,0))))+Declarations!$B$17*INDEX(AW$21:AW$141,MAX(1,MIN(121,$B135-ROUND(Declarations!$A$17/$D$18,0))))+Declarations!$B$18*INDEX(AW$21:AW$141,MAX(1,MIN(121,$B135-ROUND(Declarations!$A$18/$D$18,0))))+Declarations!$B$19*INDEX(AW$21:AW$141,MAX(1,MIN(121,$B135-ROUND(Declarations!$A$19/$D$18,0))))+Declarations!$B$20*INDEX(AW$21:AW$141,MAX(1,MIN(121,$B135-ROUND(Declarations!$A$20/$D$18,0)))))</f>
        <v>-274.565801952019</v>
      </c>
      <c r="AY135" s="12" t="n">
        <f aca="false">INDEX(AX$21:AX$141,$I135+1)*(1-$J135)+INDEX(AX$21:AX$141,$I135+2)*$J135</f>
        <v>-268.936898814469</v>
      </c>
      <c r="AZ135" s="12" t="n">
        <f aca="false">INDEX(AX$21:AX$141,$K135+1)*(1-$L135)+INDEX(AX$21:AX$141,$K135+2)*$L135</f>
        <v>-274.565801952019</v>
      </c>
      <c r="BA135" s="12" t="n">
        <f aca="false">$C135+$D135+MAX(AY135,AZ135,IF(COUNTIFS($A$21:$A$141,"&gt;="&amp;$G135,$A$21:$A$141,"&lt;="&amp;$H135)&gt;0,_xlfn.MAXIFS(AX$21:AX$141,$A$21:$A$141,"&gt;="&amp;$G135,$A$21:$A$141,"&lt;="&amp;$H135),AY135))</f>
        <v>-1.78689881446934</v>
      </c>
      <c r="BB135" s="12" t="n">
        <f aca="false">-Cost_k*$A135+Beta_q*(Declarations!$B$16*INDEX(BA$21:BA$141,MAX(1,MIN(121,$B135-ROUND(Declarations!$A$16/$D$18,0))))+Declarations!$B$17*INDEX(BA$21:BA$141,MAX(1,MIN(121,$B135-ROUND(Declarations!$A$17/$D$18,0))))+Declarations!$B$18*INDEX(BA$21:BA$141,MAX(1,MIN(121,$B135-ROUND(Declarations!$A$18/$D$18,0))))+Declarations!$B$19*INDEX(BA$21:BA$141,MAX(1,MIN(121,$B135-ROUND(Declarations!$A$19/$D$18,0))))+Declarations!$B$20*INDEX(BA$21:BA$141,MAX(1,MIN(121,$B135-ROUND(Declarations!$A$20/$D$18,0)))))</f>
        <v>-275.837365312624</v>
      </c>
      <c r="BC135" s="12" t="n">
        <f aca="false">INDEX(BB$21:BB$141,$I135+1)*(1-$J135)+INDEX(BB$21:BB$141,$I135+2)*$J135</f>
        <v>-271.369414424201</v>
      </c>
      <c r="BD135" s="12" t="n">
        <f aca="false">INDEX(BB$21:BB$141,$K135+1)*(1-$L135)+INDEX(BB$21:BB$141,$K135+2)*$L135</f>
        <v>-275.837365312624</v>
      </c>
      <c r="BE135" s="12" t="n">
        <f aca="false">$C135+$D135+MAX(BC135,BD135,IF(COUNTIFS($A$21:$A$141,"&gt;="&amp;$G135,$A$21:$A$141,"&lt;="&amp;$H135)&gt;0,_xlfn.MAXIFS(BB$21:BB$141,$A$21:$A$141,"&gt;="&amp;$G135,$A$21:$A$141,"&lt;="&amp;$H135),BC135))</f>
        <v>-4.21941442420143</v>
      </c>
      <c r="BF135" s="12" t="n">
        <f aca="false">-Cost_k*$A135+Beta_q*(Declarations!$B$16*INDEX(BE$21:BE$141,MAX(1,MIN(121,$B135-ROUND(Declarations!$A$16/$D$18,0))))+Declarations!$B$17*INDEX(BE$21:BE$141,MAX(1,MIN(121,$B135-ROUND(Declarations!$A$17/$D$18,0))))+Declarations!$B$18*INDEX(BE$21:BE$141,MAX(1,MIN(121,$B135-ROUND(Declarations!$A$18/$D$18,0))))+Declarations!$B$19*INDEX(BE$21:BE$141,MAX(1,MIN(121,$B135-ROUND(Declarations!$A$19/$D$18,0))))+Declarations!$B$20*INDEX(BE$21:BE$141,MAX(1,MIN(121,$B135-ROUND(Declarations!$A$20/$D$18,0)))))</f>
        <v>-278.215268951839</v>
      </c>
      <c r="BG135" s="12" t="n">
        <f aca="false">INDEX(BF$21:BF$141,$I135+1)*(1-$J135)+INDEX(BF$21:BF$141,$I135+2)*$J135</f>
        <v>-274.850870616691</v>
      </c>
      <c r="BH135" s="12" t="n">
        <f aca="false">INDEX(BF$21:BF$141,$K135+1)*(1-$L135)+INDEX(BF$21:BF$141,$K135+2)*$L135</f>
        <v>-278.215268951839</v>
      </c>
      <c r="BI135" s="12" t="n">
        <f aca="false">$C135+$D135+MAX(BG135,BH135,IF(COUNTIFS($A$21:$A$141,"&gt;="&amp;$G135,$A$21:$A$141,"&lt;="&amp;$H135)&gt;0,_xlfn.MAXIFS(BF$21:BF$141,$A$21:$A$141,"&gt;="&amp;$G135,$A$21:$A$141,"&lt;="&amp;$H135),BG135))</f>
        <v>-7.70087061669096</v>
      </c>
      <c r="BJ135" s="23" t="n">
        <v>-7.70087061669096</v>
      </c>
      <c r="BK135" s="22" t="n">
        <f aca="false">ABS(BI135-BJ135)</f>
        <v>0</v>
      </c>
    </row>
    <row r="136" customFormat="false" ht="15" hidden="false" customHeight="false" outlineLevel="0" collapsed="false">
      <c r="A136" s="14" t="n">
        <f aca="false">A135+$D$18</f>
        <v>68.75</v>
      </c>
      <c r="B136" s="19" t="n">
        <v>116</v>
      </c>
      <c r="C136" s="12" t="n">
        <f aca="false">-Short_p*MAX(Floor_c-A136,0)</f>
        <v>-0</v>
      </c>
      <c r="D136" s="12" t="n">
        <f aca="false">Cost_k*Alpha_keep*A136</f>
        <v>268.125</v>
      </c>
      <c r="E136" s="12" t="n">
        <f aca="false">MIN(Cap_h,MAX(0,$B$18+MAX(Loss_w)-Alpha_keep*A136))</f>
        <v>0</v>
      </c>
      <c r="F136" s="12" t="n">
        <f aca="false">MAX(MIN(Cap_h,$F$18+MIN(Loss_w)-Alpha_keep*A136),E136)</f>
        <v>1.46875</v>
      </c>
      <c r="G136" s="12" t="n">
        <f aca="false">Alpha_keep*A136+E136</f>
        <v>67.03125</v>
      </c>
      <c r="H136" s="12" t="n">
        <f aca="false">Alpha_keep*A136+F136</f>
        <v>68.5</v>
      </c>
      <c r="I136" s="19" t="n">
        <f aca="false">MIN(INT((G136-$B$18)/$D$18+0.000000001),119)</f>
        <v>108</v>
      </c>
      <c r="J136" s="12" t="n">
        <f aca="false">(G136-$B$18)/$D$18-I136</f>
        <v>0.125</v>
      </c>
      <c r="K136" s="19" t="n">
        <f aca="false">MIN(INT((H136-$B$18)/$D$18+0.000000001),119)</f>
        <v>114</v>
      </c>
      <c r="L136" s="12" t="n">
        <f aca="false">(H136-$B$18)/$D$18-K136</f>
        <v>0</v>
      </c>
      <c r="M136" s="9" t="n">
        <v>0</v>
      </c>
      <c r="N136" s="12" t="n">
        <f aca="false">-Cost_k*$A136+Beta_q*(Declarations!$B$16*INDEX(M$21:M$141,MAX(1,MIN(121,$B136-ROUND(Declarations!$A$16/$D$18,0))))+Declarations!$B$17*INDEX(M$21:M$141,MAX(1,MIN(121,$B136-ROUND(Declarations!$A$17/$D$18,0))))+Declarations!$B$18*INDEX(M$21:M$141,MAX(1,MIN(121,$B136-ROUND(Declarations!$A$18/$D$18,0))))+Declarations!$B$19*INDEX(M$21:M$141,MAX(1,MIN(121,$B136-ROUND(Declarations!$A$19/$D$18,0))))+Declarations!$B$20*INDEX(M$21:M$141,MAX(1,MIN(121,$B136-ROUND(Declarations!$A$20/$D$18,0)))))</f>
        <v>-275</v>
      </c>
      <c r="O136" s="12" t="n">
        <f aca="false">INDEX(N$21:N$141,$I136+1)*(1-$J136)+INDEX(N$21:N$141,$I136+2)*$J136</f>
        <v>-268.125</v>
      </c>
      <c r="P136" s="12" t="n">
        <f aca="false">INDEX(N$21:N$141,$K136+1)*(1-$L136)+INDEX(N$21:N$141,$K136+2)*$L136</f>
        <v>-274</v>
      </c>
      <c r="Q136" s="12" t="n">
        <f aca="false">$C136+$D136+MAX(O136,P136,IF(COUNTIFS($A$21:$A$141,"&gt;="&amp;$G136,$A$21:$A$141,"&lt;="&amp;$H136)&gt;0,_xlfn.MAXIFS(N$21:N$141,$A$21:$A$141,"&gt;="&amp;$G136,$A$21:$A$141,"&lt;="&amp;$H136),O136))</f>
        <v>0</v>
      </c>
      <c r="R136" s="12" t="n">
        <f aca="false">-Cost_k*$A136+Beta_q*(Declarations!$B$16*INDEX(Q$21:Q$141,MAX(1,MIN(121,$B136-ROUND(Declarations!$A$16/$D$18,0))))+Declarations!$B$17*INDEX(Q$21:Q$141,MAX(1,MIN(121,$B136-ROUND(Declarations!$A$17/$D$18,0))))+Declarations!$B$18*INDEX(Q$21:Q$141,MAX(1,MIN(121,$B136-ROUND(Declarations!$A$18/$D$18,0))))+Declarations!$B$19*INDEX(Q$21:Q$141,MAX(1,MIN(121,$B136-ROUND(Declarations!$A$19/$D$18,0))))+Declarations!$B$20*INDEX(Q$21:Q$141,MAX(1,MIN(121,$B136-ROUND(Declarations!$A$20/$D$18,0)))))</f>
        <v>-275</v>
      </c>
      <c r="S136" s="12" t="n">
        <f aca="false">INDEX(R$21:R$141,$I136+1)*(1-$J136)+INDEX(R$21:R$141,$I136+2)*$J136</f>
        <v>-268.125</v>
      </c>
      <c r="T136" s="12" t="n">
        <f aca="false">INDEX(R$21:R$141,$K136+1)*(1-$L136)+INDEX(R$21:R$141,$K136+2)*$L136</f>
        <v>-274</v>
      </c>
      <c r="U136" s="12" t="n">
        <f aca="false">$C136+$D136+MAX(S136,T136,IF(COUNTIFS($A$21:$A$141,"&gt;="&amp;$G136,$A$21:$A$141,"&lt;="&amp;$H136)&gt;0,_xlfn.MAXIFS(R$21:R$141,$A$21:$A$141,"&gt;="&amp;$G136,$A$21:$A$141,"&lt;="&amp;$H136),S136))</f>
        <v>0</v>
      </c>
      <c r="V136" s="12" t="n">
        <f aca="false">-Cost_k*$A136+Beta_q*(Declarations!$B$16*INDEX(U$21:U$141,MAX(1,MIN(121,$B136-ROUND(Declarations!$A$16/$D$18,0))))+Declarations!$B$17*INDEX(U$21:U$141,MAX(1,MIN(121,$B136-ROUND(Declarations!$A$17/$D$18,0))))+Declarations!$B$18*INDEX(U$21:U$141,MAX(1,MIN(121,$B136-ROUND(Declarations!$A$18/$D$18,0))))+Declarations!$B$19*INDEX(U$21:U$141,MAX(1,MIN(121,$B136-ROUND(Declarations!$A$19/$D$18,0))))+Declarations!$B$20*INDEX(U$21:U$141,MAX(1,MIN(121,$B136-ROUND(Declarations!$A$20/$D$18,0)))))</f>
        <v>-275</v>
      </c>
      <c r="W136" s="12" t="n">
        <f aca="false">INDEX(V$21:V$141,$I136+1)*(1-$J136)+INDEX(V$21:V$141,$I136+2)*$J136</f>
        <v>-268.125</v>
      </c>
      <c r="X136" s="12" t="n">
        <f aca="false">INDEX(V$21:V$141,$K136+1)*(1-$L136)+INDEX(V$21:V$141,$K136+2)*$L136</f>
        <v>-274</v>
      </c>
      <c r="Y136" s="12" t="n">
        <f aca="false">$C136+$D136+MAX(W136,X136,IF(COUNTIFS($A$21:$A$141,"&gt;="&amp;$G136,$A$21:$A$141,"&lt;="&amp;$H136)&gt;0,_xlfn.MAXIFS(V$21:V$141,$A$21:$A$141,"&gt;="&amp;$G136,$A$21:$A$141,"&lt;="&amp;$H136),W136))</f>
        <v>0</v>
      </c>
      <c r="Z136" s="12" t="n">
        <f aca="false">-Cost_k*$A136+Beta_q*(Declarations!$B$16*INDEX(Y$21:Y$141,MAX(1,MIN(121,$B136-ROUND(Declarations!$A$16/$D$18,0))))+Declarations!$B$17*INDEX(Y$21:Y$141,MAX(1,MIN(121,$B136-ROUND(Declarations!$A$17/$D$18,0))))+Declarations!$B$18*INDEX(Y$21:Y$141,MAX(1,MIN(121,$B136-ROUND(Declarations!$A$18/$D$18,0))))+Declarations!$B$19*INDEX(Y$21:Y$141,MAX(1,MIN(121,$B136-ROUND(Declarations!$A$19/$D$18,0))))+Declarations!$B$20*INDEX(Y$21:Y$141,MAX(1,MIN(121,$B136-ROUND(Declarations!$A$20/$D$18,0)))))</f>
        <v>-275</v>
      </c>
      <c r="AA136" s="12" t="n">
        <f aca="false">INDEX(Z$21:Z$141,$I136+1)*(1-$J136)+INDEX(Z$21:Z$141,$I136+2)*$J136</f>
        <v>-268.125</v>
      </c>
      <c r="AB136" s="12" t="n">
        <f aca="false">INDEX(Z$21:Z$141,$K136+1)*(1-$L136)+INDEX(Z$21:Z$141,$K136+2)*$L136</f>
        <v>-274</v>
      </c>
      <c r="AC136" s="12" t="n">
        <f aca="false">$C136+$D136+MAX(AA136,AB136,IF(COUNTIFS($A$21:$A$141,"&gt;="&amp;$G136,$A$21:$A$141,"&lt;="&amp;$H136)&gt;0,_xlfn.MAXIFS(Z$21:Z$141,$A$21:$A$141,"&gt;="&amp;$G136,$A$21:$A$141,"&lt;="&amp;$H136),AA136))</f>
        <v>0</v>
      </c>
      <c r="AD136" s="12" t="n">
        <f aca="false">-Cost_k*$A136+Beta_q*(Declarations!$B$16*INDEX(AC$21:AC$141,MAX(1,MIN(121,$B136-ROUND(Declarations!$A$16/$D$18,0))))+Declarations!$B$17*INDEX(AC$21:AC$141,MAX(1,MIN(121,$B136-ROUND(Declarations!$A$17/$D$18,0))))+Declarations!$B$18*INDEX(AC$21:AC$141,MAX(1,MIN(121,$B136-ROUND(Declarations!$A$18/$D$18,0))))+Declarations!$B$19*INDEX(AC$21:AC$141,MAX(1,MIN(121,$B136-ROUND(Declarations!$A$19/$D$18,0))))+Declarations!$B$20*INDEX(AC$21:AC$141,MAX(1,MIN(121,$B136-ROUND(Declarations!$A$20/$D$18,0)))))</f>
        <v>-275</v>
      </c>
      <c r="AE136" s="12" t="n">
        <f aca="false">INDEX(AD$21:AD$141,$I136+1)*(1-$J136)+INDEX(AD$21:AD$141,$I136+2)*$J136</f>
        <v>-268.125</v>
      </c>
      <c r="AF136" s="12" t="n">
        <f aca="false">INDEX(AD$21:AD$141,$K136+1)*(1-$L136)+INDEX(AD$21:AD$141,$K136+2)*$L136</f>
        <v>-274</v>
      </c>
      <c r="AG136" s="12" t="n">
        <f aca="false">$C136+$D136+MAX(AE136,AF136,IF(COUNTIFS($A$21:$A$141,"&gt;="&amp;$G136,$A$21:$A$141,"&lt;="&amp;$H136)&gt;0,_xlfn.MAXIFS(AD$21:AD$141,$A$21:$A$141,"&gt;="&amp;$G136,$A$21:$A$141,"&lt;="&amp;$H136),AE136))</f>
        <v>0</v>
      </c>
      <c r="AH136" s="12" t="n">
        <f aca="false">-Cost_k*$A136+Beta_q*(Declarations!$B$16*INDEX(AG$21:AG$141,MAX(1,MIN(121,$B136-ROUND(Declarations!$A$16/$D$18,0))))+Declarations!$B$17*INDEX(AG$21:AG$141,MAX(1,MIN(121,$B136-ROUND(Declarations!$A$17/$D$18,0))))+Declarations!$B$18*INDEX(AG$21:AG$141,MAX(1,MIN(121,$B136-ROUND(Declarations!$A$18/$D$18,0))))+Declarations!$B$19*INDEX(AG$21:AG$141,MAX(1,MIN(121,$B136-ROUND(Declarations!$A$19/$D$18,0))))+Declarations!$B$20*INDEX(AG$21:AG$141,MAX(1,MIN(121,$B136-ROUND(Declarations!$A$20/$D$18,0)))))</f>
        <v>-275.000000032037</v>
      </c>
      <c r="AI136" s="12" t="n">
        <f aca="false">INDEX(AH$21:AH$141,$I136+1)*(1-$J136)+INDEX(AH$21:AH$141,$I136+2)*$J136</f>
        <v>-268.125023177604</v>
      </c>
      <c r="AJ136" s="12" t="n">
        <f aca="false">INDEX(AH$21:AH$141,$K136+1)*(1-$L136)+INDEX(AH$21:AH$141,$K136+2)*$L136</f>
        <v>-274.000000106406</v>
      </c>
      <c r="AK136" s="12" t="n">
        <f aca="false">$C136+$D136+MAX(AI136,AJ136,IF(COUNTIFS($A$21:$A$141,"&gt;="&amp;$G136,$A$21:$A$141,"&lt;="&amp;$H136)&gt;0,_xlfn.MAXIFS(AH$21:AH$141,$A$21:$A$141,"&gt;="&amp;$G136,$A$21:$A$141,"&lt;="&amp;$H136),AI136))</f>
        <v>-2.31776043051468E-005</v>
      </c>
      <c r="AL136" s="12" t="n">
        <f aca="false">-Cost_k*$A136+Beta_q*(Declarations!$B$16*INDEX(AK$21:AK$141,MAX(1,MIN(121,$B136-ROUND(Declarations!$A$16/$D$18,0))))+Declarations!$B$17*INDEX(AK$21:AK$141,MAX(1,MIN(121,$B136-ROUND(Declarations!$A$17/$D$18,0))))+Declarations!$B$18*INDEX(AK$21:AK$141,MAX(1,MIN(121,$B136-ROUND(Declarations!$A$18/$D$18,0))))+Declarations!$B$19*INDEX(AK$21:AK$141,MAX(1,MIN(121,$B136-ROUND(Declarations!$A$19/$D$18,0))))+Declarations!$B$20*INDEX(AK$21:AK$141,MAX(1,MIN(121,$B136-ROUND(Declarations!$A$20/$D$18,0)))))</f>
        <v>-275.00009120931</v>
      </c>
      <c r="AM136" s="12" t="n">
        <f aca="false">INDEX(AL$21:AL$141,$I136+1)*(1-$J136)+INDEX(AL$21:AL$141,$I136+2)*$J136</f>
        <v>-268.128286189587</v>
      </c>
      <c r="AN136" s="12" t="n">
        <f aca="false">INDEX(AL$21:AL$141,$K136+1)*(1-$L136)+INDEX(AL$21:AL$141,$K136+2)*$L136</f>
        <v>-274.000163921577</v>
      </c>
      <c r="AO136" s="12" t="n">
        <f aca="false">$C136+$D136+MAX(AM136,AN136,IF(COUNTIFS($A$21:$A$141,"&gt;="&amp;$G136,$A$21:$A$141,"&lt;="&amp;$H136)&gt;0,_xlfn.MAXIFS(AL$21:AL$141,$A$21:$A$141,"&gt;="&amp;$G136,$A$21:$A$141,"&lt;="&amp;$H136),AM136))</f>
        <v>-0.00328618958690186</v>
      </c>
      <c r="AP136" s="12" t="n">
        <f aca="false">-Cost_k*$A136+Beta_q*(Declarations!$B$16*INDEX(AO$21:AO$141,MAX(1,MIN(121,$B136-ROUND(Declarations!$A$16/$D$18,0))))+Declarations!$B$17*INDEX(AO$21:AO$141,MAX(1,MIN(121,$B136-ROUND(Declarations!$A$17/$D$18,0))))+Declarations!$B$18*INDEX(AO$21:AO$141,MAX(1,MIN(121,$B136-ROUND(Declarations!$A$18/$D$18,0))))+Declarations!$B$19*INDEX(AO$21:AO$141,MAX(1,MIN(121,$B136-ROUND(Declarations!$A$19/$D$18,0))))+Declarations!$B$20*INDEX(AO$21:AO$141,MAX(1,MIN(121,$B136-ROUND(Declarations!$A$20/$D$18,0)))))</f>
        <v>-275.005657567156</v>
      </c>
      <c r="AQ136" s="12" t="n">
        <f aca="false">INDEX(AP$21:AP$141,$I136+1)*(1-$J136)+INDEX(AP$21:AP$141,$I136+2)*$J136</f>
        <v>-268.187492127335</v>
      </c>
      <c r="AR136" s="12" t="n">
        <f aca="false">INDEX(AP$21:AP$141,$K136+1)*(1-$L136)+INDEX(AP$21:AP$141,$K136+2)*$L136</f>
        <v>-274.008315210775</v>
      </c>
      <c r="AS136" s="12" t="n">
        <f aca="false">$C136+$D136+MAX(AQ136,AR136,IF(COUNTIFS($A$21:$A$141,"&gt;="&amp;$G136,$A$21:$A$141,"&lt;="&amp;$H136)&gt;0,_xlfn.MAXIFS(AP$21:AP$141,$A$21:$A$141,"&gt;="&amp;$G136,$A$21:$A$141,"&lt;="&amp;$H136),AQ136))</f>
        <v>-0.0624921273349059</v>
      </c>
      <c r="AT136" s="12" t="n">
        <f aca="false">-Cost_k*$A136+Beta_q*(Declarations!$B$16*INDEX(AS$21:AS$141,MAX(1,MIN(121,$B136-ROUND(Declarations!$A$16/$D$18,0))))+Declarations!$B$17*INDEX(AS$21:AS$141,MAX(1,MIN(121,$B136-ROUND(Declarations!$A$17/$D$18,0))))+Declarations!$B$18*INDEX(AS$21:AS$141,MAX(1,MIN(121,$B136-ROUND(Declarations!$A$18/$D$18,0))))+Declarations!$B$19*INDEX(AS$21:AS$141,MAX(1,MIN(121,$B136-ROUND(Declarations!$A$19/$D$18,0))))+Declarations!$B$20*INDEX(AS$21:AS$141,MAX(1,MIN(121,$B136-ROUND(Declarations!$A$20/$D$18,0)))))</f>
        <v>-275.079105529175</v>
      </c>
      <c r="AU136" s="12" t="n">
        <f aca="false">INDEX(AT$21:AT$141,$I136+1)*(1-$J136)+INDEX(AT$21:AT$141,$I136+2)*$J136</f>
        <v>-268.548436142191</v>
      </c>
      <c r="AV136" s="12" t="n">
        <f aca="false">INDEX(AT$21:AT$141,$K136+1)*(1-$L136)+INDEX(AT$21:AT$141,$K136+2)*$L136</f>
        <v>-274.103450514118</v>
      </c>
      <c r="AW136" s="12" t="n">
        <f aca="false">$C136+$D136+MAX(AU136,AV136,IF(COUNTIFS($A$21:$A$141,"&gt;="&amp;$G136,$A$21:$A$141,"&lt;="&amp;$H136)&gt;0,_xlfn.MAXIFS(AT$21:AT$141,$A$21:$A$141,"&gt;="&amp;$G136,$A$21:$A$141,"&lt;="&amp;$H136),AU136))</f>
        <v>-0.423436142191292</v>
      </c>
      <c r="AX136" s="12" t="n">
        <f aca="false">-Cost_k*$A136+Beta_q*(Declarations!$B$16*INDEX(AW$21:AW$141,MAX(1,MIN(121,$B136-ROUND(Declarations!$A$16/$D$18,0))))+Declarations!$B$17*INDEX(AW$21:AW$141,MAX(1,MIN(121,$B136-ROUND(Declarations!$A$17/$D$18,0))))+Declarations!$B$18*INDEX(AW$21:AW$141,MAX(1,MIN(121,$B136-ROUND(Declarations!$A$18/$D$18,0))))+Declarations!$B$19*INDEX(AW$21:AW$141,MAX(1,MIN(121,$B136-ROUND(Declarations!$A$19/$D$18,0))))+Declarations!$B$20*INDEX(AW$21:AW$141,MAX(1,MIN(121,$B136-ROUND(Declarations!$A$20/$D$18,0)))))</f>
        <v>-275.467702950376</v>
      </c>
      <c r="AY136" s="12" t="n">
        <f aca="false">INDEX(AX$21:AX$141,$I136+1)*(1-$J136)+INDEX(AX$21:AX$141,$I136+2)*$J136</f>
        <v>-269.670355570593</v>
      </c>
      <c r="AZ136" s="12" t="n">
        <f aca="false">INDEX(AX$21:AX$141,$K136+1)*(1-$L136)+INDEX(AX$21:AX$141,$K136+2)*$L136</f>
        <v>-274.565801952019</v>
      </c>
      <c r="BA136" s="12" t="n">
        <f aca="false">$C136+$D136+MAX(AY136,AZ136,IF(COUNTIFS($A$21:$A$141,"&gt;="&amp;$G136,$A$21:$A$141,"&lt;="&amp;$H136)&gt;0,_xlfn.MAXIFS(AX$21:AX$141,$A$21:$A$141,"&gt;="&amp;$G136,$A$21:$A$141,"&lt;="&amp;$H136),AY136))</f>
        <v>-1.54535557059307</v>
      </c>
      <c r="BB136" s="12" t="n">
        <f aca="false">-Cost_k*$A136+Beta_q*(Declarations!$B$16*INDEX(BA$21:BA$141,MAX(1,MIN(121,$B136-ROUND(Declarations!$A$16/$D$18,0))))+Declarations!$B$17*INDEX(BA$21:BA$141,MAX(1,MIN(121,$B136-ROUND(Declarations!$A$17/$D$18,0))))+Declarations!$B$18*INDEX(BA$21:BA$141,MAX(1,MIN(121,$B136-ROUND(Declarations!$A$18/$D$18,0))))+Declarations!$B$19*INDEX(BA$21:BA$141,MAX(1,MIN(121,$B136-ROUND(Declarations!$A$19/$D$18,0))))+Declarations!$B$20*INDEX(BA$21:BA$141,MAX(1,MIN(121,$B136-ROUND(Declarations!$A$20/$D$18,0)))))</f>
        <v>-276.602274988023</v>
      </c>
      <c r="BC136" s="12" t="n">
        <f aca="false">INDEX(BB$21:BB$141,$I136+1)*(1-$J136)+INDEX(BB$21:BB$141,$I136+2)*$J136</f>
        <v>-271.924196908575</v>
      </c>
      <c r="BD136" s="12" t="n">
        <f aca="false">INDEX(BB$21:BB$141,$K136+1)*(1-$L136)+INDEX(BB$21:BB$141,$K136+2)*$L136</f>
        <v>-275.837365312624</v>
      </c>
      <c r="BE136" s="12" t="n">
        <f aca="false">$C136+$D136+MAX(BC136,BD136,IF(COUNTIFS($A$21:$A$141,"&gt;="&amp;$G136,$A$21:$A$141,"&lt;="&amp;$H136)&gt;0,_xlfn.MAXIFS(BB$21:BB$141,$A$21:$A$141,"&gt;="&amp;$G136,$A$21:$A$141,"&lt;="&amp;$H136),BC136))</f>
        <v>-3.79919690857497</v>
      </c>
      <c r="BF136" s="12" t="n">
        <f aca="false">-Cost_k*$A136+Beta_q*(Declarations!$B$16*INDEX(BE$21:BE$141,MAX(1,MIN(121,$B136-ROUND(Declarations!$A$16/$D$18,0))))+Declarations!$B$17*INDEX(BE$21:BE$141,MAX(1,MIN(121,$B136-ROUND(Declarations!$A$17/$D$18,0))))+Declarations!$B$18*INDEX(BE$21:BE$141,MAX(1,MIN(121,$B136-ROUND(Declarations!$A$18/$D$18,0))))+Declarations!$B$19*INDEX(BE$21:BE$141,MAX(1,MIN(121,$B136-ROUND(Declarations!$A$19/$D$18,0))))+Declarations!$B$20*INDEX(BE$21:BE$141,MAX(1,MIN(121,$B136-ROUND(Declarations!$A$20/$D$18,0)))))</f>
        <v>-278.817957224206</v>
      </c>
      <c r="BG136" s="12" t="n">
        <f aca="false">INDEX(BF$21:BF$141,$I136+1)*(1-$J136)+INDEX(BF$21:BF$141,$I136+2)*$J136</f>
        <v>-275.263529993096</v>
      </c>
      <c r="BH136" s="12" t="n">
        <f aca="false">INDEX(BF$21:BF$141,$K136+1)*(1-$L136)+INDEX(BF$21:BF$141,$K136+2)*$L136</f>
        <v>-278.215268951839</v>
      </c>
      <c r="BI136" s="12" t="n">
        <f aca="false">$C136+$D136+MAX(BG136,BH136,IF(COUNTIFS($A$21:$A$141,"&gt;="&amp;$G136,$A$21:$A$141,"&lt;="&amp;$H136)&gt;0,_xlfn.MAXIFS(BF$21:BF$141,$A$21:$A$141,"&gt;="&amp;$G136,$A$21:$A$141,"&lt;="&amp;$H136),BG136))</f>
        <v>-7.13852999309557</v>
      </c>
      <c r="BJ136" s="23" t="n">
        <v>-7.13852999309552</v>
      </c>
      <c r="BK136" s="22" t="n">
        <f aca="false">ABS(BI136-BJ136)</f>
        <v>5.6843418860808E-014</v>
      </c>
    </row>
    <row r="137" customFormat="false" ht="15" hidden="false" customHeight="false" outlineLevel="0" collapsed="false">
      <c r="A137" s="14" t="n">
        <f aca="false">A136+$D$18</f>
        <v>69</v>
      </c>
      <c r="B137" s="19" t="n">
        <v>117</v>
      </c>
      <c r="C137" s="12" t="n">
        <f aca="false">-Short_p*MAX(Floor_c-A137,0)</f>
        <v>-0</v>
      </c>
      <c r="D137" s="12" t="n">
        <f aca="false">Cost_k*Alpha_keep*A137</f>
        <v>269.1</v>
      </c>
      <c r="E137" s="12" t="n">
        <f aca="false">MIN(Cap_h,MAX(0,$B$18+MAX(Loss_w)-Alpha_keep*A137))</f>
        <v>0</v>
      </c>
      <c r="F137" s="12" t="n">
        <f aca="false">MAX(MIN(Cap_h,$F$18+MIN(Loss_w)-Alpha_keep*A137),E137)</f>
        <v>1.22500000000001</v>
      </c>
      <c r="G137" s="12" t="n">
        <f aca="false">Alpha_keep*A137+E137</f>
        <v>67.275</v>
      </c>
      <c r="H137" s="12" t="n">
        <f aca="false">Alpha_keep*A137+F137</f>
        <v>68.5</v>
      </c>
      <c r="I137" s="19" t="n">
        <f aca="false">MIN(INT((G137-$B$18)/$D$18+0.000000001),119)</f>
        <v>109</v>
      </c>
      <c r="J137" s="12" t="n">
        <f aca="false">(G137-$B$18)/$D$18-I137</f>
        <v>0.0999999999999659</v>
      </c>
      <c r="K137" s="19" t="n">
        <f aca="false">MIN(INT((H137-$B$18)/$D$18+0.000000001),119)</f>
        <v>114</v>
      </c>
      <c r="L137" s="12" t="n">
        <f aca="false">(H137-$B$18)/$D$18-K137</f>
        <v>0</v>
      </c>
      <c r="M137" s="9" t="n">
        <v>0</v>
      </c>
      <c r="N137" s="12" t="n">
        <f aca="false">-Cost_k*$A137+Beta_q*(Declarations!$B$16*INDEX(M$21:M$141,MAX(1,MIN(121,$B137-ROUND(Declarations!$A$16/$D$18,0))))+Declarations!$B$17*INDEX(M$21:M$141,MAX(1,MIN(121,$B137-ROUND(Declarations!$A$17/$D$18,0))))+Declarations!$B$18*INDEX(M$21:M$141,MAX(1,MIN(121,$B137-ROUND(Declarations!$A$18/$D$18,0))))+Declarations!$B$19*INDEX(M$21:M$141,MAX(1,MIN(121,$B137-ROUND(Declarations!$A$19/$D$18,0))))+Declarations!$B$20*INDEX(M$21:M$141,MAX(1,MIN(121,$B137-ROUND(Declarations!$A$20/$D$18,0)))))</f>
        <v>-276</v>
      </c>
      <c r="O137" s="12" t="n">
        <f aca="false">INDEX(N$21:N$141,$I137+1)*(1-$J137)+INDEX(N$21:N$141,$I137+2)*$J137</f>
        <v>-269.1</v>
      </c>
      <c r="P137" s="12" t="n">
        <f aca="false">INDEX(N$21:N$141,$K137+1)*(1-$L137)+INDEX(N$21:N$141,$K137+2)*$L137</f>
        <v>-274</v>
      </c>
      <c r="Q137" s="12" t="n">
        <f aca="false">$C137+$D137+MAX(O137,P137,IF(COUNTIFS($A$21:$A$141,"&gt;="&amp;$G137,$A$21:$A$141,"&lt;="&amp;$H137)&gt;0,_xlfn.MAXIFS(N$21:N$141,$A$21:$A$141,"&gt;="&amp;$G137,$A$21:$A$141,"&lt;="&amp;$H137),O137))</f>
        <v>0</v>
      </c>
      <c r="R137" s="12" t="n">
        <f aca="false">-Cost_k*$A137+Beta_q*(Declarations!$B$16*INDEX(Q$21:Q$141,MAX(1,MIN(121,$B137-ROUND(Declarations!$A$16/$D$18,0))))+Declarations!$B$17*INDEX(Q$21:Q$141,MAX(1,MIN(121,$B137-ROUND(Declarations!$A$17/$D$18,0))))+Declarations!$B$18*INDEX(Q$21:Q$141,MAX(1,MIN(121,$B137-ROUND(Declarations!$A$18/$D$18,0))))+Declarations!$B$19*INDEX(Q$21:Q$141,MAX(1,MIN(121,$B137-ROUND(Declarations!$A$19/$D$18,0))))+Declarations!$B$20*INDEX(Q$21:Q$141,MAX(1,MIN(121,$B137-ROUND(Declarations!$A$20/$D$18,0)))))</f>
        <v>-276</v>
      </c>
      <c r="S137" s="12" t="n">
        <f aca="false">INDEX(R$21:R$141,$I137+1)*(1-$J137)+INDEX(R$21:R$141,$I137+2)*$J137</f>
        <v>-269.1</v>
      </c>
      <c r="T137" s="12" t="n">
        <f aca="false">INDEX(R$21:R$141,$K137+1)*(1-$L137)+INDEX(R$21:R$141,$K137+2)*$L137</f>
        <v>-274</v>
      </c>
      <c r="U137" s="12" t="n">
        <f aca="false">$C137+$D137+MAX(S137,T137,IF(COUNTIFS($A$21:$A$141,"&gt;="&amp;$G137,$A$21:$A$141,"&lt;="&amp;$H137)&gt;0,_xlfn.MAXIFS(R$21:R$141,$A$21:$A$141,"&gt;="&amp;$G137,$A$21:$A$141,"&lt;="&amp;$H137),S137))</f>
        <v>0</v>
      </c>
      <c r="V137" s="12" t="n">
        <f aca="false">-Cost_k*$A137+Beta_q*(Declarations!$B$16*INDEX(U$21:U$141,MAX(1,MIN(121,$B137-ROUND(Declarations!$A$16/$D$18,0))))+Declarations!$B$17*INDEX(U$21:U$141,MAX(1,MIN(121,$B137-ROUND(Declarations!$A$17/$D$18,0))))+Declarations!$B$18*INDEX(U$21:U$141,MAX(1,MIN(121,$B137-ROUND(Declarations!$A$18/$D$18,0))))+Declarations!$B$19*INDEX(U$21:U$141,MAX(1,MIN(121,$B137-ROUND(Declarations!$A$19/$D$18,0))))+Declarations!$B$20*INDEX(U$21:U$141,MAX(1,MIN(121,$B137-ROUND(Declarations!$A$20/$D$18,0)))))</f>
        <v>-276</v>
      </c>
      <c r="W137" s="12" t="n">
        <f aca="false">INDEX(V$21:V$141,$I137+1)*(1-$J137)+INDEX(V$21:V$141,$I137+2)*$J137</f>
        <v>-269.1</v>
      </c>
      <c r="X137" s="12" t="n">
        <f aca="false">INDEX(V$21:V$141,$K137+1)*(1-$L137)+INDEX(V$21:V$141,$K137+2)*$L137</f>
        <v>-274</v>
      </c>
      <c r="Y137" s="12" t="n">
        <f aca="false">$C137+$D137+MAX(W137,X137,IF(COUNTIFS($A$21:$A$141,"&gt;="&amp;$G137,$A$21:$A$141,"&lt;="&amp;$H137)&gt;0,_xlfn.MAXIFS(V$21:V$141,$A$21:$A$141,"&gt;="&amp;$G137,$A$21:$A$141,"&lt;="&amp;$H137),W137))</f>
        <v>0</v>
      </c>
      <c r="Z137" s="12" t="n">
        <f aca="false">-Cost_k*$A137+Beta_q*(Declarations!$B$16*INDEX(Y$21:Y$141,MAX(1,MIN(121,$B137-ROUND(Declarations!$A$16/$D$18,0))))+Declarations!$B$17*INDEX(Y$21:Y$141,MAX(1,MIN(121,$B137-ROUND(Declarations!$A$17/$D$18,0))))+Declarations!$B$18*INDEX(Y$21:Y$141,MAX(1,MIN(121,$B137-ROUND(Declarations!$A$18/$D$18,0))))+Declarations!$B$19*INDEX(Y$21:Y$141,MAX(1,MIN(121,$B137-ROUND(Declarations!$A$19/$D$18,0))))+Declarations!$B$20*INDEX(Y$21:Y$141,MAX(1,MIN(121,$B137-ROUND(Declarations!$A$20/$D$18,0)))))</f>
        <v>-276</v>
      </c>
      <c r="AA137" s="12" t="n">
        <f aca="false">INDEX(Z$21:Z$141,$I137+1)*(1-$J137)+INDEX(Z$21:Z$141,$I137+2)*$J137</f>
        <v>-269.1</v>
      </c>
      <c r="AB137" s="12" t="n">
        <f aca="false">INDEX(Z$21:Z$141,$K137+1)*(1-$L137)+INDEX(Z$21:Z$141,$K137+2)*$L137</f>
        <v>-274</v>
      </c>
      <c r="AC137" s="12" t="n">
        <f aca="false">$C137+$D137+MAX(AA137,AB137,IF(COUNTIFS($A$21:$A$141,"&gt;="&amp;$G137,$A$21:$A$141,"&lt;="&amp;$H137)&gt;0,_xlfn.MAXIFS(Z$21:Z$141,$A$21:$A$141,"&gt;="&amp;$G137,$A$21:$A$141,"&lt;="&amp;$H137),AA137))</f>
        <v>0</v>
      </c>
      <c r="AD137" s="12" t="n">
        <f aca="false">-Cost_k*$A137+Beta_q*(Declarations!$B$16*INDEX(AC$21:AC$141,MAX(1,MIN(121,$B137-ROUND(Declarations!$A$16/$D$18,0))))+Declarations!$B$17*INDEX(AC$21:AC$141,MAX(1,MIN(121,$B137-ROUND(Declarations!$A$17/$D$18,0))))+Declarations!$B$18*INDEX(AC$21:AC$141,MAX(1,MIN(121,$B137-ROUND(Declarations!$A$18/$D$18,0))))+Declarations!$B$19*INDEX(AC$21:AC$141,MAX(1,MIN(121,$B137-ROUND(Declarations!$A$19/$D$18,0))))+Declarations!$B$20*INDEX(AC$21:AC$141,MAX(1,MIN(121,$B137-ROUND(Declarations!$A$20/$D$18,0)))))</f>
        <v>-276</v>
      </c>
      <c r="AE137" s="12" t="n">
        <f aca="false">INDEX(AD$21:AD$141,$I137+1)*(1-$J137)+INDEX(AD$21:AD$141,$I137+2)*$J137</f>
        <v>-269.1</v>
      </c>
      <c r="AF137" s="12" t="n">
        <f aca="false">INDEX(AD$21:AD$141,$K137+1)*(1-$L137)+INDEX(AD$21:AD$141,$K137+2)*$L137</f>
        <v>-274</v>
      </c>
      <c r="AG137" s="12" t="n">
        <f aca="false">$C137+$D137+MAX(AE137,AF137,IF(COUNTIFS($A$21:$A$141,"&gt;="&amp;$G137,$A$21:$A$141,"&lt;="&amp;$H137)&gt;0,_xlfn.MAXIFS(AD$21:AD$141,$A$21:$A$141,"&gt;="&amp;$G137,$A$21:$A$141,"&lt;="&amp;$H137),AE137))</f>
        <v>0</v>
      </c>
      <c r="AH137" s="12" t="n">
        <f aca="false">-Cost_k*$A137+Beta_q*(Declarations!$B$16*INDEX(AG$21:AG$141,MAX(1,MIN(121,$B137-ROUND(Declarations!$A$16/$D$18,0))))+Declarations!$B$17*INDEX(AG$21:AG$141,MAX(1,MIN(121,$B137-ROUND(Declarations!$A$17/$D$18,0))))+Declarations!$B$18*INDEX(AG$21:AG$141,MAX(1,MIN(121,$B137-ROUND(Declarations!$A$18/$D$18,0))))+Declarations!$B$19*INDEX(AG$21:AG$141,MAX(1,MIN(121,$B137-ROUND(Declarations!$A$19/$D$18,0))))+Declarations!$B$20*INDEX(AG$21:AG$141,MAX(1,MIN(121,$B137-ROUND(Declarations!$A$20/$D$18,0)))))</f>
        <v>-276.000000002741</v>
      </c>
      <c r="AI137" s="12" t="n">
        <f aca="false">INDEX(AH$21:AH$141,$I137+1)*(1-$J137)+INDEX(AH$21:AH$141,$I137+2)*$J137</f>
        <v>-269.100009655947</v>
      </c>
      <c r="AJ137" s="12" t="n">
        <f aca="false">INDEX(AH$21:AH$141,$K137+1)*(1-$L137)+INDEX(AH$21:AH$141,$K137+2)*$L137</f>
        <v>-274.000000106406</v>
      </c>
      <c r="AK137" s="12" t="n">
        <f aca="false">$C137+$D137+MAX(AI137,AJ137,IF(COUNTIFS($A$21:$A$141,"&gt;="&amp;$G137,$A$21:$A$141,"&lt;="&amp;$H137)&gt;0,_xlfn.MAXIFS(AH$21:AH$141,$A$21:$A$141,"&gt;="&amp;$G137,$A$21:$A$141,"&lt;="&amp;$H137),AI137))</f>
        <v>-9.65594722401875E-006</v>
      </c>
      <c r="AL137" s="12" t="n">
        <f aca="false">-Cost_k*$A137+Beta_q*(Declarations!$B$16*INDEX(AK$21:AK$141,MAX(1,MIN(121,$B137-ROUND(Declarations!$A$16/$D$18,0))))+Declarations!$B$17*INDEX(AK$21:AK$141,MAX(1,MIN(121,$B137-ROUND(Declarations!$A$17/$D$18,0))))+Declarations!$B$18*INDEX(AK$21:AK$141,MAX(1,MIN(121,$B137-ROUND(Declarations!$A$18/$D$18,0))))+Declarations!$B$19*INDEX(AK$21:AK$141,MAX(1,MIN(121,$B137-ROUND(Declarations!$A$19/$D$18,0))))+Declarations!$B$20*INDEX(AK$21:AK$141,MAX(1,MIN(121,$B137-ROUND(Declarations!$A$20/$D$18,0)))))</f>
        <v>-276.00004647721</v>
      </c>
      <c r="AM137" s="12" t="n">
        <f aca="false">INDEX(AL$21:AL$141,$I137+1)*(1-$J137)+INDEX(AL$21:AL$141,$I137+2)*$J137</f>
        <v>-269.102038613977</v>
      </c>
      <c r="AN137" s="12" t="n">
        <f aca="false">INDEX(AL$21:AL$141,$K137+1)*(1-$L137)+INDEX(AL$21:AL$141,$K137+2)*$L137</f>
        <v>-274.000163921577</v>
      </c>
      <c r="AO137" s="12" t="n">
        <f aca="false">$C137+$D137+MAX(AM137,AN137,IF(COUNTIFS($A$21:$A$141,"&gt;="&amp;$G137,$A$21:$A$141,"&lt;="&amp;$H137)&gt;0,_xlfn.MAXIFS(AL$21:AL$141,$A$21:$A$141,"&gt;="&amp;$G137,$A$21:$A$141,"&lt;="&amp;$H137),AM137))</f>
        <v>-0.00203861397699257</v>
      </c>
      <c r="AP137" s="12" t="n">
        <f aca="false">-Cost_k*$A137+Beta_q*(Declarations!$B$16*INDEX(AO$21:AO$141,MAX(1,MIN(121,$B137-ROUND(Declarations!$A$16/$D$18,0))))+Declarations!$B$17*INDEX(AO$21:AO$141,MAX(1,MIN(121,$B137-ROUND(Declarations!$A$17/$D$18,0))))+Declarations!$B$18*INDEX(AO$21:AO$141,MAX(1,MIN(121,$B137-ROUND(Declarations!$A$18/$D$18,0))))+Declarations!$B$19*INDEX(AO$21:AO$141,MAX(1,MIN(121,$B137-ROUND(Declarations!$A$19/$D$18,0))))+Declarations!$B$20*INDEX(AO$21:AO$141,MAX(1,MIN(121,$B137-ROUND(Declarations!$A$20/$D$18,0)))))</f>
        <v>-276.003719824781</v>
      </c>
      <c r="AQ137" s="12" t="n">
        <f aca="false">INDEX(AP$21:AP$141,$I137+1)*(1-$J137)+INDEX(AP$21:AP$141,$I137+2)*$J137</f>
        <v>-269.145754918367</v>
      </c>
      <c r="AR137" s="12" t="n">
        <f aca="false">INDEX(AP$21:AP$141,$K137+1)*(1-$L137)+INDEX(AP$21:AP$141,$K137+2)*$L137</f>
        <v>-274.008315210775</v>
      </c>
      <c r="AS137" s="12" t="n">
        <f aca="false">$C137+$D137+MAX(AQ137,AR137,IF(COUNTIFS($A$21:$A$141,"&gt;="&amp;$G137,$A$21:$A$141,"&lt;="&amp;$H137)&gt;0,_xlfn.MAXIFS(AP$21:AP$141,$A$21:$A$141,"&gt;="&amp;$G137,$A$21:$A$141,"&lt;="&amp;$H137),AQ137))</f>
        <v>-0.045754918367038</v>
      </c>
      <c r="AT137" s="12" t="n">
        <f aca="false">-Cost_k*$A137+Beta_q*(Declarations!$B$16*INDEX(AS$21:AS$141,MAX(1,MIN(121,$B137-ROUND(Declarations!$A$16/$D$18,0))))+Declarations!$B$17*INDEX(AS$21:AS$141,MAX(1,MIN(121,$B137-ROUND(Declarations!$A$17/$D$18,0))))+Declarations!$B$18*INDEX(AS$21:AS$141,MAX(1,MIN(121,$B137-ROUND(Declarations!$A$18/$D$18,0))))+Declarations!$B$19*INDEX(AS$21:AS$141,MAX(1,MIN(121,$B137-ROUND(Declarations!$A$19/$D$18,0))))+Declarations!$B$20*INDEX(AS$21:AS$141,MAX(1,MIN(121,$B137-ROUND(Declarations!$A$20/$D$18,0)))))</f>
        <v>-276.059511207218</v>
      </c>
      <c r="AU137" s="12" t="n">
        <f aca="false">INDEX(AT$21:AT$141,$I137+1)*(1-$J137)+INDEX(AT$21:AT$141,$I137+2)*$J137</f>
        <v>-269.441631105996</v>
      </c>
      <c r="AV137" s="12" t="n">
        <f aca="false">INDEX(AT$21:AT$141,$K137+1)*(1-$L137)+INDEX(AT$21:AT$141,$K137+2)*$L137</f>
        <v>-274.103450514118</v>
      </c>
      <c r="AW137" s="12" t="n">
        <f aca="false">$C137+$D137+MAX(AU137,AV137,IF(COUNTIFS($A$21:$A$141,"&gt;="&amp;$G137,$A$21:$A$141,"&lt;="&amp;$H137)&gt;0,_xlfn.MAXIFS(AT$21:AT$141,$A$21:$A$141,"&gt;="&amp;$G137,$A$21:$A$141,"&lt;="&amp;$H137),AU137))</f>
        <v>-0.341631105995873</v>
      </c>
      <c r="AX137" s="12" t="n">
        <f aca="false">-Cost_k*$A137+Beta_q*(Declarations!$B$16*INDEX(AW$21:AW$141,MAX(1,MIN(121,$B137-ROUND(Declarations!$A$16/$D$18,0))))+Declarations!$B$17*INDEX(AW$21:AW$141,MAX(1,MIN(121,$B137-ROUND(Declarations!$A$17/$D$18,0))))+Declarations!$B$18*INDEX(AW$21:AW$141,MAX(1,MIN(121,$B137-ROUND(Declarations!$A$18/$D$18,0))))+Declarations!$B$19*INDEX(AW$21:AW$141,MAX(1,MIN(121,$B137-ROUND(Declarations!$A$19/$D$18,0))))+Declarations!$B$20*INDEX(AW$21:AW$141,MAX(1,MIN(121,$B137-ROUND(Declarations!$A$20/$D$18,0)))))</f>
        <v>-276.383133299281</v>
      </c>
      <c r="AY137" s="12" t="n">
        <f aca="false">INDEX(AX$21:AX$141,$I137+1)*(1-$J137)+INDEX(AX$21:AX$141,$I137+2)*$J137</f>
        <v>-270.427172754728</v>
      </c>
      <c r="AZ137" s="12" t="n">
        <f aca="false">INDEX(AX$21:AX$141,$K137+1)*(1-$L137)+INDEX(AX$21:AX$141,$K137+2)*$L137</f>
        <v>-274.565801952019</v>
      </c>
      <c r="BA137" s="12" t="n">
        <f aca="false">$C137+$D137+MAX(AY137,AZ137,IF(COUNTIFS($A$21:$A$141,"&gt;="&amp;$G137,$A$21:$A$141,"&lt;="&amp;$H137)&gt;0,_xlfn.MAXIFS(AX$21:AX$141,$A$21:$A$141,"&gt;="&amp;$G137,$A$21:$A$141,"&lt;="&amp;$H137),AY137))</f>
        <v>-1.32717275472794</v>
      </c>
      <c r="BB137" s="12" t="n">
        <f aca="false">-Cost_k*$A137+Beta_q*(Declarations!$B$16*INDEX(BA$21:BA$141,MAX(1,MIN(121,$B137-ROUND(Declarations!$A$16/$D$18,0))))+Declarations!$B$17*INDEX(BA$21:BA$141,MAX(1,MIN(121,$B137-ROUND(Declarations!$A$17/$D$18,0))))+Declarations!$B$18*INDEX(BA$21:BA$141,MAX(1,MIN(121,$B137-ROUND(Declarations!$A$18/$D$18,0))))+Declarations!$B$19*INDEX(BA$21:BA$141,MAX(1,MIN(121,$B137-ROUND(Declarations!$A$19/$D$18,0))))+Declarations!$B$20*INDEX(BA$21:BA$141,MAX(1,MIN(121,$B137-ROUND(Declarations!$A$20/$D$18,0)))))</f>
        <v>-277.389332832334</v>
      </c>
      <c r="BC137" s="12" t="n">
        <f aca="false">INDEX(BB$21:BB$141,$I137+1)*(1-$J137)+INDEX(BB$21:BB$141,$I137+2)*$J137</f>
        <v>-272.504877405008</v>
      </c>
      <c r="BD137" s="12" t="n">
        <f aca="false">INDEX(BB$21:BB$141,$K137+1)*(1-$L137)+INDEX(BB$21:BB$141,$K137+2)*$L137</f>
        <v>-275.837365312624</v>
      </c>
      <c r="BE137" s="12" t="n">
        <f aca="false">$C137+$D137+MAX(BC137,BD137,IF(COUNTIFS($A$21:$A$141,"&gt;="&amp;$G137,$A$21:$A$141,"&lt;="&amp;$H137)&gt;0,_xlfn.MAXIFS(BB$21:BB$141,$A$21:$A$141,"&gt;="&amp;$G137,$A$21:$A$141,"&lt;="&amp;$H137),BC137))</f>
        <v>-3.40487740500805</v>
      </c>
      <c r="BF137" s="12" t="n">
        <f aca="false">-Cost_k*$A137+Beta_q*(Declarations!$B$16*INDEX(BE$21:BE$141,MAX(1,MIN(121,$B137-ROUND(Declarations!$A$16/$D$18,0))))+Declarations!$B$17*INDEX(BE$21:BE$141,MAX(1,MIN(121,$B137-ROUND(Declarations!$A$17/$D$18,0))))+Declarations!$B$18*INDEX(BE$21:BE$141,MAX(1,MIN(121,$B137-ROUND(Declarations!$A$18/$D$18,0))))+Declarations!$B$19*INDEX(BE$21:BE$141,MAX(1,MIN(121,$B137-ROUND(Declarations!$A$19/$D$18,0))))+Declarations!$B$20*INDEX(BE$21:BE$141,MAX(1,MIN(121,$B137-ROUND(Declarations!$A$20/$D$18,0)))))</f>
        <v>-279.444440353441</v>
      </c>
      <c r="BG137" s="12" t="n">
        <f aca="false">INDEX(BF$21:BF$141,$I137+1)*(1-$J137)+INDEX(BF$21:BF$141,$I137+2)*$J137</f>
        <v>-275.695644374273</v>
      </c>
      <c r="BH137" s="12" t="n">
        <f aca="false">INDEX(BF$21:BF$141,$K137+1)*(1-$L137)+INDEX(BF$21:BF$141,$K137+2)*$L137</f>
        <v>-278.215268951839</v>
      </c>
      <c r="BI137" s="12" t="n">
        <f aca="false">$C137+$D137+MAX(BG137,BH137,IF(COUNTIFS($A$21:$A$141,"&gt;="&amp;$G137,$A$21:$A$141,"&lt;="&amp;$H137)&gt;0,_xlfn.MAXIFS(BF$21:BF$141,$A$21:$A$141,"&gt;="&amp;$G137,$A$21:$A$141,"&lt;="&amp;$H137),BG137))</f>
        <v>-6.59564437427252</v>
      </c>
      <c r="BJ137" s="23" t="n">
        <v>-6.59564437427247</v>
      </c>
      <c r="BK137" s="22" t="n">
        <f aca="false">ABS(BI137-BJ137)</f>
        <v>5.6843418860808E-014</v>
      </c>
    </row>
    <row r="138" customFormat="false" ht="15" hidden="false" customHeight="false" outlineLevel="0" collapsed="false">
      <c r="A138" s="14" t="n">
        <f aca="false">A137+$D$18</f>
        <v>69.25</v>
      </c>
      <c r="B138" s="19" t="n">
        <v>118</v>
      </c>
      <c r="C138" s="12" t="n">
        <f aca="false">-Short_p*MAX(Floor_c-A138,0)</f>
        <v>-0</v>
      </c>
      <c r="D138" s="12" t="n">
        <f aca="false">Cost_k*Alpha_keep*A138</f>
        <v>270.075</v>
      </c>
      <c r="E138" s="12" t="n">
        <f aca="false">MIN(Cap_h,MAX(0,$B$18+MAX(Loss_w)-Alpha_keep*A138))</f>
        <v>0</v>
      </c>
      <c r="F138" s="12" t="n">
        <f aca="false">MAX(MIN(Cap_h,$F$18+MIN(Loss_w)-Alpha_keep*A138),E138)</f>
        <v>0.981250000000003</v>
      </c>
      <c r="G138" s="12" t="n">
        <f aca="false">Alpha_keep*A138+E138</f>
        <v>67.51875</v>
      </c>
      <c r="H138" s="12" t="n">
        <f aca="false">Alpha_keep*A138+F138</f>
        <v>68.5</v>
      </c>
      <c r="I138" s="19" t="n">
        <f aca="false">MIN(INT((G138-$B$18)/$D$18+0.000000001),119)</f>
        <v>110</v>
      </c>
      <c r="J138" s="12" t="n">
        <f aca="false">(G138-$B$18)/$D$18-I138</f>
        <v>0.0749999999999886</v>
      </c>
      <c r="K138" s="19" t="n">
        <f aca="false">MIN(INT((H138-$B$18)/$D$18+0.000000001),119)</f>
        <v>114</v>
      </c>
      <c r="L138" s="12" t="n">
        <f aca="false">(H138-$B$18)/$D$18-K138</f>
        <v>0</v>
      </c>
      <c r="M138" s="9" t="n">
        <v>0</v>
      </c>
      <c r="N138" s="12" t="n">
        <f aca="false">-Cost_k*$A138+Beta_q*(Declarations!$B$16*INDEX(M$21:M$141,MAX(1,MIN(121,$B138-ROUND(Declarations!$A$16/$D$18,0))))+Declarations!$B$17*INDEX(M$21:M$141,MAX(1,MIN(121,$B138-ROUND(Declarations!$A$17/$D$18,0))))+Declarations!$B$18*INDEX(M$21:M$141,MAX(1,MIN(121,$B138-ROUND(Declarations!$A$18/$D$18,0))))+Declarations!$B$19*INDEX(M$21:M$141,MAX(1,MIN(121,$B138-ROUND(Declarations!$A$19/$D$18,0))))+Declarations!$B$20*INDEX(M$21:M$141,MAX(1,MIN(121,$B138-ROUND(Declarations!$A$20/$D$18,0)))))</f>
        <v>-277</v>
      </c>
      <c r="O138" s="12" t="n">
        <f aca="false">INDEX(N$21:N$141,$I138+1)*(1-$J138)+INDEX(N$21:N$141,$I138+2)*$J138</f>
        <v>-270.075</v>
      </c>
      <c r="P138" s="12" t="n">
        <f aca="false">INDEX(N$21:N$141,$K138+1)*(1-$L138)+INDEX(N$21:N$141,$K138+2)*$L138</f>
        <v>-274</v>
      </c>
      <c r="Q138" s="12" t="n">
        <f aca="false">$C138+$D138+MAX(O138,P138,IF(COUNTIFS($A$21:$A$141,"&gt;="&amp;$G138,$A$21:$A$141,"&lt;="&amp;$H138)&gt;0,_xlfn.MAXIFS(N$21:N$141,$A$21:$A$141,"&gt;="&amp;$G138,$A$21:$A$141,"&lt;="&amp;$H138),O138))</f>
        <v>0</v>
      </c>
      <c r="R138" s="12" t="n">
        <f aca="false">-Cost_k*$A138+Beta_q*(Declarations!$B$16*INDEX(Q$21:Q$141,MAX(1,MIN(121,$B138-ROUND(Declarations!$A$16/$D$18,0))))+Declarations!$B$17*INDEX(Q$21:Q$141,MAX(1,MIN(121,$B138-ROUND(Declarations!$A$17/$D$18,0))))+Declarations!$B$18*INDEX(Q$21:Q$141,MAX(1,MIN(121,$B138-ROUND(Declarations!$A$18/$D$18,0))))+Declarations!$B$19*INDEX(Q$21:Q$141,MAX(1,MIN(121,$B138-ROUND(Declarations!$A$19/$D$18,0))))+Declarations!$B$20*INDEX(Q$21:Q$141,MAX(1,MIN(121,$B138-ROUND(Declarations!$A$20/$D$18,0)))))</f>
        <v>-277</v>
      </c>
      <c r="S138" s="12" t="n">
        <f aca="false">INDEX(R$21:R$141,$I138+1)*(1-$J138)+INDEX(R$21:R$141,$I138+2)*$J138</f>
        <v>-270.075</v>
      </c>
      <c r="T138" s="12" t="n">
        <f aca="false">INDEX(R$21:R$141,$K138+1)*(1-$L138)+INDEX(R$21:R$141,$K138+2)*$L138</f>
        <v>-274</v>
      </c>
      <c r="U138" s="12" t="n">
        <f aca="false">$C138+$D138+MAX(S138,T138,IF(COUNTIFS($A$21:$A$141,"&gt;="&amp;$G138,$A$21:$A$141,"&lt;="&amp;$H138)&gt;0,_xlfn.MAXIFS(R$21:R$141,$A$21:$A$141,"&gt;="&amp;$G138,$A$21:$A$141,"&lt;="&amp;$H138),S138))</f>
        <v>0</v>
      </c>
      <c r="V138" s="12" t="n">
        <f aca="false">-Cost_k*$A138+Beta_q*(Declarations!$B$16*INDEX(U$21:U$141,MAX(1,MIN(121,$B138-ROUND(Declarations!$A$16/$D$18,0))))+Declarations!$B$17*INDEX(U$21:U$141,MAX(1,MIN(121,$B138-ROUND(Declarations!$A$17/$D$18,0))))+Declarations!$B$18*INDEX(U$21:U$141,MAX(1,MIN(121,$B138-ROUND(Declarations!$A$18/$D$18,0))))+Declarations!$B$19*INDEX(U$21:U$141,MAX(1,MIN(121,$B138-ROUND(Declarations!$A$19/$D$18,0))))+Declarations!$B$20*INDEX(U$21:U$141,MAX(1,MIN(121,$B138-ROUND(Declarations!$A$20/$D$18,0)))))</f>
        <v>-277</v>
      </c>
      <c r="W138" s="12" t="n">
        <f aca="false">INDEX(V$21:V$141,$I138+1)*(1-$J138)+INDEX(V$21:V$141,$I138+2)*$J138</f>
        <v>-270.075</v>
      </c>
      <c r="X138" s="12" t="n">
        <f aca="false">INDEX(V$21:V$141,$K138+1)*(1-$L138)+INDEX(V$21:V$141,$K138+2)*$L138</f>
        <v>-274</v>
      </c>
      <c r="Y138" s="12" t="n">
        <f aca="false">$C138+$D138+MAX(W138,X138,IF(COUNTIFS($A$21:$A$141,"&gt;="&amp;$G138,$A$21:$A$141,"&lt;="&amp;$H138)&gt;0,_xlfn.MAXIFS(V$21:V$141,$A$21:$A$141,"&gt;="&amp;$G138,$A$21:$A$141,"&lt;="&amp;$H138),W138))</f>
        <v>0</v>
      </c>
      <c r="Z138" s="12" t="n">
        <f aca="false">-Cost_k*$A138+Beta_q*(Declarations!$B$16*INDEX(Y$21:Y$141,MAX(1,MIN(121,$B138-ROUND(Declarations!$A$16/$D$18,0))))+Declarations!$B$17*INDEX(Y$21:Y$141,MAX(1,MIN(121,$B138-ROUND(Declarations!$A$17/$D$18,0))))+Declarations!$B$18*INDEX(Y$21:Y$141,MAX(1,MIN(121,$B138-ROUND(Declarations!$A$18/$D$18,0))))+Declarations!$B$19*INDEX(Y$21:Y$141,MAX(1,MIN(121,$B138-ROUND(Declarations!$A$19/$D$18,0))))+Declarations!$B$20*INDEX(Y$21:Y$141,MAX(1,MIN(121,$B138-ROUND(Declarations!$A$20/$D$18,0)))))</f>
        <v>-277</v>
      </c>
      <c r="AA138" s="12" t="n">
        <f aca="false">INDEX(Z$21:Z$141,$I138+1)*(1-$J138)+INDEX(Z$21:Z$141,$I138+2)*$J138</f>
        <v>-270.075</v>
      </c>
      <c r="AB138" s="12" t="n">
        <f aca="false">INDEX(Z$21:Z$141,$K138+1)*(1-$L138)+INDEX(Z$21:Z$141,$K138+2)*$L138</f>
        <v>-274</v>
      </c>
      <c r="AC138" s="12" t="n">
        <f aca="false">$C138+$D138+MAX(AA138,AB138,IF(COUNTIFS($A$21:$A$141,"&gt;="&amp;$G138,$A$21:$A$141,"&lt;="&amp;$H138)&gt;0,_xlfn.MAXIFS(Z$21:Z$141,$A$21:$A$141,"&gt;="&amp;$G138,$A$21:$A$141,"&lt;="&amp;$H138),AA138))</f>
        <v>0</v>
      </c>
      <c r="AD138" s="12" t="n">
        <f aca="false">-Cost_k*$A138+Beta_q*(Declarations!$B$16*INDEX(AC$21:AC$141,MAX(1,MIN(121,$B138-ROUND(Declarations!$A$16/$D$18,0))))+Declarations!$B$17*INDEX(AC$21:AC$141,MAX(1,MIN(121,$B138-ROUND(Declarations!$A$17/$D$18,0))))+Declarations!$B$18*INDEX(AC$21:AC$141,MAX(1,MIN(121,$B138-ROUND(Declarations!$A$18/$D$18,0))))+Declarations!$B$19*INDEX(AC$21:AC$141,MAX(1,MIN(121,$B138-ROUND(Declarations!$A$19/$D$18,0))))+Declarations!$B$20*INDEX(AC$21:AC$141,MAX(1,MIN(121,$B138-ROUND(Declarations!$A$20/$D$18,0)))))</f>
        <v>-277</v>
      </c>
      <c r="AE138" s="12" t="n">
        <f aca="false">INDEX(AD$21:AD$141,$I138+1)*(1-$J138)+INDEX(AD$21:AD$141,$I138+2)*$J138</f>
        <v>-270.075</v>
      </c>
      <c r="AF138" s="12" t="n">
        <f aca="false">INDEX(AD$21:AD$141,$K138+1)*(1-$L138)+INDEX(AD$21:AD$141,$K138+2)*$L138</f>
        <v>-274</v>
      </c>
      <c r="AG138" s="12" t="n">
        <f aca="false">$C138+$D138+MAX(AE138,AF138,IF(COUNTIFS($A$21:$A$141,"&gt;="&amp;$G138,$A$21:$A$141,"&lt;="&amp;$H138)&gt;0,_xlfn.MAXIFS(AD$21:AD$141,$A$21:$A$141,"&gt;="&amp;$G138,$A$21:$A$141,"&lt;="&amp;$H138),AE138))</f>
        <v>0</v>
      </c>
      <c r="AH138" s="12" t="n">
        <f aca="false">-Cost_k*$A138+Beta_q*(Declarations!$B$16*INDEX(AG$21:AG$141,MAX(1,MIN(121,$B138-ROUND(Declarations!$A$16/$D$18,0))))+Declarations!$B$17*INDEX(AG$21:AG$141,MAX(1,MIN(121,$B138-ROUND(Declarations!$A$17/$D$18,0))))+Declarations!$B$18*INDEX(AG$21:AG$141,MAX(1,MIN(121,$B138-ROUND(Declarations!$A$18/$D$18,0))))+Declarations!$B$19*INDEX(AG$21:AG$141,MAX(1,MIN(121,$B138-ROUND(Declarations!$A$19/$D$18,0))))+Declarations!$B$20*INDEX(AG$21:AG$141,MAX(1,MIN(121,$B138-ROUND(Declarations!$A$20/$D$18,0)))))</f>
        <v>-277</v>
      </c>
      <c r="AI138" s="12" t="n">
        <f aca="false">INDEX(AH$21:AH$141,$I138+1)*(1-$J138)+INDEX(AH$21:AH$141,$I138+2)*$J138</f>
        <v>-270.075004288051</v>
      </c>
      <c r="AJ138" s="12" t="n">
        <f aca="false">INDEX(AH$21:AH$141,$K138+1)*(1-$L138)+INDEX(AH$21:AH$141,$K138+2)*$L138</f>
        <v>-274.000000106406</v>
      </c>
      <c r="AK138" s="12" t="n">
        <f aca="false">$C138+$D138+MAX(AI138,AJ138,IF(COUNTIFS($A$21:$A$141,"&gt;="&amp;$G138,$A$21:$A$141,"&lt;="&amp;$H138)&gt;0,_xlfn.MAXIFS(AH$21:AH$141,$A$21:$A$141,"&gt;="&amp;$G138,$A$21:$A$141,"&lt;="&amp;$H138),AI138))</f>
        <v>-4.28805071805982E-006</v>
      </c>
      <c r="AL138" s="12" t="n">
        <f aca="false">-Cost_k*$A138+Beta_q*(Declarations!$B$16*INDEX(AK$21:AK$141,MAX(1,MIN(121,$B138-ROUND(Declarations!$A$16/$D$18,0))))+Declarations!$B$17*INDEX(AK$21:AK$141,MAX(1,MIN(121,$B138-ROUND(Declarations!$A$17/$D$18,0))))+Declarations!$B$18*INDEX(AK$21:AK$141,MAX(1,MIN(121,$B138-ROUND(Declarations!$A$18/$D$18,0))))+Declarations!$B$19*INDEX(AK$21:AK$141,MAX(1,MIN(121,$B138-ROUND(Declarations!$A$19/$D$18,0))))+Declarations!$B$20*INDEX(AK$21:AK$141,MAX(1,MIN(121,$B138-ROUND(Declarations!$A$20/$D$18,0)))))</f>
        <v>-277.000025927024</v>
      </c>
      <c r="AM138" s="12" t="n">
        <f aca="false">INDEX(AL$21:AL$141,$I138+1)*(1-$J138)+INDEX(AL$21:AL$141,$I138+2)*$J138</f>
        <v>-270.076274230513</v>
      </c>
      <c r="AN138" s="12" t="n">
        <f aca="false">INDEX(AL$21:AL$141,$K138+1)*(1-$L138)+INDEX(AL$21:AL$141,$K138+2)*$L138</f>
        <v>-274.000163921577</v>
      </c>
      <c r="AO138" s="12" t="n">
        <f aca="false">$C138+$D138+MAX(AM138,AN138,IF(COUNTIFS($A$21:$A$141,"&gt;="&amp;$G138,$A$21:$A$141,"&lt;="&amp;$H138)&gt;0,_xlfn.MAXIFS(AL$21:AL$141,$A$21:$A$141,"&gt;="&amp;$G138,$A$21:$A$141,"&lt;="&amp;$H138),AM138))</f>
        <v>-0.00127423051270625</v>
      </c>
      <c r="AP138" s="12" t="n">
        <f aca="false">-Cost_k*$A138+Beta_q*(Declarations!$B$16*INDEX(AO$21:AO$141,MAX(1,MIN(121,$B138-ROUND(Declarations!$A$16/$D$18,0))))+Declarations!$B$17*INDEX(AO$21:AO$141,MAX(1,MIN(121,$B138-ROUND(Declarations!$A$17/$D$18,0))))+Declarations!$B$18*INDEX(AO$21:AO$141,MAX(1,MIN(121,$B138-ROUND(Declarations!$A$18/$D$18,0))))+Declarations!$B$19*INDEX(AO$21:AO$141,MAX(1,MIN(121,$B138-ROUND(Declarations!$A$19/$D$18,0))))+Declarations!$B$20*INDEX(AO$21:AO$141,MAX(1,MIN(121,$B138-ROUND(Declarations!$A$20/$D$18,0)))))</f>
        <v>-277.002478047739</v>
      </c>
      <c r="AQ138" s="12" t="n">
        <f aca="false">INDEX(AP$21:AP$141,$I138+1)*(1-$J138)+INDEX(AP$21:AP$141,$I138+2)*$J138</f>
        <v>-270.108336461269</v>
      </c>
      <c r="AR138" s="12" t="n">
        <f aca="false">INDEX(AP$21:AP$141,$K138+1)*(1-$L138)+INDEX(AP$21:AP$141,$K138+2)*$L138</f>
        <v>-274.008315210775</v>
      </c>
      <c r="AS138" s="12" t="n">
        <f aca="false">$C138+$D138+MAX(AQ138,AR138,IF(COUNTIFS($A$21:$A$141,"&gt;="&amp;$G138,$A$21:$A$141,"&lt;="&amp;$H138)&gt;0,_xlfn.MAXIFS(AP$21:AP$141,$A$21:$A$141,"&gt;="&amp;$G138,$A$21:$A$141,"&lt;="&amp;$H138),AQ138))</f>
        <v>-0.0333364612691298</v>
      </c>
      <c r="AT138" s="12" t="n">
        <f aca="false">-Cost_k*$A138+Beta_q*(Declarations!$B$16*INDEX(AS$21:AS$141,MAX(1,MIN(121,$B138-ROUND(Declarations!$A$16/$D$18,0))))+Declarations!$B$17*INDEX(AS$21:AS$141,MAX(1,MIN(121,$B138-ROUND(Declarations!$A$17/$D$18,0))))+Declarations!$B$18*INDEX(AS$21:AS$141,MAX(1,MIN(121,$B138-ROUND(Declarations!$A$18/$D$18,0))))+Declarations!$B$19*INDEX(AS$21:AS$141,MAX(1,MIN(121,$B138-ROUND(Declarations!$A$19/$D$18,0))))+Declarations!$B$20*INDEX(AS$21:AS$141,MAX(1,MIN(121,$B138-ROUND(Declarations!$A$20/$D$18,0)))))</f>
        <v>-277.044667644331</v>
      </c>
      <c r="AU138" s="12" t="n">
        <f aca="false">INDEX(AT$21:AT$141,$I138+1)*(1-$J138)+INDEX(AT$21:AT$141,$I138+2)*$J138</f>
        <v>-270.348946588485</v>
      </c>
      <c r="AV138" s="12" t="n">
        <f aca="false">INDEX(AT$21:AT$141,$K138+1)*(1-$L138)+INDEX(AT$21:AT$141,$K138+2)*$L138</f>
        <v>-274.103450514118</v>
      </c>
      <c r="AW138" s="12" t="n">
        <f aca="false">$C138+$D138+MAX(AU138,AV138,IF(COUNTIFS($A$21:$A$141,"&gt;="&amp;$G138,$A$21:$A$141,"&lt;="&amp;$H138)&gt;0,_xlfn.MAXIFS(AT$21:AT$141,$A$21:$A$141,"&gt;="&amp;$G138,$A$21:$A$141,"&lt;="&amp;$H138),AU138))</f>
        <v>-0.273946588485103</v>
      </c>
      <c r="AX138" s="12" t="n">
        <f aca="false">-Cost_k*$A138+Beta_q*(Declarations!$B$16*INDEX(AW$21:AW$141,MAX(1,MIN(121,$B138-ROUND(Declarations!$A$16/$D$18,0))))+Declarations!$B$17*INDEX(AW$21:AW$141,MAX(1,MIN(121,$B138-ROUND(Declarations!$A$17/$D$18,0))))+Declarations!$B$18*INDEX(AW$21:AW$141,MAX(1,MIN(121,$B138-ROUND(Declarations!$A$18/$D$18,0))))+Declarations!$B$19*INDEX(AW$21:AW$141,MAX(1,MIN(121,$B138-ROUND(Declarations!$A$19/$D$18,0))))+Declarations!$B$20*INDEX(AW$21:AW$141,MAX(1,MIN(121,$B138-ROUND(Declarations!$A$20/$D$18,0)))))</f>
        <v>-277.312416971974</v>
      </c>
      <c r="AY138" s="12" t="n">
        <f aca="false">INDEX(AX$21:AX$141,$I138+1)*(1-$J138)+INDEX(AX$21:AX$141,$I138+2)*$J138</f>
        <v>-271.20897354613</v>
      </c>
      <c r="AZ138" s="12" t="n">
        <f aca="false">INDEX(AX$21:AX$141,$K138+1)*(1-$L138)+INDEX(AX$21:AX$141,$K138+2)*$L138</f>
        <v>-274.565801952019</v>
      </c>
      <c r="BA138" s="12" t="n">
        <f aca="false">$C138+$D138+MAX(AY138,AZ138,IF(COUNTIFS($A$21:$A$141,"&gt;="&amp;$G138,$A$21:$A$141,"&lt;="&amp;$H138)&gt;0,_xlfn.MAXIFS(AX$21:AX$141,$A$21:$A$141,"&gt;="&amp;$G138,$A$21:$A$141,"&lt;="&amp;$H138),AY138))</f>
        <v>-1.1339735461296</v>
      </c>
      <c r="BB138" s="12" t="n">
        <f aca="false">-Cost_k*$A138+Beta_q*(Declarations!$B$16*INDEX(BA$21:BA$141,MAX(1,MIN(121,$B138-ROUND(Declarations!$A$16/$D$18,0))))+Declarations!$B$17*INDEX(BA$21:BA$141,MAX(1,MIN(121,$B138-ROUND(Declarations!$A$17/$D$18,0))))+Declarations!$B$18*INDEX(BA$21:BA$141,MAX(1,MIN(121,$B138-ROUND(Declarations!$A$18/$D$18,0))))+Declarations!$B$19*INDEX(BA$21:BA$141,MAX(1,MIN(121,$B138-ROUND(Declarations!$A$19/$D$18,0))))+Declarations!$B$20*INDEX(BA$21:BA$141,MAX(1,MIN(121,$B138-ROUND(Declarations!$A$20/$D$18,0)))))</f>
        <v>-278.199691088132</v>
      </c>
      <c r="BC138" s="12" t="n">
        <f aca="false">INDEX(BB$21:BB$141,$I138+1)*(1-$J138)+INDEX(BB$21:BB$141,$I138+2)*$J138</f>
        <v>-273.114072769013</v>
      </c>
      <c r="BD138" s="12" t="n">
        <f aca="false">INDEX(BB$21:BB$141,$K138+1)*(1-$L138)+INDEX(BB$21:BB$141,$K138+2)*$L138</f>
        <v>-275.837365312624</v>
      </c>
      <c r="BE138" s="12" t="n">
        <f aca="false">$C138+$D138+MAX(BC138,BD138,IF(COUNTIFS($A$21:$A$141,"&gt;="&amp;$G138,$A$21:$A$141,"&lt;="&amp;$H138)&gt;0,_xlfn.MAXIFS(BB$21:BB$141,$A$21:$A$141,"&gt;="&amp;$G138,$A$21:$A$141,"&lt;="&amp;$H138),BC138))</f>
        <v>-3.03907276901265</v>
      </c>
      <c r="BF138" s="12" t="n">
        <f aca="false">-Cost_k*$A138+Beta_q*(Declarations!$B$16*INDEX(BE$21:BE$141,MAX(1,MIN(121,$B138-ROUND(Declarations!$A$16/$D$18,0))))+Declarations!$B$17*INDEX(BE$21:BE$141,MAX(1,MIN(121,$B138-ROUND(Declarations!$A$17/$D$18,0))))+Declarations!$B$18*INDEX(BE$21:BE$141,MAX(1,MIN(121,$B138-ROUND(Declarations!$A$18/$D$18,0))))+Declarations!$B$19*INDEX(BE$21:BE$141,MAX(1,MIN(121,$B138-ROUND(Declarations!$A$19/$D$18,0))))+Declarations!$B$20*INDEX(BE$21:BE$141,MAX(1,MIN(121,$B138-ROUND(Declarations!$A$20/$D$18,0)))))</f>
        <v>-280.096777304728</v>
      </c>
      <c r="BG138" s="12" t="n">
        <f aca="false">INDEX(BF$21:BF$141,$I138+1)*(1-$J138)+INDEX(BF$21:BF$141,$I138+2)*$J138</f>
        <v>-276.149890313178</v>
      </c>
      <c r="BH138" s="12" t="n">
        <f aca="false">INDEX(BF$21:BF$141,$K138+1)*(1-$L138)+INDEX(BF$21:BF$141,$K138+2)*$L138</f>
        <v>-278.215268951839</v>
      </c>
      <c r="BI138" s="12" t="n">
        <f aca="false">$C138+$D138+MAX(BG138,BH138,IF(COUNTIFS($A$21:$A$141,"&gt;="&amp;$G138,$A$21:$A$141,"&lt;="&amp;$H138)&gt;0,_xlfn.MAXIFS(BF$21:BF$141,$A$21:$A$141,"&gt;="&amp;$G138,$A$21:$A$141,"&lt;="&amp;$H138),BG138))</f>
        <v>-6.07489031317783</v>
      </c>
      <c r="BJ138" s="23" t="n">
        <v>-6.07489031317778</v>
      </c>
      <c r="BK138" s="22" t="n">
        <f aca="false">ABS(BI138-BJ138)</f>
        <v>5.6843418860808E-014</v>
      </c>
    </row>
    <row r="139" customFormat="false" ht="15" hidden="false" customHeight="false" outlineLevel="0" collapsed="false">
      <c r="A139" s="14" t="n">
        <f aca="false">A138+$D$18</f>
        <v>69.5</v>
      </c>
      <c r="B139" s="19" t="n">
        <v>119</v>
      </c>
      <c r="C139" s="12" t="n">
        <f aca="false">-Short_p*MAX(Floor_c-A139,0)</f>
        <v>-0</v>
      </c>
      <c r="D139" s="12" t="n">
        <f aca="false">Cost_k*Alpha_keep*A139</f>
        <v>271.05</v>
      </c>
      <c r="E139" s="12" t="n">
        <f aca="false">MIN(Cap_h,MAX(0,$B$18+MAX(Loss_w)-Alpha_keep*A139))</f>
        <v>0</v>
      </c>
      <c r="F139" s="12" t="n">
        <f aca="false">MAX(MIN(Cap_h,$F$18+MIN(Loss_w)-Alpha_keep*A139),E139)</f>
        <v>0.737499999999997</v>
      </c>
      <c r="G139" s="12" t="n">
        <f aca="false">Alpha_keep*A139+E139</f>
        <v>67.7625</v>
      </c>
      <c r="H139" s="12" t="n">
        <f aca="false">Alpha_keep*A139+F139</f>
        <v>68.5</v>
      </c>
      <c r="I139" s="19" t="n">
        <f aca="false">MIN(INT((G139-$B$18)/$D$18+0.000000001),119)</f>
        <v>111</v>
      </c>
      <c r="J139" s="12" t="n">
        <f aca="false">(G139-$B$18)/$D$18-I139</f>
        <v>0.0500000000000114</v>
      </c>
      <c r="K139" s="19" t="n">
        <f aca="false">MIN(INT((H139-$B$18)/$D$18+0.000000001),119)</f>
        <v>114</v>
      </c>
      <c r="L139" s="12" t="n">
        <f aca="false">(H139-$B$18)/$D$18-K139</f>
        <v>0</v>
      </c>
      <c r="M139" s="9" t="n">
        <v>0</v>
      </c>
      <c r="N139" s="12" t="n">
        <f aca="false">-Cost_k*$A139+Beta_q*(Declarations!$B$16*INDEX(M$21:M$141,MAX(1,MIN(121,$B139-ROUND(Declarations!$A$16/$D$18,0))))+Declarations!$B$17*INDEX(M$21:M$141,MAX(1,MIN(121,$B139-ROUND(Declarations!$A$17/$D$18,0))))+Declarations!$B$18*INDEX(M$21:M$141,MAX(1,MIN(121,$B139-ROUND(Declarations!$A$18/$D$18,0))))+Declarations!$B$19*INDEX(M$21:M$141,MAX(1,MIN(121,$B139-ROUND(Declarations!$A$19/$D$18,0))))+Declarations!$B$20*INDEX(M$21:M$141,MAX(1,MIN(121,$B139-ROUND(Declarations!$A$20/$D$18,0)))))</f>
        <v>-278</v>
      </c>
      <c r="O139" s="12" t="n">
        <f aca="false">INDEX(N$21:N$141,$I139+1)*(1-$J139)+INDEX(N$21:N$141,$I139+2)*$J139</f>
        <v>-271.05</v>
      </c>
      <c r="P139" s="12" t="n">
        <f aca="false">INDEX(N$21:N$141,$K139+1)*(1-$L139)+INDEX(N$21:N$141,$K139+2)*$L139</f>
        <v>-274</v>
      </c>
      <c r="Q139" s="12" t="n">
        <f aca="false">$C139+$D139+MAX(O139,P139,IF(COUNTIFS($A$21:$A$141,"&gt;="&amp;$G139,$A$21:$A$141,"&lt;="&amp;$H139)&gt;0,_xlfn.MAXIFS(N$21:N$141,$A$21:$A$141,"&gt;="&amp;$G139,$A$21:$A$141,"&lt;="&amp;$H139),O139))</f>
        <v>0</v>
      </c>
      <c r="R139" s="12" t="n">
        <f aca="false">-Cost_k*$A139+Beta_q*(Declarations!$B$16*INDEX(Q$21:Q$141,MAX(1,MIN(121,$B139-ROUND(Declarations!$A$16/$D$18,0))))+Declarations!$B$17*INDEX(Q$21:Q$141,MAX(1,MIN(121,$B139-ROUND(Declarations!$A$17/$D$18,0))))+Declarations!$B$18*INDEX(Q$21:Q$141,MAX(1,MIN(121,$B139-ROUND(Declarations!$A$18/$D$18,0))))+Declarations!$B$19*INDEX(Q$21:Q$141,MAX(1,MIN(121,$B139-ROUND(Declarations!$A$19/$D$18,0))))+Declarations!$B$20*INDEX(Q$21:Q$141,MAX(1,MIN(121,$B139-ROUND(Declarations!$A$20/$D$18,0)))))</f>
        <v>-278</v>
      </c>
      <c r="S139" s="12" t="n">
        <f aca="false">INDEX(R$21:R$141,$I139+1)*(1-$J139)+INDEX(R$21:R$141,$I139+2)*$J139</f>
        <v>-271.05</v>
      </c>
      <c r="T139" s="12" t="n">
        <f aca="false">INDEX(R$21:R$141,$K139+1)*(1-$L139)+INDEX(R$21:R$141,$K139+2)*$L139</f>
        <v>-274</v>
      </c>
      <c r="U139" s="12" t="n">
        <f aca="false">$C139+$D139+MAX(S139,T139,IF(COUNTIFS($A$21:$A$141,"&gt;="&amp;$G139,$A$21:$A$141,"&lt;="&amp;$H139)&gt;0,_xlfn.MAXIFS(R$21:R$141,$A$21:$A$141,"&gt;="&amp;$G139,$A$21:$A$141,"&lt;="&amp;$H139),S139))</f>
        <v>0</v>
      </c>
      <c r="V139" s="12" t="n">
        <f aca="false">-Cost_k*$A139+Beta_q*(Declarations!$B$16*INDEX(U$21:U$141,MAX(1,MIN(121,$B139-ROUND(Declarations!$A$16/$D$18,0))))+Declarations!$B$17*INDEX(U$21:U$141,MAX(1,MIN(121,$B139-ROUND(Declarations!$A$17/$D$18,0))))+Declarations!$B$18*INDEX(U$21:U$141,MAX(1,MIN(121,$B139-ROUND(Declarations!$A$18/$D$18,0))))+Declarations!$B$19*INDEX(U$21:U$141,MAX(1,MIN(121,$B139-ROUND(Declarations!$A$19/$D$18,0))))+Declarations!$B$20*INDEX(U$21:U$141,MAX(1,MIN(121,$B139-ROUND(Declarations!$A$20/$D$18,0)))))</f>
        <v>-278</v>
      </c>
      <c r="W139" s="12" t="n">
        <f aca="false">INDEX(V$21:V$141,$I139+1)*(1-$J139)+INDEX(V$21:V$141,$I139+2)*$J139</f>
        <v>-271.05</v>
      </c>
      <c r="X139" s="12" t="n">
        <f aca="false">INDEX(V$21:V$141,$K139+1)*(1-$L139)+INDEX(V$21:V$141,$K139+2)*$L139</f>
        <v>-274</v>
      </c>
      <c r="Y139" s="12" t="n">
        <f aca="false">$C139+$D139+MAX(W139,X139,IF(COUNTIFS($A$21:$A$141,"&gt;="&amp;$G139,$A$21:$A$141,"&lt;="&amp;$H139)&gt;0,_xlfn.MAXIFS(V$21:V$141,$A$21:$A$141,"&gt;="&amp;$G139,$A$21:$A$141,"&lt;="&amp;$H139),W139))</f>
        <v>0</v>
      </c>
      <c r="Z139" s="12" t="n">
        <f aca="false">-Cost_k*$A139+Beta_q*(Declarations!$B$16*INDEX(Y$21:Y$141,MAX(1,MIN(121,$B139-ROUND(Declarations!$A$16/$D$18,0))))+Declarations!$B$17*INDEX(Y$21:Y$141,MAX(1,MIN(121,$B139-ROUND(Declarations!$A$17/$D$18,0))))+Declarations!$B$18*INDEX(Y$21:Y$141,MAX(1,MIN(121,$B139-ROUND(Declarations!$A$18/$D$18,0))))+Declarations!$B$19*INDEX(Y$21:Y$141,MAX(1,MIN(121,$B139-ROUND(Declarations!$A$19/$D$18,0))))+Declarations!$B$20*INDEX(Y$21:Y$141,MAX(1,MIN(121,$B139-ROUND(Declarations!$A$20/$D$18,0)))))</f>
        <v>-278</v>
      </c>
      <c r="AA139" s="12" t="n">
        <f aca="false">INDEX(Z$21:Z$141,$I139+1)*(1-$J139)+INDEX(Z$21:Z$141,$I139+2)*$J139</f>
        <v>-271.05</v>
      </c>
      <c r="AB139" s="12" t="n">
        <f aca="false">INDEX(Z$21:Z$141,$K139+1)*(1-$L139)+INDEX(Z$21:Z$141,$K139+2)*$L139</f>
        <v>-274</v>
      </c>
      <c r="AC139" s="12" t="n">
        <f aca="false">$C139+$D139+MAX(AA139,AB139,IF(COUNTIFS($A$21:$A$141,"&gt;="&amp;$G139,$A$21:$A$141,"&lt;="&amp;$H139)&gt;0,_xlfn.MAXIFS(Z$21:Z$141,$A$21:$A$141,"&gt;="&amp;$G139,$A$21:$A$141,"&lt;="&amp;$H139),AA139))</f>
        <v>0</v>
      </c>
      <c r="AD139" s="12" t="n">
        <f aca="false">-Cost_k*$A139+Beta_q*(Declarations!$B$16*INDEX(AC$21:AC$141,MAX(1,MIN(121,$B139-ROUND(Declarations!$A$16/$D$18,0))))+Declarations!$B$17*INDEX(AC$21:AC$141,MAX(1,MIN(121,$B139-ROUND(Declarations!$A$17/$D$18,0))))+Declarations!$B$18*INDEX(AC$21:AC$141,MAX(1,MIN(121,$B139-ROUND(Declarations!$A$18/$D$18,0))))+Declarations!$B$19*INDEX(AC$21:AC$141,MAX(1,MIN(121,$B139-ROUND(Declarations!$A$19/$D$18,0))))+Declarations!$B$20*INDEX(AC$21:AC$141,MAX(1,MIN(121,$B139-ROUND(Declarations!$A$20/$D$18,0)))))</f>
        <v>-278</v>
      </c>
      <c r="AE139" s="12" t="n">
        <f aca="false">INDEX(AD$21:AD$141,$I139+1)*(1-$J139)+INDEX(AD$21:AD$141,$I139+2)*$J139</f>
        <v>-271.05</v>
      </c>
      <c r="AF139" s="12" t="n">
        <f aca="false">INDEX(AD$21:AD$141,$K139+1)*(1-$L139)+INDEX(AD$21:AD$141,$K139+2)*$L139</f>
        <v>-274</v>
      </c>
      <c r="AG139" s="12" t="n">
        <f aca="false">$C139+$D139+MAX(AE139,AF139,IF(COUNTIFS($A$21:$A$141,"&gt;="&amp;$G139,$A$21:$A$141,"&lt;="&amp;$H139)&gt;0,_xlfn.MAXIFS(AD$21:AD$141,$A$21:$A$141,"&gt;="&amp;$G139,$A$21:$A$141,"&lt;="&amp;$H139),AE139))</f>
        <v>0</v>
      </c>
      <c r="AH139" s="12" t="n">
        <f aca="false">-Cost_k*$A139+Beta_q*(Declarations!$B$16*INDEX(AG$21:AG$141,MAX(1,MIN(121,$B139-ROUND(Declarations!$A$16/$D$18,0))))+Declarations!$B$17*INDEX(AG$21:AG$141,MAX(1,MIN(121,$B139-ROUND(Declarations!$A$17/$D$18,0))))+Declarations!$B$18*INDEX(AG$21:AG$141,MAX(1,MIN(121,$B139-ROUND(Declarations!$A$18/$D$18,0))))+Declarations!$B$19*INDEX(AG$21:AG$141,MAX(1,MIN(121,$B139-ROUND(Declarations!$A$19/$D$18,0))))+Declarations!$B$20*INDEX(AG$21:AG$141,MAX(1,MIN(121,$B139-ROUND(Declarations!$A$20/$D$18,0)))))</f>
        <v>-278</v>
      </c>
      <c r="AI139" s="12" t="n">
        <f aca="false">INDEX(AH$21:AH$141,$I139+1)*(1-$J139)+INDEX(AH$21:AH$141,$I139+2)*$J139</f>
        <v>-271.050002175226</v>
      </c>
      <c r="AJ139" s="12" t="n">
        <f aca="false">INDEX(AH$21:AH$141,$K139+1)*(1-$L139)+INDEX(AH$21:AH$141,$K139+2)*$L139</f>
        <v>-274.000000106406</v>
      </c>
      <c r="AK139" s="12" t="n">
        <f aca="false">$C139+$D139+MAX(AI139,AJ139,IF(COUNTIFS($A$21:$A$141,"&gt;="&amp;$G139,$A$21:$A$141,"&lt;="&amp;$H139)&gt;0,_xlfn.MAXIFS(AH$21:AH$141,$A$21:$A$141,"&gt;="&amp;$G139,$A$21:$A$141,"&lt;="&amp;$H139),AI139))</f>
        <v>-2.17522580214791E-006</v>
      </c>
      <c r="AL139" s="12" t="n">
        <f aca="false">-Cost_k*$A139+Beta_q*(Declarations!$B$16*INDEX(AK$21:AK$141,MAX(1,MIN(121,$B139-ROUND(Declarations!$A$16/$D$18,0))))+Declarations!$B$17*INDEX(AK$21:AK$141,MAX(1,MIN(121,$B139-ROUND(Declarations!$A$17/$D$18,0))))+Declarations!$B$18*INDEX(AK$21:AK$141,MAX(1,MIN(121,$B139-ROUND(Declarations!$A$18/$D$18,0))))+Declarations!$B$19*INDEX(AK$21:AK$141,MAX(1,MIN(121,$B139-ROUND(Declarations!$A$19/$D$18,0))))+Declarations!$B$20*INDEX(AK$21:AK$141,MAX(1,MIN(121,$B139-ROUND(Declarations!$A$20/$D$18,0)))))</f>
        <v>-278.00001392988</v>
      </c>
      <c r="AM139" s="12" t="n">
        <f aca="false">INDEX(AL$21:AL$141,$I139+1)*(1-$J139)+INDEX(AL$21:AL$141,$I139+2)*$J139</f>
        <v>-271.050810271164</v>
      </c>
      <c r="AN139" s="12" t="n">
        <f aca="false">INDEX(AL$21:AL$141,$K139+1)*(1-$L139)+INDEX(AL$21:AL$141,$K139+2)*$L139</f>
        <v>-274.000163921577</v>
      </c>
      <c r="AO139" s="12" t="n">
        <f aca="false">$C139+$D139+MAX(AM139,AN139,IF(COUNTIFS($A$21:$A$141,"&gt;="&amp;$G139,$A$21:$A$141,"&lt;="&amp;$H139)&gt;0,_xlfn.MAXIFS(AL$21:AL$141,$A$21:$A$141,"&gt;="&amp;$G139,$A$21:$A$141,"&lt;="&amp;$H139),AM139))</f>
        <v>-0.000810271164084497</v>
      </c>
      <c r="AP139" s="12" t="n">
        <f aca="false">-Cost_k*$A139+Beta_q*(Declarations!$B$16*INDEX(AO$21:AO$141,MAX(1,MIN(121,$B139-ROUND(Declarations!$A$16/$D$18,0))))+Declarations!$B$17*INDEX(AO$21:AO$141,MAX(1,MIN(121,$B139-ROUND(Declarations!$A$17/$D$18,0))))+Declarations!$B$18*INDEX(AO$21:AO$141,MAX(1,MIN(121,$B139-ROUND(Declarations!$A$18/$D$18,0))))+Declarations!$B$19*INDEX(AO$21:AO$141,MAX(1,MIN(121,$B139-ROUND(Declarations!$A$19/$D$18,0))))+Declarations!$B$20*INDEX(AO$21:AO$141,MAX(1,MIN(121,$B139-ROUND(Declarations!$A$20/$D$18,0)))))</f>
        <v>-278.001658275843</v>
      </c>
      <c r="AQ139" s="12" t="n">
        <f aca="false">INDEX(AP$21:AP$141,$I139+1)*(1-$J139)+INDEX(AP$21:AP$141,$I139+2)*$J139</f>
        <v>-271.074248704728</v>
      </c>
      <c r="AR139" s="12" t="n">
        <f aca="false">INDEX(AP$21:AP$141,$K139+1)*(1-$L139)+INDEX(AP$21:AP$141,$K139+2)*$L139</f>
        <v>-274.008315210775</v>
      </c>
      <c r="AS139" s="12" t="n">
        <f aca="false">$C139+$D139+MAX(AQ139,AR139,IF(COUNTIFS($A$21:$A$141,"&gt;="&amp;$G139,$A$21:$A$141,"&lt;="&amp;$H139)&gt;0,_xlfn.MAXIFS(AP$21:AP$141,$A$21:$A$141,"&gt;="&amp;$G139,$A$21:$A$141,"&lt;="&amp;$H139),AQ139))</f>
        <v>-0.0242487047275404</v>
      </c>
      <c r="AT139" s="12" t="n">
        <f aca="false">-Cost_k*$A139+Beta_q*(Declarations!$B$16*INDEX(AS$21:AS$141,MAX(1,MIN(121,$B139-ROUND(Declarations!$A$16/$D$18,0))))+Declarations!$B$17*INDEX(AS$21:AS$141,MAX(1,MIN(121,$B139-ROUND(Declarations!$A$17/$D$18,0))))+Declarations!$B$18*INDEX(AS$21:AS$141,MAX(1,MIN(121,$B139-ROUND(Declarations!$A$18/$D$18,0))))+Declarations!$B$19*INDEX(AS$21:AS$141,MAX(1,MIN(121,$B139-ROUND(Declarations!$A$19/$D$18,0))))+Declarations!$B$20*INDEX(AS$21:AS$141,MAX(1,MIN(121,$B139-ROUND(Declarations!$A$20/$D$18,0)))))</f>
        <v>-278.034038624269</v>
      </c>
      <c r="AU139" s="12" t="n">
        <f aca="false">INDEX(AT$21:AT$141,$I139+1)*(1-$J139)+INDEX(AT$21:AT$141,$I139+2)*$J139</f>
        <v>-271.26852259473</v>
      </c>
      <c r="AV139" s="12" t="n">
        <f aca="false">INDEX(AT$21:AT$141,$K139+1)*(1-$L139)+INDEX(AT$21:AT$141,$K139+2)*$L139</f>
        <v>-274.103450514118</v>
      </c>
      <c r="AW139" s="12" t="n">
        <f aca="false">$C139+$D139+MAX(AU139,AV139,IF(COUNTIFS($A$21:$A$141,"&gt;="&amp;$G139,$A$21:$A$141,"&lt;="&amp;$H139)&gt;0,_xlfn.MAXIFS(AT$21:AT$141,$A$21:$A$141,"&gt;="&amp;$G139,$A$21:$A$141,"&lt;="&amp;$H139),AU139))</f>
        <v>-0.218522594730359</v>
      </c>
      <c r="AX139" s="12" t="n">
        <f aca="false">-Cost_k*$A139+Beta_q*(Declarations!$B$16*INDEX(AW$21:AW$141,MAX(1,MIN(121,$B139-ROUND(Declarations!$A$16/$D$18,0))))+Declarations!$B$17*INDEX(AW$21:AW$141,MAX(1,MIN(121,$B139-ROUND(Declarations!$A$17/$D$18,0))))+Declarations!$B$18*INDEX(AW$21:AW$141,MAX(1,MIN(121,$B139-ROUND(Declarations!$A$18/$D$18,0))))+Declarations!$B$19*INDEX(AW$21:AW$141,MAX(1,MIN(121,$B139-ROUND(Declarations!$A$19/$D$18,0))))+Declarations!$B$20*INDEX(AW$21:AW$141,MAX(1,MIN(121,$B139-ROUND(Declarations!$A$20/$D$18,0)))))</f>
        <v>-278.259321020184</v>
      </c>
      <c r="AY139" s="12" t="n">
        <f aca="false">INDEX(AX$21:AX$141,$I139+1)*(1-$J139)+INDEX(AX$21:AX$141,$I139+2)*$J139</f>
        <v>-272.014133931719</v>
      </c>
      <c r="AZ139" s="12" t="n">
        <f aca="false">INDEX(AX$21:AX$141,$K139+1)*(1-$L139)+INDEX(AX$21:AX$141,$K139+2)*$L139</f>
        <v>-274.565801952019</v>
      </c>
      <c r="BA139" s="12" t="n">
        <f aca="false">$C139+$D139+MAX(AY139,AZ139,IF(COUNTIFS($A$21:$A$141,"&gt;="&amp;$G139,$A$21:$A$141,"&lt;="&amp;$H139)&gt;0,_xlfn.MAXIFS(AX$21:AX$141,$A$21:$A$141,"&gt;="&amp;$G139,$A$21:$A$141,"&lt;="&amp;$H139),AY139))</f>
        <v>-0.964133931718607</v>
      </c>
      <c r="BB139" s="12" t="n">
        <f aca="false">-Cost_k*$A139+Beta_q*(Declarations!$B$16*INDEX(BA$21:BA$141,MAX(1,MIN(121,$B139-ROUND(Declarations!$A$16/$D$18,0))))+Declarations!$B$17*INDEX(BA$21:BA$141,MAX(1,MIN(121,$B139-ROUND(Declarations!$A$17/$D$18,0))))+Declarations!$B$18*INDEX(BA$21:BA$141,MAX(1,MIN(121,$B139-ROUND(Declarations!$A$18/$D$18,0))))+Declarations!$B$19*INDEX(BA$21:BA$141,MAX(1,MIN(121,$B139-ROUND(Declarations!$A$19/$D$18,0))))+Declarations!$B$20*INDEX(BA$21:BA$141,MAX(1,MIN(121,$B139-ROUND(Declarations!$A$20/$D$18,0)))))</f>
        <v>-279.053694548927</v>
      </c>
      <c r="BC139" s="12" t="n">
        <f aca="false">INDEX(BB$21:BB$141,$I139+1)*(1-$J139)+INDEX(BB$21:BB$141,$I139+2)*$J139</f>
        <v>-273.751707938988</v>
      </c>
      <c r="BD139" s="12" t="n">
        <f aca="false">INDEX(BB$21:BB$141,$K139+1)*(1-$L139)+INDEX(BB$21:BB$141,$K139+2)*$L139</f>
        <v>-275.837365312624</v>
      </c>
      <c r="BE139" s="12" t="n">
        <f aca="false">$C139+$D139+MAX(BC139,BD139,IF(COUNTIFS($A$21:$A$141,"&gt;="&amp;$G139,$A$21:$A$141,"&lt;="&amp;$H139)&gt;0,_xlfn.MAXIFS(BB$21:BB$141,$A$21:$A$141,"&gt;="&amp;$G139,$A$21:$A$141,"&lt;="&amp;$H139),BC139))</f>
        <v>-2.70170793898762</v>
      </c>
      <c r="BF139" s="12" t="n">
        <f aca="false">-Cost_k*$A139+Beta_q*(Declarations!$B$16*INDEX(BE$21:BE$141,MAX(1,MIN(121,$B139-ROUND(Declarations!$A$16/$D$18,0))))+Declarations!$B$17*INDEX(BE$21:BE$141,MAX(1,MIN(121,$B139-ROUND(Declarations!$A$17/$D$18,0))))+Declarations!$B$18*INDEX(BE$21:BE$141,MAX(1,MIN(121,$B139-ROUND(Declarations!$A$18/$D$18,0))))+Declarations!$B$19*INDEX(BE$21:BE$141,MAX(1,MIN(121,$B139-ROUND(Declarations!$A$19/$D$18,0))))+Declarations!$B$20*INDEX(BE$21:BE$141,MAX(1,MIN(121,$B139-ROUND(Declarations!$A$20/$D$18,0)))))</f>
        <v>-280.825480703714</v>
      </c>
      <c r="BG139" s="12" t="n">
        <f aca="false">INDEX(BF$21:BF$141,$I139+1)*(1-$J139)+INDEX(BF$21:BF$141,$I139+2)*$J139</f>
        <v>-276.627633421658</v>
      </c>
      <c r="BH139" s="12" t="n">
        <f aca="false">INDEX(BF$21:BF$141,$K139+1)*(1-$L139)+INDEX(BF$21:BF$141,$K139+2)*$L139</f>
        <v>-278.215268951839</v>
      </c>
      <c r="BI139" s="12" t="n">
        <f aca="false">$C139+$D139+MAX(BG139,BH139,IF(COUNTIFS($A$21:$A$141,"&gt;="&amp;$G139,$A$21:$A$141,"&lt;="&amp;$H139)&gt;0,_xlfn.MAXIFS(BF$21:BF$141,$A$21:$A$141,"&gt;="&amp;$G139,$A$21:$A$141,"&lt;="&amp;$H139),BG139))</f>
        <v>-5.57763342165839</v>
      </c>
      <c r="BJ139" s="23" t="n">
        <v>-5.57763342165833</v>
      </c>
      <c r="BK139" s="22" t="n">
        <f aca="false">ABS(BI139-BJ139)</f>
        <v>5.6843418860808E-014</v>
      </c>
    </row>
    <row r="140" customFormat="false" ht="15" hidden="false" customHeight="false" outlineLevel="0" collapsed="false">
      <c r="A140" s="14" t="n">
        <f aca="false">A139+$D$18</f>
        <v>69.75</v>
      </c>
      <c r="B140" s="19" t="n">
        <v>120</v>
      </c>
      <c r="C140" s="12" t="n">
        <f aca="false">-Short_p*MAX(Floor_c-A140,0)</f>
        <v>-0</v>
      </c>
      <c r="D140" s="12" t="n">
        <f aca="false">Cost_k*Alpha_keep*A140</f>
        <v>272.025</v>
      </c>
      <c r="E140" s="12" t="n">
        <f aca="false">MIN(Cap_h,MAX(0,$B$18+MAX(Loss_w)-Alpha_keep*A140))</f>
        <v>0</v>
      </c>
      <c r="F140" s="12" t="n">
        <f aca="false">MAX(MIN(Cap_h,$F$18+MIN(Loss_w)-Alpha_keep*A140),E140)</f>
        <v>0.493750000000006</v>
      </c>
      <c r="G140" s="12" t="n">
        <f aca="false">Alpha_keep*A140+E140</f>
        <v>68.00625</v>
      </c>
      <c r="H140" s="12" t="n">
        <f aca="false">Alpha_keep*A140+F140</f>
        <v>68.5</v>
      </c>
      <c r="I140" s="19" t="n">
        <f aca="false">MIN(INT((G140-$B$18)/$D$18+0.000000001),119)</f>
        <v>112</v>
      </c>
      <c r="J140" s="12" t="n">
        <f aca="false">(G140-$B$18)/$D$18-I140</f>
        <v>0.0249999999999773</v>
      </c>
      <c r="K140" s="19" t="n">
        <f aca="false">MIN(INT((H140-$B$18)/$D$18+0.000000001),119)</f>
        <v>114</v>
      </c>
      <c r="L140" s="12" t="n">
        <f aca="false">(H140-$B$18)/$D$18-K140</f>
        <v>0</v>
      </c>
      <c r="M140" s="9" t="n">
        <v>0</v>
      </c>
      <c r="N140" s="12" t="n">
        <f aca="false">-Cost_k*$A140+Beta_q*(Declarations!$B$16*INDEX(M$21:M$141,MAX(1,MIN(121,$B140-ROUND(Declarations!$A$16/$D$18,0))))+Declarations!$B$17*INDEX(M$21:M$141,MAX(1,MIN(121,$B140-ROUND(Declarations!$A$17/$D$18,0))))+Declarations!$B$18*INDEX(M$21:M$141,MAX(1,MIN(121,$B140-ROUND(Declarations!$A$18/$D$18,0))))+Declarations!$B$19*INDEX(M$21:M$141,MAX(1,MIN(121,$B140-ROUND(Declarations!$A$19/$D$18,0))))+Declarations!$B$20*INDEX(M$21:M$141,MAX(1,MIN(121,$B140-ROUND(Declarations!$A$20/$D$18,0)))))</f>
        <v>-279</v>
      </c>
      <c r="O140" s="12" t="n">
        <f aca="false">INDEX(N$21:N$141,$I140+1)*(1-$J140)+INDEX(N$21:N$141,$I140+2)*$J140</f>
        <v>-272.025</v>
      </c>
      <c r="P140" s="12" t="n">
        <f aca="false">INDEX(N$21:N$141,$K140+1)*(1-$L140)+INDEX(N$21:N$141,$K140+2)*$L140</f>
        <v>-274</v>
      </c>
      <c r="Q140" s="12" t="n">
        <f aca="false">$C140+$D140+MAX(O140,P140,IF(COUNTIFS($A$21:$A$141,"&gt;="&amp;$G140,$A$21:$A$141,"&lt;="&amp;$H140)&gt;0,_xlfn.MAXIFS(N$21:N$141,$A$21:$A$141,"&gt;="&amp;$G140,$A$21:$A$141,"&lt;="&amp;$H140),O140))</f>
        <v>0</v>
      </c>
      <c r="R140" s="12" t="n">
        <f aca="false">-Cost_k*$A140+Beta_q*(Declarations!$B$16*INDEX(Q$21:Q$141,MAX(1,MIN(121,$B140-ROUND(Declarations!$A$16/$D$18,0))))+Declarations!$B$17*INDEX(Q$21:Q$141,MAX(1,MIN(121,$B140-ROUND(Declarations!$A$17/$D$18,0))))+Declarations!$B$18*INDEX(Q$21:Q$141,MAX(1,MIN(121,$B140-ROUND(Declarations!$A$18/$D$18,0))))+Declarations!$B$19*INDEX(Q$21:Q$141,MAX(1,MIN(121,$B140-ROUND(Declarations!$A$19/$D$18,0))))+Declarations!$B$20*INDEX(Q$21:Q$141,MAX(1,MIN(121,$B140-ROUND(Declarations!$A$20/$D$18,0)))))</f>
        <v>-279</v>
      </c>
      <c r="S140" s="12" t="n">
        <f aca="false">INDEX(R$21:R$141,$I140+1)*(1-$J140)+INDEX(R$21:R$141,$I140+2)*$J140</f>
        <v>-272.025</v>
      </c>
      <c r="T140" s="12" t="n">
        <f aca="false">INDEX(R$21:R$141,$K140+1)*(1-$L140)+INDEX(R$21:R$141,$K140+2)*$L140</f>
        <v>-274</v>
      </c>
      <c r="U140" s="12" t="n">
        <f aca="false">$C140+$D140+MAX(S140,T140,IF(COUNTIFS($A$21:$A$141,"&gt;="&amp;$G140,$A$21:$A$141,"&lt;="&amp;$H140)&gt;0,_xlfn.MAXIFS(R$21:R$141,$A$21:$A$141,"&gt;="&amp;$G140,$A$21:$A$141,"&lt;="&amp;$H140),S140))</f>
        <v>0</v>
      </c>
      <c r="V140" s="12" t="n">
        <f aca="false">-Cost_k*$A140+Beta_q*(Declarations!$B$16*INDEX(U$21:U$141,MAX(1,MIN(121,$B140-ROUND(Declarations!$A$16/$D$18,0))))+Declarations!$B$17*INDEX(U$21:U$141,MAX(1,MIN(121,$B140-ROUND(Declarations!$A$17/$D$18,0))))+Declarations!$B$18*INDEX(U$21:U$141,MAX(1,MIN(121,$B140-ROUND(Declarations!$A$18/$D$18,0))))+Declarations!$B$19*INDEX(U$21:U$141,MAX(1,MIN(121,$B140-ROUND(Declarations!$A$19/$D$18,0))))+Declarations!$B$20*INDEX(U$21:U$141,MAX(1,MIN(121,$B140-ROUND(Declarations!$A$20/$D$18,0)))))</f>
        <v>-279</v>
      </c>
      <c r="W140" s="12" t="n">
        <f aca="false">INDEX(V$21:V$141,$I140+1)*(1-$J140)+INDEX(V$21:V$141,$I140+2)*$J140</f>
        <v>-272.025</v>
      </c>
      <c r="X140" s="12" t="n">
        <f aca="false">INDEX(V$21:V$141,$K140+1)*(1-$L140)+INDEX(V$21:V$141,$K140+2)*$L140</f>
        <v>-274</v>
      </c>
      <c r="Y140" s="12" t="n">
        <f aca="false">$C140+$D140+MAX(W140,X140,IF(COUNTIFS($A$21:$A$141,"&gt;="&amp;$G140,$A$21:$A$141,"&lt;="&amp;$H140)&gt;0,_xlfn.MAXIFS(V$21:V$141,$A$21:$A$141,"&gt;="&amp;$G140,$A$21:$A$141,"&lt;="&amp;$H140),W140))</f>
        <v>0</v>
      </c>
      <c r="Z140" s="12" t="n">
        <f aca="false">-Cost_k*$A140+Beta_q*(Declarations!$B$16*INDEX(Y$21:Y$141,MAX(1,MIN(121,$B140-ROUND(Declarations!$A$16/$D$18,0))))+Declarations!$B$17*INDEX(Y$21:Y$141,MAX(1,MIN(121,$B140-ROUND(Declarations!$A$17/$D$18,0))))+Declarations!$B$18*INDEX(Y$21:Y$141,MAX(1,MIN(121,$B140-ROUND(Declarations!$A$18/$D$18,0))))+Declarations!$B$19*INDEX(Y$21:Y$141,MAX(1,MIN(121,$B140-ROUND(Declarations!$A$19/$D$18,0))))+Declarations!$B$20*INDEX(Y$21:Y$141,MAX(1,MIN(121,$B140-ROUND(Declarations!$A$20/$D$18,0)))))</f>
        <v>-279</v>
      </c>
      <c r="AA140" s="12" t="n">
        <f aca="false">INDEX(Z$21:Z$141,$I140+1)*(1-$J140)+INDEX(Z$21:Z$141,$I140+2)*$J140</f>
        <v>-272.025</v>
      </c>
      <c r="AB140" s="12" t="n">
        <f aca="false">INDEX(Z$21:Z$141,$K140+1)*(1-$L140)+INDEX(Z$21:Z$141,$K140+2)*$L140</f>
        <v>-274</v>
      </c>
      <c r="AC140" s="12" t="n">
        <f aca="false">$C140+$D140+MAX(AA140,AB140,IF(COUNTIFS($A$21:$A$141,"&gt;="&amp;$G140,$A$21:$A$141,"&lt;="&amp;$H140)&gt;0,_xlfn.MAXIFS(Z$21:Z$141,$A$21:$A$141,"&gt;="&amp;$G140,$A$21:$A$141,"&lt;="&amp;$H140),AA140))</f>
        <v>0</v>
      </c>
      <c r="AD140" s="12" t="n">
        <f aca="false">-Cost_k*$A140+Beta_q*(Declarations!$B$16*INDEX(AC$21:AC$141,MAX(1,MIN(121,$B140-ROUND(Declarations!$A$16/$D$18,0))))+Declarations!$B$17*INDEX(AC$21:AC$141,MAX(1,MIN(121,$B140-ROUND(Declarations!$A$17/$D$18,0))))+Declarations!$B$18*INDEX(AC$21:AC$141,MAX(1,MIN(121,$B140-ROUND(Declarations!$A$18/$D$18,0))))+Declarations!$B$19*INDEX(AC$21:AC$141,MAX(1,MIN(121,$B140-ROUND(Declarations!$A$19/$D$18,0))))+Declarations!$B$20*INDEX(AC$21:AC$141,MAX(1,MIN(121,$B140-ROUND(Declarations!$A$20/$D$18,0)))))</f>
        <v>-279</v>
      </c>
      <c r="AE140" s="12" t="n">
        <f aca="false">INDEX(AD$21:AD$141,$I140+1)*(1-$J140)+INDEX(AD$21:AD$141,$I140+2)*$J140</f>
        <v>-272.025</v>
      </c>
      <c r="AF140" s="12" t="n">
        <f aca="false">INDEX(AD$21:AD$141,$K140+1)*(1-$L140)+INDEX(AD$21:AD$141,$K140+2)*$L140</f>
        <v>-274</v>
      </c>
      <c r="AG140" s="12" t="n">
        <f aca="false">$C140+$D140+MAX(AE140,AF140,IF(COUNTIFS($A$21:$A$141,"&gt;="&amp;$G140,$A$21:$A$141,"&lt;="&amp;$H140)&gt;0,_xlfn.MAXIFS(AD$21:AD$141,$A$21:$A$141,"&gt;="&amp;$G140,$A$21:$A$141,"&lt;="&amp;$H140),AE140))</f>
        <v>0</v>
      </c>
      <c r="AH140" s="12" t="n">
        <f aca="false">-Cost_k*$A140+Beta_q*(Declarations!$B$16*INDEX(AG$21:AG$141,MAX(1,MIN(121,$B140-ROUND(Declarations!$A$16/$D$18,0))))+Declarations!$B$17*INDEX(AG$21:AG$141,MAX(1,MIN(121,$B140-ROUND(Declarations!$A$17/$D$18,0))))+Declarations!$B$18*INDEX(AG$21:AG$141,MAX(1,MIN(121,$B140-ROUND(Declarations!$A$18/$D$18,0))))+Declarations!$B$19*INDEX(AG$21:AG$141,MAX(1,MIN(121,$B140-ROUND(Declarations!$A$19/$D$18,0))))+Declarations!$B$20*INDEX(AG$21:AG$141,MAX(1,MIN(121,$B140-ROUND(Declarations!$A$20/$D$18,0)))))</f>
        <v>-279</v>
      </c>
      <c r="AI140" s="12" t="n">
        <f aca="false">INDEX(AH$21:AH$141,$I140+1)*(1-$J140)+INDEX(AH$21:AH$141,$I140+2)*$J140</f>
        <v>-272.025000780266</v>
      </c>
      <c r="AJ140" s="12" t="n">
        <f aca="false">INDEX(AH$21:AH$141,$K140+1)*(1-$L140)+INDEX(AH$21:AH$141,$K140+2)*$L140</f>
        <v>-274.000000106406</v>
      </c>
      <c r="AK140" s="12" t="n">
        <f aca="false">$C140+$D140+MAX(AI140,AJ140,IF(COUNTIFS($A$21:$A$141,"&gt;="&amp;$G140,$A$21:$A$141,"&lt;="&amp;$H140)&gt;0,_xlfn.MAXIFS(AH$21:AH$141,$A$21:$A$141,"&gt;="&amp;$G140,$A$21:$A$141,"&lt;="&amp;$H140),AI140))</f>
        <v>-7.80266361743998E-007</v>
      </c>
      <c r="AL140" s="12" t="n">
        <f aca="false">-Cost_k*$A140+Beta_q*(Declarations!$B$16*INDEX(AK$21:AK$141,MAX(1,MIN(121,$B140-ROUND(Declarations!$A$16/$D$18,0))))+Declarations!$B$17*INDEX(AK$21:AK$141,MAX(1,MIN(121,$B140-ROUND(Declarations!$A$17/$D$18,0))))+Declarations!$B$18*INDEX(AK$21:AK$141,MAX(1,MIN(121,$B140-ROUND(Declarations!$A$18/$D$18,0))))+Declarations!$B$19*INDEX(AK$21:AK$141,MAX(1,MIN(121,$B140-ROUND(Declarations!$A$19/$D$18,0))))+Declarations!$B$20*INDEX(AK$21:AK$141,MAX(1,MIN(121,$B140-ROUND(Declarations!$A$20/$D$18,0)))))</f>
        <v>-279.000006331028</v>
      </c>
      <c r="AM140" s="12" t="n">
        <f aca="false">INDEX(AL$21:AL$141,$I140+1)*(1-$J140)+INDEX(AL$21:AL$141,$I140+2)*$J140</f>
        <v>-272.025476577998</v>
      </c>
      <c r="AN140" s="12" t="n">
        <f aca="false">INDEX(AL$21:AL$141,$K140+1)*(1-$L140)+INDEX(AL$21:AL$141,$K140+2)*$L140</f>
        <v>-274.000163921577</v>
      </c>
      <c r="AO140" s="12" t="n">
        <f aca="false">$C140+$D140+MAX(AM140,AN140,IF(COUNTIFS($A$21:$A$141,"&gt;="&amp;$G140,$A$21:$A$141,"&lt;="&amp;$H140)&gt;0,_xlfn.MAXIFS(AL$21:AL$141,$A$21:$A$141,"&gt;="&amp;$G140,$A$21:$A$141,"&lt;="&amp;$H140),AM140))</f>
        <v>-0.000476577997744698</v>
      </c>
      <c r="AP140" s="12" t="n">
        <f aca="false">-Cost_k*$A140+Beta_q*(Declarations!$B$16*INDEX(AO$21:AO$141,MAX(1,MIN(121,$B140-ROUND(Declarations!$A$16/$D$18,0))))+Declarations!$B$17*INDEX(AO$21:AO$141,MAX(1,MIN(121,$B140-ROUND(Declarations!$A$17/$D$18,0))))+Declarations!$B$18*INDEX(AO$21:AO$141,MAX(1,MIN(121,$B140-ROUND(Declarations!$A$18/$D$18,0))))+Declarations!$B$19*INDEX(AO$21:AO$141,MAX(1,MIN(121,$B140-ROUND(Declarations!$A$19/$D$18,0))))+Declarations!$B$20*INDEX(AO$21:AO$141,MAX(1,MIN(121,$B140-ROUND(Declarations!$A$20/$D$18,0)))))</f>
        <v>-279.001062043667</v>
      </c>
      <c r="AQ140" s="12" t="n">
        <f aca="false">INDEX(AP$21:AP$141,$I140+1)*(1-$J140)+INDEX(AP$21:AP$141,$I140+2)*$J140</f>
        <v>-272.042155107638</v>
      </c>
      <c r="AR140" s="12" t="n">
        <f aca="false">INDEX(AP$21:AP$141,$K140+1)*(1-$L140)+INDEX(AP$21:AP$141,$K140+2)*$L140</f>
        <v>-274.008315210775</v>
      </c>
      <c r="AS140" s="12" t="n">
        <f aca="false">$C140+$D140+MAX(AQ140,AR140,IF(COUNTIFS($A$21:$A$141,"&gt;="&amp;$G140,$A$21:$A$141,"&lt;="&amp;$H140)&gt;0,_xlfn.MAXIFS(AP$21:AP$141,$A$21:$A$141,"&gt;="&amp;$G140,$A$21:$A$141,"&lt;="&amp;$H140),AQ140))</f>
        <v>-0.0171551076375636</v>
      </c>
      <c r="AT140" s="12" t="n">
        <f aca="false">-Cost_k*$A140+Beta_q*(Declarations!$B$16*INDEX(AS$21:AS$141,MAX(1,MIN(121,$B140-ROUND(Declarations!$A$16/$D$18,0))))+Declarations!$B$17*INDEX(AS$21:AS$141,MAX(1,MIN(121,$B140-ROUND(Declarations!$A$17/$D$18,0))))+Declarations!$B$18*INDEX(AS$21:AS$141,MAX(1,MIN(121,$B140-ROUND(Declarations!$A$18/$D$18,0))))+Declarations!$B$19*INDEX(AS$21:AS$141,MAX(1,MIN(121,$B140-ROUND(Declarations!$A$19/$D$18,0))))+Declarations!$B$20*INDEX(AS$21:AS$141,MAX(1,MIN(121,$B140-ROUND(Declarations!$A$20/$D$18,0)))))</f>
        <v>-279.025599120034</v>
      </c>
      <c r="AU140" s="12" t="n">
        <f aca="false">INDEX(AT$21:AT$141,$I140+1)*(1-$J140)+INDEX(AT$21:AT$141,$I140+2)*$J140</f>
        <v>-272.1969983997</v>
      </c>
      <c r="AV140" s="12" t="n">
        <f aca="false">INDEX(AT$21:AT$141,$K140+1)*(1-$L140)+INDEX(AT$21:AT$141,$K140+2)*$L140</f>
        <v>-274.103450514118</v>
      </c>
      <c r="AW140" s="12" t="n">
        <f aca="false">$C140+$D140+MAX(AU140,AV140,IF(COUNTIFS($A$21:$A$141,"&gt;="&amp;$G140,$A$21:$A$141,"&lt;="&amp;$H140)&gt;0,_xlfn.MAXIFS(AT$21:AT$141,$A$21:$A$141,"&gt;="&amp;$G140,$A$21:$A$141,"&lt;="&amp;$H140),AU140))</f>
        <v>-0.171998399700271</v>
      </c>
      <c r="AX140" s="12" t="n">
        <f aca="false">-Cost_k*$A140+Beta_q*(Declarations!$B$16*INDEX(AW$21:AW$141,MAX(1,MIN(121,$B140-ROUND(Declarations!$A$16/$D$18,0))))+Declarations!$B$17*INDEX(AW$21:AW$141,MAX(1,MIN(121,$B140-ROUND(Declarations!$A$17/$D$18,0))))+Declarations!$B$18*INDEX(AW$21:AW$141,MAX(1,MIN(121,$B140-ROUND(Declarations!$A$18/$D$18,0))))+Declarations!$B$19*INDEX(AW$21:AW$141,MAX(1,MIN(121,$B140-ROUND(Declarations!$A$19/$D$18,0))))+Declarations!$B$20*INDEX(AW$21:AW$141,MAX(1,MIN(121,$B140-ROUND(Declarations!$A$20/$D$18,0)))))</f>
        <v>-279.214171931817</v>
      </c>
      <c r="AY140" s="12" t="n">
        <f aca="false">INDEX(AX$21:AX$141,$I140+1)*(1-$J140)+INDEX(AX$21:AX$141,$I140+2)*$J140</f>
        <v>-272.838368805194</v>
      </c>
      <c r="AZ140" s="12" t="n">
        <f aca="false">INDEX(AX$21:AX$141,$K140+1)*(1-$L140)+INDEX(AX$21:AX$141,$K140+2)*$L140</f>
        <v>-274.565801952019</v>
      </c>
      <c r="BA140" s="12" t="n">
        <f aca="false">$C140+$D140+MAX(AY140,AZ140,IF(COUNTIFS($A$21:$A$141,"&gt;="&amp;$G140,$A$21:$A$141,"&lt;="&amp;$H140)&gt;0,_xlfn.MAXIFS(AX$21:AX$141,$A$21:$A$141,"&gt;="&amp;$G140,$A$21:$A$141,"&lt;="&amp;$H140),AY140))</f>
        <v>-0.813368805193818</v>
      </c>
      <c r="BB140" s="12" t="n">
        <f aca="false">-Cost_k*$A140+Beta_q*(Declarations!$B$16*INDEX(BA$21:BA$141,MAX(1,MIN(121,$B140-ROUND(Declarations!$A$16/$D$18,0))))+Declarations!$B$17*INDEX(BA$21:BA$141,MAX(1,MIN(121,$B140-ROUND(Declarations!$A$17/$D$18,0))))+Declarations!$B$18*INDEX(BA$21:BA$141,MAX(1,MIN(121,$B140-ROUND(Declarations!$A$18/$D$18,0))))+Declarations!$B$19*INDEX(BA$21:BA$141,MAX(1,MIN(121,$B140-ROUND(Declarations!$A$19/$D$18,0))))+Declarations!$B$20*INDEX(BA$21:BA$141,MAX(1,MIN(121,$B140-ROUND(Declarations!$A$20/$D$18,0)))))</f>
        <v>-279.922939585734</v>
      </c>
      <c r="BC140" s="12" t="n">
        <f aca="false">INDEX(BB$21:BB$141,$I140+1)*(1-$J140)+INDEX(BB$21:BB$141,$I140+2)*$J140</f>
        <v>-274.414545630559</v>
      </c>
      <c r="BD140" s="12" t="n">
        <f aca="false">INDEX(BB$21:BB$141,$K140+1)*(1-$L140)+INDEX(BB$21:BB$141,$K140+2)*$L140</f>
        <v>-275.837365312624</v>
      </c>
      <c r="BE140" s="12" t="n">
        <f aca="false">$C140+$D140+MAX(BC140,BD140,IF(COUNTIFS($A$21:$A$141,"&gt;="&amp;$G140,$A$21:$A$141,"&lt;="&amp;$H140)&gt;0,_xlfn.MAXIFS(BB$21:BB$141,$A$21:$A$141,"&gt;="&amp;$G140,$A$21:$A$141,"&lt;="&amp;$H140),BC140))</f>
        <v>-2.3895456305591</v>
      </c>
      <c r="BF140" s="12" t="n">
        <f aca="false">-Cost_k*$A140+Beta_q*(Declarations!$B$16*INDEX(BE$21:BE$141,MAX(1,MIN(121,$B140-ROUND(Declarations!$A$16/$D$18,0))))+Declarations!$B$17*INDEX(BE$21:BE$141,MAX(1,MIN(121,$B140-ROUND(Declarations!$A$17/$D$18,0))))+Declarations!$B$18*INDEX(BE$21:BE$141,MAX(1,MIN(121,$B140-ROUND(Declarations!$A$18/$D$18,0))))+Declarations!$B$19*INDEX(BE$21:BE$141,MAX(1,MIN(121,$B140-ROUND(Declarations!$A$19/$D$18,0))))+Declarations!$B$20*INDEX(BE$21:BE$141,MAX(1,MIN(121,$B140-ROUND(Declarations!$A$20/$D$18,0)))))</f>
        <v>-281.572806425304</v>
      </c>
      <c r="BG140" s="12" t="n">
        <f aca="false">INDEX(BF$21:BF$141,$I140+1)*(1-$J140)+INDEX(BF$21:BF$141,$I140+2)*$J140</f>
        <v>-277.127704727252</v>
      </c>
      <c r="BH140" s="12" t="n">
        <f aca="false">INDEX(BF$21:BF$141,$K140+1)*(1-$L140)+INDEX(BF$21:BF$141,$K140+2)*$L140</f>
        <v>-278.215268951839</v>
      </c>
      <c r="BI140" s="12" t="n">
        <f aca="false">$C140+$D140+MAX(BG140,BH140,IF(COUNTIFS($A$21:$A$141,"&gt;="&amp;$G140,$A$21:$A$141,"&lt;="&amp;$H140)&gt;0,_xlfn.MAXIFS(BF$21:BF$141,$A$21:$A$141,"&gt;="&amp;$G140,$A$21:$A$141,"&lt;="&amp;$H140),BG140))</f>
        <v>-5.10270472725193</v>
      </c>
      <c r="BJ140" s="23" t="n">
        <v>-5.10270472725188</v>
      </c>
      <c r="BK140" s="22" t="n">
        <f aca="false">ABS(BI140-BJ140)</f>
        <v>5.6843418860808E-014</v>
      </c>
    </row>
    <row r="141" customFormat="false" ht="15" hidden="false" customHeight="false" outlineLevel="0" collapsed="false">
      <c r="A141" s="14" t="n">
        <f aca="false">A140+$D$18</f>
        <v>70</v>
      </c>
      <c r="B141" s="19" t="n">
        <v>121</v>
      </c>
      <c r="C141" s="12" t="n">
        <f aca="false">-Short_p*MAX(Floor_c-A141,0)</f>
        <v>-0</v>
      </c>
      <c r="D141" s="12" t="n">
        <f aca="false">Cost_k*Alpha_keep*A141</f>
        <v>273</v>
      </c>
      <c r="E141" s="12" t="n">
        <f aca="false">MIN(Cap_h,MAX(0,$B$18+MAX(Loss_w)-Alpha_keep*A141))</f>
        <v>0</v>
      </c>
      <c r="F141" s="12" t="n">
        <f aca="false">MAX(MIN(Cap_h,$F$18+MIN(Loss_w)-Alpha_keep*A141),E141)</f>
        <v>0.25</v>
      </c>
      <c r="G141" s="12" t="n">
        <f aca="false">Alpha_keep*A141+E141</f>
        <v>68.25</v>
      </c>
      <c r="H141" s="12" t="n">
        <f aca="false">Alpha_keep*A141+F141</f>
        <v>68.5</v>
      </c>
      <c r="I141" s="19" t="n">
        <f aca="false">MIN(INT((G141-$B$18)/$D$18+0.000000001),119)</f>
        <v>113</v>
      </c>
      <c r="J141" s="12" t="n">
        <f aca="false">(G141-$B$18)/$D$18-I141</f>
        <v>0</v>
      </c>
      <c r="K141" s="19" t="n">
        <f aca="false">MIN(INT((H141-$B$18)/$D$18+0.000000001),119)</f>
        <v>114</v>
      </c>
      <c r="L141" s="12" t="n">
        <f aca="false">(H141-$B$18)/$D$18-K141</f>
        <v>0</v>
      </c>
      <c r="M141" s="9" t="n">
        <v>0</v>
      </c>
      <c r="N141" s="12" t="n">
        <f aca="false">-Cost_k*$A141+Beta_q*(Declarations!$B$16*INDEX(M$21:M$141,MAX(1,MIN(121,$B141-ROUND(Declarations!$A$16/$D$18,0))))+Declarations!$B$17*INDEX(M$21:M$141,MAX(1,MIN(121,$B141-ROUND(Declarations!$A$17/$D$18,0))))+Declarations!$B$18*INDEX(M$21:M$141,MAX(1,MIN(121,$B141-ROUND(Declarations!$A$18/$D$18,0))))+Declarations!$B$19*INDEX(M$21:M$141,MAX(1,MIN(121,$B141-ROUND(Declarations!$A$19/$D$18,0))))+Declarations!$B$20*INDEX(M$21:M$141,MAX(1,MIN(121,$B141-ROUND(Declarations!$A$20/$D$18,0)))))</f>
        <v>-280</v>
      </c>
      <c r="O141" s="12" t="n">
        <f aca="false">INDEX(N$21:N$141,$I141+1)*(1-$J141)+INDEX(N$21:N$141,$I141+2)*$J141</f>
        <v>-273</v>
      </c>
      <c r="P141" s="12" t="n">
        <f aca="false">INDEX(N$21:N$141,$K141+1)*(1-$L141)+INDEX(N$21:N$141,$K141+2)*$L141</f>
        <v>-274</v>
      </c>
      <c r="Q141" s="12" t="n">
        <f aca="false">$C141+$D141+MAX(O141,P141,IF(COUNTIFS($A$21:$A$141,"&gt;="&amp;$G141,$A$21:$A$141,"&lt;="&amp;$H141)&gt;0,_xlfn.MAXIFS(N$21:N$141,$A$21:$A$141,"&gt;="&amp;$G141,$A$21:$A$141,"&lt;="&amp;$H141),O141))</f>
        <v>0</v>
      </c>
      <c r="R141" s="12" t="n">
        <f aca="false">-Cost_k*$A141+Beta_q*(Declarations!$B$16*INDEX(Q$21:Q$141,MAX(1,MIN(121,$B141-ROUND(Declarations!$A$16/$D$18,0))))+Declarations!$B$17*INDEX(Q$21:Q$141,MAX(1,MIN(121,$B141-ROUND(Declarations!$A$17/$D$18,0))))+Declarations!$B$18*INDEX(Q$21:Q$141,MAX(1,MIN(121,$B141-ROUND(Declarations!$A$18/$D$18,0))))+Declarations!$B$19*INDEX(Q$21:Q$141,MAX(1,MIN(121,$B141-ROUND(Declarations!$A$19/$D$18,0))))+Declarations!$B$20*INDEX(Q$21:Q$141,MAX(1,MIN(121,$B141-ROUND(Declarations!$A$20/$D$18,0)))))</f>
        <v>-280</v>
      </c>
      <c r="S141" s="12" t="n">
        <f aca="false">INDEX(R$21:R$141,$I141+1)*(1-$J141)+INDEX(R$21:R$141,$I141+2)*$J141</f>
        <v>-273</v>
      </c>
      <c r="T141" s="12" t="n">
        <f aca="false">INDEX(R$21:R$141,$K141+1)*(1-$L141)+INDEX(R$21:R$141,$K141+2)*$L141</f>
        <v>-274</v>
      </c>
      <c r="U141" s="12" t="n">
        <f aca="false">$C141+$D141+MAX(S141,T141,IF(COUNTIFS($A$21:$A$141,"&gt;="&amp;$G141,$A$21:$A$141,"&lt;="&amp;$H141)&gt;0,_xlfn.MAXIFS(R$21:R$141,$A$21:$A$141,"&gt;="&amp;$G141,$A$21:$A$141,"&lt;="&amp;$H141),S141))</f>
        <v>0</v>
      </c>
      <c r="V141" s="12" t="n">
        <f aca="false">-Cost_k*$A141+Beta_q*(Declarations!$B$16*INDEX(U$21:U$141,MAX(1,MIN(121,$B141-ROUND(Declarations!$A$16/$D$18,0))))+Declarations!$B$17*INDEX(U$21:U$141,MAX(1,MIN(121,$B141-ROUND(Declarations!$A$17/$D$18,0))))+Declarations!$B$18*INDEX(U$21:U$141,MAX(1,MIN(121,$B141-ROUND(Declarations!$A$18/$D$18,0))))+Declarations!$B$19*INDEX(U$21:U$141,MAX(1,MIN(121,$B141-ROUND(Declarations!$A$19/$D$18,0))))+Declarations!$B$20*INDEX(U$21:U$141,MAX(1,MIN(121,$B141-ROUND(Declarations!$A$20/$D$18,0)))))</f>
        <v>-280</v>
      </c>
      <c r="W141" s="12" t="n">
        <f aca="false">INDEX(V$21:V$141,$I141+1)*(1-$J141)+INDEX(V$21:V$141,$I141+2)*$J141</f>
        <v>-273</v>
      </c>
      <c r="X141" s="12" t="n">
        <f aca="false">INDEX(V$21:V$141,$K141+1)*(1-$L141)+INDEX(V$21:V$141,$K141+2)*$L141</f>
        <v>-274</v>
      </c>
      <c r="Y141" s="12" t="n">
        <f aca="false">$C141+$D141+MAX(W141,X141,IF(COUNTIFS($A$21:$A$141,"&gt;="&amp;$G141,$A$21:$A$141,"&lt;="&amp;$H141)&gt;0,_xlfn.MAXIFS(V$21:V$141,$A$21:$A$141,"&gt;="&amp;$G141,$A$21:$A$141,"&lt;="&amp;$H141),W141))</f>
        <v>0</v>
      </c>
      <c r="Z141" s="12" t="n">
        <f aca="false">-Cost_k*$A141+Beta_q*(Declarations!$B$16*INDEX(Y$21:Y$141,MAX(1,MIN(121,$B141-ROUND(Declarations!$A$16/$D$18,0))))+Declarations!$B$17*INDEX(Y$21:Y$141,MAX(1,MIN(121,$B141-ROUND(Declarations!$A$17/$D$18,0))))+Declarations!$B$18*INDEX(Y$21:Y$141,MAX(1,MIN(121,$B141-ROUND(Declarations!$A$18/$D$18,0))))+Declarations!$B$19*INDEX(Y$21:Y$141,MAX(1,MIN(121,$B141-ROUND(Declarations!$A$19/$D$18,0))))+Declarations!$B$20*INDEX(Y$21:Y$141,MAX(1,MIN(121,$B141-ROUND(Declarations!$A$20/$D$18,0)))))</f>
        <v>-280</v>
      </c>
      <c r="AA141" s="12" t="n">
        <f aca="false">INDEX(Z$21:Z$141,$I141+1)*(1-$J141)+INDEX(Z$21:Z$141,$I141+2)*$J141</f>
        <v>-273</v>
      </c>
      <c r="AB141" s="12" t="n">
        <f aca="false">INDEX(Z$21:Z$141,$K141+1)*(1-$L141)+INDEX(Z$21:Z$141,$K141+2)*$L141</f>
        <v>-274</v>
      </c>
      <c r="AC141" s="12" t="n">
        <f aca="false">$C141+$D141+MAX(AA141,AB141,IF(COUNTIFS($A$21:$A$141,"&gt;="&amp;$G141,$A$21:$A$141,"&lt;="&amp;$H141)&gt;0,_xlfn.MAXIFS(Z$21:Z$141,$A$21:$A$141,"&gt;="&amp;$G141,$A$21:$A$141,"&lt;="&amp;$H141),AA141))</f>
        <v>0</v>
      </c>
      <c r="AD141" s="12" t="n">
        <f aca="false">-Cost_k*$A141+Beta_q*(Declarations!$B$16*INDEX(AC$21:AC$141,MAX(1,MIN(121,$B141-ROUND(Declarations!$A$16/$D$18,0))))+Declarations!$B$17*INDEX(AC$21:AC$141,MAX(1,MIN(121,$B141-ROUND(Declarations!$A$17/$D$18,0))))+Declarations!$B$18*INDEX(AC$21:AC$141,MAX(1,MIN(121,$B141-ROUND(Declarations!$A$18/$D$18,0))))+Declarations!$B$19*INDEX(AC$21:AC$141,MAX(1,MIN(121,$B141-ROUND(Declarations!$A$19/$D$18,0))))+Declarations!$B$20*INDEX(AC$21:AC$141,MAX(1,MIN(121,$B141-ROUND(Declarations!$A$20/$D$18,0)))))</f>
        <v>-280</v>
      </c>
      <c r="AE141" s="12" t="n">
        <f aca="false">INDEX(AD$21:AD$141,$I141+1)*(1-$J141)+INDEX(AD$21:AD$141,$I141+2)*$J141</f>
        <v>-273</v>
      </c>
      <c r="AF141" s="12" t="n">
        <f aca="false">INDEX(AD$21:AD$141,$K141+1)*(1-$L141)+INDEX(AD$21:AD$141,$K141+2)*$L141</f>
        <v>-274</v>
      </c>
      <c r="AG141" s="12" t="n">
        <f aca="false">$C141+$D141+MAX(AE141,AF141,IF(COUNTIFS($A$21:$A$141,"&gt;="&amp;$G141,$A$21:$A$141,"&lt;="&amp;$H141)&gt;0,_xlfn.MAXIFS(AD$21:AD$141,$A$21:$A$141,"&gt;="&amp;$G141,$A$21:$A$141,"&lt;="&amp;$H141),AE141))</f>
        <v>0</v>
      </c>
      <c r="AH141" s="12" t="n">
        <f aca="false">-Cost_k*$A141+Beta_q*(Declarations!$B$16*INDEX(AG$21:AG$141,MAX(1,MIN(121,$B141-ROUND(Declarations!$A$16/$D$18,0))))+Declarations!$B$17*INDEX(AG$21:AG$141,MAX(1,MIN(121,$B141-ROUND(Declarations!$A$17/$D$18,0))))+Declarations!$B$18*INDEX(AG$21:AG$141,MAX(1,MIN(121,$B141-ROUND(Declarations!$A$18/$D$18,0))))+Declarations!$B$19*INDEX(AG$21:AG$141,MAX(1,MIN(121,$B141-ROUND(Declarations!$A$19/$D$18,0))))+Declarations!$B$20*INDEX(AG$21:AG$141,MAX(1,MIN(121,$B141-ROUND(Declarations!$A$20/$D$18,0)))))</f>
        <v>-280</v>
      </c>
      <c r="AI141" s="12" t="n">
        <f aca="false">INDEX(AH$21:AH$141,$I141+1)*(1-$J141)+INDEX(AH$21:AH$141,$I141+2)*$J141</f>
        <v>-273.00000023591</v>
      </c>
      <c r="AJ141" s="12" t="n">
        <f aca="false">INDEX(AH$21:AH$141,$K141+1)*(1-$L141)+INDEX(AH$21:AH$141,$K141+2)*$L141</f>
        <v>-274.000000106406</v>
      </c>
      <c r="AK141" s="12" t="n">
        <f aca="false">$C141+$D141+MAX(AI141,AJ141,IF(COUNTIFS($A$21:$A$141,"&gt;="&amp;$G141,$A$21:$A$141,"&lt;="&amp;$H141)&gt;0,_xlfn.MAXIFS(AH$21:AH$141,$A$21:$A$141,"&gt;="&amp;$G141,$A$21:$A$141,"&lt;="&amp;$H141),AI141))</f>
        <v>-2.35909908496978E-007</v>
      </c>
      <c r="AL141" s="12" t="n">
        <f aca="false">-Cost_k*$A141+Beta_q*(Declarations!$B$16*INDEX(AK$21:AK$141,MAX(1,MIN(121,$B141-ROUND(Declarations!$A$16/$D$18,0))))+Declarations!$B$17*INDEX(AK$21:AK$141,MAX(1,MIN(121,$B141-ROUND(Declarations!$A$17/$D$18,0))))+Declarations!$B$18*INDEX(AK$21:AK$141,MAX(1,MIN(121,$B141-ROUND(Declarations!$A$18/$D$18,0))))+Declarations!$B$19*INDEX(AK$21:AK$141,MAX(1,MIN(121,$B141-ROUND(Declarations!$A$19/$D$18,0))))+Declarations!$B$20*INDEX(AK$21:AK$141,MAX(1,MIN(121,$B141-ROUND(Declarations!$A$20/$D$18,0)))))</f>
        <v>-280.000003160279</v>
      </c>
      <c r="AM141" s="12" t="n">
        <f aca="false">INDEX(AL$21:AL$141,$I141+1)*(1-$J141)+INDEX(AL$21:AL$141,$I141+2)*$J141</f>
        <v>-273.000272805991</v>
      </c>
      <c r="AN141" s="12" t="n">
        <f aca="false">INDEX(AL$21:AL$141,$K141+1)*(1-$L141)+INDEX(AL$21:AL$141,$K141+2)*$L141</f>
        <v>-274.000163921577</v>
      </c>
      <c r="AO141" s="12" t="n">
        <f aca="false">$C141+$D141+MAX(AM141,AN141,IF(COUNTIFS($A$21:$A$141,"&gt;="&amp;$G141,$A$21:$A$141,"&lt;="&amp;$H141)&gt;0,_xlfn.MAXIFS(AL$21:AL$141,$A$21:$A$141,"&gt;="&amp;$G141,$A$21:$A$141,"&lt;="&amp;$H141),AM141))</f>
        <v>-0.000272805991016867</v>
      </c>
      <c r="AP141" s="12" t="n">
        <f aca="false">-Cost_k*$A141+Beta_q*(Declarations!$B$16*INDEX(AO$21:AO$141,MAX(1,MIN(121,$B141-ROUND(Declarations!$A$16/$D$18,0))))+Declarations!$B$17*INDEX(AO$21:AO$141,MAX(1,MIN(121,$B141-ROUND(Declarations!$A$17/$D$18,0))))+Declarations!$B$18*INDEX(AO$21:AO$141,MAX(1,MIN(121,$B141-ROUND(Declarations!$A$18/$D$18,0))))+Declarations!$B$19*INDEX(AO$21:AO$141,MAX(1,MIN(121,$B141-ROUND(Declarations!$A$19/$D$18,0))))+Declarations!$B$20*INDEX(AO$21:AO$141,MAX(1,MIN(121,$B141-ROUND(Declarations!$A$20/$D$18,0)))))</f>
        <v>-280.000692352065</v>
      </c>
      <c r="AQ141" s="12" t="n">
        <f aca="false">INDEX(AP$21:AP$141,$I141+1)*(1-$J141)+INDEX(AP$21:AP$141,$I141+2)*$J141</f>
        <v>-273.011937604529</v>
      </c>
      <c r="AR141" s="12" t="n">
        <f aca="false">INDEX(AP$21:AP$141,$K141+1)*(1-$L141)+INDEX(AP$21:AP$141,$K141+2)*$L141</f>
        <v>-274.008315210775</v>
      </c>
      <c r="AS141" s="12" t="n">
        <f aca="false">$C141+$D141+MAX(AQ141,AR141,IF(COUNTIFS($A$21:$A$141,"&gt;="&amp;$G141,$A$21:$A$141,"&lt;="&amp;$H141)&gt;0,_xlfn.MAXIFS(AP$21:AP$141,$A$21:$A$141,"&gt;="&amp;$G141,$A$21:$A$141,"&lt;="&amp;$H141),AQ141))</f>
        <v>-0.0119376045286117</v>
      </c>
      <c r="AT141" s="12" t="n">
        <f aca="false">-Cost_k*$A141+Beta_q*(Declarations!$B$16*INDEX(AS$21:AS$141,MAX(1,MIN(121,$B141-ROUND(Declarations!$A$16/$D$18,0))))+Declarations!$B$17*INDEX(AS$21:AS$141,MAX(1,MIN(121,$B141-ROUND(Declarations!$A$17/$D$18,0))))+Declarations!$B$18*INDEX(AS$21:AS$141,MAX(1,MIN(121,$B141-ROUND(Declarations!$A$18/$D$18,0))))+Declarations!$B$19*INDEX(AS$21:AS$141,MAX(1,MIN(121,$B141-ROUND(Declarations!$A$19/$D$18,0))))+Declarations!$B$20*INDEX(AS$21:AS$141,MAX(1,MIN(121,$B141-ROUND(Declarations!$A$20/$D$18,0)))))</f>
        <v>-280.019324356614</v>
      </c>
      <c r="AU141" s="12" t="n">
        <f aca="false">INDEX(AT$21:AT$141,$I141+1)*(1-$J141)+INDEX(AT$21:AT$141,$I141+2)*$J141</f>
        <v>-273.133956922619</v>
      </c>
      <c r="AV141" s="12" t="n">
        <f aca="false">INDEX(AT$21:AT$141,$K141+1)*(1-$L141)+INDEX(AT$21:AT$141,$K141+2)*$L141</f>
        <v>-274.103450514118</v>
      </c>
      <c r="AW141" s="12" t="n">
        <f aca="false">$C141+$D141+MAX(AU141,AV141,IF(COUNTIFS($A$21:$A$141,"&gt;="&amp;$G141,$A$21:$A$141,"&lt;="&amp;$H141)&gt;0,_xlfn.MAXIFS(AT$21:AT$141,$A$21:$A$141,"&gt;="&amp;$G141,$A$21:$A$141,"&lt;="&amp;$H141),AU141))</f>
        <v>-0.133956922619404</v>
      </c>
      <c r="AX141" s="12" t="n">
        <f aca="false">-Cost_k*$A141+Beta_q*(Declarations!$B$16*INDEX(AW$21:AW$141,MAX(1,MIN(121,$B141-ROUND(Declarations!$A$16/$D$18,0))))+Declarations!$B$17*INDEX(AW$21:AW$141,MAX(1,MIN(121,$B141-ROUND(Declarations!$A$17/$D$18,0))))+Declarations!$B$18*INDEX(AW$21:AW$141,MAX(1,MIN(121,$B141-ROUND(Declarations!$A$18/$D$18,0))))+Declarations!$B$19*INDEX(AW$21:AW$141,MAX(1,MIN(121,$B141-ROUND(Declarations!$A$19/$D$18,0))))+Declarations!$B$20*INDEX(AW$21:AW$141,MAX(1,MIN(121,$B141-ROUND(Declarations!$A$20/$D$18,0)))))</f>
        <v>-280.176926994721</v>
      </c>
      <c r="AY141" s="12" t="n">
        <f aca="false">INDEX(AX$21:AX$141,$I141+1)*(1-$J141)+INDEX(AX$21:AX$141,$I141+2)*$J141</f>
        <v>-273.681375176925</v>
      </c>
      <c r="AZ141" s="12" t="n">
        <f aca="false">INDEX(AX$21:AX$141,$K141+1)*(1-$L141)+INDEX(AX$21:AX$141,$K141+2)*$L141</f>
        <v>-274.565801952019</v>
      </c>
      <c r="BA141" s="12" t="n">
        <f aca="false">$C141+$D141+MAX(AY141,AZ141,IF(COUNTIFS($A$21:$A$141,"&gt;="&amp;$G141,$A$21:$A$141,"&lt;="&amp;$H141)&gt;0,_xlfn.MAXIFS(AX$21:AX$141,$A$21:$A$141,"&gt;="&amp;$G141,$A$21:$A$141,"&lt;="&amp;$H141),AY141))</f>
        <v>-0.681375176925144</v>
      </c>
      <c r="BB141" s="12" t="n">
        <f aca="false">-Cost_k*$A141+Beta_q*(Declarations!$B$16*INDEX(BA$21:BA$141,MAX(1,MIN(121,$B141-ROUND(Declarations!$A$16/$D$18,0))))+Declarations!$B$17*INDEX(BA$21:BA$141,MAX(1,MIN(121,$B141-ROUND(Declarations!$A$17/$D$18,0))))+Declarations!$B$18*INDEX(BA$21:BA$141,MAX(1,MIN(121,$B141-ROUND(Declarations!$A$18/$D$18,0))))+Declarations!$B$19*INDEX(BA$21:BA$141,MAX(1,MIN(121,$B141-ROUND(Declarations!$A$19/$D$18,0))))+Declarations!$B$20*INDEX(BA$21:BA$141,MAX(1,MIN(121,$B141-ROUND(Declarations!$A$20/$D$18,0)))))</f>
        <v>-280.807694537686</v>
      </c>
      <c r="BC141" s="12" t="n">
        <f aca="false">INDEX(BB$21:BB$141,$I141+1)*(1-$J141)+INDEX(BB$21:BB$141,$I141+2)*$J141</f>
        <v>-275.103003388777</v>
      </c>
      <c r="BD141" s="12" t="n">
        <f aca="false">INDEX(BB$21:BB$141,$K141+1)*(1-$L141)+INDEX(BB$21:BB$141,$K141+2)*$L141</f>
        <v>-275.837365312624</v>
      </c>
      <c r="BE141" s="12" t="n">
        <f aca="false">$C141+$D141+MAX(BC141,BD141,IF(COUNTIFS($A$21:$A$141,"&gt;="&amp;$G141,$A$21:$A$141,"&lt;="&amp;$H141)&gt;0,_xlfn.MAXIFS(BB$21:BB$141,$A$21:$A$141,"&gt;="&amp;$G141,$A$21:$A$141,"&lt;="&amp;$H141),BC141))</f>
        <v>-2.10300338877738</v>
      </c>
      <c r="BF141" s="12" t="n">
        <f aca="false">-Cost_k*$A141+Beta_q*(Declarations!$B$16*INDEX(BE$21:BE$141,MAX(1,MIN(121,$B141-ROUND(Declarations!$A$16/$D$18,0))))+Declarations!$B$17*INDEX(BE$21:BE$141,MAX(1,MIN(121,$B141-ROUND(Declarations!$A$17/$D$18,0))))+Declarations!$B$18*INDEX(BE$21:BE$141,MAX(1,MIN(121,$B141-ROUND(Declarations!$A$18/$D$18,0))))+Declarations!$B$19*INDEX(BE$21:BE$141,MAX(1,MIN(121,$B141-ROUND(Declarations!$A$19/$D$18,0))))+Declarations!$B$20*INDEX(BE$21:BE$141,MAX(1,MIN(121,$B141-ROUND(Declarations!$A$20/$D$18,0)))))</f>
        <v>-282.339620925034</v>
      </c>
      <c r="BG141" s="12" t="n">
        <f aca="false">INDEX(BF$21:BF$141,$I141+1)*(1-$J141)+INDEX(BF$21:BF$141,$I141+2)*$J141</f>
        <v>-277.651221446942</v>
      </c>
      <c r="BH141" s="12" t="n">
        <f aca="false">INDEX(BF$21:BF$141,$K141+1)*(1-$L141)+INDEX(BF$21:BF$141,$K141+2)*$L141</f>
        <v>-278.215268951839</v>
      </c>
      <c r="BI141" s="12" t="n">
        <f aca="false">$C141+$D141+MAX(BG141,BH141,IF(COUNTIFS($A$21:$A$141,"&gt;="&amp;$G141,$A$21:$A$141,"&lt;="&amp;$H141)&gt;0,_xlfn.MAXIFS(BF$21:BF$141,$A$21:$A$141,"&gt;="&amp;$G141,$A$21:$A$141,"&lt;="&amp;$H141),BG141))</f>
        <v>-4.65122144694163</v>
      </c>
      <c r="BJ141" s="23" t="n">
        <v>-4.65122144694158</v>
      </c>
      <c r="BK141" s="22" t="n">
        <f aca="false">ABS(BI141-BJ141)</f>
        <v>5.6843418860808E-014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10" t="s">
        <v>151</v>
      </c>
    </row>
    <row r="4" customFormat="false" ht="15" hidden="false" customHeight="false" outlineLevel="0" collapsed="false">
      <c r="A4" s="0" t="s">
        <v>152</v>
      </c>
      <c r="B4" s="13" t="n">
        <v>53</v>
      </c>
      <c r="C4" s="13" t="n">
        <v>56</v>
      </c>
      <c r="D4" s="13" t="n">
        <v>58</v>
      </c>
    </row>
    <row r="5" customFormat="false" ht="15" hidden="false" customHeight="false" outlineLevel="0" collapsed="false">
      <c r="A5" s="0" t="s">
        <v>153</v>
      </c>
      <c r="B5" s="12" t="n">
        <f aca="false">Alpha_keep*B4</f>
        <v>51.675</v>
      </c>
      <c r="C5" s="12" t="n">
        <f aca="false">Alpha_keep*C4</f>
        <v>54.6</v>
      </c>
      <c r="D5" s="12" t="n">
        <f aca="false">Alpha_keep*D4</f>
        <v>56.55</v>
      </c>
    </row>
    <row r="6" customFormat="false" ht="15" hidden="false" customHeight="false" outlineLevel="0" collapsed="false">
      <c r="A6" s="0" t="s">
        <v>154</v>
      </c>
      <c r="B6" s="12" t="n">
        <f aca="false">-Short_p*MAX(Floor_c-B4,0)+Cost_k*Alpha_keep*B4</f>
        <v>203.5</v>
      </c>
      <c r="C6" s="12" t="n">
        <f aca="false">-Short_p*MAX(Floor_c-C4,0)+Cost_k*Alpha_keep*C4</f>
        <v>218.4</v>
      </c>
      <c r="D6" s="12" t="n">
        <f aca="false">-Short_p*MAX(Floor_c-D4,0)+Cost_k*Alpha_keep*D4</f>
        <v>226.2</v>
      </c>
    </row>
    <row r="8" customFormat="false" ht="15" hidden="false" customHeight="false" outlineLevel="0" collapsed="false">
      <c r="A8" s="8" t="s">
        <v>155</v>
      </c>
      <c r="B8" s="8" t="s">
        <v>156</v>
      </c>
      <c r="C8" s="8" t="s">
        <v>157</v>
      </c>
      <c r="D8" s="8" t="s">
        <v>158</v>
      </c>
    </row>
    <row r="9" customFormat="false" ht="15" hidden="false" customHeight="false" outlineLevel="0" collapsed="false">
      <c r="A9" s="14" t="n">
        <v>0</v>
      </c>
      <c r="B9" s="12" t="n">
        <f aca="false">B$6+(INDEX(Values!$D$5:$D$425,MIN(INT(((B$5+$A9)-45)/0.05+0.000000001),419)+1)*(1-(((B$5+$A9)-45)/0.05-MIN(INT(((B$5+$A9)-45)/0.05+0.000000001),419)))+INDEX(Values!$D$5:$D$425,MIN(INT(((B$5+$A9)-45)/0.05+0.000000001),419)+2)*(((B$5+$A9)-45)/0.05-MIN(INT(((B$5+$A9)-45)/0.05+0.000000001),419)))</f>
        <v>-262.15689989909</v>
      </c>
      <c r="C9" s="12" t="n">
        <f aca="false">C$6+(INDEX(Values!$D$5:$D$425,MIN(INT(((C$5+$A9)-45)/0.05+0.000000001),419)+1)*(1-(((C$5+$A9)-45)/0.05-MIN(INT(((C$5+$A9)-45)/0.05+0.000000001),419)))+INDEX(Values!$D$5:$D$425,MIN(INT(((C$5+$A9)-45)/0.05+0.000000001),419)+2)*(((C$5+$A9)-45)/0.05-MIN(INT(((C$5+$A9)-45)/0.05+0.000000001),419)))</f>
        <v>-239.083658260911</v>
      </c>
      <c r="D9" s="12" t="n">
        <f aca="false">D$6+(INDEX(Values!$D$5:$D$425,MIN(INT(((D$5+$A9)-45)/0.05+0.000000001),419)+1)*(1-(((D$5+$A9)-45)/0.05-MIN(INT(((D$5+$A9)-45)/0.05+0.000000001),419)))+INDEX(Values!$D$5:$D$425,MIN(INT(((D$5+$A9)-45)/0.05+0.000000001),419)+2)*(((D$5+$A9)-45)/0.05-MIN(INT(((D$5+$A9)-45)/0.05+0.000000001),419)))</f>
        <v>-230.755011357748</v>
      </c>
    </row>
    <row r="10" customFormat="false" ht="15" hidden="false" customHeight="false" outlineLevel="0" collapsed="false">
      <c r="A10" s="14" t="n">
        <v>0.05</v>
      </c>
      <c r="B10" s="12" t="n">
        <f aca="false">B$6+(INDEX(Values!$D$5:$D$425,MIN(INT(((B$5+$A10)-45)/0.05+0.000000001),419)+1)*(1-(((B$5+$A10)-45)/0.05-MIN(INT(((B$5+$A10)-45)/0.05+0.000000001),419)))+INDEX(Values!$D$5:$D$425,MIN(INT(((B$5+$A10)-45)/0.05+0.000000001),419)+2)*(((B$5+$A10)-45)/0.05-MIN(INT(((B$5+$A10)-45)/0.05+0.000000001),419)))</f>
        <v>-261.941536169186</v>
      </c>
      <c r="C10" s="12" t="n">
        <f aca="false">C$6+(INDEX(Values!$D$5:$D$425,MIN(INT(((C$5+$A10)-45)/0.05+0.000000001),419)+1)*(1-(((C$5+$A10)-45)/0.05-MIN(INT(((C$5+$A10)-45)/0.05+0.000000001),419)))+INDEX(Values!$D$5:$D$425,MIN(INT(((C$5+$A10)-45)/0.05+0.000000001),419)+2)*(((C$5+$A10)-45)/0.05-MIN(INT(((C$5+$A10)-45)/0.05+0.000000001),419)))</f>
        <v>-239.027107501598</v>
      </c>
      <c r="D10" s="12" t="n">
        <f aca="false">D$6+(INDEX(Values!$D$5:$D$425,MIN(INT(((D$5+$A10)-45)/0.05+0.000000001),419)+1)*(1-(((D$5+$A10)-45)/0.05-MIN(INT(((D$5+$A10)-45)/0.05+0.000000001),419)))+INDEX(Values!$D$5:$D$425,MIN(INT(((D$5+$A10)-45)/0.05+0.000000001),419)+2)*(((D$5+$A10)-45)/0.05-MIN(INT(((D$5+$A10)-45)/0.05+0.000000001),419)))</f>
        <v>-230.76616950047</v>
      </c>
    </row>
    <row r="11" customFormat="false" ht="15" hidden="false" customHeight="false" outlineLevel="0" collapsed="false">
      <c r="A11" s="14" t="n">
        <v>0.1</v>
      </c>
      <c r="B11" s="12" t="n">
        <f aca="false">B$6+(INDEX(Values!$D$5:$D$425,MIN(INT(((B$5+$A11)-45)/0.05+0.000000001),419)+1)*(1-(((B$5+$A11)-45)/0.05-MIN(INT(((B$5+$A11)-45)/0.05+0.000000001),419)))+INDEX(Values!$D$5:$D$425,MIN(INT(((B$5+$A11)-45)/0.05+0.000000001),419)+2)*(((B$5+$A11)-45)/0.05-MIN(INT(((B$5+$A11)-45)/0.05+0.000000001),419)))</f>
        <v>-261.727665098932</v>
      </c>
      <c r="C11" s="12" t="n">
        <f aca="false">C$6+(INDEX(Values!$D$5:$D$425,MIN(INT(((C$5+$A11)-45)/0.05+0.000000001),419)+1)*(1-(((C$5+$A11)-45)/0.05-MIN(INT(((C$5+$A11)-45)/0.05+0.000000001),419)))+INDEX(Values!$D$5:$D$425,MIN(INT(((C$5+$A11)-45)/0.05+0.000000001),419)+2)*(((C$5+$A11)-45)/0.05-MIN(INT(((C$5+$A11)-45)/0.05+0.000000001),419)))</f>
        <v>-238.972058603495</v>
      </c>
      <c r="D11" s="12" t="n">
        <f aca="false">D$6+(INDEX(Values!$D$5:$D$425,MIN(INT(((D$5+$A11)-45)/0.05+0.000000001),419)+1)*(1-(((D$5+$A11)-45)/0.05-MIN(INT(((D$5+$A11)-45)/0.05+0.000000001),419)))+INDEX(Values!$D$5:$D$425,MIN(INT(((D$5+$A11)-45)/0.05+0.000000001),419)+2)*(((D$5+$A11)-45)/0.05-MIN(INT(((D$5+$A11)-45)/0.05+0.000000001),419)))</f>
        <v>-230.777327732731</v>
      </c>
    </row>
    <row r="12" customFormat="false" ht="15" hidden="false" customHeight="false" outlineLevel="0" collapsed="false">
      <c r="A12" s="14" t="n">
        <v>0.15</v>
      </c>
      <c r="B12" s="12" t="n">
        <f aca="false">B$6+(INDEX(Values!$D$5:$D$425,MIN(INT(((B$5+$A12)-45)/0.05+0.000000001),419)+1)*(1-(((B$5+$A12)-45)/0.05-MIN(INT(((B$5+$A12)-45)/0.05+0.000000001),419)))+INDEX(Values!$D$5:$D$425,MIN(INT(((B$5+$A12)-45)/0.05+0.000000001),419)+2)*(((B$5+$A12)-45)/0.05-MIN(INT(((B$5+$A12)-45)/0.05+0.000000001),419)))</f>
        <v>-261.515820162994</v>
      </c>
      <c r="C12" s="12" t="n">
        <f aca="false">C$6+(INDEX(Values!$D$5:$D$425,MIN(INT(((C$5+$A12)-45)/0.05+0.000000001),419)+1)*(1-(((C$5+$A12)-45)/0.05-MIN(INT(((C$5+$A12)-45)/0.05+0.000000001),419)))+INDEX(Values!$D$5:$D$425,MIN(INT(((C$5+$A12)-45)/0.05+0.000000001),419)+2)*(((C$5+$A12)-45)/0.05-MIN(INT(((C$5+$A12)-45)/0.05+0.000000001),419)))</f>
        <v>-238.917009961331</v>
      </c>
      <c r="D12" s="12" t="n">
        <f aca="false">D$6+(INDEX(Values!$D$5:$D$425,MIN(INT(((D$5+$A12)-45)/0.05+0.000000001),419)+1)*(1-(((D$5+$A12)-45)/0.05-MIN(INT(((D$5+$A12)-45)/0.05+0.000000001),419)))+INDEX(Values!$D$5:$D$425,MIN(INT(((D$5+$A12)-45)/0.05+0.000000001),419)+2)*(((D$5+$A12)-45)/0.05-MIN(INT(((D$5+$A12)-45)/0.05+0.000000001),419)))</f>
        <v>-230.788486676383</v>
      </c>
    </row>
    <row r="13" customFormat="false" ht="15" hidden="false" customHeight="false" outlineLevel="0" collapsed="false">
      <c r="A13" s="14" t="n">
        <v>0.2</v>
      </c>
      <c r="B13" s="12" t="n">
        <f aca="false">B$6+(INDEX(Values!$D$5:$D$425,MIN(INT(((B$5+$A13)-45)/0.05+0.000000001),419)+1)*(1-(((B$5+$A13)-45)/0.05-MIN(INT(((B$5+$A13)-45)/0.05+0.000000001),419)))+INDEX(Values!$D$5:$D$425,MIN(INT(((B$5+$A13)-45)/0.05+0.000000001),419)+2)*(((B$5+$A13)-45)/0.05-MIN(INT(((B$5+$A13)-45)/0.05+0.000000001),419)))</f>
        <v>-261.307228874606</v>
      </c>
      <c r="C13" s="12" t="n">
        <f aca="false">C$6+(INDEX(Values!$D$5:$D$425,MIN(INT(((C$5+$A13)-45)/0.05+0.000000001),419)+1)*(1-(((C$5+$A13)-45)/0.05-MIN(INT(((C$5+$A13)-45)/0.05+0.000000001),419)))+INDEX(Values!$D$5:$D$425,MIN(INT(((C$5+$A13)-45)/0.05+0.000000001),419)+2)*(((C$5+$A13)-45)/0.05-MIN(INT(((C$5+$A13)-45)/0.05+0.000000001),419)))</f>
        <v>-238.861962611784</v>
      </c>
      <c r="D13" s="12" t="n">
        <f aca="false">D$6+(INDEX(Values!$D$5:$D$425,MIN(INT(((D$5+$A13)-45)/0.05+0.000000001),419)+1)*(1-(((D$5+$A13)-45)/0.05-MIN(INT(((D$5+$A13)-45)/0.05+0.000000001),419)))+INDEX(Values!$D$5:$D$425,MIN(INT(((D$5+$A13)-45)/0.05+0.000000001),419)+2)*(((D$5+$A13)-45)/0.05-MIN(INT(((D$5+$A13)-45)/0.05+0.000000001),419)))</f>
        <v>-230.799648987222</v>
      </c>
    </row>
    <row r="14" customFormat="false" ht="15" hidden="false" customHeight="false" outlineLevel="0" collapsed="false">
      <c r="A14" s="14" t="n">
        <v>0.25</v>
      </c>
      <c r="B14" s="12" t="n">
        <f aca="false">B$6+(INDEX(Values!$D$5:$D$425,MIN(INT(((B$5+$A14)-45)/0.05+0.000000001),419)+1)*(1-(((B$5+$A14)-45)/0.05-MIN(INT(((B$5+$A14)-45)/0.05+0.000000001),419)))+INDEX(Values!$D$5:$D$425,MIN(INT(((B$5+$A14)-45)/0.05+0.000000001),419)+2)*(((B$5+$A14)-45)/0.05-MIN(INT(((B$5+$A14)-45)/0.05+0.000000001),419)))</f>
        <v>-261.105106800816</v>
      </c>
      <c r="C14" s="12" t="n">
        <f aca="false">C$6+(INDEX(Values!$D$5:$D$425,MIN(INT(((C$5+$A14)-45)/0.05+0.000000001),419)+1)*(1-(((C$5+$A14)-45)/0.05-MIN(INT(((C$5+$A14)-45)/0.05+0.000000001),419)))+INDEX(Values!$D$5:$D$425,MIN(INT(((C$5+$A14)-45)/0.05+0.000000001),419)+2)*(((C$5+$A14)-45)/0.05-MIN(INT(((C$5+$A14)-45)/0.05+0.000000001),419)))</f>
        <v>-238.806920730547</v>
      </c>
      <c r="D14" s="12" t="n">
        <f aca="false">D$6+(INDEX(Values!$D$5:$D$425,MIN(INT(((D$5+$A14)-45)/0.05+0.000000001),419)+1)*(1-(((D$5+$A14)-45)/0.05-MIN(INT(((D$5+$A14)-45)/0.05+0.000000001),419)))+INDEX(Values!$D$5:$D$425,MIN(INT(((D$5+$A14)-45)/0.05+0.000000001),419)+2)*(((D$5+$A14)-45)/0.05-MIN(INT(((D$5+$A14)-45)/0.05+0.000000001),419)))</f>
        <v>-230.8108326198</v>
      </c>
    </row>
    <row r="15" customFormat="false" ht="15" hidden="false" customHeight="false" outlineLevel="0" collapsed="false">
      <c r="A15" s="14" t="n">
        <v>0.3</v>
      </c>
      <c r="B15" s="12" t="n">
        <f aca="false">B$6+(INDEX(Values!$D$5:$D$425,MIN(INT(((B$5+$A15)-45)/0.05+0.000000001),419)+1)*(1-(((B$5+$A15)-45)/0.05-MIN(INT(((B$5+$A15)-45)/0.05+0.000000001),419)))+INDEX(Values!$D$5:$D$425,MIN(INT(((B$5+$A15)-45)/0.05+0.000000001),419)+2)*(((B$5+$A15)-45)/0.05-MIN(INT(((B$5+$A15)-45)/0.05+0.000000001),419)))</f>
        <v>-260.908268888154</v>
      </c>
      <c r="C15" s="12" t="n">
        <f aca="false">C$6+(INDEX(Values!$D$5:$D$425,MIN(INT(((C$5+$A15)-45)/0.05+0.000000001),419)+1)*(1-(((C$5+$A15)-45)/0.05-MIN(INT(((C$5+$A15)-45)/0.05+0.000000001),419)))+INDEX(Values!$D$5:$D$425,MIN(INT(((C$5+$A15)-45)/0.05+0.000000001),419)+2)*(((C$5+$A15)-45)/0.05-MIN(INT(((C$5+$A15)-45)/0.05+0.000000001),419)))</f>
        <v>-238.75190965379</v>
      </c>
      <c r="D15" s="12" t="n">
        <f aca="false">D$6+(INDEX(Values!$D$5:$D$425,MIN(INT(((D$5+$A15)-45)/0.05+0.000000001),419)+1)*(1-(((D$5+$A15)-45)/0.05-MIN(INT(((D$5+$A15)-45)/0.05+0.000000001),419)))+INDEX(Values!$D$5:$D$425,MIN(INT(((D$5+$A15)-45)/0.05+0.000000001),419)+2)*(((D$5+$A15)-45)/0.05-MIN(INT(((D$5+$A15)-45)/0.05+0.000000001),419)))</f>
        <v>-230.822074141538</v>
      </c>
    </row>
    <row r="16" customFormat="false" ht="15" hidden="false" customHeight="false" outlineLevel="0" collapsed="false">
      <c r="A16" s="14" t="n">
        <v>0.35</v>
      </c>
      <c r="B16" s="12" t="n">
        <f aca="false">B$6+(INDEX(Values!$D$5:$D$425,MIN(INT(((B$5+$A16)-45)/0.05+0.000000001),419)+1)*(1-(((B$5+$A16)-45)/0.05-MIN(INT(((B$5+$A16)-45)/0.05+0.000000001),419)))+INDEX(Values!$D$5:$D$425,MIN(INT(((B$5+$A16)-45)/0.05+0.000000001),419)+2)*(((B$5+$A16)-45)/0.05-MIN(INT(((B$5+$A16)-45)/0.05+0.000000001),419)))</f>
        <v>-260.712526570393</v>
      </c>
      <c r="C16" s="12" t="n">
        <f aca="false">C$6+(INDEX(Values!$D$5:$D$425,MIN(INT(((C$5+$A16)-45)/0.05+0.000000001),419)+1)*(1-(((C$5+$A16)-45)/0.05-MIN(INT(((C$5+$A16)-45)/0.05+0.000000001),419)))+INDEX(Values!$D$5:$D$425,MIN(INT(((C$5+$A16)-45)/0.05+0.000000001),419)+2)*(((C$5+$A16)-45)/0.05-MIN(INT(((C$5+$A16)-45)/0.05+0.000000001),419)))</f>
        <v>-238.697125075083</v>
      </c>
      <c r="D16" s="12" t="n">
        <f aca="false">D$6+(INDEX(Values!$D$5:$D$425,MIN(INT(((D$5+$A16)-45)/0.05+0.000000001),419)+1)*(1-(((D$5+$A16)-45)/0.05-MIN(INT(((D$5+$A16)-45)/0.05+0.000000001),419)))+INDEX(Values!$D$5:$D$425,MIN(INT(((D$5+$A16)-45)/0.05+0.000000001),419)+2)*(((D$5+$A16)-45)/0.05-MIN(INT(((D$5+$A16)-45)/0.05+0.000000001),419)))</f>
        <v>-230.833338507206</v>
      </c>
    </row>
    <row r="17" customFormat="false" ht="15" hidden="false" customHeight="false" outlineLevel="0" collapsed="false">
      <c r="A17" s="14" t="n">
        <v>0.4</v>
      </c>
      <c r="B17" s="12" t="n">
        <f aca="false">B$6+(INDEX(Values!$D$5:$D$425,MIN(INT(((B$5+$A17)-45)/0.05+0.000000001),419)+1)*(1-(((B$5+$A17)-45)/0.05-MIN(INT(((B$5+$A17)-45)/0.05+0.000000001),419)))+INDEX(Values!$D$5:$D$425,MIN(INT(((B$5+$A17)-45)/0.05+0.000000001),419)+2)*(((B$5+$A17)-45)/0.05-MIN(INT(((B$5+$A17)-45)/0.05+0.000000001),419)))</f>
        <v>-260.517086556054</v>
      </c>
      <c r="C17" s="12" t="n">
        <f aca="false">C$6+(INDEX(Values!$D$5:$D$425,MIN(INT(((C$5+$A17)-45)/0.05+0.000000001),419)+1)*(1-(((C$5+$A17)-45)/0.05-MIN(INT(((C$5+$A17)-45)/0.05+0.000000001),419)))+INDEX(Values!$D$5:$D$425,MIN(INT(((C$5+$A17)-45)/0.05+0.000000001),419)+2)*(((C$5+$A17)-45)/0.05-MIN(INT(((C$5+$A17)-45)/0.05+0.000000001),419)))</f>
        <v>-238.643256731224</v>
      </c>
      <c r="D17" s="12" t="n">
        <f aca="false">D$6+(INDEX(Values!$D$5:$D$425,MIN(INT(((D$5+$A17)-45)/0.05+0.000000001),419)+1)*(1-(((D$5+$A17)-45)/0.05-MIN(INT(((D$5+$A17)-45)/0.05+0.000000001),419)))+INDEX(Values!$D$5:$D$425,MIN(INT(((D$5+$A17)-45)/0.05+0.000000001),419)+2)*(((D$5+$A17)-45)/0.05-MIN(INT(((D$5+$A17)-45)/0.05+0.000000001),419)))</f>
        <v>-230.844602889207</v>
      </c>
    </row>
    <row r="18" customFormat="false" ht="15" hidden="false" customHeight="false" outlineLevel="0" collapsed="false">
      <c r="A18" s="14" t="n">
        <v>0.45</v>
      </c>
      <c r="B18" s="12" t="n">
        <f aca="false">B$6+(INDEX(Values!$D$5:$D$425,MIN(INT(((B$5+$A18)-45)/0.05+0.000000001),419)+1)*(1-(((B$5+$A18)-45)/0.05-MIN(INT(((B$5+$A18)-45)/0.05+0.000000001),419)))+INDEX(Values!$D$5:$D$425,MIN(INT(((B$5+$A18)-45)/0.05+0.000000001),419)+2)*(((B$5+$A18)-45)/0.05-MIN(INT(((B$5+$A18)-45)/0.05+0.000000001),419)))</f>
        <v>-260.322121028168</v>
      </c>
      <c r="C18" s="12" t="n">
        <f aca="false">C$6+(INDEX(Values!$D$5:$D$425,MIN(INT(((C$5+$A18)-45)/0.05+0.000000001),419)+1)*(1-(((C$5+$A18)-45)/0.05-MIN(INT(((C$5+$A18)-45)/0.05+0.000000001),419)))+INDEX(Values!$D$5:$D$425,MIN(INT(((C$5+$A18)-45)/0.05+0.000000001),419)+2)*(((C$5+$A18)-45)/0.05-MIN(INT(((C$5+$A18)-45)/0.05+0.000000001),419)))</f>
        <v>-238.62865963197</v>
      </c>
      <c r="D18" s="12" t="n">
        <f aca="false">D$6+(INDEX(Values!$D$5:$D$425,MIN(INT(((D$5+$A18)-45)/0.05+0.000000001),419)+1)*(1-(((D$5+$A18)-45)/0.05-MIN(INT(((D$5+$A18)-45)/0.05+0.000000001),419)))+INDEX(Values!$D$5:$D$425,MIN(INT(((D$5+$A18)-45)/0.05+0.000000001),419)+2)*(((D$5+$A18)-45)/0.05-MIN(INT(((D$5+$A18)-45)/0.05+0.000000001),419)))</f>
        <v>-230.855867425707</v>
      </c>
    </row>
    <row r="19" customFormat="false" ht="15" hidden="false" customHeight="false" outlineLevel="0" collapsed="false">
      <c r="A19" s="14" t="n">
        <v>0.5</v>
      </c>
      <c r="B19" s="12" t="n">
        <f aca="false">B$6+(INDEX(Values!$D$5:$D$425,MIN(INT(((B$5+$A19)-45)/0.05+0.000000001),419)+1)*(1-(((B$5+$A19)-45)/0.05-MIN(INT(((B$5+$A19)-45)/0.05+0.000000001),419)))+INDEX(Values!$D$5:$D$425,MIN(INT(((B$5+$A19)-45)/0.05+0.000000001),419)+2)*(((B$5+$A19)-45)/0.05-MIN(INT(((B$5+$A19)-45)/0.05+0.000000001),419)))</f>
        <v>-260.128351108149</v>
      </c>
      <c r="C19" s="12" t="n">
        <f aca="false">C$6+(INDEX(Values!$D$5:$D$425,MIN(INT(((C$5+$A19)-45)/0.05+0.000000001),419)+1)*(1-(((C$5+$A19)-45)/0.05-MIN(INT(((C$5+$A19)-45)/0.05+0.000000001),419)))+INDEX(Values!$D$5:$D$425,MIN(INT(((C$5+$A19)-45)/0.05+0.000000001),419)+2)*(((C$5+$A19)-45)/0.05-MIN(INT(((C$5+$A19)-45)/0.05+0.000000001),419)))</f>
        <v>-238.614077200493</v>
      </c>
      <c r="D19" s="12" t="n">
        <f aca="false">D$6+(INDEX(Values!$D$5:$D$425,MIN(INT(((D$5+$A19)-45)/0.05+0.000000001),419)+1)*(1-(((D$5+$A19)-45)/0.05-MIN(INT(((D$5+$A19)-45)/0.05+0.000000001),419)))+INDEX(Values!$D$5:$D$425,MIN(INT(((D$5+$A19)-45)/0.05+0.000000001),419)+2)*(((D$5+$A19)-45)/0.05-MIN(INT(((D$5+$A19)-45)/0.05+0.000000001),419)))</f>
        <v>-230.867133402078</v>
      </c>
    </row>
    <row r="20" customFormat="false" ht="15" hidden="false" customHeight="false" outlineLevel="0" collapsed="false">
      <c r="A20" s="14" t="n">
        <v>0.55</v>
      </c>
      <c r="B20" s="12" t="n">
        <f aca="false">B$6+(INDEX(Values!$D$5:$D$425,MIN(INT(((B$5+$A20)-45)/0.05+0.000000001),419)+1)*(1-(((B$5+$A20)-45)/0.05-MIN(INT(((B$5+$A20)-45)/0.05+0.000000001),419)))+INDEX(Values!$D$5:$D$425,MIN(INT(((B$5+$A20)-45)/0.05+0.000000001),419)+2)*(((B$5+$A20)-45)/0.05-MIN(INT(((B$5+$A20)-45)/0.05+0.000000001),419)))</f>
        <v>-259.937594612201</v>
      </c>
      <c r="C20" s="12" t="n">
        <f aca="false">C$6+(INDEX(Values!$D$5:$D$425,MIN(INT(((C$5+$A20)-45)/0.05+0.000000001),419)+1)*(1-(((C$5+$A20)-45)/0.05-MIN(INT(((C$5+$A20)-45)/0.05+0.000000001),419)))+INDEX(Values!$D$5:$D$425,MIN(INT(((C$5+$A20)-45)/0.05+0.000000001),419)+2)*(((C$5+$A20)-45)/0.05-MIN(INT(((C$5+$A20)-45)/0.05+0.000000001),419)))</f>
        <v>-238.599494868202</v>
      </c>
      <c r="D20" s="12" t="n">
        <f aca="false">D$6+(INDEX(Values!$D$5:$D$425,MIN(INT(((D$5+$A20)-45)/0.05+0.000000001),419)+1)*(1-(((D$5+$A20)-45)/0.05-MIN(INT(((D$5+$A20)-45)/0.05+0.000000001),419)))+INDEX(Values!$D$5:$D$425,MIN(INT(((D$5+$A20)-45)/0.05+0.000000001),419)+2)*(((D$5+$A20)-45)/0.05-MIN(INT(((D$5+$A20)-45)/0.05+0.000000001),419)))</f>
        <v>-230.878414801613</v>
      </c>
    </row>
    <row r="21" customFormat="false" ht="15" hidden="false" customHeight="false" outlineLevel="0" collapsed="false">
      <c r="A21" s="14" t="n">
        <v>0.6</v>
      </c>
      <c r="B21" s="12" t="n">
        <f aca="false">B$6+(INDEX(Values!$D$5:$D$425,MIN(INT(((B$5+$A21)-45)/0.05+0.000000001),419)+1)*(1-(((B$5+$A21)-45)/0.05-MIN(INT(((B$5+$A21)-45)/0.05+0.000000001),419)))+INDEX(Values!$D$5:$D$425,MIN(INT(((B$5+$A21)-45)/0.05+0.000000001),419)+2)*(((B$5+$A21)-45)/0.05-MIN(INT(((B$5+$A21)-45)/0.05+0.000000001),419)))</f>
        <v>-259.75090781908</v>
      </c>
      <c r="C21" s="12" t="n">
        <f aca="false">C$6+(INDEX(Values!$D$5:$D$425,MIN(INT(((C$5+$A21)-45)/0.05+0.000000001),419)+1)*(1-(((C$5+$A21)-45)/0.05-MIN(INT(((C$5+$A21)-45)/0.05+0.000000001),419)))+INDEX(Values!$D$5:$D$425,MIN(INT(((C$5+$A21)-45)/0.05+0.000000001),419)+2)*(((C$5+$A21)-45)/0.05-MIN(INT(((C$5+$A21)-45)/0.05+0.000000001),419)))</f>
        <v>-238.584912995699</v>
      </c>
      <c r="D21" s="12" t="n">
        <f aca="false">D$6+(INDEX(Values!$D$5:$D$425,MIN(INT(((D$5+$A21)-45)/0.05+0.000000001),419)+1)*(1-(((D$5+$A21)-45)/0.05-MIN(INT(((D$5+$A21)-45)/0.05+0.000000001),419)))+INDEX(Values!$D$5:$D$425,MIN(INT(((D$5+$A21)-45)/0.05+0.000000001),419)+2)*(((D$5+$A21)-45)/0.05-MIN(INT(((D$5+$A21)-45)/0.05+0.000000001),419)))</f>
        <v>-230.889830826779</v>
      </c>
    </row>
    <row r="22" customFormat="false" ht="15" hidden="false" customHeight="false" outlineLevel="0" collapsed="false">
      <c r="A22" s="14" t="n">
        <v>0.65</v>
      </c>
      <c r="B22" s="12" t="n">
        <f aca="false">B$6+(INDEX(Values!$D$5:$D$425,MIN(INT(((B$5+$A22)-45)/0.05+0.000000001),419)+1)*(1-(((B$5+$A22)-45)/0.05-MIN(INT(((B$5+$A22)-45)/0.05+0.000000001),419)))+INDEX(Values!$D$5:$D$425,MIN(INT(((B$5+$A22)-45)/0.05+0.000000001),419)+2)*(((B$5+$A22)-45)/0.05-MIN(INT(((B$5+$A22)-45)/0.05+0.000000001),419)))</f>
        <v>-259.568271430462</v>
      </c>
      <c r="C22" s="12" t="n">
        <f aca="false">C$6+(INDEX(Values!$D$5:$D$425,MIN(INT(((C$5+$A22)-45)/0.05+0.000000001),419)+1)*(1-(((C$5+$A22)-45)/0.05-MIN(INT(((C$5+$A22)-45)/0.05+0.000000001),419)))+INDEX(Values!$D$5:$D$425,MIN(INT(((C$5+$A22)-45)/0.05+0.000000001),419)+2)*(((C$5+$A22)-45)/0.05-MIN(INT(((C$5+$A22)-45)/0.05+0.000000001),419)))</f>
        <v>-238.570333952875</v>
      </c>
      <c r="D22" s="12" t="n">
        <f aca="false">D$6+(INDEX(Values!$D$5:$D$425,MIN(INT(((D$5+$A22)-45)/0.05+0.000000001),419)+1)*(1-(((D$5+$A22)-45)/0.05-MIN(INT(((D$5+$A22)-45)/0.05+0.000000001),419)))+INDEX(Values!$D$5:$D$425,MIN(INT(((D$5+$A22)-45)/0.05+0.000000001),419)+2)*(((D$5+$A22)-45)/0.05-MIN(INT(((D$5+$A22)-45)/0.05+0.000000001),419)))</f>
        <v>-230.902562158474</v>
      </c>
    </row>
    <row r="23" customFormat="false" ht="15" hidden="false" customHeight="false" outlineLevel="0" collapsed="false">
      <c r="A23" s="14" t="n">
        <v>0.7</v>
      </c>
      <c r="B23" s="12" t="n">
        <f aca="false">B$6+(INDEX(Values!$D$5:$D$425,MIN(INT(((B$5+$A23)-45)/0.05+0.000000001),419)+1)*(1-(((B$5+$A23)-45)/0.05-MIN(INT(((B$5+$A23)-45)/0.05+0.000000001),419)))+INDEX(Values!$D$5:$D$425,MIN(INT(((B$5+$A23)-45)/0.05+0.000000001),419)+2)*(((B$5+$A23)-45)/0.05-MIN(INT(((B$5+$A23)-45)/0.05+0.000000001),419)))</f>
        <v>-259.389636665018</v>
      </c>
      <c r="C23" s="12" t="n">
        <f aca="false">C$6+(INDEX(Values!$D$5:$D$425,MIN(INT(((C$5+$A23)-45)/0.05+0.000000001),419)+1)*(1-(((C$5+$A23)-45)/0.05-MIN(INT(((C$5+$A23)-45)/0.05+0.000000001),419)))+INDEX(Values!$D$5:$D$425,MIN(INT(((C$5+$A23)-45)/0.05+0.000000001),419)+2)*(((C$5+$A23)-45)/0.05-MIN(INT(((C$5+$A23)-45)/0.05+0.000000001),419)))</f>
        <v>-238.555785297364</v>
      </c>
      <c r="D23" s="12" t="n">
        <f aca="false">D$6+(INDEX(Values!$D$5:$D$425,MIN(INT(((D$5+$A23)-45)/0.05+0.000000001),419)+1)*(1-(((D$5+$A23)-45)/0.05-MIN(INT(((D$5+$A23)-45)/0.05+0.000000001),419)))+INDEX(Values!$D$5:$D$425,MIN(INT(((D$5+$A23)-45)/0.05+0.000000001),419)+2)*(((D$5+$A23)-45)/0.05-MIN(INT(((D$5+$A23)-45)/0.05+0.000000001),419)))</f>
        <v>-230.917580904607</v>
      </c>
    </row>
    <row r="24" customFormat="false" ht="15" hidden="false" customHeight="false" outlineLevel="0" collapsed="false">
      <c r="A24" s="14" t="n">
        <v>0.75</v>
      </c>
      <c r="B24" s="12" t="n">
        <f aca="false">B$6+(INDEX(Values!$D$5:$D$425,MIN(INT(((B$5+$A24)-45)/0.05+0.000000001),419)+1)*(1-(((B$5+$A24)-45)/0.05-MIN(INT(((B$5+$A24)-45)/0.05+0.000000001),419)))+INDEX(Values!$D$5:$D$425,MIN(INT(((B$5+$A24)-45)/0.05+0.000000001),419)+2)*(((B$5+$A24)-45)/0.05-MIN(INT(((B$5+$A24)-45)/0.05+0.000000001),419)))</f>
        <v>-259.212950194725</v>
      </c>
      <c r="C24" s="12" t="n">
        <f aca="false">C$6+(INDEX(Values!$D$5:$D$425,MIN(INT(((C$5+$A24)-45)/0.05+0.000000001),419)+1)*(1-(((C$5+$A24)-45)/0.05-MIN(INT(((C$5+$A24)-45)/0.05+0.000000001),419)))+INDEX(Values!$D$5:$D$425,MIN(INT(((C$5+$A24)-45)/0.05+0.000000001),419)+2)*(((C$5+$A24)-45)/0.05-MIN(INT(((C$5+$A24)-45)/0.05+0.000000001),419)))</f>
        <v>-238.541464278173</v>
      </c>
      <c r="D24" s="12" t="n">
        <f aca="false">D$6+(INDEX(Values!$D$5:$D$425,MIN(INT(((D$5+$A24)-45)/0.05+0.000000001),419)+1)*(1-(((D$5+$A24)-45)/0.05-MIN(INT(((D$5+$A24)-45)/0.05+0.000000001),419)))+INDEX(Values!$D$5:$D$425,MIN(INT(((D$5+$A24)-45)/0.05+0.000000001),419)+2)*(((D$5+$A24)-45)/0.05-MIN(INT(((D$5+$A24)-45)/0.05+0.000000001),419)))</f>
        <v>-230.93260075002</v>
      </c>
    </row>
    <row r="25" customFormat="false" ht="15" hidden="false" customHeight="false" outlineLevel="0" collapsed="false">
      <c r="A25" s="14" t="n">
        <v>0.8</v>
      </c>
      <c r="B25" s="12" t="n">
        <f aca="false">B$6+(INDEX(Values!$D$5:$D$425,MIN(INT(((B$5+$A25)-45)/0.05+0.000000001),419)+1)*(1-(((B$5+$A25)-45)/0.05-MIN(INT(((B$5+$A25)-45)/0.05+0.000000001),419)))+INDEX(Values!$D$5:$D$425,MIN(INT(((B$5+$A25)-45)/0.05+0.000000001),419)+2)*(((B$5+$A25)-45)/0.05-MIN(INT(((B$5+$A25)-45)/0.05+0.000000001),419)))</f>
        <v>-259.036470201847</v>
      </c>
      <c r="C25" s="12" t="n">
        <f aca="false">C$6+(INDEX(Values!$D$5:$D$425,MIN(INT(((C$5+$A25)-45)/0.05+0.000000001),419)+1)*(1-(((C$5+$A25)-45)/0.05-MIN(INT(((C$5+$A25)-45)/0.05+0.000000001),419)))+INDEX(Values!$D$5:$D$425,MIN(INT(((C$5+$A25)-45)/0.05+0.000000001),419)+2)*(((C$5+$A25)-45)/0.05-MIN(INT(((C$5+$A25)-45)/0.05+0.000000001),419)))</f>
        <v>-238.530232566534</v>
      </c>
      <c r="D25" s="12" t="n">
        <f aca="false">D$6+(INDEX(Values!$D$5:$D$425,MIN(INT(((D$5+$A25)-45)/0.05+0.000000001),419)+1)*(1-(((D$5+$A25)-45)/0.05-MIN(INT(((D$5+$A25)-45)/0.05+0.000000001),419)))+INDEX(Values!$D$5:$D$425,MIN(INT(((D$5+$A25)-45)/0.05+0.000000001),419)+2)*(((D$5+$A25)-45)/0.05-MIN(INT(((D$5+$A25)-45)/0.05+0.000000001),419)))</f>
        <v>-230.947620650392</v>
      </c>
    </row>
    <row r="26" customFormat="false" ht="15" hidden="false" customHeight="false" outlineLevel="0" collapsed="false">
      <c r="A26" s="14" t="n">
        <v>0.85</v>
      </c>
      <c r="B26" s="12" t="n">
        <f aca="false">B$6+(INDEX(Values!$D$5:$D$425,MIN(INT(((B$5+$A26)-45)/0.05+0.000000001),419)+1)*(1-(((B$5+$A26)-45)/0.05-MIN(INT(((B$5+$A26)-45)/0.05+0.000000001),419)))+INDEX(Values!$D$5:$D$425,MIN(INT(((B$5+$A26)-45)/0.05+0.000000001),419)+2)*(((B$5+$A26)-45)/0.05-MIN(INT(((B$5+$A26)-45)/0.05+0.000000001),419)))</f>
        <v>-258.860486791691</v>
      </c>
      <c r="C26" s="12" t="n">
        <f aca="false">C$6+(INDEX(Values!$D$5:$D$425,MIN(INT(((C$5+$A26)-45)/0.05+0.000000001),419)+1)*(1-(((C$5+$A26)-45)/0.05-MIN(INT(((C$5+$A26)-45)/0.05+0.000000001),419)))+INDEX(Values!$D$5:$D$425,MIN(INT(((C$5+$A26)-45)/0.05+0.000000001),419)+2)*(((C$5+$A26)-45)/0.05-MIN(INT(((C$5+$A26)-45)/0.05+0.000000001),419)))</f>
        <v>-238.519600782476</v>
      </c>
      <c r="D26" s="12" t="n">
        <f aca="false">D$6+(INDEX(Values!$D$5:$D$425,MIN(INT(((D$5+$A26)-45)/0.05+0.000000001),419)+1)*(1-(((D$5+$A26)-45)/0.05-MIN(INT(((D$5+$A26)-45)/0.05+0.000000001),419)))+INDEX(Values!$D$5:$D$425,MIN(INT(((D$5+$A26)-45)/0.05+0.000000001),419)+2)*(((D$5+$A26)-45)/0.05-MIN(INT(((D$5+$A26)-45)/0.05+0.000000001),419)))</f>
        <v>-230.962640892703</v>
      </c>
    </row>
    <row r="27" customFormat="false" ht="15" hidden="false" customHeight="false" outlineLevel="0" collapsed="false">
      <c r="A27" s="14" t="n">
        <v>0.9</v>
      </c>
      <c r="B27" s="12" t="n">
        <f aca="false">B$6+(INDEX(Values!$D$5:$D$425,MIN(INT(((B$5+$A27)-45)/0.05+0.000000001),419)+1)*(1-(((B$5+$A27)-45)/0.05-MIN(INT(((B$5+$A27)-45)/0.05+0.000000001),419)))+INDEX(Values!$D$5:$D$425,MIN(INT(((B$5+$A27)-45)/0.05+0.000000001),419)+2)*(((B$5+$A27)-45)/0.05-MIN(INT(((B$5+$A27)-45)/0.05+0.000000001),419)))</f>
        <v>-258.685375947823</v>
      </c>
      <c r="C27" s="12" t="n">
        <f aca="false">C$6+(INDEX(Values!$D$5:$D$425,MIN(INT(((C$5+$A27)-45)/0.05+0.000000001),419)+1)*(1-(((C$5+$A27)-45)/0.05-MIN(INT(((C$5+$A27)-45)/0.05+0.000000001),419)))+INDEX(Values!$D$5:$D$425,MIN(INT(((C$5+$A27)-45)/0.05+0.000000001),419)+2)*(((C$5+$A27)-45)/0.05-MIN(INT(((C$5+$A27)-45)/0.05+0.000000001),419)))</f>
        <v>-238.508969003018</v>
      </c>
      <c r="D27" s="12" t="n">
        <f aca="false">D$6+(INDEX(Values!$D$5:$D$425,MIN(INT(((D$5+$A27)-45)/0.05+0.000000001),419)+1)*(1-(((D$5+$A27)-45)/0.05-MIN(INT(((D$5+$A27)-45)/0.05+0.000000001),419)))+INDEX(Values!$D$5:$D$425,MIN(INT(((D$5+$A27)-45)/0.05+0.000000001),419)+2)*(((D$5+$A27)-45)/0.05-MIN(INT(((D$5+$A27)-45)/0.05+0.000000001),419)))</f>
        <v>-230.977663483342</v>
      </c>
    </row>
    <row r="28" customFormat="false" ht="15" hidden="false" customHeight="false" outlineLevel="0" collapsed="false">
      <c r="A28" s="14" t="n">
        <v>0.95</v>
      </c>
      <c r="B28" s="12" t="n">
        <f aca="false">B$6+(INDEX(Values!$D$5:$D$425,MIN(INT(((B$5+$A28)-45)/0.05+0.000000001),419)+1)*(1-(((B$5+$A28)-45)/0.05-MIN(INT(((B$5+$A28)-45)/0.05+0.000000001),419)))+INDEX(Values!$D$5:$D$425,MIN(INT(((B$5+$A28)-45)/0.05+0.000000001),419)+2)*(((B$5+$A28)-45)/0.05-MIN(INT(((B$5+$A28)-45)/0.05+0.000000001),419)))</f>
        <v>-258.512209725017</v>
      </c>
      <c r="C28" s="12" t="n">
        <f aca="false">C$6+(INDEX(Values!$D$5:$D$425,MIN(INT(((C$5+$A28)-45)/0.05+0.000000001),419)+1)*(1-(((C$5+$A28)-45)/0.05-MIN(INT(((C$5+$A28)-45)/0.05+0.000000001),419)))+INDEX(Values!$D$5:$D$425,MIN(INT(((C$5+$A28)-45)/0.05+0.000000001),419)+2)*(((C$5+$A28)-45)/0.05-MIN(INT(((C$5+$A28)-45)/0.05+0.000000001),419)))</f>
        <v>-238.498337245447</v>
      </c>
      <c r="D28" s="12" t="n">
        <f aca="false">D$6+(INDEX(Values!$D$5:$D$425,MIN(INT(((D$5+$A28)-45)/0.05+0.000000001),419)+1)*(1-(((D$5+$A28)-45)/0.05-MIN(INT(((D$5+$A28)-45)/0.05+0.000000001),419)))+INDEX(Values!$D$5:$D$425,MIN(INT(((D$5+$A28)-45)/0.05+0.000000001),419)+2)*(((D$5+$A28)-45)/0.05-MIN(INT(((D$5+$A28)-45)/0.05+0.000000001),419)))</f>
        <v>-230.992697644912</v>
      </c>
    </row>
    <row r="29" customFormat="false" ht="15" hidden="false" customHeight="false" outlineLevel="0" collapsed="false">
      <c r="A29" s="14" t="n">
        <v>1</v>
      </c>
      <c r="B29" s="12" t="n">
        <f aca="false">B$6+(INDEX(Values!$D$5:$D$425,MIN(INT(((B$5+$A29)-45)/0.05+0.000000001),419)+1)*(1-(((B$5+$A29)-45)/0.05-MIN(INT(((B$5+$A29)-45)/0.05+0.000000001),419)))+INDEX(Values!$D$5:$D$425,MIN(INT(((B$5+$A29)-45)/0.05+0.000000001),419)+2)*(((B$5+$A29)-45)/0.05-MIN(INT(((B$5+$A29)-45)/0.05+0.000000001),419)))</f>
        <v>-258.345441546807</v>
      </c>
      <c r="C29" s="12" t="n">
        <f aca="false">C$6+(INDEX(Values!$D$5:$D$425,MIN(INT(((C$5+$A29)-45)/0.05+0.000000001),419)+1)*(1-(((C$5+$A29)-45)/0.05-MIN(INT(((C$5+$A29)-45)/0.05+0.000000001),419)))+INDEX(Values!$D$5:$D$425,MIN(INT(((C$5+$A29)-45)/0.05+0.000000001),419)+2)*(((C$5+$A29)-45)/0.05-MIN(INT(((C$5+$A29)-45)/0.05+0.000000001),419)))</f>
        <v>-238.487705619121</v>
      </c>
      <c r="D29" s="12" t="n">
        <f aca="false">D$6+(INDEX(Values!$D$5:$D$425,MIN(INT(((D$5+$A29)-45)/0.05+0.000000001),419)+1)*(1-(((D$5+$A29)-45)/0.05-MIN(INT(((D$5+$A29)-45)/0.05+0.000000001),419)))+INDEX(Values!$D$5:$D$425,MIN(INT(((D$5+$A29)-45)/0.05+0.000000001),419)+2)*(((D$5+$A29)-45)/0.05-MIN(INT(((D$5+$A29)-45)/0.05+0.000000001),419)))</f>
        <v>-231.007793825147</v>
      </c>
    </row>
    <row r="30" customFormat="false" ht="15" hidden="false" customHeight="false" outlineLevel="0" collapsed="false">
      <c r="A30" s="14" t="n">
        <v>1.05</v>
      </c>
      <c r="B30" s="12" t="n">
        <f aca="false">B$6+(INDEX(Values!$D$5:$D$425,MIN(INT(((B$5+$A30)-45)/0.05+0.000000001),419)+1)*(1-(((B$5+$A30)-45)/0.05-MIN(INT(((B$5+$A30)-45)/0.05+0.000000001),419)))+INDEX(Values!$D$5:$D$425,MIN(INT(((B$5+$A30)-45)/0.05+0.000000001),419)+2)*(((B$5+$A30)-45)/0.05-MIN(INT(((B$5+$A30)-45)/0.05+0.000000001),419)))</f>
        <v>-258.186215892681</v>
      </c>
      <c r="C30" s="12" t="n">
        <f aca="false">C$6+(INDEX(Values!$D$5:$D$425,MIN(INT(((C$5+$A30)-45)/0.05+0.000000001),419)+1)*(1-(((C$5+$A30)-45)/0.05-MIN(INT(((C$5+$A30)-45)/0.05+0.000000001),419)))+INDEX(Values!$D$5:$D$425,MIN(INT(((C$5+$A30)-45)/0.05+0.000000001),419)+2)*(((C$5+$A30)-45)/0.05-MIN(INT(((C$5+$A30)-45)/0.05+0.000000001),419)))</f>
        <v>-238.47707536857</v>
      </c>
      <c r="D30" s="12" t="n">
        <f aca="false">D$6+(INDEX(Values!$D$5:$D$425,MIN(INT(((D$5+$A30)-45)/0.05+0.000000001),419)+1)*(1-(((D$5+$A30)-45)/0.05-MIN(INT(((D$5+$A30)-45)/0.05+0.000000001),419)))+INDEX(Values!$D$5:$D$425,MIN(INT(((D$5+$A30)-45)/0.05+0.000000001),419)+2)*(((D$5+$A30)-45)/0.05-MIN(INT(((D$5+$A30)-45)/0.05+0.000000001),419)))</f>
        <v>-231.023041633275</v>
      </c>
    </row>
    <row r="31" customFormat="false" ht="15" hidden="false" customHeight="false" outlineLevel="0" collapsed="false">
      <c r="A31" s="14" t="n">
        <v>1.1</v>
      </c>
      <c r="B31" s="12" t="n">
        <f aca="false">B$6+(INDEX(Values!$D$5:$D$425,MIN(INT(((B$5+$A31)-45)/0.05+0.000000001),419)+1)*(1-(((B$5+$A31)-45)/0.05-MIN(INT(((B$5+$A31)-45)/0.05+0.000000001),419)))+INDEX(Values!$D$5:$D$425,MIN(INT(((B$5+$A31)-45)/0.05+0.000000001),419)+2)*(((B$5+$A31)-45)/0.05-MIN(INT(((B$5+$A31)-45)/0.05+0.000000001),419)))</f>
        <v>-258.029746970287</v>
      </c>
      <c r="C31" s="12" t="n">
        <f aca="false">C$6+(INDEX(Values!$D$5:$D$425,MIN(INT(((C$5+$A31)-45)/0.05+0.000000001),419)+1)*(1-(((C$5+$A31)-45)/0.05-MIN(INT(((C$5+$A31)-45)/0.05+0.000000001),419)))+INDEX(Values!$D$5:$D$425,MIN(INT(((C$5+$A31)-45)/0.05+0.000000001),419)+2)*(((C$5+$A31)-45)/0.05-MIN(INT(((C$5+$A31)-45)/0.05+0.000000001),419)))</f>
        <v>-238.466561330512</v>
      </c>
      <c r="D31" s="12" t="n">
        <f aca="false">D$6+(INDEX(Values!$D$5:$D$425,MIN(INT(((D$5+$A31)-45)/0.05+0.000000001),419)+1)*(1-(((D$5+$A31)-45)/0.05-MIN(INT(((D$5+$A31)-45)/0.05+0.000000001),419)))+INDEX(Values!$D$5:$D$425,MIN(INT(((D$5+$A31)-45)/0.05+0.000000001),419)+2)*(((D$5+$A31)-45)/0.05-MIN(INT(((D$5+$A31)-45)/0.05+0.000000001),419)))</f>
        <v>-231.038348313437</v>
      </c>
    </row>
    <row r="32" customFormat="false" ht="15" hidden="false" customHeight="false" outlineLevel="0" collapsed="false">
      <c r="A32" s="14" t="n">
        <v>1.15</v>
      </c>
      <c r="B32" s="12" t="n">
        <f aca="false">B$6+(INDEX(Values!$D$5:$D$425,MIN(INT(((B$5+$A32)-45)/0.05+0.000000001),419)+1)*(1-(((B$5+$A32)-45)/0.05-MIN(INT(((B$5+$A32)-45)/0.05+0.000000001),419)))+INDEX(Values!$D$5:$D$425,MIN(INT(((B$5+$A32)-45)/0.05+0.000000001),419)+2)*(((B$5+$A32)-45)/0.05-MIN(INT(((B$5+$A32)-45)/0.05+0.000000001),419)))</f>
        <v>-257.873511040286</v>
      </c>
      <c r="C32" s="12" t="n">
        <f aca="false">C$6+(INDEX(Values!$D$5:$D$425,MIN(INT(((C$5+$A32)-45)/0.05+0.000000001),419)+1)*(1-(((C$5+$A32)-45)/0.05-MIN(INT(((C$5+$A32)-45)/0.05+0.000000001),419)))+INDEX(Values!$D$5:$D$425,MIN(INT(((C$5+$A32)-45)/0.05+0.000000001),419)+2)*(((C$5+$A32)-45)/0.05-MIN(INT(((C$5+$A32)-45)/0.05+0.000000001),419)))</f>
        <v>-238.456332738204</v>
      </c>
      <c r="D32" s="12" t="n">
        <f aca="false">D$6+(INDEX(Values!$D$5:$D$425,MIN(INT(((D$5+$A32)-45)/0.05+0.000000001),419)+1)*(1-(((D$5+$A32)-45)/0.05-MIN(INT(((D$5+$A32)-45)/0.05+0.000000001),419)))+INDEX(Values!$D$5:$D$425,MIN(INT(((D$5+$A32)-45)/0.05+0.000000001),419)+2)*(((D$5+$A32)-45)/0.05-MIN(INT(((D$5+$A32)-45)/0.05+0.000000001),419)))</f>
        <v>-231.053655056529</v>
      </c>
    </row>
    <row r="33" customFormat="false" ht="15" hidden="false" customHeight="false" outlineLevel="0" collapsed="false">
      <c r="A33" s="14" t="n">
        <v>1.2</v>
      </c>
      <c r="B33" s="12" t="n">
        <f aca="false">B$6+(INDEX(Values!$D$5:$D$425,MIN(INT(((B$5+$A33)-45)/0.05+0.000000001),419)+1)*(1-(((B$5+$A33)-45)/0.05-MIN(INT(((B$5+$A33)-45)/0.05+0.000000001),419)))+INDEX(Values!$D$5:$D$425,MIN(INT(((B$5+$A33)-45)/0.05+0.000000001),419)+2)*(((B$5+$A33)-45)/0.05-MIN(INT(((B$5+$A33)-45)/0.05+0.000000001),419)))</f>
        <v>-257.717390073727</v>
      </c>
      <c r="C33" s="12" t="n">
        <f aca="false">C$6+(INDEX(Values!$D$5:$D$425,MIN(INT(((C$5+$A33)-45)/0.05+0.000000001),419)+1)*(1-(((C$5+$A33)-45)/0.05-MIN(INT(((C$5+$A33)-45)/0.05+0.000000001),419)))+INDEX(Values!$D$5:$D$425,MIN(INT(((C$5+$A33)-45)/0.05+0.000000001),419)+2)*(((C$5+$A33)-45)/0.05-MIN(INT(((C$5+$A33)-45)/0.05+0.000000001),419)))</f>
        <v>-238.461767498339</v>
      </c>
      <c r="D33" s="12" t="n">
        <f aca="false">D$6+(INDEX(Values!$D$5:$D$425,MIN(INT(((D$5+$A33)-45)/0.05+0.000000001),419)+1)*(1-(((D$5+$A33)-45)/0.05-MIN(INT(((D$5+$A33)-45)/0.05+0.000000001),419)))+INDEX(Values!$D$5:$D$425,MIN(INT(((D$5+$A33)-45)/0.05+0.000000001),419)+2)*(((D$5+$A33)-45)/0.05-MIN(INT(((D$5+$A33)-45)/0.05+0.000000001),419)))</f>
        <v>-231.068962384948</v>
      </c>
    </row>
    <row r="34" customFormat="false" ht="15" hidden="false" customHeight="false" outlineLevel="0" collapsed="false">
      <c r="A34" s="14" t="n">
        <v>1.25</v>
      </c>
      <c r="B34" s="12" t="n">
        <f aca="false">B$6+(INDEX(Values!$D$5:$D$425,MIN(INT(((B$5+$A34)-45)/0.05+0.000000001),419)+1)*(1-(((B$5+$A34)-45)/0.05-MIN(INT(((B$5+$A34)-45)/0.05+0.000000001),419)))+INDEX(Values!$D$5:$D$425,MIN(INT(((B$5+$A34)-45)/0.05+0.000000001),419)+2)*(((B$5+$A34)-45)/0.05-MIN(INT(((B$5+$A34)-45)/0.05+0.000000001),419)))</f>
        <v>-257.561596088187</v>
      </c>
      <c r="C34" s="12" t="n">
        <f aca="false">C$6+(INDEX(Values!$D$5:$D$425,MIN(INT(((C$5+$A34)-45)/0.05+0.000000001),419)+1)*(1-(((C$5+$A34)-45)/0.05-MIN(INT(((C$5+$A34)-45)/0.05+0.000000001),419)))+INDEX(Values!$D$5:$D$425,MIN(INT(((C$5+$A34)-45)/0.05+0.000000001),419)+2)*(((C$5+$A34)-45)/0.05-MIN(INT(((C$5+$A34)-45)/0.05+0.000000001),419)))</f>
        <v>-238.467205922693</v>
      </c>
      <c r="D34" s="12" t="n">
        <f aca="false">D$6+(INDEX(Values!$D$5:$D$425,MIN(INT(((D$5+$A34)-45)/0.05+0.000000001),419)+1)*(1-(((D$5+$A34)-45)/0.05-MIN(INT(((D$5+$A34)-45)/0.05+0.000000001),419)))+INDEX(Values!$D$5:$D$425,MIN(INT(((D$5+$A34)-45)/0.05+0.000000001),419)+2)*(((D$5+$A34)-45)/0.05-MIN(INT(((D$5+$A34)-45)/0.05+0.000000001),419)))</f>
        <v>-231.084275246134</v>
      </c>
    </row>
    <row r="35" customFormat="false" ht="15" hidden="false" customHeight="false" outlineLevel="0" collapsed="false">
      <c r="A35" s="14" t="n">
        <v>1.3</v>
      </c>
      <c r="B35" s="12" t="n">
        <f aca="false">B$6+(INDEX(Values!$D$5:$D$425,MIN(INT(((B$5+$A35)-45)/0.05+0.000000001),419)+1)*(1-(((B$5+$A35)-45)/0.05-MIN(INT(((B$5+$A35)-45)/0.05+0.000000001),419)))+INDEX(Values!$D$5:$D$425,MIN(INT(((B$5+$A35)-45)/0.05+0.000000001),419)+2)*(((B$5+$A35)-45)/0.05-MIN(INT(((B$5+$A35)-45)/0.05+0.000000001),419)))</f>
        <v>-257.40693136219</v>
      </c>
      <c r="C35" s="12" t="n">
        <f aca="false">C$6+(INDEX(Values!$D$5:$D$425,MIN(INT(((C$5+$A35)-45)/0.05+0.000000001),419)+1)*(1-(((C$5+$A35)-45)/0.05-MIN(INT(((C$5+$A35)-45)/0.05+0.000000001),419)))+INDEX(Values!$D$5:$D$425,MIN(INT(((C$5+$A35)-45)/0.05+0.000000001),419)+2)*(((C$5+$A35)-45)/0.05-MIN(INT(((C$5+$A35)-45)/0.05+0.000000001),419)))</f>
        <v>-238.472644362262</v>
      </c>
      <c r="D35" s="12" t="n">
        <f aca="false">D$6+(INDEX(Values!$D$5:$D$425,MIN(INT(((D$5+$A35)-45)/0.05+0.000000001),419)+1)*(1-(((D$5+$A35)-45)/0.05-MIN(INT(((D$5+$A35)-45)/0.05+0.000000001),419)))+INDEX(Values!$D$5:$D$425,MIN(INT(((D$5+$A35)-45)/0.05+0.000000001),419)+2)*(((D$5+$A35)-45)/0.05-MIN(INT(((D$5+$A35)-45)/0.05+0.000000001),419)))</f>
        <v>-231.09964243826</v>
      </c>
    </row>
    <row r="36" customFormat="false" ht="15" hidden="false" customHeight="false" outlineLevel="0" collapsed="false">
      <c r="A36" s="14" t="n">
        <v>1.35</v>
      </c>
      <c r="B36" s="12" t="n">
        <f aca="false">B$6+(INDEX(Values!$D$5:$D$425,MIN(INT(((B$5+$A36)-45)/0.05+0.000000001),419)+1)*(1-(((B$5+$A36)-45)/0.05-MIN(INT(((B$5+$A36)-45)/0.05+0.000000001),419)))+INDEX(Values!$D$5:$D$425,MIN(INT(((B$5+$A36)-45)/0.05+0.000000001),419)+2)*(((B$5+$A36)-45)/0.05-MIN(INT(((B$5+$A36)-45)/0.05+0.000000001),419)))</f>
        <v>-257.25434756034</v>
      </c>
      <c r="C36" s="12" t="n">
        <f aca="false">C$6+(INDEX(Values!$D$5:$D$425,MIN(INT(((C$5+$A36)-45)/0.05+0.000000001),419)+1)*(1-(((C$5+$A36)-45)/0.05-MIN(INT(((C$5+$A36)-45)/0.05+0.000000001),419)))+INDEX(Values!$D$5:$D$425,MIN(INT(((C$5+$A36)-45)/0.05+0.000000001),419)+2)*(((C$5+$A36)-45)/0.05-MIN(INT(((C$5+$A36)-45)/0.05+0.000000001),419)))</f>
        <v>-238.478082947408</v>
      </c>
      <c r="D36" s="12" t="n">
        <f aca="false">D$6+(INDEX(Values!$D$5:$D$425,MIN(INT(((D$5+$A36)-45)/0.05+0.000000001),419)+1)*(1-(((D$5+$A36)-45)/0.05-MIN(INT(((D$5+$A36)-45)/0.05+0.000000001),419)))+INDEX(Values!$D$5:$D$425,MIN(INT(((D$5+$A36)-45)/0.05+0.000000001),419)+2)*(((D$5+$A36)-45)/0.05-MIN(INT(((D$5+$A36)-45)/0.05+0.000000001),419)))</f>
        <v>-231.115446461287</v>
      </c>
    </row>
    <row r="37" customFormat="false" ht="15" hidden="false" customHeight="false" outlineLevel="0" collapsed="false">
      <c r="A37" s="14" t="n">
        <v>1.4</v>
      </c>
      <c r="B37" s="12" t="n">
        <f aca="false">B$6+(INDEX(Values!$D$5:$D$425,MIN(INT(((B$5+$A37)-45)/0.05+0.000000001),419)+1)*(1-(((B$5+$A37)-45)/0.05-MIN(INT(((B$5+$A37)-45)/0.05+0.000000001),419)))+INDEX(Values!$D$5:$D$425,MIN(INT(((B$5+$A37)-45)/0.05+0.000000001),419)+2)*(((B$5+$A37)-45)/0.05-MIN(INT(((B$5+$A37)-45)/0.05+0.000000001),419)))</f>
        <v>-257.105966013734</v>
      </c>
      <c r="C37" s="12" t="n">
        <f aca="false">C$6+(INDEX(Values!$D$5:$D$425,MIN(INT(((C$5+$A37)-45)/0.05+0.000000001),419)+1)*(1-(((C$5+$A37)-45)/0.05-MIN(INT(((C$5+$A37)-45)/0.05+0.000000001),419)))+INDEX(Values!$D$5:$D$425,MIN(INT(((C$5+$A37)-45)/0.05+0.000000001),419)+2)*(((C$5+$A37)-45)/0.05-MIN(INT(((C$5+$A37)-45)/0.05+0.000000001),419)))</f>
        <v>-238.483522195212</v>
      </c>
      <c r="D37" s="12" t="n">
        <f aca="false">D$6+(INDEX(Values!$D$5:$D$425,MIN(INT(((D$5+$A37)-45)/0.05+0.000000001),419)+1)*(1-(((D$5+$A37)-45)/0.05-MIN(INT(((D$5+$A37)-45)/0.05+0.000000001),419)))+INDEX(Values!$D$5:$D$425,MIN(INT(((D$5+$A37)-45)/0.05+0.000000001),419)+2)*(((D$5+$A37)-45)/0.05-MIN(INT(((D$5+$A37)-45)/0.05+0.000000001),419)))</f>
        <v>-231.132525389318</v>
      </c>
    </row>
    <row r="38" customFormat="false" ht="15" hidden="false" customHeight="false" outlineLevel="0" collapsed="false">
      <c r="A38" s="14" t="n">
        <v>1.45</v>
      </c>
      <c r="B38" s="12" t="n">
        <f aca="false">B$6+(INDEX(Values!$D$5:$D$425,MIN(INT(((B$5+$A38)-45)/0.05+0.000000001),419)+1)*(1-(((B$5+$A38)-45)/0.05-MIN(INT(((B$5+$A38)-45)/0.05+0.000000001),419)))+INDEX(Values!$D$5:$D$425,MIN(INT(((B$5+$A38)-45)/0.05+0.000000001),419)+2)*(((B$5+$A38)-45)/0.05-MIN(INT(((B$5+$A38)-45)/0.05+0.000000001),419)))</f>
        <v>-256.966363751537</v>
      </c>
      <c r="C38" s="12" t="n">
        <f aca="false">C$6+(INDEX(Values!$D$5:$D$425,MIN(INT(((C$5+$A38)-45)/0.05+0.000000001),419)+1)*(1-(((C$5+$A38)-45)/0.05-MIN(INT(((C$5+$A38)-45)/0.05+0.000000001),419)))+INDEX(Values!$D$5:$D$425,MIN(INT(((C$5+$A38)-45)/0.05+0.000000001),419)+2)*(((C$5+$A38)-45)/0.05-MIN(INT(((C$5+$A38)-45)/0.05+0.000000001),419)))</f>
        <v>-238.488970275459</v>
      </c>
      <c r="D38" s="12" t="n">
        <f aca="false">D$6+(INDEX(Values!$D$5:$D$425,MIN(INT(((D$5+$A38)-45)/0.05+0.000000001),419)+1)*(1-(((D$5+$A38)-45)/0.05-MIN(INT(((D$5+$A38)-45)/0.05+0.000000001),419)))+INDEX(Values!$D$5:$D$425,MIN(INT(((D$5+$A38)-45)/0.05+0.000000001),419)+2)*(((D$5+$A38)-45)/0.05-MIN(INT(((D$5+$A38)-45)/0.05+0.000000001),419)))</f>
        <v>-231.152262824561</v>
      </c>
    </row>
    <row r="39" customFormat="false" ht="15" hidden="false" customHeight="false" outlineLevel="0" collapsed="false">
      <c r="A39" s="14" t="n">
        <v>1.5</v>
      </c>
      <c r="B39" s="12" t="n">
        <f aca="false">B$6+(INDEX(Values!$D$5:$D$425,MIN(INT(((B$5+$A39)-45)/0.05+0.000000001),419)+1)*(1-(((B$5+$A39)-45)/0.05-MIN(INT(((B$5+$A39)-45)/0.05+0.000000001),419)))+INDEX(Values!$D$5:$D$425,MIN(INT(((B$5+$A39)-45)/0.05+0.000000001),419)+2)*(((B$5+$A39)-45)/0.05-MIN(INT(((B$5+$A39)-45)/0.05+0.000000001),419)))</f>
        <v>-256.832629716562</v>
      </c>
      <c r="C39" s="12" t="n">
        <f aca="false">C$6+(INDEX(Values!$D$5:$D$425,MIN(INT(((C$5+$A39)-45)/0.05+0.000000001),419)+1)*(1-(((C$5+$A39)-45)/0.05-MIN(INT(((C$5+$A39)-45)/0.05+0.000000001),419)))+INDEX(Values!$D$5:$D$425,MIN(INT(((C$5+$A39)-45)/0.05+0.000000001),419)+2)*(((C$5+$A39)-45)/0.05-MIN(INT(((C$5+$A39)-45)/0.05+0.000000001),419)))</f>
        <v>-238.494443683459</v>
      </c>
      <c r="D39" s="12" t="n">
        <f aca="false">D$6+(INDEX(Values!$D$5:$D$425,MIN(INT(((D$5+$A39)-45)/0.05+0.000000001),419)+1)*(1-(((D$5+$A39)-45)/0.05-MIN(INT(((D$5+$A39)-45)/0.05+0.000000001),419)))+INDEX(Values!$D$5:$D$425,MIN(INT(((D$5+$A39)-45)/0.05+0.000000001),419)+2)*(((D$5+$A39)-45)/0.05-MIN(INT(((D$5+$A39)-45)/0.05+0.000000001),419)))</f>
        <v>-231.172000799294</v>
      </c>
    </row>
    <row r="40" customFormat="false" ht="15" hidden="false" customHeight="false" outlineLevel="0" collapsed="false">
      <c r="A40" s="14" t="n">
        <v>1.55</v>
      </c>
      <c r="B40" s="12" t="n">
        <f aca="false">B$6+(INDEX(Values!$D$5:$D$425,MIN(INT(((B$5+$A40)-45)/0.05+0.000000001),419)+1)*(1-(((B$5+$A40)-45)/0.05-MIN(INT(((B$5+$A40)-45)/0.05+0.000000001),419)))+INDEX(Values!$D$5:$D$425,MIN(INT(((B$5+$A40)-45)/0.05+0.000000001),419)+2)*(((B$5+$A40)-45)/0.05-MIN(INT(((B$5+$A40)-45)/0.05+0.000000001),419)))</f>
        <v>-256.699007405293</v>
      </c>
      <c r="C40" s="12" t="n">
        <f aca="false">C$6+(INDEX(Values!$D$5:$D$425,MIN(INT(((C$5+$A40)-45)/0.05+0.000000001),419)+1)*(1-(((C$5+$A40)-45)/0.05-MIN(INT(((C$5+$A40)-45)/0.05+0.000000001),419)))+INDEX(Values!$D$5:$D$425,MIN(INT(((C$5+$A40)-45)/0.05+0.000000001),419)+2)*(((C$5+$A40)-45)/0.05-MIN(INT(((C$5+$A40)-45)/0.05+0.000000001),419)))</f>
        <v>-238.500263679512</v>
      </c>
      <c r="D40" s="12" t="n">
        <f aca="false">D$6+(INDEX(Values!$D$5:$D$425,MIN(INT(((D$5+$A40)-45)/0.05+0.000000001),419)+1)*(1-(((D$5+$A40)-45)/0.05-MIN(INT(((D$5+$A40)-45)/0.05+0.000000001),419)))+INDEX(Values!$D$5:$D$425,MIN(INT(((D$5+$A40)-45)/0.05+0.000000001),419)+2)*(((D$5+$A40)-45)/0.05-MIN(INT(((D$5+$A40)-45)/0.05+0.000000001),419)))</f>
        <v>-231.191738879962</v>
      </c>
    </row>
    <row r="41" customFormat="false" ht="15" hidden="false" customHeight="false" outlineLevel="0" collapsed="false">
      <c r="A41" s="14" t="n">
        <v>1.6</v>
      </c>
      <c r="B41" s="12" t="n">
        <f aca="false">B$6+(INDEX(Values!$D$5:$D$425,MIN(INT(((B$5+$A41)-45)/0.05+0.000000001),419)+1)*(1-(((B$5+$A41)-45)/0.05-MIN(INT(((B$5+$A41)-45)/0.05+0.000000001),419)))+INDEX(Values!$D$5:$D$425,MIN(INT(((B$5+$A41)-45)/0.05+0.000000001),419)+2)*(((B$5+$A41)-45)/0.05-MIN(INT(((B$5+$A41)-45)/0.05+0.000000001),419)))</f>
        <v>-256.56548884789</v>
      </c>
      <c r="C41" s="12" t="n">
        <f aca="false">C$6+(INDEX(Values!$D$5:$D$425,MIN(INT(((C$5+$A41)-45)/0.05+0.000000001),419)+1)*(1-(((C$5+$A41)-45)/0.05-MIN(INT(((C$5+$A41)-45)/0.05+0.000000001),419)))+INDEX(Values!$D$5:$D$425,MIN(INT(((C$5+$A41)-45)/0.05+0.000000001),419)+2)*(((C$5+$A41)-45)/0.05-MIN(INT(((C$5+$A41)-45)/0.05+0.000000001),419)))</f>
        <v>-238.506233494414</v>
      </c>
      <c r="D41" s="12" t="n">
        <f aca="false">D$6+(INDEX(Values!$D$5:$D$425,MIN(INT(((D$5+$A41)-45)/0.05+0.000000001),419)+1)*(1-(((D$5+$A41)-45)/0.05-MIN(INT(((D$5+$A41)-45)/0.05+0.000000001),419)))+INDEX(Values!$D$5:$D$425,MIN(INT(((D$5+$A41)-45)/0.05+0.000000001),419)+2)*(((D$5+$A41)-45)/0.05-MIN(INT(((D$5+$A41)-45)/0.05+0.000000001),419)))</f>
        <v>-231.211477678279</v>
      </c>
    </row>
    <row r="42" customFormat="false" ht="15" hidden="false" customHeight="false" outlineLevel="0" collapsed="false">
      <c r="A42" s="14" t="n">
        <v>1.65</v>
      </c>
      <c r="B42" s="12" t="n">
        <f aca="false">B$6+(INDEX(Values!$D$5:$D$425,MIN(INT(((B$5+$A42)-45)/0.05+0.000000001),419)+1)*(1-(((B$5+$A42)-45)/0.05-MIN(INT(((B$5+$A42)-45)/0.05+0.000000001),419)))+INDEX(Values!$D$5:$D$425,MIN(INT(((B$5+$A42)-45)/0.05+0.000000001),419)+2)*(((B$5+$A42)-45)/0.05-MIN(INT(((B$5+$A42)-45)/0.05+0.000000001),419)))</f>
        <v>-256.432207365331</v>
      </c>
      <c r="C42" s="12" t="n">
        <f aca="false">C$6+(INDEX(Values!$D$5:$D$425,MIN(INT(((C$5+$A42)-45)/0.05+0.000000001),419)+1)*(1-(((C$5+$A42)-45)/0.05-MIN(INT(((C$5+$A42)-45)/0.05+0.000000001),419)))+INDEX(Values!$D$5:$D$425,MIN(INT(((C$5+$A42)-45)/0.05+0.000000001),419)+2)*(((C$5+$A42)-45)/0.05-MIN(INT(((C$5+$A42)-45)/0.05+0.000000001),419)))</f>
        <v>-238.512203334382</v>
      </c>
      <c r="D42" s="12" t="n">
        <f aca="false">D$6+(INDEX(Values!$D$5:$D$425,MIN(INT(((D$5+$A42)-45)/0.05+0.000000001),419)+1)*(1-(((D$5+$A42)-45)/0.05-MIN(INT(((D$5+$A42)-45)/0.05+0.000000001),419)))+INDEX(Values!$D$5:$D$425,MIN(INT(((D$5+$A42)-45)/0.05+0.000000001),419)+2)*(((D$5+$A42)-45)/0.05-MIN(INT(((D$5+$A42)-45)/0.05+0.000000001),419)))</f>
        <v>-231.231220208408</v>
      </c>
    </row>
    <row r="43" customFormat="false" ht="15" hidden="false" customHeight="false" outlineLevel="0" collapsed="false">
      <c r="A43" s="14" t="n">
        <v>1.7</v>
      </c>
      <c r="B43" s="12" t="n">
        <f aca="false">B$6+(INDEX(Values!$D$5:$D$425,MIN(INT(((B$5+$A43)-45)/0.05+0.000000001),419)+1)*(1-(((B$5+$A43)-45)/0.05-MIN(INT(((B$5+$A43)-45)/0.05+0.000000001),419)))+INDEX(Values!$D$5:$D$425,MIN(INT(((B$5+$A43)-45)/0.05+0.000000001),419)+2)*(((B$5+$A43)-45)/0.05-MIN(INT(((B$5+$A43)-45)/0.05+0.000000001),419)))</f>
        <v>-256.299633684495</v>
      </c>
      <c r="C43" s="12" t="n">
        <f aca="false">C$6+(INDEX(Values!$D$5:$D$425,MIN(INT(((C$5+$A43)-45)/0.05+0.000000001),419)+1)*(1-(((C$5+$A43)-45)/0.05-MIN(INT(((C$5+$A43)-45)/0.05+0.000000001),419)))+INDEX(Values!$D$5:$D$425,MIN(INT(((C$5+$A43)-45)/0.05+0.000000001),419)+2)*(((C$5+$A43)-45)/0.05-MIN(INT(((C$5+$A43)-45)/0.05+0.000000001),419)))</f>
        <v>-238.518173393882</v>
      </c>
      <c r="D43" s="12" t="n">
        <f aca="false">D$6+(INDEX(Values!$D$5:$D$425,MIN(INT(((D$5+$A43)-45)/0.05+0.000000001),419)+1)*(1-(((D$5+$A43)-45)/0.05-MIN(INT(((D$5+$A43)-45)/0.05+0.000000001),419)))+INDEX(Values!$D$5:$D$425,MIN(INT(((D$5+$A43)-45)/0.05+0.000000001),419)+2)*(((D$5+$A43)-45)/0.05-MIN(INT(((D$5+$A43)-45)/0.05+0.000000001),419)))</f>
        <v>-231.250982699633</v>
      </c>
    </row>
    <row r="44" customFormat="false" ht="15" hidden="false" customHeight="false" outlineLevel="0" collapsed="false">
      <c r="A44" s="14" t="n">
        <v>1.75</v>
      </c>
      <c r="B44" s="12" t="n">
        <f aca="false">B$6+(INDEX(Values!$D$5:$D$425,MIN(INT(((B$5+$A44)-45)/0.05+0.000000001),419)+1)*(1-(((B$5+$A44)-45)/0.05-MIN(INT(((B$5+$A44)-45)/0.05+0.000000001),419)))+INDEX(Values!$D$5:$D$425,MIN(INT(((B$5+$A44)-45)/0.05+0.000000001),419)+2)*(((B$5+$A44)-45)/0.05-MIN(INT(((B$5+$A44)-45)/0.05+0.000000001),419)))</f>
        <v>-256.170225789149</v>
      </c>
      <c r="C44" s="12" t="n">
        <f aca="false">C$6+(INDEX(Values!$D$5:$D$425,MIN(INT(((C$5+$A44)-45)/0.05+0.000000001),419)+1)*(1-(((C$5+$A44)-45)/0.05-MIN(INT(((C$5+$A44)-45)/0.05+0.000000001),419)))+INDEX(Values!$D$5:$D$425,MIN(INT(((C$5+$A44)-45)/0.05+0.000000001),419)+2)*(((C$5+$A44)-45)/0.05-MIN(INT(((C$5+$A44)-45)/0.05+0.000000001),419)))</f>
        <v>-238.524146111873</v>
      </c>
      <c r="D44" s="12" t="n">
        <f aca="false">D$6+(INDEX(Values!$D$5:$D$425,MIN(INT(((D$5+$A44)-45)/0.05+0.000000001),419)+1)*(1-(((D$5+$A44)-45)/0.05-MIN(INT(((D$5+$A44)-45)/0.05+0.000000001),419)))+INDEX(Values!$D$5:$D$425,MIN(INT(((D$5+$A44)-45)/0.05+0.000000001),419)+2)*(((D$5+$A44)-45)/0.05-MIN(INT(((D$5+$A44)-45)/0.05+0.000000001),419)))</f>
        <v>-231.270812123071</v>
      </c>
    </row>
    <row r="45" customFormat="false" ht="15" hidden="false" customHeight="false" outlineLevel="0" collapsed="false">
      <c r="A45" s="14" t="n">
        <v>1.8</v>
      </c>
      <c r="B45" s="12" t="n">
        <f aca="false">B$6+(INDEX(Values!$D$5:$D$425,MIN(INT(((B$5+$A45)-45)/0.05+0.000000001),419)+1)*(1-(((B$5+$A45)-45)/0.05-MIN(INT(((B$5+$A45)-45)/0.05+0.000000001),419)))+INDEX(Values!$D$5:$D$425,MIN(INT(((B$5+$A45)-45)/0.05+0.000000001),419)+2)*(((B$5+$A45)-45)/0.05-MIN(INT(((B$5+$A45)-45)/0.05+0.000000001),419)))</f>
        <v>-256.046309475045</v>
      </c>
      <c r="C45" s="12" t="n">
        <f aca="false">C$6+(INDEX(Values!$D$5:$D$425,MIN(INT(((C$5+$A45)-45)/0.05+0.000000001),419)+1)*(1-(((C$5+$A45)-45)/0.05-MIN(INT(((C$5+$A45)-45)/0.05+0.000000001),419)))+INDEX(Values!$D$5:$D$425,MIN(INT(((C$5+$A45)-45)/0.05+0.000000001),419)+2)*(((C$5+$A45)-45)/0.05-MIN(INT(((C$5+$A45)-45)/0.05+0.000000001),419)))</f>
        <v>-238.530141197804</v>
      </c>
      <c r="D45" s="12" t="n">
        <f aca="false">D$6+(INDEX(Values!$D$5:$D$425,MIN(INT(((D$5+$A45)-45)/0.05+0.000000001),419)+1)*(1-(((D$5+$A45)-45)/0.05-MIN(INT(((D$5+$A45)-45)/0.05+0.000000001),419)))+INDEX(Values!$D$5:$D$425,MIN(INT(((D$5+$A45)-45)/0.05+0.000000001),419)+2)*(((D$5+$A45)-45)/0.05-MIN(INT(((D$5+$A45)-45)/0.05+0.000000001),419)))</f>
        <v>-231.29073498393</v>
      </c>
    </row>
    <row r="46" customFormat="false" ht="15" hidden="false" customHeight="false" outlineLevel="0" collapsed="false">
      <c r="A46" s="14" t="n">
        <v>1.85</v>
      </c>
      <c r="B46" s="12" t="n">
        <f aca="false">B$6+(INDEX(Values!$D$5:$D$425,MIN(INT(((B$5+$A46)-45)/0.05+0.000000001),419)+1)*(1-(((B$5+$A46)-45)/0.05-MIN(INT(((B$5+$A46)-45)/0.05+0.000000001),419)))+INDEX(Values!$D$5:$D$425,MIN(INT(((B$5+$A46)-45)/0.05+0.000000001),419)+2)*(((B$5+$A46)-45)/0.05-MIN(INT(((B$5+$A46)-45)/0.05+0.000000001),419)))</f>
        <v>-255.927591086397</v>
      </c>
      <c r="C46" s="12" t="n">
        <f aca="false">C$6+(INDEX(Values!$D$5:$D$425,MIN(INT(((C$5+$A46)-45)/0.05+0.000000001),419)+1)*(1-(((C$5+$A46)-45)/0.05-MIN(INT(((C$5+$A46)-45)/0.05+0.000000001),419)))+INDEX(Values!$D$5:$D$425,MIN(INT(((C$5+$A46)-45)/0.05+0.000000001),419)+2)*(((C$5+$A46)-45)/0.05-MIN(INT(((C$5+$A46)-45)/0.05+0.000000001),419)))</f>
        <v>-238.536601350282</v>
      </c>
      <c r="D46" s="12" t="n">
        <f aca="false">D$6+(INDEX(Values!$D$5:$D$425,MIN(INT(((D$5+$A46)-45)/0.05+0.000000001),419)+1)*(1-(((D$5+$A46)-45)/0.05-MIN(INT(((D$5+$A46)-45)/0.05+0.000000001),419)))+INDEX(Values!$D$5:$D$425,MIN(INT(((D$5+$A46)-45)/0.05+0.000000001),419)+2)*(((D$5+$A46)-45)/0.05-MIN(INT(((D$5+$A46)-45)/0.05+0.000000001),419)))</f>
        <v>-231.310689638711</v>
      </c>
    </row>
    <row r="47" customFormat="false" ht="15" hidden="false" customHeight="false" outlineLevel="0" collapsed="false">
      <c r="A47" s="14" t="n">
        <v>1.9</v>
      </c>
      <c r="B47" s="12" t="n">
        <f aca="false">B$6+(INDEX(Values!$D$5:$D$425,MIN(INT(((B$5+$A47)-45)/0.05+0.000000001),419)+1)*(1-(((B$5+$A47)-45)/0.05-MIN(INT(((B$5+$A47)-45)/0.05+0.000000001),419)))+INDEX(Values!$D$5:$D$425,MIN(INT(((B$5+$A47)-45)/0.05+0.000000001),419)+2)*(((B$5+$A47)-45)/0.05-MIN(INT(((B$5+$A47)-45)/0.05+0.000000001),419)))</f>
        <v>-255.81120613565</v>
      </c>
      <c r="C47" s="12" t="n">
        <f aca="false">C$6+(INDEX(Values!$D$5:$D$425,MIN(INT(((C$5+$A47)-45)/0.05+0.000000001),419)+1)*(1-(((C$5+$A47)-45)/0.05-MIN(INT(((C$5+$A47)-45)/0.05+0.000000001),419)))+INDEX(Values!$D$5:$D$425,MIN(INT(((C$5+$A47)-45)/0.05+0.000000001),419)+2)*(((C$5+$A47)-45)/0.05-MIN(INT(((C$5+$A47)-45)/0.05+0.000000001),419)))</f>
        <v>-238.543853230276</v>
      </c>
      <c r="D47" s="12" t="n">
        <f aca="false">D$6+(INDEX(Values!$D$5:$D$425,MIN(INT(((D$5+$A47)-45)/0.05+0.000000001),419)+1)*(1-(((D$5+$A47)-45)/0.05-MIN(INT(((D$5+$A47)-45)/0.05+0.000000001),419)))+INDEX(Values!$D$5:$D$425,MIN(INT(((D$5+$A47)-45)/0.05+0.000000001),419)+2)*(((D$5+$A47)-45)/0.05-MIN(INT(((D$5+$A47)-45)/0.05+0.000000001),419)))</f>
        <v>-231.330644423472</v>
      </c>
    </row>
    <row r="48" customFormat="false" ht="15" hidden="false" customHeight="false" outlineLevel="0" collapsed="false">
      <c r="A48" s="14" t="n">
        <v>1.95</v>
      </c>
      <c r="B48" s="12" t="n">
        <f aca="false">B$6+(INDEX(Values!$D$5:$D$425,MIN(INT(((B$5+$A48)-45)/0.05+0.000000001),419)+1)*(1-(((B$5+$A48)-45)/0.05-MIN(INT(((B$5+$A48)-45)/0.05+0.000000001),419)))+INDEX(Values!$D$5:$D$425,MIN(INT(((B$5+$A48)-45)/0.05+0.000000001),419)+2)*(((B$5+$A48)-45)/0.05-MIN(INT(((B$5+$A48)-45)/0.05+0.000000001),419)))</f>
        <v>-255.694845157561</v>
      </c>
      <c r="C48" s="12" t="n">
        <f aca="false">C$6+(INDEX(Values!$D$5:$D$425,MIN(INT(((C$5+$A48)-45)/0.05+0.000000001),419)+1)*(1-(((C$5+$A48)-45)/0.05-MIN(INT(((C$5+$A48)-45)/0.05+0.000000001),419)))+INDEX(Values!$D$5:$D$425,MIN(INT(((C$5+$A48)-45)/0.05+0.000000001),419)+2)*(((C$5+$A48)-45)/0.05-MIN(INT(((C$5+$A48)-45)/0.05+0.000000001),419)))</f>
        <v>-238.555011357748</v>
      </c>
      <c r="D48" s="12" t="n">
        <f aca="false">D$6+(INDEX(Values!$D$5:$D$425,MIN(INT(((D$5+$A48)-45)/0.05+0.000000001),419)+1)*(1-(((D$5+$A48)-45)/0.05-MIN(INT(((D$5+$A48)-45)/0.05+0.000000001),419)))+INDEX(Values!$D$5:$D$425,MIN(INT(((D$5+$A48)-45)/0.05+0.000000001),419)+2)*(((D$5+$A48)-45)/0.05-MIN(INT(((D$5+$A48)-45)/0.05+0.000000001),419)))</f>
        <v>-231.350600375897</v>
      </c>
    </row>
    <row r="49" customFormat="false" ht="15" hidden="false" customHeight="false" outlineLevel="0" collapsed="false">
      <c r="A49" s="14" t="n">
        <v>2</v>
      </c>
      <c r="B49" s="12" t="n">
        <f aca="false">B$6+(INDEX(Values!$D$5:$D$425,MIN(INT(((B$5+$A49)-45)/0.05+0.000000001),419)+1)*(1-(((B$5+$A49)-45)/0.05-MIN(INT(((B$5+$A49)-45)/0.05+0.000000001),419)))+INDEX(Values!$D$5:$D$425,MIN(INT(((B$5+$A49)-45)/0.05+0.000000001),419)+2)*(((B$5+$A49)-45)/0.05-MIN(INT(((B$5+$A49)-45)/0.05+0.000000001),419)))</f>
        <v>-255.578537734825</v>
      </c>
      <c r="C49" s="12" t="n">
        <f aca="false">C$6+(INDEX(Values!$D$5:$D$425,MIN(INT(((C$5+$A49)-45)/0.05+0.000000001),419)+1)*(1-(((C$5+$A49)-45)/0.05-MIN(INT(((C$5+$A49)-45)/0.05+0.000000001),419)))+INDEX(Values!$D$5:$D$425,MIN(INT(((C$5+$A49)-45)/0.05+0.000000001),419)+2)*(((C$5+$A49)-45)/0.05-MIN(INT(((C$5+$A49)-45)/0.05+0.000000001),419)))</f>
        <v>-238.56616950047</v>
      </c>
      <c r="D49" s="12" t="n">
        <f aca="false">D$6+(INDEX(Values!$D$5:$D$425,MIN(INT(((D$5+$A49)-45)/0.05+0.000000001),419)+1)*(1-(((D$5+$A49)-45)/0.05-MIN(INT(((D$5+$A49)-45)/0.05+0.000000001),419)))+INDEX(Values!$D$5:$D$425,MIN(INT(((D$5+$A49)-45)/0.05+0.000000001),419)+2)*(((D$5+$A49)-45)/0.05-MIN(INT(((D$5+$A49)-45)/0.05+0.000000001),419)))</f>
        <v>-231.370567728462</v>
      </c>
    </row>
    <row r="50" customFormat="false" ht="15" hidden="false" customHeight="false" outlineLevel="0" collapsed="false">
      <c r="A50" s="14" t="n">
        <v>2.05</v>
      </c>
      <c r="B50" s="12" t="n">
        <f aca="false">B$6+(INDEX(Values!$D$5:$D$425,MIN(INT(((B$5+$A50)-45)/0.05+0.000000001),419)+1)*(1-(((B$5+$A50)-45)/0.05-MIN(INT(((B$5+$A50)-45)/0.05+0.000000001),419)))+INDEX(Values!$D$5:$D$425,MIN(INT(((B$5+$A50)-45)/0.05+0.000000001),419)+2)*(((B$5+$A50)-45)/0.05-MIN(INT(((B$5+$A50)-45)/0.05+0.000000001),419)))</f>
        <v>-255.46248596335</v>
      </c>
      <c r="C50" s="12" t="n">
        <f aca="false">C$6+(INDEX(Values!$D$5:$D$425,MIN(INT(((C$5+$A50)-45)/0.05+0.000000001),419)+1)*(1-(((C$5+$A50)-45)/0.05-MIN(INT(((C$5+$A50)-45)/0.05+0.000000001),419)))+INDEX(Values!$D$5:$D$425,MIN(INT(((C$5+$A50)-45)/0.05+0.000000001),419)+2)*(((C$5+$A50)-45)/0.05-MIN(INT(((C$5+$A50)-45)/0.05+0.000000001),419)))</f>
        <v>-238.577327732731</v>
      </c>
      <c r="D50" s="12" t="n">
        <f aca="false">D$6+(INDEX(Values!$D$5:$D$425,MIN(INT(((D$5+$A50)-45)/0.05+0.000000001),419)+1)*(1-(((D$5+$A50)-45)/0.05-MIN(INT(((D$5+$A50)-45)/0.05+0.000000001),419)))+INDEX(Values!$D$5:$D$425,MIN(INT(((D$5+$A50)-45)/0.05+0.000000001),419)+2)*(((D$5+$A50)-45)/0.05-MIN(INT(((D$5+$A50)-45)/0.05+0.000000001),419)))</f>
        <v>-231.390632481494</v>
      </c>
    </row>
    <row r="51" customFormat="false" ht="15" hidden="false" customHeight="false" outlineLevel="0" collapsed="false">
      <c r="A51" s="14" t="n">
        <v>2.1</v>
      </c>
      <c r="B51" s="12" t="n">
        <f aca="false">B$6+(INDEX(Values!$D$5:$D$425,MIN(INT(((B$5+$A51)-45)/0.05+0.000000001),419)+1)*(1-(((B$5+$A51)-45)/0.05-MIN(INT(((B$5+$A51)-45)/0.05+0.000000001),419)))+INDEX(Values!$D$5:$D$425,MIN(INT(((B$5+$A51)-45)/0.05+0.000000001),419)+2)*(((B$5+$A51)-45)/0.05-MIN(INT(((B$5+$A51)-45)/0.05+0.000000001),419)))</f>
        <v>-255.347078121099</v>
      </c>
      <c r="C51" s="12" t="n">
        <f aca="false">C$6+(INDEX(Values!$D$5:$D$425,MIN(INT(((C$5+$A51)-45)/0.05+0.000000001),419)+1)*(1-(((C$5+$A51)-45)/0.05-MIN(INT(((C$5+$A51)-45)/0.05+0.000000001),419)))+INDEX(Values!$D$5:$D$425,MIN(INT(((C$5+$A51)-45)/0.05+0.000000001),419)+2)*(((C$5+$A51)-45)/0.05-MIN(INT(((C$5+$A51)-45)/0.05+0.000000001),419)))</f>
        <v>-238.588486676383</v>
      </c>
      <c r="D51" s="12" t="n">
        <f aca="false">D$6+(INDEX(Values!$D$5:$D$425,MIN(INT(((D$5+$A51)-45)/0.05+0.000000001),419)+1)*(1-(((D$5+$A51)-45)/0.05-MIN(INT(((D$5+$A51)-45)/0.05+0.000000001),419)))+INDEX(Values!$D$5:$D$425,MIN(INT(((D$5+$A51)-45)/0.05+0.000000001),419)+2)*(((D$5+$A51)-45)/0.05-MIN(INT(((D$5+$A51)-45)/0.05+0.000000001),419)))</f>
        <v>-231.411400257154</v>
      </c>
    </row>
    <row r="52" customFormat="false" ht="15" hidden="false" customHeight="false" outlineLevel="0" collapsed="false">
      <c r="A52" s="14" t="n">
        <v>2.15</v>
      </c>
      <c r="B52" s="12" t="n">
        <f aca="false">B$6+(INDEX(Values!$D$5:$D$425,MIN(INT(((B$5+$A52)-45)/0.05+0.000000001),419)+1)*(1-(((B$5+$A52)-45)/0.05-MIN(INT(((B$5+$A52)-45)/0.05+0.000000001),419)))+INDEX(Values!$D$5:$D$425,MIN(INT(((B$5+$A52)-45)/0.05+0.000000001),419)+2)*(((B$5+$A52)-45)/0.05-MIN(INT(((B$5+$A52)-45)/0.05+0.000000001),419)))</f>
        <v>-255.234019292599</v>
      </c>
      <c r="C52" s="12" t="n">
        <f aca="false">C$6+(INDEX(Values!$D$5:$D$425,MIN(INT(((C$5+$A52)-45)/0.05+0.000000001),419)+1)*(1-(((C$5+$A52)-45)/0.05-MIN(INT(((C$5+$A52)-45)/0.05+0.000000001),419)))+INDEX(Values!$D$5:$D$425,MIN(INT(((C$5+$A52)-45)/0.05+0.000000001),419)+2)*(((C$5+$A52)-45)/0.05-MIN(INT(((C$5+$A52)-45)/0.05+0.000000001),419)))</f>
        <v>-238.599648987222</v>
      </c>
      <c r="D52" s="12" t="n">
        <f aca="false">D$6+(INDEX(Values!$D$5:$D$425,MIN(INT(((D$5+$A52)-45)/0.05+0.000000001),419)+1)*(1-(((D$5+$A52)-45)/0.05-MIN(INT(((D$5+$A52)-45)/0.05+0.000000001),419)))+INDEX(Values!$D$5:$D$425,MIN(INT(((D$5+$A52)-45)/0.05+0.000000001),419)+2)*(((D$5+$A52)-45)/0.05-MIN(INT(((D$5+$A52)-45)/0.05+0.000000001),419)))</f>
        <v>-231.433736276979</v>
      </c>
    </row>
    <row r="53" customFormat="false" ht="15" hidden="false" customHeight="false" outlineLevel="0" collapsed="false">
      <c r="A53" s="14" t="n">
        <v>2.2</v>
      </c>
      <c r="B53" s="12" t="n">
        <f aca="false">B$6+(INDEX(Values!$D$5:$D$425,MIN(INT(((B$5+$A53)-45)/0.05+0.000000001),419)+1)*(1-(((B$5+$A53)-45)/0.05-MIN(INT(((B$5+$A53)-45)/0.05+0.000000001),419)))+INDEX(Values!$D$5:$D$425,MIN(INT(((B$5+$A53)-45)/0.05+0.000000001),419)+2)*(((B$5+$A53)-45)/0.05-MIN(INT(((B$5+$A53)-45)/0.05+0.000000001),419)))</f>
        <v>-255.133040988885</v>
      </c>
      <c r="C53" s="12" t="n">
        <f aca="false">C$6+(INDEX(Values!$D$5:$D$425,MIN(INT(((C$5+$A53)-45)/0.05+0.000000001),419)+1)*(1-(((C$5+$A53)-45)/0.05-MIN(INT(((C$5+$A53)-45)/0.05+0.000000001),419)))+INDEX(Values!$D$5:$D$425,MIN(INT(((C$5+$A53)-45)/0.05+0.000000001),419)+2)*(((C$5+$A53)-45)/0.05-MIN(INT(((C$5+$A53)-45)/0.05+0.000000001),419)))</f>
        <v>-238.6108326198</v>
      </c>
      <c r="D53" s="12" t="n">
        <f aca="false">D$6+(INDEX(Values!$D$5:$D$425,MIN(INT(((D$5+$A53)-45)/0.05+0.000000001),419)+1)*(1-(((D$5+$A53)-45)/0.05-MIN(INT(((D$5+$A53)-45)/0.05+0.000000001),419)))+INDEX(Values!$D$5:$D$425,MIN(INT(((D$5+$A53)-45)/0.05+0.000000001),419)+2)*(((D$5+$A53)-45)/0.05-MIN(INT(((D$5+$A53)-45)/0.05+0.000000001),419)))</f>
        <v>-231.457753971033</v>
      </c>
    </row>
    <row r="54" customFormat="false" ht="15" hidden="false" customHeight="false" outlineLevel="0" collapsed="false">
      <c r="A54" s="14" t="n">
        <v>2.25</v>
      </c>
      <c r="B54" s="12" t="n">
        <f aca="false">B$6+(INDEX(Values!$D$5:$D$425,MIN(INT(((B$5+$A54)-45)/0.05+0.000000001),419)+1)*(1-(((B$5+$A54)-45)/0.05-MIN(INT(((B$5+$A54)-45)/0.05+0.000000001),419)))+INDEX(Values!$D$5:$D$425,MIN(INT(((B$5+$A54)-45)/0.05+0.000000001),419)+2)*(((B$5+$A54)-45)/0.05-MIN(INT(((B$5+$A54)-45)/0.05+0.000000001),419)))</f>
        <v>-255.042530146178</v>
      </c>
      <c r="C54" s="12" t="n">
        <f aca="false">C$6+(INDEX(Values!$D$5:$D$425,MIN(INT(((C$5+$A54)-45)/0.05+0.000000001),419)+1)*(1-(((C$5+$A54)-45)/0.05-MIN(INT(((C$5+$A54)-45)/0.05+0.000000001),419)))+INDEX(Values!$D$5:$D$425,MIN(INT(((C$5+$A54)-45)/0.05+0.000000001),419)+2)*(((C$5+$A54)-45)/0.05-MIN(INT(((C$5+$A54)-45)/0.05+0.000000001),419)))</f>
        <v>-238.622074141538</v>
      </c>
      <c r="D54" s="12" t="n">
        <f aca="false">D$6+(INDEX(Values!$D$5:$D$425,MIN(INT(((D$5+$A54)-45)/0.05+0.000000001),419)+1)*(1-(((D$5+$A54)-45)/0.05-MIN(INT(((D$5+$A54)-45)/0.05+0.000000001),419)))+INDEX(Values!$D$5:$D$425,MIN(INT(((D$5+$A54)-45)/0.05+0.000000001),419)+2)*(((D$5+$A54)-45)/0.05-MIN(INT(((D$5+$A54)-45)/0.05+0.000000001),419)))</f>
        <v>-231.48178064356</v>
      </c>
    </row>
    <row r="55" customFormat="false" ht="15" hidden="false" customHeight="false" outlineLevel="0" collapsed="false">
      <c r="A55" s="14" t="n">
        <v>2.3</v>
      </c>
      <c r="B55" s="12" t="n">
        <f aca="false">B$6+(INDEX(Values!$D$5:$D$425,MIN(INT(((B$5+$A55)-45)/0.05+0.000000001),419)+1)*(1-(((B$5+$A55)-45)/0.05-MIN(INT(((B$5+$A55)-45)/0.05+0.000000001),419)))+INDEX(Values!$D$5:$D$425,MIN(INT(((B$5+$A55)-45)/0.05+0.000000001),419)+2)*(((B$5+$A55)-45)/0.05-MIN(INT(((B$5+$A55)-45)/0.05+0.000000001),419)))</f>
        <v>-254.952327037506</v>
      </c>
      <c r="C55" s="12" t="n">
        <f aca="false">C$6+(INDEX(Values!$D$5:$D$425,MIN(INT(((C$5+$A55)-45)/0.05+0.000000001),419)+1)*(1-(((C$5+$A55)-45)/0.05-MIN(INT(((C$5+$A55)-45)/0.05+0.000000001),419)))+INDEX(Values!$D$5:$D$425,MIN(INT(((C$5+$A55)-45)/0.05+0.000000001),419)+2)*(((C$5+$A55)-45)/0.05-MIN(INT(((C$5+$A55)-45)/0.05+0.000000001),419)))</f>
        <v>-238.633338507206</v>
      </c>
      <c r="D55" s="12" t="n">
        <f aca="false">D$6+(INDEX(Values!$D$5:$D$425,MIN(INT(((D$5+$A55)-45)/0.05+0.000000001),419)+1)*(1-(((D$5+$A55)-45)/0.05-MIN(INT(((D$5+$A55)-45)/0.05+0.000000001),419)))+INDEX(Values!$D$5:$D$425,MIN(INT(((D$5+$A55)-45)/0.05+0.000000001),419)+2)*(((D$5+$A55)-45)/0.05-MIN(INT(((D$5+$A55)-45)/0.05+0.000000001),419)))</f>
        <v>-231.50580754926</v>
      </c>
    </row>
    <row r="56" customFormat="false" ht="15" hidden="false" customHeight="false" outlineLevel="0" collapsed="false">
      <c r="A56" s="14" t="n">
        <v>2.35</v>
      </c>
      <c r="B56" s="12" t="n">
        <f aca="false">B$6+(INDEX(Values!$D$5:$D$425,MIN(INT(((B$5+$A56)-45)/0.05+0.000000001),419)+1)*(1-(((B$5+$A56)-45)/0.05-MIN(INT(((B$5+$A56)-45)/0.05+0.000000001),419)))+INDEX(Values!$D$5:$D$425,MIN(INT(((B$5+$A56)-45)/0.05+0.000000001),419)+2)*(((B$5+$A56)-45)/0.05-MIN(INT(((B$5+$A56)-45)/0.05+0.000000001),419)))</f>
        <v>-254.862136621324</v>
      </c>
      <c r="C56" s="12" t="n">
        <f aca="false">C$6+(INDEX(Values!$D$5:$D$425,MIN(INT(((C$5+$A56)-45)/0.05+0.000000001),419)+1)*(1-(((C$5+$A56)-45)/0.05-MIN(INT(((C$5+$A56)-45)/0.05+0.000000001),419)))+INDEX(Values!$D$5:$D$425,MIN(INT(((C$5+$A56)-45)/0.05+0.000000001),419)+2)*(((C$5+$A56)-45)/0.05-MIN(INT(((C$5+$A56)-45)/0.05+0.000000001),419)))</f>
        <v>-238.644602889207</v>
      </c>
      <c r="D56" s="12" t="n">
        <f aca="false">D$6+(INDEX(Values!$D$5:$D$425,MIN(INT(((D$5+$A56)-45)/0.05+0.000000001),419)+1)*(1-(((D$5+$A56)-45)/0.05-MIN(INT(((D$5+$A56)-45)/0.05+0.000000001),419)))+INDEX(Values!$D$5:$D$425,MIN(INT(((D$5+$A56)-45)/0.05+0.000000001),419)+2)*(((D$5+$A56)-45)/0.05-MIN(INT(((D$5+$A56)-45)/0.05+0.000000001),419)))</f>
        <v>-231.529835577291</v>
      </c>
    </row>
    <row r="57" customFormat="false" ht="15" hidden="false" customHeight="false" outlineLevel="0" collapsed="false">
      <c r="A57" s="14" t="n">
        <v>2.4</v>
      </c>
      <c r="B57" s="12" t="n">
        <f aca="false">B$6+(INDEX(Values!$D$5:$D$425,MIN(INT(((B$5+$A57)-45)/0.05+0.000000001),419)+1)*(1-(((B$5+$A57)-45)/0.05-MIN(INT(((B$5+$A57)-45)/0.05+0.000000001),419)))+INDEX(Values!$D$5:$D$425,MIN(INT(((B$5+$A57)-45)/0.05+0.000000001),419)+2)*(((B$5+$A57)-45)/0.05-MIN(INT(((B$5+$A57)-45)/0.05+0.000000001),419)))</f>
        <v>-254.771984604147</v>
      </c>
      <c r="C57" s="12" t="n">
        <f aca="false">C$6+(INDEX(Values!$D$5:$D$425,MIN(INT(((C$5+$A57)-45)/0.05+0.000000001),419)+1)*(1-(((C$5+$A57)-45)/0.05-MIN(INT(((C$5+$A57)-45)/0.05+0.000000001),419)))+INDEX(Values!$D$5:$D$425,MIN(INT(((C$5+$A57)-45)/0.05+0.000000001),419)+2)*(((C$5+$A57)-45)/0.05-MIN(INT(((C$5+$A57)-45)/0.05+0.000000001),419)))</f>
        <v>-238.655867425707</v>
      </c>
      <c r="D57" s="12" t="n">
        <f aca="false">D$6+(INDEX(Values!$D$5:$D$425,MIN(INT(((D$5+$A57)-45)/0.05+0.000000001),419)+1)*(1-(((D$5+$A57)-45)/0.05-MIN(INT(((D$5+$A57)-45)/0.05+0.000000001),419)))+INDEX(Values!$D$5:$D$425,MIN(INT(((D$5+$A57)-45)/0.05+0.000000001),419)+2)*(((D$5+$A57)-45)/0.05-MIN(INT(((D$5+$A57)-45)/0.05+0.000000001),419)))</f>
        <v>-231.553869186157</v>
      </c>
    </row>
    <row r="58" customFormat="false" ht="15" hidden="false" customHeight="false" outlineLevel="0" collapsed="false">
      <c r="A58" s="14" t="n">
        <v>2.45</v>
      </c>
      <c r="B58" s="12" t="n">
        <f aca="false">B$6+(INDEX(Values!$D$5:$D$425,MIN(INT(((B$5+$A58)-45)/0.05+0.000000001),419)+1)*(1-(((B$5+$A58)-45)/0.05-MIN(INT(((B$5+$A58)-45)/0.05+0.000000001),419)))+INDEX(Values!$D$5:$D$425,MIN(INT(((B$5+$A58)-45)/0.05+0.000000001),419)+2)*(((B$5+$A58)-45)/0.05-MIN(INT(((B$5+$A58)-45)/0.05+0.000000001),419)))</f>
        <v>-254.681986934177</v>
      </c>
      <c r="C58" s="12" t="n">
        <f aca="false">C$6+(INDEX(Values!$D$5:$D$425,MIN(INT(((C$5+$A58)-45)/0.05+0.000000001),419)+1)*(1-(((C$5+$A58)-45)/0.05-MIN(INT(((C$5+$A58)-45)/0.05+0.000000001),419)))+INDEX(Values!$D$5:$D$425,MIN(INT(((C$5+$A58)-45)/0.05+0.000000001),419)+2)*(((C$5+$A58)-45)/0.05-MIN(INT(((C$5+$A58)-45)/0.05+0.000000001),419)))</f>
        <v>-238.667133402078</v>
      </c>
      <c r="D58" s="12" t="n">
        <f aca="false">D$6+(INDEX(Values!$D$5:$D$425,MIN(INT(((D$5+$A58)-45)/0.05+0.000000001),419)+1)*(1-(((D$5+$A58)-45)/0.05-MIN(INT(((D$5+$A58)-45)/0.05+0.000000001),419)))+INDEX(Values!$D$5:$D$425,MIN(INT(((D$5+$A58)-45)/0.05+0.000000001),419)+2)*(((D$5+$A58)-45)/0.05-MIN(INT(((D$5+$A58)-45)/0.05+0.000000001),419)))</f>
        <v>-231.577930707025</v>
      </c>
    </row>
    <row r="59" customFormat="false" ht="15" hidden="false" customHeight="false" outlineLevel="0" collapsed="false">
      <c r="A59" s="14" t="n">
        <v>2.5</v>
      </c>
      <c r="B59" s="12" t="n">
        <f aca="false">B$6+(INDEX(Values!$D$5:$D$425,MIN(INT(((B$5+$A59)-45)/0.05+0.000000001),419)+1)*(1-(((B$5+$A59)-45)/0.05-MIN(INT(((B$5+$A59)-45)/0.05+0.000000001),419)))+INDEX(Values!$D$5:$D$425,MIN(INT(((B$5+$A59)-45)/0.05+0.000000001),419)+2)*(((B$5+$A59)-45)/0.05-MIN(INT(((B$5+$A59)-45)/0.05+0.000000001),419)))</f>
        <v>-254.592889106724</v>
      </c>
      <c r="C59" s="12" t="n">
        <f aca="false">C$6+(INDEX(Values!$D$5:$D$425,MIN(INT(((C$5+$A59)-45)/0.05+0.000000001),419)+1)*(1-(((C$5+$A59)-45)/0.05-MIN(INT(((C$5+$A59)-45)/0.05+0.000000001),419)))+INDEX(Values!$D$5:$D$425,MIN(INT(((C$5+$A59)-45)/0.05+0.000000001),419)+2)*(((C$5+$A59)-45)/0.05-MIN(INT(((C$5+$A59)-45)/0.05+0.000000001),419)))</f>
        <v>-238.678414801613</v>
      </c>
      <c r="D59" s="12" t="n">
        <f aca="false">D$6+(INDEX(Values!$D$5:$D$425,MIN(INT(((D$5+$A59)-45)/0.05+0.000000001),419)+1)*(1-(((D$5+$A59)-45)/0.05-MIN(INT(((D$5+$A59)-45)/0.05+0.000000001),419)))+INDEX(Values!$D$5:$D$425,MIN(INT(((D$5+$A59)-45)/0.05+0.000000001),419)+2)*(((D$5+$A59)-45)/0.05-MIN(INT(((D$5+$A59)-45)/0.05+0.000000001),419)))</f>
        <v>-231.602072590329</v>
      </c>
    </row>
    <row r="61" customFormat="false" ht="15" hidden="false" customHeight="false" outlineLevel="0" collapsed="false">
      <c r="A61" s="0" t="s">
        <v>159</v>
      </c>
      <c r="B61" s="14" t="n">
        <f aca="false">_xlfn.MINIFS($A$9:$A$59,B9:B59,"&gt;="&amp;(MAX(B9:B59)-0.000000001))</f>
        <v>2.5</v>
      </c>
      <c r="C61" s="14" t="n">
        <f aca="false">_xlfn.MINIFS($A$9:$A$59,C9:C59,"&gt;="&amp;(MAX(C9:C59)-0.000000001))</f>
        <v>1.15</v>
      </c>
      <c r="D61" s="14" t="n">
        <f aca="false">_xlfn.MINIFS($A$9:$A$59,D9:D59,"&gt;="&amp;(MAX(D9:D59)-0.000000001))</f>
        <v>0</v>
      </c>
    </row>
    <row r="62" customFormat="false" ht="15" hidden="false" customHeight="false" outlineLevel="0" collapsed="false">
      <c r="A62" s="0" t="s">
        <v>160</v>
      </c>
      <c r="B62" s="14" t="n">
        <f aca="false">MIN(Cap_h,MAX(0,CriticalRatio!$B$7-Alpha_keep*B4))</f>
        <v>2.5</v>
      </c>
      <c r="C62" s="14" t="n">
        <f aca="false">MIN(Cap_h,MAX(0,CriticalRatio!$B$7-Alpha_keep*C4))</f>
        <v>1.15</v>
      </c>
      <c r="D62" s="14" t="n">
        <f aca="false">MIN(Cap_h,MAX(0,CriticalRatio!$B$7-Alpha_keep*D4))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3"/>
    <col collapsed="false" customWidth="true" hidden="false" outlineLevel="0" max="13" min="13" style="0" width="54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10" t="s">
        <v>162</v>
      </c>
    </row>
    <row r="3" customFormat="false" ht="15" hidden="false" customHeight="false" outlineLevel="0" collapsed="false">
      <c r="M3" s="8" t="s">
        <v>163</v>
      </c>
      <c r="N3" s="8" t="s">
        <v>18</v>
      </c>
    </row>
    <row r="4" customFormat="false" ht="15" hidden="false" customHeight="false" outlineLevel="0" collapsed="false">
      <c r="A4" s="8" t="s">
        <v>87</v>
      </c>
      <c r="B4" s="8" t="s">
        <v>164</v>
      </c>
      <c r="C4" s="8" t="s">
        <v>88</v>
      </c>
      <c r="D4" s="8" t="s">
        <v>165</v>
      </c>
      <c r="E4" s="8" t="s">
        <v>93</v>
      </c>
      <c r="F4" s="8" t="s">
        <v>94</v>
      </c>
      <c r="G4" s="8" t="s">
        <v>166</v>
      </c>
      <c r="H4" s="8" t="s">
        <v>167</v>
      </c>
      <c r="I4" s="8" t="s">
        <v>168</v>
      </c>
      <c r="J4" s="8" t="s">
        <v>169</v>
      </c>
      <c r="K4" s="8" t="s">
        <v>170</v>
      </c>
      <c r="M4" s="2" t="s">
        <v>171</v>
      </c>
      <c r="N4" s="22" t="n">
        <f aca="false">MAX(K105:K345)</f>
        <v>0</v>
      </c>
    </row>
    <row r="5" customFormat="false" ht="15" hidden="false" customHeight="false" outlineLevel="0" collapsed="false">
      <c r="A5" s="14" t="n">
        <v>45</v>
      </c>
      <c r="B5" s="23" t="n">
        <v>-341.165523077986</v>
      </c>
      <c r="C5" s="19" t="n">
        <v>1</v>
      </c>
      <c r="M5" s="2" t="s">
        <v>172</v>
      </c>
      <c r="N5" s="16" t="n">
        <f aca="false">(53.85-Cap_h)/Alpha_keep</f>
        <v>52.6666666666667</v>
      </c>
    </row>
    <row r="6" customFormat="false" ht="15" hidden="false" customHeight="false" outlineLevel="0" collapsed="false">
      <c r="A6" s="14" t="n">
        <v>45.05</v>
      </c>
      <c r="B6" s="23" t="n">
        <v>-340.467345459969</v>
      </c>
      <c r="C6" s="19" t="n">
        <v>2</v>
      </c>
      <c r="M6" s="2" t="s">
        <v>173</v>
      </c>
      <c r="N6" s="11" t="n">
        <f aca="false">(INDEX($B$5:$B$425,MIN(INT((N5-45)/0.05+0.000000001),419)+1)*(1-((N5-45)/0.05-MIN(INT((N5-45)/0.05+0.000000001),419)))+INDEX($B$5:$B$425,MIN(INT((N5-45)/0.05+0.000000001),419)+2)*((N5-45)/0.05-MIN(INT((N5-45)/0.05+0.000000001),419)))</f>
        <v>-257.016186015529</v>
      </c>
    </row>
    <row r="7" customFormat="false" ht="15" hidden="false" customHeight="false" outlineLevel="0" collapsed="false">
      <c r="A7" s="14" t="n">
        <v>45.1</v>
      </c>
      <c r="B7" s="23" t="n">
        <v>-339.770755985703</v>
      </c>
      <c r="C7" s="19" t="n">
        <v>3</v>
      </c>
      <c r="M7" s="2" t="s">
        <v>174</v>
      </c>
      <c r="N7" s="16" t="n">
        <f aca="false">Alpha_keep*N5</f>
        <v>51.35</v>
      </c>
    </row>
    <row r="8" customFormat="false" ht="15" hidden="false" customHeight="false" outlineLevel="0" collapsed="false">
      <c r="A8" s="14" t="n">
        <v>45.15</v>
      </c>
      <c r="B8" s="23" t="n">
        <v>-339.075909256589</v>
      </c>
      <c r="C8" s="19" t="n">
        <v>4</v>
      </c>
      <c r="M8" s="2" t="s">
        <v>175</v>
      </c>
      <c r="N8" s="16" t="n">
        <f aca="false">N7+Cap_h</f>
        <v>53.85</v>
      </c>
    </row>
    <row r="9" customFormat="false" ht="15" hidden="false" customHeight="false" outlineLevel="0" collapsed="false">
      <c r="A9" s="14" t="n">
        <v>45.2</v>
      </c>
      <c r="B9" s="23" t="n">
        <v>-338.382893520549</v>
      </c>
      <c r="C9" s="19" t="n">
        <v>5</v>
      </c>
      <c r="M9" s="2" t="s">
        <v>176</v>
      </c>
      <c r="N9" s="11" t="n">
        <f aca="false">(INDEX($D$5:$D$425,MIN(INT((N7-45)/0.05+0.000000001),419)+1)*(1-((N7-45)/0.05-MIN(INT((N7-45)/0.05+0.000000001),419)))+INDEX($D$5:$D$425,MIN(INT((N7-45)/0.05+0.000000001),419)+2)*((N7-45)/0.05-MIN(INT((N7-45)/0.05+0.000000001),419)))</f>
        <v>-467.099013938819</v>
      </c>
    </row>
    <row r="10" customFormat="false" ht="15" hidden="false" customHeight="false" outlineLevel="0" collapsed="false">
      <c r="A10" s="14" t="n">
        <v>45.25</v>
      </c>
      <c r="B10" s="23" t="n">
        <v>-337.691607843141</v>
      </c>
      <c r="C10" s="19" t="n">
        <v>6</v>
      </c>
      <c r="M10" s="2" t="s">
        <v>177</v>
      </c>
      <c r="N10" s="11" t="n">
        <f aca="false">(INDEX($D$5:$D$425,MIN(INT((N8-45)/0.05+0.000000001),419)+1)*(1-((N8-45)/0.05-MIN(INT((N8-45)/0.05+0.000000001),419)))+INDEX($D$5:$D$425,MIN(INT((N8-45)/0.05+0.000000001),419)+2)*((N8-45)/0.05-MIN(INT((N8-45)/0.05+0.000000001),419)))</f>
        <v>-458.678449201647</v>
      </c>
    </row>
    <row r="11" customFormat="false" ht="15" hidden="false" customHeight="false" outlineLevel="0" collapsed="false">
      <c r="A11" s="14" t="n">
        <v>45.3</v>
      </c>
      <c r="B11" s="23" t="n">
        <v>-337.0019319572</v>
      </c>
      <c r="C11" s="19" t="n">
        <v>7</v>
      </c>
      <c r="M11" s="2" t="s">
        <v>178</v>
      </c>
      <c r="N11" s="11" t="n">
        <f aca="false">_xlfn.MAXIFS($D$5:$D$425,$A$5:$A$425,"&gt;="&amp;N7,$A$5:$A$425,"&lt;="&amp;N8)</f>
        <v>-458.678449201647</v>
      </c>
    </row>
    <row r="12" customFormat="false" ht="15" hidden="false" customHeight="false" outlineLevel="0" collapsed="false">
      <c r="A12" s="14" t="n">
        <v>45.35</v>
      </c>
      <c r="B12" s="23" t="n">
        <v>-336.313858553247</v>
      </c>
      <c r="C12" s="19" t="n">
        <v>8</v>
      </c>
      <c r="M12" s="2" t="s">
        <v>179</v>
      </c>
      <c r="N12" s="11" t="n">
        <f aca="false">-Short_p*MAX(Floor_c-N5,0)+Cost_k*Alpha_keep*N5+MAX(N9,N10,N11)</f>
        <v>-257.01178253498</v>
      </c>
    </row>
    <row r="13" customFormat="false" ht="15" hidden="false" customHeight="false" outlineLevel="0" collapsed="false">
      <c r="A13" s="14" t="n">
        <v>45.4</v>
      </c>
      <c r="B13" s="23" t="n">
        <v>-335.62752828697</v>
      </c>
      <c r="C13" s="19" t="n">
        <v>9</v>
      </c>
      <c r="M13" s="2" t="s">
        <v>180</v>
      </c>
      <c r="N13" s="11" t="n">
        <f aca="false">ABS(N12-N6)</f>
        <v>0.00440348054928563</v>
      </c>
    </row>
    <row r="14" customFormat="false" ht="15" hidden="false" customHeight="false" outlineLevel="0" collapsed="false">
      <c r="A14" s="14" t="n">
        <v>45.45</v>
      </c>
      <c r="B14" s="23" t="n">
        <v>-334.943131603607</v>
      </c>
      <c r="C14" s="19" t="n">
        <v>10</v>
      </c>
      <c r="M14" s="2" t="s">
        <v>181</v>
      </c>
      <c r="N14" s="12" t="n">
        <f aca="false">N13/(1-Beta_q)</f>
        <v>0.187016789274667</v>
      </c>
    </row>
    <row r="15" customFormat="false" ht="15" hidden="false" customHeight="false" outlineLevel="0" collapsed="false">
      <c r="A15" s="14" t="n">
        <v>45.5</v>
      </c>
      <c r="B15" s="23" t="n">
        <v>-334.260707805178</v>
      </c>
      <c r="C15" s="19" t="n">
        <v>11</v>
      </c>
    </row>
    <row r="16" customFormat="false" ht="15" hidden="false" customHeight="false" outlineLevel="0" collapsed="false">
      <c r="A16" s="14" t="n">
        <v>45.55</v>
      </c>
      <c r="B16" s="23" t="n">
        <v>-333.580114613754</v>
      </c>
      <c r="C16" s="19" t="n">
        <v>12</v>
      </c>
    </row>
    <row r="17" customFormat="false" ht="15" hidden="false" customHeight="false" outlineLevel="0" collapsed="false">
      <c r="A17" s="14" t="n">
        <v>45.6</v>
      </c>
      <c r="B17" s="23" t="n">
        <v>-332.901179306185</v>
      </c>
      <c r="C17" s="19" t="n">
        <v>13</v>
      </c>
    </row>
    <row r="18" customFormat="false" ht="15" hidden="false" customHeight="false" outlineLevel="0" collapsed="false">
      <c r="A18" s="14" t="n">
        <v>45.65</v>
      </c>
      <c r="B18" s="23" t="n">
        <v>-332.223842634511</v>
      </c>
      <c r="C18" s="19" t="n">
        <v>14</v>
      </c>
    </row>
    <row r="19" customFormat="false" ht="15" hidden="false" customHeight="false" outlineLevel="0" collapsed="false">
      <c r="A19" s="14" t="n">
        <v>45.7</v>
      </c>
      <c r="B19" s="23" t="n">
        <v>-331.548170158384</v>
      </c>
      <c r="C19" s="19" t="n">
        <v>15</v>
      </c>
    </row>
    <row r="20" customFormat="false" ht="15" hidden="false" customHeight="false" outlineLevel="0" collapsed="false">
      <c r="A20" s="14" t="n">
        <v>45.75</v>
      </c>
      <c r="B20" s="23" t="n">
        <v>-330.874253452432</v>
      </c>
      <c r="C20" s="19" t="n">
        <v>16</v>
      </c>
    </row>
    <row r="21" customFormat="false" ht="15" hidden="false" customHeight="false" outlineLevel="0" collapsed="false">
      <c r="A21" s="14" t="n">
        <v>45.8</v>
      </c>
      <c r="B21" s="23" t="n">
        <v>-330.202071866115</v>
      </c>
      <c r="C21" s="19" t="n">
        <v>17</v>
      </c>
    </row>
    <row r="22" customFormat="false" ht="15" hidden="false" customHeight="false" outlineLevel="0" collapsed="false">
      <c r="A22" s="14" t="n">
        <v>45.85</v>
      </c>
      <c r="B22" s="23" t="n">
        <v>-329.531413398533</v>
      </c>
      <c r="C22" s="19" t="n">
        <v>18</v>
      </c>
    </row>
    <row r="23" customFormat="false" ht="15" hidden="false" customHeight="false" outlineLevel="0" collapsed="false">
      <c r="A23" s="14" t="n">
        <v>45.9</v>
      </c>
      <c r="B23" s="23" t="n">
        <v>-328.862331205767</v>
      </c>
      <c r="C23" s="19" t="n">
        <v>19</v>
      </c>
    </row>
    <row r="24" customFormat="false" ht="15" hidden="false" customHeight="false" outlineLevel="0" collapsed="false">
      <c r="A24" s="14" t="n">
        <v>45.95</v>
      </c>
      <c r="B24" s="23" t="n">
        <v>-328.195126963094</v>
      </c>
      <c r="C24" s="19" t="n">
        <v>20</v>
      </c>
    </row>
    <row r="25" customFormat="false" ht="15" hidden="false" customHeight="false" outlineLevel="0" collapsed="false">
      <c r="A25" s="14" t="n">
        <v>46</v>
      </c>
      <c r="B25" s="23" t="n">
        <v>-327.530072530741</v>
      </c>
      <c r="C25" s="19" t="n">
        <v>21</v>
      </c>
    </row>
    <row r="26" customFormat="false" ht="15" hidden="false" customHeight="false" outlineLevel="0" collapsed="false">
      <c r="A26" s="14" t="n">
        <v>46.05</v>
      </c>
      <c r="B26" s="23" t="n">
        <v>-326.867186272593</v>
      </c>
      <c r="C26" s="19" t="n">
        <v>22</v>
      </c>
    </row>
    <row r="27" customFormat="false" ht="15" hidden="false" customHeight="false" outlineLevel="0" collapsed="false">
      <c r="A27" s="14" t="n">
        <v>46.1</v>
      </c>
      <c r="B27" s="23" t="n">
        <v>-326.206120492919</v>
      </c>
      <c r="C27" s="19" t="n">
        <v>23</v>
      </c>
    </row>
    <row r="28" customFormat="false" ht="15" hidden="false" customHeight="false" outlineLevel="0" collapsed="false">
      <c r="A28" s="14" t="n">
        <v>46.15</v>
      </c>
      <c r="B28" s="23" t="n">
        <v>-325.54659013712</v>
      </c>
      <c r="C28" s="19" t="n">
        <v>24</v>
      </c>
    </row>
    <row r="29" customFormat="false" ht="15" hidden="false" customHeight="false" outlineLevel="0" collapsed="false">
      <c r="A29" s="14" t="n">
        <v>46.2</v>
      </c>
      <c r="B29" s="23" t="n">
        <v>-324.888642091676</v>
      </c>
      <c r="C29" s="19" t="n">
        <v>25</v>
      </c>
    </row>
    <row r="30" customFormat="false" ht="15" hidden="false" customHeight="false" outlineLevel="0" collapsed="false">
      <c r="A30" s="14" t="n">
        <v>46.25</v>
      </c>
      <c r="B30" s="23" t="n">
        <v>-324.232516645506</v>
      </c>
      <c r="C30" s="19" t="n">
        <v>26</v>
      </c>
    </row>
    <row r="31" customFormat="false" ht="15" hidden="false" customHeight="false" outlineLevel="0" collapsed="false">
      <c r="A31" s="14" t="n">
        <v>46.3</v>
      </c>
      <c r="B31" s="23" t="n">
        <v>-323.578373396576</v>
      </c>
      <c r="C31" s="19" t="n">
        <v>27</v>
      </c>
    </row>
    <row r="32" customFormat="false" ht="15" hidden="false" customHeight="false" outlineLevel="0" collapsed="false">
      <c r="A32" s="14" t="n">
        <v>46.35</v>
      </c>
      <c r="B32" s="23" t="n">
        <v>-322.926136890549</v>
      </c>
      <c r="C32" s="19" t="n">
        <v>28</v>
      </c>
    </row>
    <row r="33" customFormat="false" ht="15" hidden="false" customHeight="false" outlineLevel="0" collapsed="false">
      <c r="A33" s="14" t="n">
        <v>46.4</v>
      </c>
      <c r="B33" s="23" t="n">
        <v>-322.275622773344</v>
      </c>
      <c r="C33" s="19" t="n">
        <v>29</v>
      </c>
    </row>
    <row r="34" customFormat="false" ht="15" hidden="false" customHeight="false" outlineLevel="0" collapsed="false">
      <c r="A34" s="14" t="n">
        <v>46.45</v>
      </c>
      <c r="B34" s="23" t="n">
        <v>-321.626778503546</v>
      </c>
      <c r="C34" s="19" t="n">
        <v>30</v>
      </c>
    </row>
    <row r="35" customFormat="false" ht="15" hidden="false" customHeight="false" outlineLevel="0" collapsed="false">
      <c r="A35" s="14" t="n">
        <v>46.5</v>
      </c>
      <c r="B35" s="23" t="n">
        <v>-320.979771530814</v>
      </c>
      <c r="C35" s="19" t="n">
        <v>31</v>
      </c>
      <c r="D35" s="11" t="n">
        <f aca="false">-Cost_k*A35+Beta_q*(Declarations!$B$16*INDEX($B$5:$B$425,$C35-ROUND(Declarations!$A$16/0.05,0))+Declarations!$B$17*INDEX($B$5:$B$425,$C35-ROUND(Declarations!$A$17/0.05,0))+Declarations!$B$18*INDEX($B$5:$B$425,$C35-ROUND(Declarations!$A$18/0.05,0))+Declarations!$B$19*INDEX($B$5:$B$425,$C35-ROUND(Declarations!$A$19/0.05,0))+Declarations!$B$20*INDEX($B$5:$B$425,$C35-ROUND(Declarations!$A$20/0.05,0)))</f>
        <v>-499.583450242756</v>
      </c>
    </row>
    <row r="36" customFormat="false" ht="15" hidden="false" customHeight="false" outlineLevel="0" collapsed="false">
      <c r="A36" s="14" t="n">
        <v>46.55</v>
      </c>
      <c r="B36" s="23" t="n">
        <v>-320.334852367979</v>
      </c>
      <c r="C36" s="19" t="n">
        <v>32</v>
      </c>
      <c r="D36" s="11" t="n">
        <f aca="false">-Cost_k*A36+Beta_q*(Declarations!$B$16*INDEX($B$5:$B$425,$C36-ROUND(Declarations!$A$16/0.05,0))+Declarations!$B$17*INDEX($B$5:$B$425,$C36-ROUND(Declarations!$A$17/0.05,0))+Declarations!$B$18*INDEX($B$5:$B$425,$C36-ROUND(Declarations!$A$18/0.05,0))+Declarations!$B$19*INDEX($B$5:$B$425,$C36-ROUND(Declarations!$A$19/0.05,0))+Declarations!$B$20*INDEX($B$5:$B$425,$C36-ROUND(Declarations!$A$20/0.05,0)))</f>
        <v>-499.15394204001</v>
      </c>
    </row>
    <row r="37" customFormat="false" ht="15" hidden="false" customHeight="false" outlineLevel="0" collapsed="false">
      <c r="A37" s="14" t="n">
        <v>46.6</v>
      </c>
      <c r="B37" s="23" t="n">
        <v>-319.691731499089</v>
      </c>
      <c r="C37" s="19" t="n">
        <v>33</v>
      </c>
      <c r="D37" s="11" t="n">
        <f aca="false">-Cost_k*A37+Beta_q*(Declarations!$B$16*INDEX($B$5:$B$425,$C37-ROUND(Declarations!$A$16/0.05,0))+Declarations!$B$17*INDEX($B$5:$B$425,$C37-ROUND(Declarations!$A$17/0.05,0))+Declarations!$B$18*INDEX($B$5:$B$425,$C37-ROUND(Declarations!$A$18/0.05,0))+Declarations!$B$19*INDEX($B$5:$B$425,$C37-ROUND(Declarations!$A$19/0.05,0))+Declarations!$B$20*INDEX($B$5:$B$425,$C37-ROUND(Declarations!$A$20/0.05,0)))</f>
        <v>-498.726320741357</v>
      </c>
    </row>
    <row r="38" customFormat="false" ht="15" hidden="false" customHeight="false" outlineLevel="0" collapsed="false">
      <c r="A38" s="14" t="n">
        <v>46.65</v>
      </c>
      <c r="B38" s="23" t="n">
        <v>-319.050103169345</v>
      </c>
      <c r="C38" s="19" t="n">
        <v>34</v>
      </c>
      <c r="D38" s="11" t="n">
        <f aca="false">-Cost_k*A38+Beta_q*(Declarations!$B$16*INDEX($B$5:$B$425,$C38-ROUND(Declarations!$A$16/0.05,0))+Declarations!$B$17*INDEX($B$5:$B$425,$C38-ROUND(Declarations!$A$17/0.05,0))+Declarations!$B$18*INDEX($B$5:$B$425,$C38-ROUND(Declarations!$A$18/0.05,0))+Declarations!$B$19*INDEX($B$5:$B$425,$C38-ROUND(Declarations!$A$19/0.05,0))+Declarations!$B$20*INDEX($B$5:$B$425,$C38-ROUND(Declarations!$A$20/0.05,0)))</f>
        <v>-498.300419679447</v>
      </c>
    </row>
    <row r="39" customFormat="false" ht="15" hidden="false" customHeight="false" outlineLevel="0" collapsed="false">
      <c r="A39" s="14" t="n">
        <v>46.7</v>
      </c>
      <c r="B39" s="23" t="n">
        <v>-318.40997712408</v>
      </c>
      <c r="C39" s="19" t="n">
        <v>35</v>
      </c>
      <c r="D39" s="11" t="n">
        <f aca="false">-Cost_k*A39+Beta_q*(Declarations!$B$16*INDEX($B$5:$B$425,$C39-ROUND(Declarations!$A$16/0.05,0))+Declarations!$B$17*INDEX($B$5:$B$425,$C39-ROUND(Declarations!$A$17/0.05,0))+Declarations!$B$18*INDEX($B$5:$B$425,$C39-ROUND(Declarations!$A$18/0.05,0))+Declarations!$B$19*INDEX($B$5:$B$425,$C39-ROUND(Declarations!$A$19/0.05,0))+Declarations!$B$20*INDEX($B$5:$B$425,$C39-ROUND(Declarations!$A$20/0.05,0)))</f>
        <v>-497.876169044456</v>
      </c>
    </row>
    <row r="40" customFormat="false" ht="15" hidden="false" customHeight="false" outlineLevel="0" collapsed="false">
      <c r="A40" s="14" t="n">
        <v>46.75</v>
      </c>
      <c r="B40" s="23" t="n">
        <v>-317.771715237424</v>
      </c>
      <c r="C40" s="19" t="n">
        <v>36</v>
      </c>
      <c r="D40" s="11" t="n">
        <f aca="false">-Cost_k*A40+Beta_q*(Declarations!$B$16*INDEX($B$5:$B$425,$C40-ROUND(Declarations!$A$16/0.05,0))+Declarations!$B$17*INDEX($B$5:$B$425,$C40-ROUND(Declarations!$A$17/0.05,0))+Declarations!$B$18*INDEX($B$5:$B$425,$C40-ROUND(Declarations!$A$18/0.05,0))+Declarations!$B$19*INDEX($B$5:$B$425,$C40-ROUND(Declarations!$A$19/0.05,0))+Declarations!$B$20*INDEX($B$5:$B$425,$C40-ROUND(Declarations!$A$20/0.05,0)))</f>
        <v>-497.453675225351</v>
      </c>
    </row>
    <row r="41" customFormat="false" ht="15" hidden="false" customHeight="false" outlineLevel="0" collapsed="false">
      <c r="A41" s="14" t="n">
        <v>46.8</v>
      </c>
      <c r="B41" s="23" t="n">
        <v>-317.135784370038</v>
      </c>
      <c r="C41" s="19" t="n">
        <v>37</v>
      </c>
      <c r="D41" s="11" t="n">
        <f aca="false">-Cost_k*A41+Beta_q*(Declarations!$B$16*INDEX($B$5:$B$425,$C41-ROUND(Declarations!$A$16/0.05,0))+Declarations!$B$17*INDEX($B$5:$B$425,$C41-ROUND(Declarations!$A$17/0.05,0))+Declarations!$B$18*INDEX($B$5:$B$425,$C41-ROUND(Declarations!$A$18/0.05,0))+Declarations!$B$19*INDEX($B$5:$B$425,$C41-ROUND(Declarations!$A$19/0.05,0))+Declarations!$B$20*INDEX($B$5:$B$425,$C41-ROUND(Declarations!$A$20/0.05,0)))</f>
        <v>-497.033185430747</v>
      </c>
    </row>
    <row r="42" customFormat="false" ht="15" hidden="false" customHeight="false" outlineLevel="0" collapsed="false">
      <c r="A42" s="14" t="n">
        <v>46.85</v>
      </c>
      <c r="B42" s="23" t="n">
        <v>-316.502316174829</v>
      </c>
      <c r="C42" s="19" t="n">
        <v>38</v>
      </c>
      <c r="D42" s="11" t="n">
        <f aca="false">-Cost_k*A42+Beta_q*(Declarations!$B$16*INDEX($B$5:$B$425,$C42-ROUND(Declarations!$A$16/0.05,0))+Declarations!$B$17*INDEX($B$5:$B$425,$C42-ROUND(Declarations!$A$17/0.05,0))+Declarations!$B$18*INDEX($B$5:$B$425,$C42-ROUND(Declarations!$A$18/0.05,0))+Declarations!$B$19*INDEX($B$5:$B$425,$C42-ROUND(Declarations!$A$19/0.05,0))+Declarations!$B$20*INDEX($B$5:$B$425,$C42-ROUND(Declarations!$A$20/0.05,0)))</f>
        <v>-496.61480787751</v>
      </c>
    </row>
    <row r="43" customFormat="false" ht="15" hidden="false" customHeight="false" outlineLevel="0" collapsed="false">
      <c r="A43" s="14" t="n">
        <v>46.9</v>
      </c>
      <c r="B43" s="23" t="n">
        <v>-315.870948207166</v>
      </c>
      <c r="C43" s="19" t="n">
        <v>39</v>
      </c>
      <c r="D43" s="11" t="n">
        <f aca="false">-Cost_k*A43+Beta_q*(Declarations!$B$16*INDEX($B$5:$B$425,$C43-ROUND(Declarations!$A$16/0.05,0))+Declarations!$B$17*INDEX($B$5:$B$425,$C43-ROUND(Declarations!$A$17/0.05,0))+Declarations!$B$18*INDEX($B$5:$B$425,$C43-ROUND(Declarations!$A$18/0.05,0))+Declarations!$B$19*INDEX($B$5:$B$425,$C43-ROUND(Declarations!$A$19/0.05,0))+Declarations!$B$20*INDEX($B$5:$B$425,$C43-ROUND(Declarations!$A$20/0.05,0)))</f>
        <v>-496.198407588181</v>
      </c>
    </row>
    <row r="44" customFormat="false" ht="15" hidden="false" customHeight="false" outlineLevel="0" collapsed="false">
      <c r="A44" s="14" t="n">
        <v>46.95</v>
      </c>
      <c r="B44" s="23" t="n">
        <v>-315.241242795414</v>
      </c>
      <c r="C44" s="19" t="n">
        <v>40</v>
      </c>
      <c r="D44" s="11" t="n">
        <f aca="false">-Cost_k*A44+Beta_q*(Declarations!$B$16*INDEX($B$5:$B$425,$C44-ROUND(Declarations!$A$16/0.05,0))+Declarations!$B$17*INDEX($B$5:$B$425,$C44-ROUND(Declarations!$A$17/0.05,0))+Declarations!$B$18*INDEX($B$5:$B$425,$C44-ROUND(Declarations!$A$18/0.05,0))+Declarations!$B$19*INDEX($B$5:$B$425,$C44-ROUND(Declarations!$A$19/0.05,0))+Declarations!$B$20*INDEX($B$5:$B$425,$C44-ROUND(Declarations!$A$20/0.05,0)))</f>
        <v>-495.783772146282</v>
      </c>
    </row>
    <row r="45" customFormat="false" ht="15" hidden="false" customHeight="false" outlineLevel="0" collapsed="false">
      <c r="A45" s="14" t="n">
        <v>47</v>
      </c>
      <c r="B45" s="23" t="n">
        <v>-314.613068820789</v>
      </c>
      <c r="C45" s="19" t="n">
        <v>41</v>
      </c>
      <c r="D45" s="11" t="n">
        <f aca="false">-Cost_k*A45+Beta_q*(Declarations!$B$16*INDEX($B$5:$B$425,$C45-ROUND(Declarations!$A$16/0.05,0))+Declarations!$B$17*INDEX($B$5:$B$425,$C45-ROUND(Declarations!$A$17/0.05,0))+Declarations!$B$18*INDEX($B$5:$B$425,$C45-ROUND(Declarations!$A$18/0.05,0))+Declarations!$B$19*INDEX($B$5:$B$425,$C45-ROUND(Declarations!$A$19/0.05,0))+Declarations!$B$20*INDEX($B$5:$B$425,$C45-ROUND(Declarations!$A$20/0.05,0)))</f>
        <v>-495.3708079458</v>
      </c>
    </row>
    <row r="46" customFormat="false" ht="15" hidden="false" customHeight="false" outlineLevel="0" collapsed="false">
      <c r="A46" s="14" t="n">
        <v>47.05</v>
      </c>
      <c r="B46" s="23" t="n">
        <v>-313.98656388489</v>
      </c>
      <c r="C46" s="19" t="n">
        <v>42</v>
      </c>
      <c r="D46" s="11" t="n">
        <f aca="false">-Cost_k*A46+Beta_q*(Declarations!$B$16*INDEX($B$5:$B$425,$C46-ROUND(Declarations!$A$16/0.05,0))+Declarations!$B$17*INDEX($B$5:$B$425,$C46-ROUND(Declarations!$A$17/0.05,0))+Declarations!$B$18*INDEX($B$5:$B$425,$C46-ROUND(Declarations!$A$18/0.05,0))+Declarations!$B$19*INDEX($B$5:$B$425,$C46-ROUND(Declarations!$A$19/0.05,0))+Declarations!$B$20*INDEX($B$5:$B$425,$C46-ROUND(Declarations!$A$20/0.05,0)))</f>
        <v>-494.959577595575</v>
      </c>
    </row>
    <row r="47" customFormat="false" ht="15" hidden="false" customHeight="false" outlineLevel="0" collapsed="false">
      <c r="A47" s="14" t="n">
        <v>47.1</v>
      </c>
      <c r="B47" s="23" t="n">
        <v>-313.361885423381</v>
      </c>
      <c r="C47" s="19" t="n">
        <v>43</v>
      </c>
      <c r="D47" s="11" t="n">
        <f aca="false">-Cost_k*A47+Beta_q*(Declarations!$B$16*INDEX($B$5:$B$425,$C47-ROUND(Declarations!$A$16/0.05,0))+Declarations!$B$17*INDEX($B$5:$B$425,$C47-ROUND(Declarations!$A$17/0.05,0))+Declarations!$B$18*INDEX($B$5:$B$425,$C47-ROUND(Declarations!$A$18/0.05,0))+Declarations!$B$19*INDEX($B$5:$B$425,$C47-ROUND(Declarations!$A$19/0.05,0))+Declarations!$B$20*INDEX($B$5:$B$425,$C47-ROUND(Declarations!$A$20/0.05,0)))</f>
        <v>-494.550194680962</v>
      </c>
    </row>
    <row r="48" customFormat="false" ht="15" hidden="false" customHeight="false" outlineLevel="0" collapsed="false">
      <c r="A48" s="14" t="n">
        <v>47.15</v>
      </c>
      <c r="B48" s="23" t="n">
        <v>-312.738981947859</v>
      </c>
      <c r="C48" s="19" t="n">
        <v>44</v>
      </c>
      <c r="D48" s="11" t="n">
        <f aca="false">-Cost_k*A48+Beta_q*(Declarations!$B$16*INDEX($B$5:$B$425,$C48-ROUND(Declarations!$A$16/0.05,0))+Declarations!$B$17*INDEX($B$5:$B$425,$C48-ROUND(Declarations!$A$17/0.05,0))+Declarations!$B$18*INDEX($B$5:$B$425,$C48-ROUND(Declarations!$A$18/0.05,0))+Declarations!$B$19*INDEX($B$5:$B$425,$C48-ROUND(Declarations!$A$19/0.05,0))+Declarations!$B$20*INDEX($B$5:$B$425,$C48-ROUND(Declarations!$A$20/0.05,0)))</f>
        <v>-494.142664852722</v>
      </c>
    </row>
    <row r="49" customFormat="false" ht="15" hidden="false" customHeight="false" outlineLevel="0" collapsed="false">
      <c r="A49" s="14" t="n">
        <v>47.2</v>
      </c>
      <c r="B49" s="23" t="n">
        <v>-312.117735136994</v>
      </c>
      <c r="C49" s="19" t="n">
        <v>45</v>
      </c>
      <c r="D49" s="11" t="n">
        <f aca="false">-Cost_k*A49+Beta_q*(Declarations!$B$16*INDEX($B$5:$B$425,$C49-ROUND(Declarations!$A$16/0.05,0))+Declarations!$B$17*INDEX($B$5:$B$425,$C49-ROUND(Declarations!$A$17/0.05,0))+Declarations!$B$18*INDEX($B$5:$B$425,$C49-ROUND(Declarations!$A$18/0.05,0))+Declarations!$B$19*INDEX($B$5:$B$425,$C49-ROUND(Declarations!$A$19/0.05,0))+Declarations!$B$20*INDEX($B$5:$B$425,$C49-ROUND(Declarations!$A$20/0.05,0)))</f>
        <v>-493.736734986651</v>
      </c>
    </row>
    <row r="50" customFormat="false" ht="15" hidden="false" customHeight="false" outlineLevel="0" collapsed="false">
      <c r="A50" s="14" t="n">
        <v>47.25</v>
      </c>
      <c r="B50" s="23" t="n">
        <v>-311.498282694871</v>
      </c>
      <c r="C50" s="19" t="n">
        <v>46</v>
      </c>
      <c r="D50" s="11" t="n">
        <f aca="false">-Cost_k*A50+Beta_q*(Declarations!$B$16*INDEX($B$5:$B$425,$C50-ROUND(Declarations!$A$16/0.05,0))+Declarations!$B$17*INDEX($B$5:$B$425,$C50-ROUND(Declarations!$A$17/0.05,0))+Declarations!$B$18*INDEX($B$5:$B$425,$C50-ROUND(Declarations!$A$18/0.05,0))+Declarations!$B$19*INDEX($B$5:$B$425,$C50-ROUND(Declarations!$A$19/0.05,0))+Declarations!$B$20*INDEX($B$5:$B$425,$C50-ROUND(Declarations!$A$20/0.05,0)))</f>
        <v>-493.332447145081</v>
      </c>
    </row>
    <row r="51" customFormat="false" ht="15" hidden="false" customHeight="false" outlineLevel="0" collapsed="false">
      <c r="A51" s="14" t="n">
        <v>47.3</v>
      </c>
      <c r="B51" s="23" t="n">
        <v>-310.881081802483</v>
      </c>
      <c r="C51" s="19" t="n">
        <v>47</v>
      </c>
      <c r="D51" s="11" t="n">
        <f aca="false">-Cost_k*A51+Beta_q*(Declarations!$B$16*INDEX($B$5:$B$425,$C51-ROUND(Declarations!$A$16/0.05,0))+Declarations!$B$17*INDEX($B$5:$B$425,$C51-ROUND(Declarations!$A$17/0.05,0))+Declarations!$B$18*INDEX($B$5:$B$425,$C51-ROUND(Declarations!$A$18/0.05,0))+Declarations!$B$19*INDEX($B$5:$B$425,$C51-ROUND(Declarations!$A$19/0.05,0))+Declarations!$B$20*INDEX($B$5:$B$425,$C51-ROUND(Declarations!$A$20/0.05,0)))</f>
        <v>-492.930128358795</v>
      </c>
    </row>
    <row r="52" customFormat="false" ht="15" hidden="false" customHeight="false" outlineLevel="0" collapsed="false">
      <c r="A52" s="14" t="n">
        <v>47.35</v>
      </c>
      <c r="B52" s="23" t="n">
        <v>-310.266487474748</v>
      </c>
      <c r="C52" s="19" t="n">
        <v>48</v>
      </c>
      <c r="D52" s="11" t="n">
        <f aca="false">-Cost_k*A52+Beta_q*(Declarations!$B$16*INDEX($B$5:$B$425,$C52-ROUND(Declarations!$A$16/0.05,0))+Declarations!$B$17*INDEX($B$5:$B$425,$C52-ROUND(Declarations!$A$17/0.05,0))+Declarations!$B$18*INDEX($B$5:$B$425,$C52-ROUND(Declarations!$A$18/0.05,0))+Declarations!$B$19*INDEX($B$5:$B$425,$C52-ROUND(Declarations!$A$19/0.05,0))+Declarations!$B$20*INDEX($B$5:$B$425,$C52-ROUND(Declarations!$A$20/0.05,0)))</f>
        <v>-492.530072530741</v>
      </c>
    </row>
    <row r="53" customFormat="false" ht="15" hidden="false" customHeight="false" outlineLevel="0" collapsed="false">
      <c r="A53" s="14" t="n">
        <v>47.4</v>
      </c>
      <c r="B53" s="23" t="n">
        <v>-309.654124147274</v>
      </c>
      <c r="C53" s="19" t="n">
        <v>49</v>
      </c>
      <c r="D53" s="11" t="n">
        <f aca="false">-Cost_k*A53+Beta_q*(Declarations!$B$16*INDEX($B$5:$B$425,$C53-ROUND(Declarations!$A$16/0.05,0))+Declarations!$B$17*INDEX($B$5:$B$425,$C53-ROUND(Declarations!$A$17/0.05,0))+Declarations!$B$18*INDEX($B$5:$B$425,$C53-ROUND(Declarations!$A$18/0.05,0))+Declarations!$B$19*INDEX($B$5:$B$425,$C53-ROUND(Declarations!$A$19/0.05,0))+Declarations!$B$20*INDEX($B$5:$B$425,$C53-ROUND(Declarations!$A$20/0.05,0)))</f>
        <v>-492.132240471102</v>
      </c>
    </row>
    <row r="54" customFormat="false" ht="15" hidden="false" customHeight="false" outlineLevel="0" collapsed="false">
      <c r="A54" s="14" t="n">
        <v>47.45</v>
      </c>
      <c r="B54" s="23" t="n">
        <v>-309.04338495379</v>
      </c>
      <c r="C54" s="19" t="n">
        <v>50</v>
      </c>
      <c r="D54" s="11" t="n">
        <f aca="false">-Cost_k*A54+Beta_q*(Declarations!$B$16*INDEX($B$5:$B$425,$C54-ROUND(Declarations!$A$16/0.05,0))+Declarations!$B$17*INDEX($B$5:$B$425,$C54-ROUND(Declarations!$A$17/0.05,0))+Declarations!$B$18*INDEX($B$5:$B$425,$C54-ROUND(Declarations!$A$18/0.05,0))+Declarations!$B$19*INDEX($B$5:$B$425,$C54-ROUND(Declarations!$A$19/0.05,0))+Declarations!$B$20*INDEX($B$5:$B$425,$C54-ROUND(Declarations!$A$20/0.05,0)))</f>
        <v>-491.736324704593</v>
      </c>
    </row>
    <row r="55" customFormat="false" ht="15" hidden="false" customHeight="false" outlineLevel="0" collapsed="false">
      <c r="A55" s="14" t="n">
        <v>47.5</v>
      </c>
      <c r="B55" s="23" t="n">
        <v>-308.433956515197</v>
      </c>
      <c r="C55" s="19" t="n">
        <v>51</v>
      </c>
      <c r="D55" s="11" t="n">
        <f aca="false">-Cost_k*A55+Beta_q*(Declarations!$B$16*INDEX($B$5:$B$425,$C55-ROUND(Declarations!$A$16/0.05,0))+Declarations!$B$17*INDEX($B$5:$B$425,$C55-ROUND(Declarations!$A$17/0.05,0))+Declarations!$B$18*INDEX($B$5:$B$425,$C55-ROUND(Declarations!$A$18/0.05,0))+Declarations!$B$19*INDEX($B$5:$B$425,$C55-ROUND(Declarations!$A$19/0.05,0))+Declarations!$B$20*INDEX($B$5:$B$425,$C55-ROUND(Declarations!$A$20/0.05,0)))</f>
        <v>-491.342017064082</v>
      </c>
    </row>
    <row r="56" customFormat="false" ht="15" hidden="false" customHeight="false" outlineLevel="0" collapsed="false">
      <c r="A56" s="14" t="n">
        <v>47.55</v>
      </c>
      <c r="B56" s="23" t="n">
        <v>-307.826085746289</v>
      </c>
      <c r="C56" s="19" t="n">
        <v>52</v>
      </c>
      <c r="D56" s="11" t="n">
        <f aca="false">-Cost_k*A56+Beta_q*(Declarations!$B$16*INDEX($B$5:$B$425,$C56-ROUND(Declarations!$A$16/0.05,0))+Declarations!$B$17*INDEX($B$5:$B$425,$C56-ROUND(Declarations!$A$17/0.05,0))+Declarations!$B$18*INDEX($B$5:$B$425,$C56-ROUND(Declarations!$A$18/0.05,0))+Declarations!$B$19*INDEX($B$5:$B$425,$C56-ROUND(Declarations!$A$19/0.05,0))+Declarations!$B$20*INDEX($B$5:$B$425,$C56-ROUND(Declarations!$A$20/0.05,0)))</f>
        <v>-490.949378205853</v>
      </c>
    </row>
    <row r="57" customFormat="false" ht="15" hidden="false" customHeight="false" outlineLevel="0" collapsed="false">
      <c r="A57" s="14" t="n">
        <v>47.6</v>
      </c>
      <c r="B57" s="23" t="n">
        <v>-307.220327903885</v>
      </c>
      <c r="C57" s="19" t="n">
        <v>53</v>
      </c>
      <c r="D57" s="11" t="n">
        <f aca="false">-Cost_k*A57+Beta_q*(Declarations!$B$16*INDEX($B$5:$B$425,$C57-ROUND(Declarations!$A$16/0.05,0))+Declarations!$B$17*INDEX($B$5:$B$425,$C57-ROUND(Declarations!$A$17/0.05,0))+Declarations!$B$18*INDEX($B$5:$B$425,$C57-ROUND(Declarations!$A$18/0.05,0))+Declarations!$B$19*INDEX($B$5:$B$425,$C57-ROUND(Declarations!$A$19/0.05,0))+Declarations!$B$20*INDEX($B$5:$B$425,$C57-ROUND(Declarations!$A$20/0.05,0)))</f>
        <v>-490.558679279742</v>
      </c>
    </row>
    <row r="58" customFormat="false" ht="15" hidden="false" customHeight="false" outlineLevel="0" collapsed="false">
      <c r="A58" s="14" t="n">
        <v>47.65</v>
      </c>
      <c r="B58" s="23" t="n">
        <v>-306.617056891216</v>
      </c>
      <c r="C58" s="19" t="n">
        <v>54</v>
      </c>
      <c r="D58" s="11" t="n">
        <f aca="false">-Cost_k*A58+Beta_q*(Declarations!$B$16*INDEX($B$5:$B$425,$C58-ROUND(Declarations!$A$16/0.05,0))+Declarations!$B$17*INDEX($B$5:$B$425,$C58-ROUND(Declarations!$A$17/0.05,0))+Declarations!$B$18*INDEX($B$5:$B$425,$C58-ROUND(Declarations!$A$18/0.05,0))+Declarations!$B$19*INDEX($B$5:$B$425,$C58-ROUND(Declarations!$A$19/0.05,0))+Declarations!$B$20*INDEX($B$5:$B$425,$C58-ROUND(Declarations!$A$20/0.05,0)))</f>
        <v>-490.170084123076</v>
      </c>
    </row>
    <row r="59" customFormat="false" ht="15" hidden="false" customHeight="false" outlineLevel="0" collapsed="false">
      <c r="A59" s="14" t="n">
        <v>47.7</v>
      </c>
      <c r="B59" s="23" t="n">
        <v>-306.016096572142</v>
      </c>
      <c r="C59" s="19" t="n">
        <v>55</v>
      </c>
      <c r="D59" s="11" t="n">
        <f aca="false">-Cost_k*A59+Beta_q*(Declarations!$B$16*INDEX($B$5:$B$425,$C59-ROUND(Declarations!$A$16/0.05,0))+Declarations!$B$17*INDEX($B$5:$B$425,$C59-ROUND(Declarations!$A$17/0.05,0))+Declarations!$B$18*INDEX($B$5:$B$425,$C59-ROUND(Declarations!$A$18/0.05,0))+Declarations!$B$19*INDEX($B$5:$B$425,$C59-ROUND(Declarations!$A$19/0.05,0))+Declarations!$B$20*INDEX($B$5:$B$425,$C59-ROUND(Declarations!$A$20/0.05,0)))</f>
        <v>-489.783481416982</v>
      </c>
    </row>
    <row r="60" customFormat="false" ht="15" hidden="false" customHeight="false" outlineLevel="0" collapsed="false">
      <c r="A60" s="14" t="n">
        <v>47.75</v>
      </c>
      <c r="B60" s="23" t="n">
        <v>-305.417030339624</v>
      </c>
      <c r="C60" s="19" t="n">
        <v>56</v>
      </c>
      <c r="D60" s="11" t="n">
        <f aca="false">-Cost_k*A60+Beta_q*(Declarations!$B$16*INDEX($B$5:$B$425,$C60-ROUND(Declarations!$A$16/0.05,0))+Declarations!$B$17*INDEX($B$5:$B$425,$C60-ROUND(Declarations!$A$17/0.05,0))+Declarations!$B$18*INDEX($B$5:$B$425,$C60-ROUND(Declarations!$A$18/0.05,0))+Declarations!$B$19*INDEX($B$5:$B$425,$C60-ROUND(Declarations!$A$19/0.05,0))+Declarations!$B$20*INDEX($B$5:$B$425,$C60-ROUND(Declarations!$A$20/0.05,0)))</f>
        <v>-489.398658112434</v>
      </c>
    </row>
    <row r="61" customFormat="false" ht="15" hidden="false" customHeight="false" outlineLevel="0" collapsed="false">
      <c r="A61" s="14" t="n">
        <v>47.8</v>
      </c>
      <c r="B61" s="23" t="n">
        <v>-304.819719015948</v>
      </c>
      <c r="C61" s="19" t="n">
        <v>57</v>
      </c>
      <c r="D61" s="11" t="n">
        <f aca="false">-Cost_k*A61+Beta_q*(Declarations!$B$16*INDEX($B$5:$B$425,$C61-ROUND(Declarations!$A$16/0.05,0))+Declarations!$B$17*INDEX($B$5:$B$425,$C61-ROUND(Declarations!$A$17/0.05,0))+Declarations!$B$18*INDEX($B$5:$B$425,$C61-ROUND(Declarations!$A$18/0.05,0))+Declarations!$B$19*INDEX($B$5:$B$425,$C61-ROUND(Declarations!$A$19/0.05,0))+Declarations!$B$20*INDEX($B$5:$B$425,$C61-ROUND(Declarations!$A$20/0.05,0)))</f>
        <v>-489.015587649353</v>
      </c>
    </row>
    <row r="62" customFormat="false" ht="15" hidden="false" customHeight="false" outlineLevel="0" collapsed="false">
      <c r="A62" s="14" t="n">
        <v>47.85</v>
      </c>
      <c r="B62" s="23" t="n">
        <v>-304.224366695858</v>
      </c>
      <c r="C62" s="19" t="n">
        <v>58</v>
      </c>
      <c r="D62" s="11" t="n">
        <f aca="false">-Cost_k*A62+Beta_q*(Declarations!$B$16*INDEX($B$5:$B$425,$C62-ROUND(Declarations!$A$16/0.05,0))+Declarations!$B$17*INDEX($B$5:$B$425,$C62-ROUND(Declarations!$A$17/0.05,0))+Declarations!$B$18*INDEX($B$5:$B$425,$C62-ROUND(Declarations!$A$18/0.05,0))+Declarations!$B$19*INDEX($B$5:$B$425,$C62-ROUND(Declarations!$A$19/0.05,0))+Declarations!$B$20*INDEX($B$5:$B$425,$C62-ROUND(Declarations!$A$20/0.05,0)))</f>
        <v>-488.634499491301</v>
      </c>
    </row>
    <row r="63" customFormat="false" ht="15" hidden="false" customHeight="false" outlineLevel="0" collapsed="false">
      <c r="A63" s="14" t="n">
        <v>47.9</v>
      </c>
      <c r="B63" s="23" t="n">
        <v>-303.631118841074</v>
      </c>
      <c r="C63" s="19" t="n">
        <v>59</v>
      </c>
      <c r="D63" s="11" t="n">
        <f aca="false">-Cost_k*A63+Beta_q*(Declarations!$B$16*INDEX($B$5:$B$425,$C63-ROUND(Declarations!$A$16/0.05,0))+Declarations!$B$17*INDEX($B$5:$B$425,$C63-ROUND(Declarations!$A$17/0.05,0))+Declarations!$B$18*INDEX($B$5:$B$425,$C63-ROUND(Declarations!$A$18/0.05,0))+Declarations!$B$19*INDEX($B$5:$B$425,$C63-ROUND(Declarations!$A$19/0.05,0))+Declarations!$B$20*INDEX($B$5:$B$425,$C63-ROUND(Declarations!$A$20/0.05,0)))</f>
        <v>-488.255675872926</v>
      </c>
    </row>
    <row r="64" customFormat="false" ht="15" hidden="false" customHeight="false" outlineLevel="0" collapsed="false">
      <c r="A64" s="14" t="n">
        <v>47.95</v>
      </c>
      <c r="B64" s="23" t="n">
        <v>-303.039245723815</v>
      </c>
      <c r="C64" s="19" t="n">
        <v>60</v>
      </c>
      <c r="D64" s="11" t="n">
        <f aca="false">-Cost_k*A64+Beta_q*(Declarations!$B$16*INDEX($B$5:$B$425,$C64-ROUND(Declarations!$A$16/0.05,0))+Declarations!$B$17*INDEX($B$5:$B$425,$C64-ROUND(Declarations!$A$17/0.05,0))+Declarations!$B$18*INDEX($B$5:$B$425,$C64-ROUND(Declarations!$A$18/0.05,0))+Declarations!$B$19*INDEX($B$5:$B$425,$C64-ROUND(Declarations!$A$19/0.05,0))+Declarations!$B$20*INDEX($B$5:$B$425,$C64-ROUND(Declarations!$A$20/0.05,0)))</f>
        <v>-487.878612481731</v>
      </c>
    </row>
    <row r="65" customFormat="false" ht="15" hidden="false" customHeight="false" outlineLevel="0" collapsed="false">
      <c r="A65" s="14" t="n">
        <v>48</v>
      </c>
      <c r="B65" s="23" t="n">
        <v>-302.448698303401</v>
      </c>
      <c r="C65" s="19" t="n">
        <v>61</v>
      </c>
      <c r="D65" s="11" t="n">
        <f aca="false">-Cost_k*A65+Beta_q*(Declarations!$B$16*INDEX($B$5:$B$425,$C65-ROUND(Declarations!$A$16/0.05,0))+Declarations!$B$17*INDEX($B$5:$B$425,$C65-ROUND(Declarations!$A$17/0.05,0))+Declarations!$B$18*INDEX($B$5:$B$425,$C65-ROUND(Declarations!$A$18/0.05,0))+Declarations!$B$19*INDEX($B$5:$B$425,$C65-ROUND(Declarations!$A$19/0.05,0))+Declarations!$B$20*INDEX($B$5:$B$425,$C65-ROUND(Declarations!$A$20/0.05,0)))</f>
        <v>-487.503043130048</v>
      </c>
    </row>
    <row r="66" customFormat="false" ht="15" hidden="false" customHeight="false" outlineLevel="0" collapsed="false">
      <c r="A66" s="14" t="n">
        <v>48.05</v>
      </c>
      <c r="B66" s="23" t="n">
        <v>-301.859838108146</v>
      </c>
      <c r="C66" s="19" t="n">
        <v>62</v>
      </c>
      <c r="D66" s="11" t="n">
        <f aca="false">-Cost_k*A66+Beta_q*(Declarations!$B$16*INDEX($B$5:$B$425,$C66-ROUND(Declarations!$A$16/0.05,0))+Declarations!$B$17*INDEX($B$5:$B$425,$C66-ROUND(Declarations!$A$17/0.05,0))+Declarations!$B$18*INDEX($B$5:$B$425,$C66-ROUND(Declarations!$A$18/0.05,0))+Declarations!$B$19*INDEX($B$5:$B$425,$C66-ROUND(Declarations!$A$19/0.05,0))+Declarations!$B$20*INDEX($B$5:$B$425,$C66-ROUND(Declarations!$A$20/0.05,0)))</f>
        <v>-487.129095428559</v>
      </c>
    </row>
    <row r="67" customFormat="false" ht="15" hidden="false" customHeight="false" outlineLevel="0" collapsed="false">
      <c r="A67" s="14" t="n">
        <v>48.1</v>
      </c>
      <c r="B67" s="23" t="n">
        <v>-301.273536182344</v>
      </c>
      <c r="C67" s="19" t="n">
        <v>63</v>
      </c>
      <c r="D67" s="11" t="n">
        <f aca="false">-Cost_k*A67+Beta_q*(Declarations!$B$16*INDEX($B$5:$B$425,$C67-ROUND(Declarations!$A$16/0.05,0))+Declarations!$B$17*INDEX($B$5:$B$425,$C67-ROUND(Declarations!$A$17/0.05,0))+Declarations!$B$18*INDEX($B$5:$B$425,$C67-ROUND(Declarations!$A$18/0.05,0))+Declarations!$B$19*INDEX($B$5:$B$425,$C67-ROUND(Declarations!$A$19/0.05,0))+Declarations!$B$20*INDEX($B$5:$B$425,$C67-ROUND(Declarations!$A$20/0.05,0)))</f>
        <v>-486.757287122744</v>
      </c>
    </row>
    <row r="68" customFormat="false" ht="15" hidden="false" customHeight="false" outlineLevel="0" collapsed="false">
      <c r="A68" s="14" t="n">
        <v>48.15</v>
      </c>
      <c r="B68" s="23" t="n">
        <v>-300.69057137957</v>
      </c>
      <c r="C68" s="19" t="n">
        <v>64</v>
      </c>
      <c r="D68" s="11" t="n">
        <f aca="false">-Cost_k*A68+Beta_q*(Declarations!$B$16*INDEX($B$5:$B$425,$C68-ROUND(Declarations!$A$16/0.05,0))+Declarations!$B$17*INDEX($B$5:$B$425,$C68-ROUND(Declarations!$A$17/0.05,0))+Declarations!$B$18*INDEX($B$5:$B$425,$C68-ROUND(Declarations!$A$18/0.05,0))+Declarations!$B$19*INDEX($B$5:$B$425,$C68-ROUND(Declarations!$A$19/0.05,0))+Declarations!$B$20*INDEX($B$5:$B$425,$C68-ROUND(Declarations!$A$20/0.05,0)))</f>
        <v>-486.388115868233</v>
      </c>
    </row>
    <row r="69" customFormat="false" ht="15" hidden="false" customHeight="false" outlineLevel="0" collapsed="false">
      <c r="A69" s="14" t="n">
        <v>48.2</v>
      </c>
      <c r="B69" s="23" t="n">
        <v>-300.110548898599</v>
      </c>
      <c r="C69" s="19" t="n">
        <v>65</v>
      </c>
      <c r="D69" s="11" t="n">
        <f aca="false">-Cost_k*A69+Beta_q*(Declarations!$B$16*INDEX($B$5:$B$425,$C69-ROUND(Declarations!$A$16/0.05,0))+Declarations!$B$17*INDEX($B$5:$B$425,$C69-ROUND(Declarations!$A$17/0.05,0))+Declarations!$B$18*INDEX($B$5:$B$425,$C69-ROUND(Declarations!$A$18/0.05,0))+Declarations!$B$19*INDEX($B$5:$B$425,$C69-ROUND(Declarations!$A$19/0.05,0))+Declarations!$B$20*INDEX($B$5:$B$425,$C69-ROUND(Declarations!$A$20/0.05,0)))</f>
        <v>-486.021507705791</v>
      </c>
    </row>
    <row r="70" customFormat="false" ht="15" hidden="false" customHeight="false" outlineLevel="0" collapsed="false">
      <c r="A70" s="14" t="n">
        <v>48.25</v>
      </c>
      <c r="B70" s="23" t="n">
        <v>-299.532296096033</v>
      </c>
      <c r="C70" s="19" t="n">
        <v>66</v>
      </c>
      <c r="D70" s="11" t="n">
        <f aca="false">-Cost_k*A70+Beta_q*(Declarations!$B$16*INDEX($B$5:$B$425,$C70-ROUND(Declarations!$A$16/0.05,0))+Declarations!$B$17*INDEX($B$5:$B$425,$C70-ROUND(Declarations!$A$17/0.05,0))+Declarations!$B$18*INDEX($B$5:$B$425,$C70-ROUND(Declarations!$A$18/0.05,0))+Declarations!$B$19*INDEX($B$5:$B$425,$C70-ROUND(Declarations!$A$19/0.05,0))+Declarations!$B$20*INDEX($B$5:$B$425,$C70-ROUND(Declarations!$A$20/0.05,0)))</f>
        <v>-485.656854071927</v>
      </c>
    </row>
    <row r="71" customFormat="false" ht="15" hidden="false" customHeight="false" outlineLevel="0" collapsed="false">
      <c r="A71" s="14" t="n">
        <v>48.3</v>
      </c>
      <c r="B71" s="23" t="n">
        <v>-298.955266912237</v>
      </c>
      <c r="C71" s="19" t="n">
        <v>67</v>
      </c>
      <c r="D71" s="11" t="n">
        <f aca="false">-Cost_k*A71+Beta_q*(Declarations!$B$16*INDEX($B$5:$B$425,$C71-ROUND(Declarations!$A$16/0.05,0))+Declarations!$B$17*INDEX($B$5:$B$425,$C71-ROUND(Declarations!$A$17/0.05,0))+Declarations!$B$18*INDEX($B$5:$B$425,$C71-ROUND(Declarations!$A$18/0.05,0))+Declarations!$B$19*INDEX($B$5:$B$425,$C71-ROUND(Declarations!$A$19/0.05,0))+Declarations!$B$20*INDEX($B$5:$B$425,$C71-ROUND(Declarations!$A$20/0.05,0)))</f>
        <v>-485.293784973808</v>
      </c>
    </row>
    <row r="72" customFormat="false" ht="15" hidden="false" customHeight="false" outlineLevel="0" collapsed="false">
      <c r="A72" s="14" t="n">
        <v>48.35</v>
      </c>
      <c r="B72" s="23" t="n">
        <v>-298.379538410738</v>
      </c>
      <c r="C72" s="19" t="n">
        <v>68</v>
      </c>
      <c r="D72" s="11" t="n">
        <f aca="false">-Cost_k*A72+Beta_q*(Declarations!$B$16*INDEX($B$5:$B$425,$C72-ROUND(Declarations!$A$16/0.05,0))+Declarations!$B$17*INDEX($B$5:$B$425,$C72-ROUND(Declarations!$A$17/0.05,0))+Declarations!$B$18*INDEX($B$5:$B$425,$C72-ROUND(Declarations!$A$18/0.05,0))+Declarations!$B$19*INDEX($B$5:$B$425,$C72-ROUND(Declarations!$A$19/0.05,0))+Declarations!$B$20*INDEX($B$5:$B$425,$C72-ROUND(Declarations!$A$20/0.05,0)))</f>
        <v>-484.93235266777</v>
      </c>
    </row>
    <row r="73" customFormat="false" ht="15" hidden="false" customHeight="false" outlineLevel="0" collapsed="false">
      <c r="A73" s="14" t="n">
        <v>48.4</v>
      </c>
      <c r="B73" s="23" t="n">
        <v>-297.805474342371</v>
      </c>
      <c r="C73" s="19" t="n">
        <v>69</v>
      </c>
      <c r="D73" s="11" t="n">
        <f aca="false">-Cost_k*A73+Beta_q*(Declarations!$B$16*INDEX($B$5:$B$425,$C73-ROUND(Declarations!$A$16/0.05,0))+Declarations!$B$17*INDEX($B$5:$B$425,$C73-ROUND(Declarations!$A$17/0.05,0))+Declarations!$B$18*INDEX($B$5:$B$425,$C73-ROUND(Declarations!$A$18/0.05,0))+Declarations!$B$19*INDEX($B$5:$B$425,$C73-ROUND(Declarations!$A$19/0.05,0))+Declarations!$B$20*INDEX($B$5:$B$425,$C73-ROUND(Declarations!$A$20/0.05,0)))</f>
        <v>-484.572797335391</v>
      </c>
    </row>
    <row r="74" customFormat="false" ht="15" hidden="false" customHeight="false" outlineLevel="0" collapsed="false">
      <c r="A74" s="14" t="n">
        <v>48.45</v>
      </c>
      <c r="B74" s="23" t="n">
        <v>-297.233427204412</v>
      </c>
      <c r="C74" s="19" t="n">
        <v>70</v>
      </c>
      <c r="D74" s="11" t="n">
        <f aca="false">-Cost_k*A74+Beta_q*(Declarations!$B$16*INDEX($B$5:$B$425,$C74-ROUND(Declarations!$A$16/0.05,0))+Declarations!$B$17*INDEX($B$5:$B$425,$C74-ROUND(Declarations!$A$17/0.05,0))+Declarations!$B$18*INDEX($B$5:$B$425,$C74-ROUND(Declarations!$A$18/0.05,0))+Declarations!$B$19*INDEX($B$5:$B$425,$C74-ROUND(Declarations!$A$19/0.05,0))+Declarations!$B$20*INDEX($B$5:$B$425,$C74-ROUND(Declarations!$A$20/0.05,0)))</f>
        <v>-484.215215308702</v>
      </c>
    </row>
    <row r="75" customFormat="false" ht="15" hidden="false" customHeight="false" outlineLevel="0" collapsed="false">
      <c r="A75" s="14" t="n">
        <v>48.5</v>
      </c>
      <c r="B75" s="23" t="n">
        <v>-296.663456891207</v>
      </c>
      <c r="C75" s="19" t="n">
        <v>71</v>
      </c>
      <c r="D75" s="11" t="n">
        <f aca="false">-Cost_k*A75+Beta_q*(Declarations!$B$16*INDEX($B$5:$B$425,$C75-ROUND(Declarations!$A$16/0.05,0))+Declarations!$B$17*INDEX($B$5:$B$425,$C75-ROUND(Declarations!$A$17/0.05,0))+Declarations!$B$18*INDEX($B$5:$B$425,$C75-ROUND(Declarations!$A$18/0.05,0))+Declarations!$B$19*INDEX($B$5:$B$425,$C75-ROUND(Declarations!$A$19/0.05,0))+Declarations!$B$20*INDEX($B$5:$B$425,$C75-ROUND(Declarations!$A$20/0.05,0)))</f>
        <v>-483.859372106718</v>
      </c>
    </row>
    <row r="76" customFormat="false" ht="15" hidden="false" customHeight="false" outlineLevel="0" collapsed="false">
      <c r="A76" s="14" t="n">
        <v>48.55</v>
      </c>
      <c r="B76" s="23" t="n">
        <v>-296.095530355067</v>
      </c>
      <c r="C76" s="19" t="n">
        <v>72</v>
      </c>
      <c r="D76" s="11" t="n">
        <f aca="false">-Cost_k*A76+Beta_q*(Declarations!$B$16*INDEX($B$5:$B$425,$C76-ROUND(Declarations!$A$16/0.05,0))+Declarations!$B$17*INDEX($B$5:$B$425,$C76-ROUND(Declarations!$A$17/0.05,0))+Declarations!$B$18*INDEX($B$5:$B$425,$C76-ROUND(Declarations!$A$18/0.05,0))+Declarations!$B$19*INDEX($B$5:$B$425,$C76-ROUND(Declarations!$A$19/0.05,0))+Declarations!$B$20*INDEX($B$5:$B$425,$C76-ROUND(Declarations!$A$20/0.05,0)))</f>
        <v>-483.505279682408</v>
      </c>
    </row>
    <row r="77" customFormat="false" ht="15" hidden="false" customHeight="false" outlineLevel="0" collapsed="false">
      <c r="A77" s="14" t="n">
        <v>48.6</v>
      </c>
      <c r="B77" s="23" t="n">
        <v>-295.530057887201</v>
      </c>
      <c r="C77" s="19" t="n">
        <v>73</v>
      </c>
      <c r="D77" s="11" t="n">
        <f aca="false">-Cost_k*A77+Beta_q*(Declarations!$B$16*INDEX($B$5:$B$425,$C77-ROUND(Declarations!$A$16/0.05,0))+Declarations!$B$17*INDEX($B$5:$B$425,$C77-ROUND(Declarations!$A$17/0.05,0))+Declarations!$B$18*INDEX($B$5:$B$425,$C77-ROUND(Declarations!$A$18/0.05,0))+Declarations!$B$19*INDEX($B$5:$B$425,$C77-ROUND(Declarations!$A$19/0.05,0))+Declarations!$B$20*INDEX($B$5:$B$425,$C77-ROUND(Declarations!$A$20/0.05,0)))</f>
        <v>-483.153287715643</v>
      </c>
    </row>
    <row r="78" customFormat="false" ht="15" hidden="false" customHeight="false" outlineLevel="0" collapsed="false">
      <c r="A78" s="14" t="n">
        <v>48.65</v>
      </c>
      <c r="B78" s="23" t="n">
        <v>-294.967884929485</v>
      </c>
      <c r="C78" s="19" t="n">
        <v>74</v>
      </c>
      <c r="D78" s="11" t="n">
        <f aca="false">-Cost_k*A78+Beta_q*(Declarations!$B$16*INDEX($B$5:$B$425,$C78-ROUND(Declarations!$A$16/0.05,0))+Declarations!$B$17*INDEX($B$5:$B$425,$C78-ROUND(Declarations!$A$17/0.05,0))+Declarations!$B$18*INDEX($B$5:$B$425,$C78-ROUND(Declarations!$A$18/0.05,0))+Declarations!$B$19*INDEX($B$5:$B$425,$C78-ROUND(Declarations!$A$19/0.05,0))+Declarations!$B$20*INDEX($B$5:$B$425,$C78-ROUND(Declarations!$A$20/0.05,0)))</f>
        <v>-482.804127963757</v>
      </c>
    </row>
    <row r="79" customFormat="false" ht="15" hidden="false" customHeight="false" outlineLevel="0" collapsed="false">
      <c r="A79" s="14" t="n">
        <v>48.7</v>
      </c>
      <c r="B79" s="23" t="n">
        <v>-294.408073653126</v>
      </c>
      <c r="C79" s="19" t="n">
        <v>75</v>
      </c>
      <c r="D79" s="11" t="n">
        <f aca="false">-Cost_k*A79+Beta_q*(Declarations!$B$16*INDEX($B$5:$B$425,$C79-ROUND(Declarations!$A$16/0.05,0))+Declarations!$B$17*INDEX($B$5:$B$425,$C79-ROUND(Declarations!$A$17/0.05,0))+Declarations!$B$18*INDEX($B$5:$B$425,$C79-ROUND(Declarations!$A$18/0.05,0))+Declarations!$B$19*INDEX($B$5:$B$425,$C79-ROUND(Declarations!$A$19/0.05,0))+Declarations!$B$20*INDEX($B$5:$B$425,$C79-ROUND(Declarations!$A$20/0.05,0)))</f>
        <v>-482.457541843728</v>
      </c>
    </row>
    <row r="80" customFormat="false" ht="15" hidden="false" customHeight="false" outlineLevel="0" collapsed="false">
      <c r="A80" s="14" t="n">
        <v>48.75</v>
      </c>
      <c r="B80" s="23" t="n">
        <v>-293.849543338914</v>
      </c>
      <c r="C80" s="19" t="n">
        <v>76</v>
      </c>
      <c r="D80" s="11" t="n">
        <f aca="false">-Cost_k*A80+Beta_q*(Declarations!$B$16*INDEX($B$5:$B$425,$C80-ROUND(Declarations!$A$16/0.05,0))+Declarations!$B$17*INDEX($B$5:$B$425,$C80-ROUND(Declarations!$A$17/0.05,0))+Declarations!$B$18*INDEX($B$5:$B$425,$C80-ROUND(Declarations!$A$18/0.05,0))+Declarations!$B$19*INDEX($B$5:$B$425,$C80-ROUND(Declarations!$A$19/0.05,0))+Declarations!$B$20*INDEX($B$5:$B$425,$C80-ROUND(Declarations!$A$20/0.05,0)))</f>
        <v>-482.112816188881</v>
      </c>
    </row>
    <row r="81" customFormat="false" ht="15" hidden="false" customHeight="false" outlineLevel="0" collapsed="false">
      <c r="A81" s="14" t="n">
        <v>48.8</v>
      </c>
      <c r="B81" s="23" t="n">
        <v>-293.291992996913</v>
      </c>
      <c r="C81" s="19" t="n">
        <v>77</v>
      </c>
      <c r="D81" s="11" t="n">
        <f aca="false">-Cost_k*A81+Beta_q*(Declarations!$B$16*INDEX($B$5:$B$425,$C81-ROUND(Declarations!$A$16/0.05,0))+Declarations!$B$17*INDEX($B$5:$B$425,$C81-ROUND(Declarations!$A$17/0.05,0))+Declarations!$B$18*INDEX($B$5:$B$425,$C81-ROUND(Declarations!$A$18/0.05,0))+Declarations!$B$19*INDEX($B$5:$B$425,$C81-ROUND(Declarations!$A$19/0.05,0))+Declarations!$B$20*INDEX($B$5:$B$425,$C81-ROUND(Declarations!$A$20/0.05,0)))</f>
        <v>-481.769429879461</v>
      </c>
    </row>
    <row r="82" customFormat="false" ht="15" hidden="false" customHeight="false" outlineLevel="0" collapsed="false">
      <c r="A82" s="14" t="n">
        <v>48.85</v>
      </c>
      <c r="B82" s="23" t="n">
        <v>-292.73577816612</v>
      </c>
      <c r="C82" s="19" t="n">
        <v>78</v>
      </c>
      <c r="D82" s="11" t="n">
        <f aca="false">-Cost_k*A82+Beta_q*(Declarations!$B$16*INDEX($B$5:$B$425,$C82-ROUND(Declarations!$A$16/0.05,0))+Declarations!$B$17*INDEX($B$5:$B$425,$C82-ROUND(Declarations!$A$17/0.05,0))+Declarations!$B$18*INDEX($B$5:$B$425,$C82-ROUND(Declarations!$A$18/0.05,0))+Declarations!$B$19*INDEX($B$5:$B$425,$C82-ROUND(Declarations!$A$19/0.05,0))+Declarations!$B$20*INDEX($B$5:$B$425,$C82-ROUND(Declarations!$A$20/0.05,0)))</f>
        <v>-481.427536422405</v>
      </c>
    </row>
    <row r="83" customFormat="false" ht="15" hidden="false" customHeight="false" outlineLevel="0" collapsed="false">
      <c r="A83" s="14" t="n">
        <v>48.9</v>
      </c>
      <c r="B83" s="23" t="n">
        <v>-292.181906242683</v>
      </c>
      <c r="C83" s="19" t="n">
        <v>79</v>
      </c>
      <c r="D83" s="11" t="n">
        <f aca="false">-Cost_k*A83+Beta_q*(Declarations!$B$16*INDEX($B$5:$B$425,$C83-ROUND(Declarations!$A$16/0.05,0))+Declarations!$B$17*INDEX($B$5:$B$425,$C83-ROUND(Declarations!$A$17/0.05,0))+Declarations!$B$18*INDEX($B$5:$B$425,$C83-ROUND(Declarations!$A$18/0.05,0))+Declarations!$B$19*INDEX($B$5:$B$425,$C83-ROUND(Declarations!$A$19/0.05,0))+Declarations!$B$20*INDEX($B$5:$B$425,$C83-ROUND(Declarations!$A$20/0.05,0)))</f>
        <v>-481.087755639668</v>
      </c>
    </row>
    <row r="84" customFormat="false" ht="15" hidden="false" customHeight="false" outlineLevel="0" collapsed="false">
      <c r="A84" s="14" t="n">
        <v>48.95</v>
      </c>
      <c r="B84" s="23" t="n">
        <v>-291.631386644682</v>
      </c>
      <c r="C84" s="19" t="n">
        <v>80</v>
      </c>
      <c r="D84" s="11" t="n">
        <f aca="false">-Cost_k*A84+Beta_q*(Declarations!$B$16*INDEX($B$5:$B$425,$C84-ROUND(Declarations!$A$16/0.05,0))+Declarations!$B$17*INDEX($B$5:$B$425,$C84-ROUND(Declarations!$A$17/0.05,0))+Declarations!$B$18*INDEX($B$5:$B$425,$C84-ROUND(Declarations!$A$18/0.05,0))+Declarations!$B$19*INDEX($B$5:$B$425,$C84-ROUND(Declarations!$A$19/0.05,0))+Declarations!$B$20*INDEX($B$5:$B$425,$C84-ROUND(Declarations!$A$20/0.05,0)))</f>
        <v>-480.750616960752</v>
      </c>
    </row>
    <row r="85" customFormat="false" ht="15" hidden="false" customHeight="false" outlineLevel="0" collapsed="false">
      <c r="A85" s="14" t="n">
        <v>49</v>
      </c>
      <c r="B85" s="23" t="n">
        <v>-291.08401241636</v>
      </c>
      <c r="C85" s="19" t="n">
        <v>81</v>
      </c>
      <c r="D85" s="11" t="n">
        <f aca="false">-Cost_k*A85+Beta_q*(Declarations!$B$16*INDEX($B$5:$B$425,$C85-ROUND(Declarations!$A$16/0.05,0))+Declarations!$B$17*INDEX($B$5:$B$425,$C85-ROUND(Declarations!$A$17/0.05,0))+Declarations!$B$18*INDEX($B$5:$B$425,$C85-ROUND(Declarations!$A$18/0.05,0))+Declarations!$B$19*INDEX($B$5:$B$425,$C85-ROUND(Declarations!$A$19/0.05,0))+Declarations!$B$20*INDEX($B$5:$B$425,$C85-ROUND(Declarations!$A$20/0.05,0)))</f>
        <v>-480.415987991975</v>
      </c>
    </row>
    <row r="86" customFormat="false" ht="15" hidden="false" customHeight="false" outlineLevel="0" collapsed="false">
      <c r="A86" s="14" t="n">
        <v>49.05</v>
      </c>
      <c r="B86" s="23" t="n">
        <v>-290.538855220391</v>
      </c>
      <c r="C86" s="19" t="n">
        <v>82</v>
      </c>
      <c r="D86" s="11" t="n">
        <f aca="false">-Cost_k*A86+Beta_q*(Declarations!$B$16*INDEX($B$5:$B$425,$C86-ROUND(Declarations!$A$16/0.05,0))+Declarations!$B$17*INDEX($B$5:$B$425,$C86-ROUND(Declarations!$A$17/0.05,0))+Declarations!$B$18*INDEX($B$5:$B$425,$C86-ROUND(Declarations!$A$18/0.05,0))+Declarations!$B$19*INDEX($B$5:$B$425,$C86-ROUND(Declarations!$A$19/0.05,0))+Declarations!$B$20*INDEX($B$5:$B$425,$C86-ROUND(Declarations!$A$20/0.05,0)))</f>
        <v>-480.083378526423</v>
      </c>
    </row>
    <row r="87" customFormat="false" ht="15" hidden="false" customHeight="false" outlineLevel="0" collapsed="false">
      <c r="A87" s="14" t="n">
        <v>49.1</v>
      </c>
      <c r="B87" s="23" t="n">
        <v>-289.995429083804</v>
      </c>
      <c r="C87" s="19" t="n">
        <v>83</v>
      </c>
      <c r="D87" s="11" t="n">
        <f aca="false">-Cost_k*A87+Beta_q*(Declarations!$B$16*INDEX($B$5:$B$425,$C87-ROUND(Declarations!$A$16/0.05,0))+Declarations!$B$17*INDEX($B$5:$B$425,$C87-ROUND(Declarations!$A$17/0.05,0))+Declarations!$B$18*INDEX($B$5:$B$425,$C87-ROUND(Declarations!$A$18/0.05,0))+Declarations!$B$19*INDEX($B$5:$B$425,$C87-ROUND(Declarations!$A$19/0.05,0))+Declarations!$B$20*INDEX($B$5:$B$425,$C87-ROUND(Declarations!$A$20/0.05,0)))</f>
        <v>-479.752593032033</v>
      </c>
    </row>
    <row r="88" customFormat="false" ht="15" hidden="false" customHeight="false" outlineLevel="0" collapsed="false">
      <c r="A88" s="14" t="n">
        <v>49.15</v>
      </c>
      <c r="B88" s="23" t="n">
        <v>-289.453630564996</v>
      </c>
      <c r="C88" s="19" t="n">
        <v>84</v>
      </c>
      <c r="D88" s="11" t="n">
        <f aca="false">-Cost_k*A88+Beta_q*(Declarations!$B$16*INDEX($B$5:$B$425,$C88-ROUND(Declarations!$A$16/0.05,0))+Declarations!$B$17*INDEX($B$5:$B$425,$C88-ROUND(Declarations!$A$17/0.05,0))+Declarations!$B$18*INDEX($B$5:$B$425,$C88-ROUND(Declarations!$A$18/0.05,0))+Declarations!$B$19*INDEX($B$5:$B$425,$C88-ROUND(Declarations!$A$19/0.05,0))+Declarations!$B$20*INDEX($B$5:$B$425,$C88-ROUND(Declarations!$A$20/0.05,0)))</f>
        <v>-479.423852871177</v>
      </c>
    </row>
    <row r="89" customFormat="false" ht="15" hidden="false" customHeight="false" outlineLevel="0" collapsed="false">
      <c r="A89" s="14" t="n">
        <v>49.2</v>
      </c>
      <c r="B89" s="23" t="n">
        <v>-288.913234772725</v>
      </c>
      <c r="C89" s="19" t="n">
        <v>85</v>
      </c>
      <c r="D89" s="11" t="n">
        <f aca="false">-Cost_k*A89+Beta_q*(Declarations!$B$16*INDEX($B$5:$B$425,$C89-ROUND(Declarations!$A$16/0.05,0))+Declarations!$B$17*INDEX($B$5:$B$425,$C89-ROUND(Declarations!$A$17/0.05,0))+Declarations!$B$18*INDEX($B$5:$B$425,$C89-ROUND(Declarations!$A$18/0.05,0))+Declarations!$B$19*INDEX($B$5:$B$425,$C89-ROUND(Declarations!$A$19/0.05,0))+Declarations!$B$20*INDEX($B$5:$B$425,$C89-ROUND(Declarations!$A$20/0.05,0)))</f>
        <v>-479.097370533588</v>
      </c>
    </row>
    <row r="90" customFormat="false" ht="15" hidden="false" customHeight="false" outlineLevel="0" collapsed="false">
      <c r="A90" s="14" t="n">
        <v>49.25</v>
      </c>
      <c r="B90" s="23" t="n">
        <v>-288.374088657735</v>
      </c>
      <c r="C90" s="19" t="n">
        <v>86</v>
      </c>
      <c r="D90" s="11" t="n">
        <f aca="false">-Cost_k*A90+Beta_q*(Declarations!$B$16*INDEX($B$5:$B$425,$C90-ROUND(Declarations!$A$16/0.05,0))+Declarations!$B$17*INDEX($B$5:$B$425,$C90-ROUND(Declarations!$A$17/0.05,0))+Declarations!$B$18*INDEX($B$5:$B$425,$C90-ROUND(Declarations!$A$18/0.05,0))+Declarations!$B$19*INDEX($B$5:$B$425,$C90-ROUND(Declarations!$A$19/0.05,0))+Declarations!$B$20*INDEX($B$5:$B$425,$C90-ROUND(Declarations!$A$20/0.05,0)))</f>
        <v>-478.772336683313</v>
      </c>
    </row>
    <row r="91" customFormat="false" ht="15" hidden="false" customHeight="false" outlineLevel="0" collapsed="false">
      <c r="A91" s="14" t="n">
        <v>49.3</v>
      </c>
      <c r="B91" s="23" t="n">
        <v>-287.836462172731</v>
      </c>
      <c r="C91" s="19" t="n">
        <v>87</v>
      </c>
      <c r="D91" s="11" t="n">
        <f aca="false">-Cost_k*A91+Beta_q*(Declarations!$B$16*INDEX($B$5:$B$425,$C91-ROUND(Declarations!$A$16/0.05,0))+Declarations!$B$17*INDEX($B$5:$B$425,$C91-ROUND(Declarations!$A$17/0.05,0))+Declarations!$B$18*INDEX($B$5:$B$425,$C91-ROUND(Declarations!$A$18/0.05,0))+Declarations!$B$19*INDEX($B$5:$B$425,$C91-ROUND(Declarations!$A$19/0.05,0))+Declarations!$B$20*INDEX($B$5:$B$425,$C91-ROUND(Declarations!$A$20/0.05,0)))</f>
        <v>-478.448698303401</v>
      </c>
    </row>
    <row r="92" customFormat="false" ht="15" hidden="false" customHeight="false" outlineLevel="0" collapsed="false">
      <c r="A92" s="14" t="n">
        <v>49.35</v>
      </c>
      <c r="B92" s="23" t="n">
        <v>-287.300818852653</v>
      </c>
      <c r="C92" s="19" t="n">
        <v>88</v>
      </c>
      <c r="D92" s="11" t="n">
        <f aca="false">-Cost_k*A92+Beta_q*(Declarations!$B$16*INDEX($B$5:$B$425,$C92-ROUND(Declarations!$A$16/0.05,0))+Declarations!$B$17*INDEX($B$5:$B$425,$C92-ROUND(Declarations!$A$17/0.05,0))+Declarations!$B$18*INDEX($B$5:$B$425,$C92-ROUND(Declarations!$A$18/0.05,0))+Declarations!$B$19*INDEX($B$5:$B$425,$C92-ROUND(Declarations!$A$19/0.05,0))+Declarations!$B$20*INDEX($B$5:$B$425,$C92-ROUND(Declarations!$A$20/0.05,0)))</f>
        <v>-478.126790410832</v>
      </c>
    </row>
    <row r="93" customFormat="false" ht="15" hidden="false" customHeight="false" outlineLevel="0" collapsed="false">
      <c r="A93" s="14" t="n">
        <v>49.4</v>
      </c>
      <c r="B93" s="23" t="n">
        <v>-286.768493427763</v>
      </c>
      <c r="C93" s="19" t="n">
        <v>89</v>
      </c>
      <c r="D93" s="11" t="n">
        <f aca="false">-Cost_k*A93+Beta_q*(Declarations!$B$16*INDEX($B$5:$B$425,$C93-ROUND(Declarations!$A$16/0.05,0))+Declarations!$B$17*INDEX($B$5:$B$425,$C93-ROUND(Declarations!$A$17/0.05,0))+Declarations!$B$18*INDEX($B$5:$B$425,$C93-ROUND(Declarations!$A$18/0.05,0))+Declarations!$B$19*INDEX($B$5:$B$425,$C93-ROUND(Declarations!$A$19/0.05,0))+Declarations!$B$20*INDEX($B$5:$B$425,$C93-ROUND(Declarations!$A$20/0.05,0)))</f>
        <v>-477.807575433476</v>
      </c>
    </row>
    <row r="94" customFormat="false" ht="15" hidden="false" customHeight="false" outlineLevel="0" collapsed="false">
      <c r="A94" s="14" t="n">
        <v>49.45</v>
      </c>
      <c r="B94" s="23" t="n">
        <v>-286.240730851199</v>
      </c>
      <c r="C94" s="19" t="n">
        <v>90</v>
      </c>
      <c r="D94" s="11" t="n">
        <f aca="false">-Cost_k*A94+Beta_q*(Declarations!$B$16*INDEX($B$5:$B$425,$C94-ROUND(Declarations!$A$16/0.05,0))+Declarations!$B$17*INDEX($B$5:$B$425,$C94-ROUND(Declarations!$A$17/0.05,0))+Declarations!$B$18*INDEX($B$5:$B$425,$C94-ROUND(Declarations!$A$18/0.05,0))+Declarations!$B$19*INDEX($B$5:$B$425,$C94-ROUND(Declarations!$A$19/0.05,0))+Declarations!$B$20*INDEX($B$5:$B$425,$C94-ROUND(Declarations!$A$20/0.05,0)))</f>
        <v>-477.491895375199</v>
      </c>
    </row>
    <row r="95" customFormat="false" ht="15" hidden="false" customHeight="false" outlineLevel="0" collapsed="false">
      <c r="A95" s="14" t="n">
        <v>49.5</v>
      </c>
      <c r="B95" s="23" t="n">
        <v>-285.716174011913</v>
      </c>
      <c r="C95" s="19" t="n">
        <v>91</v>
      </c>
      <c r="D95" s="11" t="n">
        <f aca="false">-Cost_k*A95+Beta_q*(Declarations!$B$16*INDEX($B$5:$B$425,$C95-ROUND(Declarations!$A$16/0.05,0))+Declarations!$B$17*INDEX($B$5:$B$425,$C95-ROUND(Declarations!$A$17/0.05,0))+Declarations!$B$18*INDEX($B$5:$B$425,$C95-ROUND(Declarations!$A$18/0.05,0))+Declarations!$B$19*INDEX($B$5:$B$425,$C95-ROUND(Declarations!$A$19/0.05,0))+Declarations!$B$20*INDEX($B$5:$B$425,$C95-ROUND(Declarations!$A$20/0.05,0)))</f>
        <v>-477.179288178977</v>
      </c>
    </row>
    <row r="96" customFormat="false" ht="15" hidden="false" customHeight="false" outlineLevel="0" collapsed="false">
      <c r="A96" s="14" t="n">
        <v>49.55</v>
      </c>
      <c r="B96" s="23" t="n">
        <v>-285.192946106567</v>
      </c>
      <c r="C96" s="19" t="n">
        <v>92</v>
      </c>
      <c r="D96" s="11" t="n">
        <f aca="false">-Cost_k*A96+Beta_q*(Declarations!$B$16*INDEX($B$5:$B$425,$C96-ROUND(Declarations!$A$16/0.05,0))+Declarations!$B$17*INDEX($B$5:$B$425,$C96-ROUND(Declarations!$A$17/0.05,0))+Declarations!$B$18*INDEX($B$5:$B$425,$C96-ROUND(Declarations!$A$18/0.05,0))+Declarations!$B$19*INDEX($B$5:$B$425,$C96-ROUND(Declarations!$A$19/0.05,0))+Declarations!$B$20*INDEX($B$5:$B$425,$C96-ROUND(Declarations!$A$20/0.05,0)))</f>
        <v>-476.868440084184</v>
      </c>
    </row>
    <row r="97" customFormat="false" ht="15" hidden="false" customHeight="false" outlineLevel="0" collapsed="false">
      <c r="A97" s="14" t="n">
        <v>49.6</v>
      </c>
      <c r="B97" s="23" t="n">
        <v>-284.67038859725</v>
      </c>
      <c r="C97" s="19" t="n">
        <v>93</v>
      </c>
      <c r="D97" s="11" t="n">
        <f aca="false">-Cost_k*A97+Beta_q*(Declarations!$B$16*INDEX($B$5:$B$425,$C97-ROUND(Declarations!$A$16/0.05,0))+Declarations!$B$17*INDEX($B$5:$B$425,$C97-ROUND(Declarations!$A$17/0.05,0))+Declarations!$B$18*INDEX($B$5:$B$425,$C97-ROUND(Declarations!$A$18/0.05,0))+Declarations!$B$19*INDEX($B$5:$B$425,$C97-ROUND(Declarations!$A$19/0.05,0))+Declarations!$B$20*INDEX($B$5:$B$425,$C97-ROUND(Declarations!$A$20/0.05,0)))</f>
        <v>-476.558824587776</v>
      </c>
    </row>
    <row r="98" customFormat="false" ht="15" hidden="false" customHeight="false" outlineLevel="0" collapsed="false">
      <c r="A98" s="14" t="n">
        <v>49.65</v>
      </c>
      <c r="B98" s="23" t="n">
        <v>-284.148684494824</v>
      </c>
      <c r="C98" s="19" t="n">
        <v>94</v>
      </c>
      <c r="D98" s="11" t="n">
        <f aca="false">-Cost_k*A98+Beta_q*(Declarations!$B$16*INDEX($B$5:$B$425,$C98-ROUND(Declarations!$A$16/0.05,0))+Declarations!$B$17*INDEX($B$5:$B$425,$C98-ROUND(Declarations!$A$17/0.05,0))+Declarations!$B$18*INDEX($B$5:$B$425,$C98-ROUND(Declarations!$A$18/0.05,0))+Declarations!$B$19*INDEX($B$5:$B$425,$C98-ROUND(Declarations!$A$19/0.05,0))+Declarations!$B$20*INDEX($B$5:$B$425,$C98-ROUND(Declarations!$A$20/0.05,0)))</f>
        <v>-476.25059891864</v>
      </c>
    </row>
    <row r="99" customFormat="false" ht="15" hidden="false" customHeight="false" outlineLevel="0" collapsed="false">
      <c r="A99" s="14" t="n">
        <v>49.7</v>
      </c>
      <c r="B99" s="23" t="n">
        <v>-283.628647005644</v>
      </c>
      <c r="C99" s="19" t="n">
        <v>95</v>
      </c>
      <c r="D99" s="11" t="n">
        <f aca="false">-Cost_k*A99+Beta_q*(Declarations!$B$16*INDEX($B$5:$B$425,$C99-ROUND(Declarations!$A$16/0.05,0))+Declarations!$B$17*INDEX($B$5:$B$425,$C99-ROUND(Declarations!$A$17/0.05,0))+Declarations!$B$18*INDEX($B$5:$B$425,$C99-ROUND(Declarations!$A$18/0.05,0))+Declarations!$B$19*INDEX($B$5:$B$425,$C99-ROUND(Declarations!$A$19/0.05,0))+Declarations!$B$20*INDEX($B$5:$B$425,$C99-ROUND(Declarations!$A$20/0.05,0)))</f>
        <v>-475.944193198303</v>
      </c>
    </row>
    <row r="100" customFormat="false" ht="15" hidden="false" customHeight="false" outlineLevel="0" collapsed="false">
      <c r="A100" s="14" t="n">
        <v>49.75</v>
      </c>
      <c r="B100" s="23" t="n">
        <v>-283.11125726501</v>
      </c>
      <c r="C100" s="19" t="n">
        <v>96</v>
      </c>
      <c r="D100" s="11" t="n">
        <f aca="false">-Cost_k*A100+Beta_q*(Declarations!$B$16*INDEX($B$5:$B$425,$C100-ROUND(Declarations!$A$16/0.05,0))+Declarations!$B$17*INDEX($B$5:$B$425,$C100-ROUND(Declarations!$A$17/0.05,0))+Declarations!$B$18*INDEX($B$5:$B$425,$C100-ROUND(Declarations!$A$18/0.05,0))+Declarations!$B$19*INDEX($B$5:$B$425,$C100-ROUND(Declarations!$A$19/0.05,0))+Declarations!$B$20*INDEX($B$5:$B$425,$C100-ROUND(Declarations!$A$20/0.05,0)))</f>
        <v>-475.639979012637</v>
      </c>
    </row>
    <row r="101" customFormat="false" ht="15" hidden="false" customHeight="false" outlineLevel="0" collapsed="false">
      <c r="A101" s="14" t="n">
        <v>49.8</v>
      </c>
      <c r="B101" s="23" t="n">
        <v>-282.596656404167</v>
      </c>
      <c r="C101" s="19" t="n">
        <v>97</v>
      </c>
      <c r="D101" s="11" t="n">
        <f aca="false">-Cost_k*A101+Beta_q*(Declarations!$B$16*INDEX($B$5:$B$425,$C101-ROUND(Declarations!$A$16/0.05,0))+Declarations!$B$17*INDEX($B$5:$B$425,$C101-ROUND(Declarations!$A$17/0.05,0))+Declarations!$B$18*INDEX($B$5:$B$425,$C101-ROUND(Declarations!$A$18/0.05,0))+Declarations!$B$19*INDEX($B$5:$B$425,$C101-ROUND(Declarations!$A$19/0.05,0))+Declarations!$B$20*INDEX($B$5:$B$425,$C101-ROUND(Declarations!$A$20/0.05,0)))</f>
        <v>-475.337949517397</v>
      </c>
    </row>
    <row r="102" customFormat="false" ht="15" hidden="false" customHeight="false" outlineLevel="0" collapsed="false">
      <c r="A102" s="14" t="n">
        <v>49.85</v>
      </c>
      <c r="B102" s="23" t="n">
        <v>-282.084735328192</v>
      </c>
      <c r="C102" s="19" t="n">
        <v>98</v>
      </c>
      <c r="D102" s="11" t="n">
        <f aca="false">-Cost_k*A102+Beta_q*(Declarations!$B$16*INDEX($B$5:$B$425,$C102-ROUND(Declarations!$A$16/0.05,0))+Declarations!$B$17*INDEX($B$5:$B$425,$C102-ROUND(Declarations!$A$17/0.05,0))+Declarations!$B$18*INDEX($B$5:$B$425,$C102-ROUND(Declarations!$A$18/0.05,0))+Declarations!$B$19*INDEX($B$5:$B$425,$C102-ROUND(Declarations!$A$19/0.05,0))+Declarations!$B$20*INDEX($B$5:$B$425,$C102-ROUND(Declarations!$A$20/0.05,0)))</f>
        <v>-475.038061017631</v>
      </c>
    </row>
    <row r="103" customFormat="false" ht="15" hidden="false" customHeight="false" outlineLevel="0" collapsed="false">
      <c r="A103" s="14" t="n">
        <v>49.9</v>
      </c>
      <c r="B103" s="23" t="n">
        <v>-281.576056591636</v>
      </c>
      <c r="C103" s="19" t="n">
        <v>99</v>
      </c>
      <c r="D103" s="11" t="n">
        <f aca="false">-Cost_k*A103+Beta_q*(Declarations!$B$16*INDEX($B$5:$B$425,$C103-ROUND(Declarations!$A$16/0.05,0))+Declarations!$B$17*INDEX($B$5:$B$425,$C103-ROUND(Declarations!$A$17/0.05,0))+Declarations!$B$18*INDEX($B$5:$B$425,$C103-ROUND(Declarations!$A$18/0.05,0))+Declarations!$B$19*INDEX($B$5:$B$425,$C103-ROUND(Declarations!$A$19/0.05,0))+Declarations!$B$20*INDEX($B$5:$B$425,$C103-ROUND(Declarations!$A$20/0.05,0)))</f>
        <v>-474.740913688445</v>
      </c>
    </row>
    <row r="104" customFormat="false" ht="15" hidden="false" customHeight="false" outlineLevel="0" collapsed="false">
      <c r="A104" s="14" t="n">
        <v>49.95</v>
      </c>
      <c r="B104" s="23" t="n">
        <v>-281.07111010197</v>
      </c>
      <c r="C104" s="19" t="n">
        <v>100</v>
      </c>
      <c r="D104" s="11" t="n">
        <f aca="false">-Cost_k*A104+Beta_q*(Declarations!$B$16*INDEX($B$5:$B$425,$C104-ROUND(Declarations!$A$16/0.05,0))+Declarations!$B$17*INDEX($B$5:$B$425,$C104-ROUND(Declarations!$A$17/0.05,0))+Declarations!$B$18*INDEX($B$5:$B$425,$C104-ROUND(Declarations!$A$18/0.05,0))+Declarations!$B$19*INDEX($B$5:$B$425,$C104-ROUND(Declarations!$A$19/0.05,0))+Declarations!$B$20*INDEX($B$5:$B$425,$C104-ROUND(Declarations!$A$20/0.05,0)))</f>
        <v>-474.447537749245</v>
      </c>
    </row>
    <row r="105" customFormat="false" ht="15" hidden="false" customHeight="false" outlineLevel="0" collapsed="false">
      <c r="A105" s="14" t="n">
        <v>50</v>
      </c>
      <c r="B105" s="23" t="n">
        <v>-280.566903955949</v>
      </c>
      <c r="C105" s="19" t="n">
        <v>101</v>
      </c>
      <c r="D105" s="11" t="n">
        <f aca="false">-Cost_k*A105+Beta_q*(Declarations!$B$16*INDEX($B$5:$B$425,$C105-ROUND(Declarations!$A$16/0.05,0))+Declarations!$B$17*INDEX($B$5:$B$425,$C105-ROUND(Declarations!$A$17/0.05,0))+Declarations!$B$18*INDEX($B$5:$B$425,$C105-ROUND(Declarations!$A$18/0.05,0))+Declarations!$B$19*INDEX($B$5:$B$425,$C105-ROUND(Declarations!$A$19/0.05,0))+Declarations!$B$20*INDEX($B$5:$B$425,$C105-ROUND(Declarations!$A$20/0.05,0)))</f>
        <v>-474.156054524446</v>
      </c>
      <c r="E105" s="16" t="n">
        <f aca="false">Alpha_keep*A105</f>
        <v>48.75</v>
      </c>
      <c r="F105" s="16" t="n">
        <f aca="false">Alpha_keep*A105+Cap_h</f>
        <v>51.25</v>
      </c>
      <c r="G105" s="11" t="n">
        <f aca="false">(INDEX($D$5:$D$425,MIN(INT((E105-45)/0.05+0.000000001),419)+1)*(1-((E105-45)/0.05-MIN(INT((E105-45)/0.05+0.000000001),419)))+INDEX($D$5:$D$425,MIN(INT((E105-45)/0.05+0.000000001),419)+2)*((E105-45)/0.05-MIN(INT((E105-45)/0.05+0.000000001),419)))</f>
        <v>-482.112816188881</v>
      </c>
      <c r="H105" s="11" t="n">
        <f aca="false">(INDEX($D$5:$D$425,MIN(INT((F105-45)/0.05+0.000000001),419)+1)*(1-((F105-45)/0.05-MIN(INT((F105-45)/0.05+0.000000001),419)))+INDEX($D$5:$D$425,MIN(INT((F105-45)/0.05+0.000000001),419)+2)*((F105-45)/0.05-MIN(INT((F105-45)/0.05+0.000000001),419)))</f>
        <v>-467.566903955949</v>
      </c>
      <c r="I105" s="11" t="n">
        <f aca="false">_xlfn.MAXIFS($D$5:$D$425,$A$5:$A$425,"&gt;="&amp;E105,$A$5:$A$425,"&lt;="&amp;F105)</f>
        <v>-467.566903955949</v>
      </c>
      <c r="J105" s="11" t="n">
        <f aca="false">-Short_p*MAX(Floor_c-A105,0)+Cost_k*Alpha_keep*A105+MAX(G105,H105,I105)</f>
        <v>-280.566903955949</v>
      </c>
      <c r="K105" s="22" t="n">
        <f aca="false">ABS(J105-B105)</f>
        <v>0</v>
      </c>
    </row>
    <row r="106" customFormat="false" ht="15" hidden="false" customHeight="false" outlineLevel="0" collapsed="false">
      <c r="A106" s="14" t="n">
        <v>50.05</v>
      </c>
      <c r="B106" s="23" t="n">
        <v>-280.063352752897</v>
      </c>
      <c r="C106" s="19" t="n">
        <v>102</v>
      </c>
      <c r="D106" s="11" t="n">
        <f aca="false">-Cost_k*A106+Beta_q*(Declarations!$B$16*INDEX($B$5:$B$425,$C106-ROUND(Declarations!$A$16/0.05,0))+Declarations!$B$17*INDEX($B$5:$B$425,$C106-ROUND(Declarations!$A$17/0.05,0))+Declarations!$B$18*INDEX($B$5:$B$425,$C106-ROUND(Declarations!$A$18/0.05,0))+Declarations!$B$19*INDEX($B$5:$B$425,$C106-ROUND(Declarations!$A$19/0.05,0))+Declarations!$B$20*INDEX($B$5:$B$425,$C106-ROUND(Declarations!$A$20/0.05,0)))</f>
        <v>-473.865636627594</v>
      </c>
      <c r="E106" s="16" t="n">
        <f aca="false">Alpha_keep*A106</f>
        <v>48.79875</v>
      </c>
      <c r="F106" s="16" t="n">
        <f aca="false">Alpha_keep*A106+Cap_h</f>
        <v>51.29875</v>
      </c>
      <c r="G106" s="11" t="n">
        <f aca="false">(INDEX($D$5:$D$425,MIN(INT((E106-45)/0.05+0.000000001),419)+1)*(1-((E106-45)/0.05-MIN(INT((E106-45)/0.05+0.000000001),419)))+INDEX($D$5:$D$425,MIN(INT((E106-45)/0.05+0.000000001),419)+2)*((E106-45)/0.05-MIN(INT((E106-45)/0.05+0.000000001),419)))</f>
        <v>-481.778014537196</v>
      </c>
      <c r="H106" s="11" t="n">
        <f aca="false">(INDEX($D$5:$D$425,MIN(INT((F106-45)/0.05+0.000000001),419)+1)*(1-((F106-45)/0.05-MIN(INT((F106-45)/0.05+0.000000001),419)))+INDEX($D$5:$D$425,MIN(INT((F106-45)/0.05+0.000000001),419)+2)*((F106-45)/0.05-MIN(INT((F106-45)/0.05+0.000000001),419)))</f>
        <v>-467.338352752897</v>
      </c>
      <c r="I106" s="11" t="n">
        <f aca="false">_xlfn.MAXIFS($D$5:$D$425,$A$5:$A$425,"&gt;="&amp;E106,$A$5:$A$425,"&lt;="&amp;F106)</f>
        <v>-467.566903955949</v>
      </c>
      <c r="J106" s="11" t="n">
        <f aca="false">-Short_p*MAX(Floor_c-A106,0)+Cost_k*Alpha_keep*A106+MAX(G106,H106,I106)</f>
        <v>-280.063352752897</v>
      </c>
      <c r="K106" s="22" t="n">
        <f aca="false">ABS(J106-B106)</f>
        <v>0</v>
      </c>
    </row>
    <row r="107" customFormat="false" ht="15" hidden="false" customHeight="false" outlineLevel="0" collapsed="false">
      <c r="A107" s="14" t="n">
        <v>50.1</v>
      </c>
      <c r="B107" s="23" t="n">
        <v>-279.56068786516</v>
      </c>
      <c r="C107" s="19" t="n">
        <v>103</v>
      </c>
      <c r="D107" s="11" t="n">
        <f aca="false">-Cost_k*A107+Beta_q*(Declarations!$B$16*INDEX($B$5:$B$425,$C107-ROUND(Declarations!$A$16/0.05,0))+Declarations!$B$17*INDEX($B$5:$B$425,$C107-ROUND(Declarations!$A$17/0.05,0))+Declarations!$B$18*INDEX($B$5:$B$425,$C107-ROUND(Declarations!$A$18/0.05,0))+Declarations!$B$19*INDEX($B$5:$B$425,$C107-ROUND(Declarations!$A$19/0.05,0))+Declarations!$B$20*INDEX($B$5:$B$425,$C107-ROUND(Declarations!$A$20/0.05,0)))</f>
        <v>-473.576230576459</v>
      </c>
      <c r="E107" s="16" t="n">
        <f aca="false">Alpha_keep*A107</f>
        <v>48.8475</v>
      </c>
      <c r="F107" s="16" t="n">
        <f aca="false">Alpha_keep*A107+Cap_h</f>
        <v>51.3475</v>
      </c>
      <c r="G107" s="11" t="n">
        <f aca="false">(INDEX($D$5:$D$425,MIN(INT((E107-45)/0.05+0.000000001),419)+1)*(1-((E107-45)/0.05-MIN(INT((E107-45)/0.05+0.000000001),419)))+INDEX($D$5:$D$425,MIN(INT((E107-45)/0.05+0.000000001),419)+2)*((E107-45)/0.05-MIN(INT((E107-45)/0.05+0.000000001),419)))</f>
        <v>-481.444631095258</v>
      </c>
      <c r="H107" s="11" t="n">
        <f aca="false">(INDEX($D$5:$D$425,MIN(INT((F107-45)/0.05+0.000000001),419)+1)*(1-((F107-45)/0.05-MIN(INT((F107-45)/0.05+0.000000001),419)))+INDEX($D$5:$D$425,MIN(INT((F107-45)/0.05+0.000000001),419)+2)*((F107-45)/0.05-MIN(INT((F107-45)/0.05+0.000000001),419)))</f>
        <v>-467.11068786516</v>
      </c>
      <c r="I107" s="11" t="n">
        <f aca="false">_xlfn.MAXIFS($D$5:$D$425,$A$5:$A$425,"&gt;="&amp;E107,$A$5:$A$425,"&lt;="&amp;F107)</f>
        <v>-467.332492465639</v>
      </c>
      <c r="J107" s="11" t="n">
        <f aca="false">-Short_p*MAX(Floor_c-A107,0)+Cost_k*Alpha_keep*A107+MAX(G107,H107,I107)</f>
        <v>-279.56068786516</v>
      </c>
      <c r="K107" s="22" t="n">
        <f aca="false">ABS(J107-B107)</f>
        <v>0</v>
      </c>
    </row>
    <row r="108" customFormat="false" ht="15" hidden="false" customHeight="false" outlineLevel="0" collapsed="false">
      <c r="A108" s="14" t="n">
        <v>50.15</v>
      </c>
      <c r="B108" s="23" t="n">
        <v>-279.059573648515</v>
      </c>
      <c r="C108" s="19" t="n">
        <v>104</v>
      </c>
      <c r="D108" s="11" t="n">
        <f aca="false">-Cost_k*A108+Beta_q*(Declarations!$B$16*INDEX($B$5:$B$425,$C108-ROUND(Declarations!$A$16/0.05,0))+Declarations!$B$17*INDEX($B$5:$B$425,$C108-ROUND(Declarations!$A$17/0.05,0))+Declarations!$B$18*INDEX($B$5:$B$425,$C108-ROUND(Declarations!$A$18/0.05,0))+Declarations!$B$19*INDEX($B$5:$B$425,$C108-ROUND(Declarations!$A$19/0.05,0))+Declarations!$B$20*INDEX($B$5:$B$425,$C108-ROUND(Declarations!$A$20/0.05,0)))</f>
        <v>-473.28848725413</v>
      </c>
      <c r="E108" s="16" t="n">
        <f aca="false">Alpha_keep*A108</f>
        <v>48.89625</v>
      </c>
      <c r="F108" s="16" t="n">
        <f aca="false">Alpha_keep*A108+Cap_h</f>
        <v>51.39625</v>
      </c>
      <c r="G108" s="11" t="n">
        <f aca="false">(INDEX($D$5:$D$425,MIN(INT((E108-45)/0.05+0.000000001),419)+1)*(1-((E108-45)/0.05-MIN(INT((E108-45)/0.05+0.000000001),419)))+INDEX($D$5:$D$425,MIN(INT((E108-45)/0.05+0.000000001),419)+2)*((E108-45)/0.05-MIN(INT((E108-45)/0.05+0.000000001),419)))</f>
        <v>-481.113239198373</v>
      </c>
      <c r="H108" s="11" t="n">
        <f aca="false">(INDEX($D$5:$D$425,MIN(INT((F108-45)/0.05+0.000000001),419)+1)*(1-((F108-45)/0.05-MIN(INT((F108-45)/0.05+0.000000001),419)))+INDEX($D$5:$D$425,MIN(INT((F108-45)/0.05+0.000000001),419)+2)*((F108-45)/0.05-MIN(INT((F108-45)/0.05+0.000000001),419)))</f>
        <v>-466.884573648515</v>
      </c>
      <c r="I108" s="11" t="n">
        <f aca="false">_xlfn.MAXIFS($D$5:$D$425,$A$5:$A$425,"&gt;="&amp;E108,$A$5:$A$425,"&lt;="&amp;F108)</f>
        <v>-467.099013938819</v>
      </c>
      <c r="J108" s="11" t="n">
        <f aca="false">-Short_p*MAX(Floor_c-A108,0)+Cost_k*Alpha_keep*A108+MAX(G108,H108,I108)</f>
        <v>-279.059573648515</v>
      </c>
      <c r="K108" s="22" t="n">
        <f aca="false">ABS(J108-B108)</f>
        <v>0</v>
      </c>
    </row>
    <row r="109" customFormat="false" ht="15" hidden="false" customHeight="false" outlineLevel="0" collapsed="false">
      <c r="A109" s="14" t="n">
        <v>50.2</v>
      </c>
      <c r="B109" s="23" t="n">
        <v>-278.562149442569</v>
      </c>
      <c r="C109" s="19" t="n">
        <v>105</v>
      </c>
      <c r="D109" s="11" t="n">
        <f aca="false">-Cost_k*A109+Beta_q*(Declarations!$B$16*INDEX($B$5:$B$425,$C109-ROUND(Declarations!$A$16/0.05,0))+Declarations!$B$17*INDEX($B$5:$B$425,$C109-ROUND(Declarations!$A$17/0.05,0))+Declarations!$B$18*INDEX($B$5:$B$425,$C109-ROUND(Declarations!$A$18/0.05,0))+Declarations!$B$19*INDEX($B$5:$B$425,$C109-ROUND(Declarations!$A$19/0.05,0))+Declarations!$B$20*INDEX($B$5:$B$425,$C109-ROUND(Declarations!$A$20/0.05,0)))</f>
        <v>-473.003794506045</v>
      </c>
      <c r="E109" s="16" t="n">
        <f aca="false">Alpha_keep*A109</f>
        <v>48.945</v>
      </c>
      <c r="F109" s="16" t="n">
        <f aca="false">Alpha_keep*A109+Cap_h</f>
        <v>51.445</v>
      </c>
      <c r="G109" s="11" t="n">
        <f aca="false">(INDEX($D$5:$D$425,MIN(INT((E109-45)/0.05+0.000000001),419)+1)*(1-((E109-45)/0.05-MIN(INT((E109-45)/0.05+0.000000001),419)))+INDEX($D$5:$D$425,MIN(INT((E109-45)/0.05+0.000000001),419)+2)*((E109-45)/0.05-MIN(INT((E109-45)/0.05+0.000000001),419)))</f>
        <v>-480.784330828644</v>
      </c>
      <c r="H109" s="11" t="n">
        <f aca="false">(INDEX($D$5:$D$425,MIN(INT((F109-45)/0.05+0.000000001),419)+1)*(1-((F109-45)/0.05-MIN(INT((F109-45)/0.05+0.000000001),419)))+INDEX($D$5:$D$425,MIN(INT((F109-45)/0.05+0.000000001),419)+2)*((F109-45)/0.05-MIN(INT((F109-45)/0.05+0.000000001),419)))</f>
        <v>-466.662149442569</v>
      </c>
      <c r="I109" s="11" t="n">
        <f aca="false">_xlfn.MAXIFS($D$5:$D$425,$A$5:$A$425,"&gt;="&amp;E109,$A$5:$A$425,"&lt;="&amp;F109)</f>
        <v>-466.86718659795</v>
      </c>
      <c r="J109" s="11" t="n">
        <f aca="false">-Short_p*MAX(Floor_c-A109,0)+Cost_k*Alpha_keep*A109+MAX(G109,H109,I109)</f>
        <v>-278.562149442569</v>
      </c>
      <c r="K109" s="22" t="n">
        <f aca="false">ABS(J109-B109)</f>
        <v>0</v>
      </c>
    </row>
    <row r="110" customFormat="false" ht="15" hidden="false" customHeight="false" outlineLevel="0" collapsed="false">
      <c r="A110" s="14" t="n">
        <v>50.25</v>
      </c>
      <c r="B110" s="23" t="n">
        <v>-278.070102067111</v>
      </c>
      <c r="C110" s="19" t="n">
        <v>106</v>
      </c>
      <c r="D110" s="11" t="n">
        <f aca="false">-Cost_k*A110+Beta_q*(Declarations!$B$16*INDEX($B$5:$B$425,$C110-ROUND(Declarations!$A$16/0.05,0))+Declarations!$B$17*INDEX($B$5:$B$425,$C110-ROUND(Declarations!$A$17/0.05,0))+Declarations!$B$18*INDEX($B$5:$B$425,$C110-ROUND(Declarations!$A$18/0.05,0))+Declarations!$B$19*INDEX($B$5:$B$425,$C110-ROUND(Declarations!$A$19/0.05,0))+Declarations!$B$20*INDEX($B$5:$B$425,$C110-ROUND(Declarations!$A$20/0.05,0)))</f>
        <v>-472.723017627258</v>
      </c>
      <c r="E110" s="16" t="n">
        <f aca="false">Alpha_keep*A110</f>
        <v>48.99375</v>
      </c>
      <c r="F110" s="16" t="n">
        <f aca="false">Alpha_keep*A110+Cap_h</f>
        <v>51.49375</v>
      </c>
      <c r="G110" s="11" t="n">
        <f aca="false">(INDEX($D$5:$D$425,MIN(INT((E110-45)/0.05+0.000000001),419)+1)*(1-((E110-45)/0.05-MIN(INT((E110-45)/0.05+0.000000001),419)))+INDEX($D$5:$D$425,MIN(INT((E110-45)/0.05+0.000000001),419)+2)*((E110-45)/0.05-MIN(INT((E110-45)/0.05+0.000000001),419)))</f>
        <v>-480.457816613072</v>
      </c>
      <c r="H110" s="11" t="n">
        <f aca="false">(INDEX($D$5:$D$425,MIN(INT((F110-45)/0.05+0.000000001),419)+1)*(1-((F110-45)/0.05-MIN(INT((F110-45)/0.05+0.000000001),419)))+INDEX($D$5:$D$425,MIN(INT((F110-45)/0.05+0.000000001),419)+2)*((F110-45)/0.05-MIN(INT((F110-45)/0.05+0.000000001),419)))</f>
        <v>-466.445102067111</v>
      </c>
      <c r="I110" s="11" t="n">
        <f aca="false">_xlfn.MAXIFS($D$5:$D$425,$A$5:$A$425,"&gt;="&amp;E110,$A$5:$A$425,"&lt;="&amp;F110)</f>
        <v>-466.639367536416</v>
      </c>
      <c r="J110" s="11" t="n">
        <f aca="false">-Short_p*MAX(Floor_c-A110,0)+Cost_k*Alpha_keep*A110+MAX(G110,H110,I110)</f>
        <v>-278.070102067111</v>
      </c>
      <c r="K110" s="22" t="n">
        <f aca="false">ABS(J110-B110)</f>
        <v>0</v>
      </c>
    </row>
    <row r="111" customFormat="false" ht="15" hidden="false" customHeight="false" outlineLevel="0" collapsed="false">
      <c r="A111" s="14" t="n">
        <v>50.3</v>
      </c>
      <c r="B111" s="23" t="n">
        <v>-277.581371623147</v>
      </c>
      <c r="C111" s="19" t="n">
        <v>107</v>
      </c>
      <c r="D111" s="11" t="n">
        <f aca="false">-Cost_k*A111+Beta_q*(Declarations!$B$16*INDEX($B$5:$B$425,$C111-ROUND(Declarations!$A$16/0.05,0))+Declarations!$B$17*INDEX($B$5:$B$425,$C111-ROUND(Declarations!$A$17/0.05,0))+Declarations!$B$18*INDEX($B$5:$B$425,$C111-ROUND(Declarations!$A$18/0.05,0))+Declarations!$B$19*INDEX($B$5:$B$425,$C111-ROUND(Declarations!$A$19/0.05,0))+Declarations!$B$20*INDEX($B$5:$B$425,$C111-ROUND(Declarations!$A$20/0.05,0)))</f>
        <v>-472.445007205461</v>
      </c>
      <c r="E111" s="16" t="n">
        <f aca="false">Alpha_keep*A111</f>
        <v>49.0425</v>
      </c>
      <c r="F111" s="16" t="n">
        <f aca="false">Alpha_keep*A111+Cap_h</f>
        <v>51.5425</v>
      </c>
      <c r="G111" s="11" t="n">
        <f aca="false">(INDEX($D$5:$D$425,MIN(INT((E111-45)/0.05+0.000000001),419)+1)*(1-((E111-45)/0.05-MIN(INT((E111-45)/0.05+0.000000001),419)))+INDEX($D$5:$D$425,MIN(INT((E111-45)/0.05+0.000000001),419)+2)*((E111-45)/0.05-MIN(INT((E111-45)/0.05+0.000000001),419)))</f>
        <v>-480.133269946256</v>
      </c>
      <c r="H111" s="11" t="n">
        <f aca="false">(INDEX($D$5:$D$425,MIN(INT((F111-45)/0.05+0.000000001),419)+1)*(1-((F111-45)/0.05-MIN(INT((F111-45)/0.05+0.000000001),419)))+INDEX($D$5:$D$425,MIN(INT((F111-45)/0.05+0.000000001),419)+2)*((F111-45)/0.05-MIN(INT((F111-45)/0.05+0.000000001),419)))</f>
        <v>-466.231371623147</v>
      </c>
      <c r="I111" s="11" t="n">
        <f aca="false">_xlfn.MAXIFS($D$5:$D$425,$A$5:$A$425,"&gt;="&amp;E111,$A$5:$A$425,"&lt;="&amp;F111)</f>
        <v>-466.417349857211</v>
      </c>
      <c r="J111" s="11" t="n">
        <f aca="false">-Short_p*MAX(Floor_c-A111,0)+Cost_k*Alpha_keep*A111+MAX(G111,H111,I111)</f>
        <v>-277.581371623147</v>
      </c>
      <c r="K111" s="22" t="n">
        <f aca="false">ABS(J111-B111)</f>
        <v>0</v>
      </c>
    </row>
    <row r="112" customFormat="false" ht="15" hidden="false" customHeight="false" outlineLevel="0" collapsed="false">
      <c r="A112" s="14" t="n">
        <v>50.35</v>
      </c>
      <c r="B112" s="23" t="n">
        <v>-277.094341851376</v>
      </c>
      <c r="C112" s="19" t="n">
        <v>108</v>
      </c>
      <c r="D112" s="11" t="n">
        <f aca="false">-Cost_k*A112+Beta_q*(Declarations!$B$16*INDEX($B$5:$B$425,$C112-ROUND(Declarations!$A$16/0.05,0))+Declarations!$B$17*INDEX($B$5:$B$425,$C112-ROUND(Declarations!$A$17/0.05,0))+Declarations!$B$18*INDEX($B$5:$B$425,$C112-ROUND(Declarations!$A$18/0.05,0))+Declarations!$B$19*INDEX($B$5:$B$425,$C112-ROUND(Declarations!$A$19/0.05,0))+Declarations!$B$20*INDEX($B$5:$B$425,$C112-ROUND(Declarations!$A$20/0.05,0)))</f>
        <v>-472.168897763209</v>
      </c>
      <c r="E112" s="16" t="n">
        <f aca="false">Alpha_keep*A112</f>
        <v>49.09125</v>
      </c>
      <c r="F112" s="16" t="n">
        <f aca="false">Alpha_keep*A112+Cap_h</f>
        <v>51.59125</v>
      </c>
      <c r="G112" s="11" t="n">
        <f aca="false">(INDEX($D$5:$D$425,MIN(INT((E112-45)/0.05+0.000000001),419)+1)*(1-((E112-45)/0.05-MIN(INT((E112-45)/0.05+0.000000001),419)))+INDEX($D$5:$D$425,MIN(INT((E112-45)/0.05+0.000000001),419)+2)*((E112-45)/0.05-MIN(INT((E112-45)/0.05+0.000000001),419)))</f>
        <v>-479.810480493552</v>
      </c>
      <c r="H112" s="11" t="n">
        <f aca="false">(INDEX($D$5:$D$425,MIN(INT((F112-45)/0.05+0.000000001),419)+1)*(1-((F112-45)/0.05-MIN(INT((F112-45)/0.05+0.000000001),419)))+INDEX($D$5:$D$425,MIN(INT((F112-45)/0.05+0.000000001),419)+2)*((F112-45)/0.05-MIN(INT((F112-45)/0.05+0.000000001),419)))</f>
        <v>-466.019341851376</v>
      </c>
      <c r="I112" s="11" t="n">
        <f aca="false">_xlfn.MAXIFS($D$5:$D$425,$A$5:$A$425,"&gt;="&amp;E112,$A$5:$A$425,"&lt;="&amp;F112)</f>
        <v>-466.198551934783</v>
      </c>
      <c r="J112" s="11" t="n">
        <f aca="false">-Short_p*MAX(Floor_c-A112,0)+Cost_k*Alpha_keep*A112+MAX(G112,H112,I112)</f>
        <v>-277.094341851376</v>
      </c>
      <c r="K112" s="22" t="n">
        <f aca="false">ABS(J112-B112)</f>
        <v>0</v>
      </c>
    </row>
    <row r="113" customFormat="false" ht="15" hidden="false" customHeight="false" outlineLevel="0" collapsed="false">
      <c r="A113" s="14" t="n">
        <v>50.4</v>
      </c>
      <c r="B113" s="23" t="n">
        <v>-276.60816225989</v>
      </c>
      <c r="C113" s="19" t="n">
        <v>109</v>
      </c>
      <c r="D113" s="11" t="n">
        <f aca="false">-Cost_k*A113+Beta_q*(Declarations!$B$16*INDEX($B$5:$B$425,$C113-ROUND(Declarations!$A$16/0.05,0))+Declarations!$B$17*INDEX($B$5:$B$425,$C113-ROUND(Declarations!$A$17/0.05,0))+Declarations!$B$18*INDEX($B$5:$B$425,$C113-ROUND(Declarations!$A$18/0.05,0))+Declarations!$B$19*INDEX($B$5:$B$425,$C113-ROUND(Declarations!$A$19/0.05,0))+Declarations!$B$20*INDEX($B$5:$B$425,$C113-ROUND(Declarations!$A$20/0.05,0)))</f>
        <v>-471.894522920086</v>
      </c>
      <c r="E113" s="16" t="n">
        <f aca="false">Alpha_keep*A113</f>
        <v>49.14</v>
      </c>
      <c r="F113" s="16" t="n">
        <f aca="false">Alpha_keep*A113+Cap_h</f>
        <v>51.64</v>
      </c>
      <c r="G113" s="11" t="n">
        <f aca="false">(INDEX($D$5:$D$425,MIN(INT((E113-45)/0.05+0.000000001),419)+1)*(1-((E113-45)/0.05-MIN(INT((E113-45)/0.05+0.000000001),419)))+INDEX($D$5:$D$425,MIN(INT((E113-45)/0.05+0.000000001),419)+2)*((E113-45)/0.05-MIN(INT((E113-45)/0.05+0.000000001),419)))</f>
        <v>-479.489600903348</v>
      </c>
      <c r="H113" s="11" t="n">
        <f aca="false">(INDEX($D$5:$D$425,MIN(INT((F113-45)/0.05+0.000000001),419)+1)*(1-((F113-45)/0.05-MIN(INT((F113-45)/0.05+0.000000001),419)))+INDEX($D$5:$D$425,MIN(INT((F113-45)/0.05+0.000000001),419)+2)*((F113-45)/0.05-MIN(INT((F113-45)/0.05+0.000000001),419)))</f>
        <v>-465.80816225989</v>
      </c>
      <c r="I113" s="11" t="n">
        <f aca="false">_xlfn.MAXIFS($D$5:$D$425,$A$5:$A$425,"&gt;="&amp;E113,$A$5:$A$425,"&lt;="&amp;F113)</f>
        <v>-465.981327591259</v>
      </c>
      <c r="J113" s="11" t="n">
        <f aca="false">-Short_p*MAX(Floor_c-A113,0)+Cost_k*Alpha_keep*A113+MAX(G113,H113,I113)</f>
        <v>-276.60816225989</v>
      </c>
      <c r="K113" s="22" t="n">
        <f aca="false">ABS(J113-B113)</f>
        <v>0</v>
      </c>
    </row>
    <row r="114" customFormat="false" ht="15" hidden="false" customHeight="false" outlineLevel="0" collapsed="false">
      <c r="A114" s="14" t="n">
        <v>50.45</v>
      </c>
      <c r="B114" s="23" t="n">
        <v>-276.122515833713</v>
      </c>
      <c r="C114" s="19" t="n">
        <v>110</v>
      </c>
      <c r="D114" s="11" t="n">
        <f aca="false">-Cost_k*A114+Beta_q*(Declarations!$B$16*INDEX($B$5:$B$425,$C114-ROUND(Declarations!$A$16/0.05,0))+Declarations!$B$17*INDEX($B$5:$B$425,$C114-ROUND(Declarations!$A$17/0.05,0))+Declarations!$B$18*INDEX($B$5:$B$425,$C114-ROUND(Declarations!$A$18/0.05,0))+Declarations!$B$19*INDEX($B$5:$B$425,$C114-ROUND(Declarations!$A$19/0.05,0))+Declarations!$B$20*INDEX($B$5:$B$425,$C114-ROUND(Declarations!$A$20/0.05,0)))</f>
        <v>-471.621835025756</v>
      </c>
      <c r="E114" s="16" t="n">
        <f aca="false">Alpha_keep*A114</f>
        <v>49.18875</v>
      </c>
      <c r="F114" s="16" t="n">
        <f aca="false">Alpha_keep*A114+Cap_h</f>
        <v>51.68875</v>
      </c>
      <c r="G114" s="11" t="n">
        <f aca="false">(INDEX($D$5:$D$425,MIN(INT((E114-45)/0.05+0.000000001),419)+1)*(1-((E114-45)/0.05-MIN(INT((E114-45)/0.05+0.000000001),419)))+INDEX($D$5:$D$425,MIN(INT((E114-45)/0.05+0.000000001),419)+2)*((E114-45)/0.05-MIN(INT((E114-45)/0.05+0.000000001),419)))</f>
        <v>-479.170829059545</v>
      </c>
      <c r="H114" s="11" t="n">
        <f aca="false">(INDEX($D$5:$D$425,MIN(INT((F114-45)/0.05+0.000000001),419)+1)*(1-((F114-45)/0.05-MIN(INT((F114-45)/0.05+0.000000001),419)))+INDEX($D$5:$D$425,MIN(INT((F114-45)/0.05+0.000000001),419)+2)*((F114-45)/0.05-MIN(INT((F114-45)/0.05+0.000000001),419)))</f>
        <v>-465.597515833713</v>
      </c>
      <c r="I114" s="11" t="n">
        <f aca="false">_xlfn.MAXIFS($D$5:$D$425,$A$5:$A$425,"&gt;="&amp;E114,$A$5:$A$425,"&lt;="&amp;F114)</f>
        <v>-465.764870927047</v>
      </c>
      <c r="J114" s="11" t="n">
        <f aca="false">-Short_p*MAX(Floor_c-A114,0)+Cost_k*Alpha_keep*A114+MAX(G114,H114,I114)</f>
        <v>-276.122515833713</v>
      </c>
      <c r="K114" s="22" t="n">
        <f aca="false">ABS(J114-B114)</f>
        <v>0</v>
      </c>
    </row>
    <row r="115" customFormat="false" ht="15" hidden="false" customHeight="false" outlineLevel="0" collapsed="false">
      <c r="A115" s="14" t="n">
        <v>50.5</v>
      </c>
      <c r="B115" s="23" t="n">
        <v>-275.637839818213</v>
      </c>
      <c r="C115" s="19" t="n">
        <v>111</v>
      </c>
      <c r="D115" s="11" t="n">
        <f aca="false">-Cost_k*A115+Beta_q*(Declarations!$B$16*INDEX($B$5:$B$425,$C115-ROUND(Declarations!$A$16/0.05,0))+Declarations!$B$17*INDEX($B$5:$B$425,$C115-ROUND(Declarations!$A$17/0.05,0))+Declarations!$B$18*INDEX($B$5:$B$425,$C115-ROUND(Declarations!$A$18/0.05,0))+Declarations!$B$19*INDEX($B$5:$B$425,$C115-ROUND(Declarations!$A$19/0.05,0))+Declarations!$B$20*INDEX($B$5:$B$425,$C115-ROUND(Declarations!$A$20/0.05,0)))</f>
        <v>-471.350334393179</v>
      </c>
      <c r="E115" s="16" t="n">
        <f aca="false">Alpha_keep*A115</f>
        <v>49.2375</v>
      </c>
      <c r="F115" s="16" t="n">
        <f aca="false">Alpha_keep*A115+Cap_h</f>
        <v>51.7375</v>
      </c>
      <c r="G115" s="11" t="n">
        <f aca="false">(INDEX($D$5:$D$425,MIN(INT((E115-45)/0.05+0.000000001),419)+1)*(1-((E115-45)/0.05-MIN(INT((E115-45)/0.05+0.000000001),419)))+INDEX($D$5:$D$425,MIN(INT((E115-45)/0.05+0.000000001),419)+2)*((E115-45)/0.05-MIN(INT((E115-45)/0.05+0.000000001),419)))</f>
        <v>-478.853595145882</v>
      </c>
      <c r="H115" s="11" t="n">
        <f aca="false">(INDEX($D$5:$D$425,MIN(INT((F115-45)/0.05+0.000000001),419)+1)*(1-((F115-45)/0.05-MIN(INT((F115-45)/0.05+0.000000001),419)))+INDEX($D$5:$D$425,MIN(INT((F115-45)/0.05+0.000000001),419)+2)*((F115-45)/0.05-MIN(INT((F115-45)/0.05+0.000000001),419)))</f>
        <v>-465.387839818213</v>
      </c>
      <c r="I115" s="11" t="n">
        <f aca="false">_xlfn.MAXIFS($D$5:$D$425,$A$5:$A$425,"&gt;="&amp;E115,$A$5:$A$425,"&lt;="&amp;F115)</f>
        <v>-465.548928871133</v>
      </c>
      <c r="J115" s="11" t="n">
        <f aca="false">-Short_p*MAX(Floor_c-A115,0)+Cost_k*Alpha_keep*A115+MAX(G115,H115,I115)</f>
        <v>-275.637839818213</v>
      </c>
      <c r="K115" s="22" t="n">
        <f aca="false">ABS(J115-B115)</f>
        <v>0</v>
      </c>
    </row>
    <row r="116" customFormat="false" ht="15" hidden="false" customHeight="false" outlineLevel="0" collapsed="false">
      <c r="A116" s="14" t="n">
        <v>50.55</v>
      </c>
      <c r="B116" s="23" t="n">
        <v>-275.154749833193</v>
      </c>
      <c r="C116" s="19" t="n">
        <v>112</v>
      </c>
      <c r="D116" s="11" t="n">
        <f aca="false">-Cost_k*A116+Beta_q*(Declarations!$B$16*INDEX($B$5:$B$425,$C116-ROUND(Declarations!$A$16/0.05,0))+Declarations!$B$17*INDEX($B$5:$B$425,$C116-ROUND(Declarations!$A$17/0.05,0))+Declarations!$B$18*INDEX($B$5:$B$425,$C116-ROUND(Declarations!$A$18/0.05,0))+Declarations!$B$19*INDEX($B$5:$B$425,$C116-ROUND(Declarations!$A$19/0.05,0))+Declarations!$B$20*INDEX($B$5:$B$425,$C116-ROUND(Declarations!$A$20/0.05,0)))</f>
        <v>-471.080345765329</v>
      </c>
      <c r="E116" s="16" t="n">
        <f aca="false">Alpha_keep*A116</f>
        <v>49.28625</v>
      </c>
      <c r="F116" s="16" t="n">
        <f aca="false">Alpha_keep*A116+Cap_h</f>
        <v>51.78625</v>
      </c>
      <c r="G116" s="11" t="n">
        <f aca="false">(INDEX($D$5:$D$425,MIN(INT((E116-45)/0.05+0.000000001),419)+1)*(1-((E116-45)/0.05-MIN(INT((E116-45)/0.05+0.000000001),419)))+INDEX($D$5:$D$425,MIN(INT((E116-45)/0.05+0.000000001),419)+2)*((E116-45)/0.05-MIN(INT((E116-45)/0.05+0.000000001),419)))</f>
        <v>-478.537698857877</v>
      </c>
      <c r="H116" s="11" t="n">
        <f aca="false">(INDEX($D$5:$D$425,MIN(INT((F116-45)/0.05+0.000000001),419)+1)*(1-((F116-45)/0.05-MIN(INT((F116-45)/0.05+0.000000001),419)))+INDEX($D$5:$D$425,MIN(INT((F116-45)/0.05+0.000000001),419)+2)*((F116-45)/0.05-MIN(INT((F116-45)/0.05+0.000000001),419)))</f>
        <v>-465.179749833193</v>
      </c>
      <c r="I116" s="11" t="n">
        <f aca="false">_xlfn.MAXIFS($D$5:$D$425,$A$5:$A$425,"&gt;="&amp;E116,$A$5:$A$425,"&lt;="&amp;F116)</f>
        <v>-465.334143467239</v>
      </c>
      <c r="J116" s="11" t="n">
        <f aca="false">-Short_p*MAX(Floor_c-A116,0)+Cost_k*Alpha_keep*A116+MAX(G116,H116,I116)</f>
        <v>-275.154749833193</v>
      </c>
      <c r="K116" s="22" t="n">
        <f aca="false">ABS(J116-B116)</f>
        <v>0</v>
      </c>
    </row>
    <row r="117" customFormat="false" ht="15" hidden="false" customHeight="false" outlineLevel="0" collapsed="false">
      <c r="A117" s="14" t="n">
        <v>50.6</v>
      </c>
      <c r="B117" s="23" t="n">
        <v>-274.673673535942</v>
      </c>
      <c r="C117" s="19" t="n">
        <v>113</v>
      </c>
      <c r="D117" s="11" t="n">
        <f aca="false">-Cost_k*A117+Beta_q*(Declarations!$B$16*INDEX($B$5:$B$425,$C117-ROUND(Declarations!$A$16/0.05,0))+Declarations!$B$17*INDEX($B$5:$B$425,$C117-ROUND(Declarations!$A$17/0.05,0))+Declarations!$B$18*INDEX($B$5:$B$425,$C117-ROUND(Declarations!$A$18/0.05,0))+Declarations!$B$19*INDEX($B$5:$B$425,$C117-ROUND(Declarations!$A$19/0.05,0))+Declarations!$B$20*INDEX($B$5:$B$425,$C117-ROUND(Declarations!$A$20/0.05,0)))</f>
        <v>-470.812106929334</v>
      </c>
      <c r="E117" s="16" t="n">
        <f aca="false">Alpha_keep*A117</f>
        <v>49.335</v>
      </c>
      <c r="F117" s="16" t="n">
        <f aca="false">Alpha_keep*A117+Cap_h</f>
        <v>51.835</v>
      </c>
      <c r="G117" s="11" t="n">
        <f aca="false">(INDEX($D$5:$D$425,MIN(INT((E117-45)/0.05+0.000000001),419)+1)*(1-((E117-45)/0.05-MIN(INT((E117-45)/0.05+0.000000001),419)))+INDEX($D$5:$D$425,MIN(INT((E117-45)/0.05+0.000000001),419)+2)*((E117-45)/0.05-MIN(INT((E117-45)/0.05+0.000000001),419)))</f>
        <v>-478.223362778602</v>
      </c>
      <c r="H117" s="11" t="n">
        <f aca="false">(INDEX($D$5:$D$425,MIN(INT((F117-45)/0.05+0.000000001),419)+1)*(1-((F117-45)/0.05-MIN(INT((F117-45)/0.05+0.000000001),419)))+INDEX($D$5:$D$425,MIN(INT((F117-45)/0.05+0.000000001),419)+2)*((F117-45)/0.05-MIN(INT((F117-45)/0.05+0.000000001),419)))</f>
        <v>-464.973673535941</v>
      </c>
      <c r="I117" s="11" t="n">
        <f aca="false">_xlfn.MAXIFS($D$5:$D$425,$A$5:$A$425,"&gt;="&amp;E117,$A$5:$A$425,"&lt;="&amp;F117)</f>
        <v>-465.121186730624</v>
      </c>
      <c r="J117" s="11" t="n">
        <f aca="false">-Short_p*MAX(Floor_c-A117,0)+Cost_k*Alpha_keep*A117+MAX(G117,H117,I117)</f>
        <v>-274.673673535941</v>
      </c>
      <c r="K117" s="22" t="n">
        <f aca="false">ABS(J117-B117)</f>
        <v>0</v>
      </c>
    </row>
    <row r="118" customFormat="false" ht="15" hidden="false" customHeight="false" outlineLevel="0" collapsed="false">
      <c r="A118" s="14" t="n">
        <v>50.65</v>
      </c>
      <c r="B118" s="23" t="n">
        <v>-274.196100222341</v>
      </c>
      <c r="C118" s="19" t="n">
        <v>114</v>
      </c>
      <c r="D118" s="11" t="n">
        <f aca="false">-Cost_k*A118+Beta_q*(Declarations!$B$16*INDEX($B$5:$B$425,$C118-ROUND(Declarations!$A$16/0.05,0))+Declarations!$B$17*INDEX($B$5:$B$425,$C118-ROUND(Declarations!$A$17/0.05,0))+Declarations!$B$18*INDEX($B$5:$B$425,$C118-ROUND(Declarations!$A$18/0.05,0))+Declarations!$B$19*INDEX($B$5:$B$425,$C118-ROUND(Declarations!$A$19/0.05,0))+Declarations!$B$20*INDEX($B$5:$B$425,$C118-ROUND(Declarations!$A$20/0.05,0)))</f>
        <v>-470.546605154931</v>
      </c>
      <c r="E118" s="16" t="n">
        <f aca="false">Alpha_keep*A118</f>
        <v>49.38375</v>
      </c>
      <c r="F118" s="16" t="n">
        <f aca="false">Alpha_keep*A118+Cap_h</f>
        <v>51.88375</v>
      </c>
      <c r="G118" s="11" t="n">
        <f aca="false">(INDEX($D$5:$D$425,MIN(INT((E118-45)/0.05+0.000000001),419)+1)*(1-((E118-45)/0.05-MIN(INT((E118-45)/0.05+0.000000001),419)))+INDEX($D$5:$D$425,MIN(INT((E118-45)/0.05+0.000000001),419)+2)*((E118-45)/0.05-MIN(INT((E118-45)/0.05+0.000000001),419)))</f>
        <v>-477.911320301117</v>
      </c>
      <c r="H118" s="11" t="n">
        <f aca="false">(INDEX($D$5:$D$425,MIN(INT((F118-45)/0.05+0.000000001),419)+1)*(1-((F118-45)/0.05-MIN(INT((F118-45)/0.05+0.000000001),419)))+INDEX($D$5:$D$425,MIN(INT((F118-45)/0.05+0.000000001),419)+2)*((F118-45)/0.05-MIN(INT((F118-45)/0.05+0.000000001),419)))</f>
        <v>-464.771100222342</v>
      </c>
      <c r="I118" s="11" t="n">
        <f aca="false">_xlfn.MAXIFS($D$5:$D$425,$A$5:$A$425,"&gt;="&amp;E118,$A$5:$A$425,"&lt;="&amp;F118)</f>
        <v>-464.910453595363</v>
      </c>
      <c r="J118" s="11" t="n">
        <f aca="false">-Short_p*MAX(Floor_c-A118,0)+Cost_k*Alpha_keep*A118+MAX(G118,H118,I118)</f>
        <v>-274.196100222342</v>
      </c>
      <c r="K118" s="22" t="n">
        <f aca="false">ABS(J118-B118)</f>
        <v>0</v>
      </c>
    </row>
    <row r="119" customFormat="false" ht="15" hidden="false" customHeight="false" outlineLevel="0" collapsed="false">
      <c r="A119" s="14" t="n">
        <v>50.7</v>
      </c>
      <c r="B119" s="23" t="n">
        <v>-273.725437594906</v>
      </c>
      <c r="C119" s="19" t="n">
        <v>115</v>
      </c>
      <c r="D119" s="11" t="n">
        <f aca="false">-Cost_k*A119+Beta_q*(Declarations!$B$16*INDEX($B$5:$B$425,$C119-ROUND(Declarations!$A$16/0.05,0))+Declarations!$B$17*INDEX($B$5:$B$425,$C119-ROUND(Declarations!$A$17/0.05,0))+Declarations!$B$18*INDEX($B$5:$B$425,$C119-ROUND(Declarations!$A$18/0.05,0))+Declarations!$B$19*INDEX($B$5:$B$425,$C119-ROUND(Declarations!$A$19/0.05,0))+Declarations!$B$20*INDEX($B$5:$B$425,$C119-ROUND(Declarations!$A$20/0.05,0)))</f>
        <v>-470.286232731037</v>
      </c>
      <c r="E119" s="16" t="n">
        <f aca="false">Alpha_keep*A119</f>
        <v>49.4325</v>
      </c>
      <c r="F119" s="16" t="n">
        <f aca="false">Alpha_keep*A119+Cap_h</f>
        <v>51.9325</v>
      </c>
      <c r="G119" s="11" t="n">
        <f aca="false">(INDEX($D$5:$D$425,MIN(INT((E119-45)/0.05+0.000000001),419)+1)*(1-((E119-45)/0.05-MIN(INT((E119-45)/0.05+0.000000001),419)))+INDEX($D$5:$D$425,MIN(INT((E119-45)/0.05+0.000000001),419)+2)*((E119-45)/0.05-MIN(INT((E119-45)/0.05+0.000000001),419)))</f>
        <v>-477.602383395596</v>
      </c>
      <c r="H119" s="11" t="n">
        <f aca="false">(INDEX($D$5:$D$425,MIN(INT((F119-45)/0.05+0.000000001),419)+1)*(1-((F119-45)/0.05-MIN(INT((F119-45)/0.05+0.000000001),419)))+INDEX($D$5:$D$425,MIN(INT((F119-45)/0.05+0.000000001),419)+2)*((F119-45)/0.05-MIN(INT((F119-45)/0.05+0.000000001),419)))</f>
        <v>-464.575437594906</v>
      </c>
      <c r="I119" s="11" t="n">
        <f aca="false">_xlfn.MAXIFS($D$5:$D$425,$A$5:$A$425,"&gt;="&amp;E119,$A$5:$A$425,"&lt;="&amp;F119)</f>
        <v>-464.70400415385</v>
      </c>
      <c r="J119" s="11" t="n">
        <f aca="false">-Short_p*MAX(Floor_c-A119,0)+Cost_k*Alpha_keep*A119+MAX(G119,H119,I119)</f>
        <v>-273.725437594906</v>
      </c>
      <c r="K119" s="22" t="n">
        <f aca="false">ABS(J119-B119)</f>
        <v>0</v>
      </c>
    </row>
    <row r="120" customFormat="false" ht="15" hidden="false" customHeight="false" outlineLevel="0" collapsed="false">
      <c r="A120" s="14" t="n">
        <v>50.75</v>
      </c>
      <c r="B120" s="23" t="n">
        <v>-273.258783748247</v>
      </c>
      <c r="C120" s="19" t="n">
        <v>116</v>
      </c>
      <c r="D120" s="11" t="n">
        <f aca="false">-Cost_k*A120+Beta_q*(Declarations!$B$16*INDEX($B$5:$B$425,$C120-ROUND(Declarations!$A$16/0.05,0))+Declarations!$B$17*INDEX($B$5:$B$425,$C120-ROUND(Declarations!$A$17/0.05,0))+Declarations!$B$18*INDEX($B$5:$B$425,$C120-ROUND(Declarations!$A$18/0.05,0))+Declarations!$B$19*INDEX($B$5:$B$425,$C120-ROUND(Declarations!$A$19/0.05,0))+Declarations!$B$20*INDEX($B$5:$B$425,$C120-ROUND(Declarations!$A$20/0.05,0)))</f>
        <v>-470.029862258901</v>
      </c>
      <c r="E120" s="16" t="n">
        <f aca="false">Alpha_keep*A120</f>
        <v>49.48125</v>
      </c>
      <c r="F120" s="16" t="n">
        <f aca="false">Alpha_keep*A120+Cap_h</f>
        <v>51.98125</v>
      </c>
      <c r="G120" s="11" t="n">
        <f aca="false">(INDEX($D$5:$D$425,MIN(INT((E120-45)/0.05+0.000000001),419)+1)*(1-((E120-45)/0.05-MIN(INT((E120-45)/0.05+0.000000001),419)))+INDEX($D$5:$D$425,MIN(INT((E120-45)/0.05+0.000000001),419)+2)*((E120-45)/0.05-MIN(INT((E120-45)/0.05+0.000000001),419)))</f>
        <v>-477.29651587756</v>
      </c>
      <c r="H120" s="11" t="n">
        <f aca="false">(INDEX($D$5:$D$425,MIN(INT((F120-45)/0.05+0.000000001),419)+1)*(1-((F120-45)/0.05-MIN(INT((F120-45)/0.05+0.000000001),419)))+INDEX($D$5:$D$425,MIN(INT((F120-45)/0.05+0.000000001),419)+2)*((F120-45)/0.05-MIN(INT((F120-45)/0.05+0.000000001),419)))</f>
        <v>-464.383783748246</v>
      </c>
      <c r="I120" s="11" t="n">
        <f aca="false">_xlfn.MAXIFS($D$5:$D$425,$A$5:$A$425,"&gt;="&amp;E120,$A$5:$A$425,"&lt;="&amp;F120)</f>
        <v>-464.506209447783</v>
      </c>
      <c r="J120" s="11" t="n">
        <f aca="false">-Short_p*MAX(Floor_c-A120,0)+Cost_k*Alpha_keep*A120+MAX(G120,H120,I120)</f>
        <v>-273.258783748246</v>
      </c>
      <c r="K120" s="22" t="n">
        <f aca="false">ABS(J120-B120)</f>
        <v>0</v>
      </c>
    </row>
    <row r="121" customFormat="false" ht="15" hidden="false" customHeight="false" outlineLevel="0" collapsed="false">
      <c r="A121" s="14" t="n">
        <v>50.8</v>
      </c>
      <c r="B121" s="23" t="n">
        <v>-272.792966218767</v>
      </c>
      <c r="C121" s="19" t="n">
        <v>117</v>
      </c>
      <c r="D121" s="11" t="n">
        <f aca="false">-Cost_k*A121+Beta_q*(Declarations!$B$16*INDEX($B$5:$B$425,$C121-ROUND(Declarations!$A$16/0.05,0))+Declarations!$B$17*INDEX($B$5:$B$425,$C121-ROUND(Declarations!$A$17/0.05,0))+Declarations!$B$18*INDEX($B$5:$B$425,$C121-ROUND(Declarations!$A$18/0.05,0))+Declarations!$B$19*INDEX($B$5:$B$425,$C121-ROUND(Declarations!$A$19/0.05,0))+Declarations!$B$20*INDEX($B$5:$B$425,$C121-ROUND(Declarations!$A$20/0.05,0)))</f>
        <v>-469.77510927095</v>
      </c>
      <c r="E121" s="16" t="n">
        <f aca="false">Alpha_keep*A121</f>
        <v>49.53</v>
      </c>
      <c r="F121" s="16" t="n">
        <f aca="false">Alpha_keep*A121+Cap_h</f>
        <v>52.03</v>
      </c>
      <c r="G121" s="11" t="n">
        <f aca="false">(INDEX($D$5:$D$425,MIN(INT((E121-45)/0.05+0.000000001),419)+1)*(1-((E121-45)/0.05-MIN(INT((E121-45)/0.05+0.000000001),419)))+INDEX($D$5:$D$425,MIN(INT((E121-45)/0.05+0.000000001),419)+2)*((E121-45)/0.05-MIN(INT((E121-45)/0.05+0.000000001),419)))</f>
        <v>-476.992779322101</v>
      </c>
      <c r="H121" s="11" t="n">
        <f aca="false">(INDEX($D$5:$D$425,MIN(INT((F121-45)/0.05+0.000000001),419)+1)*(1-((F121-45)/0.05-MIN(INT((F121-45)/0.05+0.000000001),419)))+INDEX($D$5:$D$425,MIN(INT((F121-45)/0.05+0.000000001),419)+2)*((F121-45)/0.05-MIN(INT((F121-45)/0.05+0.000000001),419)))</f>
        <v>-464.192966218767</v>
      </c>
      <c r="I121" s="11" t="n">
        <f aca="false">_xlfn.MAXIFS($D$5:$D$425,$A$5:$A$425,"&gt;="&amp;E121,$A$5:$A$425,"&lt;="&amp;F121)</f>
        <v>-464.310328328524</v>
      </c>
      <c r="J121" s="11" t="n">
        <f aca="false">-Short_p*MAX(Floor_c-A121,0)+Cost_k*Alpha_keep*A121+MAX(G121,H121,I121)</f>
        <v>-272.792966218767</v>
      </c>
      <c r="K121" s="22" t="n">
        <f aca="false">ABS(J121-B121)</f>
        <v>0</v>
      </c>
    </row>
    <row r="122" customFormat="false" ht="15" hidden="false" customHeight="false" outlineLevel="0" collapsed="false">
      <c r="A122" s="14" t="n">
        <v>50.85</v>
      </c>
      <c r="B122" s="23" t="n">
        <v>-272.327440817623</v>
      </c>
      <c r="C122" s="19" t="n">
        <v>118</v>
      </c>
      <c r="D122" s="11" t="n">
        <f aca="false">-Cost_k*A122+Beta_q*(Declarations!$B$16*INDEX($B$5:$B$425,$C122-ROUND(Declarations!$A$16/0.05,0))+Declarations!$B$17*INDEX($B$5:$B$425,$C122-ROUND(Declarations!$A$17/0.05,0))+Declarations!$B$18*INDEX($B$5:$B$425,$C122-ROUND(Declarations!$A$18/0.05,0))+Declarations!$B$19*INDEX($B$5:$B$425,$C122-ROUND(Declarations!$A$19/0.05,0))+Declarations!$B$20*INDEX($B$5:$B$425,$C122-ROUND(Declarations!$A$20/0.05,0)))</f>
        <v>-469.521050762581</v>
      </c>
      <c r="E122" s="16" t="n">
        <f aca="false">Alpha_keep*A122</f>
        <v>49.57875</v>
      </c>
      <c r="F122" s="16" t="n">
        <f aca="false">Alpha_keep*A122+Cap_h</f>
        <v>52.07875</v>
      </c>
      <c r="G122" s="11" t="n">
        <f aca="false">(INDEX($D$5:$D$425,MIN(INT((E122-45)/0.05+0.000000001),419)+1)*(1-((E122-45)/0.05-MIN(INT((E122-45)/0.05+0.000000001),419)))+INDEX($D$5:$D$425,MIN(INT((E122-45)/0.05+0.000000001),419)+2)*((E122-45)/0.05-MIN(INT((E122-45)/0.05+0.000000001),419)))</f>
        <v>-476.690411173749</v>
      </c>
      <c r="H122" s="11" t="n">
        <f aca="false">(INDEX($D$5:$D$425,MIN(INT((F122-45)/0.05+0.000000001),419)+1)*(1-((F122-45)/0.05-MIN(INT((F122-45)/0.05+0.000000001),419)))+INDEX($D$5:$D$425,MIN(INT((F122-45)/0.05+0.000000001),419)+2)*((F122-45)/0.05-MIN(INT((F122-45)/0.05+0.000000001),419)))</f>
        <v>-464.002440817622</v>
      </c>
      <c r="I122" s="11" t="n">
        <f aca="false">_xlfn.MAXIFS($D$5:$D$425,$A$5:$A$425,"&gt;="&amp;E122,$A$5:$A$425,"&lt;="&amp;F122)</f>
        <v>-464.114724812262</v>
      </c>
      <c r="J122" s="11" t="n">
        <f aca="false">-Short_p*MAX(Floor_c-A122,0)+Cost_k*Alpha_keep*A122+MAX(G122,H122,I122)</f>
        <v>-272.327440817622</v>
      </c>
      <c r="K122" s="22" t="n">
        <f aca="false">ABS(J122-B122)</f>
        <v>0</v>
      </c>
    </row>
    <row r="123" customFormat="false" ht="15" hidden="false" customHeight="false" outlineLevel="0" collapsed="false">
      <c r="A123" s="14" t="n">
        <v>50.9</v>
      </c>
      <c r="B123" s="23" t="n">
        <v>-271.862388301</v>
      </c>
      <c r="C123" s="19" t="n">
        <v>119</v>
      </c>
      <c r="D123" s="11" t="n">
        <f aca="false">-Cost_k*A123+Beta_q*(Declarations!$B$16*INDEX($B$5:$B$425,$C123-ROUND(Declarations!$A$16/0.05,0))+Declarations!$B$17*INDEX($B$5:$B$425,$C123-ROUND(Declarations!$A$17/0.05,0))+Declarations!$B$18*INDEX($B$5:$B$425,$C123-ROUND(Declarations!$A$18/0.05,0))+Declarations!$B$19*INDEX($B$5:$B$425,$C123-ROUND(Declarations!$A$19/0.05,0))+Declarations!$B$20*INDEX($B$5:$B$425,$C123-ROUND(Declarations!$A$20/0.05,0)))</f>
        <v>-469.267739935926</v>
      </c>
      <c r="E123" s="16" t="n">
        <f aca="false">Alpha_keep*A123</f>
        <v>49.6275</v>
      </c>
      <c r="F123" s="16" t="n">
        <f aca="false">Alpha_keep*A123+Cap_h</f>
        <v>52.1275</v>
      </c>
      <c r="G123" s="11" t="n">
        <f aca="false">(INDEX($D$5:$D$425,MIN(INT((E123-45)/0.05+0.000000001),419)+1)*(1-((E123-45)/0.05-MIN(INT((E123-45)/0.05+0.000000001),419)))+INDEX($D$5:$D$425,MIN(INT((E123-45)/0.05+0.000000001),419)+2)*((E123-45)/0.05-MIN(INT((E123-45)/0.05+0.000000001),419)))</f>
        <v>-476.389300469751</v>
      </c>
      <c r="H123" s="11" t="n">
        <f aca="false">(INDEX($D$5:$D$425,MIN(INT((F123-45)/0.05+0.000000001),419)+1)*(1-((F123-45)/0.05-MIN(INT((F123-45)/0.05+0.000000001),419)))+INDEX($D$5:$D$425,MIN(INT((F123-45)/0.05+0.000000001),419)+2)*((F123-45)/0.05-MIN(INT((F123-45)/0.05+0.000000001),419)))</f>
        <v>-463.812388301</v>
      </c>
      <c r="I123" s="11" t="n">
        <f aca="false">_xlfn.MAXIFS($D$5:$D$425,$A$5:$A$425,"&gt;="&amp;E123,$A$5:$A$425,"&lt;="&amp;F123)</f>
        <v>-463.919448299846</v>
      </c>
      <c r="J123" s="11" t="n">
        <f aca="false">-Short_p*MAX(Floor_c-A123,0)+Cost_k*Alpha_keep*A123+MAX(G123,H123,I123)</f>
        <v>-271.862388301</v>
      </c>
      <c r="K123" s="22" t="n">
        <f aca="false">ABS(J123-B123)</f>
        <v>0</v>
      </c>
    </row>
    <row r="124" customFormat="false" ht="15" hidden="false" customHeight="false" outlineLevel="0" collapsed="false">
      <c r="A124" s="14" t="n">
        <v>50.95</v>
      </c>
      <c r="B124" s="23" t="n">
        <v>-271.398528975732</v>
      </c>
      <c r="C124" s="19" t="n">
        <v>120</v>
      </c>
      <c r="D124" s="11" t="n">
        <f aca="false">-Cost_k*A124+Beta_q*(Declarations!$B$16*INDEX($B$5:$B$425,$C124-ROUND(Declarations!$A$16/0.05,0))+Declarations!$B$17*INDEX($B$5:$B$425,$C124-ROUND(Declarations!$A$17/0.05,0))+Declarations!$B$18*INDEX($B$5:$B$425,$C124-ROUND(Declarations!$A$18/0.05,0))+Declarations!$B$19*INDEX($B$5:$B$425,$C124-ROUND(Declarations!$A$19/0.05,0))+Declarations!$B$20*INDEX($B$5:$B$425,$C124-ROUND(Declarations!$A$20/0.05,0)))</f>
        <v>-469.015994558202</v>
      </c>
      <c r="E124" s="16" t="n">
        <f aca="false">Alpha_keep*A124</f>
        <v>49.67625</v>
      </c>
      <c r="F124" s="16" t="n">
        <f aca="false">Alpha_keep*A124+Cap_h</f>
        <v>52.17625</v>
      </c>
      <c r="G124" s="11" t="n">
        <f aca="false">(INDEX($D$5:$D$425,MIN(INT((E124-45)/0.05+0.000000001),419)+1)*(1-((E124-45)/0.05-MIN(INT((E124-45)/0.05+0.000000001),419)))+INDEX($D$5:$D$425,MIN(INT((E124-45)/0.05+0.000000001),419)+2)*((E124-45)/0.05-MIN(INT((E124-45)/0.05+0.000000001),419)))</f>
        <v>-476.089735915463</v>
      </c>
      <c r="H124" s="11" t="n">
        <f aca="false">(INDEX($D$5:$D$425,MIN(INT((F124-45)/0.05+0.000000001),419)+1)*(1-((F124-45)/0.05-MIN(INT((F124-45)/0.05+0.000000001),419)))+INDEX($D$5:$D$425,MIN(INT((F124-45)/0.05+0.000000001),419)+2)*((F124-45)/0.05-MIN(INT((F124-45)/0.05+0.000000001),419)))</f>
        <v>-463.623528975732</v>
      </c>
      <c r="I124" s="11" t="n">
        <f aca="false">_xlfn.MAXIFS($D$5:$D$425,$A$5:$A$425,"&gt;="&amp;E124,$A$5:$A$425,"&lt;="&amp;F124)</f>
        <v>-463.72479375649</v>
      </c>
      <c r="J124" s="11" t="n">
        <f aca="false">-Short_p*MAX(Floor_c-A124,0)+Cost_k*Alpha_keep*A124+MAX(G124,H124,I124)</f>
        <v>-271.398528975732</v>
      </c>
      <c r="K124" s="22" t="n">
        <f aca="false">ABS(J124-B124)</f>
        <v>0</v>
      </c>
    </row>
    <row r="125" customFormat="false" ht="15" hidden="false" customHeight="false" outlineLevel="0" collapsed="false">
      <c r="A125" s="14" t="n">
        <v>51</v>
      </c>
      <c r="B125" s="23" t="n">
        <v>-270.937594612201</v>
      </c>
      <c r="C125" s="19" t="n">
        <v>121</v>
      </c>
      <c r="D125" s="11" t="n">
        <f aca="false">-Cost_k*A125+Beta_q*(Declarations!$B$16*INDEX($B$5:$B$425,$C125-ROUND(Declarations!$A$16/0.05,0))+Declarations!$B$17*INDEX($B$5:$B$425,$C125-ROUND(Declarations!$A$17/0.05,0))+Declarations!$B$18*INDEX($B$5:$B$425,$C125-ROUND(Declarations!$A$18/0.05,0))+Declarations!$B$19*INDEX($B$5:$B$425,$C125-ROUND(Declarations!$A$19/0.05,0))+Declarations!$B$20*INDEX($B$5:$B$425,$C125-ROUND(Declarations!$A$20/0.05,0)))</f>
        <v>-468.767010874482</v>
      </c>
      <c r="E125" s="16" t="n">
        <f aca="false">Alpha_keep*A125</f>
        <v>49.725</v>
      </c>
      <c r="F125" s="16" t="n">
        <f aca="false">Alpha_keep*A125+Cap_h</f>
        <v>52.225</v>
      </c>
      <c r="G125" s="11" t="n">
        <f aca="false">(INDEX($D$5:$D$425,MIN(INT((E125-45)/0.05+0.000000001),419)+1)*(1-((E125-45)/0.05-MIN(INT((E125-45)/0.05+0.000000001),419)))+INDEX($D$5:$D$425,MIN(INT((E125-45)/0.05+0.000000001),419)+2)*((E125-45)/0.05-MIN(INT((E125-45)/0.05+0.000000001),419)))</f>
        <v>-475.79208610547</v>
      </c>
      <c r="H125" s="11" t="n">
        <f aca="false">(INDEX($D$5:$D$425,MIN(INT((F125-45)/0.05+0.000000001),419)+1)*(1-((F125-45)/0.05-MIN(INT((F125-45)/0.05+0.000000001),419)))+INDEX($D$5:$D$425,MIN(INT((F125-45)/0.05+0.000000001),419)+2)*((F125-45)/0.05-MIN(INT((F125-45)/0.05+0.000000001),419)))</f>
        <v>-463.437594612201</v>
      </c>
      <c r="I125" s="11" t="n">
        <f aca="false">_xlfn.MAXIFS($D$5:$D$425,$A$5:$A$425,"&gt;="&amp;E125,$A$5:$A$425,"&lt;="&amp;F125)</f>
        <v>-463.531908459808</v>
      </c>
      <c r="J125" s="11" t="n">
        <f aca="false">-Short_p*MAX(Floor_c-A125,0)+Cost_k*Alpha_keep*A125+MAX(G125,H125,I125)</f>
        <v>-270.937594612201</v>
      </c>
      <c r="K125" s="22" t="n">
        <f aca="false">ABS(J125-B125)</f>
        <v>0</v>
      </c>
    </row>
    <row r="126" customFormat="false" ht="15" hidden="false" customHeight="false" outlineLevel="0" collapsed="false">
      <c r="A126" s="14" t="n">
        <v>51.05</v>
      </c>
      <c r="B126" s="23" t="n">
        <v>-270.480526466356</v>
      </c>
      <c r="C126" s="19" t="n">
        <v>122</v>
      </c>
      <c r="D126" s="11" t="n">
        <f aca="false">-Cost_k*A126+Beta_q*(Declarations!$B$16*INDEX($B$5:$B$425,$C126-ROUND(Declarations!$A$16/0.05,0))+Declarations!$B$17*INDEX($B$5:$B$425,$C126-ROUND(Declarations!$A$17/0.05,0))+Declarations!$B$18*INDEX($B$5:$B$425,$C126-ROUND(Declarations!$A$18/0.05,0))+Declarations!$B$19*INDEX($B$5:$B$425,$C126-ROUND(Declarations!$A$19/0.05,0))+Declarations!$B$20*INDEX($B$5:$B$425,$C126-ROUND(Declarations!$A$20/0.05,0)))</f>
        <v>-468.520981998707</v>
      </c>
      <c r="E126" s="16" t="n">
        <f aca="false">Alpha_keep*A126</f>
        <v>49.77375</v>
      </c>
      <c r="F126" s="16" t="n">
        <f aca="false">Alpha_keep*A126+Cap_h</f>
        <v>52.27375</v>
      </c>
      <c r="G126" s="11" t="n">
        <f aca="false">(INDEX($D$5:$D$425,MIN(INT((E126-45)/0.05+0.000000001),419)+1)*(1-((E126-45)/0.05-MIN(INT((E126-45)/0.05+0.000000001),419)))+INDEX($D$5:$D$425,MIN(INT((E126-45)/0.05+0.000000001),419)+2)*((E126-45)/0.05-MIN(INT((E126-45)/0.05+0.000000001),419)))</f>
        <v>-475.496515002398</v>
      </c>
      <c r="H126" s="11" t="n">
        <f aca="false">(INDEX($D$5:$D$425,MIN(INT((F126-45)/0.05+0.000000001),419)+1)*(1-((F126-45)/0.05-MIN(INT((F126-45)/0.05+0.000000001),419)))+INDEX($D$5:$D$425,MIN(INT((F126-45)/0.05+0.000000001),419)+2)*((F126-45)/0.05-MIN(INT((F126-45)/0.05+0.000000001),419)))</f>
        <v>-463.255526466355</v>
      </c>
      <c r="I126" s="11" t="n">
        <f aca="false">_xlfn.MAXIFS($D$5:$D$425,$A$5:$A$425,"&gt;="&amp;E126,$A$5:$A$425,"&lt;="&amp;F126)</f>
        <v>-463.343280764595</v>
      </c>
      <c r="J126" s="11" t="n">
        <f aca="false">-Short_p*MAX(Floor_c-A126,0)+Cost_k*Alpha_keep*A126+MAX(G126,H126,I126)</f>
        <v>-270.480526466355</v>
      </c>
      <c r="K126" s="22" t="n">
        <f aca="false">ABS(J126-B126)</f>
        <v>0</v>
      </c>
    </row>
    <row r="127" customFormat="false" ht="15" hidden="false" customHeight="false" outlineLevel="0" collapsed="false">
      <c r="A127" s="14" t="n">
        <v>51.1</v>
      </c>
      <c r="B127" s="23" t="n">
        <v>-270.027297774772</v>
      </c>
      <c r="C127" s="19" t="n">
        <v>123</v>
      </c>
      <c r="D127" s="11" t="n">
        <f aca="false">-Cost_k*A127+Beta_q*(Declarations!$B$16*INDEX($B$5:$B$425,$C127-ROUND(Declarations!$A$16/0.05,0))+Declarations!$B$17*INDEX($B$5:$B$425,$C127-ROUND(Declarations!$A$17/0.05,0))+Declarations!$B$18*INDEX($B$5:$B$425,$C127-ROUND(Declarations!$A$18/0.05,0))+Declarations!$B$19*INDEX($B$5:$B$425,$C127-ROUND(Declarations!$A$19/0.05,0))+Declarations!$B$20*INDEX($B$5:$B$425,$C127-ROUND(Declarations!$A$20/0.05,0)))</f>
        <v>-468.277726053308</v>
      </c>
      <c r="E127" s="16" t="n">
        <f aca="false">Alpha_keep*A127</f>
        <v>49.8225</v>
      </c>
      <c r="F127" s="16" t="n">
        <f aca="false">Alpha_keep*A127+Cap_h</f>
        <v>52.3225</v>
      </c>
      <c r="G127" s="11" t="n">
        <f aca="false">(INDEX($D$5:$D$425,MIN(INT((E127-45)/0.05+0.000000001),419)+1)*(1-((E127-45)/0.05-MIN(INT((E127-45)/0.05+0.000000001),419)))+INDEX($D$5:$D$425,MIN(INT((E127-45)/0.05+0.000000001),419)+2)*((E127-45)/0.05-MIN(INT((E127-45)/0.05+0.000000001),419)))</f>
        <v>-475.202999692502</v>
      </c>
      <c r="H127" s="11" t="n">
        <f aca="false">(INDEX($D$5:$D$425,MIN(INT((F127-45)/0.05+0.000000001),419)+1)*(1-((F127-45)/0.05-MIN(INT((F127-45)/0.05+0.000000001),419)))+INDEX($D$5:$D$425,MIN(INT((F127-45)/0.05+0.000000001),419)+2)*((F127-45)/0.05-MIN(INT((F127-45)/0.05+0.000000001),419)))</f>
        <v>-463.077297774772</v>
      </c>
      <c r="I127" s="11" t="n">
        <f aca="false">_xlfn.MAXIFS($D$5:$D$425,$A$5:$A$425,"&gt;="&amp;E127,$A$5:$A$425,"&lt;="&amp;F127)</f>
        <v>-463.158534873565</v>
      </c>
      <c r="J127" s="11" t="n">
        <f aca="false">-Short_p*MAX(Floor_c-A127,0)+Cost_k*Alpha_keep*A127+MAX(G127,H127,I127)</f>
        <v>-270.027297774772</v>
      </c>
      <c r="K127" s="22" t="n">
        <f aca="false">ABS(J127-B127)</f>
        <v>0</v>
      </c>
    </row>
    <row r="128" customFormat="false" ht="15" hidden="false" customHeight="false" outlineLevel="0" collapsed="false">
      <c r="A128" s="14" t="n">
        <v>51.15</v>
      </c>
      <c r="B128" s="23" t="n">
        <v>-269.57789236337</v>
      </c>
      <c r="C128" s="19" t="n">
        <v>124</v>
      </c>
      <c r="D128" s="11" t="n">
        <f aca="false">-Cost_k*A128+Beta_q*(Declarations!$B$16*INDEX($B$5:$B$425,$C128-ROUND(Declarations!$A$16/0.05,0))+Declarations!$B$17*INDEX($B$5:$B$425,$C128-ROUND(Declarations!$A$17/0.05,0))+Declarations!$B$18*INDEX($B$5:$B$425,$C128-ROUND(Declarations!$A$18/0.05,0))+Declarations!$B$19*INDEX($B$5:$B$425,$C128-ROUND(Declarations!$A$19/0.05,0))+Declarations!$B$20*INDEX($B$5:$B$425,$C128-ROUND(Declarations!$A$20/0.05,0)))</f>
        <v>-468.037849718426</v>
      </c>
      <c r="E128" s="16" t="n">
        <f aca="false">Alpha_keep*A128</f>
        <v>49.87125</v>
      </c>
      <c r="F128" s="16" t="n">
        <f aca="false">Alpha_keep*A128+Cap_h</f>
        <v>52.37125</v>
      </c>
      <c r="G128" s="11" t="n">
        <f aca="false">(INDEX($D$5:$D$425,MIN(INT((E128-45)/0.05+0.000000001),419)+1)*(1-((E128-45)/0.05-MIN(INT((E128-45)/0.05+0.000000001),419)))+INDEX($D$5:$D$425,MIN(INT((E128-45)/0.05+0.000000001),419)+2)*((E128-45)/0.05-MIN(INT((E128-45)/0.05+0.000000001),419)))</f>
        <v>-474.911773402727</v>
      </c>
      <c r="H128" s="11" t="n">
        <f aca="false">(INDEX($D$5:$D$425,MIN(INT((F128-45)/0.05+0.000000001),419)+1)*(1-((F128-45)/0.05-MIN(INT((F128-45)/0.05+0.000000001),419)))+INDEX($D$5:$D$425,MIN(INT((F128-45)/0.05+0.000000001),419)+2)*((F128-45)/0.05-MIN(INT((F128-45)/0.05+0.000000001),419)))</f>
        <v>-462.902892363369</v>
      </c>
      <c r="I128" s="11" t="n">
        <f aca="false">_xlfn.MAXIFS($D$5:$D$425,$A$5:$A$425,"&gt;="&amp;E128,$A$5:$A$425,"&lt;="&amp;F128)</f>
        <v>-462.978007987359</v>
      </c>
      <c r="J128" s="11" t="n">
        <f aca="false">-Short_p*MAX(Floor_c-A128,0)+Cost_k*Alpha_keep*A128+MAX(G128,H128,I128)</f>
        <v>-269.57789236337</v>
      </c>
      <c r="K128" s="22" t="n">
        <f aca="false">ABS(J128-B128)</f>
        <v>0</v>
      </c>
    </row>
    <row r="129" customFormat="false" ht="15" hidden="false" customHeight="false" outlineLevel="0" collapsed="false">
      <c r="A129" s="14" t="n">
        <v>51.2</v>
      </c>
      <c r="B129" s="23" t="n">
        <v>-269.130613224315</v>
      </c>
      <c r="C129" s="19" t="n">
        <v>125</v>
      </c>
      <c r="D129" s="11" t="n">
        <f aca="false">-Cost_k*A129+Beta_q*(Declarations!$B$16*INDEX($B$5:$B$425,$C129-ROUND(Declarations!$A$16/0.05,0))+Declarations!$B$17*INDEX($B$5:$B$425,$C129-ROUND(Declarations!$A$17/0.05,0))+Declarations!$B$18*INDEX($B$5:$B$425,$C129-ROUND(Declarations!$A$18/0.05,0))+Declarations!$B$19*INDEX($B$5:$B$425,$C129-ROUND(Declarations!$A$19/0.05,0))+Declarations!$B$20*INDEX($B$5:$B$425,$C129-ROUND(Declarations!$A$20/0.05,0)))</f>
        <v>-467.801987182637</v>
      </c>
      <c r="E129" s="16" t="n">
        <f aca="false">Alpha_keep*A129</f>
        <v>49.92</v>
      </c>
      <c r="F129" s="16" t="n">
        <f aca="false">Alpha_keep*A129+Cap_h</f>
        <v>52.42</v>
      </c>
      <c r="G129" s="11" t="n">
        <f aca="false">(INDEX($D$5:$D$425,MIN(INT((E129-45)/0.05+0.000000001),419)+1)*(1-((E129-45)/0.05-MIN(INT((E129-45)/0.05+0.000000001),419)))+INDEX($D$5:$D$425,MIN(INT((E129-45)/0.05+0.000000001),419)+2)*((E129-45)/0.05-MIN(INT((E129-45)/0.05+0.000000001),419)))</f>
        <v>-474.623563312765</v>
      </c>
      <c r="H129" s="11" t="n">
        <f aca="false">(INDEX($D$5:$D$425,MIN(INT((F129-45)/0.05+0.000000001),419)+1)*(1-((F129-45)/0.05-MIN(INT((F129-45)/0.05+0.000000001),419)))+INDEX($D$5:$D$425,MIN(INT((F129-45)/0.05+0.000000001),419)+2)*((F129-45)/0.05-MIN(INT((F129-45)/0.05+0.000000001),419)))</f>
        <v>-462.730613224315</v>
      </c>
      <c r="I129" s="11" t="n">
        <f aca="false">_xlfn.MAXIFS($D$5:$D$425,$A$5:$A$425,"&gt;="&amp;E129,$A$5:$A$425,"&lt;="&amp;F129)</f>
        <v>-462.801265342678</v>
      </c>
      <c r="J129" s="11" t="n">
        <f aca="false">-Short_p*MAX(Floor_c-A129,0)+Cost_k*Alpha_keep*A129+MAX(G129,H129,I129)</f>
        <v>-269.130613224315</v>
      </c>
      <c r="K129" s="22" t="n">
        <f aca="false">ABS(J129-B129)</f>
        <v>0</v>
      </c>
    </row>
    <row r="130" customFormat="false" ht="15" hidden="false" customHeight="false" outlineLevel="0" collapsed="false">
      <c r="A130" s="14" t="n">
        <v>51.25</v>
      </c>
      <c r="B130" s="23" t="n">
        <v>-268.683511413078</v>
      </c>
      <c r="C130" s="19" t="n">
        <v>126</v>
      </c>
      <c r="D130" s="11" t="n">
        <f aca="false">-Cost_k*A130+Beta_q*(Declarations!$B$16*INDEX($B$5:$B$425,$C130-ROUND(Declarations!$A$16/0.05,0))+Declarations!$B$17*INDEX($B$5:$B$425,$C130-ROUND(Declarations!$A$17/0.05,0))+Declarations!$B$18*INDEX($B$5:$B$425,$C130-ROUND(Declarations!$A$18/0.05,0))+Declarations!$B$19*INDEX($B$5:$B$425,$C130-ROUND(Declarations!$A$19/0.05,0))+Declarations!$B$20*INDEX($B$5:$B$425,$C130-ROUND(Declarations!$A$20/0.05,0)))</f>
        <v>-467.566903955949</v>
      </c>
      <c r="E130" s="16" t="n">
        <f aca="false">Alpha_keep*A130</f>
        <v>49.96875</v>
      </c>
      <c r="F130" s="16" t="n">
        <f aca="false">Alpha_keep*A130+Cap_h</f>
        <v>52.46875</v>
      </c>
      <c r="G130" s="11" t="n">
        <f aca="false">(INDEX($D$5:$D$425,MIN(INT((E130-45)/0.05+0.000000001),419)+1)*(1-((E130-45)/0.05-MIN(INT((E130-45)/0.05+0.000000001),419)))+INDEX($D$5:$D$425,MIN(INT((E130-45)/0.05+0.000000001),419)+2)*((E130-45)/0.05-MIN(INT((E130-45)/0.05+0.000000001),419)))</f>
        <v>-474.338231539945</v>
      </c>
      <c r="H130" s="11" t="n">
        <f aca="false">(INDEX($D$5:$D$425,MIN(INT((F130-45)/0.05+0.000000001),419)+1)*(1-((F130-45)/0.05-MIN(INT((F130-45)/0.05+0.000000001),419)))+INDEX($D$5:$D$425,MIN(INT((F130-45)/0.05+0.000000001),419)+2)*((F130-45)/0.05-MIN(INT((F130-45)/0.05+0.000000001),419)))</f>
        <v>-462.558511413078</v>
      </c>
      <c r="I130" s="11" t="n">
        <f aca="false">_xlfn.MAXIFS($D$5:$D$425,$A$5:$A$425,"&gt;="&amp;E130,$A$5:$A$425,"&lt;="&amp;F130)</f>
        <v>-462.624635046772</v>
      </c>
      <c r="J130" s="11" t="n">
        <f aca="false">-Short_p*MAX(Floor_c-A130,0)+Cost_k*Alpha_keep*A130+MAX(G130,H130,I130)</f>
        <v>-268.683511413078</v>
      </c>
      <c r="K130" s="22" t="n">
        <f aca="false">ABS(J130-B130)</f>
        <v>0</v>
      </c>
    </row>
    <row r="131" customFormat="false" ht="15" hidden="false" customHeight="false" outlineLevel="0" collapsed="false">
      <c r="A131" s="14" t="n">
        <v>51.3</v>
      </c>
      <c r="B131" s="23" t="n">
        <v>-268.236832361261</v>
      </c>
      <c r="C131" s="19" t="n">
        <v>127</v>
      </c>
      <c r="D131" s="11" t="n">
        <f aca="false">-Cost_k*A131+Beta_q*(Declarations!$B$16*INDEX($B$5:$B$425,$C131-ROUND(Declarations!$A$16/0.05,0))+Declarations!$B$17*INDEX($B$5:$B$425,$C131-ROUND(Declarations!$A$17/0.05,0))+Declarations!$B$18*INDEX($B$5:$B$425,$C131-ROUND(Declarations!$A$18/0.05,0))+Declarations!$B$19*INDEX($B$5:$B$425,$C131-ROUND(Declarations!$A$19/0.05,0))+Declarations!$B$20*INDEX($B$5:$B$425,$C131-ROUND(Declarations!$A$20/0.05,0)))</f>
        <v>-467.332492465639</v>
      </c>
      <c r="E131" s="16" t="n">
        <f aca="false">Alpha_keep*A131</f>
        <v>50.0175</v>
      </c>
      <c r="F131" s="16" t="n">
        <f aca="false">Alpha_keep*A131+Cap_h</f>
        <v>52.5175</v>
      </c>
      <c r="G131" s="11" t="n">
        <f aca="false">(INDEX($D$5:$D$425,MIN(INT((E131-45)/0.05+0.000000001),419)+1)*(1-((E131-45)/0.05-MIN(INT((E131-45)/0.05+0.000000001),419)))+INDEX($D$5:$D$425,MIN(INT((E131-45)/0.05+0.000000001),419)+2)*((E131-45)/0.05-MIN(INT((E131-45)/0.05+0.000000001),419)))</f>
        <v>-474.054408260548</v>
      </c>
      <c r="H131" s="11" t="n">
        <f aca="false">(INDEX($D$5:$D$425,MIN(INT((F131-45)/0.05+0.000000001),419)+1)*(1-((F131-45)/0.05-MIN(INT((F131-45)/0.05+0.000000001),419)))+INDEX($D$5:$D$425,MIN(INT((F131-45)/0.05+0.000000001),419)+2)*((F131-45)/0.05-MIN(INT((F131-45)/0.05+0.000000001),419)))</f>
        <v>-462.386832361261</v>
      </c>
      <c r="I131" s="11" t="n">
        <f aca="false">_xlfn.MAXIFS($D$5:$D$425,$A$5:$A$425,"&gt;="&amp;E131,$A$5:$A$425,"&lt;="&amp;F131)</f>
        <v>-462.448305356922</v>
      </c>
      <c r="J131" s="11" t="n">
        <f aca="false">-Short_p*MAX(Floor_c-A131,0)+Cost_k*Alpha_keep*A131+MAX(G131,H131,I131)</f>
        <v>-268.236832361261</v>
      </c>
      <c r="K131" s="22" t="n">
        <f aca="false">ABS(J131-B131)</f>
        <v>0</v>
      </c>
    </row>
    <row r="132" customFormat="false" ht="15" hidden="false" customHeight="false" outlineLevel="0" collapsed="false">
      <c r="A132" s="14" t="n">
        <v>51.35</v>
      </c>
      <c r="B132" s="23" t="n">
        <v>-267.790928245346</v>
      </c>
      <c r="C132" s="19" t="n">
        <v>128</v>
      </c>
      <c r="D132" s="11" t="n">
        <f aca="false">-Cost_k*A132+Beta_q*(Declarations!$B$16*INDEX($B$5:$B$425,$C132-ROUND(Declarations!$A$16/0.05,0))+Declarations!$B$17*INDEX($B$5:$B$425,$C132-ROUND(Declarations!$A$17/0.05,0))+Declarations!$B$18*INDEX($B$5:$B$425,$C132-ROUND(Declarations!$A$18/0.05,0))+Declarations!$B$19*INDEX($B$5:$B$425,$C132-ROUND(Declarations!$A$19/0.05,0))+Declarations!$B$20*INDEX($B$5:$B$425,$C132-ROUND(Declarations!$A$20/0.05,0)))</f>
        <v>-467.099013938819</v>
      </c>
      <c r="E132" s="16" t="n">
        <f aca="false">Alpha_keep*A132</f>
        <v>50.06625</v>
      </c>
      <c r="F132" s="16" t="n">
        <f aca="false">Alpha_keep*A132+Cap_h</f>
        <v>52.56625</v>
      </c>
      <c r="G132" s="11" t="n">
        <f aca="false">(INDEX($D$5:$D$425,MIN(INT((E132-45)/0.05+0.000000001),419)+1)*(1-((E132-45)/0.05-MIN(INT((E132-45)/0.05+0.000000001),419)))+INDEX($D$5:$D$425,MIN(INT((E132-45)/0.05+0.000000001),419)+2)*((E132-45)/0.05-MIN(INT((E132-45)/0.05+0.000000001),419)))</f>
        <v>-473.771579660975</v>
      </c>
      <c r="H132" s="11" t="n">
        <f aca="false">(INDEX($D$5:$D$425,MIN(INT((F132-45)/0.05+0.000000001),419)+1)*(1-((F132-45)/0.05-MIN(INT((F132-45)/0.05+0.000000001),419)))+INDEX($D$5:$D$425,MIN(INT((F132-45)/0.05+0.000000001),419)+2)*((F132-45)/0.05-MIN(INT((F132-45)/0.05+0.000000001),419)))</f>
        <v>-462.215928245346</v>
      </c>
      <c r="I132" s="11" t="n">
        <f aca="false">_xlfn.MAXIFS($D$5:$D$425,$A$5:$A$425,"&gt;="&amp;E132,$A$5:$A$425,"&lt;="&amp;F132)</f>
        <v>-462.272668226461</v>
      </c>
      <c r="J132" s="11" t="n">
        <f aca="false">-Short_p*MAX(Floor_c-A132,0)+Cost_k*Alpha_keep*A132+MAX(G132,H132,I132)</f>
        <v>-267.790928245346</v>
      </c>
      <c r="K132" s="22" t="n">
        <f aca="false">ABS(J132-B132)</f>
        <v>0</v>
      </c>
    </row>
    <row r="133" customFormat="false" ht="15" hidden="false" customHeight="false" outlineLevel="0" collapsed="false">
      <c r="A133" s="14" t="n">
        <v>51.4</v>
      </c>
      <c r="B133" s="23" t="n">
        <v>-267.346559302684</v>
      </c>
      <c r="C133" s="19" t="n">
        <v>129</v>
      </c>
      <c r="D133" s="11" t="n">
        <f aca="false">-Cost_k*A133+Beta_q*(Declarations!$B$16*INDEX($B$5:$B$425,$C133-ROUND(Declarations!$A$16/0.05,0))+Declarations!$B$17*INDEX($B$5:$B$425,$C133-ROUND(Declarations!$A$17/0.05,0))+Declarations!$B$18*INDEX($B$5:$B$425,$C133-ROUND(Declarations!$A$18/0.05,0))+Declarations!$B$19*INDEX($B$5:$B$425,$C133-ROUND(Declarations!$A$19/0.05,0))+Declarations!$B$20*INDEX($B$5:$B$425,$C133-ROUND(Declarations!$A$20/0.05,0)))</f>
        <v>-466.86718659795</v>
      </c>
      <c r="E133" s="16" t="n">
        <f aca="false">Alpha_keep*A133</f>
        <v>50.115</v>
      </c>
      <c r="F133" s="16" t="n">
        <f aca="false">Alpha_keep*A133+Cap_h</f>
        <v>52.615</v>
      </c>
      <c r="G133" s="11" t="n">
        <f aca="false">(INDEX($D$5:$D$425,MIN(INT((E133-45)/0.05+0.000000001),419)+1)*(1-((E133-45)/0.05-MIN(INT((E133-45)/0.05+0.000000001),419)))+INDEX($D$5:$D$425,MIN(INT((E133-45)/0.05+0.000000001),419)+2)*((E133-45)/0.05-MIN(INT((E133-45)/0.05+0.000000001),419)))</f>
        <v>-473.48990757976</v>
      </c>
      <c r="H133" s="11" t="n">
        <f aca="false">(INDEX($D$5:$D$425,MIN(INT((F133-45)/0.05+0.000000001),419)+1)*(1-((F133-45)/0.05-MIN(INT((F133-45)/0.05+0.000000001),419)))+INDEX($D$5:$D$425,MIN(INT((F133-45)/0.05+0.000000001),419)+2)*((F133-45)/0.05-MIN(INT((F133-45)/0.05+0.000000001),419)))</f>
        <v>-462.046559302684</v>
      </c>
      <c r="I133" s="11" t="n">
        <f aca="false">_xlfn.MAXIFS($D$5:$D$425,$A$5:$A$425,"&gt;="&amp;E133,$A$5:$A$425,"&lt;="&amp;F133)</f>
        <v>-462.098083669185</v>
      </c>
      <c r="J133" s="11" t="n">
        <f aca="false">-Short_p*MAX(Floor_c-A133,0)+Cost_k*Alpha_keep*A133+MAX(G133,H133,I133)</f>
        <v>-267.346559302684</v>
      </c>
      <c r="K133" s="22" t="n">
        <f aca="false">ABS(J133-B133)</f>
        <v>0</v>
      </c>
    </row>
    <row r="134" customFormat="false" ht="15" hidden="false" customHeight="false" outlineLevel="0" collapsed="false">
      <c r="A134" s="14" t="n">
        <v>51.45</v>
      </c>
      <c r="B134" s="23" t="n">
        <v>-266.906843952126</v>
      </c>
      <c r="C134" s="19" t="n">
        <v>130</v>
      </c>
      <c r="D134" s="11" t="n">
        <f aca="false">-Cost_k*A134+Beta_q*(Declarations!$B$16*INDEX($B$5:$B$425,$C134-ROUND(Declarations!$A$16/0.05,0))+Declarations!$B$17*INDEX($B$5:$B$425,$C134-ROUND(Declarations!$A$17/0.05,0))+Declarations!$B$18*INDEX($B$5:$B$425,$C134-ROUND(Declarations!$A$18/0.05,0))+Declarations!$B$19*INDEX($B$5:$B$425,$C134-ROUND(Declarations!$A$19/0.05,0))+Declarations!$B$20*INDEX($B$5:$B$425,$C134-ROUND(Declarations!$A$20/0.05,0)))</f>
        <v>-466.639367536416</v>
      </c>
      <c r="E134" s="16" t="n">
        <f aca="false">Alpha_keep*A134</f>
        <v>50.16375</v>
      </c>
      <c r="F134" s="16" t="n">
        <f aca="false">Alpha_keep*A134+Cap_h</f>
        <v>52.66375</v>
      </c>
      <c r="G134" s="11" t="n">
        <f aca="false">(INDEX($D$5:$D$425,MIN(INT((E134-45)/0.05+0.000000001),419)+1)*(1-((E134-45)/0.05-MIN(INT((E134-45)/0.05+0.000000001),419)))+INDEX($D$5:$D$425,MIN(INT((E134-45)/0.05+0.000000001),419)+2)*((E134-45)/0.05-MIN(INT((E134-45)/0.05+0.000000001),419)))</f>
        <v>-473.210196748407</v>
      </c>
      <c r="H134" s="11" t="n">
        <f aca="false">(INDEX($D$5:$D$425,MIN(INT((F134-45)/0.05+0.000000001),419)+1)*(1-((F134-45)/0.05-MIN(INT((F134-45)/0.05+0.000000001),419)))+INDEX($D$5:$D$425,MIN(INT((F134-45)/0.05+0.000000001),419)+2)*((F134-45)/0.05-MIN(INT((F134-45)/0.05+0.000000001),419)))</f>
        <v>-461.881843952126</v>
      </c>
      <c r="I134" s="11" t="n">
        <f aca="false">_xlfn.MAXIFS($D$5:$D$425,$A$5:$A$425,"&gt;="&amp;E134,$A$5:$A$425,"&lt;="&amp;F134)</f>
        <v>-461.92633578085</v>
      </c>
      <c r="J134" s="11" t="n">
        <f aca="false">-Short_p*MAX(Floor_c-A134,0)+Cost_k*Alpha_keep*A134+MAX(G134,H134,I134)</f>
        <v>-266.906843952126</v>
      </c>
      <c r="K134" s="22" t="n">
        <f aca="false">ABS(J134-B134)</f>
        <v>0</v>
      </c>
    </row>
    <row r="135" customFormat="false" ht="15" hidden="false" customHeight="false" outlineLevel="0" collapsed="false">
      <c r="A135" s="14" t="n">
        <v>51.5</v>
      </c>
      <c r="B135" s="23" t="n">
        <v>-266.475381602723</v>
      </c>
      <c r="C135" s="19" t="n">
        <v>131</v>
      </c>
      <c r="D135" s="11" t="n">
        <f aca="false">-Cost_k*A135+Beta_q*(Declarations!$B$16*INDEX($B$5:$B$425,$C135-ROUND(Declarations!$A$16/0.05,0))+Declarations!$B$17*INDEX($B$5:$B$425,$C135-ROUND(Declarations!$A$17/0.05,0))+Declarations!$B$18*INDEX($B$5:$B$425,$C135-ROUND(Declarations!$A$18/0.05,0))+Declarations!$B$19*INDEX($B$5:$B$425,$C135-ROUND(Declarations!$A$19/0.05,0))+Declarations!$B$20*INDEX($B$5:$B$425,$C135-ROUND(Declarations!$A$20/0.05,0)))</f>
        <v>-466.417349857211</v>
      </c>
      <c r="E135" s="16" t="n">
        <f aca="false">Alpha_keep*A135</f>
        <v>50.2125</v>
      </c>
      <c r="F135" s="16" t="n">
        <f aca="false">Alpha_keep*A135+Cap_h</f>
        <v>52.7125</v>
      </c>
      <c r="G135" s="11" t="n">
        <f aca="false">(INDEX($D$5:$D$425,MIN(INT((E135-45)/0.05+0.000000001),419)+1)*(1-((E135-45)/0.05-MIN(INT((E135-45)/0.05+0.000000001),419)))+INDEX($D$5:$D$425,MIN(INT((E135-45)/0.05+0.000000001),419)+2)*((E135-45)/0.05-MIN(INT((E135-45)/0.05+0.000000001),419)))</f>
        <v>-472.933600286348</v>
      </c>
      <c r="H135" s="11" t="n">
        <f aca="false">(INDEX($D$5:$D$425,MIN(INT((F135-45)/0.05+0.000000001),419)+1)*(1-((F135-45)/0.05-MIN(INT((F135-45)/0.05+0.000000001),419)))+INDEX($D$5:$D$425,MIN(INT((F135-45)/0.05+0.000000001),419)+2)*((F135-45)/0.05-MIN(INT((F135-45)/0.05+0.000000001),419)))</f>
        <v>-461.725381602723</v>
      </c>
      <c r="I135" s="11" t="n">
        <f aca="false">_xlfn.MAXIFS($D$5:$D$425,$A$5:$A$425,"&gt;="&amp;E135,$A$5:$A$425,"&lt;="&amp;F135)</f>
        <v>-461.764547312765</v>
      </c>
      <c r="J135" s="11" t="n">
        <f aca="false">-Short_p*MAX(Floor_c-A135,0)+Cost_k*Alpha_keep*A135+MAX(G135,H135,I135)</f>
        <v>-266.475381602723</v>
      </c>
      <c r="K135" s="22" t="n">
        <f aca="false">ABS(J135-B135)</f>
        <v>0</v>
      </c>
    </row>
    <row r="136" customFormat="false" ht="15" hidden="false" customHeight="false" outlineLevel="0" collapsed="false">
      <c r="A136" s="14" t="n">
        <v>51.55</v>
      </c>
      <c r="B136" s="23" t="n">
        <v>-266.047722596557</v>
      </c>
      <c r="C136" s="19" t="n">
        <v>132</v>
      </c>
      <c r="D136" s="11" t="n">
        <f aca="false">-Cost_k*A136+Beta_q*(Declarations!$B$16*INDEX($B$5:$B$425,$C136-ROUND(Declarations!$A$16/0.05,0))+Declarations!$B$17*INDEX($B$5:$B$425,$C136-ROUND(Declarations!$A$17/0.05,0))+Declarations!$B$18*INDEX($B$5:$B$425,$C136-ROUND(Declarations!$A$18/0.05,0))+Declarations!$B$19*INDEX($B$5:$B$425,$C136-ROUND(Declarations!$A$19/0.05,0))+Declarations!$B$20*INDEX($B$5:$B$425,$C136-ROUND(Declarations!$A$20/0.05,0)))</f>
        <v>-466.198551934783</v>
      </c>
      <c r="E136" s="16" t="n">
        <f aca="false">Alpha_keep*A136</f>
        <v>50.26125</v>
      </c>
      <c r="F136" s="16" t="n">
        <f aca="false">Alpha_keep*A136+Cap_h</f>
        <v>52.76125</v>
      </c>
      <c r="G136" s="11" t="n">
        <f aca="false">(INDEX($D$5:$D$425,MIN(INT((E136-45)/0.05+0.000000001),419)+1)*(1-((E136-45)/0.05-MIN(INT((E136-45)/0.05+0.000000001),419)))+INDEX($D$5:$D$425,MIN(INT((E136-45)/0.05+0.000000001),419)+2)*((E136-45)/0.05-MIN(INT((E136-45)/0.05+0.000000001),419)))</f>
        <v>-472.660465282353</v>
      </c>
      <c r="H136" s="11" t="n">
        <f aca="false">(INDEX($D$5:$D$425,MIN(INT((F136-45)/0.05+0.000000001),419)+1)*(1-((F136-45)/0.05-MIN(INT((F136-45)/0.05+0.000000001),419)))+INDEX($D$5:$D$425,MIN(INT((F136-45)/0.05+0.000000001),419)+2)*((F136-45)/0.05-MIN(INT((F136-45)/0.05+0.000000001),419)))</f>
        <v>-461.572722596557</v>
      </c>
      <c r="I136" s="11" t="n">
        <f aca="false">_xlfn.MAXIFS($D$5:$D$425,$A$5:$A$425,"&gt;="&amp;E136,$A$5:$A$425,"&lt;="&amp;F136)</f>
        <v>-461.607884472597</v>
      </c>
      <c r="J136" s="11" t="n">
        <f aca="false">-Short_p*MAX(Floor_c-A136,0)+Cost_k*Alpha_keep*A136+MAX(G136,H136,I136)</f>
        <v>-266.047722596557</v>
      </c>
      <c r="K136" s="22" t="n">
        <f aca="false">ABS(J136-B136)</f>
        <v>0</v>
      </c>
    </row>
    <row r="137" customFormat="false" ht="15" hidden="false" customHeight="false" outlineLevel="0" collapsed="false">
      <c r="A137" s="14" t="n">
        <v>51.6</v>
      </c>
      <c r="B137" s="23" t="n">
        <v>-265.620370096901</v>
      </c>
      <c r="C137" s="19" t="n">
        <v>133</v>
      </c>
      <c r="D137" s="11" t="n">
        <f aca="false">-Cost_k*A137+Beta_q*(Declarations!$B$16*INDEX($B$5:$B$425,$C137-ROUND(Declarations!$A$16/0.05,0))+Declarations!$B$17*INDEX($B$5:$B$425,$C137-ROUND(Declarations!$A$17/0.05,0))+Declarations!$B$18*INDEX($B$5:$B$425,$C137-ROUND(Declarations!$A$18/0.05,0))+Declarations!$B$19*INDEX($B$5:$B$425,$C137-ROUND(Declarations!$A$19/0.05,0))+Declarations!$B$20*INDEX($B$5:$B$425,$C137-ROUND(Declarations!$A$20/0.05,0)))</f>
        <v>-465.981327591259</v>
      </c>
      <c r="E137" s="16" t="n">
        <f aca="false">Alpha_keep*A137</f>
        <v>50.31</v>
      </c>
      <c r="F137" s="16" t="n">
        <f aca="false">Alpha_keep*A137+Cap_h</f>
        <v>52.81</v>
      </c>
      <c r="G137" s="11" t="n">
        <f aca="false">(INDEX($D$5:$D$425,MIN(INT((E137-45)/0.05+0.000000001),419)+1)*(1-((E137-45)/0.05-MIN(INT((E137-45)/0.05+0.000000001),419)))+INDEX($D$5:$D$425,MIN(INT((E137-45)/0.05+0.000000001),419)+2)*((E137-45)/0.05-MIN(INT((E137-45)/0.05+0.000000001),419)))</f>
        <v>-472.389785317011</v>
      </c>
      <c r="H137" s="11" t="n">
        <f aca="false">(INDEX($D$5:$D$425,MIN(INT((F137-45)/0.05+0.000000001),419)+1)*(1-((F137-45)/0.05-MIN(INT((F137-45)/0.05+0.000000001),419)))+INDEX($D$5:$D$425,MIN(INT((F137-45)/0.05+0.000000001),419)+2)*((F137-45)/0.05-MIN(INT((F137-45)/0.05+0.000000001),419)))</f>
        <v>-461.420370096901</v>
      </c>
      <c r="I137" s="11" t="n">
        <f aca="false">_xlfn.MAXIFS($D$5:$D$425,$A$5:$A$425,"&gt;="&amp;E137,$A$5:$A$425,"&lt;="&amp;F137)</f>
        <v>-461.451609467977</v>
      </c>
      <c r="J137" s="11" t="n">
        <f aca="false">-Short_p*MAX(Floor_c-A137,0)+Cost_k*Alpha_keep*A137+MAX(G137,H137,I137)</f>
        <v>-265.620370096901</v>
      </c>
      <c r="K137" s="22" t="n">
        <f aca="false">ABS(J137-B137)</f>
        <v>0</v>
      </c>
    </row>
    <row r="138" customFormat="false" ht="15" hidden="false" customHeight="false" outlineLevel="0" collapsed="false">
      <c r="A138" s="14" t="n">
        <v>51.65</v>
      </c>
      <c r="B138" s="23" t="n">
        <v>-265.193104723992</v>
      </c>
      <c r="C138" s="19" t="n">
        <v>134</v>
      </c>
      <c r="D138" s="11" t="n">
        <f aca="false">-Cost_k*A138+Beta_q*(Declarations!$B$16*INDEX($B$5:$B$425,$C138-ROUND(Declarations!$A$16/0.05,0))+Declarations!$B$17*INDEX($B$5:$B$425,$C138-ROUND(Declarations!$A$17/0.05,0))+Declarations!$B$18*INDEX($B$5:$B$425,$C138-ROUND(Declarations!$A$18/0.05,0))+Declarations!$B$19*INDEX($B$5:$B$425,$C138-ROUND(Declarations!$A$19/0.05,0))+Declarations!$B$20*INDEX($B$5:$B$425,$C138-ROUND(Declarations!$A$20/0.05,0)))</f>
        <v>-465.764870927047</v>
      </c>
      <c r="E138" s="16" t="n">
        <f aca="false">Alpha_keep*A138</f>
        <v>50.35875</v>
      </c>
      <c r="F138" s="16" t="n">
        <f aca="false">Alpha_keep*A138+Cap_h</f>
        <v>52.85875</v>
      </c>
      <c r="G138" s="11" t="n">
        <f aca="false">(INDEX($D$5:$D$425,MIN(INT((E138-45)/0.05+0.000000001),419)+1)*(1-((E138-45)/0.05-MIN(INT((E138-45)/0.05+0.000000001),419)))+INDEX($D$5:$D$425,MIN(INT((E138-45)/0.05+0.000000001),419)+2)*((E138-45)/0.05-MIN(INT((E138-45)/0.05+0.000000001),419)))</f>
        <v>-472.120882165662</v>
      </c>
      <c r="H138" s="11" t="n">
        <f aca="false">(INDEX($D$5:$D$425,MIN(INT((F138-45)/0.05+0.000000001),419)+1)*(1-((F138-45)/0.05-MIN(INT((F138-45)/0.05+0.000000001),419)))+INDEX($D$5:$D$425,MIN(INT((F138-45)/0.05+0.000000001),419)+2)*((F138-45)/0.05-MIN(INT((F138-45)/0.05+0.000000001),419)))</f>
        <v>-461.268104723992</v>
      </c>
      <c r="I138" s="11" t="n">
        <f aca="false">_xlfn.MAXIFS($D$5:$D$425,$A$5:$A$425,"&gt;="&amp;E138,$A$5:$A$425,"&lt;="&amp;F138)</f>
        <v>-461.295412612596</v>
      </c>
      <c r="J138" s="11" t="n">
        <f aca="false">-Short_p*MAX(Floor_c-A138,0)+Cost_k*Alpha_keep*A138+MAX(G138,H138,I138)</f>
        <v>-265.193104723992</v>
      </c>
      <c r="K138" s="22" t="n">
        <f aca="false">ABS(J138-B138)</f>
        <v>0</v>
      </c>
    </row>
    <row r="139" customFormat="false" ht="15" hidden="false" customHeight="false" outlineLevel="0" collapsed="false">
      <c r="A139" s="14" t="n">
        <v>51.7</v>
      </c>
      <c r="B139" s="23" t="n">
        <v>-264.766036100857</v>
      </c>
      <c r="C139" s="19" t="n">
        <v>135</v>
      </c>
      <c r="D139" s="11" t="n">
        <f aca="false">-Cost_k*A139+Beta_q*(Declarations!$B$16*INDEX($B$5:$B$425,$C139-ROUND(Declarations!$A$16/0.05,0))+Declarations!$B$17*INDEX($B$5:$B$425,$C139-ROUND(Declarations!$A$17/0.05,0))+Declarations!$B$18*INDEX($B$5:$B$425,$C139-ROUND(Declarations!$A$18/0.05,0))+Declarations!$B$19*INDEX($B$5:$B$425,$C139-ROUND(Declarations!$A$19/0.05,0))+Declarations!$B$20*INDEX($B$5:$B$425,$C139-ROUND(Declarations!$A$20/0.05,0)))</f>
        <v>-465.548928871133</v>
      </c>
      <c r="E139" s="16" t="n">
        <f aca="false">Alpha_keep*A139</f>
        <v>50.4075</v>
      </c>
      <c r="F139" s="16" t="n">
        <f aca="false">Alpha_keep*A139+Cap_h</f>
        <v>52.9075</v>
      </c>
      <c r="G139" s="11" t="n">
        <f aca="false">(INDEX($D$5:$D$425,MIN(INT((E139-45)/0.05+0.000000001),419)+1)*(1-((E139-45)/0.05-MIN(INT((E139-45)/0.05+0.000000001),419)))+INDEX($D$5:$D$425,MIN(INT((E139-45)/0.05+0.000000001),419)+2)*((E139-45)/0.05-MIN(INT((E139-45)/0.05+0.000000001),419)))</f>
        <v>-471.853619735937</v>
      </c>
      <c r="H139" s="11" t="n">
        <f aca="false">(INDEX($D$5:$D$425,MIN(INT((F139-45)/0.05+0.000000001),419)+1)*(1-((F139-45)/0.05-MIN(INT((F139-45)/0.05+0.000000001),419)))+INDEX($D$5:$D$425,MIN(INT((F139-45)/0.05+0.000000001),419)+2)*((F139-45)/0.05-MIN(INT((F139-45)/0.05+0.000000001),419)))</f>
        <v>-461.116036100857</v>
      </c>
      <c r="I139" s="11" t="n">
        <f aca="false">_xlfn.MAXIFS($D$5:$D$425,$A$5:$A$425,"&gt;="&amp;E139,$A$5:$A$425,"&lt;="&amp;F139)</f>
        <v>-461.139367534858</v>
      </c>
      <c r="J139" s="11" t="n">
        <f aca="false">-Short_p*MAX(Floor_c-A139,0)+Cost_k*Alpha_keep*A139+MAX(G139,H139,I139)</f>
        <v>-264.766036100857</v>
      </c>
      <c r="K139" s="22" t="n">
        <f aca="false">ABS(J139-B139)</f>
        <v>0</v>
      </c>
    </row>
    <row r="140" customFormat="false" ht="15" hidden="false" customHeight="false" outlineLevel="0" collapsed="false">
      <c r="A140" s="14" t="n">
        <v>51.75</v>
      </c>
      <c r="B140" s="23" t="n">
        <v>-264.339601321684</v>
      </c>
      <c r="C140" s="19" t="n">
        <v>136</v>
      </c>
      <c r="D140" s="11" t="n">
        <f aca="false">-Cost_k*A140+Beta_q*(Declarations!$B$16*INDEX($B$5:$B$425,$C140-ROUND(Declarations!$A$16/0.05,0))+Declarations!$B$17*INDEX($B$5:$B$425,$C140-ROUND(Declarations!$A$17/0.05,0))+Declarations!$B$18*INDEX($B$5:$B$425,$C140-ROUND(Declarations!$A$18/0.05,0))+Declarations!$B$19*INDEX($B$5:$B$425,$C140-ROUND(Declarations!$A$19/0.05,0))+Declarations!$B$20*INDEX($B$5:$B$425,$C140-ROUND(Declarations!$A$20/0.05,0)))</f>
        <v>-465.334143467239</v>
      </c>
      <c r="E140" s="16" t="n">
        <f aca="false">Alpha_keep*A140</f>
        <v>50.45625</v>
      </c>
      <c r="F140" s="16" t="n">
        <f aca="false">Alpha_keep*A140+Cap_h</f>
        <v>52.95625</v>
      </c>
      <c r="G140" s="11" t="n">
        <f aca="false">(INDEX($D$5:$D$425,MIN(INT((E140-45)/0.05+0.000000001),419)+1)*(1-((E140-45)/0.05-MIN(INT((E140-45)/0.05+0.000000001),419)))+INDEX($D$5:$D$425,MIN(INT((E140-45)/0.05+0.000000001),419)+2)*((E140-45)/0.05-MIN(INT((E140-45)/0.05+0.000000001),419)))</f>
        <v>-471.587897446684</v>
      </c>
      <c r="H140" s="11" t="n">
        <f aca="false">(INDEX($D$5:$D$425,MIN(INT((F140-45)/0.05+0.000000001),419)+1)*(1-((F140-45)/0.05-MIN(INT((F140-45)/0.05+0.000000001),419)))+INDEX($D$5:$D$425,MIN(INT((F140-45)/0.05+0.000000001),419)+2)*((F140-45)/0.05-MIN(INT((F140-45)/0.05+0.000000001),419)))</f>
        <v>-460.964601321684</v>
      </c>
      <c r="I140" s="11" t="n">
        <f aca="false">_xlfn.MAXIFS($D$5:$D$425,$A$5:$A$425,"&gt;="&amp;E140,$A$5:$A$425,"&lt;="&amp;F140)</f>
        <v>-460.983824641515</v>
      </c>
      <c r="J140" s="11" t="n">
        <f aca="false">-Short_p*MAX(Floor_c-A140,0)+Cost_k*Alpha_keep*A140+MAX(G140,H140,I140)</f>
        <v>-264.339601321684</v>
      </c>
      <c r="K140" s="22" t="n">
        <f aca="false">ABS(J140-B140)</f>
        <v>0</v>
      </c>
    </row>
    <row r="141" customFormat="false" ht="15" hidden="false" customHeight="false" outlineLevel="0" collapsed="false">
      <c r="A141" s="14" t="n">
        <v>51.8</v>
      </c>
      <c r="B141" s="23" t="n">
        <v>-263.914899978361</v>
      </c>
      <c r="C141" s="19" t="n">
        <v>137</v>
      </c>
      <c r="D141" s="11" t="n">
        <f aca="false">-Cost_k*A141+Beta_q*(Declarations!$B$16*INDEX($B$5:$B$425,$C141-ROUND(Declarations!$A$16/0.05,0))+Declarations!$B$17*INDEX($B$5:$B$425,$C141-ROUND(Declarations!$A$17/0.05,0))+Declarations!$B$18*INDEX($B$5:$B$425,$C141-ROUND(Declarations!$A$18/0.05,0))+Declarations!$B$19*INDEX($B$5:$B$425,$C141-ROUND(Declarations!$A$19/0.05,0))+Declarations!$B$20*INDEX($B$5:$B$425,$C141-ROUND(Declarations!$A$20/0.05,0)))</f>
        <v>-465.121186730624</v>
      </c>
      <c r="E141" s="16" t="n">
        <f aca="false">Alpha_keep*A141</f>
        <v>50.505</v>
      </c>
      <c r="F141" s="16" t="n">
        <f aca="false">Alpha_keep*A141+Cap_h</f>
        <v>53.005</v>
      </c>
      <c r="G141" s="11" t="n">
        <f aca="false">(INDEX($D$5:$D$425,MIN(INT((E141-45)/0.05+0.000000001),419)+1)*(1-((E141-45)/0.05-MIN(INT((E141-45)/0.05+0.000000001),419)))+INDEX($D$5:$D$425,MIN(INT((E141-45)/0.05+0.000000001),419)+2)*((E141-45)/0.05-MIN(INT((E141-45)/0.05+0.000000001),419)))</f>
        <v>-471.323335530394</v>
      </c>
      <c r="H141" s="11" t="n">
        <f aca="false">(INDEX($D$5:$D$425,MIN(INT((F141-45)/0.05+0.000000001),419)+1)*(1-((F141-45)/0.05-MIN(INT((F141-45)/0.05+0.000000001),419)))+INDEX($D$5:$D$425,MIN(INT((F141-45)/0.05+0.000000001),419)+2)*((F141-45)/0.05-MIN(INT((F141-45)/0.05+0.000000001),419)))</f>
        <v>-460.814899978361</v>
      </c>
      <c r="I141" s="11" t="n">
        <f aca="false">_xlfn.MAXIFS($D$5:$D$425,$A$5:$A$425,"&gt;="&amp;E141,$A$5:$A$425,"&lt;="&amp;F141)</f>
        <v>-460.830038082866</v>
      </c>
      <c r="J141" s="11" t="n">
        <f aca="false">-Short_p*MAX(Floor_c-A141,0)+Cost_k*Alpha_keep*A141+MAX(G141,H141,I141)</f>
        <v>-263.914899978361</v>
      </c>
      <c r="K141" s="22" t="n">
        <f aca="false">ABS(J141-B141)</f>
        <v>0</v>
      </c>
    </row>
    <row r="142" customFormat="false" ht="15" hidden="false" customHeight="false" outlineLevel="0" collapsed="false">
      <c r="A142" s="14" t="n">
        <v>51.85</v>
      </c>
      <c r="B142" s="23" t="n">
        <v>-263.492753384202</v>
      </c>
      <c r="C142" s="19" t="n">
        <v>138</v>
      </c>
      <c r="D142" s="11" t="n">
        <f aca="false">-Cost_k*A142+Beta_q*(Declarations!$B$16*INDEX($B$5:$B$425,$C142-ROUND(Declarations!$A$16/0.05,0))+Declarations!$B$17*INDEX($B$5:$B$425,$C142-ROUND(Declarations!$A$17/0.05,0))+Declarations!$B$18*INDEX($B$5:$B$425,$C142-ROUND(Declarations!$A$18/0.05,0))+Declarations!$B$19*INDEX($B$5:$B$425,$C142-ROUND(Declarations!$A$19/0.05,0))+Declarations!$B$20*INDEX($B$5:$B$425,$C142-ROUND(Declarations!$A$20/0.05,0)))</f>
        <v>-464.910453595363</v>
      </c>
      <c r="E142" s="16" t="n">
        <f aca="false">Alpha_keep*A142</f>
        <v>50.55375</v>
      </c>
      <c r="F142" s="16" t="n">
        <f aca="false">Alpha_keep*A142+Cap_h</f>
        <v>53.05375</v>
      </c>
      <c r="G142" s="11" t="n">
        <f aca="false">(INDEX($D$5:$D$425,MIN(INT((E142-45)/0.05+0.000000001),419)+1)*(1-((E142-45)/0.05-MIN(INT((E142-45)/0.05+0.000000001),419)))+INDEX($D$5:$D$425,MIN(INT((E142-45)/0.05+0.000000001),419)+2)*((E142-45)/0.05-MIN(INT((E142-45)/0.05+0.000000001),419)))</f>
        <v>-471.060227852629</v>
      </c>
      <c r="H142" s="11" t="n">
        <f aca="false">(INDEX($D$5:$D$425,MIN(INT((F142-45)/0.05+0.000000001),419)+1)*(1-((F142-45)/0.05-MIN(INT((F142-45)/0.05+0.000000001),419)))+INDEX($D$5:$D$425,MIN(INT((F142-45)/0.05+0.000000001),419)+2)*((F142-45)/0.05-MIN(INT((F142-45)/0.05+0.000000001),419)))</f>
        <v>-460.667753384202</v>
      </c>
      <c r="I142" s="11" t="n">
        <f aca="false">_xlfn.MAXIFS($D$5:$D$425,$A$5:$A$425,"&gt;="&amp;E142,$A$5:$A$425,"&lt;="&amp;F142)</f>
        <v>-460.678657037814</v>
      </c>
      <c r="J142" s="11" t="n">
        <f aca="false">-Short_p*MAX(Floor_c-A142,0)+Cost_k*Alpha_keep*A142+MAX(G142,H142,I142)</f>
        <v>-263.492753384202</v>
      </c>
      <c r="K142" s="22" t="n">
        <f aca="false">ABS(J142-B142)</f>
        <v>0</v>
      </c>
    </row>
    <row r="143" customFormat="false" ht="15" hidden="false" customHeight="false" outlineLevel="0" collapsed="false">
      <c r="A143" s="14" t="n">
        <v>51.9</v>
      </c>
      <c r="B143" s="23" t="n">
        <v>-263.076583865842</v>
      </c>
      <c r="C143" s="19" t="n">
        <v>139</v>
      </c>
      <c r="D143" s="11" t="n">
        <f aca="false">-Cost_k*A143+Beta_q*(Declarations!$B$16*INDEX($B$5:$B$425,$C143-ROUND(Declarations!$A$16/0.05,0))+Declarations!$B$17*INDEX($B$5:$B$425,$C143-ROUND(Declarations!$A$17/0.05,0))+Declarations!$B$18*INDEX($B$5:$B$425,$C143-ROUND(Declarations!$A$18/0.05,0))+Declarations!$B$19*INDEX($B$5:$B$425,$C143-ROUND(Declarations!$A$19/0.05,0))+Declarations!$B$20*INDEX($B$5:$B$425,$C143-ROUND(Declarations!$A$20/0.05,0)))</f>
        <v>-464.70400415385</v>
      </c>
      <c r="E143" s="16" t="n">
        <f aca="false">Alpha_keep*A143</f>
        <v>50.6025</v>
      </c>
      <c r="F143" s="16" t="n">
        <f aca="false">Alpha_keep*A143+Cap_h</f>
        <v>53.1025</v>
      </c>
      <c r="G143" s="11" t="n">
        <f aca="false">(INDEX($D$5:$D$425,MIN(INT((E143-45)/0.05+0.000000001),419)+1)*(1-((E143-45)/0.05-MIN(INT((E143-45)/0.05+0.000000001),419)))+INDEX($D$5:$D$425,MIN(INT((E143-45)/0.05+0.000000001),419)+2)*((E143-45)/0.05-MIN(INT((E143-45)/0.05+0.000000001),419)))</f>
        <v>-470.798831840613</v>
      </c>
      <c r="H143" s="11" t="n">
        <f aca="false">(INDEX($D$5:$D$425,MIN(INT((F143-45)/0.05+0.000000001),419)+1)*(1-((F143-45)/0.05-MIN(INT((F143-45)/0.05+0.000000001),419)))+INDEX($D$5:$D$425,MIN(INT((F143-45)/0.05+0.000000001),419)+2)*((F143-45)/0.05-MIN(INT((F143-45)/0.05+0.000000001),419)))</f>
        <v>-460.526583865842</v>
      </c>
      <c r="I143" s="11" t="n">
        <f aca="false">_xlfn.MAXIFS($D$5:$D$425,$A$5:$A$425,"&gt;="&amp;E143,$A$5:$A$425,"&lt;="&amp;F143)</f>
        <v>-460.533274989654</v>
      </c>
      <c r="J143" s="11" t="n">
        <f aca="false">-Short_p*MAX(Floor_c-A143,0)+Cost_k*Alpha_keep*A143+MAX(G143,H143,I143)</f>
        <v>-263.076583865842</v>
      </c>
      <c r="K143" s="22" t="n">
        <f aca="false">ABS(J143-B143)</f>
        <v>0</v>
      </c>
    </row>
    <row r="144" customFormat="false" ht="15" hidden="false" customHeight="false" outlineLevel="0" collapsed="false">
      <c r="A144" s="14" t="n">
        <v>51.95</v>
      </c>
      <c r="B144" s="23" t="n">
        <v>-262.671111373576</v>
      </c>
      <c r="C144" s="19" t="n">
        <v>140</v>
      </c>
      <c r="D144" s="11" t="n">
        <f aca="false">-Cost_k*A144+Beta_q*(Declarations!$B$16*INDEX($B$5:$B$425,$C144-ROUND(Declarations!$A$16/0.05,0))+Declarations!$B$17*INDEX($B$5:$B$425,$C144-ROUND(Declarations!$A$17/0.05,0))+Declarations!$B$18*INDEX($B$5:$B$425,$C144-ROUND(Declarations!$A$18/0.05,0))+Declarations!$B$19*INDEX($B$5:$B$425,$C144-ROUND(Declarations!$A$19/0.05,0))+Declarations!$B$20*INDEX($B$5:$B$425,$C144-ROUND(Declarations!$A$20/0.05,0)))</f>
        <v>-464.506209447783</v>
      </c>
      <c r="E144" s="16" t="n">
        <f aca="false">Alpha_keep*A144</f>
        <v>50.65125</v>
      </c>
      <c r="F144" s="16" t="n">
        <f aca="false">Alpha_keep*A144+Cap_h</f>
        <v>53.15125</v>
      </c>
      <c r="G144" s="11" t="n">
        <f aca="false">(INDEX($D$5:$D$425,MIN(INT((E144-45)/0.05+0.000000001),419)+1)*(1-((E144-45)/0.05-MIN(INT((E144-45)/0.05+0.000000001),419)))+INDEX($D$5:$D$425,MIN(INT((E144-45)/0.05+0.000000001),419)+2)*((E144-45)/0.05-MIN(INT((E144-45)/0.05+0.000000001),419)))</f>
        <v>-470.540095844334</v>
      </c>
      <c r="H144" s="11" t="n">
        <f aca="false">(INDEX($D$5:$D$425,MIN(INT((F144-45)/0.05+0.000000001),419)+1)*(1-((F144-45)/0.05-MIN(INT((F144-45)/0.05+0.000000001),419)))+INDEX($D$5:$D$425,MIN(INT((F144-45)/0.05+0.000000001),419)+2)*((F144-45)/0.05-MIN(INT((F144-45)/0.05+0.000000001),419)))</f>
        <v>-460.396111373576</v>
      </c>
      <c r="I144" s="11" t="n">
        <f aca="false">_xlfn.MAXIFS($D$5:$D$425,$A$5:$A$425,"&gt;="&amp;E144,$A$5:$A$425,"&lt;="&amp;F144)</f>
        <v>-460.399452513419</v>
      </c>
      <c r="J144" s="11" t="n">
        <f aca="false">-Short_p*MAX(Floor_c-A144,0)+Cost_k*Alpha_keep*A144+MAX(G144,H144,I144)</f>
        <v>-262.671111373576</v>
      </c>
      <c r="K144" s="22" t="n">
        <f aca="false">ABS(J144-B144)</f>
        <v>0</v>
      </c>
    </row>
    <row r="145" customFormat="false" ht="15" hidden="false" customHeight="false" outlineLevel="0" collapsed="false">
      <c r="A145" s="14" t="n">
        <v>52</v>
      </c>
      <c r="B145" s="23" t="n">
        <v>-262.265806919705</v>
      </c>
      <c r="C145" s="19" t="n">
        <v>141</v>
      </c>
      <c r="D145" s="11" t="n">
        <f aca="false">-Cost_k*A145+Beta_q*(Declarations!$B$16*INDEX($B$5:$B$425,$C145-ROUND(Declarations!$A$16/0.05,0))+Declarations!$B$17*INDEX($B$5:$B$425,$C145-ROUND(Declarations!$A$17/0.05,0))+Declarations!$B$18*INDEX($B$5:$B$425,$C145-ROUND(Declarations!$A$18/0.05,0))+Declarations!$B$19*INDEX($B$5:$B$425,$C145-ROUND(Declarations!$A$19/0.05,0))+Declarations!$B$20*INDEX($B$5:$B$425,$C145-ROUND(Declarations!$A$20/0.05,0)))</f>
        <v>-464.310328328524</v>
      </c>
      <c r="E145" s="16" t="n">
        <f aca="false">Alpha_keep*A145</f>
        <v>50.7</v>
      </c>
      <c r="F145" s="16" t="n">
        <f aca="false">Alpha_keep*A145+Cap_h</f>
        <v>53.2</v>
      </c>
      <c r="G145" s="11" t="n">
        <f aca="false">(INDEX($D$5:$D$425,MIN(INT((E145-45)/0.05+0.000000001),419)+1)*(1-((E145-45)/0.05-MIN(INT((E145-45)/0.05+0.000000001),419)))+INDEX($D$5:$D$425,MIN(INT((E145-45)/0.05+0.000000001),419)+2)*((E145-45)/0.05-MIN(INT((E145-45)/0.05+0.000000001),419)))</f>
        <v>-470.286232731037</v>
      </c>
      <c r="H145" s="11" t="n">
        <f aca="false">(INDEX($D$5:$D$425,MIN(INT((F145-45)/0.05+0.000000001),419)+1)*(1-((F145-45)/0.05-MIN(INT((F145-45)/0.05+0.000000001),419)))+INDEX($D$5:$D$425,MIN(INT((F145-45)/0.05+0.000000001),419)+2)*((F145-45)/0.05-MIN(INT((F145-45)/0.05+0.000000001),419)))</f>
        <v>-460.265806919704</v>
      </c>
      <c r="I145" s="11" t="n">
        <f aca="false">_xlfn.MAXIFS($D$5:$D$425,$A$5:$A$425,"&gt;="&amp;E145,$A$5:$A$425,"&lt;="&amp;F145)</f>
        <v>-460.265806919704</v>
      </c>
      <c r="J145" s="11" t="n">
        <f aca="false">-Short_p*MAX(Floor_c-A145,0)+Cost_k*Alpha_keep*A145+MAX(G145,H145,I145)</f>
        <v>-262.265806919704</v>
      </c>
      <c r="K145" s="22" t="n">
        <f aca="false">ABS(J145-B145)</f>
        <v>0</v>
      </c>
    </row>
    <row r="146" customFormat="false" ht="15" hidden="false" customHeight="false" outlineLevel="0" collapsed="false">
      <c r="A146" s="14" t="n">
        <v>52.05</v>
      </c>
      <c r="B146" s="23" t="n">
        <v>-261.860547866603</v>
      </c>
      <c r="C146" s="19" t="n">
        <v>142</v>
      </c>
      <c r="D146" s="11" t="n">
        <f aca="false">-Cost_k*A146+Beta_q*(Declarations!$B$16*INDEX($B$5:$B$425,$C146-ROUND(Declarations!$A$16/0.05,0))+Declarations!$B$17*INDEX($B$5:$B$425,$C146-ROUND(Declarations!$A$17/0.05,0))+Declarations!$B$18*INDEX($B$5:$B$425,$C146-ROUND(Declarations!$A$18/0.05,0))+Declarations!$B$19*INDEX($B$5:$B$425,$C146-ROUND(Declarations!$A$19/0.05,0))+Declarations!$B$20*INDEX($B$5:$B$425,$C146-ROUND(Declarations!$A$20/0.05,0)))</f>
        <v>-464.114724812262</v>
      </c>
      <c r="E146" s="16" t="n">
        <f aca="false">Alpha_keep*A146</f>
        <v>50.74875</v>
      </c>
      <c r="F146" s="16" t="n">
        <f aca="false">Alpha_keep*A146+Cap_h</f>
        <v>53.24875</v>
      </c>
      <c r="G146" s="11" t="n">
        <f aca="false">(INDEX($D$5:$D$425,MIN(INT((E146-45)/0.05+0.000000001),419)+1)*(1-((E146-45)/0.05-MIN(INT((E146-45)/0.05+0.000000001),419)))+INDEX($D$5:$D$425,MIN(INT((E146-45)/0.05+0.000000001),419)+2)*((E146-45)/0.05-MIN(INT((E146-45)/0.05+0.000000001),419)))</f>
        <v>-470.036271520704</v>
      </c>
      <c r="H146" s="11" t="n">
        <f aca="false">(INDEX($D$5:$D$425,MIN(INT((F146-45)/0.05+0.000000001),419)+1)*(1-((F146-45)/0.05-MIN(INT((F146-45)/0.05+0.000000001),419)))+INDEX($D$5:$D$425,MIN(INT((F146-45)/0.05+0.000000001),419)+2)*((F146-45)/0.05-MIN(INT((F146-45)/0.05+0.000000001),419)))</f>
        <v>-460.135547866603</v>
      </c>
      <c r="I146" s="11" t="n">
        <f aca="false">_xlfn.MAXIFS($D$5:$D$425,$A$5:$A$425,"&gt;="&amp;E146,$A$5:$A$425,"&lt;="&amp;F146)</f>
        <v>-460.265806919704</v>
      </c>
      <c r="J146" s="11" t="n">
        <f aca="false">-Short_p*MAX(Floor_c-A146,0)+Cost_k*Alpha_keep*A146+MAX(G146,H146,I146)</f>
        <v>-261.860547866603</v>
      </c>
      <c r="K146" s="22" t="n">
        <f aca="false">ABS(J146-B146)</f>
        <v>0</v>
      </c>
    </row>
    <row r="147" customFormat="false" ht="15" hidden="false" customHeight="false" outlineLevel="0" collapsed="false">
      <c r="A147" s="14" t="n">
        <v>52.1</v>
      </c>
      <c r="B147" s="23" t="n">
        <v>-261.455441709198</v>
      </c>
      <c r="C147" s="19" t="n">
        <v>143</v>
      </c>
      <c r="D147" s="11" t="n">
        <f aca="false">-Cost_k*A147+Beta_q*(Declarations!$B$16*INDEX($B$5:$B$425,$C147-ROUND(Declarations!$A$16/0.05,0))+Declarations!$B$17*INDEX($B$5:$B$425,$C147-ROUND(Declarations!$A$17/0.05,0))+Declarations!$B$18*INDEX($B$5:$B$425,$C147-ROUND(Declarations!$A$18/0.05,0))+Declarations!$B$19*INDEX($B$5:$B$425,$C147-ROUND(Declarations!$A$19/0.05,0))+Declarations!$B$20*INDEX($B$5:$B$425,$C147-ROUND(Declarations!$A$20/0.05,0)))</f>
        <v>-463.919448299846</v>
      </c>
      <c r="E147" s="16" t="n">
        <f aca="false">Alpha_keep*A147</f>
        <v>50.7975</v>
      </c>
      <c r="F147" s="16" t="n">
        <f aca="false">Alpha_keep*A147+Cap_h</f>
        <v>53.2975</v>
      </c>
      <c r="G147" s="11" t="n">
        <f aca="false">(INDEX($D$5:$D$425,MIN(INT((E147-45)/0.05+0.000000001),419)+1)*(1-((E147-45)/0.05-MIN(INT((E147-45)/0.05+0.000000001),419)))+INDEX($D$5:$D$425,MIN(INT((E147-45)/0.05+0.000000001),419)+2)*((E147-45)/0.05-MIN(INT((E147-45)/0.05+0.000000001),419)))</f>
        <v>-469.787846920348</v>
      </c>
      <c r="H147" s="11" t="n">
        <f aca="false">(INDEX($D$5:$D$425,MIN(INT((F147-45)/0.05+0.000000001),419)+1)*(1-((F147-45)/0.05-MIN(INT((F147-45)/0.05+0.000000001),419)))+INDEX($D$5:$D$425,MIN(INT((F147-45)/0.05+0.000000001),419)+2)*((F147-45)/0.05-MIN(INT((F147-45)/0.05+0.000000001),419)))</f>
        <v>-460.005441709198</v>
      </c>
      <c r="I147" s="11" t="n">
        <f aca="false">_xlfn.MAXIFS($D$5:$D$425,$A$5:$A$425,"&gt;="&amp;E147,$A$5:$A$425,"&lt;="&amp;F147)</f>
        <v>-460.132207890882</v>
      </c>
      <c r="J147" s="11" t="n">
        <f aca="false">-Short_p*MAX(Floor_c-A147,0)+Cost_k*Alpha_keep*A147+MAX(G147,H147,I147)</f>
        <v>-261.455441709198</v>
      </c>
      <c r="K147" s="22" t="n">
        <f aca="false">ABS(J147-B147)</f>
        <v>0</v>
      </c>
    </row>
    <row r="148" customFormat="false" ht="15" hidden="false" customHeight="false" outlineLevel="0" collapsed="false">
      <c r="A148" s="14" t="n">
        <v>52.15</v>
      </c>
      <c r="B148" s="23" t="n">
        <v>-261.050629291699</v>
      </c>
      <c r="C148" s="19" t="n">
        <v>144</v>
      </c>
      <c r="D148" s="11" t="n">
        <f aca="false">-Cost_k*A148+Beta_q*(Declarations!$B$16*INDEX($B$5:$B$425,$C148-ROUND(Declarations!$A$16/0.05,0))+Declarations!$B$17*INDEX($B$5:$B$425,$C148-ROUND(Declarations!$A$17/0.05,0))+Declarations!$B$18*INDEX($B$5:$B$425,$C148-ROUND(Declarations!$A$18/0.05,0))+Declarations!$B$19*INDEX($B$5:$B$425,$C148-ROUND(Declarations!$A$19/0.05,0))+Declarations!$B$20*INDEX($B$5:$B$425,$C148-ROUND(Declarations!$A$20/0.05,0)))</f>
        <v>-463.72479375649</v>
      </c>
      <c r="E148" s="16" t="n">
        <f aca="false">Alpha_keep*A148</f>
        <v>50.84625</v>
      </c>
      <c r="F148" s="16" t="n">
        <f aca="false">Alpha_keep*A148+Cap_h</f>
        <v>53.34625</v>
      </c>
      <c r="G148" s="11" t="n">
        <f aca="false">(INDEX($D$5:$D$425,MIN(INT((E148-45)/0.05+0.000000001),419)+1)*(1-((E148-45)/0.05-MIN(INT((E148-45)/0.05+0.000000001),419)))+INDEX($D$5:$D$425,MIN(INT((E148-45)/0.05+0.000000001),419)+2)*((E148-45)/0.05-MIN(INT((E148-45)/0.05+0.000000001),419)))</f>
        <v>-469.540105150709</v>
      </c>
      <c r="H148" s="11" t="n">
        <f aca="false">(INDEX($D$5:$D$425,MIN(INT((F148-45)/0.05+0.000000001),419)+1)*(1-((F148-45)/0.05-MIN(INT((F148-45)/0.05+0.000000001),419)))+INDEX($D$5:$D$425,MIN(INT((F148-45)/0.05+0.000000001),419)+2)*((F148-45)/0.05-MIN(INT((F148-45)/0.05+0.000000001),419)))</f>
        <v>-459.875629291699</v>
      </c>
      <c r="I148" s="11" t="n">
        <f aca="false">_xlfn.MAXIFS($D$5:$D$425,$A$5:$A$425,"&gt;="&amp;E148,$A$5:$A$425,"&lt;="&amp;F148)</f>
        <v>-459.998769804898</v>
      </c>
      <c r="J148" s="11" t="n">
        <f aca="false">-Short_p*MAX(Floor_c-A148,0)+Cost_k*Alpha_keep*A148+MAX(G148,H148,I148)</f>
        <v>-261.050629291699</v>
      </c>
      <c r="K148" s="22" t="n">
        <f aca="false">ABS(J148-B148)</f>
        <v>0</v>
      </c>
    </row>
    <row r="149" customFormat="false" ht="15" hidden="false" customHeight="false" outlineLevel="0" collapsed="false">
      <c r="A149" s="14" t="n">
        <v>52.2</v>
      </c>
      <c r="B149" s="23" t="n">
        <v>-260.64682469148</v>
      </c>
      <c r="C149" s="19" t="n">
        <v>145</v>
      </c>
      <c r="D149" s="11" t="n">
        <f aca="false">-Cost_k*A149+Beta_q*(Declarations!$B$16*INDEX($B$5:$B$425,$C149-ROUND(Declarations!$A$16/0.05,0))+Declarations!$B$17*INDEX($B$5:$B$425,$C149-ROUND(Declarations!$A$17/0.05,0))+Declarations!$B$18*INDEX($B$5:$B$425,$C149-ROUND(Declarations!$A$18/0.05,0))+Declarations!$B$19*INDEX($B$5:$B$425,$C149-ROUND(Declarations!$A$19/0.05,0))+Declarations!$B$20*INDEX($B$5:$B$425,$C149-ROUND(Declarations!$A$20/0.05,0)))</f>
        <v>-463.531908459808</v>
      </c>
      <c r="E149" s="16" t="n">
        <f aca="false">Alpha_keep*A149</f>
        <v>50.895</v>
      </c>
      <c r="F149" s="16" t="n">
        <f aca="false">Alpha_keep*A149+Cap_h</f>
        <v>53.395</v>
      </c>
      <c r="G149" s="11" t="n">
        <f aca="false">(INDEX($D$5:$D$425,MIN(INT((E149-45)/0.05+0.000000001),419)+1)*(1-((E149-45)/0.05-MIN(INT((E149-45)/0.05+0.000000001),419)))+INDEX($D$5:$D$425,MIN(INT((E149-45)/0.05+0.000000001),419)+2)*((E149-45)/0.05-MIN(INT((E149-45)/0.05+0.000000001),419)))</f>
        <v>-469.293071018592</v>
      </c>
      <c r="H149" s="11" t="n">
        <f aca="false">(INDEX($D$5:$D$425,MIN(INT((F149-45)/0.05+0.000000001),419)+1)*(1-((F149-45)/0.05-MIN(INT((F149-45)/0.05+0.000000001),419)))+INDEX($D$5:$D$425,MIN(INT((F149-45)/0.05+0.000000001),419)+2)*((F149-45)/0.05-MIN(INT((F149-45)/0.05+0.000000001),419)))</f>
        <v>-459.74682469148</v>
      </c>
      <c r="I149" s="11" t="n">
        <f aca="false">_xlfn.MAXIFS($D$5:$D$425,$A$5:$A$425,"&gt;="&amp;E149,$A$5:$A$425,"&lt;="&amp;F149)</f>
        <v>-459.865644925764</v>
      </c>
      <c r="J149" s="11" t="n">
        <f aca="false">-Short_p*MAX(Floor_c-A149,0)+Cost_k*Alpha_keep*A149+MAX(G149,H149,I149)</f>
        <v>-260.64682469148</v>
      </c>
      <c r="K149" s="22" t="n">
        <f aca="false">ABS(J149-B149)</f>
        <v>0</v>
      </c>
    </row>
    <row r="150" customFormat="false" ht="15" hidden="false" customHeight="false" outlineLevel="0" collapsed="false">
      <c r="A150" s="14" t="n">
        <v>52.25</v>
      </c>
      <c r="B150" s="23" t="n">
        <v>-260.247678298591</v>
      </c>
      <c r="C150" s="19" t="n">
        <v>146</v>
      </c>
      <c r="D150" s="11" t="n">
        <f aca="false">-Cost_k*A150+Beta_q*(Declarations!$B$16*INDEX($B$5:$B$425,$C150-ROUND(Declarations!$A$16/0.05,0))+Declarations!$B$17*INDEX($B$5:$B$425,$C150-ROUND(Declarations!$A$17/0.05,0))+Declarations!$B$18*INDEX($B$5:$B$425,$C150-ROUND(Declarations!$A$18/0.05,0))+Declarations!$B$19*INDEX($B$5:$B$425,$C150-ROUND(Declarations!$A$19/0.05,0))+Declarations!$B$20*INDEX($B$5:$B$425,$C150-ROUND(Declarations!$A$20/0.05,0)))</f>
        <v>-463.343280764595</v>
      </c>
      <c r="E150" s="16" t="n">
        <f aca="false">Alpha_keep*A150</f>
        <v>50.94375</v>
      </c>
      <c r="F150" s="16" t="n">
        <f aca="false">Alpha_keep*A150+Cap_h</f>
        <v>53.44375</v>
      </c>
      <c r="G150" s="11" t="n">
        <f aca="false">(INDEX($D$5:$D$425,MIN(INT((E150-45)/0.05+0.000000001),419)+1)*(1-((E150-45)/0.05-MIN(INT((E150-45)/0.05+0.000000001),419)))+INDEX($D$5:$D$425,MIN(INT((E150-45)/0.05+0.000000001),419)+2)*((E150-45)/0.05-MIN(INT((E150-45)/0.05+0.000000001),419)))</f>
        <v>-469.047462730417</v>
      </c>
      <c r="H150" s="11" t="n">
        <f aca="false">(INDEX($D$5:$D$425,MIN(INT((F150-45)/0.05+0.000000001),419)+1)*(1-((F150-45)/0.05-MIN(INT((F150-45)/0.05+0.000000001),419)))+INDEX($D$5:$D$425,MIN(INT((F150-45)/0.05+0.000000001),419)+2)*((F150-45)/0.05-MIN(INT((F150-45)/0.05+0.000000001),419)))</f>
        <v>-459.622678298591</v>
      </c>
      <c r="I150" s="11" t="n">
        <f aca="false">_xlfn.MAXIFS($D$5:$D$425,$A$5:$A$425,"&gt;="&amp;E150,$A$5:$A$425,"&lt;="&amp;F150)</f>
        <v>-459.733622443226</v>
      </c>
      <c r="J150" s="11" t="n">
        <f aca="false">-Short_p*MAX(Floor_c-A150,0)+Cost_k*Alpha_keep*A150+MAX(G150,H150,I150)</f>
        <v>-260.247678298591</v>
      </c>
      <c r="K150" s="22" t="n">
        <f aca="false">ABS(J150-B150)</f>
        <v>0</v>
      </c>
    </row>
    <row r="151" customFormat="false" ht="15" hidden="false" customHeight="false" outlineLevel="0" collapsed="false">
      <c r="A151" s="14" t="n">
        <v>52.3</v>
      </c>
      <c r="B151" s="23" t="n">
        <v>-259.853945713027</v>
      </c>
      <c r="C151" s="19" t="n">
        <v>147</v>
      </c>
      <c r="D151" s="11" t="n">
        <f aca="false">-Cost_k*A151+Beta_q*(Declarations!$B$16*INDEX($B$5:$B$425,$C151-ROUND(Declarations!$A$16/0.05,0))+Declarations!$B$17*INDEX($B$5:$B$425,$C151-ROUND(Declarations!$A$17/0.05,0))+Declarations!$B$18*INDEX($B$5:$B$425,$C151-ROUND(Declarations!$A$18/0.05,0))+Declarations!$B$19*INDEX($B$5:$B$425,$C151-ROUND(Declarations!$A$19/0.05,0))+Declarations!$B$20*INDEX($B$5:$B$425,$C151-ROUND(Declarations!$A$20/0.05,0)))</f>
        <v>-463.158534873565</v>
      </c>
      <c r="E151" s="16" t="n">
        <f aca="false">Alpha_keep*A151</f>
        <v>50.9925</v>
      </c>
      <c r="F151" s="16" t="n">
        <f aca="false">Alpha_keep*A151+Cap_h</f>
        <v>53.4925</v>
      </c>
      <c r="G151" s="11" t="n">
        <f aca="false">(INDEX($D$5:$D$425,MIN(INT((E151-45)/0.05+0.000000001),419)+1)*(1-((E151-45)/0.05-MIN(INT((E151-45)/0.05+0.000000001),419)))+INDEX($D$5:$D$425,MIN(INT((E151-45)/0.05+0.000000001),419)+2)*((E151-45)/0.05-MIN(INT((E151-45)/0.05+0.000000001),419)))</f>
        <v>-468.80435842704</v>
      </c>
      <c r="H151" s="11" t="n">
        <f aca="false">(INDEX($D$5:$D$425,MIN(INT((F151-45)/0.05+0.000000001),419)+1)*(1-((F151-45)/0.05-MIN(INT((F151-45)/0.05+0.000000001),419)))+INDEX($D$5:$D$425,MIN(INT((F151-45)/0.05+0.000000001),419)+2)*((F151-45)/0.05-MIN(INT((F151-45)/0.05+0.000000001),419)))</f>
        <v>-459.503945713027</v>
      </c>
      <c r="I151" s="11" t="n">
        <f aca="false">_xlfn.MAXIFS($D$5:$D$425,$A$5:$A$425,"&gt;="&amp;E151,$A$5:$A$425,"&lt;="&amp;F151)</f>
        <v>-459.606829135072</v>
      </c>
      <c r="J151" s="11" t="n">
        <f aca="false">-Short_p*MAX(Floor_c-A151,0)+Cost_k*Alpha_keep*A151+MAX(G151,H151,I151)</f>
        <v>-259.853945713027</v>
      </c>
      <c r="K151" s="22" t="n">
        <f aca="false">ABS(J151-B151)</f>
        <v>0</v>
      </c>
    </row>
    <row r="152" customFormat="false" ht="15" hidden="false" customHeight="false" outlineLevel="0" collapsed="false">
      <c r="A152" s="14" t="n">
        <v>52.35</v>
      </c>
      <c r="B152" s="23" t="n">
        <v>-259.464761912793</v>
      </c>
      <c r="C152" s="19" t="n">
        <v>148</v>
      </c>
      <c r="D152" s="11" t="n">
        <f aca="false">-Cost_k*A152+Beta_q*(Declarations!$B$16*INDEX($B$5:$B$425,$C152-ROUND(Declarations!$A$16/0.05,0))+Declarations!$B$17*INDEX($B$5:$B$425,$C152-ROUND(Declarations!$A$17/0.05,0))+Declarations!$B$18*INDEX($B$5:$B$425,$C152-ROUND(Declarations!$A$18/0.05,0))+Declarations!$B$19*INDEX($B$5:$B$425,$C152-ROUND(Declarations!$A$19/0.05,0))+Declarations!$B$20*INDEX($B$5:$B$425,$C152-ROUND(Declarations!$A$20/0.05,0)))</f>
        <v>-462.978007987359</v>
      </c>
      <c r="E152" s="16" t="n">
        <f aca="false">Alpha_keep*A152</f>
        <v>51.04125</v>
      </c>
      <c r="F152" s="16" t="n">
        <f aca="false">Alpha_keep*A152+Cap_h</f>
        <v>53.54125</v>
      </c>
      <c r="G152" s="11" t="n">
        <f aca="false">(INDEX($D$5:$D$425,MIN(INT((E152-45)/0.05+0.000000001),419)+1)*(1-((E152-45)/0.05-MIN(INT((E152-45)/0.05+0.000000001),419)))+INDEX($D$5:$D$425,MIN(INT((E152-45)/0.05+0.000000001),419)+2)*((E152-45)/0.05-MIN(INT((E152-45)/0.05+0.000000001),419)))</f>
        <v>-468.564037051968</v>
      </c>
      <c r="H152" s="11" t="n">
        <f aca="false">(INDEX($D$5:$D$425,MIN(INT((F152-45)/0.05+0.000000001),419)+1)*(1-((F152-45)/0.05-MIN(INT((F152-45)/0.05+0.000000001),419)))+INDEX($D$5:$D$425,MIN(INT((F152-45)/0.05+0.000000001),419)+2)*((F152-45)/0.05-MIN(INT((F152-45)/0.05+0.000000001),419)))</f>
        <v>-459.389761912793</v>
      </c>
      <c r="I152" s="11" t="n">
        <f aca="false">_xlfn.MAXIFS($D$5:$D$425,$A$5:$A$425,"&gt;="&amp;E152,$A$5:$A$425,"&lt;="&amp;F152)</f>
        <v>-459.485789815019</v>
      </c>
      <c r="J152" s="11" t="n">
        <f aca="false">-Short_p*MAX(Floor_c-A152,0)+Cost_k*Alpha_keep*A152+MAX(G152,H152,I152)</f>
        <v>-259.464761912793</v>
      </c>
      <c r="K152" s="22" t="n">
        <f aca="false">ABS(J152-B152)</f>
        <v>0</v>
      </c>
    </row>
    <row r="153" customFormat="false" ht="15" hidden="false" customHeight="false" outlineLevel="0" collapsed="false">
      <c r="A153" s="14" t="n">
        <v>52.4</v>
      </c>
      <c r="B153" s="23" t="n">
        <v>-259.076294402375</v>
      </c>
      <c r="C153" s="19" t="n">
        <v>149</v>
      </c>
      <c r="D153" s="11" t="n">
        <f aca="false">-Cost_k*A153+Beta_q*(Declarations!$B$16*INDEX($B$5:$B$425,$C153-ROUND(Declarations!$A$16/0.05,0))+Declarations!$B$17*INDEX($B$5:$B$425,$C153-ROUND(Declarations!$A$17/0.05,0))+Declarations!$B$18*INDEX($B$5:$B$425,$C153-ROUND(Declarations!$A$18/0.05,0))+Declarations!$B$19*INDEX($B$5:$B$425,$C153-ROUND(Declarations!$A$19/0.05,0))+Declarations!$B$20*INDEX($B$5:$B$425,$C153-ROUND(Declarations!$A$20/0.05,0)))</f>
        <v>-462.801265342678</v>
      </c>
      <c r="E153" s="16" t="n">
        <f aca="false">Alpha_keep*A153</f>
        <v>51.09</v>
      </c>
      <c r="F153" s="16" t="n">
        <f aca="false">Alpha_keep*A153+Cap_h</f>
        <v>53.59</v>
      </c>
      <c r="G153" s="11" t="n">
        <f aca="false">(INDEX($D$5:$D$425,MIN(INT((E153-45)/0.05+0.000000001),419)+1)*(1-((E153-45)/0.05-MIN(INT((E153-45)/0.05+0.000000001),419)))+INDEX($D$5:$D$425,MIN(INT((E153-45)/0.05+0.000000001),419)+2)*((E153-45)/0.05-MIN(INT((E153-45)/0.05+0.000000001),419)))</f>
        <v>-468.326377242388</v>
      </c>
      <c r="H153" s="11" t="n">
        <f aca="false">(INDEX($D$5:$D$425,MIN(INT((F153-45)/0.05+0.000000001),419)+1)*(1-((F153-45)/0.05-MIN(INT((F153-45)/0.05+0.000000001),419)))+INDEX($D$5:$D$425,MIN(INT((F153-45)/0.05+0.000000001),419)+2)*((F153-45)/0.05-MIN(INT((F153-45)/0.05+0.000000001),419)))</f>
        <v>-459.276294402375</v>
      </c>
      <c r="I153" s="11" t="n">
        <f aca="false">_xlfn.MAXIFS($D$5:$D$425,$A$5:$A$425,"&gt;="&amp;E153,$A$5:$A$425,"&lt;="&amp;F153)</f>
        <v>-459.369392357776</v>
      </c>
      <c r="J153" s="11" t="n">
        <f aca="false">-Short_p*MAX(Floor_c-A153,0)+Cost_k*Alpha_keep*A153+MAX(G153,H153,I153)</f>
        <v>-259.076294402375</v>
      </c>
      <c r="K153" s="22" t="n">
        <f aca="false">ABS(J153-B153)</f>
        <v>0</v>
      </c>
    </row>
    <row r="154" customFormat="false" ht="15" hidden="false" customHeight="false" outlineLevel="0" collapsed="false">
      <c r="A154" s="14" t="n">
        <v>52.45</v>
      </c>
      <c r="B154" s="23" t="n">
        <v>-258.68784904178</v>
      </c>
      <c r="C154" s="19" t="n">
        <v>150</v>
      </c>
      <c r="D154" s="11" t="n">
        <f aca="false">-Cost_k*A154+Beta_q*(Declarations!$B$16*INDEX($B$5:$B$425,$C154-ROUND(Declarations!$A$16/0.05,0))+Declarations!$B$17*INDEX($B$5:$B$425,$C154-ROUND(Declarations!$A$17/0.05,0))+Declarations!$B$18*INDEX($B$5:$B$425,$C154-ROUND(Declarations!$A$18/0.05,0))+Declarations!$B$19*INDEX($B$5:$B$425,$C154-ROUND(Declarations!$A$19/0.05,0))+Declarations!$B$20*INDEX($B$5:$B$425,$C154-ROUND(Declarations!$A$20/0.05,0)))</f>
        <v>-462.624635046772</v>
      </c>
      <c r="E154" s="16" t="n">
        <f aca="false">Alpha_keep*A154</f>
        <v>51.13875</v>
      </c>
      <c r="F154" s="16" t="n">
        <f aca="false">Alpha_keep*A154+Cap_h</f>
        <v>53.63875</v>
      </c>
      <c r="G154" s="11" t="n">
        <f aca="false">(INDEX($D$5:$D$425,MIN(INT((E154-45)/0.05+0.000000001),419)+1)*(1-((E154-45)/0.05-MIN(INT((E154-45)/0.05+0.000000001),419)))+INDEX($D$5:$D$425,MIN(INT((E154-45)/0.05+0.000000001),419)+2)*((E154-45)/0.05-MIN(INT((E154-45)/0.05+0.000000001),419)))</f>
        <v>-468.091821893774</v>
      </c>
      <c r="H154" s="11" t="n">
        <f aca="false">(INDEX($D$5:$D$425,MIN(INT((F154-45)/0.05+0.000000001),419)+1)*(1-((F154-45)/0.05-MIN(INT((F154-45)/0.05+0.000000001),419)))+INDEX($D$5:$D$425,MIN(INT((F154-45)/0.05+0.000000001),419)+2)*((F154-45)/0.05-MIN(INT((F154-45)/0.05+0.000000001),419)))</f>
        <v>-459.16284904178</v>
      </c>
      <c r="I154" s="11" t="n">
        <f aca="false">_xlfn.MAXIFS($D$5:$D$425,$A$5:$A$425,"&gt;="&amp;E154,$A$5:$A$425,"&lt;="&amp;F154)</f>
        <v>-459.253019913524</v>
      </c>
      <c r="J154" s="11" t="n">
        <f aca="false">-Short_p*MAX(Floor_c-A154,0)+Cost_k*Alpha_keep*A154+MAX(G154,H154,I154)</f>
        <v>-258.68784904178</v>
      </c>
      <c r="K154" s="22" t="n">
        <f aca="false">ABS(J154-B154)</f>
        <v>0</v>
      </c>
    </row>
    <row r="155" customFormat="false" ht="15" hidden="false" customHeight="false" outlineLevel="0" collapsed="false">
      <c r="A155" s="14" t="n">
        <v>52.5</v>
      </c>
      <c r="B155" s="23" t="n">
        <v>-258.29947140144</v>
      </c>
      <c r="C155" s="19" t="n">
        <v>151</v>
      </c>
      <c r="D155" s="11" t="n">
        <f aca="false">-Cost_k*A155+Beta_q*(Declarations!$B$16*INDEX($B$5:$B$425,$C155-ROUND(Declarations!$A$16/0.05,0))+Declarations!$B$17*INDEX($B$5:$B$425,$C155-ROUND(Declarations!$A$17/0.05,0))+Declarations!$B$18*INDEX($B$5:$B$425,$C155-ROUND(Declarations!$A$18/0.05,0))+Declarations!$B$19*INDEX($B$5:$B$425,$C155-ROUND(Declarations!$A$19/0.05,0))+Declarations!$B$20*INDEX($B$5:$B$425,$C155-ROUND(Declarations!$A$20/0.05,0)))</f>
        <v>-462.448305356922</v>
      </c>
      <c r="E155" s="16" t="n">
        <f aca="false">Alpha_keep*A155</f>
        <v>51.1875</v>
      </c>
      <c r="F155" s="16" t="n">
        <f aca="false">Alpha_keep*A155+Cap_h</f>
        <v>53.6875</v>
      </c>
      <c r="G155" s="11" t="n">
        <f aca="false">(INDEX($D$5:$D$425,MIN(INT((E155-45)/0.05+0.000000001),419)+1)*(1-((E155-45)/0.05-MIN(INT((E155-45)/0.05+0.000000001),419)))+INDEX($D$5:$D$425,MIN(INT((E155-45)/0.05+0.000000001),419)+2)*((E155-45)/0.05-MIN(INT((E155-45)/0.05+0.000000001),419)))</f>
        <v>-467.860952816584</v>
      </c>
      <c r="H155" s="11" t="n">
        <f aca="false">(INDEX($D$5:$D$425,MIN(INT((F155-45)/0.05+0.000000001),419)+1)*(1-((F155-45)/0.05-MIN(INT((F155-45)/0.05+0.000000001),419)))+INDEX($D$5:$D$425,MIN(INT((F155-45)/0.05+0.000000001),419)+2)*((F155-45)/0.05-MIN(INT((F155-45)/0.05+0.000000001),419)))</f>
        <v>-459.04947140144</v>
      </c>
      <c r="I155" s="11" t="n">
        <f aca="false">_xlfn.MAXIFS($D$5:$D$425,$A$5:$A$425,"&gt;="&amp;E155,$A$5:$A$425,"&lt;="&amp;F155)</f>
        <v>-459.136670401597</v>
      </c>
      <c r="J155" s="11" t="n">
        <f aca="false">-Short_p*MAX(Floor_c-A155,0)+Cost_k*Alpha_keep*A155+MAX(G155,H155,I155)</f>
        <v>-258.29947140144</v>
      </c>
      <c r="K155" s="22" t="n">
        <f aca="false">ABS(J155-B155)</f>
        <v>0</v>
      </c>
    </row>
    <row r="156" customFormat="false" ht="15" hidden="false" customHeight="false" outlineLevel="0" collapsed="false">
      <c r="A156" s="14" t="n">
        <v>52.55</v>
      </c>
      <c r="B156" s="23" t="n">
        <v>-257.911422366233</v>
      </c>
      <c r="C156" s="19" t="n">
        <v>152</v>
      </c>
      <c r="D156" s="11" t="n">
        <f aca="false">-Cost_k*A156+Beta_q*(Declarations!$B$16*INDEX($B$5:$B$425,$C156-ROUND(Declarations!$A$16/0.05,0))+Declarations!$B$17*INDEX($B$5:$B$425,$C156-ROUND(Declarations!$A$17/0.05,0))+Declarations!$B$18*INDEX($B$5:$B$425,$C156-ROUND(Declarations!$A$18/0.05,0))+Declarations!$B$19*INDEX($B$5:$B$425,$C156-ROUND(Declarations!$A$19/0.05,0))+Declarations!$B$20*INDEX($B$5:$B$425,$C156-ROUND(Declarations!$A$20/0.05,0)))</f>
        <v>-462.272668226461</v>
      </c>
      <c r="E156" s="16" t="n">
        <f aca="false">Alpha_keep*A156</f>
        <v>51.23625</v>
      </c>
      <c r="F156" s="16" t="n">
        <f aca="false">Alpha_keep*A156+Cap_h</f>
        <v>53.73625</v>
      </c>
      <c r="G156" s="11" t="n">
        <f aca="false">(INDEX($D$5:$D$425,MIN(INT((E156-45)/0.05+0.000000001),419)+1)*(1-((E156-45)/0.05-MIN(INT((E156-45)/0.05+0.000000001),419)))+INDEX($D$5:$D$425,MIN(INT((E156-45)/0.05+0.000000001),419)+2)*((E156-45)/0.05-MIN(INT((E156-45)/0.05+0.000000001),419)))</f>
        <v>-467.631551843288</v>
      </c>
      <c r="H156" s="11" t="n">
        <f aca="false">(INDEX($D$5:$D$425,MIN(INT((F156-45)/0.05+0.000000001),419)+1)*(1-((F156-45)/0.05-MIN(INT((F156-45)/0.05+0.000000001),419)))+INDEX($D$5:$D$425,MIN(INT((F156-45)/0.05+0.000000001),419)+2)*((F156-45)/0.05-MIN(INT((F156-45)/0.05+0.000000001),419)))</f>
        <v>-458.936422366233</v>
      </c>
      <c r="I156" s="11" t="n">
        <f aca="false">_xlfn.MAXIFS($D$5:$D$425,$A$5:$A$425,"&gt;="&amp;E156,$A$5:$A$425,"&lt;="&amp;F156)</f>
        <v>-459.020405068054</v>
      </c>
      <c r="J156" s="11" t="n">
        <f aca="false">-Short_p*MAX(Floor_c-A156,0)+Cost_k*Alpha_keep*A156+MAX(G156,H156,I156)</f>
        <v>-257.911422366233</v>
      </c>
      <c r="K156" s="22" t="n">
        <f aca="false">ABS(J156-B156)</f>
        <v>0</v>
      </c>
    </row>
    <row r="157" customFormat="false" ht="15" hidden="false" customHeight="false" outlineLevel="0" collapsed="false">
      <c r="A157" s="14" t="n">
        <v>52.6</v>
      </c>
      <c r="B157" s="23" t="n">
        <v>-257.52408262608</v>
      </c>
      <c r="C157" s="19" t="n">
        <v>153</v>
      </c>
      <c r="D157" s="11" t="n">
        <f aca="false">-Cost_k*A157+Beta_q*(Declarations!$B$16*INDEX($B$5:$B$425,$C157-ROUND(Declarations!$A$16/0.05,0))+Declarations!$B$17*INDEX($B$5:$B$425,$C157-ROUND(Declarations!$A$17/0.05,0))+Declarations!$B$18*INDEX($B$5:$B$425,$C157-ROUND(Declarations!$A$18/0.05,0))+Declarations!$B$19*INDEX($B$5:$B$425,$C157-ROUND(Declarations!$A$19/0.05,0))+Declarations!$B$20*INDEX($B$5:$B$425,$C157-ROUND(Declarations!$A$20/0.05,0)))</f>
        <v>-462.098083669185</v>
      </c>
      <c r="E157" s="16" t="n">
        <f aca="false">Alpha_keep*A157</f>
        <v>51.285</v>
      </c>
      <c r="F157" s="16" t="n">
        <f aca="false">Alpha_keep*A157+Cap_h</f>
        <v>53.785</v>
      </c>
      <c r="G157" s="11" t="n">
        <f aca="false">(INDEX($D$5:$D$425,MIN(INT((E157-45)/0.05+0.000000001),419)+1)*(1-((E157-45)/0.05-MIN(INT((E157-45)/0.05+0.000000001),419)))+INDEX($D$5:$D$425,MIN(INT((E157-45)/0.05+0.000000001),419)+2)*((E157-45)/0.05-MIN(INT((E157-45)/0.05+0.000000001),419)))</f>
        <v>-467.402815912732</v>
      </c>
      <c r="H157" s="11" t="n">
        <f aca="false">(INDEX($D$5:$D$425,MIN(INT((F157-45)/0.05+0.000000001),419)+1)*(1-((F157-45)/0.05-MIN(INT((F157-45)/0.05+0.000000001),419)))+INDEX($D$5:$D$425,MIN(INT((F157-45)/0.05+0.000000001),419)+2)*((F157-45)/0.05-MIN(INT((F157-45)/0.05+0.000000001),419)))</f>
        <v>-458.82408262608</v>
      </c>
      <c r="I157" s="11" t="n">
        <f aca="false">_xlfn.MAXIFS($D$5:$D$425,$A$5:$A$425,"&gt;="&amp;E157,$A$5:$A$425,"&lt;="&amp;F157)</f>
        <v>-458.904566858646</v>
      </c>
      <c r="J157" s="11" t="n">
        <f aca="false">-Short_p*MAX(Floor_c-A157,0)+Cost_k*Alpha_keep*A157+MAX(G157,H157,I157)</f>
        <v>-257.52408262608</v>
      </c>
      <c r="K157" s="22" t="n">
        <f aca="false">ABS(J157-B157)</f>
        <v>0</v>
      </c>
    </row>
    <row r="158" customFormat="false" ht="15" hidden="false" customHeight="false" outlineLevel="0" collapsed="false">
      <c r="A158" s="14" t="n">
        <v>52.65</v>
      </c>
      <c r="B158" s="23" t="n">
        <v>-257.139569760766</v>
      </c>
      <c r="C158" s="19" t="n">
        <v>154</v>
      </c>
      <c r="D158" s="11" t="n">
        <f aca="false">-Cost_k*A158+Beta_q*(Declarations!$B$16*INDEX($B$5:$B$425,$C158-ROUND(Declarations!$A$16/0.05,0))+Declarations!$B$17*INDEX($B$5:$B$425,$C158-ROUND(Declarations!$A$17/0.05,0))+Declarations!$B$18*INDEX($B$5:$B$425,$C158-ROUND(Declarations!$A$18/0.05,0))+Declarations!$B$19*INDEX($B$5:$B$425,$C158-ROUND(Declarations!$A$19/0.05,0))+Declarations!$B$20*INDEX($B$5:$B$425,$C158-ROUND(Declarations!$A$20/0.05,0)))</f>
        <v>-461.92633578085</v>
      </c>
      <c r="E158" s="16" t="n">
        <f aca="false">Alpha_keep*A158</f>
        <v>51.33375</v>
      </c>
      <c r="F158" s="16" t="n">
        <f aca="false">Alpha_keep*A158+Cap_h</f>
        <v>53.83375</v>
      </c>
      <c r="G158" s="11" t="n">
        <f aca="false">(INDEX($D$5:$D$425,MIN(INT((E158-45)/0.05+0.000000001),419)+1)*(1-((E158-45)/0.05-MIN(INT((E158-45)/0.05+0.000000001),419)))+INDEX($D$5:$D$425,MIN(INT((E158-45)/0.05+0.000000001),419)+2)*((E158-45)/0.05-MIN(INT((E158-45)/0.05+0.000000001),419)))</f>
        <v>-467.174894460036</v>
      </c>
      <c r="H158" s="11" t="n">
        <f aca="false">(INDEX($D$5:$D$425,MIN(INT((F158-45)/0.05+0.000000001),419)+1)*(1-((F158-45)/0.05-MIN(INT((F158-45)/0.05+0.000000001),419)))+INDEX($D$5:$D$425,MIN(INT((F158-45)/0.05+0.000000001),419)+2)*((F158-45)/0.05-MIN(INT((F158-45)/0.05+0.000000001),419)))</f>
        <v>-458.714569760766</v>
      </c>
      <c r="I158" s="11" t="n">
        <f aca="false">_xlfn.MAXIFS($D$5:$D$425,$A$5:$A$425,"&gt;="&amp;E158,$A$5:$A$425,"&lt;="&amp;F158)</f>
        <v>-458.789589383552</v>
      </c>
      <c r="J158" s="11" t="n">
        <f aca="false">-Short_p*MAX(Floor_c-A158,0)+Cost_k*Alpha_keep*A158+MAX(G158,H158,I158)</f>
        <v>-257.139569760766</v>
      </c>
      <c r="K158" s="22" t="n">
        <f aca="false">ABS(J158-B158)</f>
        <v>0</v>
      </c>
    </row>
    <row r="159" customFormat="false" ht="15" hidden="false" customHeight="false" outlineLevel="0" collapsed="false">
      <c r="A159" s="14" t="n">
        <v>52.7</v>
      </c>
      <c r="B159" s="23" t="n">
        <v>-256.769418525056</v>
      </c>
      <c r="C159" s="19" t="n">
        <v>155</v>
      </c>
      <c r="D159" s="11" t="n">
        <f aca="false">-Cost_k*A159+Beta_q*(Declarations!$B$16*INDEX($B$5:$B$425,$C159-ROUND(Declarations!$A$16/0.05,0))+Declarations!$B$17*INDEX($B$5:$B$425,$C159-ROUND(Declarations!$A$17/0.05,0))+Declarations!$B$18*INDEX($B$5:$B$425,$C159-ROUND(Declarations!$A$18/0.05,0))+Declarations!$B$19*INDEX($B$5:$B$425,$C159-ROUND(Declarations!$A$19/0.05,0))+Declarations!$B$20*INDEX($B$5:$B$425,$C159-ROUND(Declarations!$A$20/0.05,0)))</f>
        <v>-461.764547312765</v>
      </c>
      <c r="E159" s="16" t="n">
        <f aca="false">Alpha_keep*A159</f>
        <v>51.3825</v>
      </c>
      <c r="F159" s="16" t="n">
        <f aca="false">Alpha_keep*A159+Cap_h</f>
        <v>53.8825</v>
      </c>
      <c r="G159" s="11" t="n">
        <f aca="false">(INDEX($D$5:$D$425,MIN(INT((E159-45)/0.05+0.000000001),419)+1)*(1-((E159-45)/0.05-MIN(INT((E159-45)/0.05+0.000000001),419)))+INDEX($D$5:$D$425,MIN(INT((E159-45)/0.05+0.000000001),419)+2)*((E159-45)/0.05-MIN(INT((E159-45)/0.05+0.000000001),419)))</f>
        <v>-466.948326167254</v>
      </c>
      <c r="H159" s="11" t="n">
        <f aca="false">(INDEX($D$5:$D$425,MIN(INT((F159-45)/0.05+0.000000001),419)+1)*(1-((F159-45)/0.05-MIN(INT((F159-45)/0.05+0.000000001),419)))+INDEX($D$5:$D$425,MIN(INT((F159-45)/0.05+0.000000001),419)+2)*((F159-45)/0.05-MIN(INT((F159-45)/0.05+0.000000001),419)))</f>
        <v>-458.619418525056</v>
      </c>
      <c r="I159" s="11" t="n">
        <f aca="false">_xlfn.MAXIFS($D$5:$D$425,$A$5:$A$425,"&gt;="&amp;E159,$A$5:$A$425,"&lt;="&amp;F159)</f>
        <v>-458.678449201647</v>
      </c>
      <c r="J159" s="11" t="n">
        <f aca="false">-Short_p*MAX(Floor_c-A159,0)+Cost_k*Alpha_keep*A159+MAX(G159,H159,I159)</f>
        <v>-256.769418525056</v>
      </c>
      <c r="K159" s="22" t="n">
        <f aca="false">ABS(J159-B159)</f>
        <v>0</v>
      </c>
    </row>
    <row r="160" customFormat="false" ht="15" hidden="false" customHeight="false" outlineLevel="0" collapsed="false">
      <c r="A160" s="14" t="n">
        <v>52.75</v>
      </c>
      <c r="B160" s="23" t="n">
        <v>-256.406254488692</v>
      </c>
      <c r="C160" s="19" t="n">
        <v>156</v>
      </c>
      <c r="D160" s="11" t="n">
        <f aca="false">-Cost_k*A160+Beta_q*(Declarations!$B$16*INDEX($B$5:$B$425,$C160-ROUND(Declarations!$A$16/0.05,0))+Declarations!$B$17*INDEX($B$5:$B$425,$C160-ROUND(Declarations!$A$17/0.05,0))+Declarations!$B$18*INDEX($B$5:$B$425,$C160-ROUND(Declarations!$A$18/0.05,0))+Declarations!$B$19*INDEX($B$5:$B$425,$C160-ROUND(Declarations!$A$19/0.05,0))+Declarations!$B$20*INDEX($B$5:$B$425,$C160-ROUND(Declarations!$A$20/0.05,0)))</f>
        <v>-461.607884472597</v>
      </c>
      <c r="E160" s="16" t="n">
        <f aca="false">Alpha_keep*A160</f>
        <v>51.43125</v>
      </c>
      <c r="F160" s="16" t="n">
        <f aca="false">Alpha_keep*A160+Cap_h</f>
        <v>53.93125</v>
      </c>
      <c r="G160" s="11" t="n">
        <f aca="false">(INDEX($D$5:$D$425,MIN(INT((E160-45)/0.05+0.000000001),419)+1)*(1-((E160-45)/0.05-MIN(INT((E160-45)/0.05+0.000000001),419)))+INDEX($D$5:$D$425,MIN(INT((E160-45)/0.05+0.000000001),419)+2)*((E160-45)/0.05-MIN(INT((E160-45)/0.05+0.000000001),419)))</f>
        <v>-466.724799684491</v>
      </c>
      <c r="H160" s="11" t="n">
        <f aca="false">(INDEX($D$5:$D$425,MIN(INT((F160-45)/0.05+0.000000001),419)+1)*(1-((F160-45)/0.05-MIN(INT((F160-45)/0.05+0.000000001),419)))+INDEX($D$5:$D$425,MIN(INT((F160-45)/0.05+0.000000001),419)+2)*((F160-45)/0.05-MIN(INT((F160-45)/0.05+0.000000001),419)))</f>
        <v>-458.531254488692</v>
      </c>
      <c r="I160" s="11" t="n">
        <f aca="false">_xlfn.MAXIFS($D$5:$D$425,$A$5:$A$425,"&gt;="&amp;E160,$A$5:$A$425,"&lt;="&amp;F160)</f>
        <v>-458.587632776123</v>
      </c>
      <c r="J160" s="11" t="n">
        <f aca="false">-Short_p*MAX(Floor_c-A160,0)+Cost_k*Alpha_keep*A160+MAX(G160,H160,I160)</f>
        <v>-256.406254488692</v>
      </c>
      <c r="K160" s="22" t="n">
        <f aca="false">ABS(J160-B160)</f>
        <v>0</v>
      </c>
    </row>
    <row r="161" customFormat="false" ht="15" hidden="false" customHeight="false" outlineLevel="0" collapsed="false">
      <c r="A161" s="14" t="n">
        <v>52.8</v>
      </c>
      <c r="B161" s="23" t="n">
        <v>-256.043306941761</v>
      </c>
      <c r="C161" s="19" t="n">
        <v>157</v>
      </c>
      <c r="D161" s="11" t="n">
        <f aca="false">-Cost_k*A161+Beta_q*(Declarations!$B$16*INDEX($B$5:$B$425,$C161-ROUND(Declarations!$A$16/0.05,0))+Declarations!$B$17*INDEX($B$5:$B$425,$C161-ROUND(Declarations!$A$17/0.05,0))+Declarations!$B$18*INDEX($B$5:$B$425,$C161-ROUND(Declarations!$A$18/0.05,0))+Declarations!$B$19*INDEX($B$5:$B$425,$C161-ROUND(Declarations!$A$19/0.05,0))+Declarations!$B$20*INDEX($B$5:$B$425,$C161-ROUND(Declarations!$A$20/0.05,0)))</f>
        <v>-461.451609467977</v>
      </c>
      <c r="E161" s="16" t="n">
        <f aca="false">Alpha_keep*A161</f>
        <v>51.48</v>
      </c>
      <c r="F161" s="16" t="n">
        <f aca="false">Alpha_keep*A161+Cap_h</f>
        <v>53.98</v>
      </c>
      <c r="G161" s="11" t="n">
        <f aca="false">(INDEX($D$5:$D$425,MIN(INT((E161-45)/0.05+0.000000001),419)+1)*(1-((E161-45)/0.05-MIN(INT((E161-45)/0.05+0.000000001),419)))+INDEX($D$5:$D$425,MIN(INT((E161-45)/0.05+0.000000001),419)+2)*((E161-45)/0.05-MIN(INT((E161-45)/0.05+0.000000001),419)))</f>
        <v>-466.506156928893</v>
      </c>
      <c r="H161" s="11" t="n">
        <f aca="false">(INDEX($D$5:$D$425,MIN(INT((F161-45)/0.05+0.000000001),419)+1)*(1-((F161-45)/0.05-MIN(INT((F161-45)/0.05+0.000000001),419)))+INDEX($D$5:$D$425,MIN(INT((F161-45)/0.05+0.000000001),419)+2)*((F161-45)/0.05-MIN(INT((F161-45)/0.05+0.000000001),419)))</f>
        <v>-458.443306941761</v>
      </c>
      <c r="I161" s="11" t="n">
        <f aca="false">_xlfn.MAXIFS($D$5:$D$425,$A$5:$A$425,"&gt;="&amp;E161,$A$5:$A$425,"&lt;="&amp;F161)</f>
        <v>-458.497427516233</v>
      </c>
      <c r="J161" s="11" t="n">
        <f aca="false">-Short_p*MAX(Floor_c-A161,0)+Cost_k*Alpha_keep*A161+MAX(G161,H161,I161)</f>
        <v>-256.043306941761</v>
      </c>
      <c r="K161" s="22" t="n">
        <f aca="false">ABS(J161-B161)</f>
        <v>0</v>
      </c>
    </row>
    <row r="162" customFormat="false" ht="15" hidden="false" customHeight="false" outlineLevel="0" collapsed="false">
      <c r="A162" s="14" t="n">
        <v>52.85</v>
      </c>
      <c r="B162" s="23" t="n">
        <v>-255.680373130705</v>
      </c>
      <c r="C162" s="19" t="n">
        <v>158</v>
      </c>
      <c r="D162" s="11" t="n">
        <f aca="false">-Cost_k*A162+Beta_q*(Declarations!$B$16*INDEX($B$5:$B$425,$C162-ROUND(Declarations!$A$16/0.05,0))+Declarations!$B$17*INDEX($B$5:$B$425,$C162-ROUND(Declarations!$A$17/0.05,0))+Declarations!$B$18*INDEX($B$5:$B$425,$C162-ROUND(Declarations!$A$18/0.05,0))+Declarations!$B$19*INDEX($B$5:$B$425,$C162-ROUND(Declarations!$A$19/0.05,0))+Declarations!$B$20*INDEX($B$5:$B$425,$C162-ROUND(Declarations!$A$20/0.05,0)))</f>
        <v>-461.295412612596</v>
      </c>
      <c r="E162" s="16" t="n">
        <f aca="false">Alpha_keep*A162</f>
        <v>51.52875</v>
      </c>
      <c r="F162" s="16" t="n">
        <f aca="false">Alpha_keep*A162+Cap_h</f>
        <v>54.02875</v>
      </c>
      <c r="G162" s="11" t="n">
        <f aca="false">(INDEX($D$5:$D$425,MIN(INT((E162-45)/0.05+0.000000001),419)+1)*(1-((E162-45)/0.05-MIN(INT((E162-45)/0.05+0.000000001),419)))+INDEX($D$5:$D$425,MIN(INT((E162-45)/0.05+0.000000001),419)+2)*((E162-45)/0.05-MIN(INT((E162-45)/0.05+0.000000001),419)))</f>
        <v>-466.291541051815</v>
      </c>
      <c r="H162" s="11" t="n">
        <f aca="false">(INDEX($D$5:$D$425,MIN(INT((F162-45)/0.05+0.000000001),419)+1)*(1-((F162-45)/0.05-MIN(INT((F162-45)/0.05+0.000000001),419)))+INDEX($D$5:$D$425,MIN(INT((F162-45)/0.05+0.000000001),419)+2)*((F162-45)/0.05-MIN(INT((F162-45)/0.05+0.000000001),419)))</f>
        <v>-458.355373130705</v>
      </c>
      <c r="I162" s="11" t="n">
        <f aca="false">_xlfn.MAXIFS($D$5:$D$425,$A$5:$A$425,"&gt;="&amp;E162,$A$5:$A$425,"&lt;="&amp;F162)</f>
        <v>-458.40722655878</v>
      </c>
      <c r="J162" s="11" t="n">
        <f aca="false">-Short_p*MAX(Floor_c-A162,0)+Cost_k*Alpha_keep*A162+MAX(G162,H162,I162)</f>
        <v>-255.680373130705</v>
      </c>
      <c r="K162" s="22" t="n">
        <f aca="false">ABS(J162-B162)</f>
        <v>0</v>
      </c>
    </row>
    <row r="163" customFormat="false" ht="15" hidden="false" customHeight="false" outlineLevel="0" collapsed="false">
      <c r="A163" s="14" t="n">
        <v>52.9</v>
      </c>
      <c r="B163" s="23" t="n">
        <v>-255.317478396175</v>
      </c>
      <c r="C163" s="19" t="n">
        <v>159</v>
      </c>
      <c r="D163" s="11" t="n">
        <f aca="false">-Cost_k*A163+Beta_q*(Declarations!$B$16*INDEX($B$5:$B$425,$C163-ROUND(Declarations!$A$16/0.05,0))+Declarations!$B$17*INDEX($B$5:$B$425,$C163-ROUND(Declarations!$A$17/0.05,0))+Declarations!$B$18*INDEX($B$5:$B$425,$C163-ROUND(Declarations!$A$18/0.05,0))+Declarations!$B$19*INDEX($B$5:$B$425,$C163-ROUND(Declarations!$A$19/0.05,0))+Declarations!$B$20*INDEX($B$5:$B$425,$C163-ROUND(Declarations!$A$20/0.05,0)))</f>
        <v>-461.139367534858</v>
      </c>
      <c r="E163" s="16" t="n">
        <f aca="false">Alpha_keep*A163</f>
        <v>51.5775</v>
      </c>
      <c r="F163" s="16" t="n">
        <f aca="false">Alpha_keep*A163+Cap_h</f>
        <v>54.0775</v>
      </c>
      <c r="G163" s="11" t="n">
        <f aca="false">(INDEX($D$5:$D$425,MIN(INT((E163-45)/0.05+0.000000001),419)+1)*(1-((E163-45)/0.05-MIN(INT((E163-45)/0.05+0.000000001),419)))+INDEX($D$5:$D$425,MIN(INT((E163-45)/0.05+0.000000001),419)+2)*((E163-45)/0.05-MIN(INT((E163-45)/0.05+0.000000001),419)))</f>
        <v>-466.079078545845</v>
      </c>
      <c r="H163" s="11" t="n">
        <f aca="false">(INDEX($D$5:$D$425,MIN(INT((F163-45)/0.05+0.000000001),419)+1)*(1-((F163-45)/0.05-MIN(INT((F163-45)/0.05+0.000000001),419)))+INDEX($D$5:$D$425,MIN(INT((F163-45)/0.05+0.000000001),419)+2)*((F163-45)/0.05-MIN(INT((F163-45)/0.05+0.000000001),419)))</f>
        <v>-458.267478396174</v>
      </c>
      <c r="I163" s="11" t="n">
        <f aca="false">_xlfn.MAXIFS($D$5:$D$425,$A$5:$A$425,"&gt;="&amp;E163,$A$5:$A$425,"&lt;="&amp;F163)</f>
        <v>-458.317046683868</v>
      </c>
      <c r="J163" s="11" t="n">
        <f aca="false">-Short_p*MAX(Floor_c-A163,0)+Cost_k*Alpha_keep*A163+MAX(G163,H163,I163)</f>
        <v>-255.317478396174</v>
      </c>
      <c r="K163" s="22" t="n">
        <f aca="false">ABS(J163-B163)</f>
        <v>0</v>
      </c>
    </row>
    <row r="164" customFormat="false" ht="15" hidden="false" customHeight="false" outlineLevel="0" collapsed="false">
      <c r="A164" s="14" t="n">
        <v>52.95</v>
      </c>
      <c r="B164" s="23" t="n">
        <v>-254.954740154664</v>
      </c>
      <c r="C164" s="19" t="n">
        <v>160</v>
      </c>
      <c r="D164" s="11" t="n">
        <f aca="false">-Cost_k*A164+Beta_q*(Declarations!$B$16*INDEX($B$5:$B$425,$C164-ROUND(Declarations!$A$16/0.05,0))+Declarations!$B$17*INDEX($B$5:$B$425,$C164-ROUND(Declarations!$A$17/0.05,0))+Declarations!$B$18*INDEX($B$5:$B$425,$C164-ROUND(Declarations!$A$18/0.05,0))+Declarations!$B$19*INDEX($B$5:$B$425,$C164-ROUND(Declarations!$A$19/0.05,0))+Declarations!$B$20*INDEX($B$5:$B$425,$C164-ROUND(Declarations!$A$20/0.05,0)))</f>
        <v>-460.983824641515</v>
      </c>
      <c r="E164" s="16" t="n">
        <f aca="false">Alpha_keep*A164</f>
        <v>51.62625</v>
      </c>
      <c r="F164" s="16" t="n">
        <f aca="false">Alpha_keep*A164+Cap_h</f>
        <v>54.12625</v>
      </c>
      <c r="G164" s="11" t="n">
        <f aca="false">(INDEX($D$5:$D$425,MIN(INT((E164-45)/0.05+0.000000001),419)+1)*(1-((E164-45)/0.05-MIN(INT((E164-45)/0.05+0.000000001),419)))+INDEX($D$5:$D$425,MIN(INT((E164-45)/0.05+0.000000001),419)+2)*((E164-45)/0.05-MIN(INT((E164-45)/0.05+0.000000001),419)))</f>
        <v>-465.867687842548</v>
      </c>
      <c r="H164" s="11" t="n">
        <f aca="false">(INDEX($D$5:$D$425,MIN(INT((F164-45)/0.05+0.000000001),419)+1)*(1-((F164-45)/0.05-MIN(INT((F164-45)/0.05+0.000000001),419)))+INDEX($D$5:$D$425,MIN(INT((F164-45)/0.05+0.000000001),419)+2)*((F164-45)/0.05-MIN(INT((F164-45)/0.05+0.000000001),419)))</f>
        <v>-458.179740154664</v>
      </c>
      <c r="I164" s="11" t="n">
        <f aca="false">_xlfn.MAXIFS($D$5:$D$425,$A$5:$A$425,"&gt;="&amp;E164,$A$5:$A$425,"&lt;="&amp;F164)</f>
        <v>-458.226922524426</v>
      </c>
      <c r="J164" s="11" t="n">
        <f aca="false">-Short_p*MAX(Floor_c-A164,0)+Cost_k*Alpha_keep*A164+MAX(G164,H164,I164)</f>
        <v>-254.954740154664</v>
      </c>
      <c r="K164" s="22" t="n">
        <f aca="false">ABS(J164-B164)</f>
        <v>0</v>
      </c>
    </row>
    <row r="165" customFormat="false" ht="15" hidden="false" customHeight="false" outlineLevel="0" collapsed="false">
      <c r="A165" s="14" t="n">
        <v>53</v>
      </c>
      <c r="B165" s="23" t="n">
        <v>-254.592889106724</v>
      </c>
      <c r="C165" s="19" t="n">
        <v>161</v>
      </c>
      <c r="D165" s="11" t="n">
        <f aca="false">-Cost_k*A165+Beta_q*(Declarations!$B$16*INDEX($B$5:$B$425,$C165-ROUND(Declarations!$A$16/0.05,0))+Declarations!$B$17*INDEX($B$5:$B$425,$C165-ROUND(Declarations!$A$17/0.05,0))+Declarations!$B$18*INDEX($B$5:$B$425,$C165-ROUND(Declarations!$A$18/0.05,0))+Declarations!$B$19*INDEX($B$5:$B$425,$C165-ROUND(Declarations!$A$19/0.05,0))+Declarations!$B$20*INDEX($B$5:$B$425,$C165-ROUND(Declarations!$A$20/0.05,0)))</f>
        <v>-460.830038082866</v>
      </c>
      <c r="E165" s="16" t="n">
        <f aca="false">Alpha_keep*A165</f>
        <v>51.675</v>
      </c>
      <c r="F165" s="16" t="n">
        <f aca="false">Alpha_keep*A165+Cap_h</f>
        <v>54.175</v>
      </c>
      <c r="G165" s="11" t="n">
        <f aca="false">(INDEX($D$5:$D$425,MIN(INT((E165-45)/0.05+0.000000001),419)+1)*(1-((E165-45)/0.05-MIN(INT((E165-45)/0.05+0.000000001),419)))+INDEX($D$5:$D$425,MIN(INT((E165-45)/0.05+0.000000001),419)+2)*((E165-45)/0.05-MIN(INT((E165-45)/0.05+0.000000001),419)))</f>
        <v>-465.65689989909</v>
      </c>
      <c r="H165" s="11" t="n">
        <f aca="false">(INDEX($D$5:$D$425,MIN(INT((F165-45)/0.05+0.000000001),419)+1)*(1-((F165-45)/0.05-MIN(INT((F165-45)/0.05+0.000000001),419)))+INDEX($D$5:$D$425,MIN(INT((F165-45)/0.05+0.000000001),419)+2)*((F165-45)/0.05-MIN(INT((F165-45)/0.05+0.000000001),419)))</f>
        <v>-458.092889106724</v>
      </c>
      <c r="I165" s="11" t="n">
        <f aca="false">_xlfn.MAXIFS($D$5:$D$425,$A$5:$A$425,"&gt;="&amp;E165,$A$5:$A$425,"&lt;="&amp;F165)</f>
        <v>-458.137051343928</v>
      </c>
      <c r="J165" s="11" t="n">
        <f aca="false">-Short_p*MAX(Floor_c-A165,0)+Cost_k*Alpha_keep*A165+MAX(G165,H165,I165)</f>
        <v>-254.592889106724</v>
      </c>
      <c r="K165" s="22" t="n">
        <f aca="false">ABS(J165-B165)</f>
        <v>0</v>
      </c>
    </row>
    <row r="166" customFormat="false" ht="15" hidden="false" customHeight="false" outlineLevel="0" collapsed="false">
      <c r="A166" s="14" t="n">
        <v>53.05</v>
      </c>
      <c r="B166" s="23" t="n">
        <v>-254.233297125244</v>
      </c>
      <c r="C166" s="19" t="n">
        <v>162</v>
      </c>
      <c r="D166" s="11" t="n">
        <f aca="false">-Cost_k*A166+Beta_q*(Declarations!$B$16*INDEX($B$5:$B$425,$C166-ROUND(Declarations!$A$16/0.05,0))+Declarations!$B$17*INDEX($B$5:$B$425,$C166-ROUND(Declarations!$A$17/0.05,0))+Declarations!$B$18*INDEX($B$5:$B$425,$C166-ROUND(Declarations!$A$18/0.05,0))+Declarations!$B$19*INDEX($B$5:$B$425,$C166-ROUND(Declarations!$A$19/0.05,0))+Declarations!$B$20*INDEX($B$5:$B$425,$C166-ROUND(Declarations!$A$20/0.05,0)))</f>
        <v>-460.678657037814</v>
      </c>
      <c r="E166" s="16" t="n">
        <f aca="false">Alpha_keep*A166</f>
        <v>51.72375</v>
      </c>
      <c r="F166" s="16" t="n">
        <f aca="false">Alpha_keep*A166+Cap_h</f>
        <v>54.22375</v>
      </c>
      <c r="G166" s="11" t="n">
        <f aca="false">(INDEX($D$5:$D$425,MIN(INT((E166-45)/0.05+0.000000001),419)+1)*(1-((E166-45)/0.05-MIN(INT((E166-45)/0.05+0.000000001),419)))+INDEX($D$5:$D$425,MIN(INT((E166-45)/0.05+0.000000001),419)+2)*((E166-45)/0.05-MIN(INT((E166-45)/0.05+0.000000001),419)))</f>
        <v>-465.446905804283</v>
      </c>
      <c r="H166" s="11" t="n">
        <f aca="false">(INDEX($D$5:$D$425,MIN(INT((F166-45)/0.05+0.000000001),419)+1)*(1-((F166-45)/0.05-MIN(INT((F166-45)/0.05+0.000000001),419)))+INDEX($D$5:$D$425,MIN(INT((F166-45)/0.05+0.000000001),419)+2)*((F166-45)/0.05-MIN(INT((F166-45)/0.05+0.000000001),419)))</f>
        <v>-458.008297125244</v>
      </c>
      <c r="I166" s="11" t="n">
        <f aca="false">_xlfn.MAXIFS($D$5:$D$425,$A$5:$A$425,"&gt;="&amp;E166,$A$5:$A$425,"&lt;="&amp;F166)</f>
        <v>-458.04872686952</v>
      </c>
      <c r="J166" s="11" t="n">
        <f aca="false">-Short_p*MAX(Floor_c-A166,0)+Cost_k*Alpha_keep*A166+MAX(G166,H166,I166)</f>
        <v>-254.233297125244</v>
      </c>
      <c r="K166" s="22" t="n">
        <f aca="false">ABS(J166-B166)</f>
        <v>0</v>
      </c>
    </row>
    <row r="167" customFormat="false" ht="15" hidden="false" customHeight="false" outlineLevel="0" collapsed="false">
      <c r="A167" s="14" t="n">
        <v>53.1</v>
      </c>
      <c r="B167" s="23" t="n">
        <v>-253.88262058261</v>
      </c>
      <c r="C167" s="19" t="n">
        <v>163</v>
      </c>
      <c r="D167" s="11" t="n">
        <f aca="false">-Cost_k*A167+Beta_q*(Declarations!$B$16*INDEX($B$5:$B$425,$C167-ROUND(Declarations!$A$16/0.05,0))+Declarations!$B$17*INDEX($B$5:$B$425,$C167-ROUND(Declarations!$A$17/0.05,0))+Declarations!$B$18*INDEX($B$5:$B$425,$C167-ROUND(Declarations!$A$18/0.05,0))+Declarations!$B$19*INDEX($B$5:$B$425,$C167-ROUND(Declarations!$A$19/0.05,0))+Declarations!$B$20*INDEX($B$5:$B$425,$C167-ROUND(Declarations!$A$20/0.05,0)))</f>
        <v>-460.533274989654</v>
      </c>
      <c r="E167" s="16" t="n">
        <f aca="false">Alpha_keep*A167</f>
        <v>51.7725</v>
      </c>
      <c r="F167" s="16" t="n">
        <f aca="false">Alpha_keep*A167+Cap_h</f>
        <v>54.2725</v>
      </c>
      <c r="G167" s="11" t="n">
        <f aca="false">(INDEX($D$5:$D$425,MIN(INT((E167-45)/0.05+0.000000001),419)+1)*(1-((E167-45)/0.05-MIN(INT((E167-45)/0.05+0.000000001),419)))+INDEX($D$5:$D$425,MIN(INT((E167-45)/0.05+0.000000001),419)+2)*((E167-45)/0.05-MIN(INT((E167-45)/0.05+0.000000001),419)))</f>
        <v>-465.238312935763</v>
      </c>
      <c r="H167" s="11" t="n">
        <f aca="false">(INDEX($D$5:$D$425,MIN(INT((F167-45)/0.05+0.000000001),419)+1)*(1-((F167-45)/0.05-MIN(INT((F167-45)/0.05+0.000000001),419)))+INDEX($D$5:$D$425,MIN(INT((F167-45)/0.05+0.000000001),419)+2)*((F167-45)/0.05-MIN(INT((F167-45)/0.05+0.000000001),419)))</f>
        <v>-457.93262058261</v>
      </c>
      <c r="I167" s="11" t="n">
        <f aca="false">_xlfn.MAXIFS($D$5:$D$425,$A$5:$A$425,"&gt;="&amp;E167,$A$5:$A$425,"&lt;="&amp;F167)</f>
        <v>-457.963611618413</v>
      </c>
      <c r="J167" s="11" t="n">
        <f aca="false">-Short_p*MAX(Floor_c-A167,0)+Cost_k*Alpha_keep*A167+MAX(G167,H167,I167)</f>
        <v>-253.88262058261</v>
      </c>
      <c r="K167" s="22" t="n">
        <f aca="false">ABS(J167-B167)</f>
        <v>0</v>
      </c>
    </row>
    <row r="168" customFormat="false" ht="15" hidden="false" customHeight="false" outlineLevel="0" collapsed="false">
      <c r="A168" s="14" t="n">
        <v>53.15</v>
      </c>
      <c r="B168" s="23" t="n">
        <v>-253.540489221919</v>
      </c>
      <c r="C168" s="19" t="n">
        <v>164</v>
      </c>
      <c r="D168" s="11" t="n">
        <f aca="false">-Cost_k*A168+Beta_q*(Declarations!$B$16*INDEX($B$5:$B$425,$C168-ROUND(Declarations!$A$16/0.05,0))+Declarations!$B$17*INDEX($B$5:$B$425,$C168-ROUND(Declarations!$A$17/0.05,0))+Declarations!$B$18*INDEX($B$5:$B$425,$C168-ROUND(Declarations!$A$18/0.05,0))+Declarations!$B$19*INDEX($B$5:$B$425,$C168-ROUND(Declarations!$A$19/0.05,0))+Declarations!$B$20*INDEX($B$5:$B$425,$C168-ROUND(Declarations!$A$20/0.05,0)))</f>
        <v>-460.399452513419</v>
      </c>
      <c r="E168" s="16" t="n">
        <f aca="false">Alpha_keep*A168</f>
        <v>51.82125</v>
      </c>
      <c r="F168" s="16" t="n">
        <f aca="false">Alpha_keep*A168+Cap_h</f>
        <v>54.32125</v>
      </c>
      <c r="G168" s="11" t="n">
        <f aca="false">(INDEX($D$5:$D$425,MIN(INT((E168-45)/0.05+0.000000001),419)+1)*(1-((E168-45)/0.05-MIN(INT((E168-45)/0.05+0.000000001),419)))+INDEX($D$5:$D$425,MIN(INT((E168-45)/0.05+0.000000001),419)+2)*((E168-45)/0.05-MIN(INT((E168-45)/0.05+0.000000001),419)))</f>
        <v>-465.031625148138</v>
      </c>
      <c r="H168" s="11" t="n">
        <f aca="false">(INDEX($D$5:$D$425,MIN(INT((F168-45)/0.05+0.000000001),419)+1)*(1-((F168-45)/0.05-MIN(INT((F168-45)/0.05+0.000000001),419)))+INDEX($D$5:$D$425,MIN(INT((F168-45)/0.05+0.000000001),419)+2)*((F168-45)/0.05-MIN(INT((F168-45)/0.05+0.000000001),419)))</f>
        <v>-457.865489221919</v>
      </c>
      <c r="I168" s="11" t="n">
        <f aca="false">_xlfn.MAXIFS($D$5:$D$425,$A$5:$A$425,"&gt;="&amp;E168,$A$5:$A$425,"&lt;="&amp;F168)</f>
        <v>-457.894742649962</v>
      </c>
      <c r="J168" s="11" t="n">
        <f aca="false">-Short_p*MAX(Floor_c-A168,0)+Cost_k*Alpha_keep*A168+MAX(G168,H168,I168)</f>
        <v>-253.540489221919</v>
      </c>
      <c r="K168" s="22" t="n">
        <f aca="false">ABS(J168-B168)</f>
        <v>0</v>
      </c>
    </row>
    <row r="169" customFormat="false" ht="15" hidden="false" customHeight="false" outlineLevel="0" collapsed="false">
      <c r="A169" s="14" t="n">
        <v>53.2</v>
      </c>
      <c r="B169" s="23" t="n">
        <v>-253.198379336102</v>
      </c>
      <c r="C169" s="19" t="n">
        <v>165</v>
      </c>
      <c r="D169" s="11" t="n">
        <f aca="false">-Cost_k*A169+Beta_q*(Declarations!$B$16*INDEX($B$5:$B$425,$C169-ROUND(Declarations!$A$16/0.05,0))+Declarations!$B$17*INDEX($B$5:$B$425,$C169-ROUND(Declarations!$A$17/0.05,0))+Declarations!$B$18*INDEX($B$5:$B$425,$C169-ROUND(Declarations!$A$18/0.05,0))+Declarations!$B$19*INDEX($B$5:$B$425,$C169-ROUND(Declarations!$A$19/0.05,0))+Declarations!$B$20*INDEX($B$5:$B$425,$C169-ROUND(Declarations!$A$20/0.05,0)))</f>
        <v>-460.265806919704</v>
      </c>
      <c r="E169" s="16" t="n">
        <f aca="false">Alpha_keep*A169</f>
        <v>51.87</v>
      </c>
      <c r="F169" s="16" t="n">
        <f aca="false">Alpha_keep*A169+Cap_h</f>
        <v>54.37</v>
      </c>
      <c r="G169" s="11" t="n">
        <f aca="false">(INDEX($D$5:$D$425,MIN(INT((E169-45)/0.05+0.000000001),419)+1)*(1-((E169-45)/0.05-MIN(INT((E169-45)/0.05+0.000000001),419)))+INDEX($D$5:$D$425,MIN(INT((E169-45)/0.05+0.000000001),419)+2)*((E169-45)/0.05-MIN(INT((E169-45)/0.05+0.000000001),419)))</f>
        <v>-464.827873818758</v>
      </c>
      <c r="H169" s="11" t="n">
        <f aca="false">(INDEX($D$5:$D$425,MIN(INT((F169-45)/0.05+0.000000001),419)+1)*(1-((F169-45)/0.05-MIN(INT((F169-45)/0.05+0.000000001),419)))+INDEX($D$5:$D$425,MIN(INT((F169-45)/0.05+0.000000001),419)+2)*((F169-45)/0.05-MIN(INT((F169-45)/0.05+0.000000001),419)))</f>
        <v>-457.798379336102</v>
      </c>
      <c r="I169" s="11" t="n">
        <f aca="false">_xlfn.MAXIFS($D$5:$D$425,$A$5:$A$425,"&gt;="&amp;E169,$A$5:$A$425,"&lt;="&amp;F169)</f>
        <v>-457.825911054568</v>
      </c>
      <c r="J169" s="11" t="n">
        <f aca="false">-Short_p*MAX(Floor_c-A169,0)+Cost_k*Alpha_keep*A169+MAX(G169,H169,I169)</f>
        <v>-253.198379336102</v>
      </c>
      <c r="K169" s="22" t="n">
        <f aca="false">ABS(J169-B169)</f>
        <v>0</v>
      </c>
    </row>
    <row r="170" customFormat="false" ht="15" hidden="false" customHeight="false" outlineLevel="0" collapsed="false">
      <c r="A170" s="14" t="n">
        <v>53.25</v>
      </c>
      <c r="B170" s="23" t="n">
        <v>-252.856274315585</v>
      </c>
      <c r="C170" s="19" t="n">
        <v>166</v>
      </c>
      <c r="D170" s="11" t="n">
        <f aca="false">-Cost_k*A170+Beta_q*(Declarations!$B$16*INDEX($B$5:$B$425,$C170-ROUND(Declarations!$A$16/0.05,0))+Declarations!$B$17*INDEX($B$5:$B$425,$C170-ROUND(Declarations!$A$17/0.05,0))+Declarations!$B$18*INDEX($B$5:$B$425,$C170-ROUND(Declarations!$A$18/0.05,0))+Declarations!$B$19*INDEX($B$5:$B$425,$C170-ROUND(Declarations!$A$19/0.05,0))+Declarations!$B$20*INDEX($B$5:$B$425,$C170-ROUND(Declarations!$A$20/0.05,0)))</f>
        <v>-460.132207890882</v>
      </c>
      <c r="E170" s="16" t="n">
        <f aca="false">Alpha_keep*A170</f>
        <v>51.91875</v>
      </c>
      <c r="F170" s="16" t="n">
        <f aca="false">Alpha_keep*A170+Cap_h</f>
        <v>54.41875</v>
      </c>
      <c r="G170" s="11" t="n">
        <f aca="false">(INDEX($D$5:$D$425,MIN(INT((E170-45)/0.05+0.000000001),419)+1)*(1-((E170-45)/0.05-MIN(INT((E170-45)/0.05+0.000000001),419)))+INDEX($D$5:$D$425,MIN(INT((E170-45)/0.05+0.000000001),419)+2)*((E170-45)/0.05-MIN(INT((E170-45)/0.05+0.000000001),419)))</f>
        <v>-464.629831139075</v>
      </c>
      <c r="H170" s="11" t="n">
        <f aca="false">(INDEX($D$5:$D$425,MIN(INT((F170-45)/0.05+0.000000001),419)+1)*(1-((F170-45)/0.05-MIN(INT((F170-45)/0.05+0.000000001),419)))+INDEX($D$5:$D$425,MIN(INT((F170-45)/0.05+0.000000001),419)+2)*((F170-45)/0.05-MIN(INT((F170-45)/0.05+0.000000001),419)))</f>
        <v>-457.731274315585</v>
      </c>
      <c r="I170" s="11" t="n">
        <f aca="false">_xlfn.MAXIFS($D$5:$D$425,$A$5:$A$425,"&gt;="&amp;E170,$A$5:$A$425,"&lt;="&amp;F170)</f>
        <v>-457.757081758404</v>
      </c>
      <c r="J170" s="11" t="n">
        <f aca="false">-Short_p*MAX(Floor_c-A170,0)+Cost_k*Alpha_keep*A170+MAX(G170,H170,I170)</f>
        <v>-252.856274315585</v>
      </c>
      <c r="K170" s="22" t="n">
        <f aca="false">ABS(J170-B170)</f>
        <v>0</v>
      </c>
    </row>
    <row r="171" customFormat="false" ht="15" hidden="false" customHeight="false" outlineLevel="0" collapsed="false">
      <c r="A171" s="14" t="n">
        <v>53.3</v>
      </c>
      <c r="B171" s="23" t="n">
        <v>-252.51419397764</v>
      </c>
      <c r="C171" s="19" t="n">
        <v>167</v>
      </c>
      <c r="D171" s="11" t="n">
        <f aca="false">-Cost_k*A171+Beta_q*(Declarations!$B$16*INDEX($B$5:$B$425,$C171-ROUND(Declarations!$A$16/0.05,0))+Declarations!$B$17*INDEX($B$5:$B$425,$C171-ROUND(Declarations!$A$17/0.05,0))+Declarations!$B$18*INDEX($B$5:$B$425,$C171-ROUND(Declarations!$A$18/0.05,0))+Declarations!$B$19*INDEX($B$5:$B$425,$C171-ROUND(Declarations!$A$19/0.05,0))+Declarations!$B$20*INDEX($B$5:$B$425,$C171-ROUND(Declarations!$A$20/0.05,0)))</f>
        <v>-459.998769804898</v>
      </c>
      <c r="E171" s="16" t="n">
        <f aca="false">Alpha_keep*A171</f>
        <v>51.9675</v>
      </c>
      <c r="F171" s="16" t="n">
        <f aca="false">Alpha_keep*A171+Cap_h</f>
        <v>54.4675</v>
      </c>
      <c r="G171" s="11" t="n">
        <f aca="false">(INDEX($D$5:$D$425,MIN(INT((E171-45)/0.05+0.000000001),419)+1)*(1-((E171-45)/0.05-MIN(INT((E171-45)/0.05+0.000000001),419)))+INDEX($D$5:$D$425,MIN(INT((E171-45)/0.05+0.000000001),419)+2)*((E171-45)/0.05-MIN(INT((E171-45)/0.05+0.000000001),419)))</f>
        <v>-464.437651056042</v>
      </c>
      <c r="H171" s="11" t="n">
        <f aca="false">(INDEX($D$5:$D$425,MIN(INT((F171-45)/0.05+0.000000001),419)+1)*(1-((F171-45)/0.05-MIN(INT((F171-45)/0.05+0.000000001),419)))+INDEX($D$5:$D$425,MIN(INT((F171-45)/0.05+0.000000001),419)+2)*((F171-45)/0.05-MIN(INT((F171-45)/0.05+0.000000001),419)))</f>
        <v>-457.66419397764</v>
      </c>
      <c r="I171" s="11" t="n">
        <f aca="false">_xlfn.MAXIFS($D$5:$D$425,$A$5:$A$425,"&gt;="&amp;E171,$A$5:$A$425,"&lt;="&amp;F171)</f>
        <v>-457.688261910886</v>
      </c>
      <c r="J171" s="11" t="n">
        <f aca="false">-Short_p*MAX(Floor_c-A171,0)+Cost_k*Alpha_keep*A171+MAX(G171,H171,I171)</f>
        <v>-252.51419397764</v>
      </c>
      <c r="K171" s="22" t="n">
        <f aca="false">ABS(J171-B171)</f>
        <v>0</v>
      </c>
    </row>
    <row r="172" customFormat="false" ht="15" hidden="false" customHeight="false" outlineLevel="0" collapsed="false">
      <c r="A172" s="14" t="n">
        <v>53.35</v>
      </c>
      <c r="B172" s="23" t="n">
        <v>-252.172214890322</v>
      </c>
      <c r="C172" s="19" t="n">
        <v>168</v>
      </c>
      <c r="D172" s="11" t="n">
        <f aca="false">-Cost_k*A172+Beta_q*(Declarations!$B$16*INDEX($B$5:$B$425,$C172-ROUND(Declarations!$A$16/0.05,0))+Declarations!$B$17*INDEX($B$5:$B$425,$C172-ROUND(Declarations!$A$17/0.05,0))+Declarations!$B$18*INDEX($B$5:$B$425,$C172-ROUND(Declarations!$A$18/0.05,0))+Declarations!$B$19*INDEX($B$5:$B$425,$C172-ROUND(Declarations!$A$19/0.05,0))+Declarations!$B$20*INDEX($B$5:$B$425,$C172-ROUND(Declarations!$A$20/0.05,0)))</f>
        <v>-459.865644925764</v>
      </c>
      <c r="E172" s="16" t="n">
        <f aca="false">Alpha_keep*A172</f>
        <v>52.01625</v>
      </c>
      <c r="F172" s="16" t="n">
        <f aca="false">Alpha_keep*A172+Cap_h</f>
        <v>54.51625</v>
      </c>
      <c r="G172" s="11" t="n">
        <f aca="false">(INDEX($D$5:$D$425,MIN(INT((E172-45)/0.05+0.000000001),419)+1)*(1-((E172-45)/0.05-MIN(INT((E172-45)/0.05+0.000000001),419)))+INDEX($D$5:$D$425,MIN(INT((E172-45)/0.05+0.000000001),419)+2)*((E172-45)/0.05-MIN(INT((E172-45)/0.05+0.000000001),419)))</f>
        <v>-464.246757185739</v>
      </c>
      <c r="H172" s="11" t="n">
        <f aca="false">(INDEX($D$5:$D$425,MIN(INT((F172-45)/0.05+0.000000001),419)+1)*(1-((F172-45)/0.05-MIN(INT((F172-45)/0.05+0.000000001),419)))+INDEX($D$5:$D$425,MIN(INT((F172-45)/0.05+0.000000001),419)+2)*((F172-45)/0.05-MIN(INT((F172-45)/0.05+0.000000001),419)))</f>
        <v>-457.597214890322</v>
      </c>
      <c r="I172" s="11" t="n">
        <f aca="false">_xlfn.MAXIFS($D$5:$D$425,$A$5:$A$425,"&gt;="&amp;E172,$A$5:$A$425,"&lt;="&amp;F172)</f>
        <v>-457.619496387326</v>
      </c>
      <c r="J172" s="11" t="n">
        <f aca="false">-Short_p*MAX(Floor_c-A172,0)+Cost_k*Alpha_keep*A172+MAX(G172,H172,I172)</f>
        <v>-252.172214890322</v>
      </c>
      <c r="K172" s="22" t="n">
        <f aca="false">ABS(J172-B172)</f>
        <v>0</v>
      </c>
    </row>
    <row r="173" customFormat="false" ht="15" hidden="false" customHeight="false" outlineLevel="0" collapsed="false">
      <c r="A173" s="14" t="n">
        <v>53.4</v>
      </c>
      <c r="B173" s="23" t="n">
        <v>-251.830754032778</v>
      </c>
      <c r="C173" s="19" t="n">
        <v>169</v>
      </c>
      <c r="D173" s="11" t="n">
        <f aca="false">-Cost_k*A173+Beta_q*(Declarations!$B$16*INDEX($B$5:$B$425,$C173-ROUND(Declarations!$A$16/0.05,0))+Declarations!$B$17*INDEX($B$5:$B$425,$C173-ROUND(Declarations!$A$17/0.05,0))+Declarations!$B$18*INDEX($B$5:$B$425,$C173-ROUND(Declarations!$A$18/0.05,0))+Declarations!$B$19*INDEX($B$5:$B$425,$C173-ROUND(Declarations!$A$19/0.05,0))+Declarations!$B$20*INDEX($B$5:$B$425,$C173-ROUND(Declarations!$A$20/0.05,0)))</f>
        <v>-459.733622443226</v>
      </c>
      <c r="E173" s="16" t="n">
        <f aca="false">Alpha_keep*A173</f>
        <v>52.065</v>
      </c>
      <c r="F173" s="16" t="n">
        <f aca="false">Alpha_keep*A173+Cap_h</f>
        <v>54.565</v>
      </c>
      <c r="G173" s="11" t="n">
        <f aca="false">(INDEX($D$5:$D$425,MIN(INT((E173-45)/0.05+0.000000001),419)+1)*(1-((E173-45)/0.05-MIN(INT((E173-45)/0.05+0.000000001),419)))+INDEX($D$5:$D$425,MIN(INT((E173-45)/0.05+0.000000001),419)+2)*((E173-45)/0.05-MIN(INT((E173-45)/0.05+0.000000001),419)))</f>
        <v>-464.056141858537</v>
      </c>
      <c r="H173" s="11" t="n">
        <f aca="false">(INDEX($D$5:$D$425,MIN(INT((F173-45)/0.05+0.000000001),419)+1)*(1-((F173-45)/0.05-MIN(INT((F173-45)/0.05+0.000000001),419)))+INDEX($D$5:$D$425,MIN(INT((F173-45)/0.05+0.000000001),419)+2)*((F173-45)/0.05-MIN(INT((F173-45)/0.05+0.000000001),419)))</f>
        <v>-457.530754032778</v>
      </c>
      <c r="I173" s="11" t="n">
        <f aca="false">_xlfn.MAXIFS($D$5:$D$425,$A$5:$A$425,"&gt;="&amp;E173,$A$5:$A$425,"&lt;="&amp;F173)</f>
        <v>-457.550937935007</v>
      </c>
      <c r="J173" s="11" t="n">
        <f aca="false">-Short_p*MAX(Floor_c-A173,0)+Cost_k*Alpha_keep*A173+MAX(G173,H173,I173)</f>
        <v>-251.830754032778</v>
      </c>
      <c r="K173" s="22" t="n">
        <f aca="false">ABS(J173-B173)</f>
        <v>0</v>
      </c>
    </row>
    <row r="174" customFormat="false" ht="15" hidden="false" customHeight="false" outlineLevel="0" collapsed="false">
      <c r="A174" s="14" t="n">
        <v>53.45</v>
      </c>
      <c r="B174" s="23" t="n">
        <v>-251.4931068021</v>
      </c>
      <c r="C174" s="19" t="n">
        <v>170</v>
      </c>
      <c r="D174" s="11" t="n">
        <f aca="false">-Cost_k*A174+Beta_q*(Declarations!$B$16*INDEX($B$5:$B$425,$C174-ROUND(Declarations!$A$16/0.05,0))+Declarations!$B$17*INDEX($B$5:$B$425,$C174-ROUND(Declarations!$A$17/0.05,0))+Declarations!$B$18*INDEX($B$5:$B$425,$C174-ROUND(Declarations!$A$18/0.05,0))+Declarations!$B$19*INDEX($B$5:$B$425,$C174-ROUND(Declarations!$A$19/0.05,0))+Declarations!$B$20*INDEX($B$5:$B$425,$C174-ROUND(Declarations!$A$20/0.05,0)))</f>
        <v>-459.606829135072</v>
      </c>
      <c r="E174" s="16" t="n">
        <f aca="false">Alpha_keep*A174</f>
        <v>52.11375</v>
      </c>
      <c r="F174" s="16" t="n">
        <f aca="false">Alpha_keep*A174+Cap_h</f>
        <v>54.61375</v>
      </c>
      <c r="G174" s="11" t="n">
        <f aca="false">(INDEX($D$5:$D$425,MIN(INT((E174-45)/0.05+0.000000001),419)+1)*(1-((E174-45)/0.05-MIN(INT((E174-45)/0.05+0.000000001),419)))+INDEX($D$5:$D$425,MIN(INT((E174-45)/0.05+0.000000001),419)+2)*((E174-45)/0.05-MIN(INT((E174-45)/0.05+0.000000001),419)))</f>
        <v>-463.865918300423</v>
      </c>
      <c r="H174" s="11" t="n">
        <f aca="false">(INDEX($D$5:$D$425,MIN(INT((F174-45)/0.05+0.000000001),419)+1)*(1-((F174-45)/0.05-MIN(INT((F174-45)/0.05+0.000000001),419)))+INDEX($D$5:$D$425,MIN(INT((F174-45)/0.05+0.000000001),419)+2)*((F174-45)/0.05-MIN(INT((F174-45)/0.05+0.000000001),419)))</f>
        <v>-457.4681068021</v>
      </c>
      <c r="I174" s="11" t="n">
        <f aca="false">_xlfn.MAXIFS($D$5:$D$425,$A$5:$A$425,"&gt;="&amp;E174,$A$5:$A$425,"&lt;="&amp;F174)</f>
        <v>-457.483658260911</v>
      </c>
      <c r="J174" s="11" t="n">
        <f aca="false">-Short_p*MAX(Floor_c-A174,0)+Cost_k*Alpha_keep*A174+MAX(G174,H174,I174)</f>
        <v>-251.493106802099</v>
      </c>
      <c r="K174" s="22" t="n">
        <f aca="false">ABS(J174-B174)</f>
        <v>0</v>
      </c>
    </row>
    <row r="175" customFormat="false" ht="15" hidden="false" customHeight="false" outlineLevel="0" collapsed="false">
      <c r="A175" s="14" t="n">
        <v>53.5</v>
      </c>
      <c r="B175" s="23" t="n">
        <v>-251.163345277072</v>
      </c>
      <c r="C175" s="19" t="n">
        <v>171</v>
      </c>
      <c r="D175" s="11" t="n">
        <f aca="false">-Cost_k*A175+Beta_q*(Declarations!$B$16*INDEX($B$5:$B$425,$C175-ROUND(Declarations!$A$16/0.05,0))+Declarations!$B$17*INDEX($B$5:$B$425,$C175-ROUND(Declarations!$A$17/0.05,0))+Declarations!$B$18*INDEX($B$5:$B$425,$C175-ROUND(Declarations!$A$18/0.05,0))+Declarations!$B$19*INDEX($B$5:$B$425,$C175-ROUND(Declarations!$A$19/0.05,0))+Declarations!$B$20*INDEX($B$5:$B$425,$C175-ROUND(Declarations!$A$20/0.05,0)))</f>
        <v>-459.485789815019</v>
      </c>
      <c r="E175" s="16" t="n">
        <f aca="false">Alpha_keep*A175</f>
        <v>52.1625</v>
      </c>
      <c r="F175" s="16" t="n">
        <f aca="false">Alpha_keep*A175+Cap_h</f>
        <v>54.6625</v>
      </c>
      <c r="G175" s="11" t="n">
        <f aca="false">(INDEX($D$5:$D$425,MIN(INT((E175-45)/0.05+0.000000001),419)+1)*(1-((E175-45)/0.05-MIN(INT((E175-45)/0.05+0.000000001),419)))+INDEX($D$5:$D$425,MIN(INT((E175-45)/0.05+0.000000001),419)+2)*((E175-45)/0.05-MIN(INT((E175-45)/0.05+0.000000001),419)))</f>
        <v>-463.676572432319</v>
      </c>
      <c r="H175" s="11" t="n">
        <f aca="false">(INDEX($D$5:$D$425,MIN(INT((F175-45)/0.05+0.000000001),419)+1)*(1-((F175-45)/0.05-MIN(INT((F175-45)/0.05+0.000000001),419)))+INDEX($D$5:$D$425,MIN(INT((F175-45)/0.05+0.000000001),419)+2)*((F175-45)/0.05-MIN(INT((F175-45)/0.05+0.000000001),419)))</f>
        <v>-457.413345277072</v>
      </c>
      <c r="I175" s="11" t="n">
        <f aca="false">_xlfn.MAXIFS($D$5:$D$425,$A$5:$A$425,"&gt;="&amp;E175,$A$5:$A$425,"&lt;="&amp;F175)</f>
        <v>-457.427107501598</v>
      </c>
      <c r="J175" s="11" t="n">
        <f aca="false">-Short_p*MAX(Floor_c-A175,0)+Cost_k*Alpha_keep*A175+MAX(G175,H175,I175)</f>
        <v>-251.163345277072</v>
      </c>
      <c r="K175" s="22" t="n">
        <f aca="false">ABS(J175-B175)</f>
        <v>0</v>
      </c>
    </row>
    <row r="176" customFormat="false" ht="15" hidden="false" customHeight="false" outlineLevel="0" collapsed="false">
      <c r="A176" s="14" t="n">
        <v>53.55</v>
      </c>
      <c r="B176" s="23" t="n">
        <v>-250.834672659008</v>
      </c>
      <c r="C176" s="19" t="n">
        <v>172</v>
      </c>
      <c r="D176" s="11" t="n">
        <f aca="false">-Cost_k*A176+Beta_q*(Declarations!$B$16*INDEX($B$5:$B$425,$C176-ROUND(Declarations!$A$16/0.05,0))+Declarations!$B$17*INDEX($B$5:$B$425,$C176-ROUND(Declarations!$A$17/0.05,0))+Declarations!$B$18*INDEX($B$5:$B$425,$C176-ROUND(Declarations!$A$18/0.05,0))+Declarations!$B$19*INDEX($B$5:$B$425,$C176-ROUND(Declarations!$A$19/0.05,0))+Declarations!$B$20*INDEX($B$5:$B$425,$C176-ROUND(Declarations!$A$20/0.05,0)))</f>
        <v>-459.369392357776</v>
      </c>
      <c r="E176" s="16" t="n">
        <f aca="false">Alpha_keep*A176</f>
        <v>52.21125</v>
      </c>
      <c r="F176" s="16" t="n">
        <f aca="false">Alpha_keep*A176+Cap_h</f>
        <v>54.71125</v>
      </c>
      <c r="G176" s="11" t="n">
        <f aca="false">(INDEX($D$5:$D$425,MIN(INT((E176-45)/0.05+0.000000001),419)+1)*(1-((E176-45)/0.05-MIN(INT((E176-45)/0.05+0.000000001),419)))+INDEX($D$5:$D$425,MIN(INT((E176-45)/0.05+0.000000001),419)+2)*((E176-45)/0.05-MIN(INT((E176-45)/0.05+0.000000001),419)))</f>
        <v>-463.489467228385</v>
      </c>
      <c r="H176" s="11" t="n">
        <f aca="false">(INDEX($D$5:$D$425,MIN(INT((F176-45)/0.05+0.000000001),419)+1)*(1-((F176-45)/0.05-MIN(INT((F176-45)/0.05+0.000000001),419)))+INDEX($D$5:$D$425,MIN(INT((F176-45)/0.05+0.000000001),419)+2)*((F176-45)/0.05-MIN(INT((F176-45)/0.05+0.000000001),419)))</f>
        <v>-457.359672659008</v>
      </c>
      <c r="I176" s="11" t="n">
        <f aca="false">_xlfn.MAXIFS($D$5:$D$425,$A$5:$A$425,"&gt;="&amp;E176,$A$5:$A$425,"&lt;="&amp;F176)</f>
        <v>-457.372058603495</v>
      </c>
      <c r="J176" s="11" t="n">
        <f aca="false">-Short_p*MAX(Floor_c-A176,0)+Cost_k*Alpha_keep*A176+MAX(G176,H176,I176)</f>
        <v>-250.834672659008</v>
      </c>
      <c r="K176" s="22" t="n">
        <f aca="false">ABS(J176-B176)</f>
        <v>0</v>
      </c>
    </row>
    <row r="177" customFormat="false" ht="15" hidden="false" customHeight="false" outlineLevel="0" collapsed="false">
      <c r="A177" s="14" t="n">
        <v>53.6</v>
      </c>
      <c r="B177" s="23" t="n">
        <v>-250.506000491422</v>
      </c>
      <c r="C177" s="19" t="n">
        <v>173</v>
      </c>
      <c r="D177" s="11" t="n">
        <f aca="false">-Cost_k*A177+Beta_q*(Declarations!$B$16*INDEX($B$5:$B$425,$C177-ROUND(Declarations!$A$16/0.05,0))+Declarations!$B$17*INDEX($B$5:$B$425,$C177-ROUND(Declarations!$A$17/0.05,0))+Declarations!$B$18*INDEX($B$5:$B$425,$C177-ROUND(Declarations!$A$18/0.05,0))+Declarations!$B$19*INDEX($B$5:$B$425,$C177-ROUND(Declarations!$A$19/0.05,0))+Declarations!$B$20*INDEX($B$5:$B$425,$C177-ROUND(Declarations!$A$20/0.05,0)))</f>
        <v>-459.253019913524</v>
      </c>
      <c r="E177" s="16" t="n">
        <f aca="false">Alpha_keep*A177</f>
        <v>52.26</v>
      </c>
      <c r="F177" s="16" t="n">
        <f aca="false">Alpha_keep*A177+Cap_h</f>
        <v>54.76</v>
      </c>
      <c r="G177" s="11" t="n">
        <f aca="false">(INDEX($D$5:$D$425,MIN(INT((E177-45)/0.05+0.000000001),419)+1)*(1-((E177-45)/0.05-MIN(INT((E177-45)/0.05+0.000000001),419)))+INDEX($D$5:$D$425,MIN(INT((E177-45)/0.05+0.000000001),419)+2)*((E177-45)/0.05-MIN(INT((E177-45)/0.05+0.000000001),419)))</f>
        <v>-463.306331586389</v>
      </c>
      <c r="H177" s="11" t="n">
        <f aca="false">(INDEX($D$5:$D$425,MIN(INT((F177-45)/0.05+0.000000001),419)+1)*(1-((F177-45)/0.05-MIN(INT((F177-45)/0.05+0.000000001),419)))+INDEX($D$5:$D$425,MIN(INT((F177-45)/0.05+0.000000001),419)+2)*((F177-45)/0.05-MIN(INT((F177-45)/0.05+0.000000001),419)))</f>
        <v>-457.306000491422</v>
      </c>
      <c r="I177" s="11" t="n">
        <f aca="false">_xlfn.MAXIFS($D$5:$D$425,$A$5:$A$425,"&gt;="&amp;E177,$A$5:$A$425,"&lt;="&amp;F177)</f>
        <v>-457.317009961331</v>
      </c>
      <c r="J177" s="11" t="n">
        <f aca="false">-Short_p*MAX(Floor_c-A177,0)+Cost_k*Alpha_keep*A177+MAX(G177,H177,I177)</f>
        <v>-250.506000491422</v>
      </c>
      <c r="K177" s="22" t="n">
        <f aca="false">ABS(J177-B177)</f>
        <v>0</v>
      </c>
    </row>
    <row r="178" customFormat="false" ht="15" hidden="false" customHeight="false" outlineLevel="0" collapsed="false">
      <c r="A178" s="14" t="n">
        <v>53.65</v>
      </c>
      <c r="B178" s="23" t="n">
        <v>-250.177330282568</v>
      </c>
      <c r="C178" s="19" t="n">
        <v>174</v>
      </c>
      <c r="D178" s="11" t="n">
        <f aca="false">-Cost_k*A178+Beta_q*(Declarations!$B$16*INDEX($B$5:$B$425,$C178-ROUND(Declarations!$A$16/0.05,0))+Declarations!$B$17*INDEX($B$5:$B$425,$C178-ROUND(Declarations!$A$17/0.05,0))+Declarations!$B$18*INDEX($B$5:$B$425,$C178-ROUND(Declarations!$A$18/0.05,0))+Declarations!$B$19*INDEX($B$5:$B$425,$C178-ROUND(Declarations!$A$19/0.05,0))+Declarations!$B$20*INDEX($B$5:$B$425,$C178-ROUND(Declarations!$A$20/0.05,0)))</f>
        <v>-459.136670401597</v>
      </c>
      <c r="E178" s="16" t="n">
        <f aca="false">Alpha_keep*A178</f>
        <v>52.30875</v>
      </c>
      <c r="F178" s="16" t="n">
        <f aca="false">Alpha_keep*A178+Cap_h</f>
        <v>54.80875</v>
      </c>
      <c r="G178" s="11" t="n">
        <f aca="false">(INDEX($D$5:$D$425,MIN(INT((E178-45)/0.05+0.000000001),419)+1)*(1-((E178-45)/0.05-MIN(INT((E178-45)/0.05+0.000000001),419)))+INDEX($D$5:$D$425,MIN(INT((E178-45)/0.05+0.000000001),419)+2)*((E178-45)/0.05-MIN(INT((E178-45)/0.05+0.000000001),419)))</f>
        <v>-463.126942668479</v>
      </c>
      <c r="H178" s="11" t="n">
        <f aca="false">(INDEX($D$5:$D$425,MIN(INT((F178-45)/0.05+0.000000001),419)+1)*(1-((F178-45)/0.05-MIN(INT((F178-45)/0.05+0.000000001),419)))+INDEX($D$5:$D$425,MIN(INT((F178-45)/0.05+0.000000001),419)+2)*((F178-45)/0.05-MIN(INT((F178-45)/0.05+0.000000001),419)))</f>
        <v>-457.252330282568</v>
      </c>
      <c r="I178" s="11" t="n">
        <f aca="false">_xlfn.MAXIFS($D$5:$D$425,$A$5:$A$425,"&gt;="&amp;E178,$A$5:$A$425,"&lt;="&amp;F178)</f>
        <v>-457.261962611784</v>
      </c>
      <c r="J178" s="11" t="n">
        <f aca="false">-Short_p*MAX(Floor_c-A178,0)+Cost_k*Alpha_keep*A178+MAX(G178,H178,I178)</f>
        <v>-250.177330282568</v>
      </c>
      <c r="K178" s="22" t="n">
        <f aca="false">ABS(J178-B178)</f>
        <v>0</v>
      </c>
    </row>
    <row r="179" customFormat="false" ht="15" hidden="false" customHeight="false" outlineLevel="0" collapsed="false">
      <c r="A179" s="14" t="n">
        <v>53.7</v>
      </c>
      <c r="B179" s="23" t="n">
        <v>-249.848669069033</v>
      </c>
      <c r="C179" s="19" t="n">
        <v>175</v>
      </c>
      <c r="D179" s="11" t="n">
        <f aca="false">-Cost_k*A179+Beta_q*(Declarations!$B$16*INDEX($B$5:$B$425,$C179-ROUND(Declarations!$A$16/0.05,0))+Declarations!$B$17*INDEX($B$5:$B$425,$C179-ROUND(Declarations!$A$17/0.05,0))+Declarations!$B$18*INDEX($B$5:$B$425,$C179-ROUND(Declarations!$A$18/0.05,0))+Declarations!$B$19*INDEX($B$5:$B$425,$C179-ROUND(Declarations!$A$19/0.05,0))+Declarations!$B$20*INDEX($B$5:$B$425,$C179-ROUND(Declarations!$A$20/0.05,0)))</f>
        <v>-459.020405068054</v>
      </c>
      <c r="E179" s="16" t="n">
        <f aca="false">Alpha_keep*A179</f>
        <v>52.3575</v>
      </c>
      <c r="F179" s="16" t="n">
        <f aca="false">Alpha_keep*A179+Cap_h</f>
        <v>54.8575</v>
      </c>
      <c r="G179" s="11" t="n">
        <f aca="false">(INDEX($D$5:$D$425,MIN(INT((E179-45)/0.05+0.000000001),419)+1)*(1-((E179-45)/0.05-MIN(INT((E179-45)/0.05+0.000000001),419)))+INDEX($D$5:$D$425,MIN(INT((E179-45)/0.05+0.000000001),419)+2)*((E179-45)/0.05-MIN(INT((E179-45)/0.05+0.000000001),419)))</f>
        <v>-462.951496590657</v>
      </c>
      <c r="H179" s="11" t="n">
        <f aca="false">(INDEX($D$5:$D$425,MIN(INT((F179-45)/0.05+0.000000001),419)+1)*(1-((F179-45)/0.05-MIN(INT((F179-45)/0.05+0.000000001),419)))+INDEX($D$5:$D$425,MIN(INT((F179-45)/0.05+0.000000001),419)+2)*((F179-45)/0.05-MIN(INT((F179-45)/0.05+0.000000001),419)))</f>
        <v>-457.198669069034</v>
      </c>
      <c r="I179" s="11" t="n">
        <f aca="false">_xlfn.MAXIFS($D$5:$D$425,$A$5:$A$425,"&gt;="&amp;E179,$A$5:$A$425,"&lt;="&amp;F179)</f>
        <v>-457.206920730547</v>
      </c>
      <c r="J179" s="11" t="n">
        <f aca="false">-Short_p*MAX(Floor_c-A179,0)+Cost_k*Alpha_keep*A179+MAX(G179,H179,I179)</f>
        <v>-249.848669069033</v>
      </c>
      <c r="K179" s="22" t="n">
        <f aca="false">ABS(J179-B179)</f>
        <v>0</v>
      </c>
    </row>
    <row r="180" customFormat="false" ht="15" hidden="false" customHeight="false" outlineLevel="0" collapsed="false">
      <c r="A180" s="14" t="n">
        <v>53.75</v>
      </c>
      <c r="B180" s="23" t="n">
        <v>-249.520061581452</v>
      </c>
      <c r="C180" s="19" t="n">
        <v>176</v>
      </c>
      <c r="D180" s="11" t="n">
        <f aca="false">-Cost_k*A180+Beta_q*(Declarations!$B$16*INDEX($B$5:$B$425,$C180-ROUND(Declarations!$A$16/0.05,0))+Declarations!$B$17*INDEX($B$5:$B$425,$C180-ROUND(Declarations!$A$17/0.05,0))+Declarations!$B$18*INDEX($B$5:$B$425,$C180-ROUND(Declarations!$A$18/0.05,0))+Declarations!$B$19*INDEX($B$5:$B$425,$C180-ROUND(Declarations!$A$19/0.05,0))+Declarations!$B$20*INDEX($B$5:$B$425,$C180-ROUND(Declarations!$A$20/0.05,0)))</f>
        <v>-458.904566858646</v>
      </c>
      <c r="E180" s="16" t="n">
        <f aca="false">Alpha_keep*A180</f>
        <v>52.40625</v>
      </c>
      <c r="F180" s="16" t="n">
        <f aca="false">Alpha_keep*A180+Cap_h</f>
        <v>54.90625</v>
      </c>
      <c r="G180" s="11" t="n">
        <f aca="false">(INDEX($D$5:$D$425,MIN(INT((E180-45)/0.05+0.000000001),419)+1)*(1-((E180-45)/0.05-MIN(INT((E180-45)/0.05+0.000000001),419)))+INDEX($D$5:$D$425,MIN(INT((E180-45)/0.05+0.000000001),419)+2)*((E180-45)/0.05-MIN(INT((E180-45)/0.05+0.000000001),419)))</f>
        <v>-462.77918655569</v>
      </c>
      <c r="H180" s="11" t="n">
        <f aca="false">(INDEX($D$5:$D$425,MIN(INT((F180-45)/0.05+0.000000001),419)+1)*(1-((F180-45)/0.05-MIN(INT((F180-45)/0.05+0.000000001),419)))+INDEX($D$5:$D$425,MIN(INT((F180-45)/0.05+0.000000001),419)+2)*((F180-45)/0.05-MIN(INT((F180-45)/0.05+0.000000001),419)))</f>
        <v>-457.145061581452</v>
      </c>
      <c r="I180" s="11" t="n">
        <f aca="false">_xlfn.MAXIFS($D$5:$D$425,$A$5:$A$425,"&gt;="&amp;E180,$A$5:$A$425,"&lt;="&amp;F180)</f>
        <v>-457.15190965379</v>
      </c>
      <c r="J180" s="11" t="n">
        <f aca="false">-Short_p*MAX(Floor_c-A180,0)+Cost_k*Alpha_keep*A180+MAX(G180,H180,I180)</f>
        <v>-249.520061581452</v>
      </c>
      <c r="K180" s="22" t="n">
        <f aca="false">ABS(J180-B180)</f>
        <v>0</v>
      </c>
    </row>
    <row r="181" customFormat="false" ht="15" hidden="false" customHeight="false" outlineLevel="0" collapsed="false">
      <c r="A181" s="14" t="n">
        <v>53.8</v>
      </c>
      <c r="B181" s="23" t="n">
        <v>-249.191738240698</v>
      </c>
      <c r="C181" s="19" t="n">
        <v>177</v>
      </c>
      <c r="D181" s="11" t="n">
        <f aca="false">-Cost_k*A181+Beta_q*(Declarations!$B$16*INDEX($B$5:$B$425,$C181-ROUND(Declarations!$A$16/0.05,0))+Declarations!$B$17*INDEX($B$5:$B$425,$C181-ROUND(Declarations!$A$17/0.05,0))+Declarations!$B$18*INDEX($B$5:$B$425,$C181-ROUND(Declarations!$A$18/0.05,0))+Declarations!$B$19*INDEX($B$5:$B$425,$C181-ROUND(Declarations!$A$19/0.05,0))+Declarations!$B$20*INDEX($B$5:$B$425,$C181-ROUND(Declarations!$A$20/0.05,0)))</f>
        <v>-458.789589383552</v>
      </c>
      <c r="E181" s="16" t="n">
        <f aca="false">Alpha_keep*A181</f>
        <v>52.455</v>
      </c>
      <c r="F181" s="16" t="n">
        <f aca="false">Alpha_keep*A181+Cap_h</f>
        <v>54.955</v>
      </c>
      <c r="G181" s="11" t="n">
        <f aca="false">(INDEX($D$5:$D$425,MIN(INT((E181-45)/0.05+0.000000001),419)+1)*(1-((E181-45)/0.05-MIN(INT((E181-45)/0.05+0.000000001),419)))+INDEX($D$5:$D$425,MIN(INT((E181-45)/0.05+0.000000001),419)+2)*((E181-45)/0.05-MIN(INT((E181-45)/0.05+0.000000001),419)))</f>
        <v>-462.607002077787</v>
      </c>
      <c r="H181" s="11" t="n">
        <f aca="false">(INDEX($D$5:$D$425,MIN(INT((F181-45)/0.05+0.000000001),419)+1)*(1-((F181-45)/0.05-MIN(INT((F181-45)/0.05+0.000000001),419)))+INDEX($D$5:$D$425,MIN(INT((F181-45)/0.05+0.000000001),419)+2)*((F181-45)/0.05-MIN(INT((F181-45)/0.05+0.000000001),419)))</f>
        <v>-457.091738240697</v>
      </c>
      <c r="I181" s="11" t="n">
        <f aca="false">_xlfn.MAXIFS($D$5:$D$425,$A$5:$A$425,"&gt;="&amp;E181,$A$5:$A$425,"&lt;="&amp;F181)</f>
        <v>-457.097125075083</v>
      </c>
      <c r="J181" s="11" t="n">
        <f aca="false">-Short_p*MAX(Floor_c-A181,0)+Cost_k*Alpha_keep*A181+MAX(G181,H181,I181)</f>
        <v>-249.191738240697</v>
      </c>
      <c r="K181" s="22" t="n">
        <f aca="false">ABS(J181-B181)</f>
        <v>0</v>
      </c>
    </row>
    <row r="182" customFormat="false" ht="15" hidden="false" customHeight="false" outlineLevel="0" collapsed="false">
      <c r="A182" s="14" t="n">
        <v>53.85</v>
      </c>
      <c r="B182" s="23" t="n">
        <v>-248.86716194878</v>
      </c>
      <c r="C182" s="19" t="n">
        <v>178</v>
      </c>
      <c r="D182" s="11" t="n">
        <f aca="false">-Cost_k*A182+Beta_q*(Declarations!$B$16*INDEX($B$5:$B$425,$C182-ROUND(Declarations!$A$16/0.05,0))+Declarations!$B$17*INDEX($B$5:$B$425,$C182-ROUND(Declarations!$A$17/0.05,0))+Declarations!$B$18*INDEX($B$5:$B$425,$C182-ROUND(Declarations!$A$18/0.05,0))+Declarations!$B$19*INDEX($B$5:$B$425,$C182-ROUND(Declarations!$A$19/0.05,0))+Declarations!$B$20*INDEX($B$5:$B$425,$C182-ROUND(Declarations!$A$20/0.05,0)))</f>
        <v>-458.678449201647</v>
      </c>
      <c r="E182" s="16" t="n">
        <f aca="false">Alpha_keep*A182</f>
        <v>52.50375</v>
      </c>
      <c r="F182" s="16" t="n">
        <f aca="false">Alpha_keep*A182+Cap_h</f>
        <v>55.00375</v>
      </c>
      <c r="G182" s="11" t="n">
        <f aca="false">(INDEX($D$5:$D$425,MIN(INT((E182-45)/0.05+0.000000001),419)+1)*(1-((E182-45)/0.05-MIN(INT((E182-45)/0.05+0.000000001),419)))+INDEX($D$5:$D$425,MIN(INT((E182-45)/0.05+0.000000001),419)+2)*((E182-45)/0.05-MIN(INT((E182-45)/0.05+0.000000001),419)))</f>
        <v>-462.435132572137</v>
      </c>
      <c r="H182" s="11" t="n">
        <f aca="false">(INDEX($D$5:$D$425,MIN(INT((F182-45)/0.05+0.000000001),419)+1)*(1-((F182-45)/0.05-MIN(INT((F182-45)/0.05+0.000000001),419)))+INDEX($D$5:$D$425,MIN(INT((F182-45)/0.05+0.000000001),419)+2)*((F182-45)/0.05-MIN(INT((F182-45)/0.05+0.000000001),419)))</f>
        <v>-457.04216194878</v>
      </c>
      <c r="I182" s="11" t="n">
        <f aca="false">_xlfn.MAXIFS($D$5:$D$425,$A$5:$A$425,"&gt;="&amp;E182,$A$5:$A$425,"&lt;="&amp;F182)</f>
        <v>-457.043256731224</v>
      </c>
      <c r="J182" s="11" t="n">
        <f aca="false">-Short_p*MAX(Floor_c-A182,0)+Cost_k*Alpha_keep*A182+MAX(G182,H182,I182)</f>
        <v>-248.86716194878</v>
      </c>
      <c r="K182" s="22" t="n">
        <f aca="false">ABS(J182-B182)</f>
        <v>0</v>
      </c>
    </row>
    <row r="183" customFormat="false" ht="15" hidden="false" customHeight="false" outlineLevel="0" collapsed="false">
      <c r="A183" s="14" t="n">
        <v>53.9</v>
      </c>
      <c r="B183" s="23" t="n">
        <v>-248.577930510396</v>
      </c>
      <c r="C183" s="19" t="n">
        <v>179</v>
      </c>
      <c r="D183" s="11" t="n">
        <f aca="false">-Cost_k*A183+Beta_q*(Declarations!$B$16*INDEX($B$5:$B$425,$C183-ROUND(Declarations!$A$16/0.05,0))+Declarations!$B$17*INDEX($B$5:$B$425,$C183-ROUND(Declarations!$A$17/0.05,0))+Declarations!$B$18*INDEX($B$5:$B$425,$C183-ROUND(Declarations!$A$18/0.05,0))+Declarations!$B$19*INDEX($B$5:$B$425,$C183-ROUND(Declarations!$A$19/0.05,0))+Declarations!$B$20*INDEX($B$5:$B$425,$C183-ROUND(Declarations!$A$20/0.05,0)))</f>
        <v>-458.587632776123</v>
      </c>
      <c r="E183" s="16" t="n">
        <f aca="false">Alpha_keep*A183</f>
        <v>52.5525</v>
      </c>
      <c r="F183" s="16" t="n">
        <f aca="false">Alpha_keep*A183+Cap_h</f>
        <v>55.0525</v>
      </c>
      <c r="G183" s="11" t="n">
        <f aca="false">(INDEX($D$5:$D$425,MIN(INT((E183-45)/0.05+0.000000001),419)+1)*(1-((E183-45)/0.05-MIN(INT((E183-45)/0.05+0.000000001),419)))+INDEX($D$5:$D$425,MIN(INT((E183-45)/0.05+0.000000001),419)+2)*((E183-45)/0.05-MIN(INT((E183-45)/0.05+0.000000001),419)))</f>
        <v>-462.263938998597</v>
      </c>
      <c r="H183" s="11" t="n">
        <f aca="false">(INDEX($D$5:$D$425,MIN(INT((F183-45)/0.05+0.000000001),419)+1)*(1-((F183-45)/0.05-MIN(INT((F183-45)/0.05+0.000000001),419)))+INDEX($D$5:$D$425,MIN(INT((F183-45)/0.05+0.000000001),419)+2)*((F183-45)/0.05-MIN(INT((F183-45)/0.05+0.000000001),419)))</f>
        <v>-457.027930510396</v>
      </c>
      <c r="I183" s="11" t="n">
        <f aca="false">_xlfn.MAXIFS($D$5:$D$425,$A$5:$A$425,"&gt;="&amp;E183,$A$5:$A$425,"&lt;="&amp;F183)</f>
        <v>-457.02865963197</v>
      </c>
      <c r="J183" s="11" t="n">
        <f aca="false">-Short_p*MAX(Floor_c-A183,0)+Cost_k*Alpha_keep*A183+MAX(G183,H183,I183)</f>
        <v>-248.577930510396</v>
      </c>
      <c r="K183" s="22" t="n">
        <f aca="false">ABS(J183-B183)</f>
        <v>0</v>
      </c>
    </row>
    <row r="184" customFormat="false" ht="15" hidden="false" customHeight="false" outlineLevel="0" collapsed="false">
      <c r="A184" s="14" t="n">
        <v>53.95</v>
      </c>
      <c r="B184" s="23" t="n">
        <v>-248.288712642186</v>
      </c>
      <c r="C184" s="19" t="n">
        <v>180</v>
      </c>
      <c r="D184" s="11" t="n">
        <f aca="false">-Cost_k*A184+Beta_q*(Declarations!$B$16*INDEX($B$5:$B$425,$C184-ROUND(Declarations!$A$16/0.05,0))+Declarations!$B$17*INDEX($B$5:$B$425,$C184-ROUND(Declarations!$A$17/0.05,0))+Declarations!$B$18*INDEX($B$5:$B$425,$C184-ROUND(Declarations!$A$18/0.05,0))+Declarations!$B$19*INDEX($B$5:$B$425,$C184-ROUND(Declarations!$A$19/0.05,0))+Declarations!$B$20*INDEX($B$5:$B$425,$C184-ROUND(Declarations!$A$20/0.05,0)))</f>
        <v>-458.497427516233</v>
      </c>
      <c r="E184" s="16" t="n">
        <f aca="false">Alpha_keep*A184</f>
        <v>52.60125</v>
      </c>
      <c r="F184" s="16" t="n">
        <f aca="false">Alpha_keep*A184+Cap_h</f>
        <v>55.10125</v>
      </c>
      <c r="G184" s="11" t="n">
        <f aca="false">(INDEX($D$5:$D$425,MIN(INT((E184-45)/0.05+0.000000001),419)+1)*(1-((E184-45)/0.05-MIN(INT((E184-45)/0.05+0.000000001),419)))+INDEX($D$5:$D$425,MIN(INT((E184-45)/0.05+0.000000001),419)+2)*((E184-45)/0.05-MIN(INT((E184-45)/0.05+0.000000001),419)))</f>
        <v>-462.093789971977</v>
      </c>
      <c r="H184" s="11" t="n">
        <f aca="false">(INDEX($D$5:$D$425,MIN(INT((F184-45)/0.05+0.000000001),419)+1)*(1-((F184-45)/0.05-MIN(INT((F184-45)/0.05+0.000000001),419)))+INDEX($D$5:$D$425,MIN(INT((F184-45)/0.05+0.000000001),419)+2)*((F184-45)/0.05-MIN(INT((F184-45)/0.05+0.000000001),419)))</f>
        <v>-457.013712642186</v>
      </c>
      <c r="I184" s="11" t="n">
        <f aca="false">_xlfn.MAXIFS($D$5:$D$425,$A$5:$A$425,"&gt;="&amp;E184,$A$5:$A$425,"&lt;="&amp;F184)</f>
        <v>-457.014077200493</v>
      </c>
      <c r="J184" s="11" t="n">
        <f aca="false">-Short_p*MAX(Floor_c-A184,0)+Cost_k*Alpha_keep*A184+MAX(G184,H184,I184)</f>
        <v>-248.288712642186</v>
      </c>
      <c r="K184" s="22" t="n">
        <f aca="false">ABS(J184-B184)</f>
        <v>0</v>
      </c>
    </row>
    <row r="185" customFormat="false" ht="15" hidden="false" customHeight="false" outlineLevel="0" collapsed="false">
      <c r="A185" s="14" t="n">
        <v>54</v>
      </c>
      <c r="B185" s="23" t="n">
        <v>-247.999494868202</v>
      </c>
      <c r="C185" s="19" t="n">
        <v>181</v>
      </c>
      <c r="D185" s="11" t="n">
        <f aca="false">-Cost_k*A185+Beta_q*(Declarations!$B$16*INDEX($B$5:$B$425,$C185-ROUND(Declarations!$A$16/0.05,0))+Declarations!$B$17*INDEX($B$5:$B$425,$C185-ROUND(Declarations!$A$17/0.05,0))+Declarations!$B$18*INDEX($B$5:$B$425,$C185-ROUND(Declarations!$A$18/0.05,0))+Declarations!$B$19*INDEX($B$5:$B$425,$C185-ROUND(Declarations!$A$19/0.05,0))+Declarations!$B$20*INDEX($B$5:$B$425,$C185-ROUND(Declarations!$A$20/0.05,0)))</f>
        <v>-458.40722655878</v>
      </c>
      <c r="E185" s="16" t="n">
        <f aca="false">Alpha_keep*A185</f>
        <v>52.65</v>
      </c>
      <c r="F185" s="16" t="n">
        <f aca="false">Alpha_keep*A185+Cap_h</f>
        <v>55.15</v>
      </c>
      <c r="G185" s="11" t="n">
        <f aca="false">(INDEX($D$5:$D$425,MIN(INT((E185-45)/0.05+0.000000001),419)+1)*(1-((E185-45)/0.05-MIN(INT((E185-45)/0.05+0.000000001),419)))+INDEX($D$5:$D$425,MIN(INT((E185-45)/0.05+0.000000001),419)+2)*((E185-45)/0.05-MIN(INT((E185-45)/0.05+0.000000001),419)))</f>
        <v>-461.92633578085</v>
      </c>
      <c r="H185" s="11" t="n">
        <f aca="false">(INDEX($D$5:$D$425,MIN(INT((F185-45)/0.05+0.000000001),419)+1)*(1-((F185-45)/0.05-MIN(INT((F185-45)/0.05+0.000000001),419)))+INDEX($D$5:$D$425,MIN(INT((F185-45)/0.05+0.000000001),419)+2)*((F185-45)/0.05-MIN(INT((F185-45)/0.05+0.000000001),419)))</f>
        <v>-456.999494868202</v>
      </c>
      <c r="I185" s="11" t="n">
        <f aca="false">_xlfn.MAXIFS($D$5:$D$425,$A$5:$A$425,"&gt;="&amp;E185,$A$5:$A$425,"&lt;="&amp;F185)</f>
        <v>-456.999494868202</v>
      </c>
      <c r="J185" s="11" t="n">
        <f aca="false">-Short_p*MAX(Floor_c-A185,0)+Cost_k*Alpha_keep*A185+MAX(G185,H185,I185)</f>
        <v>-247.999494868202</v>
      </c>
      <c r="K185" s="22" t="n">
        <f aca="false">ABS(J185-B185)</f>
        <v>0</v>
      </c>
    </row>
    <row r="186" customFormat="false" ht="15" hidden="false" customHeight="false" outlineLevel="0" collapsed="false">
      <c r="A186" s="14" t="n">
        <v>54.05</v>
      </c>
      <c r="B186" s="23" t="n">
        <v>-247.710277542511</v>
      </c>
      <c r="C186" s="19" t="n">
        <v>182</v>
      </c>
      <c r="D186" s="11" t="n">
        <f aca="false">-Cost_k*A186+Beta_q*(Declarations!$B$16*INDEX($B$5:$B$425,$C186-ROUND(Declarations!$A$16/0.05,0))+Declarations!$B$17*INDEX($B$5:$B$425,$C186-ROUND(Declarations!$A$17/0.05,0))+Declarations!$B$18*INDEX($B$5:$B$425,$C186-ROUND(Declarations!$A$18/0.05,0))+Declarations!$B$19*INDEX($B$5:$B$425,$C186-ROUND(Declarations!$A$19/0.05,0))+Declarations!$B$20*INDEX($B$5:$B$425,$C186-ROUND(Declarations!$A$20/0.05,0)))</f>
        <v>-458.317046683868</v>
      </c>
      <c r="E186" s="16" t="n">
        <f aca="false">Alpha_keep*A186</f>
        <v>52.69875</v>
      </c>
      <c r="F186" s="16" t="n">
        <f aca="false">Alpha_keep*A186+Cap_h</f>
        <v>55.19875</v>
      </c>
      <c r="G186" s="11" t="n">
        <f aca="false">(INDEX($D$5:$D$425,MIN(INT((E186-45)/0.05+0.000000001),419)+1)*(1-((E186-45)/0.05-MIN(INT((E186-45)/0.05+0.000000001),419)))+INDEX($D$5:$D$425,MIN(INT((E186-45)/0.05+0.000000001),419)+2)*((E186-45)/0.05-MIN(INT((E186-45)/0.05+0.000000001),419)))</f>
        <v>-461.768592024467</v>
      </c>
      <c r="H186" s="11" t="n">
        <f aca="false">(INDEX($D$5:$D$425,MIN(INT((F186-45)/0.05+0.000000001),419)+1)*(1-((F186-45)/0.05-MIN(INT((F186-45)/0.05+0.000000001),419)))+INDEX($D$5:$D$425,MIN(INT((F186-45)/0.05+0.000000001),419)+2)*((F186-45)/0.05-MIN(INT((F186-45)/0.05+0.000000001),419)))</f>
        <v>-456.985277542511</v>
      </c>
      <c r="I186" s="11" t="n">
        <f aca="false">_xlfn.MAXIFS($D$5:$D$425,$A$5:$A$425,"&gt;="&amp;E186,$A$5:$A$425,"&lt;="&amp;F186)</f>
        <v>-456.999494868202</v>
      </c>
      <c r="J186" s="11" t="n">
        <f aca="false">-Short_p*MAX(Floor_c-A186,0)+Cost_k*Alpha_keep*A186+MAX(G186,H186,I186)</f>
        <v>-247.710277542511</v>
      </c>
      <c r="K186" s="22" t="n">
        <f aca="false">ABS(J186-B186)</f>
        <v>0</v>
      </c>
    </row>
    <row r="187" customFormat="false" ht="15" hidden="false" customHeight="false" outlineLevel="0" collapsed="false">
      <c r="A187" s="14" t="n">
        <v>54.1</v>
      </c>
      <c r="B187" s="23" t="n">
        <v>-247.421062905016</v>
      </c>
      <c r="C187" s="19" t="n">
        <v>183</v>
      </c>
      <c r="D187" s="11" t="n">
        <f aca="false">-Cost_k*A187+Beta_q*(Declarations!$B$16*INDEX($B$5:$B$425,$C187-ROUND(Declarations!$A$16/0.05,0))+Declarations!$B$17*INDEX($B$5:$B$425,$C187-ROUND(Declarations!$A$17/0.05,0))+Declarations!$B$18*INDEX($B$5:$B$425,$C187-ROUND(Declarations!$A$18/0.05,0))+Declarations!$B$19*INDEX($B$5:$B$425,$C187-ROUND(Declarations!$A$19/0.05,0))+Declarations!$B$20*INDEX($B$5:$B$425,$C187-ROUND(Declarations!$A$20/0.05,0)))</f>
        <v>-458.226922524426</v>
      </c>
      <c r="E187" s="16" t="n">
        <f aca="false">Alpha_keep*A187</f>
        <v>52.7475</v>
      </c>
      <c r="F187" s="16" t="n">
        <f aca="false">Alpha_keep*A187+Cap_h</f>
        <v>55.2475</v>
      </c>
      <c r="G187" s="11" t="n">
        <f aca="false">(INDEX($D$5:$D$425,MIN(INT((E187-45)/0.05+0.000000001),419)+1)*(1-((E187-45)/0.05-MIN(INT((E187-45)/0.05+0.000000001),419)))+INDEX($D$5:$D$425,MIN(INT((E187-45)/0.05+0.000000001),419)+2)*((E187-45)/0.05-MIN(INT((E187-45)/0.05+0.000000001),419)))</f>
        <v>-461.615717614605</v>
      </c>
      <c r="H187" s="11" t="n">
        <f aca="false">(INDEX($D$5:$D$425,MIN(INT((F187-45)/0.05+0.000000001),419)+1)*(1-((F187-45)/0.05-MIN(INT((F187-45)/0.05+0.000000001),419)))+INDEX($D$5:$D$425,MIN(INT((F187-45)/0.05+0.000000001),419)+2)*((F187-45)/0.05-MIN(INT((F187-45)/0.05+0.000000001),419)))</f>
        <v>-456.971062905016</v>
      </c>
      <c r="I187" s="11" t="n">
        <f aca="false">_xlfn.MAXIFS($D$5:$D$425,$A$5:$A$425,"&gt;="&amp;E187,$A$5:$A$425,"&lt;="&amp;F187)</f>
        <v>-456.984912995699</v>
      </c>
      <c r="J187" s="11" t="n">
        <f aca="false">-Short_p*MAX(Floor_c-A187,0)+Cost_k*Alpha_keep*A187+MAX(G187,H187,I187)</f>
        <v>-247.421062905016</v>
      </c>
      <c r="K187" s="22" t="n">
        <f aca="false">ABS(J187-B187)</f>
        <v>0</v>
      </c>
    </row>
    <row r="188" customFormat="false" ht="15" hidden="false" customHeight="false" outlineLevel="0" collapsed="false">
      <c r="A188" s="14" t="n">
        <v>54.15</v>
      </c>
      <c r="B188" s="23" t="n">
        <v>-247.131876446527</v>
      </c>
      <c r="C188" s="19" t="n">
        <v>184</v>
      </c>
      <c r="D188" s="11" t="n">
        <f aca="false">-Cost_k*A188+Beta_q*(Declarations!$B$16*INDEX($B$5:$B$425,$C188-ROUND(Declarations!$A$16/0.05,0))+Declarations!$B$17*INDEX($B$5:$B$425,$C188-ROUND(Declarations!$A$17/0.05,0))+Declarations!$B$18*INDEX($B$5:$B$425,$C188-ROUND(Declarations!$A$18/0.05,0))+Declarations!$B$19*INDEX($B$5:$B$425,$C188-ROUND(Declarations!$A$19/0.05,0))+Declarations!$B$20*INDEX($B$5:$B$425,$C188-ROUND(Declarations!$A$20/0.05,0)))</f>
        <v>-458.137051343928</v>
      </c>
      <c r="E188" s="16" t="n">
        <f aca="false">Alpha_keep*A188</f>
        <v>52.79625</v>
      </c>
      <c r="F188" s="16" t="n">
        <f aca="false">Alpha_keep*A188+Cap_h</f>
        <v>55.29625</v>
      </c>
      <c r="G188" s="11" t="n">
        <f aca="false">(INDEX($D$5:$D$425,MIN(INT((E188-45)/0.05+0.000000001),419)+1)*(1-((E188-45)/0.05-MIN(INT((E188-45)/0.05+0.000000001),419)))+INDEX($D$5:$D$425,MIN(INT((E188-45)/0.05+0.000000001),419)+2)*((E188-45)/0.05-MIN(INT((E188-45)/0.05+0.000000001),419)))</f>
        <v>-461.463330093324</v>
      </c>
      <c r="H188" s="11" t="n">
        <f aca="false">(INDEX($D$5:$D$425,MIN(INT((F188-45)/0.05+0.000000001),419)+1)*(1-((F188-45)/0.05-MIN(INT((F188-45)/0.05+0.000000001),419)))+INDEX($D$5:$D$425,MIN(INT((F188-45)/0.05+0.000000001),419)+2)*((F188-45)/0.05-MIN(INT((F188-45)/0.05+0.000000001),419)))</f>
        <v>-456.956876446527</v>
      </c>
      <c r="I188" s="11" t="n">
        <f aca="false">_xlfn.MAXIFS($D$5:$D$425,$A$5:$A$425,"&gt;="&amp;E188,$A$5:$A$425,"&lt;="&amp;F188)</f>
        <v>-456.970333952875</v>
      </c>
      <c r="J188" s="11" t="n">
        <f aca="false">-Short_p*MAX(Floor_c-A188,0)+Cost_k*Alpha_keep*A188+MAX(G188,H188,I188)</f>
        <v>-247.131876446527</v>
      </c>
      <c r="K188" s="22" t="n">
        <f aca="false">ABS(J188-B188)</f>
        <v>0</v>
      </c>
    </row>
    <row r="189" customFormat="false" ht="15" hidden="false" customHeight="false" outlineLevel="0" collapsed="false">
      <c r="A189" s="14" t="n">
        <v>54.2</v>
      </c>
      <c r="B189" s="23" t="n">
        <v>-246.842896380092</v>
      </c>
      <c r="C189" s="19" t="n">
        <v>185</v>
      </c>
      <c r="D189" s="11" t="n">
        <f aca="false">-Cost_k*A189+Beta_q*(Declarations!$B$16*INDEX($B$5:$B$425,$C189-ROUND(Declarations!$A$16/0.05,0))+Declarations!$B$17*INDEX($B$5:$B$425,$C189-ROUND(Declarations!$A$17/0.05,0))+Declarations!$B$18*INDEX($B$5:$B$425,$C189-ROUND(Declarations!$A$18/0.05,0))+Declarations!$B$19*INDEX($B$5:$B$425,$C189-ROUND(Declarations!$A$19/0.05,0))+Declarations!$B$20*INDEX($B$5:$B$425,$C189-ROUND(Declarations!$A$20/0.05,0)))</f>
        <v>-458.04872686952</v>
      </c>
      <c r="E189" s="16" t="n">
        <f aca="false">Alpha_keep*A189</f>
        <v>52.845</v>
      </c>
      <c r="F189" s="16" t="n">
        <f aca="false">Alpha_keep*A189+Cap_h</f>
        <v>55.345</v>
      </c>
      <c r="G189" s="11" t="n">
        <f aca="false">(INDEX($D$5:$D$425,MIN(INT((E189-45)/0.05+0.000000001),419)+1)*(1-((E189-45)/0.05-MIN(INT((E189-45)/0.05+0.000000001),419)))+INDEX($D$5:$D$425,MIN(INT((E189-45)/0.05+0.000000001),419)+2)*((E189-45)/0.05-MIN(INT((E189-45)/0.05+0.000000001),419)))</f>
        <v>-461.311032298134</v>
      </c>
      <c r="H189" s="11" t="n">
        <f aca="false">(INDEX($D$5:$D$425,MIN(INT((F189-45)/0.05+0.000000001),419)+1)*(1-((F189-45)/0.05-MIN(INT((F189-45)/0.05+0.000000001),419)))+INDEX($D$5:$D$425,MIN(INT((F189-45)/0.05+0.000000001),419)+2)*((F189-45)/0.05-MIN(INT((F189-45)/0.05+0.000000001),419)))</f>
        <v>-456.942896380092</v>
      </c>
      <c r="I189" s="11" t="n">
        <f aca="false">_xlfn.MAXIFS($D$5:$D$425,$A$5:$A$425,"&gt;="&amp;E189,$A$5:$A$425,"&lt;="&amp;F189)</f>
        <v>-456.955785297364</v>
      </c>
      <c r="J189" s="11" t="n">
        <f aca="false">-Short_p*MAX(Floor_c-A189,0)+Cost_k*Alpha_keep*A189+MAX(G189,H189,I189)</f>
        <v>-246.842896380092</v>
      </c>
      <c r="K189" s="22" t="n">
        <f aca="false">ABS(J189-B189)</f>
        <v>0</v>
      </c>
    </row>
    <row r="190" customFormat="false" ht="15" hidden="false" customHeight="false" outlineLevel="0" collapsed="false">
      <c r="A190" s="14" t="n">
        <v>54.25</v>
      </c>
      <c r="B190" s="23" t="n">
        <v>-246.556636530489</v>
      </c>
      <c r="C190" s="19" t="n">
        <v>186</v>
      </c>
      <c r="D190" s="11" t="n">
        <f aca="false">-Cost_k*A190+Beta_q*(Declarations!$B$16*INDEX($B$5:$B$425,$C190-ROUND(Declarations!$A$16/0.05,0))+Declarations!$B$17*INDEX($B$5:$B$425,$C190-ROUND(Declarations!$A$17/0.05,0))+Declarations!$B$18*INDEX($B$5:$B$425,$C190-ROUND(Declarations!$A$18/0.05,0))+Declarations!$B$19*INDEX($B$5:$B$425,$C190-ROUND(Declarations!$A$19/0.05,0))+Declarations!$B$20*INDEX($B$5:$B$425,$C190-ROUND(Declarations!$A$20/0.05,0)))</f>
        <v>-457.963611618413</v>
      </c>
      <c r="E190" s="16" t="n">
        <f aca="false">Alpha_keep*A190</f>
        <v>52.89375</v>
      </c>
      <c r="F190" s="16" t="n">
        <f aca="false">Alpha_keep*A190+Cap_h</f>
        <v>55.39375</v>
      </c>
      <c r="G190" s="11" t="n">
        <f aca="false">(INDEX($D$5:$D$425,MIN(INT((E190-45)/0.05+0.000000001),419)+1)*(1-((E190-45)/0.05-MIN(INT((E190-45)/0.05+0.000000001),419)))+INDEX($D$5:$D$425,MIN(INT((E190-45)/0.05+0.000000001),419)+2)*((E190-45)/0.05-MIN(INT((E190-45)/0.05+0.000000001),419)))</f>
        <v>-461.158873169576</v>
      </c>
      <c r="H190" s="11" t="n">
        <f aca="false">(INDEX($D$5:$D$425,MIN(INT((F190-45)/0.05+0.000000001),419)+1)*(1-((F190-45)/0.05-MIN(INT((F190-45)/0.05+0.000000001),419)))+INDEX($D$5:$D$425,MIN(INT((F190-45)/0.05+0.000000001),419)+2)*((F190-45)/0.05-MIN(INT((F190-45)/0.05+0.000000001),419)))</f>
        <v>-456.931636530489</v>
      </c>
      <c r="I190" s="11" t="n">
        <f aca="false">_xlfn.MAXIFS($D$5:$D$425,$A$5:$A$425,"&gt;="&amp;E190,$A$5:$A$425,"&lt;="&amp;F190)</f>
        <v>-456.941464278173</v>
      </c>
      <c r="J190" s="11" t="n">
        <f aca="false">-Short_p*MAX(Floor_c-A190,0)+Cost_k*Alpha_keep*A190+MAX(G190,H190,I190)</f>
        <v>-246.556636530489</v>
      </c>
      <c r="K190" s="22" t="n">
        <f aca="false">ABS(J190-B190)</f>
        <v>0</v>
      </c>
    </row>
    <row r="191" customFormat="false" ht="15" hidden="false" customHeight="false" outlineLevel="0" collapsed="false">
      <c r="A191" s="14" t="n">
        <v>54.3</v>
      </c>
      <c r="B191" s="23" t="n">
        <v>-246.271195550085</v>
      </c>
      <c r="C191" s="19" t="n">
        <v>187</v>
      </c>
      <c r="D191" s="11" t="n">
        <f aca="false">-Cost_k*A191+Beta_q*(Declarations!$B$16*INDEX($B$5:$B$425,$C191-ROUND(Declarations!$A$16/0.05,0))+Declarations!$B$17*INDEX($B$5:$B$425,$C191-ROUND(Declarations!$A$17/0.05,0))+Declarations!$B$18*INDEX($B$5:$B$425,$C191-ROUND(Declarations!$A$18/0.05,0))+Declarations!$B$19*INDEX($B$5:$B$425,$C191-ROUND(Declarations!$A$19/0.05,0))+Declarations!$B$20*INDEX($B$5:$B$425,$C191-ROUND(Declarations!$A$20/0.05,0)))</f>
        <v>-457.894742649962</v>
      </c>
      <c r="E191" s="16" t="n">
        <f aca="false">Alpha_keep*A191</f>
        <v>52.9425</v>
      </c>
      <c r="F191" s="16" t="n">
        <f aca="false">Alpha_keep*A191+Cap_h</f>
        <v>55.4425</v>
      </c>
      <c r="G191" s="11" t="n">
        <f aca="false">(INDEX($D$5:$D$425,MIN(INT((E191-45)/0.05+0.000000001),419)+1)*(1-((E191-45)/0.05-MIN(INT((E191-45)/0.05+0.000000001),419)))+INDEX($D$5:$D$425,MIN(INT((E191-45)/0.05+0.000000001),419)+2)*((E191-45)/0.05-MIN(INT((E191-45)/0.05+0.000000001),419)))</f>
        <v>-461.007156075516</v>
      </c>
      <c r="H191" s="11" t="n">
        <f aca="false">(INDEX($D$5:$D$425,MIN(INT((F191-45)/0.05+0.000000001),419)+1)*(1-((F191-45)/0.05-MIN(INT((F191-45)/0.05+0.000000001),419)))+INDEX($D$5:$D$425,MIN(INT((F191-45)/0.05+0.000000001),419)+2)*((F191-45)/0.05-MIN(INT((F191-45)/0.05+0.000000001),419)))</f>
        <v>-456.921195550085</v>
      </c>
      <c r="I191" s="11" t="n">
        <f aca="false">_xlfn.MAXIFS($D$5:$D$425,$A$5:$A$425,"&gt;="&amp;E191,$A$5:$A$425,"&lt;="&amp;F191)</f>
        <v>-456.930232566534</v>
      </c>
      <c r="J191" s="11" t="n">
        <f aca="false">-Short_p*MAX(Floor_c-A191,0)+Cost_k*Alpha_keep*A191+MAX(G191,H191,I191)</f>
        <v>-246.271195550085</v>
      </c>
      <c r="K191" s="22" t="n">
        <f aca="false">ABS(J191-B191)</f>
        <v>0</v>
      </c>
    </row>
    <row r="192" customFormat="false" ht="15" hidden="false" customHeight="false" outlineLevel="0" collapsed="false">
      <c r="A192" s="14" t="n">
        <v>54.35</v>
      </c>
      <c r="B192" s="23" t="n">
        <v>-245.985829564423</v>
      </c>
      <c r="C192" s="19" t="n">
        <v>188</v>
      </c>
      <c r="D192" s="11" t="n">
        <f aca="false">-Cost_k*A192+Beta_q*(Declarations!$B$16*INDEX($B$5:$B$425,$C192-ROUND(Declarations!$A$16/0.05,0))+Declarations!$B$17*INDEX($B$5:$B$425,$C192-ROUND(Declarations!$A$17/0.05,0))+Declarations!$B$18*INDEX($B$5:$B$425,$C192-ROUND(Declarations!$A$18/0.05,0))+Declarations!$B$19*INDEX($B$5:$B$425,$C192-ROUND(Declarations!$A$19/0.05,0))+Declarations!$B$20*INDEX($B$5:$B$425,$C192-ROUND(Declarations!$A$20/0.05,0)))</f>
        <v>-457.825911054568</v>
      </c>
      <c r="E192" s="16" t="n">
        <f aca="false">Alpha_keep*A192</f>
        <v>52.99125</v>
      </c>
      <c r="F192" s="16" t="n">
        <f aca="false">Alpha_keep*A192+Cap_h</f>
        <v>55.49125</v>
      </c>
      <c r="G192" s="11" t="n">
        <f aca="false">(INDEX($D$5:$D$425,MIN(INT((E192-45)/0.05+0.000000001),419)+1)*(1-((E192-45)/0.05-MIN(INT((E192-45)/0.05+0.000000001),419)))+INDEX($D$5:$D$425,MIN(INT((E192-45)/0.05+0.000000001),419)+2)*((E192-45)/0.05-MIN(INT((E192-45)/0.05+0.000000001),419)))</f>
        <v>-460.85695073063</v>
      </c>
      <c r="H192" s="11" t="n">
        <f aca="false">(INDEX($D$5:$D$425,MIN(INT((F192-45)/0.05+0.000000001),419)+1)*(1-((F192-45)/0.05-MIN(INT((F192-45)/0.05+0.000000001),419)))+INDEX($D$5:$D$425,MIN(INT((F192-45)/0.05+0.000000001),419)+2)*((F192-45)/0.05-MIN(INT((F192-45)/0.05+0.000000001),419)))</f>
        <v>-456.910829564423</v>
      </c>
      <c r="I192" s="11" t="n">
        <f aca="false">_xlfn.MAXIFS($D$5:$D$425,$A$5:$A$425,"&gt;="&amp;E192,$A$5:$A$425,"&lt;="&amp;F192)</f>
        <v>-456.919600782476</v>
      </c>
      <c r="J192" s="11" t="n">
        <f aca="false">-Short_p*MAX(Floor_c-A192,0)+Cost_k*Alpha_keep*A192+MAX(G192,H192,I192)</f>
        <v>-245.985829564423</v>
      </c>
      <c r="K192" s="22" t="n">
        <f aca="false">ABS(J192-B192)</f>
        <v>0</v>
      </c>
    </row>
    <row r="193" customFormat="false" ht="15" hidden="false" customHeight="false" outlineLevel="0" collapsed="false">
      <c r="A193" s="14" t="n">
        <v>54.4</v>
      </c>
      <c r="B193" s="23" t="n">
        <v>-245.700463596961</v>
      </c>
      <c r="C193" s="19" t="n">
        <v>189</v>
      </c>
      <c r="D193" s="11" t="n">
        <f aca="false">-Cost_k*A193+Beta_q*(Declarations!$B$16*INDEX($B$5:$B$425,$C193-ROUND(Declarations!$A$16/0.05,0))+Declarations!$B$17*INDEX($B$5:$B$425,$C193-ROUND(Declarations!$A$17/0.05,0))+Declarations!$B$18*INDEX($B$5:$B$425,$C193-ROUND(Declarations!$A$18/0.05,0))+Declarations!$B$19*INDEX($B$5:$B$425,$C193-ROUND(Declarations!$A$19/0.05,0))+Declarations!$B$20*INDEX($B$5:$B$425,$C193-ROUND(Declarations!$A$20/0.05,0)))</f>
        <v>-457.757081758404</v>
      </c>
      <c r="E193" s="16" t="n">
        <f aca="false">Alpha_keep*A193</f>
        <v>53.04</v>
      </c>
      <c r="F193" s="16" t="n">
        <f aca="false">Alpha_keep*A193+Cap_h</f>
        <v>55.54</v>
      </c>
      <c r="G193" s="11" t="n">
        <f aca="false">(INDEX($D$5:$D$425,MIN(INT((E193-45)/0.05+0.000000001),419)+1)*(1-((E193-45)/0.05-MIN(INT((E193-45)/0.05+0.000000001),419)))+INDEX($D$5:$D$425,MIN(INT((E193-45)/0.05+0.000000001),419)+2)*((E193-45)/0.05-MIN(INT((E193-45)/0.05+0.000000001),419)))</f>
        <v>-460.708933246824</v>
      </c>
      <c r="H193" s="11" t="n">
        <f aca="false">(INDEX($D$5:$D$425,MIN(INT((F193-45)/0.05+0.000000001),419)+1)*(1-((F193-45)/0.05-MIN(INT((F193-45)/0.05+0.000000001),419)))+INDEX($D$5:$D$425,MIN(INT((F193-45)/0.05+0.000000001),419)+2)*((F193-45)/0.05-MIN(INT((F193-45)/0.05+0.000000001),419)))</f>
        <v>-456.900463596961</v>
      </c>
      <c r="I193" s="11" t="n">
        <f aca="false">_xlfn.MAXIFS($D$5:$D$425,$A$5:$A$425,"&gt;="&amp;E193,$A$5:$A$425,"&lt;="&amp;F193)</f>
        <v>-456.908969003018</v>
      </c>
      <c r="J193" s="11" t="n">
        <f aca="false">-Short_p*MAX(Floor_c-A193,0)+Cost_k*Alpha_keep*A193+MAX(G193,H193,I193)</f>
        <v>-245.700463596961</v>
      </c>
      <c r="K193" s="22" t="n">
        <f aca="false">ABS(J193-B193)</f>
        <v>0</v>
      </c>
    </row>
    <row r="194" customFormat="false" ht="15" hidden="false" customHeight="false" outlineLevel="0" collapsed="false">
      <c r="A194" s="14" t="n">
        <v>54.45</v>
      </c>
      <c r="B194" s="23" t="n">
        <v>-245.415097735044</v>
      </c>
      <c r="C194" s="19" t="n">
        <v>190</v>
      </c>
      <c r="D194" s="11" t="n">
        <f aca="false">-Cost_k*A194+Beta_q*(Declarations!$B$16*INDEX($B$5:$B$425,$C194-ROUND(Declarations!$A$16/0.05,0))+Declarations!$B$17*INDEX($B$5:$B$425,$C194-ROUND(Declarations!$A$17/0.05,0))+Declarations!$B$18*INDEX($B$5:$B$425,$C194-ROUND(Declarations!$A$18/0.05,0))+Declarations!$B$19*INDEX($B$5:$B$425,$C194-ROUND(Declarations!$A$19/0.05,0))+Declarations!$B$20*INDEX($B$5:$B$425,$C194-ROUND(Declarations!$A$20/0.05,0)))</f>
        <v>-457.688261910886</v>
      </c>
      <c r="E194" s="16" t="n">
        <f aca="false">Alpha_keep*A194</f>
        <v>53.08875</v>
      </c>
      <c r="F194" s="16" t="n">
        <f aca="false">Alpha_keep*A194+Cap_h</f>
        <v>55.58875</v>
      </c>
      <c r="G194" s="11" t="n">
        <f aca="false">(INDEX($D$5:$D$425,MIN(INT((E194-45)/0.05+0.000000001),419)+1)*(1-((E194-45)/0.05-MIN(INT((E194-45)/0.05+0.000000001),419)))+INDEX($D$5:$D$425,MIN(INT((E194-45)/0.05+0.000000001),419)+2)*((E194-45)/0.05-MIN(INT((E194-45)/0.05+0.000000001),419)))</f>
        <v>-460.56598595049</v>
      </c>
      <c r="H194" s="11" t="n">
        <f aca="false">(INDEX($D$5:$D$425,MIN(INT((F194-45)/0.05+0.000000001),419)+1)*(1-((F194-45)/0.05-MIN(INT((F194-45)/0.05+0.000000001),419)))+INDEX($D$5:$D$425,MIN(INT((F194-45)/0.05+0.000000001),419)+2)*((F194-45)/0.05-MIN(INT((F194-45)/0.05+0.000000001),419)))</f>
        <v>-456.890097735044</v>
      </c>
      <c r="I194" s="11" t="n">
        <f aca="false">_xlfn.MAXIFS($D$5:$D$425,$A$5:$A$425,"&gt;="&amp;E194,$A$5:$A$425,"&lt;="&amp;F194)</f>
        <v>-456.898337245447</v>
      </c>
      <c r="J194" s="11" t="n">
        <f aca="false">-Short_p*MAX(Floor_c-A194,0)+Cost_k*Alpha_keep*A194+MAX(G194,H194,I194)</f>
        <v>-245.415097735044</v>
      </c>
      <c r="K194" s="22" t="n">
        <f aca="false">ABS(J194-B194)</f>
        <v>0</v>
      </c>
    </row>
    <row r="195" customFormat="false" ht="15" hidden="false" customHeight="false" outlineLevel="0" collapsed="false">
      <c r="A195" s="14" t="n">
        <v>54.5</v>
      </c>
      <c r="B195" s="23" t="n">
        <v>-245.129732931208</v>
      </c>
      <c r="C195" s="19" t="n">
        <v>191</v>
      </c>
      <c r="D195" s="11" t="n">
        <f aca="false">-Cost_k*A195+Beta_q*(Declarations!$B$16*INDEX($B$5:$B$425,$C195-ROUND(Declarations!$A$16/0.05,0))+Declarations!$B$17*INDEX($B$5:$B$425,$C195-ROUND(Declarations!$A$17/0.05,0))+Declarations!$B$18*INDEX($B$5:$B$425,$C195-ROUND(Declarations!$A$18/0.05,0))+Declarations!$B$19*INDEX($B$5:$B$425,$C195-ROUND(Declarations!$A$19/0.05,0))+Declarations!$B$20*INDEX($B$5:$B$425,$C195-ROUND(Declarations!$A$20/0.05,0)))</f>
        <v>-457.619496387326</v>
      </c>
      <c r="E195" s="16" t="n">
        <f aca="false">Alpha_keep*A195</f>
        <v>53.1375</v>
      </c>
      <c r="F195" s="16" t="n">
        <f aca="false">Alpha_keep*A195+Cap_h</f>
        <v>55.6375</v>
      </c>
      <c r="G195" s="11" t="n">
        <f aca="false">(INDEX($D$5:$D$425,MIN(INT((E195-45)/0.05+0.000000001),419)+1)*(1-((E195-45)/0.05-MIN(INT((E195-45)/0.05+0.000000001),419)))+INDEX($D$5:$D$425,MIN(INT((E195-45)/0.05+0.000000001),419)+2)*((E195-45)/0.05-MIN(INT((E195-45)/0.05+0.000000001),419)))</f>
        <v>-460.432908132478</v>
      </c>
      <c r="H195" s="11" t="n">
        <f aca="false">(INDEX($D$5:$D$425,MIN(INT((F195-45)/0.05+0.000000001),419)+1)*(1-((F195-45)/0.05-MIN(INT((F195-45)/0.05+0.000000001),419)))+INDEX($D$5:$D$425,MIN(INT((F195-45)/0.05+0.000000001),419)+2)*((F195-45)/0.05-MIN(INT((F195-45)/0.05+0.000000001),419)))</f>
        <v>-456.879732931207</v>
      </c>
      <c r="I195" s="11" t="n">
        <f aca="false">_xlfn.MAXIFS($D$5:$D$425,$A$5:$A$425,"&gt;="&amp;E195,$A$5:$A$425,"&lt;="&amp;F195)</f>
        <v>-456.887705619121</v>
      </c>
      <c r="J195" s="11" t="n">
        <f aca="false">-Short_p*MAX(Floor_c-A195,0)+Cost_k*Alpha_keep*A195+MAX(G195,H195,I195)</f>
        <v>-245.129732931207</v>
      </c>
      <c r="K195" s="22" t="n">
        <f aca="false">ABS(J195-B195)</f>
        <v>0</v>
      </c>
    </row>
    <row r="196" customFormat="false" ht="15" hidden="false" customHeight="false" outlineLevel="0" collapsed="false">
      <c r="A196" s="14" t="n">
        <v>54.55</v>
      </c>
      <c r="B196" s="23" t="n">
        <v>-244.844452690978</v>
      </c>
      <c r="C196" s="19" t="n">
        <v>192</v>
      </c>
      <c r="D196" s="11" t="n">
        <f aca="false">-Cost_k*A196+Beta_q*(Declarations!$B$16*INDEX($B$5:$B$425,$C196-ROUND(Declarations!$A$16/0.05,0))+Declarations!$B$17*INDEX($B$5:$B$425,$C196-ROUND(Declarations!$A$17/0.05,0))+Declarations!$B$18*INDEX($B$5:$B$425,$C196-ROUND(Declarations!$A$18/0.05,0))+Declarations!$B$19*INDEX($B$5:$B$425,$C196-ROUND(Declarations!$A$19/0.05,0))+Declarations!$B$20*INDEX($B$5:$B$425,$C196-ROUND(Declarations!$A$20/0.05,0)))</f>
        <v>-457.550937935007</v>
      </c>
      <c r="E196" s="16" t="n">
        <f aca="false">Alpha_keep*A196</f>
        <v>53.18625</v>
      </c>
      <c r="F196" s="16" t="n">
        <f aca="false">Alpha_keep*A196+Cap_h</f>
        <v>55.68625</v>
      </c>
      <c r="G196" s="11" t="n">
        <f aca="false">(INDEX($D$5:$D$425,MIN(INT((E196-45)/0.05+0.000000001),419)+1)*(1-((E196-45)/0.05-MIN(INT((E196-45)/0.05+0.000000001),419)))+INDEX($D$5:$D$425,MIN(INT((E196-45)/0.05+0.000000001),419)+2)*((E196-45)/0.05-MIN(INT((E196-45)/0.05+0.000000001),419)))</f>
        <v>-460.302559457976</v>
      </c>
      <c r="H196" s="11" t="n">
        <f aca="false">(INDEX($D$5:$D$425,MIN(INT((F196-45)/0.05+0.000000001),419)+1)*(1-((F196-45)/0.05-MIN(INT((F196-45)/0.05+0.000000001),419)))+INDEX($D$5:$D$425,MIN(INT((F196-45)/0.05+0.000000001),419)+2)*((F196-45)/0.05-MIN(INT((F196-45)/0.05+0.000000001),419)))</f>
        <v>-456.869452690978</v>
      </c>
      <c r="I196" s="11" t="n">
        <f aca="false">_xlfn.MAXIFS($D$5:$D$425,$A$5:$A$425,"&gt;="&amp;E196,$A$5:$A$425,"&lt;="&amp;F196)</f>
        <v>-456.87707536857</v>
      </c>
      <c r="J196" s="11" t="n">
        <f aca="false">-Short_p*MAX(Floor_c-A196,0)+Cost_k*Alpha_keep*A196+MAX(G196,H196,I196)</f>
        <v>-244.844452690978</v>
      </c>
      <c r="K196" s="22" t="n">
        <f aca="false">ABS(J196-B196)</f>
        <v>0</v>
      </c>
    </row>
    <row r="197" customFormat="false" ht="15" hidden="false" customHeight="false" outlineLevel="0" collapsed="false">
      <c r="A197" s="14" t="n">
        <v>54.6</v>
      </c>
      <c r="B197" s="23" t="n">
        <v>-244.559401315897</v>
      </c>
      <c r="C197" s="19" t="n">
        <v>193</v>
      </c>
      <c r="D197" s="11" t="n">
        <f aca="false">-Cost_k*A197+Beta_q*(Declarations!$B$16*INDEX($B$5:$B$425,$C197-ROUND(Declarations!$A$16/0.05,0))+Declarations!$B$17*INDEX($B$5:$B$425,$C197-ROUND(Declarations!$A$17/0.05,0))+Declarations!$B$18*INDEX($B$5:$B$425,$C197-ROUND(Declarations!$A$18/0.05,0))+Declarations!$B$19*INDEX($B$5:$B$425,$C197-ROUND(Declarations!$A$19/0.05,0))+Declarations!$B$20*INDEX($B$5:$B$425,$C197-ROUND(Declarations!$A$20/0.05,0)))</f>
        <v>-457.483658260911</v>
      </c>
      <c r="E197" s="16" t="n">
        <f aca="false">Alpha_keep*A197</f>
        <v>53.235</v>
      </c>
      <c r="F197" s="16" t="n">
        <f aca="false">Alpha_keep*A197+Cap_h</f>
        <v>55.735</v>
      </c>
      <c r="G197" s="11" t="n">
        <f aca="false">(INDEX($D$5:$D$425,MIN(INT((E197-45)/0.05+0.000000001),419)+1)*(1-((E197-45)/0.05-MIN(INT((E197-45)/0.05+0.000000001),419)))+INDEX($D$5:$D$425,MIN(INT((E197-45)/0.05+0.000000001),419)+2)*((E197-45)/0.05-MIN(INT((E197-45)/0.05+0.000000001),419)))</f>
        <v>-460.172287599529</v>
      </c>
      <c r="H197" s="11" t="n">
        <f aca="false">(INDEX($D$5:$D$425,MIN(INT((F197-45)/0.05+0.000000001),419)+1)*(1-((F197-45)/0.05-MIN(INT((F197-45)/0.05+0.000000001),419)))+INDEX($D$5:$D$425,MIN(INT((F197-45)/0.05+0.000000001),419)+2)*((F197-45)/0.05-MIN(INT((F197-45)/0.05+0.000000001),419)))</f>
        <v>-456.859401315897</v>
      </c>
      <c r="I197" s="11" t="n">
        <f aca="false">_xlfn.MAXIFS($D$5:$D$425,$A$5:$A$425,"&gt;="&amp;E197,$A$5:$A$425,"&lt;="&amp;F197)</f>
        <v>-456.866561330512</v>
      </c>
      <c r="J197" s="11" t="n">
        <f aca="false">-Short_p*MAX(Floor_c-A197,0)+Cost_k*Alpha_keep*A197+MAX(G197,H197,I197)</f>
        <v>-244.559401315897</v>
      </c>
      <c r="K197" s="22" t="n">
        <f aca="false">ABS(J197-B197)</f>
        <v>0</v>
      </c>
    </row>
    <row r="198" customFormat="false" ht="15" hidden="false" customHeight="false" outlineLevel="0" collapsed="false">
      <c r="A198" s="14" t="n">
        <v>54.65</v>
      </c>
      <c r="B198" s="23" t="n">
        <v>-244.281332738204</v>
      </c>
      <c r="C198" s="19" t="n">
        <v>194</v>
      </c>
      <c r="D198" s="11" t="n">
        <f aca="false">-Cost_k*A198+Beta_q*(Declarations!$B$16*INDEX($B$5:$B$425,$C198-ROUND(Declarations!$A$16/0.05,0))+Declarations!$B$17*INDEX($B$5:$B$425,$C198-ROUND(Declarations!$A$17/0.05,0))+Declarations!$B$18*INDEX($B$5:$B$425,$C198-ROUND(Declarations!$A$18/0.05,0))+Declarations!$B$19*INDEX($B$5:$B$425,$C198-ROUND(Declarations!$A$19/0.05,0))+Declarations!$B$20*INDEX($B$5:$B$425,$C198-ROUND(Declarations!$A$20/0.05,0)))</f>
        <v>-457.427107501598</v>
      </c>
      <c r="E198" s="16" t="n">
        <f aca="false">Alpha_keep*A198</f>
        <v>53.28375</v>
      </c>
      <c r="F198" s="16" t="n">
        <f aca="false">Alpha_keep*A198+Cap_h</f>
        <v>55.78375</v>
      </c>
      <c r="G198" s="11" t="n">
        <f aca="false">(INDEX($D$5:$D$425,MIN(INT((E198-45)/0.05+0.000000001),419)+1)*(1-((E198-45)/0.05-MIN(INT((E198-45)/0.05+0.000000001),419)))+INDEX($D$5:$D$425,MIN(INT((E198-45)/0.05+0.000000001),419)+2)*((E198-45)/0.05-MIN(INT((E198-45)/0.05+0.000000001),419)))</f>
        <v>-460.042137182843</v>
      </c>
      <c r="H198" s="11" t="n">
        <f aca="false">(INDEX($D$5:$D$425,MIN(INT((F198-45)/0.05+0.000000001),419)+1)*(1-((F198-45)/0.05-MIN(INT((F198-45)/0.05+0.000000001),419)))+INDEX($D$5:$D$425,MIN(INT((F198-45)/0.05+0.000000001),419)+2)*((F198-45)/0.05-MIN(INT((F198-45)/0.05+0.000000001),419)))</f>
        <v>-456.860001201295</v>
      </c>
      <c r="I198" s="11" t="n">
        <f aca="false">_xlfn.MAXIFS($D$5:$D$425,$A$5:$A$425,"&gt;="&amp;E198,$A$5:$A$425,"&lt;="&amp;F198)</f>
        <v>-456.856332738204</v>
      </c>
      <c r="J198" s="11" t="n">
        <f aca="false">-Short_p*MAX(Floor_c-A198,0)+Cost_k*Alpha_keep*A198+MAX(G198,H198,I198)</f>
        <v>-244.281332738204</v>
      </c>
      <c r="K198" s="22" t="n">
        <f aca="false">ABS(J198-B198)</f>
        <v>0</v>
      </c>
    </row>
    <row r="199" customFormat="false" ht="15" hidden="false" customHeight="false" outlineLevel="0" collapsed="false">
      <c r="A199" s="14" t="n">
        <v>54.7</v>
      </c>
      <c r="B199" s="23" t="n">
        <v>-244.006332738204</v>
      </c>
      <c r="C199" s="19" t="n">
        <v>195</v>
      </c>
      <c r="D199" s="11" t="n">
        <f aca="false">-Cost_k*A199+Beta_q*(Declarations!$B$16*INDEX($B$5:$B$425,$C199-ROUND(Declarations!$A$16/0.05,0))+Declarations!$B$17*INDEX($B$5:$B$425,$C199-ROUND(Declarations!$A$17/0.05,0))+Declarations!$B$18*INDEX($B$5:$B$425,$C199-ROUND(Declarations!$A$18/0.05,0))+Declarations!$B$19*INDEX($B$5:$B$425,$C199-ROUND(Declarations!$A$19/0.05,0))+Declarations!$B$20*INDEX($B$5:$B$425,$C199-ROUND(Declarations!$A$20/0.05,0)))</f>
        <v>-457.372058603495</v>
      </c>
      <c r="E199" s="16" t="n">
        <f aca="false">Alpha_keep*A199</f>
        <v>53.3325</v>
      </c>
      <c r="F199" s="16" t="n">
        <f aca="false">Alpha_keep*A199+Cap_h</f>
        <v>55.8325</v>
      </c>
      <c r="G199" s="11" t="n">
        <f aca="false">(INDEX($D$5:$D$425,MIN(INT((E199-45)/0.05+0.000000001),419)+1)*(1-((E199-45)/0.05-MIN(INT((E199-45)/0.05+0.000000001),419)))+INDEX($D$5:$D$425,MIN(INT((E199-45)/0.05+0.000000001),419)+2)*((E199-45)/0.05-MIN(INT((E199-45)/0.05+0.000000001),419)))</f>
        <v>-459.912238633461</v>
      </c>
      <c r="H199" s="11" t="n">
        <f aca="false">(INDEX($D$5:$D$425,MIN(INT((F199-45)/0.05+0.000000001),419)+1)*(1-((F199-45)/0.05-MIN(INT((F199-45)/0.05+0.000000001),419)))+INDEX($D$5:$D$425,MIN(INT((F199-45)/0.05+0.000000001),419)+2)*((F199-45)/0.05-MIN(INT((F199-45)/0.05+0.000000001),419)))</f>
        <v>-456.865302474169</v>
      </c>
      <c r="I199" s="11" t="n">
        <f aca="false">_xlfn.MAXIFS($D$5:$D$425,$A$5:$A$425,"&gt;="&amp;E199,$A$5:$A$425,"&lt;="&amp;F199)</f>
        <v>-456.856332738204</v>
      </c>
      <c r="J199" s="11" t="n">
        <f aca="false">-Short_p*MAX(Floor_c-A199,0)+Cost_k*Alpha_keep*A199+MAX(G199,H199,I199)</f>
        <v>-244.006332738204</v>
      </c>
      <c r="K199" s="22" t="n">
        <f aca="false">ABS(J199-B199)</f>
        <v>0</v>
      </c>
    </row>
    <row r="200" customFormat="false" ht="15" hidden="false" customHeight="false" outlineLevel="0" collapsed="false">
      <c r="A200" s="14" t="n">
        <v>54.75</v>
      </c>
      <c r="B200" s="23" t="n">
        <v>-243.731332738204</v>
      </c>
      <c r="C200" s="19" t="n">
        <v>196</v>
      </c>
      <c r="D200" s="11" t="n">
        <f aca="false">-Cost_k*A200+Beta_q*(Declarations!$B$16*INDEX($B$5:$B$425,$C200-ROUND(Declarations!$A$16/0.05,0))+Declarations!$B$17*INDEX($B$5:$B$425,$C200-ROUND(Declarations!$A$17/0.05,0))+Declarations!$B$18*INDEX($B$5:$B$425,$C200-ROUND(Declarations!$A$18/0.05,0))+Declarations!$B$19*INDEX($B$5:$B$425,$C200-ROUND(Declarations!$A$19/0.05,0))+Declarations!$B$20*INDEX($B$5:$B$425,$C200-ROUND(Declarations!$A$20/0.05,0)))</f>
        <v>-457.317009961331</v>
      </c>
      <c r="E200" s="16" t="n">
        <f aca="false">Alpha_keep*A200</f>
        <v>53.38125</v>
      </c>
      <c r="F200" s="16" t="n">
        <f aca="false">Alpha_keep*A200+Cap_h</f>
        <v>55.88125</v>
      </c>
      <c r="G200" s="11" t="n">
        <f aca="false">(INDEX($D$5:$D$425,MIN(INT((E200-45)/0.05+0.000000001),419)+1)*(1-((E200-45)/0.05-MIN(INT((E200-45)/0.05+0.000000001),419)))+INDEX($D$5:$D$425,MIN(INT((E200-45)/0.05+0.000000001),419)+2)*((E200-45)/0.05-MIN(INT((E200-45)/0.05+0.000000001),419)))</f>
        <v>-459.783130874177</v>
      </c>
      <c r="H200" s="11" t="n">
        <f aca="false">(INDEX($D$5:$D$425,MIN(INT((F200-45)/0.05+0.000000001),419)+1)*(1-((F200-45)/0.05-MIN(INT((F200-45)/0.05+0.000000001),419)))+INDEX($D$5:$D$425,MIN(INT((F200-45)/0.05+0.000000001),419)+2)*((F200-45)/0.05-MIN(INT((F200-45)/0.05+0.000000001),419)))</f>
        <v>-456.870604947423</v>
      </c>
      <c r="I200" s="11" t="n">
        <f aca="false">_xlfn.MAXIFS($D$5:$D$425,$A$5:$A$425,"&gt;="&amp;E200,$A$5:$A$425,"&lt;="&amp;F200)</f>
        <v>-456.856332738204</v>
      </c>
      <c r="J200" s="11" t="n">
        <f aca="false">-Short_p*MAX(Floor_c-A200,0)+Cost_k*Alpha_keep*A200+MAX(G200,H200,I200)</f>
        <v>-243.731332738204</v>
      </c>
      <c r="K200" s="22" t="n">
        <f aca="false">ABS(J200-B200)</f>
        <v>0</v>
      </c>
    </row>
    <row r="201" customFormat="false" ht="15" hidden="false" customHeight="false" outlineLevel="0" collapsed="false">
      <c r="A201" s="14" t="n">
        <v>54.8</v>
      </c>
      <c r="B201" s="23" t="n">
        <v>-243.456332738205</v>
      </c>
      <c r="C201" s="19" t="n">
        <v>197</v>
      </c>
      <c r="D201" s="11" t="n">
        <f aca="false">-Cost_k*A201+Beta_q*(Declarations!$B$16*INDEX($B$5:$B$425,$C201-ROUND(Declarations!$A$16/0.05,0))+Declarations!$B$17*INDEX($B$5:$B$425,$C201-ROUND(Declarations!$A$17/0.05,0))+Declarations!$B$18*INDEX($B$5:$B$425,$C201-ROUND(Declarations!$A$18/0.05,0))+Declarations!$B$19*INDEX($B$5:$B$425,$C201-ROUND(Declarations!$A$19/0.05,0))+Declarations!$B$20*INDEX($B$5:$B$425,$C201-ROUND(Declarations!$A$20/0.05,0)))</f>
        <v>-457.261962611784</v>
      </c>
      <c r="E201" s="16" t="n">
        <f aca="false">Alpha_keep*A201</f>
        <v>53.43</v>
      </c>
      <c r="F201" s="16" t="n">
        <f aca="false">Alpha_keep*A201+Cap_h</f>
        <v>55.93</v>
      </c>
      <c r="G201" s="11" t="n">
        <f aca="false">(INDEX($D$5:$D$425,MIN(INT((E201-45)/0.05+0.000000001),419)+1)*(1-((E201-45)/0.05-MIN(INT((E201-45)/0.05+0.000000001),419)))+INDEX($D$5:$D$425,MIN(INT((E201-45)/0.05+0.000000001),419)+2)*((E201-45)/0.05-MIN(INT((E201-45)/0.05+0.000000001),419)))</f>
        <v>-459.657546458334</v>
      </c>
      <c r="H201" s="11" t="n">
        <f aca="false">(INDEX($D$5:$D$425,MIN(INT((F201-45)/0.05+0.000000001),419)+1)*(1-((F201-45)/0.05-MIN(INT((F201-45)/0.05+0.000000001),419)))+INDEX($D$5:$D$425,MIN(INT((F201-45)/0.05+0.000000001),419)+2)*((F201-45)/0.05-MIN(INT((F201-45)/0.05+0.000000001),419)))</f>
        <v>-456.875907513349</v>
      </c>
      <c r="I201" s="11" t="n">
        <f aca="false">_xlfn.MAXIFS($D$5:$D$425,$A$5:$A$425,"&gt;="&amp;E201,$A$5:$A$425,"&lt;="&amp;F201)</f>
        <v>-456.856332738204</v>
      </c>
      <c r="J201" s="11" t="n">
        <f aca="false">-Short_p*MAX(Floor_c-A201,0)+Cost_k*Alpha_keep*A201+MAX(G201,H201,I201)</f>
        <v>-243.456332738204</v>
      </c>
      <c r="K201" s="22" t="n">
        <f aca="false">ABS(J201-B201)</f>
        <v>0</v>
      </c>
    </row>
    <row r="202" customFormat="false" ht="15" hidden="false" customHeight="false" outlineLevel="0" collapsed="false">
      <c r="A202" s="14" t="n">
        <v>54.85</v>
      </c>
      <c r="B202" s="23" t="n">
        <v>-243.181332738204</v>
      </c>
      <c r="C202" s="19" t="n">
        <v>198</v>
      </c>
      <c r="D202" s="11" t="n">
        <f aca="false">-Cost_k*A202+Beta_q*(Declarations!$B$16*INDEX($B$5:$B$425,$C202-ROUND(Declarations!$A$16/0.05,0))+Declarations!$B$17*INDEX($B$5:$B$425,$C202-ROUND(Declarations!$A$17/0.05,0))+Declarations!$B$18*INDEX($B$5:$B$425,$C202-ROUND(Declarations!$A$18/0.05,0))+Declarations!$B$19*INDEX($B$5:$B$425,$C202-ROUND(Declarations!$A$19/0.05,0))+Declarations!$B$20*INDEX($B$5:$B$425,$C202-ROUND(Declarations!$A$20/0.05,0)))</f>
        <v>-457.206920730547</v>
      </c>
      <c r="E202" s="16" t="n">
        <f aca="false">Alpha_keep*A202</f>
        <v>53.47875</v>
      </c>
      <c r="F202" s="16" t="n">
        <f aca="false">Alpha_keep*A202+Cap_h</f>
        <v>55.97875</v>
      </c>
      <c r="G202" s="11" t="n">
        <f aca="false">(INDEX($D$5:$D$425,MIN(INT((E202-45)/0.05+0.000000001),419)+1)*(1-((E202-45)/0.05-MIN(INT((E202-45)/0.05+0.000000001),419)))+INDEX($D$5:$D$425,MIN(INT((E202-45)/0.05+0.000000001),419)+2)*((E202-45)/0.05-MIN(INT((E202-45)/0.05+0.000000001),419)))</f>
        <v>-459.537231526041</v>
      </c>
      <c r="H202" s="11" t="n">
        <f aca="false">(INDEX($D$5:$D$425,MIN(INT((F202-45)/0.05+0.000000001),419)+1)*(1-((F202-45)/0.05-MIN(INT((F202-45)/0.05+0.000000001),419)))+INDEX($D$5:$D$425,MIN(INT((F202-45)/0.05+0.000000001),419)+2)*((F202-45)/0.05-MIN(INT((F202-45)/0.05+0.000000001),419)))</f>
        <v>-456.881210514895</v>
      </c>
      <c r="I202" s="11" t="n">
        <f aca="false">_xlfn.MAXIFS($D$5:$D$425,$A$5:$A$425,"&gt;="&amp;E202,$A$5:$A$425,"&lt;="&amp;F202)</f>
        <v>-456.856332738204</v>
      </c>
      <c r="J202" s="11" t="n">
        <f aca="false">-Short_p*MAX(Floor_c-A202,0)+Cost_k*Alpha_keep*A202+MAX(G202,H202,I202)</f>
        <v>-243.181332738204</v>
      </c>
      <c r="K202" s="22" t="n">
        <f aca="false">ABS(J202-B202)</f>
        <v>0</v>
      </c>
    </row>
    <row r="203" customFormat="false" ht="15" hidden="false" customHeight="false" outlineLevel="0" collapsed="false">
      <c r="A203" s="14" t="n">
        <v>54.9</v>
      </c>
      <c r="B203" s="23" t="n">
        <v>-242.906332738204</v>
      </c>
      <c r="C203" s="19" t="n">
        <v>199</v>
      </c>
      <c r="D203" s="11" t="n">
        <f aca="false">-Cost_k*A203+Beta_q*(Declarations!$B$16*INDEX($B$5:$B$425,$C203-ROUND(Declarations!$A$16/0.05,0))+Declarations!$B$17*INDEX($B$5:$B$425,$C203-ROUND(Declarations!$A$17/0.05,0))+Declarations!$B$18*INDEX($B$5:$B$425,$C203-ROUND(Declarations!$A$18/0.05,0))+Declarations!$B$19*INDEX($B$5:$B$425,$C203-ROUND(Declarations!$A$19/0.05,0))+Declarations!$B$20*INDEX($B$5:$B$425,$C203-ROUND(Declarations!$A$20/0.05,0)))</f>
        <v>-457.15190965379</v>
      </c>
      <c r="E203" s="16" t="n">
        <f aca="false">Alpha_keep*A203</f>
        <v>53.5275</v>
      </c>
      <c r="F203" s="16" t="n">
        <f aca="false">Alpha_keep*A203+Cap_h</f>
        <v>56.0275</v>
      </c>
      <c r="G203" s="11" t="n">
        <f aca="false">(INDEX($D$5:$D$425,MIN(INT((E203-45)/0.05+0.000000001),419)+1)*(1-((E203-45)/0.05-MIN(INT((E203-45)/0.05+0.000000001),419)))+INDEX($D$5:$D$425,MIN(INT((E203-45)/0.05+0.000000001),419)+2)*((E203-45)/0.05-MIN(INT((E203-45)/0.05+0.000000001),419)))</f>
        <v>-459.421771213535</v>
      </c>
      <c r="H203" s="11" t="n">
        <f aca="false">(INDEX($D$5:$D$425,MIN(INT((F203-45)/0.05+0.000000001),419)+1)*(1-((F203-45)/0.05-MIN(INT((F203-45)/0.05+0.000000001),419)))+INDEX($D$5:$D$425,MIN(INT((F203-45)/0.05+0.000000001),419)+2)*((F203-45)/0.05-MIN(INT((F203-45)/0.05+0.000000001),419)))</f>
        <v>-456.886518639348</v>
      </c>
      <c r="I203" s="11" t="n">
        <f aca="false">_xlfn.MAXIFS($D$5:$D$425,$A$5:$A$425,"&gt;="&amp;E203,$A$5:$A$425,"&lt;="&amp;F203)</f>
        <v>-456.856332738204</v>
      </c>
      <c r="J203" s="11" t="n">
        <f aca="false">-Short_p*MAX(Floor_c-A203,0)+Cost_k*Alpha_keep*A203+MAX(G203,H203,I203)</f>
        <v>-242.906332738204</v>
      </c>
      <c r="K203" s="22" t="n">
        <f aca="false">ABS(J203-B203)</f>
        <v>0</v>
      </c>
    </row>
    <row r="204" customFormat="false" ht="15" hidden="false" customHeight="false" outlineLevel="0" collapsed="false">
      <c r="A204" s="14" t="n">
        <v>54.95</v>
      </c>
      <c r="B204" s="23" t="n">
        <v>-242.631332738204</v>
      </c>
      <c r="C204" s="19" t="n">
        <v>200</v>
      </c>
      <c r="D204" s="11" t="n">
        <f aca="false">-Cost_k*A204+Beta_q*(Declarations!$B$16*INDEX($B$5:$B$425,$C204-ROUND(Declarations!$A$16/0.05,0))+Declarations!$B$17*INDEX($B$5:$B$425,$C204-ROUND(Declarations!$A$17/0.05,0))+Declarations!$B$18*INDEX($B$5:$B$425,$C204-ROUND(Declarations!$A$18/0.05,0))+Declarations!$B$19*INDEX($B$5:$B$425,$C204-ROUND(Declarations!$A$19/0.05,0))+Declarations!$B$20*INDEX($B$5:$B$425,$C204-ROUND(Declarations!$A$20/0.05,0)))</f>
        <v>-457.097125075083</v>
      </c>
      <c r="E204" s="16" t="n">
        <f aca="false">Alpha_keep*A204</f>
        <v>53.57625</v>
      </c>
      <c r="F204" s="16" t="n">
        <f aca="false">Alpha_keep*A204+Cap_h</f>
        <v>56.07625</v>
      </c>
      <c r="G204" s="11" t="n">
        <f aca="false">(INDEX($D$5:$D$425,MIN(INT((E204-45)/0.05+0.000000001),419)+1)*(1-((E204-45)/0.05-MIN(INT((E204-45)/0.05+0.000000001),419)))+INDEX($D$5:$D$425,MIN(INT((E204-45)/0.05+0.000000001),419)+2)*((E204-45)/0.05-MIN(INT((E204-45)/0.05+0.000000001),419)))</f>
        <v>-459.308296824544</v>
      </c>
      <c r="H204" s="11" t="n">
        <f aca="false">(INDEX($D$5:$D$425,MIN(INT((F204-45)/0.05+0.000000001),419)+1)*(1-((F204-45)/0.05-MIN(INT((F204-45)/0.05+0.000000001),419)))+INDEX($D$5:$D$425,MIN(INT((F204-45)/0.05+0.000000001),419)+2)*((F204-45)/0.05-MIN(INT((F204-45)/0.05+0.000000001),419)))</f>
        <v>-456.891843814659</v>
      </c>
      <c r="I204" s="11" t="n">
        <f aca="false">_xlfn.MAXIFS($D$5:$D$425,$A$5:$A$425,"&gt;="&amp;E204,$A$5:$A$425,"&lt;="&amp;F204)</f>
        <v>-456.856332738204</v>
      </c>
      <c r="J204" s="11" t="n">
        <f aca="false">-Short_p*MAX(Floor_c-A204,0)+Cost_k*Alpha_keep*A204+MAX(G204,H204,I204)</f>
        <v>-242.631332738204</v>
      </c>
      <c r="K204" s="22" t="n">
        <f aca="false">ABS(J204-B204)</f>
        <v>0</v>
      </c>
    </row>
    <row r="205" customFormat="false" ht="15" hidden="false" customHeight="false" outlineLevel="0" collapsed="false">
      <c r="A205" s="14" t="n">
        <v>55</v>
      </c>
      <c r="B205" s="23" t="n">
        <v>-242.356332738204</v>
      </c>
      <c r="C205" s="19" t="n">
        <v>201</v>
      </c>
      <c r="D205" s="11" t="n">
        <f aca="false">-Cost_k*A205+Beta_q*(Declarations!$B$16*INDEX($B$5:$B$425,$C205-ROUND(Declarations!$A$16/0.05,0))+Declarations!$B$17*INDEX($B$5:$B$425,$C205-ROUND(Declarations!$A$17/0.05,0))+Declarations!$B$18*INDEX($B$5:$B$425,$C205-ROUND(Declarations!$A$18/0.05,0))+Declarations!$B$19*INDEX($B$5:$B$425,$C205-ROUND(Declarations!$A$19/0.05,0))+Declarations!$B$20*INDEX($B$5:$B$425,$C205-ROUND(Declarations!$A$20/0.05,0)))</f>
        <v>-457.043256731224</v>
      </c>
      <c r="E205" s="16" t="n">
        <f aca="false">Alpha_keep*A205</f>
        <v>53.625</v>
      </c>
      <c r="F205" s="16" t="n">
        <f aca="false">Alpha_keep*A205+Cap_h</f>
        <v>56.125</v>
      </c>
      <c r="G205" s="11" t="n">
        <f aca="false">(INDEX($D$5:$D$425,MIN(INT((E205-45)/0.05+0.000000001),419)+1)*(1-((E205-45)/0.05-MIN(INT((E205-45)/0.05+0.000000001),419)))+INDEX($D$5:$D$425,MIN(INT((E205-45)/0.05+0.000000001),419)+2)*((E205-45)/0.05-MIN(INT((E205-45)/0.05+0.000000001),419)))</f>
        <v>-459.194845157561</v>
      </c>
      <c r="H205" s="11" t="n">
        <f aca="false">(INDEX($D$5:$D$425,MIN(INT((F205-45)/0.05+0.000000001),419)+1)*(1-((F205-45)/0.05-MIN(INT((F205-45)/0.05+0.000000001),419)))+INDEX($D$5:$D$425,MIN(INT((F205-45)/0.05+0.000000001),419)+2)*((F205-45)/0.05-MIN(INT((F205-45)/0.05+0.000000001),419)))</f>
        <v>-456.897353681486</v>
      </c>
      <c r="I205" s="11" t="n">
        <f aca="false">_xlfn.MAXIFS($D$5:$D$425,$A$5:$A$425,"&gt;="&amp;E205,$A$5:$A$425,"&lt;="&amp;F205)</f>
        <v>-456.856332738204</v>
      </c>
      <c r="J205" s="11" t="n">
        <f aca="false">-Short_p*MAX(Floor_c-A205,0)+Cost_k*Alpha_keep*A205+MAX(G205,H205,I205)</f>
        <v>-242.356332738204</v>
      </c>
      <c r="K205" s="22" t="n">
        <f aca="false">ABS(J205-B205)</f>
        <v>0</v>
      </c>
    </row>
    <row r="206" customFormat="false" ht="15" hidden="false" customHeight="false" outlineLevel="0" collapsed="false">
      <c r="A206" s="14" t="n">
        <v>55.05</v>
      </c>
      <c r="B206" s="23" t="n">
        <v>-242.161332738204</v>
      </c>
      <c r="C206" s="19" t="n">
        <v>202</v>
      </c>
      <c r="D206" s="11" t="n">
        <f aca="false">-Cost_k*A206+Beta_q*(Declarations!$B$16*INDEX($B$5:$B$425,$C206-ROUND(Declarations!$A$16/0.05,0))+Declarations!$B$17*INDEX($B$5:$B$425,$C206-ROUND(Declarations!$A$17/0.05,0))+Declarations!$B$18*INDEX($B$5:$B$425,$C206-ROUND(Declarations!$A$18/0.05,0))+Declarations!$B$19*INDEX($B$5:$B$425,$C206-ROUND(Declarations!$A$19/0.05,0))+Declarations!$B$20*INDEX($B$5:$B$425,$C206-ROUND(Declarations!$A$20/0.05,0)))</f>
        <v>-457.02865963197</v>
      </c>
      <c r="E206" s="16" t="n">
        <f aca="false">Alpha_keep*A206</f>
        <v>53.67375</v>
      </c>
      <c r="F206" s="16" t="n">
        <f aca="false">Alpha_keep*A206+Cap_h</f>
        <v>56.17375</v>
      </c>
      <c r="G206" s="11" t="n">
        <f aca="false">(INDEX($D$5:$D$425,MIN(INT((E206-45)/0.05+0.000000001),419)+1)*(1-((E206-45)/0.05-MIN(INT((E206-45)/0.05+0.000000001),419)))+INDEX($D$5:$D$425,MIN(INT((E206-45)/0.05+0.000000001),419)+2)*((E206-45)/0.05-MIN(INT((E206-45)/0.05+0.000000001),419)))</f>
        <v>-459.081444368164</v>
      </c>
      <c r="H206" s="11" t="n">
        <f aca="false">(INDEX($D$5:$D$425,MIN(INT((F206-45)/0.05+0.000000001),419)+1)*(1-((F206-45)/0.05-MIN(INT((F206-45)/0.05+0.000000001),419)))+INDEX($D$5:$D$425,MIN(INT((F206-45)/0.05+0.000000001),419)+2)*((F206-45)/0.05-MIN(INT((F206-45)/0.05+0.000000001),419)))</f>
        <v>-456.90309934159</v>
      </c>
      <c r="I206" s="11" t="n">
        <f aca="false">_xlfn.MAXIFS($D$5:$D$425,$A$5:$A$425,"&gt;="&amp;E206,$A$5:$A$425,"&lt;="&amp;F206)</f>
        <v>-456.856332738204</v>
      </c>
      <c r="J206" s="11" t="n">
        <f aca="false">-Short_p*MAX(Floor_c-A206,0)+Cost_k*Alpha_keep*A206+MAX(G206,H206,I206)</f>
        <v>-242.161332738204</v>
      </c>
      <c r="K206" s="22" t="n">
        <f aca="false">ABS(J206-B206)</f>
        <v>0</v>
      </c>
    </row>
    <row r="207" customFormat="false" ht="15" hidden="false" customHeight="false" outlineLevel="0" collapsed="false">
      <c r="A207" s="14" t="n">
        <v>55.1</v>
      </c>
      <c r="B207" s="23" t="n">
        <v>-241.966332738204</v>
      </c>
      <c r="C207" s="19" t="n">
        <v>203</v>
      </c>
      <c r="D207" s="11" t="n">
        <f aca="false">-Cost_k*A207+Beta_q*(Declarations!$B$16*INDEX($B$5:$B$425,$C207-ROUND(Declarations!$A$16/0.05,0))+Declarations!$B$17*INDEX($B$5:$B$425,$C207-ROUND(Declarations!$A$17/0.05,0))+Declarations!$B$18*INDEX($B$5:$B$425,$C207-ROUND(Declarations!$A$18/0.05,0))+Declarations!$B$19*INDEX($B$5:$B$425,$C207-ROUND(Declarations!$A$19/0.05,0))+Declarations!$B$20*INDEX($B$5:$B$425,$C207-ROUND(Declarations!$A$20/0.05,0)))</f>
        <v>-457.014077200493</v>
      </c>
      <c r="E207" s="16" t="n">
        <f aca="false">Alpha_keep*A207</f>
        <v>53.7225</v>
      </c>
      <c r="F207" s="16" t="n">
        <f aca="false">Alpha_keep*A207+Cap_h</f>
        <v>56.2225</v>
      </c>
      <c r="G207" s="11" t="n">
        <f aca="false">(INDEX($D$5:$D$425,MIN(INT((E207-45)/0.05+0.000000001),419)+1)*(1-((E207-45)/0.05-MIN(INT((E207-45)/0.05+0.000000001),419)))+INDEX($D$5:$D$425,MIN(INT((E207-45)/0.05+0.000000001),419)+2)*((E207-45)/0.05-MIN(INT((E207-45)/0.05+0.000000001),419)))</f>
        <v>-458.968277873821</v>
      </c>
      <c r="H207" s="11" t="n">
        <f aca="false">(INDEX($D$5:$D$425,MIN(INT((F207-45)/0.05+0.000000001),419)+1)*(1-((F207-45)/0.05-MIN(INT((F207-45)/0.05+0.000000001),419)))+INDEX($D$5:$D$425,MIN(INT((F207-45)/0.05+0.000000001),419)+2)*((F207-45)/0.05-MIN(INT((F207-45)/0.05+0.000000001),419)))</f>
        <v>-456.908919922399</v>
      </c>
      <c r="I207" s="11" t="n">
        <f aca="false">_xlfn.MAXIFS($D$5:$D$425,$A$5:$A$425,"&gt;="&amp;E207,$A$5:$A$425,"&lt;="&amp;F207)</f>
        <v>-456.856332738204</v>
      </c>
      <c r="J207" s="11" t="n">
        <f aca="false">-Short_p*MAX(Floor_c-A207,0)+Cost_k*Alpha_keep*A207+MAX(G207,H207,I207)</f>
        <v>-241.966332738204</v>
      </c>
      <c r="K207" s="22" t="n">
        <f aca="false">ABS(J207-B207)</f>
        <v>0</v>
      </c>
    </row>
    <row r="208" customFormat="false" ht="15" hidden="false" customHeight="false" outlineLevel="0" collapsed="false">
      <c r="A208" s="14" t="n">
        <v>55.15</v>
      </c>
      <c r="B208" s="23" t="n">
        <v>-241.771332738204</v>
      </c>
      <c r="C208" s="19" t="n">
        <v>204</v>
      </c>
      <c r="D208" s="11" t="n">
        <f aca="false">-Cost_k*A208+Beta_q*(Declarations!$B$16*INDEX($B$5:$B$425,$C208-ROUND(Declarations!$A$16/0.05,0))+Declarations!$B$17*INDEX($B$5:$B$425,$C208-ROUND(Declarations!$A$17/0.05,0))+Declarations!$B$18*INDEX($B$5:$B$425,$C208-ROUND(Declarations!$A$18/0.05,0))+Declarations!$B$19*INDEX($B$5:$B$425,$C208-ROUND(Declarations!$A$19/0.05,0))+Declarations!$B$20*INDEX($B$5:$B$425,$C208-ROUND(Declarations!$A$20/0.05,0)))</f>
        <v>-456.999494868202</v>
      </c>
      <c r="E208" s="16" t="n">
        <f aca="false">Alpha_keep*A208</f>
        <v>53.77125</v>
      </c>
      <c r="F208" s="16" t="n">
        <f aca="false">Alpha_keep*A208+Cap_h</f>
        <v>56.27125</v>
      </c>
      <c r="G208" s="11" t="n">
        <f aca="false">(INDEX($D$5:$D$425,MIN(INT((E208-45)/0.05+0.000000001),419)+1)*(1-((E208-45)/0.05-MIN(INT((E208-45)/0.05+0.000000001),419)))+INDEX($D$5:$D$425,MIN(INT((E208-45)/0.05+0.000000001),419)+2)*((E208-45)/0.05-MIN(INT((E208-45)/0.05+0.000000001),419)))</f>
        <v>-458.855701431731</v>
      </c>
      <c r="H208" s="11" t="n">
        <f aca="false">(INDEX($D$5:$D$425,MIN(INT((F208-45)/0.05+0.000000001),419)+1)*(1-((F208-45)/0.05-MIN(INT((F208-45)/0.05+0.000000001),419)))+INDEX($D$5:$D$425,MIN(INT((F208-45)/0.05+0.000000001),419)+2)*((F208-45)/0.05-MIN(INT((F208-45)/0.05+0.000000001),419)))</f>
        <v>-456.914740609669</v>
      </c>
      <c r="I208" s="11" t="n">
        <f aca="false">_xlfn.MAXIFS($D$5:$D$425,$A$5:$A$425,"&gt;="&amp;E208,$A$5:$A$425,"&lt;="&amp;F208)</f>
        <v>-456.856332738204</v>
      </c>
      <c r="J208" s="11" t="n">
        <f aca="false">-Short_p*MAX(Floor_c-A208,0)+Cost_k*Alpha_keep*A208+MAX(G208,H208,I208)</f>
        <v>-241.771332738204</v>
      </c>
      <c r="K208" s="22" t="n">
        <f aca="false">ABS(J208-B208)</f>
        <v>0</v>
      </c>
    </row>
    <row r="209" customFormat="false" ht="15" hidden="false" customHeight="false" outlineLevel="0" collapsed="false">
      <c r="A209" s="14" t="n">
        <v>55.2</v>
      </c>
      <c r="B209" s="23" t="n">
        <v>-241.576332738205</v>
      </c>
      <c r="C209" s="19" t="n">
        <v>205</v>
      </c>
      <c r="D209" s="11" t="n">
        <f aca="false">-Cost_k*A209+Beta_q*(Declarations!$B$16*INDEX($B$5:$B$425,$C209-ROUND(Declarations!$A$16/0.05,0))+Declarations!$B$17*INDEX($B$5:$B$425,$C209-ROUND(Declarations!$A$17/0.05,0))+Declarations!$B$18*INDEX($B$5:$B$425,$C209-ROUND(Declarations!$A$18/0.05,0))+Declarations!$B$19*INDEX($B$5:$B$425,$C209-ROUND(Declarations!$A$19/0.05,0))+Declarations!$B$20*INDEX($B$5:$B$425,$C209-ROUND(Declarations!$A$20/0.05,0)))</f>
        <v>-456.984912995699</v>
      </c>
      <c r="E209" s="16" t="n">
        <f aca="false">Alpha_keep*A209</f>
        <v>53.82</v>
      </c>
      <c r="F209" s="16" t="n">
        <f aca="false">Alpha_keep*A209+Cap_h</f>
        <v>56.32</v>
      </c>
      <c r="G209" s="11" t="n">
        <f aca="false">(INDEX($D$5:$D$425,MIN(INT((E209-45)/0.05+0.000000001),419)+1)*(1-((E209-45)/0.05-MIN(INT((E209-45)/0.05+0.000000001),419)))+INDEX($D$5:$D$425,MIN(INT((E209-45)/0.05+0.000000001),419)+2)*((E209-45)/0.05-MIN(INT((E209-45)/0.05+0.000000001),419)))</f>
        <v>-458.74513331079</v>
      </c>
      <c r="H209" s="11" t="n">
        <f aca="false">(INDEX($D$5:$D$425,MIN(INT((F209-45)/0.05+0.000000001),419)+1)*(1-((F209-45)/0.05-MIN(INT((F209-45)/0.05+0.000000001),419)))+INDEX($D$5:$D$425,MIN(INT((F209-45)/0.05+0.000000001),419)+2)*((F209-45)/0.05-MIN(INT((F209-45)/0.05+0.000000001),419)))</f>
        <v>-456.920562481078</v>
      </c>
      <c r="I209" s="11" t="n">
        <f aca="false">_xlfn.MAXIFS($D$5:$D$425,$A$5:$A$425,"&gt;="&amp;E209,$A$5:$A$425,"&lt;="&amp;F209)</f>
        <v>-456.856332738204</v>
      </c>
      <c r="J209" s="11" t="n">
        <f aca="false">-Short_p*MAX(Floor_c-A209,0)+Cost_k*Alpha_keep*A209+MAX(G209,H209,I209)</f>
        <v>-241.576332738204</v>
      </c>
      <c r="K209" s="22" t="n">
        <f aca="false">ABS(J209-B209)</f>
        <v>0</v>
      </c>
    </row>
    <row r="210" customFormat="false" ht="15" hidden="false" customHeight="false" outlineLevel="0" collapsed="false">
      <c r="A210" s="14" t="n">
        <v>55.25</v>
      </c>
      <c r="B210" s="23" t="n">
        <v>-241.381332738205</v>
      </c>
      <c r="C210" s="19" t="n">
        <v>206</v>
      </c>
      <c r="D210" s="11" t="n">
        <f aca="false">-Cost_k*A210+Beta_q*(Declarations!$B$16*INDEX($B$5:$B$425,$C210-ROUND(Declarations!$A$16/0.05,0))+Declarations!$B$17*INDEX($B$5:$B$425,$C210-ROUND(Declarations!$A$17/0.05,0))+Declarations!$B$18*INDEX($B$5:$B$425,$C210-ROUND(Declarations!$A$18/0.05,0))+Declarations!$B$19*INDEX($B$5:$B$425,$C210-ROUND(Declarations!$A$19/0.05,0))+Declarations!$B$20*INDEX($B$5:$B$425,$C210-ROUND(Declarations!$A$20/0.05,0)))</f>
        <v>-456.970333952875</v>
      </c>
      <c r="E210" s="16" t="n">
        <f aca="false">Alpha_keep*A210</f>
        <v>53.86875</v>
      </c>
      <c r="F210" s="16" t="n">
        <f aca="false">Alpha_keep*A210+Cap_h</f>
        <v>56.36875</v>
      </c>
      <c r="G210" s="11" t="n">
        <f aca="false">(INDEX($D$5:$D$425,MIN(INT((E210-45)/0.05+0.000000001),419)+1)*(1-((E210-45)/0.05-MIN(INT((E210-45)/0.05+0.000000001),419)))+INDEX($D$5:$D$425,MIN(INT((E210-45)/0.05+0.000000001),419)+2)*((E210-45)/0.05-MIN(INT((E210-45)/0.05+0.000000001),419)))</f>
        <v>-458.644393042075</v>
      </c>
      <c r="H210" s="11" t="n">
        <f aca="false">(INDEX($D$5:$D$425,MIN(INT((F210-45)/0.05+0.000000001),419)+1)*(1-((F210-45)/0.05-MIN(INT((F210-45)/0.05+0.000000001),419)))+INDEX($D$5:$D$425,MIN(INT((F210-45)/0.05+0.000000001),419)+2)*((F210-45)/0.05-MIN(INT((F210-45)/0.05+0.000000001),419)))</f>
        <v>-456.926394269097</v>
      </c>
      <c r="I210" s="11" t="n">
        <f aca="false">_xlfn.MAXIFS($D$5:$D$425,$A$5:$A$425,"&gt;="&amp;E210,$A$5:$A$425,"&lt;="&amp;F210)</f>
        <v>-456.856332738204</v>
      </c>
      <c r="J210" s="11" t="n">
        <f aca="false">-Short_p*MAX(Floor_c-A210,0)+Cost_k*Alpha_keep*A210+MAX(G210,H210,I210)</f>
        <v>-241.381332738204</v>
      </c>
      <c r="K210" s="22" t="n">
        <f aca="false">ABS(J210-B210)</f>
        <v>0</v>
      </c>
    </row>
    <row r="211" customFormat="false" ht="15" hidden="false" customHeight="false" outlineLevel="0" collapsed="false">
      <c r="A211" s="14" t="n">
        <v>55.3</v>
      </c>
      <c r="B211" s="23" t="n">
        <v>-241.186332738205</v>
      </c>
      <c r="C211" s="19" t="n">
        <v>207</v>
      </c>
      <c r="D211" s="11" t="n">
        <f aca="false">-Cost_k*A211+Beta_q*(Declarations!$B$16*INDEX($B$5:$B$425,$C211-ROUND(Declarations!$A$16/0.05,0))+Declarations!$B$17*INDEX($B$5:$B$425,$C211-ROUND(Declarations!$A$17/0.05,0))+Declarations!$B$18*INDEX($B$5:$B$425,$C211-ROUND(Declarations!$A$18/0.05,0))+Declarations!$B$19*INDEX($B$5:$B$425,$C211-ROUND(Declarations!$A$19/0.05,0))+Declarations!$B$20*INDEX($B$5:$B$425,$C211-ROUND(Declarations!$A$20/0.05,0)))</f>
        <v>-456.955785297364</v>
      </c>
      <c r="E211" s="16" t="n">
        <f aca="false">Alpha_keep*A211</f>
        <v>53.9175</v>
      </c>
      <c r="F211" s="16" t="n">
        <f aca="false">Alpha_keep*A211+Cap_h</f>
        <v>56.4175</v>
      </c>
      <c r="G211" s="11" t="n">
        <f aca="false">(INDEX($D$5:$D$425,MIN(INT((E211-45)/0.05+0.000000001),419)+1)*(1-((E211-45)/0.05-MIN(INT((E211-45)/0.05+0.000000001),419)))+INDEX($D$5:$D$425,MIN(INT((E211-45)/0.05+0.000000001),419)+2)*((E211-45)/0.05-MIN(INT((E211-45)/0.05+0.000000001),419)))</f>
        <v>-458.556060935161</v>
      </c>
      <c r="H211" s="11" t="n">
        <f aca="false">(INDEX($D$5:$D$425,MIN(INT((F211-45)/0.05+0.000000001),419)+1)*(1-((F211-45)/0.05-MIN(INT((F211-45)/0.05+0.000000001),419)))+INDEX($D$5:$D$425,MIN(INT((F211-45)/0.05+0.000000001),419)+2)*((F211-45)/0.05-MIN(INT((F211-45)/0.05+0.000000001),419)))</f>
        <v>-456.932402251171</v>
      </c>
      <c r="I211" s="11" t="n">
        <f aca="false">_xlfn.MAXIFS($D$5:$D$425,$A$5:$A$425,"&gt;="&amp;E211,$A$5:$A$425,"&lt;="&amp;F211)</f>
        <v>-456.856332738204</v>
      </c>
      <c r="J211" s="11" t="n">
        <f aca="false">-Short_p*MAX(Floor_c-A211,0)+Cost_k*Alpha_keep*A211+MAX(G211,H211,I211)</f>
        <v>-241.186332738204</v>
      </c>
      <c r="K211" s="22" t="n">
        <f aca="false">ABS(J211-B211)</f>
        <v>0</v>
      </c>
    </row>
    <row r="212" customFormat="false" ht="15" hidden="false" customHeight="false" outlineLevel="0" collapsed="false">
      <c r="A212" s="14" t="n">
        <v>55.35</v>
      </c>
      <c r="B212" s="23" t="n">
        <v>-240.991332738204</v>
      </c>
      <c r="C212" s="19" t="n">
        <v>208</v>
      </c>
      <c r="D212" s="11" t="n">
        <f aca="false">-Cost_k*A212+Beta_q*(Declarations!$B$16*INDEX($B$5:$B$425,$C212-ROUND(Declarations!$A$16/0.05,0))+Declarations!$B$17*INDEX($B$5:$B$425,$C212-ROUND(Declarations!$A$17/0.05,0))+Declarations!$B$18*INDEX($B$5:$B$425,$C212-ROUND(Declarations!$A$18/0.05,0))+Declarations!$B$19*INDEX($B$5:$B$425,$C212-ROUND(Declarations!$A$19/0.05,0))+Declarations!$B$20*INDEX($B$5:$B$425,$C212-ROUND(Declarations!$A$20/0.05,0)))</f>
        <v>-456.941464278173</v>
      </c>
      <c r="E212" s="16" t="n">
        <f aca="false">Alpha_keep*A212</f>
        <v>53.96625</v>
      </c>
      <c r="F212" s="16" t="n">
        <f aca="false">Alpha_keep*A212+Cap_h</f>
        <v>56.46625</v>
      </c>
      <c r="G212" s="11" t="n">
        <f aca="false">(INDEX($D$5:$D$425,MIN(INT((E212-45)/0.05+0.000000001),419)+1)*(1-((E212-45)/0.05-MIN(INT((E212-45)/0.05+0.000000001),419)))+INDEX($D$5:$D$425,MIN(INT((E212-45)/0.05+0.000000001),419)+2)*((E212-45)/0.05-MIN(INT((E212-45)/0.05+0.000000001),419)))</f>
        <v>-458.468112205061</v>
      </c>
      <c r="H212" s="11" t="n">
        <f aca="false">(INDEX($D$5:$D$425,MIN(INT((F212-45)/0.05+0.000000001),419)+1)*(1-((F212-45)/0.05-MIN(INT((F212-45)/0.05+0.000000001),419)))+INDEX($D$5:$D$425,MIN(INT((F212-45)/0.05+0.000000001),419)+2)*((F212-45)/0.05-MIN(INT((F212-45)/0.05+0.000000001),419)))</f>
        <v>-456.93895821128</v>
      </c>
      <c r="I212" s="11" t="n">
        <f aca="false">_xlfn.MAXIFS($D$5:$D$425,$A$5:$A$425,"&gt;="&amp;E212,$A$5:$A$425,"&lt;="&amp;F212)</f>
        <v>-456.856332738204</v>
      </c>
      <c r="J212" s="11" t="n">
        <f aca="false">-Short_p*MAX(Floor_c-A212,0)+Cost_k*Alpha_keep*A212+MAX(G212,H212,I212)</f>
        <v>-240.991332738204</v>
      </c>
      <c r="K212" s="22" t="n">
        <f aca="false">ABS(J212-B212)</f>
        <v>0</v>
      </c>
    </row>
    <row r="213" customFormat="false" ht="15" hidden="false" customHeight="false" outlineLevel="0" collapsed="false">
      <c r="A213" s="14" t="n">
        <v>55.4</v>
      </c>
      <c r="B213" s="23" t="n">
        <v>-240.796332738204</v>
      </c>
      <c r="C213" s="19" t="n">
        <v>209</v>
      </c>
      <c r="D213" s="11" t="n">
        <f aca="false">-Cost_k*A213+Beta_q*(Declarations!$B$16*INDEX($B$5:$B$425,$C213-ROUND(Declarations!$A$16/0.05,0))+Declarations!$B$17*INDEX($B$5:$B$425,$C213-ROUND(Declarations!$A$17/0.05,0))+Declarations!$B$18*INDEX($B$5:$B$425,$C213-ROUND(Declarations!$A$18/0.05,0))+Declarations!$B$19*INDEX($B$5:$B$425,$C213-ROUND(Declarations!$A$19/0.05,0))+Declarations!$B$20*INDEX($B$5:$B$425,$C213-ROUND(Declarations!$A$20/0.05,0)))</f>
        <v>-456.930232566534</v>
      </c>
      <c r="E213" s="16" t="n">
        <f aca="false">Alpha_keep*A213</f>
        <v>54.015</v>
      </c>
      <c r="F213" s="16" t="n">
        <f aca="false">Alpha_keep*A213+Cap_h</f>
        <v>56.515</v>
      </c>
      <c r="G213" s="11" t="n">
        <f aca="false">(INDEX($D$5:$D$425,MIN(INT((E213-45)/0.05+0.000000001),419)+1)*(1-((E213-45)/0.05-MIN(INT((E213-45)/0.05+0.000000001),419)))+INDEX($D$5:$D$425,MIN(INT((E213-45)/0.05+0.000000001),419)+2)*((E213-45)/0.05-MIN(INT((E213-45)/0.05+0.000000001),419)))</f>
        <v>-458.380172596306</v>
      </c>
      <c r="H213" s="11" t="n">
        <f aca="false">(INDEX($D$5:$D$425,MIN(INT((F213-45)/0.05+0.000000001),419)+1)*(1-((F213-45)/0.05-MIN(INT((F213-45)/0.05+0.000000001),419)))+INDEX($D$5:$D$425,MIN(INT((F213-45)/0.05+0.000000001),419)+2)*((F213-45)/0.05-MIN(INT((F213-45)/0.05+0.000000001),419)))</f>
        <v>-456.947200668518</v>
      </c>
      <c r="I213" s="11" t="n">
        <f aca="false">_xlfn.MAXIFS($D$5:$D$425,$A$5:$A$425,"&gt;="&amp;E213,$A$5:$A$425,"&lt;="&amp;F213)</f>
        <v>-456.856332738204</v>
      </c>
      <c r="J213" s="11" t="n">
        <f aca="false">-Short_p*MAX(Floor_c-A213,0)+Cost_k*Alpha_keep*A213+MAX(G213,H213,I213)</f>
        <v>-240.796332738204</v>
      </c>
      <c r="K213" s="22" t="n">
        <f aca="false">ABS(J213-B213)</f>
        <v>0</v>
      </c>
    </row>
    <row r="214" customFormat="false" ht="15" hidden="false" customHeight="false" outlineLevel="0" collapsed="false">
      <c r="A214" s="14" t="n">
        <v>55.45</v>
      </c>
      <c r="B214" s="23" t="n">
        <v>-240.601332738204</v>
      </c>
      <c r="C214" s="19" t="n">
        <v>210</v>
      </c>
      <c r="D214" s="11" t="n">
        <f aca="false">-Cost_k*A214+Beta_q*(Declarations!$B$16*INDEX($B$5:$B$425,$C214-ROUND(Declarations!$A$16/0.05,0))+Declarations!$B$17*INDEX($B$5:$B$425,$C214-ROUND(Declarations!$A$17/0.05,0))+Declarations!$B$18*INDEX($B$5:$B$425,$C214-ROUND(Declarations!$A$18/0.05,0))+Declarations!$B$19*INDEX($B$5:$B$425,$C214-ROUND(Declarations!$A$19/0.05,0))+Declarations!$B$20*INDEX($B$5:$B$425,$C214-ROUND(Declarations!$A$20/0.05,0)))</f>
        <v>-456.919600782476</v>
      </c>
      <c r="E214" s="16" t="n">
        <f aca="false">Alpha_keep*A214</f>
        <v>54.06375</v>
      </c>
      <c r="F214" s="16" t="n">
        <f aca="false">Alpha_keep*A214+Cap_h</f>
        <v>56.56375</v>
      </c>
      <c r="G214" s="11" t="n">
        <f aca="false">(INDEX($D$5:$D$425,MIN(INT((E214-45)/0.05+0.000000001),419)+1)*(1-((E214-45)/0.05-MIN(INT((E214-45)/0.05+0.000000001),419)))+INDEX($D$5:$D$425,MIN(INT((E214-45)/0.05+0.000000001),419)+2)*((E214-45)/0.05-MIN(INT((E214-45)/0.05+0.000000001),419)))</f>
        <v>-458.292262540021</v>
      </c>
      <c r="H214" s="11" t="n">
        <f aca="false">(INDEX($D$5:$D$425,MIN(INT((F214-45)/0.05+0.000000001),419)+1)*(1-((F214-45)/0.05-MIN(INT((F214-45)/0.05+0.000000001),419)))+INDEX($D$5:$D$425,MIN(INT((F214-45)/0.05+0.000000001),419)+2)*((F214-45)/0.05-MIN(INT((F214-45)/0.05+0.000000001),419)))</f>
        <v>-456.958079846997</v>
      </c>
      <c r="I214" s="11" t="n">
        <f aca="false">_xlfn.MAXIFS($D$5:$D$425,$A$5:$A$425,"&gt;="&amp;E214,$A$5:$A$425,"&lt;="&amp;F214)</f>
        <v>-456.856332738204</v>
      </c>
      <c r="J214" s="11" t="n">
        <f aca="false">-Short_p*MAX(Floor_c-A214,0)+Cost_k*Alpha_keep*A214+MAX(G214,H214,I214)</f>
        <v>-240.601332738204</v>
      </c>
      <c r="K214" s="22" t="n">
        <f aca="false">ABS(J214-B214)</f>
        <v>0</v>
      </c>
    </row>
    <row r="215" customFormat="false" ht="15" hidden="false" customHeight="false" outlineLevel="0" collapsed="false">
      <c r="A215" s="14" t="n">
        <v>55.5</v>
      </c>
      <c r="B215" s="23" t="n">
        <v>-240.406332738204</v>
      </c>
      <c r="C215" s="19" t="n">
        <v>211</v>
      </c>
      <c r="D215" s="11" t="n">
        <f aca="false">-Cost_k*A215+Beta_q*(Declarations!$B$16*INDEX($B$5:$B$425,$C215-ROUND(Declarations!$A$16/0.05,0))+Declarations!$B$17*INDEX($B$5:$B$425,$C215-ROUND(Declarations!$A$17/0.05,0))+Declarations!$B$18*INDEX($B$5:$B$425,$C215-ROUND(Declarations!$A$18/0.05,0))+Declarations!$B$19*INDEX($B$5:$B$425,$C215-ROUND(Declarations!$A$19/0.05,0))+Declarations!$B$20*INDEX($B$5:$B$425,$C215-ROUND(Declarations!$A$20/0.05,0)))</f>
        <v>-456.908969003018</v>
      </c>
      <c r="E215" s="16" t="n">
        <f aca="false">Alpha_keep*A215</f>
        <v>54.1125</v>
      </c>
      <c r="F215" s="16" t="n">
        <f aca="false">Alpha_keep*A215+Cap_h</f>
        <v>56.6125</v>
      </c>
      <c r="G215" s="11" t="n">
        <f aca="false">(INDEX($D$5:$D$425,MIN(INT((E215-45)/0.05+0.000000001),419)+1)*(1-((E215-45)/0.05-MIN(INT((E215-45)/0.05+0.000000001),419)))+INDEX($D$5:$D$425,MIN(INT((E215-45)/0.05+0.000000001),419)+2)*((E215-45)/0.05-MIN(INT((E215-45)/0.05+0.000000001),419)))</f>
        <v>-458.204454729301</v>
      </c>
      <c r="H215" s="11" t="n">
        <f aca="false">(INDEX($D$5:$D$425,MIN(INT((F215-45)/0.05+0.000000001),419)+1)*(1-((F215-45)/0.05-MIN(INT((F215-45)/0.05+0.000000001),419)))+INDEX($D$5:$D$425,MIN(INT((F215-45)/0.05+0.000000001),419)+2)*((F215-45)/0.05-MIN(INT((F215-45)/0.05+0.000000001),419)))</f>
        <v>-456.968959058535</v>
      </c>
      <c r="I215" s="11" t="n">
        <f aca="false">_xlfn.MAXIFS($D$5:$D$425,$A$5:$A$425,"&gt;="&amp;E215,$A$5:$A$425,"&lt;="&amp;F215)</f>
        <v>-456.856332738204</v>
      </c>
      <c r="J215" s="11" t="n">
        <f aca="false">-Short_p*MAX(Floor_c-A215,0)+Cost_k*Alpha_keep*A215+MAX(G215,H215,I215)</f>
        <v>-240.406332738204</v>
      </c>
      <c r="K215" s="22" t="n">
        <f aca="false">ABS(J215-B215)</f>
        <v>0</v>
      </c>
    </row>
    <row r="216" customFormat="false" ht="15" hidden="false" customHeight="false" outlineLevel="0" collapsed="false">
      <c r="A216" s="14" t="n">
        <v>55.55</v>
      </c>
      <c r="B216" s="23" t="n">
        <v>-240.211332738204</v>
      </c>
      <c r="C216" s="19" t="n">
        <v>212</v>
      </c>
      <c r="D216" s="11" t="n">
        <f aca="false">-Cost_k*A216+Beta_q*(Declarations!$B$16*INDEX($B$5:$B$425,$C216-ROUND(Declarations!$A$16/0.05,0))+Declarations!$B$17*INDEX($B$5:$B$425,$C216-ROUND(Declarations!$A$17/0.05,0))+Declarations!$B$18*INDEX($B$5:$B$425,$C216-ROUND(Declarations!$A$18/0.05,0))+Declarations!$B$19*INDEX($B$5:$B$425,$C216-ROUND(Declarations!$A$19/0.05,0))+Declarations!$B$20*INDEX($B$5:$B$425,$C216-ROUND(Declarations!$A$20/0.05,0)))</f>
        <v>-456.898337245447</v>
      </c>
      <c r="E216" s="16" t="n">
        <f aca="false">Alpha_keep*A216</f>
        <v>54.16125</v>
      </c>
      <c r="F216" s="16" t="n">
        <f aca="false">Alpha_keep*A216+Cap_h</f>
        <v>56.66125</v>
      </c>
      <c r="G216" s="11" t="n">
        <f aca="false">(INDEX($D$5:$D$425,MIN(INT((E216-45)/0.05+0.000000001),419)+1)*(1-((E216-45)/0.05-MIN(INT((E216-45)/0.05+0.000000001),419)))+INDEX($D$5:$D$425,MIN(INT((E216-45)/0.05+0.000000001),419)+2)*((E216-45)/0.05-MIN(INT((E216-45)/0.05+0.000000001),419)))</f>
        <v>-458.117178337186</v>
      </c>
      <c r="H216" s="11" t="n">
        <f aca="false">(INDEX($D$5:$D$425,MIN(INT((F216-45)/0.05+0.000000001),419)+1)*(1-((F216-45)/0.05-MIN(INT((F216-45)/0.05+0.000000001),419)))+INDEX($D$5:$D$425,MIN(INT((F216-45)/0.05+0.000000001),419)+2)*((F216-45)/0.05-MIN(INT((F216-45)/0.05+0.000000001),419)))</f>
        <v>-456.979838495053</v>
      </c>
      <c r="I216" s="11" t="n">
        <f aca="false">_xlfn.MAXIFS($D$5:$D$425,$A$5:$A$425,"&gt;="&amp;E216,$A$5:$A$425,"&lt;="&amp;F216)</f>
        <v>-456.856332738204</v>
      </c>
      <c r="J216" s="11" t="n">
        <f aca="false">-Short_p*MAX(Floor_c-A216,0)+Cost_k*Alpha_keep*A216+MAX(G216,H216,I216)</f>
        <v>-240.211332738204</v>
      </c>
      <c r="K216" s="22" t="n">
        <f aca="false">ABS(J216-B216)</f>
        <v>0</v>
      </c>
    </row>
    <row r="217" customFormat="false" ht="15" hidden="false" customHeight="false" outlineLevel="0" collapsed="false">
      <c r="A217" s="14" t="n">
        <v>55.6</v>
      </c>
      <c r="B217" s="23" t="n">
        <v>-240.016332738204</v>
      </c>
      <c r="C217" s="19" t="n">
        <v>213</v>
      </c>
      <c r="D217" s="11" t="n">
        <f aca="false">-Cost_k*A217+Beta_q*(Declarations!$B$16*INDEX($B$5:$B$425,$C217-ROUND(Declarations!$A$16/0.05,0))+Declarations!$B$17*INDEX($B$5:$B$425,$C217-ROUND(Declarations!$A$17/0.05,0))+Declarations!$B$18*INDEX($B$5:$B$425,$C217-ROUND(Declarations!$A$18/0.05,0))+Declarations!$B$19*INDEX($B$5:$B$425,$C217-ROUND(Declarations!$A$19/0.05,0))+Declarations!$B$20*INDEX($B$5:$B$425,$C217-ROUND(Declarations!$A$20/0.05,0)))</f>
        <v>-456.887705619121</v>
      </c>
      <c r="E217" s="16" t="n">
        <f aca="false">Alpha_keep*A217</f>
        <v>54.21</v>
      </c>
      <c r="F217" s="16" t="n">
        <f aca="false">Alpha_keep*A217+Cap_h</f>
        <v>56.71</v>
      </c>
      <c r="G217" s="11" t="n">
        <f aca="false">(INDEX($D$5:$D$425,MIN(INT((E217-45)/0.05+0.000000001),419)+1)*(1-((E217-45)/0.05-MIN(INT((E217-45)/0.05+0.000000001),419)))+INDEX($D$5:$D$425,MIN(INT((E217-45)/0.05+0.000000001),419)+2)*((E217-45)/0.05-MIN(INT((E217-45)/0.05+0.000000001),419)))</f>
        <v>-458.031703819299</v>
      </c>
      <c r="H217" s="11" t="n">
        <f aca="false">(INDEX($D$5:$D$425,MIN(INT((F217-45)/0.05+0.000000001),419)+1)*(1-((F217-45)/0.05-MIN(INT((F217-45)/0.05+0.000000001),419)))+INDEX($D$5:$D$425,MIN(INT((F217-45)/0.05+0.000000001),419)+2)*((F217-45)/0.05-MIN(INT((F217-45)/0.05+0.000000001),419)))</f>
        <v>-456.990719138551</v>
      </c>
      <c r="I217" s="11" t="n">
        <f aca="false">_xlfn.MAXIFS($D$5:$D$425,$A$5:$A$425,"&gt;="&amp;E217,$A$5:$A$425,"&lt;="&amp;F217)</f>
        <v>-456.856332738204</v>
      </c>
      <c r="J217" s="11" t="n">
        <f aca="false">-Short_p*MAX(Floor_c-A217,0)+Cost_k*Alpha_keep*A217+MAX(G217,H217,I217)</f>
        <v>-240.016332738204</v>
      </c>
      <c r="K217" s="22" t="n">
        <f aca="false">ABS(J217-B217)</f>
        <v>0</v>
      </c>
    </row>
    <row r="218" customFormat="false" ht="15" hidden="false" customHeight="false" outlineLevel="0" collapsed="false">
      <c r="A218" s="14" t="n">
        <v>55.65</v>
      </c>
      <c r="B218" s="23" t="n">
        <v>-239.821332738204</v>
      </c>
      <c r="C218" s="19" t="n">
        <v>214</v>
      </c>
      <c r="D218" s="11" t="n">
        <f aca="false">-Cost_k*A218+Beta_q*(Declarations!$B$16*INDEX($B$5:$B$425,$C218-ROUND(Declarations!$A$16/0.05,0))+Declarations!$B$17*INDEX($B$5:$B$425,$C218-ROUND(Declarations!$A$17/0.05,0))+Declarations!$B$18*INDEX($B$5:$B$425,$C218-ROUND(Declarations!$A$18/0.05,0))+Declarations!$B$19*INDEX($B$5:$B$425,$C218-ROUND(Declarations!$A$19/0.05,0))+Declarations!$B$20*INDEX($B$5:$B$425,$C218-ROUND(Declarations!$A$20/0.05,0)))</f>
        <v>-456.87707536857</v>
      </c>
      <c r="E218" s="16" t="n">
        <f aca="false">Alpha_keep*A218</f>
        <v>54.25875</v>
      </c>
      <c r="F218" s="16" t="n">
        <f aca="false">Alpha_keep*A218+Cap_h</f>
        <v>56.75875</v>
      </c>
      <c r="G218" s="11" t="n">
        <f aca="false">(INDEX($D$5:$D$425,MIN(INT((E218-45)/0.05+0.000000001),419)+1)*(1-((E218-45)/0.05-MIN(INT((E218-45)/0.05+0.000000001),419)))+INDEX($D$5:$D$425,MIN(INT((E218-45)/0.05+0.000000001),419)+2)*((E218-45)/0.05-MIN(INT((E218-45)/0.05+0.000000001),419)))</f>
        <v>-457.951559548934</v>
      </c>
      <c r="H218" s="11" t="n">
        <f aca="false">(INDEX($D$5:$D$425,MIN(INT((F218-45)/0.05+0.000000001),419)+1)*(1-((F218-45)/0.05-MIN(INT((F218-45)/0.05+0.000000001),419)))+INDEX($D$5:$D$425,MIN(INT((F218-45)/0.05+0.000000001),419)+2)*((F218-45)/0.05-MIN(INT((F218-45)/0.05+0.000000001),419)))</f>
        <v>-457.001606122923</v>
      </c>
      <c r="I218" s="11" t="n">
        <f aca="false">_xlfn.MAXIFS($D$5:$D$425,$A$5:$A$425,"&gt;="&amp;E218,$A$5:$A$425,"&lt;="&amp;F218)</f>
        <v>-456.856332738204</v>
      </c>
      <c r="J218" s="11" t="n">
        <f aca="false">-Short_p*MAX(Floor_c-A218,0)+Cost_k*Alpha_keep*A218+MAX(G218,H218,I218)</f>
        <v>-239.821332738204</v>
      </c>
      <c r="K218" s="22" t="n">
        <f aca="false">ABS(J218-B218)</f>
        <v>0</v>
      </c>
    </row>
    <row r="219" customFormat="false" ht="15" hidden="false" customHeight="false" outlineLevel="0" collapsed="false">
      <c r="A219" s="14" t="n">
        <v>55.7</v>
      </c>
      <c r="B219" s="23" t="n">
        <v>-239.626332738204</v>
      </c>
      <c r="C219" s="19" t="n">
        <v>215</v>
      </c>
      <c r="D219" s="11" t="n">
        <f aca="false">-Cost_k*A219+Beta_q*(Declarations!$B$16*INDEX($B$5:$B$425,$C219-ROUND(Declarations!$A$16/0.05,0))+Declarations!$B$17*INDEX($B$5:$B$425,$C219-ROUND(Declarations!$A$17/0.05,0))+Declarations!$B$18*INDEX($B$5:$B$425,$C219-ROUND(Declarations!$A$18/0.05,0))+Declarations!$B$19*INDEX($B$5:$B$425,$C219-ROUND(Declarations!$A$19/0.05,0))+Declarations!$B$20*INDEX($B$5:$B$425,$C219-ROUND(Declarations!$A$20/0.05,0)))</f>
        <v>-456.866561330512</v>
      </c>
      <c r="E219" s="16" t="n">
        <f aca="false">Alpha_keep*A219</f>
        <v>54.3075</v>
      </c>
      <c r="F219" s="16" t="n">
        <f aca="false">Alpha_keep*A219+Cap_h</f>
        <v>56.8075</v>
      </c>
      <c r="G219" s="11" t="n">
        <f aca="false">(INDEX($D$5:$D$425,MIN(INT((E219-45)/0.05+0.000000001),419)+1)*(1-((E219-45)/0.05-MIN(INT((E219-45)/0.05+0.000000001),419)))+INDEX($D$5:$D$425,MIN(INT((E219-45)/0.05+0.000000001),419)+2)*((E219-45)/0.05-MIN(INT((E219-45)/0.05+0.000000001),419)))</f>
        <v>-457.884417910652</v>
      </c>
      <c r="H219" s="11" t="n">
        <f aca="false">(INDEX($D$5:$D$425,MIN(INT((F219-45)/0.05+0.000000001),419)+1)*(1-((F219-45)/0.05-MIN(INT((F219-45)/0.05+0.000000001),419)))+INDEX($D$5:$D$425,MIN(INT((F219-45)/0.05+0.000000001),419)+2)*((F219-45)/0.05-MIN(INT((F219-45)/0.05+0.000000001),419)))</f>
        <v>-457.012518848061</v>
      </c>
      <c r="I219" s="11" t="n">
        <f aca="false">_xlfn.MAXIFS($D$5:$D$425,$A$5:$A$425,"&gt;="&amp;E219,$A$5:$A$425,"&lt;="&amp;F219)</f>
        <v>-456.856332738204</v>
      </c>
      <c r="J219" s="11" t="n">
        <f aca="false">-Short_p*MAX(Floor_c-A219,0)+Cost_k*Alpha_keep*A219+MAX(G219,H219,I219)</f>
        <v>-239.626332738204</v>
      </c>
      <c r="K219" s="22" t="n">
        <f aca="false">ABS(J219-B219)</f>
        <v>0</v>
      </c>
    </row>
    <row r="220" customFormat="false" ht="15" hidden="false" customHeight="false" outlineLevel="0" collapsed="false">
      <c r="A220" s="14" t="n">
        <v>55.75</v>
      </c>
      <c r="B220" s="23" t="n">
        <v>-239.431332738205</v>
      </c>
      <c r="C220" s="19" t="n">
        <v>216</v>
      </c>
      <c r="D220" s="11" t="n">
        <f aca="false">-Cost_k*A220+Beta_q*(Declarations!$B$16*INDEX($B$5:$B$425,$C220-ROUND(Declarations!$A$16/0.05,0))+Declarations!$B$17*INDEX($B$5:$B$425,$C220-ROUND(Declarations!$A$17/0.05,0))+Declarations!$B$18*INDEX($B$5:$B$425,$C220-ROUND(Declarations!$A$18/0.05,0))+Declarations!$B$19*INDEX($B$5:$B$425,$C220-ROUND(Declarations!$A$19/0.05,0))+Declarations!$B$20*INDEX($B$5:$B$425,$C220-ROUND(Declarations!$A$20/0.05,0)))</f>
        <v>-456.856332738204</v>
      </c>
      <c r="E220" s="16" t="n">
        <f aca="false">Alpha_keep*A220</f>
        <v>54.35625</v>
      </c>
      <c r="F220" s="16" t="n">
        <f aca="false">Alpha_keep*A220+Cap_h</f>
        <v>56.85625</v>
      </c>
      <c r="G220" s="11" t="n">
        <f aca="false">(INDEX($D$5:$D$425,MIN(INT((E220-45)/0.05+0.000000001),419)+1)*(1-((E220-45)/0.05-MIN(INT((E220-45)/0.05+0.000000001),419)))+INDEX($D$5:$D$425,MIN(INT((E220-45)/0.05+0.000000001),419)+2)*((E220-45)/0.05-MIN(INT((E220-45)/0.05+0.000000001),419)))</f>
        <v>-457.817307392547</v>
      </c>
      <c r="H220" s="11" t="n">
        <f aca="false">(INDEX($D$5:$D$425,MIN(INT((F220-45)/0.05+0.000000001),419)+1)*(1-((F220-45)/0.05-MIN(INT((F220-45)/0.05+0.000000001),419)))+INDEX($D$5:$D$425,MIN(INT((F220-45)/0.05+0.000000001),419)+2)*((F220-45)/0.05-MIN(INT((F220-45)/0.05+0.000000001),419)))</f>
        <v>-457.023482187247</v>
      </c>
      <c r="I220" s="11" t="n">
        <f aca="false">_xlfn.MAXIFS($D$5:$D$425,$A$5:$A$425,"&gt;="&amp;E220,$A$5:$A$425,"&lt;="&amp;F220)</f>
        <v>-456.856332738204</v>
      </c>
      <c r="J220" s="11" t="n">
        <f aca="false">-Short_p*MAX(Floor_c-A220,0)+Cost_k*Alpha_keep*A220+MAX(G220,H220,I220)</f>
        <v>-239.431332738204</v>
      </c>
      <c r="K220" s="22" t="n">
        <f aca="false">ABS(J220-B220)</f>
        <v>0</v>
      </c>
    </row>
    <row r="221" customFormat="false" ht="15" hidden="false" customHeight="false" outlineLevel="0" collapsed="false">
      <c r="A221" s="14" t="n">
        <v>55.8</v>
      </c>
      <c r="B221" s="23" t="n">
        <v>-239.236332738205</v>
      </c>
      <c r="C221" s="19" t="n">
        <v>217</v>
      </c>
      <c r="D221" s="11" t="n">
        <f aca="false">-Cost_k*A221+Beta_q*(Declarations!$B$16*INDEX($B$5:$B$425,$C221-ROUND(Declarations!$A$16/0.05,0))+Declarations!$B$17*INDEX($B$5:$B$425,$C221-ROUND(Declarations!$A$17/0.05,0))+Declarations!$B$18*INDEX($B$5:$B$425,$C221-ROUND(Declarations!$A$18/0.05,0))+Declarations!$B$19*INDEX($B$5:$B$425,$C221-ROUND(Declarations!$A$19/0.05,0))+Declarations!$B$20*INDEX($B$5:$B$425,$C221-ROUND(Declarations!$A$20/0.05,0)))</f>
        <v>-456.861767498339</v>
      </c>
      <c r="E221" s="16" t="n">
        <f aca="false">Alpha_keep*A221</f>
        <v>54.405</v>
      </c>
      <c r="F221" s="16" t="n">
        <f aca="false">Alpha_keep*A221+Cap_h</f>
        <v>56.905</v>
      </c>
      <c r="G221" s="11" t="n">
        <f aca="false">(INDEX($D$5:$D$425,MIN(INT((E221-45)/0.05+0.000000001),419)+1)*(1-((E221-45)/0.05-MIN(INT((E221-45)/0.05+0.000000001),419)))+INDEX($D$5:$D$425,MIN(INT((E221-45)/0.05+0.000000001),419)+2)*((E221-45)/0.05-MIN(INT((E221-45)/0.05+0.000000001),419)))</f>
        <v>-457.750199773652</v>
      </c>
      <c r="H221" s="11" t="n">
        <f aca="false">(INDEX($D$5:$D$425,MIN(INT((F221-45)/0.05+0.000000001),419)+1)*(1-((F221-45)/0.05-MIN(INT((F221-45)/0.05+0.000000001),419)))+INDEX($D$5:$D$425,MIN(INT((F221-45)/0.05+0.000000001),419)+2)*((F221-45)/0.05-MIN(INT((F221-45)/0.05+0.000000001),419)))</f>
        <v>-457.034464945406</v>
      </c>
      <c r="I221" s="11" t="n">
        <f aca="false">_xlfn.MAXIFS($D$5:$D$425,$A$5:$A$425,"&gt;="&amp;E221,$A$5:$A$425,"&lt;="&amp;F221)</f>
        <v>-456.856332738204</v>
      </c>
      <c r="J221" s="11" t="n">
        <f aca="false">-Short_p*MAX(Floor_c-A221,0)+Cost_k*Alpha_keep*A221+MAX(G221,H221,I221)</f>
        <v>-239.236332738204</v>
      </c>
      <c r="K221" s="22" t="n">
        <f aca="false">ABS(J221-B221)</f>
        <v>0</v>
      </c>
    </row>
    <row r="222" customFormat="false" ht="15" hidden="false" customHeight="false" outlineLevel="0" collapsed="false">
      <c r="A222" s="14" t="n">
        <v>55.85</v>
      </c>
      <c r="B222" s="23" t="n">
        <v>-239.041332738204</v>
      </c>
      <c r="C222" s="19" t="n">
        <v>218</v>
      </c>
      <c r="D222" s="11" t="n">
        <f aca="false">-Cost_k*A222+Beta_q*(Declarations!$B$16*INDEX($B$5:$B$425,$C222-ROUND(Declarations!$A$16/0.05,0))+Declarations!$B$17*INDEX($B$5:$B$425,$C222-ROUND(Declarations!$A$17/0.05,0))+Declarations!$B$18*INDEX($B$5:$B$425,$C222-ROUND(Declarations!$A$18/0.05,0))+Declarations!$B$19*INDEX($B$5:$B$425,$C222-ROUND(Declarations!$A$19/0.05,0))+Declarations!$B$20*INDEX($B$5:$B$425,$C222-ROUND(Declarations!$A$20/0.05,0)))</f>
        <v>-456.867205922693</v>
      </c>
      <c r="E222" s="16" t="n">
        <f aca="false">Alpha_keep*A222</f>
        <v>54.45375</v>
      </c>
      <c r="F222" s="16" t="n">
        <f aca="false">Alpha_keep*A222+Cap_h</f>
        <v>56.95375</v>
      </c>
      <c r="G222" s="11" t="n">
        <f aca="false">(INDEX($D$5:$D$425,MIN(INT((E222-45)/0.05+0.000000001),419)+1)*(1-((E222-45)/0.05-MIN(INT((E222-45)/0.05+0.000000001),419)))+INDEX($D$5:$D$425,MIN(INT((E222-45)/0.05+0.000000001),419)+2)*((E222-45)/0.05-MIN(INT((E222-45)/0.05+0.000000001),419)))</f>
        <v>-457.683104496619</v>
      </c>
      <c r="H222" s="11" t="n">
        <f aca="false">(INDEX($D$5:$D$425,MIN(INT((F222-45)/0.05+0.000000001),419)+1)*(1-((F222-45)/0.05-MIN(INT((F222-45)/0.05+0.000000001),419)))+INDEX($D$5:$D$425,MIN(INT((F222-45)/0.05+0.000000001),419)+2)*((F222-45)/0.05-MIN(INT((F222-45)/0.05+0.000000001),419)))</f>
        <v>-457.045447729444</v>
      </c>
      <c r="I222" s="11" t="n">
        <f aca="false">_xlfn.MAXIFS($D$5:$D$425,$A$5:$A$425,"&gt;="&amp;E222,$A$5:$A$425,"&lt;="&amp;F222)</f>
        <v>-456.856332738204</v>
      </c>
      <c r="J222" s="11" t="n">
        <f aca="false">-Short_p*MAX(Floor_c-A222,0)+Cost_k*Alpha_keep*A222+MAX(G222,H222,I222)</f>
        <v>-239.041332738204</v>
      </c>
      <c r="K222" s="22" t="n">
        <f aca="false">ABS(J222-B222)</f>
        <v>0</v>
      </c>
    </row>
    <row r="223" customFormat="false" ht="15" hidden="false" customHeight="false" outlineLevel="0" collapsed="false">
      <c r="A223" s="14" t="n">
        <v>55.9</v>
      </c>
      <c r="B223" s="23" t="n">
        <v>-238.846332738204</v>
      </c>
      <c r="C223" s="19" t="n">
        <v>219</v>
      </c>
      <c r="D223" s="11" t="n">
        <f aca="false">-Cost_k*A223+Beta_q*(Declarations!$B$16*INDEX($B$5:$B$425,$C223-ROUND(Declarations!$A$16/0.05,0))+Declarations!$B$17*INDEX($B$5:$B$425,$C223-ROUND(Declarations!$A$17/0.05,0))+Declarations!$B$18*INDEX($B$5:$B$425,$C223-ROUND(Declarations!$A$18/0.05,0))+Declarations!$B$19*INDEX($B$5:$B$425,$C223-ROUND(Declarations!$A$19/0.05,0))+Declarations!$B$20*INDEX($B$5:$B$425,$C223-ROUND(Declarations!$A$20/0.05,0)))</f>
        <v>-456.872644362262</v>
      </c>
      <c r="E223" s="16" t="n">
        <f aca="false">Alpha_keep*A223</f>
        <v>54.5025</v>
      </c>
      <c r="F223" s="16" t="n">
        <f aca="false">Alpha_keep*A223+Cap_h</f>
        <v>57.0025</v>
      </c>
      <c r="G223" s="11" t="n">
        <f aca="false">(INDEX($D$5:$D$425,MIN(INT((E223-45)/0.05+0.000000001),419)+1)*(1-((E223-45)/0.05-MIN(INT((E223-45)/0.05+0.000000001),419)))+INDEX($D$5:$D$425,MIN(INT((E223-45)/0.05+0.000000001),419)+2)*((E223-45)/0.05-MIN(INT((E223-45)/0.05+0.000000001),419)))</f>
        <v>-457.61606846471</v>
      </c>
      <c r="H223" s="11" t="n">
        <f aca="false">(INDEX($D$5:$D$425,MIN(INT((F223-45)/0.05+0.000000001),419)+1)*(1-((F223-45)/0.05-MIN(INT((F223-45)/0.05+0.000000001),419)))+INDEX($D$5:$D$425,MIN(INT((F223-45)/0.05+0.000000001),419)+2)*((F223-45)/0.05-MIN(INT((F223-45)/0.05+0.000000001),419)))</f>
        <v>-457.056430724526</v>
      </c>
      <c r="I223" s="11" t="n">
        <f aca="false">_xlfn.MAXIFS($D$5:$D$425,$A$5:$A$425,"&gt;="&amp;E223,$A$5:$A$425,"&lt;="&amp;F223)</f>
        <v>-456.856332738204</v>
      </c>
      <c r="J223" s="11" t="n">
        <f aca="false">-Short_p*MAX(Floor_c-A223,0)+Cost_k*Alpha_keep*A223+MAX(G223,H223,I223)</f>
        <v>-238.846332738204</v>
      </c>
      <c r="K223" s="22" t="n">
        <f aca="false">ABS(J223-B223)</f>
        <v>0</v>
      </c>
    </row>
    <row r="224" customFormat="false" ht="15" hidden="false" customHeight="false" outlineLevel="0" collapsed="false">
      <c r="A224" s="14" t="n">
        <v>55.95</v>
      </c>
      <c r="B224" s="23" t="n">
        <v>-238.651332738204</v>
      </c>
      <c r="C224" s="19" t="n">
        <v>220</v>
      </c>
      <c r="D224" s="11" t="n">
        <f aca="false">-Cost_k*A224+Beta_q*(Declarations!$B$16*INDEX($B$5:$B$425,$C224-ROUND(Declarations!$A$16/0.05,0))+Declarations!$B$17*INDEX($B$5:$B$425,$C224-ROUND(Declarations!$A$17/0.05,0))+Declarations!$B$18*INDEX($B$5:$B$425,$C224-ROUND(Declarations!$A$18/0.05,0))+Declarations!$B$19*INDEX($B$5:$B$425,$C224-ROUND(Declarations!$A$19/0.05,0))+Declarations!$B$20*INDEX($B$5:$B$425,$C224-ROUND(Declarations!$A$20/0.05,0)))</f>
        <v>-456.878082947408</v>
      </c>
      <c r="E224" s="16" t="n">
        <f aca="false">Alpha_keep*A224</f>
        <v>54.55125</v>
      </c>
      <c r="F224" s="16" t="n">
        <f aca="false">Alpha_keep*A224+Cap_h</f>
        <v>57.05125</v>
      </c>
      <c r="G224" s="11" t="n">
        <f aca="false">(INDEX($D$5:$D$425,MIN(INT((E224-45)/0.05+0.000000001),419)+1)*(1-((E224-45)/0.05-MIN(INT((E224-45)/0.05+0.000000001),419)))+INDEX($D$5:$D$425,MIN(INT((E224-45)/0.05+0.000000001),419)+2)*((E224-45)/0.05-MIN(INT((E224-45)/0.05+0.000000001),419)))</f>
        <v>-457.549255943154</v>
      </c>
      <c r="H224" s="11" t="n">
        <f aca="false">(INDEX($D$5:$D$425,MIN(INT((F224-45)/0.05+0.000000001),419)+1)*(1-((F224-45)/0.05-MIN(INT((F224-45)/0.05+0.000000001),419)))+INDEX($D$5:$D$425,MIN(INT((F224-45)/0.05+0.000000001),419)+2)*((F224-45)/0.05-MIN(INT((F224-45)/0.05+0.000000001),419)))</f>
        <v>-457.067415437066</v>
      </c>
      <c r="I224" s="11" t="n">
        <f aca="false">_xlfn.MAXIFS($D$5:$D$425,$A$5:$A$425,"&gt;="&amp;E224,$A$5:$A$425,"&lt;="&amp;F224)</f>
        <v>-456.856332738204</v>
      </c>
      <c r="J224" s="11" t="n">
        <f aca="false">-Short_p*MAX(Floor_c-A224,0)+Cost_k*Alpha_keep*A224+MAX(G224,H224,I224)</f>
        <v>-238.651332738204</v>
      </c>
      <c r="K224" s="22" t="n">
        <f aca="false">ABS(J224-B224)</f>
        <v>0</v>
      </c>
    </row>
    <row r="225" customFormat="false" ht="15" hidden="false" customHeight="false" outlineLevel="0" collapsed="false">
      <c r="A225" s="14" t="n">
        <v>56</v>
      </c>
      <c r="B225" s="23" t="n">
        <v>-238.456332738204</v>
      </c>
      <c r="C225" s="19" t="n">
        <v>221</v>
      </c>
      <c r="D225" s="11" t="n">
        <f aca="false">-Cost_k*A225+Beta_q*(Declarations!$B$16*INDEX($B$5:$B$425,$C225-ROUND(Declarations!$A$16/0.05,0))+Declarations!$B$17*INDEX($B$5:$B$425,$C225-ROUND(Declarations!$A$17/0.05,0))+Declarations!$B$18*INDEX($B$5:$B$425,$C225-ROUND(Declarations!$A$18/0.05,0))+Declarations!$B$19*INDEX($B$5:$B$425,$C225-ROUND(Declarations!$A$19/0.05,0))+Declarations!$B$20*INDEX($B$5:$B$425,$C225-ROUND(Declarations!$A$20/0.05,0)))</f>
        <v>-456.883522195212</v>
      </c>
      <c r="E225" s="16" t="n">
        <f aca="false">Alpha_keep*A225</f>
        <v>54.6</v>
      </c>
      <c r="F225" s="16" t="n">
        <f aca="false">Alpha_keep*A225+Cap_h</f>
        <v>57.1</v>
      </c>
      <c r="G225" s="11" t="n">
        <f aca="false">(INDEX($D$5:$D$425,MIN(INT((E225-45)/0.05+0.000000001),419)+1)*(1-((E225-45)/0.05-MIN(INT((E225-45)/0.05+0.000000001),419)))+INDEX($D$5:$D$425,MIN(INT((E225-45)/0.05+0.000000001),419)+2)*((E225-45)/0.05-MIN(INT((E225-45)/0.05+0.000000001),419)))</f>
        <v>-457.483658260911</v>
      </c>
      <c r="H225" s="11" t="n">
        <f aca="false">(INDEX($D$5:$D$425,MIN(INT((F225-45)/0.05+0.000000001),419)+1)*(1-((F225-45)/0.05-MIN(INT((F225-45)/0.05+0.000000001),419)))+INDEX($D$5:$D$425,MIN(INT((F225-45)/0.05+0.000000001),419)+2)*((F225-45)/0.05-MIN(INT((F225-45)/0.05+0.000000001),419)))</f>
        <v>-457.078414801613</v>
      </c>
      <c r="I225" s="11" t="n">
        <f aca="false">_xlfn.MAXIFS($D$5:$D$425,$A$5:$A$425,"&gt;="&amp;E225,$A$5:$A$425,"&lt;="&amp;F225)</f>
        <v>-456.856332738204</v>
      </c>
      <c r="J225" s="11" t="n">
        <f aca="false">-Short_p*MAX(Floor_c-A225,0)+Cost_k*Alpha_keep*A225+MAX(G225,H225,I225)</f>
        <v>-238.456332738204</v>
      </c>
      <c r="K225" s="22" t="n">
        <f aca="false">ABS(J225-B225)</f>
        <v>0</v>
      </c>
    </row>
    <row r="226" customFormat="false" ht="15" hidden="false" customHeight="false" outlineLevel="0" collapsed="false">
      <c r="A226" s="14" t="n">
        <v>56.05</v>
      </c>
      <c r="B226" s="23" t="n">
        <v>-238.261332738204</v>
      </c>
      <c r="C226" s="19" t="n">
        <v>222</v>
      </c>
      <c r="D226" s="11" t="n">
        <f aca="false">-Cost_k*A226+Beta_q*(Declarations!$B$16*INDEX($B$5:$B$425,$C226-ROUND(Declarations!$A$16/0.05,0))+Declarations!$B$17*INDEX($B$5:$B$425,$C226-ROUND(Declarations!$A$17/0.05,0))+Declarations!$B$18*INDEX($B$5:$B$425,$C226-ROUND(Declarations!$A$18/0.05,0))+Declarations!$B$19*INDEX($B$5:$B$425,$C226-ROUND(Declarations!$A$19/0.05,0))+Declarations!$B$20*INDEX($B$5:$B$425,$C226-ROUND(Declarations!$A$20/0.05,0)))</f>
        <v>-456.888970275459</v>
      </c>
      <c r="E226" s="16" t="n">
        <f aca="false">Alpha_keep*A226</f>
        <v>54.64875</v>
      </c>
      <c r="F226" s="16" t="n">
        <f aca="false">Alpha_keep*A226+Cap_h</f>
        <v>57.14875</v>
      </c>
      <c r="G226" s="11" t="n">
        <f aca="false">(INDEX($D$5:$D$425,MIN(INT((E226-45)/0.05+0.000000001),419)+1)*(1-((E226-45)/0.05-MIN(INT((E226-45)/0.05+0.000000001),419)))+INDEX($D$5:$D$425,MIN(INT((E226-45)/0.05+0.000000001),419)+2)*((E226-45)/0.05-MIN(INT((E226-45)/0.05+0.000000001),419)))</f>
        <v>-457.42852127058</v>
      </c>
      <c r="H226" s="11" t="n">
        <f aca="false">(INDEX($D$5:$D$425,MIN(INT((F226-45)/0.05+0.000000001),419)+1)*(1-((F226-45)/0.05-MIN(INT((F226-45)/0.05+0.000000001),419)))+INDEX($D$5:$D$425,MIN(INT((F226-45)/0.05+0.000000001),419)+2)*((F226-45)/0.05-MIN(INT((F226-45)/0.05+0.000000001),419)))</f>
        <v>-457.08954542615</v>
      </c>
      <c r="I226" s="11" t="n">
        <f aca="false">_xlfn.MAXIFS($D$5:$D$425,$A$5:$A$425,"&gt;="&amp;E226,$A$5:$A$425,"&lt;="&amp;F226)</f>
        <v>-456.856332738204</v>
      </c>
      <c r="J226" s="11" t="n">
        <f aca="false">-Short_p*MAX(Floor_c-A226,0)+Cost_k*Alpha_keep*A226+MAX(G226,H226,I226)</f>
        <v>-238.261332738204</v>
      </c>
      <c r="K226" s="22" t="n">
        <f aca="false">ABS(J226-B226)</f>
        <v>0</v>
      </c>
    </row>
    <row r="227" customFormat="false" ht="15" hidden="false" customHeight="false" outlineLevel="0" collapsed="false">
      <c r="A227" s="14" t="n">
        <v>56.1</v>
      </c>
      <c r="B227" s="23" t="n">
        <v>-238.066332738204</v>
      </c>
      <c r="C227" s="19" t="n">
        <v>223</v>
      </c>
      <c r="D227" s="11" t="n">
        <f aca="false">-Cost_k*A227+Beta_q*(Declarations!$B$16*INDEX($B$5:$B$425,$C227-ROUND(Declarations!$A$16/0.05,0))+Declarations!$B$17*INDEX($B$5:$B$425,$C227-ROUND(Declarations!$A$17/0.05,0))+Declarations!$B$18*INDEX($B$5:$B$425,$C227-ROUND(Declarations!$A$18/0.05,0))+Declarations!$B$19*INDEX($B$5:$B$425,$C227-ROUND(Declarations!$A$19/0.05,0))+Declarations!$B$20*INDEX($B$5:$B$425,$C227-ROUND(Declarations!$A$20/0.05,0)))</f>
        <v>-456.89444368346</v>
      </c>
      <c r="E227" s="16" t="n">
        <f aca="false">Alpha_keep*A227</f>
        <v>54.6975</v>
      </c>
      <c r="F227" s="16" t="n">
        <f aca="false">Alpha_keep*A227+Cap_h</f>
        <v>57.1975</v>
      </c>
      <c r="G227" s="11" t="n">
        <f aca="false">(INDEX($D$5:$D$425,MIN(INT((E227-45)/0.05+0.000000001),419)+1)*(1-((E227-45)/0.05-MIN(INT((E227-45)/0.05+0.000000001),419)))+INDEX($D$5:$D$425,MIN(INT((E227-45)/0.05+0.000000001),419)+2)*((E227-45)/0.05-MIN(INT((E227-45)/0.05+0.000000001),419)))</f>
        <v>-457.3748110484</v>
      </c>
      <c r="H227" s="11" t="n">
        <f aca="false">(INDEX($D$5:$D$425,MIN(INT((F227-45)/0.05+0.000000001),419)+1)*(1-((F227-45)/0.05-MIN(INT((F227-45)/0.05+0.000000001),419)))+INDEX($D$5:$D$425,MIN(INT((F227-45)/0.05+0.000000001),419)+2)*((F227-45)/0.05-MIN(INT((F227-45)/0.05+0.000000001),419)))</f>
        <v>-457.101925591889</v>
      </c>
      <c r="I227" s="11" t="n">
        <f aca="false">_xlfn.MAXIFS($D$5:$D$425,$A$5:$A$425,"&gt;="&amp;E227,$A$5:$A$425,"&lt;="&amp;F227)</f>
        <v>-456.856332738204</v>
      </c>
      <c r="J227" s="11" t="n">
        <f aca="false">-Short_p*MAX(Floor_c-A227,0)+Cost_k*Alpha_keep*A227+MAX(G227,H227,I227)</f>
        <v>-238.066332738204</v>
      </c>
      <c r="K227" s="22" t="n">
        <f aca="false">ABS(J227-B227)</f>
        <v>0</v>
      </c>
    </row>
    <row r="228" customFormat="false" ht="15" hidden="false" customHeight="false" outlineLevel="0" collapsed="false">
      <c r="A228" s="14" t="n">
        <v>56.15</v>
      </c>
      <c r="B228" s="23" t="n">
        <v>-237.871332738204</v>
      </c>
      <c r="C228" s="19" t="n">
        <v>224</v>
      </c>
      <c r="D228" s="11" t="n">
        <f aca="false">-Cost_k*A228+Beta_q*(Declarations!$B$16*INDEX($B$5:$B$425,$C228-ROUND(Declarations!$A$16/0.05,0))+Declarations!$B$17*INDEX($B$5:$B$425,$C228-ROUND(Declarations!$A$17/0.05,0))+Declarations!$B$18*INDEX($B$5:$B$425,$C228-ROUND(Declarations!$A$18/0.05,0))+Declarations!$B$19*INDEX($B$5:$B$425,$C228-ROUND(Declarations!$A$19/0.05,0))+Declarations!$B$20*INDEX($B$5:$B$425,$C228-ROUND(Declarations!$A$20/0.05,0)))</f>
        <v>-456.900263679512</v>
      </c>
      <c r="E228" s="16" t="n">
        <f aca="false">Alpha_keep*A228</f>
        <v>54.74625</v>
      </c>
      <c r="F228" s="16" t="n">
        <f aca="false">Alpha_keep*A228+Cap_h</f>
        <v>57.24625</v>
      </c>
      <c r="G228" s="11" t="n">
        <f aca="false">(INDEX($D$5:$D$425,MIN(INT((E228-45)/0.05+0.000000001),419)+1)*(1-((E228-45)/0.05-MIN(INT((E228-45)/0.05+0.000000001),419)))+INDEX($D$5:$D$425,MIN(INT((E228-45)/0.05+0.000000001),419)+2)*((E228-45)/0.05-MIN(INT((E228-45)/0.05+0.000000001),419)))</f>
        <v>-457.321138609493</v>
      </c>
      <c r="H228" s="11" t="n">
        <f aca="false">(INDEX($D$5:$D$425,MIN(INT((F228-45)/0.05+0.000000001),419)+1)*(1-((F228-45)/0.05-MIN(INT((F228-45)/0.05+0.000000001),419)))+INDEX($D$5:$D$425,MIN(INT((F228-45)/0.05+0.000000001),419)+2)*((F228-45)/0.05-MIN(INT((F228-45)/0.05+0.000000001),419)))</f>
        <v>-457.116454498647</v>
      </c>
      <c r="I228" s="11" t="n">
        <f aca="false">_xlfn.MAXIFS($D$5:$D$425,$A$5:$A$425,"&gt;="&amp;E228,$A$5:$A$425,"&lt;="&amp;F228)</f>
        <v>-456.856332738204</v>
      </c>
      <c r="J228" s="11" t="n">
        <f aca="false">-Short_p*MAX(Floor_c-A228,0)+Cost_k*Alpha_keep*A228+MAX(G228,H228,I228)</f>
        <v>-237.871332738204</v>
      </c>
      <c r="K228" s="22" t="n">
        <f aca="false">ABS(J228-B228)</f>
        <v>0</v>
      </c>
    </row>
    <row r="229" customFormat="false" ht="15" hidden="false" customHeight="false" outlineLevel="0" collapsed="false">
      <c r="A229" s="14" t="n">
        <v>56.2</v>
      </c>
      <c r="B229" s="23" t="n">
        <v>-237.676332738204</v>
      </c>
      <c r="C229" s="19" t="n">
        <v>225</v>
      </c>
      <c r="D229" s="11" t="n">
        <f aca="false">-Cost_k*A229+Beta_q*(Declarations!$B$16*INDEX($B$5:$B$425,$C229-ROUND(Declarations!$A$16/0.05,0))+Declarations!$B$17*INDEX($B$5:$B$425,$C229-ROUND(Declarations!$A$17/0.05,0))+Declarations!$B$18*INDEX($B$5:$B$425,$C229-ROUND(Declarations!$A$18/0.05,0))+Declarations!$B$19*INDEX($B$5:$B$425,$C229-ROUND(Declarations!$A$19/0.05,0))+Declarations!$B$20*INDEX($B$5:$B$425,$C229-ROUND(Declarations!$A$20/0.05,0)))</f>
        <v>-456.906233494414</v>
      </c>
      <c r="E229" s="16" t="n">
        <f aca="false">Alpha_keep*A229</f>
        <v>54.795</v>
      </c>
      <c r="F229" s="16" t="n">
        <f aca="false">Alpha_keep*A229+Cap_h</f>
        <v>57.295</v>
      </c>
      <c r="G229" s="11" t="n">
        <f aca="false">(INDEX($D$5:$D$425,MIN(INT((E229-45)/0.05+0.000000001),419)+1)*(1-((E229-45)/0.05-MIN(INT((E229-45)/0.05+0.000000001),419)))+INDEX($D$5:$D$425,MIN(INT((E229-45)/0.05+0.000000001),419)+2)*((E229-45)/0.05-MIN(INT((E229-45)/0.05+0.000000001),419)))</f>
        <v>-457.267467346739</v>
      </c>
      <c r="H229" s="11" t="n">
        <f aca="false">(INDEX($D$5:$D$425,MIN(INT((F229-45)/0.05+0.000000001),419)+1)*(1-((F229-45)/0.05-MIN(INT((F229-45)/0.05+0.000000001),419)))+INDEX($D$5:$D$425,MIN(INT((F229-45)/0.05+0.000000001),419)+2)*((F229-45)/0.05-MIN(INT((F229-45)/0.05+0.000000001),419)))</f>
        <v>-457.131098765478</v>
      </c>
      <c r="I229" s="11" t="n">
        <f aca="false">_xlfn.MAXIFS($D$5:$D$425,$A$5:$A$425,"&gt;="&amp;E229,$A$5:$A$425,"&lt;="&amp;F229)</f>
        <v>-456.856332738204</v>
      </c>
      <c r="J229" s="11" t="n">
        <f aca="false">-Short_p*MAX(Floor_c-A229,0)+Cost_k*Alpha_keep*A229+MAX(G229,H229,I229)</f>
        <v>-237.676332738204</v>
      </c>
      <c r="K229" s="22" t="n">
        <f aca="false">ABS(J229-B229)</f>
        <v>0</v>
      </c>
    </row>
    <row r="230" customFormat="false" ht="15" hidden="false" customHeight="false" outlineLevel="0" collapsed="false">
      <c r="A230" s="14" t="n">
        <v>56.25</v>
      </c>
      <c r="B230" s="23" t="n">
        <v>-237.481332738204</v>
      </c>
      <c r="C230" s="19" t="n">
        <v>226</v>
      </c>
      <c r="D230" s="11" t="n">
        <f aca="false">-Cost_k*A230+Beta_q*(Declarations!$B$16*INDEX($B$5:$B$425,$C230-ROUND(Declarations!$A$16/0.05,0))+Declarations!$B$17*INDEX($B$5:$B$425,$C230-ROUND(Declarations!$A$17/0.05,0))+Declarations!$B$18*INDEX($B$5:$B$425,$C230-ROUND(Declarations!$A$18/0.05,0))+Declarations!$B$19*INDEX($B$5:$B$425,$C230-ROUND(Declarations!$A$19/0.05,0))+Declarations!$B$20*INDEX($B$5:$B$425,$C230-ROUND(Declarations!$A$20/0.05,0)))</f>
        <v>-456.912203334382</v>
      </c>
      <c r="E230" s="16" t="n">
        <f aca="false">Alpha_keep*A230</f>
        <v>54.84375</v>
      </c>
      <c r="F230" s="16" t="n">
        <f aca="false">Alpha_keep*A230+Cap_h</f>
        <v>57.34375</v>
      </c>
      <c r="G230" s="11" t="n">
        <f aca="false">(INDEX($D$5:$D$425,MIN(INT((E230-45)/0.05+0.000000001),419)+1)*(1-((E230-45)/0.05-MIN(INT((E230-45)/0.05+0.000000001),419)))+INDEX($D$5:$D$425,MIN(INT((E230-45)/0.05+0.000000001),419)+2)*((E230-45)/0.05-MIN(INT((E230-45)/0.05+0.000000001),419)))</f>
        <v>-457.213800965702</v>
      </c>
      <c r="H230" s="11" t="n">
        <f aca="false">(INDEX($D$5:$D$425,MIN(INT((F230-45)/0.05+0.000000001),419)+1)*(1-((F230-45)/0.05-MIN(INT((F230-45)/0.05+0.000000001),419)))+INDEX($D$5:$D$425,MIN(INT((F230-45)/0.05+0.000000001),419)+2)*((F230-45)/0.05-MIN(INT((F230-45)/0.05+0.000000001),419)))</f>
        <v>-457.145743162846</v>
      </c>
      <c r="I230" s="11" t="n">
        <f aca="false">_xlfn.MAXIFS($D$5:$D$425,$A$5:$A$425,"&gt;="&amp;E230,$A$5:$A$425,"&lt;="&amp;F230)</f>
        <v>-456.856332738204</v>
      </c>
      <c r="J230" s="11" t="n">
        <f aca="false">-Short_p*MAX(Floor_c-A230,0)+Cost_k*Alpha_keep*A230+MAX(G230,H230,I230)</f>
        <v>-237.481332738204</v>
      </c>
      <c r="K230" s="22" t="n">
        <f aca="false">ABS(J230-B230)</f>
        <v>0</v>
      </c>
    </row>
    <row r="231" customFormat="false" ht="15" hidden="false" customHeight="false" outlineLevel="0" collapsed="false">
      <c r="A231" s="14" t="n">
        <v>56.3</v>
      </c>
      <c r="B231" s="23" t="n">
        <v>-237.286332738204</v>
      </c>
      <c r="C231" s="19" t="n">
        <v>227</v>
      </c>
      <c r="D231" s="11" t="n">
        <f aca="false">-Cost_k*A231+Beta_q*(Declarations!$B$16*INDEX($B$5:$B$425,$C231-ROUND(Declarations!$A$16/0.05,0))+Declarations!$B$17*INDEX($B$5:$B$425,$C231-ROUND(Declarations!$A$17/0.05,0))+Declarations!$B$18*INDEX($B$5:$B$425,$C231-ROUND(Declarations!$A$18/0.05,0))+Declarations!$B$19*INDEX($B$5:$B$425,$C231-ROUND(Declarations!$A$19/0.05,0))+Declarations!$B$20*INDEX($B$5:$B$425,$C231-ROUND(Declarations!$A$20/0.05,0)))</f>
        <v>-456.918173393882</v>
      </c>
      <c r="E231" s="16" t="n">
        <f aca="false">Alpha_keep*A231</f>
        <v>54.8925</v>
      </c>
      <c r="F231" s="16" t="n">
        <f aca="false">Alpha_keep*A231+Cap_h</f>
        <v>57.3925</v>
      </c>
      <c r="G231" s="11" t="n">
        <f aca="false">(INDEX($D$5:$D$425,MIN(INT((E231-45)/0.05+0.000000001),419)+1)*(1-((E231-45)/0.05-MIN(INT((E231-45)/0.05+0.000000001),419)))+INDEX($D$5:$D$425,MIN(INT((E231-45)/0.05+0.000000001),419)+2)*((E231-45)/0.05-MIN(INT((E231-45)/0.05+0.000000001),419)))</f>
        <v>-457.160161315304</v>
      </c>
      <c r="H231" s="11" t="n">
        <f aca="false">(INDEX($D$5:$D$425,MIN(INT((F231-45)/0.05+0.000000001),419)+1)*(1-((F231-45)/0.05-MIN(INT((F231-45)/0.05+0.000000001),419)))+INDEX($D$5:$D$425,MIN(INT((F231-45)/0.05+0.000000001),419)+2)*((F231-45)/0.05-MIN(INT((F231-45)/0.05+0.000000001),419)))</f>
        <v>-457.160387856357</v>
      </c>
      <c r="I231" s="11" t="n">
        <f aca="false">_xlfn.MAXIFS($D$5:$D$425,$A$5:$A$425,"&gt;="&amp;E231,$A$5:$A$425,"&lt;="&amp;F231)</f>
        <v>-456.856332738204</v>
      </c>
      <c r="J231" s="11" t="n">
        <f aca="false">-Short_p*MAX(Floor_c-A231,0)+Cost_k*Alpha_keep*A231+MAX(G231,H231,I231)</f>
        <v>-237.286332738204</v>
      </c>
      <c r="K231" s="22" t="n">
        <f aca="false">ABS(J231-B231)</f>
        <v>0</v>
      </c>
    </row>
    <row r="232" customFormat="false" ht="15" hidden="false" customHeight="false" outlineLevel="0" collapsed="false">
      <c r="A232" s="14" t="n">
        <v>56.35</v>
      </c>
      <c r="B232" s="23" t="n">
        <v>-237.091332738204</v>
      </c>
      <c r="C232" s="19" t="n">
        <v>228</v>
      </c>
      <c r="D232" s="11" t="n">
        <f aca="false">-Cost_k*A232+Beta_q*(Declarations!$B$16*INDEX($B$5:$B$425,$C232-ROUND(Declarations!$A$16/0.05,0))+Declarations!$B$17*INDEX($B$5:$B$425,$C232-ROUND(Declarations!$A$17/0.05,0))+Declarations!$B$18*INDEX($B$5:$B$425,$C232-ROUND(Declarations!$A$18/0.05,0))+Declarations!$B$19*INDEX($B$5:$B$425,$C232-ROUND(Declarations!$A$19/0.05,0))+Declarations!$B$20*INDEX($B$5:$B$425,$C232-ROUND(Declarations!$A$20/0.05,0)))</f>
        <v>-456.924146111873</v>
      </c>
      <c r="E232" s="16" t="n">
        <f aca="false">Alpha_keep*A232</f>
        <v>54.94125</v>
      </c>
      <c r="F232" s="16" t="n">
        <f aca="false">Alpha_keep*A232+Cap_h</f>
        <v>57.44125</v>
      </c>
      <c r="G232" s="11" t="n">
        <f aca="false">(INDEX($D$5:$D$425,MIN(INT((E232-45)/0.05+0.000000001),419)+1)*(1-((E232-45)/0.05-MIN(INT((E232-45)/0.05+0.000000001),419)))+INDEX($D$5:$D$425,MIN(INT((E232-45)/0.05+0.000000001),419)+2)*((E232-45)/0.05-MIN(INT((E232-45)/0.05+0.000000001),419)))</f>
        <v>-457.106712376357</v>
      </c>
      <c r="H232" s="11" t="n">
        <f aca="false">(INDEX($D$5:$D$425,MIN(INT((F232-45)/0.05+0.000000001),419)+1)*(1-((F232-45)/0.05-MIN(INT((F232-45)/0.05+0.000000001),419)))+INDEX($D$5:$D$425,MIN(INT((F232-45)/0.05+0.000000001),419)+2)*((F232-45)/0.05-MIN(INT((F232-45)/0.05+0.000000001),419)))</f>
        <v>-457.17503452998</v>
      </c>
      <c r="I232" s="11" t="n">
        <f aca="false">_xlfn.MAXIFS($D$5:$D$425,$A$5:$A$425,"&gt;="&amp;E232,$A$5:$A$425,"&lt;="&amp;F232)</f>
        <v>-456.856332738204</v>
      </c>
      <c r="J232" s="11" t="n">
        <f aca="false">-Short_p*MAX(Floor_c-A232,0)+Cost_k*Alpha_keep*A232+MAX(G232,H232,I232)</f>
        <v>-237.091332738204</v>
      </c>
      <c r="K232" s="22" t="n">
        <f aca="false">ABS(J232-B232)</f>
        <v>0</v>
      </c>
    </row>
    <row r="233" customFormat="false" ht="15" hidden="false" customHeight="false" outlineLevel="0" collapsed="false">
      <c r="A233" s="14" t="n">
        <v>56.4</v>
      </c>
      <c r="B233" s="23" t="n">
        <v>-236.896332738204</v>
      </c>
      <c r="C233" s="19" t="n">
        <v>229</v>
      </c>
      <c r="D233" s="11" t="n">
        <f aca="false">-Cost_k*A233+Beta_q*(Declarations!$B$16*INDEX($B$5:$B$425,$C233-ROUND(Declarations!$A$16/0.05,0))+Declarations!$B$17*INDEX($B$5:$B$425,$C233-ROUND(Declarations!$A$17/0.05,0))+Declarations!$B$18*INDEX($B$5:$B$425,$C233-ROUND(Declarations!$A$18/0.05,0))+Declarations!$B$19*INDEX($B$5:$B$425,$C233-ROUND(Declarations!$A$19/0.05,0))+Declarations!$B$20*INDEX($B$5:$B$425,$C233-ROUND(Declarations!$A$20/0.05,0)))</f>
        <v>-456.930141197804</v>
      </c>
      <c r="E233" s="16" t="n">
        <f aca="false">Alpha_keep*A233</f>
        <v>54.99</v>
      </c>
      <c r="F233" s="16" t="n">
        <f aca="false">Alpha_keep*A233+Cap_h</f>
        <v>57.49</v>
      </c>
      <c r="G233" s="11" t="n">
        <f aca="false">(INDEX($D$5:$D$425,MIN(INT((E233-45)/0.05+0.000000001),419)+1)*(1-((E233-45)/0.05-MIN(INT((E233-45)/0.05+0.000000001),419)))+INDEX($D$5:$D$425,MIN(INT((E233-45)/0.05+0.000000001),419)+2)*((E233-45)/0.05-MIN(INT((E233-45)/0.05+0.000000001),419)))</f>
        <v>-457.054030399996</v>
      </c>
      <c r="H233" s="11" t="n">
        <f aca="false">(INDEX($D$5:$D$425,MIN(INT((F233-45)/0.05+0.000000001),419)+1)*(1-((F233-45)/0.05-MIN(INT((F233-45)/0.05+0.000000001),419)))+INDEX($D$5:$D$425,MIN(INT((F233-45)/0.05+0.000000001),419)+2)*((F233-45)/0.05-MIN(INT((F233-45)/0.05+0.000000001),419)))</f>
        <v>-457.189690812598</v>
      </c>
      <c r="I233" s="11" t="n">
        <f aca="false">_xlfn.MAXIFS($D$5:$D$425,$A$5:$A$425,"&gt;="&amp;E233,$A$5:$A$425,"&lt;="&amp;F233)</f>
        <v>-456.856332738204</v>
      </c>
      <c r="J233" s="11" t="n">
        <f aca="false">-Short_p*MAX(Floor_c-A233,0)+Cost_k*Alpha_keep*A233+MAX(G233,H233,I233)</f>
        <v>-236.896332738204</v>
      </c>
      <c r="K233" s="22" t="n">
        <f aca="false">ABS(J233-B233)</f>
        <v>0</v>
      </c>
    </row>
    <row r="234" customFormat="false" ht="15" hidden="false" customHeight="false" outlineLevel="0" collapsed="false">
      <c r="A234" s="14" t="n">
        <v>56.45</v>
      </c>
      <c r="B234" s="23" t="n">
        <v>-236.701332738204</v>
      </c>
      <c r="C234" s="19" t="n">
        <v>230</v>
      </c>
      <c r="D234" s="11" t="n">
        <f aca="false">-Cost_k*A234+Beta_q*(Declarations!$B$16*INDEX($B$5:$B$425,$C234-ROUND(Declarations!$A$16/0.05,0))+Declarations!$B$17*INDEX($B$5:$B$425,$C234-ROUND(Declarations!$A$17/0.05,0))+Declarations!$B$18*INDEX($B$5:$B$425,$C234-ROUND(Declarations!$A$18/0.05,0))+Declarations!$B$19*INDEX($B$5:$B$425,$C234-ROUND(Declarations!$A$19/0.05,0))+Declarations!$B$20*INDEX($B$5:$B$425,$C234-ROUND(Declarations!$A$20/0.05,0)))</f>
        <v>-456.936601350282</v>
      </c>
      <c r="E234" s="16" t="n">
        <f aca="false">Alpha_keep*A234</f>
        <v>55.03875</v>
      </c>
      <c r="F234" s="16" t="n">
        <f aca="false">Alpha_keep*A234+Cap_h</f>
        <v>57.53875</v>
      </c>
      <c r="G234" s="11" t="n">
        <f aca="false">(INDEX($D$5:$D$425,MIN(INT((E234-45)/0.05+0.000000001),419)+1)*(1-((E234-45)/0.05-MIN(INT((E234-45)/0.05+0.000000001),419)))+INDEX($D$5:$D$425,MIN(INT((E234-45)/0.05+0.000000001),419)+2)*((E234-45)/0.05-MIN(INT((E234-45)/0.05+0.000000001),419)))</f>
        <v>-457.031943979302</v>
      </c>
      <c r="H234" s="11" t="n">
        <f aca="false">(INDEX($D$5:$D$425,MIN(INT((F234-45)/0.05+0.000000001),419)+1)*(1-((F234-45)/0.05-MIN(INT((F234-45)/0.05+0.000000001),419)))+INDEX($D$5:$D$425,MIN(INT((F234-45)/0.05+0.000000001),419)+2)*((F234-45)/0.05-MIN(INT((F234-45)/0.05+0.000000001),419)))</f>
        <v>-457.204397184594</v>
      </c>
      <c r="I234" s="11" t="n">
        <f aca="false">_xlfn.MAXIFS($D$5:$D$425,$A$5:$A$425,"&gt;="&amp;E234,$A$5:$A$425,"&lt;="&amp;F234)</f>
        <v>-456.856332738204</v>
      </c>
      <c r="J234" s="11" t="n">
        <f aca="false">-Short_p*MAX(Floor_c-A234,0)+Cost_k*Alpha_keep*A234+MAX(G234,H234,I234)</f>
        <v>-236.701332738204</v>
      </c>
      <c r="K234" s="22" t="n">
        <f aca="false">ABS(J234-B234)</f>
        <v>0</v>
      </c>
    </row>
    <row r="235" customFormat="false" ht="15" hidden="false" customHeight="false" outlineLevel="0" collapsed="false">
      <c r="A235" s="14" t="n">
        <v>56.5</v>
      </c>
      <c r="B235" s="23" t="n">
        <v>-236.506332738204</v>
      </c>
      <c r="C235" s="19" t="n">
        <v>231</v>
      </c>
      <c r="D235" s="11" t="n">
        <f aca="false">-Cost_k*A235+Beta_q*(Declarations!$B$16*INDEX($B$5:$B$425,$C235-ROUND(Declarations!$A$16/0.05,0))+Declarations!$B$17*INDEX($B$5:$B$425,$C235-ROUND(Declarations!$A$17/0.05,0))+Declarations!$B$18*INDEX($B$5:$B$425,$C235-ROUND(Declarations!$A$18/0.05,0))+Declarations!$B$19*INDEX($B$5:$B$425,$C235-ROUND(Declarations!$A$19/0.05,0))+Declarations!$B$20*INDEX($B$5:$B$425,$C235-ROUND(Declarations!$A$20/0.05,0)))</f>
        <v>-456.943853230276</v>
      </c>
      <c r="E235" s="16" t="n">
        <f aca="false">Alpha_keep*A235</f>
        <v>55.0875</v>
      </c>
      <c r="F235" s="16" t="n">
        <f aca="false">Alpha_keep*A235+Cap_h</f>
        <v>57.5875</v>
      </c>
      <c r="G235" s="11" t="n">
        <f aca="false">(INDEX($D$5:$D$425,MIN(INT((E235-45)/0.05+0.000000001),419)+1)*(1-((E235-45)/0.05-MIN(INT((E235-45)/0.05+0.000000001),419)))+INDEX($D$5:$D$425,MIN(INT((E235-45)/0.05+0.000000001),419)+2)*((E235-45)/0.05-MIN(INT((E235-45)/0.05+0.000000001),419)))</f>
        <v>-457.017722808362</v>
      </c>
      <c r="H235" s="11" t="n">
        <f aca="false">(INDEX($D$5:$D$425,MIN(INT((F235-45)/0.05+0.000000001),419)+1)*(1-((F235-45)/0.05-MIN(INT((F235-45)/0.05+0.000000001),419)))+INDEX($D$5:$D$425,MIN(INT((F235-45)/0.05+0.000000001),419)+2)*((F235-45)/0.05-MIN(INT((F235-45)/0.05+0.000000001),419)))</f>
        <v>-457.219229681243</v>
      </c>
      <c r="I235" s="11" t="n">
        <f aca="false">_xlfn.MAXIFS($D$5:$D$425,$A$5:$A$425,"&gt;="&amp;E235,$A$5:$A$425,"&lt;="&amp;F235)</f>
        <v>-456.856332738204</v>
      </c>
      <c r="J235" s="11" t="n">
        <f aca="false">-Short_p*MAX(Floor_c-A235,0)+Cost_k*Alpha_keep*A235+MAX(G235,H235,I235)</f>
        <v>-236.506332738204</v>
      </c>
      <c r="K235" s="22" t="n">
        <f aca="false">ABS(J235-B235)</f>
        <v>0</v>
      </c>
    </row>
    <row r="236" customFormat="false" ht="15" hidden="false" customHeight="false" outlineLevel="0" collapsed="false">
      <c r="A236" s="14" t="n">
        <v>56.55</v>
      </c>
      <c r="B236" s="23" t="n">
        <v>-236.311332738204</v>
      </c>
      <c r="C236" s="19" t="n">
        <v>232</v>
      </c>
      <c r="D236" s="11" t="n">
        <f aca="false">-Cost_k*A236+Beta_q*(Declarations!$B$16*INDEX($B$5:$B$425,$C236-ROUND(Declarations!$A$16/0.05,0))+Declarations!$B$17*INDEX($B$5:$B$425,$C236-ROUND(Declarations!$A$17/0.05,0))+Declarations!$B$18*INDEX($B$5:$B$425,$C236-ROUND(Declarations!$A$18/0.05,0))+Declarations!$B$19*INDEX($B$5:$B$425,$C236-ROUND(Declarations!$A$19/0.05,0))+Declarations!$B$20*INDEX($B$5:$B$425,$C236-ROUND(Declarations!$A$20/0.05,0)))</f>
        <v>-456.955011357748</v>
      </c>
      <c r="E236" s="16" t="n">
        <f aca="false">Alpha_keep*A236</f>
        <v>55.13625</v>
      </c>
      <c r="F236" s="16" t="n">
        <f aca="false">Alpha_keep*A236+Cap_h</f>
        <v>57.63625</v>
      </c>
      <c r="G236" s="11" t="n">
        <f aca="false">(INDEX($D$5:$D$425,MIN(INT((E236-45)/0.05+0.000000001),419)+1)*(1-((E236-45)/0.05-MIN(INT((E236-45)/0.05+0.000000001),419)))+INDEX($D$5:$D$425,MIN(INT((E236-45)/0.05+0.000000001),419)+2)*((E236-45)/0.05-MIN(INT((E236-45)/0.05+0.000000001),419)))</f>
        <v>-457.003505009582</v>
      </c>
      <c r="H236" s="11" t="n">
        <f aca="false">(INDEX($D$5:$D$425,MIN(INT((F236-45)/0.05+0.000000001),419)+1)*(1-((F236-45)/0.05-MIN(INT((F236-45)/0.05+0.000000001),419)))+INDEX($D$5:$D$425,MIN(INT((F236-45)/0.05+0.000000001),419)+2)*((F236-45)/0.05-MIN(INT((F236-45)/0.05+0.000000001),419)))</f>
        <v>-457.234138976392</v>
      </c>
      <c r="I236" s="11" t="n">
        <f aca="false">_xlfn.MAXIFS($D$5:$D$425,$A$5:$A$425,"&gt;="&amp;E236,$A$5:$A$425,"&lt;="&amp;F236)</f>
        <v>-456.856332738204</v>
      </c>
      <c r="J236" s="11" t="n">
        <f aca="false">-Short_p*MAX(Floor_c-A236,0)+Cost_k*Alpha_keep*A236+MAX(G236,H236,I236)</f>
        <v>-236.311332738204</v>
      </c>
      <c r="K236" s="22" t="n">
        <f aca="false">ABS(J236-B236)</f>
        <v>0</v>
      </c>
    </row>
    <row r="237" customFormat="false" ht="15" hidden="false" customHeight="false" outlineLevel="0" collapsed="false">
      <c r="A237" s="14" t="n">
        <v>56.6</v>
      </c>
      <c r="B237" s="23" t="n">
        <v>-236.116332738204</v>
      </c>
      <c r="C237" s="19" t="n">
        <v>233</v>
      </c>
      <c r="D237" s="11" t="n">
        <f aca="false">-Cost_k*A237+Beta_q*(Declarations!$B$16*INDEX($B$5:$B$425,$C237-ROUND(Declarations!$A$16/0.05,0))+Declarations!$B$17*INDEX($B$5:$B$425,$C237-ROUND(Declarations!$A$17/0.05,0))+Declarations!$B$18*INDEX($B$5:$B$425,$C237-ROUND(Declarations!$A$18/0.05,0))+Declarations!$B$19*INDEX($B$5:$B$425,$C237-ROUND(Declarations!$A$19/0.05,0))+Declarations!$B$20*INDEX($B$5:$B$425,$C237-ROUND(Declarations!$A$20/0.05,0)))</f>
        <v>-456.96616950047</v>
      </c>
      <c r="E237" s="16" t="n">
        <f aca="false">Alpha_keep*A237</f>
        <v>55.185</v>
      </c>
      <c r="F237" s="16" t="n">
        <f aca="false">Alpha_keep*A237+Cap_h</f>
        <v>57.685</v>
      </c>
      <c r="G237" s="11" t="n">
        <f aca="false">(INDEX($D$5:$D$425,MIN(INT((E237-45)/0.05+0.000000001),419)+1)*(1-((E237-45)/0.05-MIN(INT((E237-45)/0.05+0.000000001),419)))+INDEX($D$5:$D$425,MIN(INT((E237-45)/0.05+0.000000001),419)+2)*((E237-45)/0.05-MIN(INT((E237-45)/0.05+0.000000001),419)))</f>
        <v>-456.98928755745</v>
      </c>
      <c r="H237" s="11" t="n">
        <f aca="false">(INDEX($D$5:$D$425,MIN(INT((F237-45)/0.05+0.000000001),419)+1)*(1-((F237-45)/0.05-MIN(INT((F237-45)/0.05+0.000000001),419)))+INDEX($D$5:$D$425,MIN(INT((F237-45)/0.05+0.000000001),419)+2)*((F237-45)/0.05-MIN(INT((F237-45)/0.05+0.000000001),419)))</f>
        <v>-457.249063033601</v>
      </c>
      <c r="I237" s="11" t="n">
        <f aca="false">_xlfn.MAXIFS($D$5:$D$425,$A$5:$A$425,"&gt;="&amp;E237,$A$5:$A$425,"&lt;="&amp;F237)</f>
        <v>-456.856332738204</v>
      </c>
      <c r="J237" s="11" t="n">
        <f aca="false">-Short_p*MAX(Floor_c-A237,0)+Cost_k*Alpha_keep*A237+MAX(G237,H237,I237)</f>
        <v>-236.116332738204</v>
      </c>
      <c r="K237" s="22" t="n">
        <f aca="false">ABS(J237-B237)</f>
        <v>0</v>
      </c>
    </row>
    <row r="238" customFormat="false" ht="15" hidden="false" customHeight="false" outlineLevel="0" collapsed="false">
      <c r="A238" s="14" t="n">
        <v>56.65</v>
      </c>
      <c r="B238" s="23" t="n">
        <v>-235.921332738204</v>
      </c>
      <c r="C238" s="19" t="n">
        <v>234</v>
      </c>
      <c r="D238" s="11" t="n">
        <f aca="false">-Cost_k*A238+Beta_q*(Declarations!$B$16*INDEX($B$5:$B$425,$C238-ROUND(Declarations!$A$16/0.05,0))+Declarations!$B$17*INDEX($B$5:$B$425,$C238-ROUND(Declarations!$A$17/0.05,0))+Declarations!$B$18*INDEX($B$5:$B$425,$C238-ROUND(Declarations!$A$18/0.05,0))+Declarations!$B$19*INDEX($B$5:$B$425,$C238-ROUND(Declarations!$A$19/0.05,0))+Declarations!$B$20*INDEX($B$5:$B$425,$C238-ROUND(Declarations!$A$20/0.05,0)))</f>
        <v>-456.977327732731</v>
      </c>
      <c r="E238" s="16" t="n">
        <f aca="false">Alpha_keep*A238</f>
        <v>55.23375</v>
      </c>
      <c r="F238" s="16" t="n">
        <f aca="false">Alpha_keep*A238+Cap_h</f>
        <v>57.73375</v>
      </c>
      <c r="G238" s="11" t="n">
        <f aca="false">(INDEX($D$5:$D$425,MIN(INT((E238-45)/0.05+0.000000001),419)+1)*(1-((E238-45)/0.05-MIN(INT((E238-45)/0.05+0.000000001),419)))+INDEX($D$5:$D$425,MIN(INT((E238-45)/0.05+0.000000001),419)+2)*((E238-45)/0.05-MIN(INT((E238-45)/0.05+0.000000001),419)))</f>
        <v>-456.975072141793</v>
      </c>
      <c r="H238" s="11" t="n">
        <f aca="false">(INDEX($D$5:$D$425,MIN(INT((F238-45)/0.05+0.000000001),419)+1)*(1-((F238-45)/0.05-MIN(INT((F238-45)/0.05+0.000000001),419)))+INDEX($D$5:$D$425,MIN(INT((F238-45)/0.05+0.000000001),419)+2)*((F238-45)/0.05-MIN(INT((F238-45)/0.05+0.000000001),419)))</f>
        <v>-457.263987503211</v>
      </c>
      <c r="I238" s="11" t="n">
        <f aca="false">_xlfn.MAXIFS($D$5:$D$425,$A$5:$A$425,"&gt;="&amp;E238,$A$5:$A$425,"&lt;="&amp;F238)</f>
        <v>-456.856332738204</v>
      </c>
      <c r="J238" s="11" t="n">
        <f aca="false">-Short_p*MAX(Floor_c-A238,0)+Cost_k*Alpha_keep*A238+MAX(G238,H238,I238)</f>
        <v>-235.921332738204</v>
      </c>
      <c r="K238" s="22" t="n">
        <f aca="false">ABS(J238-B238)</f>
        <v>0</v>
      </c>
    </row>
    <row r="239" customFormat="false" ht="15" hidden="false" customHeight="false" outlineLevel="0" collapsed="false">
      <c r="A239" s="14" t="n">
        <v>56.7</v>
      </c>
      <c r="B239" s="23" t="n">
        <v>-235.726332738204</v>
      </c>
      <c r="C239" s="19" t="n">
        <v>235</v>
      </c>
      <c r="D239" s="11" t="n">
        <f aca="false">-Cost_k*A239+Beta_q*(Declarations!$B$16*INDEX($B$5:$B$425,$C239-ROUND(Declarations!$A$16/0.05,0))+Declarations!$B$17*INDEX($B$5:$B$425,$C239-ROUND(Declarations!$A$17/0.05,0))+Declarations!$B$18*INDEX($B$5:$B$425,$C239-ROUND(Declarations!$A$18/0.05,0))+Declarations!$B$19*INDEX($B$5:$B$425,$C239-ROUND(Declarations!$A$19/0.05,0))+Declarations!$B$20*INDEX($B$5:$B$425,$C239-ROUND(Declarations!$A$20/0.05,0)))</f>
        <v>-456.988486676383</v>
      </c>
      <c r="E239" s="16" t="n">
        <f aca="false">Alpha_keep*A239</f>
        <v>55.2825</v>
      </c>
      <c r="F239" s="16" t="n">
        <f aca="false">Alpha_keep*A239+Cap_h</f>
        <v>57.7825</v>
      </c>
      <c r="G239" s="11" t="n">
        <f aca="false">(INDEX($D$5:$D$425,MIN(INT((E239-45)/0.05+0.000000001),419)+1)*(1-((E239-45)/0.05-MIN(INT((E239-45)/0.05+0.000000001),419)))+INDEX($D$5:$D$425,MIN(INT((E239-45)/0.05+0.000000001),419)+2)*((E239-45)/0.05-MIN(INT((E239-45)/0.05+0.000000001),419)))</f>
        <v>-456.960877326793</v>
      </c>
      <c r="H239" s="11" t="n">
        <f aca="false">(INDEX($D$5:$D$425,MIN(INT((F239-45)/0.05+0.000000001),419)+1)*(1-((F239-45)/0.05-MIN(INT((F239-45)/0.05+0.000000001),419)))+INDEX($D$5:$D$425,MIN(INT((F239-45)/0.05+0.000000001),419)+2)*((F239-45)/0.05-MIN(INT((F239-45)/0.05+0.000000001),419)))</f>
        <v>-457.278915744719</v>
      </c>
      <c r="I239" s="11" t="n">
        <f aca="false">_xlfn.MAXIFS($D$5:$D$425,$A$5:$A$425,"&gt;="&amp;E239,$A$5:$A$425,"&lt;="&amp;F239)</f>
        <v>-456.856332738204</v>
      </c>
      <c r="J239" s="11" t="n">
        <f aca="false">-Short_p*MAX(Floor_c-A239,0)+Cost_k*Alpha_keep*A239+MAX(G239,H239,I239)</f>
        <v>-235.726332738204</v>
      </c>
      <c r="K239" s="22" t="n">
        <f aca="false">ABS(J239-B239)</f>
        <v>0</v>
      </c>
    </row>
    <row r="240" customFormat="false" ht="15" hidden="false" customHeight="false" outlineLevel="0" collapsed="false">
      <c r="A240" s="14" t="n">
        <v>56.75</v>
      </c>
      <c r="B240" s="23" t="n">
        <v>-235.531332738204</v>
      </c>
      <c r="C240" s="19" t="n">
        <v>236</v>
      </c>
      <c r="D240" s="11" t="n">
        <f aca="false">-Cost_k*A240+Beta_q*(Declarations!$B$16*INDEX($B$5:$B$425,$C240-ROUND(Declarations!$A$16/0.05,0))+Declarations!$B$17*INDEX($B$5:$B$425,$C240-ROUND(Declarations!$A$17/0.05,0))+Declarations!$B$18*INDEX($B$5:$B$425,$C240-ROUND(Declarations!$A$18/0.05,0))+Declarations!$B$19*INDEX($B$5:$B$425,$C240-ROUND(Declarations!$A$19/0.05,0))+Declarations!$B$20*INDEX($B$5:$B$425,$C240-ROUND(Declarations!$A$20/0.05,0)))</f>
        <v>-456.999648987222</v>
      </c>
      <c r="E240" s="16" t="n">
        <f aca="false">Alpha_keep*A240</f>
        <v>55.33125</v>
      </c>
      <c r="F240" s="16" t="n">
        <f aca="false">Alpha_keep*A240+Cap_h</f>
        <v>57.83125</v>
      </c>
      <c r="G240" s="11" t="n">
        <f aca="false">(INDEX($D$5:$D$425,MIN(INT((E240-45)/0.05+0.000000001),419)+1)*(1-((E240-45)/0.05-MIN(INT((E240-45)/0.05+0.000000001),419)))+INDEX($D$5:$D$425,MIN(INT((E240-45)/0.05+0.000000001),419)+2)*((E240-45)/0.05-MIN(INT((E240-45)/0.05+0.000000001),419)))</f>
        <v>-456.94683466037</v>
      </c>
      <c r="H240" s="11" t="n">
        <f aca="false">(INDEX($D$5:$D$425,MIN(INT((F240-45)/0.05+0.000000001),419)+1)*(1-((F240-45)/0.05-MIN(INT((F240-45)/0.05+0.000000001),419)))+INDEX($D$5:$D$425,MIN(INT((F240-45)/0.05+0.000000001),419)+2)*((F240-45)/0.05-MIN(INT((F240-45)/0.05+0.000000001),419)))</f>
        <v>-457.293879741213</v>
      </c>
      <c r="I240" s="11" t="n">
        <f aca="false">_xlfn.MAXIFS($D$5:$D$425,$A$5:$A$425,"&gt;="&amp;E240,$A$5:$A$425,"&lt;="&amp;F240)</f>
        <v>-456.856332738204</v>
      </c>
      <c r="J240" s="11" t="n">
        <f aca="false">-Short_p*MAX(Floor_c-A240,0)+Cost_k*Alpha_keep*A240+MAX(G240,H240,I240)</f>
        <v>-235.531332738204</v>
      </c>
      <c r="K240" s="22" t="n">
        <f aca="false">ABS(J240-B240)</f>
        <v>0</v>
      </c>
    </row>
    <row r="241" customFormat="false" ht="15" hidden="false" customHeight="false" outlineLevel="0" collapsed="false">
      <c r="A241" s="14" t="n">
        <v>56.8</v>
      </c>
      <c r="B241" s="23" t="n">
        <v>-235.336332738204</v>
      </c>
      <c r="C241" s="19" t="n">
        <v>237</v>
      </c>
      <c r="D241" s="11" t="n">
        <f aca="false">-Cost_k*A241+Beta_q*(Declarations!$B$16*INDEX($B$5:$B$425,$C241-ROUND(Declarations!$A$16/0.05,0))+Declarations!$B$17*INDEX($B$5:$B$425,$C241-ROUND(Declarations!$A$17/0.05,0))+Declarations!$B$18*INDEX($B$5:$B$425,$C241-ROUND(Declarations!$A$18/0.05,0))+Declarations!$B$19*INDEX($B$5:$B$425,$C241-ROUND(Declarations!$A$19/0.05,0))+Declarations!$B$20*INDEX($B$5:$B$425,$C241-ROUND(Declarations!$A$20/0.05,0)))</f>
        <v>-457.0108326198</v>
      </c>
      <c r="E241" s="16" t="n">
        <f aca="false">Alpha_keep*A241</f>
        <v>55.38</v>
      </c>
      <c r="F241" s="16" t="n">
        <f aca="false">Alpha_keep*A241+Cap_h</f>
        <v>57.88</v>
      </c>
      <c r="G241" s="11" t="n">
        <f aca="false">(INDEX($D$5:$D$425,MIN(INT((E241-45)/0.05+0.000000001),419)+1)*(1-((E241-45)/0.05-MIN(INT((E241-45)/0.05+0.000000001),419)))+INDEX($D$5:$D$425,MIN(INT((E241-45)/0.05+0.000000001),419)+2)*((E241-45)/0.05-MIN(INT((E241-45)/0.05+0.000000001),419)))</f>
        <v>-456.93472525119</v>
      </c>
      <c r="H241" s="11" t="n">
        <f aca="false">(INDEX($D$5:$D$425,MIN(INT((F241-45)/0.05+0.000000001),419)+1)*(1-((F241-45)/0.05-MIN(INT((F241-45)/0.05+0.000000001),419)))+INDEX($D$5:$D$425,MIN(INT((F241-45)/0.05+0.000000001),419)+2)*((F241-45)/0.05-MIN(INT((F241-45)/0.05+0.000000001),419)))</f>
        <v>-457.309124852077</v>
      </c>
      <c r="I241" s="11" t="n">
        <f aca="false">_xlfn.MAXIFS($D$5:$D$425,$A$5:$A$425,"&gt;="&amp;E241,$A$5:$A$425,"&lt;="&amp;F241)</f>
        <v>-456.856332738204</v>
      </c>
      <c r="J241" s="11" t="n">
        <f aca="false">-Short_p*MAX(Floor_c-A241,0)+Cost_k*Alpha_keep*A241+MAX(G241,H241,I241)</f>
        <v>-235.336332738204</v>
      </c>
      <c r="K241" s="22" t="n">
        <f aca="false">ABS(J241-B241)</f>
        <v>0</v>
      </c>
    </row>
    <row r="242" customFormat="false" ht="15" hidden="false" customHeight="false" outlineLevel="0" collapsed="false">
      <c r="A242" s="14" t="n">
        <v>56.85</v>
      </c>
      <c r="B242" s="23" t="n">
        <v>-235.141332738204</v>
      </c>
      <c r="C242" s="19" t="n">
        <v>238</v>
      </c>
      <c r="D242" s="11" t="n">
        <f aca="false">-Cost_k*A242+Beta_q*(Declarations!$B$16*INDEX($B$5:$B$425,$C242-ROUND(Declarations!$A$16/0.05,0))+Declarations!$B$17*INDEX($B$5:$B$425,$C242-ROUND(Declarations!$A$17/0.05,0))+Declarations!$B$18*INDEX($B$5:$B$425,$C242-ROUND(Declarations!$A$18/0.05,0))+Declarations!$B$19*INDEX($B$5:$B$425,$C242-ROUND(Declarations!$A$19/0.05,0))+Declarations!$B$20*INDEX($B$5:$B$425,$C242-ROUND(Declarations!$A$20/0.05,0)))</f>
        <v>-457.022074141538</v>
      </c>
      <c r="E242" s="16" t="n">
        <f aca="false">Alpha_keep*A242</f>
        <v>55.42875</v>
      </c>
      <c r="F242" s="16" t="n">
        <f aca="false">Alpha_keep*A242+Cap_h</f>
        <v>57.92875</v>
      </c>
      <c r="G242" s="11" t="n">
        <f aca="false">(INDEX($D$5:$D$425,MIN(INT((E242-45)/0.05+0.000000001),419)+1)*(1-((E242-45)/0.05-MIN(INT((E242-45)/0.05+0.000000001),419)))+INDEX($D$5:$D$425,MIN(INT((E242-45)/0.05+0.000000001),419)+2)*((E242-45)/0.05-MIN(INT((E242-45)/0.05+0.000000001),419)))</f>
        <v>-456.924119290701</v>
      </c>
      <c r="H242" s="11" t="n">
        <f aca="false">(INDEX($D$5:$D$425,MIN(INT((F242-45)/0.05+0.000000001),419)+1)*(1-((F242-45)/0.05-MIN(INT((F242-45)/0.05+0.000000001),419)))+INDEX($D$5:$D$425,MIN(INT((F242-45)/0.05+0.000000001),419)+2)*((F242-45)/0.05-MIN(INT((F242-45)/0.05+0.000000001),419)))</f>
        <v>-457.325266844905</v>
      </c>
      <c r="I242" s="11" t="n">
        <f aca="false">_xlfn.MAXIFS($D$5:$D$425,$A$5:$A$425,"&gt;="&amp;E242,$A$5:$A$425,"&lt;="&amp;F242)</f>
        <v>-456.856332738204</v>
      </c>
      <c r="J242" s="11" t="n">
        <f aca="false">-Short_p*MAX(Floor_c-A242,0)+Cost_k*Alpha_keep*A242+MAX(G242,H242,I242)</f>
        <v>-235.141332738204</v>
      </c>
      <c r="K242" s="22" t="n">
        <f aca="false">ABS(J242-B242)</f>
        <v>0</v>
      </c>
    </row>
    <row r="243" customFormat="false" ht="15" hidden="false" customHeight="false" outlineLevel="0" collapsed="false">
      <c r="A243" s="14" t="n">
        <v>56.9</v>
      </c>
      <c r="B243" s="23" t="n">
        <v>-234.946332738204</v>
      </c>
      <c r="C243" s="19" t="n">
        <v>239</v>
      </c>
      <c r="D243" s="11" t="n">
        <f aca="false">-Cost_k*A243+Beta_q*(Declarations!$B$16*INDEX($B$5:$B$425,$C243-ROUND(Declarations!$A$16/0.05,0))+Declarations!$B$17*INDEX($B$5:$B$425,$C243-ROUND(Declarations!$A$17/0.05,0))+Declarations!$B$18*INDEX($B$5:$B$425,$C243-ROUND(Declarations!$A$18/0.05,0))+Declarations!$B$19*INDEX($B$5:$B$425,$C243-ROUND(Declarations!$A$19/0.05,0))+Declarations!$B$20*INDEX($B$5:$B$425,$C243-ROUND(Declarations!$A$20/0.05,0)))</f>
        <v>-457.033338507206</v>
      </c>
      <c r="E243" s="16" t="n">
        <f aca="false">Alpha_keep*A243</f>
        <v>55.4775</v>
      </c>
      <c r="F243" s="16" t="n">
        <f aca="false">Alpha_keep*A243+Cap_h</f>
        <v>57.9775</v>
      </c>
      <c r="G243" s="11" t="n">
        <f aca="false">(INDEX($D$5:$D$425,MIN(INT((E243-45)/0.05+0.000000001),419)+1)*(1-((E243-45)/0.05-MIN(INT((E243-45)/0.05+0.000000001),419)))+INDEX($D$5:$D$425,MIN(INT((E243-45)/0.05+0.000000001),419)+2)*((E243-45)/0.05-MIN(INT((E243-45)/0.05+0.000000001),419)))</f>
        <v>-456.913753303774</v>
      </c>
      <c r="H243" s="11" t="n">
        <f aca="false">(INDEX($D$5:$D$425,MIN(INT((F243-45)/0.05+0.000000001),419)+1)*(1-((F243-45)/0.05-MIN(INT((F243-45)/0.05+0.000000001),419)))+INDEX($D$5:$D$425,MIN(INT((F243-45)/0.05+0.000000001),419)+2)*((F243-45)/0.05-MIN(INT((F243-45)/0.05+0.000000001),419)))</f>
        <v>-457.343380978702</v>
      </c>
      <c r="I243" s="11" t="n">
        <f aca="false">_xlfn.MAXIFS($D$5:$D$425,$A$5:$A$425,"&gt;="&amp;E243,$A$5:$A$425,"&lt;="&amp;F243)</f>
        <v>-456.856332738204</v>
      </c>
      <c r="J243" s="11" t="n">
        <f aca="false">-Short_p*MAX(Floor_c-A243,0)+Cost_k*Alpha_keep*A243+MAX(G243,H243,I243)</f>
        <v>-234.946332738204</v>
      </c>
      <c r="K243" s="22" t="n">
        <f aca="false">ABS(J243-B243)</f>
        <v>0</v>
      </c>
    </row>
    <row r="244" customFormat="false" ht="15" hidden="false" customHeight="false" outlineLevel="0" collapsed="false">
      <c r="A244" s="14" t="n">
        <v>56.95</v>
      </c>
      <c r="B244" s="23" t="n">
        <v>-234.751332738204</v>
      </c>
      <c r="C244" s="19" t="n">
        <v>240</v>
      </c>
      <c r="D244" s="11" t="n">
        <f aca="false">-Cost_k*A244+Beta_q*(Declarations!$B$16*INDEX($B$5:$B$425,$C244-ROUND(Declarations!$A$16/0.05,0))+Declarations!$B$17*INDEX($B$5:$B$425,$C244-ROUND(Declarations!$A$17/0.05,0))+Declarations!$B$18*INDEX($B$5:$B$425,$C244-ROUND(Declarations!$A$18/0.05,0))+Declarations!$B$19*INDEX($B$5:$B$425,$C244-ROUND(Declarations!$A$19/0.05,0))+Declarations!$B$20*INDEX($B$5:$B$425,$C244-ROUND(Declarations!$A$20/0.05,0)))</f>
        <v>-457.044602889207</v>
      </c>
      <c r="E244" s="16" t="n">
        <f aca="false">Alpha_keep*A244</f>
        <v>55.52625</v>
      </c>
      <c r="F244" s="16" t="n">
        <f aca="false">Alpha_keep*A244+Cap_h</f>
        <v>58.02625</v>
      </c>
      <c r="G244" s="11" t="n">
        <f aca="false">(INDEX($D$5:$D$425,MIN(INT((E244-45)/0.05+0.000000001),419)+1)*(1-((E244-45)/0.05-MIN(INT((E244-45)/0.05+0.000000001),419)))+INDEX($D$5:$D$425,MIN(INT((E244-45)/0.05+0.000000001),419)+2)*((E244-45)/0.05-MIN(INT((E244-45)/0.05+0.000000001),419)))</f>
        <v>-456.903387330293</v>
      </c>
      <c r="H244" s="11" t="n">
        <f aca="false">(INDEX($D$5:$D$425,MIN(INT((F244-45)/0.05+0.000000001),419)+1)*(1-((F244-45)/0.05-MIN(INT((F244-45)/0.05+0.000000001),419)))+INDEX($D$5:$D$425,MIN(INT((F244-45)/0.05+0.000000001),419)+2)*((F244-45)/0.05-MIN(INT((F244-45)/0.05+0.000000001),419)))</f>
        <v>-457.362625261296</v>
      </c>
      <c r="I244" s="11" t="n">
        <f aca="false">_xlfn.MAXIFS($D$5:$D$425,$A$5:$A$425,"&gt;="&amp;E244,$A$5:$A$425,"&lt;="&amp;F244)</f>
        <v>-456.856332738204</v>
      </c>
      <c r="J244" s="11" t="n">
        <f aca="false">-Short_p*MAX(Floor_c-A244,0)+Cost_k*Alpha_keep*A244+MAX(G244,H244,I244)</f>
        <v>-234.751332738204</v>
      </c>
      <c r="K244" s="22" t="n">
        <f aca="false">ABS(J244-B244)</f>
        <v>0</v>
      </c>
    </row>
    <row r="245" customFormat="false" ht="15" hidden="false" customHeight="false" outlineLevel="0" collapsed="false">
      <c r="A245" s="14" t="n">
        <v>57</v>
      </c>
      <c r="B245" s="23" t="n">
        <v>-234.556332738204</v>
      </c>
      <c r="C245" s="19" t="n">
        <v>241</v>
      </c>
      <c r="D245" s="11" t="n">
        <f aca="false">-Cost_k*A245+Beta_q*(Declarations!$B$16*INDEX($B$5:$B$425,$C245-ROUND(Declarations!$A$16/0.05,0))+Declarations!$B$17*INDEX($B$5:$B$425,$C245-ROUND(Declarations!$A$17/0.05,0))+Declarations!$B$18*INDEX($B$5:$B$425,$C245-ROUND(Declarations!$A$18/0.05,0))+Declarations!$B$19*INDEX($B$5:$B$425,$C245-ROUND(Declarations!$A$19/0.05,0))+Declarations!$B$20*INDEX($B$5:$B$425,$C245-ROUND(Declarations!$A$20/0.05,0)))</f>
        <v>-457.055867425707</v>
      </c>
      <c r="E245" s="16" t="n">
        <f aca="false">Alpha_keep*A245</f>
        <v>55.575</v>
      </c>
      <c r="F245" s="16" t="n">
        <f aca="false">Alpha_keep*A245+Cap_h</f>
        <v>58.075</v>
      </c>
      <c r="G245" s="11" t="n">
        <f aca="false">(INDEX($D$5:$D$425,MIN(INT((E245-45)/0.05+0.000000001),419)+1)*(1-((E245-45)/0.05-MIN(INT((E245-45)/0.05+0.000000001),419)))+INDEX($D$5:$D$425,MIN(INT((E245-45)/0.05+0.000000001),419)+2)*((E245-45)/0.05-MIN(INT((E245-45)/0.05+0.000000001),419)))</f>
        <v>-456.893021432284</v>
      </c>
      <c r="H245" s="11" t="n">
        <f aca="false">(INDEX($D$5:$D$425,MIN(INT((F245-45)/0.05+0.000000001),419)+1)*(1-((F245-45)/0.05-MIN(INT((F245-45)/0.05+0.000000001),419)))+INDEX($D$5:$D$425,MIN(INT((F245-45)/0.05+0.000000001),419)+2)*((F245-45)/0.05-MIN(INT((F245-45)/0.05+0.000000001),419)))</f>
        <v>-457.381869839628</v>
      </c>
      <c r="I245" s="11" t="n">
        <f aca="false">_xlfn.MAXIFS($D$5:$D$425,$A$5:$A$425,"&gt;="&amp;E245,$A$5:$A$425,"&lt;="&amp;F245)</f>
        <v>-456.856332738204</v>
      </c>
      <c r="J245" s="11" t="n">
        <f aca="false">-Short_p*MAX(Floor_c-A245,0)+Cost_k*Alpha_keep*A245+MAX(G245,H245,I245)</f>
        <v>-234.556332738204</v>
      </c>
      <c r="K245" s="22" t="n">
        <f aca="false">ABS(J245-B245)</f>
        <v>0</v>
      </c>
    </row>
    <row r="246" customFormat="false" ht="15" hidden="false" customHeight="false" outlineLevel="0" collapsed="false">
      <c r="A246" s="14" t="n">
        <v>57.05</v>
      </c>
      <c r="B246" s="23" t="n">
        <v>-234.361332738205</v>
      </c>
      <c r="C246" s="19" t="n">
        <v>242</v>
      </c>
      <c r="D246" s="11" t="n">
        <f aca="false">-Cost_k*A246+Beta_q*(Declarations!$B$16*INDEX($B$5:$B$425,$C246-ROUND(Declarations!$A$16/0.05,0))+Declarations!$B$17*INDEX($B$5:$B$425,$C246-ROUND(Declarations!$A$17/0.05,0))+Declarations!$B$18*INDEX($B$5:$B$425,$C246-ROUND(Declarations!$A$18/0.05,0))+Declarations!$B$19*INDEX($B$5:$B$425,$C246-ROUND(Declarations!$A$19/0.05,0))+Declarations!$B$20*INDEX($B$5:$B$425,$C246-ROUND(Declarations!$A$20/0.05,0)))</f>
        <v>-457.067133402078</v>
      </c>
      <c r="E246" s="16" t="n">
        <f aca="false">Alpha_keep*A246</f>
        <v>55.62375</v>
      </c>
      <c r="F246" s="16" t="n">
        <f aca="false">Alpha_keep*A246+Cap_h</f>
        <v>58.12375</v>
      </c>
      <c r="G246" s="11" t="n">
        <f aca="false">(INDEX($D$5:$D$425,MIN(INT((E246-45)/0.05+0.000000001),419)+1)*(1-((E246-45)/0.05-MIN(INT((E246-45)/0.05+0.000000001),419)))+INDEX($D$5:$D$425,MIN(INT((E246-45)/0.05+0.000000001),419)+2)*((E246-45)/0.05-MIN(INT((E246-45)/0.05+0.000000001),419)))</f>
        <v>-456.882656250109</v>
      </c>
      <c r="H246" s="11" t="n">
        <f aca="false">(INDEX($D$5:$D$425,MIN(INT((F246-45)/0.05+0.000000001),419)+1)*(1-((F246-45)/0.05-MIN(INT((F246-45)/0.05+0.000000001),419)))+INDEX($D$5:$D$425,MIN(INT((F246-45)/0.05+0.000000001),419)+2)*((F246-45)/0.05-MIN(INT((F246-45)/0.05+0.000000001),419)))</f>
        <v>-457.401114809163</v>
      </c>
      <c r="I246" s="11" t="n">
        <f aca="false">_xlfn.MAXIFS($D$5:$D$425,$A$5:$A$425,"&gt;="&amp;E246,$A$5:$A$425,"&lt;="&amp;F246)</f>
        <v>-456.856332738204</v>
      </c>
      <c r="J246" s="11" t="n">
        <f aca="false">-Short_p*MAX(Floor_c-A246,0)+Cost_k*Alpha_keep*A246+MAX(G246,H246,I246)</f>
        <v>-234.361332738204</v>
      </c>
      <c r="K246" s="22" t="n">
        <f aca="false">ABS(J246-B246)</f>
        <v>0</v>
      </c>
    </row>
    <row r="247" customFormat="false" ht="15" hidden="false" customHeight="false" outlineLevel="0" collapsed="false">
      <c r="A247" s="14" t="n">
        <v>57.1</v>
      </c>
      <c r="B247" s="23" t="n">
        <v>-234.166332738204</v>
      </c>
      <c r="C247" s="19" t="n">
        <v>243</v>
      </c>
      <c r="D247" s="11" t="n">
        <f aca="false">-Cost_k*A247+Beta_q*(Declarations!$B$16*INDEX($B$5:$B$425,$C247-ROUND(Declarations!$A$16/0.05,0))+Declarations!$B$17*INDEX($B$5:$B$425,$C247-ROUND(Declarations!$A$17/0.05,0))+Declarations!$B$18*INDEX($B$5:$B$425,$C247-ROUND(Declarations!$A$18/0.05,0))+Declarations!$B$19*INDEX($B$5:$B$425,$C247-ROUND(Declarations!$A$19/0.05,0))+Declarations!$B$20*INDEX($B$5:$B$425,$C247-ROUND(Declarations!$A$20/0.05,0)))</f>
        <v>-457.078414801613</v>
      </c>
      <c r="E247" s="16" t="n">
        <f aca="false">Alpha_keep*A247</f>
        <v>55.6725</v>
      </c>
      <c r="F247" s="16" t="n">
        <f aca="false">Alpha_keep*A247+Cap_h</f>
        <v>58.1725</v>
      </c>
      <c r="G247" s="11" t="n">
        <f aca="false">(INDEX($D$5:$D$425,MIN(INT((E247-45)/0.05+0.000000001),419)+1)*(1-((E247-45)/0.05-MIN(INT((E247-45)/0.05+0.000000001),419)))+INDEX($D$5:$D$425,MIN(INT((E247-45)/0.05+0.000000001),419)+2)*((E247-45)/0.05-MIN(INT((E247-45)/0.05+0.000000001),419)))</f>
        <v>-456.872344051444</v>
      </c>
      <c r="H247" s="11" t="n">
        <f aca="false">(INDEX($D$5:$D$425,MIN(INT((F247-45)/0.05+0.000000001),419)+1)*(1-((F247-45)/0.05-MIN(INT((F247-45)/0.05+0.000000001),419)))+INDEX($D$5:$D$425,MIN(INT((F247-45)/0.05+0.000000001),419)+2)*((F247-45)/0.05-MIN(INT((F247-45)/0.05+0.000000001),419)))</f>
        <v>-457.420361816837</v>
      </c>
      <c r="I247" s="11" t="n">
        <f aca="false">_xlfn.MAXIFS($D$5:$D$425,$A$5:$A$425,"&gt;="&amp;E247,$A$5:$A$425,"&lt;="&amp;F247)</f>
        <v>-456.856332738204</v>
      </c>
      <c r="J247" s="11" t="n">
        <f aca="false">-Short_p*MAX(Floor_c-A247,0)+Cost_k*Alpha_keep*A247+MAX(G247,H247,I247)</f>
        <v>-234.166332738204</v>
      </c>
      <c r="K247" s="22" t="n">
        <f aca="false">ABS(J247-B247)</f>
        <v>0</v>
      </c>
    </row>
    <row r="248" customFormat="false" ht="15" hidden="false" customHeight="false" outlineLevel="0" collapsed="false">
      <c r="A248" s="14" t="n">
        <v>57.15</v>
      </c>
      <c r="B248" s="23" t="n">
        <v>-233.971332738204</v>
      </c>
      <c r="C248" s="19" t="n">
        <v>244</v>
      </c>
      <c r="D248" s="11" t="n">
        <f aca="false">-Cost_k*A248+Beta_q*(Declarations!$B$16*INDEX($B$5:$B$425,$C248-ROUND(Declarations!$A$16/0.05,0))+Declarations!$B$17*INDEX($B$5:$B$425,$C248-ROUND(Declarations!$A$17/0.05,0))+Declarations!$B$18*INDEX($B$5:$B$425,$C248-ROUND(Declarations!$A$18/0.05,0))+Declarations!$B$19*INDEX($B$5:$B$425,$C248-ROUND(Declarations!$A$19/0.05,0))+Declarations!$B$20*INDEX($B$5:$B$425,$C248-ROUND(Declarations!$A$20/0.05,0)))</f>
        <v>-457.089830826779</v>
      </c>
      <c r="E248" s="16" t="n">
        <f aca="false">Alpha_keep*A248</f>
        <v>55.72125</v>
      </c>
      <c r="F248" s="16" t="n">
        <f aca="false">Alpha_keep*A248+Cap_h</f>
        <v>58.22125</v>
      </c>
      <c r="G248" s="11" t="n">
        <f aca="false">(INDEX($D$5:$D$425,MIN(INT((E248-45)/0.05+0.000000001),419)+1)*(1-((E248-45)/0.05-MIN(INT((E248-45)/0.05+0.000000001),419)))+INDEX($D$5:$D$425,MIN(INT((E248-45)/0.05+0.000000001),419)+2)*((E248-45)/0.05-MIN(INT((E248-45)/0.05+0.000000001),419)))</f>
        <v>-456.862214178781</v>
      </c>
      <c r="H248" s="11" t="n">
        <f aca="false">(INDEX($D$5:$D$425,MIN(INT((F248-45)/0.05+0.000000001),419)+1)*(1-((F248-45)/0.05-MIN(INT((F248-45)/0.05+0.000000001),419)))+INDEX($D$5:$D$425,MIN(INT((F248-45)/0.05+0.000000001),419)+2)*((F248-45)/0.05-MIN(INT((F248-45)/0.05+0.000000001),419)))</f>
        <v>-457.439619267179</v>
      </c>
      <c r="I248" s="11" t="n">
        <f aca="false">_xlfn.MAXIFS($D$5:$D$425,$A$5:$A$425,"&gt;="&amp;E248,$A$5:$A$425,"&lt;="&amp;F248)</f>
        <v>-456.856332738204</v>
      </c>
      <c r="J248" s="11" t="n">
        <f aca="false">-Short_p*MAX(Floor_c-A248,0)+Cost_k*Alpha_keep*A248+MAX(G248,H248,I248)</f>
        <v>-233.971332738204</v>
      </c>
      <c r="K248" s="22" t="n">
        <f aca="false">ABS(J248-B248)</f>
        <v>0</v>
      </c>
    </row>
    <row r="249" customFormat="false" ht="15" hidden="false" customHeight="false" outlineLevel="0" collapsed="false">
      <c r="A249" s="14" t="n">
        <v>57.2</v>
      </c>
      <c r="B249" s="23" t="n">
        <v>-233.778506642258</v>
      </c>
      <c r="C249" s="19" t="n">
        <v>245</v>
      </c>
      <c r="D249" s="11" t="n">
        <f aca="false">-Cost_k*A249+Beta_q*(Declarations!$B$16*INDEX($B$5:$B$425,$C249-ROUND(Declarations!$A$16/0.05,0))+Declarations!$B$17*INDEX($B$5:$B$425,$C249-ROUND(Declarations!$A$17/0.05,0))+Declarations!$B$18*INDEX($B$5:$B$425,$C249-ROUND(Declarations!$A$18/0.05,0))+Declarations!$B$19*INDEX($B$5:$B$425,$C249-ROUND(Declarations!$A$19/0.05,0))+Declarations!$B$20*INDEX($B$5:$B$425,$C249-ROUND(Declarations!$A$20/0.05,0)))</f>
        <v>-457.102562158474</v>
      </c>
      <c r="E249" s="16" t="n">
        <f aca="false">Alpha_keep*A249</f>
        <v>55.77</v>
      </c>
      <c r="F249" s="16" t="n">
        <f aca="false">Alpha_keep*A249+Cap_h</f>
        <v>58.27</v>
      </c>
      <c r="G249" s="11" t="n">
        <f aca="false">(INDEX($D$5:$D$425,MIN(INT((E249-45)/0.05+0.000000001),419)+1)*(1-((E249-45)/0.05-MIN(INT((E249-45)/0.05+0.000000001),419)))+INDEX($D$5:$D$425,MIN(INT((E249-45)/0.05+0.000000001),419)+2)*((E249-45)/0.05-MIN(INT((E249-45)/0.05+0.000000001),419)))</f>
        <v>-456.858506642258</v>
      </c>
      <c r="H249" s="11" t="n">
        <f aca="false">(INDEX($D$5:$D$425,MIN(INT((F249-45)/0.05+0.000000001),419)+1)*(1-((F249-45)/0.05-MIN(INT((F249-45)/0.05+0.000000001),419)))+INDEX($D$5:$D$425,MIN(INT((F249-45)/0.05+0.000000001),419)+2)*((F249-45)/0.05-MIN(INT((F249-45)/0.05+0.000000001),419)))</f>
        <v>-457.458914469008</v>
      </c>
      <c r="I249" s="11" t="n">
        <f aca="false">_xlfn.MAXIFS($D$5:$D$425,$A$5:$A$425,"&gt;="&amp;E249,$A$5:$A$425,"&lt;="&amp;F249)</f>
        <v>-456.861767498339</v>
      </c>
      <c r="J249" s="11" t="n">
        <f aca="false">-Short_p*MAX(Floor_c-A249,0)+Cost_k*Alpha_keep*A249+MAX(G249,H249,I249)</f>
        <v>-233.778506642258</v>
      </c>
      <c r="K249" s="22" t="n">
        <f aca="false">ABS(J249-B249)</f>
        <v>0</v>
      </c>
    </row>
    <row r="250" customFormat="false" ht="15" hidden="false" customHeight="false" outlineLevel="0" collapsed="false">
      <c r="A250" s="14" t="n">
        <v>57.25</v>
      </c>
      <c r="B250" s="23" t="n">
        <v>-233.588806907471</v>
      </c>
      <c r="C250" s="19" t="n">
        <v>246</v>
      </c>
      <c r="D250" s="11" t="n">
        <f aca="false">-Cost_k*A250+Beta_q*(Declarations!$B$16*INDEX($B$5:$B$425,$C250-ROUND(Declarations!$A$16/0.05,0))+Declarations!$B$17*INDEX($B$5:$B$425,$C250-ROUND(Declarations!$A$17/0.05,0))+Declarations!$B$18*INDEX($B$5:$B$425,$C250-ROUND(Declarations!$A$18/0.05,0))+Declarations!$B$19*INDEX($B$5:$B$425,$C250-ROUND(Declarations!$A$19/0.05,0))+Declarations!$B$20*INDEX($B$5:$B$425,$C250-ROUND(Declarations!$A$20/0.05,0)))</f>
        <v>-457.117580904607</v>
      </c>
      <c r="E250" s="16" t="n">
        <f aca="false">Alpha_keep*A250</f>
        <v>55.81875</v>
      </c>
      <c r="F250" s="16" t="n">
        <f aca="false">Alpha_keep*A250+Cap_h</f>
        <v>58.31875</v>
      </c>
      <c r="G250" s="11" t="n">
        <f aca="false">(INDEX($D$5:$D$425,MIN(INT((E250-45)/0.05+0.000000001),419)+1)*(1-((E250-45)/0.05-MIN(INT((E250-45)/0.05+0.000000001),419)))+INDEX($D$5:$D$425,MIN(INT((E250-45)/0.05+0.000000001),419)+2)*((E250-45)/0.05-MIN(INT((E250-45)/0.05+0.000000001),419)))</f>
        <v>-456.863806907471</v>
      </c>
      <c r="H250" s="11" t="n">
        <f aca="false">(INDEX($D$5:$D$425,MIN(INT((F250-45)/0.05+0.000000001),419)+1)*(1-((F250-45)/0.05-MIN(INT((F250-45)/0.05+0.000000001),419)))+INDEX($D$5:$D$425,MIN(INT((F250-45)/0.05+0.000000001),419)+2)*((F250-45)/0.05-MIN(INT((F250-45)/0.05+0.000000001),419)))</f>
        <v>-457.478283195893</v>
      </c>
      <c r="I250" s="11" t="n">
        <f aca="false">_xlfn.MAXIFS($D$5:$D$425,$A$5:$A$425,"&gt;="&amp;E250,$A$5:$A$425,"&lt;="&amp;F250)</f>
        <v>-456.867205922693</v>
      </c>
      <c r="J250" s="11" t="n">
        <f aca="false">-Short_p*MAX(Floor_c-A250,0)+Cost_k*Alpha_keep*A250+MAX(G250,H250,I250)</f>
        <v>-233.588806907471</v>
      </c>
      <c r="K250" s="22" t="n">
        <f aca="false">ABS(J250-B250)</f>
        <v>0</v>
      </c>
    </row>
    <row r="251" customFormat="false" ht="15" hidden="false" customHeight="false" outlineLevel="0" collapsed="false">
      <c r="A251" s="14" t="n">
        <v>57.3</v>
      </c>
      <c r="B251" s="23" t="n">
        <v>-233.399109376542</v>
      </c>
      <c r="C251" s="19" t="n">
        <v>247</v>
      </c>
      <c r="D251" s="11" t="n">
        <f aca="false">-Cost_k*A251+Beta_q*(Declarations!$B$16*INDEX($B$5:$B$425,$C251-ROUND(Declarations!$A$16/0.05,0))+Declarations!$B$17*INDEX($B$5:$B$425,$C251-ROUND(Declarations!$A$17/0.05,0))+Declarations!$B$18*INDEX($B$5:$B$425,$C251-ROUND(Declarations!$A$18/0.05,0))+Declarations!$B$19*INDEX($B$5:$B$425,$C251-ROUND(Declarations!$A$19/0.05,0))+Declarations!$B$20*INDEX($B$5:$B$425,$C251-ROUND(Declarations!$A$20/0.05,0)))</f>
        <v>-457.13260075002</v>
      </c>
      <c r="E251" s="16" t="n">
        <f aca="false">Alpha_keep*A251</f>
        <v>55.8675</v>
      </c>
      <c r="F251" s="16" t="n">
        <f aca="false">Alpha_keep*A251+Cap_h</f>
        <v>58.3675</v>
      </c>
      <c r="G251" s="11" t="n">
        <f aca="false">(INDEX($D$5:$D$425,MIN(INT((E251-45)/0.05+0.000000001),419)+1)*(1-((E251-45)/0.05-MIN(INT((E251-45)/0.05+0.000000001),419)))+INDEX($D$5:$D$425,MIN(INT((E251-45)/0.05+0.000000001),419)+2)*((E251-45)/0.05-MIN(INT((E251-45)/0.05+0.000000001),419)))</f>
        <v>-456.869109376542</v>
      </c>
      <c r="H251" s="11" t="n">
        <f aca="false">(INDEX($D$5:$D$425,MIN(INT((F251-45)/0.05+0.000000001),419)+1)*(1-((F251-45)/0.05-MIN(INT((F251-45)/0.05+0.000000001),419)))+INDEX($D$5:$D$425,MIN(INT((F251-45)/0.05+0.000000001),419)+2)*((F251-45)/0.05-MIN(INT((F251-45)/0.05+0.000000001),419)))</f>
        <v>-457.497719113103</v>
      </c>
      <c r="I251" s="11" t="n">
        <f aca="false">_xlfn.MAXIFS($D$5:$D$425,$A$5:$A$425,"&gt;="&amp;E251,$A$5:$A$425,"&lt;="&amp;F251)</f>
        <v>-456.872644362262</v>
      </c>
      <c r="J251" s="11" t="n">
        <f aca="false">-Short_p*MAX(Floor_c-A251,0)+Cost_k*Alpha_keep*A251+MAX(G251,H251,I251)</f>
        <v>-233.399109376542</v>
      </c>
      <c r="K251" s="22" t="n">
        <f aca="false">ABS(J251-B251)</f>
        <v>0</v>
      </c>
    </row>
    <row r="252" customFormat="false" ht="15" hidden="false" customHeight="false" outlineLevel="0" collapsed="false">
      <c r="A252" s="14" t="n">
        <v>57.35</v>
      </c>
      <c r="B252" s="23" t="n">
        <v>-233.209411902434</v>
      </c>
      <c r="C252" s="19" t="n">
        <v>248</v>
      </c>
      <c r="D252" s="11" t="n">
        <f aca="false">-Cost_k*A252+Beta_q*(Declarations!$B$16*INDEX($B$5:$B$425,$C252-ROUND(Declarations!$A$16/0.05,0))+Declarations!$B$17*INDEX($B$5:$B$425,$C252-ROUND(Declarations!$A$17/0.05,0))+Declarations!$B$18*INDEX($B$5:$B$425,$C252-ROUND(Declarations!$A$18/0.05,0))+Declarations!$B$19*INDEX($B$5:$B$425,$C252-ROUND(Declarations!$A$19/0.05,0))+Declarations!$B$20*INDEX($B$5:$B$425,$C252-ROUND(Declarations!$A$20/0.05,0)))</f>
        <v>-457.147620650392</v>
      </c>
      <c r="E252" s="16" t="n">
        <f aca="false">Alpha_keep*A252</f>
        <v>55.91625</v>
      </c>
      <c r="F252" s="16" t="n">
        <f aca="false">Alpha_keep*A252+Cap_h</f>
        <v>58.41625</v>
      </c>
      <c r="G252" s="11" t="n">
        <f aca="false">(INDEX($D$5:$D$425,MIN(INT((E252-45)/0.05+0.000000001),419)+1)*(1-((E252-45)/0.05-MIN(INT((E252-45)/0.05+0.000000001),419)))+INDEX($D$5:$D$425,MIN(INT((E252-45)/0.05+0.000000001),419)+2)*((E252-45)/0.05-MIN(INT((E252-45)/0.05+0.000000001),419)))</f>
        <v>-456.874411902434</v>
      </c>
      <c r="H252" s="11" t="n">
        <f aca="false">(INDEX($D$5:$D$425,MIN(INT((F252-45)/0.05+0.000000001),419)+1)*(1-((F252-45)/0.05-MIN(INT((F252-45)/0.05+0.000000001),419)))+INDEX($D$5:$D$425,MIN(INT((F252-45)/0.05+0.000000001),419)+2)*((F252-45)/0.05-MIN(INT((F252-45)/0.05+0.000000001),419)))</f>
        <v>-457.517174943759</v>
      </c>
      <c r="I252" s="11" t="n">
        <f aca="false">_xlfn.MAXIFS($D$5:$D$425,$A$5:$A$425,"&gt;="&amp;E252,$A$5:$A$425,"&lt;="&amp;F252)</f>
        <v>-456.878082947408</v>
      </c>
      <c r="J252" s="11" t="n">
        <f aca="false">-Short_p*MAX(Floor_c-A252,0)+Cost_k*Alpha_keep*A252+MAX(G252,H252,I252)</f>
        <v>-233.209411902434</v>
      </c>
      <c r="K252" s="22" t="n">
        <f aca="false">ABS(J252-B252)</f>
        <v>0</v>
      </c>
    </row>
    <row r="253" customFormat="false" ht="15" hidden="false" customHeight="false" outlineLevel="0" collapsed="false">
      <c r="A253" s="14" t="n">
        <v>57.4</v>
      </c>
      <c r="B253" s="23" t="n">
        <v>-233.019714721749</v>
      </c>
      <c r="C253" s="19" t="n">
        <v>249</v>
      </c>
      <c r="D253" s="11" t="n">
        <f aca="false">-Cost_k*A253+Beta_q*(Declarations!$B$16*INDEX($B$5:$B$425,$C253-ROUND(Declarations!$A$16/0.05,0))+Declarations!$B$17*INDEX($B$5:$B$425,$C253-ROUND(Declarations!$A$17/0.05,0))+Declarations!$B$18*INDEX($B$5:$B$425,$C253-ROUND(Declarations!$A$18/0.05,0))+Declarations!$B$19*INDEX($B$5:$B$425,$C253-ROUND(Declarations!$A$19/0.05,0))+Declarations!$B$20*INDEX($B$5:$B$425,$C253-ROUND(Declarations!$A$20/0.05,0)))</f>
        <v>-457.162640892703</v>
      </c>
      <c r="E253" s="16" t="n">
        <f aca="false">Alpha_keep*A253</f>
        <v>55.965</v>
      </c>
      <c r="F253" s="16" t="n">
        <f aca="false">Alpha_keep*A253+Cap_h</f>
        <v>58.465</v>
      </c>
      <c r="G253" s="11" t="n">
        <f aca="false">(INDEX($D$5:$D$425,MIN(INT((E253-45)/0.05+0.000000001),419)+1)*(1-((E253-45)/0.05-MIN(INT((E253-45)/0.05+0.000000001),419)))+INDEX($D$5:$D$425,MIN(INT((E253-45)/0.05+0.000000001),419)+2)*((E253-45)/0.05-MIN(INT((E253-45)/0.05+0.000000001),419)))</f>
        <v>-456.879714721749</v>
      </c>
      <c r="H253" s="11" t="n">
        <f aca="false">(INDEX($D$5:$D$425,MIN(INT((F253-45)/0.05+0.000000001),419)+1)*(1-((F253-45)/0.05-MIN(INT((F253-45)/0.05+0.000000001),419)))+INDEX($D$5:$D$425,MIN(INT((F253-45)/0.05+0.000000001),419)+2)*((F253-45)/0.05-MIN(INT((F253-45)/0.05+0.000000001),419)))</f>
        <v>-457.5366312092</v>
      </c>
      <c r="I253" s="11" t="n">
        <f aca="false">_xlfn.MAXIFS($D$5:$D$425,$A$5:$A$425,"&gt;="&amp;E253,$A$5:$A$425,"&lt;="&amp;F253)</f>
        <v>-456.883522195212</v>
      </c>
      <c r="J253" s="11" t="n">
        <f aca="false">-Short_p*MAX(Floor_c-A253,0)+Cost_k*Alpha_keep*A253+MAX(G253,H253,I253)</f>
        <v>-233.019714721749</v>
      </c>
      <c r="K253" s="22" t="n">
        <f aca="false">ABS(J253-B253)</f>
        <v>0</v>
      </c>
    </row>
    <row r="254" customFormat="false" ht="15" hidden="false" customHeight="false" outlineLevel="0" collapsed="false">
      <c r="A254" s="14" t="n">
        <v>57.45</v>
      </c>
      <c r="B254" s="23" t="n">
        <v>-232.83002041728</v>
      </c>
      <c r="C254" s="19" t="n">
        <v>250</v>
      </c>
      <c r="D254" s="11" t="n">
        <f aca="false">-Cost_k*A254+Beta_q*(Declarations!$B$16*INDEX($B$5:$B$425,$C254-ROUND(Declarations!$A$16/0.05,0))+Declarations!$B$17*INDEX($B$5:$B$425,$C254-ROUND(Declarations!$A$17/0.05,0))+Declarations!$B$18*INDEX($B$5:$B$425,$C254-ROUND(Declarations!$A$18/0.05,0))+Declarations!$B$19*INDEX($B$5:$B$425,$C254-ROUND(Declarations!$A$19/0.05,0))+Declarations!$B$20*INDEX($B$5:$B$425,$C254-ROUND(Declarations!$A$20/0.05,0)))</f>
        <v>-457.177663483342</v>
      </c>
      <c r="E254" s="16" t="n">
        <f aca="false">Alpha_keep*A254</f>
        <v>56.01375</v>
      </c>
      <c r="F254" s="16" t="n">
        <f aca="false">Alpha_keep*A254+Cap_h</f>
        <v>58.51375</v>
      </c>
      <c r="G254" s="11" t="n">
        <f aca="false">(INDEX($D$5:$D$425,MIN(INT((E254-45)/0.05+0.000000001),419)+1)*(1-((E254-45)/0.05-MIN(INT((E254-45)/0.05+0.000000001),419)))+INDEX($D$5:$D$425,MIN(INT((E254-45)/0.05+0.000000001),419)+2)*((E254-45)/0.05-MIN(INT((E254-45)/0.05+0.000000001),419)))</f>
        <v>-456.88502041728</v>
      </c>
      <c r="H254" s="11" t="n">
        <f aca="false">(INDEX($D$5:$D$425,MIN(INT((F254-45)/0.05+0.000000001),419)+1)*(1-((F254-45)/0.05-MIN(INT((F254-45)/0.05+0.000000001),419)))+INDEX($D$5:$D$425,MIN(INT((F254-45)/0.05+0.000000001),419)+2)*((F254-45)/0.05-MIN(INT((F254-45)/0.05+0.000000001),419)))</f>
        <v>-457.556091397852</v>
      </c>
      <c r="I254" s="11" t="n">
        <f aca="false">_xlfn.MAXIFS($D$5:$D$425,$A$5:$A$425,"&gt;="&amp;E254,$A$5:$A$425,"&lt;="&amp;F254)</f>
        <v>-456.888970275459</v>
      </c>
      <c r="J254" s="11" t="n">
        <f aca="false">-Short_p*MAX(Floor_c-A254,0)+Cost_k*Alpha_keep*A254+MAX(G254,H254,I254)</f>
        <v>-232.83002041728</v>
      </c>
      <c r="K254" s="22" t="n">
        <f aca="false">ABS(J254-B254)</f>
        <v>0</v>
      </c>
    </row>
    <row r="255" customFormat="false" ht="15" hidden="false" customHeight="false" outlineLevel="0" collapsed="false">
      <c r="A255" s="14" t="n">
        <v>57.5</v>
      </c>
      <c r="B255" s="23" t="n">
        <v>-232.640338627459</v>
      </c>
      <c r="C255" s="19" t="n">
        <v>251</v>
      </c>
      <c r="D255" s="11" t="n">
        <f aca="false">-Cost_k*A255+Beta_q*(Declarations!$B$16*INDEX($B$5:$B$425,$C255-ROUND(Declarations!$A$16/0.05,0))+Declarations!$B$17*INDEX($B$5:$B$425,$C255-ROUND(Declarations!$A$17/0.05,0))+Declarations!$B$18*INDEX($B$5:$B$425,$C255-ROUND(Declarations!$A$18/0.05,0))+Declarations!$B$19*INDEX($B$5:$B$425,$C255-ROUND(Declarations!$A$19/0.05,0))+Declarations!$B$20*INDEX($B$5:$B$425,$C255-ROUND(Declarations!$A$20/0.05,0)))</f>
        <v>-457.192697644912</v>
      </c>
      <c r="E255" s="16" t="n">
        <f aca="false">Alpha_keep*A255</f>
        <v>56.0625</v>
      </c>
      <c r="F255" s="16" t="n">
        <f aca="false">Alpha_keep*A255+Cap_h</f>
        <v>58.5625</v>
      </c>
      <c r="G255" s="11" t="n">
        <f aca="false">(INDEX($D$5:$D$425,MIN(INT((E255-45)/0.05+0.000000001),419)+1)*(1-((E255-45)/0.05-MIN(INT((E255-45)/0.05+0.000000001),419)))+INDEX($D$5:$D$425,MIN(INT((E255-45)/0.05+0.000000001),419)+2)*((E255-45)/0.05-MIN(INT((E255-45)/0.05+0.000000001),419)))</f>
        <v>-456.890338627459</v>
      </c>
      <c r="H255" s="11" t="n">
        <f aca="false">(INDEX($D$5:$D$425,MIN(INT((F255-45)/0.05+0.000000001),419)+1)*(1-((F255-45)/0.05-MIN(INT((F255-45)/0.05+0.000000001),419)))+INDEX($D$5:$D$425,MIN(INT((F255-45)/0.05+0.000000001),419)+2)*((F255-45)/0.05-MIN(INT((F255-45)/0.05+0.000000001),419)))</f>
        <v>-457.57558391672</v>
      </c>
      <c r="I255" s="11" t="n">
        <f aca="false">_xlfn.MAXIFS($D$5:$D$425,$A$5:$A$425,"&gt;="&amp;E255,$A$5:$A$425,"&lt;="&amp;F255)</f>
        <v>-456.89444368346</v>
      </c>
      <c r="J255" s="11" t="n">
        <f aca="false">-Short_p*MAX(Floor_c-A255,0)+Cost_k*Alpha_keep*A255+MAX(G255,H255,I255)</f>
        <v>-232.640338627459</v>
      </c>
      <c r="K255" s="22" t="n">
        <f aca="false">ABS(J255-B255)</f>
        <v>0</v>
      </c>
    </row>
    <row r="256" customFormat="false" ht="15" hidden="false" customHeight="false" outlineLevel="0" collapsed="false">
      <c r="A256" s="14" t="n">
        <v>57.55</v>
      </c>
      <c r="B256" s="23" t="n">
        <v>-232.450753182571</v>
      </c>
      <c r="C256" s="19" t="n">
        <v>252</v>
      </c>
      <c r="D256" s="11" t="n">
        <f aca="false">-Cost_k*A256+Beta_q*(Declarations!$B$16*INDEX($B$5:$B$425,$C256-ROUND(Declarations!$A$16/0.05,0))+Declarations!$B$17*INDEX($B$5:$B$425,$C256-ROUND(Declarations!$A$17/0.05,0))+Declarations!$B$18*INDEX($B$5:$B$425,$C256-ROUND(Declarations!$A$18/0.05,0))+Declarations!$B$19*INDEX($B$5:$B$425,$C256-ROUND(Declarations!$A$19/0.05,0))+Declarations!$B$20*INDEX($B$5:$B$425,$C256-ROUND(Declarations!$A$20/0.05,0)))</f>
        <v>-457.207793825147</v>
      </c>
      <c r="E256" s="16" t="n">
        <f aca="false">Alpha_keep*A256</f>
        <v>56.11125</v>
      </c>
      <c r="F256" s="16" t="n">
        <f aca="false">Alpha_keep*A256+Cap_h</f>
        <v>58.61125</v>
      </c>
      <c r="G256" s="11" t="n">
        <f aca="false">(INDEX($D$5:$D$425,MIN(INT((E256-45)/0.05+0.000000001),419)+1)*(1-((E256-45)/0.05-MIN(INT((E256-45)/0.05+0.000000001),419)))+INDEX($D$5:$D$425,MIN(INT((E256-45)/0.05+0.000000001),419)+2)*((E256-45)/0.05-MIN(INT((E256-45)/0.05+0.000000001),419)))</f>
        <v>-456.895753182571</v>
      </c>
      <c r="H256" s="11" t="n">
        <f aca="false">(INDEX($D$5:$D$425,MIN(INT((F256-45)/0.05+0.000000001),419)+1)*(1-((F256-45)/0.05-MIN(INT((F256-45)/0.05+0.000000001),419)))+INDEX($D$5:$D$425,MIN(INT((F256-45)/0.05+0.000000001),419)+2)*((F256-45)/0.05-MIN(INT((F256-45)/0.05+0.000000001),419)))</f>
        <v>-457.595305231018</v>
      </c>
      <c r="I256" s="11" t="n">
        <f aca="false">_xlfn.MAXIFS($D$5:$D$425,$A$5:$A$425,"&gt;="&amp;E256,$A$5:$A$425,"&lt;="&amp;F256)</f>
        <v>-456.900263679512</v>
      </c>
      <c r="J256" s="11" t="n">
        <f aca="false">-Short_p*MAX(Floor_c-A256,0)+Cost_k*Alpha_keep*A256+MAX(G256,H256,I256)</f>
        <v>-232.450753182571</v>
      </c>
      <c r="K256" s="22" t="n">
        <f aca="false">ABS(J256-B256)</f>
        <v>0</v>
      </c>
    </row>
    <row r="257" customFormat="false" ht="15" hidden="false" customHeight="false" outlineLevel="0" collapsed="false">
      <c r="A257" s="14" t="n">
        <v>57.6</v>
      </c>
      <c r="B257" s="23" t="n">
        <v>-232.261457642493</v>
      </c>
      <c r="C257" s="19" t="n">
        <v>253</v>
      </c>
      <c r="D257" s="11" t="n">
        <f aca="false">-Cost_k*A257+Beta_q*(Declarations!$B$16*INDEX($B$5:$B$425,$C257-ROUND(Declarations!$A$16/0.05,0))+Declarations!$B$17*INDEX($B$5:$B$425,$C257-ROUND(Declarations!$A$17/0.05,0))+Declarations!$B$18*INDEX($B$5:$B$425,$C257-ROUND(Declarations!$A$18/0.05,0))+Declarations!$B$19*INDEX($B$5:$B$425,$C257-ROUND(Declarations!$A$19/0.05,0))+Declarations!$B$20*INDEX($B$5:$B$425,$C257-ROUND(Declarations!$A$20/0.05,0)))</f>
        <v>-457.223041633275</v>
      </c>
      <c r="E257" s="16" t="n">
        <f aca="false">Alpha_keep*A257</f>
        <v>56.16</v>
      </c>
      <c r="F257" s="16" t="n">
        <f aca="false">Alpha_keep*A257+Cap_h</f>
        <v>58.66</v>
      </c>
      <c r="G257" s="11" t="n">
        <f aca="false">(INDEX($D$5:$D$425,MIN(INT((E257-45)/0.05+0.000000001),419)+1)*(1-((E257-45)/0.05-MIN(INT((E257-45)/0.05+0.000000001),419)))+INDEX($D$5:$D$425,MIN(INT((E257-45)/0.05+0.000000001),419)+2)*((E257-45)/0.05-MIN(INT((E257-45)/0.05+0.000000001),419)))</f>
        <v>-456.901457642492</v>
      </c>
      <c r="H257" s="11" t="n">
        <f aca="false">(INDEX($D$5:$D$425,MIN(INT((F257-45)/0.05+0.000000001),419)+1)*(1-((F257-45)/0.05-MIN(INT((F257-45)/0.05+0.000000001),419)))+INDEX($D$5:$D$425,MIN(INT((F257-45)/0.05+0.000000001),419)+2)*((F257-45)/0.05-MIN(INT((F257-45)/0.05+0.000000001),419)))</f>
        <v>-457.615867461119</v>
      </c>
      <c r="I257" s="11" t="n">
        <f aca="false">_xlfn.MAXIFS($D$5:$D$425,$A$5:$A$425,"&gt;="&amp;E257,$A$5:$A$425,"&lt;="&amp;F257)</f>
        <v>-456.906233494414</v>
      </c>
      <c r="J257" s="11" t="n">
        <f aca="false">-Short_p*MAX(Floor_c-A257,0)+Cost_k*Alpha_keep*A257+MAX(G257,H257,I257)</f>
        <v>-232.261457642492</v>
      </c>
      <c r="K257" s="22" t="n">
        <f aca="false">ABS(J257-B257)</f>
        <v>0</v>
      </c>
    </row>
    <row r="258" customFormat="false" ht="15" hidden="false" customHeight="false" outlineLevel="0" collapsed="false">
      <c r="A258" s="14" t="n">
        <v>57.65</v>
      </c>
      <c r="B258" s="23" t="n">
        <v>-232.072278216408</v>
      </c>
      <c r="C258" s="19" t="n">
        <v>254</v>
      </c>
      <c r="D258" s="11" t="n">
        <f aca="false">-Cost_k*A258+Beta_q*(Declarations!$B$16*INDEX($B$5:$B$425,$C258-ROUND(Declarations!$A$16/0.05,0))+Declarations!$B$17*INDEX($B$5:$B$425,$C258-ROUND(Declarations!$A$17/0.05,0))+Declarations!$B$18*INDEX($B$5:$B$425,$C258-ROUND(Declarations!$A$18/0.05,0))+Declarations!$B$19*INDEX($B$5:$B$425,$C258-ROUND(Declarations!$A$19/0.05,0))+Declarations!$B$20*INDEX($B$5:$B$425,$C258-ROUND(Declarations!$A$20/0.05,0)))</f>
        <v>-457.238348313437</v>
      </c>
      <c r="E258" s="16" t="n">
        <f aca="false">Alpha_keep*A258</f>
        <v>56.20875</v>
      </c>
      <c r="F258" s="16" t="n">
        <f aca="false">Alpha_keep*A258+Cap_h</f>
        <v>58.70875</v>
      </c>
      <c r="G258" s="11" t="n">
        <f aca="false">(INDEX($D$5:$D$425,MIN(INT((E258-45)/0.05+0.000000001),419)+1)*(1-((E258-45)/0.05-MIN(INT((E258-45)/0.05+0.000000001),419)))+INDEX($D$5:$D$425,MIN(INT((E258-45)/0.05+0.000000001),419)+2)*((E258-45)/0.05-MIN(INT((E258-45)/0.05+0.000000001),419)))</f>
        <v>-456.907278216408</v>
      </c>
      <c r="H258" s="11" t="n">
        <f aca="false">(INDEX($D$5:$D$425,MIN(INT((F258-45)/0.05+0.000000001),419)+1)*(1-((F258-45)/0.05-MIN(INT((F258-45)/0.05+0.000000001),419)))+INDEX($D$5:$D$425,MIN(INT((F258-45)/0.05+0.000000001),419)+2)*((F258-45)/0.05-MIN(INT((F258-45)/0.05+0.000000001),419)))</f>
        <v>-457.637939373439</v>
      </c>
      <c r="I258" s="11" t="n">
        <f aca="false">_xlfn.MAXIFS($D$5:$D$425,$A$5:$A$425,"&gt;="&amp;E258,$A$5:$A$425,"&lt;="&amp;F258)</f>
        <v>-456.912203334382</v>
      </c>
      <c r="J258" s="11" t="n">
        <f aca="false">-Short_p*MAX(Floor_c-A258,0)+Cost_k*Alpha_keep*A258+MAX(G258,H258,I258)</f>
        <v>-232.072278216408</v>
      </c>
      <c r="K258" s="22" t="n">
        <f aca="false">ABS(J258-B258)</f>
        <v>0</v>
      </c>
    </row>
    <row r="259" customFormat="false" ht="15" hidden="false" customHeight="false" outlineLevel="0" collapsed="false">
      <c r="A259" s="14" t="n">
        <v>57.7</v>
      </c>
      <c r="B259" s="23" t="n">
        <v>-231.883098843307</v>
      </c>
      <c r="C259" s="19" t="n">
        <v>255</v>
      </c>
      <c r="D259" s="11" t="n">
        <f aca="false">-Cost_k*A259+Beta_q*(Declarations!$B$16*INDEX($B$5:$B$425,$C259-ROUND(Declarations!$A$16/0.05,0))+Declarations!$B$17*INDEX($B$5:$B$425,$C259-ROUND(Declarations!$A$17/0.05,0))+Declarations!$B$18*INDEX($B$5:$B$425,$C259-ROUND(Declarations!$A$18/0.05,0))+Declarations!$B$19*INDEX($B$5:$B$425,$C259-ROUND(Declarations!$A$19/0.05,0))+Declarations!$B$20*INDEX($B$5:$B$425,$C259-ROUND(Declarations!$A$20/0.05,0)))</f>
        <v>-457.253655056529</v>
      </c>
      <c r="E259" s="16" t="n">
        <f aca="false">Alpha_keep*A259</f>
        <v>56.2575</v>
      </c>
      <c r="F259" s="16" t="n">
        <f aca="false">Alpha_keep*A259+Cap_h</f>
        <v>58.7575</v>
      </c>
      <c r="G259" s="11" t="n">
        <f aca="false">(INDEX($D$5:$D$425,MIN(INT((E259-45)/0.05+0.000000001),419)+1)*(1-((E259-45)/0.05-MIN(INT((E259-45)/0.05+0.000000001),419)))+INDEX($D$5:$D$425,MIN(INT((E259-45)/0.05+0.000000001),419)+2)*((E259-45)/0.05-MIN(INT((E259-45)/0.05+0.000000001),419)))</f>
        <v>-456.913098843307</v>
      </c>
      <c r="H259" s="11" t="n">
        <f aca="false">(INDEX($D$5:$D$425,MIN(INT((F259-45)/0.05+0.000000001),419)+1)*(1-((F259-45)/0.05-MIN(INT((F259-45)/0.05+0.000000001),419)))+INDEX($D$5:$D$425,MIN(INT((F259-45)/0.05+0.000000001),419)+2)*((F259-45)/0.05-MIN(INT((F259-45)/0.05+0.000000001),419)))</f>
        <v>-457.661357971912</v>
      </c>
      <c r="I259" s="11" t="n">
        <f aca="false">_xlfn.MAXIFS($D$5:$D$425,$A$5:$A$425,"&gt;="&amp;E259,$A$5:$A$425,"&lt;="&amp;F259)</f>
        <v>-456.918173393882</v>
      </c>
      <c r="J259" s="11" t="n">
        <f aca="false">-Short_p*MAX(Floor_c-A259,0)+Cost_k*Alpha_keep*A259+MAX(G259,H259,I259)</f>
        <v>-231.883098843307</v>
      </c>
      <c r="K259" s="22" t="n">
        <f aca="false">ABS(J259-B259)</f>
        <v>0</v>
      </c>
    </row>
    <row r="260" customFormat="false" ht="15" hidden="false" customHeight="false" outlineLevel="0" collapsed="false">
      <c r="A260" s="14" t="n">
        <v>57.75</v>
      </c>
      <c r="B260" s="23" t="n">
        <v>-231.693919983631</v>
      </c>
      <c r="C260" s="19" t="n">
        <v>256</v>
      </c>
      <c r="D260" s="11" t="n">
        <f aca="false">-Cost_k*A260+Beta_q*(Declarations!$B$16*INDEX($B$5:$B$425,$C260-ROUND(Declarations!$A$16/0.05,0))+Declarations!$B$17*INDEX($B$5:$B$425,$C260-ROUND(Declarations!$A$17/0.05,0))+Declarations!$B$18*INDEX($B$5:$B$425,$C260-ROUND(Declarations!$A$18/0.05,0))+Declarations!$B$19*INDEX($B$5:$B$425,$C260-ROUND(Declarations!$A$19/0.05,0))+Declarations!$B$20*INDEX($B$5:$B$425,$C260-ROUND(Declarations!$A$20/0.05,0)))</f>
        <v>-457.268962384948</v>
      </c>
      <c r="E260" s="16" t="n">
        <f aca="false">Alpha_keep*A260</f>
        <v>56.30625</v>
      </c>
      <c r="F260" s="16" t="n">
        <f aca="false">Alpha_keep*A260+Cap_h</f>
        <v>58.80625</v>
      </c>
      <c r="G260" s="11" t="n">
        <f aca="false">(INDEX($D$5:$D$425,MIN(INT((E260-45)/0.05+0.000000001),419)+1)*(1-((E260-45)/0.05-MIN(INT((E260-45)/0.05+0.000000001),419)))+INDEX($D$5:$D$425,MIN(INT((E260-45)/0.05+0.000000001),419)+2)*((E260-45)/0.05-MIN(INT((E260-45)/0.05+0.000000001),419)))</f>
        <v>-456.918919983631</v>
      </c>
      <c r="H260" s="11" t="n">
        <f aca="false">(INDEX($D$5:$D$425,MIN(INT((F260-45)/0.05+0.000000001),419)+1)*(1-((F260-45)/0.05-MIN(INT((F260-45)/0.05+0.000000001),419)))+INDEX($D$5:$D$425,MIN(INT((F260-45)/0.05+0.000000001),419)+2)*((F260-45)/0.05-MIN(INT((F260-45)/0.05+0.000000001),419)))</f>
        <v>-457.684784006772</v>
      </c>
      <c r="I260" s="11" t="n">
        <f aca="false">_xlfn.MAXIFS($D$5:$D$425,$A$5:$A$425,"&gt;="&amp;E260,$A$5:$A$425,"&lt;="&amp;F260)</f>
        <v>-456.924146111873</v>
      </c>
      <c r="J260" s="11" t="n">
        <f aca="false">-Short_p*MAX(Floor_c-A260,0)+Cost_k*Alpha_keep*A260+MAX(G260,H260,I260)</f>
        <v>-231.693919983631</v>
      </c>
      <c r="K260" s="22" t="n">
        <f aca="false">ABS(J260-B260)</f>
        <v>0</v>
      </c>
    </row>
    <row r="261" customFormat="false" ht="15" hidden="false" customHeight="false" outlineLevel="0" collapsed="false">
      <c r="A261" s="14" t="n">
        <v>57.8</v>
      </c>
      <c r="B261" s="23" t="n">
        <v>-231.504745620466</v>
      </c>
      <c r="C261" s="19" t="n">
        <v>257</v>
      </c>
      <c r="D261" s="11" t="n">
        <f aca="false">-Cost_k*A261+Beta_q*(Declarations!$B$16*INDEX($B$5:$B$425,$C261-ROUND(Declarations!$A$16/0.05,0))+Declarations!$B$17*INDEX($B$5:$B$425,$C261-ROUND(Declarations!$A$17/0.05,0))+Declarations!$B$18*INDEX($B$5:$B$425,$C261-ROUND(Declarations!$A$18/0.05,0))+Declarations!$B$19*INDEX($B$5:$B$425,$C261-ROUND(Declarations!$A$19/0.05,0))+Declarations!$B$20*INDEX($B$5:$B$425,$C261-ROUND(Declarations!$A$20/0.05,0)))</f>
        <v>-457.284275246134</v>
      </c>
      <c r="E261" s="16" t="n">
        <f aca="false">Alpha_keep*A261</f>
        <v>56.355</v>
      </c>
      <c r="F261" s="16" t="n">
        <f aca="false">Alpha_keep*A261+Cap_h</f>
        <v>58.855</v>
      </c>
      <c r="G261" s="11" t="n">
        <f aca="false">(INDEX($D$5:$D$425,MIN(INT((E261-45)/0.05+0.000000001),419)+1)*(1-((E261-45)/0.05-MIN(INT((E261-45)/0.05+0.000000001),419)))+INDEX($D$5:$D$425,MIN(INT((E261-45)/0.05+0.000000001),419)+2)*((E261-45)/0.05-MIN(INT((E261-45)/0.05+0.000000001),419)))</f>
        <v>-456.924745620466</v>
      </c>
      <c r="H261" s="11" t="n">
        <f aca="false">(INDEX($D$5:$D$425,MIN(INT((F261-45)/0.05+0.000000001),419)+1)*(1-((F261-45)/0.05-MIN(INT((F261-45)/0.05+0.000000001),419)))+INDEX($D$5:$D$425,MIN(INT((F261-45)/0.05+0.000000001),419)+2)*((F261-45)/0.05-MIN(INT((F261-45)/0.05+0.000000001),419)))</f>
        <v>-457.708210352063</v>
      </c>
      <c r="I261" s="11" t="n">
        <f aca="false">_xlfn.MAXIFS($D$5:$D$425,$A$5:$A$425,"&gt;="&amp;E261,$A$5:$A$425,"&lt;="&amp;F261)</f>
        <v>-456.930141197804</v>
      </c>
      <c r="J261" s="11" t="n">
        <f aca="false">-Short_p*MAX(Floor_c-A261,0)+Cost_k*Alpha_keep*A261+MAX(G261,H261,I261)</f>
        <v>-231.504745620466</v>
      </c>
      <c r="K261" s="22" t="n">
        <f aca="false">ABS(J261-B261)</f>
        <v>0</v>
      </c>
    </row>
    <row r="262" customFormat="false" ht="15" hidden="false" customHeight="false" outlineLevel="0" collapsed="false">
      <c r="A262" s="14" t="n">
        <v>57.85</v>
      </c>
      <c r="B262" s="23" t="n">
        <v>-231.31562570924</v>
      </c>
      <c r="C262" s="19" t="n">
        <v>258</v>
      </c>
      <c r="D262" s="11" t="n">
        <f aca="false">-Cost_k*A262+Beta_q*(Declarations!$B$16*INDEX($B$5:$B$425,$C262-ROUND(Declarations!$A$16/0.05,0))+Declarations!$B$17*INDEX($B$5:$B$425,$C262-ROUND(Declarations!$A$17/0.05,0))+Declarations!$B$18*INDEX($B$5:$B$425,$C262-ROUND(Declarations!$A$18/0.05,0))+Declarations!$B$19*INDEX($B$5:$B$425,$C262-ROUND(Declarations!$A$19/0.05,0))+Declarations!$B$20*INDEX($B$5:$B$425,$C262-ROUND(Declarations!$A$20/0.05,0)))</f>
        <v>-457.29964243826</v>
      </c>
      <c r="E262" s="16" t="n">
        <f aca="false">Alpha_keep*A262</f>
        <v>56.40375</v>
      </c>
      <c r="F262" s="16" t="n">
        <f aca="false">Alpha_keep*A262+Cap_h</f>
        <v>58.90375</v>
      </c>
      <c r="G262" s="11" t="n">
        <f aca="false">(INDEX($D$5:$D$425,MIN(INT((E262-45)/0.05+0.000000001),419)+1)*(1-((E262-45)/0.05-MIN(INT((E262-45)/0.05+0.000000001),419)))+INDEX($D$5:$D$425,MIN(INT((E262-45)/0.05+0.000000001),419)+2)*((E262-45)/0.05-MIN(INT((E262-45)/0.05+0.000000001),419)))</f>
        <v>-456.93062570924</v>
      </c>
      <c r="H262" s="11" t="n">
        <f aca="false">(INDEX($D$5:$D$425,MIN(INT((F262-45)/0.05+0.000000001),419)+1)*(1-((F262-45)/0.05-MIN(INT((F262-45)/0.05+0.000000001),419)))+INDEX($D$5:$D$425,MIN(INT((F262-45)/0.05+0.000000001),419)+2)*((F262-45)/0.05-MIN(INT((F262-45)/0.05+0.000000001),419)))</f>
        <v>-457.731638097956</v>
      </c>
      <c r="I262" s="11" t="n">
        <f aca="false">_xlfn.MAXIFS($D$5:$D$425,$A$5:$A$425,"&gt;="&amp;E262,$A$5:$A$425,"&lt;="&amp;F262)</f>
        <v>-456.936601350282</v>
      </c>
      <c r="J262" s="11" t="n">
        <f aca="false">-Short_p*MAX(Floor_c-A262,0)+Cost_k*Alpha_keep*A262+MAX(G262,H262,I262)</f>
        <v>-231.31562570924</v>
      </c>
      <c r="K262" s="22" t="n">
        <f aca="false">ABS(J262-B262)</f>
        <v>0</v>
      </c>
    </row>
    <row r="263" customFormat="false" ht="15" hidden="false" customHeight="false" outlineLevel="0" collapsed="false">
      <c r="A263" s="14" t="n">
        <v>57.9</v>
      </c>
      <c r="B263" s="23" t="n">
        <v>-231.126963944282</v>
      </c>
      <c r="C263" s="19" t="n">
        <v>259</v>
      </c>
      <c r="D263" s="11" t="n">
        <f aca="false">-Cost_k*A263+Beta_q*(Declarations!$B$16*INDEX($B$5:$B$425,$C263-ROUND(Declarations!$A$16/0.05,0))+Declarations!$B$17*INDEX($B$5:$B$425,$C263-ROUND(Declarations!$A$17/0.05,0))+Declarations!$B$18*INDEX($B$5:$B$425,$C263-ROUND(Declarations!$A$18/0.05,0))+Declarations!$B$19*INDEX($B$5:$B$425,$C263-ROUND(Declarations!$A$19/0.05,0))+Declarations!$B$20*INDEX($B$5:$B$425,$C263-ROUND(Declarations!$A$20/0.05,0)))</f>
        <v>-457.315446461287</v>
      </c>
      <c r="E263" s="16" t="n">
        <f aca="false">Alpha_keep*A263</f>
        <v>56.4525</v>
      </c>
      <c r="F263" s="16" t="n">
        <f aca="false">Alpha_keep*A263+Cap_h</f>
        <v>58.9525</v>
      </c>
      <c r="G263" s="11" t="n">
        <f aca="false">(INDEX($D$5:$D$425,MIN(INT((E263-45)/0.05+0.000000001),419)+1)*(1-((E263-45)/0.05-MIN(INT((E263-45)/0.05+0.000000001),419)))+INDEX($D$5:$D$425,MIN(INT((E263-45)/0.05+0.000000001),419)+2)*((E263-45)/0.05-MIN(INT((E263-45)/0.05+0.000000001),419)))</f>
        <v>-456.936963944282</v>
      </c>
      <c r="H263" s="11" t="n">
        <f aca="false">(INDEX($D$5:$D$425,MIN(INT((F263-45)/0.05+0.000000001),419)+1)*(1-((F263-45)/0.05-MIN(INT((F263-45)/0.05+0.000000001),419)))+INDEX($D$5:$D$425,MIN(INT((F263-45)/0.05+0.000000001),419)+2)*((F263-45)/0.05-MIN(INT((F263-45)/0.05+0.000000001),419)))</f>
        <v>-457.7550722622</v>
      </c>
      <c r="I263" s="11" t="n">
        <f aca="false">_xlfn.MAXIFS($D$5:$D$425,$A$5:$A$425,"&gt;="&amp;E263,$A$5:$A$425,"&lt;="&amp;F263)</f>
        <v>-456.943853230276</v>
      </c>
      <c r="J263" s="11" t="n">
        <f aca="false">-Short_p*MAX(Floor_c-A263,0)+Cost_k*Alpha_keep*A263+MAX(G263,H263,I263)</f>
        <v>-231.126963944282</v>
      </c>
      <c r="K263" s="22" t="n">
        <f aca="false">ABS(J263-B263)</f>
        <v>0</v>
      </c>
    </row>
    <row r="264" customFormat="false" ht="15" hidden="false" customHeight="false" outlineLevel="0" collapsed="false">
      <c r="A264" s="14" t="n">
        <v>57.95</v>
      </c>
      <c r="B264" s="23" t="n">
        <v>-230.939132183463</v>
      </c>
      <c r="C264" s="19" t="n">
        <v>260</v>
      </c>
      <c r="D264" s="11" t="n">
        <f aca="false">-Cost_k*A264+Beta_q*(Declarations!$B$16*INDEX($B$5:$B$425,$C264-ROUND(Declarations!$A$16/0.05,0))+Declarations!$B$17*INDEX($B$5:$B$425,$C264-ROUND(Declarations!$A$17/0.05,0))+Declarations!$B$18*INDEX($B$5:$B$425,$C264-ROUND(Declarations!$A$18/0.05,0))+Declarations!$B$19*INDEX($B$5:$B$425,$C264-ROUND(Declarations!$A$19/0.05,0))+Declarations!$B$20*INDEX($B$5:$B$425,$C264-ROUND(Declarations!$A$20/0.05,0)))</f>
        <v>-457.332525389318</v>
      </c>
      <c r="E264" s="16" t="n">
        <f aca="false">Alpha_keep*A264</f>
        <v>56.50125</v>
      </c>
      <c r="F264" s="16" t="n">
        <f aca="false">Alpha_keep*A264+Cap_h</f>
        <v>59.00125</v>
      </c>
      <c r="G264" s="11" t="n">
        <f aca="false">(INDEX($D$5:$D$425,MIN(INT((E264-45)/0.05+0.000000001),419)+1)*(1-((E264-45)/0.05-MIN(INT((E264-45)/0.05+0.000000001),419)))+INDEX($D$5:$D$425,MIN(INT((E264-45)/0.05+0.000000001),419)+2)*((E264-45)/0.05-MIN(INT((E264-45)/0.05+0.000000001),419)))</f>
        <v>-456.944132183463</v>
      </c>
      <c r="H264" s="11" t="n">
        <f aca="false">(INDEX($D$5:$D$425,MIN(INT((F264-45)/0.05+0.000000001),419)+1)*(1-((F264-45)/0.05-MIN(INT((F264-45)/0.05+0.000000001),419)))+INDEX($D$5:$D$425,MIN(INT((F264-45)/0.05+0.000000001),419)+2)*((F264-45)/0.05-MIN(INT((F264-45)/0.05+0.000000001),419)))</f>
        <v>-457.778534254108</v>
      </c>
      <c r="I264" s="11" t="n">
        <f aca="false">_xlfn.MAXIFS($D$5:$D$425,$A$5:$A$425,"&gt;="&amp;E264,$A$5:$A$425,"&lt;="&amp;F264)</f>
        <v>-456.955011357748</v>
      </c>
      <c r="J264" s="11" t="n">
        <f aca="false">-Short_p*MAX(Floor_c-A264,0)+Cost_k*Alpha_keep*A264+MAX(G264,H264,I264)</f>
        <v>-230.939132183463</v>
      </c>
      <c r="K264" s="22" t="n">
        <f aca="false">ABS(J264-B264)</f>
        <v>0</v>
      </c>
    </row>
    <row r="265" customFormat="false" ht="15" hidden="false" customHeight="false" outlineLevel="0" collapsed="false">
      <c r="A265" s="14" t="n">
        <v>58</v>
      </c>
      <c r="B265" s="23" t="n">
        <v>-230.755011357749</v>
      </c>
      <c r="C265" s="19" t="n">
        <v>261</v>
      </c>
      <c r="D265" s="11" t="n">
        <f aca="false">-Cost_k*A265+Beta_q*(Declarations!$B$16*INDEX($B$5:$B$425,$C265-ROUND(Declarations!$A$16/0.05,0))+Declarations!$B$17*INDEX($B$5:$B$425,$C265-ROUND(Declarations!$A$17/0.05,0))+Declarations!$B$18*INDEX($B$5:$B$425,$C265-ROUND(Declarations!$A$18/0.05,0))+Declarations!$B$19*INDEX($B$5:$B$425,$C265-ROUND(Declarations!$A$19/0.05,0))+Declarations!$B$20*INDEX($B$5:$B$425,$C265-ROUND(Declarations!$A$20/0.05,0)))</f>
        <v>-457.352262824561</v>
      </c>
      <c r="E265" s="16" t="n">
        <f aca="false">Alpha_keep*A265</f>
        <v>56.55</v>
      </c>
      <c r="F265" s="16" t="n">
        <f aca="false">Alpha_keep*A265+Cap_h</f>
        <v>59.05</v>
      </c>
      <c r="G265" s="11" t="n">
        <f aca="false">(INDEX($D$5:$D$425,MIN(INT((E265-45)/0.05+0.000000001),419)+1)*(1-((E265-45)/0.05-MIN(INT((E265-45)/0.05+0.000000001),419)))+INDEX($D$5:$D$425,MIN(INT((E265-45)/0.05+0.000000001),419)+2)*((E265-45)/0.05-MIN(INT((E265-45)/0.05+0.000000001),419)))</f>
        <v>-456.955011357748</v>
      </c>
      <c r="H265" s="11" t="n">
        <f aca="false">(INDEX($D$5:$D$425,MIN(INT((F265-45)/0.05+0.000000001),419)+1)*(1-((F265-45)/0.05-MIN(INT((F265-45)/0.05+0.000000001),419)))+INDEX($D$5:$D$425,MIN(INT((F265-45)/0.05+0.000000001),419)+2)*((F265-45)/0.05-MIN(INT((F265-45)/0.05+0.000000001),419)))</f>
        <v>-457.802072590329</v>
      </c>
      <c r="I265" s="11" t="n">
        <f aca="false">_xlfn.MAXIFS($D$5:$D$425,$A$5:$A$425,"&gt;="&amp;E265,$A$5:$A$425,"&lt;="&amp;F265)</f>
        <v>-456.955011357748</v>
      </c>
      <c r="J265" s="11" t="n">
        <f aca="false">-Short_p*MAX(Floor_c-A265,0)+Cost_k*Alpha_keep*A265+MAX(G265,H265,I265)</f>
        <v>-230.755011357748</v>
      </c>
      <c r="K265" s="22" t="n">
        <f aca="false">ABS(J265-B265)</f>
        <v>0</v>
      </c>
    </row>
    <row r="266" customFormat="false" ht="15" hidden="false" customHeight="false" outlineLevel="0" collapsed="false">
      <c r="A266" s="14" t="n">
        <v>58.05</v>
      </c>
      <c r="B266" s="23" t="n">
        <v>-230.570890546902</v>
      </c>
      <c r="C266" s="19" t="n">
        <v>262</v>
      </c>
      <c r="D266" s="11" t="n">
        <f aca="false">-Cost_k*A266+Beta_q*(Declarations!$B$16*INDEX($B$5:$B$425,$C266-ROUND(Declarations!$A$16/0.05,0))+Declarations!$B$17*INDEX($B$5:$B$425,$C266-ROUND(Declarations!$A$17/0.05,0))+Declarations!$B$18*INDEX($B$5:$B$425,$C266-ROUND(Declarations!$A$18/0.05,0))+Declarations!$B$19*INDEX($B$5:$B$425,$C266-ROUND(Declarations!$A$19/0.05,0))+Declarations!$B$20*INDEX($B$5:$B$425,$C266-ROUND(Declarations!$A$20/0.05,0)))</f>
        <v>-457.372000799294</v>
      </c>
      <c r="E266" s="16" t="n">
        <f aca="false">Alpha_keep*A266</f>
        <v>56.59875</v>
      </c>
      <c r="F266" s="16" t="n">
        <f aca="false">Alpha_keep*A266+Cap_h</f>
        <v>59.09875</v>
      </c>
      <c r="G266" s="11" t="n">
        <f aca="false">(INDEX($D$5:$D$425,MIN(INT((E266-45)/0.05+0.000000001),419)+1)*(1-((E266-45)/0.05-MIN(INT((E266-45)/0.05+0.000000001),419)))+INDEX($D$5:$D$425,MIN(INT((E266-45)/0.05+0.000000001),419)+2)*((E266-45)/0.05-MIN(INT((E266-45)/0.05+0.000000001),419)))</f>
        <v>-456.965890546902</v>
      </c>
      <c r="H266" s="11" t="n">
        <f aca="false">(INDEX($D$5:$D$425,MIN(INT((F266-45)/0.05+0.000000001),419)+1)*(1-((F266-45)/0.05-MIN(INT((F266-45)/0.05+0.000000001),419)))+INDEX($D$5:$D$425,MIN(INT((F266-45)/0.05+0.000000001),419)+2)*((F266-45)/0.05-MIN(INT((F266-45)/0.05+0.000000001),419)))</f>
        <v>-457.825698358803</v>
      </c>
      <c r="I266" s="11" t="n">
        <f aca="false">_xlfn.MAXIFS($D$5:$D$425,$A$5:$A$425,"&gt;="&amp;E266,$A$5:$A$425,"&lt;="&amp;F266)</f>
        <v>-456.96616950047</v>
      </c>
      <c r="J266" s="11" t="n">
        <f aca="false">-Short_p*MAX(Floor_c-A266,0)+Cost_k*Alpha_keep*A266+MAX(G266,H266,I266)</f>
        <v>-230.570890546902</v>
      </c>
      <c r="K266" s="22" t="n">
        <f aca="false">ABS(J266-B266)</f>
        <v>0</v>
      </c>
    </row>
    <row r="267" customFormat="false" ht="15" hidden="false" customHeight="false" outlineLevel="0" collapsed="false">
      <c r="A267" s="14" t="n">
        <v>58.1</v>
      </c>
      <c r="B267" s="23" t="n">
        <v>-230.386769821118</v>
      </c>
      <c r="C267" s="19" t="n">
        <v>263</v>
      </c>
      <c r="D267" s="11" t="n">
        <f aca="false">-Cost_k*A267+Beta_q*(Declarations!$B$16*INDEX($B$5:$B$425,$C267-ROUND(Declarations!$A$16/0.05,0))+Declarations!$B$17*INDEX($B$5:$B$425,$C267-ROUND(Declarations!$A$17/0.05,0))+Declarations!$B$18*INDEX($B$5:$B$425,$C267-ROUND(Declarations!$A$18/0.05,0))+Declarations!$B$19*INDEX($B$5:$B$425,$C267-ROUND(Declarations!$A$19/0.05,0))+Declarations!$B$20*INDEX($B$5:$B$425,$C267-ROUND(Declarations!$A$20/0.05,0)))</f>
        <v>-457.391738879962</v>
      </c>
      <c r="E267" s="16" t="n">
        <f aca="false">Alpha_keep*A267</f>
        <v>56.6475</v>
      </c>
      <c r="F267" s="16" t="n">
        <f aca="false">Alpha_keep*A267+Cap_h</f>
        <v>59.1475</v>
      </c>
      <c r="G267" s="11" t="n">
        <f aca="false">(INDEX($D$5:$D$425,MIN(INT((E267-45)/0.05+0.000000001),419)+1)*(1-((E267-45)/0.05-MIN(INT((E267-45)/0.05+0.000000001),419)))+INDEX($D$5:$D$425,MIN(INT((E267-45)/0.05+0.000000001),419)+2)*((E267-45)/0.05-MIN(INT((E267-45)/0.05+0.000000001),419)))</f>
        <v>-456.976769821118</v>
      </c>
      <c r="H267" s="11" t="n">
        <f aca="false">(INDEX($D$5:$D$425,MIN(INT((F267-45)/0.05+0.000000001),419)+1)*(1-((F267-45)/0.05-MIN(INT((F267-45)/0.05+0.000000001),419)))+INDEX($D$5:$D$425,MIN(INT((F267-45)/0.05+0.000000001),419)+2)*((F267-45)/0.05-MIN(INT((F267-45)/0.05+0.000000001),419)))</f>
        <v>-457.849351866815</v>
      </c>
      <c r="I267" s="11" t="n">
        <f aca="false">_xlfn.MAXIFS($D$5:$D$425,$A$5:$A$425,"&gt;="&amp;E267,$A$5:$A$425,"&lt;="&amp;F267)</f>
        <v>-456.977327732731</v>
      </c>
      <c r="J267" s="11" t="n">
        <f aca="false">-Short_p*MAX(Floor_c-A267,0)+Cost_k*Alpha_keep*A267+MAX(G267,H267,I267)</f>
        <v>-230.386769821118</v>
      </c>
      <c r="K267" s="22" t="n">
        <f aca="false">ABS(J267-B267)</f>
        <v>0</v>
      </c>
    </row>
    <row r="268" customFormat="false" ht="15" hidden="false" customHeight="false" outlineLevel="0" collapsed="false">
      <c r="A268" s="14" t="n">
        <v>58.15</v>
      </c>
      <c r="B268" s="23" t="n">
        <v>-230.202649755609</v>
      </c>
      <c r="C268" s="19" t="n">
        <v>264</v>
      </c>
      <c r="D268" s="11" t="n">
        <f aca="false">-Cost_k*A268+Beta_q*(Declarations!$B$16*INDEX($B$5:$B$425,$C268-ROUND(Declarations!$A$16/0.05,0))+Declarations!$B$17*INDEX($B$5:$B$425,$C268-ROUND(Declarations!$A$17/0.05,0))+Declarations!$B$18*INDEX($B$5:$B$425,$C268-ROUND(Declarations!$A$18/0.05,0))+Declarations!$B$19*INDEX($B$5:$B$425,$C268-ROUND(Declarations!$A$19/0.05,0))+Declarations!$B$20*INDEX($B$5:$B$425,$C268-ROUND(Declarations!$A$20/0.05,0)))</f>
        <v>-457.411477678279</v>
      </c>
      <c r="E268" s="16" t="n">
        <f aca="false">Alpha_keep*A268</f>
        <v>56.69625</v>
      </c>
      <c r="F268" s="16" t="n">
        <f aca="false">Alpha_keep*A268+Cap_h</f>
        <v>59.19625</v>
      </c>
      <c r="G268" s="11" t="n">
        <f aca="false">(INDEX($D$5:$D$425,MIN(INT((E268-45)/0.05+0.000000001),419)+1)*(1-((E268-45)/0.05-MIN(INT((E268-45)/0.05+0.000000001),419)))+INDEX($D$5:$D$425,MIN(INT((E268-45)/0.05+0.000000001),419)+2)*((E268-45)/0.05-MIN(INT((E268-45)/0.05+0.000000001),419)))</f>
        <v>-456.987649755609</v>
      </c>
      <c r="H268" s="11" t="n">
        <f aca="false">(INDEX($D$5:$D$425,MIN(INT((F268-45)/0.05+0.000000001),419)+1)*(1-((F268-45)/0.05-MIN(INT((F268-45)/0.05+0.000000001),419)))+INDEX($D$5:$D$425,MIN(INT((F268-45)/0.05+0.000000001),419)+2)*((F268-45)/0.05-MIN(INT((F268-45)/0.05+0.000000001),419)))</f>
        <v>-457.873006691949</v>
      </c>
      <c r="I268" s="11" t="n">
        <f aca="false">_xlfn.MAXIFS($D$5:$D$425,$A$5:$A$425,"&gt;="&amp;E268,$A$5:$A$425,"&lt;="&amp;F268)</f>
        <v>-456.988486676383</v>
      </c>
      <c r="J268" s="11" t="n">
        <f aca="false">-Short_p*MAX(Floor_c-A268,0)+Cost_k*Alpha_keep*A268+MAX(G268,H268,I268)</f>
        <v>-230.202649755609</v>
      </c>
      <c r="K268" s="22" t="n">
        <f aca="false">ABS(J268-B268)</f>
        <v>0</v>
      </c>
    </row>
    <row r="269" customFormat="false" ht="15" hidden="false" customHeight="false" outlineLevel="0" collapsed="false">
      <c r="A269" s="14" t="n">
        <v>58.2</v>
      </c>
      <c r="B269" s="23" t="n">
        <v>-230.018532756138</v>
      </c>
      <c r="C269" s="19" t="n">
        <v>265</v>
      </c>
      <c r="D269" s="11" t="n">
        <f aca="false">-Cost_k*A269+Beta_q*(Declarations!$B$16*INDEX($B$5:$B$425,$C269-ROUND(Declarations!$A$16/0.05,0))+Declarations!$B$17*INDEX($B$5:$B$425,$C269-ROUND(Declarations!$A$17/0.05,0))+Declarations!$B$18*INDEX($B$5:$B$425,$C269-ROUND(Declarations!$A$18/0.05,0))+Declarations!$B$19*INDEX($B$5:$B$425,$C269-ROUND(Declarations!$A$19/0.05,0))+Declarations!$B$20*INDEX($B$5:$B$425,$C269-ROUND(Declarations!$A$20/0.05,0)))</f>
        <v>-457.431220208408</v>
      </c>
      <c r="E269" s="16" t="n">
        <f aca="false">Alpha_keep*A269</f>
        <v>56.745</v>
      </c>
      <c r="F269" s="16" t="n">
        <f aca="false">Alpha_keep*A269+Cap_h</f>
        <v>59.245</v>
      </c>
      <c r="G269" s="11" t="n">
        <f aca="false">(INDEX($D$5:$D$425,MIN(INT((E269-45)/0.05+0.000000001),419)+1)*(1-((E269-45)/0.05-MIN(INT((E269-45)/0.05+0.000000001),419)))+INDEX($D$5:$D$425,MIN(INT((E269-45)/0.05+0.000000001),419)+2)*((E269-45)/0.05-MIN(INT((E269-45)/0.05+0.000000001),419)))</f>
        <v>-456.998532756138</v>
      </c>
      <c r="H269" s="11" t="n">
        <f aca="false">(INDEX($D$5:$D$425,MIN(INT((F269-45)/0.05+0.000000001),419)+1)*(1-((F269-45)/0.05-MIN(INT((F269-45)/0.05+0.000000001),419)))+INDEX($D$5:$D$425,MIN(INT((F269-45)/0.05+0.000000001),419)+2)*((F269-45)/0.05-MIN(INT((F269-45)/0.05+0.000000001),419)))</f>
        <v>-457.896663076834</v>
      </c>
      <c r="I269" s="11" t="n">
        <f aca="false">_xlfn.MAXIFS($D$5:$D$425,$A$5:$A$425,"&gt;="&amp;E269,$A$5:$A$425,"&lt;="&amp;F269)</f>
        <v>-456.999648987222</v>
      </c>
      <c r="J269" s="11" t="n">
        <f aca="false">-Short_p*MAX(Floor_c-A269,0)+Cost_k*Alpha_keep*A269+MAX(G269,H269,I269)</f>
        <v>-230.018532756138</v>
      </c>
      <c r="K269" s="22" t="n">
        <f aca="false">ABS(J269-B269)</f>
        <v>0</v>
      </c>
    </row>
    <row r="270" customFormat="false" ht="15" hidden="false" customHeight="false" outlineLevel="0" collapsed="false">
      <c r="A270" s="14" t="n">
        <v>58.25</v>
      </c>
      <c r="B270" s="23" t="n">
        <v>-229.834434665728</v>
      </c>
      <c r="C270" s="19" t="n">
        <v>266</v>
      </c>
      <c r="D270" s="11" t="n">
        <f aca="false">-Cost_k*A270+Beta_q*(Declarations!$B$16*INDEX($B$5:$B$425,$C270-ROUND(Declarations!$A$16/0.05,0))+Declarations!$B$17*INDEX($B$5:$B$425,$C270-ROUND(Declarations!$A$17/0.05,0))+Declarations!$B$18*INDEX($B$5:$B$425,$C270-ROUND(Declarations!$A$18/0.05,0))+Declarations!$B$19*INDEX($B$5:$B$425,$C270-ROUND(Declarations!$A$19/0.05,0))+Declarations!$B$20*INDEX($B$5:$B$425,$C270-ROUND(Declarations!$A$20/0.05,0)))</f>
        <v>-457.450982699633</v>
      </c>
      <c r="E270" s="16" t="n">
        <f aca="false">Alpha_keep*A270</f>
        <v>56.79375</v>
      </c>
      <c r="F270" s="16" t="n">
        <f aca="false">Alpha_keep*A270+Cap_h</f>
        <v>59.29375</v>
      </c>
      <c r="G270" s="11" t="n">
        <f aca="false">(INDEX($D$5:$D$425,MIN(INT((E270-45)/0.05+0.000000001),419)+1)*(1-((E270-45)/0.05-MIN(INT((E270-45)/0.05+0.000000001),419)))+INDEX($D$5:$D$425,MIN(INT((E270-45)/0.05+0.000000001),419)+2)*((E270-45)/0.05-MIN(INT((E270-45)/0.05+0.000000001),419)))</f>
        <v>-457.009434665728</v>
      </c>
      <c r="H270" s="11" t="n">
        <f aca="false">(INDEX($D$5:$D$425,MIN(INT((F270-45)/0.05+0.000000001),419)+1)*(1-((F270-45)/0.05-MIN(INT((F270-45)/0.05+0.000000001),419)))+INDEX($D$5:$D$425,MIN(INT((F270-45)/0.05+0.000000001),419)+2)*((F270-45)/0.05-MIN(INT((F270-45)/0.05+0.000000001),419)))</f>
        <v>-457.920333624828</v>
      </c>
      <c r="I270" s="11" t="n">
        <f aca="false">_xlfn.MAXIFS($D$5:$D$425,$A$5:$A$425,"&gt;="&amp;E270,$A$5:$A$425,"&lt;="&amp;F270)</f>
        <v>-457.0108326198</v>
      </c>
      <c r="J270" s="11" t="n">
        <f aca="false">-Short_p*MAX(Floor_c-A270,0)+Cost_k*Alpha_keep*A270+MAX(G270,H270,I270)</f>
        <v>-229.834434665728</v>
      </c>
      <c r="K270" s="22" t="n">
        <f aca="false">ABS(J270-B270)</f>
        <v>0</v>
      </c>
    </row>
    <row r="271" customFormat="false" ht="15" hidden="false" customHeight="false" outlineLevel="0" collapsed="false">
      <c r="A271" s="14" t="n">
        <v>58.3</v>
      </c>
      <c r="B271" s="23" t="n">
        <v>-229.650387913277</v>
      </c>
      <c r="C271" s="19" t="n">
        <v>267</v>
      </c>
      <c r="D271" s="11" t="n">
        <f aca="false">-Cost_k*A271+Beta_q*(Declarations!$B$16*INDEX($B$5:$B$425,$C271-ROUND(Declarations!$A$16/0.05,0))+Declarations!$B$17*INDEX($B$5:$B$425,$C271-ROUND(Declarations!$A$17/0.05,0))+Declarations!$B$18*INDEX($B$5:$B$425,$C271-ROUND(Declarations!$A$18/0.05,0))+Declarations!$B$19*INDEX($B$5:$B$425,$C271-ROUND(Declarations!$A$19/0.05,0))+Declarations!$B$20*INDEX($B$5:$B$425,$C271-ROUND(Declarations!$A$20/0.05,0)))</f>
        <v>-457.470812123071</v>
      </c>
      <c r="E271" s="16" t="n">
        <f aca="false">Alpha_keep*A271</f>
        <v>56.8425</v>
      </c>
      <c r="F271" s="16" t="n">
        <f aca="false">Alpha_keep*A271+Cap_h</f>
        <v>59.3425</v>
      </c>
      <c r="G271" s="11" t="n">
        <f aca="false">(INDEX($D$5:$D$425,MIN(INT((E271-45)/0.05+0.000000001),419)+1)*(1-((E271-45)/0.05-MIN(INT((E271-45)/0.05+0.000000001),419)))+INDEX($D$5:$D$425,MIN(INT((E271-45)/0.05+0.000000001),419)+2)*((E271-45)/0.05-MIN(INT((E271-45)/0.05+0.000000001),419)))</f>
        <v>-457.020387913277</v>
      </c>
      <c r="H271" s="11" t="n">
        <f aca="false">(INDEX($D$5:$D$425,MIN(INT((F271-45)/0.05+0.000000001),419)+1)*(1-((F271-45)/0.05-MIN(INT((F271-45)/0.05+0.000000001),419)))+INDEX($D$5:$D$425,MIN(INT((F271-45)/0.05+0.000000001),419)+2)*((F271-45)/0.05-MIN(INT((F271-45)/0.05+0.000000001),419)))</f>
        <v>-457.944116032984</v>
      </c>
      <c r="I271" s="11" t="n">
        <f aca="false">_xlfn.MAXIFS($D$5:$D$425,$A$5:$A$425,"&gt;="&amp;E271,$A$5:$A$425,"&lt;="&amp;F271)</f>
        <v>-457.022074141538</v>
      </c>
      <c r="J271" s="11" t="n">
        <f aca="false">-Short_p*MAX(Floor_c-A271,0)+Cost_k*Alpha_keep*A271+MAX(G271,H271,I271)</f>
        <v>-229.650387913277</v>
      </c>
      <c r="K271" s="22" t="n">
        <f aca="false">ABS(J271-B271)</f>
        <v>0</v>
      </c>
    </row>
    <row r="272" customFormat="false" ht="15" hidden="false" customHeight="false" outlineLevel="0" collapsed="false">
      <c r="A272" s="14" t="n">
        <v>58.35</v>
      </c>
      <c r="B272" s="23" t="n">
        <v>-229.466367243214</v>
      </c>
      <c r="C272" s="19" t="n">
        <v>268</v>
      </c>
      <c r="D272" s="11" t="n">
        <f aca="false">-Cost_k*A272+Beta_q*(Declarations!$B$16*INDEX($B$5:$B$425,$C272-ROUND(Declarations!$A$16/0.05,0))+Declarations!$B$17*INDEX($B$5:$B$425,$C272-ROUND(Declarations!$A$17/0.05,0))+Declarations!$B$18*INDEX($B$5:$B$425,$C272-ROUND(Declarations!$A$18/0.05,0))+Declarations!$B$19*INDEX($B$5:$B$425,$C272-ROUND(Declarations!$A$19/0.05,0))+Declarations!$B$20*INDEX($B$5:$B$425,$C272-ROUND(Declarations!$A$20/0.05,0)))</f>
        <v>-457.49073498393</v>
      </c>
      <c r="E272" s="16" t="n">
        <f aca="false">Alpha_keep*A272</f>
        <v>56.89125</v>
      </c>
      <c r="F272" s="16" t="n">
        <f aca="false">Alpha_keep*A272+Cap_h</f>
        <v>59.39125</v>
      </c>
      <c r="G272" s="11" t="n">
        <f aca="false">(INDEX($D$5:$D$425,MIN(INT((E272-45)/0.05+0.000000001),419)+1)*(1-((E272-45)/0.05-MIN(INT((E272-45)/0.05+0.000000001),419)))+INDEX($D$5:$D$425,MIN(INT((E272-45)/0.05+0.000000001),419)+2)*((E272-45)/0.05-MIN(INT((E272-45)/0.05+0.000000001),419)))</f>
        <v>-457.031367243214</v>
      </c>
      <c r="H272" s="11" t="n">
        <f aca="false">(INDEX($D$5:$D$425,MIN(INT((F272-45)/0.05+0.000000001),419)+1)*(1-((F272-45)/0.05-MIN(INT((F272-45)/0.05+0.000000001),419)))+INDEX($D$5:$D$425,MIN(INT((F272-45)/0.05+0.000000001),419)+2)*((F272-45)/0.05-MIN(INT((F272-45)/0.05+0.000000001),419)))</f>
        <v>-457.96847278034</v>
      </c>
      <c r="I272" s="11" t="n">
        <f aca="false">_xlfn.MAXIFS($D$5:$D$425,$A$5:$A$425,"&gt;="&amp;E272,$A$5:$A$425,"&lt;="&amp;F272)</f>
        <v>-457.033338507206</v>
      </c>
      <c r="J272" s="11" t="n">
        <f aca="false">-Short_p*MAX(Floor_c-A272,0)+Cost_k*Alpha_keep*A272+MAX(G272,H272,I272)</f>
        <v>-229.466367243214</v>
      </c>
      <c r="K272" s="22" t="n">
        <f aca="false">ABS(J272-B272)</f>
        <v>0</v>
      </c>
    </row>
    <row r="273" customFormat="false" ht="15" hidden="false" customHeight="false" outlineLevel="0" collapsed="false">
      <c r="A273" s="14" t="n">
        <v>58.4</v>
      </c>
      <c r="B273" s="23" t="n">
        <v>-229.282350012807</v>
      </c>
      <c r="C273" s="19" t="n">
        <v>269</v>
      </c>
      <c r="D273" s="11" t="n">
        <f aca="false">-Cost_k*A273+Beta_q*(Declarations!$B$16*INDEX($B$5:$B$425,$C273-ROUND(Declarations!$A$16/0.05,0))+Declarations!$B$17*INDEX($B$5:$B$425,$C273-ROUND(Declarations!$A$17/0.05,0))+Declarations!$B$18*INDEX($B$5:$B$425,$C273-ROUND(Declarations!$A$18/0.05,0))+Declarations!$B$19*INDEX($B$5:$B$425,$C273-ROUND(Declarations!$A$19/0.05,0))+Declarations!$B$20*INDEX($B$5:$B$425,$C273-ROUND(Declarations!$A$20/0.05,0)))</f>
        <v>-457.510689638711</v>
      </c>
      <c r="E273" s="16" t="n">
        <f aca="false">Alpha_keep*A273</f>
        <v>56.94</v>
      </c>
      <c r="F273" s="16" t="n">
        <f aca="false">Alpha_keep*A273+Cap_h</f>
        <v>59.44</v>
      </c>
      <c r="G273" s="11" t="n">
        <f aca="false">(INDEX($D$5:$D$425,MIN(INT((E273-45)/0.05+0.000000001),419)+1)*(1-((E273-45)/0.05-MIN(INT((E273-45)/0.05+0.000000001),419)))+INDEX($D$5:$D$425,MIN(INT((E273-45)/0.05+0.000000001),419)+2)*((E273-45)/0.05-MIN(INT((E273-45)/0.05+0.000000001),419)))</f>
        <v>-457.042350012807</v>
      </c>
      <c r="H273" s="11" t="n">
        <f aca="false">(INDEX($D$5:$D$425,MIN(INT((F273-45)/0.05+0.000000001),419)+1)*(1-((F273-45)/0.05-MIN(INT((F273-45)/0.05+0.000000001),419)))+INDEX($D$5:$D$425,MIN(INT((F273-45)/0.05+0.000000001),419)+2)*((F273-45)/0.05-MIN(INT((F273-45)/0.05+0.000000001),419)))</f>
        <v>-457.994147441893</v>
      </c>
      <c r="I273" s="11" t="n">
        <f aca="false">_xlfn.MAXIFS($D$5:$D$425,$A$5:$A$425,"&gt;="&amp;E273,$A$5:$A$425,"&lt;="&amp;F273)</f>
        <v>-457.044602889207</v>
      </c>
      <c r="J273" s="11" t="n">
        <f aca="false">-Short_p*MAX(Floor_c-A273,0)+Cost_k*Alpha_keep*A273+MAX(G273,H273,I273)</f>
        <v>-229.282350012807</v>
      </c>
      <c r="K273" s="22" t="n">
        <f aca="false">ABS(J273-B273)</f>
        <v>0</v>
      </c>
    </row>
    <row r="274" customFormat="false" ht="15" hidden="false" customHeight="false" outlineLevel="0" collapsed="false">
      <c r="A274" s="14" t="n">
        <v>58.45</v>
      </c>
      <c r="B274" s="23" t="n">
        <v>-229.098332904995</v>
      </c>
      <c r="C274" s="19" t="n">
        <v>270</v>
      </c>
      <c r="D274" s="11" t="n">
        <f aca="false">-Cost_k*A274+Beta_q*(Declarations!$B$16*INDEX($B$5:$B$425,$C274-ROUND(Declarations!$A$16/0.05,0))+Declarations!$B$17*INDEX($B$5:$B$425,$C274-ROUND(Declarations!$A$17/0.05,0))+Declarations!$B$18*INDEX($B$5:$B$425,$C274-ROUND(Declarations!$A$18/0.05,0))+Declarations!$B$19*INDEX($B$5:$B$425,$C274-ROUND(Declarations!$A$19/0.05,0))+Declarations!$B$20*INDEX($B$5:$B$425,$C274-ROUND(Declarations!$A$20/0.05,0)))</f>
        <v>-457.530644423472</v>
      </c>
      <c r="E274" s="16" t="n">
        <f aca="false">Alpha_keep*A274</f>
        <v>56.98875</v>
      </c>
      <c r="F274" s="16" t="n">
        <f aca="false">Alpha_keep*A274+Cap_h</f>
        <v>59.48875</v>
      </c>
      <c r="G274" s="11" t="n">
        <f aca="false">(INDEX($D$5:$D$425,MIN(INT((E274-45)/0.05+0.000000001),419)+1)*(1-((E274-45)/0.05-MIN(INT((E274-45)/0.05+0.000000001),419)))+INDEX($D$5:$D$425,MIN(INT((E274-45)/0.05+0.000000001),419)+2)*((E274-45)/0.05-MIN(INT((E274-45)/0.05+0.000000001),419)))</f>
        <v>-457.053332904995</v>
      </c>
      <c r="H274" s="11" t="n">
        <f aca="false">(INDEX($D$5:$D$425,MIN(INT((F274-45)/0.05+0.000000001),419)+1)*(1-((F274-45)/0.05-MIN(INT((F274-45)/0.05+0.000000001),419)))+INDEX($D$5:$D$425,MIN(INT((F274-45)/0.05+0.000000001),419)+2)*((F274-45)/0.05-MIN(INT((F274-45)/0.05+0.000000001),419)))</f>
        <v>-458.021342439172</v>
      </c>
      <c r="I274" s="11" t="n">
        <f aca="false">_xlfn.MAXIFS($D$5:$D$425,$A$5:$A$425,"&gt;="&amp;E274,$A$5:$A$425,"&lt;="&amp;F274)</f>
        <v>-457.055867425707</v>
      </c>
      <c r="J274" s="11" t="n">
        <f aca="false">-Short_p*MAX(Floor_c-A274,0)+Cost_k*Alpha_keep*A274+MAX(G274,H274,I274)</f>
        <v>-229.098332904995</v>
      </c>
      <c r="K274" s="22" t="n">
        <f aca="false">ABS(J274-B274)</f>
        <v>0</v>
      </c>
    </row>
    <row r="275" customFormat="false" ht="15" hidden="false" customHeight="false" outlineLevel="0" collapsed="false">
      <c r="A275" s="14" t="n">
        <v>58.5</v>
      </c>
      <c r="B275" s="23" t="n">
        <v>-228.914316907985</v>
      </c>
      <c r="C275" s="19" t="n">
        <v>271</v>
      </c>
      <c r="D275" s="11" t="n">
        <f aca="false">-Cost_k*A275+Beta_q*(Declarations!$B$16*INDEX($B$5:$B$425,$C275-ROUND(Declarations!$A$16/0.05,0))+Declarations!$B$17*INDEX($B$5:$B$425,$C275-ROUND(Declarations!$A$17/0.05,0))+Declarations!$B$18*INDEX($B$5:$B$425,$C275-ROUND(Declarations!$A$18/0.05,0))+Declarations!$B$19*INDEX($B$5:$B$425,$C275-ROUND(Declarations!$A$19/0.05,0))+Declarations!$B$20*INDEX($B$5:$B$425,$C275-ROUND(Declarations!$A$20/0.05,0)))</f>
        <v>-457.550600375897</v>
      </c>
      <c r="E275" s="16" t="n">
        <f aca="false">Alpha_keep*A275</f>
        <v>57.0375</v>
      </c>
      <c r="F275" s="16" t="n">
        <f aca="false">Alpha_keep*A275+Cap_h</f>
        <v>59.5375</v>
      </c>
      <c r="G275" s="11" t="n">
        <f aca="false">(INDEX($D$5:$D$425,MIN(INT((E275-45)/0.05+0.000000001),419)+1)*(1-((E275-45)/0.05-MIN(INT((E275-45)/0.05+0.000000001),419)))+INDEX($D$5:$D$425,MIN(INT((E275-45)/0.05+0.000000001),419)+2)*((E275-45)/0.05-MIN(INT((E275-45)/0.05+0.000000001),419)))</f>
        <v>-457.064316907985</v>
      </c>
      <c r="H275" s="11" t="n">
        <f aca="false">(INDEX($D$5:$D$425,MIN(INT((F275-45)/0.05+0.000000001),419)+1)*(1-((F275-45)/0.05-MIN(INT((F275-45)/0.05+0.000000001),419)))+INDEX($D$5:$D$425,MIN(INT((F275-45)/0.05+0.000000001),419)+2)*((F275-45)/0.05-MIN(INT((F275-45)/0.05+0.000000001),419)))</f>
        <v>-458.048916507172</v>
      </c>
      <c r="I275" s="11" t="n">
        <f aca="false">_xlfn.MAXIFS($D$5:$D$425,$A$5:$A$425,"&gt;="&amp;E275,$A$5:$A$425,"&lt;="&amp;F275)</f>
        <v>-457.067133402078</v>
      </c>
      <c r="J275" s="11" t="n">
        <f aca="false">-Short_p*MAX(Floor_c-A275,0)+Cost_k*Alpha_keep*A275+MAX(G275,H275,I275)</f>
        <v>-228.914316907985</v>
      </c>
      <c r="K275" s="22" t="n">
        <f aca="false">ABS(J275-B275)</f>
        <v>0</v>
      </c>
    </row>
    <row r="276" customFormat="false" ht="15" hidden="false" customHeight="false" outlineLevel="0" collapsed="false">
      <c r="A276" s="14" t="n">
        <v>58.55</v>
      </c>
      <c r="B276" s="23" t="n">
        <v>-228.730312416741</v>
      </c>
      <c r="C276" s="19" t="n">
        <v>272</v>
      </c>
      <c r="D276" s="11" t="n">
        <f aca="false">-Cost_k*A276+Beta_q*(Declarations!$B$16*INDEX($B$5:$B$425,$C276-ROUND(Declarations!$A$16/0.05,0))+Declarations!$B$17*INDEX($B$5:$B$425,$C276-ROUND(Declarations!$A$17/0.05,0))+Declarations!$B$18*INDEX($B$5:$B$425,$C276-ROUND(Declarations!$A$18/0.05,0))+Declarations!$B$19*INDEX($B$5:$B$425,$C276-ROUND(Declarations!$A$19/0.05,0))+Declarations!$B$20*INDEX($B$5:$B$425,$C276-ROUND(Declarations!$A$20/0.05,0)))</f>
        <v>-457.570567728462</v>
      </c>
      <c r="E276" s="16" t="n">
        <f aca="false">Alpha_keep*A276</f>
        <v>57.08625</v>
      </c>
      <c r="F276" s="16" t="n">
        <f aca="false">Alpha_keep*A276+Cap_h</f>
        <v>59.58625</v>
      </c>
      <c r="G276" s="11" t="n">
        <f aca="false">(INDEX($D$5:$D$425,MIN(INT((E276-45)/0.05+0.000000001),419)+1)*(1-((E276-45)/0.05-MIN(INT((E276-45)/0.05+0.000000001),419)))+INDEX($D$5:$D$425,MIN(INT((E276-45)/0.05+0.000000001),419)+2)*((E276-45)/0.05-MIN(INT((E276-45)/0.05+0.000000001),419)))</f>
        <v>-457.075312416741</v>
      </c>
      <c r="H276" s="11" t="n">
        <f aca="false">(INDEX($D$5:$D$425,MIN(INT((F276-45)/0.05+0.000000001),419)+1)*(1-((F276-45)/0.05-MIN(INT((F276-45)/0.05+0.000000001),419)))+INDEX($D$5:$D$425,MIN(INT((F276-45)/0.05+0.000000001),419)+2)*((F276-45)/0.05-MIN(INT((F276-45)/0.05+0.000000001),419)))</f>
        <v>-458.076508836048</v>
      </c>
      <c r="I276" s="11" t="n">
        <f aca="false">_xlfn.MAXIFS($D$5:$D$425,$A$5:$A$425,"&gt;="&amp;E276,$A$5:$A$425,"&lt;="&amp;F276)</f>
        <v>-457.078414801613</v>
      </c>
      <c r="J276" s="11" t="n">
        <f aca="false">-Short_p*MAX(Floor_c-A276,0)+Cost_k*Alpha_keep*A276+MAX(G276,H276,I276)</f>
        <v>-228.730312416741</v>
      </c>
      <c r="K276" s="22" t="n">
        <f aca="false">ABS(J276-B276)</f>
        <v>0</v>
      </c>
    </row>
    <row r="277" customFormat="false" ht="15" hidden="false" customHeight="false" outlineLevel="0" collapsed="false">
      <c r="A277" s="14" t="n">
        <v>58.6</v>
      </c>
      <c r="B277" s="23" t="n">
        <v>-228.546406019229</v>
      </c>
      <c r="C277" s="19" t="n">
        <v>273</v>
      </c>
      <c r="D277" s="11" t="n">
        <f aca="false">-Cost_k*A277+Beta_q*(Declarations!$B$16*INDEX($B$5:$B$425,$C277-ROUND(Declarations!$A$16/0.05,0))+Declarations!$B$17*INDEX($B$5:$B$425,$C277-ROUND(Declarations!$A$17/0.05,0))+Declarations!$B$18*INDEX($B$5:$B$425,$C277-ROUND(Declarations!$A$18/0.05,0))+Declarations!$B$19*INDEX($B$5:$B$425,$C277-ROUND(Declarations!$A$19/0.05,0))+Declarations!$B$20*INDEX($B$5:$B$425,$C277-ROUND(Declarations!$A$20/0.05,0)))</f>
        <v>-457.590632481494</v>
      </c>
      <c r="E277" s="16" t="n">
        <f aca="false">Alpha_keep*A277</f>
        <v>57.135</v>
      </c>
      <c r="F277" s="16" t="n">
        <f aca="false">Alpha_keep*A277+Cap_h</f>
        <v>59.635</v>
      </c>
      <c r="G277" s="11" t="n">
        <f aca="false">(INDEX($D$5:$D$425,MIN(INT((E277-45)/0.05+0.000000001),419)+1)*(1-((E277-45)/0.05-MIN(INT((E277-45)/0.05+0.000000001),419)))+INDEX($D$5:$D$425,MIN(INT((E277-45)/0.05+0.000000001),419)+2)*((E277-45)/0.05-MIN(INT((E277-45)/0.05+0.000000001),419)))</f>
        <v>-457.086406019229</v>
      </c>
      <c r="H277" s="11" t="n">
        <f aca="false">(INDEX($D$5:$D$425,MIN(INT((F277-45)/0.05+0.000000001),419)+1)*(1-((F277-45)/0.05-MIN(INT((F277-45)/0.05+0.000000001),419)))+INDEX($D$5:$D$425,MIN(INT((F277-45)/0.05+0.000000001),419)+2)*((F277-45)/0.05-MIN(INT((F277-45)/0.05+0.000000001),419)))</f>
        <v>-458.104102547369</v>
      </c>
      <c r="I277" s="11" t="n">
        <f aca="false">_xlfn.MAXIFS($D$5:$D$425,$A$5:$A$425,"&gt;="&amp;E277,$A$5:$A$425,"&lt;="&amp;F277)</f>
        <v>-457.089830826779</v>
      </c>
      <c r="J277" s="11" t="n">
        <f aca="false">-Short_p*MAX(Floor_c-A277,0)+Cost_k*Alpha_keep*A277+MAX(G277,H277,I277)</f>
        <v>-228.546406019229</v>
      </c>
      <c r="K277" s="22" t="n">
        <f aca="false">ABS(J277-B277)</f>
        <v>0</v>
      </c>
    </row>
    <row r="278" customFormat="false" ht="15" hidden="false" customHeight="false" outlineLevel="0" collapsed="false">
      <c r="A278" s="14" t="n">
        <v>58.65</v>
      </c>
      <c r="B278" s="23" t="n">
        <v>-228.363424475673</v>
      </c>
      <c r="C278" s="19" t="n">
        <v>274</v>
      </c>
      <c r="D278" s="11" t="n">
        <f aca="false">-Cost_k*A278+Beta_q*(Declarations!$B$16*INDEX($B$5:$B$425,$C278-ROUND(Declarations!$A$16/0.05,0))+Declarations!$B$17*INDEX($B$5:$B$425,$C278-ROUND(Declarations!$A$17/0.05,0))+Declarations!$B$18*INDEX($B$5:$B$425,$C278-ROUND(Declarations!$A$18/0.05,0))+Declarations!$B$19*INDEX($B$5:$B$425,$C278-ROUND(Declarations!$A$19/0.05,0))+Declarations!$B$20*INDEX($B$5:$B$425,$C278-ROUND(Declarations!$A$20/0.05,0)))</f>
        <v>-457.611400257154</v>
      </c>
      <c r="E278" s="16" t="n">
        <f aca="false">Alpha_keep*A278</f>
        <v>57.18375</v>
      </c>
      <c r="F278" s="16" t="n">
        <f aca="false">Alpha_keep*A278+Cap_h</f>
        <v>59.68375</v>
      </c>
      <c r="G278" s="11" t="n">
        <f aca="false">(INDEX($D$5:$D$425,MIN(INT((E278-45)/0.05+0.000000001),419)+1)*(1-((E278-45)/0.05-MIN(INT((E278-45)/0.05+0.000000001),419)))+INDEX($D$5:$D$425,MIN(INT((E278-45)/0.05+0.000000001),419)+2)*((E278-45)/0.05-MIN(INT((E278-45)/0.05+0.000000001),419)))</f>
        <v>-457.098424475673</v>
      </c>
      <c r="H278" s="11" t="n">
        <f aca="false">(INDEX($D$5:$D$425,MIN(INT((F278-45)/0.05+0.000000001),419)+1)*(1-((F278-45)/0.05-MIN(INT((F278-45)/0.05+0.000000001),419)))+INDEX($D$5:$D$425,MIN(INT((F278-45)/0.05+0.000000001),419)+2)*((F278-45)/0.05-MIN(INT((F278-45)/0.05+0.000000001),419)))</f>
        <v>-458.131700272621</v>
      </c>
      <c r="I278" s="11" t="n">
        <f aca="false">_xlfn.MAXIFS($D$5:$D$425,$A$5:$A$425,"&gt;="&amp;E278,$A$5:$A$425,"&lt;="&amp;F278)</f>
        <v>-457.102562158474</v>
      </c>
      <c r="J278" s="11" t="n">
        <f aca="false">-Short_p*MAX(Floor_c-A278,0)+Cost_k*Alpha_keep*A278+MAX(G278,H278,I278)</f>
        <v>-228.363424475673</v>
      </c>
      <c r="K278" s="22" t="n">
        <f aca="false">ABS(J278-B278)</f>
        <v>0</v>
      </c>
    </row>
    <row r="279" customFormat="false" ht="15" hidden="false" customHeight="false" outlineLevel="0" collapsed="false">
      <c r="A279" s="14" t="n">
        <v>58.7</v>
      </c>
      <c r="B279" s="23" t="n">
        <v>-228.18232434346</v>
      </c>
      <c r="C279" s="19" t="n">
        <v>275</v>
      </c>
      <c r="D279" s="11" t="n">
        <f aca="false">-Cost_k*A279+Beta_q*(Declarations!$B$16*INDEX($B$5:$B$425,$C279-ROUND(Declarations!$A$16/0.05,0))+Declarations!$B$17*INDEX($B$5:$B$425,$C279-ROUND(Declarations!$A$17/0.05,0))+Declarations!$B$18*INDEX($B$5:$B$425,$C279-ROUND(Declarations!$A$18/0.05,0))+Declarations!$B$19*INDEX($B$5:$B$425,$C279-ROUND(Declarations!$A$19/0.05,0))+Declarations!$B$20*INDEX($B$5:$B$425,$C279-ROUND(Declarations!$A$20/0.05,0)))</f>
        <v>-457.633736276979</v>
      </c>
      <c r="E279" s="16" t="n">
        <f aca="false">Alpha_keep*A279</f>
        <v>57.2325</v>
      </c>
      <c r="F279" s="16" t="n">
        <f aca="false">Alpha_keep*A279+Cap_h</f>
        <v>59.7325</v>
      </c>
      <c r="G279" s="11" t="n">
        <f aca="false">(INDEX($D$5:$D$425,MIN(INT((E279-45)/0.05+0.000000001),419)+1)*(1-((E279-45)/0.05-MIN(INT((E279-45)/0.05+0.000000001),419)))+INDEX($D$5:$D$425,MIN(INT((E279-45)/0.05+0.000000001),419)+2)*((E279-45)/0.05-MIN(INT((E279-45)/0.05+0.000000001),419)))</f>
        <v>-457.11232434346</v>
      </c>
      <c r="H279" s="11" t="n">
        <f aca="false">(INDEX($D$5:$D$425,MIN(INT((F279-45)/0.05+0.000000001),419)+1)*(1-((F279-45)/0.05-MIN(INT((F279-45)/0.05+0.000000001),419)))+INDEX($D$5:$D$425,MIN(INT((F279-45)/0.05+0.000000001),419)+2)*((F279-45)/0.05-MIN(INT((F279-45)/0.05+0.000000001),419)))</f>
        <v>-458.159315914656</v>
      </c>
      <c r="I279" s="11" t="n">
        <f aca="false">_xlfn.MAXIFS($D$5:$D$425,$A$5:$A$425,"&gt;="&amp;E279,$A$5:$A$425,"&lt;="&amp;F279)</f>
        <v>-457.117580904607</v>
      </c>
      <c r="J279" s="11" t="n">
        <f aca="false">-Short_p*MAX(Floor_c-A279,0)+Cost_k*Alpha_keep*A279+MAX(G279,H279,I279)</f>
        <v>-228.18232434346</v>
      </c>
      <c r="K279" s="22" t="n">
        <f aca="false">ABS(J279-B279)</f>
        <v>0</v>
      </c>
    </row>
    <row r="280" customFormat="false" ht="15" hidden="false" customHeight="false" outlineLevel="0" collapsed="false">
      <c r="A280" s="14" t="n">
        <v>58.75</v>
      </c>
      <c r="B280" s="23" t="n">
        <v>-228.00196830799</v>
      </c>
      <c r="C280" s="19" t="n">
        <v>276</v>
      </c>
      <c r="D280" s="11" t="n">
        <f aca="false">-Cost_k*A280+Beta_q*(Declarations!$B$16*INDEX($B$5:$B$425,$C280-ROUND(Declarations!$A$16/0.05,0))+Declarations!$B$17*INDEX($B$5:$B$425,$C280-ROUND(Declarations!$A$17/0.05,0))+Declarations!$B$18*INDEX($B$5:$B$425,$C280-ROUND(Declarations!$A$18/0.05,0))+Declarations!$B$19*INDEX($B$5:$B$425,$C280-ROUND(Declarations!$A$19/0.05,0))+Declarations!$B$20*INDEX($B$5:$B$425,$C280-ROUND(Declarations!$A$20/0.05,0)))</f>
        <v>-457.657753971033</v>
      </c>
      <c r="E280" s="16" t="n">
        <f aca="false">Alpha_keep*A280</f>
        <v>57.28125</v>
      </c>
      <c r="F280" s="16" t="n">
        <f aca="false">Alpha_keep*A280+Cap_h</f>
        <v>59.78125</v>
      </c>
      <c r="G280" s="11" t="n">
        <f aca="false">(INDEX($D$5:$D$425,MIN(INT((E280-45)/0.05+0.000000001),419)+1)*(1-((E280-45)/0.05-MIN(INT((E280-45)/0.05+0.000000001),419)))+INDEX($D$5:$D$425,MIN(INT((E280-45)/0.05+0.000000001),419)+2)*((E280-45)/0.05-MIN(INT((E280-45)/0.05+0.000000001),419)))</f>
        <v>-457.12696830799</v>
      </c>
      <c r="H280" s="11" t="n">
        <f aca="false">(INDEX($D$5:$D$425,MIN(INT((F280-45)/0.05+0.000000001),419)+1)*(1-((F280-45)/0.05-MIN(INT((F280-45)/0.05+0.000000001),419)))+INDEX($D$5:$D$425,MIN(INT((F280-45)/0.05+0.000000001),419)+2)*((F280-45)/0.05-MIN(INT((F280-45)/0.05+0.000000001),419)))</f>
        <v>-458.186982934093</v>
      </c>
      <c r="I280" s="11" t="n">
        <f aca="false">_xlfn.MAXIFS($D$5:$D$425,$A$5:$A$425,"&gt;="&amp;E280,$A$5:$A$425,"&lt;="&amp;F280)</f>
        <v>-457.13260075002</v>
      </c>
      <c r="J280" s="11" t="n">
        <f aca="false">-Short_p*MAX(Floor_c-A280,0)+Cost_k*Alpha_keep*A280+MAX(G280,H280,I280)</f>
        <v>-228.00196830799</v>
      </c>
      <c r="K280" s="22" t="n">
        <f aca="false">ABS(J280-B280)</f>
        <v>0</v>
      </c>
    </row>
    <row r="281" customFormat="false" ht="15" hidden="false" customHeight="false" outlineLevel="0" collapsed="false">
      <c r="A281" s="14" t="n">
        <v>58.8</v>
      </c>
      <c r="B281" s="23" t="n">
        <v>-227.821612690243</v>
      </c>
      <c r="C281" s="19" t="n">
        <v>277</v>
      </c>
      <c r="D281" s="11" t="n">
        <f aca="false">-Cost_k*A281+Beta_q*(Declarations!$B$16*INDEX($B$5:$B$425,$C281-ROUND(Declarations!$A$16/0.05,0))+Declarations!$B$17*INDEX($B$5:$B$425,$C281-ROUND(Declarations!$A$17/0.05,0))+Declarations!$B$18*INDEX($B$5:$B$425,$C281-ROUND(Declarations!$A$18/0.05,0))+Declarations!$B$19*INDEX($B$5:$B$425,$C281-ROUND(Declarations!$A$19/0.05,0))+Declarations!$B$20*INDEX($B$5:$B$425,$C281-ROUND(Declarations!$A$20/0.05,0)))</f>
        <v>-457.68178064356</v>
      </c>
      <c r="E281" s="16" t="n">
        <f aca="false">Alpha_keep*A281</f>
        <v>57.33</v>
      </c>
      <c r="F281" s="16" t="n">
        <f aca="false">Alpha_keep*A281+Cap_h</f>
        <v>59.83</v>
      </c>
      <c r="G281" s="11" t="n">
        <f aca="false">(INDEX($D$5:$D$425,MIN(INT((E281-45)/0.05+0.000000001),419)+1)*(1-((E281-45)/0.05-MIN(INT((E281-45)/0.05+0.000000001),419)))+INDEX($D$5:$D$425,MIN(INT((E281-45)/0.05+0.000000001),419)+2)*((E281-45)/0.05-MIN(INT((E281-45)/0.05+0.000000001),419)))</f>
        <v>-457.141612690243</v>
      </c>
      <c r="H281" s="11" t="n">
        <f aca="false">(INDEX($D$5:$D$425,MIN(INT((F281-45)/0.05+0.000000001),419)+1)*(1-((F281-45)/0.05-MIN(INT((F281-45)/0.05+0.000000001),419)))+INDEX($D$5:$D$425,MIN(INT((F281-45)/0.05+0.000000001),419)+2)*((F281-45)/0.05-MIN(INT((F281-45)/0.05+0.000000001),419)))</f>
        <v>-458.214723323849</v>
      </c>
      <c r="I281" s="11" t="n">
        <f aca="false">_xlfn.MAXIFS($D$5:$D$425,$A$5:$A$425,"&gt;="&amp;E281,$A$5:$A$425,"&lt;="&amp;F281)</f>
        <v>-457.147620650392</v>
      </c>
      <c r="J281" s="11" t="n">
        <f aca="false">-Short_p*MAX(Floor_c-A281,0)+Cost_k*Alpha_keep*A281+MAX(G281,H281,I281)</f>
        <v>-227.821612690243</v>
      </c>
      <c r="K281" s="22" t="n">
        <f aca="false">ABS(J281-B281)</f>
        <v>0</v>
      </c>
    </row>
    <row r="282" customFormat="false" ht="15" hidden="false" customHeight="false" outlineLevel="0" collapsed="false">
      <c r="A282" s="14" t="n">
        <v>58.85</v>
      </c>
      <c r="B282" s="23" t="n">
        <v>-227.641257289721</v>
      </c>
      <c r="C282" s="19" t="n">
        <v>278</v>
      </c>
      <c r="D282" s="11" t="n">
        <f aca="false">-Cost_k*A282+Beta_q*(Declarations!$B$16*INDEX($B$5:$B$425,$C282-ROUND(Declarations!$A$16/0.05,0))+Declarations!$B$17*INDEX($B$5:$B$425,$C282-ROUND(Declarations!$A$17/0.05,0))+Declarations!$B$18*INDEX($B$5:$B$425,$C282-ROUND(Declarations!$A$18/0.05,0))+Declarations!$B$19*INDEX($B$5:$B$425,$C282-ROUND(Declarations!$A$19/0.05,0))+Declarations!$B$20*INDEX($B$5:$B$425,$C282-ROUND(Declarations!$A$20/0.05,0)))</f>
        <v>-457.70580754926</v>
      </c>
      <c r="E282" s="16" t="n">
        <f aca="false">Alpha_keep*A282</f>
        <v>57.37875</v>
      </c>
      <c r="F282" s="16" t="n">
        <f aca="false">Alpha_keep*A282+Cap_h</f>
        <v>59.87875</v>
      </c>
      <c r="G282" s="11" t="n">
        <f aca="false">(INDEX($D$5:$D$425,MIN(INT((E282-45)/0.05+0.000000001),419)+1)*(1-((E282-45)/0.05-MIN(INT((E282-45)/0.05+0.000000001),419)))+INDEX($D$5:$D$425,MIN(INT((E282-45)/0.05+0.000000001),419)+2)*((E282-45)/0.05-MIN(INT((E282-45)/0.05+0.000000001),419)))</f>
        <v>-457.156257289721</v>
      </c>
      <c r="H282" s="11" t="n">
        <f aca="false">(INDEX($D$5:$D$425,MIN(INT((F282-45)/0.05+0.000000001),419)+1)*(1-((F282-45)/0.05-MIN(INT((F282-45)/0.05+0.000000001),419)))+INDEX($D$5:$D$425,MIN(INT((F282-45)/0.05+0.000000001),419)+2)*((F282-45)/0.05-MIN(INT((F282-45)/0.05+0.000000001),419)))</f>
        <v>-458.24251278737</v>
      </c>
      <c r="I282" s="11" t="n">
        <f aca="false">_xlfn.MAXIFS($D$5:$D$425,$A$5:$A$425,"&gt;="&amp;E282,$A$5:$A$425,"&lt;="&amp;F282)</f>
        <v>-457.162640892703</v>
      </c>
      <c r="J282" s="11" t="n">
        <f aca="false">-Short_p*MAX(Floor_c-A282,0)+Cost_k*Alpha_keep*A282+MAX(G282,H282,I282)</f>
        <v>-227.641257289721</v>
      </c>
      <c r="K282" s="22" t="n">
        <f aca="false">ABS(J282-B282)</f>
        <v>0</v>
      </c>
    </row>
    <row r="283" customFormat="false" ht="15" hidden="false" customHeight="false" outlineLevel="0" collapsed="false">
      <c r="A283" s="14" t="n">
        <v>58.9</v>
      </c>
      <c r="B283" s="23" t="n">
        <v>-227.460903317555</v>
      </c>
      <c r="C283" s="19" t="n">
        <v>279</v>
      </c>
      <c r="D283" s="11" t="n">
        <f aca="false">-Cost_k*A283+Beta_q*(Declarations!$B$16*INDEX($B$5:$B$425,$C283-ROUND(Declarations!$A$16/0.05,0))+Declarations!$B$17*INDEX($B$5:$B$425,$C283-ROUND(Declarations!$A$17/0.05,0))+Declarations!$B$18*INDEX($B$5:$B$425,$C283-ROUND(Declarations!$A$18/0.05,0))+Declarations!$B$19*INDEX($B$5:$B$425,$C283-ROUND(Declarations!$A$19/0.05,0))+Declarations!$B$20*INDEX($B$5:$B$425,$C283-ROUND(Declarations!$A$20/0.05,0)))</f>
        <v>-457.729835577291</v>
      </c>
      <c r="E283" s="16" t="n">
        <f aca="false">Alpha_keep*A283</f>
        <v>57.4275</v>
      </c>
      <c r="F283" s="16" t="n">
        <f aca="false">Alpha_keep*A283+Cap_h</f>
        <v>59.9275</v>
      </c>
      <c r="G283" s="11" t="n">
        <f aca="false">(INDEX($D$5:$D$425,MIN(INT((E283-45)/0.05+0.000000001),419)+1)*(1-((E283-45)/0.05-MIN(INT((E283-45)/0.05+0.000000001),419)))+INDEX($D$5:$D$425,MIN(INT((E283-45)/0.05+0.000000001),419)+2)*((E283-45)/0.05-MIN(INT((E283-45)/0.05+0.000000001),419)))</f>
        <v>-457.170903317555</v>
      </c>
      <c r="H283" s="11" t="n">
        <f aca="false">(INDEX($D$5:$D$425,MIN(INT((F283-45)/0.05+0.000000001),419)+1)*(1-((F283-45)/0.05-MIN(INT((F283-45)/0.05+0.000000001),419)))+INDEX($D$5:$D$425,MIN(INT((F283-45)/0.05+0.000000001),419)+2)*((F283-45)/0.05-MIN(INT((F283-45)/0.05+0.000000001),419)))</f>
        <v>-458.270316675194</v>
      </c>
      <c r="I283" s="11" t="n">
        <f aca="false">_xlfn.MAXIFS($D$5:$D$425,$A$5:$A$425,"&gt;="&amp;E283,$A$5:$A$425,"&lt;="&amp;F283)</f>
        <v>-457.177663483342</v>
      </c>
      <c r="J283" s="11" t="n">
        <f aca="false">-Short_p*MAX(Floor_c-A283,0)+Cost_k*Alpha_keep*A283+MAX(G283,H283,I283)</f>
        <v>-227.460903317555</v>
      </c>
      <c r="K283" s="22" t="n">
        <f aca="false">ABS(J283-B283)</f>
        <v>0</v>
      </c>
    </row>
    <row r="284" customFormat="false" ht="15" hidden="false" customHeight="false" outlineLevel="0" collapsed="false">
      <c r="A284" s="14" t="n">
        <v>58.95</v>
      </c>
      <c r="B284" s="23" t="n">
        <v>-227.280556418166</v>
      </c>
      <c r="C284" s="19" t="n">
        <v>280</v>
      </c>
      <c r="D284" s="11" t="n">
        <f aca="false">-Cost_k*A284+Beta_q*(Declarations!$B$16*INDEX($B$5:$B$425,$C284-ROUND(Declarations!$A$16/0.05,0))+Declarations!$B$17*INDEX($B$5:$B$425,$C284-ROUND(Declarations!$A$17/0.05,0))+Declarations!$B$18*INDEX($B$5:$B$425,$C284-ROUND(Declarations!$A$18/0.05,0))+Declarations!$B$19*INDEX($B$5:$B$425,$C284-ROUND(Declarations!$A$19/0.05,0))+Declarations!$B$20*INDEX($B$5:$B$425,$C284-ROUND(Declarations!$A$20/0.05,0)))</f>
        <v>-457.753869186157</v>
      </c>
      <c r="E284" s="16" t="n">
        <f aca="false">Alpha_keep*A284</f>
        <v>57.47625</v>
      </c>
      <c r="F284" s="16" t="n">
        <f aca="false">Alpha_keep*A284+Cap_h</f>
        <v>59.97625</v>
      </c>
      <c r="G284" s="11" t="n">
        <f aca="false">(INDEX($D$5:$D$425,MIN(INT((E284-45)/0.05+0.000000001),419)+1)*(1-((E284-45)/0.05-MIN(INT((E284-45)/0.05+0.000000001),419)))+INDEX($D$5:$D$425,MIN(INT((E284-45)/0.05+0.000000001),419)+2)*((E284-45)/0.05-MIN(INT((E284-45)/0.05+0.000000001),419)))</f>
        <v>-457.185556418166</v>
      </c>
      <c r="H284" s="11" t="n">
        <f aca="false">(INDEX($D$5:$D$425,MIN(INT((F284-45)/0.05+0.000000001),419)+1)*(1-((F284-45)/0.05-MIN(INT((F284-45)/0.05+0.000000001),419)))+INDEX($D$5:$D$425,MIN(INT((F284-45)/0.05+0.000000001),419)+2)*((F284-45)/0.05-MIN(INT((F284-45)/0.05+0.000000001),419)))</f>
        <v>-458.298122597645</v>
      </c>
      <c r="I284" s="11" t="n">
        <f aca="false">_xlfn.MAXIFS($D$5:$D$425,$A$5:$A$425,"&gt;="&amp;E284,$A$5:$A$425,"&lt;="&amp;F284)</f>
        <v>-457.192697644912</v>
      </c>
      <c r="J284" s="11" t="n">
        <f aca="false">-Short_p*MAX(Floor_c-A284,0)+Cost_k*Alpha_keep*A284+MAX(G284,H284,I284)</f>
        <v>-227.280556418166</v>
      </c>
      <c r="K284" s="22" t="n">
        <f aca="false">ABS(J284-B284)</f>
        <v>0</v>
      </c>
    </row>
    <row r="285" customFormat="false" ht="15" hidden="false" customHeight="false" outlineLevel="0" collapsed="false">
      <c r="A285" s="14" t="n">
        <v>59</v>
      </c>
      <c r="B285" s="23" t="n">
        <v>-227.10024573503</v>
      </c>
      <c r="C285" s="19" t="n">
        <v>281</v>
      </c>
      <c r="D285" s="11" t="n">
        <f aca="false">-Cost_k*A285+Beta_q*(Declarations!$B$16*INDEX($B$5:$B$425,$C285-ROUND(Declarations!$A$16/0.05,0))+Declarations!$B$17*INDEX($B$5:$B$425,$C285-ROUND(Declarations!$A$17/0.05,0))+Declarations!$B$18*INDEX($B$5:$B$425,$C285-ROUND(Declarations!$A$18/0.05,0))+Declarations!$B$19*INDEX($B$5:$B$425,$C285-ROUND(Declarations!$A$19/0.05,0))+Declarations!$B$20*INDEX($B$5:$B$425,$C285-ROUND(Declarations!$A$20/0.05,0)))</f>
        <v>-457.777930707025</v>
      </c>
      <c r="E285" s="16" t="n">
        <f aca="false">Alpha_keep*A285</f>
        <v>57.525</v>
      </c>
      <c r="F285" s="16" t="n">
        <f aca="false">Alpha_keep*A285+Cap_h</f>
        <v>60.025</v>
      </c>
      <c r="G285" s="11" t="n">
        <f aca="false">(INDEX($D$5:$D$425,MIN(INT((E285-45)/0.05+0.000000001),419)+1)*(1-((E285-45)/0.05-MIN(INT((E285-45)/0.05+0.000000001),419)))+INDEX($D$5:$D$425,MIN(INT((E285-45)/0.05+0.000000001),419)+2)*((E285-45)/0.05-MIN(INT((E285-45)/0.05+0.000000001),419)))</f>
        <v>-457.20024573503</v>
      </c>
      <c r="H285" s="11" t="n">
        <f aca="false">(INDEX($D$5:$D$425,MIN(INT((F285-45)/0.05+0.000000001),419)+1)*(1-((F285-45)/0.05-MIN(INT((F285-45)/0.05+0.000000001),419)))+INDEX($D$5:$D$425,MIN(INT((F285-45)/0.05+0.000000001),419)+2)*((F285-45)/0.05-MIN(INT((F285-45)/0.05+0.000000001),419)))</f>
        <v>-458.325935432992</v>
      </c>
      <c r="I285" s="11" t="n">
        <f aca="false">_xlfn.MAXIFS($D$5:$D$425,$A$5:$A$425,"&gt;="&amp;E285,$A$5:$A$425,"&lt;="&amp;F285)</f>
        <v>-457.207793825147</v>
      </c>
      <c r="J285" s="11" t="n">
        <f aca="false">-Short_p*MAX(Floor_c-A285,0)+Cost_k*Alpha_keep*A285+MAX(G285,H285,I285)</f>
        <v>-227.10024573503</v>
      </c>
      <c r="K285" s="22" t="n">
        <f aca="false">ABS(J285-B285)</f>
        <v>0</v>
      </c>
    </row>
    <row r="286" customFormat="false" ht="15" hidden="false" customHeight="false" outlineLevel="0" collapsed="false">
      <c r="A286" s="14" t="n">
        <v>59.05</v>
      </c>
      <c r="B286" s="23" t="n">
        <v>-226.920036534008</v>
      </c>
      <c r="C286" s="19" t="n">
        <v>282</v>
      </c>
      <c r="D286" s="11" t="n">
        <f aca="false">-Cost_k*A286+Beta_q*(Declarations!$B$16*INDEX($B$5:$B$425,$C286-ROUND(Declarations!$A$16/0.05,0))+Declarations!$B$17*INDEX($B$5:$B$425,$C286-ROUND(Declarations!$A$17/0.05,0))+Declarations!$B$18*INDEX($B$5:$B$425,$C286-ROUND(Declarations!$A$18/0.05,0))+Declarations!$B$19*INDEX($B$5:$B$425,$C286-ROUND(Declarations!$A$19/0.05,0))+Declarations!$B$20*INDEX($B$5:$B$425,$C286-ROUND(Declarations!$A$20/0.05,0)))</f>
        <v>-457.802072590329</v>
      </c>
      <c r="E286" s="16" t="n">
        <f aca="false">Alpha_keep*A286</f>
        <v>57.57375</v>
      </c>
      <c r="F286" s="16" t="n">
        <f aca="false">Alpha_keep*A286+Cap_h</f>
        <v>60.07375</v>
      </c>
      <c r="G286" s="11" t="n">
        <f aca="false">(INDEX($D$5:$D$425,MIN(INT((E286-45)/0.05+0.000000001),419)+1)*(1-((E286-45)/0.05-MIN(INT((E286-45)/0.05+0.000000001),419)))+INDEX($D$5:$D$425,MIN(INT((E286-45)/0.05+0.000000001),419)+2)*((E286-45)/0.05-MIN(INT((E286-45)/0.05+0.000000001),419)))</f>
        <v>-457.215036534008</v>
      </c>
      <c r="H286" s="11" t="n">
        <f aca="false">(INDEX($D$5:$D$425,MIN(INT((F286-45)/0.05+0.000000001),419)+1)*(1-((F286-45)/0.05-MIN(INT((F286-45)/0.05+0.000000001),419)))+INDEX($D$5:$D$425,MIN(INT((F286-45)/0.05+0.000000001),419)+2)*((F286-45)/0.05-MIN(INT((F286-45)/0.05+0.000000001),419)))</f>
        <v>-458.353802440736</v>
      </c>
      <c r="I286" s="11" t="n">
        <f aca="false">_xlfn.MAXIFS($D$5:$D$425,$A$5:$A$425,"&gt;="&amp;E286,$A$5:$A$425,"&lt;="&amp;F286)</f>
        <v>-457.223041633275</v>
      </c>
      <c r="J286" s="11" t="n">
        <f aca="false">-Short_p*MAX(Floor_c-A286,0)+Cost_k*Alpha_keep*A286+MAX(G286,H286,I286)</f>
        <v>-226.920036534008</v>
      </c>
      <c r="K286" s="22" t="n">
        <f aca="false">ABS(J286-B286)</f>
        <v>0</v>
      </c>
    </row>
    <row r="287" customFormat="false" ht="15" hidden="false" customHeight="false" outlineLevel="0" collapsed="false">
      <c r="A287" s="14" t="n">
        <v>59.1</v>
      </c>
      <c r="B287" s="23" t="n">
        <v>-226.739929639348</v>
      </c>
      <c r="C287" s="19" t="n">
        <v>283</v>
      </c>
      <c r="D287" s="11" t="n">
        <f aca="false">-Cost_k*A287+Beta_q*(Declarations!$B$16*INDEX($B$5:$B$425,$C287-ROUND(Declarations!$A$16/0.05,0))+Declarations!$B$17*INDEX($B$5:$B$425,$C287-ROUND(Declarations!$A$17/0.05,0))+Declarations!$B$18*INDEX($B$5:$B$425,$C287-ROUND(Declarations!$A$18/0.05,0))+Declarations!$B$19*INDEX($B$5:$B$425,$C287-ROUND(Declarations!$A$19/0.05,0))+Declarations!$B$20*INDEX($B$5:$B$425,$C287-ROUND(Declarations!$A$20/0.05,0)))</f>
        <v>-457.826304147738</v>
      </c>
      <c r="E287" s="16" t="n">
        <f aca="false">Alpha_keep*A287</f>
        <v>57.6225</v>
      </c>
      <c r="F287" s="16" t="n">
        <f aca="false">Alpha_keep*A287+Cap_h</f>
        <v>60.1225</v>
      </c>
      <c r="G287" s="11" t="n">
        <f aca="false">(INDEX($D$5:$D$425,MIN(INT((E287-45)/0.05+0.000000001),419)+1)*(1-((E287-45)/0.05-MIN(INT((E287-45)/0.05+0.000000001),419)))+INDEX($D$5:$D$425,MIN(INT((E287-45)/0.05+0.000000001),419)+2)*((E287-45)/0.05-MIN(INT((E287-45)/0.05+0.000000001),419)))</f>
        <v>-457.229929639348</v>
      </c>
      <c r="H287" s="11" t="n">
        <f aca="false">(INDEX($D$5:$D$425,MIN(INT((F287-45)/0.05+0.000000001),419)+1)*(1-((F287-45)/0.05-MIN(INT((F287-45)/0.05+0.000000001),419)))+INDEX($D$5:$D$425,MIN(INT((F287-45)/0.05+0.000000001),419)+2)*((F287-45)/0.05-MIN(INT((F287-45)/0.05+0.000000001),419)))</f>
        <v>-458.381983734055</v>
      </c>
      <c r="I287" s="11" t="n">
        <f aca="false">_xlfn.MAXIFS($D$5:$D$425,$A$5:$A$425,"&gt;="&amp;E287,$A$5:$A$425,"&lt;="&amp;F287)</f>
        <v>-457.238348313437</v>
      </c>
      <c r="J287" s="11" t="n">
        <f aca="false">-Short_p*MAX(Floor_c-A287,0)+Cost_k*Alpha_keep*A287+MAX(G287,H287,I287)</f>
        <v>-226.739929639348</v>
      </c>
      <c r="K287" s="22" t="n">
        <f aca="false">ABS(J287-B287)</f>
        <v>0</v>
      </c>
    </row>
    <row r="288" customFormat="false" ht="15" hidden="false" customHeight="false" outlineLevel="0" collapsed="false">
      <c r="A288" s="14" t="n">
        <v>59.15</v>
      </c>
      <c r="B288" s="23" t="n">
        <v>-226.559853679251</v>
      </c>
      <c r="C288" s="19" t="n">
        <v>284</v>
      </c>
      <c r="D288" s="11" t="n">
        <f aca="false">-Cost_k*A288+Beta_q*(Declarations!$B$16*INDEX($B$5:$B$425,$C288-ROUND(Declarations!$A$16/0.05,0))+Declarations!$B$17*INDEX($B$5:$B$425,$C288-ROUND(Declarations!$A$17/0.05,0))+Declarations!$B$18*INDEX($B$5:$B$425,$C288-ROUND(Declarations!$A$18/0.05,0))+Declarations!$B$19*INDEX($B$5:$B$425,$C288-ROUND(Declarations!$A$19/0.05,0))+Declarations!$B$20*INDEX($B$5:$B$425,$C288-ROUND(Declarations!$A$20/0.05,0)))</f>
        <v>-457.850564904661</v>
      </c>
      <c r="E288" s="16" t="n">
        <f aca="false">Alpha_keep*A288</f>
        <v>57.67125</v>
      </c>
      <c r="F288" s="16" t="n">
        <f aca="false">Alpha_keep*A288+Cap_h</f>
        <v>60.17125</v>
      </c>
      <c r="G288" s="11" t="n">
        <f aca="false">(INDEX($D$5:$D$425,MIN(INT((E288-45)/0.05+0.000000001),419)+1)*(1-((E288-45)/0.05-MIN(INT((E288-45)/0.05+0.000000001),419)))+INDEX($D$5:$D$425,MIN(INT((E288-45)/0.05+0.000000001),419)+2)*((E288-45)/0.05-MIN(INT((E288-45)/0.05+0.000000001),419)))</f>
        <v>-457.244853679251</v>
      </c>
      <c r="H288" s="11" t="n">
        <f aca="false">(INDEX($D$5:$D$425,MIN(INT((F288-45)/0.05+0.000000001),419)+1)*(1-((F288-45)/0.05-MIN(INT((F288-45)/0.05+0.000000001),419)))+INDEX($D$5:$D$425,MIN(INT((F288-45)/0.05+0.000000001),419)+2)*((F288-45)/0.05-MIN(INT((F288-45)/0.05+0.000000001),419)))</f>
        <v>-458.41104783497</v>
      </c>
      <c r="I288" s="11" t="n">
        <f aca="false">_xlfn.MAXIFS($D$5:$D$425,$A$5:$A$425,"&gt;="&amp;E288,$A$5:$A$425,"&lt;="&amp;F288)</f>
        <v>-457.253655056529</v>
      </c>
      <c r="J288" s="11" t="n">
        <f aca="false">-Short_p*MAX(Floor_c-A288,0)+Cost_k*Alpha_keep*A288+MAX(G288,H288,I288)</f>
        <v>-226.559853679251</v>
      </c>
      <c r="K288" s="22" t="n">
        <f aca="false">ABS(J288-B288)</f>
        <v>0</v>
      </c>
    </row>
    <row r="289" customFormat="false" ht="15" hidden="false" customHeight="false" outlineLevel="0" collapsed="false">
      <c r="A289" s="14" t="n">
        <v>59.2</v>
      </c>
      <c r="B289" s="23" t="n">
        <v>-226.379777987896</v>
      </c>
      <c r="C289" s="19" t="n">
        <v>285</v>
      </c>
      <c r="D289" s="11" t="n">
        <f aca="false">-Cost_k*A289+Beta_q*(Declarations!$B$16*INDEX($B$5:$B$425,$C289-ROUND(Declarations!$A$16/0.05,0))+Declarations!$B$17*INDEX($B$5:$B$425,$C289-ROUND(Declarations!$A$17/0.05,0))+Declarations!$B$18*INDEX($B$5:$B$425,$C289-ROUND(Declarations!$A$18/0.05,0))+Declarations!$B$19*INDEX($B$5:$B$425,$C289-ROUND(Declarations!$A$19/0.05,0))+Declarations!$B$20*INDEX($B$5:$B$425,$C289-ROUND(Declarations!$A$20/0.05,0)))</f>
        <v>-457.874826296324</v>
      </c>
      <c r="E289" s="16" t="n">
        <f aca="false">Alpha_keep*A289</f>
        <v>57.72</v>
      </c>
      <c r="F289" s="16" t="n">
        <f aca="false">Alpha_keep*A289+Cap_h</f>
        <v>60.22</v>
      </c>
      <c r="G289" s="11" t="n">
        <f aca="false">(INDEX($D$5:$D$425,MIN(INT((E289-45)/0.05+0.000000001),419)+1)*(1-((E289-45)/0.05-MIN(INT((E289-45)/0.05+0.000000001),419)))+INDEX($D$5:$D$425,MIN(INT((E289-45)/0.05+0.000000001),419)+2)*((E289-45)/0.05-MIN(INT((E289-45)/0.05+0.000000001),419)))</f>
        <v>-457.259777987896</v>
      </c>
      <c r="H289" s="11" t="n">
        <f aca="false">(INDEX($D$5:$D$425,MIN(INT((F289-45)/0.05+0.000000001),419)+1)*(1-((F289-45)/0.05-MIN(INT((F289-45)/0.05+0.000000001),419)))+INDEX($D$5:$D$425,MIN(INT((F289-45)/0.05+0.000000001),419)+2)*((F289-45)/0.05-MIN(INT((F289-45)/0.05+0.000000001),419)))</f>
        <v>-458.441468972354</v>
      </c>
      <c r="I289" s="11" t="n">
        <f aca="false">_xlfn.MAXIFS($D$5:$D$425,$A$5:$A$425,"&gt;="&amp;E289,$A$5:$A$425,"&lt;="&amp;F289)</f>
        <v>-457.268962384948</v>
      </c>
      <c r="J289" s="11" t="n">
        <f aca="false">-Short_p*MAX(Floor_c-A289,0)+Cost_k*Alpha_keep*A289+MAX(G289,H289,I289)</f>
        <v>-226.379777987896</v>
      </c>
      <c r="K289" s="22" t="n">
        <f aca="false">ABS(J289-B289)</f>
        <v>0</v>
      </c>
    </row>
    <row r="290" customFormat="false" ht="15" hidden="false" customHeight="false" outlineLevel="0" collapsed="false">
      <c r="A290" s="14" t="n">
        <v>59.25</v>
      </c>
      <c r="B290" s="23" t="n">
        <v>-226.199704707892</v>
      </c>
      <c r="C290" s="19" t="n">
        <v>286</v>
      </c>
      <c r="D290" s="11" t="n">
        <f aca="false">-Cost_k*A290+Beta_q*(Declarations!$B$16*INDEX($B$5:$B$425,$C290-ROUND(Declarations!$A$16/0.05,0))+Declarations!$B$17*INDEX($B$5:$B$425,$C290-ROUND(Declarations!$A$17/0.05,0))+Declarations!$B$18*INDEX($B$5:$B$425,$C290-ROUND(Declarations!$A$18/0.05,0))+Declarations!$B$19*INDEX($B$5:$B$425,$C290-ROUND(Declarations!$A$19/0.05,0))+Declarations!$B$20*INDEX($B$5:$B$425,$C290-ROUND(Declarations!$A$20/0.05,0)))</f>
        <v>-457.89908938578</v>
      </c>
      <c r="E290" s="16" t="n">
        <f aca="false">Alpha_keep*A290</f>
        <v>57.76875</v>
      </c>
      <c r="F290" s="16" t="n">
        <f aca="false">Alpha_keep*A290+Cap_h</f>
        <v>60.26875</v>
      </c>
      <c r="G290" s="11" t="n">
        <f aca="false">(INDEX($D$5:$D$425,MIN(INT((E290-45)/0.05+0.000000001),419)+1)*(1-((E290-45)/0.05-MIN(INT((E290-45)/0.05+0.000000001),419)))+INDEX($D$5:$D$425,MIN(INT((E290-45)/0.05+0.000000001),419)+2)*((E290-45)/0.05-MIN(INT((E290-45)/0.05+0.000000001),419)))</f>
        <v>-457.274704707892</v>
      </c>
      <c r="H290" s="11" t="n">
        <f aca="false">(INDEX($D$5:$D$425,MIN(INT((F290-45)/0.05+0.000000001),419)+1)*(1-((F290-45)/0.05-MIN(INT((F290-45)/0.05+0.000000001),419)))+INDEX($D$5:$D$425,MIN(INT((F290-45)/0.05+0.000000001),419)+2)*((F290-45)/0.05-MIN(INT((F290-45)/0.05+0.000000001),419)))</f>
        <v>-458.472885999228</v>
      </c>
      <c r="I290" s="11" t="n">
        <f aca="false">_xlfn.MAXIFS($D$5:$D$425,$A$5:$A$425,"&gt;="&amp;E290,$A$5:$A$425,"&lt;="&amp;F290)</f>
        <v>-457.284275246134</v>
      </c>
      <c r="J290" s="11" t="n">
        <f aca="false">-Short_p*MAX(Floor_c-A290,0)+Cost_k*Alpha_keep*A290+MAX(G290,H290,I290)</f>
        <v>-226.199704707892</v>
      </c>
      <c r="K290" s="22" t="n">
        <f aca="false">ABS(J290-B290)</f>
        <v>0</v>
      </c>
    </row>
    <row r="291" customFormat="false" ht="15" hidden="false" customHeight="false" outlineLevel="0" collapsed="false">
      <c r="A291" s="14" t="n">
        <v>59.3</v>
      </c>
      <c r="B291" s="23" t="n">
        <v>-226.019653763378</v>
      </c>
      <c r="C291" s="19" t="n">
        <v>287</v>
      </c>
      <c r="D291" s="11" t="n">
        <f aca="false">-Cost_k*A291+Beta_q*(Declarations!$B$16*INDEX($B$5:$B$425,$C291-ROUND(Declarations!$A$16/0.05,0))+Declarations!$B$17*INDEX($B$5:$B$425,$C291-ROUND(Declarations!$A$17/0.05,0))+Declarations!$B$18*INDEX($B$5:$B$425,$C291-ROUND(Declarations!$A$18/0.05,0))+Declarations!$B$19*INDEX($B$5:$B$425,$C291-ROUND(Declarations!$A$19/0.05,0))+Declarations!$B$20*INDEX($B$5:$B$425,$C291-ROUND(Declarations!$A$20/0.05,0)))</f>
        <v>-457.92336851612</v>
      </c>
      <c r="E291" s="16" t="n">
        <f aca="false">Alpha_keep*A291</f>
        <v>57.8175</v>
      </c>
      <c r="F291" s="16" t="n">
        <f aca="false">Alpha_keep*A291+Cap_h</f>
        <v>60.3175</v>
      </c>
      <c r="G291" s="11" t="n">
        <f aca="false">(INDEX($D$5:$D$425,MIN(INT((E291-45)/0.05+0.000000001),419)+1)*(1-((E291-45)/0.05-MIN(INT((E291-45)/0.05+0.000000001),419)))+INDEX($D$5:$D$425,MIN(INT((E291-45)/0.05+0.000000001),419)+2)*((E291-45)/0.05-MIN(INT((E291-45)/0.05+0.000000001),419)))</f>
        <v>-457.289653763378</v>
      </c>
      <c r="H291" s="11" t="n">
        <f aca="false">(INDEX($D$5:$D$425,MIN(INT((F291-45)/0.05+0.000000001),419)+1)*(1-((F291-45)/0.05-MIN(INT((F291-45)/0.05+0.000000001),419)))+INDEX($D$5:$D$425,MIN(INT((F291-45)/0.05+0.000000001),419)+2)*((F291-45)/0.05-MIN(INT((F291-45)/0.05+0.000000001),419)))</f>
        <v>-458.504495267451</v>
      </c>
      <c r="I291" s="11" t="n">
        <f aca="false">_xlfn.MAXIFS($D$5:$D$425,$A$5:$A$425,"&gt;="&amp;E291,$A$5:$A$425,"&lt;="&amp;F291)</f>
        <v>-457.29964243826</v>
      </c>
      <c r="J291" s="11" t="n">
        <f aca="false">-Short_p*MAX(Floor_c-A291,0)+Cost_k*Alpha_keep*A291+MAX(G291,H291,I291)</f>
        <v>-226.019653763378</v>
      </c>
      <c r="K291" s="22" t="n">
        <f aca="false">ABS(J291-B291)</f>
        <v>0</v>
      </c>
    </row>
    <row r="292" customFormat="false" ht="15" hidden="false" customHeight="false" outlineLevel="0" collapsed="false">
      <c r="A292" s="14" t="n">
        <v>59.35</v>
      </c>
      <c r="B292" s="23" t="n">
        <v>-225.839778745744</v>
      </c>
      <c r="C292" s="19" t="n">
        <v>288</v>
      </c>
      <c r="D292" s="11" t="n">
        <f aca="false">-Cost_k*A292+Beta_q*(Declarations!$B$16*INDEX($B$5:$B$425,$C292-ROUND(Declarations!$A$16/0.05,0))+Declarations!$B$17*INDEX($B$5:$B$425,$C292-ROUND(Declarations!$A$17/0.05,0))+Declarations!$B$18*INDEX($B$5:$B$425,$C292-ROUND(Declarations!$A$18/0.05,0))+Declarations!$B$19*INDEX($B$5:$B$425,$C292-ROUND(Declarations!$A$19/0.05,0))+Declarations!$B$20*INDEX($B$5:$B$425,$C292-ROUND(Declarations!$A$20/0.05,0)))</f>
        <v>-457.947777359489</v>
      </c>
      <c r="E292" s="16" t="n">
        <f aca="false">Alpha_keep*A292</f>
        <v>57.86625</v>
      </c>
      <c r="F292" s="16" t="n">
        <f aca="false">Alpha_keep*A292+Cap_h</f>
        <v>60.36625</v>
      </c>
      <c r="G292" s="11" t="n">
        <f aca="false">(INDEX($D$5:$D$425,MIN(INT((E292-45)/0.05+0.000000001),419)+1)*(1-((E292-45)/0.05-MIN(INT((E292-45)/0.05+0.000000001),419)))+INDEX($D$5:$D$425,MIN(INT((E292-45)/0.05+0.000000001),419)+2)*((E292-45)/0.05-MIN(INT((E292-45)/0.05+0.000000001),419)))</f>
        <v>-457.304778745744</v>
      </c>
      <c r="H292" s="11" t="n">
        <f aca="false">(INDEX($D$5:$D$425,MIN(INT((F292-45)/0.05+0.000000001),419)+1)*(1-((F292-45)/0.05-MIN(INT((F292-45)/0.05+0.000000001),419)))+INDEX($D$5:$D$425,MIN(INT((F292-45)/0.05+0.000000001),419)+2)*((F292-45)/0.05-MIN(INT((F292-45)/0.05+0.000000001),419)))</f>
        <v>-458.536118534615</v>
      </c>
      <c r="I292" s="11" t="n">
        <f aca="false">_xlfn.MAXIFS($D$5:$D$425,$A$5:$A$425,"&gt;="&amp;E292,$A$5:$A$425,"&lt;="&amp;F292)</f>
        <v>-457.315446461287</v>
      </c>
      <c r="J292" s="11" t="n">
        <f aca="false">-Short_p*MAX(Floor_c-A292,0)+Cost_k*Alpha_keep*A292+MAX(G292,H292,I292)</f>
        <v>-225.839778745744</v>
      </c>
      <c r="K292" s="22" t="n">
        <f aca="false">ABS(J292-B292)</f>
        <v>0</v>
      </c>
    </row>
    <row r="293" customFormat="false" ht="15" hidden="false" customHeight="false" outlineLevel="0" collapsed="false">
      <c r="A293" s="14" t="n">
        <v>59.4</v>
      </c>
      <c r="B293" s="23" t="n">
        <v>-225.660570139697</v>
      </c>
      <c r="C293" s="19" t="n">
        <v>289</v>
      </c>
      <c r="D293" s="11" t="n">
        <f aca="false">-Cost_k*A293+Beta_q*(Declarations!$B$16*INDEX($B$5:$B$425,$C293-ROUND(Declarations!$A$16/0.05,0))+Declarations!$B$17*INDEX($B$5:$B$425,$C293-ROUND(Declarations!$A$17/0.05,0))+Declarations!$B$18*INDEX($B$5:$B$425,$C293-ROUND(Declarations!$A$18/0.05,0))+Declarations!$B$19*INDEX($B$5:$B$425,$C293-ROUND(Declarations!$A$19/0.05,0))+Declarations!$B$20*INDEX($B$5:$B$425,$C293-ROUND(Declarations!$A$20/0.05,0)))</f>
        <v>-457.972862718096</v>
      </c>
      <c r="E293" s="16" t="n">
        <f aca="false">Alpha_keep*A293</f>
        <v>57.915</v>
      </c>
      <c r="F293" s="16" t="n">
        <f aca="false">Alpha_keep*A293+Cap_h</f>
        <v>60.415</v>
      </c>
      <c r="G293" s="11" t="n">
        <f aca="false">(INDEX($D$5:$D$425,MIN(INT((E293-45)/0.05+0.000000001),419)+1)*(1-((E293-45)/0.05-MIN(INT((E293-45)/0.05+0.000000001),419)))+INDEX($D$5:$D$425,MIN(INT((E293-45)/0.05+0.000000001),419)+2)*((E293-45)/0.05-MIN(INT((E293-45)/0.05+0.000000001),419)))</f>
        <v>-457.320570139697</v>
      </c>
      <c r="H293" s="11" t="n">
        <f aca="false">(INDEX($D$5:$D$425,MIN(INT((F293-45)/0.05+0.000000001),419)+1)*(1-((F293-45)/0.05-MIN(INT((F293-45)/0.05+0.000000001),419)))+INDEX($D$5:$D$425,MIN(INT((F293-45)/0.05+0.000000001),419)+2)*((F293-45)/0.05-MIN(INT((F293-45)/0.05+0.000000001),419)))</f>
        <v>-458.567744434376</v>
      </c>
      <c r="I293" s="11" t="n">
        <f aca="false">_xlfn.MAXIFS($D$5:$D$425,$A$5:$A$425,"&gt;="&amp;E293,$A$5:$A$425,"&lt;="&amp;F293)</f>
        <v>-457.332525389318</v>
      </c>
      <c r="J293" s="11" t="n">
        <f aca="false">-Short_p*MAX(Floor_c-A293,0)+Cost_k*Alpha_keep*A293+MAX(G293,H293,I293)</f>
        <v>-225.660570139697</v>
      </c>
      <c r="K293" s="22" t="n">
        <f aca="false">ABS(J293-B293)</f>
        <v>0</v>
      </c>
    </row>
    <row r="294" customFormat="false" ht="15" hidden="false" customHeight="false" outlineLevel="0" collapsed="false">
      <c r="A294" s="14" t="n">
        <v>59.45</v>
      </c>
      <c r="B294" s="23" t="n">
        <v>-225.48295318401</v>
      </c>
      <c r="C294" s="19" t="n">
        <v>290</v>
      </c>
      <c r="D294" s="11" t="n">
        <f aca="false">-Cost_k*A294+Beta_q*(Declarations!$B$16*INDEX($B$5:$B$425,$C294-ROUND(Declarations!$A$16/0.05,0))+Declarations!$B$17*INDEX($B$5:$B$425,$C294-ROUND(Declarations!$A$17/0.05,0))+Declarations!$B$18*INDEX($B$5:$B$425,$C294-ROUND(Declarations!$A$18/0.05,0))+Declarations!$B$19*INDEX($B$5:$B$425,$C294-ROUND(Declarations!$A$19/0.05,0))+Declarations!$B$20*INDEX($B$5:$B$425,$C294-ROUND(Declarations!$A$20/0.05,0)))</f>
        <v>-457.999468622843</v>
      </c>
      <c r="E294" s="16" t="n">
        <f aca="false">Alpha_keep*A294</f>
        <v>57.96375</v>
      </c>
      <c r="F294" s="16" t="n">
        <f aca="false">Alpha_keep*A294+Cap_h</f>
        <v>60.46375</v>
      </c>
      <c r="G294" s="11" t="n">
        <f aca="false">(INDEX($D$5:$D$425,MIN(INT((E294-45)/0.05+0.000000001),419)+1)*(1-((E294-45)/0.05-MIN(INT((E294-45)/0.05+0.000000001),419)))+INDEX($D$5:$D$425,MIN(INT((E294-45)/0.05+0.000000001),419)+2)*((E294-45)/0.05-MIN(INT((E294-45)/0.05+0.000000001),419)))</f>
        <v>-457.33795318401</v>
      </c>
      <c r="H294" s="11" t="n">
        <f aca="false">(INDEX($D$5:$D$425,MIN(INT((F294-45)/0.05+0.000000001),419)+1)*(1-((F294-45)/0.05-MIN(INT((F294-45)/0.05+0.000000001),419)))+INDEX($D$5:$D$425,MIN(INT((F294-45)/0.05+0.000000001),419)+2)*((F294-45)/0.05-MIN(INT((F294-45)/0.05+0.000000001),419)))</f>
        <v>-458.599378793639</v>
      </c>
      <c r="I294" s="11" t="n">
        <f aca="false">_xlfn.MAXIFS($D$5:$D$425,$A$5:$A$425,"&gt;="&amp;E294,$A$5:$A$425,"&lt;="&amp;F294)</f>
        <v>-457.352262824561</v>
      </c>
      <c r="J294" s="11" t="n">
        <f aca="false">-Short_p*MAX(Floor_c-A294,0)+Cost_k*Alpha_keep*A294+MAX(G294,H294,I294)</f>
        <v>-225.48295318401</v>
      </c>
      <c r="K294" s="22" t="n">
        <f aca="false">ABS(J294-B294)</f>
        <v>0</v>
      </c>
    </row>
    <row r="295" customFormat="false" ht="15" hidden="false" customHeight="false" outlineLevel="0" collapsed="false">
      <c r="A295" s="14" t="n">
        <v>59.5</v>
      </c>
      <c r="B295" s="23" t="n">
        <v>-225.307197318245</v>
      </c>
      <c r="C295" s="19" t="n">
        <v>291</v>
      </c>
      <c r="D295" s="11" t="n">
        <f aca="false">-Cost_k*A295+Beta_q*(Declarations!$B$16*INDEX($B$5:$B$425,$C295-ROUND(Declarations!$A$16/0.05,0))+Declarations!$B$17*INDEX($B$5:$B$425,$C295-ROUND(Declarations!$A$17/0.05,0))+Declarations!$B$18*INDEX($B$5:$B$425,$C295-ROUND(Declarations!$A$18/0.05,0))+Declarations!$B$19*INDEX($B$5:$B$425,$C295-ROUND(Declarations!$A$19/0.05,0))+Declarations!$B$20*INDEX($B$5:$B$425,$C295-ROUND(Declarations!$A$20/0.05,0)))</f>
        <v>-458.027692901977</v>
      </c>
      <c r="E295" s="16" t="n">
        <f aca="false">Alpha_keep*A295</f>
        <v>58.0125</v>
      </c>
      <c r="F295" s="16" t="n">
        <f aca="false">Alpha_keep*A295+Cap_h</f>
        <v>60.5125</v>
      </c>
      <c r="G295" s="11" t="n">
        <f aca="false">(INDEX($D$5:$D$425,MIN(INT((E295-45)/0.05+0.000000001),419)+1)*(1-((E295-45)/0.05-MIN(INT((E295-45)/0.05+0.000000001),419)))+INDEX($D$5:$D$425,MIN(INT((E295-45)/0.05+0.000000001),419)+2)*((E295-45)/0.05-MIN(INT((E295-45)/0.05+0.000000001),419)))</f>
        <v>-457.357197318244</v>
      </c>
      <c r="H295" s="11" t="n">
        <f aca="false">(INDEX($D$5:$D$425,MIN(INT((F295-45)/0.05+0.000000001),419)+1)*(1-((F295-45)/0.05-MIN(INT((F295-45)/0.05+0.000000001),419)))+INDEX($D$5:$D$425,MIN(INT((F295-45)/0.05+0.000000001),419)+2)*((F295-45)/0.05-MIN(INT((F295-45)/0.05+0.000000001),419)))</f>
        <v>-458.631041681496</v>
      </c>
      <c r="I295" s="11" t="n">
        <f aca="false">_xlfn.MAXIFS($D$5:$D$425,$A$5:$A$425,"&gt;="&amp;E295,$A$5:$A$425,"&lt;="&amp;F295)</f>
        <v>-457.372000799294</v>
      </c>
      <c r="J295" s="11" t="n">
        <f aca="false">-Short_p*MAX(Floor_c-A295,0)+Cost_k*Alpha_keep*A295+MAX(G295,H295,I295)</f>
        <v>-225.307197318244</v>
      </c>
      <c r="K295" s="22" t="n">
        <f aca="false">ABS(J295-B295)</f>
        <v>0</v>
      </c>
    </row>
    <row r="296" customFormat="false" ht="15" hidden="false" customHeight="false" outlineLevel="0" collapsed="false">
      <c r="A296" s="14" t="n">
        <v>59.55</v>
      </c>
      <c r="B296" s="23" t="n">
        <v>-225.131441867444</v>
      </c>
      <c r="C296" s="19" t="n">
        <v>292</v>
      </c>
      <c r="D296" s="11" t="n">
        <f aca="false">-Cost_k*A296+Beta_q*(Declarations!$B$16*INDEX($B$5:$B$425,$C296-ROUND(Declarations!$A$16/0.05,0))+Declarations!$B$17*INDEX($B$5:$B$425,$C296-ROUND(Declarations!$A$17/0.05,0))+Declarations!$B$18*INDEX($B$5:$B$425,$C296-ROUND(Declarations!$A$18/0.05,0))+Declarations!$B$19*INDEX($B$5:$B$425,$C296-ROUND(Declarations!$A$19/0.05,0))+Declarations!$B$20*INDEX($B$5:$B$425,$C296-ROUND(Declarations!$A$20/0.05,0)))</f>
        <v>-458.055991042237</v>
      </c>
      <c r="E296" s="16" t="n">
        <f aca="false">Alpha_keep*A296</f>
        <v>58.06125</v>
      </c>
      <c r="F296" s="16" t="n">
        <f aca="false">Alpha_keep*A296+Cap_h</f>
        <v>60.56125</v>
      </c>
      <c r="G296" s="11" t="n">
        <f aca="false">(INDEX($D$5:$D$425,MIN(INT((E296-45)/0.05+0.000000001),419)+1)*(1-((E296-45)/0.05-MIN(INT((E296-45)/0.05+0.000000001),419)))+INDEX($D$5:$D$425,MIN(INT((E296-45)/0.05+0.000000001),419)+2)*((E296-45)/0.05-MIN(INT((E296-45)/0.05+0.000000001),419)))</f>
        <v>-457.376441867444</v>
      </c>
      <c r="H296" s="11" t="n">
        <f aca="false">(INDEX($D$5:$D$425,MIN(INT((F296-45)/0.05+0.000000001),419)+1)*(1-((F296-45)/0.05-MIN(INT((F296-45)/0.05+0.000000001),419)))+INDEX($D$5:$D$425,MIN(INT((F296-45)/0.05+0.000000001),419)+2)*((F296-45)/0.05-MIN(INT((F296-45)/0.05+0.000000001),419)))</f>
        <v>-458.662764231431</v>
      </c>
      <c r="I296" s="11" t="n">
        <f aca="false">_xlfn.MAXIFS($D$5:$D$425,$A$5:$A$425,"&gt;="&amp;E296,$A$5:$A$425,"&lt;="&amp;F296)</f>
        <v>-457.391738879962</v>
      </c>
      <c r="J296" s="11" t="n">
        <f aca="false">-Short_p*MAX(Floor_c-A296,0)+Cost_k*Alpha_keep*A296+MAX(G296,H296,I296)</f>
        <v>-225.131441867444</v>
      </c>
      <c r="K296" s="22" t="n">
        <f aca="false">ABS(J296-B296)</f>
        <v>0</v>
      </c>
    </row>
    <row r="297" customFormat="false" ht="15" hidden="false" customHeight="false" outlineLevel="0" collapsed="false">
      <c r="A297" s="14" t="n">
        <v>59.6</v>
      </c>
      <c r="B297" s="23" t="n">
        <v>-224.955686639625</v>
      </c>
      <c r="C297" s="19" t="n">
        <v>293</v>
      </c>
      <c r="D297" s="11" t="n">
        <f aca="false">-Cost_k*A297+Beta_q*(Declarations!$B$16*INDEX($B$5:$B$425,$C297-ROUND(Declarations!$A$16/0.05,0))+Declarations!$B$17*INDEX($B$5:$B$425,$C297-ROUND(Declarations!$A$17/0.05,0))+Declarations!$B$18*INDEX($B$5:$B$425,$C297-ROUND(Declarations!$A$18/0.05,0))+Declarations!$B$19*INDEX($B$5:$B$425,$C297-ROUND(Declarations!$A$19/0.05,0))+Declarations!$B$20*INDEX($B$5:$B$425,$C297-ROUND(Declarations!$A$20/0.05,0)))</f>
        <v>-458.084291447494</v>
      </c>
      <c r="E297" s="16" t="n">
        <f aca="false">Alpha_keep*A297</f>
        <v>58.11</v>
      </c>
      <c r="F297" s="16" t="n">
        <f aca="false">Alpha_keep*A297+Cap_h</f>
        <v>60.61</v>
      </c>
      <c r="G297" s="11" t="n">
        <f aca="false">(INDEX($D$5:$D$425,MIN(INT((E297-45)/0.05+0.000000001),419)+1)*(1-((E297-45)/0.05-MIN(INT((E297-45)/0.05+0.000000001),419)))+INDEX($D$5:$D$425,MIN(INT((E297-45)/0.05+0.000000001),419)+2)*((E297-45)/0.05-MIN(INT((E297-45)/0.05+0.000000001),419)))</f>
        <v>-457.395686639625</v>
      </c>
      <c r="H297" s="11" t="n">
        <f aca="false">(INDEX($D$5:$D$425,MIN(INT((F297-45)/0.05+0.000000001),419)+1)*(1-((F297-45)/0.05-MIN(INT((F297-45)/0.05+0.000000001),419)))+INDEX($D$5:$D$425,MIN(INT((F297-45)/0.05+0.000000001),419)+2)*((F297-45)/0.05-MIN(INT((F297-45)/0.05+0.000000001),419)))</f>
        <v>-458.694554371846</v>
      </c>
      <c r="I297" s="11" t="n">
        <f aca="false">_xlfn.MAXIFS($D$5:$D$425,$A$5:$A$425,"&gt;="&amp;E297,$A$5:$A$425,"&lt;="&amp;F297)</f>
        <v>-457.411477678279</v>
      </c>
      <c r="J297" s="11" t="n">
        <f aca="false">-Short_p*MAX(Floor_c-A297,0)+Cost_k*Alpha_keep*A297+MAX(G297,H297,I297)</f>
        <v>-224.955686639625</v>
      </c>
      <c r="K297" s="22" t="n">
        <f aca="false">ABS(J297-B297)</f>
        <v>0</v>
      </c>
    </row>
    <row r="298" customFormat="false" ht="15" hidden="false" customHeight="false" outlineLevel="0" collapsed="false">
      <c r="A298" s="14" t="n">
        <v>59.65</v>
      </c>
      <c r="B298" s="23" t="n">
        <v>-224.779932621052</v>
      </c>
      <c r="C298" s="19" t="n">
        <v>294</v>
      </c>
      <c r="D298" s="11" t="n">
        <f aca="false">-Cost_k*A298+Beta_q*(Declarations!$B$16*INDEX($B$5:$B$425,$C298-ROUND(Declarations!$A$16/0.05,0))+Declarations!$B$17*INDEX($B$5:$B$425,$C298-ROUND(Declarations!$A$17/0.05,0))+Declarations!$B$18*INDEX($B$5:$B$425,$C298-ROUND(Declarations!$A$18/0.05,0))+Declarations!$B$19*INDEX($B$5:$B$425,$C298-ROUND(Declarations!$A$19/0.05,0))+Declarations!$B$20*INDEX($B$5:$B$425,$C298-ROUND(Declarations!$A$20/0.05,0)))</f>
        <v>-458.112593018744</v>
      </c>
      <c r="E298" s="16" t="n">
        <f aca="false">Alpha_keep*A298</f>
        <v>58.15875</v>
      </c>
      <c r="F298" s="16" t="n">
        <f aca="false">Alpha_keep*A298+Cap_h</f>
        <v>60.65875</v>
      </c>
      <c r="G298" s="11" t="n">
        <f aca="false">(INDEX($D$5:$D$425,MIN(INT((E298-45)/0.05+0.000000001),419)+1)*(1-((E298-45)/0.05-MIN(INT((E298-45)/0.05+0.000000001),419)))+INDEX($D$5:$D$425,MIN(INT((E298-45)/0.05+0.000000001),419)+2)*((E298-45)/0.05-MIN(INT((E298-45)/0.05+0.000000001),419)))</f>
        <v>-457.414932621052</v>
      </c>
      <c r="H298" s="11" t="n">
        <f aca="false">(INDEX($D$5:$D$425,MIN(INT((F298-45)/0.05+0.000000001),419)+1)*(1-((F298-45)/0.05-MIN(INT((F298-45)/0.05+0.000000001),419)))+INDEX($D$5:$D$425,MIN(INT((F298-45)/0.05+0.000000001),419)+2)*((F298-45)/0.05-MIN(INT((F298-45)/0.05+0.000000001),419)))</f>
        <v>-458.726381036801</v>
      </c>
      <c r="I298" s="11" t="n">
        <f aca="false">_xlfn.MAXIFS($D$5:$D$425,$A$5:$A$425,"&gt;="&amp;E298,$A$5:$A$425,"&lt;="&amp;F298)</f>
        <v>-457.431220208408</v>
      </c>
      <c r="J298" s="11" t="n">
        <f aca="false">-Short_p*MAX(Floor_c-A298,0)+Cost_k*Alpha_keep*A298+MAX(G298,H298,I298)</f>
        <v>-224.779932621052</v>
      </c>
      <c r="K298" s="22" t="n">
        <f aca="false">ABS(J298-B298)</f>
        <v>0</v>
      </c>
    </row>
    <row r="299" customFormat="false" ht="15" hidden="false" customHeight="false" outlineLevel="0" collapsed="false">
      <c r="A299" s="14" t="n">
        <v>59.7</v>
      </c>
      <c r="B299" s="23" t="n">
        <v>-224.604184582092</v>
      </c>
      <c r="C299" s="19" t="n">
        <v>295</v>
      </c>
      <c r="D299" s="11" t="n">
        <f aca="false">-Cost_k*A299+Beta_q*(Declarations!$B$16*INDEX($B$5:$B$425,$C299-ROUND(Declarations!$A$16/0.05,0))+Declarations!$B$17*INDEX($B$5:$B$425,$C299-ROUND(Declarations!$A$17/0.05,0))+Declarations!$B$18*INDEX($B$5:$B$425,$C299-ROUND(Declarations!$A$18/0.05,0))+Declarations!$B$19*INDEX($B$5:$B$425,$C299-ROUND(Declarations!$A$19/0.05,0))+Declarations!$B$20*INDEX($B$5:$B$425,$C299-ROUND(Declarations!$A$20/0.05,0)))</f>
        <v>-458.140900061525</v>
      </c>
      <c r="E299" s="16" t="n">
        <f aca="false">Alpha_keep*A299</f>
        <v>58.2075</v>
      </c>
      <c r="F299" s="16" t="n">
        <f aca="false">Alpha_keep*A299+Cap_h</f>
        <v>60.7075</v>
      </c>
      <c r="G299" s="11" t="n">
        <f aca="false">(INDEX($D$5:$D$425,MIN(INT((E299-45)/0.05+0.000000001),419)+1)*(1-((E299-45)/0.05-MIN(INT((E299-45)/0.05+0.000000001),419)))+INDEX($D$5:$D$425,MIN(INT((E299-45)/0.05+0.000000001),419)+2)*((E299-45)/0.05-MIN(INT((E299-45)/0.05+0.000000001),419)))</f>
        <v>-457.434184582092</v>
      </c>
      <c r="H299" s="11" t="n">
        <f aca="false">(INDEX($D$5:$D$425,MIN(INT((F299-45)/0.05+0.000000001),419)+1)*(1-((F299-45)/0.05-MIN(INT((F299-45)/0.05+0.000000001),419)))+INDEX($D$5:$D$425,MIN(INT((F299-45)/0.05+0.000000001),419)+2)*((F299-45)/0.05-MIN(INT((F299-45)/0.05+0.000000001),419)))</f>
        <v>-458.758216845754</v>
      </c>
      <c r="I299" s="11" t="n">
        <f aca="false">_xlfn.MAXIFS($D$5:$D$425,$A$5:$A$425,"&gt;="&amp;E299,$A$5:$A$425,"&lt;="&amp;F299)</f>
        <v>-457.450982699633</v>
      </c>
      <c r="J299" s="11" t="n">
        <f aca="false">-Short_p*MAX(Floor_c-A299,0)+Cost_k*Alpha_keep*A299+MAX(G299,H299,I299)</f>
        <v>-224.604184582092</v>
      </c>
      <c r="K299" s="22" t="n">
        <f aca="false">ABS(J299-B299)</f>
        <v>0</v>
      </c>
    </row>
    <row r="300" customFormat="false" ht="15" hidden="false" customHeight="false" outlineLevel="0" collapsed="false">
      <c r="A300" s="14" t="n">
        <v>59.75</v>
      </c>
      <c r="B300" s="23" t="n">
        <v>-224.428461377563</v>
      </c>
      <c r="C300" s="19" t="n">
        <v>296</v>
      </c>
      <c r="D300" s="11" t="n">
        <f aca="false">-Cost_k*A300+Beta_q*(Declarations!$B$16*INDEX($B$5:$B$425,$C300-ROUND(Declarations!$A$16/0.05,0))+Declarations!$B$17*INDEX($B$5:$B$425,$C300-ROUND(Declarations!$A$17/0.05,0))+Declarations!$B$18*INDEX($B$5:$B$425,$C300-ROUND(Declarations!$A$18/0.05,0))+Declarations!$B$19*INDEX($B$5:$B$425,$C300-ROUND(Declarations!$A$19/0.05,0))+Declarations!$B$20*INDEX($B$5:$B$425,$C300-ROUND(Declarations!$A$20/0.05,0)))</f>
        <v>-458.169232143265</v>
      </c>
      <c r="E300" s="16" t="n">
        <f aca="false">Alpha_keep*A300</f>
        <v>58.25625</v>
      </c>
      <c r="F300" s="16" t="n">
        <f aca="false">Alpha_keep*A300+Cap_h</f>
        <v>60.75625</v>
      </c>
      <c r="G300" s="11" t="n">
        <f aca="false">(INDEX($D$5:$D$425,MIN(INT((E300-45)/0.05+0.000000001),419)+1)*(1-((E300-45)/0.05-MIN(INT((E300-45)/0.05+0.000000001),419)))+INDEX($D$5:$D$425,MIN(INT((E300-45)/0.05+0.000000001),419)+2)*((E300-45)/0.05-MIN(INT((E300-45)/0.05+0.000000001),419)))</f>
        <v>-457.453461377563</v>
      </c>
      <c r="H300" s="11" t="n">
        <f aca="false">(INDEX($D$5:$D$425,MIN(INT((F300-45)/0.05+0.000000001),419)+1)*(1-((F300-45)/0.05-MIN(INT((F300-45)/0.05+0.000000001),419)))+INDEX($D$5:$D$425,MIN(INT((F300-45)/0.05+0.000000001),419)+2)*((F300-45)/0.05-MIN(INT((F300-45)/0.05+0.000000001),419)))</f>
        <v>-458.790055505865</v>
      </c>
      <c r="I300" s="11" t="n">
        <f aca="false">_xlfn.MAXIFS($D$5:$D$425,$A$5:$A$425,"&gt;="&amp;E300,$A$5:$A$425,"&lt;="&amp;F300)</f>
        <v>-457.470812123071</v>
      </c>
      <c r="J300" s="11" t="n">
        <f aca="false">-Short_p*MAX(Floor_c-A300,0)+Cost_k*Alpha_keep*A300+MAX(G300,H300,I300)</f>
        <v>-224.428461377563</v>
      </c>
      <c r="K300" s="22" t="n">
        <f aca="false">ABS(J300-B300)</f>
        <v>0</v>
      </c>
    </row>
    <row r="301" customFormat="false" ht="15" hidden="false" customHeight="false" outlineLevel="0" collapsed="false">
      <c r="A301" s="14" t="n">
        <v>59.8</v>
      </c>
      <c r="B301" s="23" t="n">
        <v>-224.252804409157</v>
      </c>
      <c r="C301" s="19" t="n">
        <v>297</v>
      </c>
      <c r="D301" s="11" t="n">
        <f aca="false">-Cost_k*A301+Beta_q*(Declarations!$B$16*INDEX($B$5:$B$425,$C301-ROUND(Declarations!$A$16/0.05,0))+Declarations!$B$17*INDEX($B$5:$B$425,$C301-ROUND(Declarations!$A$17/0.05,0))+Declarations!$B$18*INDEX($B$5:$B$425,$C301-ROUND(Declarations!$A$18/0.05,0))+Declarations!$B$19*INDEX($B$5:$B$425,$C301-ROUND(Declarations!$A$19/0.05,0))+Declarations!$B$20*INDEX($B$5:$B$425,$C301-ROUND(Declarations!$A$20/0.05,0)))</f>
        <v>-458.19763340859</v>
      </c>
      <c r="E301" s="16" t="n">
        <f aca="false">Alpha_keep*A301</f>
        <v>58.305</v>
      </c>
      <c r="F301" s="16" t="n">
        <f aca="false">Alpha_keep*A301+Cap_h</f>
        <v>60.805</v>
      </c>
      <c r="G301" s="11" t="n">
        <f aca="false">(INDEX($D$5:$D$425,MIN(INT((E301-45)/0.05+0.000000001),419)+1)*(1-((E301-45)/0.05-MIN(INT((E301-45)/0.05+0.000000001),419)))+INDEX($D$5:$D$425,MIN(INT((E301-45)/0.05+0.000000001),419)+2)*((E301-45)/0.05-MIN(INT((E301-45)/0.05+0.000000001),419)))</f>
        <v>-457.472804409157</v>
      </c>
      <c r="H301" s="11" t="n">
        <f aca="false">(INDEX($D$5:$D$425,MIN(INT((F301-45)/0.05+0.000000001),419)+1)*(1-((F301-45)/0.05-MIN(INT((F301-45)/0.05+0.000000001),419)))+INDEX($D$5:$D$425,MIN(INT((F301-45)/0.05+0.000000001),419)+2)*((F301-45)/0.05-MIN(INT((F301-45)/0.05+0.000000001),419)))</f>
        <v>-458.821909157623</v>
      </c>
      <c r="I301" s="11" t="n">
        <f aca="false">_xlfn.MAXIFS($D$5:$D$425,$A$5:$A$425,"&gt;="&amp;E301,$A$5:$A$425,"&lt;="&amp;F301)</f>
        <v>-457.49073498393</v>
      </c>
      <c r="J301" s="11" t="n">
        <f aca="false">-Short_p*MAX(Floor_c-A301,0)+Cost_k*Alpha_keep*A301+MAX(G301,H301,I301)</f>
        <v>-224.252804409157</v>
      </c>
      <c r="K301" s="22" t="n">
        <f aca="false">ABS(J301-B301)</f>
        <v>0</v>
      </c>
    </row>
    <row r="302" customFormat="false" ht="15" hidden="false" customHeight="false" outlineLevel="0" collapsed="false">
      <c r="A302" s="14" t="n">
        <v>59.85</v>
      </c>
      <c r="B302" s="23" t="n">
        <v>-224.077231583039</v>
      </c>
      <c r="C302" s="19" t="n">
        <v>298</v>
      </c>
      <c r="D302" s="11" t="n">
        <f aca="false">-Cost_k*A302+Beta_q*(Declarations!$B$16*INDEX($B$5:$B$425,$C302-ROUND(Declarations!$A$16/0.05,0))+Declarations!$B$17*INDEX($B$5:$B$425,$C302-ROUND(Declarations!$A$17/0.05,0))+Declarations!$B$18*INDEX($B$5:$B$425,$C302-ROUND(Declarations!$A$18/0.05,0))+Declarations!$B$19*INDEX($B$5:$B$425,$C302-ROUND(Declarations!$A$19/0.05,0))+Declarations!$B$20*INDEX($B$5:$B$425,$C302-ROUND(Declarations!$A$20/0.05,0)))</f>
        <v>-458.226116600688</v>
      </c>
      <c r="E302" s="16" t="n">
        <f aca="false">Alpha_keep*A302</f>
        <v>58.35375</v>
      </c>
      <c r="F302" s="16" t="n">
        <f aca="false">Alpha_keep*A302+Cap_h</f>
        <v>60.85375</v>
      </c>
      <c r="G302" s="11" t="n">
        <f aca="false">(INDEX($D$5:$D$425,MIN(INT((E302-45)/0.05+0.000000001),419)+1)*(1-((E302-45)/0.05-MIN(INT((E302-45)/0.05+0.000000001),419)))+INDEX($D$5:$D$425,MIN(INT((E302-45)/0.05+0.000000001),419)+2)*((E302-45)/0.05-MIN(INT((E302-45)/0.05+0.000000001),419)))</f>
        <v>-457.492231583039</v>
      </c>
      <c r="H302" s="11" t="n">
        <f aca="false">(INDEX($D$5:$D$425,MIN(INT((F302-45)/0.05+0.000000001),419)+1)*(1-((F302-45)/0.05-MIN(INT((F302-45)/0.05+0.000000001),419)))+INDEX($D$5:$D$425,MIN(INT((F302-45)/0.05+0.000000001),419)+2)*((F302-45)/0.05-MIN(INT((F302-45)/0.05+0.000000001),419)))</f>
        <v>-458.853856372837</v>
      </c>
      <c r="I302" s="11" t="n">
        <f aca="false">_xlfn.MAXIFS($D$5:$D$425,$A$5:$A$425,"&gt;="&amp;E302,$A$5:$A$425,"&lt;="&amp;F302)</f>
        <v>-457.510689638711</v>
      </c>
      <c r="J302" s="11" t="n">
        <f aca="false">-Short_p*MAX(Floor_c-A302,0)+Cost_k*Alpha_keep*A302+MAX(G302,H302,I302)</f>
        <v>-224.077231583039</v>
      </c>
      <c r="K302" s="22" t="n">
        <f aca="false">ABS(J302-B302)</f>
        <v>0</v>
      </c>
    </row>
    <row r="303" customFormat="false" ht="15" hidden="false" customHeight="false" outlineLevel="0" collapsed="false">
      <c r="A303" s="14" t="n">
        <v>59.9</v>
      </c>
      <c r="B303" s="23" t="n">
        <v>-223.901687377949</v>
      </c>
      <c r="C303" s="19" t="n">
        <v>299</v>
      </c>
      <c r="D303" s="11" t="n">
        <f aca="false">-Cost_k*A303+Beta_q*(Declarations!$B$16*INDEX($B$5:$B$425,$C303-ROUND(Declarations!$A$16/0.05,0))+Declarations!$B$17*INDEX($B$5:$B$425,$C303-ROUND(Declarations!$A$17/0.05,0))+Declarations!$B$18*INDEX($B$5:$B$425,$C303-ROUND(Declarations!$A$18/0.05,0))+Declarations!$B$19*INDEX($B$5:$B$425,$C303-ROUND(Declarations!$A$19/0.05,0))+Declarations!$B$20*INDEX($B$5:$B$425,$C303-ROUND(Declarations!$A$20/0.05,0)))</f>
        <v>-458.254631707961</v>
      </c>
      <c r="E303" s="16" t="n">
        <f aca="false">Alpha_keep*A303</f>
        <v>58.4025</v>
      </c>
      <c r="F303" s="16" t="n">
        <f aca="false">Alpha_keep*A303+Cap_h</f>
        <v>60.9025</v>
      </c>
      <c r="G303" s="11" t="n">
        <f aca="false">(INDEX($D$5:$D$425,MIN(INT((E303-45)/0.05+0.000000001),419)+1)*(1-((E303-45)/0.05-MIN(INT((E303-45)/0.05+0.000000001),419)))+INDEX($D$5:$D$425,MIN(INT((E303-45)/0.05+0.000000001),419)+2)*((E303-45)/0.05-MIN(INT((E303-45)/0.05+0.000000001),419)))</f>
        <v>-457.511687377949</v>
      </c>
      <c r="H303" s="11" t="n">
        <f aca="false">(INDEX($D$5:$D$425,MIN(INT((F303-45)/0.05+0.000000001),419)+1)*(1-((F303-45)/0.05-MIN(INT((F303-45)/0.05+0.000000001),419)))+INDEX($D$5:$D$425,MIN(INT((F303-45)/0.05+0.000000001),419)+2)*((F303-45)/0.05-MIN(INT((F303-45)/0.05+0.000000001),419)))</f>
        <v>-458.886220199099</v>
      </c>
      <c r="I303" s="11" t="n">
        <f aca="false">_xlfn.MAXIFS($D$5:$D$425,$A$5:$A$425,"&gt;="&amp;E303,$A$5:$A$425,"&lt;="&amp;F303)</f>
        <v>-457.530644423472</v>
      </c>
      <c r="J303" s="11" t="n">
        <f aca="false">-Short_p*MAX(Floor_c-A303,0)+Cost_k*Alpha_keep*A303+MAX(G303,H303,I303)</f>
        <v>-223.901687377949</v>
      </c>
      <c r="K303" s="22" t="n">
        <f aca="false">ABS(J303-B303)</f>
        <v>0</v>
      </c>
    </row>
    <row r="304" customFormat="false" ht="15" hidden="false" customHeight="false" outlineLevel="0" collapsed="false">
      <c r="A304" s="14" t="n">
        <v>59.95</v>
      </c>
      <c r="B304" s="23" t="n">
        <v>-223.726143322283</v>
      </c>
      <c r="C304" s="19" t="n">
        <v>300</v>
      </c>
      <c r="D304" s="11" t="n">
        <f aca="false">-Cost_k*A304+Beta_q*(Declarations!$B$16*INDEX($B$5:$B$425,$C304-ROUND(Declarations!$A$16/0.05,0))+Declarations!$B$17*INDEX($B$5:$B$425,$C304-ROUND(Declarations!$A$17/0.05,0))+Declarations!$B$18*INDEX($B$5:$B$425,$C304-ROUND(Declarations!$A$18/0.05,0))+Declarations!$B$19*INDEX($B$5:$B$425,$C304-ROUND(Declarations!$A$19/0.05,0))+Declarations!$B$20*INDEX($B$5:$B$425,$C304-ROUND(Declarations!$A$20/0.05,0)))</f>
        <v>-458.283149830202</v>
      </c>
      <c r="E304" s="16" t="n">
        <f aca="false">Alpha_keep*A304</f>
        <v>58.45125</v>
      </c>
      <c r="F304" s="16" t="n">
        <f aca="false">Alpha_keep*A304+Cap_h</f>
        <v>60.95125</v>
      </c>
      <c r="G304" s="11" t="n">
        <f aca="false">(INDEX($D$5:$D$425,MIN(INT((E304-45)/0.05+0.000000001),419)+1)*(1-((E304-45)/0.05-MIN(INT((E304-45)/0.05+0.000000001),419)))+INDEX($D$5:$D$425,MIN(INT((E304-45)/0.05+0.000000001),419)+2)*((E304-45)/0.05-MIN(INT((E304-45)/0.05+0.000000001),419)))</f>
        <v>-457.531143322283</v>
      </c>
      <c r="H304" s="11" t="n">
        <f aca="false">(INDEX($D$5:$D$425,MIN(INT((F304-45)/0.05+0.000000001),419)+1)*(1-((F304-45)/0.05-MIN(INT((F304-45)/0.05+0.000000001),419)))+INDEX($D$5:$D$425,MIN(INT((F304-45)/0.05+0.000000001),419)+2)*((F304-45)/0.05-MIN(INT((F304-45)/0.05+0.000000001),419)))</f>
        <v>-458.919579343866</v>
      </c>
      <c r="I304" s="11" t="n">
        <f aca="false">_xlfn.MAXIFS($D$5:$D$425,$A$5:$A$425,"&gt;="&amp;E304,$A$5:$A$425,"&lt;="&amp;F304)</f>
        <v>-457.550600375897</v>
      </c>
      <c r="J304" s="11" t="n">
        <f aca="false">-Short_p*MAX(Floor_c-A304,0)+Cost_k*Alpha_keep*A304+MAX(G304,H304,I304)</f>
        <v>-223.726143322283</v>
      </c>
      <c r="K304" s="22" t="n">
        <f aca="false">ABS(J304-B304)</f>
        <v>0</v>
      </c>
    </row>
    <row r="305" customFormat="false" ht="15" hidden="false" customHeight="false" outlineLevel="0" collapsed="false">
      <c r="A305" s="14" t="n">
        <v>60</v>
      </c>
      <c r="B305" s="23" t="n">
        <v>-223.550600375897</v>
      </c>
      <c r="C305" s="19" t="n">
        <v>301</v>
      </c>
      <c r="D305" s="11" t="n">
        <f aca="false">-Cost_k*A305+Beta_q*(Declarations!$B$16*INDEX($B$5:$B$425,$C305-ROUND(Declarations!$A$16/0.05,0))+Declarations!$B$17*INDEX($B$5:$B$425,$C305-ROUND(Declarations!$A$17/0.05,0))+Declarations!$B$18*INDEX($B$5:$B$425,$C305-ROUND(Declarations!$A$18/0.05,0))+Declarations!$B$19*INDEX($B$5:$B$425,$C305-ROUND(Declarations!$A$19/0.05,0))+Declarations!$B$20*INDEX($B$5:$B$425,$C305-ROUND(Declarations!$A$20/0.05,0)))</f>
        <v>-458.311669387236</v>
      </c>
      <c r="E305" s="16" t="n">
        <f aca="false">Alpha_keep*A305</f>
        <v>58.5</v>
      </c>
      <c r="F305" s="16" t="n">
        <f aca="false">Alpha_keep*A305+Cap_h</f>
        <v>61</v>
      </c>
      <c r="G305" s="11" t="n">
        <f aca="false">(INDEX($D$5:$D$425,MIN(INT((E305-45)/0.05+0.000000001),419)+1)*(1-((E305-45)/0.05-MIN(INT((E305-45)/0.05+0.000000001),419)))+INDEX($D$5:$D$425,MIN(INT((E305-45)/0.05+0.000000001),419)+2)*((E305-45)/0.05-MIN(INT((E305-45)/0.05+0.000000001),419)))</f>
        <v>-457.550600375897</v>
      </c>
      <c r="H305" s="11" t="n">
        <f aca="false">(INDEX($D$5:$D$425,MIN(INT((F305-45)/0.05+0.000000001),419)+1)*(1-((F305-45)/0.05-MIN(INT((F305-45)/0.05+0.000000001),419)))+INDEX($D$5:$D$425,MIN(INT((F305-45)/0.05+0.000000001),419)+2)*((F305-45)/0.05-MIN(INT((F305-45)/0.05+0.000000001),419)))</f>
        <v>-458.954294867873</v>
      </c>
      <c r="I305" s="11" t="n">
        <f aca="false">_xlfn.MAXIFS($D$5:$D$425,$A$5:$A$425,"&gt;="&amp;E305,$A$5:$A$425,"&lt;="&amp;F305)</f>
        <v>-457.550600375897</v>
      </c>
      <c r="J305" s="11" t="n">
        <f aca="false">-Short_p*MAX(Floor_c-A305,0)+Cost_k*Alpha_keep*A305+MAX(G305,H305,I305)</f>
        <v>-223.550600375897</v>
      </c>
      <c r="K305" s="22" t="n">
        <f aca="false">ABS(J305-B305)</f>
        <v>0</v>
      </c>
    </row>
    <row r="306" customFormat="false" ht="15" hidden="false" customHeight="false" outlineLevel="0" collapsed="false">
      <c r="A306" s="14" t="n">
        <v>60.05</v>
      </c>
      <c r="B306" s="23" t="n">
        <v>-223.375068544648</v>
      </c>
      <c r="C306" s="19" t="n">
        <v>302</v>
      </c>
      <c r="D306" s="11" t="n">
        <f aca="false">-Cost_k*A306+Beta_q*(Declarations!$B$16*INDEX($B$5:$B$425,$C306-ROUND(Declarations!$A$16/0.05,0))+Declarations!$B$17*INDEX($B$5:$B$425,$C306-ROUND(Declarations!$A$17/0.05,0))+Declarations!$B$18*INDEX($B$5:$B$425,$C306-ROUND(Declarations!$A$18/0.05,0))+Declarations!$B$19*INDEX($B$5:$B$425,$C306-ROUND(Declarations!$A$19/0.05,0))+Declarations!$B$20*INDEX($B$5:$B$425,$C306-ROUND(Declarations!$A$20/0.05,0)))</f>
        <v>-458.340201478748</v>
      </c>
      <c r="E306" s="16" t="n">
        <f aca="false">Alpha_keep*A306</f>
        <v>58.54875</v>
      </c>
      <c r="F306" s="16" t="n">
        <f aca="false">Alpha_keep*A306+Cap_h</f>
        <v>61.04875</v>
      </c>
      <c r="G306" s="11" t="n">
        <f aca="false">(INDEX($D$5:$D$425,MIN(INT((E306-45)/0.05+0.000000001),419)+1)*(1-((E306-45)/0.05-MIN(INT((E306-45)/0.05+0.000000001),419)))+INDEX($D$5:$D$425,MIN(INT((E306-45)/0.05+0.000000001),419)+2)*((E306-45)/0.05-MIN(INT((E306-45)/0.05+0.000000001),419)))</f>
        <v>-457.570068544648</v>
      </c>
      <c r="H306" s="11" t="n">
        <f aca="false">(INDEX($D$5:$D$425,MIN(INT((F306-45)/0.05+0.000000001),419)+1)*(1-((F306-45)/0.05-MIN(INT((F306-45)/0.05+0.000000001),419)))+INDEX($D$5:$D$425,MIN(INT((F306-45)/0.05+0.000000001),419)+2)*((F306-45)/0.05-MIN(INT((F306-45)/0.05+0.000000001),419)))</f>
        <v>-458.989740577723</v>
      </c>
      <c r="I306" s="11" t="n">
        <f aca="false">_xlfn.MAXIFS($D$5:$D$425,$A$5:$A$425,"&gt;="&amp;E306,$A$5:$A$425,"&lt;="&amp;F306)</f>
        <v>-457.570567728462</v>
      </c>
      <c r="J306" s="11" t="n">
        <f aca="false">-Short_p*MAX(Floor_c-A306,0)+Cost_k*Alpha_keep*A306+MAX(G306,H306,I306)</f>
        <v>-223.375068544648</v>
      </c>
      <c r="K306" s="22" t="n">
        <f aca="false">ABS(J306-B306)</f>
        <v>0</v>
      </c>
    </row>
    <row r="307" customFormat="false" ht="15" hidden="false" customHeight="false" outlineLevel="0" collapsed="false">
      <c r="A307" s="14" t="n">
        <v>60.1</v>
      </c>
      <c r="B307" s="23" t="n">
        <v>-223.199629243843</v>
      </c>
      <c r="C307" s="19" t="n">
        <v>303</v>
      </c>
      <c r="D307" s="11" t="n">
        <f aca="false">-Cost_k*A307+Beta_q*(Declarations!$B$16*INDEX($B$5:$B$425,$C307-ROUND(Declarations!$A$16/0.05,0))+Declarations!$B$17*INDEX($B$5:$B$425,$C307-ROUND(Declarations!$A$17/0.05,0))+Declarations!$B$18*INDEX($B$5:$B$425,$C307-ROUND(Declarations!$A$18/0.05,0))+Declarations!$B$19*INDEX($B$5:$B$425,$C307-ROUND(Declarations!$A$19/0.05,0))+Declarations!$B$20*INDEX($B$5:$B$425,$C307-ROUND(Declarations!$A$20/0.05,0)))</f>
        <v>-458.368835082934</v>
      </c>
      <c r="E307" s="16" t="n">
        <f aca="false">Alpha_keep*A307</f>
        <v>58.5975</v>
      </c>
      <c r="F307" s="16" t="n">
        <f aca="false">Alpha_keep*A307+Cap_h</f>
        <v>61.0975</v>
      </c>
      <c r="G307" s="11" t="n">
        <f aca="false">(INDEX($D$5:$D$425,MIN(INT((E307-45)/0.05+0.000000001),419)+1)*(1-((E307-45)/0.05-MIN(INT((E307-45)/0.05+0.000000001),419)))+INDEX($D$5:$D$425,MIN(INT((E307-45)/0.05+0.000000001),419)+2)*((E307-45)/0.05-MIN(INT((E307-45)/0.05+0.000000001),419)))</f>
        <v>-457.589629243843</v>
      </c>
      <c r="H307" s="11" t="n">
        <f aca="false">(INDEX($D$5:$D$425,MIN(INT((F307-45)/0.05+0.000000001),419)+1)*(1-((F307-45)/0.05-MIN(INT((F307-45)/0.05+0.000000001),419)))+INDEX($D$5:$D$425,MIN(INT((F307-45)/0.05+0.000000001),419)+2)*((F307-45)/0.05-MIN(INT((F307-45)/0.05+0.000000001),419)))</f>
        <v>-459.025295302648</v>
      </c>
      <c r="I307" s="11" t="n">
        <f aca="false">_xlfn.MAXIFS($D$5:$D$425,$A$5:$A$425,"&gt;="&amp;E307,$A$5:$A$425,"&lt;="&amp;F307)</f>
        <v>-457.590632481494</v>
      </c>
      <c r="J307" s="11" t="n">
        <f aca="false">-Short_p*MAX(Floor_c-A307,0)+Cost_k*Alpha_keep*A307+MAX(G307,H307,I307)</f>
        <v>-223.199629243843</v>
      </c>
      <c r="K307" s="22" t="n">
        <f aca="false">ABS(J307-B307)</f>
        <v>0</v>
      </c>
    </row>
    <row r="308" customFormat="false" ht="15" hidden="false" customHeight="false" outlineLevel="0" collapsed="false">
      <c r="A308" s="14" t="n">
        <v>60.15</v>
      </c>
      <c r="B308" s="23" t="n">
        <v>-223.024842673979</v>
      </c>
      <c r="C308" s="19" t="n">
        <v>304</v>
      </c>
      <c r="D308" s="11" t="n">
        <f aca="false">-Cost_k*A308+Beta_q*(Declarations!$B$16*INDEX($B$5:$B$425,$C308-ROUND(Declarations!$A$16/0.05,0))+Declarations!$B$17*INDEX($B$5:$B$425,$C308-ROUND(Declarations!$A$17/0.05,0))+Declarations!$B$18*INDEX($B$5:$B$425,$C308-ROUND(Declarations!$A$18/0.05,0))+Declarations!$B$19*INDEX($B$5:$B$425,$C308-ROUND(Declarations!$A$19/0.05,0))+Declarations!$B$20*INDEX($B$5:$B$425,$C308-ROUND(Declarations!$A$20/0.05,0)))</f>
        <v>-458.398054307648</v>
      </c>
      <c r="E308" s="16" t="n">
        <f aca="false">Alpha_keep*A308</f>
        <v>58.64625</v>
      </c>
      <c r="F308" s="16" t="n">
        <f aca="false">Alpha_keep*A308+Cap_h</f>
        <v>61.14625</v>
      </c>
      <c r="G308" s="11" t="n">
        <f aca="false">(INDEX($D$5:$D$425,MIN(INT((E308-45)/0.05+0.000000001),419)+1)*(1-((E308-45)/0.05-MIN(INT((E308-45)/0.05+0.000000001),419)))+INDEX($D$5:$D$425,MIN(INT((E308-45)/0.05+0.000000001),419)+2)*((E308-45)/0.05-MIN(INT((E308-45)/0.05+0.000000001),419)))</f>
        <v>-457.609842673979</v>
      </c>
      <c r="H308" s="11" t="n">
        <f aca="false">(INDEX($D$5:$D$425,MIN(INT((F308-45)/0.05+0.000000001),419)+1)*(1-((F308-45)/0.05-MIN(INT((F308-45)/0.05+0.000000001),419)))+INDEX($D$5:$D$425,MIN(INT((F308-45)/0.05+0.000000001),419)+2)*((F308-45)/0.05-MIN(INT((F308-45)/0.05+0.000000001),419)))</f>
        <v>-459.060870167308</v>
      </c>
      <c r="I308" s="11" t="n">
        <f aca="false">_xlfn.MAXIFS($D$5:$D$425,$A$5:$A$425,"&gt;="&amp;E308,$A$5:$A$425,"&lt;="&amp;F308)</f>
        <v>-457.611400257154</v>
      </c>
      <c r="J308" s="11" t="n">
        <f aca="false">-Short_p*MAX(Floor_c-A308,0)+Cost_k*Alpha_keep*A308+MAX(G308,H308,I308)</f>
        <v>-223.024842673979</v>
      </c>
      <c r="K308" s="22" t="n">
        <f aca="false">ABS(J308-B308)</f>
        <v>0</v>
      </c>
    </row>
    <row r="309" customFormat="false" ht="15" hidden="false" customHeight="false" outlineLevel="0" collapsed="false">
      <c r="A309" s="14" t="n">
        <v>60.2</v>
      </c>
      <c r="B309" s="23" t="n">
        <v>-222.851502674997</v>
      </c>
      <c r="C309" s="19" t="n">
        <v>305</v>
      </c>
      <c r="D309" s="11" t="n">
        <f aca="false">-Cost_k*A309+Beta_q*(Declarations!$B$16*INDEX($B$5:$B$425,$C309-ROUND(Declarations!$A$16/0.05,0))+Declarations!$B$17*INDEX($B$5:$B$425,$C309-ROUND(Declarations!$A$17/0.05,0))+Declarations!$B$18*INDEX($B$5:$B$425,$C309-ROUND(Declarations!$A$18/0.05,0))+Declarations!$B$19*INDEX($B$5:$B$425,$C309-ROUND(Declarations!$A$19/0.05,0))+Declarations!$B$20*INDEX($B$5:$B$425,$C309-ROUND(Declarations!$A$20/0.05,0)))</f>
        <v>-458.428627313111</v>
      </c>
      <c r="E309" s="16" t="n">
        <f aca="false">Alpha_keep*A309</f>
        <v>58.695</v>
      </c>
      <c r="F309" s="16" t="n">
        <f aca="false">Alpha_keep*A309+Cap_h</f>
        <v>61.195</v>
      </c>
      <c r="G309" s="11" t="n">
        <f aca="false">(INDEX($D$5:$D$425,MIN(INT((E309-45)/0.05+0.000000001),419)+1)*(1-((E309-45)/0.05-MIN(INT((E309-45)/0.05+0.000000001),419)))+INDEX($D$5:$D$425,MIN(INT((E309-45)/0.05+0.000000001),419)+2)*((E309-45)/0.05-MIN(INT((E309-45)/0.05+0.000000001),419)))</f>
        <v>-457.631502674997</v>
      </c>
      <c r="H309" s="11" t="n">
        <f aca="false">(INDEX($D$5:$D$425,MIN(INT((F309-45)/0.05+0.000000001),419)+1)*(1-((F309-45)/0.05-MIN(INT((F309-45)/0.05+0.000000001),419)))+INDEX($D$5:$D$425,MIN(INT((F309-45)/0.05+0.000000001),419)+2)*((F309-45)/0.05-MIN(INT((F309-45)/0.05+0.000000001),419)))</f>
        <v>-459.096450662162</v>
      </c>
      <c r="I309" s="11" t="n">
        <f aca="false">_xlfn.MAXIFS($D$5:$D$425,$A$5:$A$425,"&gt;="&amp;E309,$A$5:$A$425,"&lt;="&amp;F309)</f>
        <v>-457.633736276979</v>
      </c>
      <c r="J309" s="11" t="n">
        <f aca="false">-Short_p*MAX(Floor_c-A309,0)+Cost_k*Alpha_keep*A309+MAX(G309,H309,I309)</f>
        <v>-222.851502674997</v>
      </c>
      <c r="K309" s="22" t="n">
        <f aca="false">ABS(J309-B309)</f>
        <v>0</v>
      </c>
    </row>
    <row r="310" customFormat="false" ht="15" hidden="false" customHeight="false" outlineLevel="0" collapsed="false">
      <c r="A310" s="14" t="n">
        <v>60.25</v>
      </c>
      <c r="B310" s="23" t="n">
        <v>-222.679751759276</v>
      </c>
      <c r="C310" s="19" t="n">
        <v>306</v>
      </c>
      <c r="D310" s="11" t="n">
        <f aca="false">-Cost_k*A310+Beta_q*(Declarations!$B$16*INDEX($B$5:$B$425,$C310-ROUND(Declarations!$A$16/0.05,0))+Declarations!$B$17*INDEX($B$5:$B$425,$C310-ROUND(Declarations!$A$17/0.05,0))+Declarations!$B$18*INDEX($B$5:$B$425,$C310-ROUND(Declarations!$A$18/0.05,0))+Declarations!$B$19*INDEX($B$5:$B$425,$C310-ROUND(Declarations!$A$19/0.05,0))+Declarations!$B$20*INDEX($B$5:$B$425,$C310-ROUND(Declarations!$A$20/0.05,0)))</f>
        <v>-458.460731461218</v>
      </c>
      <c r="E310" s="16" t="n">
        <f aca="false">Alpha_keep*A310</f>
        <v>58.74375</v>
      </c>
      <c r="F310" s="16" t="n">
        <f aca="false">Alpha_keep*A310+Cap_h</f>
        <v>61.24375</v>
      </c>
      <c r="G310" s="11" t="n">
        <f aca="false">(INDEX($D$5:$D$425,MIN(INT((E310-45)/0.05+0.000000001),419)+1)*(1-((E310-45)/0.05-MIN(INT((E310-45)/0.05+0.000000001),419)))+INDEX($D$5:$D$425,MIN(INT((E310-45)/0.05+0.000000001),419)+2)*((E310-45)/0.05-MIN(INT((E310-45)/0.05+0.000000001),419)))</f>
        <v>-457.654751759276</v>
      </c>
      <c r="H310" s="11" t="n">
        <f aca="false">(INDEX($D$5:$D$425,MIN(INT((F310-45)/0.05+0.000000001),419)+1)*(1-((F310-45)/0.05-MIN(INT((F310-45)/0.05+0.000000001),419)))+INDEX($D$5:$D$425,MIN(INT((F310-45)/0.05+0.000000001),419)+2)*((F310-45)/0.05-MIN(INT((F310-45)/0.05+0.000000001),419)))</f>
        <v>-459.132042840538</v>
      </c>
      <c r="I310" s="11" t="n">
        <f aca="false">_xlfn.MAXIFS($D$5:$D$425,$A$5:$A$425,"&gt;="&amp;E310,$A$5:$A$425,"&lt;="&amp;F310)</f>
        <v>-457.657753971033</v>
      </c>
      <c r="J310" s="11" t="n">
        <f aca="false">-Short_p*MAX(Floor_c-A310,0)+Cost_k*Alpha_keep*A310+MAX(G310,H310,I310)</f>
        <v>-222.679751759276</v>
      </c>
      <c r="K310" s="22" t="n">
        <f aca="false">ABS(J310-B310)</f>
        <v>0</v>
      </c>
    </row>
    <row r="311" customFormat="false" ht="15" hidden="false" customHeight="false" outlineLevel="0" collapsed="false">
      <c r="A311" s="14" t="n">
        <v>60.3</v>
      </c>
      <c r="B311" s="23" t="n">
        <v>-222.508176642681</v>
      </c>
      <c r="C311" s="19" t="n">
        <v>307</v>
      </c>
      <c r="D311" s="11" t="n">
        <f aca="false">-Cost_k*A311+Beta_q*(Declarations!$B$16*INDEX($B$5:$B$425,$C311-ROUND(Declarations!$A$16/0.05,0))+Declarations!$B$17*INDEX($B$5:$B$425,$C311-ROUND(Declarations!$A$17/0.05,0))+Declarations!$B$18*INDEX($B$5:$B$425,$C311-ROUND(Declarations!$A$18/0.05,0))+Declarations!$B$19*INDEX($B$5:$B$425,$C311-ROUND(Declarations!$A$19/0.05,0))+Declarations!$B$20*INDEX($B$5:$B$425,$C311-ROUND(Declarations!$A$20/0.05,0)))</f>
        <v>-458.493143562579</v>
      </c>
      <c r="E311" s="16" t="n">
        <f aca="false">Alpha_keep*A311</f>
        <v>58.7925</v>
      </c>
      <c r="F311" s="16" t="n">
        <f aca="false">Alpha_keep*A311+Cap_h</f>
        <v>61.2925</v>
      </c>
      <c r="G311" s="11" t="n">
        <f aca="false">(INDEX($D$5:$D$425,MIN(INT((E311-45)/0.05+0.000000001),419)+1)*(1-((E311-45)/0.05-MIN(INT((E311-45)/0.05+0.000000001),419)))+INDEX($D$5:$D$425,MIN(INT((E311-45)/0.05+0.000000001),419)+2)*((E311-45)/0.05-MIN(INT((E311-45)/0.05+0.000000001),419)))</f>
        <v>-457.67817664268</v>
      </c>
      <c r="H311" s="11" t="n">
        <f aca="false">(INDEX($D$5:$D$425,MIN(INT((F311-45)/0.05+0.000000001),419)+1)*(1-((F311-45)/0.05-MIN(INT((F311-45)/0.05+0.000000001),419)))+INDEX($D$5:$D$425,MIN(INT((F311-45)/0.05+0.000000001),419)+2)*((F311-45)/0.05-MIN(INT((F311-45)/0.05+0.000000001),419)))</f>
        <v>-459.167669695138</v>
      </c>
      <c r="I311" s="11" t="n">
        <f aca="false">_xlfn.MAXIFS($D$5:$D$425,$A$5:$A$425,"&gt;="&amp;E311,$A$5:$A$425,"&lt;="&amp;F311)</f>
        <v>-457.68178064356</v>
      </c>
      <c r="J311" s="11" t="n">
        <f aca="false">-Short_p*MAX(Floor_c-A311,0)+Cost_k*Alpha_keep*A311+MAX(G311,H311,I311)</f>
        <v>-222.50817664268</v>
      </c>
      <c r="K311" s="22" t="n">
        <f aca="false">ABS(J311-B311)</f>
        <v>0</v>
      </c>
    </row>
    <row r="312" customFormat="false" ht="15" hidden="false" customHeight="false" outlineLevel="0" collapsed="false">
      <c r="A312" s="14" t="n">
        <v>60.35</v>
      </c>
      <c r="B312" s="23" t="n">
        <v>-222.336602840762</v>
      </c>
      <c r="C312" s="19" t="n">
        <v>308</v>
      </c>
      <c r="D312" s="11" t="n">
        <f aca="false">-Cost_k*A312+Beta_q*(Declarations!$B$16*INDEX($B$5:$B$425,$C312-ROUND(Declarations!$A$16/0.05,0))+Declarations!$B$17*INDEX($B$5:$B$425,$C312-ROUND(Declarations!$A$17/0.05,0))+Declarations!$B$18*INDEX($B$5:$B$425,$C312-ROUND(Declarations!$A$18/0.05,0))+Declarations!$B$19*INDEX($B$5:$B$425,$C312-ROUND(Declarations!$A$19/0.05,0))+Declarations!$B$20*INDEX($B$5:$B$425,$C312-ROUND(Declarations!$A$20/0.05,0)))</f>
        <v>-458.52557700507</v>
      </c>
      <c r="E312" s="16" t="n">
        <f aca="false">Alpha_keep*A312</f>
        <v>58.84125</v>
      </c>
      <c r="F312" s="16" t="n">
        <f aca="false">Alpha_keep*A312+Cap_h</f>
        <v>61.34125</v>
      </c>
      <c r="G312" s="11" t="n">
        <f aca="false">(INDEX($D$5:$D$425,MIN(INT((E312-45)/0.05+0.000000001),419)+1)*(1-((E312-45)/0.05-MIN(INT((E312-45)/0.05+0.000000001),419)))+INDEX($D$5:$D$425,MIN(INT((E312-45)/0.05+0.000000001),419)+2)*((E312-45)/0.05-MIN(INT((E312-45)/0.05+0.000000001),419)))</f>
        <v>-457.701602840762</v>
      </c>
      <c r="H312" s="11" t="n">
        <f aca="false">(INDEX($D$5:$D$425,MIN(INT((F312-45)/0.05+0.000000001),419)+1)*(1-((F312-45)/0.05-MIN(INT((F312-45)/0.05+0.000000001),419)))+INDEX($D$5:$D$425,MIN(INT((F312-45)/0.05+0.000000001),419)+2)*((F312-45)/0.05-MIN(INT((F312-45)/0.05+0.000000001),419)))</f>
        <v>-459.203356324829</v>
      </c>
      <c r="I312" s="11" t="n">
        <f aca="false">_xlfn.MAXIFS($D$5:$D$425,$A$5:$A$425,"&gt;="&amp;E312,$A$5:$A$425,"&lt;="&amp;F312)</f>
        <v>-457.70580754926</v>
      </c>
      <c r="J312" s="11" t="n">
        <f aca="false">-Short_p*MAX(Floor_c-A312,0)+Cost_k*Alpha_keep*A312+MAX(G312,H312,I312)</f>
        <v>-222.336602840762</v>
      </c>
      <c r="K312" s="22" t="n">
        <f aca="false">ABS(J312-B312)</f>
        <v>0</v>
      </c>
    </row>
    <row r="313" customFormat="false" ht="15" hidden="false" customHeight="false" outlineLevel="0" collapsed="false">
      <c r="A313" s="14" t="n">
        <v>60.4</v>
      </c>
      <c r="B313" s="23" t="n">
        <v>-222.165029971685</v>
      </c>
      <c r="C313" s="19" t="n">
        <v>309</v>
      </c>
      <c r="D313" s="11" t="n">
        <f aca="false">-Cost_k*A313+Beta_q*(Declarations!$B$16*INDEX($B$5:$B$425,$C313-ROUND(Declarations!$A$16/0.05,0))+Declarations!$B$17*INDEX($B$5:$B$425,$C313-ROUND(Declarations!$A$17/0.05,0))+Declarations!$B$18*INDEX($B$5:$B$425,$C313-ROUND(Declarations!$A$18/0.05,0))+Declarations!$B$19*INDEX($B$5:$B$425,$C313-ROUND(Declarations!$A$19/0.05,0))+Declarations!$B$20*INDEX($B$5:$B$425,$C313-ROUND(Declarations!$A$20/0.05,0)))</f>
        <v>-458.558012480592</v>
      </c>
      <c r="E313" s="16" t="n">
        <f aca="false">Alpha_keep*A313</f>
        <v>58.89</v>
      </c>
      <c r="F313" s="16" t="n">
        <f aca="false">Alpha_keep*A313+Cap_h</f>
        <v>61.39</v>
      </c>
      <c r="G313" s="11" t="n">
        <f aca="false">(INDEX($D$5:$D$425,MIN(INT((E313-45)/0.05+0.000000001),419)+1)*(1-((E313-45)/0.05-MIN(INT((E313-45)/0.05+0.000000001),419)))+INDEX($D$5:$D$425,MIN(INT((E313-45)/0.05+0.000000001),419)+2)*((E313-45)/0.05-MIN(INT((E313-45)/0.05+0.000000001),419)))</f>
        <v>-457.725029971685</v>
      </c>
      <c r="H313" s="11" t="n">
        <f aca="false">(INDEX($D$5:$D$425,MIN(INT((F313-45)/0.05+0.000000001),419)+1)*(1-((F313-45)/0.05-MIN(INT((F313-45)/0.05+0.000000001),419)))+INDEX($D$5:$D$425,MIN(INT((F313-45)/0.05+0.000000001),419)+2)*((F313-45)/0.05-MIN(INT((F313-45)/0.05+0.000000001),419)))</f>
        <v>-459.2390990916</v>
      </c>
      <c r="I313" s="11" t="n">
        <f aca="false">_xlfn.MAXIFS($D$5:$D$425,$A$5:$A$425,"&gt;="&amp;E313,$A$5:$A$425,"&lt;="&amp;F313)</f>
        <v>-457.729835577291</v>
      </c>
      <c r="J313" s="11" t="n">
        <f aca="false">-Short_p*MAX(Floor_c-A313,0)+Cost_k*Alpha_keep*A313+MAX(G313,H313,I313)</f>
        <v>-222.165029971685</v>
      </c>
      <c r="K313" s="22" t="n">
        <f aca="false">ABS(J313-B313)</f>
        <v>0</v>
      </c>
    </row>
    <row r="314" customFormat="false" ht="15" hidden="false" customHeight="false" outlineLevel="0" collapsed="false">
      <c r="A314" s="14" t="n">
        <v>60.45</v>
      </c>
      <c r="B314" s="23" t="n">
        <v>-221.993461624162</v>
      </c>
      <c r="C314" s="19" t="n">
        <v>310</v>
      </c>
      <c r="D314" s="11" t="n">
        <f aca="false">-Cost_k*A314+Beta_q*(Declarations!$B$16*INDEX($B$5:$B$425,$C314-ROUND(Declarations!$A$16/0.05,0))+Declarations!$B$17*INDEX($B$5:$B$425,$C314-ROUND(Declarations!$A$17/0.05,0))+Declarations!$B$18*INDEX($B$5:$B$425,$C314-ROUND(Declarations!$A$18/0.05,0))+Declarations!$B$19*INDEX($B$5:$B$425,$C314-ROUND(Declarations!$A$19/0.05,0))+Declarations!$B$20*INDEX($B$5:$B$425,$C314-ROUND(Declarations!$A$20/0.05,0)))</f>
        <v>-458.590452326538</v>
      </c>
      <c r="E314" s="16" t="n">
        <f aca="false">Alpha_keep*A314</f>
        <v>58.93875</v>
      </c>
      <c r="F314" s="16" t="n">
        <f aca="false">Alpha_keep*A314+Cap_h</f>
        <v>61.43875</v>
      </c>
      <c r="G314" s="11" t="n">
        <f aca="false">(INDEX($D$5:$D$425,MIN(INT((E314-45)/0.05+0.000000001),419)+1)*(1-((E314-45)/0.05-MIN(INT((E314-45)/0.05+0.000000001),419)))+INDEX($D$5:$D$425,MIN(INT((E314-45)/0.05+0.000000001),419)+2)*((E314-45)/0.05-MIN(INT((E314-45)/0.05+0.000000001),419)))</f>
        <v>-457.748461624162</v>
      </c>
      <c r="H314" s="11" t="n">
        <f aca="false">(INDEX($D$5:$D$425,MIN(INT((F314-45)/0.05+0.000000001),419)+1)*(1-((F314-45)/0.05-MIN(INT((F314-45)/0.05+0.000000001),419)))+INDEX($D$5:$D$425,MIN(INT((F314-45)/0.05+0.000000001),419)+2)*((F314-45)/0.05-MIN(INT((F314-45)/0.05+0.000000001),419)))</f>
        <v>-459.27487070267</v>
      </c>
      <c r="I314" s="11" t="n">
        <f aca="false">_xlfn.MAXIFS($D$5:$D$425,$A$5:$A$425,"&gt;="&amp;E314,$A$5:$A$425,"&lt;="&amp;F314)</f>
        <v>-457.753869186157</v>
      </c>
      <c r="J314" s="11" t="n">
        <f aca="false">-Short_p*MAX(Floor_c-A314,0)+Cost_k*Alpha_keep*A314+MAX(G314,H314,I314)</f>
        <v>-221.993461624162</v>
      </c>
      <c r="K314" s="22" t="n">
        <f aca="false">ABS(J314-B314)</f>
        <v>0</v>
      </c>
    </row>
    <row r="315" customFormat="false" ht="15" hidden="false" customHeight="false" outlineLevel="0" collapsed="false">
      <c r="A315" s="14" t="n">
        <v>60.5</v>
      </c>
      <c r="B315" s="23" t="n">
        <v>-221.821915326808</v>
      </c>
      <c r="C315" s="19" t="n">
        <v>311</v>
      </c>
      <c r="D315" s="11" t="n">
        <f aca="false">-Cost_k*A315+Beta_q*(Declarations!$B$16*INDEX($B$5:$B$425,$C315-ROUND(Declarations!$A$16/0.05,0))+Declarations!$B$17*INDEX($B$5:$B$425,$C315-ROUND(Declarations!$A$17/0.05,0))+Declarations!$B$18*INDEX($B$5:$B$425,$C315-ROUND(Declarations!$A$18/0.05,0))+Declarations!$B$19*INDEX($B$5:$B$425,$C315-ROUND(Declarations!$A$19/0.05,0))+Declarations!$B$20*INDEX($B$5:$B$425,$C315-ROUND(Declarations!$A$20/0.05,0)))</f>
        <v>-458.622912206906</v>
      </c>
      <c r="E315" s="16" t="n">
        <f aca="false">Alpha_keep*A315</f>
        <v>58.9875</v>
      </c>
      <c r="F315" s="16" t="n">
        <f aca="false">Alpha_keep*A315+Cap_h</f>
        <v>61.4875</v>
      </c>
      <c r="G315" s="11" t="n">
        <f aca="false">(INDEX($D$5:$D$425,MIN(INT((E315-45)/0.05+0.000000001),419)+1)*(1-((E315-45)/0.05-MIN(INT((E315-45)/0.05+0.000000001),419)))+INDEX($D$5:$D$425,MIN(INT((E315-45)/0.05+0.000000001),419)+2)*((E315-45)/0.05-MIN(INT((E315-45)/0.05+0.000000001),419)))</f>
        <v>-457.771915326808</v>
      </c>
      <c r="H315" s="11" t="n">
        <f aca="false">(INDEX($D$5:$D$425,MIN(INT((F315-45)/0.05+0.000000001),419)+1)*(1-((F315-45)/0.05-MIN(INT((F315-45)/0.05+0.000000001),419)))+INDEX($D$5:$D$425,MIN(INT((F315-45)/0.05+0.000000001),419)+2)*((F315-45)/0.05-MIN(INT((F315-45)/0.05+0.000000001),419)))</f>
        <v>-459.310651581018</v>
      </c>
      <c r="I315" s="11" t="n">
        <f aca="false">_xlfn.MAXIFS($D$5:$D$425,$A$5:$A$425,"&gt;="&amp;E315,$A$5:$A$425,"&lt;="&amp;F315)</f>
        <v>-457.777930707025</v>
      </c>
      <c r="J315" s="11" t="n">
        <f aca="false">-Short_p*MAX(Floor_c-A315,0)+Cost_k*Alpha_keep*A315+MAX(G315,H315,I315)</f>
        <v>-221.821915326808</v>
      </c>
      <c r="K315" s="22" t="n">
        <f aca="false">ABS(J315-B315)</f>
        <v>0</v>
      </c>
    </row>
    <row r="316" customFormat="false" ht="15" hidden="false" customHeight="false" outlineLevel="0" collapsed="false">
      <c r="A316" s="14" t="n">
        <v>60.55</v>
      </c>
      <c r="B316" s="23" t="n">
        <v>-221.65043357242</v>
      </c>
      <c r="C316" s="19" t="n">
        <v>312</v>
      </c>
      <c r="D316" s="11" t="n">
        <f aca="false">-Cost_k*A316+Beta_q*(Declarations!$B$16*INDEX($B$5:$B$425,$C316-ROUND(Declarations!$A$16/0.05,0))+Declarations!$B$17*INDEX($B$5:$B$425,$C316-ROUND(Declarations!$A$17/0.05,0))+Declarations!$B$18*INDEX($B$5:$B$425,$C316-ROUND(Declarations!$A$18/0.05,0))+Declarations!$B$19*INDEX($B$5:$B$425,$C316-ROUND(Declarations!$A$19/0.05,0))+Declarations!$B$20*INDEX($B$5:$B$425,$C316-ROUND(Declarations!$A$20/0.05,0)))</f>
        <v>-458.655430105264</v>
      </c>
      <c r="E316" s="16" t="n">
        <f aca="false">Alpha_keep*A316</f>
        <v>59.03625</v>
      </c>
      <c r="F316" s="16" t="n">
        <f aca="false">Alpha_keep*A316+Cap_h</f>
        <v>61.53625</v>
      </c>
      <c r="G316" s="11" t="n">
        <f aca="false">(INDEX($D$5:$D$425,MIN(INT((E316-45)/0.05+0.000000001),419)+1)*(1-((E316-45)/0.05-MIN(INT((E316-45)/0.05+0.000000001),419)))+INDEX($D$5:$D$425,MIN(INT((E316-45)/0.05+0.000000001),419)+2)*((E316-45)/0.05-MIN(INT((E316-45)/0.05+0.000000001),419)))</f>
        <v>-457.79543357242</v>
      </c>
      <c r="H316" s="11" t="n">
        <f aca="false">(INDEX($D$5:$D$425,MIN(INT((F316-45)/0.05+0.000000001),419)+1)*(1-((F316-45)/0.05-MIN(INT((F316-45)/0.05+0.000000001),419)))+INDEX($D$5:$D$425,MIN(INT((F316-45)/0.05+0.000000001),419)+2)*((F316-45)/0.05-MIN(INT((F316-45)/0.05+0.000000001),419)))</f>
        <v>-459.346437906465</v>
      </c>
      <c r="I316" s="11" t="n">
        <f aca="false">_xlfn.MAXIFS($D$5:$D$425,$A$5:$A$425,"&gt;="&amp;E316,$A$5:$A$425,"&lt;="&amp;F316)</f>
        <v>-457.802072590329</v>
      </c>
      <c r="J316" s="11" t="n">
        <f aca="false">-Short_p*MAX(Floor_c-A316,0)+Cost_k*Alpha_keep*A316+MAX(G316,H316,I316)</f>
        <v>-221.65043357242</v>
      </c>
      <c r="K316" s="22" t="n">
        <f aca="false">ABS(J316-B316)</f>
        <v>0</v>
      </c>
    </row>
    <row r="317" customFormat="false" ht="15" hidden="false" customHeight="false" outlineLevel="0" collapsed="false">
      <c r="A317" s="14" t="n">
        <v>60.6</v>
      </c>
      <c r="B317" s="23" t="n">
        <v>-221.479034680515</v>
      </c>
      <c r="C317" s="19" t="n">
        <v>313</v>
      </c>
      <c r="D317" s="11" t="n">
        <f aca="false">-Cost_k*A317+Beta_q*(Declarations!$B$16*INDEX($B$5:$B$425,$C317-ROUND(Declarations!$A$16/0.05,0))+Declarations!$B$17*INDEX($B$5:$B$425,$C317-ROUND(Declarations!$A$17/0.05,0))+Declarations!$B$18*INDEX($B$5:$B$425,$C317-ROUND(Declarations!$A$18/0.05,0))+Declarations!$B$19*INDEX($B$5:$B$425,$C317-ROUND(Declarations!$A$19/0.05,0))+Declarations!$B$20*INDEX($B$5:$B$425,$C317-ROUND(Declarations!$A$20/0.05,0)))</f>
        <v>-458.68802622156</v>
      </c>
      <c r="E317" s="16" t="n">
        <f aca="false">Alpha_keep*A317</f>
        <v>59.085</v>
      </c>
      <c r="F317" s="16" t="n">
        <f aca="false">Alpha_keep*A317+Cap_h</f>
        <v>61.585</v>
      </c>
      <c r="G317" s="11" t="n">
        <f aca="false">(INDEX($D$5:$D$425,MIN(INT((E317-45)/0.05+0.000000001),419)+1)*(1-((E317-45)/0.05-MIN(INT((E317-45)/0.05+0.000000001),419)))+INDEX($D$5:$D$425,MIN(INT((E317-45)/0.05+0.000000001),419)+2)*((E317-45)/0.05-MIN(INT((E317-45)/0.05+0.000000001),419)))</f>
        <v>-457.819034680515</v>
      </c>
      <c r="H317" s="11" t="n">
        <f aca="false">(INDEX($D$5:$D$425,MIN(INT((F317-45)/0.05+0.000000001),419)+1)*(1-((F317-45)/0.05-MIN(INT((F317-45)/0.05+0.000000001),419)))+INDEX($D$5:$D$425,MIN(INT((F317-45)/0.05+0.000000001),419)+2)*((F317-45)/0.05-MIN(INT((F317-45)/0.05+0.000000001),419)))</f>
        <v>-459.382251238986</v>
      </c>
      <c r="I317" s="11" t="n">
        <f aca="false">_xlfn.MAXIFS($D$5:$D$425,$A$5:$A$425,"&gt;="&amp;E317,$A$5:$A$425,"&lt;="&amp;F317)</f>
        <v>-457.826304147738</v>
      </c>
      <c r="J317" s="11" t="n">
        <f aca="false">-Short_p*MAX(Floor_c-A317,0)+Cost_k*Alpha_keep*A317+MAX(G317,H317,I317)</f>
        <v>-221.479034680515</v>
      </c>
      <c r="K317" s="22" t="n">
        <f aca="false">ABS(J317-B317)</f>
        <v>0</v>
      </c>
    </row>
    <row r="318" customFormat="false" ht="15" hidden="false" customHeight="false" outlineLevel="0" collapsed="false">
      <c r="A318" s="14" t="n">
        <v>60.65</v>
      </c>
      <c r="B318" s="23" t="n">
        <v>-221.307680158661</v>
      </c>
      <c r="C318" s="19" t="n">
        <v>314</v>
      </c>
      <c r="D318" s="11" t="n">
        <f aca="false">-Cost_k*A318+Beta_q*(Declarations!$B$16*INDEX($B$5:$B$425,$C318-ROUND(Declarations!$A$16/0.05,0))+Declarations!$B$17*INDEX($B$5:$B$425,$C318-ROUND(Declarations!$A$17/0.05,0))+Declarations!$B$18*INDEX($B$5:$B$425,$C318-ROUND(Declarations!$A$18/0.05,0))+Declarations!$B$19*INDEX($B$5:$B$425,$C318-ROUND(Declarations!$A$19/0.05,0))+Declarations!$B$20*INDEX($B$5:$B$425,$C318-ROUND(Declarations!$A$20/0.05,0)))</f>
        <v>-458.720666972989</v>
      </c>
      <c r="E318" s="16" t="n">
        <f aca="false">Alpha_keep*A318</f>
        <v>59.13375</v>
      </c>
      <c r="F318" s="16" t="n">
        <f aca="false">Alpha_keep*A318+Cap_h</f>
        <v>61.63375</v>
      </c>
      <c r="G318" s="11" t="n">
        <f aca="false">(INDEX($D$5:$D$425,MIN(INT((E318-45)/0.05+0.000000001),419)+1)*(1-((E318-45)/0.05-MIN(INT((E318-45)/0.05+0.000000001),419)))+INDEX($D$5:$D$425,MIN(INT((E318-45)/0.05+0.000000001),419)+2)*((E318-45)/0.05-MIN(INT((E318-45)/0.05+0.000000001),419)))</f>
        <v>-457.842680158661</v>
      </c>
      <c r="H318" s="11" t="n">
        <f aca="false">(INDEX($D$5:$D$425,MIN(INT((F318-45)/0.05+0.000000001),419)+1)*(1-((F318-45)/0.05-MIN(INT((F318-45)/0.05+0.000000001),419)))+INDEX($D$5:$D$425,MIN(INT((F318-45)/0.05+0.000000001),419)+2)*((F318-45)/0.05-MIN(INT((F318-45)/0.05+0.000000001),419)))</f>
        <v>-459.418220127371</v>
      </c>
      <c r="I318" s="11" t="n">
        <f aca="false">_xlfn.MAXIFS($D$5:$D$425,$A$5:$A$425,"&gt;="&amp;E318,$A$5:$A$425,"&lt;="&amp;F318)</f>
        <v>-457.850564904661</v>
      </c>
      <c r="J318" s="11" t="n">
        <f aca="false">-Short_p*MAX(Floor_c-A318,0)+Cost_k*Alpha_keep*A318+MAX(G318,H318,I318)</f>
        <v>-221.307680158661</v>
      </c>
      <c r="K318" s="22" t="n">
        <f aca="false">ABS(J318-B318)</f>
        <v>0</v>
      </c>
    </row>
    <row r="319" customFormat="false" ht="15" hidden="false" customHeight="false" outlineLevel="0" collapsed="false">
      <c r="A319" s="14" t="n">
        <v>60.7</v>
      </c>
      <c r="B319" s="23" t="n">
        <v>-221.136334809242</v>
      </c>
      <c r="C319" s="19" t="n">
        <v>315</v>
      </c>
      <c r="D319" s="11" t="n">
        <f aca="false">-Cost_k*A319+Beta_q*(Declarations!$B$16*INDEX($B$5:$B$425,$C319-ROUND(Declarations!$A$16/0.05,0))+Declarations!$B$17*INDEX($B$5:$B$425,$C319-ROUND(Declarations!$A$17/0.05,0))+Declarations!$B$18*INDEX($B$5:$B$425,$C319-ROUND(Declarations!$A$18/0.05,0))+Declarations!$B$19*INDEX($B$5:$B$425,$C319-ROUND(Declarations!$A$19/0.05,0))+Declarations!$B$20*INDEX($B$5:$B$425,$C319-ROUND(Declarations!$A$20/0.05,0)))</f>
        <v>-458.753318766198</v>
      </c>
      <c r="E319" s="16" t="n">
        <f aca="false">Alpha_keep*A319</f>
        <v>59.1825</v>
      </c>
      <c r="F319" s="16" t="n">
        <f aca="false">Alpha_keep*A319+Cap_h</f>
        <v>61.6825</v>
      </c>
      <c r="G319" s="11" t="n">
        <f aca="false">(INDEX($D$5:$D$425,MIN(INT((E319-45)/0.05+0.000000001),419)+1)*(1-((E319-45)/0.05-MIN(INT((E319-45)/0.05+0.000000001),419)))+INDEX($D$5:$D$425,MIN(INT((E319-45)/0.05+0.000000001),419)+2)*((E319-45)/0.05-MIN(INT((E319-45)/0.05+0.000000001),419)))</f>
        <v>-457.866334809242</v>
      </c>
      <c r="H319" s="11" t="n">
        <f aca="false">(INDEX($D$5:$D$425,MIN(INT((F319-45)/0.05+0.000000001),419)+1)*(1-((F319-45)/0.05-MIN(INT((F319-45)/0.05+0.000000001),419)))+INDEX($D$5:$D$425,MIN(INT((F319-45)/0.05+0.000000001),419)+2)*((F319-45)/0.05-MIN(INT((F319-45)/0.05+0.000000001),419)))</f>
        <v>-459.454695388073</v>
      </c>
      <c r="I319" s="11" t="n">
        <f aca="false">_xlfn.MAXIFS($D$5:$D$425,$A$5:$A$425,"&gt;="&amp;E319,$A$5:$A$425,"&lt;="&amp;F319)</f>
        <v>-457.874826296324</v>
      </c>
      <c r="J319" s="11" t="n">
        <f aca="false">-Short_p*MAX(Floor_c-A319,0)+Cost_k*Alpha_keep*A319+MAX(G319,H319,I319)</f>
        <v>-221.136334809242</v>
      </c>
      <c r="K319" s="22" t="n">
        <f aca="false">ABS(J319-B319)</f>
        <v>0</v>
      </c>
    </row>
    <row r="320" customFormat="false" ht="15" hidden="false" customHeight="false" outlineLevel="0" collapsed="false">
      <c r="A320" s="14" t="n">
        <v>60.75</v>
      </c>
      <c r="B320" s="23" t="n">
        <v>-220.964990727234</v>
      </c>
      <c r="C320" s="19" t="n">
        <v>316</v>
      </c>
      <c r="D320" s="11" t="n">
        <f aca="false">-Cost_k*A320+Beta_q*(Declarations!$B$16*INDEX($B$5:$B$425,$C320-ROUND(Declarations!$A$16/0.05,0))+Declarations!$B$17*INDEX($B$5:$B$425,$C320-ROUND(Declarations!$A$17/0.05,0))+Declarations!$B$18*INDEX($B$5:$B$425,$C320-ROUND(Declarations!$A$18/0.05,0))+Declarations!$B$19*INDEX($B$5:$B$425,$C320-ROUND(Declarations!$A$19/0.05,0))+Declarations!$B$20*INDEX($B$5:$B$425,$C320-ROUND(Declarations!$A$20/0.05,0)))</f>
        <v>-458.785972629903</v>
      </c>
      <c r="E320" s="16" t="n">
        <f aca="false">Alpha_keep*A320</f>
        <v>59.23125</v>
      </c>
      <c r="F320" s="16" t="n">
        <f aca="false">Alpha_keep*A320+Cap_h</f>
        <v>61.73125</v>
      </c>
      <c r="G320" s="11" t="n">
        <f aca="false">(INDEX($D$5:$D$425,MIN(INT((E320-45)/0.05+0.000000001),419)+1)*(1-((E320-45)/0.05-MIN(INT((E320-45)/0.05+0.000000001),419)))+INDEX($D$5:$D$425,MIN(INT((E320-45)/0.05+0.000000001),419)+2)*((E320-45)/0.05-MIN(INT((E320-45)/0.05+0.000000001),419)))</f>
        <v>-457.889990727234</v>
      </c>
      <c r="H320" s="11" t="n">
        <f aca="false">(INDEX($D$5:$D$425,MIN(INT((F320-45)/0.05+0.000000001),419)+1)*(1-((F320-45)/0.05-MIN(INT((F320-45)/0.05+0.000000001),419)))+INDEX($D$5:$D$425,MIN(INT((F320-45)/0.05+0.000000001),419)+2)*((F320-45)/0.05-MIN(INT((F320-45)/0.05+0.000000001),419)))</f>
        <v>-459.492137899797</v>
      </c>
      <c r="I320" s="11" t="n">
        <f aca="false">_xlfn.MAXIFS($D$5:$D$425,$A$5:$A$425,"&gt;="&amp;E320,$A$5:$A$425,"&lt;="&amp;F320)</f>
        <v>-457.89908938578</v>
      </c>
      <c r="J320" s="11" t="n">
        <f aca="false">-Short_p*MAX(Floor_c-A320,0)+Cost_k*Alpha_keep*A320+MAX(G320,H320,I320)</f>
        <v>-220.964990727234</v>
      </c>
      <c r="K320" s="22" t="n">
        <f aca="false">ABS(J320-B320)</f>
        <v>0</v>
      </c>
    </row>
    <row r="321" customFormat="false" ht="15" hidden="false" customHeight="false" outlineLevel="0" collapsed="false">
      <c r="A321" s="14" t="n">
        <v>60.8</v>
      </c>
      <c r="B321" s="23" t="n">
        <v>-220.793656863984</v>
      </c>
      <c r="C321" s="19" t="n">
        <v>317</v>
      </c>
      <c r="D321" s="11" t="n">
        <f aca="false">-Cost_k*A321+Beta_q*(Declarations!$B$16*INDEX($B$5:$B$425,$C321-ROUND(Declarations!$A$16/0.05,0))+Declarations!$B$17*INDEX($B$5:$B$425,$C321-ROUND(Declarations!$A$17/0.05,0))+Declarations!$B$18*INDEX($B$5:$B$425,$C321-ROUND(Declarations!$A$18/0.05,0))+Declarations!$B$19*INDEX($B$5:$B$425,$C321-ROUND(Declarations!$A$19/0.05,0))+Declarations!$B$20*INDEX($B$5:$B$425,$C321-ROUND(Declarations!$A$20/0.05,0)))</f>
        <v>-458.818635637596</v>
      </c>
      <c r="E321" s="16" t="n">
        <f aca="false">Alpha_keep*A321</f>
        <v>59.28</v>
      </c>
      <c r="F321" s="16" t="n">
        <f aca="false">Alpha_keep*A321+Cap_h</f>
        <v>61.78</v>
      </c>
      <c r="G321" s="11" t="n">
        <f aca="false">(INDEX($D$5:$D$425,MIN(INT((E321-45)/0.05+0.000000001),419)+1)*(1-((E321-45)/0.05-MIN(INT((E321-45)/0.05+0.000000001),419)))+INDEX($D$5:$D$425,MIN(INT((E321-45)/0.05+0.000000001),419)+2)*((E321-45)/0.05-MIN(INT((E321-45)/0.05+0.000000001),419)))</f>
        <v>-457.913656863984</v>
      </c>
      <c r="H321" s="11" t="n">
        <f aca="false">(INDEX($D$5:$D$425,MIN(INT((F321-45)/0.05+0.000000001),419)+1)*(1-((F321-45)/0.05-MIN(INT((F321-45)/0.05+0.000000001),419)))+INDEX($D$5:$D$425,MIN(INT((F321-45)/0.05+0.000000001),419)+2)*((F321-45)/0.05-MIN(INT((F321-45)/0.05+0.000000001),419)))</f>
        <v>-459.53066083034</v>
      </c>
      <c r="I321" s="11" t="n">
        <f aca="false">_xlfn.MAXIFS($D$5:$D$425,$A$5:$A$425,"&gt;="&amp;E321,$A$5:$A$425,"&lt;="&amp;F321)</f>
        <v>-457.92336851612</v>
      </c>
      <c r="J321" s="11" t="n">
        <f aca="false">-Short_p*MAX(Floor_c-A321,0)+Cost_k*Alpha_keep*A321+MAX(G321,H321,I321)</f>
        <v>-220.793656863984</v>
      </c>
      <c r="K321" s="22" t="n">
        <f aca="false">ABS(J321-B321)</f>
        <v>0</v>
      </c>
    </row>
    <row r="322" customFormat="false" ht="15" hidden="false" customHeight="false" outlineLevel="0" collapsed="false">
      <c r="A322" s="14" t="n">
        <v>60.85</v>
      </c>
      <c r="B322" s="23" t="n">
        <v>-220.622403601057</v>
      </c>
      <c r="C322" s="19" t="n">
        <v>318</v>
      </c>
      <c r="D322" s="11" t="n">
        <f aca="false">-Cost_k*A322+Beta_q*(Declarations!$B$16*INDEX($B$5:$B$425,$C322-ROUND(Declarations!$A$16/0.05,0))+Declarations!$B$17*INDEX($B$5:$B$425,$C322-ROUND(Declarations!$A$17/0.05,0))+Declarations!$B$18*INDEX($B$5:$B$425,$C322-ROUND(Declarations!$A$18/0.05,0))+Declarations!$B$19*INDEX($B$5:$B$425,$C322-ROUND(Declarations!$A$19/0.05,0))+Declarations!$B$20*INDEX($B$5:$B$425,$C322-ROUND(Declarations!$A$20/0.05,0)))</f>
        <v>-458.851370837862</v>
      </c>
      <c r="E322" s="16" t="n">
        <f aca="false">Alpha_keep*A322</f>
        <v>59.32875</v>
      </c>
      <c r="F322" s="16" t="n">
        <f aca="false">Alpha_keep*A322+Cap_h</f>
        <v>61.82875</v>
      </c>
      <c r="G322" s="11" t="n">
        <f aca="false">(INDEX($D$5:$D$425,MIN(INT((E322-45)/0.05+0.000000001),419)+1)*(1-((E322-45)/0.05-MIN(INT((E322-45)/0.05+0.000000001),419)))+INDEX($D$5:$D$425,MIN(INT((E322-45)/0.05+0.000000001),419)+2)*((E322-45)/0.05-MIN(INT((E322-45)/0.05+0.000000001),419)))</f>
        <v>-457.937403601057</v>
      </c>
      <c r="H322" s="11" t="n">
        <f aca="false">(INDEX($D$5:$D$425,MIN(INT((F322-45)/0.05+0.000000001),419)+1)*(1-((F322-45)/0.05-MIN(INT((F322-45)/0.05+0.000000001),419)))+INDEX($D$5:$D$425,MIN(INT((F322-45)/0.05+0.000000001),419)+2)*((F322-45)/0.05-MIN(INT((F322-45)/0.05+0.000000001),419)))</f>
        <v>-459.569808152363</v>
      </c>
      <c r="I322" s="11" t="n">
        <f aca="false">_xlfn.MAXIFS($D$5:$D$425,$A$5:$A$425,"&gt;="&amp;E322,$A$5:$A$425,"&lt;="&amp;F322)</f>
        <v>-457.947777359489</v>
      </c>
      <c r="J322" s="11" t="n">
        <f aca="false">-Short_p*MAX(Floor_c-A322,0)+Cost_k*Alpha_keep*A322+MAX(G322,H322,I322)</f>
        <v>-220.622403601057</v>
      </c>
      <c r="K322" s="22" t="n">
        <f aca="false">ABS(J322-B322)</f>
        <v>0</v>
      </c>
    </row>
    <row r="323" customFormat="false" ht="15" hidden="false" customHeight="false" outlineLevel="0" collapsed="false">
      <c r="A323" s="14" t="n">
        <v>60.9</v>
      </c>
      <c r="B323" s="23" t="n">
        <v>-220.451574306723</v>
      </c>
      <c r="C323" s="19" t="n">
        <v>319</v>
      </c>
      <c r="D323" s="11" t="n">
        <f aca="false">-Cost_k*A323+Beta_q*(Declarations!$B$16*INDEX($B$5:$B$425,$C323-ROUND(Declarations!$A$16/0.05,0))+Declarations!$B$17*INDEX($B$5:$B$425,$C323-ROUND(Declarations!$A$17/0.05,0))+Declarations!$B$18*INDEX($B$5:$B$425,$C323-ROUND(Declarations!$A$18/0.05,0))+Declarations!$B$19*INDEX($B$5:$B$425,$C323-ROUND(Declarations!$A$19/0.05,0))+Declarations!$B$20*INDEX($B$5:$B$425,$C323-ROUND(Declarations!$A$20/0.05,0)))</f>
        <v>-458.884511304198</v>
      </c>
      <c r="E323" s="16" t="n">
        <f aca="false">Alpha_keep*A323</f>
        <v>59.3775</v>
      </c>
      <c r="F323" s="16" t="n">
        <f aca="false">Alpha_keep*A323+Cap_h</f>
        <v>61.8775</v>
      </c>
      <c r="G323" s="11" t="n">
        <f aca="false">(INDEX($D$5:$D$425,MIN(INT((E323-45)/0.05+0.000000001),419)+1)*(1-((E323-45)/0.05-MIN(INT((E323-45)/0.05+0.000000001),419)))+INDEX($D$5:$D$425,MIN(INT((E323-45)/0.05+0.000000001),419)+2)*((E323-45)/0.05-MIN(INT((E323-45)/0.05+0.000000001),419)))</f>
        <v>-457.961574306723</v>
      </c>
      <c r="H323" s="11" t="n">
        <f aca="false">(INDEX($D$5:$D$425,MIN(INT((F323-45)/0.05+0.000000001),419)+1)*(1-((F323-45)/0.05-MIN(INT((F323-45)/0.05+0.000000001),419)))+INDEX($D$5:$D$425,MIN(INT((F323-45)/0.05+0.000000001),419)+2)*((F323-45)/0.05-MIN(INT((F323-45)/0.05+0.000000001),419)))</f>
        <v>-459.609159867641</v>
      </c>
      <c r="I323" s="11" t="n">
        <f aca="false">_xlfn.MAXIFS($D$5:$D$425,$A$5:$A$425,"&gt;="&amp;E323,$A$5:$A$425,"&lt;="&amp;F323)</f>
        <v>-457.972862718096</v>
      </c>
      <c r="J323" s="11" t="n">
        <f aca="false">-Short_p*MAX(Floor_c-A323,0)+Cost_k*Alpha_keep*A323+MAX(G323,H323,I323)</f>
        <v>-220.451574306723</v>
      </c>
      <c r="K323" s="22" t="n">
        <f aca="false">ABS(J323-B323)</f>
        <v>0</v>
      </c>
    </row>
    <row r="324" customFormat="false" ht="15" hidden="false" customHeight="false" outlineLevel="0" collapsed="false">
      <c r="A324" s="14" t="n">
        <v>60.95</v>
      </c>
      <c r="B324" s="23" t="n">
        <v>-220.281830818088</v>
      </c>
      <c r="C324" s="19" t="n">
        <v>320</v>
      </c>
      <c r="D324" s="11" t="n">
        <f aca="false">-Cost_k*A324+Beta_q*(Declarations!$B$16*INDEX($B$5:$B$425,$C324-ROUND(Declarations!$A$16/0.05,0))+Declarations!$B$17*INDEX($B$5:$B$425,$C324-ROUND(Declarations!$A$17/0.05,0))+Declarations!$B$18*INDEX($B$5:$B$425,$C324-ROUND(Declarations!$A$18/0.05,0))+Declarations!$B$19*INDEX($B$5:$B$425,$C324-ROUND(Declarations!$A$19/0.05,0))+Declarations!$B$20*INDEX($B$5:$B$425,$C324-ROUND(Declarations!$A$20/0.05,0)))</f>
        <v>-458.918689202225</v>
      </c>
      <c r="E324" s="16" t="n">
        <f aca="false">Alpha_keep*A324</f>
        <v>59.42625</v>
      </c>
      <c r="F324" s="16" t="n">
        <f aca="false">Alpha_keep*A324+Cap_h</f>
        <v>61.92625</v>
      </c>
      <c r="G324" s="11" t="n">
        <f aca="false">(INDEX($D$5:$D$425,MIN(INT((E324-45)/0.05+0.000000001),419)+1)*(1-((E324-45)/0.05-MIN(INT((E324-45)/0.05+0.000000001),419)))+INDEX($D$5:$D$425,MIN(INT((E324-45)/0.05+0.000000001),419)+2)*((E324-45)/0.05-MIN(INT((E324-45)/0.05+0.000000001),419)))</f>
        <v>-457.986830818088</v>
      </c>
      <c r="H324" s="11" t="n">
        <f aca="false">(INDEX($D$5:$D$425,MIN(INT((F324-45)/0.05+0.000000001),419)+1)*(1-((F324-45)/0.05-MIN(INT((F324-45)/0.05+0.000000001),419)))+INDEX($D$5:$D$425,MIN(INT((F324-45)/0.05+0.000000001),419)+2)*((F324-45)/0.05-MIN(INT((F324-45)/0.05+0.000000001),419)))</f>
        <v>-459.648569203097</v>
      </c>
      <c r="I324" s="11" t="n">
        <f aca="false">_xlfn.MAXIFS($D$5:$D$425,$A$5:$A$425,"&gt;="&amp;E324,$A$5:$A$425,"&lt;="&amp;F324)</f>
        <v>-457.999468622843</v>
      </c>
      <c r="J324" s="11" t="n">
        <f aca="false">-Short_p*MAX(Floor_c-A324,0)+Cost_k*Alpha_keep*A324+MAX(G324,H324,I324)</f>
        <v>-220.281830818088</v>
      </c>
      <c r="K324" s="22" t="n">
        <f aca="false">ABS(J324-B324)</f>
        <v>0</v>
      </c>
    </row>
    <row r="325" customFormat="false" ht="15" hidden="false" customHeight="false" outlineLevel="0" collapsed="false">
      <c r="A325" s="14" t="n">
        <v>61</v>
      </c>
      <c r="B325" s="23" t="n">
        <v>-220.11358076241</v>
      </c>
      <c r="C325" s="19" t="n">
        <v>321</v>
      </c>
      <c r="D325" s="11" t="n">
        <f aca="false">-Cost_k*A325+Beta_q*(Declarations!$B$16*INDEX($B$5:$B$425,$C325-ROUND(Declarations!$A$16/0.05,0))+Declarations!$B$17*INDEX($B$5:$B$425,$C325-ROUND(Declarations!$A$17/0.05,0))+Declarations!$B$18*INDEX($B$5:$B$425,$C325-ROUND(Declarations!$A$18/0.05,0))+Declarations!$B$19*INDEX($B$5:$B$425,$C325-ROUND(Declarations!$A$19/0.05,0))+Declarations!$B$20*INDEX($B$5:$B$425,$C325-ROUND(Declarations!$A$20/0.05,0)))</f>
        <v>-458.954294867873</v>
      </c>
      <c r="E325" s="16" t="n">
        <f aca="false">Alpha_keep*A325</f>
        <v>59.475</v>
      </c>
      <c r="F325" s="16" t="n">
        <f aca="false">Alpha_keep*A325+Cap_h</f>
        <v>61.975</v>
      </c>
      <c r="G325" s="11" t="n">
        <f aca="false">(INDEX($D$5:$D$425,MIN(INT((E325-45)/0.05+0.000000001),419)+1)*(1-((E325-45)/0.05-MIN(INT((E325-45)/0.05+0.000000001),419)))+INDEX($D$5:$D$425,MIN(INT((E325-45)/0.05+0.000000001),419)+2)*((E325-45)/0.05-MIN(INT((E325-45)/0.05+0.000000001),419)))</f>
        <v>-458.01358076241</v>
      </c>
      <c r="H325" s="11" t="n">
        <f aca="false">(INDEX($D$5:$D$425,MIN(INT((F325-45)/0.05+0.000000001),419)+1)*(1-((F325-45)/0.05-MIN(INT((F325-45)/0.05+0.000000001),419)))+INDEX($D$5:$D$425,MIN(INT((F325-45)/0.05+0.000000001),419)+2)*((F325-45)/0.05-MIN(INT((F325-45)/0.05+0.000000001),419)))</f>
        <v>-459.687995117794</v>
      </c>
      <c r="I325" s="11" t="n">
        <f aca="false">_xlfn.MAXIFS($D$5:$D$425,$A$5:$A$425,"&gt;="&amp;E325,$A$5:$A$425,"&lt;="&amp;F325)</f>
        <v>-458.027692901977</v>
      </c>
      <c r="J325" s="11" t="n">
        <f aca="false">-Short_p*MAX(Floor_c-A325,0)+Cost_k*Alpha_keep*A325+MAX(G325,H325,I325)</f>
        <v>-220.11358076241</v>
      </c>
      <c r="K325" s="22" t="n">
        <f aca="false">ABS(J325-B325)</f>
        <v>0</v>
      </c>
    </row>
    <row r="326" customFormat="false" ht="15" hidden="false" customHeight="false" outlineLevel="0" collapsed="false">
      <c r="A326" s="14" t="n">
        <v>61.05</v>
      </c>
      <c r="B326" s="23" t="n">
        <v>-219.946134518601</v>
      </c>
      <c r="C326" s="19" t="n">
        <v>322</v>
      </c>
      <c r="D326" s="11" t="n">
        <f aca="false">-Cost_k*A326+Beta_q*(Declarations!$B$16*INDEX($B$5:$B$425,$C326-ROUND(Declarations!$A$16/0.05,0))+Declarations!$B$17*INDEX($B$5:$B$425,$C326-ROUND(Declarations!$A$17/0.05,0))+Declarations!$B$18*INDEX($B$5:$B$425,$C326-ROUND(Declarations!$A$18/0.05,0))+Declarations!$B$19*INDEX($B$5:$B$425,$C326-ROUND(Declarations!$A$19/0.05,0))+Declarations!$B$20*INDEX($B$5:$B$425,$C326-ROUND(Declarations!$A$20/0.05,0)))</f>
        <v>-458.990649442078</v>
      </c>
      <c r="E326" s="16" t="n">
        <f aca="false">Alpha_keep*A326</f>
        <v>59.52375</v>
      </c>
      <c r="F326" s="16" t="n">
        <f aca="false">Alpha_keep*A326+Cap_h</f>
        <v>62.02375</v>
      </c>
      <c r="G326" s="11" t="n">
        <f aca="false">(INDEX($D$5:$D$425,MIN(INT((E326-45)/0.05+0.000000001),419)+1)*(1-((E326-45)/0.05-MIN(INT((E326-45)/0.05+0.000000001),419)))+INDEX($D$5:$D$425,MIN(INT((E326-45)/0.05+0.000000001),419)+2)*((E326-45)/0.05-MIN(INT((E326-45)/0.05+0.000000001),419)))</f>
        <v>-458.041134518601</v>
      </c>
      <c r="H326" s="11" t="n">
        <f aca="false">(INDEX($D$5:$D$425,MIN(INT((F326-45)/0.05+0.000000001),419)+1)*(1-((F326-45)/0.05-MIN(INT((F326-45)/0.05+0.000000001),419)))+INDEX($D$5:$D$425,MIN(INT((F326-45)/0.05+0.000000001),419)+2)*((F326-45)/0.05-MIN(INT((F326-45)/0.05+0.000000001),419)))</f>
        <v>-459.727437411249</v>
      </c>
      <c r="I326" s="11" t="n">
        <f aca="false">_xlfn.MAXIFS($D$5:$D$425,$A$5:$A$425,"&gt;="&amp;E326,$A$5:$A$425,"&lt;="&amp;F326)</f>
        <v>-458.055991042237</v>
      </c>
      <c r="J326" s="11" t="n">
        <f aca="false">-Short_p*MAX(Floor_c-A326,0)+Cost_k*Alpha_keep*A326+MAX(G326,H326,I326)</f>
        <v>-219.946134518601</v>
      </c>
      <c r="K326" s="22" t="n">
        <f aca="false">ABS(J326-B326)</f>
        <v>0</v>
      </c>
    </row>
    <row r="327" customFormat="false" ht="15" hidden="false" customHeight="false" outlineLevel="0" collapsed="false">
      <c r="A327" s="14" t="n">
        <v>61.1</v>
      </c>
      <c r="B327" s="23" t="n">
        <v>-219.778726224603</v>
      </c>
      <c r="C327" s="19" t="n">
        <v>323</v>
      </c>
      <c r="D327" s="11" t="n">
        <f aca="false">-Cost_k*A327+Beta_q*(Declarations!$B$16*INDEX($B$5:$B$425,$C327-ROUND(Declarations!$A$16/0.05,0))+Declarations!$B$17*INDEX($B$5:$B$425,$C327-ROUND(Declarations!$A$17/0.05,0))+Declarations!$B$18*INDEX($B$5:$B$425,$C327-ROUND(Declarations!$A$18/0.05,0))+Declarations!$B$19*INDEX($B$5:$B$425,$C327-ROUND(Declarations!$A$19/0.05,0))+Declarations!$B$20*INDEX($B$5:$B$425,$C327-ROUND(Declarations!$A$20/0.05,0)))</f>
        <v>-459.027118768993</v>
      </c>
      <c r="E327" s="16" t="n">
        <f aca="false">Alpha_keep*A327</f>
        <v>59.5725</v>
      </c>
      <c r="F327" s="16" t="n">
        <f aca="false">Alpha_keep*A327+Cap_h</f>
        <v>62.0725</v>
      </c>
      <c r="G327" s="11" t="n">
        <f aca="false">(INDEX($D$5:$D$425,MIN(INT((E327-45)/0.05+0.000000001),419)+1)*(1-((E327-45)/0.05-MIN(INT((E327-45)/0.05+0.000000001),419)))+INDEX($D$5:$D$425,MIN(INT((E327-45)/0.05+0.000000001),419)+2)*((E327-45)/0.05-MIN(INT((E327-45)/0.05+0.000000001),419)))</f>
        <v>-458.068726224602</v>
      </c>
      <c r="H327" s="11" t="n">
        <f aca="false">(INDEX($D$5:$D$425,MIN(INT((F327-45)/0.05+0.000000001),419)+1)*(1-((F327-45)/0.05-MIN(INT((F327-45)/0.05+0.000000001),419)))+INDEX($D$5:$D$425,MIN(INT((F327-45)/0.05+0.000000001),419)+2)*((F327-45)/0.05-MIN(INT((F327-45)/0.05+0.000000001),419)))</f>
        <v>-459.766914074278</v>
      </c>
      <c r="I327" s="11" t="n">
        <f aca="false">_xlfn.MAXIFS($D$5:$D$425,$A$5:$A$425,"&gt;="&amp;E327,$A$5:$A$425,"&lt;="&amp;F327)</f>
        <v>-458.084291447494</v>
      </c>
      <c r="J327" s="11" t="n">
        <f aca="false">-Short_p*MAX(Floor_c-A327,0)+Cost_k*Alpha_keep*A327+MAX(G327,H327,I327)</f>
        <v>-219.778726224602</v>
      </c>
      <c r="K327" s="22" t="n">
        <f aca="false">ABS(J327-B327)</f>
        <v>0</v>
      </c>
    </row>
    <row r="328" customFormat="false" ht="15" hidden="false" customHeight="false" outlineLevel="0" collapsed="false">
      <c r="A328" s="14" t="n">
        <v>61.15</v>
      </c>
      <c r="B328" s="23" t="n">
        <v>-219.611319615275</v>
      </c>
      <c r="C328" s="19" t="n">
        <v>324</v>
      </c>
      <c r="D328" s="11" t="n">
        <f aca="false">-Cost_k*A328+Beta_q*(Declarations!$B$16*INDEX($B$5:$B$425,$C328-ROUND(Declarations!$A$16/0.05,0))+Declarations!$B$17*INDEX($B$5:$B$425,$C328-ROUND(Declarations!$A$17/0.05,0))+Declarations!$B$18*INDEX($B$5:$B$425,$C328-ROUND(Declarations!$A$18/0.05,0))+Declarations!$B$19*INDEX($B$5:$B$425,$C328-ROUND(Declarations!$A$19/0.05,0))+Declarations!$B$20*INDEX($B$5:$B$425,$C328-ROUND(Declarations!$A$20/0.05,0)))</f>
        <v>-459.063606767171</v>
      </c>
      <c r="E328" s="16" t="n">
        <f aca="false">Alpha_keep*A328</f>
        <v>59.62125</v>
      </c>
      <c r="F328" s="16" t="n">
        <f aca="false">Alpha_keep*A328+Cap_h</f>
        <v>62.12125</v>
      </c>
      <c r="G328" s="11" t="n">
        <f aca="false">(INDEX($D$5:$D$425,MIN(INT((E328-45)/0.05+0.000000001),419)+1)*(1-((E328-45)/0.05-MIN(INT((E328-45)/0.05+0.000000001),419)))+INDEX($D$5:$D$425,MIN(INT((E328-45)/0.05+0.000000001),419)+2)*((E328-45)/0.05-MIN(INT((E328-45)/0.05+0.000000001),419)))</f>
        <v>-458.096319615275</v>
      </c>
      <c r="H328" s="11" t="n">
        <f aca="false">(INDEX($D$5:$D$425,MIN(INT((F328-45)/0.05+0.000000001),419)+1)*(1-((F328-45)/0.05-MIN(INT((F328-45)/0.05+0.000000001),419)))+INDEX($D$5:$D$425,MIN(INT((F328-45)/0.05+0.000000001),419)+2)*((F328-45)/0.05-MIN(INT((F328-45)/0.05+0.000000001),419)))</f>
        <v>-459.806443645016</v>
      </c>
      <c r="I328" s="11" t="n">
        <f aca="false">_xlfn.MAXIFS($D$5:$D$425,$A$5:$A$425,"&gt;="&amp;E328,$A$5:$A$425,"&lt;="&amp;F328)</f>
        <v>-458.112593018744</v>
      </c>
      <c r="J328" s="11" t="n">
        <f aca="false">-Short_p*MAX(Floor_c-A328,0)+Cost_k*Alpha_keep*A328+MAX(G328,H328,I328)</f>
        <v>-219.611319615275</v>
      </c>
      <c r="K328" s="22" t="n">
        <f aca="false">ABS(J328-B328)</f>
        <v>0</v>
      </c>
    </row>
    <row r="329" customFormat="false" ht="15" hidden="false" customHeight="false" outlineLevel="0" collapsed="false">
      <c r="A329" s="14" t="n">
        <v>61.2</v>
      </c>
      <c r="B329" s="23" t="n">
        <v>-219.443915835856</v>
      </c>
      <c r="C329" s="19" t="n">
        <v>325</v>
      </c>
      <c r="D329" s="11" t="n">
        <f aca="false">-Cost_k*A329+Beta_q*(Declarations!$B$16*INDEX($B$5:$B$425,$C329-ROUND(Declarations!$A$16/0.05,0))+Declarations!$B$17*INDEX($B$5:$B$425,$C329-ROUND(Declarations!$A$17/0.05,0))+Declarations!$B$18*INDEX($B$5:$B$425,$C329-ROUND(Declarations!$A$18/0.05,0))+Declarations!$B$19*INDEX($B$5:$B$425,$C329-ROUND(Declarations!$A$19/0.05,0))+Declarations!$B$20*INDEX($B$5:$B$425,$C329-ROUND(Declarations!$A$20/0.05,0)))</f>
        <v>-459.100099983828</v>
      </c>
      <c r="E329" s="16" t="n">
        <f aca="false">Alpha_keep*A329</f>
        <v>59.67</v>
      </c>
      <c r="F329" s="16" t="n">
        <f aca="false">Alpha_keep*A329+Cap_h</f>
        <v>62.17</v>
      </c>
      <c r="G329" s="11" t="n">
        <f aca="false">(INDEX($D$5:$D$425,MIN(INT((E329-45)/0.05+0.000000001),419)+1)*(1-((E329-45)/0.05-MIN(INT((E329-45)/0.05+0.000000001),419)))+INDEX($D$5:$D$425,MIN(INT((E329-45)/0.05+0.000000001),419)+2)*((E329-45)/0.05-MIN(INT((E329-45)/0.05+0.000000001),419)))</f>
        <v>-458.123915835856</v>
      </c>
      <c r="H329" s="11" t="n">
        <f aca="false">(INDEX($D$5:$D$425,MIN(INT((F329-45)/0.05+0.000000001),419)+1)*(1-((F329-45)/0.05-MIN(INT((F329-45)/0.05+0.000000001),419)))+INDEX($D$5:$D$425,MIN(INT((F329-45)/0.05+0.000000001),419)+2)*((F329-45)/0.05-MIN(INT((F329-45)/0.05+0.000000001),419)))</f>
        <v>-459.846023391995</v>
      </c>
      <c r="I329" s="11" t="n">
        <f aca="false">_xlfn.MAXIFS($D$5:$D$425,$A$5:$A$425,"&gt;="&amp;E329,$A$5:$A$425,"&lt;="&amp;F329)</f>
        <v>-458.140900061525</v>
      </c>
      <c r="J329" s="11" t="n">
        <f aca="false">-Short_p*MAX(Floor_c-A329,0)+Cost_k*Alpha_keep*A329+MAX(G329,H329,I329)</f>
        <v>-219.443915835856</v>
      </c>
      <c r="K329" s="22" t="n">
        <f aca="false">ABS(J329-B329)</f>
        <v>0</v>
      </c>
    </row>
    <row r="330" customFormat="false" ht="15" hidden="false" customHeight="false" outlineLevel="0" collapsed="false">
      <c r="A330" s="14" t="n">
        <v>61.25</v>
      </c>
      <c r="B330" s="23" t="n">
        <v>-219.276524592178</v>
      </c>
      <c r="C330" s="19" t="n">
        <v>326</v>
      </c>
      <c r="D330" s="11" t="n">
        <f aca="false">-Cost_k*A330+Beta_q*(Declarations!$B$16*INDEX($B$5:$B$425,$C330-ROUND(Declarations!$A$16/0.05,0))+Declarations!$B$17*INDEX($B$5:$B$425,$C330-ROUND(Declarations!$A$17/0.05,0))+Declarations!$B$18*INDEX($B$5:$B$425,$C330-ROUND(Declarations!$A$18/0.05,0))+Declarations!$B$19*INDEX($B$5:$B$425,$C330-ROUND(Declarations!$A$19/0.05,0))+Declarations!$B$20*INDEX($B$5:$B$425,$C330-ROUND(Declarations!$A$20/0.05,0)))</f>
        <v>-459.136606105782</v>
      </c>
      <c r="E330" s="16" t="n">
        <f aca="false">Alpha_keep*A330</f>
        <v>59.71875</v>
      </c>
      <c r="F330" s="16" t="n">
        <f aca="false">Alpha_keep*A330+Cap_h</f>
        <v>62.21875</v>
      </c>
      <c r="G330" s="11" t="n">
        <f aca="false">(INDEX($D$5:$D$425,MIN(INT((E330-45)/0.05+0.000000001),419)+1)*(1-((E330-45)/0.05-MIN(INT((E330-45)/0.05+0.000000001),419)))+INDEX($D$5:$D$425,MIN(INT((E330-45)/0.05+0.000000001),419)+2)*((E330-45)/0.05-MIN(INT((E330-45)/0.05+0.000000001),419)))</f>
        <v>-458.151524592178</v>
      </c>
      <c r="H330" s="11" t="n">
        <f aca="false">(INDEX($D$5:$D$425,MIN(INT((F330-45)/0.05+0.000000001),419)+1)*(1-((F330-45)/0.05-MIN(INT((F330-45)/0.05+0.000000001),419)))+INDEX($D$5:$D$425,MIN(INT((F330-45)/0.05+0.000000001),419)+2)*((F330-45)/0.05-MIN(INT((F330-45)/0.05+0.000000001),419)))</f>
        <v>-459.885632658303</v>
      </c>
      <c r="I330" s="11" t="n">
        <f aca="false">_xlfn.MAXIFS($D$5:$D$425,$A$5:$A$425,"&gt;="&amp;E330,$A$5:$A$425,"&lt;="&amp;F330)</f>
        <v>-458.169232143265</v>
      </c>
      <c r="J330" s="11" t="n">
        <f aca="false">-Short_p*MAX(Floor_c-A330,0)+Cost_k*Alpha_keep*A330+MAX(G330,H330,I330)</f>
        <v>-219.276524592178</v>
      </c>
      <c r="K330" s="22" t="n">
        <f aca="false">ABS(J330-B330)</f>
        <v>0</v>
      </c>
    </row>
    <row r="331" customFormat="false" ht="15" hidden="false" customHeight="false" outlineLevel="0" collapsed="false">
      <c r="A331" s="14" t="n">
        <v>61.3</v>
      </c>
      <c r="B331" s="23" t="n">
        <v>-219.109172586129</v>
      </c>
      <c r="C331" s="19" t="n">
        <v>327</v>
      </c>
      <c r="D331" s="11" t="n">
        <f aca="false">-Cost_k*A331+Beta_q*(Declarations!$B$16*INDEX($B$5:$B$425,$C331-ROUND(Declarations!$A$16/0.05,0))+Declarations!$B$17*INDEX($B$5:$B$425,$C331-ROUND(Declarations!$A$17/0.05,0))+Declarations!$B$18*INDEX($B$5:$B$425,$C331-ROUND(Declarations!$A$18/0.05,0))+Declarations!$B$19*INDEX($B$5:$B$425,$C331-ROUND(Declarations!$A$19/0.05,0))+Declarations!$B$20*INDEX($B$5:$B$425,$C331-ROUND(Declarations!$A$20/0.05,0)))</f>
        <v>-459.173151505025</v>
      </c>
      <c r="E331" s="16" t="n">
        <f aca="false">Alpha_keep*A331</f>
        <v>59.7675</v>
      </c>
      <c r="F331" s="16" t="n">
        <f aca="false">Alpha_keep*A331+Cap_h</f>
        <v>62.2675</v>
      </c>
      <c r="G331" s="11" t="n">
        <f aca="false">(INDEX($D$5:$D$425,MIN(INT((E331-45)/0.05+0.000000001),419)+1)*(1-((E331-45)/0.05-MIN(INT((E331-45)/0.05+0.000000001),419)))+INDEX($D$5:$D$425,MIN(INT((E331-45)/0.05+0.000000001),419)+2)*((E331-45)/0.05-MIN(INT((E331-45)/0.05+0.000000001),419)))</f>
        <v>-458.179172586129</v>
      </c>
      <c r="H331" s="11" t="n">
        <f aca="false">(INDEX($D$5:$D$425,MIN(INT((F331-45)/0.05+0.000000001),419)+1)*(1-((F331-45)/0.05-MIN(INT((F331-45)/0.05+0.000000001),419)))+INDEX($D$5:$D$425,MIN(INT((F331-45)/0.05+0.000000001),419)+2)*((F331-45)/0.05-MIN(INT((F331-45)/0.05+0.000000001),419)))</f>
        <v>-459.925254685103</v>
      </c>
      <c r="I331" s="11" t="n">
        <f aca="false">_xlfn.MAXIFS($D$5:$D$425,$A$5:$A$425,"&gt;="&amp;E331,$A$5:$A$425,"&lt;="&amp;F331)</f>
        <v>-458.19763340859</v>
      </c>
      <c r="J331" s="11" t="n">
        <f aca="false">-Short_p*MAX(Floor_c-A331,0)+Cost_k*Alpha_keep*A331+MAX(G331,H331,I331)</f>
        <v>-219.109172586129</v>
      </c>
      <c r="K331" s="22" t="n">
        <f aca="false">ABS(J331-B331)</f>
        <v>0</v>
      </c>
    </row>
    <row r="332" customFormat="false" ht="15" hidden="false" customHeight="false" outlineLevel="0" collapsed="false">
      <c r="A332" s="14" t="n">
        <v>61.35</v>
      </c>
      <c r="B332" s="23" t="n">
        <v>-218.941890446022</v>
      </c>
      <c r="C332" s="19" t="n">
        <v>328</v>
      </c>
      <c r="D332" s="11" t="n">
        <f aca="false">-Cost_k*A332+Beta_q*(Declarations!$B$16*INDEX($B$5:$B$425,$C332-ROUND(Declarations!$A$16/0.05,0))+Declarations!$B$17*INDEX($B$5:$B$425,$C332-ROUND(Declarations!$A$17/0.05,0))+Declarations!$B$18*INDEX($B$5:$B$425,$C332-ROUND(Declarations!$A$18/0.05,0))+Declarations!$B$19*INDEX($B$5:$B$425,$C332-ROUND(Declarations!$A$19/0.05,0))+Declarations!$B$20*INDEX($B$5:$B$425,$C332-ROUND(Declarations!$A$20/0.05,0)))</f>
        <v>-459.209763407818</v>
      </c>
      <c r="E332" s="16" t="n">
        <f aca="false">Alpha_keep*A332</f>
        <v>59.81625</v>
      </c>
      <c r="F332" s="16" t="n">
        <f aca="false">Alpha_keep*A332+Cap_h</f>
        <v>62.31625</v>
      </c>
      <c r="G332" s="11" t="n">
        <f aca="false">(INDEX($D$5:$D$425,MIN(INT((E332-45)/0.05+0.000000001),419)+1)*(1-((E332-45)/0.05-MIN(INT((E332-45)/0.05+0.000000001),419)))+INDEX($D$5:$D$425,MIN(INT((E332-45)/0.05+0.000000001),419)+2)*((E332-45)/0.05-MIN(INT((E332-45)/0.05+0.000000001),419)))</f>
        <v>-458.206890446022</v>
      </c>
      <c r="H332" s="11" t="n">
        <f aca="false">(INDEX($D$5:$D$425,MIN(INT((F332-45)/0.05+0.000000001),419)+1)*(1-((F332-45)/0.05-MIN(INT((F332-45)/0.05+0.000000001),419)))+INDEX($D$5:$D$425,MIN(INT((F332-45)/0.05+0.000000001),419)+2)*((F332-45)/0.05-MIN(INT((F332-45)/0.05+0.000000001),419)))</f>
        <v>-459.964886206053</v>
      </c>
      <c r="I332" s="11" t="n">
        <f aca="false">_xlfn.MAXIFS($D$5:$D$425,$A$5:$A$425,"&gt;="&amp;E332,$A$5:$A$425,"&lt;="&amp;F332)</f>
        <v>-458.226116600688</v>
      </c>
      <c r="J332" s="11" t="n">
        <f aca="false">-Short_p*MAX(Floor_c-A332,0)+Cost_k*Alpha_keep*A332+MAX(G332,H332,I332)</f>
        <v>-218.941890446022</v>
      </c>
      <c r="K332" s="22" t="n">
        <f aca="false">ABS(J332-B332)</f>
        <v>0</v>
      </c>
    </row>
    <row r="333" customFormat="false" ht="15" hidden="false" customHeight="false" outlineLevel="0" collapsed="false">
      <c r="A333" s="14" t="n">
        <v>61.4</v>
      </c>
      <c r="B333" s="23" t="n">
        <v>-218.77467113287</v>
      </c>
      <c r="C333" s="19" t="n">
        <v>329</v>
      </c>
      <c r="D333" s="11" t="n">
        <f aca="false">-Cost_k*A333+Beta_q*(Declarations!$B$16*INDEX($B$5:$B$425,$C333-ROUND(Declarations!$A$16/0.05,0))+Declarations!$B$17*INDEX($B$5:$B$425,$C333-ROUND(Declarations!$A$17/0.05,0))+Declarations!$B$18*INDEX($B$5:$B$425,$C333-ROUND(Declarations!$A$18/0.05,0))+Declarations!$B$19*INDEX($B$5:$B$425,$C333-ROUND(Declarations!$A$19/0.05,0))+Declarations!$B$20*INDEX($B$5:$B$425,$C333-ROUND(Declarations!$A$20/0.05,0)))</f>
        <v>-459.246433012545</v>
      </c>
      <c r="E333" s="16" t="n">
        <f aca="false">Alpha_keep*A333</f>
        <v>59.865</v>
      </c>
      <c r="F333" s="16" t="n">
        <f aca="false">Alpha_keep*A333+Cap_h</f>
        <v>62.365</v>
      </c>
      <c r="G333" s="11" t="n">
        <f aca="false">(INDEX($D$5:$D$425,MIN(INT((E333-45)/0.05+0.000000001),419)+1)*(1-((E333-45)/0.05-MIN(INT((E333-45)/0.05+0.000000001),419)))+INDEX($D$5:$D$425,MIN(INT((E333-45)/0.05+0.000000001),419)+2)*((E333-45)/0.05-MIN(INT((E333-45)/0.05+0.000000001),419)))</f>
        <v>-458.23467113287</v>
      </c>
      <c r="H333" s="11" t="n">
        <f aca="false">(INDEX($D$5:$D$425,MIN(INT((F333-45)/0.05+0.000000001),419)+1)*(1-((F333-45)/0.05-MIN(INT((F333-45)/0.05+0.000000001),419)))+INDEX($D$5:$D$425,MIN(INT((F333-45)/0.05+0.000000001),419)+2)*((F333-45)/0.05-MIN(INT((F333-45)/0.05+0.000000001),419)))</f>
        <v>-460.004554396165</v>
      </c>
      <c r="I333" s="11" t="n">
        <f aca="false">_xlfn.MAXIFS($D$5:$D$425,$A$5:$A$425,"&gt;="&amp;E333,$A$5:$A$425,"&lt;="&amp;F333)</f>
        <v>-458.254631707961</v>
      </c>
      <c r="J333" s="11" t="n">
        <f aca="false">-Short_p*MAX(Floor_c-A333,0)+Cost_k*Alpha_keep*A333+MAX(G333,H333,I333)</f>
        <v>-218.77467113287</v>
      </c>
      <c r="K333" s="22" t="n">
        <f aca="false">ABS(J333-B333)</f>
        <v>0</v>
      </c>
    </row>
    <row r="334" customFormat="false" ht="15" hidden="false" customHeight="false" outlineLevel="0" collapsed="false">
      <c r="A334" s="14" t="n">
        <v>61.45</v>
      </c>
      <c r="B334" s="23" t="n">
        <v>-218.607474191578</v>
      </c>
      <c r="C334" s="19" t="n">
        <v>330</v>
      </c>
      <c r="D334" s="11" t="n">
        <f aca="false">-Cost_k*A334+Beta_q*(Declarations!$B$16*INDEX($B$5:$B$425,$C334-ROUND(Declarations!$A$16/0.05,0))+Declarations!$B$17*INDEX($B$5:$B$425,$C334-ROUND(Declarations!$A$17/0.05,0))+Declarations!$B$18*INDEX($B$5:$B$425,$C334-ROUND(Declarations!$A$18/0.05,0))+Declarations!$B$19*INDEX($B$5:$B$425,$C334-ROUND(Declarations!$A$19/0.05,0))+Declarations!$B$20*INDEX($B$5:$B$425,$C334-ROUND(Declarations!$A$20/0.05,0)))</f>
        <v>-459.283126806254</v>
      </c>
      <c r="E334" s="16" t="n">
        <f aca="false">Alpha_keep*A334</f>
        <v>59.91375</v>
      </c>
      <c r="F334" s="16" t="n">
        <f aca="false">Alpha_keep*A334+Cap_h</f>
        <v>62.41375</v>
      </c>
      <c r="G334" s="11" t="n">
        <f aca="false">(INDEX($D$5:$D$425,MIN(INT((E334-45)/0.05+0.000000001),419)+1)*(1-((E334-45)/0.05-MIN(INT((E334-45)/0.05+0.000000001),419)))+INDEX($D$5:$D$425,MIN(INT((E334-45)/0.05+0.000000001),419)+2)*((E334-45)/0.05-MIN(INT((E334-45)/0.05+0.000000001),419)))</f>
        <v>-458.262474191577</v>
      </c>
      <c r="H334" s="11" t="n">
        <f aca="false">(INDEX($D$5:$D$425,MIN(INT((F334-45)/0.05+0.000000001),419)+1)*(1-((F334-45)/0.05-MIN(INT((F334-45)/0.05+0.000000001),419)))+INDEX($D$5:$D$425,MIN(INT((F334-45)/0.05+0.000000001),419)+2)*((F334-45)/0.05-MIN(INT((F334-45)/0.05+0.000000001),419)))</f>
        <v>-460.044383044565</v>
      </c>
      <c r="I334" s="11" t="n">
        <f aca="false">_xlfn.MAXIFS($D$5:$D$425,$A$5:$A$425,"&gt;="&amp;E334,$A$5:$A$425,"&lt;="&amp;F334)</f>
        <v>-458.283149830202</v>
      </c>
      <c r="J334" s="11" t="n">
        <f aca="false">-Short_p*MAX(Floor_c-A334,0)+Cost_k*Alpha_keep*A334+MAX(G334,H334,I334)</f>
        <v>-218.607474191577</v>
      </c>
      <c r="K334" s="22" t="n">
        <f aca="false">ABS(J334-B334)</f>
        <v>0</v>
      </c>
    </row>
    <row r="335" customFormat="false" ht="15" hidden="false" customHeight="false" outlineLevel="0" collapsed="false">
      <c r="A335" s="14" t="n">
        <v>61.5</v>
      </c>
      <c r="B335" s="23" t="n">
        <v>-218.440279719461</v>
      </c>
      <c r="C335" s="19" t="n">
        <v>331</v>
      </c>
      <c r="D335" s="11" t="n">
        <f aca="false">-Cost_k*A335+Beta_q*(Declarations!$B$16*INDEX($B$5:$B$425,$C335-ROUND(Declarations!$A$16/0.05,0))+Declarations!$B$17*INDEX($B$5:$B$425,$C335-ROUND(Declarations!$A$17/0.05,0))+Declarations!$B$18*INDEX($B$5:$B$425,$C335-ROUND(Declarations!$A$18/0.05,0))+Declarations!$B$19*INDEX($B$5:$B$425,$C335-ROUND(Declarations!$A$19/0.05,0))+Declarations!$B$20*INDEX($B$5:$B$425,$C335-ROUND(Declarations!$A$20/0.05,0)))</f>
        <v>-459.319826505939</v>
      </c>
      <c r="E335" s="16" t="n">
        <f aca="false">Alpha_keep*A335</f>
        <v>59.9625</v>
      </c>
      <c r="F335" s="16" t="n">
        <f aca="false">Alpha_keep*A335+Cap_h</f>
        <v>62.4625</v>
      </c>
      <c r="G335" s="11" t="n">
        <f aca="false">(INDEX($D$5:$D$425,MIN(INT((E335-45)/0.05+0.000000001),419)+1)*(1-((E335-45)/0.05-MIN(INT((E335-45)/0.05+0.000000001),419)))+INDEX($D$5:$D$425,MIN(INT((E335-45)/0.05+0.000000001),419)+2)*((E335-45)/0.05-MIN(INT((E335-45)/0.05+0.000000001),419)))</f>
        <v>-458.290279719461</v>
      </c>
      <c r="H335" s="11" t="n">
        <f aca="false">(INDEX($D$5:$D$425,MIN(INT((F335-45)/0.05+0.000000001),419)+1)*(1-((F335-45)/0.05-MIN(INT((F335-45)/0.05+0.000000001),419)))+INDEX($D$5:$D$425,MIN(INT((F335-45)/0.05+0.000000001),419)+2)*((F335-45)/0.05-MIN(INT((F335-45)/0.05+0.000000001),419)))</f>
        <v>-460.084673849188</v>
      </c>
      <c r="I335" s="11" t="n">
        <f aca="false">_xlfn.MAXIFS($D$5:$D$425,$A$5:$A$425,"&gt;="&amp;E335,$A$5:$A$425,"&lt;="&amp;F335)</f>
        <v>-458.311669387236</v>
      </c>
      <c r="J335" s="11" t="n">
        <f aca="false">-Short_p*MAX(Floor_c-A335,0)+Cost_k*Alpha_keep*A335+MAX(G335,H335,I335)</f>
        <v>-218.440279719461</v>
      </c>
      <c r="K335" s="22" t="n">
        <f aca="false">ABS(J335-B335)</f>
        <v>0</v>
      </c>
    </row>
    <row r="336" customFormat="false" ht="15" hidden="false" customHeight="false" outlineLevel="0" collapsed="false">
      <c r="A336" s="14" t="n">
        <v>61.55</v>
      </c>
      <c r="B336" s="23" t="n">
        <v>-218.273089107826</v>
      </c>
      <c r="C336" s="19" t="n">
        <v>332</v>
      </c>
      <c r="D336" s="11" t="n">
        <f aca="false">-Cost_k*A336+Beta_q*(Declarations!$B$16*INDEX($B$5:$B$425,$C336-ROUND(Declarations!$A$16/0.05,0))+Declarations!$B$17*INDEX($B$5:$B$425,$C336-ROUND(Declarations!$A$17/0.05,0))+Declarations!$B$18*INDEX($B$5:$B$425,$C336-ROUND(Declarations!$A$18/0.05,0))+Declarations!$B$19*INDEX($B$5:$B$425,$C336-ROUND(Declarations!$A$19/0.05,0))+Declarations!$B$20*INDEX($B$5:$B$425,$C336-ROUND(Declarations!$A$20/0.05,0)))</f>
        <v>-459.356531885975</v>
      </c>
      <c r="E336" s="16" t="n">
        <f aca="false">Alpha_keep*A336</f>
        <v>60.01125</v>
      </c>
      <c r="F336" s="16" t="n">
        <f aca="false">Alpha_keep*A336+Cap_h</f>
        <v>62.51125</v>
      </c>
      <c r="G336" s="11" t="n">
        <f aca="false">(INDEX($D$5:$D$425,MIN(INT((E336-45)/0.05+0.000000001),419)+1)*(1-((E336-45)/0.05-MIN(INT((E336-45)/0.05+0.000000001),419)))+INDEX($D$5:$D$425,MIN(INT((E336-45)/0.05+0.000000001),419)+2)*((E336-45)/0.05-MIN(INT((E336-45)/0.05+0.000000001),419)))</f>
        <v>-458.318089107826</v>
      </c>
      <c r="H336" s="11" t="n">
        <f aca="false">(INDEX($D$5:$D$425,MIN(INT((F336-45)/0.05+0.000000001),419)+1)*(1-((F336-45)/0.05-MIN(INT((F336-45)/0.05+0.000000001),419)))+INDEX($D$5:$D$425,MIN(INT((F336-45)/0.05+0.000000001),419)+2)*((F336-45)/0.05-MIN(INT((F336-45)/0.05+0.000000001),419)))</f>
        <v>-460.125810383597</v>
      </c>
      <c r="I336" s="11" t="n">
        <f aca="false">_xlfn.MAXIFS($D$5:$D$425,$A$5:$A$425,"&gt;="&amp;E336,$A$5:$A$425,"&lt;="&amp;F336)</f>
        <v>-458.340201478748</v>
      </c>
      <c r="J336" s="11" t="n">
        <f aca="false">-Short_p*MAX(Floor_c-A336,0)+Cost_k*Alpha_keep*A336+MAX(G336,H336,I336)</f>
        <v>-218.273089107826</v>
      </c>
      <c r="K336" s="22" t="n">
        <f aca="false">ABS(J336-B336)</f>
        <v>0</v>
      </c>
    </row>
    <row r="337" customFormat="false" ht="15" hidden="false" customHeight="false" outlineLevel="0" collapsed="false">
      <c r="A337" s="14" t="n">
        <v>61.6</v>
      </c>
      <c r="B337" s="23" t="n">
        <v>-218.105928199585</v>
      </c>
      <c r="C337" s="19" t="n">
        <v>333</v>
      </c>
      <c r="D337" s="11" t="n">
        <f aca="false">-Cost_k*A337+Beta_q*(Declarations!$B$16*INDEX($B$5:$B$425,$C337-ROUND(Declarations!$A$16/0.05,0))+Declarations!$B$17*INDEX($B$5:$B$425,$C337-ROUND(Declarations!$A$17/0.05,0))+Declarations!$B$18*INDEX($B$5:$B$425,$C337-ROUND(Declarations!$A$18/0.05,0))+Declarations!$B$19*INDEX($B$5:$B$425,$C337-ROUND(Declarations!$A$19/0.05,0))+Declarations!$B$20*INDEX($B$5:$B$425,$C337-ROUND(Declarations!$A$20/0.05,0)))</f>
        <v>-459.393273818848</v>
      </c>
      <c r="E337" s="16" t="n">
        <f aca="false">Alpha_keep*A337</f>
        <v>60.06</v>
      </c>
      <c r="F337" s="16" t="n">
        <f aca="false">Alpha_keep*A337+Cap_h</f>
        <v>62.56</v>
      </c>
      <c r="G337" s="11" t="n">
        <f aca="false">(INDEX($D$5:$D$425,MIN(INT((E337-45)/0.05+0.000000001),419)+1)*(1-((E337-45)/0.05-MIN(INT((E337-45)/0.05+0.000000001),419)))+INDEX($D$5:$D$425,MIN(INT((E337-45)/0.05+0.000000001),419)+2)*((E337-45)/0.05-MIN(INT((E337-45)/0.05+0.000000001),419)))</f>
        <v>-458.345928199585</v>
      </c>
      <c r="H337" s="11" t="n">
        <f aca="false">(INDEX($D$5:$D$425,MIN(INT((F337-45)/0.05+0.000000001),419)+1)*(1-((F337-45)/0.05-MIN(INT((F337-45)/0.05+0.000000001),419)))+INDEX($D$5:$D$425,MIN(INT((F337-45)/0.05+0.000000001),419)+2)*((F337-45)/0.05-MIN(INT((F337-45)/0.05+0.000000001),419)))</f>
        <v>-460.167917802533</v>
      </c>
      <c r="I337" s="11" t="n">
        <f aca="false">_xlfn.MAXIFS($D$5:$D$425,$A$5:$A$425,"&gt;="&amp;E337,$A$5:$A$425,"&lt;="&amp;F337)</f>
        <v>-458.368835082934</v>
      </c>
      <c r="J337" s="11" t="n">
        <f aca="false">-Short_p*MAX(Floor_c-A337,0)+Cost_k*Alpha_keep*A337+MAX(G337,H337,I337)</f>
        <v>-218.105928199585</v>
      </c>
      <c r="K337" s="22" t="n">
        <f aca="false">ABS(J337-B337)</f>
        <v>0</v>
      </c>
    </row>
    <row r="338" customFormat="false" ht="15" hidden="false" customHeight="false" outlineLevel="0" collapsed="false">
      <c r="A338" s="14" t="n">
        <v>61.65</v>
      </c>
      <c r="B338" s="23" t="n">
        <v>-217.938948447259</v>
      </c>
      <c r="C338" s="19" t="n">
        <v>334</v>
      </c>
      <c r="D338" s="11" t="n">
        <f aca="false">-Cost_k*A338+Beta_q*(Declarations!$B$16*INDEX($B$5:$B$425,$C338-ROUND(Declarations!$A$16/0.05,0))+Declarations!$B$17*INDEX($B$5:$B$425,$C338-ROUND(Declarations!$A$17/0.05,0))+Declarations!$B$18*INDEX($B$5:$B$425,$C338-ROUND(Declarations!$A$18/0.05,0))+Declarations!$B$19*INDEX($B$5:$B$425,$C338-ROUND(Declarations!$A$19/0.05,0))+Declarations!$B$20*INDEX($B$5:$B$425,$C338-ROUND(Declarations!$A$20/0.05,0)))</f>
        <v>-459.430231312956</v>
      </c>
      <c r="E338" s="16" t="n">
        <f aca="false">Alpha_keep*A338</f>
        <v>60.10875</v>
      </c>
      <c r="F338" s="16" t="n">
        <f aca="false">Alpha_keep*A338+Cap_h</f>
        <v>62.60875</v>
      </c>
      <c r="G338" s="11" t="n">
        <f aca="false">(INDEX($D$5:$D$425,MIN(INT((E338-45)/0.05+0.000000001),419)+1)*(1-((E338-45)/0.05-MIN(INT((E338-45)/0.05+0.000000001),419)))+INDEX($D$5:$D$425,MIN(INT((E338-45)/0.05+0.000000001),419)+2)*((E338-45)/0.05-MIN(INT((E338-45)/0.05+0.000000001),419)))</f>
        <v>-458.373948447259</v>
      </c>
      <c r="H338" s="11" t="n">
        <f aca="false">(INDEX($D$5:$D$425,MIN(INT((F338-45)/0.05+0.000000001),419)+1)*(1-((F338-45)/0.05-MIN(INT((F338-45)/0.05+0.000000001),419)))+INDEX($D$5:$D$425,MIN(INT((F338-45)/0.05+0.000000001),419)+2)*((F338-45)/0.05-MIN(INT((F338-45)/0.05+0.000000001),419)))</f>
        <v>-460.210660078467</v>
      </c>
      <c r="I338" s="11" t="n">
        <f aca="false">_xlfn.MAXIFS($D$5:$D$425,$A$5:$A$425,"&gt;="&amp;E338,$A$5:$A$425,"&lt;="&amp;F338)</f>
        <v>-458.398054307648</v>
      </c>
      <c r="J338" s="11" t="n">
        <f aca="false">-Short_p*MAX(Floor_c-A338,0)+Cost_k*Alpha_keep*A338+MAX(G338,H338,I338)</f>
        <v>-217.938948447259</v>
      </c>
      <c r="K338" s="22" t="n">
        <f aca="false">ABS(J338-B338)</f>
        <v>0</v>
      </c>
    </row>
    <row r="339" customFormat="false" ht="15" hidden="false" customHeight="false" outlineLevel="0" collapsed="false">
      <c r="A339" s="14" t="n">
        <v>61.7</v>
      </c>
      <c r="B339" s="23" t="n">
        <v>-217.772640258468</v>
      </c>
      <c r="C339" s="19" t="n">
        <v>335</v>
      </c>
      <c r="D339" s="11" t="n">
        <f aca="false">-Cost_k*A339+Beta_q*(Declarations!$B$16*INDEX($B$5:$B$425,$C339-ROUND(Declarations!$A$16/0.05,0))+Declarations!$B$17*INDEX($B$5:$B$425,$C339-ROUND(Declarations!$A$17/0.05,0))+Declarations!$B$18*INDEX($B$5:$B$425,$C339-ROUND(Declarations!$A$18/0.05,0))+Declarations!$B$19*INDEX($B$5:$B$425,$C339-ROUND(Declarations!$A$19/0.05,0))+Declarations!$B$20*INDEX($B$5:$B$425,$C339-ROUND(Declarations!$A$20/0.05,0)))</f>
        <v>-459.467868351598</v>
      </c>
      <c r="E339" s="16" t="n">
        <f aca="false">Alpha_keep*A339</f>
        <v>60.1575</v>
      </c>
      <c r="F339" s="16" t="n">
        <f aca="false">Alpha_keep*A339+Cap_h</f>
        <v>62.6575</v>
      </c>
      <c r="G339" s="11" t="n">
        <f aca="false">(INDEX($D$5:$D$425,MIN(INT((E339-45)/0.05+0.000000001),419)+1)*(1-((E339-45)/0.05-MIN(INT((E339-45)/0.05+0.000000001),419)))+INDEX($D$5:$D$425,MIN(INT((E339-45)/0.05+0.000000001),419)+2)*((E339-45)/0.05-MIN(INT((E339-45)/0.05+0.000000001),419)))</f>
        <v>-458.402640258468</v>
      </c>
      <c r="H339" s="11" t="n">
        <f aca="false">(INDEX($D$5:$D$425,MIN(INT((F339-45)/0.05+0.000000001),419)+1)*(1-((F339-45)/0.05-MIN(INT((F339-45)/0.05+0.000000001),419)))+INDEX($D$5:$D$425,MIN(INT((F339-45)/0.05+0.000000001),419)+2)*((F339-45)/0.05-MIN(INT((F339-45)/0.05+0.000000001),419)))</f>
        <v>-460.25370269858</v>
      </c>
      <c r="I339" s="11" t="n">
        <f aca="false">_xlfn.MAXIFS($D$5:$D$425,$A$5:$A$425,"&gt;="&amp;E339,$A$5:$A$425,"&lt;="&amp;F339)</f>
        <v>-458.428627313111</v>
      </c>
      <c r="J339" s="11" t="n">
        <f aca="false">-Short_p*MAX(Floor_c-A339,0)+Cost_k*Alpha_keep*A339+MAX(G339,H339,I339)</f>
        <v>-217.772640258468</v>
      </c>
      <c r="K339" s="22" t="n">
        <f aca="false">ABS(J339-B339)</f>
        <v>0</v>
      </c>
    </row>
    <row r="340" customFormat="false" ht="15" hidden="false" customHeight="false" outlineLevel="0" collapsed="false">
      <c r="A340" s="14" t="n">
        <v>61.75</v>
      </c>
      <c r="B340" s="23" t="n">
        <v>-217.607640331625</v>
      </c>
      <c r="C340" s="19" t="n">
        <v>336</v>
      </c>
      <c r="D340" s="11" t="n">
        <f aca="false">-Cost_k*A340+Beta_q*(Declarations!$B$16*INDEX($B$5:$B$425,$C340-ROUND(Declarations!$A$16/0.05,0))+Declarations!$B$17*INDEX($B$5:$B$425,$C340-ROUND(Declarations!$A$17/0.05,0))+Declarations!$B$18*INDEX($B$5:$B$425,$C340-ROUND(Declarations!$A$18/0.05,0))+Declarations!$B$19*INDEX($B$5:$B$425,$C340-ROUND(Declarations!$A$19/0.05,0))+Declarations!$B$20*INDEX($B$5:$B$425,$C340-ROUND(Declarations!$A$20/0.05,0)))</f>
        <v>-459.506699628716</v>
      </c>
      <c r="E340" s="16" t="n">
        <f aca="false">Alpha_keep*A340</f>
        <v>60.20625</v>
      </c>
      <c r="F340" s="16" t="n">
        <f aca="false">Alpha_keep*A340+Cap_h</f>
        <v>62.70625</v>
      </c>
      <c r="G340" s="11" t="n">
        <f aca="false">(INDEX($D$5:$D$425,MIN(INT((E340-45)/0.05+0.000000001),419)+1)*(1-((E340-45)/0.05-MIN(INT((E340-45)/0.05+0.000000001),419)))+INDEX($D$5:$D$425,MIN(INT((E340-45)/0.05+0.000000001),419)+2)*((E340-45)/0.05-MIN(INT((E340-45)/0.05+0.000000001),419)))</f>
        <v>-458.432640331625</v>
      </c>
      <c r="H340" s="11" t="n">
        <f aca="false">(INDEX($D$5:$D$425,MIN(INT((F340-45)/0.05+0.000000001),419)+1)*(1-((F340-45)/0.05-MIN(INT((F340-45)/0.05+0.000000001),419)))+INDEX($D$5:$D$425,MIN(INT((F340-45)/0.05+0.000000001),419)+2)*((F340-45)/0.05-MIN(INT((F340-45)/0.05+0.000000001),419)))</f>
        <v>-460.296842907165</v>
      </c>
      <c r="I340" s="11" t="n">
        <f aca="false">_xlfn.MAXIFS($D$5:$D$425,$A$5:$A$425,"&gt;="&amp;E340,$A$5:$A$425,"&lt;="&amp;F340)</f>
        <v>-458.460731461218</v>
      </c>
      <c r="J340" s="11" t="n">
        <f aca="false">-Short_p*MAX(Floor_c-A340,0)+Cost_k*Alpha_keep*A340+MAX(G340,H340,I340)</f>
        <v>-217.607640331625</v>
      </c>
      <c r="K340" s="22" t="n">
        <f aca="false">ABS(J340-B340)</f>
        <v>0</v>
      </c>
    </row>
    <row r="341" customFormat="false" ht="15" hidden="false" customHeight="false" outlineLevel="0" collapsed="false">
      <c r="A341" s="14" t="n">
        <v>61.8</v>
      </c>
      <c r="B341" s="23" t="n">
        <v>-217.443972671354</v>
      </c>
      <c r="C341" s="19" t="n">
        <v>337</v>
      </c>
      <c r="D341" s="11" t="n">
        <f aca="false">-Cost_k*A341+Beta_q*(Declarations!$B$16*INDEX($B$5:$B$425,$C341-ROUND(Declarations!$A$16/0.05,0))+Declarations!$B$17*INDEX($B$5:$B$425,$C341-ROUND(Declarations!$A$17/0.05,0))+Declarations!$B$18*INDEX($B$5:$B$425,$C341-ROUND(Declarations!$A$18/0.05,0))+Declarations!$B$19*INDEX($B$5:$B$425,$C341-ROUND(Declarations!$A$19/0.05,0))+Declarations!$B$20*INDEX($B$5:$B$425,$C341-ROUND(Declarations!$A$20/0.05,0)))</f>
        <v>-459.546634964756</v>
      </c>
      <c r="E341" s="16" t="n">
        <f aca="false">Alpha_keep*A341</f>
        <v>60.255</v>
      </c>
      <c r="F341" s="16" t="n">
        <f aca="false">Alpha_keep*A341+Cap_h</f>
        <v>62.755</v>
      </c>
      <c r="G341" s="11" t="n">
        <f aca="false">(INDEX($D$5:$D$425,MIN(INT((E341-45)/0.05+0.000000001),419)+1)*(1-((E341-45)/0.05-MIN(INT((E341-45)/0.05+0.000000001),419)))+INDEX($D$5:$D$425,MIN(INT((E341-45)/0.05+0.000000001),419)+2)*((E341-45)/0.05-MIN(INT((E341-45)/0.05+0.000000001),419)))</f>
        <v>-458.463972671354</v>
      </c>
      <c r="H341" s="11" t="n">
        <f aca="false">(INDEX($D$5:$D$425,MIN(INT((F341-45)/0.05+0.000000001),419)+1)*(1-((F341-45)/0.05-MIN(INT((F341-45)/0.05+0.000000001),419)))+INDEX($D$5:$D$425,MIN(INT((F341-45)/0.05+0.000000001),419)+2)*((F341-45)/0.05-MIN(INT((F341-45)/0.05+0.000000001),419)))</f>
        <v>-460.340018711522</v>
      </c>
      <c r="I341" s="11" t="n">
        <f aca="false">_xlfn.MAXIFS($D$5:$D$425,$A$5:$A$425,"&gt;="&amp;E341,$A$5:$A$425,"&lt;="&amp;F341)</f>
        <v>-458.493143562579</v>
      </c>
      <c r="J341" s="11" t="n">
        <f aca="false">-Short_p*MAX(Floor_c-A341,0)+Cost_k*Alpha_keep*A341+MAX(G341,H341,I341)</f>
        <v>-217.443972671354</v>
      </c>
      <c r="K341" s="22" t="n">
        <f aca="false">ABS(J341-B341)</f>
        <v>0</v>
      </c>
    </row>
    <row r="342" customFormat="false" ht="15" hidden="false" customHeight="false" outlineLevel="0" collapsed="false">
      <c r="A342" s="14" t="n">
        <v>61.85</v>
      </c>
      <c r="B342" s="23" t="n">
        <v>-217.280576070766</v>
      </c>
      <c r="C342" s="19" t="n">
        <v>338</v>
      </c>
      <c r="D342" s="11" t="n">
        <f aca="false">-Cost_k*A342+Beta_q*(Declarations!$B$16*INDEX($B$5:$B$425,$C342-ROUND(Declarations!$A$16/0.05,0))+Declarations!$B$17*INDEX($B$5:$B$425,$C342-ROUND(Declarations!$A$17/0.05,0))+Declarations!$B$18*INDEX($B$5:$B$425,$C342-ROUND(Declarations!$A$18/0.05,0))+Declarations!$B$19*INDEX($B$5:$B$425,$C342-ROUND(Declarations!$A$19/0.05,0))+Declarations!$B$20*INDEX($B$5:$B$425,$C342-ROUND(Declarations!$A$20/0.05,0)))</f>
        <v>-459.586936160594</v>
      </c>
      <c r="E342" s="16" t="n">
        <f aca="false">Alpha_keep*A342</f>
        <v>60.30375</v>
      </c>
      <c r="F342" s="16" t="n">
        <f aca="false">Alpha_keep*A342+Cap_h</f>
        <v>62.80375</v>
      </c>
      <c r="G342" s="11" t="n">
        <f aca="false">(INDEX($D$5:$D$425,MIN(INT((E342-45)/0.05+0.000000001),419)+1)*(1-((E342-45)/0.05-MIN(INT((E342-45)/0.05+0.000000001),419)))+INDEX($D$5:$D$425,MIN(INT((E342-45)/0.05+0.000000001),419)+2)*((E342-45)/0.05-MIN(INT((E342-45)/0.05+0.000000001),419)))</f>
        <v>-458.495576070766</v>
      </c>
      <c r="H342" s="11" t="n">
        <f aca="false">(INDEX($D$5:$D$425,MIN(INT((F342-45)/0.05+0.000000001),419)+1)*(1-((F342-45)/0.05-MIN(INT((F342-45)/0.05+0.000000001),419)))+INDEX($D$5:$D$425,MIN(INT((F342-45)/0.05+0.000000001),419)+2)*((F342-45)/0.05-MIN(INT((F342-45)/0.05+0.000000001),419)))</f>
        <v>-460.383215085594</v>
      </c>
      <c r="I342" s="11" t="n">
        <f aca="false">_xlfn.MAXIFS($D$5:$D$425,$A$5:$A$425,"&gt;="&amp;E342,$A$5:$A$425,"&lt;="&amp;F342)</f>
        <v>-458.52557700507</v>
      </c>
      <c r="J342" s="11" t="n">
        <f aca="false">-Short_p*MAX(Floor_c-A342,0)+Cost_k*Alpha_keep*A342+MAX(G342,H342,I342)</f>
        <v>-217.280576070766</v>
      </c>
      <c r="K342" s="22" t="n">
        <f aca="false">ABS(J342-B342)</f>
        <v>0</v>
      </c>
    </row>
    <row r="343" customFormat="false" ht="15" hidden="false" customHeight="false" outlineLevel="0" collapsed="false">
      <c r="A343" s="14" t="n">
        <v>61.9</v>
      </c>
      <c r="B343" s="23" t="n">
        <v>-217.117198778846</v>
      </c>
      <c r="C343" s="19" t="n">
        <v>339</v>
      </c>
      <c r="D343" s="11" t="n">
        <f aca="false">-Cost_k*A343+Beta_q*(Declarations!$B$16*INDEX($B$5:$B$425,$C343-ROUND(Declarations!$A$16/0.05,0))+Declarations!$B$17*INDEX($B$5:$B$425,$C343-ROUND(Declarations!$A$17/0.05,0))+Declarations!$B$18*INDEX($B$5:$B$425,$C343-ROUND(Declarations!$A$18/0.05,0))+Declarations!$B$19*INDEX($B$5:$B$425,$C343-ROUND(Declarations!$A$19/0.05,0))+Declarations!$B$20*INDEX($B$5:$B$425,$C343-ROUND(Declarations!$A$20/0.05,0)))</f>
        <v>-459.627342900679</v>
      </c>
      <c r="E343" s="16" t="n">
        <f aca="false">Alpha_keep*A343</f>
        <v>60.3525</v>
      </c>
      <c r="F343" s="16" t="n">
        <f aca="false">Alpha_keep*A343+Cap_h</f>
        <v>62.8525</v>
      </c>
      <c r="G343" s="11" t="n">
        <f aca="false">(INDEX($D$5:$D$425,MIN(INT((E343-45)/0.05+0.000000001),419)+1)*(1-((E343-45)/0.05-MIN(INT((E343-45)/0.05+0.000000001),419)))+INDEX($D$5:$D$425,MIN(INT((E343-45)/0.05+0.000000001),419)+2)*((E343-45)/0.05-MIN(INT((E343-45)/0.05+0.000000001),419)))</f>
        <v>-458.527198778846</v>
      </c>
      <c r="H343" s="11" t="n">
        <f aca="false">(INDEX($D$5:$D$425,MIN(INT((F343-45)/0.05+0.000000001),419)+1)*(1-((F343-45)/0.05-MIN(INT((F343-45)/0.05+0.000000001),419)))+INDEX($D$5:$D$425,MIN(INT((F343-45)/0.05+0.000000001),419)+2)*((F343-45)/0.05-MIN(INT((F343-45)/0.05+0.000000001),419)))</f>
        <v>-460.426443083546</v>
      </c>
      <c r="I343" s="11" t="n">
        <f aca="false">_xlfn.MAXIFS($D$5:$D$425,$A$5:$A$425,"&gt;="&amp;E343,$A$5:$A$425,"&lt;="&amp;F343)</f>
        <v>-458.558012480592</v>
      </c>
      <c r="J343" s="11" t="n">
        <f aca="false">-Short_p*MAX(Floor_c-A343,0)+Cost_k*Alpha_keep*A343+MAX(G343,H343,I343)</f>
        <v>-217.117198778846</v>
      </c>
      <c r="K343" s="22" t="n">
        <f aca="false">ABS(J343-B343)</f>
        <v>0</v>
      </c>
    </row>
    <row r="344" customFormat="false" ht="15" hidden="false" customHeight="false" outlineLevel="0" collapsed="false">
      <c r="A344" s="14" t="n">
        <v>61.95</v>
      </c>
      <c r="B344" s="23" t="n">
        <v>-216.95382347674</v>
      </c>
      <c r="C344" s="19" t="n">
        <v>340</v>
      </c>
      <c r="D344" s="11" t="n">
        <f aca="false">-Cost_k*A344+Beta_q*(Declarations!$B$16*INDEX($B$5:$B$425,$C344-ROUND(Declarations!$A$16/0.05,0))+Declarations!$B$17*INDEX($B$5:$B$425,$C344-ROUND(Declarations!$A$17/0.05,0))+Declarations!$B$18*INDEX($B$5:$B$425,$C344-ROUND(Declarations!$A$18/0.05,0))+Declarations!$B$19*INDEX($B$5:$B$425,$C344-ROUND(Declarations!$A$19/0.05,0))+Declarations!$B$20*INDEX($B$5:$B$425,$C344-ROUND(Declarations!$A$20/0.05,0)))</f>
        <v>-459.667773952903</v>
      </c>
      <c r="E344" s="16" t="n">
        <f aca="false">Alpha_keep*A344</f>
        <v>60.40125</v>
      </c>
      <c r="F344" s="16" t="n">
        <f aca="false">Alpha_keep*A344+Cap_h</f>
        <v>62.90125</v>
      </c>
      <c r="G344" s="11" t="n">
        <f aca="false">(INDEX($D$5:$D$425,MIN(INT((E344-45)/0.05+0.000000001),419)+1)*(1-((E344-45)/0.05-MIN(INT((E344-45)/0.05+0.000000001),419)))+INDEX($D$5:$D$425,MIN(INT((E344-45)/0.05+0.000000001),419)+2)*((E344-45)/0.05-MIN(INT((E344-45)/0.05+0.000000001),419)))</f>
        <v>-458.55882347674</v>
      </c>
      <c r="H344" s="11" t="n">
        <f aca="false">(INDEX($D$5:$D$425,MIN(INT((F344-45)/0.05+0.000000001),419)+1)*(1-((F344-45)/0.05-MIN(INT((F344-45)/0.05+0.000000001),419)))+INDEX($D$5:$D$425,MIN(INT((F344-45)/0.05+0.000000001),419)+2)*((F344-45)/0.05-MIN(INT((F344-45)/0.05+0.000000001),419)))</f>
        <v>-460.469717963933</v>
      </c>
      <c r="I344" s="11" t="n">
        <f aca="false">_xlfn.MAXIFS($D$5:$D$425,$A$5:$A$425,"&gt;="&amp;E344,$A$5:$A$425,"&lt;="&amp;F344)</f>
        <v>-458.590452326538</v>
      </c>
      <c r="J344" s="11" t="n">
        <f aca="false">-Short_p*MAX(Floor_c-A344,0)+Cost_k*Alpha_keep*A344+MAX(G344,H344,I344)</f>
        <v>-216.95382347674</v>
      </c>
      <c r="K344" s="22" t="n">
        <f aca="false">ABS(J344-B344)</f>
        <v>0</v>
      </c>
    </row>
    <row r="345" customFormat="false" ht="15" hidden="false" customHeight="false" outlineLevel="0" collapsed="false">
      <c r="A345" s="14" t="n">
        <v>62</v>
      </c>
      <c r="B345" s="23" t="n">
        <v>-216.790452326538</v>
      </c>
      <c r="C345" s="19" t="n">
        <v>341</v>
      </c>
      <c r="D345" s="11" t="n">
        <f aca="false">-Cost_k*A345+Beta_q*(Declarations!$B$16*INDEX($B$5:$B$425,$C345-ROUND(Declarations!$A$16/0.05,0))+Declarations!$B$17*INDEX($B$5:$B$425,$C345-ROUND(Declarations!$A$17/0.05,0))+Declarations!$B$18*INDEX($B$5:$B$425,$C345-ROUND(Declarations!$A$18/0.05,0))+Declarations!$B$19*INDEX($B$5:$B$425,$C345-ROUND(Declarations!$A$19/0.05,0))+Declarations!$B$20*INDEX($B$5:$B$425,$C345-ROUND(Declarations!$A$20/0.05,0)))</f>
        <v>-459.708216282685</v>
      </c>
      <c r="E345" s="16" t="n">
        <f aca="false">Alpha_keep*A345</f>
        <v>60.45</v>
      </c>
      <c r="F345" s="16" t="n">
        <f aca="false">Alpha_keep*A345+Cap_h</f>
        <v>62.95</v>
      </c>
      <c r="G345" s="11" t="n">
        <f aca="false">(INDEX($D$5:$D$425,MIN(INT((E345-45)/0.05+0.000000001),419)+1)*(1-((E345-45)/0.05-MIN(INT((E345-45)/0.05+0.000000001),419)))+INDEX($D$5:$D$425,MIN(INT((E345-45)/0.05+0.000000001),419)+2)*((E345-45)/0.05-MIN(INT((E345-45)/0.05+0.000000001),419)))</f>
        <v>-458.590452326538</v>
      </c>
      <c r="H345" s="11" t="n">
        <f aca="false">(INDEX($D$5:$D$425,MIN(INT((F345-45)/0.05+0.000000001),419)+1)*(1-((F345-45)/0.05-MIN(INT((F345-45)/0.05+0.000000001),419)))+INDEX($D$5:$D$425,MIN(INT((F345-45)/0.05+0.000000001),419)+2)*((F345-45)/0.05-MIN(INT((F345-45)/0.05+0.000000001),419)))</f>
        <v>-460.513039787501</v>
      </c>
      <c r="I345" s="11" t="n">
        <f aca="false">_xlfn.MAXIFS($D$5:$D$425,$A$5:$A$425,"&gt;="&amp;E345,$A$5:$A$425,"&lt;="&amp;F345)</f>
        <v>-458.590452326538</v>
      </c>
      <c r="J345" s="11" t="n">
        <f aca="false">-Short_p*MAX(Floor_c-A345,0)+Cost_k*Alpha_keep*A345+MAX(G345,H345,I345)</f>
        <v>-216.790452326538</v>
      </c>
      <c r="K345" s="22" t="n">
        <f aca="false">ABS(J345-B345)</f>
        <v>0</v>
      </c>
    </row>
    <row r="346" customFormat="false" ht="15" hidden="false" customHeight="false" outlineLevel="0" collapsed="false">
      <c r="A346" s="14" t="n">
        <v>62.05</v>
      </c>
      <c r="B346" s="23" t="n">
        <v>-216.627100709897</v>
      </c>
      <c r="C346" s="19" t="n">
        <v>342</v>
      </c>
      <c r="D346" s="11" t="n">
        <f aca="false">-Cost_k*A346+Beta_q*(Declarations!$B$16*INDEX($B$5:$B$425,$C346-ROUND(Declarations!$A$16/0.05,0))+Declarations!$B$17*INDEX($B$5:$B$425,$C346-ROUND(Declarations!$A$17/0.05,0))+Declarations!$B$18*INDEX($B$5:$B$425,$C346-ROUND(Declarations!$A$18/0.05,0))+Declarations!$B$19*INDEX($B$5:$B$425,$C346-ROUND(Declarations!$A$19/0.05,0))+Declarations!$B$20*INDEX($B$5:$B$425,$C346-ROUND(Declarations!$A$20/0.05,0)))</f>
        <v>-459.748681816503</v>
      </c>
    </row>
    <row r="347" customFormat="false" ht="15" hidden="false" customHeight="false" outlineLevel="0" collapsed="false">
      <c r="A347" s="14" t="n">
        <v>62.1</v>
      </c>
      <c r="B347" s="23" t="n">
        <v>-216.463804210346</v>
      </c>
      <c r="C347" s="19" t="n">
        <v>343</v>
      </c>
      <c r="D347" s="11" t="n">
        <f aca="false">-Cost_k*A347+Beta_q*(Declarations!$B$16*INDEX($B$5:$B$425,$C347-ROUND(Declarations!$A$16/0.05,0))+Declarations!$B$17*INDEX($B$5:$B$425,$C347-ROUND(Declarations!$A$17/0.05,0))+Declarations!$B$18*INDEX($B$5:$B$425,$C347-ROUND(Declarations!$A$18/0.05,0))+Declarations!$B$19*INDEX($B$5:$B$425,$C347-ROUND(Declarations!$A$19/0.05,0))+Declarations!$B$20*INDEX($B$5:$B$425,$C347-ROUND(Declarations!$A$20/0.05,0)))</f>
        <v>-459.789197944892</v>
      </c>
    </row>
    <row r="348" customFormat="false" ht="15" hidden="false" customHeight="false" outlineLevel="0" collapsed="false">
      <c r="A348" s="14" t="n">
        <v>62.15</v>
      </c>
      <c r="B348" s="23" t="n">
        <v>-216.300581512837</v>
      </c>
      <c r="C348" s="19" t="n">
        <v>344</v>
      </c>
      <c r="D348" s="11" t="n">
        <f aca="false">-Cost_k*A348+Beta_q*(Declarations!$B$16*INDEX($B$5:$B$425,$C348-ROUND(Declarations!$A$16/0.05,0))+Declarations!$B$17*INDEX($B$5:$B$425,$C348-ROUND(Declarations!$A$17/0.05,0))+Declarations!$B$18*INDEX($B$5:$B$425,$C348-ROUND(Declarations!$A$18/0.05,0))+Declarations!$B$19*INDEX($B$5:$B$425,$C348-ROUND(Declarations!$A$19/0.05,0))+Declarations!$B$20*INDEX($B$5:$B$425,$C348-ROUND(Declarations!$A$20/0.05,0)))</f>
        <v>-459.82977606283</v>
      </c>
    </row>
    <row r="349" customFormat="false" ht="15" hidden="false" customHeight="false" outlineLevel="0" collapsed="false">
      <c r="A349" s="14" t="n">
        <v>62.2</v>
      </c>
      <c r="B349" s="23" t="n">
        <v>-216.137402897846</v>
      </c>
      <c r="C349" s="19" t="n">
        <v>345</v>
      </c>
      <c r="D349" s="11" t="n">
        <f aca="false">-Cost_k*A349+Beta_q*(Declarations!$B$16*INDEX($B$5:$B$425,$C349-ROUND(Declarations!$A$16/0.05,0))+Declarations!$B$17*INDEX($B$5:$B$425,$C349-ROUND(Declarations!$A$17/0.05,0))+Declarations!$B$18*INDEX($B$5:$B$425,$C349-ROUND(Declarations!$A$18/0.05,0))+Declarations!$B$19*INDEX($B$5:$B$425,$C349-ROUND(Declarations!$A$19/0.05,0))+Declarations!$B$20*INDEX($B$5:$B$425,$C349-ROUND(Declarations!$A$20/0.05,0)))</f>
        <v>-459.870394385741</v>
      </c>
    </row>
    <row r="350" customFormat="false" ht="15" hidden="false" customHeight="false" outlineLevel="0" collapsed="false">
      <c r="A350" s="14" t="n">
        <v>62.25</v>
      </c>
      <c r="B350" s="23" t="n">
        <v>-215.974237292047</v>
      </c>
      <c r="C350" s="19" t="n">
        <v>346</v>
      </c>
      <c r="D350" s="11" t="n">
        <f aca="false">-Cost_k*A350+Beta_q*(Declarations!$B$16*INDEX($B$5:$B$425,$C350-ROUND(Declarations!$A$16/0.05,0))+Declarations!$B$17*INDEX($B$5:$B$425,$C350-ROUND(Declarations!$A$17/0.05,0))+Declarations!$B$18*INDEX($B$5:$B$425,$C350-ROUND(Declarations!$A$18/0.05,0))+Declarations!$B$19*INDEX($B$5:$B$425,$C350-ROUND(Declarations!$A$19/0.05,0))+Declarations!$B$20*INDEX($B$5:$B$425,$C350-ROUND(Declarations!$A$20/0.05,0)))</f>
        <v>-459.91102977924</v>
      </c>
    </row>
    <row r="351" customFormat="false" ht="15" hidden="false" customHeight="false" outlineLevel="0" collapsed="false">
      <c r="A351" s="14" t="n">
        <v>62.3</v>
      </c>
      <c r="B351" s="23" t="n">
        <v>-215.811074550348</v>
      </c>
      <c r="C351" s="19" t="n">
        <v>347</v>
      </c>
      <c r="D351" s="11" t="n">
        <f aca="false">-Cost_k*A351+Beta_q*(Declarations!$B$16*INDEX($B$5:$B$425,$C351-ROUND(Declarations!$A$16/0.05,0))+Declarations!$B$17*INDEX($B$5:$B$425,$C351-ROUND(Declarations!$A$17/0.05,0))+Declarations!$B$18*INDEX($B$5:$B$425,$C351-ROUND(Declarations!$A$18/0.05,0))+Declarations!$B$19*INDEX($B$5:$B$425,$C351-ROUND(Declarations!$A$19/0.05,0))+Declarations!$B$20*INDEX($B$5:$B$425,$C351-ROUND(Declarations!$A$20/0.05,0)))</f>
        <v>-459.951672367419</v>
      </c>
    </row>
    <row r="352" customFormat="false" ht="15" hidden="false" customHeight="false" outlineLevel="0" collapsed="false">
      <c r="A352" s="14" t="n">
        <v>62.35</v>
      </c>
      <c r="B352" s="23" t="n">
        <v>-215.64791961125</v>
      </c>
      <c r="C352" s="19" t="n">
        <v>348</v>
      </c>
      <c r="D352" s="11" t="n">
        <f aca="false">-Cost_k*A352+Beta_q*(Declarations!$B$16*INDEX($B$5:$B$425,$C352-ROUND(Declarations!$A$16/0.05,0))+Declarations!$B$17*INDEX($B$5:$B$425,$C352-ROUND(Declarations!$A$17/0.05,0))+Declarations!$B$18*INDEX($B$5:$B$425,$C352-ROUND(Declarations!$A$18/0.05,0))+Declarations!$B$19*INDEX($B$5:$B$425,$C352-ROUND(Declarations!$A$19/0.05,0))+Declarations!$B$20*INDEX($B$5:$B$425,$C352-ROUND(Declarations!$A$20/0.05,0)))</f>
        <v>-459.992330332448</v>
      </c>
    </row>
    <row r="353" customFormat="false" ht="15" hidden="false" customHeight="false" outlineLevel="0" collapsed="false">
      <c r="A353" s="14" t="n">
        <v>62.4</v>
      </c>
      <c r="B353" s="23" t="n">
        <v>-215.484823797809</v>
      </c>
      <c r="C353" s="19" t="n">
        <v>349</v>
      </c>
      <c r="D353" s="11" t="n">
        <f aca="false">-Cost_k*A353+Beta_q*(Declarations!$B$16*INDEX($B$5:$B$425,$C353-ROUND(Declarations!$A$16/0.05,0))+Declarations!$B$17*INDEX($B$5:$B$425,$C353-ROUND(Declarations!$A$17/0.05,0))+Declarations!$B$18*INDEX($B$5:$B$425,$C353-ROUND(Declarations!$A$18/0.05,0))+Declarations!$B$19*INDEX($B$5:$B$425,$C353-ROUND(Declarations!$A$19/0.05,0))+Declarations!$B$20*INDEX($B$5:$B$425,$C353-ROUND(Declarations!$A$20/0.05,0)))</f>
        <v>-460.033077211504</v>
      </c>
    </row>
    <row r="354" customFormat="false" ht="15" hidden="false" customHeight="false" outlineLevel="0" collapsed="false">
      <c r="A354" s="14" t="n">
        <v>62.45</v>
      </c>
      <c r="B354" s="23" t="n">
        <v>-215.322054699273</v>
      </c>
      <c r="C354" s="19" t="n">
        <v>350</v>
      </c>
      <c r="D354" s="11" t="n">
        <f aca="false">-Cost_k*A354+Beta_q*(Declarations!$B$16*INDEX($B$5:$B$425,$C354-ROUND(Declarations!$A$16/0.05,0))+Declarations!$B$17*INDEX($B$5:$B$425,$C354-ROUND(Declarations!$A$17/0.05,0))+Declarations!$B$18*INDEX($B$5:$B$425,$C354-ROUND(Declarations!$A$18/0.05,0))+Declarations!$B$19*INDEX($B$5:$B$425,$C354-ROUND(Declarations!$A$19/0.05,0))+Declarations!$B$20*INDEX($B$5:$B$425,$C354-ROUND(Declarations!$A$20/0.05,0)))</f>
        <v>-460.074189331725</v>
      </c>
    </row>
    <row r="355" customFormat="false" ht="15" hidden="false" customHeight="false" outlineLevel="0" collapsed="false">
      <c r="A355" s="14" t="n">
        <v>62.5</v>
      </c>
      <c r="B355" s="23" t="n">
        <v>-215.160144727718</v>
      </c>
      <c r="C355" s="19" t="n">
        <v>351</v>
      </c>
      <c r="D355" s="11" t="n">
        <f aca="false">-Cost_k*A355+Beta_q*(Declarations!$B$16*INDEX($B$5:$B$425,$C355-ROUND(Declarations!$A$16/0.05,0))+Declarations!$B$17*INDEX($B$5:$B$425,$C355-ROUND(Declarations!$A$17/0.05,0))+Declarations!$B$18*INDEX($B$5:$B$425,$C355-ROUND(Declarations!$A$18/0.05,0))+Declarations!$B$19*INDEX($B$5:$B$425,$C355-ROUND(Declarations!$A$19/0.05,0))+Declarations!$B$20*INDEX($B$5:$B$425,$C355-ROUND(Declarations!$A$20/0.05,0)))</f>
        <v>-460.11612740158</v>
      </c>
    </row>
    <row r="356" customFormat="false" ht="15" hidden="false" customHeight="false" outlineLevel="0" collapsed="false">
      <c r="A356" s="14" t="n">
        <v>62.55</v>
      </c>
      <c r="B356" s="23" t="n">
        <v>-214.99950330982</v>
      </c>
      <c r="C356" s="19" t="n">
        <v>352</v>
      </c>
      <c r="D356" s="11" t="n">
        <f aca="false">-Cost_k*A356+Beta_q*(Declarations!$B$16*INDEX($B$5:$B$425,$C356-ROUND(Declarations!$A$16/0.05,0))+Declarations!$B$17*INDEX($B$5:$B$425,$C356-ROUND(Declarations!$A$17/0.05,0))+Declarations!$B$18*INDEX($B$5:$B$425,$C356-ROUND(Declarations!$A$18/0.05,0))+Declarations!$B$19*INDEX($B$5:$B$425,$C356-ROUND(Declarations!$A$19/0.05,0))+Declarations!$B$20*INDEX($B$5:$B$425,$C356-ROUND(Declarations!$A$20/0.05,0)))</f>
        <v>-460.159162877213</v>
      </c>
    </row>
    <row r="357" customFormat="false" ht="15" hidden="false" customHeight="false" outlineLevel="0" collapsed="false">
      <c r="A357" s="14" t="n">
        <v>62.6</v>
      </c>
      <c r="B357" s="23" t="n">
        <v>-214.839743069817</v>
      </c>
      <c r="C357" s="19" t="n">
        <v>353</v>
      </c>
      <c r="D357" s="11" t="n">
        <f aca="false">-Cost_k*A357+Beta_q*(Declarations!$B$16*INDEX($B$5:$B$425,$C357-ROUND(Declarations!$A$16/0.05,0))+Declarations!$B$17*INDEX($B$5:$B$425,$C357-ROUND(Declarations!$A$17/0.05,0))+Declarations!$B$18*INDEX($B$5:$B$425,$C357-ROUND(Declarations!$A$18/0.05,0))+Declarations!$B$19*INDEX($B$5:$B$425,$C357-ROUND(Declarations!$A$19/0.05,0))+Declarations!$B$20*INDEX($B$5:$B$425,$C357-ROUND(Declarations!$A$20/0.05,0)))</f>
        <v>-460.202937503812</v>
      </c>
    </row>
    <row r="358" customFormat="false" ht="15" hidden="false" customHeight="false" outlineLevel="0" collapsed="false">
      <c r="A358" s="14" t="n">
        <v>62.65</v>
      </c>
      <c r="B358" s="23" t="n">
        <v>-214.680266237746</v>
      </c>
      <c r="C358" s="19" t="n">
        <v>354</v>
      </c>
      <c r="D358" s="11" t="n">
        <f aca="false">-Cost_k*A358+Beta_q*(Declarations!$B$16*INDEX($B$5:$B$425,$C358-ROUND(Declarations!$A$16/0.05,0))+Declarations!$B$17*INDEX($B$5:$B$425,$C358-ROUND(Declarations!$A$17/0.05,0))+Declarations!$B$18*INDEX($B$5:$B$425,$C358-ROUND(Declarations!$A$18/0.05,0))+Declarations!$B$19*INDEX($B$5:$B$425,$C358-ROUND(Declarations!$A$19/0.05,0))+Declarations!$B$20*INDEX($B$5:$B$425,$C358-ROUND(Declarations!$A$20/0.05,0)))</f>
        <v>-460.247066501843</v>
      </c>
    </row>
    <row r="359" customFormat="false" ht="15" hidden="false" customHeight="false" outlineLevel="0" collapsed="false">
      <c r="A359" s="14" t="n">
        <v>62.7</v>
      </c>
      <c r="B359" s="23" t="n">
        <v>-214.520835967809</v>
      </c>
      <c r="C359" s="19" t="n">
        <v>355</v>
      </c>
      <c r="D359" s="11" t="n">
        <f aca="false">-Cost_k*A359+Beta_q*(Declarations!$B$16*INDEX($B$5:$B$425,$C359-ROUND(Declarations!$A$16/0.05,0))+Declarations!$B$17*INDEX($B$5:$B$425,$C359-ROUND(Declarations!$A$17/0.05,0))+Declarations!$B$18*INDEX($B$5:$B$425,$C359-ROUND(Declarations!$A$18/0.05,0))+Declarations!$B$19*INDEX($B$5:$B$425,$C359-ROUND(Declarations!$A$19/0.05,0))+Declarations!$B$20*INDEX($B$5:$B$425,$C359-ROUND(Declarations!$A$20/0.05,0)))</f>
        <v>-460.29130781342</v>
      </c>
    </row>
    <row r="360" customFormat="false" ht="15" hidden="false" customHeight="false" outlineLevel="0" collapsed="false">
      <c r="A360" s="14" t="n">
        <v>62.75</v>
      </c>
      <c r="B360" s="23" t="n">
        <v>-214.361415027582</v>
      </c>
      <c r="C360" s="19" t="n">
        <v>356</v>
      </c>
      <c r="D360" s="11" t="n">
        <f aca="false">-Cost_k*A360+Beta_q*(Declarations!$B$16*INDEX($B$5:$B$425,$C360-ROUND(Declarations!$A$16/0.05,0))+Declarations!$B$17*INDEX($B$5:$B$425,$C360-ROUND(Declarations!$A$17/0.05,0))+Declarations!$B$18*INDEX($B$5:$B$425,$C360-ROUND(Declarations!$A$18/0.05,0))+Declarations!$B$19*INDEX($B$5:$B$425,$C360-ROUND(Declarations!$A$19/0.05,0))+Declarations!$B$20*INDEX($B$5:$B$425,$C360-ROUND(Declarations!$A$20/0.05,0)))</f>
        <v>-460.335588563382</v>
      </c>
    </row>
    <row r="361" customFormat="false" ht="15" hidden="false" customHeight="false" outlineLevel="0" collapsed="false">
      <c r="A361" s="14" t="n">
        <v>62.8</v>
      </c>
      <c r="B361" s="23" t="n">
        <v>-214.202003657001</v>
      </c>
      <c r="C361" s="19" t="n">
        <v>357</v>
      </c>
      <c r="D361" s="11" t="n">
        <f aca="false">-Cost_k*A361+Beta_q*(Declarations!$B$16*INDEX($B$5:$B$425,$C361-ROUND(Declarations!$A$16/0.05,0))+Declarations!$B$17*INDEX($B$5:$B$425,$C361-ROUND(Declarations!$A$17/0.05,0))+Declarations!$B$18*INDEX($B$5:$B$425,$C361-ROUND(Declarations!$A$18/0.05,0))+Declarations!$B$19*INDEX($B$5:$B$425,$C361-ROUND(Declarations!$A$19/0.05,0))+Declarations!$B$20*INDEX($B$5:$B$425,$C361-ROUND(Declarations!$A$20/0.05,0)))</f>
        <v>-460.379890044783</v>
      </c>
    </row>
    <row r="362" customFormat="false" ht="15" hidden="false" customHeight="false" outlineLevel="0" collapsed="false">
      <c r="A362" s="14" t="n">
        <v>62.85</v>
      </c>
      <c r="B362" s="23" t="n">
        <v>-214.042619710347</v>
      </c>
      <c r="C362" s="19" t="n">
        <v>358</v>
      </c>
      <c r="D362" s="11" t="n">
        <f aca="false">-Cost_k*A362+Beta_q*(Declarations!$B$16*INDEX($B$5:$B$425,$C362-ROUND(Declarations!$A$16/0.05,0))+Declarations!$B$17*INDEX($B$5:$B$425,$C362-ROUND(Declarations!$A$17/0.05,0))+Declarations!$B$18*INDEX($B$5:$B$425,$C362-ROUND(Declarations!$A$18/0.05,0))+Declarations!$B$19*INDEX($B$5:$B$425,$C362-ROUND(Declarations!$A$19/0.05,0))+Declarations!$B$20*INDEX($B$5:$B$425,$C362-ROUND(Declarations!$A$20/0.05,0)))</f>
        <v>-460.424223922262</v>
      </c>
    </row>
    <row r="363" customFormat="false" ht="15" hidden="false" customHeight="false" outlineLevel="0" collapsed="false">
      <c r="A363" s="14" t="n">
        <v>62.9</v>
      </c>
      <c r="B363" s="23" t="n">
        <v>-213.883288051561</v>
      </c>
      <c r="C363" s="19" t="n">
        <v>359</v>
      </c>
      <c r="D363" s="11" t="n">
        <f aca="false">-Cost_k*A363+Beta_q*(Declarations!$B$16*INDEX($B$5:$B$425,$C363-ROUND(Declarations!$A$16/0.05,0))+Declarations!$B$17*INDEX($B$5:$B$425,$C363-ROUND(Declarations!$A$17/0.05,0))+Declarations!$B$18*INDEX($B$5:$B$425,$C363-ROUND(Declarations!$A$18/0.05,0))+Declarations!$B$19*INDEX($B$5:$B$425,$C363-ROUND(Declarations!$A$19/0.05,0))+Declarations!$B$20*INDEX($B$5:$B$425,$C363-ROUND(Declarations!$A$20/0.05,0)))</f>
        <v>-460.468607147944</v>
      </c>
    </row>
    <row r="364" customFormat="false" ht="15" hidden="false" customHeight="false" outlineLevel="0" collapsed="false">
      <c r="A364" s="14" t="n">
        <v>62.95</v>
      </c>
      <c r="B364" s="23" t="n">
        <v>-213.7240149503</v>
      </c>
      <c r="C364" s="19" t="n">
        <v>360</v>
      </c>
      <c r="D364" s="11" t="n">
        <f aca="false">-Cost_k*A364+Beta_q*(Declarations!$B$16*INDEX($B$5:$B$425,$C364-ROUND(Declarations!$A$16/0.05,0))+Declarations!$B$17*INDEX($B$5:$B$425,$C364-ROUND(Declarations!$A$17/0.05,0))+Declarations!$B$18*INDEX($B$5:$B$425,$C364-ROUND(Declarations!$A$18/0.05,0))+Declarations!$B$19*INDEX($B$5:$B$425,$C364-ROUND(Declarations!$A$19/0.05,0))+Declarations!$B$20*INDEX($B$5:$B$425,$C364-ROUND(Declarations!$A$20/0.05,0)))</f>
        <v>-460.513039787501</v>
      </c>
    </row>
    <row r="365" customFormat="false" ht="15" hidden="false" customHeight="false" outlineLevel="0" collapsed="false">
      <c r="A365" s="14" t="n">
        <v>63</v>
      </c>
      <c r="B365" s="23" t="n">
        <v>-213.5647799094</v>
      </c>
      <c r="C365" s="19" t="n">
        <v>361</v>
      </c>
      <c r="D365" s="11" t="n">
        <f aca="false">-Cost_k*A365+Beta_q*(Declarations!$B$16*INDEX($B$5:$B$425,$C365-ROUND(Declarations!$A$16/0.05,0))+Declarations!$B$17*INDEX($B$5:$B$425,$C365-ROUND(Declarations!$A$17/0.05,0))+Declarations!$B$18*INDEX($B$5:$B$425,$C365-ROUND(Declarations!$A$18/0.05,0))+Declarations!$B$19*INDEX($B$5:$B$425,$C365-ROUND(Declarations!$A$19/0.05,0))+Declarations!$B$20*INDEX($B$5:$B$425,$C365-ROUND(Declarations!$A$20/0.05,0)))</f>
        <v>-460.557506762499</v>
      </c>
    </row>
    <row r="366" customFormat="false" ht="15" hidden="false" customHeight="false" outlineLevel="0" collapsed="false">
      <c r="A366" s="14" t="n">
        <v>63.05</v>
      </c>
      <c r="B366" s="23" t="n">
        <v>-213.405559163605</v>
      </c>
      <c r="C366" s="19" t="n">
        <v>362</v>
      </c>
      <c r="D366" s="11" t="n">
        <f aca="false">-Cost_k*A366+Beta_q*(Declarations!$B$16*INDEX($B$5:$B$425,$C366-ROUND(Declarations!$A$16/0.05,0))+Declarations!$B$17*INDEX($B$5:$B$425,$C366-ROUND(Declarations!$A$17/0.05,0))+Declarations!$B$18*INDEX($B$5:$B$425,$C366-ROUND(Declarations!$A$18/0.05,0))+Declarations!$B$19*INDEX($B$5:$B$425,$C366-ROUND(Declarations!$A$19/0.05,0))+Declarations!$B$20*INDEX($B$5:$B$425,$C366-ROUND(Declarations!$A$20/0.05,0)))</f>
        <v>-460.601990763024</v>
      </c>
    </row>
    <row r="367" customFormat="false" ht="15" hidden="false" customHeight="false" outlineLevel="0" collapsed="false">
      <c r="A367" s="14" t="n">
        <v>63.1</v>
      </c>
      <c r="B367" s="23" t="n">
        <v>-213.246343926955</v>
      </c>
      <c r="C367" s="19" t="n">
        <v>363</v>
      </c>
      <c r="D367" s="11" t="n">
        <f aca="false">-Cost_k*A367+Beta_q*(Declarations!$B$16*INDEX($B$5:$B$425,$C367-ROUND(Declarations!$A$16/0.05,0))+Declarations!$B$17*INDEX($B$5:$B$425,$C367-ROUND(Declarations!$A$17/0.05,0))+Declarations!$B$18*INDEX($B$5:$B$425,$C367-ROUND(Declarations!$A$18/0.05,0))+Declarations!$B$19*INDEX($B$5:$B$425,$C367-ROUND(Declarations!$A$19/0.05,0))+Declarations!$B$20*INDEX($B$5:$B$425,$C367-ROUND(Declarations!$A$20/0.05,0)))</f>
        <v>-460.646485226204</v>
      </c>
    </row>
    <row r="368" customFormat="false" ht="15" hidden="false" customHeight="false" outlineLevel="0" collapsed="false">
      <c r="A368" s="14" t="n">
        <v>63.15</v>
      </c>
      <c r="B368" s="23" t="n">
        <v>-213.087147207446</v>
      </c>
      <c r="C368" s="19" t="n">
        <v>364</v>
      </c>
      <c r="D368" s="11" t="n">
        <f aca="false">-Cost_k*A368+Beta_q*(Declarations!$B$16*INDEX($B$5:$B$425,$C368-ROUND(Declarations!$A$16/0.05,0))+Declarations!$B$17*INDEX($B$5:$B$425,$C368-ROUND(Declarations!$A$17/0.05,0))+Declarations!$B$18*INDEX($B$5:$B$425,$C368-ROUND(Declarations!$A$18/0.05,0))+Declarations!$B$19*INDEX($B$5:$B$425,$C368-ROUND(Declarations!$A$19/0.05,0))+Declarations!$B$20*INDEX($B$5:$B$425,$C368-ROUND(Declarations!$A$20/0.05,0)))</f>
        <v>-460.691011557948</v>
      </c>
    </row>
    <row r="369" customFormat="false" ht="15" hidden="false" customHeight="false" outlineLevel="0" collapsed="false">
      <c r="A369" s="14" t="n">
        <v>63.2</v>
      </c>
      <c r="B369" s="23" t="n">
        <v>-212.928056816491</v>
      </c>
      <c r="C369" s="19" t="n">
        <v>365</v>
      </c>
      <c r="D369" s="11" t="n">
        <f aca="false">-Cost_k*A369+Beta_q*(Declarations!$B$16*INDEX($B$5:$B$425,$C369-ROUND(Declarations!$A$16/0.05,0))+Declarations!$B$17*INDEX($B$5:$B$425,$C369-ROUND(Declarations!$A$17/0.05,0))+Declarations!$B$18*INDEX($B$5:$B$425,$C369-ROUND(Declarations!$A$18/0.05,0))+Declarations!$B$19*INDEX($B$5:$B$425,$C369-ROUND(Declarations!$A$19/0.05,0))+Declarations!$B$20*INDEX($B$5:$B$425,$C369-ROUND(Declarations!$A$20/0.05,0)))</f>
        <v>-460.735690187375</v>
      </c>
    </row>
    <row r="370" customFormat="false" ht="15" hidden="false" customHeight="false" outlineLevel="0" collapsed="false">
      <c r="A370" s="14" t="n">
        <v>63.25</v>
      </c>
      <c r="B370" s="23" t="n">
        <v>-212.769345202447</v>
      </c>
      <c r="C370" s="19" t="n">
        <v>366</v>
      </c>
      <c r="D370" s="11" t="n">
        <f aca="false">-Cost_k*A370+Beta_q*(Declarations!$B$16*INDEX($B$5:$B$425,$C370-ROUND(Declarations!$A$16/0.05,0))+Declarations!$B$17*INDEX($B$5:$B$425,$C370-ROUND(Declarations!$A$17/0.05,0))+Declarations!$B$18*INDEX($B$5:$B$425,$C370-ROUND(Declarations!$A$18/0.05,0))+Declarations!$B$19*INDEX($B$5:$B$425,$C370-ROUND(Declarations!$A$19/0.05,0))+Declarations!$B$20*INDEX($B$5:$B$425,$C370-ROUND(Declarations!$A$20/0.05,0)))</f>
        <v>-460.780803032778</v>
      </c>
    </row>
    <row r="371" customFormat="false" ht="15" hidden="false" customHeight="false" outlineLevel="0" collapsed="false">
      <c r="A371" s="14" t="n">
        <v>63.3</v>
      </c>
      <c r="B371" s="23" t="n">
        <v>-212.611459298589</v>
      </c>
      <c r="C371" s="19" t="n">
        <v>367</v>
      </c>
      <c r="D371" s="11" t="n">
        <f aca="false">-Cost_k*A371+Beta_q*(Declarations!$B$16*INDEX($B$5:$B$425,$C371-ROUND(Declarations!$A$16/0.05,0))+Declarations!$B$17*INDEX($B$5:$B$425,$C371-ROUND(Declarations!$A$17/0.05,0))+Declarations!$B$18*INDEX($B$5:$B$425,$C371-ROUND(Declarations!$A$18/0.05,0))+Declarations!$B$19*INDEX($B$5:$B$425,$C371-ROUND(Declarations!$A$19/0.05,0))+Declarations!$B$20*INDEX($B$5:$B$425,$C371-ROUND(Declarations!$A$20/0.05,0)))</f>
        <v>-460.826706344922</v>
      </c>
    </row>
    <row r="372" customFormat="false" ht="15" hidden="false" customHeight="false" outlineLevel="0" collapsed="false">
      <c r="A372" s="14" t="n">
        <v>63.35</v>
      </c>
      <c r="B372" s="23" t="n">
        <v>-212.454678612929</v>
      </c>
      <c r="C372" s="19" t="n">
        <v>368</v>
      </c>
      <c r="D372" s="11" t="n">
        <f aca="false">-Cost_k*A372+Beta_q*(Declarations!$B$16*INDEX($B$5:$B$425,$C372-ROUND(Declarations!$A$16/0.05,0))+Declarations!$B$17*INDEX($B$5:$B$425,$C372-ROUND(Declarations!$A$17/0.05,0))+Declarations!$B$18*INDEX($B$5:$B$425,$C372-ROUND(Declarations!$A$18/0.05,0))+Declarations!$B$19*INDEX($B$5:$B$425,$C372-ROUND(Declarations!$A$19/0.05,0))+Declarations!$B$20*INDEX($B$5:$B$425,$C372-ROUND(Declarations!$A$20/0.05,0)))</f>
        <v>-460.873502787773</v>
      </c>
    </row>
    <row r="373" customFormat="false" ht="15" hidden="false" customHeight="false" outlineLevel="0" collapsed="false">
      <c r="A373" s="14" t="n">
        <v>63.4</v>
      </c>
      <c r="B373" s="23" t="n">
        <v>-212.298725323508</v>
      </c>
      <c r="C373" s="19" t="n">
        <v>369</v>
      </c>
      <c r="D373" s="11" t="n">
        <f aca="false">-Cost_k*A373+Beta_q*(Declarations!$B$16*INDEX($B$5:$B$425,$C373-ROUND(Declarations!$A$16/0.05,0))+Declarations!$B$17*INDEX($B$5:$B$425,$C373-ROUND(Declarations!$A$17/0.05,0))+Declarations!$B$18*INDEX($B$5:$B$425,$C373-ROUND(Declarations!$A$18/0.05,0))+Declarations!$B$19*INDEX($B$5:$B$425,$C373-ROUND(Declarations!$A$19/0.05,0))+Declarations!$B$20*INDEX($B$5:$B$425,$C373-ROUND(Declarations!$A$20/0.05,0)))</f>
        <v>-460.920991455636</v>
      </c>
    </row>
    <row r="374" customFormat="false" ht="15" hidden="false" customHeight="false" outlineLevel="0" collapsed="false">
      <c r="A374" s="14" t="n">
        <v>63.45</v>
      </c>
      <c r="B374" s="23" t="n">
        <v>-212.143048014117</v>
      </c>
      <c r="C374" s="19" t="n">
        <v>370</v>
      </c>
      <c r="D374" s="11" t="n">
        <f aca="false">-Cost_k*A374+Beta_q*(Declarations!$B$16*INDEX($B$5:$B$425,$C374-ROUND(Declarations!$A$16/0.05,0))+Declarations!$B$17*INDEX($B$5:$B$425,$C374-ROUND(Declarations!$A$17/0.05,0))+Declarations!$B$18*INDEX($B$5:$B$425,$C374-ROUND(Declarations!$A$18/0.05,0))+Declarations!$B$19*INDEX($B$5:$B$425,$C374-ROUND(Declarations!$A$19/0.05,0))+Declarations!$B$20*INDEX($B$5:$B$425,$C374-ROUND(Declarations!$A$20/0.05,0)))</f>
        <v>-460.968803979403</v>
      </c>
    </row>
    <row r="375" customFormat="false" ht="15" hidden="false" customHeight="false" outlineLevel="0" collapsed="false">
      <c r="A375" s="14" t="n">
        <v>63.5</v>
      </c>
      <c r="B375" s="23" t="n">
        <v>-211.987450663735</v>
      </c>
      <c r="C375" s="19" t="n">
        <v>371</v>
      </c>
      <c r="D375" s="11" t="n">
        <f aca="false">-Cost_k*A375+Beta_q*(Declarations!$B$16*INDEX($B$5:$B$425,$C375-ROUND(Declarations!$A$16/0.05,0))+Declarations!$B$17*INDEX($B$5:$B$425,$C375-ROUND(Declarations!$A$17/0.05,0))+Declarations!$B$18*INDEX($B$5:$B$425,$C375-ROUND(Declarations!$A$18/0.05,0))+Declarations!$B$19*INDEX($B$5:$B$425,$C375-ROUND(Declarations!$A$19/0.05,0))+Declarations!$B$20*INDEX($B$5:$B$425,$C375-ROUND(Declarations!$A$20/0.05,0)))</f>
        <v>-461.016765467464</v>
      </c>
    </row>
    <row r="376" customFormat="false" ht="15" hidden="false" customHeight="false" outlineLevel="0" collapsed="false">
      <c r="A376" s="14" t="n">
        <v>63.55</v>
      </c>
      <c r="B376" s="23" t="n">
        <v>-211.831873477104</v>
      </c>
      <c r="C376" s="19" t="n">
        <v>372</v>
      </c>
      <c r="D376" s="11" t="n">
        <f aca="false">-Cost_k*A376+Beta_q*(Declarations!$B$16*INDEX($B$5:$B$425,$C376-ROUND(Declarations!$A$16/0.05,0))+Declarations!$B$17*INDEX($B$5:$B$425,$C376-ROUND(Declarations!$A$17/0.05,0))+Declarations!$B$18*INDEX($B$5:$B$425,$C376-ROUND(Declarations!$A$18/0.05,0))+Declarations!$B$19*INDEX($B$5:$B$425,$C376-ROUND(Declarations!$A$19/0.05,0))+Declarations!$B$20*INDEX($B$5:$B$425,$C376-ROUND(Declarations!$A$20/0.05,0)))</f>
        <v>-461.064788750555</v>
      </c>
    </row>
    <row r="377" customFormat="false" ht="15" hidden="false" customHeight="false" outlineLevel="0" collapsed="false">
      <c r="A377" s="14" t="n">
        <v>63.6</v>
      </c>
      <c r="B377" s="23" t="n">
        <v>-211.676309389449</v>
      </c>
      <c r="C377" s="19" t="n">
        <v>373</v>
      </c>
      <c r="D377" s="11" t="n">
        <f aca="false">-Cost_k*A377+Beta_q*(Declarations!$B$16*INDEX($B$5:$B$425,$C377-ROUND(Declarations!$A$16/0.05,0))+Declarations!$B$17*INDEX($B$5:$B$425,$C377-ROUND(Declarations!$A$17/0.05,0))+Declarations!$B$18*INDEX($B$5:$B$425,$C377-ROUND(Declarations!$A$18/0.05,0))+Declarations!$B$19*INDEX($B$5:$B$425,$C377-ROUND(Declarations!$A$19/0.05,0))+Declarations!$B$20*INDEX($B$5:$B$425,$C377-ROUND(Declarations!$A$20/0.05,0)))</f>
        <v>-461.112846749903</v>
      </c>
    </row>
    <row r="378" customFormat="false" ht="15" hidden="false" customHeight="false" outlineLevel="0" collapsed="false">
      <c r="A378" s="14" t="n">
        <v>63.65</v>
      </c>
      <c r="B378" s="23" t="n">
        <v>-211.520772138971</v>
      </c>
      <c r="C378" s="19" t="n">
        <v>374</v>
      </c>
      <c r="D378" s="11" t="n">
        <f aca="false">-Cost_k*A378+Beta_q*(Declarations!$B$16*INDEX($B$5:$B$425,$C378-ROUND(Declarations!$A$16/0.05,0))+Declarations!$B$17*INDEX($B$5:$B$425,$C378-ROUND(Declarations!$A$17/0.05,0))+Declarations!$B$18*INDEX($B$5:$B$425,$C378-ROUND(Declarations!$A$18/0.05,0))+Declarations!$B$19*INDEX($B$5:$B$425,$C378-ROUND(Declarations!$A$19/0.05,0))+Declarations!$B$20*INDEX($B$5:$B$425,$C378-ROUND(Declarations!$A$20/0.05,0)))</f>
        <v>-461.160941161129</v>
      </c>
    </row>
    <row r="379" customFormat="false" ht="15" hidden="false" customHeight="false" outlineLevel="0" collapsed="false">
      <c r="A379" s="14" t="n">
        <v>63.7</v>
      </c>
      <c r="B379" s="23" t="n">
        <v>-211.365284662583</v>
      </c>
      <c r="C379" s="19" t="n">
        <v>375</v>
      </c>
      <c r="D379" s="11" t="n">
        <f aca="false">-Cost_k*A379+Beta_q*(Declarations!$B$16*INDEX($B$5:$B$425,$C379-ROUND(Declarations!$A$16/0.05,0))+Declarations!$B$17*INDEX($B$5:$B$425,$C379-ROUND(Declarations!$A$17/0.05,0))+Declarations!$B$18*INDEX($B$5:$B$425,$C379-ROUND(Declarations!$A$18/0.05,0))+Declarations!$B$19*INDEX($B$5:$B$425,$C379-ROUND(Declarations!$A$19/0.05,0))+Declarations!$B$20*INDEX($B$5:$B$425,$C379-ROUND(Declarations!$A$20/0.05,0)))</f>
        <v>-461.209081410388</v>
      </c>
    </row>
    <row r="380" customFormat="false" ht="15" hidden="false" customHeight="false" outlineLevel="0" collapsed="false">
      <c r="A380" s="14" t="n">
        <v>63.75</v>
      </c>
      <c r="B380" s="23" t="n">
        <v>-211.209853353194</v>
      </c>
      <c r="C380" s="19" t="n">
        <v>376</v>
      </c>
      <c r="D380" s="11" t="n">
        <f aca="false">-Cost_k*A380+Beta_q*(Declarations!$B$16*INDEX($B$5:$B$425,$C380-ROUND(Declarations!$A$16/0.05,0))+Declarations!$B$17*INDEX($B$5:$B$425,$C380-ROUND(Declarations!$A$17/0.05,0))+Declarations!$B$18*INDEX($B$5:$B$425,$C380-ROUND(Declarations!$A$18/0.05,0))+Declarations!$B$19*INDEX($B$5:$B$425,$C380-ROUND(Declarations!$A$19/0.05,0))+Declarations!$B$20*INDEX($B$5:$B$425,$C380-ROUND(Declarations!$A$20/0.05,0)))</f>
        <v>-461.257267284387</v>
      </c>
    </row>
    <row r="381" customFormat="false" ht="15" hidden="false" customHeight="false" outlineLevel="0" collapsed="false">
      <c r="A381" s="14" t="n">
        <v>63.8</v>
      </c>
      <c r="B381" s="23" t="n">
        <v>-211.054457925091</v>
      </c>
      <c r="C381" s="19" t="n">
        <v>377</v>
      </c>
      <c r="D381" s="11" t="n">
        <f aca="false">-Cost_k*A381+Beta_q*(Declarations!$B$16*INDEX($B$5:$B$425,$C381-ROUND(Declarations!$A$16/0.05,0))+Declarations!$B$17*INDEX($B$5:$B$425,$C381-ROUND(Declarations!$A$17/0.05,0))+Declarations!$B$18*INDEX($B$5:$B$425,$C381-ROUND(Declarations!$A$18/0.05,0))+Declarations!$B$19*INDEX($B$5:$B$425,$C381-ROUND(Declarations!$A$19/0.05,0))+Declarations!$B$20*INDEX($B$5:$B$425,$C381-ROUND(Declarations!$A$20/0.05,0)))</f>
        <v>-461.305484622735</v>
      </c>
    </row>
    <row r="382" customFormat="false" ht="15" hidden="false" customHeight="false" outlineLevel="0" collapsed="false">
      <c r="A382" s="14" t="n">
        <v>63.85</v>
      </c>
      <c r="B382" s="23" t="n">
        <v>-210.899077973354</v>
      </c>
      <c r="C382" s="19" t="n">
        <v>378</v>
      </c>
      <c r="D382" s="11" t="n">
        <f aca="false">-Cost_k*A382+Beta_q*(Declarations!$B$16*INDEX($B$5:$B$425,$C382-ROUND(Declarations!$A$16/0.05,0))+Declarations!$B$17*INDEX($B$5:$B$425,$C382-ROUND(Declarations!$A$17/0.05,0))+Declarations!$B$18*INDEX($B$5:$B$425,$C382-ROUND(Declarations!$A$18/0.05,0))+Declarations!$B$19*INDEX($B$5:$B$425,$C382-ROUND(Declarations!$A$19/0.05,0))+Declarations!$B$20*INDEX($B$5:$B$425,$C382-ROUND(Declarations!$A$20/0.05,0)))</f>
        <v>-461.353720202846</v>
      </c>
    </row>
    <row r="383" customFormat="false" ht="15" hidden="false" customHeight="false" outlineLevel="0" collapsed="false">
      <c r="A383" s="14" t="n">
        <v>63.9</v>
      </c>
      <c r="B383" s="23" t="n">
        <v>-210.74370526567</v>
      </c>
      <c r="C383" s="19" t="n">
        <v>379</v>
      </c>
      <c r="D383" s="11" t="n">
        <f aca="false">-Cost_k*A383+Beta_q*(Declarations!$B$16*INDEX($B$5:$B$425,$C383-ROUND(Declarations!$A$16/0.05,0))+Declarations!$B$17*INDEX($B$5:$B$425,$C383-ROUND(Declarations!$A$17/0.05,0))+Declarations!$B$18*INDEX($B$5:$B$425,$C383-ROUND(Declarations!$A$18/0.05,0))+Declarations!$B$19*INDEX($B$5:$B$425,$C383-ROUND(Declarations!$A$19/0.05,0))+Declarations!$B$20*INDEX($B$5:$B$425,$C383-ROUND(Declarations!$A$20/0.05,0)))</f>
        <v>-461.401971819655</v>
      </c>
    </row>
    <row r="384" customFormat="false" ht="15" hidden="false" customHeight="false" outlineLevel="0" collapsed="false">
      <c r="A384" s="14" t="n">
        <v>63.95</v>
      </c>
      <c r="B384" s="23" t="n">
        <v>-210.588349004424</v>
      </c>
      <c r="C384" s="19" t="n">
        <v>380</v>
      </c>
      <c r="D384" s="11" t="n">
        <f aca="false">-Cost_k*A384+Beta_q*(Declarations!$B$16*INDEX($B$5:$B$425,$C384-ROUND(Declarations!$A$16/0.05,0))+Declarations!$B$17*INDEX($B$5:$B$425,$C384-ROUND(Declarations!$A$17/0.05,0))+Declarations!$B$18*INDEX($B$5:$B$425,$C384-ROUND(Declarations!$A$18/0.05,0))+Declarations!$B$19*INDEX($B$5:$B$425,$C384-ROUND(Declarations!$A$19/0.05,0))+Declarations!$B$20*INDEX($B$5:$B$425,$C384-ROUND(Declarations!$A$20/0.05,0)))</f>
        <v>-461.45027178959</v>
      </c>
    </row>
    <row r="385" customFormat="false" ht="15" hidden="false" customHeight="false" outlineLevel="0" collapsed="false">
      <c r="A385" s="14" t="n">
        <v>64</v>
      </c>
      <c r="B385" s="23" t="n">
        <v>-210.433077211504</v>
      </c>
      <c r="C385" s="19" t="n">
        <v>381</v>
      </c>
      <c r="D385" s="11" t="n">
        <f aca="false">-Cost_k*A385+Beta_q*(Declarations!$B$16*INDEX($B$5:$B$425,$C385-ROUND(Declarations!$A$16/0.05,0))+Declarations!$B$17*INDEX($B$5:$B$425,$C385-ROUND(Declarations!$A$17/0.05,0))+Declarations!$B$18*INDEX($B$5:$B$425,$C385-ROUND(Declarations!$A$18/0.05,0))+Declarations!$B$19*INDEX($B$5:$B$425,$C385-ROUND(Declarations!$A$19/0.05,0))+Declarations!$B$20*INDEX($B$5:$B$425,$C385-ROUND(Declarations!$A$20/0.05,0)))</f>
        <v>-461.498734288801</v>
      </c>
    </row>
    <row r="386" customFormat="false" ht="15" hidden="false" customHeight="false" outlineLevel="0" collapsed="false">
      <c r="A386" s="14" t="n">
        <v>64.05</v>
      </c>
      <c r="B386" s="23" t="n">
        <v>-210.278161528719</v>
      </c>
      <c r="C386" s="19" t="n">
        <v>382</v>
      </c>
      <c r="D386" s="11" t="n">
        <f aca="false">-Cost_k*A386+Beta_q*(Declarations!$B$16*INDEX($B$5:$B$425,$C386-ROUND(Declarations!$A$16/0.05,0))+Declarations!$B$17*INDEX($B$5:$B$425,$C386-ROUND(Declarations!$A$17/0.05,0))+Declarations!$B$18*INDEX($B$5:$B$425,$C386-ROUND(Declarations!$A$18/0.05,0))+Declarations!$B$19*INDEX($B$5:$B$425,$C386-ROUND(Declarations!$A$19/0.05,0))+Declarations!$B$20*INDEX($B$5:$B$425,$C386-ROUND(Declarations!$A$20/0.05,0)))</f>
        <v>-461.547614960934</v>
      </c>
    </row>
    <row r="387" customFormat="false" ht="15" hidden="false" customHeight="false" outlineLevel="0" collapsed="false">
      <c r="A387" s="14" t="n">
        <v>64.1</v>
      </c>
      <c r="B387" s="23" t="n">
        <v>-210.124030498087</v>
      </c>
      <c r="C387" s="19" t="n">
        <v>383</v>
      </c>
      <c r="D387" s="11" t="n">
        <f aca="false">-Cost_k*A387+Beta_q*(Declarations!$B$16*INDEX($B$5:$B$425,$C387-ROUND(Declarations!$A$16/0.05,0))+Declarations!$B$17*INDEX($B$5:$B$425,$C387-ROUND(Declarations!$A$17/0.05,0))+Declarations!$B$18*INDEX($B$5:$B$425,$C387-ROUND(Declarations!$A$18/0.05,0))+Declarations!$B$19*INDEX($B$5:$B$425,$C387-ROUND(Declarations!$A$19/0.05,0))+Declarations!$B$20*INDEX($B$5:$B$425,$C387-ROUND(Declarations!$A$20/0.05,0)))</f>
        <v>-461.597200851946</v>
      </c>
    </row>
    <row r="388" customFormat="false" ht="15" hidden="false" customHeight="false" outlineLevel="0" collapsed="false">
      <c r="A388" s="14" t="n">
        <v>64.15</v>
      </c>
      <c r="B388" s="23" t="n">
        <v>-209.970935216541</v>
      </c>
      <c r="C388" s="19" t="n">
        <v>384</v>
      </c>
      <c r="D388" s="11" t="n">
        <f aca="false">-Cost_k*A388+Beta_q*(Declarations!$B$16*INDEX($B$5:$B$425,$C388-ROUND(Declarations!$A$16/0.05,0))+Declarations!$B$17*INDEX($B$5:$B$425,$C388-ROUND(Declarations!$A$17/0.05,0))+Declarations!$B$18*INDEX($B$5:$B$425,$C388-ROUND(Declarations!$A$18/0.05,0))+Declarations!$B$19*INDEX($B$5:$B$425,$C388-ROUND(Declarations!$A$19/0.05,0))+Declarations!$B$20*INDEX($B$5:$B$425,$C388-ROUND(Declarations!$A$20/0.05,0)))</f>
        <v>-461.647596389229</v>
      </c>
    </row>
    <row r="389" customFormat="false" ht="15" hidden="false" customHeight="false" outlineLevel="0" collapsed="false">
      <c r="A389" s="14" t="n">
        <v>64.2</v>
      </c>
      <c r="B389" s="23" t="n">
        <v>-209.818560041152</v>
      </c>
      <c r="C389" s="19" t="n">
        <v>385</v>
      </c>
      <c r="D389" s="11" t="n">
        <f aca="false">-Cost_k*A389+Beta_q*(Declarations!$B$16*INDEX($B$5:$B$425,$C389-ROUND(Declarations!$A$16/0.05,0))+Declarations!$B$17*INDEX($B$5:$B$425,$C389-ROUND(Declarations!$A$17/0.05,0))+Declarations!$B$18*INDEX($B$5:$B$425,$C389-ROUND(Declarations!$A$18/0.05,0))+Declarations!$B$19*INDEX($B$5:$B$425,$C389-ROUND(Declarations!$A$19/0.05,0))+Declarations!$B$20*INDEX($B$5:$B$425,$C389-ROUND(Declarations!$A$20/0.05,0)))</f>
        <v>-461.698578347389</v>
      </c>
    </row>
    <row r="390" customFormat="false" ht="15" hidden="false" customHeight="false" outlineLevel="0" collapsed="false">
      <c r="A390" s="14" t="n">
        <v>64.25</v>
      </c>
      <c r="B390" s="23" t="n">
        <v>-209.666550377089</v>
      </c>
      <c r="C390" s="19" t="n">
        <v>386</v>
      </c>
      <c r="D390" s="11" t="n">
        <f aca="false">-Cost_k*A390+Beta_q*(Declarations!$B$16*INDEX($B$5:$B$425,$C390-ROUND(Declarations!$A$16/0.05,0))+Declarations!$B$17*INDEX($B$5:$B$425,$C390-ROUND(Declarations!$A$17/0.05,0))+Declarations!$B$18*INDEX($B$5:$B$425,$C390-ROUND(Declarations!$A$18/0.05,0))+Declarations!$B$19*INDEX($B$5:$B$425,$C390-ROUND(Declarations!$A$19/0.05,0))+Declarations!$B$20*INDEX($B$5:$B$425,$C390-ROUND(Declarations!$A$20/0.05,0)))</f>
        <v>-461.749934256983</v>
      </c>
    </row>
    <row r="391" customFormat="false" ht="15" hidden="false" customHeight="false" outlineLevel="0" collapsed="false">
      <c r="A391" s="14" t="n">
        <v>64.3</v>
      </c>
      <c r="B391" s="23" t="n">
        <v>-209.514671616683</v>
      </c>
      <c r="C391" s="19" t="n">
        <v>387</v>
      </c>
      <c r="D391" s="11" t="n">
        <f aca="false">-Cost_k*A391+Beta_q*(Declarations!$B$16*INDEX($B$5:$B$425,$C391-ROUND(Declarations!$A$16/0.05,0))+Declarations!$B$17*INDEX($B$5:$B$425,$C391-ROUND(Declarations!$A$17/0.05,0))+Declarations!$B$18*INDEX($B$5:$B$425,$C391-ROUND(Declarations!$A$18/0.05,0))+Declarations!$B$19*INDEX($B$5:$B$425,$C391-ROUND(Declarations!$A$19/0.05,0))+Declarations!$B$20*INDEX($B$5:$B$425,$C391-ROUND(Declarations!$A$20/0.05,0)))</f>
        <v>-461.801489199967</v>
      </c>
    </row>
    <row r="392" customFormat="false" ht="15" hidden="false" customHeight="false" outlineLevel="0" collapsed="false">
      <c r="A392" s="14" t="n">
        <v>64.35</v>
      </c>
      <c r="B392" s="23" t="n">
        <v>-209.362839432139</v>
      </c>
      <c r="C392" s="19" t="n">
        <v>388</v>
      </c>
      <c r="D392" s="11" t="n">
        <f aca="false">-Cost_k*A392+Beta_q*(Declarations!$B$16*INDEX($B$5:$B$425,$C392-ROUND(Declarations!$A$16/0.05,0))+Declarations!$B$17*INDEX($B$5:$B$425,$C392-ROUND(Declarations!$A$17/0.05,0))+Declarations!$B$18*INDEX($B$5:$B$425,$C392-ROUND(Declarations!$A$18/0.05,0))+Declarations!$B$19*INDEX($B$5:$B$425,$C392-ROUND(Declarations!$A$19/0.05,0))+Declarations!$B$20*INDEX($B$5:$B$425,$C392-ROUND(Declarations!$A$20/0.05,0)))</f>
        <v>-461.85314191484</v>
      </c>
    </row>
    <row r="393" customFormat="false" ht="15" hidden="false" customHeight="false" outlineLevel="0" collapsed="false">
      <c r="A393" s="14" t="n">
        <v>64.4</v>
      </c>
      <c r="B393" s="23" t="n">
        <v>-209.211029748503</v>
      </c>
      <c r="C393" s="19" t="n">
        <v>389</v>
      </c>
      <c r="D393" s="11" t="n">
        <f aca="false">-Cost_k*A393+Beta_q*(Declarations!$B$16*INDEX($B$5:$B$425,$C393-ROUND(Declarations!$A$16/0.05,0))+Declarations!$B$17*INDEX($B$5:$B$425,$C393-ROUND(Declarations!$A$17/0.05,0))+Declarations!$B$18*INDEX($B$5:$B$425,$C393-ROUND(Declarations!$A$18/0.05,0))+Declarations!$B$19*INDEX($B$5:$B$425,$C393-ROUND(Declarations!$A$19/0.05,0))+Declarations!$B$20*INDEX($B$5:$B$425,$C393-ROUND(Declarations!$A$20/0.05,0)))</f>
        <v>-461.904850728475</v>
      </c>
    </row>
    <row r="394" customFormat="false" ht="15" hidden="false" customHeight="false" outlineLevel="0" collapsed="false">
      <c r="A394" s="14" t="n">
        <v>64.45</v>
      </c>
      <c r="B394" s="23" t="n">
        <v>-209.059248799829</v>
      </c>
      <c r="C394" s="19" t="n">
        <v>390</v>
      </c>
      <c r="D394" s="11" t="n">
        <f aca="false">-Cost_k*A394+Beta_q*(Declarations!$B$16*INDEX($B$5:$B$425,$C394-ROUND(Declarations!$A$16/0.05,0))+Declarations!$B$17*INDEX($B$5:$B$425,$C394-ROUND(Declarations!$A$17/0.05,0))+Declarations!$B$18*INDEX($B$5:$B$425,$C394-ROUND(Declarations!$A$18/0.05,0))+Declarations!$B$19*INDEX($B$5:$B$425,$C394-ROUND(Declarations!$A$19/0.05,0))+Declarations!$B$20*INDEX($B$5:$B$425,$C394-ROUND(Declarations!$A$20/0.05,0)))</f>
        <v>-461.956604607847</v>
      </c>
    </row>
    <row r="395" customFormat="false" ht="15" hidden="false" customHeight="false" outlineLevel="0" collapsed="false">
      <c r="A395" s="14" t="n">
        <v>64.5</v>
      </c>
      <c r="B395" s="23" t="n">
        <v>-208.907511341524</v>
      </c>
      <c r="C395" s="19" t="n">
        <v>391</v>
      </c>
      <c r="D395" s="11" t="n">
        <f aca="false">-Cost_k*A395+Beta_q*(Declarations!$B$16*INDEX($B$5:$B$425,$C395-ROUND(Declarations!$A$16/0.05,0))+Declarations!$B$17*INDEX($B$5:$B$425,$C395-ROUND(Declarations!$A$17/0.05,0))+Declarations!$B$18*INDEX($B$5:$B$425,$C395-ROUND(Declarations!$A$18/0.05,0))+Declarations!$B$19*INDEX($B$5:$B$425,$C395-ROUND(Declarations!$A$19/0.05,0))+Declarations!$B$20*INDEX($B$5:$B$425,$C395-ROUND(Declarations!$A$20/0.05,0)))</f>
        <v>-462.008403647271</v>
      </c>
    </row>
    <row r="396" customFormat="false" ht="15" hidden="false" customHeight="false" outlineLevel="0" collapsed="false">
      <c r="A396" s="14" t="n">
        <v>64.55</v>
      </c>
      <c r="B396" s="23" t="n">
        <v>-208.755820811623</v>
      </c>
      <c r="C396" s="19" t="n">
        <v>392</v>
      </c>
    </row>
    <row r="397" customFormat="false" ht="15" hidden="false" customHeight="false" outlineLevel="0" collapsed="false">
      <c r="A397" s="14" t="n">
        <v>64.6</v>
      </c>
      <c r="B397" s="23" t="n">
        <v>-208.60416667</v>
      </c>
      <c r="C397" s="19" t="n">
        <v>393</v>
      </c>
    </row>
    <row r="398" customFormat="false" ht="15" hidden="false" customHeight="false" outlineLevel="0" collapsed="false">
      <c r="A398" s="14" t="n">
        <v>64.65</v>
      </c>
      <c r="B398" s="23" t="n">
        <v>-208.452533462853</v>
      </c>
      <c r="C398" s="19" t="n">
        <v>394</v>
      </c>
    </row>
    <row r="399" customFormat="false" ht="15" hidden="false" customHeight="false" outlineLevel="0" collapsed="false">
      <c r="A399" s="14" t="n">
        <v>64.7</v>
      </c>
      <c r="B399" s="23" t="n">
        <v>-208.300912164091</v>
      </c>
      <c r="C399" s="19" t="n">
        <v>395</v>
      </c>
    </row>
    <row r="400" customFormat="false" ht="15" hidden="false" customHeight="false" outlineLevel="0" collapsed="false">
      <c r="A400" s="14" t="n">
        <v>64.75</v>
      </c>
      <c r="B400" s="23" t="n">
        <v>-208.149314183545</v>
      </c>
      <c r="C400" s="19" t="n">
        <v>396</v>
      </c>
    </row>
    <row r="401" customFormat="false" ht="15" hidden="false" customHeight="false" outlineLevel="0" collapsed="false">
      <c r="A401" s="14" t="n">
        <v>64.8</v>
      </c>
      <c r="B401" s="23" t="n">
        <v>-207.997818735604</v>
      </c>
      <c r="C401" s="19" t="n">
        <v>397</v>
      </c>
    </row>
    <row r="402" customFormat="false" ht="15" hidden="false" customHeight="false" outlineLevel="0" collapsed="false">
      <c r="A402" s="14" t="n">
        <v>64.85</v>
      </c>
      <c r="B402" s="23" t="n">
        <v>-207.846630073482</v>
      </c>
      <c r="C402" s="19" t="n">
        <v>398</v>
      </c>
    </row>
    <row r="403" customFormat="false" ht="15" hidden="false" customHeight="false" outlineLevel="0" collapsed="false">
      <c r="A403" s="14" t="n">
        <v>64.9</v>
      </c>
      <c r="B403" s="23" t="n">
        <v>-207.696049854457</v>
      </c>
      <c r="C403" s="19" t="n">
        <v>399</v>
      </c>
    </row>
    <row r="404" customFormat="false" ht="15" hidden="false" customHeight="false" outlineLevel="0" collapsed="false">
      <c r="A404" s="14" t="n">
        <v>64.95</v>
      </c>
      <c r="B404" s="23" t="n">
        <v>-207.546274477418</v>
      </c>
      <c r="C404" s="19" t="n">
        <v>400</v>
      </c>
    </row>
    <row r="405" customFormat="false" ht="15" hidden="false" customHeight="false" outlineLevel="0" collapsed="false">
      <c r="A405" s="14" t="n">
        <v>65</v>
      </c>
      <c r="B405" s="23" t="n">
        <v>-207.397247121704</v>
      </c>
      <c r="C405" s="19" t="n">
        <v>401</v>
      </c>
    </row>
    <row r="406" customFormat="false" ht="15" hidden="false" customHeight="false" outlineLevel="0" collapsed="false">
      <c r="A406" s="14" t="n">
        <v>65.05</v>
      </c>
      <c r="B406" s="23" t="n">
        <v>-207.248702404425</v>
      </c>
      <c r="C406" s="19" t="n">
        <v>402</v>
      </c>
    </row>
    <row r="407" customFormat="false" ht="15" hidden="false" customHeight="false" outlineLevel="0" collapsed="false">
      <c r="A407" s="14" t="n">
        <v>65.1</v>
      </c>
      <c r="B407" s="23" t="n">
        <v>-207.100386649031</v>
      </c>
      <c r="C407" s="19" t="n">
        <v>403</v>
      </c>
    </row>
    <row r="408" customFormat="false" ht="15" hidden="false" customHeight="false" outlineLevel="0" collapsed="false">
      <c r="A408" s="14" t="n">
        <v>65.15</v>
      </c>
      <c r="B408" s="23" t="n">
        <v>-206.952175362777</v>
      </c>
      <c r="C408" s="19" t="n">
        <v>404</v>
      </c>
    </row>
    <row r="409" customFormat="false" ht="15" hidden="false" customHeight="false" outlineLevel="0" collapsed="false">
      <c r="A409" s="14" t="n">
        <v>65.2</v>
      </c>
      <c r="B409" s="23" t="n">
        <v>-206.804011950294</v>
      </c>
      <c r="C409" s="19" t="n">
        <v>405</v>
      </c>
    </row>
    <row r="410" customFormat="false" ht="15" hidden="false" customHeight="false" outlineLevel="0" collapsed="false">
      <c r="A410" s="14" t="n">
        <v>65.25</v>
      </c>
      <c r="B410" s="23" t="n">
        <v>-206.655882154112</v>
      </c>
      <c r="C410" s="19" t="n">
        <v>406</v>
      </c>
    </row>
    <row r="411" customFormat="false" ht="15" hidden="false" customHeight="false" outlineLevel="0" collapsed="false">
      <c r="A411" s="14" t="n">
        <v>65.3</v>
      </c>
      <c r="B411" s="23" t="n">
        <v>-206.50779024837</v>
      </c>
      <c r="C411" s="19" t="n">
        <v>407</v>
      </c>
    </row>
    <row r="412" customFormat="false" ht="15" hidden="false" customHeight="false" outlineLevel="0" collapsed="false">
      <c r="A412" s="14" t="n">
        <v>65.35</v>
      </c>
      <c r="B412" s="23" t="n">
        <v>-206.359741819438</v>
      </c>
      <c r="C412" s="19" t="n">
        <v>408</v>
      </c>
    </row>
    <row r="413" customFormat="false" ht="15" hidden="false" customHeight="false" outlineLevel="0" collapsed="false">
      <c r="A413" s="14" t="n">
        <v>65.4</v>
      </c>
      <c r="B413" s="23" t="n">
        <v>-206.211732485891</v>
      </c>
      <c r="C413" s="19" t="n">
        <v>409</v>
      </c>
    </row>
    <row r="414" customFormat="false" ht="15" hidden="false" customHeight="false" outlineLevel="0" collapsed="false">
      <c r="A414" s="14" t="n">
        <v>65.45</v>
      </c>
      <c r="B414" s="23" t="n">
        <v>-206.063749407266</v>
      </c>
      <c r="C414" s="19" t="n">
        <v>410</v>
      </c>
    </row>
    <row r="415" customFormat="false" ht="15" hidden="false" customHeight="false" outlineLevel="0" collapsed="false">
      <c r="A415" s="14" t="n">
        <v>65.5</v>
      </c>
      <c r="B415" s="23" t="n">
        <v>-205.915783107048</v>
      </c>
      <c r="C415" s="19" t="n">
        <v>411</v>
      </c>
    </row>
    <row r="416" customFormat="false" ht="15" hidden="false" customHeight="false" outlineLevel="0" collapsed="false">
      <c r="A416" s="14" t="n">
        <v>65.55</v>
      </c>
      <c r="B416" s="23" t="n">
        <v>-205.76783931289</v>
      </c>
      <c r="C416" s="19" t="n">
        <v>412</v>
      </c>
    </row>
    <row r="417" customFormat="false" ht="15" hidden="false" customHeight="false" outlineLevel="0" collapsed="false">
      <c r="A417" s="14" t="n">
        <v>65.6</v>
      </c>
      <c r="B417" s="23" t="n">
        <v>-205.619964289432</v>
      </c>
      <c r="C417" s="19" t="n">
        <v>413</v>
      </c>
    </row>
    <row r="418" customFormat="false" ht="15" hidden="false" customHeight="false" outlineLevel="0" collapsed="false">
      <c r="A418" s="14" t="n">
        <v>65.65</v>
      </c>
      <c r="B418" s="23" t="n">
        <v>-205.472288406425</v>
      </c>
      <c r="C418" s="19" t="n">
        <v>414</v>
      </c>
    </row>
    <row r="419" customFormat="false" ht="15" hidden="false" customHeight="false" outlineLevel="0" collapsed="false">
      <c r="A419" s="14" t="n">
        <v>65.7</v>
      </c>
      <c r="B419" s="23" t="n">
        <v>-205.325052844585</v>
      </c>
      <c r="C419" s="19" t="n">
        <v>415</v>
      </c>
    </row>
    <row r="420" customFormat="false" ht="15" hidden="false" customHeight="false" outlineLevel="0" collapsed="false">
      <c r="A420" s="14" t="n">
        <v>65.75</v>
      </c>
      <c r="B420" s="23" t="n">
        <v>-205.178500294106</v>
      </c>
      <c r="C420" s="19" t="n">
        <v>416</v>
      </c>
    </row>
    <row r="421" customFormat="false" ht="15" hidden="false" customHeight="false" outlineLevel="0" collapsed="false">
      <c r="A421" s="14" t="n">
        <v>65.8</v>
      </c>
      <c r="B421" s="23" t="n">
        <v>-205.032694585045</v>
      </c>
      <c r="C421" s="19" t="n">
        <v>417</v>
      </c>
    </row>
    <row r="422" customFormat="false" ht="15" hidden="false" customHeight="false" outlineLevel="0" collapsed="false">
      <c r="A422" s="14" t="n">
        <v>65.85</v>
      </c>
      <c r="B422" s="23" t="n">
        <v>-204.887430040609</v>
      </c>
      <c r="C422" s="19" t="n">
        <v>418</v>
      </c>
    </row>
    <row r="423" customFormat="false" ht="15" hidden="false" customHeight="false" outlineLevel="0" collapsed="false">
      <c r="A423" s="14" t="n">
        <v>65.9</v>
      </c>
      <c r="B423" s="23" t="n">
        <v>-204.742512004132</v>
      </c>
      <c r="C423" s="19" t="n">
        <v>419</v>
      </c>
    </row>
    <row r="424" customFormat="false" ht="15" hidden="false" customHeight="false" outlineLevel="0" collapsed="false">
      <c r="A424" s="14" t="n">
        <v>65.95</v>
      </c>
      <c r="B424" s="23" t="n">
        <v>-204.597780517839</v>
      </c>
      <c r="C424" s="19" t="n">
        <v>420</v>
      </c>
    </row>
    <row r="425" customFormat="false" ht="15" hidden="false" customHeight="false" outlineLevel="0" collapsed="false">
      <c r="A425" s="14" t="n">
        <v>66</v>
      </c>
      <c r="B425" s="23" t="n">
        <v>-204.45314191484</v>
      </c>
      <c r="C425" s="19" t="n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" t="s">
        <v>182</v>
      </c>
    </row>
    <row r="4" customFormat="false" ht="15" hidden="false" customHeight="false" outlineLevel="0" collapsed="false">
      <c r="A4" s="8" t="s">
        <v>152</v>
      </c>
      <c r="B4" s="8" t="s">
        <v>183</v>
      </c>
      <c r="C4" s="8" t="s">
        <v>184</v>
      </c>
      <c r="D4" s="8" t="s">
        <v>185</v>
      </c>
    </row>
    <row r="5" customFormat="false" ht="15" hidden="false" customHeight="false" outlineLevel="0" collapsed="false">
      <c r="A5" s="13" t="n">
        <v>50</v>
      </c>
      <c r="B5" s="12" t="n">
        <f aca="false">(INDEX(Values!$B$5:$B$425,MIN(INT((A5-45)/0.05+0.000000001),419)+1)*(1-((A5-45)/0.05-MIN(INT((A5-45)/0.05+0.000000001),419)))+INDEX(Values!$B$5:$B$425,MIN(INT((A5-45)/0.05+0.000000001),419)+2)*((A5-45)/0.05-MIN(INT((A5-45)/0.05+0.000000001),419)))</f>
        <v>-280.566903955949</v>
      </c>
      <c r="C5" s="12" t="n">
        <f aca="false">(B5-(INDEX(Values!$B$5:$B$425,MIN(INT(((A5-0.05)-45)/0.05+0.000000001),419)+1)*(1-(((A5-0.05)-45)/0.05-MIN(INT(((A5-0.05)-45)/0.05+0.000000001),419)))+INDEX(Values!$B$5:$B$425,MIN(INT(((A5-0.05)-45)/0.05+0.000000001),419)+2)*(((A5-0.05)-45)/0.05-MIN(INT(((A5-0.05)-45)/0.05+0.000000001),419))))/0.05</f>
        <v>10.084122920432</v>
      </c>
      <c r="D5" s="12" t="n">
        <f aca="false">((INDEX(Values!$B$5:$B$425,MIN(INT(((A5+0.05)-45)/0.05+0.000000001),419)+1)*(1-(((A5+0.05)-45)/0.05-MIN(INT(((A5+0.05)-45)/0.05+0.000000001),419)))+INDEX(Values!$B$5:$B$425,MIN(INT(((A5+0.05)-45)/0.05+0.000000001),419)+2)*(((A5+0.05)-45)/0.05-MIN(INT(((A5+0.05)-45)/0.05+0.000000001),419)))-B5)/0.05</f>
        <v>10.0710240610397</v>
      </c>
    </row>
    <row r="6" customFormat="false" ht="15" hidden="false" customHeight="false" outlineLevel="0" collapsed="false">
      <c r="A6" s="13" t="n">
        <v>53</v>
      </c>
      <c r="B6" s="12" t="n">
        <f aca="false">(INDEX(Values!$B$5:$B$425,MIN(INT((A6-45)/0.05+0.000000001),419)+1)*(1-((A6-45)/0.05-MIN(INT((A6-45)/0.05+0.000000001),419)))+INDEX(Values!$B$5:$B$425,MIN(INT((A6-45)/0.05+0.000000001),419)+2)*((A6-45)/0.05-MIN(INT((A6-45)/0.05+0.000000001),419)))</f>
        <v>-254.592889106724</v>
      </c>
      <c r="C6" s="12" t="n">
        <f aca="false">(B6-(INDEX(Values!$B$5:$B$425,MIN(INT(((A6-0.05)-45)/0.05+0.000000001),419)+1)*(1-(((A6-0.05)-45)/0.05-MIN(INT(((A6-0.05)-45)/0.05+0.000000001),419)))+INDEX(Values!$B$5:$B$425,MIN(INT(((A6-0.05)-45)/0.05+0.000000001),419)+2)*(((A6-0.05)-45)/0.05-MIN(INT(((A6-0.05)-45)/0.05+0.000000001),419))))/0.05</f>
        <v>7.23702095880185</v>
      </c>
      <c r="D6" s="12" t="n">
        <f aca="false">((INDEX(Values!$B$5:$B$425,MIN(INT(((A6+0.05)-45)/0.05+0.000000001),419)+1)*(1-(((A6+0.05)-45)/0.05-MIN(INT(((A6+0.05)-45)/0.05+0.000000001),419)))+INDEX(Values!$B$5:$B$425,MIN(INT(((A6+0.05)-45)/0.05+0.000000001),419)+2)*(((A6+0.05)-45)/0.05-MIN(INT(((A6+0.05)-45)/0.05+0.000000001),419)))-B6)/0.05</f>
        <v>7.19183962959221</v>
      </c>
    </row>
    <row r="7" customFormat="false" ht="15" hidden="false" customHeight="false" outlineLevel="0" collapsed="false">
      <c r="A7" s="13" t="n">
        <v>55</v>
      </c>
      <c r="B7" s="12" t="n">
        <f aca="false">(INDEX(Values!$B$5:$B$425,MIN(INT((A7-45)/0.05+0.000000001),419)+1)*(1-((A7-45)/0.05-MIN(INT((A7-45)/0.05+0.000000001),419)))+INDEX(Values!$B$5:$B$425,MIN(INT((A7-45)/0.05+0.000000001),419)+2)*((A7-45)/0.05-MIN(INT((A7-45)/0.05+0.000000001),419)))</f>
        <v>-242.356332738204</v>
      </c>
      <c r="C7" s="12" t="n">
        <f aca="false">(B7-(INDEX(Values!$B$5:$B$425,MIN(INT(((A7-0.05)-45)/0.05+0.000000001),419)+1)*(1-(((A7-0.05)-45)/0.05-MIN(INT(((A7-0.05)-45)/0.05+0.000000001),419)))+INDEX(Values!$B$5:$B$425,MIN(INT(((A7-0.05)-45)/0.05+0.000000001),419)+2)*(((A7-0.05)-45)/0.05-MIN(INT(((A7-0.05)-45)/0.05+0.000000001),419))))/0.05</f>
        <v>5.50000000000011</v>
      </c>
      <c r="D7" s="12" t="n">
        <f aca="false">((INDEX(Values!$B$5:$B$425,MIN(INT(((A7+0.05)-45)/0.05+0.000000001),419)+1)*(1-(((A7+0.05)-45)/0.05-MIN(INT(((A7+0.05)-45)/0.05+0.000000001),419)))+INDEX(Values!$B$5:$B$425,MIN(INT(((A7+0.05)-45)/0.05+0.000000001),419)+2)*(((A7+0.05)-45)/0.05-MIN(INT(((A7+0.05)-45)/0.05+0.000000001),419)))-B7)/0.05</f>
        <v>3.89999999999986</v>
      </c>
    </row>
    <row r="8" customFormat="false" ht="15" hidden="false" customHeight="false" outlineLevel="0" collapsed="false">
      <c r="A8" s="13" t="n">
        <v>56</v>
      </c>
      <c r="B8" s="12" t="n">
        <f aca="false">(INDEX(Values!$B$5:$B$425,MIN(INT((A8-45)/0.05+0.000000001),419)+1)*(1-((A8-45)/0.05-MIN(INT((A8-45)/0.05+0.000000001),419)))+INDEX(Values!$B$5:$B$425,MIN(INT((A8-45)/0.05+0.000000001),419)+2)*((A8-45)/0.05-MIN(INT((A8-45)/0.05+0.000000001),419)))</f>
        <v>-238.456332738204</v>
      </c>
      <c r="C8" s="12" t="n">
        <f aca="false">(B8-(INDEX(Values!$B$5:$B$425,MIN(INT(((A8-0.05)-45)/0.05+0.000000001),419)+1)*(1-(((A8-0.05)-45)/0.05-MIN(INT(((A8-0.05)-45)/0.05+0.000000001),419)))+INDEX(Values!$B$5:$B$425,MIN(INT(((A8-0.05)-45)/0.05+0.000000001),419)+2)*(((A8-0.05)-45)/0.05-MIN(INT(((A8-0.05)-45)/0.05+0.000000001),419))))/0.05</f>
        <v>3.89999999999986</v>
      </c>
      <c r="D8" s="12" t="n">
        <f aca="false">((INDEX(Values!$B$5:$B$425,MIN(INT(((A8+0.05)-45)/0.05+0.000000001),419)+1)*(1-(((A8+0.05)-45)/0.05-MIN(INT(((A8+0.05)-45)/0.05+0.000000001),419)))+INDEX(Values!$B$5:$B$425,MIN(INT(((A8+0.05)-45)/0.05+0.000000001),419)+2)*(((A8+0.05)-45)/0.05-MIN(INT(((A8+0.05)-45)/0.05+0.000000001),419)))-B8)/0.05</f>
        <v>3.89999999999986</v>
      </c>
    </row>
    <row r="9" customFormat="false" ht="15" hidden="false" customHeight="false" outlineLevel="0" collapsed="false">
      <c r="A9" s="13" t="n">
        <v>58</v>
      </c>
      <c r="B9" s="12" t="n">
        <f aca="false">(INDEX(Values!$B$5:$B$425,MIN(INT((A9-45)/0.05+0.000000001),419)+1)*(1-((A9-45)/0.05-MIN(INT((A9-45)/0.05+0.000000001),419)))+INDEX(Values!$B$5:$B$425,MIN(INT((A9-45)/0.05+0.000000001),419)+2)*((A9-45)/0.05-MIN(INT((A9-45)/0.05+0.000000001),419)))</f>
        <v>-230.755011357749</v>
      </c>
      <c r="C9" s="12" t="n">
        <f aca="false">(B9-(INDEX(Values!$B$5:$B$425,MIN(INT(((A9-0.05)-45)/0.05+0.000000001),419)+1)*(1-(((A9-0.05)-45)/0.05-MIN(INT(((A9-0.05)-45)/0.05+0.000000001),419)))+INDEX(Values!$B$5:$B$425,MIN(INT(((A9-0.05)-45)/0.05+0.000000001),419)+2)*(((A9-0.05)-45)/0.05-MIN(INT(((A9-0.05)-45)/0.05+0.000000001),419))))/0.05</f>
        <v>3.682416514294</v>
      </c>
      <c r="D9" s="12" t="n">
        <f aca="false">((INDEX(Values!$B$5:$B$425,MIN(INT(((A9+0.05)-45)/0.05+0.000000001),419)+1)*(1-(((A9+0.05)-45)/0.05-MIN(INT(((A9+0.05)-45)/0.05+0.000000001),419)))+INDEX(Values!$B$5:$B$425,MIN(INT(((A9+0.05)-45)/0.05+0.000000001),419)+2)*(((A9+0.05)-45)/0.05-MIN(INT(((A9+0.05)-45)/0.05+0.000000001),419)))-B9)/0.05</f>
        <v>3.68241621692562</v>
      </c>
    </row>
    <row r="10" customFormat="false" ht="15" hidden="false" customHeight="false" outlineLevel="0" collapsed="false">
      <c r="A10" s="13" t="n">
        <v>60</v>
      </c>
      <c r="B10" s="12" t="n">
        <f aca="false">(INDEX(Values!$B$5:$B$425,MIN(INT((A10-45)/0.05+0.000000001),419)+1)*(1-((A10-45)/0.05-MIN(INT((A10-45)/0.05+0.000000001),419)))+INDEX(Values!$B$5:$B$425,MIN(INT((A10-45)/0.05+0.000000001),419)+2)*((A10-45)/0.05-MIN(INT((A10-45)/0.05+0.000000001),419)))</f>
        <v>-223.550600375897</v>
      </c>
      <c r="C10" s="12" t="n">
        <f aca="false">(B10-(INDEX(Values!$B$5:$B$425,MIN(INT(((A10-0.05)-45)/0.05+0.000000001),419)+1)*(1-(((A10-0.05)-45)/0.05-MIN(INT(((A10-0.05)-45)/0.05+0.000000001),419)))+INDEX(Values!$B$5:$B$425,MIN(INT(((A10-0.05)-45)/0.05+0.000000001),419)+2)*(((A10-0.05)-45)/0.05-MIN(INT(((A10-0.05)-45)/0.05+0.000000001),419))))/0.05</f>
        <v>3.51085892772176</v>
      </c>
      <c r="D10" s="12" t="n">
        <f aca="false">((INDEX(Values!$B$5:$B$425,MIN(INT(((A10+0.05)-45)/0.05+0.000000001),419)+1)*(1-(((A10+0.05)-45)/0.05-MIN(INT(((A10+0.05)-45)/0.05+0.000000001),419)))+INDEX(Values!$B$5:$B$425,MIN(INT(((A10+0.05)-45)/0.05+0.000000001),419)+2)*(((A10+0.05)-45)/0.05-MIN(INT(((A10+0.05)-45)/0.05+0.000000001),419)))-B10)/0.05</f>
        <v>3.51063662498632</v>
      </c>
    </row>
    <row r="13" customFormat="false" ht="15" hidden="false" customHeight="false" outlineLevel="0" collapsed="false">
      <c r="A13" s="2" t="s">
        <v>186</v>
      </c>
      <c r="B13" s="12" t="n">
        <f aca="false">B9-B6</f>
        <v>23.8378777489754</v>
      </c>
    </row>
    <row r="14" customFormat="false" ht="15" hidden="false" customHeight="false" outlineLevel="0" collapsed="false">
      <c r="A14" s="2" t="s">
        <v>187</v>
      </c>
      <c r="B14" s="14" t="n">
        <f aca="false">5*C9</f>
        <v>18.41208257147</v>
      </c>
    </row>
    <row r="15" customFormat="false" ht="15" hidden="false" customHeight="false" outlineLevel="0" collapsed="false">
      <c r="A15" s="2" t="s">
        <v>188</v>
      </c>
      <c r="B15" s="14" t="n">
        <f aca="false">5*D6</f>
        <v>35.9591981479611</v>
      </c>
    </row>
    <row r="16" customFormat="false" ht="15" hidden="false" customHeight="false" outlineLevel="0" collapsed="false">
      <c r="A16" s="2" t="s">
        <v>189</v>
      </c>
      <c r="B16" s="12" t="n">
        <f aca="false">Alpha_keep*Cost_k</f>
        <v>3.9</v>
      </c>
    </row>
    <row r="17" customFormat="false" ht="15" hidden="false" customHeight="false" outlineLevel="0" collapsed="false">
      <c r="A17" s="2" t="s">
        <v>190</v>
      </c>
      <c r="B17" s="12" t="n">
        <f aca="false">Alpha_keep*Cost_k+Short_p</f>
        <v>5.5</v>
      </c>
    </row>
    <row r="19" customFormat="false" ht="15" hidden="false" customHeight="false" outlineLevel="0" collapsed="false">
      <c r="A19" s="1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10" t="s">
        <v>193</v>
      </c>
    </row>
    <row r="5" customFormat="false" ht="15" hidden="false" customHeight="false" outlineLevel="0" collapsed="false">
      <c r="A5" s="8" t="s">
        <v>194</v>
      </c>
      <c r="B5" s="8" t="s">
        <v>195</v>
      </c>
      <c r="C5" s="8" t="s">
        <v>196</v>
      </c>
      <c r="E5" s="21" t="s">
        <v>197</v>
      </c>
      <c r="F5" s="15" t="n">
        <f aca="false">MAX(C6:C86)</f>
        <v>-10.7530567975088</v>
      </c>
    </row>
    <row r="6" customFormat="false" ht="15" hidden="false" customHeight="false" outlineLevel="0" collapsed="false">
      <c r="A6" s="14" t="n">
        <v>54</v>
      </c>
      <c r="B6" s="15" t="n">
        <f aca="false">SUMPRODUCT(Loss_p,-Short_p*(Floor_c-A6+Loss_w)*((Floor_c-A6+Loss_w)&gt;0))</f>
        <v>-1.64</v>
      </c>
      <c r="C6" s="15" t="n">
        <f aca="false">-Cost_k*(1-Alpha_keep*Beta_q)*A6+Beta_q*B6-Beta_q*Cost_k*Alpha_keep*Mean_w</f>
        <v>-11.9601534212382</v>
      </c>
      <c r="E6" s="21" t="s">
        <v>198</v>
      </c>
      <c r="F6" s="14" t="n">
        <f aca="false">_xlfn.MINIFS(A6:A86,C6:C86,"&gt;="&amp;(F5-0.000000001))</f>
        <v>55.75</v>
      </c>
    </row>
    <row r="7" customFormat="false" ht="15" hidden="false" customHeight="false" outlineLevel="0" collapsed="false">
      <c r="A7" s="14" t="n">
        <v>54.05</v>
      </c>
      <c r="B7" s="15" t="n">
        <f aca="false">SUMPRODUCT(Loss_p,-Short_p*(Floor_c-A7+Loss_w)*((Floor_c-A7+Loss_w)&gt;0))</f>
        <v>-1.564</v>
      </c>
      <c r="C7" s="15" t="n">
        <f aca="false">-Cost_k*(1-Alpha_keep*Beta_q)*A7+Beta_q*B7-Beta_q*Cost_k*Alpha_keep*Mean_w</f>
        <v>-11.8955343629359</v>
      </c>
    </row>
    <row r="8" customFormat="false" ht="15" hidden="false" customHeight="false" outlineLevel="0" collapsed="false">
      <c r="A8" s="14" t="n">
        <v>54.1</v>
      </c>
      <c r="B8" s="15" t="n">
        <f aca="false">SUMPRODUCT(Loss_p,-Short_p*(Floor_c-A8+Loss_w)*((Floor_c-A8+Loss_w)&gt;0))</f>
        <v>-1.488</v>
      </c>
      <c r="C8" s="15" t="n">
        <f aca="false">-Cost_k*(1-Alpha_keep*Beta_q)*A8+Beta_q*B8-Beta_q*Cost_k*Alpha_keep*Mean_w</f>
        <v>-11.8309153046336</v>
      </c>
      <c r="E8" s="8" t="s">
        <v>199</v>
      </c>
      <c r="F8" s="8" t="s">
        <v>200</v>
      </c>
      <c r="G8" s="8" t="s">
        <v>201</v>
      </c>
      <c r="H8" s="8" t="s">
        <v>202</v>
      </c>
    </row>
    <row r="9" customFormat="false" ht="15" hidden="false" customHeight="false" outlineLevel="0" collapsed="false">
      <c r="A9" s="14" t="n">
        <v>54.15</v>
      </c>
      <c r="B9" s="15" t="n">
        <f aca="false">SUMPRODUCT(Loss_p,-Short_p*(Floor_c-A9+Loss_w)*((Floor_c-A9+Loss_w)&gt;0))</f>
        <v>-1.412</v>
      </c>
      <c r="C9" s="15" t="n">
        <f aca="false">-Cost_k*(1-Alpha_keep*Beta_q)*A9+Beta_q*B9-Beta_q*Cost_k*Alpha_keep*Mean_w</f>
        <v>-11.7662962463313</v>
      </c>
      <c r="E9" s="13" t="n">
        <v>53</v>
      </c>
      <c r="F9" s="12" t="n">
        <f aca="false">-Short_p*MAX(Floor_c-E9,0)+Cost_k*Alpha_keep*E9+$F$5/(1-Beta_q)</f>
        <v>-253.184691722883</v>
      </c>
      <c r="G9" s="12" t="n">
        <f aca="false">(INDEX(Values!$B$5:$B$425,MIN(INT((E9-45)/0.05+0.000000001),419)+1)*(1-((E9-45)/0.05-MIN(INT((E9-45)/0.05+0.000000001),419)))+INDEX(Values!$B$5:$B$425,MIN(INT((E9-45)/0.05+0.000000001),419)+2)*((E9-45)/0.05-MIN(INT((E9-45)/0.05+0.000000001),419)))</f>
        <v>-254.592889106724</v>
      </c>
      <c r="H9" s="12" t="n">
        <f aca="false">F9-G9</f>
        <v>1.40819738384081</v>
      </c>
    </row>
    <row r="10" customFormat="false" ht="15" hidden="false" customHeight="false" outlineLevel="0" collapsed="false">
      <c r="A10" s="14" t="n">
        <v>54.2</v>
      </c>
      <c r="B10" s="15" t="n">
        <f aca="false">SUMPRODUCT(Loss_p,-Short_p*(Floor_c-A10+Loss_w)*((Floor_c-A10+Loss_w)&gt;0))</f>
        <v>-1.336</v>
      </c>
      <c r="C10" s="15" t="n">
        <f aca="false">-Cost_k*(1-Alpha_keep*Beta_q)*A10+Beta_q*B10-Beta_q*Cost_k*Alpha_keep*Mean_w</f>
        <v>-11.701677188029</v>
      </c>
      <c r="E10" s="13" t="n">
        <v>55</v>
      </c>
      <c r="F10" s="12" t="n">
        <f aca="false">-Short_p*MAX(Floor_c-E10,0)+Cost_k*Alpha_keep*E10+$F$5/(1-Beta_q)</f>
        <v>-242.184691722883</v>
      </c>
      <c r="G10" s="12" t="n">
        <f aca="false">(INDEX(Values!$B$5:$B$425,MIN(INT((E10-45)/0.05+0.000000001),419)+1)*(1-((E10-45)/0.05-MIN(INT((E10-45)/0.05+0.000000001),419)))+INDEX(Values!$B$5:$B$425,MIN(INT((E10-45)/0.05+0.000000001),419)+2)*((E10-45)/0.05-MIN(INT((E10-45)/0.05+0.000000001),419)))</f>
        <v>-242.356332738204</v>
      </c>
      <c r="H10" s="12" t="n">
        <f aca="false">F10-G10</f>
        <v>0.171641015321313</v>
      </c>
    </row>
    <row r="11" customFormat="false" ht="15" hidden="false" customHeight="false" outlineLevel="0" collapsed="false">
      <c r="A11" s="14" t="n">
        <v>54.25</v>
      </c>
      <c r="B11" s="15" t="n">
        <f aca="false">SUMPRODUCT(Loss_p,-Short_p*(Floor_c-A11+Loss_w)*((Floor_c-A11+Loss_w)&gt;0))</f>
        <v>-1.26</v>
      </c>
      <c r="C11" s="15" t="n">
        <f aca="false">-Cost_k*(1-Alpha_keep*Beta_q)*A11+Beta_q*B11-Beta_q*Cost_k*Alpha_keep*Mean_w</f>
        <v>-11.6370581297268</v>
      </c>
      <c r="E11" s="13" t="n">
        <v>56</v>
      </c>
      <c r="F11" s="12" t="n">
        <f aca="false">-Short_p*MAX(Floor_c-E11,0)+Cost_k*Alpha_keep*E11+$F$5/(1-Beta_q)</f>
        <v>-238.284691722883</v>
      </c>
      <c r="G11" s="12" t="n">
        <f aca="false">(INDEX(Values!$B$5:$B$425,MIN(INT((E11-45)/0.05+0.000000001),419)+1)*(1-((E11-45)/0.05-MIN(INT((E11-45)/0.05+0.000000001),419)))+INDEX(Values!$B$5:$B$425,MIN(INT((E11-45)/0.05+0.000000001),419)+2)*((E11-45)/0.05-MIN(INT((E11-45)/0.05+0.000000001),419)))</f>
        <v>-238.456332738204</v>
      </c>
      <c r="H11" s="12" t="n">
        <f aca="false">F11-G11</f>
        <v>0.171641015321313</v>
      </c>
    </row>
    <row r="12" customFormat="false" ht="15" hidden="false" customHeight="false" outlineLevel="0" collapsed="false">
      <c r="A12" s="14" t="n">
        <v>54.3</v>
      </c>
      <c r="B12" s="15" t="n">
        <f aca="false">SUMPRODUCT(Loss_p,-Short_p*(Floor_c-A12+Loss_w)*((Floor_c-A12+Loss_w)&gt;0))</f>
        <v>-1.2</v>
      </c>
      <c r="C12" s="15" t="n">
        <f aca="false">-Cost_k*(1-Alpha_keep*Beta_q)*A12+Beta_q*B12-Beta_q*Cost_k*Alpha_keep*Mean_w</f>
        <v>-11.5880623368593</v>
      </c>
      <c r="E12" s="13" t="n">
        <v>58</v>
      </c>
      <c r="F12" s="12" t="n">
        <f aca="false">-Short_p*MAX(Floor_c-E12,0)+Cost_k*Alpha_keep*E12+$F$5/(1-Beta_q)</f>
        <v>-230.484691722883</v>
      </c>
      <c r="G12" s="12" t="n">
        <f aca="false">(INDEX(Values!$B$5:$B$425,MIN(INT((E12-45)/0.05+0.000000001),419)+1)*(1-((E12-45)/0.05-MIN(INT((E12-45)/0.05+0.000000001),419)))+INDEX(Values!$B$5:$B$425,MIN(INT((E12-45)/0.05+0.000000001),419)+2)*((E12-45)/0.05-MIN(INT((E12-45)/0.05+0.000000001),419)))</f>
        <v>-230.755011357749</v>
      </c>
      <c r="H12" s="12" t="n">
        <f aca="false">F12-G12</f>
        <v>0.270319634865388</v>
      </c>
    </row>
    <row r="13" customFormat="false" ht="15" hidden="false" customHeight="false" outlineLevel="0" collapsed="false">
      <c r="A13" s="14" t="n">
        <v>54.35</v>
      </c>
      <c r="B13" s="15" t="n">
        <f aca="false">SUMPRODUCT(Loss_p,-Short_p*(Floor_c-A13+Loss_w)*((Floor_c-A13+Loss_w)&gt;0))</f>
        <v>-1.14</v>
      </c>
      <c r="C13" s="15" t="n">
        <f aca="false">-Cost_k*(1-Alpha_keep*Beta_q)*A13+Beta_q*B13-Beta_q*Cost_k*Alpha_keep*Mean_w</f>
        <v>-11.5390665439918</v>
      </c>
    </row>
    <row r="14" customFormat="false" ht="15" hidden="false" customHeight="false" outlineLevel="0" collapsed="false">
      <c r="A14" s="14" t="n">
        <v>54.4</v>
      </c>
      <c r="B14" s="15" t="n">
        <f aca="false">SUMPRODUCT(Loss_p,-Short_p*(Floor_c-A14+Loss_w)*((Floor_c-A14+Loss_w)&gt;0))</f>
        <v>-1.08</v>
      </c>
      <c r="C14" s="15" t="n">
        <f aca="false">-Cost_k*(1-Alpha_keep*Beta_q)*A14+Beta_q*B14-Beta_q*Cost_k*Alpha_keep*Mean_w</f>
        <v>-11.4900707511244</v>
      </c>
    </row>
    <row r="15" customFormat="false" ht="15" hidden="false" customHeight="false" outlineLevel="0" collapsed="false">
      <c r="A15" s="14" t="n">
        <v>54.45</v>
      </c>
      <c r="B15" s="15" t="n">
        <f aca="false">SUMPRODUCT(Loss_p,-Short_p*(Floor_c-A15+Loss_w)*((Floor_c-A15+Loss_w)&gt;0))</f>
        <v>-1.02</v>
      </c>
      <c r="C15" s="15" t="n">
        <f aca="false">-Cost_k*(1-Alpha_keep*Beta_q)*A15+Beta_q*B15-Beta_q*Cost_k*Alpha_keep*Mean_w</f>
        <v>-11.4410749582569</v>
      </c>
    </row>
    <row r="16" customFormat="false" ht="15" hidden="false" customHeight="false" outlineLevel="0" collapsed="false">
      <c r="A16" s="14" t="n">
        <v>54.5</v>
      </c>
      <c r="B16" s="15" t="n">
        <f aca="false">SUMPRODUCT(Loss_p,-Short_p*(Floor_c-A16+Loss_w)*((Floor_c-A16+Loss_w)&gt;0))</f>
        <v>-0.96</v>
      </c>
      <c r="C16" s="15" t="n">
        <f aca="false">-Cost_k*(1-Alpha_keep*Beta_q)*A16+Beta_q*B16-Beta_q*Cost_k*Alpha_keep*Mean_w</f>
        <v>-11.3920791653895</v>
      </c>
    </row>
    <row r="17" customFormat="false" ht="15" hidden="false" customHeight="false" outlineLevel="0" collapsed="false">
      <c r="A17" s="14" t="n">
        <v>54.55</v>
      </c>
      <c r="B17" s="15" t="n">
        <f aca="false">SUMPRODUCT(Loss_p,-Short_p*(Floor_c-A17+Loss_w)*((Floor_c-A17+Loss_w)&gt;0))</f>
        <v>-0.900000000000004</v>
      </c>
      <c r="C17" s="15" t="n">
        <f aca="false">-Cost_k*(1-Alpha_keep*Beta_q)*A17+Beta_q*B17-Beta_q*Cost_k*Alpha_keep*Mean_w</f>
        <v>-11.343083372522</v>
      </c>
    </row>
    <row r="18" customFormat="false" ht="15" hidden="false" customHeight="false" outlineLevel="0" collapsed="false">
      <c r="A18" s="14" t="n">
        <v>54.6</v>
      </c>
      <c r="B18" s="15" t="n">
        <f aca="false">SUMPRODUCT(Loss_p,-Short_p*(Floor_c-A18+Loss_w)*((Floor_c-A18+Loss_w)&gt;0))</f>
        <v>-0.839999999999998</v>
      </c>
      <c r="C18" s="15" t="n">
        <f aca="false">-Cost_k*(1-Alpha_keep*Beta_q)*A18+Beta_q*B18-Beta_q*Cost_k*Alpha_keep*Mean_w</f>
        <v>-11.2940875796545</v>
      </c>
    </row>
    <row r="19" customFormat="false" ht="15" hidden="false" customHeight="false" outlineLevel="0" collapsed="false">
      <c r="A19" s="14" t="n">
        <v>54.65</v>
      </c>
      <c r="B19" s="15" t="n">
        <f aca="false">SUMPRODUCT(Loss_p,-Short_p*(Floor_c-A19+Loss_w)*((Floor_c-A19+Loss_w)&gt;0))</f>
        <v>-0.780000000000002</v>
      </c>
      <c r="C19" s="15" t="n">
        <f aca="false">-Cost_k*(1-Alpha_keep*Beta_q)*A19+Beta_q*B19-Beta_q*Cost_k*Alpha_keep*Mean_w</f>
        <v>-11.2450917867871</v>
      </c>
    </row>
    <row r="20" customFormat="false" ht="15" hidden="false" customHeight="false" outlineLevel="0" collapsed="false">
      <c r="A20" s="14" t="n">
        <v>54.7</v>
      </c>
      <c r="B20" s="15" t="n">
        <f aca="false">SUMPRODUCT(Loss_p,-Short_p*(Floor_c-A20+Loss_w)*((Floor_c-A20+Loss_w)&gt;0))</f>
        <v>-0.719999999999997</v>
      </c>
      <c r="C20" s="15" t="n">
        <f aca="false">-Cost_k*(1-Alpha_keep*Beta_q)*A20+Beta_q*B20-Beta_q*Cost_k*Alpha_keep*Mean_w</f>
        <v>-11.1960959939196</v>
      </c>
    </row>
    <row r="21" customFormat="false" ht="15" hidden="false" customHeight="false" outlineLevel="0" collapsed="false">
      <c r="A21" s="14" t="n">
        <v>54.75</v>
      </c>
      <c r="B21" s="15" t="n">
        <f aca="false">SUMPRODUCT(Loss_p,-Short_p*(Floor_c-A21+Loss_w)*((Floor_c-A21+Loss_w)&gt;0))</f>
        <v>-0.66</v>
      </c>
      <c r="C21" s="15" t="n">
        <f aca="false">-Cost_k*(1-Alpha_keep*Beta_q)*A21+Beta_q*B21-Beta_q*Cost_k*Alpha_keep*Mean_w</f>
        <v>-11.1471002010522</v>
      </c>
    </row>
    <row r="22" customFormat="false" ht="15" hidden="false" customHeight="false" outlineLevel="0" collapsed="false">
      <c r="A22" s="14" t="n">
        <v>54.8</v>
      </c>
      <c r="B22" s="15" t="n">
        <f aca="false">SUMPRODUCT(Loss_p,-Short_p*(Floor_c-A22+Loss_w)*((Floor_c-A22+Loss_w)&gt;0))</f>
        <v>-0.600000000000003</v>
      </c>
      <c r="C22" s="15" t="n">
        <f aca="false">-Cost_k*(1-Alpha_keep*Beta_q)*A22+Beta_q*B22-Beta_q*Cost_k*Alpha_keep*Mean_w</f>
        <v>-11.0981044081847</v>
      </c>
    </row>
    <row r="23" customFormat="false" ht="15" hidden="false" customHeight="false" outlineLevel="0" collapsed="false">
      <c r="A23" s="14" t="n">
        <v>54.85</v>
      </c>
      <c r="B23" s="15" t="n">
        <f aca="false">SUMPRODUCT(Loss_p,-Short_p*(Floor_c-A23+Loss_w)*((Floor_c-A23+Loss_w)&gt;0))</f>
        <v>-0.539999999999998</v>
      </c>
      <c r="C23" s="15" t="n">
        <f aca="false">-Cost_k*(1-Alpha_keep*Beta_q)*A23+Beta_q*B23-Beta_q*Cost_k*Alpha_keep*Mean_w</f>
        <v>-11.0491086153173</v>
      </c>
    </row>
    <row r="24" customFormat="false" ht="15" hidden="false" customHeight="false" outlineLevel="0" collapsed="false">
      <c r="A24" s="14" t="n">
        <v>54.9</v>
      </c>
      <c r="B24" s="15" t="n">
        <f aca="false">SUMPRODUCT(Loss_p,-Short_p*(Floor_c-A24+Loss_w)*((Floor_c-A24+Loss_w)&gt;0))</f>
        <v>-0.480000000000002</v>
      </c>
      <c r="C24" s="15" t="n">
        <f aca="false">-Cost_k*(1-Alpha_keep*Beta_q)*A24+Beta_q*B24-Beta_q*Cost_k*Alpha_keep*Mean_w</f>
        <v>-11.0001128224498</v>
      </c>
    </row>
    <row r="25" customFormat="false" ht="15" hidden="false" customHeight="false" outlineLevel="0" collapsed="false">
      <c r="A25" s="14" t="n">
        <v>54.95</v>
      </c>
      <c r="B25" s="15" t="n">
        <f aca="false">SUMPRODUCT(Loss_p,-Short_p*(Floor_c-A25+Loss_w)*((Floor_c-A25+Loss_w)&gt;0))</f>
        <v>-0.419999999999997</v>
      </c>
      <c r="C25" s="15" t="n">
        <f aca="false">-Cost_k*(1-Alpha_keep*Beta_q)*A25+Beta_q*B25-Beta_q*Cost_k*Alpha_keep*Mean_w</f>
        <v>-10.9511170295823</v>
      </c>
    </row>
    <row r="26" customFormat="false" ht="15" hidden="false" customHeight="false" outlineLevel="0" collapsed="false">
      <c r="A26" s="14" t="n">
        <v>55</v>
      </c>
      <c r="B26" s="15" t="n">
        <f aca="false">SUMPRODUCT(Loss_p,-Short_p*(Floor_c-A26+Loss_w)*((Floor_c-A26+Loss_w)&gt;0))</f>
        <v>-0.36</v>
      </c>
      <c r="C26" s="15" t="n">
        <f aca="false">-Cost_k*(1-Alpha_keep*Beta_q)*A26+Beta_q*B26-Beta_q*Cost_k*Alpha_keep*Mean_w</f>
        <v>-10.9021212367149</v>
      </c>
    </row>
    <row r="27" customFormat="false" ht="15" hidden="false" customHeight="false" outlineLevel="0" collapsed="false">
      <c r="A27" s="14" t="n">
        <v>55.05</v>
      </c>
      <c r="B27" s="15" t="n">
        <f aca="false">SUMPRODUCT(Loss_p,-Short_p*(Floor_c-A27+Loss_w)*((Floor_c-A27+Loss_w)&gt;0))</f>
        <v>-0.340000000000001</v>
      </c>
      <c r="C27" s="15" t="n">
        <f aca="false">-Cost_k*(1-Alpha_keep*Beta_q)*A27+Beta_q*B27-Beta_q*Cost_k*Alpha_keep*Mean_w</f>
        <v>-10.8921836074345</v>
      </c>
    </row>
    <row r="28" customFormat="false" ht="15" hidden="false" customHeight="false" outlineLevel="0" collapsed="false">
      <c r="A28" s="14" t="n">
        <v>55.1</v>
      </c>
      <c r="B28" s="15" t="n">
        <f aca="false">SUMPRODUCT(Loss_p,-Short_p*(Floor_c-A28+Loss_w)*((Floor_c-A28+Loss_w)&gt;0))</f>
        <v>-0.32</v>
      </c>
      <c r="C28" s="15" t="n">
        <f aca="false">-Cost_k*(1-Alpha_keep*Beta_q)*A28+Beta_q*B28-Beta_q*Cost_k*Alpha_keep*Mean_w</f>
        <v>-10.8822459781541</v>
      </c>
    </row>
    <row r="29" customFormat="false" ht="15" hidden="false" customHeight="false" outlineLevel="0" collapsed="false">
      <c r="A29" s="14" t="n">
        <v>55.15</v>
      </c>
      <c r="B29" s="15" t="n">
        <f aca="false">SUMPRODUCT(Loss_p,-Short_p*(Floor_c-A29+Loss_w)*((Floor_c-A29+Loss_w)&gt;0))</f>
        <v>-0.300000000000001</v>
      </c>
      <c r="C29" s="15" t="n">
        <f aca="false">-Cost_k*(1-Alpha_keep*Beta_q)*A29+Beta_q*B29-Beta_q*Cost_k*Alpha_keep*Mean_w</f>
        <v>-10.8723083488737</v>
      </c>
    </row>
    <row r="30" customFormat="false" ht="15" hidden="false" customHeight="false" outlineLevel="0" collapsed="false">
      <c r="A30" s="14" t="n">
        <v>55.2</v>
      </c>
      <c r="B30" s="15" t="n">
        <f aca="false">SUMPRODUCT(Loss_p,-Short_p*(Floor_c-A30+Loss_w)*((Floor_c-A30+Loss_w)&gt;0))</f>
        <v>-0.279999999999999</v>
      </c>
      <c r="C30" s="15" t="n">
        <f aca="false">-Cost_k*(1-Alpha_keep*Beta_q)*A30+Beta_q*B30-Beta_q*Cost_k*Alpha_keep*Mean_w</f>
        <v>-10.8623707195932</v>
      </c>
    </row>
    <row r="31" customFormat="false" ht="15" hidden="false" customHeight="false" outlineLevel="0" collapsed="false">
      <c r="A31" s="14" t="n">
        <v>55.25</v>
      </c>
      <c r="B31" s="15" t="n">
        <f aca="false">SUMPRODUCT(Loss_p,-Short_p*(Floor_c-A31+Loss_w)*((Floor_c-A31+Loss_w)&gt;0))</f>
        <v>-0.26</v>
      </c>
      <c r="C31" s="15" t="n">
        <f aca="false">-Cost_k*(1-Alpha_keep*Beta_q)*A31+Beta_q*B31-Beta_q*Cost_k*Alpha_keep*Mean_w</f>
        <v>-10.8524330903128</v>
      </c>
    </row>
    <row r="32" customFormat="false" ht="15" hidden="false" customHeight="false" outlineLevel="0" collapsed="false">
      <c r="A32" s="14" t="n">
        <v>55.3</v>
      </c>
      <c r="B32" s="15" t="n">
        <f aca="false">SUMPRODUCT(Loss_p,-Short_p*(Floor_c-A32+Loss_w)*((Floor_c-A32+Loss_w)&gt;0))</f>
        <v>-0.240000000000001</v>
      </c>
      <c r="C32" s="15" t="n">
        <f aca="false">-Cost_k*(1-Alpha_keep*Beta_q)*A32+Beta_q*B32-Beta_q*Cost_k*Alpha_keep*Mean_w</f>
        <v>-10.8424954610324</v>
      </c>
    </row>
    <row r="33" customFormat="false" ht="15" hidden="false" customHeight="false" outlineLevel="0" collapsed="false">
      <c r="A33" s="14" t="n">
        <v>55.35</v>
      </c>
      <c r="B33" s="15" t="n">
        <f aca="false">SUMPRODUCT(Loss_p,-Short_p*(Floor_c-A33+Loss_w)*((Floor_c-A33+Loss_w)&gt;0))</f>
        <v>-0.219999999999999</v>
      </c>
      <c r="C33" s="15" t="n">
        <f aca="false">-Cost_k*(1-Alpha_keep*Beta_q)*A33+Beta_q*B33-Beta_q*Cost_k*Alpha_keep*Mean_w</f>
        <v>-10.832557831752</v>
      </c>
    </row>
    <row r="34" customFormat="false" ht="15" hidden="false" customHeight="false" outlineLevel="0" collapsed="false">
      <c r="A34" s="14" t="n">
        <v>55.4</v>
      </c>
      <c r="B34" s="15" t="n">
        <f aca="false">SUMPRODUCT(Loss_p,-Short_p*(Floor_c-A34+Loss_w)*((Floor_c-A34+Loss_w)&gt;0))</f>
        <v>-0.200000000000001</v>
      </c>
      <c r="C34" s="15" t="n">
        <f aca="false">-Cost_k*(1-Alpha_keep*Beta_q)*A34+Beta_q*B34-Beta_q*Cost_k*Alpha_keep*Mean_w</f>
        <v>-10.8226202024716</v>
      </c>
    </row>
    <row r="35" customFormat="false" ht="15" hidden="false" customHeight="false" outlineLevel="0" collapsed="false">
      <c r="A35" s="14" t="n">
        <v>55.45</v>
      </c>
      <c r="B35" s="15" t="n">
        <f aca="false">SUMPRODUCT(Loss_p,-Short_p*(Floor_c-A35+Loss_w)*((Floor_c-A35+Loss_w)&gt;0))</f>
        <v>-0.179999999999999</v>
      </c>
      <c r="C35" s="15" t="n">
        <f aca="false">-Cost_k*(1-Alpha_keep*Beta_q)*A35+Beta_q*B35-Beta_q*Cost_k*Alpha_keep*Mean_w</f>
        <v>-10.8126825731912</v>
      </c>
    </row>
    <row r="36" customFormat="false" ht="15" hidden="false" customHeight="false" outlineLevel="0" collapsed="false">
      <c r="A36" s="14" t="n">
        <v>55.5</v>
      </c>
      <c r="B36" s="15" t="n">
        <f aca="false">SUMPRODUCT(Loss_p,-Short_p*(Floor_c-A36+Loss_w)*((Floor_c-A36+Loss_w)&gt;0))</f>
        <v>-0.16</v>
      </c>
      <c r="C36" s="15" t="n">
        <f aca="false">-Cost_k*(1-Alpha_keep*Beta_q)*A36+Beta_q*B36-Beta_q*Cost_k*Alpha_keep*Mean_w</f>
        <v>-10.8027449439108</v>
      </c>
    </row>
    <row r="37" customFormat="false" ht="15" hidden="false" customHeight="false" outlineLevel="0" collapsed="false">
      <c r="A37" s="14" t="n">
        <v>55.55</v>
      </c>
      <c r="B37" s="15" t="n">
        <f aca="false">SUMPRODUCT(Loss_p,-Short_p*(Floor_c-A37+Loss_w)*((Floor_c-A37+Loss_w)&gt;0))</f>
        <v>-0.140000000000001</v>
      </c>
      <c r="C37" s="15" t="n">
        <f aca="false">-Cost_k*(1-Alpha_keep*Beta_q)*A37+Beta_q*B37-Beta_q*Cost_k*Alpha_keep*Mean_w</f>
        <v>-10.7928073146304</v>
      </c>
    </row>
    <row r="38" customFormat="false" ht="15" hidden="false" customHeight="false" outlineLevel="0" collapsed="false">
      <c r="A38" s="14" t="n">
        <v>55.6</v>
      </c>
      <c r="B38" s="15" t="n">
        <f aca="false">SUMPRODUCT(Loss_p,-Short_p*(Floor_c-A38+Loss_w)*((Floor_c-A38+Loss_w)&gt;0))</f>
        <v>-0.119999999999999</v>
      </c>
      <c r="C38" s="15" t="n">
        <f aca="false">-Cost_k*(1-Alpha_keep*Beta_q)*A38+Beta_q*B38-Beta_q*Cost_k*Alpha_keep*Mean_w</f>
        <v>-10.78286968535</v>
      </c>
    </row>
    <row r="39" customFormat="false" ht="15" hidden="false" customHeight="false" outlineLevel="0" collapsed="false">
      <c r="A39" s="14" t="n">
        <v>55.65</v>
      </c>
      <c r="B39" s="15" t="n">
        <f aca="false">SUMPRODUCT(Loss_p,-Short_p*(Floor_c-A39+Loss_w)*((Floor_c-A39+Loss_w)&gt;0))</f>
        <v>-0.100000000000001</v>
      </c>
      <c r="C39" s="15" t="n">
        <f aca="false">-Cost_k*(1-Alpha_keep*Beta_q)*A39+Beta_q*B39-Beta_q*Cost_k*Alpha_keep*Mean_w</f>
        <v>-10.7729320560696</v>
      </c>
    </row>
    <row r="40" customFormat="false" ht="15" hidden="false" customHeight="false" outlineLevel="0" collapsed="false">
      <c r="A40" s="14" t="n">
        <v>55.7</v>
      </c>
      <c r="B40" s="15" t="n">
        <f aca="false">SUMPRODUCT(Loss_p,-Short_p*(Floor_c-A40+Loss_w)*((Floor_c-A40+Loss_w)&gt;0))</f>
        <v>-0.0799999999999989</v>
      </c>
      <c r="C40" s="15" t="n">
        <f aca="false">-Cost_k*(1-Alpha_keep*Beta_q)*A40+Beta_q*B40-Beta_q*Cost_k*Alpha_keep*Mean_w</f>
        <v>-10.7629944267892</v>
      </c>
    </row>
    <row r="41" customFormat="false" ht="15" hidden="false" customHeight="false" outlineLevel="0" collapsed="false">
      <c r="A41" s="14" t="n">
        <v>55.75</v>
      </c>
      <c r="B41" s="15" t="n">
        <f aca="false">SUMPRODUCT(Loss_p,-Short_p*(Floor_c-A41+Loss_w)*((Floor_c-A41+Loss_w)&gt;0))</f>
        <v>-0.06</v>
      </c>
      <c r="C41" s="15" t="n">
        <f aca="false">-Cost_k*(1-Alpha_keep*Beta_q)*A41+Beta_q*B41-Beta_q*Cost_k*Alpha_keep*Mean_w</f>
        <v>-10.7530567975088</v>
      </c>
    </row>
    <row r="42" customFormat="false" ht="15" hidden="false" customHeight="false" outlineLevel="0" collapsed="false">
      <c r="A42" s="14" t="n">
        <v>55.8</v>
      </c>
      <c r="B42" s="15" t="n">
        <f aca="false">SUMPRODUCT(Loss_p,-Short_p*(Floor_c-A42+Loss_w)*((Floor_c-A42+Loss_w)&gt;0))</f>
        <v>-0.0560000000000002</v>
      </c>
      <c r="C42" s="15" t="n">
        <f aca="false">-Cost_k*(1-Alpha_keep*Beta_q)*A42+Beta_q*B42-Beta_q*Cost_k*Alpha_keep*Mean_w</f>
        <v>-10.7587424336632</v>
      </c>
    </row>
    <row r="43" customFormat="false" ht="15" hidden="false" customHeight="false" outlineLevel="0" collapsed="false">
      <c r="A43" s="14" t="n">
        <v>55.85</v>
      </c>
      <c r="B43" s="15" t="n">
        <f aca="false">SUMPRODUCT(Loss_p,-Short_p*(Floor_c-A43+Loss_w)*((Floor_c-A43+Loss_w)&gt;0))</f>
        <v>-0.0519999999999999</v>
      </c>
      <c r="C43" s="15" t="n">
        <f aca="false">-Cost_k*(1-Alpha_keep*Beta_q)*A43+Beta_q*B43-Beta_q*Cost_k*Alpha_keep*Mean_w</f>
        <v>-10.7644280698176</v>
      </c>
    </row>
    <row r="44" customFormat="false" ht="15" hidden="false" customHeight="false" outlineLevel="0" collapsed="false">
      <c r="A44" s="14" t="n">
        <v>55.9</v>
      </c>
      <c r="B44" s="15" t="n">
        <f aca="false">SUMPRODUCT(Loss_p,-Short_p*(Floor_c-A44+Loss_w)*((Floor_c-A44+Loss_w)&gt;0))</f>
        <v>-0.0480000000000001</v>
      </c>
      <c r="C44" s="15" t="n">
        <f aca="false">-Cost_k*(1-Alpha_keep*Beta_q)*A44+Beta_q*B44-Beta_q*Cost_k*Alpha_keep*Mean_w</f>
        <v>-10.770113705972</v>
      </c>
    </row>
    <row r="45" customFormat="false" ht="15" hidden="false" customHeight="false" outlineLevel="0" collapsed="false">
      <c r="A45" s="14" t="n">
        <v>55.95</v>
      </c>
      <c r="B45" s="15" t="n">
        <f aca="false">SUMPRODUCT(Loss_p,-Short_p*(Floor_c-A45+Loss_w)*((Floor_c-A45+Loss_w)&gt;0))</f>
        <v>-0.0439999999999998</v>
      </c>
      <c r="C45" s="15" t="n">
        <f aca="false">-Cost_k*(1-Alpha_keep*Beta_q)*A45+Beta_q*B45-Beta_q*Cost_k*Alpha_keep*Mean_w</f>
        <v>-10.7757993421264</v>
      </c>
    </row>
    <row r="46" customFormat="false" ht="15" hidden="false" customHeight="false" outlineLevel="0" collapsed="false">
      <c r="A46" s="14" t="n">
        <v>56</v>
      </c>
      <c r="B46" s="15" t="n">
        <f aca="false">SUMPRODUCT(Loss_p,-Short_p*(Floor_c-A46+Loss_w)*((Floor_c-A46+Loss_w)&gt;0))</f>
        <v>-0.04</v>
      </c>
      <c r="C46" s="15" t="n">
        <f aca="false">-Cost_k*(1-Alpha_keep*Beta_q)*A46+Beta_q*B46-Beta_q*Cost_k*Alpha_keep*Mean_w</f>
        <v>-10.7814849782808</v>
      </c>
    </row>
    <row r="47" customFormat="false" ht="15" hidden="false" customHeight="false" outlineLevel="0" collapsed="false">
      <c r="A47" s="14" t="n">
        <v>56.05</v>
      </c>
      <c r="B47" s="15" t="n">
        <f aca="false">SUMPRODUCT(Loss_p,-Short_p*(Floor_c-A47+Loss_w)*((Floor_c-A47+Loss_w)&gt;0))</f>
        <v>-0.0360000000000002</v>
      </c>
      <c r="C47" s="15" t="n">
        <f aca="false">-Cost_k*(1-Alpha_keep*Beta_q)*A47+Beta_q*B47-Beta_q*Cost_k*Alpha_keep*Mean_w</f>
        <v>-10.7871706144353</v>
      </c>
    </row>
    <row r="48" customFormat="false" ht="15" hidden="false" customHeight="false" outlineLevel="0" collapsed="false">
      <c r="A48" s="14" t="n">
        <v>56.1</v>
      </c>
      <c r="B48" s="15" t="n">
        <f aca="false">SUMPRODUCT(Loss_p,-Short_p*(Floor_c-A48+Loss_w)*((Floor_c-A48+Loss_w)&gt;0))</f>
        <v>-0.0319999999999999</v>
      </c>
      <c r="C48" s="15" t="n">
        <f aca="false">-Cost_k*(1-Alpha_keep*Beta_q)*A48+Beta_q*B48-Beta_q*Cost_k*Alpha_keep*Mean_w</f>
        <v>-10.7928562505897</v>
      </c>
    </row>
    <row r="49" customFormat="false" ht="15" hidden="false" customHeight="false" outlineLevel="0" collapsed="false">
      <c r="A49" s="14" t="n">
        <v>56.15</v>
      </c>
      <c r="B49" s="15" t="n">
        <f aca="false">SUMPRODUCT(Loss_p,-Short_p*(Floor_c-A49+Loss_w)*((Floor_c-A49+Loss_w)&gt;0))</f>
        <v>-0.0280000000000001</v>
      </c>
      <c r="C49" s="15" t="n">
        <f aca="false">-Cost_k*(1-Alpha_keep*Beta_q)*A49+Beta_q*B49-Beta_q*Cost_k*Alpha_keep*Mean_w</f>
        <v>-10.7985418867441</v>
      </c>
    </row>
    <row r="50" customFormat="false" ht="15" hidden="false" customHeight="false" outlineLevel="0" collapsed="false">
      <c r="A50" s="14" t="n">
        <v>56.2</v>
      </c>
      <c r="B50" s="15" t="n">
        <f aca="false">SUMPRODUCT(Loss_p,-Short_p*(Floor_c-A50+Loss_w)*((Floor_c-A50+Loss_w)&gt;0))</f>
        <v>-0.0239999999999998</v>
      </c>
      <c r="C50" s="15" t="n">
        <f aca="false">-Cost_k*(1-Alpha_keep*Beta_q)*A50+Beta_q*B50-Beta_q*Cost_k*Alpha_keep*Mean_w</f>
        <v>-10.8042275228985</v>
      </c>
    </row>
    <row r="51" customFormat="false" ht="15" hidden="false" customHeight="false" outlineLevel="0" collapsed="false">
      <c r="A51" s="14" t="n">
        <v>56.25</v>
      </c>
      <c r="B51" s="15" t="n">
        <f aca="false">SUMPRODUCT(Loss_p,-Short_p*(Floor_c-A51+Loss_w)*((Floor_c-A51+Loss_w)&gt;0))</f>
        <v>-0.02</v>
      </c>
      <c r="C51" s="15" t="n">
        <f aca="false">-Cost_k*(1-Alpha_keep*Beta_q)*A51+Beta_q*B51-Beta_q*Cost_k*Alpha_keep*Mean_w</f>
        <v>-10.8099131590529</v>
      </c>
    </row>
    <row r="52" customFormat="false" ht="15" hidden="false" customHeight="false" outlineLevel="0" collapsed="false">
      <c r="A52" s="14" t="n">
        <v>56.3</v>
      </c>
      <c r="B52" s="15" t="n">
        <f aca="false">SUMPRODUCT(Loss_p,-Short_p*(Floor_c-A52+Loss_w)*((Floor_c-A52+Loss_w)&gt;0))</f>
        <v>-0.0160000000000002</v>
      </c>
      <c r="C52" s="15" t="n">
        <f aca="false">-Cost_k*(1-Alpha_keep*Beta_q)*A52+Beta_q*B52-Beta_q*Cost_k*Alpha_keep*Mean_w</f>
        <v>-10.8155987952073</v>
      </c>
    </row>
    <row r="53" customFormat="false" ht="15" hidden="false" customHeight="false" outlineLevel="0" collapsed="false">
      <c r="A53" s="14" t="n">
        <v>56.35</v>
      </c>
      <c r="B53" s="15" t="n">
        <f aca="false">SUMPRODUCT(Loss_p,-Short_p*(Floor_c-A53+Loss_w)*((Floor_c-A53+Loss_w)&gt;0))</f>
        <v>-0.0119999999999999</v>
      </c>
      <c r="C53" s="15" t="n">
        <f aca="false">-Cost_k*(1-Alpha_keep*Beta_q)*A53+Beta_q*B53-Beta_q*Cost_k*Alpha_keep*Mean_w</f>
        <v>-10.8212844313617</v>
      </c>
    </row>
    <row r="54" customFormat="false" ht="15" hidden="false" customHeight="false" outlineLevel="0" collapsed="false">
      <c r="A54" s="14" t="n">
        <v>56.4</v>
      </c>
      <c r="B54" s="15" t="n">
        <f aca="false">SUMPRODUCT(Loss_p,-Short_p*(Floor_c-A54+Loss_w)*((Floor_c-A54+Loss_w)&gt;0))</f>
        <v>-0.00800000000000012</v>
      </c>
      <c r="C54" s="15" t="n">
        <f aca="false">-Cost_k*(1-Alpha_keep*Beta_q)*A54+Beta_q*B54-Beta_q*Cost_k*Alpha_keep*Mean_w</f>
        <v>-10.8269700675162</v>
      </c>
    </row>
    <row r="55" customFormat="false" ht="15" hidden="false" customHeight="false" outlineLevel="0" collapsed="false">
      <c r="A55" s="14" t="n">
        <v>56.45</v>
      </c>
      <c r="B55" s="15" t="n">
        <f aca="false">SUMPRODUCT(Loss_p,-Short_p*(Floor_c-A55+Loss_w)*((Floor_c-A55+Loss_w)&gt;0))</f>
        <v>-0.00399999999999977</v>
      </c>
      <c r="C55" s="15" t="n">
        <f aca="false">-Cost_k*(1-Alpha_keep*Beta_q)*A55+Beta_q*B55-Beta_q*Cost_k*Alpha_keep*Mean_w</f>
        <v>-10.8326557036706</v>
      </c>
    </row>
    <row r="56" customFormat="false" ht="15" hidden="false" customHeight="false" outlineLevel="0" collapsed="false">
      <c r="A56" s="14" t="n">
        <v>56.5</v>
      </c>
      <c r="B56" s="15" t="n">
        <f aca="false">SUMPRODUCT(Loss_p,-Short_p*(Floor_c-A56+Loss_w)*((Floor_c-A56+Loss_w)&gt;0))</f>
        <v>0</v>
      </c>
      <c r="C56" s="15" t="n">
        <f aca="false">-Cost_k*(1-Alpha_keep*Beta_q)*A56+Beta_q*B56-Beta_q*Cost_k*Alpha_keep*Mean_w</f>
        <v>-10.838341339825</v>
      </c>
    </row>
    <row r="57" customFormat="false" ht="15" hidden="false" customHeight="false" outlineLevel="0" collapsed="false">
      <c r="A57" s="14" t="n">
        <v>56.55</v>
      </c>
      <c r="B57" s="15" t="n">
        <f aca="false">SUMPRODUCT(Loss_p,-Short_p*(Floor_c-A57+Loss_w)*((Floor_c-A57+Loss_w)&gt;0))</f>
        <v>0</v>
      </c>
      <c r="C57" s="15" t="n">
        <f aca="false">-Cost_k*(1-Alpha_keep*Beta_q)*A57+Beta_q*B57-Beta_q*Cost_k*Alpha_keep*Mean_w</f>
        <v>-10.8479327923381</v>
      </c>
    </row>
    <row r="58" customFormat="false" ht="15" hidden="false" customHeight="false" outlineLevel="0" collapsed="false">
      <c r="A58" s="14" t="n">
        <v>56.6</v>
      </c>
      <c r="B58" s="15" t="n">
        <f aca="false">SUMPRODUCT(Loss_p,-Short_p*(Floor_c-A58+Loss_w)*((Floor_c-A58+Loss_w)&gt;0))</f>
        <v>0</v>
      </c>
      <c r="C58" s="15" t="n">
        <f aca="false">-Cost_k*(1-Alpha_keep*Beta_q)*A58+Beta_q*B58-Beta_q*Cost_k*Alpha_keep*Mean_w</f>
        <v>-10.8575242448512</v>
      </c>
    </row>
    <row r="59" customFormat="false" ht="15" hidden="false" customHeight="false" outlineLevel="0" collapsed="false">
      <c r="A59" s="14" t="n">
        <v>56.65</v>
      </c>
      <c r="B59" s="15" t="n">
        <f aca="false">SUMPRODUCT(Loss_p,-Short_p*(Floor_c-A59+Loss_w)*((Floor_c-A59+Loss_w)&gt;0))</f>
        <v>0</v>
      </c>
      <c r="C59" s="15" t="n">
        <f aca="false">-Cost_k*(1-Alpha_keep*Beta_q)*A59+Beta_q*B59-Beta_q*Cost_k*Alpha_keep*Mean_w</f>
        <v>-10.8671156973643</v>
      </c>
    </row>
    <row r="60" customFormat="false" ht="15" hidden="false" customHeight="false" outlineLevel="0" collapsed="false">
      <c r="A60" s="14" t="n">
        <v>56.7</v>
      </c>
      <c r="B60" s="15" t="n">
        <f aca="false">SUMPRODUCT(Loss_p,-Short_p*(Floor_c-A60+Loss_w)*((Floor_c-A60+Loss_w)&gt;0))</f>
        <v>0</v>
      </c>
      <c r="C60" s="15" t="n">
        <f aca="false">-Cost_k*(1-Alpha_keep*Beta_q)*A60+Beta_q*B60-Beta_q*Cost_k*Alpha_keep*Mean_w</f>
        <v>-10.8767071498775</v>
      </c>
    </row>
    <row r="61" customFormat="false" ht="15" hidden="false" customHeight="false" outlineLevel="0" collapsed="false">
      <c r="A61" s="14" t="n">
        <v>56.75</v>
      </c>
      <c r="B61" s="15" t="n">
        <f aca="false">SUMPRODUCT(Loss_p,-Short_p*(Floor_c-A61+Loss_w)*((Floor_c-A61+Loss_w)&gt;0))</f>
        <v>0</v>
      </c>
      <c r="C61" s="15" t="n">
        <f aca="false">-Cost_k*(1-Alpha_keep*Beta_q)*A61+Beta_q*B61-Beta_q*Cost_k*Alpha_keep*Mean_w</f>
        <v>-10.8862986023906</v>
      </c>
    </row>
    <row r="62" customFormat="false" ht="15" hidden="false" customHeight="false" outlineLevel="0" collapsed="false">
      <c r="A62" s="14" t="n">
        <v>56.8</v>
      </c>
      <c r="B62" s="15" t="n">
        <f aca="false">SUMPRODUCT(Loss_p,-Short_p*(Floor_c-A62+Loss_w)*((Floor_c-A62+Loss_w)&gt;0))</f>
        <v>0</v>
      </c>
      <c r="C62" s="15" t="n">
        <f aca="false">-Cost_k*(1-Alpha_keep*Beta_q)*A62+Beta_q*B62-Beta_q*Cost_k*Alpha_keep*Mean_w</f>
        <v>-10.8958900549037</v>
      </c>
    </row>
    <row r="63" customFormat="false" ht="15" hidden="false" customHeight="false" outlineLevel="0" collapsed="false">
      <c r="A63" s="14" t="n">
        <v>56.85</v>
      </c>
      <c r="B63" s="15" t="n">
        <f aca="false">SUMPRODUCT(Loss_p,-Short_p*(Floor_c-A63+Loss_w)*((Floor_c-A63+Loss_w)&gt;0))</f>
        <v>0</v>
      </c>
      <c r="C63" s="15" t="n">
        <f aca="false">-Cost_k*(1-Alpha_keep*Beta_q)*A63+Beta_q*B63-Beta_q*Cost_k*Alpha_keep*Mean_w</f>
        <v>-10.9054815074168</v>
      </c>
    </row>
    <row r="64" customFormat="false" ht="15" hidden="false" customHeight="false" outlineLevel="0" collapsed="false">
      <c r="A64" s="14" t="n">
        <v>56.9</v>
      </c>
      <c r="B64" s="15" t="n">
        <f aca="false">SUMPRODUCT(Loss_p,-Short_p*(Floor_c-A64+Loss_w)*((Floor_c-A64+Loss_w)&gt;0))</f>
        <v>0</v>
      </c>
      <c r="C64" s="15" t="n">
        <f aca="false">-Cost_k*(1-Alpha_keep*Beta_q)*A64+Beta_q*B64-Beta_q*Cost_k*Alpha_keep*Mean_w</f>
        <v>-10.9150729599299</v>
      </c>
    </row>
    <row r="65" customFormat="false" ht="15" hidden="false" customHeight="false" outlineLevel="0" collapsed="false">
      <c r="A65" s="14" t="n">
        <v>56.95</v>
      </c>
      <c r="B65" s="15" t="n">
        <f aca="false">SUMPRODUCT(Loss_p,-Short_p*(Floor_c-A65+Loss_w)*((Floor_c-A65+Loss_w)&gt;0))</f>
        <v>0</v>
      </c>
      <c r="C65" s="15" t="n">
        <f aca="false">-Cost_k*(1-Alpha_keep*Beta_q)*A65+Beta_q*B65-Beta_q*Cost_k*Alpha_keep*Mean_w</f>
        <v>-10.9246644124431</v>
      </c>
    </row>
    <row r="66" customFormat="false" ht="15" hidden="false" customHeight="false" outlineLevel="0" collapsed="false">
      <c r="A66" s="14" t="n">
        <v>57</v>
      </c>
      <c r="B66" s="15" t="n">
        <f aca="false">SUMPRODUCT(Loss_p,-Short_p*(Floor_c-A66+Loss_w)*((Floor_c-A66+Loss_w)&gt;0))</f>
        <v>0</v>
      </c>
      <c r="C66" s="15" t="n">
        <f aca="false">-Cost_k*(1-Alpha_keep*Beta_q)*A66+Beta_q*B66-Beta_q*Cost_k*Alpha_keep*Mean_w</f>
        <v>-10.9342558649562</v>
      </c>
    </row>
    <row r="67" customFormat="false" ht="15" hidden="false" customHeight="false" outlineLevel="0" collapsed="false">
      <c r="A67" s="14" t="n">
        <v>57.05</v>
      </c>
      <c r="B67" s="15" t="n">
        <f aca="false">SUMPRODUCT(Loss_p,-Short_p*(Floor_c-A67+Loss_w)*((Floor_c-A67+Loss_w)&gt;0))</f>
        <v>0</v>
      </c>
      <c r="C67" s="15" t="n">
        <f aca="false">-Cost_k*(1-Alpha_keep*Beta_q)*A67+Beta_q*B67-Beta_q*Cost_k*Alpha_keep*Mean_w</f>
        <v>-10.9438473174693</v>
      </c>
    </row>
    <row r="68" customFormat="false" ht="15" hidden="false" customHeight="false" outlineLevel="0" collapsed="false">
      <c r="A68" s="14" t="n">
        <v>57.1</v>
      </c>
      <c r="B68" s="15" t="n">
        <f aca="false">SUMPRODUCT(Loss_p,-Short_p*(Floor_c-A68+Loss_w)*((Floor_c-A68+Loss_w)&gt;0))</f>
        <v>0</v>
      </c>
      <c r="C68" s="15" t="n">
        <f aca="false">-Cost_k*(1-Alpha_keep*Beta_q)*A68+Beta_q*B68-Beta_q*Cost_k*Alpha_keep*Mean_w</f>
        <v>-10.9534387699824</v>
      </c>
    </row>
    <row r="69" customFormat="false" ht="15" hidden="false" customHeight="false" outlineLevel="0" collapsed="false">
      <c r="A69" s="14" t="n">
        <v>57.15</v>
      </c>
      <c r="B69" s="15" t="n">
        <f aca="false">SUMPRODUCT(Loss_p,-Short_p*(Floor_c-A69+Loss_w)*((Floor_c-A69+Loss_w)&gt;0))</f>
        <v>0</v>
      </c>
      <c r="C69" s="15" t="n">
        <f aca="false">-Cost_k*(1-Alpha_keep*Beta_q)*A69+Beta_q*B69-Beta_q*Cost_k*Alpha_keep*Mean_w</f>
        <v>-10.9630302224955</v>
      </c>
    </row>
    <row r="70" customFormat="false" ht="15" hidden="false" customHeight="false" outlineLevel="0" collapsed="false">
      <c r="A70" s="14" t="n">
        <v>57.2</v>
      </c>
      <c r="B70" s="15" t="n">
        <f aca="false">SUMPRODUCT(Loss_p,-Short_p*(Floor_c-A70+Loss_w)*((Floor_c-A70+Loss_w)&gt;0))</f>
        <v>0</v>
      </c>
      <c r="C70" s="15" t="n">
        <f aca="false">-Cost_k*(1-Alpha_keep*Beta_q)*A70+Beta_q*B70-Beta_q*Cost_k*Alpha_keep*Mean_w</f>
        <v>-10.9726216750087</v>
      </c>
    </row>
    <row r="71" customFormat="false" ht="15" hidden="false" customHeight="false" outlineLevel="0" collapsed="false">
      <c r="A71" s="14" t="n">
        <v>57.25</v>
      </c>
      <c r="B71" s="15" t="n">
        <f aca="false">SUMPRODUCT(Loss_p,-Short_p*(Floor_c-A71+Loss_w)*((Floor_c-A71+Loss_w)&gt;0))</f>
        <v>0</v>
      </c>
      <c r="C71" s="15" t="n">
        <f aca="false">-Cost_k*(1-Alpha_keep*Beta_q)*A71+Beta_q*B71-Beta_q*Cost_k*Alpha_keep*Mean_w</f>
        <v>-10.9822131275218</v>
      </c>
    </row>
    <row r="72" customFormat="false" ht="15" hidden="false" customHeight="false" outlineLevel="0" collapsed="false">
      <c r="A72" s="14" t="n">
        <v>57.3</v>
      </c>
      <c r="B72" s="15" t="n">
        <f aca="false">SUMPRODUCT(Loss_p,-Short_p*(Floor_c-A72+Loss_w)*((Floor_c-A72+Loss_w)&gt;0))</f>
        <v>0</v>
      </c>
      <c r="C72" s="15" t="n">
        <f aca="false">-Cost_k*(1-Alpha_keep*Beta_q)*A72+Beta_q*B72-Beta_q*Cost_k*Alpha_keep*Mean_w</f>
        <v>-10.9918045800349</v>
      </c>
    </row>
    <row r="73" customFormat="false" ht="15" hidden="false" customHeight="false" outlineLevel="0" collapsed="false">
      <c r="A73" s="14" t="n">
        <v>57.35</v>
      </c>
      <c r="B73" s="15" t="n">
        <f aca="false">SUMPRODUCT(Loss_p,-Short_p*(Floor_c-A73+Loss_w)*((Floor_c-A73+Loss_w)&gt;0))</f>
        <v>0</v>
      </c>
      <c r="C73" s="15" t="n">
        <f aca="false">-Cost_k*(1-Alpha_keep*Beta_q)*A73+Beta_q*B73-Beta_q*Cost_k*Alpha_keep*Mean_w</f>
        <v>-11.001396032548</v>
      </c>
    </row>
    <row r="74" customFormat="false" ht="15" hidden="false" customHeight="false" outlineLevel="0" collapsed="false">
      <c r="A74" s="14" t="n">
        <v>57.4</v>
      </c>
      <c r="B74" s="15" t="n">
        <f aca="false">SUMPRODUCT(Loss_p,-Short_p*(Floor_c-A74+Loss_w)*((Floor_c-A74+Loss_w)&gt;0))</f>
        <v>0</v>
      </c>
      <c r="C74" s="15" t="n">
        <f aca="false">-Cost_k*(1-Alpha_keep*Beta_q)*A74+Beta_q*B74-Beta_q*Cost_k*Alpha_keep*Mean_w</f>
        <v>-11.0109874850611</v>
      </c>
    </row>
    <row r="75" customFormat="false" ht="15" hidden="false" customHeight="false" outlineLevel="0" collapsed="false">
      <c r="A75" s="14" t="n">
        <v>57.45</v>
      </c>
      <c r="B75" s="15" t="n">
        <f aca="false">SUMPRODUCT(Loss_p,-Short_p*(Floor_c-A75+Loss_w)*((Floor_c-A75+Loss_w)&gt;0))</f>
        <v>0</v>
      </c>
      <c r="C75" s="15" t="n">
        <f aca="false">-Cost_k*(1-Alpha_keep*Beta_q)*A75+Beta_q*B75-Beta_q*Cost_k*Alpha_keep*Mean_w</f>
        <v>-11.0205789375743</v>
      </c>
    </row>
    <row r="76" customFormat="false" ht="15" hidden="false" customHeight="false" outlineLevel="0" collapsed="false">
      <c r="A76" s="14" t="n">
        <v>57.5</v>
      </c>
      <c r="B76" s="15" t="n">
        <f aca="false">SUMPRODUCT(Loss_p,-Short_p*(Floor_c-A76+Loss_w)*((Floor_c-A76+Loss_w)&gt;0))</f>
        <v>0</v>
      </c>
      <c r="C76" s="15" t="n">
        <f aca="false">-Cost_k*(1-Alpha_keep*Beta_q)*A76+Beta_q*B76-Beta_q*Cost_k*Alpha_keep*Mean_w</f>
        <v>-11.0301703900874</v>
      </c>
    </row>
    <row r="77" customFormat="false" ht="15" hidden="false" customHeight="false" outlineLevel="0" collapsed="false">
      <c r="A77" s="14" t="n">
        <v>57.55</v>
      </c>
      <c r="B77" s="15" t="n">
        <f aca="false">SUMPRODUCT(Loss_p,-Short_p*(Floor_c-A77+Loss_w)*((Floor_c-A77+Loss_w)&gt;0))</f>
        <v>0</v>
      </c>
      <c r="C77" s="15" t="n">
        <f aca="false">-Cost_k*(1-Alpha_keep*Beta_q)*A77+Beta_q*B77-Beta_q*Cost_k*Alpha_keep*Mean_w</f>
        <v>-11.0397618426005</v>
      </c>
    </row>
    <row r="78" customFormat="false" ht="15" hidden="false" customHeight="false" outlineLevel="0" collapsed="false">
      <c r="A78" s="14" t="n">
        <v>57.6</v>
      </c>
      <c r="B78" s="15" t="n">
        <f aca="false">SUMPRODUCT(Loss_p,-Short_p*(Floor_c-A78+Loss_w)*((Floor_c-A78+Loss_w)&gt;0))</f>
        <v>0</v>
      </c>
      <c r="C78" s="15" t="n">
        <f aca="false">-Cost_k*(1-Alpha_keep*Beta_q)*A78+Beta_q*B78-Beta_q*Cost_k*Alpha_keep*Mean_w</f>
        <v>-11.0493532951136</v>
      </c>
    </row>
    <row r="79" customFormat="false" ht="15" hidden="false" customHeight="false" outlineLevel="0" collapsed="false">
      <c r="A79" s="14" t="n">
        <v>57.65</v>
      </c>
      <c r="B79" s="15" t="n">
        <f aca="false">SUMPRODUCT(Loss_p,-Short_p*(Floor_c-A79+Loss_w)*((Floor_c-A79+Loss_w)&gt;0))</f>
        <v>0</v>
      </c>
      <c r="C79" s="15" t="n">
        <f aca="false">-Cost_k*(1-Alpha_keep*Beta_q)*A79+Beta_q*B79-Beta_q*Cost_k*Alpha_keep*Mean_w</f>
        <v>-11.0589447476267</v>
      </c>
    </row>
    <row r="80" customFormat="false" ht="15" hidden="false" customHeight="false" outlineLevel="0" collapsed="false">
      <c r="A80" s="14" t="n">
        <v>57.7</v>
      </c>
      <c r="B80" s="15" t="n">
        <f aca="false">SUMPRODUCT(Loss_p,-Short_p*(Floor_c-A80+Loss_w)*((Floor_c-A80+Loss_w)&gt;0))</f>
        <v>0</v>
      </c>
      <c r="C80" s="15" t="n">
        <f aca="false">-Cost_k*(1-Alpha_keep*Beta_q)*A80+Beta_q*B80-Beta_q*Cost_k*Alpha_keep*Mean_w</f>
        <v>-11.0685362001399</v>
      </c>
    </row>
    <row r="81" customFormat="false" ht="15" hidden="false" customHeight="false" outlineLevel="0" collapsed="false">
      <c r="A81" s="14" t="n">
        <v>57.75</v>
      </c>
      <c r="B81" s="15" t="n">
        <f aca="false">SUMPRODUCT(Loss_p,-Short_p*(Floor_c-A81+Loss_w)*((Floor_c-A81+Loss_w)&gt;0))</f>
        <v>0</v>
      </c>
      <c r="C81" s="15" t="n">
        <f aca="false">-Cost_k*(1-Alpha_keep*Beta_q)*A81+Beta_q*B81-Beta_q*Cost_k*Alpha_keep*Mean_w</f>
        <v>-11.078127652653</v>
      </c>
    </row>
    <row r="82" customFormat="false" ht="15" hidden="false" customHeight="false" outlineLevel="0" collapsed="false">
      <c r="A82" s="14" t="n">
        <v>57.8</v>
      </c>
      <c r="B82" s="15" t="n">
        <f aca="false">SUMPRODUCT(Loss_p,-Short_p*(Floor_c-A82+Loss_w)*((Floor_c-A82+Loss_w)&gt;0))</f>
        <v>0</v>
      </c>
      <c r="C82" s="15" t="n">
        <f aca="false">-Cost_k*(1-Alpha_keep*Beta_q)*A82+Beta_q*B82-Beta_q*Cost_k*Alpha_keep*Mean_w</f>
        <v>-11.0877191051661</v>
      </c>
    </row>
    <row r="83" customFormat="false" ht="15" hidden="false" customHeight="false" outlineLevel="0" collapsed="false">
      <c r="A83" s="14" t="n">
        <v>57.85</v>
      </c>
      <c r="B83" s="15" t="n">
        <f aca="false">SUMPRODUCT(Loss_p,-Short_p*(Floor_c-A83+Loss_w)*((Floor_c-A83+Loss_w)&gt;0))</f>
        <v>0</v>
      </c>
      <c r="C83" s="15" t="n">
        <f aca="false">-Cost_k*(1-Alpha_keep*Beta_q)*A83+Beta_q*B83-Beta_q*Cost_k*Alpha_keep*Mean_w</f>
        <v>-11.0973105576792</v>
      </c>
    </row>
    <row r="84" customFormat="false" ht="15" hidden="false" customHeight="false" outlineLevel="0" collapsed="false">
      <c r="A84" s="14" t="n">
        <v>57.9</v>
      </c>
      <c r="B84" s="15" t="n">
        <f aca="false">SUMPRODUCT(Loss_p,-Short_p*(Floor_c-A84+Loss_w)*((Floor_c-A84+Loss_w)&gt;0))</f>
        <v>0</v>
      </c>
      <c r="C84" s="15" t="n">
        <f aca="false">-Cost_k*(1-Alpha_keep*Beta_q)*A84+Beta_q*B84-Beta_q*Cost_k*Alpha_keep*Mean_w</f>
        <v>-11.1069020101923</v>
      </c>
    </row>
    <row r="85" customFormat="false" ht="15" hidden="false" customHeight="false" outlineLevel="0" collapsed="false">
      <c r="A85" s="14" t="n">
        <v>57.95</v>
      </c>
      <c r="B85" s="15" t="n">
        <f aca="false">SUMPRODUCT(Loss_p,-Short_p*(Floor_c-A85+Loss_w)*((Floor_c-A85+Loss_w)&gt;0))</f>
        <v>0</v>
      </c>
      <c r="C85" s="15" t="n">
        <f aca="false">-Cost_k*(1-Alpha_keep*Beta_q)*A85+Beta_q*B85-Beta_q*Cost_k*Alpha_keep*Mean_w</f>
        <v>-11.1164934627055</v>
      </c>
    </row>
    <row r="86" customFormat="false" ht="15" hidden="false" customHeight="false" outlineLevel="0" collapsed="false">
      <c r="A86" s="14" t="n">
        <v>58</v>
      </c>
      <c r="B86" s="15" t="n">
        <f aca="false">SUMPRODUCT(Loss_p,-Short_p*(Floor_c-A86+Loss_w)*((Floor_c-A86+Loss_w)&gt;0))</f>
        <v>0</v>
      </c>
      <c r="C86" s="15" t="n">
        <f aca="false">-Cost_k*(1-Alpha_keep*Beta_q)*A86+Beta_q*B86-Beta_q*Cost_k*Alpha_keep*Mean_w</f>
        <v>-11.1260849152186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16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10" t="s">
        <v>204</v>
      </c>
    </row>
    <row r="4" customFormat="false" ht="23.85" hidden="false" customHeight="false" outlineLevel="0" collapsed="false">
      <c r="A4" s="8" t="s">
        <v>205</v>
      </c>
      <c r="B4" s="8" t="s">
        <v>206</v>
      </c>
      <c r="C4" s="8" t="s">
        <v>207</v>
      </c>
      <c r="D4" s="8" t="s">
        <v>208</v>
      </c>
      <c r="E4" s="8" t="s">
        <v>209</v>
      </c>
      <c r="F4" s="8" t="s">
        <v>210</v>
      </c>
      <c r="G4" s="8" t="s">
        <v>211</v>
      </c>
    </row>
    <row r="5" customFormat="false" ht="15" hidden="false" customHeight="false" outlineLevel="0" collapsed="false">
      <c r="A5" s="2" t="s">
        <v>212</v>
      </c>
      <c r="B5" s="20" t="n">
        <v>0.75</v>
      </c>
      <c r="C5" s="24" t="n">
        <v>230.755011357749</v>
      </c>
      <c r="D5" s="24" t="n">
        <v>228.044954362296</v>
      </c>
      <c r="E5" s="24" t="n">
        <v>2.710056995453</v>
      </c>
      <c r="F5" s="25" t="n">
        <v>6.02352148866389</v>
      </c>
      <c r="G5" s="12" t="n">
        <f aca="false">C5-$C$5</f>
        <v>0</v>
      </c>
    </row>
    <row r="6" customFormat="false" ht="15" hidden="false" customHeight="false" outlineLevel="0" collapsed="false">
      <c r="A6" s="2" t="s">
        <v>213</v>
      </c>
      <c r="B6" s="20" t="n">
        <v>0.75</v>
      </c>
      <c r="C6" s="24" t="n">
        <v>230.755011357774</v>
      </c>
      <c r="D6" s="24" t="n">
        <v>228.044954362273</v>
      </c>
      <c r="E6" s="24" t="n">
        <v>2.71005699550164</v>
      </c>
      <c r="F6" s="25" t="n">
        <v>6.023521489798</v>
      </c>
      <c r="G6" s="12" t="n">
        <f aca="false">C6-$C$5</f>
        <v>2.59205990005285E-011</v>
      </c>
    </row>
    <row r="7" customFormat="false" ht="15" hidden="false" customHeight="false" outlineLevel="0" collapsed="false">
      <c r="A7" s="2" t="s">
        <v>214</v>
      </c>
      <c r="B7" s="20" t="n">
        <v>0</v>
      </c>
      <c r="C7" s="24" t="n">
        <v>237.369818725901</v>
      </c>
      <c r="D7" s="24" t="n">
        <v>222.149977167686</v>
      </c>
      <c r="E7" s="24" t="n">
        <v>15.2198415582143</v>
      </c>
      <c r="F7" s="25" t="n">
        <v>27.5282191533364</v>
      </c>
      <c r="G7" s="12" t="n">
        <f aca="false">C7-$C$5</f>
        <v>6.61480736815201</v>
      </c>
    </row>
    <row r="8" customFormat="false" ht="15" hidden="false" customHeight="false" outlineLevel="0" collapsed="false">
      <c r="A8" s="2" t="s">
        <v>215</v>
      </c>
      <c r="B8" s="20" t="n">
        <v>1.5</v>
      </c>
      <c r="C8" s="24" t="n">
        <v>234.043795099179</v>
      </c>
      <c r="D8" s="24" t="n">
        <v>233.978698399138</v>
      </c>
      <c r="E8" s="24" t="n">
        <v>0.0650967000409321</v>
      </c>
      <c r="F8" s="25" t="n">
        <v>0.27760431494982</v>
      </c>
      <c r="G8" s="12" t="n">
        <f aca="false">C8-$C$5</f>
        <v>3.28878374143002</v>
      </c>
    </row>
    <row r="9" customFormat="false" ht="15" hidden="false" customHeight="false" outlineLevel="0" collapsed="false">
      <c r="A9" s="2" t="s">
        <v>216</v>
      </c>
      <c r="B9" s="20" t="n">
        <v>3</v>
      </c>
      <c r="C9" s="24" t="n">
        <v>246.151480226288</v>
      </c>
      <c r="D9" s="24" t="n">
        <v>246.151478054529</v>
      </c>
      <c r="E9" s="24" t="n">
        <v>2.17175957974547E-006</v>
      </c>
      <c r="F9" s="25" t="n">
        <v>3.16868806291456E-005</v>
      </c>
      <c r="G9" s="12" t="n">
        <f aca="false">C9-$C$5</f>
        <v>15.3964688685397</v>
      </c>
    </row>
    <row r="10" customFormat="false" ht="15" hidden="false" customHeight="false" outlineLevel="0" collapsed="false">
      <c r="A10" s="2" t="s">
        <v>217</v>
      </c>
      <c r="B10" s="20" t="n">
        <v>3.5</v>
      </c>
      <c r="C10" s="24" t="n">
        <v>254.659832955027</v>
      </c>
      <c r="D10" s="24" t="n">
        <v>244.926550957696</v>
      </c>
      <c r="E10" s="24" t="n">
        <v>9.73328199733124</v>
      </c>
      <c r="F10" s="25" t="n">
        <v>12.2769766916613</v>
      </c>
      <c r="G10" s="12" t="n">
        <f aca="false">C10-$C$5</f>
        <v>23.9048215972784</v>
      </c>
    </row>
    <row r="11" customFormat="false" ht="15" hidden="false" customHeight="false" outlineLevel="0" collapsed="false">
      <c r="A11" s="2" t="s">
        <v>218</v>
      </c>
      <c r="B11" s="20" t="n">
        <v>3</v>
      </c>
      <c r="C11" s="24" t="n">
        <v>256.32375768673</v>
      </c>
      <c r="D11" s="24" t="n">
        <v>246.327278082021</v>
      </c>
      <c r="E11" s="24" t="n">
        <v>9.99647960470876</v>
      </c>
      <c r="G11" s="12" t="n">
        <f aca="false">C11-$C$5</f>
        <v>25.5687463289814</v>
      </c>
    </row>
    <row r="13" customFormat="false" ht="15" hidden="false" customHeight="false" outlineLevel="0" collapsed="false">
      <c r="A13" s="4" t="s">
        <v>219</v>
      </c>
      <c r="C13" s="12" t="n">
        <f aca="false">C10-C5</f>
        <v>23.9048215972784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</row>
    <row r="2" customFormat="false" ht="15" hidden="false" customHeight="false" outlineLevel="0" collapsed="false">
      <c r="A2" s="2" t="s">
        <v>223</v>
      </c>
      <c r="B2" s="23" t="n">
        <v>0.191829050262389</v>
      </c>
      <c r="C2" s="2" t="s">
        <v>224</v>
      </c>
    </row>
    <row r="3" customFormat="false" ht="15" hidden="false" customHeight="false" outlineLevel="0" collapsed="false">
      <c r="A3" s="2" t="s">
        <v>52</v>
      </c>
      <c r="B3" s="23" t="n">
        <v>0.122784222711113</v>
      </c>
      <c r="C3" s="2" t="s">
        <v>225</v>
      </c>
    </row>
    <row r="4" customFormat="false" ht="15" hidden="false" customHeight="false" outlineLevel="0" collapsed="false">
      <c r="A4" s="2" t="s">
        <v>226</v>
      </c>
      <c r="B4" s="23" t="n">
        <v>55.75</v>
      </c>
      <c r="C4" s="2" t="s">
        <v>227</v>
      </c>
    </row>
    <row r="5" customFormat="false" ht="15" hidden="false" customHeight="false" outlineLevel="0" collapsed="false">
      <c r="A5" s="2" t="s">
        <v>228</v>
      </c>
      <c r="B5" s="23" t="n">
        <v>57.1794871794872</v>
      </c>
      <c r="C5" s="2" t="s">
        <v>229</v>
      </c>
    </row>
    <row r="6" customFormat="false" ht="15" hidden="false" customHeight="false" outlineLevel="0" collapsed="false">
      <c r="A6" s="2" t="s">
        <v>230</v>
      </c>
      <c r="B6" s="23" t="n">
        <v>54.6153846153846</v>
      </c>
      <c r="C6" s="2" t="s">
        <v>231</v>
      </c>
    </row>
    <row r="7" customFormat="false" ht="15" hidden="false" customHeight="false" outlineLevel="0" collapsed="false">
      <c r="A7" s="2" t="s">
        <v>232</v>
      </c>
      <c r="B7" s="23" t="n">
        <v>12</v>
      </c>
      <c r="C7" s="2" t="s">
        <v>233</v>
      </c>
    </row>
    <row r="8" customFormat="false" ht="15" hidden="false" customHeight="false" outlineLevel="0" collapsed="false">
      <c r="A8" s="2" t="s">
        <v>234</v>
      </c>
      <c r="B8" s="23" t="n">
        <v>55.75</v>
      </c>
      <c r="C8" s="2" t="s">
        <v>235</v>
      </c>
    </row>
    <row r="9" customFormat="false" ht="15" hidden="false" customHeight="false" outlineLevel="0" collapsed="false">
      <c r="A9" s="2" t="s">
        <v>236</v>
      </c>
      <c r="B9" s="23" t="n">
        <v>-40.4547357371935</v>
      </c>
      <c r="C9" s="2" t="s">
        <v>237</v>
      </c>
    </row>
    <row r="10" customFormat="false" ht="15" hidden="false" customHeight="false" outlineLevel="0" collapsed="false">
      <c r="A10" s="2" t="s">
        <v>238</v>
      </c>
      <c r="B10" s="23" t="n">
        <v>-64.2995785999103</v>
      </c>
      <c r="C10" s="2" t="s">
        <v>239</v>
      </c>
    </row>
    <row r="11" customFormat="false" ht="15" hidden="false" customHeight="false" outlineLevel="0" collapsed="false">
      <c r="A11" s="2" t="s">
        <v>240</v>
      </c>
      <c r="B11" s="23" t="n">
        <v>0</v>
      </c>
      <c r="C11" s="2" t="s">
        <v>241</v>
      </c>
    </row>
    <row r="12" customFormat="false" ht="15" hidden="false" customHeight="false" outlineLevel="0" collapsed="false">
      <c r="A12" s="2" t="s">
        <v>242</v>
      </c>
      <c r="B12" s="23" t="n">
        <v>2.5</v>
      </c>
      <c r="C12" s="2" t="s">
        <v>243</v>
      </c>
    </row>
    <row r="13" customFormat="false" ht="15" hidden="false" customHeight="false" outlineLevel="0" collapsed="false">
      <c r="A13" s="2" t="s">
        <v>244</v>
      </c>
      <c r="B13" s="23" t="n">
        <v>1.15</v>
      </c>
      <c r="C13" s="2" t="s">
        <v>57</v>
      </c>
    </row>
    <row r="14" customFormat="false" ht="15" hidden="false" customHeight="false" outlineLevel="0" collapsed="false">
      <c r="A14" s="2" t="s">
        <v>245</v>
      </c>
      <c r="B14" s="23" t="n">
        <v>0</v>
      </c>
      <c r="C14" s="2" t="s">
        <v>246</v>
      </c>
    </row>
    <row r="15" customFormat="false" ht="15" hidden="false" customHeight="false" outlineLevel="0" collapsed="false">
      <c r="A15" s="2" t="s">
        <v>247</v>
      </c>
      <c r="B15" s="23" t="n">
        <v>2.27373675443232E-013</v>
      </c>
      <c r="C15" s="2" t="s">
        <v>248</v>
      </c>
    </row>
    <row r="16" customFormat="false" ht="15" hidden="false" customHeight="false" outlineLevel="0" collapsed="false">
      <c r="A16" s="2" t="s">
        <v>249</v>
      </c>
      <c r="B16" s="23" t="n">
        <v>0.00440348054928563</v>
      </c>
      <c r="C16" s="2" t="s">
        <v>250</v>
      </c>
    </row>
    <row r="17" customFormat="false" ht="15" hidden="false" customHeight="false" outlineLevel="0" collapsed="false">
      <c r="A17" s="2" t="s">
        <v>251</v>
      </c>
      <c r="B17" s="23" t="n">
        <v>-230.755011357749</v>
      </c>
      <c r="C17" s="2" t="s">
        <v>252</v>
      </c>
    </row>
    <row r="18" customFormat="false" ht="15" hidden="false" customHeight="false" outlineLevel="0" collapsed="false">
      <c r="A18" s="2" t="s">
        <v>253</v>
      </c>
      <c r="B18" s="23" t="n">
        <v>-254.592889106724</v>
      </c>
      <c r="C18" s="2" t="s">
        <v>254</v>
      </c>
    </row>
    <row r="19" customFormat="false" ht="15" hidden="false" customHeight="false" outlineLevel="0" collapsed="false">
      <c r="A19" s="2" t="s">
        <v>255</v>
      </c>
      <c r="B19" s="23" t="n">
        <v>23.8378777489753</v>
      </c>
      <c r="C19" s="2" t="s">
        <v>256</v>
      </c>
    </row>
    <row r="20" customFormat="false" ht="15" hidden="false" customHeight="false" outlineLevel="0" collapsed="false">
      <c r="A20" s="2" t="s">
        <v>257</v>
      </c>
      <c r="B20" s="23" t="n">
        <v>3.68241651429287</v>
      </c>
      <c r="C20" s="2" t="s">
        <v>258</v>
      </c>
    </row>
    <row r="21" customFormat="false" ht="15" hidden="false" customHeight="false" outlineLevel="0" collapsed="false">
      <c r="A21" s="2" t="s">
        <v>259</v>
      </c>
      <c r="B21" s="23" t="n">
        <v>3.90000000000043</v>
      </c>
      <c r="C21" s="2" t="s">
        <v>260</v>
      </c>
    </row>
    <row r="22" customFormat="false" ht="15" hidden="false" customHeight="false" outlineLevel="0" collapsed="false">
      <c r="A22" s="2" t="s">
        <v>261</v>
      </c>
      <c r="B22" s="23" t="n">
        <v>7.19183962959164</v>
      </c>
      <c r="C22" s="2" t="s">
        <v>262</v>
      </c>
    </row>
    <row r="23" customFormat="false" ht="15" hidden="false" customHeight="false" outlineLevel="0" collapsed="false">
      <c r="A23" s="2" t="s">
        <v>263</v>
      </c>
      <c r="B23" s="23" t="n">
        <v>55.75</v>
      </c>
      <c r="C23" s="2" t="s">
        <v>264</v>
      </c>
    </row>
    <row r="24" customFormat="false" ht="15" hidden="false" customHeight="false" outlineLevel="0" collapsed="false">
      <c r="A24" s="2" t="s">
        <v>265</v>
      </c>
      <c r="B24" s="23" t="n">
        <v>-230.484691722883</v>
      </c>
      <c r="C24" s="2" t="s">
        <v>266</v>
      </c>
    </row>
    <row r="25" customFormat="false" ht="15" hidden="false" customHeight="false" outlineLevel="0" collapsed="false">
      <c r="A25" s="2" t="s">
        <v>267</v>
      </c>
      <c r="B25" s="23" t="n">
        <v>0.270319634865444</v>
      </c>
      <c r="C25" s="2" t="s">
        <v>268</v>
      </c>
    </row>
    <row r="26" customFormat="false" ht="15" hidden="false" customHeight="false" outlineLevel="0" collapsed="false">
      <c r="A26" s="2" t="s">
        <v>269</v>
      </c>
      <c r="B26" s="23" t="n">
        <v>23.9048215972784</v>
      </c>
      <c r="C26" s="2" t="s">
        <v>270</v>
      </c>
    </row>
    <row r="27" customFormat="false" ht="15" hidden="false" customHeight="false" outlineLevel="0" collapsed="false">
      <c r="A27" s="2" t="s">
        <v>271</v>
      </c>
      <c r="B27" s="23" t="n">
        <v>6.61480736815193</v>
      </c>
      <c r="C27" s="2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220</v>
      </c>
      <c r="B1" s="8" t="s">
        <v>273</v>
      </c>
      <c r="C1" s="8" t="s">
        <v>221</v>
      </c>
      <c r="D1" s="8" t="s">
        <v>274</v>
      </c>
      <c r="E1" s="8" t="s">
        <v>275</v>
      </c>
      <c r="F1" s="8" t="s">
        <v>276</v>
      </c>
    </row>
    <row r="2" customFormat="false" ht="15" hidden="false" customHeight="false" outlineLevel="0" collapsed="false">
      <c r="A2" s="2" t="s">
        <v>223</v>
      </c>
      <c r="B2" s="11" t="n">
        <f aca="false">CriticalRatio!B3</f>
        <v>0.191829050262389</v>
      </c>
      <c r="C2" s="26" t="n">
        <f aca="false">Reference_Values!B2</f>
        <v>0.191829050262389</v>
      </c>
      <c r="D2" s="22" t="n">
        <f aca="false">ABS(B2-C2)</f>
        <v>0</v>
      </c>
      <c r="E2" s="27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52</v>
      </c>
      <c r="B3" s="11" t="n">
        <f aca="false">CriticalRatio!B5</f>
        <v>0.122784222711113</v>
      </c>
      <c r="C3" s="26" t="n">
        <f aca="false">Reference_Values!B3</f>
        <v>0.122784222711113</v>
      </c>
      <c r="D3" s="22" t="n">
        <f aca="false">ABS(B3-C3)</f>
        <v>0</v>
      </c>
      <c r="E3" s="27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226</v>
      </c>
      <c r="B4" s="11" t="n">
        <f aca="false">CriticalRatio!B7</f>
        <v>55.75</v>
      </c>
      <c r="C4" s="26" t="n">
        <f aca="false">Reference_Values!B4</f>
        <v>55.75</v>
      </c>
      <c r="D4" s="22" t="n">
        <f aca="false">ABS(B4-C4)</f>
        <v>0</v>
      </c>
      <c r="E4" s="27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228</v>
      </c>
      <c r="B5" s="11" t="n">
        <f aca="false">CriticalRatio!B8</f>
        <v>57.1794871794872</v>
      </c>
      <c r="C5" s="26" t="n">
        <f aca="false">Reference_Values!B5</f>
        <v>57.1794871794872</v>
      </c>
      <c r="D5" s="22" t="n">
        <f aca="false">ABS(B5-C5)</f>
        <v>0</v>
      </c>
      <c r="E5" s="27" t="n">
        <v>1E-006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230</v>
      </c>
      <c r="B6" s="11" t="n">
        <f aca="false">CriticalRatio!B9</f>
        <v>54.6153846153846</v>
      </c>
      <c r="C6" s="26" t="n">
        <f aca="false">Reference_Values!B6</f>
        <v>54.6153846153846</v>
      </c>
      <c r="D6" s="22" t="n">
        <f aca="false">ABS(B6-C6)</f>
        <v>0</v>
      </c>
      <c r="E6" s="27" t="n">
        <v>1E-006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232</v>
      </c>
      <c r="B7" s="11" t="n">
        <f aca="false">BackwardInduction!J18</f>
        <v>12</v>
      </c>
      <c r="C7" s="26" t="n">
        <f aca="false">Reference_Values!B7</f>
        <v>12</v>
      </c>
      <c r="D7" s="22" t="n">
        <f aca="false">ABS(B7-C7)</f>
        <v>0</v>
      </c>
      <c r="E7" s="27" t="n">
        <v>0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234</v>
      </c>
      <c r="B8" s="11" t="n">
        <f aca="false">BackwardInduction!B5</f>
        <v>55.75</v>
      </c>
      <c r="C8" s="26" t="n">
        <f aca="false">Reference_Values!B8</f>
        <v>55.75</v>
      </c>
      <c r="D8" s="22" t="n">
        <f aca="false">ABS(B8-C8)</f>
        <v>0</v>
      </c>
      <c r="E8" s="27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236</v>
      </c>
      <c r="B9" s="11" t="n">
        <f aca="false">BackwardInduction!K5</f>
        <v>-40.4547357371936</v>
      </c>
      <c r="C9" s="26" t="n">
        <f aca="false">Reference_Values!B9</f>
        <v>-40.4547357371935</v>
      </c>
      <c r="D9" s="22" t="n">
        <f aca="false">ABS(B9-C9)</f>
        <v>0</v>
      </c>
      <c r="E9" s="27" t="n">
        <v>1E-006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238</v>
      </c>
      <c r="B10" s="11" t="n">
        <f aca="false">BackwardInduction!L5</f>
        <v>-64.2995785999103</v>
      </c>
      <c r="C10" s="26" t="n">
        <f aca="false">Reference_Values!B10</f>
        <v>-64.2995785999103</v>
      </c>
      <c r="D10" s="22" t="n">
        <f aca="false">ABS(B10-C10)</f>
        <v>0</v>
      </c>
      <c r="E10" s="27" t="n">
        <v>1E-006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240</v>
      </c>
      <c r="B11" s="11" t="n">
        <f aca="false">BackwardInduction!J19</f>
        <v>1.13686837721616E-013</v>
      </c>
      <c r="C11" s="26" t="n">
        <f aca="false">Reference_Values!B11</f>
        <v>0</v>
      </c>
      <c r="D11" s="22" t="n">
        <f aca="false">ABS(B11-C11)</f>
        <v>1.13686837721616E-013</v>
      </c>
      <c r="E11" s="27" t="n">
        <v>1E-006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242</v>
      </c>
      <c r="B12" s="11" t="n">
        <f aca="false">LookAhead!B61</f>
        <v>2.5</v>
      </c>
      <c r="C12" s="26" t="n">
        <f aca="false">Reference_Values!B12</f>
        <v>2.5</v>
      </c>
      <c r="D12" s="22" t="n">
        <f aca="false">ABS(B12-C12)</f>
        <v>0</v>
      </c>
      <c r="E12" s="27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244</v>
      </c>
      <c r="B13" s="11" t="n">
        <f aca="false">LookAhead!C61</f>
        <v>1.15</v>
      </c>
      <c r="C13" s="26" t="n">
        <f aca="false">Reference_Values!B13</f>
        <v>1.15</v>
      </c>
      <c r="D13" s="22" t="n">
        <f aca="false">ABS(B13-C13)</f>
        <v>0</v>
      </c>
      <c r="E13" s="27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245</v>
      </c>
      <c r="B14" s="11" t="n">
        <f aca="false">LookAhead!D61</f>
        <v>0</v>
      </c>
      <c r="C14" s="26" t="n">
        <f aca="false">Reference_Values!B14</f>
        <v>0</v>
      </c>
      <c r="D14" s="22" t="n">
        <f aca="false">ABS(B14-C14)</f>
        <v>0</v>
      </c>
      <c r="E14" s="27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247</v>
      </c>
      <c r="B15" s="11" t="n">
        <f aca="false">Values!N4</f>
        <v>0</v>
      </c>
      <c r="C15" s="26" t="n">
        <f aca="false">Reference_Values!B15</f>
        <v>2.27373675443232E-013</v>
      </c>
      <c r="D15" s="22" t="n">
        <f aca="false">ABS(B15-C15)</f>
        <v>2.27373675443232E-013</v>
      </c>
      <c r="E15" s="27" t="n">
        <v>1E-006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249</v>
      </c>
      <c r="B16" s="11" t="n">
        <f aca="false">Values!N13</f>
        <v>0.00440348054928563</v>
      </c>
      <c r="C16" s="26" t="n">
        <f aca="false">Reference_Values!B16</f>
        <v>0.00440348054928563</v>
      </c>
      <c r="D16" s="22" t="n">
        <f aca="false">ABS(B16-C16)</f>
        <v>0</v>
      </c>
      <c r="E16" s="27" t="n">
        <v>1E-006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251</v>
      </c>
      <c r="B17" s="11" t="n">
        <f aca="false">Prices!B9</f>
        <v>-230.755011357749</v>
      </c>
      <c r="C17" s="26" t="n">
        <f aca="false">Reference_Values!B17</f>
        <v>-230.755011357749</v>
      </c>
      <c r="D17" s="22" t="n">
        <f aca="false">ABS(B17-C17)</f>
        <v>0</v>
      </c>
      <c r="E17" s="27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253</v>
      </c>
      <c r="B18" s="11" t="n">
        <f aca="false">Prices!B6</f>
        <v>-254.592889106724</v>
      </c>
      <c r="C18" s="26" t="n">
        <f aca="false">Reference_Values!B18</f>
        <v>-254.592889106724</v>
      </c>
      <c r="D18" s="22" t="n">
        <f aca="false">ABS(B18-C18)</f>
        <v>0</v>
      </c>
      <c r="E18" s="27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255</v>
      </c>
      <c r="B19" s="11" t="n">
        <f aca="false">Prices!B13</f>
        <v>23.8378777489754</v>
      </c>
      <c r="C19" s="26" t="n">
        <f aca="false">Reference_Values!B19</f>
        <v>23.8378777489753</v>
      </c>
      <c r="D19" s="22" t="n">
        <f aca="false">ABS(B19-C19)</f>
        <v>8.5265128291212E-014</v>
      </c>
      <c r="E19" s="27" t="n">
        <v>1E-006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257</v>
      </c>
      <c r="B20" s="11" t="n">
        <f aca="false">Prices!C9</f>
        <v>3.682416514294</v>
      </c>
      <c r="C20" s="26" t="n">
        <f aca="false">Reference_Values!B20</f>
        <v>3.68241651429287</v>
      </c>
      <c r="D20" s="22" t="n">
        <f aca="false">ABS(B20-C20)</f>
        <v>1.13642428800631E-012</v>
      </c>
      <c r="E20" s="27" t="n">
        <v>1E-006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259</v>
      </c>
      <c r="B21" s="11" t="n">
        <f aca="false">Prices!D8</f>
        <v>3.89999999999986</v>
      </c>
      <c r="C21" s="26" t="n">
        <f aca="false">Reference_Values!B21</f>
        <v>3.90000000000043</v>
      </c>
      <c r="D21" s="22" t="n">
        <f aca="false">ABS(B21-C21)</f>
        <v>5.6843418860808E-013</v>
      </c>
      <c r="E21" s="27" t="n">
        <v>1E-006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261</v>
      </c>
      <c r="B22" s="11" t="n">
        <f aca="false">Prices!D6</f>
        <v>7.19183962959221</v>
      </c>
      <c r="C22" s="26" t="n">
        <f aca="false">Reference_Values!B22</f>
        <v>7.19183962959164</v>
      </c>
      <c r="D22" s="22" t="n">
        <f aca="false">ABS(B22-C22)</f>
        <v>5.6843418860808E-013</v>
      </c>
      <c r="E22" s="27" t="n">
        <v>1E-006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263</v>
      </c>
      <c r="B23" s="11" t="n">
        <f aca="false">UpperBound!F6</f>
        <v>55.75</v>
      </c>
      <c r="C23" s="26" t="n">
        <f aca="false">Reference_Values!B23</f>
        <v>55.75</v>
      </c>
      <c r="D23" s="22" t="n">
        <f aca="false">ABS(B23-C23)</f>
        <v>0</v>
      </c>
      <c r="E23" s="27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265</v>
      </c>
      <c r="B24" s="11" t="n">
        <f aca="false">UpperBound!F12</f>
        <v>-230.484691722883</v>
      </c>
      <c r="C24" s="26" t="n">
        <f aca="false">Reference_Values!B24</f>
        <v>-230.484691722883</v>
      </c>
      <c r="D24" s="22" t="n">
        <f aca="false">ABS(B24-C24)</f>
        <v>0</v>
      </c>
      <c r="E24" s="27" t="n">
        <v>1E-006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267</v>
      </c>
      <c r="B25" s="11" t="n">
        <f aca="false">UpperBound!H12</f>
        <v>0.270319634865388</v>
      </c>
      <c r="C25" s="26" t="n">
        <f aca="false">Reference_Values!B25</f>
        <v>0.270319634865444</v>
      </c>
      <c r="D25" s="22" t="n">
        <f aca="false">ABS(B25-C25)</f>
        <v>5.6843418860808E-014</v>
      </c>
      <c r="E25" s="27" t="n">
        <v>1E-006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269</v>
      </c>
      <c r="B26" s="11" t="n">
        <f aca="false">RulesAndPlans!C13</f>
        <v>23.9048215972784</v>
      </c>
      <c r="C26" s="26" t="n">
        <f aca="false">Reference_Values!B26</f>
        <v>23.9048215972784</v>
      </c>
      <c r="D26" s="22" t="n">
        <f aca="false">ABS(B26-C26)</f>
        <v>0</v>
      </c>
      <c r="E26" s="27" t="n">
        <v>1E-009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271</v>
      </c>
      <c r="B27" s="11" t="n">
        <f aca="false">RulesAndPlans!G7</f>
        <v>6.61480736815201</v>
      </c>
      <c r="C27" s="26" t="n">
        <f aca="false">Reference_Values!B27</f>
        <v>6.61480736815193</v>
      </c>
      <c r="D27" s="22" t="n">
        <f aca="false">ABS(B27-C27)</f>
        <v>8.5265128291212E-014</v>
      </c>
      <c r="E27" s="27" t="n">
        <v>1E-009</v>
      </c>
      <c r="F27" s="4" t="str">
        <f aca="false">IF(D27&lt;=E27,"PASS","FAIL")</f>
        <v>PASS</v>
      </c>
    </row>
    <row r="29" customFormat="false" ht="15" hidden="false" customHeight="false" outlineLevel="0" collapsed="false">
      <c r="A29" s="4" t="s">
        <v>277</v>
      </c>
      <c r="F29" s="4" t="str">
        <f aca="false">IF(COUNTIF(F2:F27,"PASS")=26,"ALL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2026-10-05T08:42:35Z</dcterms:created>
  <dc:creator>openpyxl</dc:creator>
  <dc:description/>
  <dc:language>en-US</dc:language>
  <cp:lastModifiedBy/>
  <dcterms:modified xsi:type="dcterms:W3CDTF">2026-10-05T08:42:35Z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